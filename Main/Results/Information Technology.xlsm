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1645FC6C-D920-49AF-A915-73CEFB5BC2E9}" xr6:coauthVersionLast="47" xr6:coauthVersionMax="47" xr10:uidLastSave="{00000000-0000-0000-0000-000000000000}"/>
  <bookViews>
    <workbookView xWindow="-120" yWindow="-120" windowWidth="29040" windowHeight="15720" firstSheet="5" activeTab="9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Main_L!$A$1:$M$122</definedName>
    <definedName name="ExternalData_1" localSheetId="2" hidden="1">Main_M!$A$1:$M$129</definedName>
    <definedName name="ExternalData_1" localSheetId="3" hidden="1">Main_S!$A$1:$M$161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Y27" i="1"/>
  <c r="Y26" i="1"/>
  <c r="Y25" i="1"/>
  <c r="Y24" i="1"/>
  <c r="Y23" i="1"/>
  <c r="X28" i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P23" i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M28" i="1"/>
  <c r="M27" i="1"/>
  <c r="M26" i="1"/>
  <c r="M25" i="1"/>
  <c r="M24" i="1"/>
  <c r="M23" i="1"/>
  <c r="L28" i="1"/>
  <c r="L27" i="1"/>
  <c r="L26" i="1"/>
  <c r="L25" i="1"/>
  <c r="L24" i="1"/>
  <c r="L23" i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J28" i="1" a="1"/>
  <c r="J28" i="1" s="1"/>
  <c r="J27" i="1" a="1"/>
  <c r="J27" i="1" s="1"/>
  <c r="J26" i="1" a="1"/>
  <c r="J26" i="1" s="1"/>
  <c r="J25" i="1" a="1"/>
  <c r="J25" i="1"/>
  <c r="J24" i="1" a="1"/>
  <c r="J24" i="1" s="1"/>
  <c r="J23" i="1" a="1"/>
  <c r="J23" i="1" s="1"/>
  <c r="Y18" i="1"/>
  <c r="Y17" i="1"/>
  <c r="Y16" i="1"/>
  <c r="Y15" i="1"/>
  <c r="Y44" i="3" s="1"/>
  <c r="Y14" i="1"/>
  <c r="Y7" i="3" s="1"/>
  <c r="Y13" i="1"/>
  <c r="X18" i="1"/>
  <c r="X17" i="1"/>
  <c r="X16" i="1"/>
  <c r="X15" i="1"/>
  <c r="Y50" i="3" s="1"/>
  <c r="X14" i="1"/>
  <c r="X13" i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V18" i="1" a="1"/>
  <c r="V18" i="1"/>
  <c r="V17" i="1" a="1"/>
  <c r="V17" i="1" s="1"/>
  <c r="V16" i="1" a="1"/>
  <c r="V16" i="1" s="1"/>
  <c r="V15" i="1" a="1"/>
  <c r="V15" i="1" s="1"/>
  <c r="V14" i="1" a="1"/>
  <c r="V14" i="1"/>
  <c r="V13" i="1" a="1"/>
  <c r="V13" i="1" s="1"/>
  <c r="Q18" i="1"/>
  <c r="Q17" i="1"/>
  <c r="Q16" i="1"/>
  <c r="Q15" i="1"/>
  <c r="Q14" i="1"/>
  <c r="Q13" i="1"/>
  <c r="P18" i="1"/>
  <c r="P17" i="1"/>
  <c r="P16" i="1"/>
  <c r="P15" i="1"/>
  <c r="P14" i="1"/>
  <c r="P13" i="1"/>
  <c r="W66" i="3" s="1"/>
  <c r="O18" i="1" a="1"/>
  <c r="O18" i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N18" i="1" a="1"/>
  <c r="N18" i="1" s="1"/>
  <c r="N17" i="1" a="1"/>
  <c r="N17" i="1" s="1"/>
  <c r="N16" i="1" a="1"/>
  <c r="N16" i="1"/>
  <c r="N15" i="1" a="1"/>
  <c r="N15" i="1" s="1"/>
  <c r="N14" i="1" a="1"/>
  <c r="N14" i="1" s="1"/>
  <c r="N13" i="1" a="1"/>
  <c r="N13" i="1" s="1"/>
  <c r="M18" i="1"/>
  <c r="M17" i="1"/>
  <c r="M16" i="1"/>
  <c r="M15" i="1"/>
  <c r="X56" i="3" s="1"/>
  <c r="M14" i="1"/>
  <c r="M13" i="1"/>
  <c r="X72" i="3" s="1"/>
  <c r="L18" i="1"/>
  <c r="L17" i="1"/>
  <c r="L16" i="1"/>
  <c r="L15" i="1"/>
  <c r="L14" i="1"/>
  <c r="X13" i="3" s="1"/>
  <c r="L13" i="1"/>
  <c r="K18" i="1" a="1"/>
  <c r="K18" i="1" s="1"/>
  <c r="K17" i="1" a="1"/>
  <c r="K17" i="1"/>
  <c r="K16" i="1" a="1"/>
  <c r="K16" i="1" s="1"/>
  <c r="K15" i="1" a="1"/>
  <c r="K15" i="1" s="1"/>
  <c r="K14" i="1" a="1"/>
  <c r="K14" i="1" s="1"/>
  <c r="K13" i="1" a="1"/>
  <c r="K13" i="1" s="1"/>
  <c r="J18" i="1" a="1"/>
  <c r="J18" i="1" s="1"/>
  <c r="J17" i="1" a="1"/>
  <c r="J17" i="1"/>
  <c r="J16" i="1" a="1"/>
  <c r="J16" i="1"/>
  <c r="J15" i="1" a="1"/>
  <c r="J15" i="1" s="1"/>
  <c r="J14" i="1" a="1"/>
  <c r="J14" i="1" s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 s="1"/>
  <c r="W7" i="1" a="1"/>
  <c r="W7" i="1"/>
  <c r="W6" i="1" a="1"/>
  <c r="W6" i="1" s="1"/>
  <c r="W5" i="1" a="1"/>
  <c r="W5" i="1" s="1"/>
  <c r="W4" i="1" a="1"/>
  <c r="W4" i="1" s="1"/>
  <c r="W3" i="1" a="1"/>
  <c r="W3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 s="1"/>
  <c r="O7" i="1" a="1"/>
  <c r="O7" i="1"/>
  <c r="O6" i="1" a="1"/>
  <c r="O6" i="1" s="1"/>
  <c r="O5" i="1" a="1"/>
  <c r="O5" i="1" s="1"/>
  <c r="O4" i="1" a="1"/>
  <c r="O4" i="1" s="1"/>
  <c r="O3" i="1" a="1"/>
  <c r="O3" i="1" s="1"/>
  <c r="N8" i="1" a="1"/>
  <c r="N8" i="1" s="1"/>
  <c r="N7" i="1" a="1"/>
  <c r="N7" i="1" s="1"/>
  <c r="N6" i="1" a="1"/>
  <c r="N6" i="1"/>
  <c r="N5" i="1" a="1"/>
  <c r="N5" i="1" s="1"/>
  <c r="N4" i="1" a="1"/>
  <c r="N4" i="1" s="1"/>
  <c r="N3" i="1" a="1"/>
  <c r="N3" i="1" s="1"/>
  <c r="M8" i="1"/>
  <c r="M7" i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154" i="4"/>
  <c r="T154" i="4" s="1"/>
  <c r="M153" i="4"/>
  <c r="T153" i="4" s="1"/>
  <c r="M152" i="4"/>
  <c r="M148" i="4"/>
  <c r="T148" i="4" s="1"/>
  <c r="M142" i="4"/>
  <c r="M141" i="4"/>
  <c r="T141" i="4" s="1"/>
  <c r="M134" i="4"/>
  <c r="T134" i="4" s="1"/>
  <c r="M133" i="4"/>
  <c r="T133" i="4" s="1"/>
  <c r="M132" i="4"/>
  <c r="T132" i="4" s="1"/>
  <c r="M128" i="4"/>
  <c r="T128" i="4" s="1"/>
  <c r="M127" i="4"/>
  <c r="T127" i="4" s="1"/>
  <c r="M126" i="4"/>
  <c r="T126" i="4" s="1"/>
  <c r="M125" i="4"/>
  <c r="M119" i="4"/>
  <c r="M118" i="4"/>
  <c r="T118" i="4" s="1"/>
  <c r="M117" i="4"/>
  <c r="T117" i="4" s="1"/>
  <c r="M114" i="4"/>
  <c r="M113" i="4"/>
  <c r="M112" i="4"/>
  <c r="T112" i="4" s="1"/>
  <c r="M107" i="4"/>
  <c r="T107" i="4" s="1"/>
  <c r="M106" i="4"/>
  <c r="M105" i="4"/>
  <c r="M102" i="4"/>
  <c r="M100" i="4"/>
  <c r="M99" i="4"/>
  <c r="T99" i="4" s="1"/>
  <c r="M94" i="4"/>
  <c r="M93" i="4"/>
  <c r="T93" i="4" s="1"/>
  <c r="M92" i="4"/>
  <c r="T92" i="4" s="1"/>
  <c r="M88" i="4"/>
  <c r="T88" i="4" s="1"/>
  <c r="M85" i="4"/>
  <c r="T85" i="4" s="1"/>
  <c r="M82" i="4"/>
  <c r="T82" i="4" s="1"/>
  <c r="M80" i="4"/>
  <c r="M79" i="4"/>
  <c r="T79" i="4" s="1"/>
  <c r="M78" i="4"/>
  <c r="T78" i="4" s="1"/>
  <c r="M67" i="4"/>
  <c r="M66" i="4"/>
  <c r="M65" i="4"/>
  <c r="T65" i="4" s="1"/>
  <c r="M60" i="4"/>
  <c r="M58" i="4"/>
  <c r="M57" i="4"/>
  <c r="M54" i="4"/>
  <c r="T54" i="4" s="1"/>
  <c r="M53" i="4"/>
  <c r="T53" i="4" s="1"/>
  <c r="M52" i="4"/>
  <c r="M48" i="4"/>
  <c r="T48" i="4" s="1"/>
  <c r="M44" i="4"/>
  <c r="T44" i="4" s="1"/>
  <c r="M42" i="4"/>
  <c r="T42" i="4" s="1"/>
  <c r="M39" i="4"/>
  <c r="M34" i="4"/>
  <c r="M33" i="4"/>
  <c r="M32" i="4"/>
  <c r="M28" i="4"/>
  <c r="M27" i="4"/>
  <c r="M26" i="4"/>
  <c r="M25" i="4"/>
  <c r="T25" i="4" s="1"/>
  <c r="M14" i="4"/>
  <c r="M12" i="4"/>
  <c r="M7" i="4"/>
  <c r="T7" i="4" s="1"/>
  <c r="M6" i="4"/>
  <c r="M5" i="4"/>
  <c r="T5" i="4" s="1"/>
  <c r="M4" i="4"/>
  <c r="T4" i="4" s="1"/>
  <c r="I160" i="4"/>
  <c r="P160" i="4" s="1"/>
  <c r="I159" i="4"/>
  <c r="I154" i="4"/>
  <c r="P154" i="4" s="1"/>
  <c r="I153" i="4"/>
  <c r="P153" i="4" s="1"/>
  <c r="I152" i="4"/>
  <c r="N152" i="4" s="1"/>
  <c r="I148" i="4"/>
  <c r="P148" i="4" s="1"/>
  <c r="I145" i="4"/>
  <c r="I140" i="4"/>
  <c r="P140" i="4" s="1"/>
  <c r="I138" i="4"/>
  <c r="I137" i="4"/>
  <c r="P137" i="4" s="1"/>
  <c r="I128" i="4"/>
  <c r="I127" i="4"/>
  <c r="P127" i="4" s="1"/>
  <c r="I126" i="4"/>
  <c r="I125" i="4"/>
  <c r="P125" i="4" s="1"/>
  <c r="I120" i="4"/>
  <c r="I118" i="4"/>
  <c r="I114" i="4"/>
  <c r="I113" i="4"/>
  <c r="I112" i="4"/>
  <c r="I108" i="4"/>
  <c r="I104" i="4"/>
  <c r="P104" i="4" s="1"/>
  <c r="I102" i="4"/>
  <c r="P102" i="4" s="1"/>
  <c r="I101" i="4"/>
  <c r="I100" i="4"/>
  <c r="I99" i="4"/>
  <c r="P99" i="4" s="1"/>
  <c r="I94" i="4"/>
  <c r="P94" i="4" s="1"/>
  <c r="I93" i="4"/>
  <c r="P93" i="4" s="1"/>
  <c r="I92" i="4"/>
  <c r="I87" i="4"/>
  <c r="I86" i="4"/>
  <c r="I85" i="4"/>
  <c r="I79" i="4"/>
  <c r="I78" i="4"/>
  <c r="P78" i="4" s="1"/>
  <c r="I74" i="4"/>
  <c r="I73" i="4"/>
  <c r="I72" i="4"/>
  <c r="P72" i="4" s="1"/>
  <c r="I67" i="4"/>
  <c r="P67" i="4" s="1"/>
  <c r="I66" i="4"/>
  <c r="P66" i="4" s="1"/>
  <c r="I65" i="4"/>
  <c r="P65" i="4" s="1"/>
  <c r="I62" i="4"/>
  <c r="I57" i="4"/>
  <c r="I54" i="4"/>
  <c r="I52" i="4"/>
  <c r="P52" i="4" s="1"/>
  <c r="I48" i="4"/>
  <c r="I45" i="4"/>
  <c r="P45" i="4" s="1"/>
  <c r="I39" i="4"/>
  <c r="P39" i="4" s="1"/>
  <c r="I38" i="4"/>
  <c r="P38" i="4" s="1"/>
  <c r="I37" i="4"/>
  <c r="P37" i="4" s="1"/>
  <c r="I28" i="4"/>
  <c r="P28" i="4" s="1"/>
  <c r="I27" i="4"/>
  <c r="I26" i="4"/>
  <c r="P26" i="4" s="1"/>
  <c r="I25" i="4"/>
  <c r="I18" i="4"/>
  <c r="P18" i="4" s="1"/>
  <c r="I14" i="4"/>
  <c r="I12" i="4"/>
  <c r="P12" i="4" s="1"/>
  <c r="I8" i="4"/>
  <c r="P8" i="4" s="1"/>
  <c r="I2" i="4"/>
  <c r="H160" i="4"/>
  <c r="O160" i="4" s="1"/>
  <c r="H159" i="4"/>
  <c r="N159" i="4" s="1"/>
  <c r="H154" i="4"/>
  <c r="N154" i="4" s="1"/>
  <c r="H153" i="4"/>
  <c r="N153" i="4" s="1"/>
  <c r="H152" i="4"/>
  <c r="O152" i="4" s="1"/>
  <c r="H146" i="4"/>
  <c r="O146" i="4" s="1"/>
  <c r="H145" i="4"/>
  <c r="N145" i="4" s="1"/>
  <c r="H137" i="4"/>
  <c r="N137" i="4" s="1"/>
  <c r="H134" i="4"/>
  <c r="H133" i="4"/>
  <c r="H132" i="4"/>
  <c r="H127" i="4"/>
  <c r="H126" i="4"/>
  <c r="H125" i="4"/>
  <c r="H124" i="4"/>
  <c r="O124" i="4" s="1"/>
  <c r="H122" i="4"/>
  <c r="H120" i="4"/>
  <c r="N120" i="4" s="1"/>
  <c r="H114" i="4"/>
  <c r="H113" i="4"/>
  <c r="N113" i="4" s="1"/>
  <c r="H112" i="4"/>
  <c r="N112" i="4" s="1"/>
  <c r="H108" i="4"/>
  <c r="H105" i="4"/>
  <c r="O105" i="4" s="1"/>
  <c r="H102" i="4"/>
  <c r="H99" i="4"/>
  <c r="H97" i="4"/>
  <c r="O97" i="4" s="1"/>
  <c r="H88" i="4"/>
  <c r="H87" i="4"/>
  <c r="H86" i="4"/>
  <c r="N86" i="4" s="1"/>
  <c r="H85" i="4"/>
  <c r="O85" i="4" s="1"/>
  <c r="H84" i="4"/>
  <c r="O84" i="4" s="1"/>
  <c r="H74" i="4"/>
  <c r="H73" i="4"/>
  <c r="H72" i="4"/>
  <c r="H68" i="4"/>
  <c r="O68" i="4" s="1"/>
  <c r="H60" i="4"/>
  <c r="H59" i="4"/>
  <c r="H57" i="4"/>
  <c r="O57" i="4" s="1"/>
  <c r="H54" i="4"/>
  <c r="H52" i="4"/>
  <c r="O52" i="4" s="1"/>
  <c r="H48" i="4"/>
  <c r="H46" i="4"/>
  <c r="O46" i="4" s="1"/>
  <c r="H45" i="4"/>
  <c r="N45" i="4" s="1"/>
  <c r="H39" i="4"/>
  <c r="O39" i="4" s="1"/>
  <c r="H34" i="4"/>
  <c r="H33" i="4"/>
  <c r="H32" i="4"/>
  <c r="H27" i="4"/>
  <c r="O27" i="4" s="1"/>
  <c r="H26" i="4"/>
  <c r="H25" i="4"/>
  <c r="O25" i="4" s="1"/>
  <c r="H24" i="4"/>
  <c r="H22" i="4"/>
  <c r="H20" i="4"/>
  <c r="H19" i="4"/>
  <c r="H14" i="4"/>
  <c r="H12" i="4"/>
  <c r="N12" i="4" s="1"/>
  <c r="H8" i="4"/>
  <c r="N8" i="4" s="1"/>
  <c r="H5" i="4"/>
  <c r="O5" i="4" s="1"/>
  <c r="D161" i="4"/>
  <c r="D160" i="4"/>
  <c r="M160" i="4" s="1"/>
  <c r="D159" i="4"/>
  <c r="M159" i="4" s="1"/>
  <c r="D158" i="4"/>
  <c r="D157" i="4"/>
  <c r="D156" i="4"/>
  <c r="D155" i="4"/>
  <c r="M155" i="4" s="1"/>
  <c r="T155" i="4" s="1"/>
  <c r="D154" i="4"/>
  <c r="D153" i="4"/>
  <c r="D152" i="4"/>
  <c r="D151" i="4"/>
  <c r="M151" i="4" s="1"/>
  <c r="T151" i="4" s="1"/>
  <c r="D150" i="4"/>
  <c r="M150" i="4" s="1"/>
  <c r="T150" i="4" s="1"/>
  <c r="D149" i="4"/>
  <c r="M149" i="4" s="1"/>
  <c r="T149" i="4" s="1"/>
  <c r="D148" i="4"/>
  <c r="H148" i="4" s="1"/>
  <c r="D147" i="4"/>
  <c r="D146" i="4"/>
  <c r="M146" i="4" s="1"/>
  <c r="D145" i="4"/>
  <c r="M145" i="4" s="1"/>
  <c r="D144" i="4"/>
  <c r="I144" i="4" s="1"/>
  <c r="D143" i="4"/>
  <c r="M143" i="4" s="1"/>
  <c r="D142" i="4"/>
  <c r="H142" i="4" s="1"/>
  <c r="O142" i="4" s="1"/>
  <c r="D141" i="4"/>
  <c r="D140" i="4"/>
  <c r="H140" i="4" s="1"/>
  <c r="D139" i="4"/>
  <c r="M139" i="4" s="1"/>
  <c r="T139" i="4" s="1"/>
  <c r="D138" i="4"/>
  <c r="M138" i="4" s="1"/>
  <c r="T138" i="4" s="1"/>
  <c r="D137" i="4"/>
  <c r="M137" i="4" s="1"/>
  <c r="D136" i="4"/>
  <c r="D135" i="4"/>
  <c r="D134" i="4"/>
  <c r="I134" i="4" s="1"/>
  <c r="N134" i="4" s="1"/>
  <c r="D133" i="4"/>
  <c r="I133" i="4" s="1"/>
  <c r="D132" i="4"/>
  <c r="I132" i="4" s="1"/>
  <c r="P132" i="4" s="1"/>
  <c r="D131" i="4"/>
  <c r="M131" i="4" s="1"/>
  <c r="D130" i="4"/>
  <c r="M130" i="4" s="1"/>
  <c r="D129" i="4"/>
  <c r="M129" i="4" s="1"/>
  <c r="T129" i="4" s="1"/>
  <c r="D128" i="4"/>
  <c r="H128" i="4" s="1"/>
  <c r="O128" i="4" s="1"/>
  <c r="D127" i="4"/>
  <c r="D126" i="4"/>
  <c r="D125" i="4"/>
  <c r="D124" i="4"/>
  <c r="I124" i="4" s="1"/>
  <c r="N124" i="4" s="1"/>
  <c r="D123" i="4"/>
  <c r="M123" i="4" s="1"/>
  <c r="D122" i="4"/>
  <c r="D121" i="4"/>
  <c r="D120" i="4"/>
  <c r="M120" i="4" s="1"/>
  <c r="D119" i="4"/>
  <c r="I119" i="4" s="1"/>
  <c r="P119" i="4" s="1"/>
  <c r="D118" i="4"/>
  <c r="H118" i="4" s="1"/>
  <c r="D117" i="4"/>
  <c r="H117" i="4" s="1"/>
  <c r="D116" i="4"/>
  <c r="M116" i="4" s="1"/>
  <c r="T116" i="4" s="1"/>
  <c r="D115" i="4"/>
  <c r="H115" i="4" s="1"/>
  <c r="O115" i="4" s="1"/>
  <c r="D114" i="4"/>
  <c r="D113" i="4"/>
  <c r="D112" i="4"/>
  <c r="D111" i="4"/>
  <c r="M111" i="4" s="1"/>
  <c r="T111" i="4" s="1"/>
  <c r="D110" i="4"/>
  <c r="M110" i="4" s="1"/>
  <c r="D109" i="4"/>
  <c r="M109" i="4" s="1"/>
  <c r="D108" i="4"/>
  <c r="M108" i="4" s="1"/>
  <c r="D107" i="4"/>
  <c r="D106" i="4"/>
  <c r="I106" i="4" s="1"/>
  <c r="P106" i="4" s="1"/>
  <c r="D105" i="4"/>
  <c r="I105" i="4" s="1"/>
  <c r="P105" i="4" s="1"/>
  <c r="D104" i="4"/>
  <c r="H104" i="4" s="1"/>
  <c r="O104" i="4" s="1"/>
  <c r="D103" i="4"/>
  <c r="M103" i="4" s="1"/>
  <c r="T103" i="4" s="1"/>
  <c r="D102" i="4"/>
  <c r="D101" i="4"/>
  <c r="D100" i="4"/>
  <c r="H100" i="4" s="1"/>
  <c r="O100" i="4" s="1"/>
  <c r="D99" i="4"/>
  <c r="D98" i="4"/>
  <c r="H98" i="4" s="1"/>
  <c r="D97" i="4"/>
  <c r="D96" i="4"/>
  <c r="D95" i="4"/>
  <c r="I95" i="4" s="1"/>
  <c r="P95" i="4" s="1"/>
  <c r="D94" i="4"/>
  <c r="H94" i="4" s="1"/>
  <c r="O94" i="4" s="1"/>
  <c r="D93" i="4"/>
  <c r="H93" i="4" s="1"/>
  <c r="D92" i="4"/>
  <c r="H92" i="4" s="1"/>
  <c r="O92" i="4" s="1"/>
  <c r="D91" i="4"/>
  <c r="M91" i="4" s="1"/>
  <c r="D90" i="4"/>
  <c r="M90" i="4" s="1"/>
  <c r="T90" i="4" s="1"/>
  <c r="D89" i="4"/>
  <c r="M89" i="4" s="1"/>
  <c r="D88" i="4"/>
  <c r="I88" i="4" s="1"/>
  <c r="P88" i="4" s="1"/>
  <c r="D87" i="4"/>
  <c r="M87" i="4" s="1"/>
  <c r="D86" i="4"/>
  <c r="M86" i="4" s="1"/>
  <c r="D85" i="4"/>
  <c r="D84" i="4"/>
  <c r="M84" i="4" s="1"/>
  <c r="D83" i="4"/>
  <c r="M83" i="4" s="1"/>
  <c r="D82" i="4"/>
  <c r="D81" i="4"/>
  <c r="D80" i="4"/>
  <c r="I80" i="4" s="1"/>
  <c r="D79" i="4"/>
  <c r="H79" i="4" s="1"/>
  <c r="D78" i="4"/>
  <c r="H78" i="4" s="1"/>
  <c r="D77" i="4"/>
  <c r="H77" i="4" s="1"/>
  <c r="D76" i="4"/>
  <c r="D75" i="4"/>
  <c r="D74" i="4"/>
  <c r="M74" i="4" s="1"/>
  <c r="T74" i="4" s="1"/>
  <c r="D73" i="4"/>
  <c r="M73" i="4" s="1"/>
  <c r="T73" i="4" s="1"/>
  <c r="D72" i="4"/>
  <c r="M72" i="4" s="1"/>
  <c r="T72" i="4" s="1"/>
  <c r="D71" i="4"/>
  <c r="M71" i="4" s="1"/>
  <c r="T71" i="4" s="1"/>
  <c r="D70" i="4"/>
  <c r="M70" i="4" s="1"/>
  <c r="T70" i="4" s="1"/>
  <c r="D69" i="4"/>
  <c r="M69" i="4" s="1"/>
  <c r="T69" i="4" s="1"/>
  <c r="D68" i="4"/>
  <c r="I68" i="4" s="1"/>
  <c r="D67" i="4"/>
  <c r="H67" i="4" s="1"/>
  <c r="D66" i="4"/>
  <c r="H66" i="4" s="1"/>
  <c r="D65" i="4"/>
  <c r="H65" i="4" s="1"/>
  <c r="D64" i="4"/>
  <c r="M64" i="4" s="1"/>
  <c r="T64" i="4" s="1"/>
  <c r="D63" i="4"/>
  <c r="M63" i="4" s="1"/>
  <c r="D62" i="4"/>
  <c r="M62" i="4" s="1"/>
  <c r="T62" i="4" s="1"/>
  <c r="D61" i="4"/>
  <c r="D60" i="4"/>
  <c r="I60" i="4" s="1"/>
  <c r="D59" i="4"/>
  <c r="M59" i="4" s="1"/>
  <c r="T59" i="4" s="1"/>
  <c r="D58" i="4"/>
  <c r="D57" i="4"/>
  <c r="D56" i="4"/>
  <c r="H56" i="4" s="1"/>
  <c r="D55" i="4"/>
  <c r="D54" i="4"/>
  <c r="D53" i="4"/>
  <c r="H53" i="4" s="1"/>
  <c r="D52" i="4"/>
  <c r="D51" i="4"/>
  <c r="M51" i="4" s="1"/>
  <c r="D50" i="4"/>
  <c r="M50" i="4" s="1"/>
  <c r="D49" i="4"/>
  <c r="M49" i="4" s="1"/>
  <c r="T49" i="4" s="1"/>
  <c r="D48" i="4"/>
  <c r="D47" i="4"/>
  <c r="D46" i="4"/>
  <c r="M46" i="4" s="1"/>
  <c r="T46" i="4" s="1"/>
  <c r="D45" i="4"/>
  <c r="M45" i="4" s="1"/>
  <c r="T45" i="4" s="1"/>
  <c r="D44" i="4"/>
  <c r="I44" i="4" s="1"/>
  <c r="P44" i="4" s="1"/>
  <c r="D43" i="4"/>
  <c r="M43" i="4" s="1"/>
  <c r="T43" i="4" s="1"/>
  <c r="D42" i="4"/>
  <c r="H42" i="4" s="1"/>
  <c r="D41" i="4"/>
  <c r="D40" i="4"/>
  <c r="H40" i="4" s="1"/>
  <c r="O40" i="4" s="1"/>
  <c r="D39" i="4"/>
  <c r="D38" i="4"/>
  <c r="M38" i="4" s="1"/>
  <c r="T38" i="4" s="1"/>
  <c r="D37" i="4"/>
  <c r="M37" i="4" s="1"/>
  <c r="T37" i="4" s="1"/>
  <c r="D36" i="4"/>
  <c r="M36" i="4" s="1"/>
  <c r="T36" i="4" s="1"/>
  <c r="D35" i="4"/>
  <c r="I35" i="4" s="1"/>
  <c r="P35" i="4" s="1"/>
  <c r="D34" i="4"/>
  <c r="I34" i="4" s="1"/>
  <c r="P34" i="4" s="1"/>
  <c r="D33" i="4"/>
  <c r="I33" i="4" s="1"/>
  <c r="N33" i="4" s="1"/>
  <c r="D32" i="4"/>
  <c r="I32" i="4" s="1"/>
  <c r="P32" i="4" s="1"/>
  <c r="D31" i="4"/>
  <c r="M31" i="4" s="1"/>
  <c r="D30" i="4"/>
  <c r="M30" i="4" s="1"/>
  <c r="T30" i="4" s="1"/>
  <c r="D29" i="4"/>
  <c r="M29" i="4" s="1"/>
  <c r="T29" i="4" s="1"/>
  <c r="D28" i="4"/>
  <c r="H28" i="4" s="1"/>
  <c r="D27" i="4"/>
  <c r="D26" i="4"/>
  <c r="D25" i="4"/>
  <c r="D24" i="4"/>
  <c r="I24" i="4" s="1"/>
  <c r="P24" i="4" s="1"/>
  <c r="D23" i="4"/>
  <c r="M23" i="4" s="1"/>
  <c r="T23" i="4" s="1"/>
  <c r="D22" i="4"/>
  <c r="D21" i="4"/>
  <c r="D20" i="4"/>
  <c r="M20" i="4" s="1"/>
  <c r="T20" i="4" s="1"/>
  <c r="D19" i="4"/>
  <c r="I19" i="4" s="1"/>
  <c r="P19" i="4" s="1"/>
  <c r="D18" i="4"/>
  <c r="H18" i="4" s="1"/>
  <c r="D17" i="4"/>
  <c r="D16" i="4"/>
  <c r="M16" i="4" s="1"/>
  <c r="T16" i="4" s="1"/>
  <c r="D15" i="4"/>
  <c r="M15" i="4" s="1"/>
  <c r="T15" i="4" s="1"/>
  <c r="D14" i="4"/>
  <c r="D13" i="4"/>
  <c r="M13" i="4" s="1"/>
  <c r="T13" i="4" s="1"/>
  <c r="D12" i="4"/>
  <c r="D11" i="4"/>
  <c r="M11" i="4" s="1"/>
  <c r="T11" i="4" s="1"/>
  <c r="D10" i="4"/>
  <c r="M10" i="4" s="1"/>
  <c r="T10" i="4" s="1"/>
  <c r="D9" i="4"/>
  <c r="M9" i="4" s="1"/>
  <c r="T9" i="4" s="1"/>
  <c r="D8" i="4"/>
  <c r="M8" i="4" s="1"/>
  <c r="D7" i="4"/>
  <c r="D6" i="4"/>
  <c r="I6" i="4" s="1"/>
  <c r="P6" i="4" s="1"/>
  <c r="D5" i="4"/>
  <c r="I5" i="4" s="1"/>
  <c r="P5" i="4" s="1"/>
  <c r="D4" i="4"/>
  <c r="H4" i="4" s="1"/>
  <c r="O4" i="4" s="1"/>
  <c r="D3" i="4"/>
  <c r="M3" i="4" s="1"/>
  <c r="D2" i="4"/>
  <c r="M2" i="4" s="1"/>
  <c r="M129" i="3"/>
  <c r="M125" i="3"/>
  <c r="T125" i="3" s="1"/>
  <c r="M124" i="3"/>
  <c r="M123" i="3"/>
  <c r="M122" i="3"/>
  <c r="M121" i="3"/>
  <c r="M115" i="3"/>
  <c r="T115" i="3" s="1"/>
  <c r="M114" i="3"/>
  <c r="M113" i="3"/>
  <c r="T113" i="3" s="1"/>
  <c r="M112" i="3"/>
  <c r="T112" i="3" s="1"/>
  <c r="M104" i="3"/>
  <c r="M103" i="3"/>
  <c r="M102" i="3"/>
  <c r="M101" i="3"/>
  <c r="M95" i="3"/>
  <c r="M93" i="3"/>
  <c r="M92" i="3"/>
  <c r="M91" i="3"/>
  <c r="M90" i="3"/>
  <c r="M89" i="3"/>
  <c r="M88" i="3"/>
  <c r="M83" i="3"/>
  <c r="T83" i="3" s="1"/>
  <c r="M82" i="3"/>
  <c r="M81" i="3"/>
  <c r="M75" i="3"/>
  <c r="M73" i="3"/>
  <c r="T73" i="3" s="1"/>
  <c r="M67" i="3"/>
  <c r="T67" i="3" s="1"/>
  <c r="M65" i="3"/>
  <c r="T65" i="3" s="1"/>
  <c r="M64" i="3"/>
  <c r="M63" i="3"/>
  <c r="T63" i="3" s="1"/>
  <c r="M62" i="3"/>
  <c r="M61" i="3"/>
  <c r="M55" i="3"/>
  <c r="M53" i="3"/>
  <c r="M52" i="3"/>
  <c r="M50" i="3"/>
  <c r="M44" i="3"/>
  <c r="M43" i="3"/>
  <c r="M42" i="3"/>
  <c r="M41" i="3"/>
  <c r="M35" i="3"/>
  <c r="M33" i="3"/>
  <c r="T33" i="3" s="1"/>
  <c r="M32" i="3"/>
  <c r="M30" i="3"/>
  <c r="T30" i="3" s="1"/>
  <c r="M29" i="3"/>
  <c r="M28" i="3"/>
  <c r="T28" i="3" s="1"/>
  <c r="M27" i="3"/>
  <c r="T27" i="3" s="1"/>
  <c r="M26" i="3"/>
  <c r="M24" i="3"/>
  <c r="M23" i="3"/>
  <c r="M22" i="3"/>
  <c r="M21" i="3"/>
  <c r="M15" i="3"/>
  <c r="T15" i="3" s="1"/>
  <c r="M13" i="3"/>
  <c r="M12" i="3"/>
  <c r="M9" i="3"/>
  <c r="M4" i="3"/>
  <c r="M3" i="3"/>
  <c r="M2" i="3"/>
  <c r="I129" i="3"/>
  <c r="P129" i="3" s="1"/>
  <c r="I128" i="3"/>
  <c r="P128" i="3" s="1"/>
  <c r="I123" i="3"/>
  <c r="P123" i="3" s="1"/>
  <c r="I122" i="3"/>
  <c r="I121" i="3"/>
  <c r="N121" i="3" s="1"/>
  <c r="I115" i="3"/>
  <c r="P115" i="3" s="1"/>
  <c r="I113" i="3"/>
  <c r="I112" i="3"/>
  <c r="I111" i="3"/>
  <c r="P111" i="3" s="1"/>
  <c r="I110" i="3"/>
  <c r="P110" i="3" s="1"/>
  <c r="I104" i="3"/>
  <c r="P104" i="3" s="1"/>
  <c r="I103" i="3"/>
  <c r="N103" i="3" s="1"/>
  <c r="I102" i="3"/>
  <c r="P102" i="3" s="1"/>
  <c r="I101" i="3"/>
  <c r="I95" i="3"/>
  <c r="P95" i="3" s="1"/>
  <c r="I93" i="3"/>
  <c r="P93" i="3" s="1"/>
  <c r="I92" i="3"/>
  <c r="I91" i="3"/>
  <c r="I84" i="3"/>
  <c r="P84" i="3" s="1"/>
  <c r="I83" i="3"/>
  <c r="I82" i="3"/>
  <c r="I81" i="3"/>
  <c r="P81" i="3" s="1"/>
  <c r="I77" i="3"/>
  <c r="I75" i="3"/>
  <c r="I73" i="3"/>
  <c r="I72" i="3"/>
  <c r="P72" i="3" s="1"/>
  <c r="I71" i="3"/>
  <c r="P71" i="3" s="1"/>
  <c r="I70" i="3"/>
  <c r="P70" i="3" s="1"/>
  <c r="I69" i="3"/>
  <c r="I68" i="3"/>
  <c r="I65" i="3"/>
  <c r="I62" i="3"/>
  <c r="I61" i="3"/>
  <c r="P61" i="3" s="1"/>
  <c r="I55" i="3"/>
  <c r="I53" i="3"/>
  <c r="I49" i="3"/>
  <c r="I44" i="3"/>
  <c r="I43" i="3"/>
  <c r="I42" i="3"/>
  <c r="I41" i="3"/>
  <c r="N41" i="3" s="1"/>
  <c r="I38" i="3"/>
  <c r="I36" i="3"/>
  <c r="I35" i="3"/>
  <c r="I33" i="3"/>
  <c r="I32" i="3"/>
  <c r="P32" i="3" s="1"/>
  <c r="I31" i="3"/>
  <c r="I23" i="3"/>
  <c r="I22" i="3"/>
  <c r="I21" i="3"/>
  <c r="I15" i="3"/>
  <c r="I13" i="3"/>
  <c r="I12" i="3"/>
  <c r="I11" i="3"/>
  <c r="P11" i="3" s="1"/>
  <c r="I10" i="3"/>
  <c r="P10" i="3" s="1"/>
  <c r="I9" i="3"/>
  <c r="P9" i="3" s="1"/>
  <c r="I8" i="3"/>
  <c r="P8" i="3" s="1"/>
  <c r="I4" i="3"/>
  <c r="P4" i="3" s="1"/>
  <c r="I3" i="3"/>
  <c r="I2" i="3"/>
  <c r="H124" i="3"/>
  <c r="H123" i="3"/>
  <c r="N123" i="3" s="1"/>
  <c r="H122" i="3"/>
  <c r="H121" i="3"/>
  <c r="H112" i="3"/>
  <c r="N112" i="3" s="1"/>
  <c r="H111" i="3"/>
  <c r="H110" i="3"/>
  <c r="H109" i="3"/>
  <c r="H108" i="3"/>
  <c r="O108" i="3" s="1"/>
  <c r="H106" i="3"/>
  <c r="H105" i="3"/>
  <c r="H103" i="3"/>
  <c r="H102" i="3"/>
  <c r="H101" i="3"/>
  <c r="H99" i="3"/>
  <c r="H92" i="3"/>
  <c r="H91" i="3"/>
  <c r="O91" i="3" s="1"/>
  <c r="H86" i="3"/>
  <c r="O86" i="3" s="1"/>
  <c r="H84" i="3"/>
  <c r="O84" i="3" s="1"/>
  <c r="H83" i="3"/>
  <c r="H82" i="3"/>
  <c r="H81" i="3"/>
  <c r="N81" i="3" s="1"/>
  <c r="H72" i="3"/>
  <c r="H71" i="3"/>
  <c r="O71" i="3" s="1"/>
  <c r="H70" i="3"/>
  <c r="H69" i="3"/>
  <c r="H66" i="3"/>
  <c r="O66" i="3" s="1"/>
  <c r="H65" i="3"/>
  <c r="H64" i="3"/>
  <c r="H63" i="3"/>
  <c r="O63" i="3" s="1"/>
  <c r="H62" i="3"/>
  <c r="N62" i="3" s="1"/>
  <c r="H61" i="3"/>
  <c r="H58" i="3"/>
  <c r="H48" i="3"/>
  <c r="O48" i="3" s="1"/>
  <c r="H46" i="3"/>
  <c r="O46" i="3" s="1"/>
  <c r="H45" i="3"/>
  <c r="H44" i="3"/>
  <c r="O44" i="3" s="1"/>
  <c r="H43" i="3"/>
  <c r="O43" i="3" s="1"/>
  <c r="H42" i="3"/>
  <c r="H41" i="3"/>
  <c r="H40" i="3"/>
  <c r="H39" i="3"/>
  <c r="H32" i="3"/>
  <c r="H31" i="3"/>
  <c r="H30" i="3"/>
  <c r="H24" i="3"/>
  <c r="H23" i="3"/>
  <c r="H22" i="3"/>
  <c r="O22" i="3" s="1"/>
  <c r="H21" i="3"/>
  <c r="O21" i="3" s="1"/>
  <c r="H12" i="3"/>
  <c r="N12" i="3" s="1"/>
  <c r="H11" i="3"/>
  <c r="O11" i="3" s="1"/>
  <c r="H10" i="3"/>
  <c r="H9" i="3"/>
  <c r="H8" i="3"/>
  <c r="H7" i="3"/>
  <c r="H3" i="3"/>
  <c r="H2" i="3"/>
  <c r="D129" i="3"/>
  <c r="H129" i="3" s="1"/>
  <c r="O129" i="3" s="1"/>
  <c r="D128" i="3"/>
  <c r="H128" i="3" s="1"/>
  <c r="O128" i="3" s="1"/>
  <c r="D127" i="3"/>
  <c r="M127" i="3" s="1"/>
  <c r="T127" i="3" s="1"/>
  <c r="D126" i="3"/>
  <c r="M126" i="3" s="1"/>
  <c r="T126" i="3" s="1"/>
  <c r="D125" i="3"/>
  <c r="D124" i="3"/>
  <c r="I124" i="3" s="1"/>
  <c r="P124" i="3" s="1"/>
  <c r="D123" i="3"/>
  <c r="D122" i="3"/>
  <c r="D121" i="3"/>
  <c r="D120" i="3"/>
  <c r="I120" i="3" s="1"/>
  <c r="P120" i="3" s="1"/>
  <c r="D119" i="3"/>
  <c r="D118" i="3"/>
  <c r="D117" i="3"/>
  <c r="D116" i="3"/>
  <c r="I116" i="3" s="1"/>
  <c r="P116" i="3" s="1"/>
  <c r="D115" i="3"/>
  <c r="H115" i="3" s="1"/>
  <c r="D114" i="3"/>
  <c r="D113" i="3"/>
  <c r="H113" i="3" s="1"/>
  <c r="D112" i="3"/>
  <c r="D111" i="3"/>
  <c r="M111" i="3" s="1"/>
  <c r="T111" i="3" s="1"/>
  <c r="D110" i="3"/>
  <c r="M110" i="3" s="1"/>
  <c r="T110" i="3" s="1"/>
  <c r="D109" i="3"/>
  <c r="M109" i="3" s="1"/>
  <c r="T109" i="3" s="1"/>
  <c r="D108" i="3"/>
  <c r="M108" i="3" s="1"/>
  <c r="T108" i="3" s="1"/>
  <c r="D107" i="3"/>
  <c r="D106" i="3"/>
  <c r="I106" i="3" s="1"/>
  <c r="D105" i="3"/>
  <c r="D104" i="3"/>
  <c r="H104" i="3" s="1"/>
  <c r="D103" i="3"/>
  <c r="D102" i="3"/>
  <c r="D101" i="3"/>
  <c r="D100" i="3"/>
  <c r="H100" i="3" s="1"/>
  <c r="D99" i="3"/>
  <c r="D98" i="3"/>
  <c r="D97" i="3"/>
  <c r="D96" i="3"/>
  <c r="D95" i="3"/>
  <c r="H95" i="3" s="1"/>
  <c r="D94" i="3"/>
  <c r="D93" i="3"/>
  <c r="H93" i="3" s="1"/>
  <c r="D92" i="3"/>
  <c r="D91" i="3"/>
  <c r="D90" i="3"/>
  <c r="D89" i="3"/>
  <c r="I89" i="3" s="1"/>
  <c r="D88" i="3"/>
  <c r="I88" i="3" s="1"/>
  <c r="D87" i="3"/>
  <c r="D86" i="3"/>
  <c r="D85" i="3"/>
  <c r="D84" i="3"/>
  <c r="M84" i="3" s="1"/>
  <c r="D83" i="3"/>
  <c r="D82" i="3"/>
  <c r="D81" i="3"/>
  <c r="D80" i="3"/>
  <c r="D79" i="3"/>
  <c r="D78" i="3"/>
  <c r="D77" i="3"/>
  <c r="M77" i="3" s="1"/>
  <c r="T77" i="3" s="1"/>
  <c r="D76" i="3"/>
  <c r="D75" i="3"/>
  <c r="H75" i="3" s="1"/>
  <c r="O75" i="3" s="1"/>
  <c r="D74" i="3"/>
  <c r="D73" i="3"/>
  <c r="H73" i="3" s="1"/>
  <c r="D72" i="3"/>
  <c r="M72" i="3" s="1"/>
  <c r="D71" i="3"/>
  <c r="M71" i="3" s="1"/>
  <c r="D70" i="3"/>
  <c r="M70" i="3" s="1"/>
  <c r="D69" i="3"/>
  <c r="M69" i="3" s="1"/>
  <c r="D68" i="3"/>
  <c r="H68" i="3" s="1"/>
  <c r="D67" i="3"/>
  <c r="D66" i="3"/>
  <c r="I66" i="3" s="1"/>
  <c r="D65" i="3"/>
  <c r="D64" i="3"/>
  <c r="I64" i="3" s="1"/>
  <c r="D63" i="3"/>
  <c r="I63" i="3" s="1"/>
  <c r="P63" i="3" s="1"/>
  <c r="D62" i="3"/>
  <c r="D61" i="3"/>
  <c r="D60" i="3"/>
  <c r="D59" i="3"/>
  <c r="D58" i="3"/>
  <c r="D57" i="3"/>
  <c r="D56" i="3"/>
  <c r="M56" i="3" s="1"/>
  <c r="D55" i="3"/>
  <c r="H55" i="3" s="1"/>
  <c r="D54" i="3"/>
  <c r="D53" i="3"/>
  <c r="H53" i="3" s="1"/>
  <c r="D52" i="3"/>
  <c r="I52" i="3" s="1"/>
  <c r="P52" i="3" s="1"/>
  <c r="D51" i="3"/>
  <c r="M51" i="3" s="1"/>
  <c r="D50" i="3"/>
  <c r="I50" i="3" s="1"/>
  <c r="D49" i="3"/>
  <c r="M49" i="3" s="1"/>
  <c r="D48" i="3"/>
  <c r="M48" i="3" s="1"/>
  <c r="T48" i="3" s="1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H35" i="3" s="1"/>
  <c r="D34" i="3"/>
  <c r="D33" i="3"/>
  <c r="H33" i="3" s="1"/>
  <c r="D32" i="3"/>
  <c r="D31" i="3"/>
  <c r="M31" i="3" s="1"/>
  <c r="D30" i="3"/>
  <c r="I30" i="3" s="1"/>
  <c r="P30" i="3" s="1"/>
  <c r="D29" i="3"/>
  <c r="H29" i="3" s="1"/>
  <c r="D28" i="3"/>
  <c r="D27" i="3"/>
  <c r="D26" i="3"/>
  <c r="D25" i="3"/>
  <c r="D24" i="3"/>
  <c r="I24" i="3" s="1"/>
  <c r="D23" i="3"/>
  <c r="D22" i="3"/>
  <c r="D21" i="3"/>
  <c r="D20" i="3"/>
  <c r="D19" i="3"/>
  <c r="D18" i="3"/>
  <c r="D17" i="3"/>
  <c r="D16" i="3"/>
  <c r="H16" i="3" s="1"/>
  <c r="D15" i="3"/>
  <c r="H15" i="3" s="1"/>
  <c r="O15" i="3" s="1"/>
  <c r="D14" i="3"/>
  <c r="D13" i="3"/>
  <c r="H13" i="3" s="1"/>
  <c r="D12" i="3"/>
  <c r="D11" i="3"/>
  <c r="M11" i="3" s="1"/>
  <c r="D10" i="3"/>
  <c r="M10" i="3" s="1"/>
  <c r="D9" i="3"/>
  <c r="D8" i="3"/>
  <c r="M8" i="3" s="1"/>
  <c r="D7" i="3"/>
  <c r="I7" i="3" s="1"/>
  <c r="N7" i="3" s="1"/>
  <c r="D6" i="3"/>
  <c r="I6" i="3" s="1"/>
  <c r="D5" i="3"/>
  <c r="D4" i="3"/>
  <c r="H4" i="3" s="1"/>
  <c r="D3" i="3"/>
  <c r="D2" i="3"/>
  <c r="M121" i="2"/>
  <c r="M120" i="2"/>
  <c r="T120" i="2" s="1"/>
  <c r="M119" i="2"/>
  <c r="T119" i="2" s="1"/>
  <c r="M118" i="2"/>
  <c r="T118" i="2" s="1"/>
  <c r="M117" i="2"/>
  <c r="T117" i="2" s="1"/>
  <c r="M113" i="2"/>
  <c r="T113" i="2" s="1"/>
  <c r="M109" i="2"/>
  <c r="T109" i="2" s="1"/>
  <c r="M107" i="2"/>
  <c r="T107" i="2" s="1"/>
  <c r="M105" i="2"/>
  <c r="M99" i="2"/>
  <c r="M97" i="2"/>
  <c r="M93" i="2"/>
  <c r="M91" i="2"/>
  <c r="T91" i="2" s="1"/>
  <c r="M87" i="2"/>
  <c r="T87" i="2" s="1"/>
  <c r="M86" i="2"/>
  <c r="T86" i="2" s="1"/>
  <c r="M85" i="2"/>
  <c r="T85" i="2" s="1"/>
  <c r="M79" i="2"/>
  <c r="T79" i="2" s="1"/>
  <c r="M68" i="2"/>
  <c r="M67" i="2"/>
  <c r="M65" i="2"/>
  <c r="M59" i="2"/>
  <c r="M57" i="2"/>
  <c r="T57" i="2" s="1"/>
  <c r="M53" i="2"/>
  <c r="T53" i="2" s="1"/>
  <c r="M50" i="2"/>
  <c r="M48" i="2"/>
  <c r="M47" i="2"/>
  <c r="M46" i="2"/>
  <c r="M45" i="2"/>
  <c r="M39" i="2"/>
  <c r="T39" i="2" s="1"/>
  <c r="M33" i="2"/>
  <c r="M29" i="2"/>
  <c r="M28" i="2"/>
  <c r="T28" i="2" s="1"/>
  <c r="M27" i="2"/>
  <c r="M26" i="2"/>
  <c r="T26" i="2" s="1"/>
  <c r="M25" i="2"/>
  <c r="T25" i="2" s="1"/>
  <c r="M20" i="2"/>
  <c r="T20" i="2" s="1"/>
  <c r="M19" i="2"/>
  <c r="T19" i="2" s="1"/>
  <c r="M18" i="2"/>
  <c r="T18" i="2" s="1"/>
  <c r="M15" i="2"/>
  <c r="T15" i="2" s="1"/>
  <c r="M13" i="2"/>
  <c r="M7" i="2"/>
  <c r="T7" i="2" s="1"/>
  <c r="M6" i="2"/>
  <c r="T6" i="2" s="1"/>
  <c r="M5" i="2"/>
  <c r="I122" i="2"/>
  <c r="I119" i="2"/>
  <c r="I118" i="2"/>
  <c r="P118" i="2" s="1"/>
  <c r="I116" i="2"/>
  <c r="I115" i="2"/>
  <c r="I113" i="2"/>
  <c r="P113" i="2" s="1"/>
  <c r="I111" i="2"/>
  <c r="I110" i="2"/>
  <c r="I107" i="2"/>
  <c r="I102" i="2"/>
  <c r="P102" i="2" s="1"/>
  <c r="I100" i="2"/>
  <c r="P100" i="2" s="1"/>
  <c r="I99" i="2"/>
  <c r="I93" i="2"/>
  <c r="N93" i="2" s="1"/>
  <c r="I89" i="2"/>
  <c r="I88" i="2"/>
  <c r="I87" i="2"/>
  <c r="P87" i="2" s="1"/>
  <c r="I86" i="2"/>
  <c r="P86" i="2" s="1"/>
  <c r="I79" i="2"/>
  <c r="I76" i="2"/>
  <c r="I73" i="2"/>
  <c r="I68" i="2"/>
  <c r="I67" i="2"/>
  <c r="P67" i="2" s="1"/>
  <c r="I62" i="2"/>
  <c r="N62" i="2" s="1"/>
  <c r="I59" i="2"/>
  <c r="P59" i="2" s="1"/>
  <c r="I54" i="2"/>
  <c r="P54" i="2" s="1"/>
  <c r="I53" i="2"/>
  <c r="P53" i="2" s="1"/>
  <c r="I52" i="2"/>
  <c r="P52" i="2" s="1"/>
  <c r="I50" i="2"/>
  <c r="P50" i="2" s="1"/>
  <c r="I47" i="2"/>
  <c r="I42" i="2"/>
  <c r="P42" i="2" s="1"/>
  <c r="I39" i="2"/>
  <c r="P39" i="2" s="1"/>
  <c r="I36" i="2"/>
  <c r="I35" i="2"/>
  <c r="P35" i="2" s="1"/>
  <c r="I27" i="2"/>
  <c r="I26" i="2"/>
  <c r="P26" i="2" s="1"/>
  <c r="I22" i="2"/>
  <c r="I20" i="2"/>
  <c r="I19" i="2"/>
  <c r="I18" i="2"/>
  <c r="P18" i="2" s="1"/>
  <c r="I16" i="2"/>
  <c r="I15" i="2"/>
  <c r="I14" i="2"/>
  <c r="P14" i="2" s="1"/>
  <c r="I13" i="2"/>
  <c r="P13" i="2" s="1"/>
  <c r="I7" i="2"/>
  <c r="I6" i="2"/>
  <c r="P6" i="2" s="1"/>
  <c r="I2" i="2"/>
  <c r="H122" i="2"/>
  <c r="O122" i="2" s="1"/>
  <c r="H121" i="2"/>
  <c r="H119" i="2"/>
  <c r="H116" i="2"/>
  <c r="H113" i="2"/>
  <c r="H107" i="2"/>
  <c r="O107" i="2" s="1"/>
  <c r="H100" i="2"/>
  <c r="H99" i="2"/>
  <c r="H93" i="2"/>
  <c r="H90" i="2"/>
  <c r="O90" i="2" s="1"/>
  <c r="H87" i="2"/>
  <c r="O87" i="2" s="1"/>
  <c r="H83" i="2"/>
  <c r="O83" i="2" s="1"/>
  <c r="H82" i="2"/>
  <c r="O82" i="2" s="1"/>
  <c r="H81" i="2"/>
  <c r="H79" i="2"/>
  <c r="H73" i="2"/>
  <c r="O73" i="2" s="1"/>
  <c r="H72" i="2"/>
  <c r="O72" i="2" s="1"/>
  <c r="H67" i="2"/>
  <c r="H63" i="2"/>
  <c r="H62" i="2"/>
  <c r="O62" i="2" s="1"/>
  <c r="H59" i="2"/>
  <c r="H56" i="2"/>
  <c r="O56" i="2" s="1"/>
  <c r="H50" i="2"/>
  <c r="H48" i="2"/>
  <c r="N48" i="2" s="1"/>
  <c r="H47" i="2"/>
  <c r="O47" i="2" s="1"/>
  <c r="H43" i="2"/>
  <c r="H42" i="2"/>
  <c r="H39" i="2"/>
  <c r="H35" i="2"/>
  <c r="O35" i="2" s="1"/>
  <c r="H33" i="2"/>
  <c r="O33" i="2" s="1"/>
  <c r="H27" i="2"/>
  <c r="N27" i="2" s="1"/>
  <c r="H23" i="2"/>
  <c r="H22" i="2"/>
  <c r="H20" i="2"/>
  <c r="H19" i="2"/>
  <c r="H16" i="2"/>
  <c r="H13" i="2"/>
  <c r="H11" i="2"/>
  <c r="H10" i="2"/>
  <c r="H7" i="2"/>
  <c r="N7" i="2" s="1"/>
  <c r="D122" i="2"/>
  <c r="M122" i="2" s="1"/>
  <c r="D121" i="2"/>
  <c r="I121" i="2" s="1"/>
  <c r="P121" i="2" s="1"/>
  <c r="D120" i="2"/>
  <c r="H120" i="2" s="1"/>
  <c r="O120" i="2" s="1"/>
  <c r="D119" i="2"/>
  <c r="D118" i="2"/>
  <c r="H118" i="2" s="1"/>
  <c r="D117" i="2"/>
  <c r="D116" i="2"/>
  <c r="M116" i="2" s="1"/>
  <c r="D115" i="2"/>
  <c r="H115" i="2" s="1"/>
  <c r="N115" i="2" s="1"/>
  <c r="D114" i="2"/>
  <c r="M114" i="2" s="1"/>
  <c r="T114" i="2" s="1"/>
  <c r="D113" i="2"/>
  <c r="D112" i="2"/>
  <c r="D111" i="2"/>
  <c r="M111" i="2" s="1"/>
  <c r="D110" i="2"/>
  <c r="M110" i="2" s="1"/>
  <c r="T110" i="2" s="1"/>
  <c r="D109" i="2"/>
  <c r="I109" i="2" s="1"/>
  <c r="D108" i="2"/>
  <c r="I108" i="2" s="1"/>
  <c r="D107" i="2"/>
  <c r="D106" i="2"/>
  <c r="H106" i="2" s="1"/>
  <c r="D105" i="2"/>
  <c r="I105" i="2" s="1"/>
  <c r="D104" i="2"/>
  <c r="D103" i="2"/>
  <c r="D102" i="2"/>
  <c r="M102" i="2" s="1"/>
  <c r="D101" i="2"/>
  <c r="H101" i="2" s="1"/>
  <c r="D100" i="2"/>
  <c r="M100" i="2" s="1"/>
  <c r="T100" i="2" s="1"/>
  <c r="D99" i="2"/>
  <c r="D98" i="2"/>
  <c r="D97" i="2"/>
  <c r="I97" i="2" s="1"/>
  <c r="D96" i="2"/>
  <c r="D95" i="2"/>
  <c r="M95" i="2" s="1"/>
  <c r="T95" i="2" s="1"/>
  <c r="D94" i="2"/>
  <c r="D93" i="2"/>
  <c r="D92" i="2"/>
  <c r="D91" i="2"/>
  <c r="D90" i="2"/>
  <c r="I90" i="2" s="1"/>
  <c r="P90" i="2" s="1"/>
  <c r="D89" i="2"/>
  <c r="H89" i="2" s="1"/>
  <c r="D88" i="2"/>
  <c r="M88" i="2" s="1"/>
  <c r="D87" i="2"/>
  <c r="D86" i="2"/>
  <c r="H86" i="2" s="1"/>
  <c r="O86" i="2" s="1"/>
  <c r="D85" i="2"/>
  <c r="I85" i="2" s="1"/>
  <c r="D84" i="2"/>
  <c r="D83" i="2"/>
  <c r="D82" i="2"/>
  <c r="M82" i="2" s="1"/>
  <c r="D81" i="2"/>
  <c r="I81" i="2" s="1"/>
  <c r="P81" i="2" s="1"/>
  <c r="D80" i="2"/>
  <c r="I80" i="2" s="1"/>
  <c r="P80" i="2" s="1"/>
  <c r="D79" i="2"/>
  <c r="D78" i="2"/>
  <c r="D77" i="2"/>
  <c r="D76" i="2"/>
  <c r="D75" i="2"/>
  <c r="M75" i="2" s="1"/>
  <c r="T75" i="2" s="1"/>
  <c r="D74" i="2"/>
  <c r="D73" i="2"/>
  <c r="M73" i="2" s="1"/>
  <c r="D72" i="2"/>
  <c r="D71" i="2"/>
  <c r="D70" i="2"/>
  <c r="D69" i="2"/>
  <c r="D68" i="2"/>
  <c r="H68" i="2" s="1"/>
  <c r="D67" i="2"/>
  <c r="D66" i="2"/>
  <c r="H66" i="2" s="1"/>
  <c r="D65" i="2"/>
  <c r="I65" i="2" s="1"/>
  <c r="D64" i="2"/>
  <c r="D63" i="2"/>
  <c r="D62" i="2"/>
  <c r="M62" i="2" s="1"/>
  <c r="T62" i="2" s="1"/>
  <c r="D61" i="2"/>
  <c r="D60" i="2"/>
  <c r="M60" i="2" s="1"/>
  <c r="T60" i="2" s="1"/>
  <c r="D59" i="2"/>
  <c r="D58" i="2"/>
  <c r="M58" i="2" s="1"/>
  <c r="T58" i="2" s="1"/>
  <c r="D57" i="2"/>
  <c r="I57" i="2" s="1"/>
  <c r="D56" i="2"/>
  <c r="D55" i="2"/>
  <c r="I55" i="2" s="1"/>
  <c r="P55" i="2" s="1"/>
  <c r="D54" i="2"/>
  <c r="H54" i="2" s="1"/>
  <c r="D53" i="2"/>
  <c r="H53" i="2" s="1"/>
  <c r="D52" i="2"/>
  <c r="D51" i="2"/>
  <c r="M51" i="2" s="1"/>
  <c r="T51" i="2" s="1"/>
  <c r="D50" i="2"/>
  <c r="D49" i="2"/>
  <c r="M49" i="2" s="1"/>
  <c r="T49" i="2" s="1"/>
  <c r="D48" i="2"/>
  <c r="I48" i="2" s="1"/>
  <c r="P48" i="2" s="1"/>
  <c r="D47" i="2"/>
  <c r="D46" i="2"/>
  <c r="H46" i="2" s="1"/>
  <c r="D45" i="2"/>
  <c r="I45" i="2" s="1"/>
  <c r="D44" i="2"/>
  <c r="D43" i="2"/>
  <c r="D42" i="2"/>
  <c r="M42" i="2" s="1"/>
  <c r="D41" i="2"/>
  <c r="D40" i="2"/>
  <c r="H40" i="2" s="1"/>
  <c r="O40" i="2" s="1"/>
  <c r="D39" i="2"/>
  <c r="D38" i="2"/>
  <c r="D37" i="2"/>
  <c r="D36" i="2"/>
  <c r="M36" i="2" s="1"/>
  <c r="T36" i="2" s="1"/>
  <c r="D35" i="2"/>
  <c r="M35" i="2" s="1"/>
  <c r="D34" i="2"/>
  <c r="D33" i="2"/>
  <c r="I33" i="2" s="1"/>
  <c r="N33" i="2" s="1"/>
  <c r="D32" i="2"/>
  <c r="D31" i="2"/>
  <c r="D30" i="2"/>
  <c r="D29" i="2"/>
  <c r="D28" i="2"/>
  <c r="H28" i="2" s="1"/>
  <c r="D27" i="2"/>
  <c r="D26" i="2"/>
  <c r="H26" i="2" s="1"/>
  <c r="O26" i="2" s="1"/>
  <c r="D25" i="2"/>
  <c r="I25" i="2" s="1"/>
  <c r="P25" i="2" s="1"/>
  <c r="D24" i="2"/>
  <c r="D23" i="2"/>
  <c r="D22" i="2"/>
  <c r="M22" i="2" s="1"/>
  <c r="T22" i="2" s="1"/>
  <c r="D21" i="2"/>
  <c r="I21" i="2" s="1"/>
  <c r="P21" i="2" s="1"/>
  <c r="D20" i="2"/>
  <c r="D19" i="2"/>
  <c r="D18" i="2"/>
  <c r="H18" i="2" s="1"/>
  <c r="D17" i="2"/>
  <c r="D16" i="2"/>
  <c r="M16" i="2" s="1"/>
  <c r="T16" i="2" s="1"/>
  <c r="D15" i="2"/>
  <c r="H15" i="2" s="1"/>
  <c r="O15" i="2" s="1"/>
  <c r="D14" i="2"/>
  <c r="M14" i="2" s="1"/>
  <c r="T14" i="2" s="1"/>
  <c r="D13" i="2"/>
  <c r="D12" i="2"/>
  <c r="D11" i="2"/>
  <c r="D10" i="2"/>
  <c r="D9" i="2"/>
  <c r="D8" i="2"/>
  <c r="I8" i="2" s="1"/>
  <c r="D7" i="2"/>
  <c r="D6" i="2"/>
  <c r="H6" i="2" s="1"/>
  <c r="D5" i="2"/>
  <c r="I5" i="2" s="1"/>
  <c r="P5" i="2" s="1"/>
  <c r="D4" i="2"/>
  <c r="D3" i="2"/>
  <c r="D2" i="2"/>
  <c r="M2" i="2" s="1"/>
  <c r="N85" i="4"/>
  <c r="N57" i="4"/>
  <c r="N18" i="4"/>
  <c r="N19" i="4"/>
  <c r="N24" i="4"/>
  <c r="N5" i="4"/>
  <c r="N25" i="4"/>
  <c r="N105" i="4"/>
  <c r="N108" i="4"/>
  <c r="N160" i="4"/>
  <c r="N118" i="4"/>
  <c r="N128" i="4"/>
  <c r="N34" i="4"/>
  <c r="N52" i="4"/>
  <c r="N73" i="4"/>
  <c r="N140" i="4"/>
  <c r="O18" i="4"/>
  <c r="O19" i="4"/>
  <c r="O24" i="4"/>
  <c r="O45" i="4"/>
  <c r="O159" i="4"/>
  <c r="O98" i="4"/>
  <c r="O99" i="4"/>
  <c r="O108" i="4"/>
  <c r="O67" i="4"/>
  <c r="O113" i="4"/>
  <c r="O114" i="4"/>
  <c r="O117" i="4"/>
  <c r="O118" i="4"/>
  <c r="O12" i="4"/>
  <c r="O133" i="4"/>
  <c r="O134" i="4"/>
  <c r="O33" i="4"/>
  <c r="O34" i="4"/>
  <c r="O72" i="4"/>
  <c r="O137" i="4"/>
  <c r="O73" i="4"/>
  <c r="O140" i="4"/>
  <c r="O14" i="4"/>
  <c r="O79" i="4"/>
  <c r="O42" i="4"/>
  <c r="O154" i="4"/>
  <c r="P85" i="4"/>
  <c r="P57" i="4"/>
  <c r="P86" i="4"/>
  <c r="P87" i="4"/>
  <c r="P60" i="4"/>
  <c r="P25" i="4"/>
  <c r="P62" i="4"/>
  <c r="P159" i="4"/>
  <c r="P48" i="4"/>
  <c r="P100" i="4"/>
  <c r="P101" i="4"/>
  <c r="P108" i="4"/>
  <c r="P112" i="4"/>
  <c r="P113" i="4"/>
  <c r="P118" i="4"/>
  <c r="P120" i="4"/>
  <c r="P126" i="4"/>
  <c r="P128" i="4"/>
  <c r="P134" i="4"/>
  <c r="P33" i="4"/>
  <c r="P73" i="4"/>
  <c r="P138" i="4"/>
  <c r="P74" i="4"/>
  <c r="P54" i="4"/>
  <c r="P144" i="4"/>
  <c r="P145" i="4"/>
  <c r="P79" i="4"/>
  <c r="P152" i="4"/>
  <c r="P80" i="4"/>
  <c r="Q85" i="4"/>
  <c r="Q57" i="4"/>
  <c r="Q44" i="4"/>
  <c r="Q17" i="4"/>
  <c r="Q18" i="4"/>
  <c r="Q19" i="4"/>
  <c r="Q20" i="4"/>
  <c r="Q21" i="4"/>
  <c r="Q22" i="4"/>
  <c r="Q86" i="4"/>
  <c r="Q2" i="4"/>
  <c r="Q87" i="4"/>
  <c r="Q158" i="4"/>
  <c r="Q23" i="4"/>
  <c r="Q58" i="4"/>
  <c r="Q88" i="4"/>
  <c r="Q3" i="4"/>
  <c r="Q4" i="4"/>
  <c r="Q24" i="4"/>
  <c r="Q5" i="4"/>
  <c r="Q59" i="4"/>
  <c r="Q60" i="4"/>
  <c r="Q61" i="4"/>
  <c r="Q25" i="4"/>
  <c r="Q89" i="4"/>
  <c r="Q26" i="4"/>
  <c r="Q90" i="4"/>
  <c r="Q91" i="4"/>
  <c r="Q92" i="4"/>
  <c r="Q93" i="4"/>
  <c r="Q45" i="4"/>
  <c r="Q94" i="4"/>
  <c r="Q62" i="4"/>
  <c r="Q63" i="4"/>
  <c r="Q159" i="4"/>
  <c r="Q27" i="4"/>
  <c r="Q95" i="4"/>
  <c r="Q28" i="4"/>
  <c r="Q96" i="4"/>
  <c r="Q97" i="4"/>
  <c r="Q46" i="4"/>
  <c r="Q6" i="4"/>
  <c r="Q98" i="4"/>
  <c r="Q99" i="4"/>
  <c r="Q47" i="4"/>
  <c r="Q64" i="4"/>
  <c r="Q29" i="4"/>
  <c r="Q48" i="4"/>
  <c r="Q100" i="4"/>
  <c r="Q7" i="4"/>
  <c r="Q101" i="4"/>
  <c r="Q65" i="4"/>
  <c r="Q8" i="4"/>
  <c r="Q102" i="4"/>
  <c r="Q103" i="4"/>
  <c r="Q104" i="4"/>
  <c r="Q9" i="4"/>
  <c r="Q105" i="4"/>
  <c r="Q106" i="4"/>
  <c r="Q30" i="4"/>
  <c r="Q31" i="4"/>
  <c r="Q107" i="4"/>
  <c r="Q108" i="4"/>
  <c r="Q160" i="4"/>
  <c r="Q109" i="4"/>
  <c r="Q32" i="4"/>
  <c r="Q66" i="4"/>
  <c r="Q67" i="4"/>
  <c r="Q110" i="4"/>
  <c r="Q10" i="4"/>
  <c r="Q11" i="4"/>
  <c r="Q111" i="4"/>
  <c r="Q112" i="4"/>
  <c r="Q113" i="4"/>
  <c r="Q49" i="4"/>
  <c r="Q114" i="4"/>
  <c r="Q115" i="4"/>
  <c r="Q116" i="4"/>
  <c r="Q68" i="4"/>
  <c r="Q69" i="4"/>
  <c r="Q50" i="4"/>
  <c r="Q117" i="4"/>
  <c r="Q118" i="4"/>
  <c r="Q119" i="4"/>
  <c r="Q120" i="4"/>
  <c r="Q121" i="4"/>
  <c r="Q12" i="4"/>
  <c r="Q122" i="4"/>
  <c r="Q123" i="4"/>
  <c r="Q124" i="4"/>
  <c r="Q125" i="4"/>
  <c r="Q126" i="4"/>
  <c r="Q127" i="4"/>
  <c r="Q128" i="4"/>
  <c r="Q70" i="4"/>
  <c r="Q129" i="4"/>
  <c r="Q130" i="4"/>
  <c r="Q131" i="4"/>
  <c r="Q51" i="4"/>
  <c r="Q13" i="4"/>
  <c r="Q132" i="4"/>
  <c r="Q133" i="4"/>
  <c r="Q71" i="4"/>
  <c r="Q134" i="4"/>
  <c r="Q135" i="4"/>
  <c r="Q136" i="4"/>
  <c r="Q33" i="4"/>
  <c r="Q34" i="4"/>
  <c r="Q52" i="4"/>
  <c r="Q72" i="4"/>
  <c r="Q137" i="4"/>
  <c r="Q53" i="4"/>
  <c r="Q73" i="4"/>
  <c r="Q138" i="4"/>
  <c r="Q139" i="4"/>
  <c r="Q74" i="4"/>
  <c r="Q140" i="4"/>
  <c r="Q35" i="4"/>
  <c r="Q36" i="4"/>
  <c r="Q75" i="4"/>
  <c r="Q141" i="4"/>
  <c r="Q76" i="4"/>
  <c r="Q142" i="4"/>
  <c r="Q143" i="4"/>
  <c r="Q54" i="4"/>
  <c r="Q144" i="4"/>
  <c r="Q145" i="4"/>
  <c r="Q37" i="4"/>
  <c r="Q38" i="4"/>
  <c r="Q77" i="4"/>
  <c r="Q78" i="4"/>
  <c r="Q14" i="4"/>
  <c r="Q146" i="4"/>
  <c r="Q147" i="4"/>
  <c r="Q148" i="4"/>
  <c r="Q39" i="4"/>
  <c r="Q40" i="4"/>
  <c r="Q149" i="4"/>
  <c r="Q150" i="4"/>
  <c r="Q15" i="4"/>
  <c r="Q151" i="4"/>
  <c r="Q79" i="4"/>
  <c r="Q152" i="4"/>
  <c r="Q80" i="4"/>
  <c r="Q153" i="4"/>
  <c r="Q161" i="4"/>
  <c r="Q41" i="4"/>
  <c r="Q42" i="4"/>
  <c r="Q154" i="4"/>
  <c r="Q55" i="4"/>
  <c r="Q155" i="4"/>
  <c r="Q156" i="4"/>
  <c r="Q81" i="4"/>
  <c r="Q157" i="4"/>
  <c r="Q16" i="4"/>
  <c r="Q56" i="4"/>
  <c r="Q43" i="4"/>
  <c r="Q82" i="4"/>
  <c r="Q83" i="4"/>
  <c r="Q84" i="4"/>
  <c r="R85" i="4"/>
  <c r="R57" i="4"/>
  <c r="R44" i="4"/>
  <c r="R17" i="4"/>
  <c r="R18" i="4"/>
  <c r="R19" i="4"/>
  <c r="R20" i="4"/>
  <c r="R21" i="4"/>
  <c r="R22" i="4"/>
  <c r="R86" i="4"/>
  <c r="R2" i="4"/>
  <c r="R87" i="4"/>
  <c r="R158" i="4"/>
  <c r="R23" i="4"/>
  <c r="R58" i="4"/>
  <c r="R88" i="4"/>
  <c r="R3" i="4"/>
  <c r="R4" i="4"/>
  <c r="R24" i="4"/>
  <c r="R5" i="4"/>
  <c r="R59" i="4"/>
  <c r="R60" i="4"/>
  <c r="R61" i="4"/>
  <c r="R25" i="4"/>
  <c r="R89" i="4"/>
  <c r="R26" i="4"/>
  <c r="R90" i="4"/>
  <c r="R91" i="4"/>
  <c r="R92" i="4"/>
  <c r="R93" i="4"/>
  <c r="R45" i="4"/>
  <c r="R94" i="4"/>
  <c r="R62" i="4"/>
  <c r="R63" i="4"/>
  <c r="R159" i="4"/>
  <c r="R27" i="4"/>
  <c r="R95" i="4"/>
  <c r="R28" i="4"/>
  <c r="R96" i="4"/>
  <c r="R97" i="4"/>
  <c r="R46" i="4"/>
  <c r="R6" i="4"/>
  <c r="R98" i="4"/>
  <c r="R99" i="4"/>
  <c r="R47" i="4"/>
  <c r="R64" i="4"/>
  <c r="R29" i="4"/>
  <c r="R48" i="4"/>
  <c r="R100" i="4"/>
  <c r="R7" i="4"/>
  <c r="R101" i="4"/>
  <c r="R65" i="4"/>
  <c r="R8" i="4"/>
  <c r="R102" i="4"/>
  <c r="R103" i="4"/>
  <c r="R104" i="4"/>
  <c r="R9" i="4"/>
  <c r="R105" i="4"/>
  <c r="R106" i="4"/>
  <c r="R30" i="4"/>
  <c r="R31" i="4"/>
  <c r="R107" i="4"/>
  <c r="R108" i="4"/>
  <c r="R160" i="4"/>
  <c r="R109" i="4"/>
  <c r="R32" i="4"/>
  <c r="R66" i="4"/>
  <c r="R67" i="4"/>
  <c r="R110" i="4"/>
  <c r="R10" i="4"/>
  <c r="R11" i="4"/>
  <c r="R111" i="4"/>
  <c r="R112" i="4"/>
  <c r="R113" i="4"/>
  <c r="R49" i="4"/>
  <c r="R114" i="4"/>
  <c r="R115" i="4"/>
  <c r="R116" i="4"/>
  <c r="R68" i="4"/>
  <c r="R69" i="4"/>
  <c r="R50" i="4"/>
  <c r="R117" i="4"/>
  <c r="R118" i="4"/>
  <c r="R119" i="4"/>
  <c r="R120" i="4"/>
  <c r="R121" i="4"/>
  <c r="R12" i="4"/>
  <c r="R122" i="4"/>
  <c r="R123" i="4"/>
  <c r="R124" i="4"/>
  <c r="R125" i="4"/>
  <c r="R126" i="4"/>
  <c r="R127" i="4"/>
  <c r="R128" i="4"/>
  <c r="R70" i="4"/>
  <c r="R129" i="4"/>
  <c r="R130" i="4"/>
  <c r="R131" i="4"/>
  <c r="R51" i="4"/>
  <c r="R13" i="4"/>
  <c r="R132" i="4"/>
  <c r="R133" i="4"/>
  <c r="R71" i="4"/>
  <c r="R134" i="4"/>
  <c r="R135" i="4"/>
  <c r="R136" i="4"/>
  <c r="R33" i="4"/>
  <c r="R34" i="4"/>
  <c r="R52" i="4"/>
  <c r="R72" i="4"/>
  <c r="R137" i="4"/>
  <c r="R53" i="4"/>
  <c r="R73" i="4"/>
  <c r="R138" i="4"/>
  <c r="R139" i="4"/>
  <c r="R74" i="4"/>
  <c r="R140" i="4"/>
  <c r="R35" i="4"/>
  <c r="R36" i="4"/>
  <c r="R75" i="4"/>
  <c r="R141" i="4"/>
  <c r="R76" i="4"/>
  <c r="R142" i="4"/>
  <c r="R143" i="4"/>
  <c r="R54" i="4"/>
  <c r="R144" i="4"/>
  <c r="R145" i="4"/>
  <c r="R37" i="4"/>
  <c r="R38" i="4"/>
  <c r="R77" i="4"/>
  <c r="R78" i="4"/>
  <c r="R14" i="4"/>
  <c r="R146" i="4"/>
  <c r="R147" i="4"/>
  <c r="R148" i="4"/>
  <c r="R39" i="4"/>
  <c r="R40" i="4"/>
  <c r="R149" i="4"/>
  <c r="R150" i="4"/>
  <c r="R15" i="4"/>
  <c r="R151" i="4"/>
  <c r="R79" i="4"/>
  <c r="R152" i="4"/>
  <c r="R80" i="4"/>
  <c r="R153" i="4"/>
  <c r="R161" i="4"/>
  <c r="R41" i="4"/>
  <c r="R42" i="4"/>
  <c r="R154" i="4"/>
  <c r="R55" i="4"/>
  <c r="R155" i="4"/>
  <c r="R156" i="4"/>
  <c r="R81" i="4"/>
  <c r="R157" i="4"/>
  <c r="R16" i="4"/>
  <c r="R56" i="4"/>
  <c r="R43" i="4"/>
  <c r="R82" i="4"/>
  <c r="R83" i="4"/>
  <c r="R84" i="4"/>
  <c r="S85" i="4"/>
  <c r="S57" i="4"/>
  <c r="S44" i="4"/>
  <c r="S17" i="4"/>
  <c r="S18" i="4"/>
  <c r="S19" i="4"/>
  <c r="S20" i="4"/>
  <c r="S21" i="4"/>
  <c r="S22" i="4"/>
  <c r="S86" i="4"/>
  <c r="S2" i="4"/>
  <c r="S87" i="4"/>
  <c r="S158" i="4"/>
  <c r="S23" i="4"/>
  <c r="S58" i="4"/>
  <c r="S88" i="4"/>
  <c r="S3" i="4"/>
  <c r="S4" i="4"/>
  <c r="S24" i="4"/>
  <c r="S5" i="4"/>
  <c r="S59" i="4"/>
  <c r="S60" i="4"/>
  <c r="S61" i="4"/>
  <c r="S25" i="4"/>
  <c r="S89" i="4"/>
  <c r="S26" i="4"/>
  <c r="S90" i="4"/>
  <c r="S91" i="4"/>
  <c r="S92" i="4"/>
  <c r="S93" i="4"/>
  <c r="S45" i="4"/>
  <c r="S94" i="4"/>
  <c r="S62" i="4"/>
  <c r="S63" i="4"/>
  <c r="S159" i="4"/>
  <c r="S27" i="4"/>
  <c r="S95" i="4"/>
  <c r="S28" i="4"/>
  <c r="S96" i="4"/>
  <c r="S97" i="4"/>
  <c r="S46" i="4"/>
  <c r="S6" i="4"/>
  <c r="S98" i="4"/>
  <c r="S99" i="4"/>
  <c r="S47" i="4"/>
  <c r="S64" i="4"/>
  <c r="S29" i="4"/>
  <c r="S48" i="4"/>
  <c r="S100" i="4"/>
  <c r="S7" i="4"/>
  <c r="S101" i="4"/>
  <c r="S65" i="4"/>
  <c r="S8" i="4"/>
  <c r="S102" i="4"/>
  <c r="S103" i="4"/>
  <c r="S104" i="4"/>
  <c r="S9" i="4"/>
  <c r="S105" i="4"/>
  <c r="S106" i="4"/>
  <c r="S30" i="4"/>
  <c r="S31" i="4"/>
  <c r="S107" i="4"/>
  <c r="S108" i="4"/>
  <c r="S160" i="4"/>
  <c r="S109" i="4"/>
  <c r="S32" i="4"/>
  <c r="S66" i="4"/>
  <c r="S67" i="4"/>
  <c r="S110" i="4"/>
  <c r="S10" i="4"/>
  <c r="S11" i="4"/>
  <c r="S111" i="4"/>
  <c r="S112" i="4"/>
  <c r="S113" i="4"/>
  <c r="S49" i="4"/>
  <c r="S114" i="4"/>
  <c r="S115" i="4"/>
  <c r="S116" i="4"/>
  <c r="S68" i="4"/>
  <c r="S69" i="4"/>
  <c r="S50" i="4"/>
  <c r="S117" i="4"/>
  <c r="S118" i="4"/>
  <c r="S119" i="4"/>
  <c r="S120" i="4"/>
  <c r="S121" i="4"/>
  <c r="S12" i="4"/>
  <c r="S122" i="4"/>
  <c r="S123" i="4"/>
  <c r="S124" i="4"/>
  <c r="S125" i="4"/>
  <c r="S126" i="4"/>
  <c r="S127" i="4"/>
  <c r="S128" i="4"/>
  <c r="S70" i="4"/>
  <c r="S129" i="4"/>
  <c r="S130" i="4"/>
  <c r="S131" i="4"/>
  <c r="S51" i="4"/>
  <c r="S13" i="4"/>
  <c r="S132" i="4"/>
  <c r="S133" i="4"/>
  <c r="S71" i="4"/>
  <c r="S134" i="4"/>
  <c r="S135" i="4"/>
  <c r="S136" i="4"/>
  <c r="S33" i="4"/>
  <c r="S34" i="4"/>
  <c r="S52" i="4"/>
  <c r="S72" i="4"/>
  <c r="S137" i="4"/>
  <c r="S53" i="4"/>
  <c r="S73" i="4"/>
  <c r="S138" i="4"/>
  <c r="S139" i="4"/>
  <c r="S74" i="4"/>
  <c r="S140" i="4"/>
  <c r="S35" i="4"/>
  <c r="S36" i="4"/>
  <c r="S75" i="4"/>
  <c r="S141" i="4"/>
  <c r="S76" i="4"/>
  <c r="S142" i="4"/>
  <c r="S143" i="4"/>
  <c r="S54" i="4"/>
  <c r="S144" i="4"/>
  <c r="S145" i="4"/>
  <c r="S37" i="4"/>
  <c r="S38" i="4"/>
  <c r="S77" i="4"/>
  <c r="S78" i="4"/>
  <c r="S14" i="4"/>
  <c r="S146" i="4"/>
  <c r="S147" i="4"/>
  <c r="S148" i="4"/>
  <c r="S39" i="4"/>
  <c r="S40" i="4"/>
  <c r="S149" i="4"/>
  <c r="S150" i="4"/>
  <c r="S15" i="4"/>
  <c r="S151" i="4"/>
  <c r="S79" i="4"/>
  <c r="S152" i="4"/>
  <c r="S80" i="4"/>
  <c r="S153" i="4"/>
  <c r="S161" i="4"/>
  <c r="S41" i="4"/>
  <c r="S42" i="4"/>
  <c r="S154" i="4"/>
  <c r="S55" i="4"/>
  <c r="S155" i="4"/>
  <c r="S156" i="4"/>
  <c r="S81" i="4"/>
  <c r="S157" i="4"/>
  <c r="S16" i="4"/>
  <c r="S56" i="4"/>
  <c r="S43" i="4"/>
  <c r="S82" i="4"/>
  <c r="S83" i="4"/>
  <c r="S84" i="4"/>
  <c r="T57" i="4"/>
  <c r="T86" i="4"/>
  <c r="T2" i="4"/>
  <c r="T87" i="4"/>
  <c r="T58" i="4"/>
  <c r="T3" i="4"/>
  <c r="T60" i="4"/>
  <c r="T89" i="4"/>
  <c r="T26" i="4"/>
  <c r="T91" i="4"/>
  <c r="T94" i="4"/>
  <c r="T63" i="4"/>
  <c r="T159" i="4"/>
  <c r="T27" i="4"/>
  <c r="T28" i="4"/>
  <c r="T6" i="4"/>
  <c r="T100" i="4"/>
  <c r="T8" i="4"/>
  <c r="T102" i="4"/>
  <c r="T105" i="4"/>
  <c r="T106" i="4"/>
  <c r="T31" i="4"/>
  <c r="T108" i="4"/>
  <c r="T160" i="4"/>
  <c r="T109" i="4"/>
  <c r="T32" i="4"/>
  <c r="T66" i="4"/>
  <c r="T67" i="4"/>
  <c r="T110" i="4"/>
  <c r="T113" i="4"/>
  <c r="T114" i="4"/>
  <c r="T50" i="4"/>
  <c r="T119" i="4"/>
  <c r="T120" i="4"/>
  <c r="T12" i="4"/>
  <c r="T123" i="4"/>
  <c r="T125" i="4"/>
  <c r="T130" i="4"/>
  <c r="T131" i="4"/>
  <c r="T51" i="4"/>
  <c r="T33" i="4"/>
  <c r="T34" i="4"/>
  <c r="T52" i="4"/>
  <c r="T137" i="4"/>
  <c r="T142" i="4"/>
  <c r="T143" i="4"/>
  <c r="T145" i="4"/>
  <c r="T14" i="4"/>
  <c r="T146" i="4"/>
  <c r="T39" i="4"/>
  <c r="T152" i="4"/>
  <c r="T80" i="4"/>
  <c r="T83" i="4"/>
  <c r="T84" i="4"/>
  <c r="N13" i="3"/>
  <c r="N43" i="3"/>
  <c r="N69" i="3"/>
  <c r="N73" i="3"/>
  <c r="N75" i="3"/>
  <c r="N82" i="3"/>
  <c r="N83" i="3"/>
  <c r="N84" i="3"/>
  <c r="N21" i="3"/>
  <c r="N22" i="3"/>
  <c r="N53" i="3"/>
  <c r="N24" i="3"/>
  <c r="N91" i="3"/>
  <c r="N92" i="3"/>
  <c r="N93" i="3"/>
  <c r="N106" i="3"/>
  <c r="N111" i="3"/>
  <c r="N64" i="3"/>
  <c r="N124" i="3"/>
  <c r="O7" i="3"/>
  <c r="O65" i="3"/>
  <c r="O9" i="3"/>
  <c r="O32" i="3"/>
  <c r="O12" i="3"/>
  <c r="O40" i="3"/>
  <c r="O41" i="3"/>
  <c r="O13" i="3"/>
  <c r="O33" i="3"/>
  <c r="O68" i="3"/>
  <c r="O73" i="3"/>
  <c r="O81" i="3"/>
  <c r="O82" i="3"/>
  <c r="O83" i="3"/>
  <c r="O53" i="3"/>
  <c r="O24" i="3"/>
  <c r="O92" i="3"/>
  <c r="O93" i="3"/>
  <c r="O95" i="3"/>
  <c r="O2" i="3"/>
  <c r="O3" i="3"/>
  <c r="O102" i="3"/>
  <c r="O103" i="3"/>
  <c r="O104" i="3"/>
  <c r="O29" i="3"/>
  <c r="O4" i="3"/>
  <c r="O109" i="3"/>
  <c r="O110" i="3"/>
  <c r="O111" i="3"/>
  <c r="O112" i="3"/>
  <c r="O113" i="3"/>
  <c r="O64" i="3"/>
  <c r="O121" i="3"/>
  <c r="O122" i="3"/>
  <c r="O123" i="3"/>
  <c r="O124" i="3"/>
  <c r="P7" i="3"/>
  <c r="P65" i="3"/>
  <c r="P12" i="3"/>
  <c r="P41" i="3"/>
  <c r="P13" i="3"/>
  <c r="P15" i="3"/>
  <c r="P43" i="3"/>
  <c r="P44" i="3"/>
  <c r="P73" i="3"/>
  <c r="P75" i="3"/>
  <c r="P77" i="3"/>
  <c r="P36" i="3"/>
  <c r="P50" i="3"/>
  <c r="P82" i="3"/>
  <c r="P83" i="3"/>
  <c r="P21" i="3"/>
  <c r="P22" i="3"/>
  <c r="P53" i="3"/>
  <c r="P89" i="3"/>
  <c r="P23" i="3"/>
  <c r="P55" i="3"/>
  <c r="P24" i="3"/>
  <c r="P91" i="3"/>
  <c r="P38" i="3"/>
  <c r="P2" i="3"/>
  <c r="P101" i="3"/>
  <c r="P103" i="3"/>
  <c r="P106" i="3"/>
  <c r="P62" i="3"/>
  <c r="P112" i="3"/>
  <c r="P113" i="3"/>
  <c r="P64" i="3"/>
  <c r="P31" i="3"/>
  <c r="P6" i="3"/>
  <c r="Q7" i="3"/>
  <c r="Q65" i="3"/>
  <c r="Q8" i="3"/>
  <c r="Q9" i="3"/>
  <c r="Q10" i="3"/>
  <c r="Q11" i="3"/>
  <c r="Q32" i="3"/>
  <c r="Q12" i="3"/>
  <c r="Q40" i="3"/>
  <c r="Q41" i="3"/>
  <c r="Q13" i="3"/>
  <c r="Q33" i="3"/>
  <c r="Q42" i="3"/>
  <c r="Q66" i="3"/>
  <c r="Q34" i="3"/>
  <c r="Q14" i="3"/>
  <c r="Q15" i="3"/>
  <c r="Q16" i="3"/>
  <c r="Q43" i="3"/>
  <c r="Q44" i="3"/>
  <c r="Q67" i="3"/>
  <c r="Q68" i="3"/>
  <c r="Q17" i="3"/>
  <c r="Q69" i="3"/>
  <c r="Q70" i="3"/>
  <c r="Q71" i="3"/>
  <c r="Q35" i="3"/>
  <c r="Q72" i="3"/>
  <c r="Q73" i="3"/>
  <c r="Q18" i="3"/>
  <c r="Q74" i="3"/>
  <c r="Q45" i="3"/>
  <c r="Q46" i="3"/>
  <c r="Q47" i="3"/>
  <c r="Q75" i="3"/>
  <c r="Q76" i="3"/>
  <c r="Q77" i="3"/>
  <c r="Q78" i="3"/>
  <c r="Q36" i="3"/>
  <c r="Q79" i="3"/>
  <c r="Q48" i="3"/>
  <c r="Q49" i="3"/>
  <c r="Q80" i="3"/>
  <c r="Q50" i="3"/>
  <c r="Q81" i="3"/>
  <c r="Q82" i="3"/>
  <c r="Q83" i="3"/>
  <c r="Q19" i="3"/>
  <c r="Q51" i="3"/>
  <c r="Q20" i="3"/>
  <c r="Q84" i="3"/>
  <c r="Q52" i="3"/>
  <c r="Q85" i="3"/>
  <c r="Q21" i="3"/>
  <c r="Q22" i="3"/>
  <c r="Q86" i="3"/>
  <c r="Q87" i="3"/>
  <c r="Q53" i="3"/>
  <c r="Q54" i="3"/>
  <c r="Q88" i="3"/>
  <c r="Q89" i="3"/>
  <c r="Q90" i="3"/>
  <c r="Q23" i="3"/>
  <c r="Q55" i="3"/>
  <c r="Q37" i="3"/>
  <c r="Q24" i="3"/>
  <c r="Q91" i="3"/>
  <c r="Q92" i="3"/>
  <c r="Q56" i="3"/>
  <c r="Q93" i="3"/>
  <c r="Q94" i="3"/>
  <c r="Q95" i="3"/>
  <c r="Q96" i="3"/>
  <c r="Q25" i="3"/>
  <c r="Q57" i="3"/>
  <c r="Q26" i="3"/>
  <c r="Q58" i="3"/>
  <c r="Q97" i="3"/>
  <c r="Q38" i="3"/>
  <c r="Q2" i="3"/>
  <c r="Q59" i="3"/>
  <c r="Q60" i="3"/>
  <c r="Q98" i="3"/>
  <c r="Q61" i="3"/>
  <c r="Q99" i="3"/>
  <c r="Q100" i="3"/>
  <c r="Q101" i="3"/>
  <c r="Q27" i="3"/>
  <c r="Q3" i="3"/>
  <c r="Q102" i="3"/>
  <c r="Q103" i="3"/>
  <c r="Q28" i="3"/>
  <c r="Q104" i="3"/>
  <c r="Q105" i="3"/>
  <c r="Q29" i="3"/>
  <c r="Q106" i="3"/>
  <c r="Q107" i="3"/>
  <c r="Q108" i="3"/>
  <c r="Q4" i="3"/>
  <c r="Q5" i="3"/>
  <c r="Q109" i="3"/>
  <c r="Q110" i="3"/>
  <c r="Q111" i="3"/>
  <c r="Q62" i="3"/>
  <c r="Q112" i="3"/>
  <c r="Q113" i="3"/>
  <c r="Q114" i="3"/>
  <c r="Q115" i="3"/>
  <c r="Q116" i="3"/>
  <c r="Q30" i="3"/>
  <c r="Q117" i="3"/>
  <c r="Q63" i="3"/>
  <c r="Q118" i="3"/>
  <c r="Q119" i="3"/>
  <c r="Q39" i="3"/>
  <c r="Q120" i="3"/>
  <c r="Q64" i="3"/>
  <c r="Q121" i="3"/>
  <c r="Q128" i="3"/>
  <c r="Q31" i="3"/>
  <c r="Q122" i="3"/>
  <c r="Q6" i="3"/>
  <c r="Q123" i="3"/>
  <c r="Q129" i="3"/>
  <c r="Q124" i="3"/>
  <c r="Q125" i="3"/>
  <c r="Q126" i="3"/>
  <c r="Q127" i="3"/>
  <c r="R7" i="3"/>
  <c r="R65" i="3"/>
  <c r="R8" i="3"/>
  <c r="R9" i="3"/>
  <c r="R10" i="3"/>
  <c r="R11" i="3"/>
  <c r="R32" i="3"/>
  <c r="R12" i="3"/>
  <c r="R40" i="3"/>
  <c r="R41" i="3"/>
  <c r="R13" i="3"/>
  <c r="R33" i="3"/>
  <c r="R42" i="3"/>
  <c r="R66" i="3"/>
  <c r="R34" i="3"/>
  <c r="R14" i="3"/>
  <c r="R15" i="3"/>
  <c r="R16" i="3"/>
  <c r="R43" i="3"/>
  <c r="R44" i="3"/>
  <c r="R67" i="3"/>
  <c r="R68" i="3"/>
  <c r="R17" i="3"/>
  <c r="R69" i="3"/>
  <c r="R70" i="3"/>
  <c r="R71" i="3"/>
  <c r="R35" i="3"/>
  <c r="R72" i="3"/>
  <c r="R73" i="3"/>
  <c r="R18" i="3"/>
  <c r="R74" i="3"/>
  <c r="R45" i="3"/>
  <c r="R46" i="3"/>
  <c r="R47" i="3"/>
  <c r="R75" i="3"/>
  <c r="R76" i="3"/>
  <c r="R77" i="3"/>
  <c r="R78" i="3"/>
  <c r="R36" i="3"/>
  <c r="R79" i="3"/>
  <c r="R48" i="3"/>
  <c r="R49" i="3"/>
  <c r="R80" i="3"/>
  <c r="R50" i="3"/>
  <c r="R81" i="3"/>
  <c r="R82" i="3"/>
  <c r="R83" i="3"/>
  <c r="R19" i="3"/>
  <c r="R51" i="3"/>
  <c r="R20" i="3"/>
  <c r="R84" i="3"/>
  <c r="R52" i="3"/>
  <c r="R85" i="3"/>
  <c r="R21" i="3"/>
  <c r="R22" i="3"/>
  <c r="R86" i="3"/>
  <c r="R87" i="3"/>
  <c r="R53" i="3"/>
  <c r="R54" i="3"/>
  <c r="R88" i="3"/>
  <c r="R89" i="3"/>
  <c r="R90" i="3"/>
  <c r="R23" i="3"/>
  <c r="R55" i="3"/>
  <c r="R37" i="3"/>
  <c r="R24" i="3"/>
  <c r="R91" i="3"/>
  <c r="R92" i="3"/>
  <c r="R56" i="3"/>
  <c r="R93" i="3"/>
  <c r="R94" i="3"/>
  <c r="R95" i="3"/>
  <c r="R96" i="3"/>
  <c r="R25" i="3"/>
  <c r="R57" i="3"/>
  <c r="R26" i="3"/>
  <c r="R58" i="3"/>
  <c r="R97" i="3"/>
  <c r="R38" i="3"/>
  <c r="R2" i="3"/>
  <c r="R59" i="3"/>
  <c r="R60" i="3"/>
  <c r="R98" i="3"/>
  <c r="R61" i="3"/>
  <c r="R99" i="3"/>
  <c r="R100" i="3"/>
  <c r="R101" i="3"/>
  <c r="R27" i="3"/>
  <c r="R3" i="3"/>
  <c r="R102" i="3"/>
  <c r="R103" i="3"/>
  <c r="R28" i="3"/>
  <c r="R104" i="3"/>
  <c r="R105" i="3"/>
  <c r="R29" i="3"/>
  <c r="R106" i="3"/>
  <c r="R107" i="3"/>
  <c r="R108" i="3"/>
  <c r="R4" i="3"/>
  <c r="R5" i="3"/>
  <c r="R109" i="3"/>
  <c r="R110" i="3"/>
  <c r="R111" i="3"/>
  <c r="R62" i="3"/>
  <c r="R112" i="3"/>
  <c r="R113" i="3"/>
  <c r="R114" i="3"/>
  <c r="R115" i="3"/>
  <c r="R116" i="3"/>
  <c r="R30" i="3"/>
  <c r="R117" i="3"/>
  <c r="R63" i="3"/>
  <c r="R118" i="3"/>
  <c r="R119" i="3"/>
  <c r="R39" i="3"/>
  <c r="R120" i="3"/>
  <c r="R64" i="3"/>
  <c r="R121" i="3"/>
  <c r="R128" i="3"/>
  <c r="R31" i="3"/>
  <c r="R122" i="3"/>
  <c r="R6" i="3"/>
  <c r="R123" i="3"/>
  <c r="R129" i="3"/>
  <c r="R124" i="3"/>
  <c r="R125" i="3"/>
  <c r="R126" i="3"/>
  <c r="R127" i="3"/>
  <c r="S7" i="3"/>
  <c r="S65" i="3"/>
  <c r="S8" i="3"/>
  <c r="S9" i="3"/>
  <c r="S10" i="3"/>
  <c r="S11" i="3"/>
  <c r="S32" i="3"/>
  <c r="S12" i="3"/>
  <c r="S40" i="3"/>
  <c r="S41" i="3"/>
  <c r="S13" i="3"/>
  <c r="S33" i="3"/>
  <c r="S42" i="3"/>
  <c r="S66" i="3"/>
  <c r="S34" i="3"/>
  <c r="S14" i="3"/>
  <c r="S15" i="3"/>
  <c r="S16" i="3"/>
  <c r="S43" i="3"/>
  <c r="S44" i="3"/>
  <c r="S67" i="3"/>
  <c r="S68" i="3"/>
  <c r="S17" i="3"/>
  <c r="S69" i="3"/>
  <c r="S70" i="3"/>
  <c r="S71" i="3"/>
  <c r="S35" i="3"/>
  <c r="S72" i="3"/>
  <c r="S73" i="3"/>
  <c r="S18" i="3"/>
  <c r="S74" i="3"/>
  <c r="S45" i="3"/>
  <c r="S46" i="3"/>
  <c r="S47" i="3"/>
  <c r="S75" i="3"/>
  <c r="S76" i="3"/>
  <c r="S77" i="3"/>
  <c r="S78" i="3"/>
  <c r="S36" i="3"/>
  <c r="S79" i="3"/>
  <c r="S48" i="3"/>
  <c r="S49" i="3"/>
  <c r="S80" i="3"/>
  <c r="S50" i="3"/>
  <c r="S81" i="3"/>
  <c r="S82" i="3"/>
  <c r="S83" i="3"/>
  <c r="S19" i="3"/>
  <c r="S51" i="3"/>
  <c r="S20" i="3"/>
  <c r="S84" i="3"/>
  <c r="S52" i="3"/>
  <c r="S85" i="3"/>
  <c r="S21" i="3"/>
  <c r="S22" i="3"/>
  <c r="S86" i="3"/>
  <c r="S87" i="3"/>
  <c r="S53" i="3"/>
  <c r="S54" i="3"/>
  <c r="S88" i="3"/>
  <c r="S89" i="3"/>
  <c r="S90" i="3"/>
  <c r="S23" i="3"/>
  <c r="S55" i="3"/>
  <c r="S37" i="3"/>
  <c r="S24" i="3"/>
  <c r="S91" i="3"/>
  <c r="S92" i="3"/>
  <c r="S56" i="3"/>
  <c r="S93" i="3"/>
  <c r="S94" i="3"/>
  <c r="S95" i="3"/>
  <c r="S96" i="3"/>
  <c r="S25" i="3"/>
  <c r="S57" i="3"/>
  <c r="S26" i="3"/>
  <c r="S58" i="3"/>
  <c r="S97" i="3"/>
  <c r="S38" i="3"/>
  <c r="S2" i="3"/>
  <c r="S59" i="3"/>
  <c r="S60" i="3"/>
  <c r="S98" i="3"/>
  <c r="S61" i="3"/>
  <c r="S99" i="3"/>
  <c r="S100" i="3"/>
  <c r="S101" i="3"/>
  <c r="S27" i="3"/>
  <c r="S3" i="3"/>
  <c r="S102" i="3"/>
  <c r="S103" i="3"/>
  <c r="S28" i="3"/>
  <c r="S104" i="3"/>
  <c r="S105" i="3"/>
  <c r="S29" i="3"/>
  <c r="S106" i="3"/>
  <c r="S107" i="3"/>
  <c r="S108" i="3"/>
  <c r="S4" i="3"/>
  <c r="S5" i="3"/>
  <c r="S109" i="3"/>
  <c r="S110" i="3"/>
  <c r="S111" i="3"/>
  <c r="S62" i="3"/>
  <c r="S112" i="3"/>
  <c r="S113" i="3"/>
  <c r="S114" i="3"/>
  <c r="S115" i="3"/>
  <c r="S116" i="3"/>
  <c r="S30" i="3"/>
  <c r="S117" i="3"/>
  <c r="S63" i="3"/>
  <c r="S118" i="3"/>
  <c r="S119" i="3"/>
  <c r="S39" i="3"/>
  <c r="S120" i="3"/>
  <c r="S64" i="3"/>
  <c r="S121" i="3"/>
  <c r="S128" i="3"/>
  <c r="S31" i="3"/>
  <c r="S122" i="3"/>
  <c r="S6" i="3"/>
  <c r="S123" i="3"/>
  <c r="S129" i="3"/>
  <c r="S124" i="3"/>
  <c r="S125" i="3"/>
  <c r="S126" i="3"/>
  <c r="S127" i="3"/>
  <c r="T9" i="3"/>
  <c r="T10" i="3"/>
  <c r="T11" i="3"/>
  <c r="T32" i="3"/>
  <c r="T12" i="3"/>
  <c r="T41" i="3"/>
  <c r="T13" i="3"/>
  <c r="T42" i="3"/>
  <c r="T43" i="3"/>
  <c r="T44" i="3"/>
  <c r="T69" i="3"/>
  <c r="T70" i="3"/>
  <c r="T71" i="3"/>
  <c r="T35" i="3"/>
  <c r="T72" i="3"/>
  <c r="T75" i="3"/>
  <c r="T50" i="3"/>
  <c r="T81" i="3"/>
  <c r="T82" i="3"/>
  <c r="T51" i="3"/>
  <c r="T84" i="3"/>
  <c r="T52" i="3"/>
  <c r="T21" i="3"/>
  <c r="T22" i="3"/>
  <c r="T53" i="3"/>
  <c r="T88" i="3"/>
  <c r="T23" i="3"/>
  <c r="T55" i="3"/>
  <c r="T24" i="3"/>
  <c r="T91" i="3"/>
  <c r="T92" i="3"/>
  <c r="T93" i="3"/>
  <c r="T95" i="3"/>
  <c r="T2" i="3"/>
  <c r="T61" i="3"/>
  <c r="T101" i="3"/>
  <c r="T102" i="3"/>
  <c r="T103" i="3"/>
  <c r="T104" i="3"/>
  <c r="T62" i="3"/>
  <c r="T64" i="3"/>
  <c r="T121" i="3"/>
  <c r="T31" i="3"/>
  <c r="T122" i="3"/>
  <c r="T123" i="3"/>
  <c r="T129" i="3"/>
  <c r="W7" i="3"/>
  <c r="W65" i="3"/>
  <c r="W8" i="3"/>
  <c r="W9" i="3"/>
  <c r="W10" i="3"/>
  <c r="W11" i="3"/>
  <c r="W32" i="3"/>
  <c r="W12" i="3"/>
  <c r="W40" i="3"/>
  <c r="W41" i="3"/>
  <c r="W13" i="3"/>
  <c r="W33" i="3"/>
  <c r="W42" i="3"/>
  <c r="W34" i="3"/>
  <c r="W14" i="3"/>
  <c r="W15" i="3"/>
  <c r="W16" i="3"/>
  <c r="W43" i="3"/>
  <c r="W44" i="3"/>
  <c r="W67" i="3"/>
  <c r="W68" i="3"/>
  <c r="W17" i="3"/>
  <c r="W69" i="3"/>
  <c r="W70" i="3"/>
  <c r="W71" i="3"/>
  <c r="W35" i="3"/>
  <c r="W72" i="3"/>
  <c r="W73" i="3"/>
  <c r="W18" i="3"/>
  <c r="W74" i="3"/>
  <c r="W45" i="3"/>
  <c r="W46" i="3"/>
  <c r="W47" i="3"/>
  <c r="W75" i="3"/>
  <c r="W76" i="3"/>
  <c r="W77" i="3"/>
  <c r="W78" i="3"/>
  <c r="W36" i="3"/>
  <c r="W79" i="3"/>
  <c r="W48" i="3"/>
  <c r="W49" i="3"/>
  <c r="W80" i="3"/>
  <c r="W50" i="3"/>
  <c r="W81" i="3"/>
  <c r="W82" i="3"/>
  <c r="W83" i="3"/>
  <c r="W19" i="3"/>
  <c r="W51" i="3"/>
  <c r="W20" i="3"/>
  <c r="W84" i="3"/>
  <c r="W52" i="3"/>
  <c r="W85" i="3"/>
  <c r="W21" i="3"/>
  <c r="W22" i="3"/>
  <c r="W86" i="3"/>
  <c r="W87" i="3"/>
  <c r="W53" i="3"/>
  <c r="W54" i="3"/>
  <c r="W88" i="3"/>
  <c r="W89" i="3"/>
  <c r="W90" i="3"/>
  <c r="W23" i="3"/>
  <c r="W55" i="3"/>
  <c r="W37" i="3"/>
  <c r="W24" i="3"/>
  <c r="W91" i="3"/>
  <c r="W92" i="3"/>
  <c r="W56" i="3"/>
  <c r="W93" i="3"/>
  <c r="W94" i="3"/>
  <c r="W95" i="3"/>
  <c r="W96" i="3"/>
  <c r="W25" i="3"/>
  <c r="W57" i="3"/>
  <c r="W26" i="3"/>
  <c r="W58" i="3"/>
  <c r="W97" i="3"/>
  <c r="W38" i="3"/>
  <c r="W2" i="3"/>
  <c r="W59" i="3"/>
  <c r="W60" i="3"/>
  <c r="W98" i="3"/>
  <c r="W61" i="3"/>
  <c r="W99" i="3"/>
  <c r="W100" i="3"/>
  <c r="W101" i="3"/>
  <c r="W27" i="3"/>
  <c r="W3" i="3"/>
  <c r="W102" i="3"/>
  <c r="W103" i="3"/>
  <c r="W28" i="3"/>
  <c r="W104" i="3"/>
  <c r="W105" i="3"/>
  <c r="W29" i="3"/>
  <c r="W106" i="3"/>
  <c r="W107" i="3"/>
  <c r="W108" i="3"/>
  <c r="W4" i="3"/>
  <c r="W5" i="3"/>
  <c r="W109" i="3"/>
  <c r="W110" i="3"/>
  <c r="W111" i="3"/>
  <c r="W62" i="3"/>
  <c r="W112" i="3"/>
  <c r="W113" i="3"/>
  <c r="W114" i="3"/>
  <c r="W115" i="3"/>
  <c r="W116" i="3"/>
  <c r="W30" i="3"/>
  <c r="W117" i="3"/>
  <c r="W63" i="3"/>
  <c r="W118" i="3"/>
  <c r="W119" i="3"/>
  <c r="W39" i="3"/>
  <c r="W120" i="3"/>
  <c r="W64" i="3"/>
  <c r="W121" i="3"/>
  <c r="W128" i="3"/>
  <c r="W31" i="3"/>
  <c r="W122" i="3"/>
  <c r="W6" i="3"/>
  <c r="W123" i="3"/>
  <c r="W129" i="3"/>
  <c r="W124" i="3"/>
  <c r="W125" i="3"/>
  <c r="W126" i="3"/>
  <c r="W127" i="3"/>
  <c r="X7" i="3"/>
  <c r="X65" i="3"/>
  <c r="X8" i="3"/>
  <c r="X9" i="3"/>
  <c r="X10" i="3"/>
  <c r="X11" i="3"/>
  <c r="X32" i="3"/>
  <c r="X12" i="3"/>
  <c r="X40" i="3"/>
  <c r="X33" i="3"/>
  <c r="X42" i="3"/>
  <c r="X66" i="3"/>
  <c r="X34" i="3"/>
  <c r="X14" i="3"/>
  <c r="X15" i="3"/>
  <c r="X16" i="3"/>
  <c r="X43" i="3"/>
  <c r="X44" i="3"/>
  <c r="X67" i="3"/>
  <c r="X68" i="3"/>
  <c r="X17" i="3"/>
  <c r="X69" i="3"/>
  <c r="X70" i="3"/>
  <c r="X71" i="3"/>
  <c r="X35" i="3"/>
  <c r="X18" i="3"/>
  <c r="X74" i="3"/>
  <c r="X46" i="3"/>
  <c r="X47" i="3"/>
  <c r="X75" i="3"/>
  <c r="X76" i="3"/>
  <c r="X77" i="3"/>
  <c r="X78" i="3"/>
  <c r="X36" i="3"/>
  <c r="X79" i="3"/>
  <c r="X48" i="3"/>
  <c r="X49" i="3"/>
  <c r="X80" i="3"/>
  <c r="X50" i="3"/>
  <c r="X81" i="3"/>
  <c r="X82" i="3"/>
  <c r="X83" i="3"/>
  <c r="X19" i="3"/>
  <c r="X51" i="3"/>
  <c r="X20" i="3"/>
  <c r="X84" i="3"/>
  <c r="X21" i="3"/>
  <c r="X22" i="3"/>
  <c r="X86" i="3"/>
  <c r="X87" i="3"/>
  <c r="X53" i="3"/>
  <c r="X54" i="3"/>
  <c r="X88" i="3"/>
  <c r="X89" i="3"/>
  <c r="X90" i="3"/>
  <c r="X23" i="3"/>
  <c r="X55" i="3"/>
  <c r="X37" i="3"/>
  <c r="X24" i="3"/>
  <c r="X91" i="3"/>
  <c r="X92" i="3"/>
  <c r="X93" i="3"/>
  <c r="X25" i="3"/>
  <c r="X26" i="3"/>
  <c r="X58" i="3"/>
  <c r="X97" i="3"/>
  <c r="X38" i="3"/>
  <c r="X2" i="3"/>
  <c r="X59" i="3"/>
  <c r="X60" i="3"/>
  <c r="X98" i="3"/>
  <c r="X61" i="3"/>
  <c r="X99" i="3"/>
  <c r="X100" i="3"/>
  <c r="X101" i="3"/>
  <c r="X27" i="3"/>
  <c r="X3" i="3"/>
  <c r="X102" i="3"/>
  <c r="X103" i="3"/>
  <c r="X28" i="3"/>
  <c r="X105" i="3"/>
  <c r="X29" i="3"/>
  <c r="X107" i="3"/>
  <c r="X108" i="3"/>
  <c r="X4" i="3"/>
  <c r="X5" i="3"/>
  <c r="X109" i="3"/>
  <c r="X110" i="3"/>
  <c r="X111" i="3"/>
  <c r="X62" i="3"/>
  <c r="X112" i="3"/>
  <c r="X113" i="3"/>
  <c r="X114" i="3"/>
  <c r="X115" i="3"/>
  <c r="X116" i="3"/>
  <c r="X30" i="3"/>
  <c r="X117" i="3"/>
  <c r="X63" i="3"/>
  <c r="X118" i="3"/>
  <c r="X119" i="3"/>
  <c r="X39" i="3"/>
  <c r="X120" i="3"/>
  <c r="X64" i="3"/>
  <c r="X121" i="3"/>
  <c r="X128" i="3"/>
  <c r="X31" i="3"/>
  <c r="X122" i="3"/>
  <c r="X6" i="3"/>
  <c r="X123" i="3"/>
  <c r="X129" i="3"/>
  <c r="X124" i="3"/>
  <c r="X125" i="3"/>
  <c r="X126" i="3"/>
  <c r="X127" i="3"/>
  <c r="Y65" i="3"/>
  <c r="Y8" i="3"/>
  <c r="Y9" i="3"/>
  <c r="Y10" i="3"/>
  <c r="Y11" i="3"/>
  <c r="Y32" i="3"/>
  <c r="Y12" i="3"/>
  <c r="Y40" i="3"/>
  <c r="Y41" i="3"/>
  <c r="Y13" i="3"/>
  <c r="Y33" i="3"/>
  <c r="Y42" i="3"/>
  <c r="Y66" i="3"/>
  <c r="Y34" i="3"/>
  <c r="Y14" i="3"/>
  <c r="Y15" i="3"/>
  <c r="Y16" i="3"/>
  <c r="Y43" i="3"/>
  <c r="Y67" i="3"/>
  <c r="Y68" i="3"/>
  <c r="Y17" i="3"/>
  <c r="Y69" i="3"/>
  <c r="Y70" i="3"/>
  <c r="Y71" i="3"/>
  <c r="Y35" i="3"/>
  <c r="Y72" i="3"/>
  <c r="Y73" i="3"/>
  <c r="Y18" i="3"/>
  <c r="Y74" i="3"/>
  <c r="Y45" i="3"/>
  <c r="Y46" i="3"/>
  <c r="Y47" i="3"/>
  <c r="Y75" i="3"/>
  <c r="Y76" i="3"/>
  <c r="Y77" i="3"/>
  <c r="Y78" i="3"/>
  <c r="Y36" i="3"/>
  <c r="Y79" i="3"/>
  <c r="Y48" i="3"/>
  <c r="Y80" i="3"/>
  <c r="Y81" i="3"/>
  <c r="Y82" i="3"/>
  <c r="Y83" i="3"/>
  <c r="Y19" i="3"/>
  <c r="Y51" i="3"/>
  <c r="Y20" i="3"/>
  <c r="Y84" i="3"/>
  <c r="Y52" i="3"/>
  <c r="Y85" i="3"/>
  <c r="Y21" i="3"/>
  <c r="Y22" i="3"/>
  <c r="Y86" i="3"/>
  <c r="Y87" i="3"/>
  <c r="Y53" i="3"/>
  <c r="Y54" i="3"/>
  <c r="Y88" i="3"/>
  <c r="Y89" i="3"/>
  <c r="Y90" i="3"/>
  <c r="Y23" i="3"/>
  <c r="Y37" i="3"/>
  <c r="Y24" i="3"/>
  <c r="Y91" i="3"/>
  <c r="Y92" i="3"/>
  <c r="Y56" i="3"/>
  <c r="Y93" i="3"/>
  <c r="Y94" i="3"/>
  <c r="Y95" i="3"/>
  <c r="Y96" i="3"/>
  <c r="Y25" i="3"/>
  <c r="Y57" i="3"/>
  <c r="Y26" i="3"/>
  <c r="Y58" i="3"/>
  <c r="Y97" i="3"/>
  <c r="Y38" i="3"/>
  <c r="Y2" i="3"/>
  <c r="Y59" i="3"/>
  <c r="Y60" i="3"/>
  <c r="Y98" i="3"/>
  <c r="Y99" i="3"/>
  <c r="Y100" i="3"/>
  <c r="Y101" i="3"/>
  <c r="Y27" i="3"/>
  <c r="Y3" i="3"/>
  <c r="Y102" i="3"/>
  <c r="Y103" i="3"/>
  <c r="Y28" i="3"/>
  <c r="Y104" i="3"/>
  <c r="Y105" i="3"/>
  <c r="Y29" i="3"/>
  <c r="Y106" i="3"/>
  <c r="Y107" i="3"/>
  <c r="Y108" i="3"/>
  <c r="Y4" i="3"/>
  <c r="Y5" i="3"/>
  <c r="Y109" i="3"/>
  <c r="Y110" i="3"/>
  <c r="Y111" i="3"/>
  <c r="Y112" i="3"/>
  <c r="Y113" i="3"/>
  <c r="Y114" i="3"/>
  <c r="Y115" i="3"/>
  <c r="Y116" i="3"/>
  <c r="Y30" i="3"/>
  <c r="Y117" i="3"/>
  <c r="Y63" i="3"/>
  <c r="Y118" i="3"/>
  <c r="Y119" i="3"/>
  <c r="Y39" i="3"/>
  <c r="Y120" i="3"/>
  <c r="Y64" i="3"/>
  <c r="Y121" i="3"/>
  <c r="Y128" i="3"/>
  <c r="Y31" i="3"/>
  <c r="Y122" i="3"/>
  <c r="Y6" i="3"/>
  <c r="Y123" i="3"/>
  <c r="Y129" i="3"/>
  <c r="Y124" i="3"/>
  <c r="Y125" i="3"/>
  <c r="Y126" i="3"/>
  <c r="Y127" i="3"/>
  <c r="N26" i="2"/>
  <c r="N86" i="2"/>
  <c r="N116" i="2"/>
  <c r="N89" i="2"/>
  <c r="N6" i="2"/>
  <c r="N119" i="2"/>
  <c r="N99" i="2"/>
  <c r="N35" i="2"/>
  <c r="N121" i="2"/>
  <c r="N39" i="2"/>
  <c r="N122" i="2"/>
  <c r="N67" i="2"/>
  <c r="O68" i="2"/>
  <c r="O42" i="2"/>
  <c r="O11" i="2"/>
  <c r="O43" i="2"/>
  <c r="O13" i="2"/>
  <c r="O27" i="2"/>
  <c r="O16" i="2"/>
  <c r="O81" i="2"/>
  <c r="O46" i="2"/>
  <c r="O113" i="2"/>
  <c r="O28" i="2"/>
  <c r="O115" i="2"/>
  <c r="O116" i="2"/>
  <c r="O89" i="2"/>
  <c r="O93" i="2"/>
  <c r="O6" i="2"/>
  <c r="O119" i="2"/>
  <c r="O99" i="2"/>
  <c r="O19" i="2"/>
  <c r="O53" i="2"/>
  <c r="O54" i="2"/>
  <c r="O121" i="2"/>
  <c r="O59" i="2"/>
  <c r="O39" i="2"/>
  <c r="O22" i="2"/>
  <c r="O67" i="2"/>
  <c r="P68" i="2"/>
  <c r="P2" i="2"/>
  <c r="P76" i="2"/>
  <c r="P79" i="2"/>
  <c r="P27" i="2"/>
  <c r="P45" i="2"/>
  <c r="P15" i="2"/>
  <c r="P16" i="2"/>
  <c r="P47" i="2"/>
  <c r="P85" i="2"/>
  <c r="P115" i="2"/>
  <c r="P116" i="2"/>
  <c r="P88" i="2"/>
  <c r="P89" i="2"/>
  <c r="P93" i="2"/>
  <c r="P97" i="2"/>
  <c r="P119" i="2"/>
  <c r="P99" i="2"/>
  <c r="P7" i="2"/>
  <c r="P19" i="2"/>
  <c r="P20" i="2"/>
  <c r="P57" i="2"/>
  <c r="P8" i="2"/>
  <c r="P36" i="2"/>
  <c r="P105" i="2"/>
  <c r="P107" i="2"/>
  <c r="P108" i="2"/>
  <c r="P109" i="2"/>
  <c r="P111" i="2"/>
  <c r="P62" i="2"/>
  <c r="P122" i="2"/>
  <c r="P65" i="2"/>
  <c r="Q68" i="2"/>
  <c r="Q69" i="2"/>
  <c r="Q41" i="2"/>
  <c r="Q42" i="2"/>
  <c r="Q11" i="2"/>
  <c r="Q70" i="2"/>
  <c r="Q71" i="2"/>
  <c r="Q72" i="2"/>
  <c r="Q12" i="2"/>
  <c r="Q23" i="2"/>
  <c r="Q73" i="2"/>
  <c r="Q24" i="2"/>
  <c r="Q2" i="2"/>
  <c r="Q3" i="2"/>
  <c r="Q74" i="2"/>
  <c r="Q75" i="2"/>
  <c r="Q43" i="2"/>
  <c r="Q25" i="2"/>
  <c r="Q76" i="2"/>
  <c r="Q4" i="2"/>
  <c r="Q13" i="2"/>
  <c r="Q44" i="2"/>
  <c r="Q77" i="2"/>
  <c r="Q78" i="2"/>
  <c r="Q26" i="2"/>
  <c r="Q79" i="2"/>
  <c r="Q27" i="2"/>
  <c r="Q80" i="2"/>
  <c r="Q14" i="2"/>
  <c r="Q45" i="2"/>
  <c r="Q15" i="2"/>
  <c r="Q16" i="2"/>
  <c r="Q81" i="2"/>
  <c r="Q46" i="2"/>
  <c r="Q82" i="2"/>
  <c r="Q83" i="2"/>
  <c r="Q47" i="2"/>
  <c r="Q48" i="2"/>
  <c r="Q113" i="2"/>
  <c r="Q114" i="2"/>
  <c r="Q84" i="2"/>
  <c r="Q28" i="2"/>
  <c r="Q85" i="2"/>
  <c r="Q86" i="2"/>
  <c r="Q87" i="2"/>
  <c r="Q29" i="2"/>
  <c r="Q115" i="2"/>
  <c r="Q116" i="2"/>
  <c r="Q88" i="2"/>
  <c r="Q89" i="2"/>
  <c r="Q90" i="2"/>
  <c r="Q91" i="2"/>
  <c r="Q92" i="2"/>
  <c r="Q93" i="2"/>
  <c r="Q94" i="2"/>
  <c r="Q49" i="2"/>
  <c r="Q30" i="2"/>
  <c r="Q95" i="2"/>
  <c r="Q31" i="2"/>
  <c r="Q32" i="2"/>
  <c r="Q117" i="2"/>
  <c r="Q33" i="2"/>
  <c r="Q50" i="2"/>
  <c r="Q5" i="2"/>
  <c r="Q6" i="2"/>
  <c r="Q51" i="2"/>
  <c r="Q52" i="2"/>
  <c r="Q96" i="2"/>
  <c r="Q17" i="2"/>
  <c r="Q118" i="2"/>
  <c r="Q18" i="2"/>
  <c r="Q97" i="2"/>
  <c r="Q119" i="2"/>
  <c r="Q98" i="2"/>
  <c r="Q99" i="2"/>
  <c r="Q34" i="2"/>
  <c r="Q100" i="2"/>
  <c r="Q7" i="2"/>
  <c r="Q101" i="2"/>
  <c r="Q19" i="2"/>
  <c r="Q53" i="2"/>
  <c r="Q54" i="2"/>
  <c r="Q120" i="2"/>
  <c r="Q20" i="2"/>
  <c r="Q55" i="2"/>
  <c r="Q35" i="2"/>
  <c r="Q56" i="2"/>
  <c r="Q102" i="2"/>
  <c r="Q57" i="2"/>
  <c r="Q8" i="2"/>
  <c r="Q103" i="2"/>
  <c r="Q36" i="2"/>
  <c r="Q21" i="2"/>
  <c r="Q9" i="2"/>
  <c r="Q121" i="2"/>
  <c r="Q58" i="2"/>
  <c r="Q37" i="2"/>
  <c r="Q104" i="2"/>
  <c r="Q105" i="2"/>
  <c r="Q59" i="2"/>
  <c r="Q106" i="2"/>
  <c r="Q60" i="2"/>
  <c r="Q38" i="2"/>
  <c r="Q107" i="2"/>
  <c r="Q108" i="2"/>
  <c r="Q109" i="2"/>
  <c r="Q10" i="2"/>
  <c r="Q110" i="2"/>
  <c r="Q39" i="2"/>
  <c r="Q61" i="2"/>
  <c r="Q111" i="2"/>
  <c r="Q62" i="2"/>
  <c r="Q122" i="2"/>
  <c r="Q63" i="2"/>
  <c r="Q64" i="2"/>
  <c r="Q65" i="2"/>
  <c r="Q112" i="2"/>
  <c r="Q22" i="2"/>
  <c r="Q66" i="2"/>
  <c r="Q67" i="2"/>
  <c r="Q40" i="2"/>
  <c r="R68" i="2"/>
  <c r="R69" i="2"/>
  <c r="R41" i="2"/>
  <c r="R42" i="2"/>
  <c r="R11" i="2"/>
  <c r="R70" i="2"/>
  <c r="R71" i="2"/>
  <c r="R72" i="2"/>
  <c r="R12" i="2"/>
  <c r="R23" i="2"/>
  <c r="R73" i="2"/>
  <c r="R24" i="2"/>
  <c r="R2" i="2"/>
  <c r="R3" i="2"/>
  <c r="R74" i="2"/>
  <c r="R75" i="2"/>
  <c r="R43" i="2"/>
  <c r="R25" i="2"/>
  <c r="R76" i="2"/>
  <c r="R4" i="2"/>
  <c r="R13" i="2"/>
  <c r="R44" i="2"/>
  <c r="R77" i="2"/>
  <c r="R78" i="2"/>
  <c r="R26" i="2"/>
  <c r="R79" i="2"/>
  <c r="R27" i="2"/>
  <c r="R80" i="2"/>
  <c r="R14" i="2"/>
  <c r="R45" i="2"/>
  <c r="R15" i="2"/>
  <c r="R16" i="2"/>
  <c r="R81" i="2"/>
  <c r="R46" i="2"/>
  <c r="R82" i="2"/>
  <c r="R83" i="2"/>
  <c r="R47" i="2"/>
  <c r="R48" i="2"/>
  <c r="R113" i="2"/>
  <c r="R114" i="2"/>
  <c r="R84" i="2"/>
  <c r="R28" i="2"/>
  <c r="R85" i="2"/>
  <c r="R86" i="2"/>
  <c r="R87" i="2"/>
  <c r="R29" i="2"/>
  <c r="R115" i="2"/>
  <c r="R116" i="2"/>
  <c r="R88" i="2"/>
  <c r="R89" i="2"/>
  <c r="R90" i="2"/>
  <c r="R91" i="2"/>
  <c r="R92" i="2"/>
  <c r="R93" i="2"/>
  <c r="R94" i="2"/>
  <c r="R49" i="2"/>
  <c r="R30" i="2"/>
  <c r="R95" i="2"/>
  <c r="R31" i="2"/>
  <c r="R32" i="2"/>
  <c r="R117" i="2"/>
  <c r="R33" i="2"/>
  <c r="R50" i="2"/>
  <c r="R5" i="2"/>
  <c r="R6" i="2"/>
  <c r="R51" i="2"/>
  <c r="R52" i="2"/>
  <c r="R96" i="2"/>
  <c r="R17" i="2"/>
  <c r="R118" i="2"/>
  <c r="R18" i="2"/>
  <c r="R97" i="2"/>
  <c r="R119" i="2"/>
  <c r="R98" i="2"/>
  <c r="R99" i="2"/>
  <c r="R34" i="2"/>
  <c r="R100" i="2"/>
  <c r="R7" i="2"/>
  <c r="R101" i="2"/>
  <c r="R19" i="2"/>
  <c r="R53" i="2"/>
  <c r="R54" i="2"/>
  <c r="R120" i="2"/>
  <c r="R20" i="2"/>
  <c r="R55" i="2"/>
  <c r="R35" i="2"/>
  <c r="R56" i="2"/>
  <c r="R102" i="2"/>
  <c r="R57" i="2"/>
  <c r="R8" i="2"/>
  <c r="R103" i="2"/>
  <c r="R36" i="2"/>
  <c r="R21" i="2"/>
  <c r="R9" i="2"/>
  <c r="R121" i="2"/>
  <c r="R58" i="2"/>
  <c r="R37" i="2"/>
  <c r="R104" i="2"/>
  <c r="R105" i="2"/>
  <c r="R59" i="2"/>
  <c r="R106" i="2"/>
  <c r="R60" i="2"/>
  <c r="R38" i="2"/>
  <c r="R107" i="2"/>
  <c r="R108" i="2"/>
  <c r="R109" i="2"/>
  <c r="R10" i="2"/>
  <c r="R110" i="2"/>
  <c r="R39" i="2"/>
  <c r="R61" i="2"/>
  <c r="R111" i="2"/>
  <c r="R62" i="2"/>
  <c r="R122" i="2"/>
  <c r="R63" i="2"/>
  <c r="R64" i="2"/>
  <c r="R65" i="2"/>
  <c r="R112" i="2"/>
  <c r="R22" i="2"/>
  <c r="R66" i="2"/>
  <c r="R67" i="2"/>
  <c r="R40" i="2"/>
  <c r="S68" i="2"/>
  <c r="S69" i="2"/>
  <c r="S41" i="2"/>
  <c r="S42" i="2"/>
  <c r="S11" i="2"/>
  <c r="S70" i="2"/>
  <c r="S71" i="2"/>
  <c r="S72" i="2"/>
  <c r="S12" i="2"/>
  <c r="S23" i="2"/>
  <c r="S73" i="2"/>
  <c r="S24" i="2"/>
  <c r="S2" i="2"/>
  <c r="S3" i="2"/>
  <c r="S74" i="2"/>
  <c r="S75" i="2"/>
  <c r="S43" i="2"/>
  <c r="S25" i="2"/>
  <c r="S76" i="2"/>
  <c r="S4" i="2"/>
  <c r="S13" i="2"/>
  <c r="S44" i="2"/>
  <c r="S77" i="2"/>
  <c r="S78" i="2"/>
  <c r="S26" i="2"/>
  <c r="S79" i="2"/>
  <c r="S27" i="2"/>
  <c r="S80" i="2"/>
  <c r="S14" i="2"/>
  <c r="S45" i="2"/>
  <c r="S15" i="2"/>
  <c r="S16" i="2"/>
  <c r="S81" i="2"/>
  <c r="S46" i="2"/>
  <c r="S82" i="2"/>
  <c r="S83" i="2"/>
  <c r="S47" i="2"/>
  <c r="S48" i="2"/>
  <c r="S113" i="2"/>
  <c r="S114" i="2"/>
  <c r="S84" i="2"/>
  <c r="S28" i="2"/>
  <c r="S85" i="2"/>
  <c r="S86" i="2"/>
  <c r="S87" i="2"/>
  <c r="S29" i="2"/>
  <c r="S115" i="2"/>
  <c r="S116" i="2"/>
  <c r="S88" i="2"/>
  <c r="S89" i="2"/>
  <c r="S90" i="2"/>
  <c r="S91" i="2"/>
  <c r="S92" i="2"/>
  <c r="S93" i="2"/>
  <c r="S94" i="2"/>
  <c r="S49" i="2"/>
  <c r="S30" i="2"/>
  <c r="S95" i="2"/>
  <c r="S31" i="2"/>
  <c r="S32" i="2"/>
  <c r="S117" i="2"/>
  <c r="S33" i="2"/>
  <c r="S50" i="2"/>
  <c r="S5" i="2"/>
  <c r="S6" i="2"/>
  <c r="S51" i="2"/>
  <c r="S52" i="2"/>
  <c r="S96" i="2"/>
  <c r="S17" i="2"/>
  <c r="S118" i="2"/>
  <c r="S18" i="2"/>
  <c r="S97" i="2"/>
  <c r="S119" i="2"/>
  <c r="S98" i="2"/>
  <c r="S99" i="2"/>
  <c r="S34" i="2"/>
  <c r="S100" i="2"/>
  <c r="S7" i="2"/>
  <c r="S101" i="2"/>
  <c r="S19" i="2"/>
  <c r="S53" i="2"/>
  <c r="S54" i="2"/>
  <c r="S120" i="2"/>
  <c r="S20" i="2"/>
  <c r="S55" i="2"/>
  <c r="S35" i="2"/>
  <c r="S56" i="2"/>
  <c r="S102" i="2"/>
  <c r="S57" i="2"/>
  <c r="S8" i="2"/>
  <c r="S103" i="2"/>
  <c r="S36" i="2"/>
  <c r="S21" i="2"/>
  <c r="S9" i="2"/>
  <c r="S121" i="2"/>
  <c r="S58" i="2"/>
  <c r="S37" i="2"/>
  <c r="S104" i="2"/>
  <c r="S105" i="2"/>
  <c r="S59" i="2"/>
  <c r="S106" i="2"/>
  <c r="S60" i="2"/>
  <c r="S38" i="2"/>
  <c r="S107" i="2"/>
  <c r="S108" i="2"/>
  <c r="S109" i="2"/>
  <c r="S10" i="2"/>
  <c r="S110" i="2"/>
  <c r="S39" i="2"/>
  <c r="S61" i="2"/>
  <c r="S111" i="2"/>
  <c r="S62" i="2"/>
  <c r="S122" i="2"/>
  <c r="S63" i="2"/>
  <c r="S64" i="2"/>
  <c r="S65" i="2"/>
  <c r="S112" i="2"/>
  <c r="S22" i="2"/>
  <c r="S66" i="2"/>
  <c r="S67" i="2"/>
  <c r="S40" i="2"/>
  <c r="T68" i="2"/>
  <c r="T42" i="2"/>
  <c r="T73" i="2"/>
  <c r="T2" i="2"/>
  <c r="T13" i="2"/>
  <c r="T27" i="2"/>
  <c r="T45" i="2"/>
  <c r="T46" i="2"/>
  <c r="T82" i="2"/>
  <c r="T47" i="2"/>
  <c r="T48" i="2"/>
  <c r="T29" i="2"/>
  <c r="T116" i="2"/>
  <c r="T88" i="2"/>
  <c r="T93" i="2"/>
  <c r="T33" i="2"/>
  <c r="T50" i="2"/>
  <c r="T5" i="2"/>
  <c r="T97" i="2"/>
  <c r="T99" i="2"/>
  <c r="T35" i="2"/>
  <c r="T102" i="2"/>
  <c r="T121" i="2"/>
  <c r="T105" i="2"/>
  <c r="T59" i="2"/>
  <c r="T111" i="2"/>
  <c r="T122" i="2"/>
  <c r="T65" i="2"/>
  <c r="T67" i="2"/>
  <c r="C1" i="12" a="1"/>
  <c r="C1" i="12" s="1"/>
  <c r="C1" i="11" a="1"/>
  <c r="C1" i="11" s="1"/>
  <c r="C1" i="9" a="1"/>
  <c r="C1" i="9" s="1"/>
  <c r="O53" i="4" l="1"/>
  <c r="M40" i="4"/>
  <c r="T40" i="4" s="1"/>
  <c r="I53" i="4"/>
  <c r="P53" i="4" s="1"/>
  <c r="I40" i="4"/>
  <c r="P40" i="4" s="1"/>
  <c r="I13" i="4"/>
  <c r="P13" i="4" s="1"/>
  <c r="H13" i="4"/>
  <c r="H49" i="2"/>
  <c r="O49" i="2" s="1"/>
  <c r="I46" i="2"/>
  <c r="I51" i="2"/>
  <c r="P51" i="2" s="1"/>
  <c r="H139" i="4"/>
  <c r="H95" i="2"/>
  <c r="M116" i="3"/>
  <c r="T116" i="3" s="1"/>
  <c r="I139" i="4"/>
  <c r="P139" i="4" s="1"/>
  <c r="I95" i="2"/>
  <c r="P95" i="2" s="1"/>
  <c r="H60" i="2"/>
  <c r="H75" i="2"/>
  <c r="O75" i="2" s="1"/>
  <c r="M40" i="2"/>
  <c r="T40" i="2" s="1"/>
  <c r="O66" i="2"/>
  <c r="M66" i="2"/>
  <c r="T66" i="2" s="1"/>
  <c r="M80" i="2"/>
  <c r="T80" i="2" s="1"/>
  <c r="N63" i="3"/>
  <c r="H80" i="2"/>
  <c r="I66" i="2"/>
  <c r="P66" i="2" s="1"/>
  <c r="I75" i="2"/>
  <c r="P75" i="2" s="1"/>
  <c r="M115" i="2"/>
  <c r="T115" i="2" s="1"/>
  <c r="I106" i="2"/>
  <c r="P106" i="2" s="1"/>
  <c r="M106" i="2"/>
  <c r="T106" i="2" s="1"/>
  <c r="O106" i="2"/>
  <c r="H51" i="2"/>
  <c r="O51" i="2" s="1"/>
  <c r="H55" i="2"/>
  <c r="M55" i="2"/>
  <c r="T55" i="2" s="1"/>
  <c r="O100" i="3"/>
  <c r="N39" i="3"/>
  <c r="N56" i="4"/>
  <c r="O56" i="4"/>
  <c r="O16" i="3"/>
  <c r="N16" i="3"/>
  <c r="T56" i="3"/>
  <c r="H14" i="3"/>
  <c r="M14" i="3"/>
  <c r="I14" i="3"/>
  <c r="H34" i="3"/>
  <c r="M34" i="3"/>
  <c r="H54" i="3"/>
  <c r="I54" i="3"/>
  <c r="H74" i="3"/>
  <c r="I74" i="3"/>
  <c r="M74" i="3"/>
  <c r="H94" i="3"/>
  <c r="M94" i="3"/>
  <c r="H114" i="3"/>
  <c r="I114" i="3"/>
  <c r="N45" i="3"/>
  <c r="O132" i="4"/>
  <c r="N132" i="4"/>
  <c r="M95" i="4"/>
  <c r="T95" i="4" s="1"/>
  <c r="T114" i="3"/>
  <c r="P42" i="3"/>
  <c r="M136" i="4"/>
  <c r="T136" i="4" s="1"/>
  <c r="H136" i="4"/>
  <c r="M117" i="3"/>
  <c r="H117" i="3"/>
  <c r="I117" i="3"/>
  <c r="N2" i="3"/>
  <c r="P110" i="2"/>
  <c r="M18" i="3"/>
  <c r="I18" i="3"/>
  <c r="M38" i="3"/>
  <c r="H38" i="3"/>
  <c r="M58" i="3"/>
  <c r="T58" i="3" s="1"/>
  <c r="I58" i="3"/>
  <c r="M78" i="3"/>
  <c r="H78" i="3"/>
  <c r="I78" i="3"/>
  <c r="M98" i="3"/>
  <c r="I98" i="3"/>
  <c r="H98" i="3"/>
  <c r="M118" i="3"/>
  <c r="I118" i="3"/>
  <c r="H118" i="3"/>
  <c r="O78" i="4"/>
  <c r="N78" i="4"/>
  <c r="H95" i="4"/>
  <c r="I41" i="2"/>
  <c r="P41" i="2" s="1"/>
  <c r="M41" i="2"/>
  <c r="T41" i="2" s="1"/>
  <c r="M76" i="3"/>
  <c r="I76" i="3"/>
  <c r="M96" i="4"/>
  <c r="T96" i="4" s="1"/>
  <c r="I96" i="4"/>
  <c r="P96" i="4" s="1"/>
  <c r="H17" i="4"/>
  <c r="I17" i="4"/>
  <c r="P17" i="4" s="1"/>
  <c r="M17" i="4"/>
  <c r="T17" i="4" s="1"/>
  <c r="N88" i="4"/>
  <c r="O88" i="4"/>
  <c r="N13" i="2"/>
  <c r="H14" i="2"/>
  <c r="O14" i="2" s="1"/>
  <c r="M19" i="3"/>
  <c r="I19" i="3"/>
  <c r="H19" i="3"/>
  <c r="M39" i="3"/>
  <c r="I39" i="3"/>
  <c r="P39" i="3" s="1"/>
  <c r="M59" i="3"/>
  <c r="T59" i="3" s="1"/>
  <c r="I59" i="3"/>
  <c r="H59" i="3"/>
  <c r="M79" i="3"/>
  <c r="I79" i="3"/>
  <c r="H79" i="3"/>
  <c r="M99" i="3"/>
  <c r="I99" i="3"/>
  <c r="M119" i="3"/>
  <c r="I119" i="3"/>
  <c r="H119" i="3"/>
  <c r="H18" i="3"/>
  <c r="P49" i="3"/>
  <c r="P92" i="3"/>
  <c r="T124" i="3"/>
  <c r="H96" i="4"/>
  <c r="I36" i="4"/>
  <c r="P36" i="4" s="1"/>
  <c r="M75" i="4"/>
  <c r="T75" i="4" s="1"/>
  <c r="H75" i="4"/>
  <c r="O75" i="4" s="1"/>
  <c r="I75" i="4"/>
  <c r="H96" i="3"/>
  <c r="M96" i="3"/>
  <c r="T96" i="3" s="1"/>
  <c r="I156" i="4"/>
  <c r="P156" i="4" s="1"/>
  <c r="M156" i="4"/>
  <c r="T156" i="4" s="1"/>
  <c r="O48" i="2"/>
  <c r="N28" i="2"/>
  <c r="N16" i="2"/>
  <c r="M20" i="3"/>
  <c r="I20" i="3"/>
  <c r="I40" i="3"/>
  <c r="M40" i="3"/>
  <c r="M60" i="3"/>
  <c r="I60" i="3"/>
  <c r="H60" i="3"/>
  <c r="H80" i="3"/>
  <c r="M80" i="3"/>
  <c r="I80" i="3"/>
  <c r="I100" i="3"/>
  <c r="N100" i="3" s="1"/>
  <c r="M100" i="3"/>
  <c r="M120" i="3"/>
  <c r="H120" i="3"/>
  <c r="H20" i="3"/>
  <c r="T3" i="3"/>
  <c r="N8" i="3"/>
  <c r="N10" i="2"/>
  <c r="M17" i="3"/>
  <c r="H17" i="3"/>
  <c r="N77" i="4"/>
  <c r="O77" i="4"/>
  <c r="P35" i="3"/>
  <c r="O58" i="3"/>
  <c r="I9" i="2"/>
  <c r="P9" i="2" s="1"/>
  <c r="H9" i="2"/>
  <c r="M9" i="2"/>
  <c r="T9" i="2" s="1"/>
  <c r="H29" i="2"/>
  <c r="I29" i="2"/>
  <c r="P29" i="2" s="1"/>
  <c r="H69" i="2"/>
  <c r="I69" i="2"/>
  <c r="P69" i="2" s="1"/>
  <c r="M69" i="2"/>
  <c r="T69" i="2" s="1"/>
  <c r="N109" i="2"/>
  <c r="H109" i="2"/>
  <c r="O109" i="2" s="1"/>
  <c r="P22" i="2"/>
  <c r="N22" i="2"/>
  <c r="I114" i="2"/>
  <c r="P114" i="2" s="1"/>
  <c r="I94" i="3"/>
  <c r="T89" i="3"/>
  <c r="M21" i="4"/>
  <c r="T21" i="4" s="1"/>
  <c r="I21" i="4"/>
  <c r="P21" i="4" s="1"/>
  <c r="H21" i="4"/>
  <c r="N21" i="4" s="1"/>
  <c r="H41" i="4"/>
  <c r="I41" i="4"/>
  <c r="P41" i="4" s="1"/>
  <c r="M41" i="4"/>
  <c r="T41" i="4" s="1"/>
  <c r="M61" i="4"/>
  <c r="T61" i="4" s="1"/>
  <c r="H61" i="4"/>
  <c r="I81" i="4"/>
  <c r="P81" i="4" s="1"/>
  <c r="H81" i="4"/>
  <c r="M101" i="4"/>
  <c r="T101" i="4" s="1"/>
  <c r="H101" i="4"/>
  <c r="M121" i="4"/>
  <c r="T121" i="4" s="1"/>
  <c r="I121" i="4"/>
  <c r="P121" i="4" s="1"/>
  <c r="H121" i="4"/>
  <c r="N121" i="4" s="1"/>
  <c r="H141" i="4"/>
  <c r="I141" i="4"/>
  <c r="P141" i="4" s="1"/>
  <c r="M161" i="4"/>
  <c r="T161" i="4" s="1"/>
  <c r="I161" i="4"/>
  <c r="P161" i="4" s="1"/>
  <c r="O48" i="4"/>
  <c r="N48" i="4"/>
  <c r="H76" i="4"/>
  <c r="I76" i="4"/>
  <c r="P76" i="4" s="1"/>
  <c r="M97" i="3"/>
  <c r="I97" i="3"/>
  <c r="P97" i="3" s="1"/>
  <c r="H97" i="3"/>
  <c r="M10" i="2"/>
  <c r="T10" i="2" s="1"/>
  <c r="I10" i="2"/>
  <c r="P10" i="2" s="1"/>
  <c r="H30" i="2"/>
  <c r="M30" i="2"/>
  <c r="T30" i="2" s="1"/>
  <c r="I70" i="2"/>
  <c r="P70" i="2" s="1"/>
  <c r="H70" i="2"/>
  <c r="M70" i="2"/>
  <c r="T70" i="2" s="1"/>
  <c r="N20" i="2"/>
  <c r="O20" i="2"/>
  <c r="O60" i="2"/>
  <c r="H110" i="2"/>
  <c r="O110" i="2" s="1"/>
  <c r="N105" i="3"/>
  <c r="O105" i="3"/>
  <c r="T90" i="3"/>
  <c r="N102" i="4"/>
  <c r="O102" i="4"/>
  <c r="I136" i="4"/>
  <c r="P136" i="4" s="1"/>
  <c r="P14" i="4"/>
  <c r="N14" i="4"/>
  <c r="M21" i="2"/>
  <c r="T21" i="2" s="1"/>
  <c r="H15" i="4"/>
  <c r="I15" i="4"/>
  <c r="P15" i="4" s="1"/>
  <c r="M135" i="4"/>
  <c r="T135" i="4" s="1"/>
  <c r="H135" i="4"/>
  <c r="I135" i="4"/>
  <c r="P135" i="4" s="1"/>
  <c r="M37" i="3"/>
  <c r="I37" i="3"/>
  <c r="H37" i="3"/>
  <c r="O10" i="2"/>
  <c r="N90" i="2"/>
  <c r="N71" i="3"/>
  <c r="N94" i="4"/>
  <c r="M11" i="2"/>
  <c r="T11" i="2" s="1"/>
  <c r="I11" i="2"/>
  <c r="P11" i="2" s="1"/>
  <c r="I31" i="2"/>
  <c r="P31" i="2" s="1"/>
  <c r="M31" i="2"/>
  <c r="T31" i="2" s="1"/>
  <c r="H71" i="2"/>
  <c r="M71" i="2"/>
  <c r="T71" i="2" s="1"/>
  <c r="I71" i="2"/>
  <c r="P71" i="2" s="1"/>
  <c r="H91" i="2"/>
  <c r="I91" i="2"/>
  <c r="P91" i="2" s="1"/>
  <c r="H21" i="2"/>
  <c r="H111" i="2"/>
  <c r="O106" i="3"/>
  <c r="I96" i="3"/>
  <c r="M76" i="4"/>
  <c r="T76" i="4" s="1"/>
  <c r="N26" i="4"/>
  <c r="O26" i="4"/>
  <c r="M35" i="4"/>
  <c r="T35" i="4" s="1"/>
  <c r="H35" i="4"/>
  <c r="N48" i="3"/>
  <c r="N75" i="2"/>
  <c r="M12" i="2"/>
  <c r="T12" i="2" s="1"/>
  <c r="I12" i="2"/>
  <c r="P12" i="2" s="1"/>
  <c r="H12" i="2"/>
  <c r="I32" i="2"/>
  <c r="H32" i="2"/>
  <c r="O32" i="2" s="1"/>
  <c r="M32" i="2"/>
  <c r="T32" i="2" s="1"/>
  <c r="H52" i="2"/>
  <c r="O52" i="2" s="1"/>
  <c r="M52" i="2"/>
  <c r="T52" i="2" s="1"/>
  <c r="I72" i="2"/>
  <c r="M72" i="2"/>
  <c r="T72" i="2" s="1"/>
  <c r="H92" i="2"/>
  <c r="I92" i="2"/>
  <c r="P92" i="2" s="1"/>
  <c r="M92" i="2"/>
  <c r="T92" i="2" s="1"/>
  <c r="M112" i="2"/>
  <c r="T112" i="2" s="1"/>
  <c r="I112" i="2"/>
  <c r="P112" i="2" s="1"/>
  <c r="H112" i="2"/>
  <c r="I30" i="2"/>
  <c r="P30" i="2" s="1"/>
  <c r="M89" i="2"/>
  <c r="T89" i="2" s="1"/>
  <c r="O69" i="3"/>
  <c r="I17" i="3"/>
  <c r="N54" i="4"/>
  <c r="O54" i="4"/>
  <c r="H156" i="4"/>
  <c r="M115" i="4"/>
  <c r="T115" i="4" s="1"/>
  <c r="P133" i="4"/>
  <c r="N133" i="4"/>
  <c r="H55" i="4"/>
  <c r="I55" i="4"/>
  <c r="P55" i="4" s="1"/>
  <c r="M55" i="4"/>
  <c r="T55" i="4" s="1"/>
  <c r="H16" i="4"/>
  <c r="I16" i="4"/>
  <c r="P16" i="4" s="1"/>
  <c r="O87" i="4"/>
  <c r="N87" i="4"/>
  <c r="O50" i="2"/>
  <c r="N50" i="2"/>
  <c r="M57" i="3"/>
  <c r="T57" i="3" s="1"/>
  <c r="I57" i="3"/>
  <c r="H57" i="3"/>
  <c r="O99" i="3"/>
  <c r="H36" i="4"/>
  <c r="O45" i="3"/>
  <c r="N44" i="3"/>
  <c r="N53" i="2"/>
  <c r="N113" i="2"/>
  <c r="M90" i="2"/>
  <c r="T90" i="2" s="1"/>
  <c r="I5" i="3"/>
  <c r="H5" i="3"/>
  <c r="M5" i="3"/>
  <c r="I25" i="3"/>
  <c r="H25" i="3"/>
  <c r="I45" i="3"/>
  <c r="M45" i="3"/>
  <c r="I85" i="3"/>
  <c r="H85" i="3"/>
  <c r="M85" i="3"/>
  <c r="I105" i="3"/>
  <c r="M105" i="3"/>
  <c r="I125" i="3"/>
  <c r="P125" i="3" s="1"/>
  <c r="H125" i="3"/>
  <c r="M61" i="2"/>
  <c r="T61" i="2" s="1"/>
  <c r="H61" i="2"/>
  <c r="I61" i="2"/>
  <c r="P61" i="2" s="1"/>
  <c r="H155" i="4"/>
  <c r="I155" i="4"/>
  <c r="P155" i="4" s="1"/>
  <c r="M36" i="3"/>
  <c r="H36" i="3"/>
  <c r="I56" i="4"/>
  <c r="P56" i="4" s="1"/>
  <c r="M56" i="4"/>
  <c r="T56" i="4" s="1"/>
  <c r="M34" i="2"/>
  <c r="T34" i="2" s="1"/>
  <c r="H34" i="2"/>
  <c r="I34" i="2"/>
  <c r="P34" i="2" s="1"/>
  <c r="N54" i="2"/>
  <c r="I74" i="2"/>
  <c r="M74" i="2"/>
  <c r="T74" i="2" s="1"/>
  <c r="H74" i="2"/>
  <c r="O74" i="2" s="1"/>
  <c r="I94" i="2"/>
  <c r="P94" i="2" s="1"/>
  <c r="H94" i="2"/>
  <c r="M94" i="2"/>
  <c r="T94" i="2" s="1"/>
  <c r="H114" i="2"/>
  <c r="P68" i="3"/>
  <c r="M54" i="3"/>
  <c r="N81" i="2"/>
  <c r="T29" i="3"/>
  <c r="H31" i="2"/>
  <c r="O31" i="2" s="1"/>
  <c r="O72" i="3"/>
  <c r="P69" i="3"/>
  <c r="O59" i="4"/>
  <c r="H161" i="4"/>
  <c r="N100" i="4"/>
  <c r="M81" i="4"/>
  <c r="T81" i="4" s="1"/>
  <c r="M16" i="3"/>
  <c r="I16" i="3"/>
  <c r="P88" i="3"/>
  <c r="O39" i="3"/>
  <c r="H76" i="3"/>
  <c r="N148" i="4"/>
  <c r="O148" i="4"/>
  <c r="N60" i="4"/>
  <c r="O60" i="4"/>
  <c r="O22" i="4"/>
  <c r="N10" i="3"/>
  <c r="O10" i="3"/>
  <c r="T49" i="3"/>
  <c r="H116" i="3"/>
  <c r="N9" i="3"/>
  <c r="O20" i="4"/>
  <c r="N18" i="2"/>
  <c r="O18" i="2"/>
  <c r="H38" i="2"/>
  <c r="I38" i="2"/>
  <c r="P38" i="2" s="1"/>
  <c r="M38" i="2"/>
  <c r="T38" i="2" s="1"/>
  <c r="H58" i="2"/>
  <c r="I58" i="2"/>
  <c r="P58" i="2" s="1"/>
  <c r="H78" i="2"/>
  <c r="M78" i="2"/>
  <c r="T78" i="2" s="1"/>
  <c r="I78" i="2"/>
  <c r="P78" i="2" s="1"/>
  <c r="H98" i="2"/>
  <c r="M98" i="2"/>
  <c r="T98" i="2" s="1"/>
  <c r="I98" i="2"/>
  <c r="P98" i="2" s="1"/>
  <c r="N118" i="2"/>
  <c r="O118" i="2"/>
  <c r="M54" i="2"/>
  <c r="T54" i="2" s="1"/>
  <c r="M25" i="3"/>
  <c r="N72" i="4"/>
  <c r="I61" i="4"/>
  <c r="P61" i="4" s="1"/>
  <c r="O126" i="4"/>
  <c r="N126" i="4"/>
  <c r="O93" i="4"/>
  <c r="N93" i="4"/>
  <c r="O127" i="4"/>
  <c r="N127" i="4"/>
  <c r="I115" i="4"/>
  <c r="H56" i="3"/>
  <c r="I56" i="3"/>
  <c r="H116" i="4"/>
  <c r="O116" i="4" s="1"/>
  <c r="I116" i="4"/>
  <c r="P3" i="3"/>
  <c r="H77" i="3"/>
  <c r="N47" i="2"/>
  <c r="P2" i="4"/>
  <c r="H41" i="2"/>
  <c r="I49" i="2"/>
  <c r="P49" i="2" s="1"/>
  <c r="N42" i="3"/>
  <c r="I34" i="3"/>
  <c r="T26" i="3"/>
  <c r="N125" i="4"/>
  <c r="O125" i="4"/>
  <c r="N27" i="4"/>
  <c r="M77" i="4"/>
  <c r="T77" i="4" s="1"/>
  <c r="H108" i="2"/>
  <c r="O108" i="2" s="1"/>
  <c r="M81" i="2"/>
  <c r="T81" i="2" s="1"/>
  <c r="O35" i="3"/>
  <c r="N35" i="3"/>
  <c r="N55" i="3"/>
  <c r="O55" i="3"/>
  <c r="N95" i="3"/>
  <c r="N115" i="3"/>
  <c r="O115" i="3"/>
  <c r="N70" i="3"/>
  <c r="N101" i="3"/>
  <c r="O101" i="3"/>
  <c r="N33" i="3"/>
  <c r="I64" i="4"/>
  <c r="P64" i="4" s="1"/>
  <c r="M144" i="4"/>
  <c r="T144" i="4" s="1"/>
  <c r="M97" i="4"/>
  <c r="T97" i="4" s="1"/>
  <c r="I97" i="4"/>
  <c r="I157" i="4"/>
  <c r="P157" i="4" s="1"/>
  <c r="H157" i="4"/>
  <c r="N32" i="4"/>
  <c r="O32" i="4"/>
  <c r="I4" i="4"/>
  <c r="O112" i="4"/>
  <c r="I120" i="2"/>
  <c r="P120" i="2" s="1"/>
  <c r="H49" i="3"/>
  <c r="N110" i="3"/>
  <c r="I58" i="4"/>
  <c r="P58" i="4" s="1"/>
  <c r="H58" i="4"/>
  <c r="M98" i="4"/>
  <c r="T98" i="4" s="1"/>
  <c r="I98" i="4"/>
  <c r="P98" i="4" s="1"/>
  <c r="I158" i="4"/>
  <c r="P158" i="4" s="1"/>
  <c r="H158" i="4"/>
  <c r="H62" i="4"/>
  <c r="N99" i="4"/>
  <c r="I142" i="4"/>
  <c r="M18" i="4"/>
  <c r="T18" i="4" s="1"/>
  <c r="M124" i="4"/>
  <c r="T124" i="4" s="1"/>
  <c r="M157" i="4"/>
  <c r="T157" i="4" s="1"/>
  <c r="N4" i="3"/>
  <c r="P27" i="4"/>
  <c r="M56" i="2"/>
  <c r="T56" i="2" s="1"/>
  <c r="I56" i="2"/>
  <c r="M76" i="2"/>
  <c r="T76" i="2" s="1"/>
  <c r="H76" i="2"/>
  <c r="M96" i="2"/>
  <c r="T96" i="2" s="1"/>
  <c r="I96" i="2"/>
  <c r="O23" i="2"/>
  <c r="H57" i="2"/>
  <c r="H88" i="2"/>
  <c r="I28" i="2"/>
  <c r="P28" i="2" s="1"/>
  <c r="I60" i="2"/>
  <c r="P60" i="2" s="1"/>
  <c r="H50" i="3"/>
  <c r="I108" i="3"/>
  <c r="M6" i="3"/>
  <c r="N79" i="4"/>
  <c r="H64" i="4"/>
  <c r="I42" i="4"/>
  <c r="M19" i="4"/>
  <c r="T19" i="4" s="1"/>
  <c r="M158" i="4"/>
  <c r="T158" i="4" s="1"/>
  <c r="I17" i="2"/>
  <c r="P17" i="2" s="1"/>
  <c r="H17" i="2"/>
  <c r="I37" i="2"/>
  <c r="P37" i="2" s="1"/>
  <c r="M37" i="2"/>
  <c r="T37" i="2" s="1"/>
  <c r="I77" i="2"/>
  <c r="P77" i="2" s="1"/>
  <c r="H77" i="2"/>
  <c r="I117" i="2"/>
  <c r="P117" i="2" s="1"/>
  <c r="H117" i="2"/>
  <c r="O117" i="2" s="1"/>
  <c r="N104" i="3"/>
  <c r="O23" i="3"/>
  <c r="N23" i="3"/>
  <c r="I48" i="3"/>
  <c r="I109" i="3"/>
  <c r="M7" i="3"/>
  <c r="M66" i="3"/>
  <c r="M128" i="3"/>
  <c r="N80" i="4"/>
  <c r="I77" i="4"/>
  <c r="P77" i="4" s="1"/>
  <c r="N114" i="4"/>
  <c r="P114" i="4"/>
  <c r="M24" i="4"/>
  <c r="T24" i="4" s="1"/>
  <c r="N104" i="4"/>
  <c r="I26" i="3"/>
  <c r="H26" i="3"/>
  <c r="I46" i="3"/>
  <c r="M46" i="3"/>
  <c r="I86" i="3"/>
  <c r="P86" i="3" s="1"/>
  <c r="M86" i="3"/>
  <c r="I126" i="3"/>
  <c r="P126" i="3" s="1"/>
  <c r="H126" i="3"/>
  <c r="H88" i="3"/>
  <c r="M68" i="3"/>
  <c r="M22" i="4"/>
  <c r="T22" i="4" s="1"/>
  <c r="I22" i="4"/>
  <c r="P22" i="4" s="1"/>
  <c r="I82" i="4"/>
  <c r="P82" i="4" s="1"/>
  <c r="H82" i="4"/>
  <c r="M122" i="4"/>
  <c r="T122" i="4" s="1"/>
  <c r="I122" i="4"/>
  <c r="P122" i="4" s="1"/>
  <c r="H2" i="4"/>
  <c r="H37" i="4"/>
  <c r="H138" i="4"/>
  <c r="N138" i="4" s="1"/>
  <c r="M8" i="2"/>
  <c r="T8" i="2" s="1"/>
  <c r="I27" i="3"/>
  <c r="H27" i="3"/>
  <c r="I47" i="3"/>
  <c r="H47" i="3"/>
  <c r="M47" i="3"/>
  <c r="I67" i="3"/>
  <c r="H67" i="3"/>
  <c r="I87" i="3"/>
  <c r="P87" i="3" s="1"/>
  <c r="H87" i="3"/>
  <c r="M87" i="3"/>
  <c r="I107" i="3"/>
  <c r="H107" i="3"/>
  <c r="M107" i="3"/>
  <c r="T107" i="3" s="1"/>
  <c r="I127" i="3"/>
  <c r="H127" i="3"/>
  <c r="N30" i="3"/>
  <c r="O30" i="3"/>
  <c r="H89" i="3"/>
  <c r="H38" i="4"/>
  <c r="O74" i="4"/>
  <c r="N74" i="4"/>
  <c r="O139" i="4"/>
  <c r="N139" i="4"/>
  <c r="I84" i="4"/>
  <c r="P84" i="4" s="1"/>
  <c r="I117" i="4"/>
  <c r="P117" i="4" s="1"/>
  <c r="N63" i="2"/>
  <c r="O63" i="2"/>
  <c r="N68" i="2"/>
  <c r="N68" i="3"/>
  <c r="N31" i="3"/>
  <c r="O31" i="3"/>
  <c r="H144" i="4"/>
  <c r="N39" i="4"/>
  <c r="T8" i="3"/>
  <c r="O95" i="2"/>
  <c r="N29" i="3"/>
  <c r="N32" i="3"/>
  <c r="N65" i="4"/>
  <c r="O65" i="4"/>
  <c r="H44" i="4"/>
  <c r="I28" i="3"/>
  <c r="H28" i="3"/>
  <c r="P66" i="3"/>
  <c r="O61" i="3"/>
  <c r="H36" i="2"/>
  <c r="I90" i="3"/>
  <c r="H90" i="3"/>
  <c r="N66" i="4"/>
  <c r="O66" i="4"/>
  <c r="M104" i="4"/>
  <c r="T104" i="4" s="1"/>
  <c r="O70" i="3"/>
  <c r="N129" i="3"/>
  <c r="N15" i="3"/>
  <c r="H8" i="2"/>
  <c r="H37" i="2"/>
  <c r="O37" i="2" s="1"/>
  <c r="H97" i="2"/>
  <c r="I40" i="2"/>
  <c r="N73" i="2"/>
  <c r="M77" i="2"/>
  <c r="T77" i="2" s="1"/>
  <c r="I29" i="3"/>
  <c r="I7" i="4"/>
  <c r="P7" i="4" s="1"/>
  <c r="H7" i="4"/>
  <c r="M47" i="4"/>
  <c r="T47" i="4" s="1"/>
  <c r="I47" i="4"/>
  <c r="P47" i="4" s="1"/>
  <c r="N67" i="4"/>
  <c r="I107" i="4"/>
  <c r="P107" i="4" s="1"/>
  <c r="H107" i="4"/>
  <c r="M147" i="4"/>
  <c r="T147" i="4" s="1"/>
  <c r="I147" i="4"/>
  <c r="P147" i="4" s="1"/>
  <c r="H147" i="4"/>
  <c r="I59" i="4"/>
  <c r="P59" i="4" s="1"/>
  <c r="M68" i="4"/>
  <c r="T68" i="4" s="1"/>
  <c r="M101" i="2"/>
  <c r="T101" i="2" s="1"/>
  <c r="N113" i="3"/>
  <c r="N61" i="3"/>
  <c r="I101" i="2"/>
  <c r="P101" i="2" s="1"/>
  <c r="H96" i="2"/>
  <c r="O96" i="2" s="1"/>
  <c r="M106" i="3"/>
  <c r="T106" i="3" s="1"/>
  <c r="I20" i="4"/>
  <c r="P20" i="4" s="1"/>
  <c r="P33" i="3"/>
  <c r="N128" i="3"/>
  <c r="O122" i="4"/>
  <c r="O8" i="4"/>
  <c r="M17" i="2"/>
  <c r="T17" i="2" s="1"/>
  <c r="M108" i="2"/>
  <c r="T108" i="2" s="1"/>
  <c r="H6" i="3"/>
  <c r="N28" i="4"/>
  <c r="O28" i="4"/>
  <c r="N68" i="4"/>
  <c r="H47" i="4"/>
  <c r="H80" i="4"/>
  <c r="O80" i="4" s="1"/>
  <c r="H119" i="4"/>
  <c r="N92" i="4"/>
  <c r="P92" i="4"/>
  <c r="M140" i="4"/>
  <c r="T140" i="4" s="1"/>
  <c r="N19" i="2"/>
  <c r="N42" i="2"/>
  <c r="H6" i="4"/>
  <c r="H106" i="4"/>
  <c r="I46" i="4"/>
  <c r="I146" i="4"/>
  <c r="N3" i="3"/>
  <c r="H51" i="3"/>
  <c r="M3" i="2"/>
  <c r="I3" i="2"/>
  <c r="M23" i="2"/>
  <c r="T23" i="2" s="1"/>
  <c r="I23" i="2"/>
  <c r="P23" i="2" s="1"/>
  <c r="M43" i="2"/>
  <c r="T43" i="2" s="1"/>
  <c r="I43" i="2"/>
  <c r="M63" i="2"/>
  <c r="T63" i="2" s="1"/>
  <c r="I63" i="2"/>
  <c r="P63" i="2" s="1"/>
  <c r="M83" i="2"/>
  <c r="T83" i="2" s="1"/>
  <c r="I83" i="2"/>
  <c r="M103" i="2"/>
  <c r="T103" i="2" s="1"/>
  <c r="I103" i="2"/>
  <c r="P103" i="2" s="1"/>
  <c r="H2" i="2"/>
  <c r="H102" i="2"/>
  <c r="H52" i="3"/>
  <c r="I51" i="3"/>
  <c r="M4" i="2"/>
  <c r="T4" i="2" s="1"/>
  <c r="I4" i="2"/>
  <c r="P4" i="2" s="1"/>
  <c r="H4" i="2"/>
  <c r="O4" i="2" s="1"/>
  <c r="M24" i="2"/>
  <c r="T24" i="2" s="1"/>
  <c r="I24" i="2"/>
  <c r="P24" i="2" s="1"/>
  <c r="H24" i="2"/>
  <c r="M44" i="2"/>
  <c r="T44" i="2" s="1"/>
  <c r="I44" i="2"/>
  <c r="P44" i="2" s="1"/>
  <c r="H44" i="2"/>
  <c r="O44" i="2" s="1"/>
  <c r="M64" i="2"/>
  <c r="T64" i="2" s="1"/>
  <c r="I64" i="2"/>
  <c r="P64" i="2" s="1"/>
  <c r="H64" i="2"/>
  <c r="M84" i="2"/>
  <c r="T84" i="2" s="1"/>
  <c r="I84" i="2"/>
  <c r="P84" i="2" s="1"/>
  <c r="H84" i="2"/>
  <c r="M104" i="2"/>
  <c r="T104" i="2" s="1"/>
  <c r="I104" i="2"/>
  <c r="P104" i="2" s="1"/>
  <c r="H104" i="2"/>
  <c r="H3" i="2"/>
  <c r="H103" i="2"/>
  <c r="I82" i="2"/>
  <c r="P82" i="2" s="1"/>
  <c r="H3" i="4"/>
  <c r="H23" i="4"/>
  <c r="H43" i="4"/>
  <c r="H63" i="4"/>
  <c r="H83" i="4"/>
  <c r="H103" i="4"/>
  <c r="H123" i="4"/>
  <c r="H143" i="4"/>
  <c r="O143" i="4" s="1"/>
  <c r="I3" i="4"/>
  <c r="I23" i="4"/>
  <c r="P23" i="4" s="1"/>
  <c r="I43" i="4"/>
  <c r="P43" i="4" s="1"/>
  <c r="I63" i="4"/>
  <c r="P63" i="4" s="1"/>
  <c r="I83" i="4"/>
  <c r="P83" i="4" s="1"/>
  <c r="I103" i="4"/>
  <c r="P103" i="4" s="1"/>
  <c r="I123" i="4"/>
  <c r="P123" i="4" s="1"/>
  <c r="I143" i="4"/>
  <c r="P143" i="4" s="1"/>
  <c r="N65" i="3"/>
  <c r="H9" i="4"/>
  <c r="H29" i="4"/>
  <c r="O29" i="4" s="1"/>
  <c r="H49" i="4"/>
  <c r="H69" i="4"/>
  <c r="H89" i="4"/>
  <c r="O89" i="4" s="1"/>
  <c r="H109" i="4"/>
  <c r="H129" i="4"/>
  <c r="H149" i="4"/>
  <c r="I9" i="4"/>
  <c r="P9" i="4" s="1"/>
  <c r="I29" i="4"/>
  <c r="P29" i="4" s="1"/>
  <c r="I49" i="4"/>
  <c r="P49" i="4" s="1"/>
  <c r="I69" i="4"/>
  <c r="P69" i="4" s="1"/>
  <c r="I89" i="4"/>
  <c r="I109" i="4"/>
  <c r="P109" i="4" s="1"/>
  <c r="I129" i="4"/>
  <c r="P129" i="4" s="1"/>
  <c r="I149" i="4"/>
  <c r="P149" i="4" s="1"/>
  <c r="H5" i="2"/>
  <c r="H25" i="2"/>
  <c r="H45" i="2"/>
  <c r="H65" i="2"/>
  <c r="H85" i="2"/>
  <c r="H105" i="2"/>
  <c r="H10" i="4"/>
  <c r="H30" i="4"/>
  <c r="H50" i="4"/>
  <c r="H70" i="4"/>
  <c r="H90" i="4"/>
  <c r="H110" i="4"/>
  <c r="H130" i="4"/>
  <c r="H150" i="4"/>
  <c r="I10" i="4"/>
  <c r="P10" i="4" s="1"/>
  <c r="I30" i="4"/>
  <c r="P30" i="4" s="1"/>
  <c r="I50" i="4"/>
  <c r="P50" i="4" s="1"/>
  <c r="I70" i="4"/>
  <c r="P70" i="4" s="1"/>
  <c r="I90" i="4"/>
  <c r="P90" i="4" s="1"/>
  <c r="I110" i="4"/>
  <c r="P110" i="4" s="1"/>
  <c r="I130" i="4"/>
  <c r="P130" i="4" s="1"/>
  <c r="I150" i="4"/>
  <c r="P150" i="4" s="1"/>
  <c r="H11" i="4"/>
  <c r="H31" i="4"/>
  <c r="H51" i="4"/>
  <c r="H71" i="4"/>
  <c r="H91" i="4"/>
  <c r="H111" i="4"/>
  <c r="H131" i="4"/>
  <c r="H151" i="4"/>
  <c r="I11" i="4"/>
  <c r="P11" i="4" s="1"/>
  <c r="I31" i="4"/>
  <c r="P31" i="4" s="1"/>
  <c r="I51" i="4"/>
  <c r="P51" i="4" s="1"/>
  <c r="I71" i="4"/>
  <c r="P71" i="4" s="1"/>
  <c r="I91" i="4"/>
  <c r="P91" i="4" s="1"/>
  <c r="I111" i="4"/>
  <c r="P111" i="4" s="1"/>
  <c r="I131" i="4"/>
  <c r="P131" i="4" s="1"/>
  <c r="I151" i="4"/>
  <c r="P151" i="4" s="1"/>
  <c r="Y49" i="3"/>
  <c r="Y62" i="3"/>
  <c r="Y61" i="3"/>
  <c r="Y55" i="3"/>
  <c r="X41" i="3"/>
  <c r="X106" i="3"/>
  <c r="X73" i="3"/>
  <c r="X95" i="3"/>
  <c r="X94" i="3"/>
  <c r="X57" i="3"/>
  <c r="X52" i="3"/>
  <c r="X45" i="3"/>
  <c r="X104" i="3"/>
  <c r="X96" i="3"/>
  <c r="X85" i="3"/>
  <c r="N143" i="4"/>
  <c r="P124" i="4"/>
  <c r="P68" i="4"/>
  <c r="O153" i="4"/>
  <c r="O145" i="4"/>
  <c r="O120" i="4"/>
  <c r="O86" i="4"/>
  <c r="O21" i="4"/>
  <c r="T18" i="3"/>
  <c r="T4" i="3"/>
  <c r="N122" i="3"/>
  <c r="P122" i="3"/>
  <c r="P121" i="3"/>
  <c r="N102" i="3"/>
  <c r="N74" i="3"/>
  <c r="N72" i="3"/>
  <c r="N11" i="3"/>
  <c r="O76" i="3"/>
  <c r="N66" i="3"/>
  <c r="O62" i="3"/>
  <c r="O56" i="3"/>
  <c r="O42" i="3"/>
  <c r="O38" i="3"/>
  <c r="O8" i="3"/>
  <c r="N101" i="2"/>
  <c r="N100" i="2"/>
  <c r="N87" i="2"/>
  <c r="N79" i="2"/>
  <c r="P73" i="2"/>
  <c r="N59" i="2"/>
  <c r="N52" i="2"/>
  <c r="P33" i="2"/>
  <c r="N107" i="2"/>
  <c r="O101" i="2"/>
  <c r="O100" i="2"/>
  <c r="O98" i="2"/>
  <c r="O79" i="2"/>
  <c r="N31" i="2"/>
  <c r="N15" i="2"/>
  <c r="N14" i="2"/>
  <c r="O7" i="2"/>
  <c r="N4" i="2"/>
  <c r="X15" i="4"/>
  <c r="X16" i="4"/>
  <c r="X63" i="4"/>
  <c r="X68" i="4"/>
  <c r="Y63" i="4"/>
  <c r="X159" i="4"/>
  <c r="Y160" i="4"/>
  <c r="Y51" i="4"/>
  <c r="Y6" i="4"/>
  <c r="Y75" i="4"/>
  <c r="W49" i="4"/>
  <c r="X84" i="4"/>
  <c r="W94" i="4"/>
  <c r="W147" i="4"/>
  <c r="X9" i="4"/>
  <c r="X70" i="4"/>
  <c r="Y49" i="4"/>
  <c r="Y111" i="4"/>
  <c r="Y158" i="4"/>
  <c r="Y159" i="4"/>
  <c r="Y56" i="4"/>
  <c r="Y150" i="4"/>
  <c r="Y69" i="4"/>
  <c r="Y94" i="4"/>
  <c r="X3" i="4"/>
  <c r="Y5" i="4"/>
  <c r="X14" i="4"/>
  <c r="X58" i="4"/>
  <c r="X160" i="4"/>
  <c r="X161" i="4"/>
  <c r="X158" i="4"/>
  <c r="Y147" i="4"/>
  <c r="Y58" i="4"/>
  <c r="X74" i="4"/>
  <c r="Y85" i="4"/>
  <c r="Y132" i="4"/>
  <c r="Y141" i="4"/>
  <c r="Y151" i="4"/>
  <c r="Y123" i="4"/>
  <c r="Y107" i="4"/>
  <c r="Y117" i="4"/>
  <c r="Y133" i="4"/>
  <c r="Y145" i="4"/>
  <c r="Y124" i="4"/>
  <c r="Y98" i="4"/>
  <c r="Y108" i="4"/>
  <c r="Y118" i="4"/>
  <c r="Y142" i="4"/>
  <c r="Y152" i="4"/>
  <c r="Y90" i="4"/>
  <c r="Y110" i="4"/>
  <c r="Y99" i="4"/>
  <c r="Y119" i="4"/>
  <c r="Y134" i="4"/>
  <c r="Y143" i="4"/>
  <c r="Y125" i="4"/>
  <c r="Y89" i="4"/>
  <c r="Y109" i="4"/>
  <c r="Y120" i="4"/>
  <c r="Y135" i="4"/>
  <c r="Y153" i="4"/>
  <c r="Y101" i="4"/>
  <c r="Y121" i="4"/>
  <c r="Y136" i="4"/>
  <c r="Y144" i="4"/>
  <c r="Y93" i="4"/>
  <c r="Y137" i="4"/>
  <c r="Y91" i="4"/>
  <c r="Y122" i="4"/>
  <c r="Y112" i="4"/>
  <c r="Y127" i="4"/>
  <c r="Y146" i="4"/>
  <c r="Y105" i="4"/>
  <c r="Y116" i="4"/>
  <c r="Y131" i="4"/>
  <c r="Y149" i="4"/>
  <c r="Y15" i="4"/>
  <c r="X6" i="4"/>
  <c r="X12" i="4"/>
  <c r="X11" i="4"/>
  <c r="X10" i="4"/>
  <c r="X7" i="4"/>
  <c r="X2" i="4"/>
  <c r="X8" i="4"/>
  <c r="X4" i="4"/>
  <c r="Y148" i="4"/>
  <c r="Y156" i="4"/>
  <c r="X5" i="4"/>
  <c r="Y59" i="4"/>
  <c r="Y57" i="4"/>
  <c r="Y60" i="4"/>
  <c r="Y76" i="4"/>
  <c r="Y79" i="4"/>
  <c r="Y78" i="4"/>
  <c r="Y61" i="4"/>
  <c r="Y66" i="4"/>
  <c r="Y72" i="4"/>
  <c r="Y77" i="4"/>
  <c r="Y64" i="4"/>
  <c r="Y67" i="4"/>
  <c r="Y62" i="4"/>
  <c r="Y73" i="4"/>
  <c r="Y81" i="4"/>
  <c r="Y82" i="4"/>
  <c r="Y113" i="4"/>
  <c r="Y140" i="4"/>
  <c r="Y106" i="4"/>
  <c r="Y87" i="4"/>
  <c r="Y95" i="4"/>
  <c r="W45" i="4"/>
  <c r="W52" i="4"/>
  <c r="W55" i="4"/>
  <c r="W47" i="4"/>
  <c r="Y46" i="4"/>
  <c r="Y50" i="4"/>
  <c r="Y55" i="4"/>
  <c r="Y44" i="4"/>
  <c r="Y52" i="4"/>
  <c r="Y47" i="4"/>
  <c r="Y54" i="4"/>
  <c r="Y48" i="4"/>
  <c r="Y126" i="4"/>
  <c r="Y2" i="4"/>
  <c r="Y10" i="4"/>
  <c r="Y12" i="4"/>
  <c r="Y7" i="4"/>
  <c r="Y8" i="4"/>
  <c r="Y4" i="4"/>
  <c r="Y68" i="4"/>
  <c r="W106" i="4"/>
  <c r="X75" i="4"/>
  <c r="Y74" i="4"/>
  <c r="Y9" i="4"/>
  <c r="Y97" i="4"/>
  <c r="Y130" i="4"/>
  <c r="Y129" i="4"/>
  <c r="X69" i="4"/>
  <c r="W113" i="4"/>
  <c r="Y45" i="4"/>
  <c r="Y115" i="4"/>
  <c r="X59" i="4"/>
  <c r="X77" i="4"/>
  <c r="X57" i="4"/>
  <c r="X60" i="4"/>
  <c r="X76" i="4"/>
  <c r="X79" i="4"/>
  <c r="X66" i="4"/>
  <c r="X61" i="4"/>
  <c r="X71" i="4"/>
  <c r="X72" i="4"/>
  <c r="X78" i="4"/>
  <c r="X80" i="4"/>
  <c r="X64" i="4"/>
  <c r="X67" i="4"/>
  <c r="X62" i="4"/>
  <c r="X73" i="4"/>
  <c r="X81" i="4"/>
  <c r="X82" i="4"/>
  <c r="Y139" i="4"/>
  <c r="Y104" i="4"/>
  <c r="X83" i="4"/>
  <c r="X13" i="4"/>
  <c r="X65" i="4"/>
  <c r="Y70" i="4"/>
  <c r="W135" i="4"/>
  <c r="W153" i="4"/>
  <c r="W92" i="4"/>
  <c r="W137" i="4"/>
  <c r="W121" i="4"/>
  <c r="W136" i="4"/>
  <c r="Y155" i="4"/>
  <c r="Y114" i="4"/>
  <c r="Y88" i="4"/>
  <c r="Y84" i="4"/>
  <c r="Y138" i="4"/>
  <c r="Y103" i="4"/>
  <c r="W156" i="4"/>
  <c r="W128" i="4"/>
  <c r="X32" i="4"/>
  <c r="Y83" i="4"/>
  <c r="Y53" i="4"/>
  <c r="Y102" i="4"/>
  <c r="Y36" i="2"/>
  <c r="W102" i="2"/>
  <c r="Y98" i="2"/>
  <c r="W117" i="2"/>
  <c r="W2" i="2"/>
  <c r="W16" i="2"/>
  <c r="Y116" i="2"/>
  <c r="W119" i="2"/>
  <c r="W24" i="2"/>
  <c r="W23" i="2"/>
  <c r="X120" i="2"/>
  <c r="X57" i="2"/>
  <c r="X8" i="2"/>
  <c r="X5" i="2"/>
  <c r="W17" i="2"/>
  <c r="Y73" i="2"/>
  <c r="Y70" i="2"/>
  <c r="Y93" i="2"/>
  <c r="Y75" i="2"/>
  <c r="Y84" i="2"/>
  <c r="Y106" i="2"/>
  <c r="Y8" i="2"/>
  <c r="Y7" i="2"/>
  <c r="Y6" i="2"/>
  <c r="Y2" i="2"/>
  <c r="Y10" i="2"/>
  <c r="Y3" i="2"/>
  <c r="Y9" i="2"/>
  <c r="Y4" i="2"/>
  <c r="Y5" i="2"/>
  <c r="Y115" i="2"/>
  <c r="Y113" i="2"/>
  <c r="Y119" i="2"/>
  <c r="Y121" i="2"/>
  <c r="Y117" i="2"/>
  <c r="Y19" i="2"/>
  <c r="Y15" i="2"/>
  <c r="Y18" i="2"/>
  <c r="Y11" i="2"/>
  <c r="Y16" i="2"/>
  <c r="Y22" i="2"/>
  <c r="Y21" i="2"/>
  <c r="Y13" i="2"/>
  <c r="Y20" i="2"/>
  <c r="Y12" i="2"/>
  <c r="Y14" i="2"/>
  <c r="Y17" i="2"/>
  <c r="Y33" i="2"/>
  <c r="Y72" i="2"/>
  <c r="Y96" i="2"/>
  <c r="X48" i="2"/>
  <c r="X67" i="2"/>
  <c r="W18" i="2"/>
  <c r="W15" i="2"/>
  <c r="Y65" i="2"/>
  <c r="W109" i="2"/>
  <c r="W35" i="2"/>
  <c r="W29" i="2"/>
  <c r="W38" i="2"/>
  <c r="W27" i="2"/>
  <c r="W108" i="2"/>
  <c r="W33" i="2"/>
  <c r="W19" i="2"/>
  <c r="W105" i="2"/>
  <c r="W31" i="2"/>
  <c r="W28" i="2"/>
  <c r="W13" i="2"/>
  <c r="W32" i="2"/>
  <c r="W22" i="2"/>
  <c r="W7" i="2"/>
  <c r="W95" i="2"/>
  <c r="W25" i="2"/>
  <c r="W37" i="2"/>
  <c r="W30" i="2"/>
  <c r="W34" i="2"/>
  <c r="W83" i="2"/>
  <c r="W75" i="2"/>
  <c r="W26" i="2"/>
  <c r="W20" i="2"/>
  <c r="W40" i="2"/>
  <c r="X4" i="2"/>
  <c r="W5" i="2"/>
  <c r="W69" i="2"/>
  <c r="W84" i="2"/>
  <c r="W9" i="2"/>
  <c r="W98" i="2"/>
  <c r="W93" i="2"/>
  <c r="W21" i="2"/>
  <c r="W39" i="2"/>
  <c r="W72" i="2"/>
  <c r="W36" i="2"/>
  <c r="A2" i="15" a="1"/>
  <c r="A2" i="15" s="1"/>
  <c r="N40" i="4" l="1"/>
  <c r="N13" i="4"/>
  <c r="O13" i="4"/>
  <c r="N53" i="4"/>
  <c r="P46" i="2"/>
  <c r="N46" i="2"/>
  <c r="F15" i="1" a="1"/>
  <c r="F15" i="1" s="1"/>
  <c r="N60" i="2"/>
  <c r="G18" i="1" a="1"/>
  <c r="G18" i="1" s="1"/>
  <c r="N95" i="2"/>
  <c r="N106" i="2"/>
  <c r="N80" i="2"/>
  <c r="O80" i="2"/>
  <c r="R4" i="1" a="1"/>
  <c r="R4" i="1" s="1"/>
  <c r="N66" i="2"/>
  <c r="F17" i="1" a="1"/>
  <c r="F17" i="1" s="1"/>
  <c r="H17" i="1" s="1"/>
  <c r="N117" i="2"/>
  <c r="G7" i="1" a="1"/>
  <c r="G7" i="1" s="1"/>
  <c r="N51" i="2"/>
  <c r="G17" i="1" a="1"/>
  <c r="G17" i="1" s="1"/>
  <c r="F24" i="1" a="1"/>
  <c r="F24" i="1" s="1"/>
  <c r="N112" i="2"/>
  <c r="N84" i="4"/>
  <c r="S15" i="1" a="1"/>
  <c r="S15" i="1" s="1"/>
  <c r="S14" i="1" a="1"/>
  <c r="S14" i="1" s="1"/>
  <c r="N55" i="2"/>
  <c r="O55" i="2"/>
  <c r="G23" i="1" a="1"/>
  <c r="G23" i="1" s="1"/>
  <c r="F6" i="1" a="1"/>
  <c r="F6" i="1" s="1"/>
  <c r="O57" i="2"/>
  <c r="N57" i="2"/>
  <c r="N115" i="4"/>
  <c r="P115" i="4"/>
  <c r="O111" i="2"/>
  <c r="N111" i="2"/>
  <c r="N135" i="4"/>
  <c r="O135" i="4"/>
  <c r="T97" i="3"/>
  <c r="N41" i="4"/>
  <c r="O41" i="4"/>
  <c r="S7" i="1" a="1"/>
  <c r="S7" i="1" s="1"/>
  <c r="N44" i="4"/>
  <c r="O44" i="4"/>
  <c r="P107" i="3"/>
  <c r="F7" i="1" a="1"/>
  <c r="F7" i="1" s="1"/>
  <c r="N58" i="4"/>
  <c r="O58" i="4"/>
  <c r="N122" i="4"/>
  <c r="N58" i="2"/>
  <c r="O58" i="2"/>
  <c r="F26" i="1" a="1"/>
  <c r="F26" i="1" s="1"/>
  <c r="N82" i="2"/>
  <c r="O21" i="2"/>
  <c r="N21" i="2"/>
  <c r="R26" i="1" a="1"/>
  <c r="R26" i="1" s="1"/>
  <c r="T80" i="3"/>
  <c r="O18" i="3"/>
  <c r="N18" i="3"/>
  <c r="O118" i="3"/>
  <c r="N118" i="3"/>
  <c r="P117" i="3"/>
  <c r="T14" i="3"/>
  <c r="T16" i="3"/>
  <c r="T118" i="3"/>
  <c r="C6" i="1" a="1"/>
  <c r="C6" i="1" s="1"/>
  <c r="C5" i="1" a="1"/>
  <c r="C5" i="1" s="1"/>
  <c r="C4" i="1" a="1"/>
  <c r="C4" i="1" s="1"/>
  <c r="B4" i="1" a="1"/>
  <c r="B4" i="1" s="1"/>
  <c r="C8" i="1" a="1"/>
  <c r="C8" i="1" s="1"/>
  <c r="C7" i="1" a="1"/>
  <c r="C7" i="1" s="1"/>
  <c r="N2" i="2"/>
  <c r="B3" i="1" a="1"/>
  <c r="B3" i="1" s="1"/>
  <c r="O2" i="2"/>
  <c r="C3" i="1" a="1"/>
  <c r="C3" i="1" s="1"/>
  <c r="B8" i="1" a="1"/>
  <c r="B8" i="1" s="1"/>
  <c r="B7" i="1" a="1"/>
  <c r="B7" i="1" s="1"/>
  <c r="B6" i="1" a="1"/>
  <c r="B6" i="1" s="1"/>
  <c r="B5" i="1" a="1"/>
  <c r="B5" i="1" s="1"/>
  <c r="N94" i="2"/>
  <c r="O94" i="2"/>
  <c r="G28" i="1" a="1"/>
  <c r="G28" i="1" s="1"/>
  <c r="N99" i="3"/>
  <c r="N71" i="4"/>
  <c r="O71" i="4"/>
  <c r="N105" i="2"/>
  <c r="O105" i="2"/>
  <c r="P28" i="3"/>
  <c r="O107" i="3"/>
  <c r="N107" i="3"/>
  <c r="G27" i="1" a="1"/>
  <c r="G27" i="1" s="1"/>
  <c r="R25" i="1" a="1"/>
  <c r="R25" i="1" s="1"/>
  <c r="P80" i="3"/>
  <c r="P14" i="3"/>
  <c r="N51" i="4"/>
  <c r="O51" i="4"/>
  <c r="O85" i="2"/>
  <c r="N85" i="2"/>
  <c r="O9" i="4"/>
  <c r="N9" i="4"/>
  <c r="N103" i="2"/>
  <c r="O103" i="2"/>
  <c r="P51" i="3"/>
  <c r="P40" i="2"/>
  <c r="N40" i="2"/>
  <c r="P99" i="3"/>
  <c r="O31" i="4"/>
  <c r="N31" i="4"/>
  <c r="O65" i="2"/>
  <c r="N65" i="2"/>
  <c r="O3" i="2"/>
  <c r="N3" i="2"/>
  <c r="N52" i="3"/>
  <c r="O52" i="3"/>
  <c r="R3" i="1" a="1"/>
  <c r="R3" i="1" s="1"/>
  <c r="N97" i="2"/>
  <c r="O97" i="2"/>
  <c r="T87" i="3"/>
  <c r="T46" i="3"/>
  <c r="N23" i="2"/>
  <c r="F27" i="1" a="1"/>
  <c r="F27" i="1" s="1"/>
  <c r="P16" i="3"/>
  <c r="O114" i="2"/>
  <c r="N114" i="2"/>
  <c r="N61" i="2"/>
  <c r="O61" i="2"/>
  <c r="O76" i="4"/>
  <c r="N76" i="4"/>
  <c r="O80" i="3"/>
  <c r="N80" i="3"/>
  <c r="O119" i="3"/>
  <c r="N119" i="3"/>
  <c r="P118" i="3"/>
  <c r="N117" i="3"/>
  <c r="O117" i="3"/>
  <c r="G13" i="1" a="1"/>
  <c r="G13" i="1" s="1"/>
  <c r="O14" i="3"/>
  <c r="N14" i="3"/>
  <c r="N6" i="3"/>
  <c r="O6" i="3"/>
  <c r="O60" i="3"/>
  <c r="N60" i="3"/>
  <c r="T98" i="3"/>
  <c r="P46" i="4"/>
  <c r="N46" i="4"/>
  <c r="T47" i="3"/>
  <c r="N40" i="3"/>
  <c r="P40" i="3"/>
  <c r="R14" i="1" a="1"/>
  <c r="R14" i="1" s="1"/>
  <c r="N79" i="3"/>
  <c r="O79" i="3"/>
  <c r="N17" i="4"/>
  <c r="O17" i="4"/>
  <c r="P78" i="3"/>
  <c r="N15" i="4"/>
  <c r="O15" i="4"/>
  <c r="O8" i="2"/>
  <c r="N8" i="2"/>
  <c r="O161" i="4"/>
  <c r="N161" i="4"/>
  <c r="P17" i="3"/>
  <c r="T99" i="3"/>
  <c r="O47" i="3"/>
  <c r="N47" i="3"/>
  <c r="N41" i="2"/>
  <c r="O41" i="2"/>
  <c r="F23" i="1" a="1"/>
  <c r="F23" i="1" s="1"/>
  <c r="N59" i="4"/>
  <c r="N74" i="2"/>
  <c r="P74" i="2"/>
  <c r="P105" i="3"/>
  <c r="P57" i="3"/>
  <c r="O141" i="4"/>
  <c r="N141" i="4"/>
  <c r="P20" i="3"/>
  <c r="R16" i="1" a="1"/>
  <c r="R16" i="1" s="1"/>
  <c r="P79" i="3"/>
  <c r="O78" i="3"/>
  <c r="N78" i="3"/>
  <c r="T25" i="3"/>
  <c r="N116" i="3"/>
  <c r="O116" i="3"/>
  <c r="T85" i="3"/>
  <c r="T20" i="3"/>
  <c r="R17" i="1" a="1"/>
  <c r="R17" i="1" s="1"/>
  <c r="T79" i="3"/>
  <c r="T78" i="3"/>
  <c r="P114" i="3"/>
  <c r="N87" i="3"/>
  <c r="O87" i="3"/>
  <c r="P46" i="3"/>
  <c r="N17" i="3"/>
  <c r="O17" i="3"/>
  <c r="N147" i="4"/>
  <c r="O147" i="4"/>
  <c r="N6" i="4"/>
  <c r="O6" i="4"/>
  <c r="P47" i="3"/>
  <c r="P3" i="4"/>
  <c r="G24" i="1" a="1"/>
  <c r="G24" i="1" s="1"/>
  <c r="N27" i="3"/>
  <c r="O27" i="3"/>
  <c r="G5" i="1" a="1"/>
  <c r="G5" i="1" s="1"/>
  <c r="B15" i="1" a="1"/>
  <c r="B15" i="1" s="1"/>
  <c r="O85" i="3"/>
  <c r="N85" i="3"/>
  <c r="S26" i="1" a="1"/>
  <c r="S26" i="1" s="1"/>
  <c r="S18" i="1" a="1"/>
  <c r="S18" i="1" s="1"/>
  <c r="N59" i="3"/>
  <c r="O59" i="3"/>
  <c r="P76" i="3"/>
  <c r="P58" i="3"/>
  <c r="N114" i="3"/>
  <c r="O114" i="3"/>
  <c r="N11" i="2"/>
  <c r="O156" i="4"/>
  <c r="N156" i="4"/>
  <c r="O5" i="2"/>
  <c r="N5" i="2"/>
  <c r="O76" i="2"/>
  <c r="N76" i="2"/>
  <c r="N89" i="4"/>
  <c r="P89" i="4"/>
  <c r="N64" i="2"/>
  <c r="O64" i="2"/>
  <c r="N43" i="2"/>
  <c r="P43" i="2"/>
  <c r="N107" i="4"/>
  <c r="O107" i="4"/>
  <c r="N38" i="4"/>
  <c r="O38" i="4"/>
  <c r="P27" i="3"/>
  <c r="P42" i="4"/>
  <c r="N42" i="4"/>
  <c r="N4" i="4"/>
  <c r="P4" i="4"/>
  <c r="N34" i="2"/>
  <c r="O34" i="2"/>
  <c r="P85" i="3"/>
  <c r="N35" i="4"/>
  <c r="O35" i="4"/>
  <c r="R27" i="1" a="1"/>
  <c r="R27" i="1" s="1"/>
  <c r="R15" i="1" a="1"/>
  <c r="R15" i="1" s="1"/>
  <c r="P59" i="3"/>
  <c r="T76" i="3"/>
  <c r="T94" i="3"/>
  <c r="G16" i="1" a="1"/>
  <c r="G16" i="1" s="1"/>
  <c r="B28" i="1" a="1"/>
  <c r="B28" i="1" s="1"/>
  <c r="B27" i="1" a="1"/>
  <c r="B27" i="1" s="1"/>
  <c r="B26" i="1" a="1"/>
  <c r="B26" i="1" s="1"/>
  <c r="B25" i="1" a="1"/>
  <c r="B25" i="1" s="1"/>
  <c r="B24" i="1" a="1"/>
  <c r="B24" i="1" s="1"/>
  <c r="O2" i="4"/>
  <c r="C28" i="1" a="1"/>
  <c r="C28" i="1" s="1"/>
  <c r="C27" i="1" a="1"/>
  <c r="C27" i="1" s="1"/>
  <c r="C26" i="1" a="1"/>
  <c r="C26" i="1" s="1"/>
  <c r="C25" i="1" a="1"/>
  <c r="C25" i="1" s="1"/>
  <c r="C24" i="1" a="1"/>
  <c r="C24" i="1" s="1"/>
  <c r="C23" i="1" a="1"/>
  <c r="C23" i="1" s="1"/>
  <c r="B23" i="1" a="1"/>
  <c r="B23" i="1" s="1"/>
  <c r="N2" i="4"/>
  <c r="P34" i="3"/>
  <c r="N136" i="4"/>
  <c r="O136" i="4"/>
  <c r="G25" i="1" a="1"/>
  <c r="G25" i="1" s="1"/>
  <c r="T105" i="3"/>
  <c r="N90" i="3"/>
  <c r="O90" i="3"/>
  <c r="O77" i="2"/>
  <c r="N77" i="2"/>
  <c r="T119" i="3"/>
  <c r="N12" i="2"/>
  <c r="O12" i="2"/>
  <c r="R13" i="1" a="1"/>
  <c r="R13" i="1" s="1"/>
  <c r="P56" i="2"/>
  <c r="N56" i="2"/>
  <c r="N106" i="4"/>
  <c r="O106" i="4"/>
  <c r="N64" i="4"/>
  <c r="O64" i="4"/>
  <c r="T45" i="3"/>
  <c r="P90" i="3"/>
  <c r="F8" i="1" a="1"/>
  <c r="F8" i="1" s="1"/>
  <c r="T128" i="3"/>
  <c r="N86" i="3"/>
  <c r="P45" i="3"/>
  <c r="S23" i="1" a="1"/>
  <c r="S23" i="1" s="1"/>
  <c r="N58" i="3"/>
  <c r="S13" i="1" a="1"/>
  <c r="S13" i="1" s="1"/>
  <c r="T38" i="3"/>
  <c r="T74" i="3"/>
  <c r="O11" i="4"/>
  <c r="N11" i="4"/>
  <c r="O96" i="4"/>
  <c r="N96" i="4"/>
  <c r="T60" i="3"/>
  <c r="P67" i="3"/>
  <c r="T40" i="3"/>
  <c r="P83" i="2"/>
  <c r="N83" i="2"/>
  <c r="P94" i="3"/>
  <c r="P142" i="4"/>
  <c r="N142" i="4"/>
  <c r="S24" i="1" a="1"/>
  <c r="S24" i="1" s="1"/>
  <c r="O81" i="4"/>
  <c r="N81" i="4"/>
  <c r="T39" i="3"/>
  <c r="P18" i="3"/>
  <c r="F18" i="1" a="1"/>
  <c r="F18" i="1" s="1"/>
  <c r="H18" i="1" s="1"/>
  <c r="P74" i="3"/>
  <c r="F28" i="1" a="1"/>
  <c r="F28" i="1" s="1"/>
  <c r="O91" i="2"/>
  <c r="N91" i="2"/>
  <c r="R5" i="1" a="1"/>
  <c r="R5" i="1" s="1"/>
  <c r="O26" i="3"/>
  <c r="N26" i="3"/>
  <c r="N36" i="4"/>
  <c r="O36" i="4"/>
  <c r="P60" i="3"/>
  <c r="P146" i="4"/>
  <c r="N146" i="4"/>
  <c r="N57" i="3"/>
  <c r="O57" i="3"/>
  <c r="N77" i="3"/>
  <c r="N101" i="4"/>
  <c r="O101" i="4"/>
  <c r="N94" i="3"/>
  <c r="O94" i="3"/>
  <c r="O112" i="2"/>
  <c r="O67" i="3"/>
  <c r="O110" i="4"/>
  <c r="N110" i="4"/>
  <c r="O83" i="4"/>
  <c r="N83" i="4"/>
  <c r="T6" i="3"/>
  <c r="N88" i="3"/>
  <c r="O88" i="3"/>
  <c r="T7" i="3"/>
  <c r="N108" i="3"/>
  <c r="P108" i="3"/>
  <c r="N116" i="4"/>
  <c r="P116" i="4"/>
  <c r="N22" i="4"/>
  <c r="P25" i="3"/>
  <c r="O16" i="4"/>
  <c r="N16" i="4"/>
  <c r="S25" i="1" a="1"/>
  <c r="S25" i="1" s="1"/>
  <c r="N30" i="2"/>
  <c r="O30" i="2"/>
  <c r="N69" i="2"/>
  <c r="O69" i="2"/>
  <c r="N20" i="3"/>
  <c r="O20" i="3"/>
  <c r="N19" i="3"/>
  <c r="O19" i="3"/>
  <c r="O95" i="4"/>
  <c r="N95" i="4"/>
  <c r="F13" i="1" a="1"/>
  <c r="F13" i="1" s="1"/>
  <c r="O74" i="3"/>
  <c r="N45" i="2"/>
  <c r="O45" i="2"/>
  <c r="N32" i="2"/>
  <c r="P32" i="2"/>
  <c r="G6" i="1" a="1"/>
  <c r="G6" i="1" s="1"/>
  <c r="T17" i="3"/>
  <c r="N123" i="4"/>
  <c r="O123" i="4"/>
  <c r="O103" i="4"/>
  <c r="N103" i="4"/>
  <c r="N149" i="4"/>
  <c r="O149" i="4"/>
  <c r="N89" i="3"/>
  <c r="O89" i="3"/>
  <c r="T66" i="3"/>
  <c r="N25" i="3"/>
  <c r="O25" i="3"/>
  <c r="G3" i="1" a="1"/>
  <c r="G3" i="1" s="1"/>
  <c r="P3" i="2"/>
  <c r="G8" i="1" a="1"/>
  <c r="G8" i="1" s="1"/>
  <c r="P109" i="3"/>
  <c r="N109" i="3"/>
  <c r="N62" i="4"/>
  <c r="O62" i="4"/>
  <c r="N76" i="3"/>
  <c r="N36" i="3"/>
  <c r="O36" i="3"/>
  <c r="T5" i="3"/>
  <c r="S17" i="1" a="1"/>
  <c r="S17" i="1" s="1"/>
  <c r="S27" i="1" a="1"/>
  <c r="S27" i="1" s="1"/>
  <c r="O61" i="4"/>
  <c r="N61" i="4"/>
  <c r="O120" i="3"/>
  <c r="N120" i="3"/>
  <c r="S16" i="1" a="1"/>
  <c r="S16" i="1" s="1"/>
  <c r="P19" i="3"/>
  <c r="N98" i="4"/>
  <c r="F16" i="1" a="1"/>
  <c r="F16" i="1" s="1"/>
  <c r="P54" i="3"/>
  <c r="O37" i="4"/>
  <c r="N37" i="4"/>
  <c r="N96" i="2"/>
  <c r="P96" i="2"/>
  <c r="P119" i="3"/>
  <c r="R6" i="1" a="1"/>
  <c r="R6" i="1" s="1"/>
  <c r="F25" i="1" a="1"/>
  <c r="F25" i="1" s="1"/>
  <c r="H25" i="1" s="1"/>
  <c r="N17" i="2"/>
  <c r="O17" i="2"/>
  <c r="N150" i="4"/>
  <c r="O150" i="4"/>
  <c r="T68" i="3"/>
  <c r="N20" i="4"/>
  <c r="N70" i="2"/>
  <c r="O70" i="2"/>
  <c r="N29" i="4"/>
  <c r="O129" i="4"/>
  <c r="N129" i="4"/>
  <c r="N63" i="4"/>
  <c r="O63" i="4"/>
  <c r="N24" i="2"/>
  <c r="O24" i="2"/>
  <c r="O151" i="4"/>
  <c r="N151" i="4"/>
  <c r="O109" i="4"/>
  <c r="N109" i="4"/>
  <c r="O7" i="4"/>
  <c r="N7" i="4"/>
  <c r="N117" i="4"/>
  <c r="N98" i="2"/>
  <c r="O121" i="4"/>
  <c r="O131" i="4"/>
  <c r="N131" i="4"/>
  <c r="N50" i="4"/>
  <c r="O50" i="4"/>
  <c r="N23" i="4"/>
  <c r="O23" i="4"/>
  <c r="N119" i="4"/>
  <c r="O119" i="4"/>
  <c r="B18" i="1" a="1"/>
  <c r="B18" i="1" s="1"/>
  <c r="N127" i="3"/>
  <c r="O127" i="3"/>
  <c r="F3" i="1" a="1"/>
  <c r="F3" i="1" s="1"/>
  <c r="P48" i="3"/>
  <c r="O158" i="4"/>
  <c r="N158" i="4"/>
  <c r="P97" i="4"/>
  <c r="N97" i="4"/>
  <c r="N108" i="2"/>
  <c r="P56" i="3"/>
  <c r="T36" i="3"/>
  <c r="N5" i="3"/>
  <c r="C18" i="1" a="1"/>
  <c r="C18" i="1" s="1"/>
  <c r="B14" i="1" a="1"/>
  <c r="B14" i="1" s="1"/>
  <c r="C16" i="1" a="1"/>
  <c r="C16" i="1" s="1"/>
  <c r="O5" i="3"/>
  <c r="C15" i="1" a="1"/>
  <c r="C15" i="1" s="1"/>
  <c r="E15" i="1" s="1"/>
  <c r="C14" i="1" a="1"/>
  <c r="C14" i="1" s="1"/>
  <c r="O92" i="2"/>
  <c r="N92" i="2"/>
  <c r="P96" i="3"/>
  <c r="P37" i="3"/>
  <c r="S28" i="1" a="1"/>
  <c r="S28" i="1" s="1"/>
  <c r="O29" i="2"/>
  <c r="N29" i="2"/>
  <c r="T120" i="3"/>
  <c r="O96" i="3"/>
  <c r="N96" i="3"/>
  <c r="T19" i="3"/>
  <c r="N110" i="2"/>
  <c r="O54" i="3"/>
  <c r="N54" i="3"/>
  <c r="O102" i="2"/>
  <c r="N102" i="2"/>
  <c r="T117" i="3"/>
  <c r="O25" i="2"/>
  <c r="N25" i="2"/>
  <c r="P26" i="3"/>
  <c r="N125" i="3"/>
  <c r="O125" i="3"/>
  <c r="O84" i="2"/>
  <c r="N84" i="2"/>
  <c r="R18" i="1" a="1"/>
  <c r="R18" i="1" s="1"/>
  <c r="N38" i="3"/>
  <c r="N67" i="3"/>
  <c r="G4" i="1" a="1"/>
  <c r="G4" i="1" s="1"/>
  <c r="N157" i="4"/>
  <c r="O157" i="4"/>
  <c r="N120" i="2"/>
  <c r="N90" i="4"/>
  <c r="O90" i="4"/>
  <c r="N36" i="2"/>
  <c r="O36" i="2"/>
  <c r="B17" i="1" a="1"/>
  <c r="B17" i="1" s="1"/>
  <c r="N126" i="3"/>
  <c r="O126" i="3"/>
  <c r="O50" i="3"/>
  <c r="N50" i="3"/>
  <c r="N37" i="3"/>
  <c r="O37" i="3"/>
  <c r="N37" i="2"/>
  <c r="O77" i="3"/>
  <c r="N44" i="2"/>
  <c r="O138" i="4"/>
  <c r="O111" i="4"/>
  <c r="N111" i="4"/>
  <c r="N30" i="4"/>
  <c r="O30" i="4"/>
  <c r="N69" i="4"/>
  <c r="O69" i="4"/>
  <c r="O3" i="4"/>
  <c r="N3" i="4"/>
  <c r="C13" i="1" a="1"/>
  <c r="C13" i="1" s="1"/>
  <c r="P29" i="3"/>
  <c r="P127" i="3"/>
  <c r="F4" i="1" a="1"/>
  <c r="F4" i="1" s="1"/>
  <c r="N56" i="3"/>
  <c r="P5" i="3"/>
  <c r="F14" i="1" a="1"/>
  <c r="F14" i="1" s="1"/>
  <c r="N55" i="4"/>
  <c r="O55" i="4"/>
  <c r="T37" i="3"/>
  <c r="R23" i="1" a="1"/>
  <c r="R23" i="1" s="1"/>
  <c r="O97" i="3"/>
  <c r="N97" i="3"/>
  <c r="T100" i="3"/>
  <c r="G14" i="1" a="1"/>
  <c r="G14" i="1" s="1"/>
  <c r="T34" i="3"/>
  <c r="O104" i="2"/>
  <c r="N104" i="2"/>
  <c r="N38" i="2"/>
  <c r="O38" i="2"/>
  <c r="O98" i="3"/>
  <c r="N98" i="3"/>
  <c r="P98" i="3"/>
  <c r="O71" i="2"/>
  <c r="N71" i="2"/>
  <c r="O82" i="4"/>
  <c r="N82" i="4"/>
  <c r="O49" i="3"/>
  <c r="N49" i="3"/>
  <c r="R28" i="1" a="1"/>
  <c r="R28" i="1" s="1"/>
  <c r="O130" i="4"/>
  <c r="N130" i="4"/>
  <c r="B13" i="1" a="1"/>
  <c r="B13" i="1" s="1"/>
  <c r="B16" i="1" a="1"/>
  <c r="B16" i="1" s="1"/>
  <c r="O70" i="4"/>
  <c r="N70" i="4"/>
  <c r="O43" i="4"/>
  <c r="N43" i="4"/>
  <c r="T3" i="2"/>
  <c r="S6" i="1" a="1"/>
  <c r="S6" i="1" s="1"/>
  <c r="S8" i="1" a="1"/>
  <c r="S8" i="1" s="1"/>
  <c r="S5" i="1" a="1"/>
  <c r="S5" i="1" s="1"/>
  <c r="S4" i="1" a="1"/>
  <c r="S4" i="1" s="1"/>
  <c r="U4" i="1" s="1"/>
  <c r="R8" i="1" a="1"/>
  <c r="R8" i="1" s="1"/>
  <c r="R7" i="1" a="1"/>
  <c r="R7" i="1" s="1"/>
  <c r="S3" i="1" a="1"/>
  <c r="S3" i="1" s="1"/>
  <c r="O144" i="4"/>
  <c r="N144" i="4"/>
  <c r="N46" i="3"/>
  <c r="O91" i="4"/>
  <c r="N91" i="4"/>
  <c r="O10" i="4"/>
  <c r="N10" i="4"/>
  <c r="O49" i="4"/>
  <c r="N49" i="4"/>
  <c r="N51" i="3"/>
  <c r="O51" i="3"/>
  <c r="N47" i="4"/>
  <c r="O47" i="4"/>
  <c r="C17" i="1" a="1"/>
  <c r="C17" i="1" s="1"/>
  <c r="N28" i="3"/>
  <c r="O28" i="3"/>
  <c r="F5" i="1" a="1"/>
  <c r="F5" i="1" s="1"/>
  <c r="H5" i="1" s="1"/>
  <c r="T86" i="3"/>
  <c r="O88" i="2"/>
  <c r="N88" i="2"/>
  <c r="N49" i="2"/>
  <c r="O78" i="2"/>
  <c r="N78" i="2"/>
  <c r="G26" i="1" a="1"/>
  <c r="G26" i="1" s="1"/>
  <c r="T54" i="3"/>
  <c r="N155" i="4"/>
  <c r="O155" i="4"/>
  <c r="P72" i="2"/>
  <c r="N72" i="2"/>
  <c r="R24" i="1" a="1"/>
  <c r="R24" i="1" s="1"/>
  <c r="O9" i="2"/>
  <c r="N9" i="2"/>
  <c r="P100" i="3"/>
  <c r="N75" i="4"/>
  <c r="P75" i="4"/>
  <c r="G15" i="1" a="1"/>
  <c r="G15" i="1" s="1"/>
  <c r="I15" i="1" s="1"/>
  <c r="N34" i="3"/>
  <c r="O34" i="3"/>
  <c r="W142" i="4"/>
  <c r="W108" i="4"/>
  <c r="W53" i="4"/>
  <c r="Y161" i="4"/>
  <c r="W152" i="4"/>
  <c r="W97" i="4"/>
  <c r="W139" i="4"/>
  <c r="X29" i="4"/>
  <c r="X17" i="4"/>
  <c r="W145" i="4"/>
  <c r="W124" i="4"/>
  <c r="X38" i="4"/>
  <c r="W120" i="4"/>
  <c r="W51" i="4"/>
  <c r="W98" i="4"/>
  <c r="X22" i="4"/>
  <c r="W99" i="4"/>
  <c r="W101" i="4"/>
  <c r="W125" i="4"/>
  <c r="X33" i="4"/>
  <c r="W91" i="4"/>
  <c r="W133" i="4"/>
  <c r="W123" i="4"/>
  <c r="X20" i="4"/>
  <c r="W48" i="4"/>
  <c r="Y80" i="4"/>
  <c r="Y154" i="4"/>
  <c r="Y86" i="4"/>
  <c r="Y128" i="4"/>
  <c r="Y65" i="4"/>
  <c r="W118" i="4"/>
  <c r="W102" i="4"/>
  <c r="W149" i="4"/>
  <c r="W100" i="4"/>
  <c r="W110" i="4"/>
  <c r="W144" i="4"/>
  <c r="X31" i="4"/>
  <c r="W54" i="4"/>
  <c r="Y71" i="4"/>
  <c r="Y100" i="4"/>
  <c r="Y92" i="4"/>
  <c r="Y157" i="4"/>
  <c r="W114" i="4"/>
  <c r="W104" i="4"/>
  <c r="W87" i="4"/>
  <c r="W115" i="4"/>
  <c r="W95" i="4"/>
  <c r="W103" i="4"/>
  <c r="W150" i="4"/>
  <c r="W117" i="4"/>
  <c r="W129" i="4"/>
  <c r="W138" i="4"/>
  <c r="W131" i="4"/>
  <c r="W109" i="4"/>
  <c r="W107" i="4"/>
  <c r="W44" i="4"/>
  <c r="Y3" i="4"/>
  <c r="W148" i="4"/>
  <c r="W89" i="4"/>
  <c r="W116" i="4"/>
  <c r="W151" i="4"/>
  <c r="W154" i="4"/>
  <c r="W127" i="4"/>
  <c r="W143" i="4"/>
  <c r="W132" i="4"/>
  <c r="X35" i="4"/>
  <c r="W56" i="4"/>
  <c r="W105" i="4"/>
  <c r="W126" i="4"/>
  <c r="W146" i="4"/>
  <c r="W141" i="4"/>
  <c r="W46" i="4"/>
  <c r="Y14" i="4"/>
  <c r="Y13" i="4"/>
  <c r="W112" i="4"/>
  <c r="W134" i="4"/>
  <c r="W85" i="4"/>
  <c r="X28" i="4"/>
  <c r="Y11" i="4"/>
  <c r="W96" i="4"/>
  <c r="W140" i="4"/>
  <c r="W88" i="4"/>
  <c r="Y16" i="4"/>
  <c r="W90" i="4"/>
  <c r="W155" i="4"/>
  <c r="W50" i="4"/>
  <c r="W86" i="4"/>
  <c r="W119" i="4"/>
  <c r="X42" i="4"/>
  <c r="W130" i="4"/>
  <c r="W111" i="4"/>
  <c r="Y96" i="4"/>
  <c r="W157" i="4"/>
  <c r="W122" i="4"/>
  <c r="W93" i="4"/>
  <c r="X25" i="4"/>
  <c r="W6" i="4"/>
  <c r="W10" i="4"/>
  <c r="W2" i="4"/>
  <c r="W7" i="4"/>
  <c r="W12" i="4"/>
  <c r="W11" i="4"/>
  <c r="W8" i="4"/>
  <c r="W4" i="4"/>
  <c r="W15" i="4"/>
  <c r="W9" i="4"/>
  <c r="W3" i="4"/>
  <c r="W16" i="4"/>
  <c r="W5" i="4"/>
  <c r="W13" i="4"/>
  <c r="W14" i="4"/>
  <c r="X85" i="4"/>
  <c r="X132" i="4"/>
  <c r="X141" i="4"/>
  <c r="X151" i="4"/>
  <c r="X101" i="4"/>
  <c r="X107" i="4"/>
  <c r="X117" i="4"/>
  <c r="X133" i="4"/>
  <c r="X110" i="4"/>
  <c r="X93" i="4"/>
  <c r="X98" i="4"/>
  <c r="X108" i="4"/>
  <c r="X118" i="4"/>
  <c r="X142" i="4"/>
  <c r="X152" i="4"/>
  <c r="X90" i="4"/>
  <c r="X123" i="4"/>
  <c r="X99" i="4"/>
  <c r="X119" i="4"/>
  <c r="X134" i="4"/>
  <c r="X143" i="4"/>
  <c r="X124" i="4"/>
  <c r="X137" i="4"/>
  <c r="X89" i="4"/>
  <c r="X109" i="4"/>
  <c r="X120" i="4"/>
  <c r="X135" i="4"/>
  <c r="X153" i="4"/>
  <c r="X121" i="4"/>
  <c r="X136" i="4"/>
  <c r="X144" i="4"/>
  <c r="X100" i="4"/>
  <c r="X125" i="4"/>
  <c r="X145" i="4"/>
  <c r="X86" i="4"/>
  <c r="X91" i="4"/>
  <c r="X122" i="4"/>
  <c r="X92" i="4"/>
  <c r="X154" i="4"/>
  <c r="X155" i="4"/>
  <c r="X112" i="4"/>
  <c r="X127" i="4"/>
  <c r="X146" i="4"/>
  <c r="X105" i="4"/>
  <c r="X116" i="4"/>
  <c r="X131" i="4"/>
  <c r="X149" i="4"/>
  <c r="X96" i="4"/>
  <c r="X130" i="4"/>
  <c r="X115" i="4"/>
  <c r="X94" i="4"/>
  <c r="X157" i="4"/>
  <c r="X97" i="4"/>
  <c r="X102" i="4"/>
  <c r="X103" i="4"/>
  <c r="X138" i="4"/>
  <c r="X88" i="4"/>
  <c r="X126" i="4"/>
  <c r="X104" i="4"/>
  <c r="X139" i="4"/>
  <c r="X106" i="4"/>
  <c r="X140" i="4"/>
  <c r="X111" i="4"/>
  <c r="X150" i="4"/>
  <c r="X128" i="4"/>
  <c r="X95" i="4"/>
  <c r="X87" i="4"/>
  <c r="X147" i="4"/>
  <c r="X129" i="4"/>
  <c r="X113" i="4"/>
  <c r="X114" i="4"/>
  <c r="X148" i="4"/>
  <c r="X156" i="4"/>
  <c r="W160" i="4"/>
  <c r="W161" i="4"/>
  <c r="W158" i="4"/>
  <c r="W159" i="4"/>
  <c r="X36" i="4"/>
  <c r="W31" i="4"/>
  <c r="W33" i="4"/>
  <c r="W22" i="4"/>
  <c r="W20" i="4"/>
  <c r="W41" i="4"/>
  <c r="W29" i="4"/>
  <c r="W17" i="4"/>
  <c r="W25" i="4"/>
  <c r="W18" i="4"/>
  <c r="W38" i="4"/>
  <c r="W19" i="4"/>
  <c r="W26" i="4"/>
  <c r="W32" i="4"/>
  <c r="W21" i="4"/>
  <c r="W34" i="4"/>
  <c r="W37" i="4"/>
  <c r="W42" i="4"/>
  <c r="W28" i="4"/>
  <c r="W35" i="4"/>
  <c r="W23" i="4"/>
  <c r="W24" i="4"/>
  <c r="W27" i="4"/>
  <c r="W43" i="4"/>
  <c r="W40" i="4"/>
  <c r="W39" i="4"/>
  <c r="W30" i="4"/>
  <c r="W36" i="4"/>
  <c r="X21" i="4"/>
  <c r="X37" i="4"/>
  <c r="W59" i="4"/>
  <c r="W72" i="4"/>
  <c r="W57" i="4"/>
  <c r="W60" i="4"/>
  <c r="W76" i="4"/>
  <c r="W79" i="4"/>
  <c r="W66" i="4"/>
  <c r="W61" i="4"/>
  <c r="W71" i="4"/>
  <c r="W78" i="4"/>
  <c r="W80" i="4"/>
  <c r="W77" i="4"/>
  <c r="W64" i="4"/>
  <c r="W67" i="4"/>
  <c r="W62" i="4"/>
  <c r="W73" i="4"/>
  <c r="W81" i="4"/>
  <c r="W82" i="4"/>
  <c r="W63" i="4"/>
  <c r="W69" i="4"/>
  <c r="W58" i="4"/>
  <c r="W70" i="4"/>
  <c r="W74" i="4"/>
  <c r="W68" i="4"/>
  <c r="W83" i="4"/>
  <c r="W84" i="4"/>
  <c r="W65" i="4"/>
  <c r="W75" i="4"/>
  <c r="X23" i="4"/>
  <c r="X24" i="4"/>
  <c r="X40" i="4"/>
  <c r="X39" i="4"/>
  <c r="X27" i="4"/>
  <c r="X26" i="4"/>
  <c r="Y31" i="4"/>
  <c r="Y29" i="4"/>
  <c r="Y41" i="4"/>
  <c r="Y20" i="4"/>
  <c r="Y33" i="4"/>
  <c r="Y17" i="4"/>
  <c r="Y25" i="4"/>
  <c r="Y18" i="4"/>
  <c r="Y19" i="4"/>
  <c r="Y26" i="4"/>
  <c r="Y32" i="4"/>
  <c r="Y22" i="4"/>
  <c r="Y21" i="4"/>
  <c r="Y34" i="4"/>
  <c r="Y37" i="4"/>
  <c r="Y42" i="4"/>
  <c r="Y38" i="4"/>
  <c r="Y28" i="4"/>
  <c r="Y35" i="4"/>
  <c r="Y27" i="4"/>
  <c r="Y39" i="4"/>
  <c r="Y43" i="4"/>
  <c r="Y24" i="4"/>
  <c r="Y40" i="4"/>
  <c r="Y23" i="4"/>
  <c r="Y30" i="4"/>
  <c r="Y36" i="4"/>
  <c r="X19" i="4"/>
  <c r="X30" i="4"/>
  <c r="X34" i="4"/>
  <c r="X41" i="4"/>
  <c r="X46" i="4"/>
  <c r="X50" i="4"/>
  <c r="X45" i="4"/>
  <c r="X44" i="4"/>
  <c r="X47" i="4"/>
  <c r="X54" i="4"/>
  <c r="X52" i="4"/>
  <c r="X55" i="4"/>
  <c r="X48" i="4"/>
  <c r="X56" i="4"/>
  <c r="X49" i="4"/>
  <c r="X51" i="4"/>
  <c r="X53" i="4"/>
  <c r="X43" i="4"/>
  <c r="X18" i="4"/>
  <c r="Y68" i="2"/>
  <c r="Y85" i="2"/>
  <c r="Y101" i="2"/>
  <c r="Y76" i="2"/>
  <c r="Y109" i="2"/>
  <c r="Y92" i="2"/>
  <c r="Y81" i="2"/>
  <c r="W82" i="2"/>
  <c r="W121" i="2"/>
  <c r="W73" i="2"/>
  <c r="Y112" i="2"/>
  <c r="Y91" i="2"/>
  <c r="W74" i="2"/>
  <c r="Y100" i="2"/>
  <c r="Y77" i="2"/>
  <c r="Y104" i="2"/>
  <c r="W76" i="2"/>
  <c r="W90" i="2"/>
  <c r="Y108" i="2"/>
  <c r="Y69" i="2"/>
  <c r="Y87" i="2"/>
  <c r="W110" i="2"/>
  <c r="W113" i="2"/>
  <c r="Y105" i="2"/>
  <c r="Y111" i="2"/>
  <c r="W103" i="2"/>
  <c r="Y95" i="2"/>
  <c r="Y103" i="2"/>
  <c r="Y80" i="2"/>
  <c r="Y97" i="2"/>
  <c r="W97" i="2"/>
  <c r="W80" i="2"/>
  <c r="W101" i="2"/>
  <c r="Y83" i="2"/>
  <c r="Y90" i="2"/>
  <c r="Y89" i="2"/>
  <c r="W114" i="2"/>
  <c r="Y71" i="2"/>
  <c r="Y26" i="2"/>
  <c r="W86" i="2"/>
  <c r="X47" i="2"/>
  <c r="Y120" i="2"/>
  <c r="Y88" i="2"/>
  <c r="Y82" i="2"/>
  <c r="W87" i="2"/>
  <c r="W11" i="2"/>
  <c r="X43" i="2"/>
  <c r="Y114" i="2"/>
  <c r="Y107" i="2"/>
  <c r="Y74" i="2"/>
  <c r="W12" i="2"/>
  <c r="Y99" i="2"/>
  <c r="Y94" i="2"/>
  <c r="Y102" i="2"/>
  <c r="Y86" i="2"/>
  <c r="Y79" i="2"/>
  <c r="W3" i="2"/>
  <c r="W100" i="2"/>
  <c r="Y110" i="2"/>
  <c r="Y122" i="2"/>
  <c r="Y78" i="2"/>
  <c r="W14" i="2"/>
  <c r="X118" i="2"/>
  <c r="X44" i="2"/>
  <c r="X59" i="2"/>
  <c r="Y25" i="2"/>
  <c r="X56" i="2"/>
  <c r="Y23" i="2"/>
  <c r="X50" i="2"/>
  <c r="X117" i="2"/>
  <c r="X66" i="2"/>
  <c r="X114" i="2"/>
  <c r="W71" i="2"/>
  <c r="W112" i="2"/>
  <c r="W111" i="2"/>
  <c r="X58" i="2"/>
  <c r="X122" i="2"/>
  <c r="Y39" i="2"/>
  <c r="X65" i="2"/>
  <c r="W106" i="2"/>
  <c r="W96" i="2"/>
  <c r="W107" i="2"/>
  <c r="X49" i="2"/>
  <c r="X119" i="2"/>
  <c r="Y35" i="2"/>
  <c r="X116" i="2"/>
  <c r="W78" i="2"/>
  <c r="X64" i="2"/>
  <c r="X115" i="2"/>
  <c r="Y40" i="2"/>
  <c r="Y63" i="2"/>
  <c r="W91" i="2"/>
  <c r="W89" i="2"/>
  <c r="W88" i="2"/>
  <c r="W94" i="2"/>
  <c r="Y46" i="2"/>
  <c r="X63" i="2"/>
  <c r="Y30" i="2"/>
  <c r="X113" i="2"/>
  <c r="W99" i="2"/>
  <c r="W104" i="2"/>
  <c r="W77" i="2"/>
  <c r="Y50" i="2"/>
  <c r="X46" i="2"/>
  <c r="Y28" i="2"/>
  <c r="X51" i="2"/>
  <c r="W81" i="2"/>
  <c r="X61" i="2"/>
  <c r="W6" i="2"/>
  <c r="W8" i="2"/>
  <c r="W10" i="2"/>
  <c r="W92" i="2"/>
  <c r="W4" i="2"/>
  <c r="W120" i="2"/>
  <c r="X45" i="2"/>
  <c r="X42" i="2"/>
  <c r="Y118" i="2"/>
  <c r="Y31" i="2"/>
  <c r="W118" i="2"/>
  <c r="W122" i="2"/>
  <c r="W70" i="2"/>
  <c r="X60" i="2"/>
  <c r="X62" i="2"/>
  <c r="Y24" i="2"/>
  <c r="W115" i="2"/>
  <c r="X121" i="2"/>
  <c r="W85" i="2"/>
  <c r="X52" i="2"/>
  <c r="Y32" i="2"/>
  <c r="X55" i="2"/>
  <c r="X41" i="2"/>
  <c r="W116" i="2"/>
  <c r="W68" i="2"/>
  <c r="W79" i="2"/>
  <c r="X54" i="2"/>
  <c r="X53" i="2"/>
  <c r="Y29" i="2"/>
  <c r="Y58" i="2"/>
  <c r="Y49" i="2"/>
  <c r="Y64" i="2"/>
  <c r="X27" i="2"/>
  <c r="X24" i="2"/>
  <c r="X36" i="2"/>
  <c r="X29" i="2"/>
  <c r="X32" i="2"/>
  <c r="X38" i="2"/>
  <c r="X35" i="2"/>
  <c r="X40" i="2"/>
  <c r="X34" i="2"/>
  <c r="X30" i="2"/>
  <c r="X37" i="2"/>
  <c r="X25" i="2"/>
  <c r="X31" i="2"/>
  <c r="X28" i="2"/>
  <c r="X33" i="2"/>
  <c r="X26" i="2"/>
  <c r="X23" i="2"/>
  <c r="X39" i="2"/>
  <c r="Y62" i="2"/>
  <c r="Y60" i="2"/>
  <c r="X73" i="2"/>
  <c r="X90" i="2"/>
  <c r="X103" i="2"/>
  <c r="X111" i="2"/>
  <c r="X78" i="2"/>
  <c r="X96" i="2"/>
  <c r="X91" i="2"/>
  <c r="X97" i="2"/>
  <c r="X68" i="2"/>
  <c r="X106" i="2"/>
  <c r="X110" i="2"/>
  <c r="X81" i="2"/>
  <c r="X92" i="2"/>
  <c r="X107" i="2"/>
  <c r="X70" i="2"/>
  <c r="X93" i="2"/>
  <c r="X98" i="2"/>
  <c r="X71" i="2"/>
  <c r="X102" i="2"/>
  <c r="X74" i="2"/>
  <c r="X82" i="2"/>
  <c r="X94" i="2"/>
  <c r="X99" i="2"/>
  <c r="X75" i="2"/>
  <c r="X83" i="2"/>
  <c r="X101" i="2"/>
  <c r="X86" i="2"/>
  <c r="X72" i="2"/>
  <c r="X100" i="2"/>
  <c r="X112" i="2"/>
  <c r="X85" i="2"/>
  <c r="X79" i="2"/>
  <c r="X109" i="2"/>
  <c r="X95" i="2"/>
  <c r="X104" i="2"/>
  <c r="X76" i="2"/>
  <c r="X105" i="2"/>
  <c r="X84" i="2"/>
  <c r="X80" i="2"/>
  <c r="X77" i="2"/>
  <c r="X69" i="2"/>
  <c r="X87" i="2"/>
  <c r="X108" i="2"/>
  <c r="X89" i="2"/>
  <c r="X88" i="2"/>
  <c r="Y51" i="2"/>
  <c r="Y67" i="2"/>
  <c r="Y52" i="2"/>
  <c r="X6" i="2"/>
  <c r="Y48" i="2"/>
  <c r="Y61" i="2"/>
  <c r="Y37" i="2"/>
  <c r="X7" i="2"/>
  <c r="X10" i="2"/>
  <c r="Y42" i="2"/>
  <c r="Y41" i="2"/>
  <c r="Y54" i="2"/>
  <c r="Y56" i="2"/>
  <c r="Y45" i="2"/>
  <c r="Y43" i="2"/>
  <c r="Y27" i="2"/>
  <c r="X9" i="2"/>
  <c r="Y55" i="2"/>
  <c r="Y44" i="2"/>
  <c r="Y34" i="2"/>
  <c r="X3" i="2"/>
  <c r="Y57" i="2"/>
  <c r="Y53" i="2"/>
  <c r="Y66" i="2"/>
  <c r="Y47" i="2"/>
  <c r="Y59" i="2"/>
  <c r="Y38" i="2"/>
  <c r="X2" i="2"/>
  <c r="X15" i="2"/>
  <c r="X18" i="2"/>
  <c r="X16" i="2"/>
  <c r="X21" i="2"/>
  <c r="X13" i="2"/>
  <c r="X19" i="2"/>
  <c r="X22" i="2"/>
  <c r="X20" i="2"/>
  <c r="X11" i="2"/>
  <c r="X17" i="2"/>
  <c r="X12" i="2"/>
  <c r="X14" i="2"/>
  <c r="W62" i="2"/>
  <c r="W60" i="2"/>
  <c r="W42" i="2"/>
  <c r="W46" i="2"/>
  <c r="W63" i="2"/>
  <c r="W55" i="2"/>
  <c r="W57" i="2"/>
  <c r="W64" i="2"/>
  <c r="W54" i="2"/>
  <c r="W56" i="2"/>
  <c r="W49" i="2"/>
  <c r="W58" i="2"/>
  <c r="W65" i="2"/>
  <c r="W53" i="2"/>
  <c r="W43" i="2"/>
  <c r="W47" i="2"/>
  <c r="W44" i="2"/>
  <c r="W48" i="2"/>
  <c r="W59" i="2"/>
  <c r="W66" i="2"/>
  <c r="W67" i="2"/>
  <c r="W41" i="2"/>
  <c r="W50" i="2"/>
  <c r="W52" i="2"/>
  <c r="W51" i="2"/>
  <c r="W45" i="2"/>
  <c r="W61" i="2"/>
  <c r="T28" i="1" l="1"/>
  <c r="I24" i="1"/>
  <c r="D4" i="1"/>
  <c r="H7" i="1"/>
  <c r="T7" i="1"/>
  <c r="H28" i="1"/>
  <c r="U18" i="1"/>
  <c r="I17" i="1"/>
  <c r="V4" i="3" s="1"/>
  <c r="I8" i="1"/>
  <c r="V116" i="2" s="1"/>
  <c r="H16" i="1"/>
  <c r="T8" i="1"/>
  <c r="H4" i="1"/>
  <c r="V15" i="2" s="1"/>
  <c r="U6" i="1"/>
  <c r="T14" i="1"/>
  <c r="U17" i="1"/>
  <c r="D16" i="1"/>
  <c r="T15" i="1"/>
  <c r="I26" i="1"/>
  <c r="H27" i="1"/>
  <c r="D18" i="1"/>
  <c r="E24" i="1"/>
  <c r="E25" i="1"/>
  <c r="U3" i="1"/>
  <c r="E14" i="1"/>
  <c r="E26" i="1"/>
  <c r="T16" i="1"/>
  <c r="I6" i="1"/>
  <c r="U25" i="1"/>
  <c r="H3" i="1"/>
  <c r="D23" i="1"/>
  <c r="I13" i="1"/>
  <c r="E27" i="1"/>
  <c r="E3" i="1"/>
  <c r="T13" i="1"/>
  <c r="E28" i="1"/>
  <c r="U5" i="1"/>
  <c r="D17" i="1"/>
  <c r="E7" i="1"/>
  <c r="E8" i="1"/>
  <c r="U121" i="2" s="1"/>
  <c r="H23" i="1"/>
  <c r="E5" i="1"/>
  <c r="U26" i="1"/>
  <c r="I14" i="1"/>
  <c r="E6" i="1"/>
  <c r="U24" i="1"/>
  <c r="D13" i="1"/>
  <c r="T23" i="1"/>
  <c r="T27" i="1"/>
  <c r="T26" i="1"/>
  <c r="E4" i="1"/>
  <c r="U17" i="2" s="1"/>
  <c r="E13" i="1"/>
  <c r="U104" i="3" s="1"/>
  <c r="U23" i="1"/>
  <c r="E23" i="1"/>
  <c r="U115" i="4" s="1"/>
  <c r="U28" i="1"/>
  <c r="Z160" i="4" s="1"/>
  <c r="U16" i="1"/>
  <c r="D15" i="1"/>
  <c r="I3" i="1"/>
  <c r="I5" i="1"/>
  <c r="V65" i="2" s="1"/>
  <c r="H26" i="1"/>
  <c r="T5" i="1"/>
  <c r="Z41" i="2" s="1"/>
  <c r="D25" i="1"/>
  <c r="D26" i="1"/>
  <c r="T3" i="1"/>
  <c r="I28" i="1"/>
  <c r="H8" i="1"/>
  <c r="D27" i="1"/>
  <c r="H6" i="1"/>
  <c r="V33" i="2" s="1"/>
  <c r="U27" i="1"/>
  <c r="H13" i="1"/>
  <c r="D28" i="1"/>
  <c r="I23" i="1"/>
  <c r="D24" i="1"/>
  <c r="T6" i="1"/>
  <c r="Z35" i="2" s="1"/>
  <c r="I16" i="1"/>
  <c r="T17" i="1"/>
  <c r="D5" i="1"/>
  <c r="U15" i="1"/>
  <c r="Z50" i="3" s="1"/>
  <c r="E17" i="1"/>
  <c r="U8" i="1"/>
  <c r="Z117" i="2" s="1"/>
  <c r="I25" i="1"/>
  <c r="V66" i="4" s="1"/>
  <c r="D6" i="1"/>
  <c r="H15" i="1"/>
  <c r="D7" i="1"/>
  <c r="T24" i="1"/>
  <c r="D8" i="1"/>
  <c r="I18" i="1"/>
  <c r="V128" i="3" s="1"/>
  <c r="T25" i="1"/>
  <c r="I7" i="1"/>
  <c r="V3" i="2" s="1"/>
  <c r="U13" i="1"/>
  <c r="I4" i="1"/>
  <c r="E16" i="1"/>
  <c r="D14" i="1"/>
  <c r="U16" i="3" s="1"/>
  <c r="I27" i="1"/>
  <c r="U7" i="1"/>
  <c r="Z9" i="2" s="1"/>
  <c r="U14" i="1"/>
  <c r="H14" i="1"/>
  <c r="T18" i="1"/>
  <c r="E18" i="1"/>
  <c r="T4" i="1"/>
  <c r="Z19" i="2" s="1"/>
  <c r="D3" i="1"/>
  <c r="H24" i="1"/>
  <c r="U129" i="3" l="1"/>
  <c r="V119" i="2"/>
  <c r="V55" i="4"/>
  <c r="V103" i="2"/>
  <c r="Z24" i="2"/>
  <c r="Z31" i="2"/>
  <c r="Z40" i="2"/>
  <c r="Z29" i="2"/>
  <c r="V115" i="2"/>
  <c r="Z67" i="4"/>
  <c r="V114" i="2"/>
  <c r="V121" i="2"/>
  <c r="V118" i="2"/>
  <c r="V159" i="4"/>
  <c r="V122" i="2"/>
  <c r="U45" i="4"/>
  <c r="V22" i="4"/>
  <c r="U30" i="2"/>
  <c r="U37" i="3"/>
  <c r="V47" i="2"/>
  <c r="Z68" i="4"/>
  <c r="V52" i="2"/>
  <c r="V44" i="2"/>
  <c r="V2" i="3"/>
  <c r="V21" i="2"/>
  <c r="V67" i="2"/>
  <c r="V48" i="2"/>
  <c r="V33" i="4"/>
  <c r="V31" i="4"/>
  <c r="Z76" i="2"/>
  <c r="Z11" i="3"/>
  <c r="Z36" i="2"/>
  <c r="Z48" i="4"/>
  <c r="U84" i="4"/>
  <c r="V58" i="2"/>
  <c r="U5" i="3"/>
  <c r="V63" i="2"/>
  <c r="V46" i="2"/>
  <c r="U159" i="4"/>
  <c r="Z158" i="4"/>
  <c r="Z65" i="2"/>
  <c r="U101" i="3"/>
  <c r="Z35" i="3"/>
  <c r="V5" i="3"/>
  <c r="V43" i="2"/>
  <c r="Z56" i="4"/>
  <c r="U124" i="4"/>
  <c r="Z47" i="2"/>
  <c r="V3" i="3"/>
  <c r="Z26" i="2"/>
  <c r="Z58" i="2"/>
  <c r="V6" i="3"/>
  <c r="V49" i="2"/>
  <c r="V72" i="4"/>
  <c r="V140" i="4"/>
  <c r="V16" i="2"/>
  <c r="Z60" i="2"/>
  <c r="Z152" i="4"/>
  <c r="Z30" i="2"/>
  <c r="Z25" i="2"/>
  <c r="U14" i="2"/>
  <c r="U2" i="2"/>
  <c r="Z88" i="2"/>
  <c r="Z16" i="2"/>
  <c r="V45" i="2"/>
  <c r="U157" i="4"/>
  <c r="U62" i="4"/>
  <c r="U96" i="4"/>
  <c r="Z11" i="2"/>
  <c r="V60" i="2"/>
  <c r="U94" i="4"/>
  <c r="V64" i="2"/>
  <c r="U136" i="4"/>
  <c r="V8" i="4"/>
  <c r="V93" i="2"/>
  <c r="V38" i="2"/>
  <c r="Z32" i="3"/>
  <c r="V61" i="2"/>
  <c r="V39" i="3"/>
  <c r="U125" i="4"/>
  <c r="V62" i="2"/>
  <c r="U121" i="4"/>
  <c r="U153" i="4"/>
  <c r="V54" i="2"/>
  <c r="Z83" i="3"/>
  <c r="V117" i="2"/>
  <c r="V56" i="2"/>
  <c r="V30" i="2"/>
  <c r="U80" i="4"/>
  <c r="U25" i="4"/>
  <c r="U144" i="4"/>
  <c r="V51" i="2"/>
  <c r="U120" i="2"/>
  <c r="V147" i="4"/>
  <c r="U72" i="2"/>
  <c r="V120" i="2"/>
  <c r="V55" i="2"/>
  <c r="V37" i="4"/>
  <c r="U118" i="2"/>
  <c r="U100" i="3"/>
  <c r="U16" i="4"/>
  <c r="V42" i="2"/>
  <c r="V71" i="4"/>
  <c r="V41" i="4"/>
  <c r="U109" i="3"/>
  <c r="Z44" i="4"/>
  <c r="V18" i="2"/>
  <c r="V57" i="2"/>
  <c r="Z81" i="4"/>
  <c r="V113" i="2"/>
  <c r="U19" i="2"/>
  <c r="V15" i="4"/>
  <c r="V57" i="4"/>
  <c r="U102" i="4"/>
  <c r="U154" i="4"/>
  <c r="U5" i="4"/>
  <c r="V92" i="2"/>
  <c r="U85" i="2"/>
  <c r="Z115" i="2"/>
  <c r="Z53" i="2"/>
  <c r="U12" i="2"/>
  <c r="V5" i="4"/>
  <c r="V77" i="4"/>
  <c r="U129" i="4"/>
  <c r="U100" i="4"/>
  <c r="U3" i="4"/>
  <c r="Z91" i="2"/>
  <c r="U88" i="2"/>
  <c r="V16" i="4"/>
  <c r="U147" i="4"/>
  <c r="U89" i="4"/>
  <c r="Z120" i="3"/>
  <c r="Z69" i="3"/>
  <c r="V59" i="4"/>
  <c r="V65" i="4"/>
  <c r="U140" i="4"/>
  <c r="U101" i="4"/>
  <c r="Z73" i="3"/>
  <c r="Z63" i="2"/>
  <c r="Z114" i="2"/>
  <c r="Z65" i="3"/>
  <c r="U100" i="2"/>
  <c r="U148" i="4"/>
  <c r="U29" i="2"/>
  <c r="Z121" i="2"/>
  <c r="V74" i="4"/>
  <c r="U138" i="4"/>
  <c r="U142" i="4"/>
  <c r="V69" i="4"/>
  <c r="Z55" i="4"/>
  <c r="U156" i="4"/>
  <c r="U118" i="4"/>
  <c r="Z108" i="3"/>
  <c r="Z49" i="4"/>
  <c r="U91" i="2"/>
  <c r="U20" i="2"/>
  <c r="U89" i="2"/>
  <c r="U9" i="4"/>
  <c r="U22" i="2"/>
  <c r="U112" i="2"/>
  <c r="Z64" i="2"/>
  <c r="U113" i="4"/>
  <c r="Z77" i="3"/>
  <c r="U41" i="2"/>
  <c r="V60" i="4"/>
  <c r="Z66" i="2"/>
  <c r="Z96" i="3"/>
  <c r="Z122" i="2"/>
  <c r="Z15" i="2"/>
  <c r="Z62" i="2"/>
  <c r="V75" i="4"/>
  <c r="Z45" i="4"/>
  <c r="U108" i="4"/>
  <c r="U36" i="3"/>
  <c r="Z23" i="2"/>
  <c r="Z17" i="2"/>
  <c r="Z118" i="2"/>
  <c r="Z54" i="2"/>
  <c r="V50" i="2"/>
  <c r="V35" i="2"/>
  <c r="V84" i="4"/>
  <c r="Z47" i="4"/>
  <c r="U106" i="4"/>
  <c r="U98" i="4"/>
  <c r="Z20" i="4"/>
  <c r="V150" i="4"/>
  <c r="U87" i="2"/>
  <c r="U15" i="4"/>
  <c r="U16" i="2"/>
  <c r="Z116" i="2"/>
  <c r="Z113" i="2"/>
  <c r="Z43" i="2"/>
  <c r="Z119" i="2"/>
  <c r="U111" i="4"/>
  <c r="V97" i="2"/>
  <c r="U110" i="2"/>
  <c r="Z14" i="2"/>
  <c r="Z52" i="2"/>
  <c r="Z44" i="2"/>
  <c r="V41" i="2"/>
  <c r="V32" i="2"/>
  <c r="V68" i="4"/>
  <c r="Z52" i="4"/>
  <c r="U104" i="4"/>
  <c r="U92" i="4"/>
  <c r="U86" i="2"/>
  <c r="V40" i="2"/>
  <c r="Z119" i="3"/>
  <c r="Z49" i="2"/>
  <c r="Z120" i="2"/>
  <c r="U75" i="2"/>
  <c r="Z42" i="2"/>
  <c r="V91" i="2"/>
  <c r="Z61" i="2"/>
  <c r="U6" i="4"/>
  <c r="V13" i="4"/>
  <c r="V107" i="2"/>
  <c r="U96" i="2"/>
  <c r="Z85" i="2"/>
  <c r="Z51" i="2"/>
  <c r="Z45" i="2"/>
  <c r="V53" i="2"/>
  <c r="V31" i="2"/>
  <c r="V67" i="4"/>
  <c r="Z50" i="4"/>
  <c r="U149" i="4"/>
  <c r="U69" i="4"/>
  <c r="U103" i="2"/>
  <c r="U107" i="2"/>
  <c r="Z46" i="2"/>
  <c r="V70" i="4"/>
  <c r="Z72" i="2"/>
  <c r="U80" i="2"/>
  <c r="Z77" i="2"/>
  <c r="Z55" i="2"/>
  <c r="Z57" i="2"/>
  <c r="V25" i="2"/>
  <c r="Z46" i="4"/>
  <c r="U131" i="4"/>
  <c r="U83" i="4"/>
  <c r="Z33" i="3"/>
  <c r="U145" i="4"/>
  <c r="V79" i="4"/>
  <c r="U36" i="2"/>
  <c r="U18" i="2"/>
  <c r="U152" i="4"/>
  <c r="Z97" i="2"/>
  <c r="U38" i="2"/>
  <c r="U102" i="2"/>
  <c r="Z56" i="2"/>
  <c r="V39" i="2"/>
  <c r="V83" i="4"/>
  <c r="U87" i="4"/>
  <c r="U117" i="4"/>
  <c r="V104" i="2"/>
  <c r="V64" i="4"/>
  <c r="V95" i="2"/>
  <c r="Z104" i="2"/>
  <c r="Z50" i="2"/>
  <c r="U13" i="2"/>
  <c r="V59" i="2"/>
  <c r="V80" i="4"/>
  <c r="U116" i="4"/>
  <c r="U58" i="4"/>
  <c r="U3" i="2"/>
  <c r="Z93" i="4"/>
  <c r="V100" i="2"/>
  <c r="U108" i="2"/>
  <c r="Z84" i="2"/>
  <c r="U15" i="2"/>
  <c r="V66" i="2"/>
  <c r="V37" i="2"/>
  <c r="V78" i="4"/>
  <c r="U130" i="4"/>
  <c r="U75" i="4"/>
  <c r="U125" i="3"/>
  <c r="Z124" i="3"/>
  <c r="Z82" i="4"/>
  <c r="V157" i="4"/>
  <c r="V26" i="4"/>
  <c r="Z19" i="4"/>
  <c r="Z62" i="4"/>
  <c r="V29" i="4"/>
  <c r="U115" i="2"/>
  <c r="Z73" i="4"/>
  <c r="V86" i="4"/>
  <c r="V152" i="4"/>
  <c r="U109" i="2"/>
  <c r="V28" i="2"/>
  <c r="Z80" i="4"/>
  <c r="V142" i="4"/>
  <c r="Z39" i="2"/>
  <c r="U106" i="2"/>
  <c r="V34" i="2"/>
  <c r="Z71" i="4"/>
  <c r="Z138" i="4"/>
  <c r="U13" i="4"/>
  <c r="V108" i="4"/>
  <c r="U99" i="2"/>
  <c r="U68" i="2"/>
  <c r="U94" i="2"/>
  <c r="V29" i="2"/>
  <c r="V58" i="4"/>
  <c r="Z70" i="4"/>
  <c r="Z61" i="4"/>
  <c r="U14" i="4"/>
  <c r="V93" i="4"/>
  <c r="V131" i="4"/>
  <c r="U111" i="2"/>
  <c r="Z78" i="4"/>
  <c r="U6" i="2"/>
  <c r="Z41" i="4"/>
  <c r="V10" i="2"/>
  <c r="U122" i="2"/>
  <c r="Z58" i="4"/>
  <c r="Z76" i="4"/>
  <c r="Z25" i="4"/>
  <c r="U8" i="4"/>
  <c r="U161" i="4"/>
  <c r="V100" i="4"/>
  <c r="V26" i="2"/>
  <c r="Z74" i="4"/>
  <c r="Z79" i="4"/>
  <c r="U158" i="4"/>
  <c r="U12" i="4"/>
  <c r="U105" i="2"/>
  <c r="Z27" i="2"/>
  <c r="U101" i="2"/>
  <c r="U78" i="2"/>
  <c r="V30" i="4"/>
  <c r="Z32" i="2"/>
  <c r="U98" i="2"/>
  <c r="U116" i="2"/>
  <c r="V43" i="4"/>
  <c r="Z77" i="4"/>
  <c r="U74" i="2"/>
  <c r="U23" i="2"/>
  <c r="Z63" i="4"/>
  <c r="V8" i="2"/>
  <c r="Z57" i="4"/>
  <c r="V6" i="2"/>
  <c r="V81" i="4"/>
  <c r="Z64" i="4"/>
  <c r="Z72" i="4"/>
  <c r="Z66" i="4"/>
  <c r="U71" i="2"/>
  <c r="V7" i="2"/>
  <c r="U35" i="2"/>
  <c r="U57" i="2"/>
  <c r="U90" i="2"/>
  <c r="V36" i="2"/>
  <c r="V94" i="4"/>
  <c r="U69" i="2"/>
  <c r="U82" i="2"/>
  <c r="U4" i="4"/>
  <c r="Z38" i="2"/>
  <c r="U76" i="2"/>
  <c r="U119" i="2"/>
  <c r="Z60" i="4"/>
  <c r="U24" i="2"/>
  <c r="V82" i="4"/>
  <c r="Z84" i="4"/>
  <c r="U11" i="4"/>
  <c r="Z37" i="2"/>
  <c r="U79" i="2"/>
  <c r="U93" i="2"/>
  <c r="U31" i="2"/>
  <c r="U117" i="2"/>
  <c r="Z75" i="4"/>
  <c r="Z59" i="4"/>
  <c r="U127" i="4"/>
  <c r="U107" i="4"/>
  <c r="U10" i="4"/>
  <c r="V39" i="4"/>
  <c r="Z48" i="2"/>
  <c r="U110" i="4"/>
  <c r="Z34" i="2"/>
  <c r="V79" i="2"/>
  <c r="V2" i="2"/>
  <c r="U104" i="2"/>
  <c r="Z20" i="2"/>
  <c r="U25" i="2"/>
  <c r="Z67" i="2"/>
  <c r="U21" i="2"/>
  <c r="V24" i="2"/>
  <c r="U114" i="2"/>
  <c r="V73" i="4"/>
  <c r="Z83" i="4"/>
  <c r="Z51" i="4"/>
  <c r="U126" i="4"/>
  <c r="U91" i="4"/>
  <c r="U86" i="4"/>
  <c r="U2" i="4"/>
  <c r="V24" i="4"/>
  <c r="Z54" i="4"/>
  <c r="Z33" i="2"/>
  <c r="U92" i="2"/>
  <c r="U95" i="2"/>
  <c r="Z13" i="2"/>
  <c r="Z59" i="2"/>
  <c r="U11" i="2"/>
  <c r="V27" i="2"/>
  <c r="U113" i="2"/>
  <c r="V62" i="4"/>
  <c r="Z65" i="4"/>
  <c r="Z53" i="4"/>
  <c r="U103" i="4"/>
  <c r="U155" i="4"/>
  <c r="U132" i="4"/>
  <c r="U7" i="4"/>
  <c r="V36" i="4"/>
  <c r="U62" i="2"/>
  <c r="Z12" i="4"/>
  <c r="Z28" i="2"/>
  <c r="U81" i="2"/>
  <c r="U73" i="2"/>
  <c r="Z22" i="2"/>
  <c r="V23" i="2"/>
  <c r="Z69" i="4"/>
  <c r="V28" i="4"/>
  <c r="Z99" i="4"/>
  <c r="Z43" i="3"/>
  <c r="Z154" i="4"/>
  <c r="Z118" i="4"/>
  <c r="Z83" i="2"/>
  <c r="Z98" i="4"/>
  <c r="Z60" i="3"/>
  <c r="U84" i="3"/>
  <c r="Z108" i="4"/>
  <c r="U55" i="2"/>
  <c r="Z95" i="4"/>
  <c r="Z155" i="4"/>
  <c r="Z100" i="4"/>
  <c r="Z92" i="4"/>
  <c r="U72" i="4"/>
  <c r="V106" i="4"/>
  <c r="U53" i="4"/>
  <c r="Z20" i="3"/>
  <c r="Z40" i="3"/>
  <c r="Z75" i="3"/>
  <c r="U82" i="3"/>
  <c r="Z106" i="4"/>
  <c r="U124" i="3"/>
  <c r="Z10" i="2"/>
  <c r="Z75" i="2"/>
  <c r="Z86" i="2"/>
  <c r="U64" i="2"/>
  <c r="V9" i="4"/>
  <c r="Z4" i="2"/>
  <c r="Z109" i="2"/>
  <c r="Z95" i="2"/>
  <c r="U45" i="2"/>
  <c r="U61" i="2"/>
  <c r="V3" i="4"/>
  <c r="Z94" i="4"/>
  <c r="Z148" i="4"/>
  <c r="Z145" i="4"/>
  <c r="Z133" i="4"/>
  <c r="U93" i="4"/>
  <c r="U133" i="4"/>
  <c r="U67" i="4"/>
  <c r="V115" i="4"/>
  <c r="Z94" i="3"/>
  <c r="Z117" i="3"/>
  <c r="Z70" i="3"/>
  <c r="U102" i="3"/>
  <c r="U52" i="2"/>
  <c r="V4" i="4"/>
  <c r="Z114" i="4"/>
  <c r="Z103" i="4"/>
  <c r="Z144" i="4"/>
  <c r="Z117" i="4"/>
  <c r="U64" i="4"/>
  <c r="V95" i="4"/>
  <c r="Z45" i="3"/>
  <c r="V143" i="4"/>
  <c r="Z78" i="3"/>
  <c r="Z71" i="3"/>
  <c r="U123" i="3"/>
  <c r="Z142" i="4"/>
  <c r="Z107" i="4"/>
  <c r="U53" i="2"/>
  <c r="Z130" i="4"/>
  <c r="Z126" i="4"/>
  <c r="Z121" i="4"/>
  <c r="Z124" i="4"/>
  <c r="U66" i="4"/>
  <c r="V110" i="4"/>
  <c r="Z5" i="4"/>
  <c r="U107" i="3"/>
  <c r="U40" i="2"/>
  <c r="U114" i="3"/>
  <c r="U90" i="3"/>
  <c r="Z104" i="3"/>
  <c r="Z151" i="4"/>
  <c r="U115" i="3"/>
  <c r="U58" i="2"/>
  <c r="Z157" i="4"/>
  <c r="U56" i="2"/>
  <c r="U60" i="2"/>
  <c r="Z100" i="2"/>
  <c r="V12" i="4"/>
  <c r="Z99" i="2"/>
  <c r="Z73" i="2"/>
  <c r="U63" i="2"/>
  <c r="V7" i="4"/>
  <c r="Z129" i="4"/>
  <c r="Z115" i="4"/>
  <c r="Z123" i="4"/>
  <c r="Z141" i="4"/>
  <c r="U135" i="4"/>
  <c r="U71" i="4"/>
  <c r="V122" i="4"/>
  <c r="Z3" i="4"/>
  <c r="Z127" i="3"/>
  <c r="U92" i="3"/>
  <c r="Z103" i="2"/>
  <c r="U54" i="2"/>
  <c r="Z7" i="2"/>
  <c r="U7" i="2"/>
  <c r="Z94" i="2"/>
  <c r="Z108" i="2"/>
  <c r="U67" i="2"/>
  <c r="U46" i="2"/>
  <c r="V2" i="4"/>
  <c r="Z113" i="4"/>
  <c r="Z137" i="4"/>
  <c r="Z90" i="4"/>
  <c r="Z132" i="4"/>
  <c r="U128" i="4"/>
  <c r="U105" i="4"/>
  <c r="U120" i="4"/>
  <c r="U151" i="4"/>
  <c r="U61" i="4"/>
  <c r="V137" i="4"/>
  <c r="Z16" i="4"/>
  <c r="U89" i="3"/>
  <c r="Z125" i="3"/>
  <c r="Z30" i="3"/>
  <c r="Z122" i="4"/>
  <c r="Z86" i="4"/>
  <c r="Z136" i="4"/>
  <c r="Z3" i="2"/>
  <c r="U59" i="2"/>
  <c r="V10" i="4"/>
  <c r="Z140" i="4"/>
  <c r="Z104" i="4"/>
  <c r="Z135" i="4"/>
  <c r="Z85" i="4"/>
  <c r="U150" i="4"/>
  <c r="U146" i="4"/>
  <c r="U109" i="4"/>
  <c r="U141" i="4"/>
  <c r="U78" i="4"/>
  <c r="V154" i="4"/>
  <c r="Z11" i="4"/>
  <c r="Z76" i="3"/>
  <c r="Z6" i="4"/>
  <c r="Z99" i="3"/>
  <c r="Z81" i="3"/>
  <c r="U68" i="3"/>
  <c r="Z27" i="3"/>
  <c r="Z54" i="3"/>
  <c r="Z122" i="3"/>
  <c r="U83" i="3"/>
  <c r="Z29" i="3"/>
  <c r="V14" i="4"/>
  <c r="U50" i="2"/>
  <c r="Z128" i="4"/>
  <c r="U81" i="3"/>
  <c r="U8" i="2"/>
  <c r="Z111" i="4"/>
  <c r="Z149" i="4"/>
  <c r="U79" i="4"/>
  <c r="V92" i="4"/>
  <c r="Z15" i="4"/>
  <c r="Z7" i="3"/>
  <c r="U9" i="2"/>
  <c r="U84" i="2"/>
  <c r="U83" i="2"/>
  <c r="Z79" i="2"/>
  <c r="Z89" i="2"/>
  <c r="U42" i="2"/>
  <c r="V6" i="4"/>
  <c r="V61" i="4"/>
  <c r="Z88" i="4"/>
  <c r="Z131" i="4"/>
  <c r="Z109" i="4"/>
  <c r="V161" i="4"/>
  <c r="U114" i="4"/>
  <c r="U112" i="4"/>
  <c r="U143" i="4"/>
  <c r="U85" i="4"/>
  <c r="U76" i="4"/>
  <c r="Z159" i="4"/>
  <c r="V144" i="4"/>
  <c r="Z14" i="4"/>
  <c r="Z74" i="3"/>
  <c r="U98" i="3"/>
  <c r="Z37" i="3"/>
  <c r="Z109" i="3"/>
  <c r="U95" i="3"/>
  <c r="Z28" i="3"/>
  <c r="U65" i="2"/>
  <c r="Z87" i="4"/>
  <c r="Z8" i="2"/>
  <c r="Z82" i="2"/>
  <c r="Z107" i="2"/>
  <c r="Z6" i="2"/>
  <c r="Z78" i="2"/>
  <c r="U51" i="2"/>
  <c r="V11" i="4"/>
  <c r="Z120" i="4"/>
  <c r="Z71" i="2"/>
  <c r="Z69" i="2"/>
  <c r="U66" i="2"/>
  <c r="Z101" i="4"/>
  <c r="Z116" i="4"/>
  <c r="Z89" i="4"/>
  <c r="V160" i="4"/>
  <c r="U139" i="4"/>
  <c r="U137" i="4"/>
  <c r="U134" i="4"/>
  <c r="U74" i="4"/>
  <c r="U60" i="4"/>
  <c r="V121" i="4"/>
  <c r="Z9" i="4"/>
  <c r="Z39" i="3"/>
  <c r="Z47" i="3"/>
  <c r="Z100" i="3"/>
  <c r="Z59" i="3"/>
  <c r="U110" i="3"/>
  <c r="Z24" i="3"/>
  <c r="Z62" i="3"/>
  <c r="Z125" i="4"/>
  <c r="Z91" i="4"/>
  <c r="Z5" i="2"/>
  <c r="Z87" i="2"/>
  <c r="Z102" i="4"/>
  <c r="U80" i="3"/>
  <c r="Z90" i="2"/>
  <c r="U44" i="2"/>
  <c r="U4" i="2"/>
  <c r="V158" i="4"/>
  <c r="Z68" i="2"/>
  <c r="U70" i="2"/>
  <c r="Z98" i="2"/>
  <c r="Z143" i="4"/>
  <c r="U119" i="4"/>
  <c r="Z22" i="3"/>
  <c r="Z147" i="4"/>
  <c r="Z13" i="4"/>
  <c r="U87" i="3"/>
  <c r="Z2" i="2"/>
  <c r="U10" i="2"/>
  <c r="U5" i="2"/>
  <c r="Z74" i="2"/>
  <c r="U97" i="2"/>
  <c r="Z110" i="2"/>
  <c r="Z106" i="2"/>
  <c r="U48" i="2"/>
  <c r="Z96" i="4"/>
  <c r="Z105" i="4"/>
  <c r="Z27" i="4"/>
  <c r="U97" i="4"/>
  <c r="U123" i="4"/>
  <c r="U70" i="4"/>
  <c r="U57" i="4"/>
  <c r="Z161" i="4"/>
  <c r="V153" i="4"/>
  <c r="Z4" i="4"/>
  <c r="U118" i="3"/>
  <c r="U79" i="3"/>
  <c r="U126" i="3"/>
  <c r="Z49" i="3"/>
  <c r="U99" i="3"/>
  <c r="V4" i="2"/>
  <c r="U77" i="2"/>
  <c r="Z102" i="2"/>
  <c r="Z93" i="2"/>
  <c r="Z101" i="2"/>
  <c r="U47" i="2"/>
  <c r="V63" i="4"/>
  <c r="V76" i="4"/>
  <c r="Z97" i="4"/>
  <c r="Z146" i="4"/>
  <c r="Z134" i="4"/>
  <c r="U95" i="4"/>
  <c r="U122" i="4"/>
  <c r="U99" i="4"/>
  <c r="U65" i="4"/>
  <c r="U77" i="4"/>
  <c r="V134" i="4"/>
  <c r="Z2" i="4"/>
  <c r="V36" i="3"/>
  <c r="U94" i="3"/>
  <c r="Z57" i="3"/>
  <c r="U72" i="3"/>
  <c r="Z21" i="3"/>
  <c r="Z51" i="3"/>
  <c r="Z156" i="4"/>
  <c r="Z139" i="4"/>
  <c r="Z32" i="4"/>
  <c r="U63" i="4"/>
  <c r="U59" i="4"/>
  <c r="V103" i="4"/>
  <c r="V119" i="4"/>
  <c r="Z7" i="4"/>
  <c r="V32" i="3"/>
  <c r="U74" i="3"/>
  <c r="Z72" i="3"/>
  <c r="Z63" i="3"/>
  <c r="U75" i="3"/>
  <c r="Z15" i="3"/>
  <c r="Z70" i="2"/>
  <c r="U49" i="2"/>
  <c r="Z111" i="2"/>
  <c r="Z105" i="2"/>
  <c r="Z96" i="2"/>
  <c r="Z92" i="2"/>
  <c r="Z112" i="2"/>
  <c r="U43" i="2"/>
  <c r="Z127" i="4"/>
  <c r="Z119" i="4"/>
  <c r="Z80" i="2"/>
  <c r="Z81" i="2"/>
  <c r="Z150" i="4"/>
  <c r="Z112" i="4"/>
  <c r="U88" i="4"/>
  <c r="U90" i="4"/>
  <c r="U68" i="4"/>
  <c r="V104" i="4"/>
  <c r="Z21" i="4"/>
  <c r="U67" i="3"/>
  <c r="Z44" i="3"/>
  <c r="Z9" i="3"/>
  <c r="V47" i="4"/>
  <c r="U39" i="4"/>
  <c r="U41" i="4"/>
  <c r="U39" i="3"/>
  <c r="V71" i="2"/>
  <c r="V112" i="2"/>
  <c r="V85" i="2"/>
  <c r="Z21" i="2"/>
  <c r="U32" i="2"/>
  <c r="Z26" i="4"/>
  <c r="V45" i="4"/>
  <c r="V129" i="4"/>
  <c r="V91" i="4"/>
  <c r="V99" i="4"/>
  <c r="U24" i="4"/>
  <c r="U38" i="4"/>
  <c r="U160" i="4"/>
  <c r="V40" i="4"/>
  <c r="V20" i="4"/>
  <c r="Z82" i="3"/>
  <c r="Z97" i="3"/>
  <c r="U35" i="3"/>
  <c r="Z95" i="3"/>
  <c r="Z84" i="3"/>
  <c r="Z64" i="3"/>
  <c r="U69" i="3"/>
  <c r="U103" i="3"/>
  <c r="Z12" i="3"/>
  <c r="U43" i="4"/>
  <c r="U32" i="3"/>
  <c r="U2" i="3"/>
  <c r="V78" i="2"/>
  <c r="V96" i="2"/>
  <c r="Z18" i="4"/>
  <c r="V50" i="4"/>
  <c r="U36" i="4"/>
  <c r="U31" i="4"/>
  <c r="V33" i="3"/>
  <c r="U4" i="3"/>
  <c r="V70" i="2"/>
  <c r="V72" i="2"/>
  <c r="V20" i="2"/>
  <c r="V5" i="2"/>
  <c r="Z18" i="2"/>
  <c r="U37" i="2"/>
  <c r="Z39" i="4"/>
  <c r="Z29" i="4"/>
  <c r="V46" i="4"/>
  <c r="V138" i="4"/>
  <c r="V113" i="4"/>
  <c r="V90" i="4"/>
  <c r="V118" i="4"/>
  <c r="U30" i="4"/>
  <c r="U56" i="4"/>
  <c r="V35" i="4"/>
  <c r="V35" i="3"/>
  <c r="U3" i="3"/>
  <c r="Z103" i="3"/>
  <c r="Z126" i="3"/>
  <c r="Z52" i="3"/>
  <c r="U66" i="3"/>
  <c r="U70" i="3"/>
  <c r="Z31" i="3"/>
  <c r="V54" i="4"/>
  <c r="V44" i="4"/>
  <c r="V86" i="2"/>
  <c r="Z36" i="4"/>
  <c r="Z17" i="4"/>
  <c r="V88" i="4"/>
  <c r="V97" i="4"/>
  <c r="V136" i="4"/>
  <c r="V98" i="4"/>
  <c r="U28" i="4"/>
  <c r="U49" i="4"/>
  <c r="V42" i="4"/>
  <c r="V34" i="3"/>
  <c r="V38" i="3"/>
  <c r="U53" i="3"/>
  <c r="U64" i="3"/>
  <c r="U46" i="3"/>
  <c r="U62" i="3"/>
  <c r="U43" i="3"/>
  <c r="U42" i="3"/>
  <c r="U55" i="3"/>
  <c r="U44" i="3"/>
  <c r="U48" i="3"/>
  <c r="U58" i="3"/>
  <c r="U40" i="3"/>
  <c r="U63" i="3"/>
  <c r="U41" i="3"/>
  <c r="U45" i="3"/>
  <c r="U61" i="3"/>
  <c r="U59" i="3"/>
  <c r="U56" i="3"/>
  <c r="U51" i="3"/>
  <c r="U54" i="3"/>
  <c r="U57" i="3"/>
  <c r="U60" i="3"/>
  <c r="U52" i="3"/>
  <c r="U49" i="3"/>
  <c r="U50" i="3"/>
  <c r="U47" i="3"/>
  <c r="V14" i="2"/>
  <c r="U51" i="4"/>
  <c r="V86" i="3"/>
  <c r="V75" i="3"/>
  <c r="V91" i="3"/>
  <c r="V112" i="3"/>
  <c r="V103" i="3"/>
  <c r="V84" i="3"/>
  <c r="V83" i="3"/>
  <c r="V89" i="3"/>
  <c r="V124" i="3"/>
  <c r="V70" i="3"/>
  <c r="V71" i="3"/>
  <c r="V111" i="3"/>
  <c r="V72" i="3"/>
  <c r="V73" i="3"/>
  <c r="V81" i="3"/>
  <c r="V93" i="3"/>
  <c r="V95" i="3"/>
  <c r="V82" i="3"/>
  <c r="V65" i="3"/>
  <c r="V88" i="3"/>
  <c r="V106" i="3"/>
  <c r="V110" i="3"/>
  <c r="V92" i="3"/>
  <c r="V122" i="3"/>
  <c r="V126" i="3"/>
  <c r="V116" i="3"/>
  <c r="V97" i="3"/>
  <c r="V77" i="3"/>
  <c r="V113" i="3"/>
  <c r="V69" i="3"/>
  <c r="V104" i="3"/>
  <c r="V109" i="3"/>
  <c r="V101" i="3"/>
  <c r="V121" i="3"/>
  <c r="V115" i="3"/>
  <c r="V123" i="3"/>
  <c r="V102" i="3"/>
  <c r="V120" i="3"/>
  <c r="V66" i="3"/>
  <c r="V68" i="3"/>
  <c r="V76" i="3"/>
  <c r="V78" i="3"/>
  <c r="V80" i="3"/>
  <c r="V105" i="3"/>
  <c r="V108" i="3"/>
  <c r="V107" i="3"/>
  <c r="V117" i="3"/>
  <c r="V74" i="3"/>
  <c r="V119" i="3"/>
  <c r="V98" i="3"/>
  <c r="V100" i="3"/>
  <c r="V90" i="3"/>
  <c r="V67" i="3"/>
  <c r="V127" i="3"/>
  <c r="V99" i="3"/>
  <c r="V96" i="3"/>
  <c r="V114" i="3"/>
  <c r="V125" i="3"/>
  <c r="V87" i="3"/>
  <c r="V118" i="3"/>
  <c r="V79" i="3"/>
  <c r="V85" i="3"/>
  <c r="V94" i="3"/>
  <c r="U17" i="4"/>
  <c r="Z38" i="4"/>
  <c r="V111" i="2"/>
  <c r="Z12" i="2"/>
  <c r="U34" i="2"/>
  <c r="Z30" i="4"/>
  <c r="Z22" i="4"/>
  <c r="V102" i="4"/>
  <c r="V148" i="4"/>
  <c r="V155" i="4"/>
  <c r="V133" i="4"/>
  <c r="U37" i="4"/>
  <c r="U48" i="4"/>
  <c r="V34" i="4"/>
  <c r="U38" i="3"/>
  <c r="V129" i="3"/>
  <c r="Z66" i="3"/>
  <c r="Z80" i="3"/>
  <c r="Z116" i="3"/>
  <c r="Z121" i="3"/>
  <c r="Z58" i="3"/>
  <c r="Z38" i="3"/>
  <c r="Z34" i="3"/>
  <c r="Z36" i="3"/>
  <c r="U106" i="3"/>
  <c r="U71" i="3"/>
  <c r="Z13" i="3"/>
  <c r="V87" i="2"/>
  <c r="V80" i="2"/>
  <c r="V68" i="2"/>
  <c r="V22" i="2"/>
  <c r="V9" i="2"/>
  <c r="U39" i="2"/>
  <c r="Z23" i="4"/>
  <c r="Z33" i="4"/>
  <c r="V130" i="4"/>
  <c r="V114" i="4"/>
  <c r="V101" i="4"/>
  <c r="V117" i="4"/>
  <c r="U34" i="4"/>
  <c r="U54" i="4"/>
  <c r="V21" i="4"/>
  <c r="Z129" i="3"/>
  <c r="Z128" i="3"/>
  <c r="U128" i="3"/>
  <c r="Z16" i="3"/>
  <c r="Z90" i="3"/>
  <c r="Z67" i="3"/>
  <c r="Z61" i="3"/>
  <c r="U122" i="3"/>
  <c r="U121" i="3"/>
  <c r="Z10" i="3"/>
  <c r="U35" i="4"/>
  <c r="Z24" i="4"/>
  <c r="U42" i="4"/>
  <c r="V110" i="2"/>
  <c r="V13" i="2"/>
  <c r="V108" i="2"/>
  <c r="V99" i="2"/>
  <c r="V12" i="2"/>
  <c r="U27" i="2"/>
  <c r="Z40" i="4"/>
  <c r="Z31" i="4"/>
  <c r="V96" i="4"/>
  <c r="V149" i="4"/>
  <c r="V123" i="4"/>
  <c r="V107" i="4"/>
  <c r="U21" i="4"/>
  <c r="U47" i="4"/>
  <c r="Z8" i="4"/>
  <c r="V32" i="4"/>
  <c r="V21" i="3"/>
  <c r="V10" i="3"/>
  <c r="V11" i="3"/>
  <c r="V15" i="3"/>
  <c r="V22" i="3"/>
  <c r="V9" i="3"/>
  <c r="V30" i="3"/>
  <c r="V7" i="3"/>
  <c r="V12" i="3"/>
  <c r="V23" i="3"/>
  <c r="V31" i="3"/>
  <c r="V13" i="3"/>
  <c r="V24" i="3"/>
  <c r="V8" i="3"/>
  <c r="V18" i="3"/>
  <c r="V14" i="3"/>
  <c r="V27" i="3"/>
  <c r="V25" i="3"/>
  <c r="V16" i="3"/>
  <c r="V20" i="3"/>
  <c r="V17" i="3"/>
  <c r="V26" i="3"/>
  <c r="V19" i="3"/>
  <c r="V29" i="3"/>
  <c r="V28" i="3"/>
  <c r="V41" i="3"/>
  <c r="V43" i="3"/>
  <c r="V52" i="3"/>
  <c r="V44" i="3"/>
  <c r="V61" i="3"/>
  <c r="V55" i="3"/>
  <c r="V62" i="3"/>
  <c r="V64" i="3"/>
  <c r="V63" i="3"/>
  <c r="V53" i="3"/>
  <c r="V50" i="3"/>
  <c r="V42" i="3"/>
  <c r="V49" i="3"/>
  <c r="V59" i="3"/>
  <c r="V60" i="3"/>
  <c r="V54" i="3"/>
  <c r="V46" i="3"/>
  <c r="V58" i="3"/>
  <c r="V57" i="3"/>
  <c r="V47" i="3"/>
  <c r="V56" i="3"/>
  <c r="V48" i="3"/>
  <c r="V45" i="3"/>
  <c r="V40" i="3"/>
  <c r="V51" i="3"/>
  <c r="Z2" i="3"/>
  <c r="Z3" i="3"/>
  <c r="Z4" i="3"/>
  <c r="Z5" i="3"/>
  <c r="Z6" i="3"/>
  <c r="Z106" i="3"/>
  <c r="U119" i="3"/>
  <c r="Z113" i="3"/>
  <c r="Z123" i="3"/>
  <c r="Z48" i="3"/>
  <c r="U93" i="3"/>
  <c r="U112" i="3"/>
  <c r="U33" i="3"/>
  <c r="V52" i="4"/>
  <c r="V89" i="2"/>
  <c r="V69" i="2"/>
  <c r="U32" i="4"/>
  <c r="V75" i="2"/>
  <c r="V17" i="2"/>
  <c r="Z43" i="4"/>
  <c r="Z35" i="4"/>
  <c r="V56" i="4"/>
  <c r="V111" i="4"/>
  <c r="V116" i="4"/>
  <c r="V135" i="4"/>
  <c r="V145" i="4"/>
  <c r="U26" i="4"/>
  <c r="U55" i="4"/>
  <c r="V19" i="4"/>
  <c r="Z25" i="3"/>
  <c r="Z17" i="3"/>
  <c r="Z105" i="3"/>
  <c r="Z89" i="3"/>
  <c r="Z91" i="3"/>
  <c r="Z55" i="3"/>
  <c r="U113" i="3"/>
  <c r="Z23" i="3"/>
  <c r="U20" i="4"/>
  <c r="V84" i="2"/>
  <c r="V90" i="2"/>
  <c r="V94" i="2"/>
  <c r="V82" i="2"/>
  <c r="V105" i="2"/>
  <c r="Z28" i="4"/>
  <c r="V49" i="4"/>
  <c r="V156" i="4"/>
  <c r="V105" i="4"/>
  <c r="V120" i="4"/>
  <c r="V151" i="4"/>
  <c r="U19" i="4"/>
  <c r="U44" i="4"/>
  <c r="V18" i="4"/>
  <c r="Z14" i="3"/>
  <c r="Z114" i="3"/>
  <c r="Z115" i="3"/>
  <c r="Z53" i="3"/>
  <c r="U76" i="3"/>
  <c r="U96" i="3"/>
  <c r="U88" i="3"/>
  <c r="U91" i="3"/>
  <c r="U73" i="3"/>
  <c r="V37" i="3"/>
  <c r="V81" i="2"/>
  <c r="V106" i="2"/>
  <c r="U26" i="2"/>
  <c r="Z42" i="4"/>
  <c r="U82" i="4"/>
  <c r="V51" i="4"/>
  <c r="V128" i="4"/>
  <c r="V146" i="4"/>
  <c r="V109" i="4"/>
  <c r="V141" i="4"/>
  <c r="U33" i="4"/>
  <c r="U52" i="4"/>
  <c r="Z10" i="4"/>
  <c r="V25" i="4"/>
  <c r="U127" i="3"/>
  <c r="Z18" i="3"/>
  <c r="Z98" i="3"/>
  <c r="Z101" i="3"/>
  <c r="Z112" i="3"/>
  <c r="Z41" i="3"/>
  <c r="U108" i="3"/>
  <c r="U65" i="3"/>
  <c r="Z87" i="3"/>
  <c r="U40" i="4"/>
  <c r="U22" i="4"/>
  <c r="V83" i="2"/>
  <c r="V19" i="2"/>
  <c r="V101" i="2"/>
  <c r="V76" i="2"/>
  <c r="V77" i="2"/>
  <c r="U33" i="2"/>
  <c r="Z110" i="4"/>
  <c r="Z37" i="4"/>
  <c r="U81" i="4"/>
  <c r="V53" i="4"/>
  <c r="V87" i="4"/>
  <c r="V127" i="4"/>
  <c r="V89" i="4"/>
  <c r="V132" i="4"/>
  <c r="U18" i="4"/>
  <c r="U50" i="4"/>
  <c r="V17" i="4"/>
  <c r="U116" i="3"/>
  <c r="U6" i="3"/>
  <c r="Z79" i="3"/>
  <c r="U120" i="3"/>
  <c r="Z102" i="3"/>
  <c r="Z93" i="3"/>
  <c r="Z56" i="3"/>
  <c r="U117" i="3"/>
  <c r="U111" i="3"/>
  <c r="U85" i="3"/>
  <c r="U23" i="4"/>
  <c r="V88" i="2"/>
  <c r="V11" i="2"/>
  <c r="V74" i="2"/>
  <c r="V102" i="2"/>
  <c r="V73" i="2"/>
  <c r="V98" i="2"/>
  <c r="U28" i="2"/>
  <c r="Z153" i="4"/>
  <c r="Z34" i="4"/>
  <c r="U73" i="4"/>
  <c r="V48" i="4"/>
  <c r="V139" i="4"/>
  <c r="V112" i="4"/>
  <c r="V124" i="4"/>
  <c r="V85" i="4"/>
  <c r="U29" i="4"/>
  <c r="U46" i="4"/>
  <c r="V27" i="4"/>
  <c r="V38" i="4"/>
  <c r="U13" i="3"/>
  <c r="U23" i="3"/>
  <c r="U21" i="3"/>
  <c r="U22" i="3"/>
  <c r="U15" i="3"/>
  <c r="U31" i="3"/>
  <c r="U27" i="3"/>
  <c r="U11" i="3"/>
  <c r="U20" i="3"/>
  <c r="U24" i="3"/>
  <c r="U29" i="3"/>
  <c r="U30" i="3"/>
  <c r="U10" i="3"/>
  <c r="U8" i="3"/>
  <c r="U9" i="3"/>
  <c r="U12" i="3"/>
  <c r="U7" i="3"/>
  <c r="U28" i="3"/>
  <c r="U18" i="3"/>
  <c r="U14" i="3"/>
  <c r="U19" i="3"/>
  <c r="U17" i="3"/>
  <c r="U25" i="3"/>
  <c r="U26" i="3"/>
  <c r="Z85" i="3"/>
  <c r="Z107" i="3"/>
  <c r="U97" i="3"/>
  <c r="Z88" i="3"/>
  <c r="Z111" i="3"/>
  <c r="Z42" i="3"/>
  <c r="U78" i="3"/>
  <c r="U86" i="3"/>
  <c r="Z8" i="3"/>
  <c r="Z46" i="3"/>
  <c r="V109" i="2"/>
  <c r="V126" i="4"/>
  <c r="V125" i="4"/>
  <c r="U27" i="4"/>
  <c r="V23" i="4"/>
  <c r="Z19" i="3"/>
  <c r="U77" i="3"/>
  <c r="Z86" i="3"/>
  <c r="Z118" i="3"/>
  <c r="Z92" i="3"/>
  <c r="Z110" i="3"/>
  <c r="Z68" i="3"/>
  <c r="U105" i="3"/>
  <c r="Z26" i="3"/>
  <c r="U34" i="3"/>
  <c r="A9" i="12" l="1" a="1"/>
  <c r="A6" i="12" s="1"/>
  <c r="A9" i="11" a="1"/>
  <c r="A9" i="9" a="1"/>
  <c r="T10" i="9" l="1"/>
  <c r="T14" i="9"/>
  <c r="T21" i="9"/>
  <c r="T11" i="9"/>
  <c r="T12" i="9"/>
  <c r="T13" i="9"/>
  <c r="T18" i="9"/>
  <c r="T19" i="9"/>
  <c r="T15" i="9"/>
  <c r="T16" i="9"/>
  <c r="T17" i="9"/>
  <c r="T20" i="9"/>
  <c r="T22" i="9"/>
  <c r="T23" i="9"/>
  <c r="A6" i="11"/>
  <c r="T10" i="11"/>
  <c r="T11" i="11"/>
  <c r="T12" i="11"/>
  <c r="T13" i="11"/>
  <c r="A9" i="12"/>
  <c r="T9" i="12" s="1"/>
  <c r="T2" i="12" s="1"/>
  <c r="A9" i="11"/>
  <c r="T9" i="11" s="1"/>
  <c r="A6" i="9"/>
  <c r="A9" i="9"/>
  <c r="T9" i="9" s="1"/>
  <c r="T2" i="9" l="1"/>
  <c r="T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<sst xmlns="http://schemas.openxmlformats.org/spreadsheetml/2006/main" count="1350" uniqueCount="521">
  <si>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</si>
  <si>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</si>
  <si>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</si>
  <si>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</si>
  <si>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</si>
  <si>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</si>
  <si>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</si>
  <si>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</si>
  <si>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</si>
  <si>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</si>
  <si>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</si>
  <si>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</si>
  <si>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</si>
  <si>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</si>
  <si>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</si>
  <si>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</si>
  <si>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</si>
  <si>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</si>
  <si>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</si>
  <si>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</si>
  <si>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</si>
  <si>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</si>
  <si>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</si>
  <si>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</si>
  <si>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</si>
  <si>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</si>
  <si>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</si>
  <si>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</si>
  <si>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</si>
  <si>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</si>
  <si>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</si>
  <si>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</si>
  <si>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</si>
  <si>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</si>
  <si>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</si>
  <si>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</si>
  <si>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</si>
  <si>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</si>
  <si>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</si>
  <si>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</si>
  <si>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</si>
  <si>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</si>
  <si>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</si>
  <si>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</si>
  <si>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</si>
  <si>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</si>
  <si>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</si>
  <si>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</si>
  <si>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</si>
  <si>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</si>
  <si>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</si>
  <si>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</si>
  <si>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</si>
  <si>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</si>
  <si>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</si>
  <si>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</si>
  <si>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</si>
  <si>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</si>
  <si>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</si>
  <si>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</si>
  <si>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</si>
  <si>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</si>
  <si>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</si>
  <si>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</si>
  <si>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</si>
  <si>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</si>
  <si>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</si>
  <si>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</si>
  <si>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</si>
  <si>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</si>
  <si>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</si>
  <si>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</si>
  <si>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</si>
  <si>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</si>
  <si>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</si>
  <si>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</si>
  <si>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</si>
  <si>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</si>
  <si>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</si>
  <si>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</si>
  <si>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</si>
  <si>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</si>
  <si>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</si>
  <si>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</si>
  <si>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</si>
  <si>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</si>
  <si>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</si>
  <si>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</si>
  <si>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</si>
  <si>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</si>
  <si>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</si>
  <si>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</si>
  <si>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</si>
  <si>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</si>
  <si>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</si>
  <si>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</si>
  <si>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</si>
  <si>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</si>
  <si>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</si>
  <si>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</si>
  <si>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</si>
  <si>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</si>
  <si>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</si>
  <si>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</si>
  <si>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</si>
  <si>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IT Services</t>
  </si>
  <si>
    <t>ACN</t>
  </si>
  <si>
    <t>CTSH</t>
  </si>
  <si>
    <t>DOX</t>
  </si>
  <si>
    <t>GIB</t>
  </si>
  <si>
    <t>IBM</t>
  </si>
  <si>
    <t>INFY</t>
  </si>
  <si>
    <t>IT</t>
  </si>
  <si>
    <t>WIT</t>
  </si>
  <si>
    <t>AKAM</t>
  </si>
  <si>
    <t>CRWV</t>
  </si>
  <si>
    <t>GDDY</t>
  </si>
  <si>
    <t>MDB</t>
  </si>
  <si>
    <t>NET</t>
  </si>
  <si>
    <t>OKTA</t>
  </si>
  <si>
    <t>SHOP</t>
  </si>
  <si>
    <t>SNOW</t>
  </si>
  <si>
    <t>TWLO</t>
  </si>
  <si>
    <t>VRSN</t>
  </si>
  <si>
    <t>Software</t>
  </si>
  <si>
    <t>ADBE</t>
  </si>
  <si>
    <t>ADSK</t>
  </si>
  <si>
    <t>ANSS</t>
  </si>
  <si>
    <t>BSY</t>
  </si>
  <si>
    <t>CDNS</t>
  </si>
  <si>
    <t>CRM</t>
  </si>
  <si>
    <t>DDOG</t>
  </si>
  <si>
    <t>DOCU</t>
  </si>
  <si>
    <t>DT</t>
  </si>
  <si>
    <t>FICO</t>
  </si>
  <si>
    <t>GWRE</t>
  </si>
  <si>
    <t>HUBS</t>
  </si>
  <si>
    <t>INTU</t>
  </si>
  <si>
    <t>IOT</t>
  </si>
  <si>
    <t>MANH</t>
  </si>
  <si>
    <t>MSTR</t>
  </si>
  <si>
    <t>NICE</t>
  </si>
  <si>
    <t>NTNX</t>
  </si>
  <si>
    <t>PLTR</t>
  </si>
  <si>
    <t>PTC</t>
  </si>
  <si>
    <t>ROP</t>
  </si>
  <si>
    <t>SAIL</t>
  </si>
  <si>
    <t>SAP</t>
  </si>
  <si>
    <t>SNPS</t>
  </si>
  <si>
    <t>TEAM</t>
  </si>
  <si>
    <t>TTAN</t>
  </si>
  <si>
    <t>TYL</t>
  </si>
  <si>
    <t>ZM</t>
  </si>
  <si>
    <t>CHKP</t>
  </si>
  <si>
    <t>CRWD</t>
  </si>
  <si>
    <t>CYBR</t>
  </si>
  <si>
    <t>FTNT</t>
  </si>
  <si>
    <t>GEN</t>
  </si>
  <si>
    <t>MNDY</t>
  </si>
  <si>
    <t>MSFT</t>
  </si>
  <si>
    <t>NOW</t>
  </si>
  <si>
    <t>ORCL</t>
  </si>
  <si>
    <t>PANW</t>
  </si>
  <si>
    <t>RBRK</t>
  </si>
  <si>
    <t>ZS</t>
  </si>
  <si>
    <t>Communications Equipment</t>
  </si>
  <si>
    <t>ANET</t>
  </si>
  <si>
    <t>CIEN</t>
  </si>
  <si>
    <t>CSCO</t>
  </si>
  <si>
    <t>ERIC</t>
  </si>
  <si>
    <t>FFIV</t>
  </si>
  <si>
    <t>JNPR</t>
  </si>
  <si>
    <t>MSI</t>
  </si>
  <si>
    <t>NOK</t>
  </si>
  <si>
    <t>UI</t>
  </si>
  <si>
    <t>Technology Hardware, Storage &amp; Peripherals</t>
  </si>
  <si>
    <t>AAPL</t>
  </si>
  <si>
    <t>DELL</t>
  </si>
  <si>
    <t>HPE</t>
  </si>
  <si>
    <t>HPQ</t>
  </si>
  <si>
    <t>LOGI</t>
  </si>
  <si>
    <t>NTAP</t>
  </si>
  <si>
    <t>PSTG</t>
  </si>
  <si>
    <t>SMCI</t>
  </si>
  <si>
    <t>STX</t>
  </si>
  <si>
    <t>WDC</t>
  </si>
  <si>
    <t>Electronic Equipment, Instruments &amp; Components</t>
  </si>
  <si>
    <t>KEYS</t>
  </si>
  <si>
    <t>TDY</t>
  </si>
  <si>
    <t>TRMB</t>
  </si>
  <si>
    <t>ZBRA</t>
  </si>
  <si>
    <t>APH</t>
  </si>
  <si>
    <t>GLW</t>
  </si>
  <si>
    <t>CLS</t>
  </si>
  <si>
    <t>FLEX</t>
  </si>
  <si>
    <t>JBL</t>
  </si>
  <si>
    <t>TEL</t>
  </si>
  <si>
    <t>CDW</t>
  </si>
  <si>
    <t>Semiconductors &amp; Semiconductor Equipment</t>
  </si>
  <si>
    <t>AMAT</t>
  </si>
  <si>
    <t>ASML</t>
  </si>
  <si>
    <t>ENTG</t>
  </si>
  <si>
    <t>KLAC</t>
  </si>
  <si>
    <t>LRCX</t>
  </si>
  <si>
    <t>ADI</t>
  </si>
  <si>
    <t>ALAB</t>
  </si>
  <si>
    <t>AMD</t>
  </si>
  <si>
    <t>ARM</t>
  </si>
  <si>
    <t>ASX</t>
  </si>
  <si>
    <t>AVGO</t>
  </si>
  <si>
    <t>FSLR</t>
  </si>
  <si>
    <t>GFS</t>
  </si>
  <si>
    <t>INTC</t>
  </si>
  <si>
    <t>MCHP</t>
  </si>
  <si>
    <t>MPWR</t>
  </si>
  <si>
    <t>MU</t>
  </si>
  <si>
    <t>NVDA</t>
  </si>
  <si>
    <t>NXPI</t>
  </si>
  <si>
    <t>ON</t>
  </si>
  <si>
    <t>QCOM</t>
  </si>
  <si>
    <t>STM</t>
  </si>
  <si>
    <t>SWKS</t>
  </si>
  <si>
    <t>TSM</t>
  </si>
  <si>
    <t>TXN</t>
  </si>
  <si>
    <t>UMC</t>
  </si>
  <si>
    <t>ASGN</t>
  </si>
  <si>
    <t>DXC</t>
  </si>
  <si>
    <t>EPAM</t>
  </si>
  <si>
    <t>GLOB</t>
  </si>
  <si>
    <t>KD</t>
  </si>
  <si>
    <t>DOCN</t>
  </si>
  <si>
    <t>GDS</t>
  </si>
  <si>
    <t>WIX</t>
  </si>
  <si>
    <t>ACIW</t>
  </si>
  <si>
    <t>AGYS</t>
  </si>
  <si>
    <t>AI</t>
  </si>
  <si>
    <t>ALKT</t>
  </si>
  <si>
    <t>ALRM</t>
  </si>
  <si>
    <t>APPF</t>
  </si>
  <si>
    <t>ASAN</t>
  </si>
  <si>
    <t>AVPT</t>
  </si>
  <si>
    <t>BILL</t>
  </si>
  <si>
    <t>BL</t>
  </si>
  <si>
    <t>BLKB</t>
  </si>
  <si>
    <t>BOX</t>
  </si>
  <si>
    <t>BRZE</t>
  </si>
  <si>
    <t>BTDR</t>
  </si>
  <si>
    <t>CCCS</t>
  </si>
  <si>
    <t>CFLT</t>
  </si>
  <si>
    <t>CLBT</t>
  </si>
  <si>
    <t>CORZ</t>
  </si>
  <si>
    <t>CWAN</t>
  </si>
  <si>
    <t>DBX</t>
  </si>
  <si>
    <t>DV</t>
  </si>
  <si>
    <t>ESTC</t>
  </si>
  <si>
    <t>FRSH</t>
  </si>
  <si>
    <t>IDCC</t>
  </si>
  <si>
    <t>INFA</t>
  </si>
  <si>
    <t>INTA</t>
  </si>
  <si>
    <t>KVYO</t>
  </si>
  <si>
    <t>LIF</t>
  </si>
  <si>
    <t>MARA</t>
  </si>
  <si>
    <t>NCNO</t>
  </si>
  <si>
    <t>OTEX</t>
  </si>
  <si>
    <t>PCOR</t>
  </si>
  <si>
    <t>PEGA</t>
  </si>
  <si>
    <t>PONY</t>
  </si>
  <si>
    <t>QBTS</t>
  </si>
  <si>
    <t>QTWO</t>
  </si>
  <si>
    <t>RIOT</t>
  </si>
  <si>
    <t>RNG</t>
  </si>
  <si>
    <t>SOUN</t>
  </si>
  <si>
    <t>SPSC</t>
  </si>
  <si>
    <t>U</t>
  </si>
  <si>
    <t>WK</t>
  </si>
  <si>
    <t>YOU</t>
  </si>
  <si>
    <t>ZETA</t>
  </si>
  <si>
    <t>APPN</t>
  </si>
  <si>
    <t>BB</t>
  </si>
  <si>
    <t>CVLT</t>
  </si>
  <si>
    <t>DLB</t>
  </si>
  <si>
    <t>FROG</t>
  </si>
  <si>
    <t>GTLB</t>
  </si>
  <si>
    <t>NBIS</t>
  </si>
  <si>
    <t>OS</t>
  </si>
  <si>
    <t>PATH</t>
  </si>
  <si>
    <t>PRGS</t>
  </si>
  <si>
    <t>QLYS</t>
  </si>
  <si>
    <t>S</t>
  </si>
  <si>
    <t>TDC</t>
  </si>
  <si>
    <t>TENB</t>
  </si>
  <si>
    <t>VRNS</t>
  </si>
  <si>
    <t>CALX</t>
  </si>
  <si>
    <t>LITE</t>
  </si>
  <si>
    <t>VIAV</t>
  </si>
  <si>
    <t>IONQ</t>
  </si>
  <si>
    <t>SNDK</t>
  </si>
  <si>
    <t>AEIS</t>
  </si>
  <si>
    <t>BMI</t>
  </si>
  <si>
    <t>CGNX</t>
  </si>
  <si>
    <t>CXT</t>
  </si>
  <si>
    <t>ITRI</t>
  </si>
  <si>
    <t>MIR</t>
  </si>
  <si>
    <t>NOVT</t>
  </si>
  <si>
    <t>OSIS</t>
  </si>
  <si>
    <t>PAR</t>
  </si>
  <si>
    <t>SHMXY</t>
  </si>
  <si>
    <t>VNT</t>
  </si>
  <si>
    <t>BDC</t>
  </si>
  <si>
    <t>LFUS</t>
  </si>
  <si>
    <t>LPL</t>
  </si>
  <si>
    <t>FN</t>
  </si>
  <si>
    <t>IPGP</t>
  </si>
  <si>
    <t>PLXS</t>
  </si>
  <si>
    <t>SANM</t>
  </si>
  <si>
    <t>TTMI</t>
  </si>
  <si>
    <t>ARW</t>
  </si>
  <si>
    <t>AVT</t>
  </si>
  <si>
    <t>INGM</t>
  </si>
  <si>
    <t>NSIT</t>
  </si>
  <si>
    <t>SNX</t>
  </si>
  <si>
    <t>AMKR</t>
  </si>
  <si>
    <t>CAMT</t>
  </si>
  <si>
    <t>ENPH</t>
  </si>
  <si>
    <t>FORM</t>
  </si>
  <si>
    <t>MKSI</t>
  </si>
  <si>
    <t>NVMI</t>
  </si>
  <si>
    <t>ONTO</t>
  </si>
  <si>
    <t>ALGM</t>
  </si>
  <si>
    <t>AMBA</t>
  </si>
  <si>
    <t>CRDO</t>
  </si>
  <si>
    <t>CRUS</t>
  </si>
  <si>
    <t>LSCC</t>
  </si>
  <si>
    <t>MTSI</t>
  </si>
  <si>
    <t>OLED</t>
  </si>
  <si>
    <t>PI</t>
  </si>
  <si>
    <t>POWI</t>
  </si>
  <si>
    <t>QRVO</t>
  </si>
  <si>
    <t>RGTI</t>
  </si>
  <si>
    <t>RMBS</t>
  </si>
  <si>
    <t>SITM</t>
  </si>
  <si>
    <t>SLAB</t>
  </si>
  <si>
    <t>SMTC</t>
  </si>
  <si>
    <t>SYNA</t>
  </si>
  <si>
    <t>ATEAY</t>
  </si>
  <si>
    <t>BBAI</t>
  </si>
  <si>
    <t>CINT</t>
  </si>
  <si>
    <t>DAVA</t>
  </si>
  <si>
    <t>FORTY</t>
  </si>
  <si>
    <t>HCKT</t>
  </si>
  <si>
    <t>UIS</t>
  </si>
  <si>
    <t>APLD</t>
  </si>
  <si>
    <t>BASE</t>
  </si>
  <si>
    <t>BIGC</t>
  </si>
  <si>
    <t>FSLY</t>
  </si>
  <si>
    <t>VNET</t>
  </si>
  <si>
    <t>AMPL</t>
  </si>
  <si>
    <t>APPS</t>
  </si>
  <si>
    <t>BLND</t>
  </si>
  <si>
    <t>BTBT</t>
  </si>
  <si>
    <t>CCSI</t>
  </si>
  <si>
    <t>CGNT</t>
  </si>
  <si>
    <t>CRNC</t>
  </si>
  <si>
    <t>CXM</t>
  </si>
  <si>
    <t>DCBO</t>
  </si>
  <si>
    <t>DGNX</t>
  </si>
  <si>
    <t>DJCO</t>
  </si>
  <si>
    <t>DMRC</t>
  </si>
  <si>
    <t>DOMO</t>
  </si>
  <si>
    <t>ETWO</t>
  </si>
  <si>
    <t>EVCM</t>
  </si>
  <si>
    <t>EXOD</t>
  </si>
  <si>
    <t>FIVN</t>
  </si>
  <si>
    <t>FUFU</t>
  </si>
  <si>
    <t>GRRR</t>
  </si>
  <si>
    <t>HIVE</t>
  </si>
  <si>
    <t>HKD</t>
  </si>
  <si>
    <t>HUT</t>
  </si>
  <si>
    <t>IIIV</t>
  </si>
  <si>
    <t>IREN</t>
  </si>
  <si>
    <t>KARO</t>
  </si>
  <si>
    <t>KLTR</t>
  </si>
  <si>
    <t>LSPD</t>
  </si>
  <si>
    <t>MGIC</t>
  </si>
  <si>
    <t>MITK</t>
  </si>
  <si>
    <t>MTLS</t>
  </si>
  <si>
    <t>NN</t>
  </si>
  <si>
    <t>OLO</t>
  </si>
  <si>
    <t>OOMA</t>
  </si>
  <si>
    <t>OPRA</t>
  </si>
  <si>
    <t>PD</t>
  </si>
  <si>
    <t>PGY</t>
  </si>
  <si>
    <t>PRCH</t>
  </si>
  <si>
    <t>PRO</t>
  </si>
  <si>
    <t>QUBT</t>
  </si>
  <si>
    <t>RAMP</t>
  </si>
  <si>
    <t>RDVT</t>
  </si>
  <si>
    <t>RMNI</t>
  </si>
  <si>
    <t>RSKD</t>
  </si>
  <si>
    <t>RZLV</t>
  </si>
  <si>
    <t>SEMR</t>
  </si>
  <si>
    <t>SMWB</t>
  </si>
  <si>
    <t>SPNS</t>
  </si>
  <si>
    <t>SPT</t>
  </si>
  <si>
    <t>TRAK</t>
  </si>
  <si>
    <t>TUYA</t>
  </si>
  <si>
    <t>VRNT</t>
  </si>
  <si>
    <t>VYX</t>
  </si>
  <si>
    <t>WEAV</t>
  </si>
  <si>
    <t>WULF</t>
  </si>
  <si>
    <t>XNET</t>
  </si>
  <si>
    <t>YEXT</t>
  </si>
  <si>
    <t>ADEA</t>
  </si>
  <si>
    <t>AIP</t>
  </si>
  <si>
    <t>ATEN</t>
  </si>
  <si>
    <t>NABL</t>
  </si>
  <si>
    <t>OSPN</t>
  </si>
  <si>
    <t>RDWR</t>
  </si>
  <si>
    <t>RPD</t>
  </si>
  <si>
    <t>TCYSF</t>
  </si>
  <si>
    <t>XPER</t>
  </si>
  <si>
    <t>AAOI</t>
  </si>
  <si>
    <t>ADTN</t>
  </si>
  <si>
    <t>AVNW</t>
  </si>
  <si>
    <t>CLFD</t>
  </si>
  <si>
    <t>COMM</t>
  </si>
  <si>
    <t>DGII</t>
  </si>
  <si>
    <t>EXTR</t>
  </si>
  <si>
    <t>GILT</t>
  </si>
  <si>
    <t>HLIT</t>
  </si>
  <si>
    <t>ITRN</t>
  </si>
  <si>
    <t>NTCT</t>
  </si>
  <si>
    <t>NTGR</t>
  </si>
  <si>
    <t>RBBN</t>
  </si>
  <si>
    <t>VSAT</t>
  </si>
  <si>
    <t>CMPO</t>
  </si>
  <si>
    <t>CRSR</t>
  </si>
  <si>
    <t>DBD</t>
  </si>
  <si>
    <t>KODK</t>
  </si>
  <si>
    <t>AEVA</t>
  </si>
  <si>
    <t>AIOT</t>
  </si>
  <si>
    <t>ARLO</t>
  </si>
  <si>
    <t>DAKT</t>
  </si>
  <si>
    <t>EVLV</t>
  </si>
  <si>
    <t>FARO</t>
  </si>
  <si>
    <t>LASR</t>
  </si>
  <si>
    <t>MVIS</t>
  </si>
  <si>
    <t>NSSC</t>
  </si>
  <si>
    <t>OUST</t>
  </si>
  <si>
    <t>VPG</t>
  </si>
  <si>
    <t>BELFA</t>
  </si>
  <si>
    <t>BELFB</t>
  </si>
  <si>
    <t>KN</t>
  </si>
  <si>
    <t>ROG</t>
  </si>
  <si>
    <t>VSH</t>
  </si>
  <si>
    <t>BHE</t>
  </si>
  <si>
    <t>CTS</t>
  </si>
  <si>
    <t>KE</t>
  </si>
  <si>
    <t>CLMB</t>
  </si>
  <si>
    <t>CNXN</t>
  </si>
  <si>
    <t>PLUS</t>
  </si>
  <si>
    <t>SCSC</t>
  </si>
  <si>
    <t>ACLS</t>
  </si>
  <si>
    <t>ACMR</t>
  </si>
  <si>
    <t>COHU</t>
  </si>
  <si>
    <t>DQ</t>
  </si>
  <si>
    <t>ICHR</t>
  </si>
  <si>
    <t>KLIC</t>
  </si>
  <si>
    <t>PDFS</t>
  </si>
  <si>
    <t>PLAB</t>
  </si>
  <si>
    <t>SEDG</t>
  </si>
  <si>
    <t>UCTT</t>
  </si>
  <si>
    <t>VECO</t>
  </si>
  <si>
    <t>AOSL</t>
  </si>
  <si>
    <t>CEVA</t>
  </si>
  <si>
    <t>CSIQ</t>
  </si>
  <si>
    <t>DIOD</t>
  </si>
  <si>
    <t>HIMX</t>
  </si>
  <si>
    <t>IMOS</t>
  </si>
  <si>
    <t>INDI</t>
  </si>
  <si>
    <t>JKS</t>
  </si>
  <si>
    <t>MXL</t>
  </si>
  <si>
    <t>NVEC</t>
  </si>
  <si>
    <t>NVTS</t>
  </si>
  <si>
    <t>PENG</t>
  </si>
  <si>
    <t>POET</t>
  </si>
  <si>
    <t>SIMO</t>
  </si>
  <si>
    <t>SKYT</t>
  </si>
  <si>
    <t>None</t>
  </si>
  <si>
    <t>CNSWF</t>
  </si>
  <si>
    <t>TOITF</t>
  </si>
  <si>
    <t>WIGBY</t>
  </si>
  <si>
    <t>HPHTY</t>
  </si>
  <si>
    <t>LSRCY</t>
  </si>
  <si>
    <t>KXSCF</t>
  </si>
  <si>
    <t>IBIDY</t>
  </si>
  <si>
    <t>LMGIF</t>
  </si>
  <si>
    <t>BYDIY</t>
  </si>
  <si>
    <t>SLTCY</t>
  </si>
  <si>
    <t>EGHSF</t>
  </si>
  <si>
    <t>TMVWY</t>
  </si>
  <si>
    <t>DYNDF</t>
  </si>
  <si>
    <t>EVTZF</t>
  </si>
  <si>
    <t>AUDC</t>
  </si>
  <si>
    <t>CMDXF</t>
  </si>
  <si>
    <t>ALLT</t>
  </si>
  <si>
    <t>CVOSF</t>
  </si>
  <si>
    <t>BLZE</t>
  </si>
  <si>
    <t>NXTT</t>
  </si>
  <si>
    <t>BCHPY</t>
  </si>
  <si>
    <t>BTQQF</t>
  </si>
  <si>
    <t>OCFT</t>
  </si>
  <si>
    <t>KRKNF</t>
  </si>
  <si>
    <t>BLKLF</t>
  </si>
  <si>
    <t>AEHR</t>
  </si>
  <si>
    <t>LAES</t>
  </si>
  <si>
    <t>ABXXF</t>
  </si>
  <si>
    <t>MEI</t>
  </si>
  <si>
    <t>SMTGY</t>
  </si>
  <si>
    <t>ARQQ</t>
  </si>
  <si>
    <t>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</si>
</sst>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6.01</v>
        <stp/>
        <stp>LAST</stp>
        <stp>TMVWY</stp>
        <tr r="D94" s="4"/>
      </tp>
      <tp>
        <v>11.8</v>
        <stp/>
        <stp>LAST</stp>
        <stp>VYX</stp>
        <tr r="D155" s="4"/>
      </tp>
      <tp>
        <v>15.6</v>
        <stp/>
        <stp>LAST</stp>
        <stp>VSH</stp>
        <tr r="D41" s="4"/>
      </tp>
      <tp>
        <v>27.24</v>
        <stp/>
        <stp>LAST</stp>
        <stp>VPG</stp>
        <tr r="D31" s="4"/>
      </tp>
      <tp>
        <v>36.5</v>
        <stp/>
        <stp>LAST</stp>
        <stp>VNT</stp>
        <tr r="D22" s="3"/>
      </tp>
      <tp>
        <v>2.94</v>
        <stp/>
        <stp>LAST</stp>
        <stp>WIT</stp>
        <tr r="D39" s="2"/>
      </tp>
      <tp>
        <v>153.96</v>
        <stp/>
        <stp>LAST</stp>
        <stp>WIX</stp>
        <tr r="D32" s="3"/>
      </tp>
      <tp>
        <v>57.02</v>
        <stp/>
        <stp>LAST</stp>
        <stp>WDC</stp>
        <tr r="D119" s="2"/>
      </tp>
      <tp>
        <v>8.85</v>
        <stp/>
        <stp>LAST</stp>
        <stp>EVTZF</stp>
        <tr r="D9" s="4"/>
      </tp>
      <tp>
        <v>4.5</v>
        <stp/>
        <stp>LAST</stp>
        <stp>SLTCY</stp>
        <tr r="D57" s="4"/>
      </tp>
      <tp>
        <v>2.2200000000000002</v>
        <stp/>
        <stp>LAST</stp>
        <stp>SMTGY</stp>
        <tr r="D80" s="4"/>
      </tp>
      <tp>
        <v>199.21</v>
        <stp/>
        <stp>LAST</stp>
        <stp>TXN</stp>
        <tr r="D56" s="2"/>
      </tp>
      <tp>
        <v>580.16999999999996</v>
        <stp/>
        <stp>LAST</stp>
        <stp>TYL</stp>
        <tr r="D74" s="2"/>
      </tp>
      <tp>
        <v>207</v>
        <stp/>
        <stp>LAST</stp>
        <stp>TSM</stp>
        <tr r="D58" s="2"/>
      </tp>
      <tp>
        <v>505.36</v>
        <stp/>
        <stp>LAST</stp>
        <stp>TDY</stp>
        <tr r="D11" s="2"/>
      </tp>
      <tp>
        <v>22.58</v>
        <stp/>
        <stp>LAST</stp>
        <stp>TDC</stp>
        <tr r="D81" s="3"/>
      </tp>
      <tp>
        <v>166</v>
        <stp/>
        <stp>LAST</stp>
        <stp>TEL</stp>
        <tr r="D14" s="2"/>
      </tp>
      <tp>
        <v>4.59</v>
        <stp/>
        <stp>LAST</stp>
        <stp>UIS</stp>
        <tr r="D47" s="4"/>
      </tp>
      <tp>
        <v>7.76</v>
        <stp/>
        <stp>LAST</stp>
        <stp>UMC</stp>
        <tr r="D63" s="2"/>
      </tp>
      <tp>
        <v>110</v>
        <stp/>
        <stp>LAST</stp>
        <stp>FORTY</stp>
        <tr r="D44" s="4"/>
      </tp>
      <tp>
        <v>20.67</v>
        <stp/>
        <stp>LAST</stp>
        <stp>LSRCY</stp>
        <tr r="D45" s="3"/>
      </tp>
      <tp>
        <v>23.61</v>
        <stp/>
        <stp>LAST</stp>
        <stp>RPD</stp>
        <tr r="D89" s="4"/>
      </tp>
      <tp>
        <v>27.41</v>
        <stp/>
        <stp>LAST</stp>
        <stp>RNG</stp>
        <tr r="D67" s="3"/>
      </tp>
      <tp>
        <v>573.08000000000004</v>
        <stp/>
        <stp>LAST</stp>
        <stp>ROP</stp>
        <tr r="D71" s="2"/>
      </tp>
      <tp>
        <v>69.2</v>
        <stp/>
        <stp>LAST</stp>
        <stp>ROG</stp>
        <tr r="D24" s="4"/>
      </tp>
      <tp>
        <v>3566.7849999999999</v>
        <stp/>
        <stp>LAST</stp>
        <stp>CNSWF</stp>
        <tr r="D68" s="2"/>
      </tp>
      <tp>
        <v>146.11349999999999</v>
        <stp/>
        <stp>LAST</stp>
        <stp>KXSCF</stp>
        <tr r="D77" s="3"/>
      </tp>
      <tp>
        <v>21.88</v>
        <stp/>
        <stp>LAST</stp>
        <stp>SPT</stp>
        <tr r="D110" s="4"/>
      </tp>
      <tp>
        <v>130.16999999999999</v>
        <stp/>
        <stp>LAST</stp>
        <stp>STX</stp>
        <tr r="D117" s="2"/>
      </tp>
      <tp>
        <v>29.6</v>
        <stp/>
        <stp>LAST</stp>
        <stp>STM</stp>
        <tr r="D62" s="2"/>
      </tp>
      <tp>
        <v>125.9</v>
        <stp/>
        <stp>LAST</stp>
        <stp>SNX</stp>
        <tr r="D22" s="2"/>
      </tp>
      <tp>
        <v>305.42</v>
        <stp/>
        <stp>LAST</stp>
        <stp>SAP</stp>
        <tr r="D91" s="2"/>
      </tp>
      <tp>
        <v>19.71</v>
        <stp/>
        <stp>LAST</stp>
        <stp>PRO</stp>
        <tr r="D108" s="4"/>
      </tp>
      <tp>
        <v>170.19</v>
        <stp/>
        <stp>LAST</stp>
        <stp>PTC</stp>
        <tr r="D83" s="2"/>
      </tp>
      <tp>
        <v>67.55</v>
        <stp/>
        <stp>LAST</stp>
        <stp>PAR</stp>
        <tr r="D31" s="3"/>
      </tp>
      <tp>
        <v>17.309999999999999</v>
        <stp/>
        <stp>LAST</stp>
        <stp>PGY</stp>
        <tr r="D105" s="4"/>
      </tp>
      <tp>
        <v>3.24</v>
        <stp/>
        <stp>LAST</stp>
        <stp>BTQQF</stp>
        <tr r="D135" s="4"/>
      </tp>
      <tp>
        <v>8.3879999999999999</v>
        <stp/>
        <stp>LAST</stp>
        <stp>ABXXF</stp>
        <tr r="D147" s="4"/>
      </tp>
      <tp>
        <v>29.650099999999998</v>
        <stp/>
        <stp>LAST</stp>
        <stp>TCYSF</stp>
        <tr r="D119" s="4"/>
      </tp>
      <tp>
        <v>26.23</v>
        <stp/>
        <stp>LAST</stp>
        <stp>YOU</stp>
        <tr r="D78" s="3"/>
      </tp>
      <tp>
        <v>68.069999999999993</v>
        <stp/>
        <stp>LAST</stp>
        <stp>WIGBY</stp>
        <tr r="D107" s="2"/>
      </tp>
      <tp>
        <v>33.618499999999997</v>
        <stp/>
        <stp>LAST</stp>
        <stp>LMGIF</stp>
        <tr r="D102" s="3"/>
      </tp>
      <tp>
        <v>107.95</v>
        <stp/>
        <stp>LAST</stp>
        <stp>GIB</stp>
        <tr r="D28" s="2"/>
      </tp>
      <tp>
        <v>50.89</v>
        <stp/>
        <stp>LAST</stp>
        <stp>GLW</stp>
        <tr r="D21" s="2"/>
      </tp>
      <tp>
        <v>38.39</v>
        <stp/>
        <stp>LAST</stp>
        <stp>GFS</stp>
        <tr r="D53" s="2"/>
      </tp>
      <tp>
        <v>26.07</v>
        <stp/>
        <stp>LAST</stp>
        <stp>GDS</stp>
        <tr r="D39" s="3"/>
      </tp>
      <tp>
        <v>29.33</v>
        <stp/>
        <stp>LAST</stp>
        <stp>GEN</stp>
        <tr r="D101" s="2"/>
      </tp>
      <tp>
        <v>5.1543999999999999</v>
        <stp/>
        <stp>LAST</stp>
        <stp>CMDXF</stp>
        <tr r="D120" s="4"/>
      </tp>
      <tp>
        <v>208.14490000000001</v>
        <stp/>
        <stp>LAST</stp>
        <stp>BYDIY</stp>
        <tr r="D5" s="3"/>
      </tp>
      <tp>
        <v>15.6</v>
        <stp/>
        <stp>LAST</stp>
        <stp>DXC</stp>
        <tr r="D35" s="3"/>
      </tp>
      <tp>
        <v>92.39</v>
        <stp/>
        <stp>LAST</stp>
        <stp>DOX</stp>
        <tr r="D29" s="2"/>
      </tp>
      <tp>
        <v>75.5</v>
        <stp/>
        <stp>LAST</stp>
        <stp>DLB</stp>
        <tr r="D73" s="3"/>
      </tp>
      <tp>
        <v>29.47</v>
        <stp/>
        <stp>LAST</stp>
        <stp>DBX</stp>
        <tr r="D80" s="3"/>
      </tp>
      <tp>
        <v>51.22</v>
        <stp/>
        <stp>LAST</stp>
        <stp>DBD</stp>
        <tr r="D158" s="4"/>
      </tp>
      <tp>
        <v>7.3</v>
        <stp/>
        <stp>LAST</stp>
        <stp>ATEAY</stp>
        <tr r="D46" s="4"/>
      </tp>
      <tp>
        <v>47.79</v>
        <stp/>
        <stp>LAST</stp>
        <stp>BSY</stp>
        <tr r="D103" s="2"/>
      </tp>
      <tp>
        <v>38.26</v>
        <stp/>
        <stp>LAST</stp>
        <stp>BHE</stp>
        <tr r="D23" s="4"/>
      </tp>
      <tp>
        <v>37.450000000000003</v>
        <stp/>
        <stp>LAST</stp>
        <stp>BOX</stp>
        <tr r="D89" s="3"/>
      </tp>
      <tp>
        <v>247.83</v>
        <stp/>
        <stp>LAST</stp>
        <stp>BMI</stp>
        <tr r="D16" s="3"/>
      </tp>
      <tp>
        <v>112.29</v>
        <stp/>
        <stp>LAST</stp>
        <stp>BDC</stp>
        <tr r="D14" s="3"/>
      </tp>
      <tp>
        <v>55.52</v>
        <stp/>
        <stp>LAST</stp>
        <stp>CXT</stp>
        <tr r="D21" s="3"/>
      </tp>
      <tp>
        <v>8.6999999999999993</v>
        <stp/>
        <stp>LAST</stp>
        <stp>CXM</stp>
        <tr r="D109" s="3"/>
      </tp>
      <tp>
        <v>272.25</v>
        <stp/>
        <stp>LAST</stp>
        <stp>CRM</stp>
        <tr r="D75" s="2"/>
      </tp>
      <tp>
        <v>42.94</v>
        <stp/>
        <stp>LAST</stp>
        <stp>CTS</stp>
        <tr r="D25" s="4"/>
      </tp>
      <tp>
        <v>122.65</v>
        <stp/>
        <stp>LAST</stp>
        <stp>CLS</stp>
        <tr r="D17" s="2"/>
      </tp>
      <tp>
        <v>177.43</v>
        <stp/>
        <stp>LAST</stp>
        <stp>CDW</stp>
        <tr r="D16" s="2"/>
      </tp>
      <tp>
        <v>123.28</v>
        <stp/>
        <stp>LAST</stp>
        <stp>ARW</stp>
        <tr r="D8" s="3"/>
      </tp>
      <tp>
        <v>138.61000000000001</v>
        <stp/>
        <stp>LAST</stp>
        <stp>ARM</stp>
        <tr r="D61" s="2"/>
      </tp>
      <tp>
        <v>9.9</v>
        <stp/>
        <stp>LAST</stp>
        <stp>ASX</stp>
        <tr r="D64" s="2"/>
      </tp>
      <tp>
        <v>92.96</v>
        <stp/>
        <stp>LAST</stp>
        <stp>APH</stp>
        <tr r="D19" s="2"/>
      </tp>
      <tp>
        <v>51.56</v>
        <stp/>
        <stp>LAST</stp>
        <stp>AVT</stp>
        <tr r="D12" s="3"/>
      </tp>
      <tp>
        <v>8.01</v>
        <stp/>
        <stp>LAST</stp>
        <stp>AIP</stp>
        <tr r="D129" s="4"/>
      </tp>
      <tp>
        <v>121.73</v>
        <stp/>
        <stp>LAST</stp>
        <stp>AMD</stp>
        <tr r="D55" s="2"/>
      </tp>
      <tp>
        <v>316.62</v>
        <stp/>
        <stp>LAST</stp>
        <stp>ACN</stp>
        <tr r="D24" s="2"/>
      </tp>
      <tp>
        <v>227.66</v>
        <stp/>
        <stp>LAST</stp>
        <stp>ADI</stp>
        <tr r="D48" s="2"/>
      </tp>
      <tp>
        <v>7.5</v>
        <stp/>
        <stp>LAST</stp>
        <stp>DYNDF</stp>
        <tr r="D97" s="4"/>
      </tp>
      <tp>
        <v>1026.8599999999999</v>
        <stp/>
        <stp>LAST</stp>
        <stp>NOW</stp>
        <tr r="D73" s="2"/>
      </tp>
      <tp>
        <v>5.43</v>
        <stp/>
        <stp>LAST</stp>
        <stp>NOK</stp>
        <tr r="D10" s="2"/>
      </tp>
      <tp>
        <v>177.8</v>
        <stp/>
        <stp>LAST</stp>
        <stp>NET</stp>
        <tr r="D38" s="2"/>
      </tp>
      <tp>
        <v>5.4429999999999996</v>
        <stp/>
        <stp>LAST</stp>
        <stp>CVOSF</stp>
        <tr r="D127" s="4"/>
      </tp>
      <tp>
        <v>6.19</v>
        <stp/>
        <stp>LAST</stp>
        <stp>OST</stp>
        <tr r="D43" s="4"/>
      </tp>
      <tp>
        <v>8.75</v>
        <stp/>
        <stp>LAST</stp>
        <stp>OLO</stp>
        <tr r="D124" s="4"/>
      </tp>
      <tp>
        <v>68.8</v>
        <stp/>
        <stp>LAST</stp>
        <stp>BELFA</stp>
        <tr r="D20" s="4"/>
      </tp>
      <tp>
        <v>77.709999999999994</v>
        <stp/>
        <stp>LAST</stp>
        <stp>BELFB</stp>
        <tr r="D21" s="4"/>
      </tp>
      <tp>
        <v>3.33</v>
        <stp/>
        <stp>LAST</stp>
        <stp>LPL</stp>
        <tr r="D23" s="3"/>
      </tp>
      <tp>
        <v>64.58</v>
        <stp/>
        <stp>LAST</stp>
        <stp>LIF</stp>
        <tr r="D111" s="3"/>
      </tp>
      <tp>
        <v>11.82</v>
        <stp/>
        <stp>LAST</stp>
        <stp>SHMXY</stp>
        <tr r="D26" s="3"/>
      </tp>
      <tp>
        <v>12.58</v>
        <stp/>
        <stp>LAST</stp>
        <stp>MXL</stp>
        <tr r="D79" s="4"/>
      </tp>
      <tp>
        <v>412.77</v>
        <stp/>
        <stp>LAST</stp>
        <stp>MSI</stp>
        <tr r="D3" s="2"/>
      </tp>
      <tp>
        <v>20.48</v>
        <stp/>
        <stp>LAST</stp>
        <stp>MIR</stp>
        <tr r="D29" s="3"/>
      </tp>
      <tp>
        <v>217.23</v>
        <stp/>
        <stp>LAST</stp>
        <stp>MDB</stp>
        <tr r="D35" s="2"/>
      </tp>
      <tp>
        <v>8.57</v>
        <stp/>
        <stp>LAST</stp>
        <stp>MEI</stp>
        <tr r="D39" s="4"/>
      </tp>
      <tp>
        <v>19.100000000000001</v>
        <stp/>
        <stp>LAST</stp>
        <stp>JKS</stp>
        <tr r="D82" s="4"/>
      </tp>
      <tp>
        <v>177.38</v>
        <stp/>
        <stp>LAST</stp>
        <stp>JBL</stp>
        <tr r="D13" s="2"/>
      </tp>
      <tp>
        <v>2.0230000000000001</v>
        <stp/>
        <stp>LAST</stp>
        <stp>KRKNF</stp>
        <tr r="D33" s="4"/>
      </tp>
      <tp>
        <v>5.81</v>
        <stp/>
        <stp>LAST</stp>
        <stp>BLKLF</stp>
        <tr r="D34" s="4"/>
      </tp>
      <tp>
        <v>17.04</v>
        <stp/>
        <stp>LAST</stp>
        <stp>EGHSF</stp>
        <tr r="D92" s="4"/>
      </tp>
      <tp>
        <v>6.05</v>
        <stp/>
        <stp>LAST</stp>
        <stp>BCHPY</stp>
        <tr r="D134" s="4"/>
      </tp>
      <tp>
        <v>4.95</v>
        <stp/>
        <stp>LAST</stp>
        <stp>HPHTY</stp>
        <tr r="D7" s="3"/>
      </tp>
      <tp>
        <v>25.12</v>
        <stp/>
        <stp>LAST</stp>
        <stp>HPQ</stp>
        <tr r="D118" s="2"/>
      </tp>
      <tp>
        <v>18.309999999999999</v>
        <stp/>
        <stp>LAST</stp>
        <stp>HPE</stp>
        <tr r="D121" s="2"/>
      </tp>
      <tp>
        <v>18.55</v>
        <stp/>
        <stp>LAST</stp>
        <stp>HUT</stp>
        <tr r="D156" s="4"/>
      </tp>
      <tp>
        <v>2.0099999999999998</v>
        <stp/>
        <stp>LAST</stp>
        <stp>HKD</stp>
        <tr r="D131" s="4"/>
      </tp>
      <tp>
        <v>125</v>
        <stp/>
        <stp>LAST</stp>
        <stp>TOITF</stp>
        <tr r="D90" s="2"/>
      </tp>
      <tp>
        <v>43.17</v>
        <stp/>
        <stp>LAST</stp>
        <stp>IBIDY</stp>
        <tr r="D27" s="3"/>
      </tp>
      <tp>
        <v>44.69</v>
        <stp/>
        <stp>LAST</stp>
        <stp>IOT</stp>
        <tr r="D110" s="2"/>
      </tp>
      <tp>
        <v>272.08</v>
        <stp/>
        <stp>LAST</stp>
        <stp>IBM</stp>
        <tr r="D25" s="2"/>
      </tp>
      <tp>
        <v>2.06</v>
        <stp/>
        <stp>LAST</stp>
        <stp>RZLV</stp>
        <tr r="D137" s="4"/>
      </tp>
      <tp>
        <v>16.829999999999998</v>
        <stp/>
        <stp>LAST</stp>
        <stp>EXTR</stp>
        <tr r="D3" s="3"/>
      </tp>
      <tp>
        <v>1.44</v>
        <stp/>
        <stp>LAST</stp>
        <stp>NXTT</stp>
        <tr r="D132" s="4"/>
      </tp>
      <tp>
        <v>213.08</v>
        <stp/>
        <stp>LAST</stp>
        <stp>NXPI</stp>
        <tr r="D47" s="2"/>
      </tp>
      <tp>
        <v>29.01</v>
        <stp/>
        <stp>LAST</stp>
        <stp>EXOD</stp>
        <tr r="D148" s="4"/>
      </tp>
      <tp>
        <v>397.94</v>
        <stp/>
        <stp>LAST</stp>
        <stp>CYBR</stp>
        <tr r="D87" s="2"/>
      </tp>
      <tp>
        <v>64.36</v>
        <stp/>
        <stp>LAST</stp>
        <stp>SYNA</stp>
        <tr r="D50" s="3"/>
      </tp>
      <tp>
        <v>81.09</v>
        <stp/>
        <stp>LAST</stp>
        <stp>QRVO</stp>
        <tr r="D43" s="3"/>
      </tp>
      <tp>
        <v>162.1</v>
        <stp/>
        <stp>LAST</stp>
        <stp>CRWV</stp>
        <tr r="D40" s="2"/>
      </tp>
      <tp>
        <v>464.39</v>
        <stp/>
        <stp>LAST</stp>
        <stp>CRWD</stp>
        <tr r="D95" s="2"/>
      </tp>
      <tp>
        <v>102.82</v>
        <stp/>
        <stp>LAST</stp>
        <stp>CRUS</stp>
        <tr r="D40" s="3"/>
      </tp>
      <tp>
        <v>22.29</v>
        <stp/>
        <stp>LAST</stp>
        <stp>GRRR</stp>
        <tr r="D157" s="4"/>
      </tp>
      <tp>
        <v>9.51</v>
        <stp/>
        <stp>LAST</stp>
        <stp>CRSR</stp>
        <tr r="D160" s="4"/>
      </tp>
      <tp>
        <v>15.95</v>
        <stp/>
        <stp>LAST</stp>
        <stp>FRSH</stp>
        <tr r="D100" s="3"/>
      </tp>
      <tp>
        <v>279.88</v>
        <stp/>
        <stp>LAST</stp>
        <stp>VRSN</stp>
        <tr r="D27" s="2"/>
      </tp>
      <tp>
        <v>26.22</v>
        <stp/>
        <stp>LAST</stp>
        <stp>ARQQ</stp>
        <tr r="D154" s="4"/>
      </tp>
      <tp>
        <v>30.65</v>
        <stp/>
        <stp>LAST</stp>
        <stp>BRZE</stp>
        <tr r="D110" s="3"/>
      </tp>
      <tp>
        <v>64.28</v>
        <stp/>
        <stp>LAST</stp>
        <stp>PRGS</stp>
        <tr r="D70" s="3"/>
      </tp>
      <tp>
        <v>71.09</v>
        <stp/>
        <stp>LAST</stp>
        <stp>CRDO</stp>
        <tr r="D65" s="2"/>
      </tp>
      <tp>
        <v>10.34</v>
        <stp/>
        <stp>LAST</stp>
        <stp>IREN</stp>
        <tr r="D127" s="3"/>
      </tp>
      <tp>
        <v>88.3</v>
        <stp/>
        <stp>LAST</stp>
        <stp>LRCX</stp>
        <tr r="D52" s="2"/>
      </tp>
      <tp>
        <v>11.045</v>
        <stp/>
        <stp>LAST</stp>
        <stp>PRCH</stp>
        <tr r="D146" s="4"/>
      </tp>
      <tp>
        <v>177.15</v>
        <stp/>
        <stp>LAST</stp>
        <stp>ORCL</stp>
        <tr r="D100" s="2"/>
      </tp>
      <tp>
        <v>21.77</v>
        <stp/>
        <stp>LAST</stp>
        <stp>TRAK</stp>
        <tr r="D111" s="4"/>
      </tp>
      <tp>
        <v>50.65</v>
        <stp/>
        <stp>LAST</stp>
        <stp>VRNS</stp>
        <tr r="D95" s="3"/>
      </tp>
      <tp>
        <v>19.11</v>
        <stp/>
        <stp>LAST</stp>
        <stp>VRNT</stp>
        <tr r="D90" s="4"/>
      </tp>
      <tp>
        <v>10.050000000000001</v>
        <stp/>
        <stp>LAST</stp>
        <stp>CRNC</stp>
        <tr r="D103" s="4"/>
      </tp>
      <tp>
        <v>42.44</v>
        <stp/>
        <stp>LAST</stp>
        <stp>FROG</stp>
        <tr r="D94" s="3"/>
      </tp>
      <tp>
        <v>17.34</v>
        <stp/>
        <stp>LAST</stp>
        <stp>ARLO</stp>
        <tr r="D32" s="4"/>
      </tp>
      <tp>
        <v>72.36</v>
        <stp/>
        <stp>LAST</stp>
        <stp>TRMB</stp>
        <tr r="D20" s="2"/>
      </tp>
      <tp>
        <v>8.49</v>
        <stp/>
        <stp>LAST</stp>
        <stp>ERIC</stp>
        <tr r="D9" s="2"/>
      </tp>
      <tp>
        <v>392.12</v>
        <stp/>
        <stp>LAST</stp>
        <stp>MSTR</stp>
        <tr r="D112" s="2"/>
      </tp>
      <tp>
        <v>85.71</v>
        <stp/>
        <stp>LAST</stp>
        <stp>ESTC</stp>
        <tr r="D84" s="3"/>
      </tp>
      <tp>
        <v>55.54</v>
        <stp/>
        <stp>LAST</stp>
        <stp>PSTG</stp>
        <tr r="D120" s="2"/>
      </tp>
      <tp>
        <v>28.69</v>
        <stp/>
        <stp>LAST</stp>
        <stp>NSSC</stp>
        <tr r="D28" s="4"/>
      </tp>
      <tp>
        <v>11.67</v>
        <stp/>
        <stp>LAST</stp>
        <stp>LSPD</stp>
        <tr r="D143" s="4"/>
      </tp>
      <tp>
        <v>16.75</v>
        <stp/>
        <stp>LAST</stp>
        <stp>OSPN</stp>
        <tr r="D96" s="4"/>
      </tp>
      <tp>
        <v>472.75</v>
        <stp/>
        <stp>LAST</stp>
        <stp>MSFT</stp>
        <tr r="D80" s="2"/>
      </tp>
      <tp>
        <v>54.27</v>
        <stp/>
        <stp>LAST</stp>
        <stp>ASGN</stp>
        <tr r="D34" s="3"/>
      </tp>
      <tp>
        <v>50.08</v>
        <stp/>
        <stp>LAST</stp>
        <stp>LSCC</stp>
        <tr r="D59" s="3"/>
      </tp>
      <tp>
        <v>65.900000000000006</v>
        <stp/>
        <stp>LAST</stp>
        <stp>CSCO</stp>
        <tr r="D5" s="2"/>
      </tp>
      <tp>
        <v>10.61</v>
        <stp/>
        <stp>LAST</stp>
        <stp>VSAT</stp>
        <tr r="D15" s="4"/>
      </tp>
      <tp>
        <v>14.64</v>
        <stp/>
        <stp>LAST</stp>
        <stp>ASAN</stp>
        <tr r="D115" s="3"/>
      </tp>
      <tp>
        <v>160.16</v>
        <stp/>
        <stp>LAST</stp>
        <stp>FSLR</stp>
        <tr r="D67" s="2"/>
      </tp>
      <tp>
        <v>8.2799999999999994</v>
        <stp/>
        <stp>LAST</stp>
        <stp>FSLY</stp>
        <tr r="D52" s="4"/>
      </tp>
      <tp>
        <v>770.2</v>
        <stp/>
        <stp>LAST</stp>
        <stp>ASML</stp>
        <tr r="D42" s="2"/>
      </tp>
      <tp>
        <v>5.17</v>
        <stp/>
        <stp>LAST</stp>
        <stp>RSKD</stp>
        <tr r="D122" s="4"/>
      </tp>
      <tp>
        <v>227.78</v>
        <stp/>
        <stp>LAST</stp>
        <stp>OSIS</stp>
        <tr r="D24" s="3"/>
      </tp>
      <tp>
        <v>11.03</v>
        <stp/>
        <stp>LAST</stp>
        <stp>CSIQ</stp>
        <tr r="D84" s="4"/>
      </tp>
      <tp>
        <v>134.19999999999999</v>
        <stp/>
        <stp>LAST</stp>
        <stp>NSIT</stp>
        <tr r="D9" s="3"/>
      </tp>
      <tp>
        <v>706.28</v>
        <stp/>
        <stp>LAST</stp>
        <stp>MPWR</stp>
        <tr r="D43" s="2"/>
      </tp>
      <tp>
        <v>18.91</v>
        <stp/>
        <stp>LAST</stp>
        <stp>OPRA</stp>
        <tr r="D104" s="4"/>
      </tp>
      <tp>
        <v>141.11000000000001</v>
        <stp/>
        <stp>LAST</stp>
        <stp>SPSC</stp>
        <tr r="D74" s="3"/>
      </tp>
      <tp>
        <v>5.1100000000000003</v>
        <stp/>
        <stp>LAST</stp>
        <stp>APPS</stp>
        <tr r="D144" s="4"/>
      </tp>
      <tp>
        <v>217.95</v>
        <stp/>
        <stp>LAST</stp>
        <stp>APPF</stp>
        <tr r="D68" s="3"/>
      </tp>
      <tp>
        <v>31.93</v>
        <stp/>
        <stp>LAST</stp>
        <stp>APPN</stp>
        <tr r="D104" s="3"/>
      </tp>
      <tp>
        <v>69.260000000000005</v>
        <stp/>
        <stp>LAST</stp>
        <stp>IPGP</stp>
        <tr r="D20" s="3"/>
      </tp>
      <tp>
        <v>7.95</v>
        <stp/>
        <stp>LAST</stp>
        <stp>XPER</stp>
        <tr r="D151" s="4"/>
      </tp>
      <tp>
        <v>176.69</v>
        <stp/>
        <stp>LAST</stp>
        <stp>EPAM</stp>
        <tr r="D33" s="3"/>
      </tp>
      <tp>
        <v>30.03</v>
        <stp/>
        <stp>LAST</stp>
        <stp>SPNS</stp>
        <tr r="D95" s="4"/>
      </tp>
      <tp>
        <v>13.02</v>
        <stp/>
        <stp>LAST</stp>
        <stp>APLD</stp>
        <tr r="D56" s="4"/>
      </tp>
      <tp>
        <v>7.3</v>
        <stp/>
        <stp>LAST</stp>
        <stp>NVTS</stp>
        <tr r="D75" s="4"/>
      </tp>
      <tp>
        <v>19.510000000000002</v>
        <stp/>
        <stp>LAST</stp>
        <stp>AVPT</stp>
        <tr r="D105" s="3"/>
      </tp>
      <tp>
        <v>34.76</v>
        <stp/>
        <stp>LAST</stp>
        <stp>KVYO</stp>
        <tr r="D108" s="2"/>
      </tp>
      <tp>
        <v>244.28</v>
        <stp/>
        <stp>LAST</stp>
        <stp>AVGO</stp>
        <tr r="D49" s="2"/>
      </tp>
      <tp>
        <v>142.63</v>
        <stp/>
        <stp>LAST</stp>
        <stp>NVDA</stp>
        <tr r="D51" s="2"/>
      </tp>
      <tp>
        <v>74.349999999999994</v>
        <stp/>
        <stp>LAST</stp>
        <stp>NVEC</stp>
        <tr r="D59" s="4"/>
      </tp>
      <tp>
        <v>10.3</v>
        <stp/>
        <stp>LAST</stp>
        <stp>EVCM</stp>
        <tr r="D109" s="4"/>
      </tp>
      <tp>
        <v>22.87</v>
        <stp/>
        <stp>LAST</stp>
        <stp>AVNW</stp>
        <tr r="D14" s="4"/>
      </tp>
      <tp>
        <v>5.43</v>
        <stp/>
        <stp>LAST</stp>
        <stp>EVLV</stp>
        <tr r="D36" s="4"/>
      </tp>
      <tp>
        <v>190.99</v>
        <stp/>
        <stp>LAST</stp>
        <stp>CVLT</stp>
        <tr r="D71" s="3"/>
      </tp>
      <tp>
        <v>220.89</v>
        <stp/>
        <stp>LAST</stp>
        <stp>NVMI</stp>
        <tr r="D41" s="3"/>
      </tp>
      <tp>
        <v>1.19</v>
        <stp/>
        <stp>LAST</stp>
        <stp>MVIS</stp>
        <tr r="D35" s="4"/>
      </tp>
      <tp>
        <v>257.37</v>
        <stp/>
        <stp>LAST</stp>
        <stp>GWRE</stp>
        <tr r="D98" s="2"/>
      </tp>
      <tp>
        <v>24.21</v>
        <stp/>
        <stp>LAST</stp>
        <stp>CWAN</stp>
        <tr r="D108" s="3"/>
      </tp>
      <tp>
        <v>121.42</v>
        <stp/>
        <stp>LAST</stp>
        <stp>TWLO</stp>
        <tr r="D32" s="2"/>
      </tp>
      <tp>
        <v>73.17</v>
        <stp/>
        <stp>LAST</stp>
        <stp>SWKS</stp>
        <tr r="D45" s="2"/>
      </tp>
      <tp>
        <v>90.87</v>
        <stp/>
        <stp>LAST</stp>
        <stp>QTWO</stp>
        <tr r="D87" s="3"/>
      </tp>
      <tp>
        <v>3.22</v>
        <stp/>
        <stp>LAST</stp>
        <stp>ETWO</stp>
        <tr r="D121" s="4"/>
      </tp>
      <tp>
        <v>121.58</v>
        <stp/>
        <stp>LAST</stp>
        <stp>ITRI</stp>
        <tr r="D15" s="3"/>
      </tp>
      <tp>
        <v>37</v>
        <stp/>
        <stp>LAST</stp>
        <stp>ITRN</stp>
        <tr r="D3" s="4"/>
      </tp>
      <tp>
        <v>126.3</v>
        <stp/>
        <stp>LAST</stp>
        <stp>MTSI</stp>
        <tr r="D51" s="3"/>
      </tp>
      <tp>
        <v>80.47</v>
        <stp/>
        <stp>LAST</stp>
        <stp>CTSH</stp>
        <tr r="D31" s="2"/>
      </tp>
      <tp>
        <v>30.17</v>
        <stp/>
        <stp>LAST</stp>
        <stp>NTGR</stp>
        <tr r="D2" s="4"/>
      </tp>
      <tp>
        <v>14.01</v>
        <stp/>
        <stp>LAST</stp>
        <stp>BTDR</stp>
        <tr r="D126" s="3"/>
      </tp>
      <tp>
        <v>28.16</v>
        <stp/>
        <stp>LAST</stp>
        <stp>OTEX</stp>
        <tr r="D82" s="3"/>
      </tp>
      <tp>
        <v>18.34</v>
        <stp/>
        <stp>LAST</stp>
        <stp>ATEN</stp>
        <tr r="D106" s="4"/>
      </tp>
      <tp>
        <v>2.65</v>
        <stp/>
        <stp>LAST</stp>
        <stp>BTBT</stp>
        <tr r="D150" s="4"/>
      </tp>
      <tp>
        <v>23.88</v>
        <stp/>
        <stp>LAST</stp>
        <stp>NTCT</stp>
        <tr r="D4" s="4"/>
      </tp>
      <tp>
        <v>103.06</v>
        <stp/>
        <stp>LAST</stp>
        <stp>NTAP</stp>
        <tr r="D113" s="2"/>
      </tp>
      <tp>
        <v>104.19</v>
        <stp/>
        <stp>LAST</stp>
        <stp>TTAN</stp>
        <tr r="D109" s="2"/>
      </tp>
      <tp>
        <v>102.08</v>
        <stp/>
        <stp>LAST</stp>
        <stp>FTNT</stp>
        <tr r="D97" s="2"/>
      </tp>
      <tp>
        <v>75.44</v>
        <stp/>
        <stp>LAST</stp>
        <stp>NTNX</stp>
        <tr r="D96" s="2"/>
      </tp>
      <tp>
        <v>5.89</v>
        <stp/>
        <stp>LAST</stp>
        <stp>MTLS</stp>
        <tr r="D125" s="4"/>
      </tp>
      <tp>
        <v>48.64</v>
        <stp/>
        <stp>LAST</stp>
        <stp>GTLB</stp>
        <tr r="D120" s="3"/>
      </tp>
      <tp>
        <v>35.700000000000003</v>
        <stp/>
        <stp>LAST</stp>
        <stp>TTMI</stp>
        <tr r="D30" s="3"/>
      </tp>
      <tp>
        <v>15.185</v>
        <stp/>
        <stp>LAST</stp>
        <stp>OUST</stp>
        <tr r="D40" s="4"/>
      </tp>
      <tp>
        <v>2.85</v>
        <stp/>
        <stp>LAST</stp>
        <stp>TUYA</stp>
        <tr r="D126" s="4"/>
      </tp>
      <tp>
        <v>3.48</v>
        <stp/>
        <stp>LAST</stp>
        <stp>FUFU</stp>
        <tr r="D141" s="4"/>
      </tp>
      <tp>
        <v>9.51</v>
        <stp/>
        <stp>LAST</stp>
        <stp>AUDC</stp>
        <tr r="D11" s="4"/>
      </tp>
      <tp>
        <v>606.05999999999995</v>
        <stp/>
        <stp>LAST</stp>
        <stp>HUBS</stp>
        <tr r="D79" s="2"/>
      </tp>
      <tp>
        <v>14.34</v>
        <stp/>
        <stp>LAST</stp>
        <stp>QUBT</stp>
        <tr r="D139" s="4"/>
      </tp>
      <tp>
        <v>4.53</v>
        <stp/>
        <stp>LAST</stp>
        <stp>WULF</stp>
        <tr r="D149" s="4"/>
      </tp>
      <tp>
        <v>422.3</v>
        <stp/>
        <stp>LAST</stp>
        <stp>DJCO</stp>
        <tr r="D86" s="4"/>
      </tp>
      <tp>
        <v>101.2</v>
        <stp/>
        <stp>LAST</stp>
        <stp>OKTA</stp>
        <tr r="D30" s="2"/>
      </tp>
      <tp>
        <v>91.59</v>
        <stp/>
        <stp>LAST</stp>
        <stp>MKSI</stp>
        <tr r="D42" s="3"/>
      </tp>
      <tp>
        <v>9.24</v>
        <stp/>
        <stp>LAST</stp>
        <stp>SKYT</stp>
        <tr r="D64" s="4"/>
      </tp>
      <tp>
        <v>78.08</v>
        <stp/>
        <stp>LAST</stp>
        <stp>AKAM</stp>
        <tr r="D33" s="2"/>
      </tp>
      <tp>
        <v>107.8</v>
        <stp/>
        <stp>LAST</stp>
        <stp>SHOP</stp>
        <tr r="D36" s="2"/>
      </tp>
      <tp>
        <v>227.8</v>
        <stp/>
        <stp>LAST</stp>
        <stp>CHKP</stp>
        <tr r="D77" s="2"/>
      </tp>
      <tp>
        <v>2.0099999999999998</v>
        <stp/>
        <stp>LAST</stp>
        <stp>HIVE</stp>
        <tr r="D153" s="4"/>
      </tp>
      <tp>
        <v>29.56</v>
        <stp/>
        <stp>LAST</stp>
        <stp>FIVN</stp>
        <tr r="D93" s="3"/>
      </tp>
      <tp>
        <v>82.11</v>
        <stp/>
        <stp>LAST</stp>
        <stp>LITE</stp>
        <tr r="D6" s="3"/>
      </tp>
      <tp>
        <v>10.34</v>
        <stp/>
        <stp>LAST</stp>
        <stp>MITK</stp>
        <tr r="D101" s="4"/>
      </tp>
      <tp>
        <v>213.03</v>
        <stp/>
        <stp>LAST</stp>
        <stp>SITM</stp>
        <tr r="D64" s="3"/>
      </tp>
      <tp>
        <v>5.36</v>
        <stp/>
        <stp>LAST</stp>
        <stp>BIGC</stp>
        <tr r="D50" s="4"/>
      </tp>
      <tp>
        <v>72.459999999999994</v>
        <stp/>
        <stp>LAST</stp>
        <stp>CIEN</stp>
        <tr r="D8" s="2"/>
      </tp>
      <tp>
        <v>175.42</v>
        <stp/>
        <stp>LAST</stp>
        <stp>NICE</stp>
        <tr r="D76" s="2"/>
      </tp>
      <tp>
        <v>1749.41</v>
        <stp/>
        <stp>LAST</stp>
        <stp>FICO</stp>
        <tr r="D69" s="2"/>
      </tp>
      <tp>
        <v>9.5399999999999991</v>
        <stp/>
        <stp>LAST</stp>
        <stp>VIAV</stp>
        <tr r="D4" s="3"/>
      </tp>
      <tp>
        <v>5.85</v>
        <stp/>
        <stp>LAST</stp>
        <stp>CINT</stp>
        <tr r="D49" s="4"/>
      </tp>
      <tp>
        <v>10.119999999999999</v>
        <stp/>
        <stp>LAST</stp>
        <stp>RIOT</stp>
        <tr r="D124" s="3"/>
      </tp>
      <tp>
        <v>4.78</v>
        <stp/>
        <stp>LAST</stp>
        <stp>AIOT</stp>
        <tr r="D38" s="4"/>
      </tp>
      <tp>
        <v>50.9</v>
        <stp/>
        <stp>LAST</stp>
        <stp>DIOD</stp>
        <tr r="D48" s="3"/>
      </tp>
      <tp>
        <v>6.03</v>
        <stp/>
        <stp>LAST</stp>
        <stp>GILT</stp>
        <tr r="D12" s="4"/>
      </tp>
      <tp>
        <v>45.58</v>
        <stp/>
        <stp>LAST</stp>
        <stp>BILL</stp>
        <tr r="D79" s="3"/>
      </tp>
      <tp>
        <v>8.83</v>
        <stp/>
        <stp>LAST</stp>
        <stp>HIMX</stp>
        <tr r="D66" s="4"/>
      </tp>
      <tp>
        <v>67.290000000000006</v>
        <stp/>
        <stp>LAST</stp>
        <stp>SIMO</stp>
        <tr r="D53" s="3"/>
      </tp>
      <tp>
        <v>24.8</v>
        <stp/>
        <stp>LAST</stp>
        <stp>IIIV</stp>
        <tr r="D140" s="4"/>
      </tp>
      <tp>
        <v>764.38</v>
        <stp/>
        <stp>LAST</stp>
        <stp>INTU</stp>
        <tr r="D70" s="2"/>
      </tp>
      <tp>
        <v>20.48</v>
        <stp/>
        <stp>LAST</stp>
        <stp>INTC</stp>
        <tr r="D66" s="2"/>
      </tp>
      <tp>
        <v>58.3</v>
        <stp/>
        <stp>LAST</stp>
        <stp>INTA</stp>
        <tr r="D92" s="3"/>
      </tp>
      <tp>
        <v>78.47</v>
        <stp/>
        <stp>LAST</stp>
        <stp>ENTG</stp>
        <tr r="D54" s="2"/>
      </tp>
      <tp>
        <v>99.46</v>
        <stp/>
        <stp>LAST</stp>
        <stp>ONTO</stp>
        <tr r="D44" s="3"/>
      </tp>
      <tp>
        <v>342.14</v>
        <stp/>
        <stp>LAST</stp>
        <stp>ANSS</stp>
        <tr r="D78" s="2"/>
      </tp>
      <tp>
        <v>495.77</v>
        <stp/>
        <stp>LAST</stp>
        <stp>SNPS</stp>
        <tr r="D82" s="2"/>
      </tp>
      <tp>
        <v>35.76</v>
        <stp/>
        <stp>LAST</stp>
        <stp>JNPR</stp>
        <tr r="D7" s="2"/>
      </tp>
      <tp>
        <v>43.26</v>
        <stp/>
        <stp>LAST</stp>
        <stp>ENPH</stp>
        <tr r="D46" s="3"/>
      </tp>
      <tp>
        <v>65.16</v>
        <stp/>
        <stp>LAST</stp>
        <stp>CNXN</stp>
        <tr r="D26" s="4"/>
      </tp>
      <tp>
        <v>18.29</v>
        <stp/>
        <stp>LAST</stp>
        <stp>INFY</stp>
        <tr r="D37" s="2"/>
      </tp>
      <tp>
        <v>24.15</v>
        <stp/>
        <stp>LAST</stp>
        <stp>INFA</stp>
        <tr r="D91" s="3"/>
      </tp>
      <tp>
        <v>20.010000000000002</v>
        <stp/>
        <stp>LAST</stp>
        <stp>INGM</stp>
        <tr r="D28" s="3"/>
      </tp>
      <tp>
        <v>309.02</v>
        <stp/>
        <stp>LAST</stp>
        <stp>MNDY</stp>
        <tr r="D84" s="2"/>
      </tp>
      <tp>
        <v>41.82</v>
        <stp/>
        <stp>LAST</stp>
        <stp>SNDK</stp>
        <tr r="D129" s="3"/>
      </tp>
      <tp>
        <v>3.03</v>
        <stp/>
        <stp>LAST</stp>
        <stp>INDI</stp>
        <tr r="D78" s="4"/>
      </tp>
      <tp>
        <v>6.15</v>
        <stp/>
        <stp>LAST</stp>
        <stp>VNET</stp>
        <tr r="D55" s="4"/>
      </tp>
      <tp>
        <v>6.13</v>
        <stp/>
        <stp>LAST</stp>
        <stp>XNET</stp>
        <tr r="D116" s="4"/>
      </tp>
      <tp>
        <v>96.8</v>
        <stp/>
        <stp>LAST</stp>
        <stp>ANET</stp>
        <tr r="D6" s="2"/>
      </tp>
      <tp>
        <v>210.85</v>
        <stp/>
        <stp>LAST</stp>
        <stp>SNOW</stp>
        <tr r="D34" s="2"/>
      </tp>
      <tp>
        <v>128.69999999999999</v>
        <stp/>
        <stp>LAST</stp>
        <stp>NOVT</stp>
        <tr r="D18" s="3"/>
      </tp>
      <tp>
        <v>56.85</v>
        <stp/>
        <stp>LAST</stp>
        <stp>POWI</stp>
        <tr r="D56" s="3"/>
      </tp>
      <tp>
        <v>10.02</v>
        <stp/>
        <stp>LAST</stp>
        <stp>SOUN</stp>
        <tr r="D118" s="3"/>
      </tp>
      <tp>
        <v>12.71</v>
        <stp/>
        <stp>LAST</stp>
        <stp>CORZ</stp>
        <tr r="D121" s="3"/>
      </tp>
      <tp>
        <v>34.17</v>
        <stp/>
        <stp>LAST</stp>
        <stp>FORM</stp>
        <tr r="D58" s="3"/>
      </tp>
      <tp>
        <v>24.51</v>
        <stp/>
        <stp>LAST</stp>
        <stp>AOSL</stp>
        <tr r="D68" s="4"/>
      </tp>
      <tp>
        <v>85.98</v>
        <stp/>
        <stp>LAST</stp>
        <stp>LOGI</stp>
        <tr r="D116" s="2"/>
      </tp>
      <tp>
        <v>5.86</v>
        <stp/>
        <stp>LAST</stp>
        <stp>KODK</stp>
        <tr r="D161" s="4"/>
      </tp>
      <tp>
        <v>4.21</v>
        <stp/>
        <stp>LAST</stp>
        <stp>POET</stp>
        <tr r="D77" s="4"/>
      </tp>
      <tp>
        <v>78.58</v>
        <stp/>
        <stp>LAST</stp>
        <stp>DOCU</stp>
        <tr r="D94" s="2"/>
      </tp>
      <tp>
        <v>28.96</v>
        <stp/>
        <stp>LAST</stp>
        <stp>DOCN</stp>
        <tr r="D38" s="3"/>
      </tp>
      <tp>
        <v>40.06</v>
        <stp/>
        <stp>LAST</stp>
        <stp>IONQ</stp>
        <tr r="D128" s="3"/>
      </tp>
      <tp>
        <v>13.8</v>
        <stp/>
        <stp>LAST</stp>
        <stp>PONY</stp>
        <tr r="D122" s="3"/>
      </tp>
      <tp>
        <v>13.27</v>
        <stp/>
        <stp>LAST</stp>
        <stp>OOMA</stp>
        <tr r="D107" s="4"/>
      </tp>
      <tp>
        <v>14.25</v>
        <stp/>
        <stp>LAST</stp>
        <stp>DOMO</stp>
        <tr r="D145" s="4"/>
      </tp>
      <tp>
        <v>6.11</v>
        <stp/>
        <stp>LAST</stp>
        <stp>COMM</stp>
        <tr r="D7" s="4"/>
      </tp>
      <tp>
        <v>19.100000000000001</v>
        <stp/>
        <stp>LAST</stp>
        <stp>COHU</stp>
        <tr r="D74" s="4"/>
      </tp>
      <tp>
        <v>132.06</v>
        <stp/>
        <stp>LAST</stp>
        <stp>PLTR</stp>
        <tr r="D106" s="2"/>
      </tp>
      <tp>
        <v>2.1800000000000002</v>
        <stp/>
        <stp>LAST</stp>
        <stp>KLTR</stp>
        <tr r="D128" s="4"/>
      </tp>
      <tp>
        <v>72.16</v>
        <stp/>
        <stp>LAST</stp>
        <stp>PLUS</stp>
        <tr r="D17" s="4"/>
      </tp>
      <tp>
        <v>59.11</v>
        <stp/>
        <stp>LAST</stp>
        <stp>ALRM</stp>
        <tr r="D76" s="3"/>
      </tp>
      <tp>
        <v>5.63</v>
        <stp/>
        <stp>LAST</stp>
        <stp>BLZE</stp>
        <tr r="D51" s="4"/>
      </tp>
      <tp>
        <v>134.97</v>
        <stp/>
        <stp>LAST</stp>
        <stp>PLXS</stp>
        <tr r="D10" s="3"/>
      </tp>
      <tp>
        <v>141.77000000000001</v>
        <stp/>
        <stp>LAST</stp>
        <stp>QLYS</stp>
        <tr r="D66" s="3"/>
      </tp>
      <tp>
        <v>39.1</v>
        <stp/>
        <stp>LAST</stp>
        <stp>CLFD</stp>
        <tr r="D6" s="4"/>
      </tp>
      <tp>
        <v>29.8</v>
        <stp/>
        <stp>LAST</stp>
        <stp>ALGM</stp>
        <tr r="D62" s="3"/>
      </tp>
      <tp>
        <v>43.72</v>
        <stp/>
        <stp>LAST</stp>
        <stp>FLEX</stp>
        <tr r="D18" s="2"/>
      </tp>
      <tp>
        <v>155.88</v>
        <stp/>
        <stp>LAST</stp>
        <stp>OLED</stp>
        <tr r="D47" s="3"/>
      </tp>
      <tp>
        <v>16.62</v>
        <stp/>
        <stp>LAST</stp>
        <stp>CLBT</stp>
        <tr r="D98" s="3"/>
      </tp>
      <tp>
        <v>829.29</v>
        <stp/>
        <stp>LAST</stp>
        <stp>KLAC</stp>
        <tr r="D41" s="2"/>
      </tp>
      <tp>
        <v>134.97999999999999</v>
        <stp/>
        <stp>LAST</stp>
        <stp>SLAB</stp>
        <tr r="D49" s="3"/>
      </tp>
      <tp>
        <v>18.329999999999998</v>
        <stp/>
        <stp>LAST</stp>
        <stp>PLAB</stp>
        <tr r="D62" s="4"/>
      </tp>
      <tp>
        <v>92.35</v>
        <stp/>
        <stp>LAST</stp>
        <stp>ALAB</stp>
        <tr r="D59" s="2"/>
      </tp>
      <tp>
        <v>3.67</v>
        <stp/>
        <stp>LAST</stp>
        <stp>BLND</stp>
        <tr r="D133" s="4"/>
      </tp>
      <tp>
        <v>100.22</v>
        <stp/>
        <stp>LAST</stp>
        <stp>GLOB</stp>
        <tr r="D36" s="3"/>
      </tp>
      <tp>
        <v>8.9499999999999993</v>
        <stp/>
        <stp>LAST</stp>
        <stp>ALLT</stp>
        <tr r="D123" s="4"/>
      </tp>
      <tp>
        <v>106.32</v>
        <stp/>
        <stp>LAST</stp>
        <stp>CLMB</stp>
        <tr r="D19" s="4"/>
      </tp>
      <tp>
        <v>30.42</v>
        <stp/>
        <stp>LAST</stp>
        <stp>ALKT</stp>
        <tr r="D113" s="3"/>
      </tp>
      <tp>
        <v>62.69</v>
        <stp/>
        <stp>LAST</stp>
        <stp>BLKB</stp>
        <tr r="D75" s="3"/>
      </tp>
      <tp>
        <v>9.6300000000000008</v>
        <stp/>
        <stp>LAST</stp>
        <stp>HLIT</stp>
        <tr r="D8" s="4"/>
      </tp>
      <tp>
        <v>34.159999999999997</v>
        <stp/>
        <stp>LAST</stp>
        <stp>KLIC</stp>
        <tr r="D61" s="4"/>
      </tp>
      <tp>
        <v>8.2200000000000006</v>
        <stp/>
        <stp>LAST</stp>
        <stp>SMWB</stp>
        <tr r="D118" s="4"/>
      </tp>
      <tp>
        <v>41.35</v>
        <stp/>
        <stp>LAST</stp>
        <stp>SMTC</stp>
        <tr r="D60" s="3"/>
      </tp>
      <tp>
        <v>13.4</v>
        <stp/>
        <stp>LAST</stp>
        <stp>DMRC</stp>
        <tr r="D152" s="4"/>
      </tp>
      <tp>
        <v>13.92</v>
        <stp/>
        <stp>LAST</stp>
        <stp>CMPO</stp>
        <tr r="D159" s="4"/>
      </tp>
      <tp>
        <v>12.69</v>
        <stp/>
        <stp>LAST</stp>
        <stp>AMPL</stp>
        <tr r="D130" s="4"/>
      </tp>
      <tp>
        <v>59.03</v>
        <stp/>
        <stp>LAST</stp>
        <stp>RMBS</stp>
        <tr r="D54" s="3"/>
      </tp>
      <tp>
        <v>54.37</v>
        <stp/>
        <stp>LAST</stp>
        <stp>AMBA</stp>
        <tr r="D61" s="3"/>
      </tp>
      <tp>
        <v>43.12</v>
        <stp/>
        <stp>LAST</stp>
        <stp>SMCI</stp>
        <tr r="D122" s="2"/>
      </tp>
      <tp>
        <v>169.79</v>
        <stp/>
        <stp>LAST</stp>
        <stp>AMAT</stp>
        <tr r="D46" s="2"/>
      </tp>
      <tp>
        <v>3.15</v>
        <stp/>
        <stp>LAST</stp>
        <stp>RMNI</stp>
        <tr r="D138" s="4"/>
      </tp>
      <tp>
        <v>19.77</v>
        <stp/>
        <stp>LAST</stp>
        <stp>IMOS</stp>
        <tr r="D71" s="4"/>
      </tp>
      <tp>
        <v>19.87</v>
        <stp/>
        <stp>LAST</stp>
        <stp>AMKR</stp>
        <tr r="D57" s="3"/>
      </tp>
      <tp>
        <v>17.95</v>
        <stp/>
        <stp>LAST</stp>
        <stp>QBTS</stp>
        <tr r="D117" s="3"/>
      </tp>
      <tp>
        <v>298.63</v>
        <stp/>
        <stp>LAST</stp>
        <stp>ZBRA</stp>
        <tr r="D12" s="2"/>
      </tp>
      <tp>
        <v>93.15</v>
        <stp/>
        <stp>LAST</stp>
        <stp>RBRK</stp>
        <tr r="D111" s="2"/>
      </tp>
      <tp>
        <v>3.97</v>
        <stp/>
        <stp>LAST</stp>
        <stp>RBBN</stp>
        <tr r="D13" s="4"/>
      </tp>
      <tp>
        <v>3.9</v>
        <stp/>
        <stp>LAST</stp>
        <stp>BBAI</stp>
        <tr r="D53" s="4"/>
      </tp>
      <tp>
        <v>52.58</v>
        <stp/>
        <stp>LAST</stp>
        <stp>NBIS</stp>
        <tr r="D123" s="3"/>
      </tp>
      <tp>
        <v>21.34</v>
        <stp/>
        <stp>LAST</stp>
        <stp>UCTT</stp>
        <tr r="D67" s="4"/>
      </tp>
      <tp>
        <v>41.97</v>
        <stp/>
        <stp>LAST</stp>
        <stp>SCSC</stp>
        <tr r="D18" s="4"/>
      </tp>
      <tp>
        <v>22.88</v>
        <stp/>
        <stp>LAST</stp>
        <stp>CCSI</stp>
        <tr r="D87" s="4"/>
      </tp>
      <tp>
        <v>7.21</v>
        <stp/>
        <stp>LAST</stp>
        <stp>OCFT</stp>
        <tr r="D136" s="4"/>
      </tp>
      <tp>
        <v>28.05</v>
        <stp/>
        <stp>LAST</stp>
        <stp>DCBO</stp>
        <tr r="D102" s="4"/>
      </tp>
      <tp>
        <v>9.0299999999999994</v>
        <stp/>
        <stp>LAST</stp>
        <stp>CCCS</stp>
        <tr r="D107" s="3"/>
      </tp>
      <tp>
        <v>27.16</v>
        <stp/>
        <stp>LAST</stp>
        <stp>NCNO</stp>
        <tr r="D103" s="3"/>
      </tp>
      <tp>
        <v>67.53</v>
        <stp/>
        <stp>LAST</stp>
        <stp>PCOR</stp>
        <tr r="D104" s="2"/>
      </tp>
      <tp>
        <v>155.41</v>
        <stp/>
        <stp>LAST</stp>
        <stp>QCOM</stp>
        <tr r="D44" s="2"/>
      </tp>
      <tp>
        <v>67.61</v>
        <stp/>
        <stp>LAST</stp>
        <stp>ACLS</stp>
        <tr r="D58" s="4"/>
      </tp>
      <tp>
        <v>25.02</v>
        <stp/>
        <stp>LAST</stp>
        <stp>ACMR</stp>
        <tr r="D63" s="4"/>
      </tp>
      <tp>
        <v>24.91</v>
        <stp/>
        <stp>LAST</stp>
        <stp>HCKT</stp>
        <tr r="D45" s="4"/>
      </tp>
      <tp>
        <v>18.62</v>
        <stp/>
        <stp>LAST</stp>
        <stp>ICHR</stp>
        <tr r="D69" s="4"/>
      </tp>
      <tp>
        <v>68.05</v>
        <stp/>
        <stp>LAST</stp>
        <stp>MCHP</stp>
        <tr r="D57" s="2"/>
      </tp>
      <tp>
        <v>47.79</v>
        <stp/>
        <stp>LAST</stp>
        <stp>ACIW</stp>
        <tr r="D83" s="3"/>
      </tp>
      <tp>
        <v>16.579999999999998</v>
        <stp/>
        <stp>LAST</stp>
        <stp>DAVA</stp>
        <tr r="D48" s="4"/>
      </tp>
      <tp>
        <v>13.11</v>
        <stp/>
        <stp>LAST</stp>
        <stp>PATH</stp>
        <tr r="D99" s="3"/>
      </tp>
      <tp>
        <v>16.27</v>
        <stp/>
        <stp>LAST</stp>
        <stp>MARA</stp>
        <tr r="D125" s="3"/>
      </tp>
      <tp>
        <v>42.43</v>
        <stp/>
        <stp>LAST</stp>
        <stp>FARO</stp>
        <tr r="D30" s="4"/>
      </tp>
      <tp>
        <v>57.5</v>
        <stp/>
        <stp>LAST</stp>
        <stp>KARO</stp>
        <tr r="D88" s="4"/>
      </tp>
      <tp>
        <v>17.63</v>
        <stp/>
        <stp>LAST</stp>
        <stp>LASR</stp>
        <tr r="D37" s="4"/>
      </tp>
      <tp>
        <v>19.86</v>
        <stp/>
        <stp>LAST</stp>
        <stp>BASE</stp>
        <tr r="D54" s="4"/>
      </tp>
      <tp>
        <v>201.45</v>
        <stp/>
        <stp>LAST</stp>
        <stp>AAPL</stp>
        <tr r="D114" s="2"/>
      </tp>
      <tp>
        <v>3.91</v>
        <stp/>
        <stp>LAST</stp>
        <stp>LAES</stp>
        <tr r="D76" s="4"/>
      </tp>
      <tp>
        <v>8.1999999999999993</v>
        <stp/>
        <stp>LAST</stp>
        <stp>NABL</stp>
        <tr r="D115" s="4"/>
      </tp>
      <tp>
        <v>196.33</v>
        <stp/>
        <stp>LAST</stp>
        <stp>PANW</stp>
        <tr r="D92" s="2"/>
      </tp>
      <tp>
        <v>193.65</v>
        <stp/>
        <stp>LAST</stp>
        <stp>MANH</stp>
        <tr r="D89" s="2"/>
      </tp>
      <tp>
        <v>87.91</v>
        <stp/>
        <stp>LAST</stp>
        <stp>SANM</stp>
        <tr r="D17" s="3"/>
      </tp>
      <tp>
        <v>16.87</v>
        <stp/>
        <stp>LAST</stp>
        <stp>AAOI</stp>
        <tr r="D16" s="4"/>
      </tp>
      <tp>
        <v>48.22</v>
        <stp/>
        <stp>LAST</stp>
        <stp>CALX</stp>
        <tr r="D2" s="3"/>
      </tp>
      <tp>
        <v>33.380000000000003</v>
        <stp/>
        <stp>LAST</stp>
        <stp>RAMP</stp>
        <tr r="D86" s="3"/>
      </tp>
      <tp>
        <v>74.44</v>
        <stp/>
        <stp>LAST</stp>
        <stp>CAMT</stp>
        <tr r="D52" s="3"/>
      </tp>
      <tp>
        <v>14.13</v>
        <stp/>
        <stp>LAST</stp>
        <stp>DAKT</stp>
        <tr r="D27" s="4"/>
      </tp>
      <tp>
        <v>19.18</v>
        <stp/>
        <stp>LAST</stp>
        <stp>SAIL</stp>
        <tr r="D65" s="3"/>
      </tp>
      <tp>
        <v>222.69</v>
        <stp/>
        <stp>LAST</stp>
        <stp>LFUS</stp>
        <tr r="D11" s="3"/>
      </tp>
      <tp>
        <v>24.39</v>
        <stp/>
        <stp>LAST</stp>
        <stp>CFLT</stp>
        <tr r="D114" s="3"/>
      </tp>
      <tp>
        <v>294.73</v>
        <stp/>
        <stp>LAST</stp>
        <stp>FFIV</stp>
        <tr r="D2" s="2"/>
      </tp>
      <tp>
        <v>11.32</v>
        <stp/>
        <stp>LAST</stp>
        <stp>RGTI</stp>
        <tr r="D63" s="3"/>
      </tp>
      <tp>
        <v>113.7</v>
        <stp/>
        <stp>LAST</stp>
        <stp>AGYS</stp>
        <tr r="D90" s="3"/>
      </tp>
      <tp>
        <v>11.2</v>
        <stp/>
        <stp>LAST</stp>
        <stp>CGNT</stp>
        <tr r="D112" s="4"/>
      </tp>
      <tp>
        <v>64.3</v>
        <stp/>
        <stp>LAST</stp>
        <stp>DGNX</stp>
        <tr r="D85" s="4"/>
      </tp>
      <tp>
        <v>31.14</v>
        <stp/>
        <stp>LAST</stp>
        <stp>CGNX</stp>
        <tr r="D25" s="3"/>
      </tp>
      <tp>
        <v>16.149999999999999</v>
        <stp/>
        <stp>LAST</stp>
        <stp>MGIC</stp>
        <tr r="D99" s="4"/>
      </tp>
      <tp>
        <v>34.92</v>
        <stp/>
        <stp>LAST</stp>
        <stp>DGII</stp>
        <tr r="D5" s="4"/>
      </tp>
      <tp>
        <v>44.11</v>
        <stp/>
        <stp>LAST</stp>
        <stp>RDVT</stp>
        <tr r="D100" s="4"/>
      </tp>
      <tp>
        <v>24.58</v>
        <stp/>
        <stp>LAST</stp>
        <stp>RDWR</stp>
        <tr r="D93" s="4"/>
      </tp>
      <tp>
        <v>8.32</v>
        <stp/>
        <stp>LAST</stp>
        <stp>ADTN</stp>
        <tr r="D10" s="4"/>
      </tp>
      <tp>
        <v>297.20999999999998</v>
        <stp/>
        <stp>LAST</stp>
        <stp>ADSK</stp>
        <tr r="D81" s="2"/>
      </tp>
      <tp>
        <v>19.64</v>
        <stp/>
        <stp>LAST</stp>
        <stp>PDFS</stp>
        <tr r="D72" s="4"/>
      </tp>
      <tp>
        <v>179.67</v>
        <stp/>
        <stp>LAST</stp>
        <stp>GDDY</stp>
        <tr r="D26" s="2"/>
      </tp>
      <tp>
        <v>13.75</v>
        <stp/>
        <stp>LAST</stp>
        <stp>ADEA</stp>
        <tr r="D91" s="4"/>
      </tp>
      <tp>
        <v>416.26</v>
        <stp/>
        <stp>LAST</stp>
        <stp>ADBE</stp>
        <tr r="D72" s="2"/>
      </tp>
      <tp>
        <v>227.96</v>
        <stp/>
        <stp>LAST</stp>
        <stp>IDCC</stp>
        <tr r="D69" s="3"/>
      </tp>
      <tp>
        <v>301.66000000000003</v>
        <stp/>
        <stp>LAST</stp>
        <stp>CDNS</stp>
        <tr r="D88" s="2"/>
      </tp>
      <tp>
        <v>121.17</v>
        <stp/>
        <stp>LAST</stp>
        <stp>DDOG</stp>
        <tr r="D99" s="2"/>
      </tp>
      <tp>
        <v>21.41</v>
        <stp/>
        <stp>LAST</stp>
        <stp>CEVA</stp>
        <tr r="D70" s="4"/>
      </tp>
      <tp>
        <v>21.78</v>
        <stp/>
        <stp>LAST</stp>
        <stp>AEVA</stp>
        <tr r="D42" s="4"/>
      </tp>
      <tp>
        <v>13.6</v>
        <stp/>
        <stp>LAST</stp>
        <stp>ZETA</stp>
        <tr r="D101" s="3"/>
      </tp>
      <tp>
        <v>8.75</v>
        <stp/>
        <stp>LAST</stp>
        <stp>YEXT</stp>
        <tr r="D114" s="4"/>
      </tp>
      <tp>
        <v>162.56</v>
        <stp/>
        <stp>LAST</stp>
        <stp>KEYS</stp>
        <tr r="D15" s="2"/>
      </tp>
      <tp>
        <v>102.04</v>
        <stp/>
        <stp>LAST</stp>
        <stp>PEGA</stp>
        <tr r="D72" s="3"/>
      </tp>
      <tp>
        <v>18.72</v>
        <stp/>
        <stp>LAST</stp>
        <stp>SEDG</stp>
        <tr r="D81" s="4"/>
      </tp>
      <tp>
        <v>21.45</v>
        <stp/>
        <stp>LAST</stp>
        <stp>VECO</stp>
        <tr r="D65" s="4"/>
      </tp>
      <tp>
        <v>9.8800000000000008</v>
        <stp/>
        <stp>LAST</stp>
        <stp>WEAV</stp>
        <tr r="D113" s="4"/>
      </tp>
      <tp>
        <v>214.99</v>
        <stp/>
        <stp>LAST</stp>
        <stp>TEAM</stp>
        <tr r="D85" s="2"/>
      </tp>
      <tp>
        <v>32.549999999999997</v>
        <stp/>
        <stp>LAST</stp>
        <stp>TENB</stp>
        <tr r="D88" s="3"/>
      </tp>
      <tp>
        <v>19.87</v>
        <stp/>
        <stp>LAST</stp>
        <stp>PENG</stp>
        <tr r="D60" s="4"/>
      </tp>
      <tp>
        <v>114.22</v>
        <stp/>
        <stp>LAST</stp>
        <stp>DELL</stp>
        <tr r="D115" s="2"/>
      </tp>
      <tp>
        <v>10.050000000000001</v>
        <stp/>
        <stp>LAST</stp>
        <stp>SEMR</stp>
        <tr r="D117" s="4"/>
      </tp>
      <tp>
        <v>11.78</v>
        <stp/>
        <stp>LAST</stp>
        <stp>AEHR</stp>
        <tr r="D73" s="4"/>
      </tp>
      <tp>
        <v>125.73</v>
        <stp/>
        <stp>LAST</stp>
        <stp>AEIS</stp>
        <tr r="D19" s="3"/>
      </tp>
      <tp>
        <v>69.55</v>
        <stp/>
        <stp>LAST</stp>
        <stp>WK</stp>
        <tr r="D96" s="3"/>
      </tp>
      <tp>
        <v>415.41</v>
        <stp/>
        <stp>LAST</stp>
        <stp>UI</stp>
        <tr r="D4" s="2"/>
      </tp>
      <tp>
        <v>117.01</v>
        <stp/>
        <stp>LAST</stp>
        <stp>PI</stp>
        <tr r="D55" s="3"/>
      </tp>
      <tp>
        <v>16.07</v>
        <stp/>
        <stp>LAST</stp>
        <stp>PD</stp>
        <tr r="D98" s="4"/>
      </tp>
      <tp>
        <v>299.89999999999998</v>
        <stp/>
        <stp>LAST</stp>
        <stp>ZS</stp>
        <tr r="D93" s="2"/>
      </tp>
      <tp>
        <v>80.260000000000005</v>
        <stp/>
        <stp>LAST</stp>
        <stp>ZM</stp>
        <tr r="D86" s="2"/>
      </tp>
      <tp>
        <v>232.83</v>
        <stp/>
        <stp>LAST</stp>
        <stp>FN</stp>
        <tr r="D13" s="3"/>
      </tp>
      <tp>
        <v>14.61</v>
        <stp/>
        <stp>LAST</stp>
        <stp>DQ</stp>
        <tr r="D83" s="4"/>
      </tp>
      <tp>
        <v>14.64</v>
        <stp/>
        <stp>LAST</stp>
        <stp>DV</stp>
        <tr r="D97" s="3"/>
      </tp>
      <tp>
        <v>54.21</v>
        <stp/>
        <stp>LAST</stp>
        <stp>DT</stp>
        <tr r="D102" s="2"/>
      </tp>
      <tp>
        <v>57.3</v>
        <stp/>
        <stp>LAST</stp>
        <stp>BL</stp>
        <tr r="D85" s="3"/>
      </tp>
      <tp>
        <v>4.21</v>
        <stp/>
        <stp>LAST</stp>
        <stp>BB</stp>
        <tr r="D116" s="3"/>
      </tp>
      <tp>
        <v>25.86</v>
        <stp/>
        <stp>LAST</stp>
        <stp>AI</stp>
        <tr r="D119" s="3"/>
      </tp>
      <tp>
        <v>12.33</v>
        <stp/>
        <stp>LAST</stp>
        <stp>NN</stp>
        <tr r="D142" s="4"/>
      </tp>
      <tp>
        <v>28.92</v>
        <stp/>
        <stp>LAST</stp>
        <stp>OS</stp>
        <tr r="D106" s="3"/>
      </tp>
      <tp>
        <v>52.38</v>
        <stp/>
        <stp>LAST</stp>
        <stp>ON</stp>
        <tr r="D50" s="2"/>
      </tp>
      <tp>
        <v>110.95</v>
        <stp/>
        <stp>LAST</stp>
        <stp>MU</stp>
        <tr r="D60" s="2"/>
      </tp>
      <tp>
        <v>17.48</v>
        <stp/>
        <stp>LAST</stp>
        <stp>KN</stp>
        <tr r="D29" s="4"/>
      </tp>
      <tp>
        <v>40.82</v>
        <stp/>
        <stp>LAST</stp>
        <stp>KD</stp>
        <tr r="D37" s="3"/>
      </tp>
      <tp>
        <v>18.920000000000002</v>
        <stp/>
        <stp>LAST</stp>
        <stp>KE</stp>
        <tr r="D22" s="4"/>
      </tp>
      <tp>
        <v>421.53</v>
        <stp/>
        <stp>LAST</stp>
        <stp>IT</stp>
        <tr r="D23" s="2"/>
      </tp>
      <tp>
        <v>24.69</v>
        <stp/>
        <stp>LAST</stp>
        <stp>U</stp>
        <tr r="D105" s="2"/>
      </tp>
      <tp>
        <v>18.09</v>
        <stp/>
        <stp>LAST</stp>
        <stp>S</stp>
        <tr r="D112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1343981484" createdVersion="8" refreshedVersion="8" minRefreshableVersion="3" recordCount="121" xr:uid="{3432845B-C090-4238-AA0B-FA56B072311B}">
  <cacheSource type="worksheet">
    <worksheetSource name="Main_L"/>
  </cacheSource>
  <cacheFields count="26">
    <cacheField name="Industry" numFmtId="0">
      <sharedItems count="58">
        <s v="Communications Equipment"/>
        <s v="Electronic Equipment, Instruments &amp; Components"/>
        <s v="IT Services"/>
        <s v="Semiconductors &amp; Semiconductor Equipment"/>
        <s v="Software"/>
        <s v="Technology Hardware, Storage &amp; Peripher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0" maxValue="3421646"/>
    </cacheField>
    <cacheField name="Current Price" numFmtId="0">
      <sharedItems containsSemiMixedTypes="0" containsString="0" containsNumber="1" minValue="2.94" maxValue="3566.7849999999999"/>
    </cacheField>
    <cacheField name="Free CF" numFmtId="0">
      <sharedItems containsSemiMixedTypes="0" containsString="0" containsNumber="1" minValue="-33.840000000000003" maxValue="104.48"/>
    </cacheField>
    <cacheField name="BVPS" numFmtId="0">
      <sharedItems containsSemiMixedTypes="0" containsString="0" containsNumber="1" minValue="-46.16" maxValue="211.84"/>
    </cacheField>
    <cacheField name="EPS" numFmtId="0">
      <sharedItems containsSemiMixedTypes="0" containsString="0" containsNumber="1" minValue="-25" maxValue="37.619999999999997"/>
    </cacheField>
    <cacheField name="P/FCF" numFmtId="2">
      <sharedItems containsSemiMixedTypes="0" containsString="0" containsNumber="1" minValue="-739.84905660377353" maxValue="924.06666666666683"/>
    </cacheField>
    <cacheField name="P/B" numFmtId="2">
      <sharedItems containsSemiMixedTypes="0" containsString="0" containsNumber="1" minValue="-37.898830155979205" maxValue="128.33571428571429"/>
    </cacheField>
    <cacheField name="ROE" numFmtId="0">
      <sharedItems containsSemiMixedTypes="0" containsString="0" containsNumber="1" minValue="-229.65" maxValue="245.7"/>
    </cacheField>
    <cacheField name="ROA" numFmtId="0">
      <sharedItems containsSemiMixedTypes="0" containsString="0" containsNumber="1" minValue="-61.72" maxValue="53.24"/>
    </cacheField>
    <cacheField name="A/E" numFmtId="0">
      <sharedItems containsSemiMixedTypes="0" containsString="0" containsNumber="1" minValue="-30.41" maxValue="39.25"/>
    </cacheField>
    <cacheField name="P/E" numFmtId="2">
      <sharedItems containsSemiMixedTypes="0" containsString="0" containsNumber="1" minValue="-6805" maxValue="2369.666666666667"/>
    </cacheField>
    <cacheField name="Preliminary Criteria" numFmtId="0">
      <sharedItems/>
    </cacheField>
    <cacheField name="P/FCF Z-Score" numFmtId="2">
      <sharedItems containsSemiMixedTypes="0" containsString="0" containsNumber="1" minValue="-32.923140149199938" maxValue="98.63408018162545"/>
    </cacheField>
    <cacheField name="P/B Z-Score" numFmtId="2">
      <sharedItems containsSemiMixedTypes="0" containsString="0" containsNumber="1" minValue="-5.1884971171552232" maxValue="16.221246639497259"/>
    </cacheField>
    <cacheField name="ROE Z-Score" numFmtId="2">
      <sharedItems containsSemiMixedTypes="0" containsString="0" containsNumber="1" minValue="-7.1340525483733481" maxValue="20.345091612888776"/>
    </cacheField>
    <cacheField name="ROA Z-Score" numFmtId="2">
      <sharedItems containsSemiMixedTypes="0" containsString="0" containsNumber="1" minValue="-11.704136055362268" maxValue="8.0122261856824277"/>
    </cacheField>
    <cacheField name="A/E Z-Score" numFmtId="2">
      <sharedItems containsSemiMixedTypes="0" containsString="0" containsNumber="1" minValue="-8.6836887708246913" maxValue="24.18363175444258"/>
    </cacheField>
    <cacheField name="P/E Z-Score" numFmtId="2">
      <sharedItems containsSemiMixedTypes="0" containsString="0" containsNumber="1" minValue="-340.86567239477898" maxValue="116.44398947305667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1346064816" createdVersion="8" refreshedVersion="8" minRefreshableVersion="3" recordCount="128" xr:uid="{A2646FF5-8A5C-4026-A340-9C8CC354FDFF}">
  <cacheSource type="worksheet">
    <worksheetSource name="Main_M"/>
  </cacheSource>
  <cacheFields count="26">
    <cacheField name="Industry" numFmtId="0">
      <sharedItems count="59">
        <s v="Communications Equipment"/>
        <s v="Electronic Equipment, Instruments &amp; Components"/>
        <s v="IT Services"/>
        <s v="Semiconductors &amp; Semiconductor Equipment"/>
        <s v="Software"/>
        <s v="Technology Hardware, Storage &amp; Peripher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22" maxValue="9996"/>
    </cacheField>
    <cacheField name="Current Price" numFmtId="0">
      <sharedItems containsSemiMixedTypes="0" containsString="0" containsNumber="1" minValue="3.33" maxValue="247.83"/>
    </cacheField>
    <cacheField name="Free CF" numFmtId="0">
      <sharedItems containsString="0" containsBlank="1" containsNumber="1" minValue="-7.88" maxValue="18.77"/>
    </cacheField>
    <cacheField name="BVPS" numFmtId="0">
      <sharedItems containsString="0" containsBlank="1" containsNumber="1" minValue="-5.98" maxValue="114.23"/>
    </cacheField>
    <cacheField name="EPS" numFmtId="0">
      <sharedItems containsString="0" containsBlank="1" containsNumber="1" minValue="-10.33" maxValue="12.66"/>
    </cacheField>
    <cacheField name="P/FCF" numFmtId="2">
      <sharedItems containsMixedTypes="1" containsNumber="1" minValue="-367.29310344827587" maxValue="1464"/>
    </cacheField>
    <cacheField name="P/B" numFmtId="2">
      <sharedItems containsMixedTypes="1" containsNumber="1" minValue="-74.255813953488371" maxValue="105.65730964467005"/>
    </cacheField>
    <cacheField name="ROE" numFmtId="0">
      <sharedItems containsSemiMixedTypes="0" containsString="0" containsNumber="1" minValue="-154.88999999999999" maxValue="377.99"/>
    </cacheField>
    <cacheField name="ROA" numFmtId="0">
      <sharedItems containsSemiMixedTypes="0" containsString="0" containsNumber="1" minValue="-35.83" maxValue="22.95"/>
    </cacheField>
    <cacheField name="A/E" numFmtId="0">
      <sharedItems containsSemiMixedTypes="0" containsString="0" containsNumber="1" minValue="-18.68" maxValue="63.37"/>
    </cacheField>
    <cacheField name="P/E" numFmtId="2">
      <sharedItems containsMixedTypes="1" containsNumber="1" minValue="-2279" maxValue="1614.5"/>
    </cacheField>
    <cacheField name="Preliminary Criteria" numFmtId="0">
      <sharedItems/>
    </cacheField>
    <cacheField name="P/FCF Z-Score" numFmtId="2">
      <sharedItems containsMixedTypes="1" containsNumber="1" minValue="-17.539001544889501" maxValue="65.918818102686757"/>
    </cacheField>
    <cacheField name="P/B Z-Score" numFmtId="2">
      <sharedItems containsMixedTypes="1" containsNumber="1" minValue="-20.315354781842615" maxValue="15.956323629083576"/>
    </cacheField>
    <cacheField name="ROE Z-Score" numFmtId="2">
      <sharedItems containsSemiMixedTypes="0" containsString="0" containsNumber="1" minValue="-4.0639261816588963" maxValue="4.7826009912941219"/>
    </cacheField>
    <cacheField name="ROA Z-Score" numFmtId="2">
      <sharedItems containsSemiMixedTypes="0" containsString="0" containsNumber="1" minValue="-4.798679468706851" maxValue="3.1056327629859113"/>
    </cacheField>
    <cacheField name="A/E Z-Score" numFmtId="2">
      <sharedItems containsSemiMixedTypes="0" containsString="0" containsNumber="1" minValue="-26.225758799313137" maxValue="77.957006025644645"/>
    </cacheField>
    <cacheField name="P/E Z-Score" numFmtId="2">
      <sharedItems containsMixedTypes="1" containsNumber="1" minValue="-39.899982503056741" maxValue="28.50632979188995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1347916664" createdVersion="8" refreshedVersion="8" minRefreshableVersion="3" recordCount="160" xr:uid="{FEEDC4AE-CB7E-4F82-B64E-6462C5DE2153}">
  <cacheSource type="worksheet">
    <worksheetSource name="Main_S"/>
  </cacheSource>
  <cacheFields count="26">
    <cacheField name="Industry" numFmtId="0">
      <sharedItems count="60">
        <s v="Communications Equipment"/>
        <s v="Electronic Equipment, Instruments &amp; Components"/>
        <s v="IT Services"/>
        <s v="Semiconductors &amp; Semiconductor Equipment"/>
        <s v="Software"/>
        <s v="Technology Hardware, Storage &amp; Peripher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8" maxValue="1907"/>
    </cacheField>
    <cacheField name="Current Price" numFmtId="0">
      <sharedItems containsSemiMixedTypes="0" containsString="0" containsNumber="1" minValue="1.19" maxValue="422.3"/>
    </cacheField>
    <cacheField name="Free CF" numFmtId="0">
      <sharedItems containsString="0" containsBlank="1" containsNumber="1" minValue="-39.96" maxValue="19.309999999999999"/>
    </cacheField>
    <cacheField name="BVPS" numFmtId="0">
      <sharedItems containsString="0" containsBlank="1" containsNumber="1" minValue="-11.77" maxValue="242.8"/>
    </cacheField>
    <cacheField name="EPS" numFmtId="0">
      <sharedItems containsString="0" containsBlank="1" containsNumber="1" minValue="-30.49" maxValue="76.72"/>
    </cacheField>
    <cacheField name="P/FCF" numFmtId="2">
      <sharedItems containsMixedTypes="1" containsNumber="1" minValue="-1977" maxValue="535.25"/>
    </cacheField>
    <cacheField name="P/B" numFmtId="2">
      <sharedItems containsMixedTypes="1" containsNumber="1" minValue="-66.75" maxValue="605"/>
    </cacheField>
    <cacheField name="ROE" numFmtId="0">
      <sharedItems containsSemiMixedTypes="0" containsString="0" containsNumber="1" minValue="-1369.6" maxValue="374.17"/>
    </cacheField>
    <cacheField name="ROA" numFmtId="0">
      <sharedItems containsSemiMixedTypes="0" containsString="0" containsNumber="1" minValue="-772.93" maxValue="20.39"/>
    </cacheField>
    <cacheField name="A/E" numFmtId="0">
      <sharedItems containsSemiMixedTypes="0" containsString="0" containsNumber="1" minValue="-20.39" maxValue="40.86"/>
    </cacheField>
    <cacheField name="P/E" numFmtId="2">
      <sharedItems containsMixedTypes="1" containsNumber="1" minValue="-848.59999999999991" maxValue="875"/>
    </cacheField>
    <cacheField name="Preliminary Criteria" numFmtId="0">
      <sharedItems/>
    </cacheField>
    <cacheField name="P/FCF Z-Score" numFmtId="2">
      <sharedItems containsMixedTypes="1" containsNumber="1" minValue="-133.52547397546226" maxValue="42.413879249351488"/>
    </cacheField>
    <cacheField name="P/B Z-Score" numFmtId="2">
      <sharedItems containsMixedTypes="1" containsNumber="1" minValue="-38.086176974002832" maxValue="158.06771625562897"/>
    </cacheField>
    <cacheField name="ROE Z-Score" numFmtId="2">
      <sharedItems containsSemiMixedTypes="0" containsString="0" containsNumber="1" minValue="-33.850643939232299" maxValue="9.5170671705715311"/>
    </cacheField>
    <cacheField name="ROA Z-Score" numFmtId="2">
      <sharedItems containsSemiMixedTypes="0" containsString="0" containsNumber="1" minValue="-102.46740038896738" maxValue="5.8819026284353324"/>
    </cacheField>
    <cacheField name="A/E Z-Score" numFmtId="2">
      <sharedItems containsSemiMixedTypes="0" containsString="0" containsNumber="1" minValue="-18.574887423299305" maxValue="32.402511211188276"/>
    </cacheField>
    <cacheField name="P/E Z-Score" numFmtId="2">
      <sharedItems containsMixedTypes="1" containsNumber="1" minValue="-39.946570580828748" maxValue="31.45586214071669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x v="0"/>
    <s v="FFIV"/>
    <n v="16390"/>
    <n v="294.73"/>
    <n v="14.31"/>
    <n v="57.22"/>
    <n v="10.53"/>
    <n v="20.596086652690428"/>
    <n v="5.150821391121986"/>
    <n v="19.89"/>
    <n v="8.08"/>
    <n v="1.78"/>
    <n v="27.989553656220327"/>
    <s v="NO"/>
    <n v="-0.38685799290941919"/>
    <n v="0.10626354375076158"/>
    <n v="0.59828599724924403"/>
    <n v="0.29059487303089065"/>
    <n v="-0.80613176970028289"/>
    <n v="-0.70512116331245911"/>
    <x v="0"/>
    <x v="0"/>
    <x v="0"/>
    <x v="0"/>
    <x v="0"/>
    <x v="0"/>
  </r>
  <r>
    <x v="0"/>
    <s v="MSI"/>
    <n v="69333"/>
    <n v="412.77"/>
    <n v="13.6"/>
    <n v="9.83"/>
    <n v="11.91"/>
    <n v="30.350735294117648"/>
    <n v="41.990844354018307"/>
    <n v="186.89"/>
    <n v="13"/>
    <n v="8.8000000000000007"/>
    <n v="34.657430730478588"/>
    <s v="NO"/>
    <n v="0.40389965910645886"/>
    <n v="11.421930381731629"/>
    <n v="15.740012145427771"/>
    <n v="1.298331807171494"/>
    <n v="11.202451834110835"/>
    <n v="0.17908745293550035"/>
    <x v="0"/>
    <x v="1"/>
    <x v="1"/>
    <x v="0"/>
    <x v="1"/>
    <x v="0"/>
  </r>
  <r>
    <x v="0"/>
    <s v="UI"/>
    <n v="23912"/>
    <n v="415.41"/>
    <n v="12.1"/>
    <n v="7.21"/>
    <n v="9.08"/>
    <n v="34.331404958677687"/>
    <n v="57.615811373092932"/>
    <n v="237.68"/>
    <n v="35.35"/>
    <n v="2.98"/>
    <n v="45.75"/>
    <s v="NO"/>
    <n v="0.7265914456696474"/>
    <n v="16.221246639497259"/>
    <n v="20.345091612888776"/>
    <n v="5.8761611726272838"/>
    <n v="1.2466175642845234"/>
    <n v="1.6500421833853314"/>
    <x v="0"/>
    <x v="1"/>
    <x v="1"/>
    <x v="1"/>
    <x v="0"/>
    <x v="0"/>
  </r>
  <r>
    <x v="0"/>
    <s v="CSCO"/>
    <n v="249638"/>
    <n v="65.900000000000006"/>
    <n v="3.21"/>
    <n v="11.6"/>
    <n v="2.4500000000000002"/>
    <n v="20.529595015576326"/>
    <n v="5.681034482758621"/>
    <n v="21.36"/>
    <n v="6.2"/>
    <n v="2.61"/>
    <n v="26.897959183673471"/>
    <s v="NO"/>
    <n v="-0.39224811743115134"/>
    <n v="0.26912214739871898"/>
    <n v="0.73156945496075554"/>
    <n v="-9.4475337575681329E-2"/>
    <n v="0.61368651963920795"/>
    <n v="-0.84987446744891038"/>
    <x v="0"/>
    <x v="0"/>
    <x v="0"/>
    <x v="0"/>
    <x v="0"/>
    <x v="0"/>
  </r>
  <r>
    <x v="0"/>
    <s v="ANET"/>
    <n v="108813"/>
    <n v="96.8"/>
    <n v="3.01"/>
    <n v="8.0500000000000007"/>
    <n v="2.37"/>
    <n v="32.159468438538205"/>
    <n v="12.024844720496892"/>
    <n v="33.68"/>
    <n v="15.68"/>
    <n v="1.43"/>
    <n v="40.843881856540079"/>
    <s v="NO"/>
    <n v="0.55052406629741135"/>
    <n v="2.2176671633971257"/>
    <n v="1.8486117672096147"/>
    <n v="1.8472616818659688"/>
    <n v="-1.4048503254458515"/>
    <n v="0.99945551442514047"/>
    <x v="0"/>
    <x v="0"/>
    <x v="0"/>
    <x v="0"/>
    <x v="0"/>
    <x v="0"/>
  </r>
  <r>
    <x v="0"/>
    <s v="JNPR"/>
    <n v="12014"/>
    <n v="35.76"/>
    <n v="2.0499999999999998"/>
    <n v="14.45"/>
    <n v="1.04"/>
    <n v="17.443902439024392"/>
    <n v="2.4747404844290659"/>
    <n v="7.58"/>
    <n v="2.91"/>
    <n v="2.09"/>
    <n v="34.38461538461538"/>
    <s v="NO"/>
    <n v="-0.64238885610567398"/>
    <n v="-0.71571314182615053"/>
    <n v="-0.51784962481110142"/>
    <n v="-0.76834820613718235"/>
    <n v="-0.27583819175420821"/>
    <n v="0.14291016940575718"/>
    <x v="0"/>
    <x v="0"/>
    <x v="0"/>
    <x v="0"/>
    <x v="0"/>
    <x v="0"/>
  </r>
  <r>
    <x v="0"/>
    <s v="CIEN"/>
    <n v="11380"/>
    <n v="72.459999999999994"/>
    <n v="1.42"/>
    <n v="19.600000000000001"/>
    <n v="0.55000000000000004"/>
    <n v="51.028169014084504"/>
    <n v="3.6969387755102034"/>
    <n v="2.76"/>
    <n v="2.06"/>
    <n v="2"/>
    <n v="131.74545454545452"/>
    <s v="NO"/>
    <n v="2.0801095913303849"/>
    <n v="-0.34030651719530586"/>
    <n v="-0.95487429567469739"/>
    <n v="-0.94244909923057918"/>
    <n v="-0.42979439180306844"/>
    <n v="13.053660009634648"/>
    <x v="0"/>
    <x v="0"/>
    <x v="0"/>
    <x v="0"/>
    <x v="0"/>
    <x v="1"/>
  </r>
  <r>
    <x v="0"/>
    <s v="ERIC"/>
    <n v="28197"/>
    <n v="8.49"/>
    <n v="1.25"/>
    <n v="2.57"/>
    <n v="0.05"/>
    <n v="6.7919999999999998"/>
    <n v="3.3035019455252921"/>
    <n v="2.06"/>
    <n v="2.65"/>
    <n v="3.23"/>
    <n v="169.79999999999998"/>
    <s v="NO"/>
    <n v="-1.5058821167868437"/>
    <n v="-0.46115334984751244"/>
    <n v="-1.0183426088706551"/>
    <n v="-0.82160259696575078"/>
    <n v="1.6742736755313581"/>
    <n v="18.099967343075068"/>
    <x v="0"/>
    <x v="0"/>
    <x v="0"/>
    <x v="0"/>
    <x v="0"/>
    <x v="1"/>
  </r>
  <r>
    <x v="0"/>
    <s v="NOK"/>
    <n v="28134"/>
    <n v="5.43"/>
    <n v="0.36"/>
    <n v="4.17"/>
    <n v="0.24"/>
    <n v="15.083333333333334"/>
    <n v="1.3021582733812949"/>
    <n v="5.71"/>
    <n v="2.71"/>
    <n v="1.89"/>
    <n v="22.625"/>
    <s v="NO"/>
    <n v="-0.83374767917081416"/>
    <n v="-1.0758798456776399"/>
    <n v="-0.6874006900631604"/>
    <n v="-0.80931312215915818"/>
    <n v="-0.61796308075167583"/>
    <n v="-1.4164996893903661"/>
    <x v="0"/>
    <x v="0"/>
    <x v="0"/>
    <x v="0"/>
    <x v="0"/>
    <x v="0"/>
  </r>
  <r>
    <x v="1"/>
    <s v="TDY"/>
    <n v="23376"/>
    <n v="505.36"/>
    <n v="22.56"/>
    <n v="211.84"/>
    <n v="17.489999999999998"/>
    <n v="22.400709219858157"/>
    <n v="2.3855740181268881"/>
    <n v="8.6199999999999992"/>
    <n v="4.55"/>
    <n v="1.52"/>
    <n v="28.894225271583764"/>
    <s v="NO"/>
    <n v="-0.45334526235872485"/>
    <n v="-0.92358553239358421"/>
    <n v="-0.9406037708430347"/>
    <n v="-0.38969270732124517"/>
    <n v="-1.2076473823087877"/>
    <n v="-5.0075143850784098E-2"/>
    <x v="0"/>
    <x v="0"/>
    <x v="0"/>
    <x v="0"/>
    <x v="0"/>
    <x v="0"/>
  </r>
  <r>
    <x v="1"/>
    <s v="ZBRA"/>
    <n v="14736"/>
    <n v="298.63"/>
    <n v="19.440000000000001"/>
    <n v="70.91"/>
    <n v="10.57"/>
    <n v="15.361625514403292"/>
    <n v="4.2113947257086446"/>
    <n v="16.16"/>
    <n v="6.54"/>
    <n v="2.1800000000000002"/>
    <n v="28.252601702932829"/>
    <s v="YES"/>
    <n v="-1.0099528840059964"/>
    <n v="-0.45469886316620983"/>
    <n v="-0.30372710253593455"/>
    <n v="0.76462033236239058"/>
    <n v="-0.39516290491449596"/>
    <n v="-0.11166898119511121"/>
    <x v="0"/>
    <x v="0"/>
    <x v="0"/>
    <x v="0"/>
    <x v="0"/>
    <x v="0"/>
  </r>
  <r>
    <x v="1"/>
    <s v="JBL"/>
    <n v="18035"/>
    <n v="177.38"/>
    <n v="10.96"/>
    <n v="12.4"/>
    <n v="4.18"/>
    <n v="16.184306569343065"/>
    <n v="14.304838709677419"/>
    <n v="24.1"/>
    <n v="4.6100000000000003"/>
    <n v="12.81"/>
    <n v="42.435406698564599"/>
    <s v="NO"/>
    <n v="-0.94490030549930193"/>
    <n v="2.1373855134780282"/>
    <n v="0.36693612642406226"/>
    <n v="-0.35488929908957745"/>
    <n v="12.690761329481441"/>
    <n v="1.2498355312155081"/>
    <x v="0"/>
    <x v="0"/>
    <x v="0"/>
    <x v="0"/>
    <x v="1"/>
    <x v="0"/>
  </r>
  <r>
    <x v="1"/>
    <s v="TEL"/>
    <n v="47468"/>
    <n v="166"/>
    <n v="9.2100000000000009"/>
    <n v="40.67"/>
    <n v="4.58"/>
    <n v="18.023887079261669"/>
    <n v="4.0816326530612246"/>
    <n v="11.22"/>
    <n v="8.15"/>
    <n v="1.96"/>
    <n v="36.244541484716159"/>
    <s v="YES"/>
    <n v="-0.79943754709212611"/>
    <n v="-0.48802289426249146"/>
    <n v="-0.72099112659920694"/>
    <n v="1.6985117865787995"/>
    <n v="-0.66599106404592667"/>
    <n v="0.65553201177935716"/>
    <x v="0"/>
    <x v="0"/>
    <x v="0"/>
    <x v="0"/>
    <x v="0"/>
    <x v="0"/>
  </r>
  <r>
    <x v="1"/>
    <s v="KEYS"/>
    <n v="27184"/>
    <n v="162.56"/>
    <n v="7.78"/>
    <n v="31.82"/>
    <n v="4.26"/>
    <n v="20.894601542416453"/>
    <n v="5.1087366436203645"/>
    <n v="14.3"/>
    <n v="5.57"/>
    <n v="1.93"/>
    <n v="38.159624413145544"/>
    <s v="YES"/>
    <n v="-0.57243903185543965"/>
    <n v="-0.22425363856088532"/>
    <n v="-0.46083460957190348"/>
    <n v="0.201965232617101"/>
    <n v="-0.70292217665475809"/>
    <n v="0.83937392806462041"/>
    <x v="0"/>
    <x v="0"/>
    <x v="0"/>
    <x v="0"/>
    <x v="0"/>
    <x v="0"/>
  </r>
  <r>
    <x v="1"/>
    <s v="CDW"/>
    <n v="23751"/>
    <n v="177.43"/>
    <n v="7.53"/>
    <n v="17.64"/>
    <n v="8.08"/>
    <n v="23.563081009296148"/>
    <n v="10.058390022675738"/>
    <n v="48.71"/>
    <n v="7.55"/>
    <n v="6.46"/>
    <n v="21.959158415841586"/>
    <s v="NO"/>
    <n v="-0.36143202133737024"/>
    <n v="1.0468604840350604"/>
    <n v="2.4456542705935229"/>
    <n v="1.3504777042621252"/>
    <n v="4.8736758272787881"/>
    <n v="-0.71581967188105922"/>
    <x v="0"/>
    <x v="0"/>
    <x v="0"/>
    <x v="0"/>
    <x v="1"/>
    <x v="0"/>
  </r>
  <r>
    <x v="1"/>
    <s v="CLS"/>
    <n v="13268"/>
    <n v="122.65"/>
    <n v="2.8"/>
    <n v="13.47"/>
    <n v="3.58"/>
    <n v="43.803571428571431"/>
    <n v="9.1054194506310324"/>
    <n v="25.85"/>
    <n v="6.68"/>
    <n v="3.75"/>
    <n v="34.259776536312849"/>
    <s v="NO"/>
    <n v="1.2390619782604351"/>
    <n v="0.80212933626011407"/>
    <n v="0.51475232928048476"/>
    <n v="0.8458282849029477"/>
    <n v="1.5375653216143486"/>
    <n v="0.46500084152369753"/>
    <x v="0"/>
    <x v="0"/>
    <x v="0"/>
    <x v="0"/>
    <x v="0"/>
    <x v="0"/>
  </r>
  <r>
    <x v="1"/>
    <s v="FLEX"/>
    <n v="15791"/>
    <n v="43.72"/>
    <n v="2.73"/>
    <n v="13.24"/>
    <n v="2.11"/>
    <n v="16.014652014652015"/>
    <n v="3.3021148036253773"/>
    <n v="16.23"/>
    <n v="4.28"/>
    <n v="3.67"/>
    <n v="20.720379146919431"/>
    <s v="NO"/>
    <n v="-0.95831554846835976"/>
    <n v="-0.68820987127917854"/>
    <n v="-0.29781445442167759"/>
    <n v="-0.54630804436374825"/>
    <n v="1.4390823546574647"/>
    <n v="-0.83473857156540987"/>
    <x v="0"/>
    <x v="0"/>
    <x v="0"/>
    <x v="0"/>
    <x v="0"/>
    <x v="0"/>
  </r>
  <r>
    <x v="1"/>
    <s v="APH"/>
    <n v="108779"/>
    <n v="92.96"/>
    <n v="1.84"/>
    <n v="8.52"/>
    <n v="2.06"/>
    <n v="50.521739130434774"/>
    <n v="10.910798122065728"/>
    <n v="27.53"/>
    <n v="11.82"/>
    <n v="2.2200000000000002"/>
    <n v="45.126213592233007"/>
    <s v="NO"/>
    <n v="1.7702935281088727"/>
    <n v="1.2657663124582557"/>
    <n v="0.65665588402265018"/>
    <n v="3.8273202567491227"/>
    <n v="-0.34592142143605403"/>
    <n v="1.5081444996377273"/>
    <x v="0"/>
    <x v="0"/>
    <x v="0"/>
    <x v="1"/>
    <x v="0"/>
    <x v="0"/>
  </r>
  <r>
    <x v="1"/>
    <s v="TRMB"/>
    <n v="17004"/>
    <n v="72.36"/>
    <n v="1.71"/>
    <n v="22.85"/>
    <n v="6.14"/>
    <n v="42.315789473684212"/>
    <n v="3.1667396061269146"/>
    <n v="31"/>
    <n v="3.19"/>
    <n v="1.64"/>
    <n v="11.785016286644952"/>
    <s v="NO"/>
    <n v="1.1214172946494467"/>
    <n v="-0.72297540175403197"/>
    <n v="0.94975429768652775"/>
    <n v="-1.178569960572373"/>
    <n v="-1.059922931873462"/>
    <n v="-1.6925052022168841"/>
    <x v="0"/>
    <x v="0"/>
    <x v="0"/>
    <x v="0"/>
    <x v="0"/>
    <x v="0"/>
  </r>
  <r>
    <x v="1"/>
    <s v="GLW"/>
    <n v="42472"/>
    <n v="50.89"/>
    <n v="1.26"/>
    <n v="13.23"/>
    <n v="0.52"/>
    <n v="40.388888888888886"/>
    <n v="3.8465608465608465"/>
    <n v="4.87"/>
    <n v="3.59"/>
    <n v="2.56"/>
    <n v="97.865384615384613"/>
    <s v="NO"/>
    <n v="0.96904979959856108"/>
    <n v="-0.54839138275729538"/>
    <n v="-1.2573527769639399"/>
    <n v="-0.94654723902792359"/>
    <n v="7.2631188130702018E-2"/>
    <n v="6.5709384498423411"/>
    <x v="0"/>
    <x v="0"/>
    <x v="0"/>
    <x v="0"/>
    <x v="0"/>
    <x v="1"/>
  </r>
  <r>
    <x v="1"/>
    <s v="SNX"/>
    <n v="10183"/>
    <n v="125.9"/>
    <n v="-1.07"/>
    <n v="96.74"/>
    <n v="8"/>
    <n v="-117.66355140186916"/>
    <n v="1.3014265040314246"/>
    <n v="8.48"/>
    <n v="2.73"/>
    <n v="3.58"/>
    <n v="15.737500000000001"/>
    <s v="NO"/>
    <n v="-11.528769031226293"/>
    <n v="-1.202004062057783"/>
    <n v="-0.9524290670715484"/>
    <n v="-1.4453960903484897"/>
    <n v="1.3282890168309707"/>
    <n v="-1.3130792415116641"/>
    <x v="1"/>
    <x v="0"/>
    <x v="0"/>
    <x v="0"/>
    <x v="0"/>
    <x v="0"/>
  </r>
  <r>
    <x v="2"/>
    <s v="IT"/>
    <n v="33590"/>
    <n v="421.53"/>
    <n v="19.41"/>
    <n v="19.36"/>
    <n v="16.059999999999999"/>
    <n v="21.717156105100461"/>
    <n v="21.773243801652892"/>
    <n v="113.19"/>
    <n v="9.0299999999999994"/>
    <n v="5.66"/>
    <n v="26.24719800747198"/>
    <s v="NO"/>
    <n v="0.12164958758364604"/>
    <n v="0.80769590176941253"/>
    <n v="5.0888736871115006"/>
    <n v="0.69885907538859104"/>
    <n v="2.31194298690767"/>
    <n v="0.15441252108546949"/>
    <x v="0"/>
    <x v="0"/>
    <x v="1"/>
    <x v="0"/>
    <x v="0"/>
    <x v="0"/>
  </r>
  <r>
    <x v="2"/>
    <s v="ACN"/>
    <n v="198338"/>
    <n v="316.62"/>
    <n v="15.55"/>
    <n v="46.69"/>
    <n v="12.12"/>
    <n v="20.361414790996783"/>
    <n v="6.7813236239023347"/>
    <n v="26.96"/>
    <n v="11.58"/>
    <n v="2.0499999999999998"/>
    <n v="26.123762376237625"/>
    <s v="YES"/>
    <n v="-0.22431452283523456"/>
    <n v="-0.27095911143792417"/>
    <n v="1.0344694353579293"/>
    <n v="1.0951900659445228"/>
    <n v="-3.8661253961666836E-2"/>
    <n v="0.1504138046179998"/>
    <x v="0"/>
    <x v="0"/>
    <x v="0"/>
    <x v="0"/>
    <x v="0"/>
    <x v="0"/>
  </r>
  <r>
    <x v="2"/>
    <s v="IBM"/>
    <n v="240769"/>
    <n v="272.08"/>
    <n v="12.92"/>
    <n v="28.92"/>
    <n v="5.85"/>
    <n v="21.058823529411764"/>
    <n v="9.4080221300138298"/>
    <n v="21.85"/>
    <n v="4.47"/>
    <n v="5.42"/>
    <n v="46.509401709401708"/>
    <s v="NO"/>
    <n v="-4.6346652951731404E-2"/>
    <n v="-8.1970544382566124E-2"/>
    <n v="0.79420495981043149"/>
    <n v="-9.8739900761339334E-3"/>
    <n v="2.155670128788933"/>
    <n v="0.81080976068237243"/>
    <x v="0"/>
    <x v="0"/>
    <x v="0"/>
    <x v="0"/>
    <x v="0"/>
    <x v="0"/>
  </r>
  <r>
    <x v="2"/>
    <s v="GDDY"/>
    <n v="25954"/>
    <n v="179.67"/>
    <n v="9.7100000000000009"/>
    <n v="1.4"/>
    <n v="5.2"/>
    <n v="18.503604531410915"/>
    <n v="128.33571428571429"/>
    <n v="245.7"/>
    <n v="7.78"/>
    <n v="39.25"/>
    <n v="34.551923076923075"/>
    <s v="NO"/>
    <n v="-0.69839882424167699"/>
    <n v="8.4747686746073949"/>
    <n v="11.319293580418538"/>
    <n v="0.50457917805725205"/>
    <n v="24.18363175444258"/>
    <n v="0.42344538105418733"/>
    <x v="0"/>
    <x v="1"/>
    <x v="1"/>
    <x v="0"/>
    <x v="1"/>
    <x v="0"/>
  </r>
  <r>
    <x v="2"/>
    <s v="VRSN"/>
    <n v="25585"/>
    <n v="279.88"/>
    <n v="9.39"/>
    <n v="-21.01"/>
    <n v="8.18"/>
    <n v="29.806176783812564"/>
    <n v="-13.321275583055687"/>
    <n v="-43.78"/>
    <n v="42.14"/>
    <n v="-0.73"/>
    <n v="34.215158924205383"/>
    <s v="NO"/>
    <n v="2.1858419332456522"/>
    <n v="-1.7173228297602698"/>
    <n v="-2.2916184316146748"/>
    <n v="5.8449449959011019"/>
    <n v="-1.8488218605037043"/>
    <n v="0.41253585396173048"/>
    <x v="0"/>
    <x v="0"/>
    <x v="0"/>
    <x v="1"/>
    <x v="0"/>
    <x v="0"/>
  </r>
  <r>
    <x v="2"/>
    <s v="GIB"/>
    <n v="24136"/>
    <n v="107.95"/>
    <n v="5.72"/>
    <n v="31.7"/>
    <n v="5.3"/>
    <n v="18.872377622377623"/>
    <n v="3.4053627760252367"/>
    <n v="18.34"/>
    <n v="9.01"/>
    <n v="1.84"/>
    <n v="20.367924528301888"/>
    <s v="YES"/>
    <n v="-0.60429366344478341"/>
    <n v="-0.51385642210788429"/>
    <n v="0.62917006564766864"/>
    <n v="0.69575059703128972"/>
    <n v="-0.17540000481556162"/>
    <n v="-3.6047457470317706E-2"/>
    <x v="0"/>
    <x v="0"/>
    <x v="0"/>
    <x v="0"/>
    <x v="0"/>
    <x v="0"/>
  </r>
  <r>
    <x v="2"/>
    <s v="DOX"/>
    <n v="10205"/>
    <n v="92.39"/>
    <n v="5.31"/>
    <n v="31.12"/>
    <n v="4.74"/>
    <n v="17.39924670433145"/>
    <n v="2.9688303341902311"/>
    <n v="15.35"/>
    <n v="7.83"/>
    <n v="1.79"/>
    <n v="19.491561181434598"/>
    <s v="YES"/>
    <n v="-0.98021377614662186"/>
    <n v="-0.54526453402618158"/>
    <n v="0.48858478543494466"/>
    <n v="0.51235037395050564"/>
    <n v="-0.2079568502569652"/>
    <n v="-6.4437384362268132E-2"/>
    <x v="0"/>
    <x v="0"/>
    <x v="0"/>
    <x v="0"/>
    <x v="0"/>
    <x v="0"/>
  </r>
  <r>
    <x v="2"/>
    <s v="OKTA"/>
    <n v="18062"/>
    <n v="101.2"/>
    <n v="4.4000000000000004"/>
    <n v="37.51"/>
    <n v="0.63"/>
    <n v="23"/>
    <n v="2.6979472140762466"/>
    <n v="2.08"/>
    <n v="0.11"/>
    <n v="1.43"/>
    <n v="160.63492063492063"/>
    <s v="NO"/>
    <n v="0.44901140970133557"/>
    <n v="-0.5647543279978593"/>
    <n v="-0.13535055517470271"/>
    <n v="-0.68752227196784466"/>
    <n v="-0.44236613743507086"/>
    <n v="4.5079236922307118"/>
    <x v="0"/>
    <x v="0"/>
    <x v="0"/>
    <x v="0"/>
    <x v="0"/>
    <x v="1"/>
  </r>
  <r>
    <x v="2"/>
    <s v="CTSH"/>
    <n v="39923"/>
    <n v="80.47"/>
    <n v="4.3099999999999996"/>
    <n v="30.22"/>
    <n v="4.75"/>
    <n v="18.670533642691417"/>
    <n v="2.6628060886829914"/>
    <n v="16.600000000000001"/>
    <n v="10.09"/>
    <n v="1.34"/>
    <n v="16.941052631578948"/>
    <s v="YES"/>
    <n v="-0.65580110970248795"/>
    <n v="-0.56728269998928949"/>
    <n v="0.5473578958917692"/>
    <n v="0.86360842832556672"/>
    <n v="-0.50096845922959721"/>
    <n v="-0.14706150542636082"/>
    <x v="0"/>
    <x v="0"/>
    <x v="0"/>
    <x v="0"/>
    <x v="0"/>
    <x v="0"/>
  </r>
  <r>
    <x v="2"/>
    <s v="TWLO"/>
    <n v="17970"/>
    <n v="121.42"/>
    <n v="4.1399999999999997"/>
    <n v="52.23"/>
    <n v="-0.21"/>
    <n v="29.328502415458939"/>
    <n v="2.3247175952517711"/>
    <n v="-0.39"/>
    <n v="0.15"/>
    <n v="1.23"/>
    <n v="-578.19047619047626"/>
    <s v="NO"/>
    <n v="2.0639468591646355"/>
    <n v="-0.59160785941006355"/>
    <n v="-0.25148622143738764"/>
    <n v="-0.68130531525324178"/>
    <n v="-0.57259351920068502"/>
    <n v="-19.4264399216387"/>
    <x v="0"/>
    <x v="0"/>
    <x v="0"/>
    <x v="0"/>
    <x v="0"/>
    <x v="1"/>
  </r>
  <r>
    <x v="2"/>
    <s v="AKAM"/>
    <n v="10808"/>
    <n v="78.08"/>
    <n v="3.64"/>
    <n v="31.38"/>
    <n v="2.97"/>
    <n v="21.450549450549449"/>
    <n v="2.4882090503505419"/>
    <n v="9.82"/>
    <n v="3.92"/>
    <n v="2.1800000000000002"/>
    <n v="26.289562289562287"/>
    <s v="NO"/>
    <n v="5.3615713337898135E-2"/>
    <n v="-0.57984479800312161"/>
    <n v="0.22857254477395375"/>
    <n v="-9.535714490192311E-2"/>
    <n v="4.5986544185982629E-2"/>
    <n v="0.15578491859122223"/>
    <x v="0"/>
    <x v="0"/>
    <x v="0"/>
    <x v="0"/>
    <x v="0"/>
    <x v="0"/>
  </r>
  <r>
    <x v="2"/>
    <s v="SNOW"/>
    <n v="68623"/>
    <n v="210.85"/>
    <n v="2.21"/>
    <n v="7.24"/>
    <n v="-4.21"/>
    <n v="95.407239819004531"/>
    <n v="29.122928176795579"/>
    <n v="-40.14"/>
    <n v="-11.57"/>
    <n v="3.39"/>
    <n v="-50.083135391923989"/>
    <s v="NO"/>
    <n v="18.926213550900354"/>
    <n v="1.3364990038900377"/>
    <n v="-2.1204711339644025"/>
    <n v="-2.5028736326318768"/>
    <n v="0.83386220386794863"/>
    <n v="-2.3183204983788994"/>
    <x v="1"/>
    <x v="0"/>
    <x v="0"/>
    <x v="0"/>
    <x v="0"/>
    <x v="0"/>
  </r>
  <r>
    <x v="2"/>
    <s v="MDB"/>
    <n v="15430"/>
    <n v="217.23"/>
    <n v="1.62"/>
    <n v="34.58"/>
    <n v="-1.73"/>
    <n v="134.09259259259258"/>
    <n v="6.2819548872180455"/>
    <n v="-6.7"/>
    <n v="-4.29"/>
    <n v="1.23"/>
    <n v="-125.5664739884393"/>
    <s v="NO"/>
    <n v="28.798114273645062"/>
    <n v="-0.30688823758568246"/>
    <n v="-0.54817288302343703"/>
    <n v="-1.3713875105741584"/>
    <n v="-0.57259351920068502"/>
    <n v="-4.7636149895004278"/>
    <x v="1"/>
    <x v="0"/>
    <x v="0"/>
    <x v="0"/>
    <x v="0"/>
    <x v="1"/>
  </r>
  <r>
    <x v="2"/>
    <s v="SHOP"/>
    <n v="139105"/>
    <n v="107.8"/>
    <n v="1.34"/>
    <n v="8.52"/>
    <n v="1.23"/>
    <n v="80.447761194029837"/>
    <n v="12.652582159624414"/>
    <n v="16.14"/>
    <n v="7.08"/>
    <n v="1.21"/>
    <n v="87.642276422764226"/>
    <s v="NO"/>
    <n v="15.108787128189858"/>
    <n v="0.15147259699605334"/>
    <n v="0.52572939124365781"/>
    <n v="0.39578243555170217"/>
    <n v="-0.58561625737724643"/>
    <n v="2.1433156329812002"/>
    <x v="1"/>
    <x v="0"/>
    <x v="0"/>
    <x v="0"/>
    <x v="0"/>
    <x v="0"/>
  </r>
  <r>
    <x v="2"/>
    <s v="INFY"/>
    <n v="75389"/>
    <n v="18.29"/>
    <n v="0.98"/>
    <n v="2.76"/>
    <n v="0.76"/>
    <n v="18.663265306122447"/>
    <n v="6.6268115942028984"/>
    <n v="28.89"/>
    <n v="14.99"/>
    <n v="1.55"/>
    <n v="24.065789473684209"/>
    <s v="YES"/>
    <n v="-0.65765587621963217"/>
    <n v="-0.28207611135922073"/>
    <n v="1.1252151179032663"/>
    <n v="1.625185625864416"/>
    <n v="-0.36422970837570223"/>
    <n v="8.3745452435130541E-2"/>
    <x v="0"/>
    <x v="0"/>
    <x v="0"/>
    <x v="0"/>
    <x v="0"/>
    <x v="0"/>
  </r>
  <r>
    <x v="2"/>
    <s v="NET"/>
    <n v="57499"/>
    <n v="177.8"/>
    <n v="0.54"/>
    <n v="4.1100000000000003"/>
    <n v="-0.24"/>
    <n v="329.25925925925924"/>
    <n v="43.260340632603409"/>
    <n v="-7.35"/>
    <n v="-2.64"/>
    <n v="2.61"/>
    <n v="-740.83333333333337"/>
    <s v="NO"/>
    <n v="78.601614037456187"/>
    <n v="2.3536729641588843"/>
    <n v="-0.57873490046098575"/>
    <n v="-1.1149380460967908"/>
    <n v="0.32597541498205301"/>
    <n v="-24.695280568944867"/>
    <x v="1"/>
    <x v="0"/>
    <x v="0"/>
    <x v="0"/>
    <x v="0"/>
    <x v="1"/>
  </r>
  <r>
    <x v="2"/>
    <s v="WIT"/>
    <n v="30152"/>
    <n v="2.94"/>
    <n v="0.17"/>
    <n v="0.93"/>
    <n v="0.15"/>
    <n v="17.294117647058822"/>
    <n v="3.161290322580645"/>
    <n v="16.71"/>
    <n v="7.75"/>
    <n v="1.55"/>
    <n v="19.600000000000001"/>
    <s v="YES"/>
    <n v="-1.007041077491013"/>
    <n v="-0.53141721301207701"/>
    <n v="0.55252992961196967"/>
    <n v="0.4999164605212999"/>
    <n v="-0.36422970837570223"/>
    <n v="-6.0924491973139643E-2"/>
    <x v="0"/>
    <x v="0"/>
    <x v="0"/>
    <x v="0"/>
    <x v="0"/>
    <x v="0"/>
  </r>
  <r>
    <x v="2"/>
    <s v="CRWV"/>
    <n v="53426"/>
    <n v="162.1"/>
    <n v="-33.840000000000003"/>
    <n v="4.38"/>
    <n v="-5.19"/>
    <n v="-4.790189125295508"/>
    <n v="37.009132420091326"/>
    <n v="-146.77000000000001"/>
    <n v="1.78"/>
    <n v="11.47"/>
    <n v="-31.23314065510597"/>
    <s v="NO"/>
    <n v="-6.6426128987764859"/>
    <n v="1.9039042222577542"/>
    <n v="-7.1340525483733481"/>
    <n v="-0.42796432913317561"/>
    <n v="6.0950484271987637"/>
    <n v="-1.7076719877983291"/>
    <x v="1"/>
    <x v="0"/>
    <x v="1"/>
    <x v="0"/>
    <x v="1"/>
    <x v="0"/>
  </r>
  <r>
    <x v="3"/>
    <s v="KLAC"/>
    <n v="100091"/>
    <n v="829.29"/>
    <n v="26.27"/>
    <n v="30.28"/>
    <n v="27.49"/>
    <n v="31.567948229920059"/>
    <n v="27.387384412153235"/>
    <n v="104.1"/>
    <n v="19.23"/>
    <n v="3.79"/>
    <n v="30.166969807202619"/>
    <s v="NO"/>
    <n v="-0.45525990699165081"/>
    <n v="2.7461303259491681"/>
    <n v="4.3339889490242145"/>
    <n v="2.0983430570344668"/>
    <n v="4.3737134781222258"/>
    <n v="-0.16796540022181355"/>
    <x v="0"/>
    <x v="0"/>
    <x v="1"/>
    <x v="0"/>
    <x v="1"/>
    <x v="0"/>
  </r>
  <r>
    <x v="3"/>
    <s v="ASML"/>
    <n v="289698"/>
    <n v="770.2"/>
    <n v="25.57"/>
    <n v="48.29"/>
    <n v="23.95"/>
    <n v="30.12123582323035"/>
    <n v="15.949471940360324"/>
    <n v="55.62"/>
    <n v="15.34"/>
    <n v="2.6"/>
    <n v="32.158663883089773"/>
    <s v="NO"/>
    <n v="-0.47933289996476031"/>
    <n v="1.0963322588161146"/>
    <n v="1.9014526280181214"/>
    <n v="1.4219241987445355"/>
    <n v="1.8405293708009678"/>
    <n v="-6.8689755941753361E-2"/>
    <x v="0"/>
    <x v="0"/>
    <x v="0"/>
    <x v="0"/>
    <x v="0"/>
    <x v="0"/>
  </r>
  <r>
    <x v="3"/>
    <s v="MPWR"/>
    <n v="31692"/>
    <n v="706.28"/>
    <n v="12.94"/>
    <n v="68.239999999999995"/>
    <n v="37.619999999999997"/>
    <n v="54.581143740340032"/>
    <n v="10.349941383352872"/>
    <n v="67.95"/>
    <n v="12"/>
    <n v="1.1599999999999999"/>
    <n v="18.774056353003722"/>
    <s v="NO"/>
    <n v="-7.2325129319590842E-2"/>
    <n v="0.2886591180585269"/>
    <n v="2.520123684907666"/>
    <n v="0.84114296823338619"/>
    <n v="-1.2248362716718157"/>
    <n v="-0.73584318681851602"/>
    <x v="0"/>
    <x v="0"/>
    <x v="0"/>
    <x v="0"/>
    <x v="0"/>
    <x v="0"/>
  </r>
  <r>
    <x v="3"/>
    <s v="QCOM"/>
    <n v="159430"/>
    <n v="155.41"/>
    <n v="10.53"/>
    <n v="25.21"/>
    <n v="9.7899999999999991"/>
    <n v="14.758784425451093"/>
    <n v="6.1646172153907175"/>
    <n v="42.2"/>
    <n v="13.43"/>
    <n v="2"/>
    <n v="15.874361593462718"/>
    <s v="NO"/>
    <n v="-0.73496088990830333"/>
    <n v="-0.31502968788902008"/>
    <n v="1.2280896447693226"/>
    <n v="1.0898008004582196"/>
    <n v="0.56329368643730793"/>
    <n v="-0.8803779670109626"/>
    <x v="0"/>
    <x v="0"/>
    <x v="0"/>
    <x v="0"/>
    <x v="0"/>
    <x v="0"/>
  </r>
  <r>
    <x v="3"/>
    <s v="SWKS"/>
    <n v="10363"/>
    <n v="73.17"/>
    <n v="8.2799999999999994"/>
    <n v="38.67"/>
    <n v="2.56"/>
    <n v="8.8369565217391308"/>
    <n v="1.8921644685802947"/>
    <n v="6.7"/>
    <n v="4.8099999999999996"/>
    <n v="1.33"/>
    <n v="28.58203125"/>
    <s v="NO"/>
    <n v="-0.83349887220169572"/>
    <n v="-0.93128587108572947"/>
    <n v="-0.55316116784858871"/>
    <n v="-0.40910165672923765"/>
    <n v="-0.86295282776877857"/>
    <n v="-0.24696638652565295"/>
    <x v="0"/>
    <x v="0"/>
    <x v="0"/>
    <x v="0"/>
    <x v="0"/>
    <x v="0"/>
  </r>
  <r>
    <x v="3"/>
    <s v="AMAT"/>
    <n v="125792"/>
    <n v="169.79"/>
    <n v="7.17"/>
    <n v="23.63"/>
    <n v="8.2200000000000006"/>
    <n v="23.680613668061365"/>
    <n v="7.18535759627592"/>
    <n v="36.369999999999997"/>
    <n v="15.88"/>
    <n v="1.77"/>
    <n v="20.655717761557174"/>
    <s v="NO"/>
    <n v="-0.58650351049308369"/>
    <n v="-0.1677986689787056"/>
    <n v="0.9355631028661554"/>
    <n v="1.5158229605637035"/>
    <n v="7.3686674097905067E-2"/>
    <n v="-0.64205210167515014"/>
    <x v="0"/>
    <x v="0"/>
    <x v="0"/>
    <x v="0"/>
    <x v="0"/>
    <x v="0"/>
  </r>
  <r>
    <x v="3"/>
    <s v="NXPI"/>
    <n v="48285"/>
    <n v="213.08"/>
    <n v="6.73"/>
    <n v="36.82"/>
    <n v="9.18"/>
    <n v="31.661218424962854"/>
    <n v="5.7870722433460076"/>
    <n v="25.44"/>
    <n v="8.76"/>
    <n v="2.7"/>
    <n v="23.21132897603486"/>
    <s v="NO"/>
    <n v="-0.4537079103823155"/>
    <n v="-0.36948656248665623"/>
    <n v="0.38713855689675375"/>
    <n v="0.27775039731837903"/>
    <n v="2.0534019848615781"/>
    <n v="-0.51466810585058542"/>
    <x v="0"/>
    <x v="0"/>
    <x v="0"/>
    <x v="0"/>
    <x v="0"/>
    <x v="0"/>
  </r>
  <r>
    <x v="3"/>
    <s v="ADI"/>
    <n v="106187"/>
    <n v="227.66"/>
    <n v="6.64"/>
    <n v="70.55"/>
    <n v="3.68"/>
    <n v="34.286144578313255"/>
    <n v="3.2269312544294828"/>
    <n v="5.21"/>
    <n v="2.99"/>
    <n v="1.35"/>
    <n v="61.864130434782602"/>
    <s v="NO"/>
    <n v="-0.41002968618769264"/>
    <n v="-0.73875985999778093"/>
    <n v="-0.62792352589931222"/>
    <n v="-0.7255752613790255"/>
    <n v="-0.82037830495665653"/>
    <n v="1.4119740499419426"/>
    <x v="0"/>
    <x v="0"/>
    <x v="0"/>
    <x v="0"/>
    <x v="0"/>
    <x v="0"/>
  </r>
  <r>
    <x v="3"/>
    <s v="AVGO"/>
    <n v="1138201"/>
    <n v="244.28"/>
    <n v="4.4400000000000004"/>
    <n v="14.84"/>
    <n v="2.16"/>
    <n v="55.018018018018012"/>
    <n v="16.460916442048518"/>
    <n v="14.84"/>
    <n v="6.98"/>
    <n v="2.37"/>
    <n v="113.09259259259258"/>
    <s v="NO"/>
    <n v="-6.5055632377390399E-2"/>
    <n v="1.1701027263216022"/>
    <n v="-0.14472788292718597"/>
    <n v="-3.1767743492951896E-2"/>
    <n v="1.3509223584615651"/>
    <n v="3.9654478227290331"/>
    <x v="0"/>
    <x v="0"/>
    <x v="0"/>
    <x v="0"/>
    <x v="0"/>
    <x v="1"/>
  </r>
  <r>
    <x v="3"/>
    <s v="ON"/>
    <n v="17560"/>
    <n v="52.38"/>
    <n v="3.29"/>
    <n v="19.22"/>
    <n v="1.47"/>
    <n v="15.920972644376901"/>
    <n v="2.7252861602497402"/>
    <n v="7.85"/>
    <n v="6.3"/>
    <n v="1.65"/>
    <n v="35.632653061224495"/>
    <s v="NO"/>
    <n v="-0.71562232012880722"/>
    <n v="-0.81111686647125214"/>
    <n v="-0.49545867673561406"/>
    <n v="-0.15001062874671892"/>
    <n v="-0.1817604627748271"/>
    <n v="0.10447062950934134"/>
    <x v="0"/>
    <x v="0"/>
    <x v="0"/>
    <x v="0"/>
    <x v="0"/>
    <x v="0"/>
  </r>
  <r>
    <x v="3"/>
    <s v="NVDA"/>
    <n v="3295491"/>
    <n v="142.63"/>
    <n v="2.94"/>
    <n v="3.44"/>
    <n v="3.1"/>
    <n v="48.513605442176868"/>
    <n v="41.462209302325583"/>
    <n v="115.46"/>
    <n v="53.24"/>
    <n v="1.49"/>
    <n v="46.009677419354837"/>
    <s v="NO"/>
    <n v="-0.17328770221268572"/>
    <n v="4.7762751584356025"/>
    <n v="4.9039892090619457"/>
    <n v="8.0122261856824277"/>
    <n v="-0.52235664527180281"/>
    <n v="0.62171160106989365"/>
    <x v="0"/>
    <x v="1"/>
    <x v="1"/>
    <x v="1"/>
    <x v="0"/>
    <x v="0"/>
  </r>
  <r>
    <x v="3"/>
    <s v="LRCX"/>
    <n v="103340"/>
    <n v="88.3"/>
    <n v="2.93"/>
    <n v="7.41"/>
    <n v="3.59"/>
    <n v="30.136518771331055"/>
    <n v="11.916329284750336"/>
    <n v="53.14"/>
    <n v="17.29"/>
    <n v="2.1"/>
    <n v="24.596100278551532"/>
    <s v="NO"/>
    <n v="-0.47907859489311272"/>
    <n v="0.51459402868833826"/>
    <n v="1.7770159515310109"/>
    <n v="1.7610030608693081"/>
    <n v="0.77616630049791802"/>
    <n v="-0.44564442148949895"/>
    <x v="0"/>
    <x v="0"/>
    <x v="0"/>
    <x v="0"/>
    <x v="0"/>
    <x v="0"/>
  </r>
  <r>
    <x v="3"/>
    <s v="GFS"/>
    <n v="19859"/>
    <n v="38.39"/>
    <n v="1.81"/>
    <n v="19.93"/>
    <n v="-0.34"/>
    <n v="21.209944751381215"/>
    <n v="1.9262418464626192"/>
    <n v="-1.65"/>
    <n v="2.62"/>
    <n v="1.49"/>
    <n v="-112.91176470588235"/>
    <s v="NO"/>
    <n v="-0.62761492641451888"/>
    <n v="-0.92637056925055039"/>
    <n v="-0.97213142940801267"/>
    <n v="-0.78991330188475162"/>
    <n v="-0.52235664527180281"/>
    <n v="-7.2996999991889027"/>
    <x v="0"/>
    <x v="0"/>
    <x v="0"/>
    <x v="0"/>
    <x v="0"/>
    <x v="1"/>
  </r>
  <r>
    <x v="3"/>
    <s v="ENTG"/>
    <n v="10407"/>
    <n v="78.47"/>
    <n v="1.77"/>
    <n v="24.78"/>
    <n v="2.04"/>
    <n v="44.333333333333336"/>
    <n v="3.1666666666666665"/>
    <n v="8.65"/>
    <n v="4.04"/>
    <n v="2.25"/>
    <n v="38.4656862745098"/>
    <s v="NO"/>
    <n v="-0.24284655899482666"/>
    <n v="-0.74745239026961641"/>
    <n v="-0.45531781335267518"/>
    <n v="-0.54299433561953248"/>
    <n v="1.0954752215888328"/>
    <n v="0.24568267654042517"/>
    <x v="0"/>
    <x v="0"/>
    <x v="0"/>
    <x v="0"/>
    <x v="0"/>
    <x v="0"/>
  </r>
  <r>
    <x v="3"/>
    <s v="AMD"/>
    <n v="179538"/>
    <n v="121.73"/>
    <n v="1.7"/>
    <n v="35.82"/>
    <n v="1.37"/>
    <n v="71.60588235294118"/>
    <n v="3.3983807928531546"/>
    <n v="3.9"/>
    <n v="2.56"/>
    <n v="1.24"/>
    <n v="88.854014598540147"/>
    <s v="NO"/>
    <n v="0.21096297348166945"/>
    <n v="-0.71403007492556736"/>
    <n v="-0.6936541896888746"/>
    <n v="-0.80034649764243682"/>
    <n v="-1.0545381804233278"/>
    <n v="2.7572801247254062"/>
    <x v="0"/>
    <x v="0"/>
    <x v="0"/>
    <x v="0"/>
    <x v="0"/>
    <x v="0"/>
  </r>
  <r>
    <x v="3"/>
    <s v="TXN"/>
    <n v="166114"/>
    <n v="199.21"/>
    <n v="1.6"/>
    <n v="18.05"/>
    <n v="5.28"/>
    <n v="124.50624999999999"/>
    <n v="11.036565096952909"/>
    <n v="29.19"/>
    <n v="10.039999999999999"/>
    <n v="2.06"/>
    <n v="37.729166666666664"/>
    <s v="NO"/>
    <n v="1.091214067447499"/>
    <n v="0.38769733664418576"/>
    <n v="0.5752988540042796"/>
    <n v="0.50032524014899904"/>
    <n v="0.69101725487367405"/>
    <n v="0.20897098498159197"/>
    <x v="0"/>
    <x v="0"/>
    <x v="0"/>
    <x v="0"/>
    <x v="0"/>
    <x v="0"/>
  </r>
  <r>
    <x v="3"/>
    <s v="MCHP"/>
    <n v="31307"/>
    <n v="68.05"/>
    <n v="1.44"/>
    <n v="13.14"/>
    <n v="-0.01"/>
    <n v="47.256944444444443"/>
    <n v="5.1788432267884321"/>
    <n v="-0.01"/>
    <n v="1.5"/>
    <n v="2.17"/>
    <n v="-6805"/>
    <s v="NO"/>
    <n v="-0.19419827934474579"/>
    <n v="-0.45721717402661605"/>
    <n v="-0.88984265947298824"/>
    <n v="-0.98466628936154421"/>
    <n v="0.92517713034034466"/>
    <n v="-340.86567239477898"/>
    <x v="0"/>
    <x v="0"/>
    <x v="0"/>
    <x v="0"/>
    <x v="0"/>
    <x v="1"/>
  </r>
  <r>
    <x v="3"/>
    <s v="TSM"/>
    <n v="1002659"/>
    <n v="207"/>
    <n v="1.04"/>
    <n v="26.67"/>
    <n v="7.59"/>
    <n v="199.03846153846152"/>
    <n v="7.7615298087739024"/>
    <n v="31.64"/>
    <n v="14.33"/>
    <n v="1.56"/>
    <n v="27.272727272727273"/>
    <s v="NO"/>
    <n v="2.3314145359988938"/>
    <n v="-8.4691912841242056E-2"/>
    <n v="0.69823024811452972"/>
    <n v="1.2462987368234992"/>
    <n v="-0.37334581542937573"/>
    <n v="-0.31222841520558353"/>
    <x v="0"/>
    <x v="0"/>
    <x v="0"/>
    <x v="0"/>
    <x v="0"/>
    <x v="0"/>
  </r>
  <r>
    <x v="3"/>
    <s v="ALAB"/>
    <n v="14961"/>
    <n v="92.35"/>
    <n v="0.68"/>
    <n v="6.32"/>
    <n v="0.26"/>
    <n v="135.80882352941174"/>
    <n v="14.612341772151897"/>
    <n v="4.47"/>
    <n v="-1.37"/>
    <n v="1.08"/>
    <n v="355.19230769230768"/>
    <s v="NO"/>
    <n v="1.2792865356819816"/>
    <n v="0.90346535478482637"/>
    <n v="-0.66505382452853068"/>
    <n v="-1.4837208197708254"/>
    <n v="-1.3951343629203035"/>
    <n v="16.032865950604712"/>
    <x v="0"/>
    <x v="0"/>
    <x v="0"/>
    <x v="0"/>
    <x v="0"/>
    <x v="1"/>
  </r>
  <r>
    <x v="3"/>
    <s v="MU"/>
    <n v="105566"/>
    <n v="110.95"/>
    <n v="0.55000000000000004"/>
    <n v="43.5"/>
    <n v="4.1500000000000004"/>
    <n v="201.72727272727272"/>
    <n v="2.5505747126436784"/>
    <n v="10.1"/>
    <n v="5.52"/>
    <n v="1.5"/>
    <n v="26.734939759036141"/>
    <s v="NO"/>
    <n v="2.3761557938708551"/>
    <n v="-0.83631714749082842"/>
    <n v="-0.38256249847109858"/>
    <n v="-0.28564217359662808"/>
    <n v="-0.50106938386574185"/>
    <n v="-0.33903434014848816"/>
    <x v="0"/>
    <x v="0"/>
    <x v="0"/>
    <x v="0"/>
    <x v="0"/>
    <x v="0"/>
  </r>
  <r>
    <x v="3"/>
    <s v="ARM"/>
    <n v="131921"/>
    <n v="138.61000000000001"/>
    <n v="0.15"/>
    <n v="6.47"/>
    <n v="0.75"/>
    <n v="924.06666666666683"/>
    <n v="21.423493044822258"/>
    <n v="13.05"/>
    <n v="6.16"/>
    <n v="1.31"/>
    <n v="184.81333333333336"/>
    <s v="NO"/>
    <n v="14.395732783807293"/>
    <n v="1.8859019866714644"/>
    <n v="-0.23454306474651157"/>
    <n v="-0.17435475218131793"/>
    <n v="-0.90552735058090061"/>
    <n v="7.5403556519390538"/>
    <x v="1"/>
    <x v="0"/>
    <x v="0"/>
    <x v="0"/>
    <x v="0"/>
    <x v="1"/>
  </r>
  <r>
    <x v="3"/>
    <s v="STM"/>
    <n v="22299"/>
    <n v="29.6"/>
    <n v="0.08"/>
    <n v="19.82"/>
    <n v="1.18"/>
    <n v="370"/>
    <n v="1.4934409687184662"/>
    <n v="6.31"/>
    <n v="2.77"/>
    <n v="1.41"/>
    <n v="25.084745762711869"/>
    <s v="NO"/>
    <n v="5.1761789100555173"/>
    <n v="-0.98879752463394543"/>
    <n v="-0.57272983874777139"/>
    <n v="-0.76383031249053845"/>
    <n v="-0.69265473652029097"/>
    <n v="-0.4212879724485229"/>
    <x v="1"/>
    <x v="0"/>
    <x v="0"/>
    <x v="0"/>
    <x v="0"/>
    <x v="0"/>
  </r>
  <r>
    <x v="3"/>
    <s v="UMC"/>
    <n v="19111"/>
    <n v="7.76"/>
    <n v="0.05"/>
    <n v="0.93"/>
    <n v="0.11"/>
    <n v="155.19999999999999"/>
    <n v="8.344086021505376"/>
    <n v="11.55"/>
    <n v="5.45"/>
    <n v="1.47"/>
    <n v="70.545454545454547"/>
    <s v="NO"/>
    <n v="1.6019516713082891"/>
    <n v="-6.643320977357133E-4"/>
    <n v="-0.30980718358952192"/>
    <n v="-0.29781423531392753"/>
    <n v="-0.56493116808392485"/>
    <n v="1.8446931380413987"/>
    <x v="0"/>
    <x v="0"/>
    <x v="0"/>
    <x v="0"/>
    <x v="0"/>
    <x v="0"/>
  </r>
  <r>
    <x v="3"/>
    <s v="ASX"/>
    <n v="20383"/>
    <n v="9.9"/>
    <n v="-0.08"/>
    <n v="2.15"/>
    <n v="0.23"/>
    <n v="-123.75"/>
    <n v="4.6046511627906979"/>
    <n v="11.06"/>
    <n v="3.55"/>
    <n v="2.4900000000000002"/>
    <n v="43.043478260869563"/>
    <s v="NO"/>
    <n v="-3.039718199494966"/>
    <n v="-0.54003831465719387"/>
    <n v="-0.33439346241157192"/>
    <n v="-0.62819876764062932"/>
    <n v="1.6063694953342971"/>
    <n v="0.4738619206964495"/>
    <x v="1"/>
    <x v="0"/>
    <x v="0"/>
    <x v="0"/>
    <x v="0"/>
    <x v="0"/>
  </r>
  <r>
    <x v="3"/>
    <s v="CRDO"/>
    <n v="10351"/>
    <n v="71.09"/>
    <n v="-0.15"/>
    <n v="3.64"/>
    <n v="0.03"/>
    <n v="-473.93333333333339"/>
    <n v="19.530219780219781"/>
    <n v="0.89"/>
    <n v="-0.36"/>
    <n v="1.1599999999999999"/>
    <n v="2369.666666666667"/>
    <s v="NO"/>
    <n v="-8.866695892955395"/>
    <n v="1.6128173149537208"/>
    <n v="-0.84468418816718194"/>
    <n v="-1.3080953578497891"/>
    <n v="-1.2248362716718157"/>
    <n v="116.44398947305667"/>
    <x v="1"/>
    <x v="0"/>
    <x v="0"/>
    <x v="0"/>
    <x v="0"/>
    <x v="1"/>
  </r>
  <r>
    <x v="3"/>
    <s v="INTC"/>
    <n v="85277"/>
    <n v="20.48"/>
    <n v="-2.98"/>
    <n v="22.87"/>
    <n v="-4.46"/>
    <n v="-6.8724832214765099"/>
    <n v="0.89549628334062092"/>
    <n v="-18.13"/>
    <n v="-1.0900000000000001"/>
    <n v="1.93"/>
    <n v="-4.5919282511210762"/>
    <s v="NO"/>
    <n v="-1.0949006759058837"/>
    <n v="-1.0750447300240578"/>
    <n v="-1.7990332150965529"/>
    <n v="-1.4350325729016271"/>
    <n v="0.41428285659488084"/>
    <n v="-1.9005166192979557"/>
    <x v="0"/>
    <x v="0"/>
    <x v="0"/>
    <x v="0"/>
    <x v="0"/>
    <x v="0"/>
  </r>
  <r>
    <x v="3"/>
    <s v="FSLR"/>
    <n v="16953"/>
    <n v="160.16"/>
    <n v="-9.1199999999999992"/>
    <n v="76.34"/>
    <n v="11.77"/>
    <n v="-17.561403508771932"/>
    <n v="2.0979827089337175"/>
    <n v="16.77"/>
    <n v="7.5"/>
    <n v="1.48"/>
    <n v="13.607476635514018"/>
    <s v="NO"/>
    <n v="-1.2727620820681236"/>
    <n v="-0.90159876376145254"/>
    <n v="-4.788805001584602E-2"/>
    <n v="5.8653286406987443E-2"/>
    <n v="-0.54364390667786389"/>
    <n v="-0.99337045287197134"/>
    <x v="0"/>
    <x v="0"/>
    <x v="0"/>
    <x v="0"/>
    <x v="0"/>
    <x v="0"/>
  </r>
  <r>
    <x v="4"/>
    <s v="CNSWF"/>
    <n v="76792"/>
    <n v="3566.7849999999999"/>
    <n v="104.48"/>
    <n v="143.74"/>
    <n v="34.950000000000003"/>
    <n v="34.138447549770291"/>
    <n v="24.814143592597745"/>
    <n v="26.06"/>
    <n v="7.45"/>
    <n v="4.5599999999999996"/>
    <n v="102.05393419170242"/>
    <s v="NO"/>
    <n v="-0.50362358378127448"/>
    <n v="1.0655484870028467"/>
    <n v="0.93184895092037234"/>
    <n v="0.59501456841290801"/>
    <n v="3.4982332592935044"/>
    <n v="1.1560820894705284"/>
    <x v="0"/>
    <x v="0"/>
    <x v="0"/>
    <x v="0"/>
    <x v="1"/>
    <x v="0"/>
  </r>
  <r>
    <x v="4"/>
    <s v="FICO"/>
    <n v="42021"/>
    <n v="1749.41"/>
    <n v="27.68"/>
    <n v="-46.16"/>
    <n v="23.21"/>
    <n v="63.201228323699425"/>
    <n v="-37.898830155979205"/>
    <n v="-62.06"/>
    <n v="28.7"/>
    <n v="-1.63"/>
    <n v="75.373115036622153"/>
    <s v="NO"/>
    <n v="0.71371041409501734"/>
    <n v="-5.1884971171552232"/>
    <n v="-3.9968426469758138"/>
    <n v="4.3734871830612017"/>
    <n v="-4.9648528648851302"/>
    <n v="0.65099802038685661"/>
    <x v="0"/>
    <x v="1"/>
    <x v="1"/>
    <x v="1"/>
    <x v="1"/>
    <x v="0"/>
  </r>
  <r>
    <x v="4"/>
    <s v="INTU"/>
    <n v="210178"/>
    <n v="764.38"/>
    <n v="21.79"/>
    <n v="72.11"/>
    <n v="12.24"/>
    <n v="35.079394217530975"/>
    <n v="10.600194147829704"/>
    <n v="17.84"/>
    <n v="8.57"/>
    <n v="1.82"/>
    <n v="62.449346405228759"/>
    <s v="YES"/>
    <n v="-0.46421075615945878"/>
    <n v="-0.35193632880520231"/>
    <n v="0.47209129165225339"/>
    <n v="0.79416230151437095"/>
    <n v="-0.24794702830737711"/>
    <n v="0.40634325134476074"/>
    <x v="0"/>
    <x v="0"/>
    <x v="0"/>
    <x v="0"/>
    <x v="0"/>
    <x v="0"/>
  </r>
  <r>
    <x v="4"/>
    <s v="ROP"/>
    <n v="61313"/>
    <n v="573.08000000000004"/>
    <n v="21.24"/>
    <n v="178.8"/>
    <n v="13.87"/>
    <n v="26.981167608286256"/>
    <n v="3.205145413870246"/>
    <n v="8.09"/>
    <n v="4.16"/>
    <n v="1.63"/>
    <n v="41.317952415284793"/>
    <s v="NO"/>
    <n v="-0.80341596334952281"/>
    <n v="-1.0894068913170512"/>
    <n v="-7.324169835555204E-2"/>
    <n v="1.0018102427360388E-2"/>
    <n v="-0.50771865408992023"/>
    <n v="6.3131623203432768E-3"/>
    <x v="0"/>
    <x v="0"/>
    <x v="0"/>
    <x v="0"/>
    <x v="0"/>
    <x v="0"/>
  </r>
  <r>
    <x v="4"/>
    <s v="ADBE"/>
    <n v="176911"/>
    <n v="416.26"/>
    <n v="20.76"/>
    <n v="30.1"/>
    <n v="15.16"/>
    <n v="20.051059730250479"/>
    <n v="13.82923588039867"/>
    <n v="47.28"/>
    <n v="17.190000000000001"/>
    <n v="2.29"/>
    <n v="27.457783641160947"/>
    <s v="NO"/>
    <n v="-1.0936929328696263"/>
    <n v="-2.9920435663567575E-2"/>
    <n v="2.1187172635322322"/>
    <n v="2.3268886044917028"/>
    <n v="0.39464594073365006"/>
    <n v="-0.25606822866809453"/>
    <x v="0"/>
    <x v="0"/>
    <x v="0"/>
    <x v="0"/>
    <x v="0"/>
    <x v="0"/>
  </r>
  <r>
    <x v="4"/>
    <s v="NOW"/>
    <n v="209278"/>
    <n v="1026.8599999999999"/>
    <n v="17.59"/>
    <n v="48.99"/>
    <n v="7.37"/>
    <n v="58.37748720864127"/>
    <n v="20.960604204939781"/>
    <n v="16.86"/>
    <n v="4.92"/>
    <n v="2.0699999999999998"/>
    <n v="139.32971506105832"/>
    <s v="NO"/>
    <n v="0.51166147383732608"/>
    <n v="0.68125462199729592"/>
    <n v="0.41727833470787906"/>
    <n v="0.14515406417478166"/>
    <n v="9.3857742459126411E-2"/>
    <n v="1.8617352019305575"/>
    <x v="0"/>
    <x v="0"/>
    <x v="0"/>
    <x v="0"/>
    <x v="0"/>
    <x v="0"/>
  </r>
  <r>
    <x v="4"/>
    <s v="TYL"/>
    <n v="24882"/>
    <n v="580.16999999999996"/>
    <n v="13.22"/>
    <n v="81.48"/>
    <n v="6.63"/>
    <n v="43.885779122541599"/>
    <n v="7.1203976435935195"/>
    <n v="8.8699999999999992"/>
    <n v="4.47"/>
    <n v="1.48"/>
    <n v="87.50678733031674"/>
    <s v="NO"/>
    <n v="-9.5343378098006942E-2"/>
    <n v="-0.69895871874850746"/>
    <n v="-2.9615059154927643E-2"/>
    <n v="6.5139349982229547E-2"/>
    <n v="-0.71280151654982238"/>
    <n v="0.88069578713852481"/>
    <x v="0"/>
    <x v="0"/>
    <x v="0"/>
    <x v="0"/>
    <x v="0"/>
    <x v="0"/>
  </r>
  <r>
    <x v="4"/>
    <s v="CRM"/>
    <n v="253694"/>
    <n v="272.25"/>
    <n v="13.18"/>
    <n v="63.33"/>
    <n v="6.39"/>
    <n v="20.656297420333839"/>
    <n v="4.2989104689720516"/>
    <n v="10.31"/>
    <n v="5.09"/>
    <n v="1.63"/>
    <n v="42.605633802816904"/>
    <s v="YES"/>
    <n v="-1.068341731184359"/>
    <n v="-0.98033127066054582"/>
    <n v="5.0926428600071384E-2"/>
    <n v="0.175381845091968"/>
    <n v="-0.50771865408992023"/>
    <n v="3.0689751026923038E-2"/>
    <x v="0"/>
    <x v="0"/>
    <x v="0"/>
    <x v="0"/>
    <x v="0"/>
    <x v="0"/>
  </r>
  <r>
    <x v="4"/>
    <s v="NICE"/>
    <n v="10495"/>
    <n v="175.42"/>
    <n v="12.12"/>
    <n v="55.24"/>
    <n v="7.17"/>
    <n v="14.473597359735974"/>
    <n v="3.1755973931933377"/>
    <n v="13.38"/>
    <n v="6.97"/>
    <n v="1.49"/>
    <n v="24.465829846582984"/>
    <s v="YES"/>
    <n v="-1.3273125103738432"/>
    <n v="-1.0923535649920526"/>
    <n v="0.22263640596663167"/>
    <n v="0.50966553994085229"/>
    <n v="-0.69912932571916231"/>
    <n v="-0.31270772643958727"/>
    <x v="0"/>
    <x v="0"/>
    <x v="0"/>
    <x v="0"/>
    <x v="0"/>
    <x v="0"/>
  </r>
  <r>
    <x v="4"/>
    <s v="CHKP"/>
    <n v="24803"/>
    <n v="227.8"/>
    <n v="9.93"/>
    <n v="25.47"/>
    <n v="7.58"/>
    <n v="22.940584088620344"/>
    <n v="8.943855516293679"/>
    <n v="30.92"/>
    <n v="9.91"/>
    <n v="2.02"/>
    <n v="30.052770448548813"/>
    <s v="NO"/>
    <n v="-0.97266128533056107"/>
    <n v="-0.51711454821295488"/>
    <n v="1.203676472093494"/>
    <n v="1.0324283393321927"/>
    <n v="2.5496788305825885E-2"/>
    <n v="-0.2069435564353703"/>
    <x v="0"/>
    <x v="0"/>
    <x v="0"/>
    <x v="0"/>
    <x v="0"/>
    <x v="0"/>
  </r>
  <r>
    <x v="4"/>
    <s v="ANSS"/>
    <n v="29084"/>
    <n v="342.14"/>
    <n v="9.91"/>
    <n v="70.290000000000006"/>
    <n v="6.74"/>
    <n v="34.5247225025227"/>
    <n v="4.8675487267036557"/>
    <n v="10.23"/>
    <n v="6.06"/>
    <n v="1.29"/>
    <n v="50.762611275964389"/>
    <s v="YES"/>
    <n v="-0.48744393338335446"/>
    <n v="-0.92362387211841979"/>
    <n v="4.645190150257144E-2"/>
    <n v="0.34785800679591361"/>
    <n v="-0.97257314233236525"/>
    <n v="0.18510627585752221"/>
    <x v="0"/>
    <x v="0"/>
    <x v="0"/>
    <x v="0"/>
    <x v="0"/>
    <x v="0"/>
  </r>
  <r>
    <x v="4"/>
    <s v="HUBS"/>
    <n v="31110"/>
    <n v="606.05999999999995"/>
    <n v="9.4700000000000006"/>
    <n v="38.340000000000003"/>
    <n v="-0.45"/>
    <n v="63.997888067581826"/>
    <n v="15.807511737089198"/>
    <n v="-1.34"/>
    <n v="-1.1499999999999999"/>
    <n v="1.94"/>
    <n v="-1346.8"/>
    <s v="NO"/>
    <n v="0.74707958817754117"/>
    <n v="0.16736294424676848"/>
    <n v="-0.60067657997335766"/>
    <n v="-0.9341555250447543"/>
    <n v="-8.3880738339455432E-2"/>
    <n v="-26.27160055909955"/>
    <x v="0"/>
    <x v="0"/>
    <x v="0"/>
    <x v="0"/>
    <x v="0"/>
    <x v="1"/>
  </r>
  <r>
    <x v="4"/>
    <s v="MSFT"/>
    <n v="3421646"/>
    <n v="472.75"/>
    <n v="9.33"/>
    <n v="43.3"/>
    <n v="12.94"/>
    <n v="50.669882100750264"/>
    <n v="10.918013856812934"/>
    <n v="33.61"/>
    <n v="14.58"/>
    <n v="1.75"/>
    <n v="36.534003091190108"/>
    <s v="NO"/>
    <n v="0.18881797812966503"/>
    <n v="-0.32024178722836527"/>
    <n v="1.3541324457469295"/>
    <n v="1.8628032621749"/>
    <n v="-0.34365236412199829"/>
    <n v="-8.4249896364597426E-2"/>
    <x v="0"/>
    <x v="0"/>
    <x v="0"/>
    <x v="0"/>
    <x v="0"/>
    <x v="0"/>
  </r>
  <r>
    <x v="4"/>
    <s v="ADSK"/>
    <n v="63353"/>
    <n v="297.20999999999998"/>
    <n v="7.46"/>
    <n v="12.23"/>
    <n v="4.66"/>
    <n v="39.84048257372654"/>
    <n v="24.301717089125098"/>
    <n v="42.36"/>
    <n v="8.9"/>
    <n v="4.04"/>
    <n v="63.778969957081536"/>
    <s v="NO"/>
    <n v="-0.2647861116984242"/>
    <n v="1.0144468005424765"/>
    <n v="1.8435338470359857"/>
    <n v="0.85283975858890926"/>
    <n v="2.7872793360991768"/>
    <n v="0.4315138306292956"/>
    <x v="0"/>
    <x v="0"/>
    <x v="0"/>
    <x v="0"/>
    <x v="0"/>
    <x v="0"/>
  </r>
  <r>
    <x v="4"/>
    <s v="SNPS"/>
    <n v="71992"/>
    <n v="495.77"/>
    <n v="7.04"/>
    <n v="63.91"/>
    <n v="8.65"/>
    <n v="70.421875"/>
    <n v="7.7573149741824441"/>
    <n v="15.55"/>
    <n v="4.67"/>
    <n v="2.4"/>
    <n v="57.314450867052017"/>
    <s v="NO"/>
    <n v="1.0161569953112988"/>
    <n v="-0.63544219587476725"/>
    <n v="0.34400795348631757"/>
    <n v="0.10070144517891939"/>
    <n v="0.54504003987091154"/>
    <n v="0.30913656823405633"/>
    <x v="0"/>
    <x v="0"/>
    <x v="0"/>
    <x v="0"/>
    <x v="0"/>
    <x v="0"/>
  </r>
  <r>
    <x v="4"/>
    <s v="PTC"/>
    <n v="20190"/>
    <n v="170.19"/>
    <n v="6.79"/>
    <n v="28.24"/>
    <n v="3.64"/>
    <n v="25.06480117820324"/>
    <n v="6.0265580736543916"/>
    <n v="13.92"/>
    <n v="6.41"/>
    <n v="1.82"/>
    <n v="46.755494505494504"/>
    <s v="YES"/>
    <n v="-0.88368557092339872"/>
    <n v="-0.80804177039038871"/>
    <n v="0.25283946387475625"/>
    <n v="0.41009167339012087"/>
    <n v="-0.24794702830737711"/>
    <n v="0.10924912799566669"/>
    <x v="0"/>
    <x v="0"/>
    <x v="0"/>
    <x v="0"/>
    <x v="0"/>
    <x v="0"/>
  </r>
  <r>
    <x v="4"/>
    <s v="MNDY"/>
    <n v="15105"/>
    <n v="309.02"/>
    <n v="6.22"/>
    <n v="21.59"/>
    <n v="1"/>
    <n v="49.681672025723472"/>
    <n v="14.313107920333486"/>
    <n v="5.39"/>
    <n v="-0.24"/>
    <n v="1.68"/>
    <n v="309.02"/>
    <s v="NO"/>
    <n v="0.14742545857926004"/>
    <n v="1.833365951714459E-2"/>
    <n v="-0.2242569878961751"/>
    <n v="-0.77234799189981573"/>
    <n v="-0.43935769993661944"/>
    <n v="5.0740750893514726"/>
    <x v="0"/>
    <x v="0"/>
    <x v="0"/>
    <x v="0"/>
    <x v="0"/>
    <x v="1"/>
  </r>
  <r>
    <x v="4"/>
    <s v="TEAM"/>
    <n v="54504"/>
    <n v="214.99"/>
    <n v="5.62"/>
    <n v="5.2"/>
    <n v="-1.65"/>
    <n v="38.254448398576514"/>
    <n v="41.344230769230769"/>
    <n v="-34.33"/>
    <n v="-1.93"/>
    <n v="4.3"/>
    <n v="-130.29696969696971"/>
    <s v="NO"/>
    <n v="-0.33121930466169969"/>
    <n v="2.7140099274989176"/>
    <n v="-2.445859691804896"/>
    <n v="-1.0728476963118447"/>
    <n v="3.1427562976963404"/>
    <n v="-3.2424612726815982"/>
    <x v="0"/>
    <x v="0"/>
    <x v="0"/>
    <x v="0"/>
    <x v="0"/>
    <x v="0"/>
  </r>
  <r>
    <x v="4"/>
    <s v="ZM"/>
    <n v="24582"/>
    <n v="80.260000000000005"/>
    <n v="5.54"/>
    <n v="29.2"/>
    <n v="3.33"/>
    <n v="14.48736462093863"/>
    <n v="2.7486301369863018"/>
    <n v="12.19"/>
    <n v="5.0199999999999996"/>
    <n v="1.23"/>
    <n v="24.102102102102101"/>
    <s v="YES"/>
    <n v="-1.3267358499623707"/>
    <n v="-1.1349328357902522"/>
    <n v="0.15607781539131996"/>
    <n v="0.16293511177312653"/>
    <n v="-1.0546062873163262"/>
    <n v="-0.3195933129784867"/>
    <x v="0"/>
    <x v="0"/>
    <x v="0"/>
    <x v="0"/>
    <x v="0"/>
    <x v="0"/>
  </r>
  <r>
    <x v="4"/>
    <s v="CYBR"/>
    <n v="19251"/>
    <n v="397.94"/>
    <n v="5.43"/>
    <n v="48.96"/>
    <n v="-1.93"/>
    <n v="73.285451197053405"/>
    <n v="8.1278594771241828"/>
    <n v="-5.36"/>
    <n v="-1.52"/>
    <n v="1.37"/>
    <n v="-206.18652849740934"/>
    <s v="NO"/>
    <n v="1.1361017689136057"/>
    <n v="-0.59848967901504324"/>
    <n v="-0.8255215666227298"/>
    <n v="-0.99994540115863062"/>
    <n v="-0.86319561568708392"/>
    <n v="-4.6790965925005601"/>
    <x v="0"/>
    <x v="0"/>
    <x v="0"/>
    <x v="0"/>
    <x v="0"/>
    <x v="1"/>
  </r>
  <r>
    <x v="4"/>
    <s v="CDNS"/>
    <n v="78382"/>
    <n v="301.66000000000003"/>
    <n v="5.1100000000000003"/>
    <n v="17.489999999999998"/>
    <n v="3.94"/>
    <n v="59.033268101761252"/>
    <n v="17.247570040022872"/>
    <n v="25.92"/>
    <n v="12.73"/>
    <n v="1.89"/>
    <n v="76.563451776649757"/>
    <s v="NO"/>
    <n v="0.53912974614624276"/>
    <n v="0.3109726275524981"/>
    <n v="0.92401852849974764"/>
    <n v="1.5338538816055194"/>
    <n v="-0.15224169249275626"/>
    <n v="0.67353181594756961"/>
    <x v="0"/>
    <x v="0"/>
    <x v="0"/>
    <x v="0"/>
    <x v="0"/>
    <x v="0"/>
  </r>
  <r>
    <x v="4"/>
    <s v="MANH"/>
    <n v="11462"/>
    <n v="193.65"/>
    <n v="5.04"/>
    <n v="4.04"/>
    <n v="3.5"/>
    <n v="38.422619047619051"/>
    <n v="47.933168316831683"/>
    <n v="89.6"/>
    <n v="24.41"/>
    <n v="2.89"/>
    <n v="55.328571428571429"/>
    <s v="NO"/>
    <n v="-0.32417524889439864"/>
    <n v="3.3710911252563527"/>
    <n v="4.4857420981097009"/>
    <n v="3.6106802410922052"/>
    <n v="1.2149773905732593"/>
    <n v="0.27154266747458938"/>
    <x v="0"/>
    <x v="1"/>
    <x v="1"/>
    <x v="1"/>
    <x v="0"/>
    <x v="0"/>
  </r>
  <r>
    <x v="4"/>
    <s v="TOITF"/>
    <n v="10797"/>
    <n v="125"/>
    <n v="4.99"/>
    <n v="5.59"/>
    <n v="1.29"/>
    <n v="25.050100200400802"/>
    <n v="22.361359570661897"/>
    <n v="28.15"/>
    <n v="7.24"/>
    <n v="4.76"/>
    <n v="96.899224806201545"/>
    <s v="NO"/>
    <n v="-0.88430134132128801"/>
    <n v="0.82094482346368736"/>
    <n v="1.0487459713425584"/>
    <n v="0.55767436845638363"/>
    <n v="3.7716770759067075"/>
    <n v="1.0585003182273154"/>
    <x v="0"/>
    <x v="0"/>
    <x v="0"/>
    <x v="0"/>
    <x v="1"/>
    <x v="0"/>
  </r>
  <r>
    <x v="4"/>
    <s v="SAP"/>
    <n v="353313"/>
    <n v="305.42"/>
    <n v="4.96"/>
    <n v="42.38"/>
    <n v="5.25"/>
    <n v="61.576612903225808"/>
    <n v="7.2067012741859369"/>
    <n v="12.9"/>
    <n v="7.63"/>
    <n v="1.65"/>
    <n v="58.1752380952381"/>
    <s v="NO"/>
    <n v="0.64566119333391514"/>
    <n v="-0.69035209703585687"/>
    <n v="0.19578924338163201"/>
    <n v="0.62702045408992879"/>
    <n v="-0.48037427242859992"/>
    <n v="0.32543179190393001"/>
    <x v="0"/>
    <x v="0"/>
    <x v="0"/>
    <x v="0"/>
    <x v="0"/>
    <x v="0"/>
  </r>
  <r>
    <x v="4"/>
    <s v="PANW"/>
    <n v="128306"/>
    <n v="196.33"/>
    <n v="4.57"/>
    <n v="10.86"/>
    <n v="1.74"/>
    <n v="42.960612691466082"/>
    <n v="18.078268876611421"/>
    <n v="21.16"/>
    <n v="3.1"/>
    <n v="3.04"/>
    <n v="112.83333333333334"/>
    <s v="NO"/>
    <n v="-0.13409522909955993"/>
    <n v="0.39381399349017582"/>
    <n v="0.657784166198501"/>
    <n v="-0.17846100211509569"/>
    <n v="1.4200602530331614"/>
    <n v="1.3601426450736458"/>
    <x v="0"/>
    <x v="0"/>
    <x v="0"/>
    <x v="0"/>
    <x v="0"/>
    <x v="0"/>
  </r>
  <r>
    <x v="4"/>
    <s v="ZS"/>
    <n v="42925"/>
    <n v="299.89999999999998"/>
    <n v="4.51"/>
    <n v="11.65"/>
    <n v="-0.26"/>
    <n v="66.49667405764967"/>
    <n v="25.742489270386262"/>
    <n v="-2.68"/>
    <n v="-1.61"/>
    <n v="2.96"/>
    <n v="-1153.4615384615383"/>
    <s v="NO"/>
    <n v="0.85174462910353765"/>
    <n v="1.1581276752994973"/>
    <n v="-0.67562490885648174"/>
    <n v="-1.0159483439971411"/>
    <n v="1.3106827263878802"/>
    <n v="-22.611586363259942"/>
    <x v="0"/>
    <x v="0"/>
    <x v="0"/>
    <x v="0"/>
    <x v="0"/>
    <x v="1"/>
  </r>
  <r>
    <x v="4"/>
    <s v="DOCU"/>
    <n v="17944"/>
    <n v="78.58"/>
    <n v="4.5"/>
    <n v="9.89"/>
    <n v="5.08"/>
    <n v="17.462222222222223"/>
    <n v="7.9453993933265918"/>
    <n v="68.180000000000007"/>
    <n v="4.1900000000000004"/>
    <n v="2"/>
    <n v="15.468503937007874"/>
    <s v="NO"/>
    <n v="-1.2021299037849209"/>
    <n v="-0.61668549427941721"/>
    <n v="3.2876874677540924"/>
    <n v="1.5352416706863905E-2"/>
    <n v="-1.8475933554944447E-3"/>
    <n v="-0.48303255623083635"/>
    <x v="0"/>
    <x v="0"/>
    <x v="1"/>
    <x v="0"/>
    <x v="0"/>
    <x v="0"/>
  </r>
  <r>
    <x v="4"/>
    <s v="CRWD"/>
    <n v="117406"/>
    <n v="464.39"/>
    <n v="4.3600000000000003"/>
    <n v="13.23"/>
    <n v="-0.08"/>
    <n v="106.51146788990825"/>
    <n v="35.101284958427811"/>
    <n v="-0.59"/>
    <n v="-0.47"/>
    <n v="2.65"/>
    <n v="-5804.875"/>
    <s v="NO"/>
    <n v="2.5278185508982345"/>
    <n v="2.0914327242302679"/>
    <n v="-0.55872788843429577"/>
    <n v="-0.81324440137600895"/>
    <n v="0.88684481063741538"/>
    <n v="-110.6656608835722"/>
    <x v="0"/>
    <x v="0"/>
    <x v="0"/>
    <x v="0"/>
    <x v="0"/>
    <x v="1"/>
  </r>
  <r>
    <x v="4"/>
    <s v="NTNX"/>
    <n v="20450"/>
    <n v="75.44"/>
    <n v="2.92"/>
    <n v="-2.66"/>
    <n v="0.09"/>
    <n v="25.835616438356166"/>
    <n v="-28.360902255639097"/>
    <n v="-3.55"/>
    <n v="3.24"/>
    <n v="-4.3499999999999996"/>
    <n v="838.22222222222217"/>
    <s v="NO"/>
    <n v="-0.85139892810125839"/>
    <n v="-4.2373281246426941"/>
    <n v="-0.72428539104179368"/>
    <n v="-0.15356753547741278"/>
    <n v="-8.6836887708246913"/>
    <n v="15.092193731605629"/>
    <x v="0"/>
    <x v="1"/>
    <x v="0"/>
    <x v="0"/>
    <x v="1"/>
    <x v="1"/>
  </r>
  <r>
    <x v="4"/>
    <s v="FTNT"/>
    <n v="77904"/>
    <n v="102.08"/>
    <n v="2.7"/>
    <n v="2.5499999999999998"/>
    <n v="2.4300000000000002"/>
    <n v="37.807407407407403"/>
    <n v="40.031372549019608"/>
    <n v="205.91"/>
    <n v="13.32"/>
    <n v="5.3"/>
    <n v="42.008230452674894"/>
    <s v="NO"/>
    <n v="-0.34994422301096684"/>
    <n v="2.5830852608755186"/>
    <n v="10.991145181987429"/>
    <n v="1.6387620624357544"/>
    <n v="4.5099753807623557"/>
    <n v="1.9380543718852446E-2"/>
    <x v="0"/>
    <x v="0"/>
    <x v="1"/>
    <x v="0"/>
    <x v="1"/>
    <x v="0"/>
  </r>
  <r>
    <x v="4"/>
    <s v="GWRE"/>
    <n v="18036"/>
    <n v="257.37"/>
    <n v="2.4700000000000002"/>
    <n v="15.13"/>
    <n v="-0.2"/>
    <n v="104.19838056680162"/>
    <n v="17.010575016523461"/>
    <n v="-1.34"/>
    <n v="0"/>
    <n v="2"/>
    <n v="-1286.8499999999999"/>
    <s v="NO"/>
    <n v="2.4309317505477228"/>
    <n v="0.28733832038559448"/>
    <n v="-0.60067657997335766"/>
    <n v="-0.72967347766378798"/>
    <n v="-1.8475933554944447E-3"/>
    <n v="-25.136710743102256"/>
    <x v="0"/>
    <x v="0"/>
    <x v="0"/>
    <x v="0"/>
    <x v="0"/>
    <x v="1"/>
  </r>
  <r>
    <x v="4"/>
    <s v="DDOG"/>
    <n v="40710"/>
    <n v="121.17"/>
    <n v="2.46"/>
    <n v="8.4600000000000009"/>
    <n v="0.47"/>
    <n v="49.256097560975611"/>
    <n v="14.322695035460992"/>
    <n v="6.48"/>
    <n v="0.37"/>
    <n v="2.06"/>
    <n v="257.80851063829789"/>
    <s v="NO"/>
    <n v="0.12959969480959663"/>
    <n v="1.9289733701413261E-2"/>
    <n v="-0.16329155619273836"/>
    <n v="-0.66388360154991177"/>
    <n v="8.018555162846655E-2"/>
    <n v="4.1046105732772533"/>
    <x v="0"/>
    <x v="0"/>
    <x v="0"/>
    <x v="0"/>
    <x v="0"/>
    <x v="1"/>
  </r>
  <r>
    <x v="4"/>
    <s v="ORCL"/>
    <n v="464185"/>
    <n v="177.15"/>
    <n v="2.09"/>
    <n v="5.97"/>
    <n v="4.26"/>
    <n v="84.760765550239242"/>
    <n v="29.673366834170857"/>
    <n v="103.74"/>
    <n v="7.35"/>
    <n v="9.65"/>
    <n v="41.584507042253527"/>
    <s v="NO"/>
    <n v="1.6167608774522528"/>
    <n v="1.5501340828863879"/>
    <n v="5.2766147625928159"/>
    <n v="0.57723352081456292"/>
    <n v="10.457378392099523"/>
    <n v="1.1359202880039254E-2"/>
    <x v="0"/>
    <x v="0"/>
    <x v="1"/>
    <x v="0"/>
    <x v="1"/>
    <x v="0"/>
  </r>
  <r>
    <x v="4"/>
    <s v="GEN"/>
    <n v="17664"/>
    <n v="29.33"/>
    <n v="1.95"/>
    <n v="3.68"/>
    <n v="1.03"/>
    <n v="15.041025641025641"/>
    <n v="7.9701086956521729"/>
    <n v="29.17"/>
    <n v="6.74"/>
    <n v="6.83"/>
    <n v="28.475728155339805"/>
    <s v="NO"/>
    <n v="-1.3035450070663117"/>
    <n v="-0.61422136135198413"/>
    <n v="1.1057961918356829"/>
    <n v="0.46876913046465912"/>
    <n v="6.6018205778533599"/>
    <n v="-0.23679792237298364"/>
    <x v="0"/>
    <x v="0"/>
    <x v="0"/>
    <x v="0"/>
    <x v="1"/>
    <x v="0"/>
  </r>
  <r>
    <x v="4"/>
    <s v="DT"/>
    <n v="16185"/>
    <n v="54.21"/>
    <n v="1.44"/>
    <n v="8.74"/>
    <n v="1.59"/>
    <n v="37.645833333333336"/>
    <n v="6.2025171624713957"/>
    <n v="20.86"/>
    <n v="2.97"/>
    <n v="1.58"/>
    <n v="34.094339622641506"/>
    <s v="NO"/>
    <n v="-0.35671197228711959"/>
    <n v="-0.79049426625927388"/>
    <n v="0.64100468958287615"/>
    <n v="-0.20157636399294404"/>
    <n v="-0.5760796082432208"/>
    <n v="-0.13043420370265318"/>
    <x v="0"/>
    <x v="0"/>
    <x v="0"/>
    <x v="0"/>
    <x v="0"/>
    <x v="0"/>
  </r>
  <r>
    <x v="4"/>
    <s v="BSY"/>
    <n v="14480"/>
    <n v="47.79"/>
    <n v="1.38"/>
    <n v="3.48"/>
    <n v="0.79"/>
    <n v="34.630434782608695"/>
    <n v="13.732758620689655"/>
    <n v="25.16"/>
    <n v="6.2"/>
    <n v="3.1"/>
    <n v="60.493670886075947"/>
    <s v="NO"/>
    <n v="-0.48301603112779529"/>
    <n v="-3.954162161471337E-2"/>
    <n v="0.88151052107349814"/>
    <n v="0.3727514734335966"/>
    <n v="1.5020933980171225"/>
    <n v="0.36932112907483999"/>
    <x v="0"/>
    <x v="0"/>
    <x v="0"/>
    <x v="0"/>
    <x v="0"/>
    <x v="0"/>
  </r>
  <r>
    <x v="4"/>
    <s v="PCOR"/>
    <n v="10020"/>
    <n v="67.53"/>
    <n v="0.76"/>
    <n v="7.92"/>
    <n v="-0.86"/>
    <n v="88.85526315789474"/>
    <n v="8.5265151515151523"/>
    <n v="-10.78"/>
    <n v="-4.8899999999999997"/>
    <n v="1.65"/>
    <n v="-78.523255813953497"/>
    <s v="NO"/>
    <n v="1.7882644641459744"/>
    <n v="-0.55873377813888547"/>
    <n v="-1.1286707774783509"/>
    <n v="-1.599166705222854"/>
    <n v="-0.48037427242859992"/>
    <n v="-2.26235350583935"/>
    <x v="0"/>
    <x v="0"/>
    <x v="0"/>
    <x v="0"/>
    <x v="0"/>
    <x v="0"/>
  </r>
  <r>
    <x v="4"/>
    <s v="U"/>
    <n v="10841"/>
    <n v="24.69"/>
    <n v="0.73"/>
    <n v="7.67"/>
    <n v="-1.1200000000000001"/>
    <n v="33.821917808219183"/>
    <n v="3.2190352020860495"/>
    <n v="-13.18"/>
    <n v="-3.66"/>
    <n v="2.09"/>
    <n v="-22.044642857142858"/>
    <s v="NO"/>
    <n v="-0.51688186139505377"/>
    <n v="-1.0880217334503235"/>
    <n v="-1.2629065904033492"/>
    <n v="-1.3804598197632116"/>
    <n v="0.12120212412044674"/>
    <n v="-1.1931791494367279"/>
    <x v="0"/>
    <x v="0"/>
    <x v="0"/>
    <x v="0"/>
    <x v="0"/>
    <x v="0"/>
  </r>
  <r>
    <x v="4"/>
    <s v="PLTR"/>
    <n v="310989"/>
    <n v="132.06"/>
    <n v="0.57999999999999996"/>
    <n v="2.2999999999999998"/>
    <n v="0.23"/>
    <n v="227.68965517241381"/>
    <n v="57.417391304347831"/>
    <n v="12.36"/>
    <n v="4.3899999999999997"/>
    <n v="1.24"/>
    <n v="574.17391304347825"/>
    <s v="NO"/>
    <n v="7.6035313096836141"/>
    <n v="4.3169044002212678"/>
    <n v="0.16558618547350734"/>
    <n v="5.0914511903553603E-2"/>
    <n v="-1.0409340964856661"/>
    <n v="10.09359928592988"/>
    <x v="1"/>
    <x v="1"/>
    <x v="0"/>
    <x v="0"/>
    <x v="0"/>
    <x v="1"/>
  </r>
  <r>
    <x v="4"/>
    <s v="WIGBY"/>
    <n v="23721"/>
    <n v="68.069999999999993"/>
    <n v="0.5"/>
    <n v="4.45"/>
    <n v="0.52"/>
    <n v="136.13999999999999"/>
    <n v="15.296629213483143"/>
    <n v="13.08"/>
    <n v="8.9600000000000009"/>
    <n v="1.26"/>
    <n v="130.90384615384613"/>
    <s v="NO"/>
    <n v="3.7688498109605488"/>
    <n v="0.11641523103818968"/>
    <n v="0.20585692935100686"/>
    <n v="0.86350838714791622"/>
    <n v="-1.0135897148243458"/>
    <n v="1.7022283993663647"/>
    <x v="1"/>
    <x v="0"/>
    <x v="0"/>
    <x v="0"/>
    <x v="0"/>
    <x v="0"/>
  </r>
  <r>
    <x v="4"/>
    <s v="KVYO"/>
    <n v="10113"/>
    <n v="34.76"/>
    <n v="0.49"/>
    <n v="3.86"/>
    <n v="-0.18"/>
    <n v="70.938775510204081"/>
    <n v="9.0051813471502591"/>
    <n v="-4.7300000000000004"/>
    <n v="-4.3600000000000003"/>
    <n v="1.27"/>
    <n v="-193.11111111111111"/>
    <s v="NO"/>
    <n v="1.0378080743833844"/>
    <n v="-0.51099883530755885"/>
    <n v="-0.79028466572991773"/>
    <n v="-1.5049271529516262"/>
    <n v="-0.99991752399368561"/>
    <n v="-4.4315710206636325"/>
    <x v="0"/>
    <x v="0"/>
    <x v="0"/>
    <x v="0"/>
    <x v="0"/>
    <x v="1"/>
  </r>
  <r>
    <x v="4"/>
    <s v="TTAN"/>
    <n v="10031"/>
    <n v="104.19"/>
    <n v="0.37"/>
    <n v="16.149999999999999"/>
    <n v="-8.5299999999999994"/>
    <n v="281.59459459459458"/>
    <n v="6.4513931888544898"/>
    <n v="-18.350000000000001"/>
    <n v="-8.57"/>
    <n v="1.22"/>
    <n v="-12.214536928487691"/>
    <s v="NO"/>
    <n v="9.8614128222107151"/>
    <n v="-0.76567512716021568"/>
    <n v="-1.5520729040792829"/>
    <n v="-2.2535092568419466"/>
    <n v="-1.0682784781469865"/>
    <n v="-1.0070892894099492"/>
    <x v="1"/>
    <x v="0"/>
    <x v="0"/>
    <x v="0"/>
    <x v="0"/>
    <x v="0"/>
  </r>
  <r>
    <x v="4"/>
    <s v="IOT"/>
    <n v="26496"/>
    <n v="44.69"/>
    <n v="0.2"/>
    <n v="1.89"/>
    <n v="-0.28000000000000003"/>
    <n v="223.45"/>
    <n v="23.645502645502646"/>
    <n v="-15.61"/>
    <n v="-6.15"/>
    <n v="1.89"/>
    <n v="-159.60714285714283"/>
    <s v="NO"/>
    <n v="7.4259476014762713"/>
    <n v="0.94900587482628596"/>
    <n v="-1.3988203509899098"/>
    <n v="-1.8232079049620002"/>
    <n v="-0.15224169249275626"/>
    <n v="-3.7973206058692162"/>
    <x v="1"/>
    <x v="0"/>
    <x v="0"/>
    <x v="0"/>
    <x v="0"/>
    <x v="1"/>
  </r>
  <r>
    <x v="4"/>
    <s v="RBRK"/>
    <n v="18095"/>
    <n v="93.15"/>
    <n v="0.14000000000000001"/>
    <n v="-2.92"/>
    <n v="-7.48"/>
    <n v="665.35714285714289"/>
    <n v="-31.900684931506852"/>
    <n v="183.56"/>
    <n v="-61.72"/>
    <n v="-2.57"/>
    <n v="-12.453208556149733"/>
    <s v="NO"/>
    <n v="25.93582774986675"/>
    <n v="-4.5903326300970049"/>
    <n v="9.7410741741233835"/>
    <n v="-11.704136055362268"/>
    <n v="-6.2500388029671852"/>
    <n v="-1.0116074879020451"/>
    <x v="1"/>
    <x v="1"/>
    <x v="1"/>
    <x v="1"/>
    <x v="1"/>
    <x v="0"/>
  </r>
  <r>
    <x v="4"/>
    <s v="MSTR"/>
    <n v="102404"/>
    <n v="392.12"/>
    <n v="-0.53"/>
    <n v="121.05"/>
    <n v="-25"/>
    <n v="-739.84905660377353"/>
    <n v="3.2393225939694341"/>
    <n v="-29.68"/>
    <n v="-18.82"/>
    <n v="1.36"/>
    <n v="-15.684800000000001"/>
    <s v="NO"/>
    <n v="-32.923140149199938"/>
    <n v="-1.0859985751396237"/>
    <n v="-2.1857778042627123"/>
    <n v="-4.0760666356722997"/>
    <n v="-0.8768678065177441"/>
    <n v="-1.0727834715399045"/>
    <x v="1"/>
    <x v="0"/>
    <x v="0"/>
    <x v="1"/>
    <x v="0"/>
    <x v="0"/>
  </r>
  <r>
    <x v="5"/>
    <s v="NTAP"/>
    <n v="20464"/>
    <n v="103.06"/>
    <n v="6.56"/>
    <n v="5.0999999999999996"/>
    <n v="5.67"/>
    <n v="15.710365853658537"/>
    <n v="20.207843137254905"/>
    <n v="108.51"/>
    <n v="8.6"/>
    <n v="10.41"/>
    <n v="18.176366843033509"/>
    <s v="NO"/>
    <n v="-0.75519622852674995"/>
    <n v="0.84369204643853613"/>
    <n v="1.1449372019944983"/>
    <n v="0.38834204899704317"/>
    <n v="1.5947862359215526"/>
    <n v="-0.71734765487519725"/>
    <x v="0"/>
    <x v="0"/>
    <x v="0"/>
    <x v="0"/>
    <x v="0"/>
    <x v="0"/>
  </r>
  <r>
    <x v="5"/>
    <s v="AAPL"/>
    <n v="2999861"/>
    <n v="201.45"/>
    <n v="6.51"/>
    <n v="4.47"/>
    <n v="6.4"/>
    <n v="30.944700460829491"/>
    <n v="45.067114093959731"/>
    <n v="138.02000000000001"/>
    <n v="23.81"/>
    <n v="4.96"/>
    <n v="31.476562499999996"/>
    <s v="NO"/>
    <n v="1.0330971816358223"/>
    <n v="1.9736649882471566"/>
    <n v="1.4147892604490264"/>
    <n v="4.3703752390498698"/>
    <n v="0.51976026365532346"/>
    <n v="5.8182527428916613"/>
    <x v="0"/>
    <x v="0"/>
    <x v="0"/>
    <x v="1"/>
    <x v="0"/>
    <x v="1"/>
  </r>
  <r>
    <x v="5"/>
    <s v="DELL"/>
    <n v="76051"/>
    <n v="114.22"/>
    <n v="5.24"/>
    <n v="-4.34"/>
    <n v="6.55"/>
    <n v="21.797709923664122"/>
    <n v="-26.317972350230416"/>
    <n v="-158.31"/>
    <n v="5.33"/>
    <n v="-28.73"/>
    <n v="17.438167938931297"/>
    <s v="NO"/>
    <n v="-4.0628932580718202E-2"/>
    <n v="-1.2711291278428987"/>
    <n v="-1.2949789700433596"/>
    <n v="-0.46775581632003388"/>
    <n v="-6.1256755171977506"/>
    <n v="-1.0800921720022385"/>
    <x v="0"/>
    <x v="0"/>
    <x v="0"/>
    <x v="0"/>
    <x v="1"/>
    <x v="0"/>
  </r>
  <r>
    <x v="5"/>
    <s v="LOGI"/>
    <n v="12242"/>
    <n v="85.98"/>
    <n v="5.2"/>
    <n v="14.33"/>
    <n v="4.13"/>
    <n v="16.534615384615385"/>
    <n v="6"/>
    <n v="28.96"/>
    <n v="11.69"/>
    <n v="1.66"/>
    <n v="20.818401937046005"/>
    <s v="NO"/>
    <n v="-0.65844109989475197"/>
    <n v="0.19787751975672005"/>
    <n v="0.41749798647238007"/>
    <n v="1.1973152611774005"/>
    <n v="-0.13117289386367753"/>
    <n v="0.58092539739359872"/>
    <x v="0"/>
    <x v="0"/>
    <x v="0"/>
    <x v="0"/>
    <x v="0"/>
    <x v="0"/>
  </r>
  <r>
    <x v="5"/>
    <s v="STX"/>
    <n v="25029"/>
    <n v="130.16999999999999"/>
    <n v="3.67"/>
    <n v="-3.91"/>
    <n v="6.85"/>
    <n v="35.468664850136236"/>
    <n v="-33.291560102301787"/>
    <n v="-109.93"/>
    <n v="14.08"/>
    <n v="-9.1199999999999992"/>
    <n v="19.002919708029196"/>
    <s v="NO"/>
    <n v="1.5641460205788287"/>
    <n v="-1.588112094917536"/>
    <n v="-0.85257156279056168"/>
    <n v="1.8230259333816252"/>
    <n v="-2.257554541759081"/>
    <n v="-0.31118677028613229"/>
    <x v="0"/>
    <x v="0"/>
    <x v="0"/>
    <x v="0"/>
    <x v="0"/>
    <x v="0"/>
  </r>
  <r>
    <x v="5"/>
    <s v="HPQ"/>
    <n v="23388"/>
    <n v="25.12"/>
    <n v="2.77"/>
    <n v="-1.35"/>
    <n v="2.61"/>
    <n v="9.0685920577617338"/>
    <n v="-18.607407407407408"/>
    <n v="-229.65"/>
    <n v="6.34"/>
    <n v="-30.41"/>
    <n v="9.6245210727969361"/>
    <s v="NO"/>
    <n v="-1.5348456597137135"/>
    <n v="-0.92064701730062581"/>
    <n v="-1.9473424349754516"/>
    <n v="-0.20333415149732814"/>
    <n v="-6.4570596701165144"/>
    <n v="-4.9196502419295234"/>
    <x v="0"/>
    <x v="0"/>
    <x v="0"/>
    <x v="0"/>
    <x v="1"/>
    <x v="1"/>
  </r>
  <r>
    <x v="5"/>
    <s v="WDC"/>
    <n v="17985"/>
    <n v="57.02"/>
    <n v="2.4900000000000002"/>
    <n v="14.83"/>
    <n v="3.03"/>
    <n v="22.899598393574298"/>
    <n v="3.8449089683074851"/>
    <n v="13.56"/>
    <n v="5.56"/>
    <n v="3.16"/>
    <n v="18.81848184818482"/>
    <s v="NO"/>
    <n v="8.8717044141294485E-2"/>
    <n v="9.9918309400626848E-2"/>
    <n v="0.27667380144358533"/>
    <n v="-0.40754098175644754"/>
    <n v="0.1647058140995048"/>
    <n v="-0.40181792950000383"/>
    <x v="0"/>
    <x v="0"/>
    <x v="0"/>
    <x v="0"/>
    <x v="0"/>
    <x v="0"/>
  </r>
  <r>
    <x v="5"/>
    <s v="PSTG"/>
    <n v="17532"/>
    <n v="55.54"/>
    <n v="1.73"/>
    <n v="3.81"/>
    <n v="0.37"/>
    <n v="32.104046242774565"/>
    <n v="14.57742782152231"/>
    <n v="9.76"/>
    <n v="1.61"/>
    <n v="3.06"/>
    <n v="150.1081081081081"/>
    <s v="NO"/>
    <n v="1.1691878265778239"/>
    <n v="0.58776270044109402"/>
    <n v="0.24192497656635026"/>
    <n v="-1.4416653144789107"/>
    <n v="0.14498056690195929"/>
    <n v="64.11276183591697"/>
    <x v="0"/>
    <x v="0"/>
    <x v="0"/>
    <x v="0"/>
    <x v="0"/>
    <x v="1"/>
  </r>
  <r>
    <x v="5"/>
    <s v="HPE"/>
    <n v="22699"/>
    <n v="18.309999999999999"/>
    <n v="1.24"/>
    <n v="19.21"/>
    <n v="2.08"/>
    <n v="14.766129032258064"/>
    <n v="0.9531494013534616"/>
    <n v="12.06"/>
    <n v="2.4700000000000002"/>
    <n v="2.79"/>
    <n v="8.802884615384615"/>
    <s v="NO"/>
    <n v="-0.86603615221783725"/>
    <n v="-3.1526014552604356E-2"/>
    <n v="0.26295716004467679"/>
    <n v="-1.2165141939368047"/>
    <n v="9.1722399468586471E-2"/>
    <n v="-5.3233952466183103"/>
    <x v="0"/>
    <x v="0"/>
    <x v="0"/>
    <x v="0"/>
    <x v="0"/>
    <x v="1"/>
  </r>
  <r>
    <x v="5"/>
    <s v="SMCI"/>
    <n v="23885"/>
    <n v="43.12"/>
    <n v="0.05"/>
    <n v="10.69"/>
    <n v="1.83"/>
    <n v="862.39999999999986"/>
    <n v="4.0336763330215151"/>
    <n v="20.059999999999999"/>
    <n v="8.3699999999999992"/>
    <n v="1.68"/>
    <n v="23.562841530054641"/>
    <s v="NO"/>
    <n v="98.63408018162545"/>
    <n v="0.10849869032953109"/>
    <n v="0.33611258083885581"/>
    <n v="0.3281272144334566"/>
    <n v="-0.12722784442416843"/>
    <n v="1.9295191292699714"/>
    <x v="1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s v="CALX"/>
    <n v="2997"/>
    <n v="48.22"/>
    <n v="0.79"/>
    <n v="11.68"/>
    <n v="-0.52"/>
    <n v="61.037974683544299"/>
    <n v="4.1284246575342465"/>
    <n v="-4.59"/>
    <n v="-3.2"/>
    <n v="1.2"/>
    <n v="-92.730769230769226"/>
    <s v="NO"/>
    <n v="1.4068646672146072"/>
    <n v="-0.60658151559819107"/>
    <n v="0.52269986253369749"/>
    <n v="-0.85963865697152919"/>
    <n v="-1.3509793821978588"/>
    <n v="-0.90346392967355549"/>
    <x v="0"/>
    <x v="0"/>
    <x v="0"/>
    <x v="0"/>
    <x v="0"/>
    <x v="0"/>
  </r>
  <r>
    <x v="0"/>
    <s v="EXTR"/>
    <n v="2087"/>
    <n v="16.829999999999998"/>
    <n v="0.48"/>
    <n v="0.54"/>
    <n v="-0.41"/>
    <n v="35.0625"/>
    <n v="31.166666666666661"/>
    <n v="-78.83"/>
    <n v="-1.0900000000000001"/>
    <n v="14.96"/>
    <n v="-41.048780487804876"/>
    <s v="NO"/>
    <n v="-0.57873728114993273"/>
    <n v="1.7214804384870619"/>
    <n v="-1.664003495659794"/>
    <n v="-7.9157776502541827E-2"/>
    <n v="10.340515145501852"/>
    <n v="-0.75705677286211825"/>
    <x v="0"/>
    <x v="0"/>
    <x v="0"/>
    <x v="0"/>
    <x v="1"/>
    <x v="0"/>
  </r>
  <r>
    <x v="0"/>
    <s v="VIAV"/>
    <n v="2034"/>
    <n v="9.5399999999999991"/>
    <n v="0.3"/>
    <n v="3.27"/>
    <n v="0.02"/>
    <n v="31.799999999999997"/>
    <n v="2.9174311926605503"/>
    <n v="0.71"/>
    <n v="1.55"/>
    <n v="2.65"/>
    <n v="476.99999999999994"/>
    <s v="NO"/>
    <n v="-0.82812738606467395"/>
    <n v="-0.71085115751004657"/>
    <n v="0.67880880378404107"/>
    <n v="0.89736806446339501"/>
    <n v="-0.11895415943880529"/>
    <n v="0.71049606102872132"/>
    <x v="0"/>
    <x v="0"/>
    <x v="0"/>
    <x v="0"/>
    <x v="0"/>
    <x v="0"/>
  </r>
  <r>
    <x v="0"/>
    <s v="BYDIY"/>
    <n v="9050"/>
    <n v="208.14490000000001"/>
    <n v="0.23"/>
    <n v="1.97"/>
    <n v="0.26"/>
    <n v="904.9778260869565"/>
    <n v="105.65730964467005"/>
    <n v="13.82"/>
    <n v="2.73"/>
    <n v="2.79"/>
    <n v="800.55730769230775"/>
    <s v="NO"/>
    <n v="65.918818102686757"/>
    <n v="8.135315768234598"/>
    <n v="1.0649575244995135"/>
    <n v="1.3338455236830182"/>
    <n v="0"/>
    <n v="1.6270843471411229"/>
    <x v="1"/>
    <x v="1"/>
    <x v="0"/>
    <x v="0"/>
    <x v="0"/>
    <x v="0"/>
  </r>
  <r>
    <x v="0"/>
    <s v="LITE"/>
    <n v="5016"/>
    <n v="82.11"/>
    <n v="-1.52"/>
    <n v="12.67"/>
    <n v="-6.41"/>
    <n v="-54.01973684210526"/>
    <n v="6.4806629834254146"/>
    <n v="-42.79"/>
    <n v="-4.37"/>
    <n v="4.5199999999999996"/>
    <n v="-12.809672386895475"/>
    <s v="NO"/>
    <n v="-7.3883092020978056"/>
    <n v="-0.4040477653788242"/>
    <n v="-0.60246269515745776"/>
    <n v="-1.292417154672342"/>
    <n v="1.4699335416366637"/>
    <n v="-0.67705970563417028"/>
    <x v="1"/>
    <x v="0"/>
    <x v="0"/>
    <x v="0"/>
    <x v="0"/>
    <x v="0"/>
  </r>
  <r>
    <x v="1"/>
    <s v="HPHTY"/>
    <n v="2958"/>
    <n v="4.95"/>
    <m/>
    <n v="6.75"/>
    <n v="0.62"/>
    <s v=""/>
    <n v="0.73333333333333339"/>
    <n v="5.72"/>
    <n v="3.39"/>
    <n v="1.37"/>
    <n v="7.9838709677419359"/>
    <s v="NO"/>
    <e v="#VALUE!"/>
    <n v="-1.3557870533549923"/>
    <n v="-0.29040616767700334"/>
    <n v="-0.47466002927732237"/>
    <n v="-1.0219988049907285"/>
    <n v="-0.92474097251137433"/>
    <x v="1"/>
    <x v="0"/>
    <x v="0"/>
    <x v="0"/>
    <x v="0"/>
    <x v="0"/>
  </r>
  <r>
    <x v="1"/>
    <s v="ARW"/>
    <n v="6141"/>
    <n v="123.28"/>
    <n v="18.77"/>
    <n v="114.23"/>
    <n v="7.28"/>
    <n v="6.5679275439531173"/>
    <n v="1.0792261227348332"/>
    <n v="6.63"/>
    <n v="2.81"/>
    <n v="3.61"/>
    <n v="16.934065934065934"/>
    <s v="NO"/>
    <n v="-1.20085879247477"/>
    <n v="-1.1138353907907721"/>
    <n v="-0.20346293939092577"/>
    <n v="-0.69096938547655951"/>
    <n v="2.8833483750875692"/>
    <n v="-0.44732954582615525"/>
    <x v="0"/>
    <x v="0"/>
    <x v="0"/>
    <x v="0"/>
    <x v="0"/>
    <x v="0"/>
  </r>
  <r>
    <x v="1"/>
    <s v="NSIT"/>
    <n v="4163"/>
    <n v="134.19999999999999"/>
    <n v="12.97"/>
    <n v="49.85"/>
    <n v="5.12"/>
    <n v="10.346954510408635"/>
    <n v="2.6920762286860578"/>
    <n v="11.37"/>
    <n v="3.39"/>
    <n v="4.9800000000000004"/>
    <n v="26.210937499999996"/>
    <s v="NO"/>
    <n v="-0.94346973195877326"/>
    <n v="1.435165605977844E-2"/>
    <n v="0.24940618376952203"/>
    <n v="-0.47466002927732237"/>
    <n v="5.2718866057604581"/>
    <n v="4.7507103669441504E-2"/>
    <x v="0"/>
    <x v="0"/>
    <x v="0"/>
    <x v="0"/>
    <x v="1"/>
    <x v="0"/>
  </r>
  <r>
    <x v="1"/>
    <s v="PLXS"/>
    <n v="3556"/>
    <n v="134.97"/>
    <n v="12.93"/>
    <n v="49.84"/>
    <n v="5.14"/>
    <n v="10.438515081206496"/>
    <n v="2.7080658105939004"/>
    <n v="10.93"/>
    <n v="3.91"/>
    <n v="2.2799999999999998"/>
    <n v="26.25875486381323"/>
    <s v="NO"/>
    <n v="-0.93723355277636489"/>
    <n v="2.5536352719698233E-2"/>
    <n v="0.20736769976306701"/>
    <n v="-0.28072750302973054"/>
    <n v="0.56454848691607973"/>
    <n v="5.0057724741306077E-2"/>
    <x v="0"/>
    <x v="0"/>
    <x v="0"/>
    <x v="0"/>
    <x v="0"/>
    <x v="0"/>
  </r>
  <r>
    <x v="1"/>
    <s v="LFUS"/>
    <n v="5068"/>
    <n v="222.69"/>
    <n v="11.81"/>
    <n v="99.39"/>
    <n v="3.81"/>
    <n v="18.856054191363249"/>
    <n v="2.2405674615152429"/>
    <n v="3.87"/>
    <n v="4.59"/>
    <n v="1.58"/>
    <n v="58.448818897637793"/>
    <s v="NO"/>
    <n v="-0.36391600234564642"/>
    <n v="-0.3014782780314304"/>
    <n v="-0.46715888452232579"/>
    <n v="-2.7123430244418281E-2"/>
    <n v="-0.65587250685838805"/>
    <n v="1.7671046106806643"/>
    <x v="0"/>
    <x v="0"/>
    <x v="0"/>
    <x v="0"/>
    <x v="0"/>
    <x v="0"/>
  </r>
  <r>
    <x v="1"/>
    <s v="AVT"/>
    <n v="4194"/>
    <n v="51.56"/>
    <n v="8.49"/>
    <n v="57.52"/>
    <n v="3.56"/>
    <n v="6.0730270906949357"/>
    <n v="0.89638386648122392"/>
    <n v="6.42"/>
    <n v="3.61"/>
    <n v="2.4"/>
    <n v="14.483146067415731"/>
    <s v="NO"/>
    <n v="-1.2345664012967681"/>
    <n v="-1.2417333673982085"/>
    <n v="-0.22352676130309754"/>
    <n v="-0.39261165278795673"/>
    <n v="0.77376351442027447"/>
    <n v="-0.57806380967529236"/>
    <x v="0"/>
    <x v="0"/>
    <x v="0"/>
    <x v="0"/>
    <x v="0"/>
    <x v="0"/>
  </r>
  <r>
    <x v="1"/>
    <s v="FN"/>
    <n v="8344"/>
    <n v="232.83"/>
    <n v="7.54"/>
    <n v="53.23"/>
    <n v="8.9700000000000006"/>
    <n v="30.879310344827587"/>
    <n v="4.3740371970693221"/>
    <n v="18.3"/>
    <n v="7.99"/>
    <n v="1.37"/>
    <n v="25.956521739130434"/>
    <s v="NO"/>
    <n v="0.45498649111444894"/>
    <n v="1.190881682524366"/>
    <n v="0.91151230687118967"/>
    <n v="1.2408969336821438"/>
    <n v="-1.0219988049907285"/>
    <n v="3.3936338806223154E-2"/>
    <x v="0"/>
    <x v="0"/>
    <x v="0"/>
    <x v="0"/>
    <x v="0"/>
    <x v="0"/>
  </r>
  <r>
    <x v="1"/>
    <s v="BDC"/>
    <n v="4195"/>
    <n v="112.29"/>
    <n v="5.43"/>
    <n v="30.84"/>
    <n v="5.17"/>
    <n v="20.679558011049725"/>
    <n v="3.6410505836575879"/>
    <n v="17.920000000000002"/>
    <n v="5.91"/>
    <n v="2.68"/>
    <n v="21.719535783365572"/>
    <s v="NO"/>
    <n v="-0.23971738212869317"/>
    <n v="0.67815827461768063"/>
    <n v="0.87520634341106951"/>
    <n v="0.46516682869177645"/>
    <n v="1.2619319119300623"/>
    <n v="-0.19206829210940174"/>
    <x v="0"/>
    <x v="0"/>
    <x v="0"/>
    <x v="0"/>
    <x v="0"/>
    <x v="0"/>
  </r>
  <r>
    <x v="1"/>
    <s v="ITRI"/>
    <n v="5270"/>
    <n v="121.58"/>
    <n v="5.32"/>
    <n v="32.659999999999997"/>
    <n v="5.48"/>
    <n v="22.853383458646615"/>
    <n v="3.722596448254746"/>
    <n v="17.600000000000001"/>
    <n v="5.62"/>
    <n v="2.35"/>
    <n v="22.186131386861312"/>
    <s v="NO"/>
    <n v="-9.1658399049373632E-2"/>
    <n v="0.73519952589284698"/>
    <n v="0.8446329004972839"/>
    <n v="0.35701215059215791"/>
    <n v="0.68659058629352698"/>
    <n v="-0.16717966414229021"/>
    <x v="0"/>
    <x v="0"/>
    <x v="0"/>
    <x v="0"/>
    <x v="0"/>
    <x v="0"/>
  </r>
  <r>
    <x v="1"/>
    <s v="BMI"/>
    <n v="7311"/>
    <n v="247.83"/>
    <n v="5.23"/>
    <n v="21.79"/>
    <n v="4.54"/>
    <n v="47.38623326959847"/>
    <n v="11.373565855897201"/>
    <n v="22.8"/>
    <n v="12.99"/>
    <n v="1.4"/>
    <n v="54.58810572687225"/>
    <s v="NO"/>
    <n v="1.5792709752767184"/>
    <n v="6.0870450257951703"/>
    <n v="1.3414513478462984"/>
    <n v="3.1056327629859113"/>
    <n v="-0.96969504811468021"/>
    <n v="1.5611707075855226"/>
    <x v="0"/>
    <x v="1"/>
    <x v="1"/>
    <x v="0"/>
    <x v="0"/>
    <x v="0"/>
  </r>
  <r>
    <x v="1"/>
    <s v="SANM"/>
    <n v="4528"/>
    <n v="87.91"/>
    <n v="4.8899999999999997"/>
    <n v="41.51"/>
    <n v="4.32"/>
    <n v="17.977505112474439"/>
    <n v="2.1178029390508311"/>
    <n v="11.16"/>
    <n v="4.6500000000000004"/>
    <n v="2.2400000000000002"/>
    <n v="20.349537037037035"/>
    <s v="NO"/>
    <n v="-0.42375387173361728"/>
    <n v="-0.38735193953666847"/>
    <n v="0.22934236185735038"/>
    <n v="-4.7466002927728842E-3"/>
    <n v="0.49481014441468224"/>
    <n v="-0.265145253952424"/>
    <x v="0"/>
    <x v="0"/>
    <x v="0"/>
    <x v="0"/>
    <x v="0"/>
    <x v="0"/>
  </r>
  <r>
    <x v="1"/>
    <s v="NOVT"/>
    <n v="4454"/>
    <n v="128.69999999999999"/>
    <n v="3.96"/>
    <n v="21.4"/>
    <n v="1.95"/>
    <n v="32.5"/>
    <n v="6.0140186915887845"/>
    <n v="9.73"/>
    <n v="5.75"/>
    <n v="1.8"/>
    <n v="66"/>
    <s v="NO"/>
    <n v="0.56537146360488866"/>
    <n v="2.3380471087251178"/>
    <n v="9.2717288836371411E-2"/>
    <n v="0.40549528215405584"/>
    <n v="-0.27231162310069812"/>
    <n v="2.1698913831254494"/>
    <x v="0"/>
    <x v="0"/>
    <x v="0"/>
    <x v="0"/>
    <x v="0"/>
    <x v="1"/>
  </r>
  <r>
    <x v="1"/>
    <s v="AEIS"/>
    <n v="4322"/>
    <n v="125.73"/>
    <n v="2.62"/>
    <n v="32.46"/>
    <n v="1.98"/>
    <n v="47.988549618320612"/>
    <n v="3.8733826247689462"/>
    <n v="6.34"/>
    <n v="2.58"/>
    <n v="1.87"/>
    <n v="63.5"/>
    <s v="NO"/>
    <n v="1.6202946674882681"/>
    <n v="0.84067430656821007"/>
    <n v="-0.23117012203154391"/>
    <n v="-0.7767472336245328"/>
    <n v="-0.15026952372325117"/>
    <n v="2.0365391409448246"/>
    <x v="0"/>
    <x v="0"/>
    <x v="0"/>
    <x v="0"/>
    <x v="0"/>
    <x v="0"/>
  </r>
  <r>
    <x v="1"/>
    <s v="IPGP"/>
    <n v="2818"/>
    <n v="69.260000000000005"/>
    <n v="2.56"/>
    <n v="48.22"/>
    <n v="-4.6399999999999997"/>
    <n v="27.0546875"/>
    <n v="1.4363334715885525"/>
    <n v="-9.17"/>
    <n v="0.12"/>
    <n v="1.1200000000000001"/>
    <n v="-14.926724137931037"/>
    <s v="NO"/>
    <n v="0.19449190094709956"/>
    <n v="-0.86403915503066431"/>
    <n v="-1.7130266832590855"/>
    <n v="-1.6941972616419865"/>
    <n v="-1.4578634456244672"/>
    <n v="-2.1468126633249507"/>
    <x v="0"/>
    <x v="0"/>
    <x v="0"/>
    <x v="0"/>
    <x v="0"/>
    <x v="0"/>
  </r>
  <r>
    <x v="1"/>
    <s v="CXT"/>
    <n v="3075"/>
    <n v="55.52"/>
    <n v="2.44"/>
    <n v="19.29"/>
    <n v="2.91"/>
    <n v="22.754098360655739"/>
    <n v="2.8781752203214102"/>
    <n v="16.23"/>
    <n v="7.97"/>
    <n v="2.19"/>
    <n v="19.079037800687285"/>
    <s v="NO"/>
    <n v="-9.8420694826024058E-2"/>
    <n v="0.14452771583138804"/>
    <n v="0.71374034802263964"/>
    <n v="1.2334379903649286"/>
    <n v="0.40763721628793403"/>
    <n v="-0.33291482269482831"/>
    <x v="0"/>
    <x v="0"/>
    <x v="0"/>
    <x v="0"/>
    <x v="0"/>
    <x v="0"/>
  </r>
  <r>
    <x v="1"/>
    <s v="VNT"/>
    <n v="5287"/>
    <n v="36.5"/>
    <n v="2.42"/>
    <n v="7.39"/>
    <n v="2.46"/>
    <n v="15.082644628099175"/>
    <n v="4.9391069012178619"/>
    <n v="35.57"/>
    <n v="7.83"/>
    <n v="3.92"/>
    <n v="14.83739837398374"/>
    <s v="NO"/>
    <n v="-0.62092246222321978"/>
    <n v="1.5861473792160428"/>
    <n v="2.5615228041245515"/>
    <n v="1.1812253871444232"/>
    <n v="3.4238205294734056"/>
    <n v="-0.55916767392389144"/>
    <x v="0"/>
    <x v="0"/>
    <x v="0"/>
    <x v="1"/>
    <x v="1"/>
    <x v="0"/>
  </r>
  <r>
    <x v="1"/>
    <s v="LPL"/>
    <n v="3170"/>
    <n v="3.33"/>
    <n v="1.7"/>
    <n v="8.52"/>
    <n v="-2.77"/>
    <n v="1.9588235294117649"/>
    <n v="0.39084507042253525"/>
    <n v="-21.7"/>
    <n v="-0.11"/>
    <n v="5.0999999999999996"/>
    <n v="-1.2021660649819494"/>
    <s v="NO"/>
    <n v="-1.5147842983401096"/>
    <n v="-1.5953572530211437"/>
    <n v="-2.9101680573519992"/>
    <n v="-1.7799751097899599"/>
    <n v="5.4811016332646512"/>
    <n v="-1.4147324265385681"/>
    <x v="0"/>
    <x v="0"/>
    <x v="0"/>
    <x v="1"/>
    <x v="1"/>
    <x v="0"/>
  </r>
  <r>
    <x v="1"/>
    <s v="OSIS"/>
    <n v="3679"/>
    <n v="227.78"/>
    <n v="1.42"/>
    <n v="52.38"/>
    <n v="8.23"/>
    <n v="160.40845070422537"/>
    <n v="4.3486063382970599"/>
    <n v="16.73"/>
    <n v="6.54"/>
    <n v="2.37"/>
    <n v="27.676792223572296"/>
    <s v="NO"/>
    <n v="9.2772002626716983"/>
    <n v="1.1730928220770831"/>
    <n v="0.76151135257542946"/>
    <n v="0.70012354318405112"/>
    <n v="0.72145975754422609"/>
    <n v="0.12569710930921199"/>
    <x v="1"/>
    <x v="0"/>
    <x v="0"/>
    <x v="0"/>
    <x v="0"/>
    <x v="0"/>
  </r>
  <r>
    <x v="1"/>
    <s v="CGNX"/>
    <n v="5076"/>
    <n v="31.14"/>
    <n v="0.95"/>
    <n v="8.61"/>
    <n v="0.69"/>
    <n v="32.778947368421058"/>
    <n v="3.6167247386759587"/>
    <n v="8.02"/>
    <n v="4.0199999999999996"/>
    <n v="1.34"/>
    <n v="45.130434782608702"/>
    <s v="NO"/>
    <n v="0.58437053445794673"/>
    <n v="0.66114237021918554"/>
    <n v="-7.0659546734170006E-2"/>
    <n v="-0.23970331478504789"/>
    <n v="-1.0743025618667772"/>
    <n v="1.0566900570958857"/>
    <x v="0"/>
    <x v="0"/>
    <x v="0"/>
    <x v="0"/>
    <x v="0"/>
    <x v="0"/>
  </r>
  <r>
    <x v="1"/>
    <s v="SHMXY"/>
    <n v="6862"/>
    <n v="11.82"/>
    <n v="0.84"/>
    <n v="11.5"/>
    <n v="1.22"/>
    <n v="14.071428571428573"/>
    <n v="1.0278260869565217"/>
    <n v="10.86"/>
    <n v="6.66"/>
    <n v="1.35"/>
    <n v="9.6885245901639347"/>
    <s v="YES"/>
    <n v="-0.68979626310251307"/>
    <n v="-1.1497896647550878"/>
    <n v="0.2006797591256764"/>
    <n v="0.74487720308734162"/>
    <n v="-1.0568679762414277"/>
    <n v="-0.8338132194348552"/>
    <x v="0"/>
    <x v="0"/>
    <x v="0"/>
    <x v="0"/>
    <x v="0"/>
    <x v="0"/>
  </r>
  <r>
    <x v="1"/>
    <s v="IBIDY"/>
    <n v="6027"/>
    <n v="43.17"/>
    <n v="0.5"/>
    <n v="23.19"/>
    <n v="1.25"/>
    <n v="86.34"/>
    <n v="1.8615782664941785"/>
    <n v="6.82"/>
    <n v="2.59"/>
    <n v="2.21"/>
    <n v="34.536000000000001"/>
    <s v="NO"/>
    <n v="4.2324072220660174"/>
    <n v="-0.56658084344739623"/>
    <n v="-0.18530995766086561"/>
    <n v="-0.77301776196592531"/>
    <n v="0.44250638753863314"/>
    <n v="0.49157340393697713"/>
    <x v="1"/>
    <x v="0"/>
    <x v="0"/>
    <x v="0"/>
    <x v="0"/>
    <x v="0"/>
  </r>
  <r>
    <x v="1"/>
    <s v="INGM"/>
    <n v="4492"/>
    <n v="20.010000000000002"/>
    <n v="0.43"/>
    <n v="16.45"/>
    <n v="1.25"/>
    <n v="46.534883720930239"/>
    <n v="1.2164133738601826"/>
    <n v="7.73"/>
    <n v="2.99"/>
    <n v="4.82"/>
    <n v="16.008000000000003"/>
    <s v="NO"/>
    <n v="1.5212856625368196"/>
    <n v="-1.0178730449152569"/>
    <n v="-9.8366729374788034E-2"/>
    <n v="-0.62383889562162376"/>
    <n v="4.9929332357548653"/>
    <n v="-0.49672673331206996"/>
    <x v="0"/>
    <x v="0"/>
    <x v="0"/>
    <x v="0"/>
    <x v="1"/>
    <x v="0"/>
  </r>
  <r>
    <x v="1"/>
    <s v="MIR"/>
    <n v="4400"/>
    <n v="20.48"/>
    <n v="0.4"/>
    <n v="7.28"/>
    <n v="-0.05"/>
    <n v="51.199999999999996"/>
    <n v="2.813186813186813"/>
    <n v="-0.63"/>
    <n v="0.99"/>
    <n v="1.75"/>
    <n v="-409.59999999999997"/>
    <s v="NO"/>
    <n v="1.8390261568296862"/>
    <n v="9.9068389602519166E-2"/>
    <n v="-0.89709792549743461"/>
    <n v="-1.3697332273431309"/>
    <n v="-0.35948455122744588"/>
    <n v="-23.199039169316627"/>
    <x v="0"/>
    <x v="0"/>
    <x v="0"/>
    <x v="0"/>
    <x v="0"/>
    <x v="1"/>
  </r>
  <r>
    <x v="1"/>
    <s v="TTMI"/>
    <n v="3035"/>
    <n v="35.700000000000003"/>
    <n v="-0.17"/>
    <n v="15.62"/>
    <n v="0.75"/>
    <n v="-210"/>
    <n v="2.2855313700384126"/>
    <n v="5.0199999999999996"/>
    <n v="3.51"/>
    <n v="2.1800000000000002"/>
    <n v="47.6"/>
    <s v="NO"/>
    <n v="-15.951273622331659"/>
    <n v="-0.27002606868821"/>
    <n v="-0.35728557405090916"/>
    <n v="-0.42990636937403209"/>
    <n v="0.39020263066258487"/>
    <n v="1.1884188806760505"/>
    <x v="1"/>
    <x v="0"/>
    <x v="0"/>
    <x v="0"/>
    <x v="0"/>
    <x v="0"/>
  </r>
  <r>
    <x v="1"/>
    <s v="PAR"/>
    <n v="2655"/>
    <n v="67.55"/>
    <n v="-0.7"/>
    <n v="21.04"/>
    <n v="-2.56"/>
    <n v="-96.5"/>
    <n v="3.210551330798479"/>
    <n v="-13.65"/>
    <n v="-3.62"/>
    <n v="1.62"/>
    <n v="-26.38671875"/>
    <s v="NO"/>
    <n v="-8.2208026233469234"/>
    <n v="0.37702447491591556"/>
    <n v="-2.1410548840520827"/>
    <n v="-3.0890196619612045"/>
    <n v="-0.58613416435698984"/>
    <n v="-2.7580990540838619"/>
    <x v="1"/>
    <x v="0"/>
    <x v="1"/>
    <x v="1"/>
    <x v="0"/>
    <x v="1"/>
  </r>
  <r>
    <x v="2"/>
    <s v="WIX"/>
    <n v="8292"/>
    <n v="153.96"/>
    <n v="9.2799999999999994"/>
    <n v="-3.03"/>
    <n v="2.5099999999999998"/>
    <n v="16.590517241379313"/>
    <n v="-50.811881188118818"/>
    <n v="-81.63"/>
    <n v="4.57"/>
    <n v="-10.71"/>
    <n v="61.338645418326699"/>
    <s v="NO"/>
    <n v="-0.40389144081384359"/>
    <n v="-20.315354781842615"/>
    <n v="-1.8488031165572525"/>
    <n v="0.10591872426392052"/>
    <n v="-5.3823007667561713"/>
    <n v="2.0044039281604555"/>
    <x v="0"/>
    <x v="1"/>
    <x v="0"/>
    <x v="1"/>
    <x v="1"/>
    <x v="0"/>
  </r>
  <r>
    <x v="2"/>
    <s v="EPAM"/>
    <n v="9885"/>
    <n v="176.69"/>
    <n v="7.34"/>
    <n v="64.33"/>
    <n v="7.15"/>
    <n v="24.072207084468666"/>
    <n v="2.7466189958028915"/>
    <n v="11.57"/>
    <n v="8.14"/>
    <n v="1.3"/>
    <n v="24.711888111888111"/>
    <s v="NO"/>
    <n v="0.2474482559727022"/>
    <n v="-5.3967779653838005E-2"/>
    <n v="0.64384492756179368"/>
    <n v="1.7036504663295406"/>
    <n v="-0.84712077082013626"/>
    <n v="-0.26405385457079578"/>
    <x v="0"/>
    <x v="0"/>
    <x v="1"/>
    <x v="0"/>
    <x v="0"/>
    <x v="0"/>
  </r>
  <r>
    <x v="2"/>
    <s v="ASGN"/>
    <n v="2313"/>
    <n v="54.27"/>
    <n v="6.94"/>
    <n v="40.85"/>
    <n v="3.52"/>
    <n v="7.8198847262247835"/>
    <n v="1.3285189718482253"/>
    <n v="8.65"/>
    <n v="4.87"/>
    <n v="2.06"/>
    <n v="15.417613636363637"/>
    <s v="NO"/>
    <n v="-1.1674436920908211"/>
    <n v="-0.59044048323010856"/>
    <n v="0.56574908755291375"/>
    <n v="0.24018189586607339"/>
    <n v="-0.5601318618350084"/>
    <n v="-0.83968955970425652"/>
    <x v="0"/>
    <x v="0"/>
    <x v="0"/>
    <x v="0"/>
    <x v="0"/>
    <x v="0"/>
  </r>
  <r>
    <x v="2"/>
    <s v="DXC"/>
    <n v="2755"/>
    <n v="15.6"/>
    <n v="4.55"/>
    <n v="17.82"/>
    <n v="2.1"/>
    <n v="3.4285714285714288"/>
    <n v="0.87542087542087543"/>
    <n v="12.08"/>
    <n v="4.09"/>
    <n v="4.09"/>
    <n v="7.4285714285714279"/>
    <s v="NO"/>
    <n v="-1.5497419070362306"/>
    <n v="-0.76184923907920432"/>
    <n v="0.65748495441265975"/>
    <n v="-0.10890235029952439"/>
    <n v="0.2064306187436884"/>
    <n v="-1.3344864324170069"/>
    <x v="0"/>
    <x v="0"/>
    <x v="0"/>
    <x v="0"/>
    <x v="0"/>
    <x v="0"/>
  </r>
  <r>
    <x v="2"/>
    <s v="GLOB"/>
    <n v="4321"/>
    <n v="100.22"/>
    <n v="3.08"/>
    <n v="46.55"/>
    <n v="3.38"/>
    <n v="32.538961038961041"/>
    <n v="2.152953813104189"/>
    <n v="7.91"/>
    <n v="5.35"/>
    <n v="1.58"/>
    <n v="29.650887573964496"/>
    <s v="NO"/>
    <n v="0.98454549859352147"/>
    <n v="-0.27855360590134881"/>
    <n v="0.54595767604381407"/>
    <n v="0.45500297042951787"/>
    <n v="-0.74138801487824713"/>
    <n v="4.1840322053000333E-2"/>
    <x v="0"/>
    <x v="0"/>
    <x v="0"/>
    <x v="0"/>
    <x v="0"/>
    <x v="0"/>
  </r>
  <r>
    <x v="2"/>
    <s v="KD"/>
    <n v="9084"/>
    <n v="40.82"/>
    <n v="1.46"/>
    <n v="4.72"/>
    <n v="1.05"/>
    <n v="27.958904109589042"/>
    <n v="8.648305084745763"/>
    <n v="21.67"/>
    <n v="2.48"/>
    <n v="9.07"/>
    <n v="38.876190476190473"/>
    <s v="NO"/>
    <n v="0.58581567228325848"/>
    <n v="2.1786628093820046"/>
    <n v="0.91397094951031699"/>
    <n v="-0.82944803789774513"/>
    <n v="2.0869632065672903"/>
    <n v="0.61320431126776331"/>
    <x v="0"/>
    <x v="0"/>
    <x v="0"/>
    <x v="0"/>
    <x v="0"/>
    <x v="0"/>
  </r>
  <r>
    <x v="2"/>
    <s v="DOCN"/>
    <n v="2576"/>
    <n v="28.96"/>
    <n v="0.8"/>
    <n v="-2.31"/>
    <n v="1.1399999999999999"/>
    <n v="36.199999999999996"/>
    <n v="-12.536796536796537"/>
    <n v="-43.7"/>
    <n v="4.8899999999999997"/>
    <n v="-7.79"/>
    <n v="25.403508771929829"/>
    <s v="NO"/>
    <n v="1.3032676130914138"/>
    <n v="-5.8357427688313948"/>
    <n v="-0.83435955096245207"/>
    <n v="0.24913277397288339"/>
    <n v="-4.2796591690764689"/>
    <n v="-0.22121871478915964"/>
    <x v="0"/>
    <x v="1"/>
    <x v="0"/>
    <x v="1"/>
    <x v="1"/>
    <x v="0"/>
  </r>
  <r>
    <x v="2"/>
    <s v="GDS"/>
    <n v="4395"/>
    <n v="26.07"/>
    <n v="-0.4"/>
    <n v="16.46"/>
    <n v="0.12"/>
    <n v="-65.174999999999997"/>
    <n v="1.5838396111786148"/>
    <n v="1.2"/>
    <n v="1.07"/>
    <n v="3.16"/>
    <n v="217.25"/>
    <s v="NO"/>
    <n v="-7.5222200971116377"/>
    <n v="-0.49385170151750446"/>
    <n v="0.36649771492751781"/>
    <n v="-1.4604849444278638"/>
    <n v="-0.14475317777758645"/>
    <n v="11.660686704107857"/>
    <x v="1"/>
    <x v="0"/>
    <x v="1"/>
    <x v="0"/>
    <x v="0"/>
    <x v="1"/>
  </r>
  <r>
    <x v="3"/>
    <s v="CRUS"/>
    <n v="5071"/>
    <n v="102.82"/>
    <n v="7.82"/>
    <n v="37.28"/>
    <n v="6"/>
    <n v="13.148337595907927"/>
    <n v="2.758047210300429"/>
    <n v="17.600000000000001"/>
    <n v="11.25"/>
    <n v="1.19"/>
    <n v="17.136666666666667"/>
    <s v="YES"/>
    <n v="-0.99111623837016161"/>
    <n v="-0.69671873418868968"/>
    <n v="0.68191609373984252"/>
    <n v="1.1156787065959528"/>
    <n v="-0.77169892035591403"/>
    <n v="7.3919701615813016E-2"/>
    <x v="0"/>
    <x v="0"/>
    <x v="0"/>
    <x v="0"/>
    <x v="0"/>
    <x v="0"/>
  </r>
  <r>
    <x v="3"/>
    <s v="NVMI"/>
    <n v="6280"/>
    <n v="220.89"/>
    <n v="7.58"/>
    <n v="33.56"/>
    <n v="6.63"/>
    <n v="29.141160949868073"/>
    <n v="6.5819427890345645"/>
    <n v="23.87"/>
    <n v="10.119999999999999"/>
    <n v="1.49"/>
    <n v="33.316742081447963"/>
    <s v="NO"/>
    <n v="-0.29548380184487572"/>
    <n v="0.95839209779772916"/>
    <n v="0.95001620245909724"/>
    <n v="0.94976642425671354"/>
    <n v="0.51787752480118299"/>
    <n v="0.47599756242371993"/>
    <x v="0"/>
    <x v="0"/>
    <x v="0"/>
    <x v="0"/>
    <x v="0"/>
    <x v="0"/>
  </r>
  <r>
    <x v="3"/>
    <s v="MKSI"/>
    <n v="5513"/>
    <n v="91.59"/>
    <n v="7.18"/>
    <n v="35.19"/>
    <n v="3.36"/>
    <n v="12.756267409470754"/>
    <n v="2.6027280477408357"/>
    <n v="9.5"/>
    <n v="3.82"/>
    <n v="3.63"/>
    <n v="27.258928571428573"/>
    <s v="NO"/>
    <n v="-1.0081699338336758"/>
    <n v="-0.76394610038485111"/>
    <n v="0.33556667099247972"/>
    <n v="2.4768743958301059E-2"/>
    <n v="9.7168561669218061"/>
    <n v="0.32545977846155805"/>
    <x v="0"/>
    <x v="0"/>
    <x v="0"/>
    <x v="0"/>
    <x v="1"/>
    <x v="0"/>
  </r>
  <r>
    <x v="3"/>
    <s v="QRVO"/>
    <n v="7072"/>
    <n v="81.09"/>
    <n v="5.12"/>
    <n v="36.51"/>
    <n v="0.57999999999999996"/>
    <n v="15.837890625"/>
    <n v="2.2210353327855383"/>
    <n v="1.6"/>
    <n v="3.76"/>
    <n v="1.75"/>
    <n v="139.81034482758622"/>
    <s v="NO"/>
    <n v="-0.87412999489189547"/>
    <n v="-0.92915556649217357"/>
    <n v="-2.2309141561826203E-3"/>
    <n v="1.5959242241173316E-2"/>
    <n v="1.6355104439373336"/>
    <n v="3.1223832487832106"/>
    <x v="0"/>
    <x v="0"/>
    <x v="0"/>
    <x v="0"/>
    <x v="0"/>
    <x v="1"/>
  </r>
  <r>
    <x v="3"/>
    <s v="ONTO"/>
    <n v="4494"/>
    <n v="99.46"/>
    <n v="5.01"/>
    <n v="39.31"/>
    <n v="4.42"/>
    <n v="19.852295409181636"/>
    <n v="2.5301450012719409"/>
    <n v="11.83"/>
    <n v="6.46"/>
    <n v="1.1000000000000001"/>
    <n v="22.502262443438912"/>
    <s v="YES"/>
    <n v="-0.69951728771611443"/>
    <n v="-0.79536248819034927"/>
    <n v="0.43519557901733841"/>
    <n v="0.41238681951192158"/>
    <n v="-1.1585718539030425"/>
    <n v="0.20725574712729716"/>
    <x v="0"/>
    <x v="0"/>
    <x v="0"/>
    <x v="0"/>
    <x v="0"/>
    <x v="0"/>
  </r>
  <r>
    <x v="3"/>
    <s v="LSRCY"/>
    <n v="9028"/>
    <n v="20.67"/>
    <n v="3.71"/>
    <n v="13.11"/>
    <n v="5.19"/>
    <n v="5.5714285714285721"/>
    <n v="1.576659038901602"/>
    <n v="45.27"/>
    <n v="22.95"/>
    <n v="1.69"/>
    <n v="3.9826589595375723"/>
    <s v="NO"/>
    <n v="-1.3206855438876801"/>
    <n v="-1.2080633352643599"/>
    <n v="1.8650628255200308"/>
    <n v="2.8335315414358617"/>
    <n v="1.377595154905914"/>
    <n v="-0.25295981806191881"/>
    <x v="0"/>
    <x v="0"/>
    <x v="1"/>
    <x v="0"/>
    <x v="0"/>
    <x v="0"/>
  </r>
  <r>
    <x v="3"/>
    <s v="ENPH"/>
    <n v="5431"/>
    <n v="43.26"/>
    <n v="3.52"/>
    <n v="6.18"/>
    <n v="1.08"/>
    <n v="12.289772727272727"/>
    <n v="7"/>
    <n v="17.13"/>
    <n v="3.01"/>
    <n v="3.83"/>
    <n v="40.05555555555555"/>
    <s v="NO"/>
    <n v="-1.028460837148327"/>
    <n v="1.1393413428835433"/>
    <n v="0.66181927538289664"/>
    <n v="-9.4159529222923422E-2"/>
    <n v="10.576573797026537"/>
    <n v="0.64345832120222302"/>
    <x v="0"/>
    <x v="0"/>
    <x v="0"/>
    <x v="0"/>
    <x v="1"/>
    <x v="0"/>
  </r>
  <r>
    <x v="3"/>
    <s v="OLED"/>
    <n v="6813"/>
    <n v="155.88"/>
    <n v="3.44"/>
    <n v="34.880000000000003"/>
    <n v="4.8099999999999996"/>
    <n v="45.313953488372093"/>
    <n v="4.4690366972477058"/>
    <n v="14.61"/>
    <n v="8.65"/>
    <n v="1.1200000000000001"/>
    <n v="32.407484407484411"/>
    <s v="NO"/>
    <n v="0.40797667101726626"/>
    <n v="4.3855158312524865E-2"/>
    <n v="0.55406612163927271"/>
    <n v="0.73393363218708407"/>
    <n v="-1.0726000908925692"/>
    <n v="0.45340234138189145"/>
    <x v="0"/>
    <x v="0"/>
    <x v="0"/>
    <x v="0"/>
    <x v="0"/>
    <x v="0"/>
  </r>
  <r>
    <x v="3"/>
    <s v="DIOD"/>
    <n v="2060"/>
    <n v="50.9"/>
    <n v="3"/>
    <n v="38.82"/>
    <n v="0.55000000000000004"/>
    <n v="16.966666666666665"/>
    <n v="1.3111798042246265"/>
    <n v="1.77"/>
    <n v="1.18"/>
    <n v="1.31"/>
    <n v="92.545454545454533"/>
    <s v="NO"/>
    <n v="-0.8250321457643669"/>
    <n v="-1.3229716919216266"/>
    <n v="5.0381478027126426E-3"/>
    <n v="-0.36284933159531946"/>
    <n v="-0.25586834229307481"/>
    <n v="1.9478420004402826"/>
    <x v="0"/>
    <x v="0"/>
    <x v="0"/>
    <x v="0"/>
    <x v="0"/>
    <x v="0"/>
  </r>
  <r>
    <x v="3"/>
    <s v="SLAB"/>
    <n v="3926"/>
    <n v="134.97999999999999"/>
    <n v="2.83"/>
    <n v="32.9"/>
    <n v="-5.0999999999999996"/>
    <n v="47.696113074204945"/>
    <n v="4.1027355623100306"/>
    <n v="-14.77"/>
    <n v="-6.72"/>
    <n v="1.1499999999999999"/>
    <n v="-26.466666666666665"/>
    <s v="NO"/>
    <n v="0.51159236414468645"/>
    <n v="-0.11469231342700542"/>
    <n v="-0.70219882160980318"/>
    <n v="-1.5227670576838048"/>
    <n v="-0.94364244637686034"/>
    <n v="-1.0096311806467309"/>
    <x v="0"/>
    <x v="0"/>
    <x v="0"/>
    <x v="0"/>
    <x v="0"/>
    <x v="0"/>
  </r>
  <r>
    <x v="3"/>
    <s v="SYNA"/>
    <n v="2265"/>
    <n v="64.36"/>
    <n v="2.76"/>
    <n v="35.700000000000003"/>
    <n v="4.13"/>
    <n v="23.318840579710148"/>
    <n v="1.8028011204481791"/>
    <n v="12.6"/>
    <n v="-1.33"/>
    <n v="1.84"/>
    <n v="15.583535108958838"/>
    <s v="NO"/>
    <n v="-0.54873457662573089"/>
    <n v="-1.1101814237348615"/>
    <n v="0.46812015377233457"/>
    <n v="-0.73138015342849649"/>
    <n v="2.0223833774844628"/>
    <n v="3.5324095707454692E-2"/>
    <x v="0"/>
    <x v="0"/>
    <x v="0"/>
    <x v="0"/>
    <x v="0"/>
    <x v="0"/>
  </r>
  <r>
    <x v="3"/>
    <s v="MTSI"/>
    <n v="9047"/>
    <n v="126.3"/>
    <n v="2.62"/>
    <n v="16.16"/>
    <n v="-1.2"/>
    <n v="48.206106870229007"/>
    <n v="7.8155940594059405"/>
    <n v="-7.7"/>
    <n v="3.47"/>
    <n v="1.6"/>
    <n v="-105.25"/>
    <s v="NO"/>
    <n v="0.53377532828360752"/>
    <n v="1.4923579288315878"/>
    <n v="-0.39989136249574714"/>
    <n v="-2.6620016058277362E-2"/>
    <n v="0.99072222135878563"/>
    <n v="-2.9674115569386985"/>
    <x v="0"/>
    <x v="0"/>
    <x v="0"/>
    <x v="0"/>
    <x v="0"/>
    <x v="1"/>
  </r>
  <r>
    <x v="3"/>
    <s v="CAMT"/>
    <n v="3034"/>
    <n v="74.44"/>
    <n v="2.4700000000000002"/>
    <n v="12.89"/>
    <n v="2.61"/>
    <n v="30.137651821862345"/>
    <n v="5.7750193948797515"/>
    <n v="24.82"/>
    <n v="8.5399999999999991"/>
    <n v="1.59"/>
    <n v="28.521072796934867"/>
    <s v="NO"/>
    <n v="-0.25213989952578125"/>
    <n v="0.60912846788161157"/>
    <n v="0.99063743105292368"/>
    <n v="0.71778287903901639"/>
    <n v="0.94773633985354899"/>
    <n v="0.3568242954500892"/>
    <x v="0"/>
    <x v="0"/>
    <x v="0"/>
    <x v="0"/>
    <x v="0"/>
    <x v="0"/>
  </r>
  <r>
    <x v="3"/>
    <s v="SIMO"/>
    <n v="2080"/>
    <n v="67.290000000000006"/>
    <n v="2.21"/>
    <n v="22.96"/>
    <n v="2.8"/>
    <n v="30.447963800904979"/>
    <n v="2.9307491289198606"/>
    <n v="12.34"/>
    <n v="5.34"/>
    <n v="1.28"/>
    <n v="24.032142857142862"/>
    <s v="YES"/>
    <n v="-0.23864240297455727"/>
    <n v="-0.62196752555174173"/>
    <n v="0.45700276489402419"/>
    <n v="0.24794278745887044"/>
    <n v="-0.3848259868087846"/>
    <n v="0.24527355781512913"/>
    <x v="0"/>
    <x v="0"/>
    <x v="0"/>
    <x v="0"/>
    <x v="0"/>
    <x v="0"/>
  </r>
  <r>
    <x v="3"/>
    <s v="RMBS"/>
    <n v="5743"/>
    <n v="59.03"/>
    <n v="2.1800000000000002"/>
    <n v="10.8"/>
    <n v="1.91"/>
    <n v="27.077981651376145"/>
    <n v="5.4657407407407401"/>
    <n v="19.260000000000002"/>
    <n v="10.210000000000001"/>
    <n v="1.19"/>
    <n v="30.905759162303667"/>
    <s v="NO"/>
    <n v="-0.38522495702640169"/>
    <n v="0.47526224689627922"/>
    <n v="0.75289634580905507"/>
    <n v="0.9629806768324054"/>
    <n v="-0.77169892035591403"/>
    <n v="0.4160841918291463"/>
    <x v="0"/>
    <x v="0"/>
    <x v="0"/>
    <x v="0"/>
    <x v="0"/>
    <x v="0"/>
  </r>
  <r>
    <x v="3"/>
    <s v="PI"/>
    <n v="3307"/>
    <n v="117.01"/>
    <n v="1.57"/>
    <n v="5.55"/>
    <n v="-0.08"/>
    <n v="74.528662420382162"/>
    <n v="21.082882882882885"/>
    <n v="-0.78"/>
    <n v="-0.54"/>
    <n v="2.99"/>
    <n v="-1462.625"/>
    <s v="NO"/>
    <n v="1.6787153459191486"/>
    <n v="7.2348875012783092"/>
    <n v="-0.10399778158071636"/>
    <n v="-0.61538838081964797"/>
    <n v="6.9657597505866677"/>
    <n v="-36.698430870701884"/>
    <x v="0"/>
    <x v="1"/>
    <x v="0"/>
    <x v="0"/>
    <x v="1"/>
    <x v="1"/>
  </r>
  <r>
    <x v="3"/>
    <s v="POWI"/>
    <n v="2799"/>
    <n v="56.85"/>
    <n v="1.28"/>
    <n v="12.98"/>
    <n v="0.64"/>
    <n v="44.4140625"/>
    <n v="4.379815100154083"/>
    <n v="5.03"/>
    <n v="1.87"/>
    <n v="1.1100000000000001"/>
    <n v="88.828125"/>
    <s v="NO"/>
    <n v="0.36883452913314313"/>
    <n v="5.2370452505389187E-3"/>
    <n v="0.14443310066152776"/>
    <n v="-0.26154006184835038"/>
    <n v="-1.1155859723978059"/>
    <n v="1.8554656750376861"/>
    <x v="0"/>
    <x v="0"/>
    <x v="0"/>
    <x v="0"/>
    <x v="0"/>
    <x v="0"/>
  </r>
  <r>
    <x v="3"/>
    <s v="AMKR"/>
    <n v="4452"/>
    <n v="19.87"/>
    <n v="0.91"/>
    <n v="16.82"/>
    <n v="1.28"/>
    <n v="21.835164835164836"/>
    <n v="1.1813317479191439"/>
    <n v="7.73"/>
    <n v="3.65"/>
    <n v="1.67"/>
    <n v="15.5234375"/>
    <s v="NO"/>
    <n v="-0.61326933389458771"/>
    <n v="-1.3791743052196426"/>
    <n v="0.25988290824398197"/>
    <n v="-1.9151090689418775E-4"/>
    <n v="1.291623391895441"/>
    <n v="3.3830659031148187E-2"/>
    <x v="0"/>
    <x v="0"/>
    <x v="0"/>
    <x v="0"/>
    <x v="0"/>
    <x v="0"/>
  </r>
  <r>
    <x v="3"/>
    <s v="FORM"/>
    <n v="2301"/>
    <n v="34.17"/>
    <n v="0.83"/>
    <n v="12.53"/>
    <n v="0.69"/>
    <n v="41.168674698795186"/>
    <n v="2.727055067837191"/>
    <n v="5.74"/>
    <n v="2.5499999999999998"/>
    <n v="1.2"/>
    <n v="49.521739130434788"/>
    <s v="NO"/>
    <n v="0.22767139779257731"/>
    <n v="-0.710133177559644"/>
    <n v="0.17479212413691386"/>
    <n v="-0.16169904238756941"/>
    <n v="-0.7287130388506774"/>
    <n v="0.87869473044202739"/>
    <x v="0"/>
    <x v="0"/>
    <x v="0"/>
    <x v="0"/>
    <x v="0"/>
    <x v="0"/>
  </r>
  <r>
    <x v="3"/>
    <s v="LSCC"/>
    <n v="6180"/>
    <n v="50.08"/>
    <n v="0.74"/>
    <n v="5.15"/>
    <n v="0.37"/>
    <n v="67.675675675675677"/>
    <n v="9.7242718446601923"/>
    <n v="7.39"/>
    <n v="3.78"/>
    <n v="1.1599999999999999"/>
    <n v="135.35135135135135"/>
    <s v="NO"/>
    <n v="1.3806341527997852"/>
    <n v="2.3184979768796419"/>
    <n v="0.24534478432619142"/>
    <n v="1.8895742813549232E-2"/>
    <n v="-0.90065656487162382"/>
    <n v="3.0115764377937477"/>
    <x v="0"/>
    <x v="0"/>
    <x v="0"/>
    <x v="0"/>
    <x v="0"/>
    <x v="1"/>
  </r>
  <r>
    <x v="3"/>
    <s v="SMTC"/>
    <n v="3234"/>
    <n v="41.35"/>
    <n v="0.61"/>
    <n v="6.58"/>
    <n v="-1.55"/>
    <n v="67.786885245901644"/>
    <n v="6.2841945288753802"/>
    <n v="-93.39"/>
    <n v="4.17"/>
    <n v="2.52"/>
    <n v="-26.677419354838708"/>
    <s v="NO"/>
    <n v="1.3854713840121256"/>
    <n v="0.82951661978122038"/>
    <n v="-4.0639261816588963"/>
    <n v="7.6157503974879553E-2"/>
    <n v="4.9454233198405486"/>
    <n v="-1.0148684238515628"/>
    <x v="0"/>
    <x v="0"/>
    <x v="0"/>
    <x v="1"/>
    <x v="1"/>
    <x v="0"/>
  </r>
  <r>
    <x v="3"/>
    <s v="AMBA"/>
    <n v="2233"/>
    <n v="54.37"/>
    <n v="0.56999999999999995"/>
    <n v="13.57"/>
    <n v="-2.4900000000000002"/>
    <n v="95.385964912280699"/>
    <n v="4.0066322770817981"/>
    <n v="-18.350000000000001"/>
    <n v="-10.54"/>
    <n v="1.23"/>
    <n v="-21.835341365461844"/>
    <s v="NO"/>
    <n v="2.585935780401817"/>
    <n v="-0.15628905295496703"/>
    <n v="-0.85527671462653887"/>
    <n v="-2.0836386670076044"/>
    <n v="-0.59975539433496761"/>
    <n v="-0.89454189199528245"/>
    <x v="0"/>
    <x v="0"/>
    <x v="0"/>
    <x v="0"/>
    <x v="0"/>
    <x v="0"/>
  </r>
  <r>
    <x v="3"/>
    <s v="ALGM"/>
    <n v="4687"/>
    <n v="29.8"/>
    <n v="0.11"/>
    <n v="5.04"/>
    <n v="-0.39"/>
    <n v="270.90909090909093"/>
    <n v="5.912698412698413"/>
    <n v="-7.05"/>
    <n v="-0.56000000000000005"/>
    <n v="1.53"/>
    <n v="-76.410256410256409"/>
    <s v="NO"/>
    <n v="10.220583966112034"/>
    <n v="0.66872058514448762"/>
    <n v="-0.3720978902999712"/>
    <n v="-0.61832488139202391"/>
    <n v="0.68982105082212941"/>
    <n v="-2.2507386050796918"/>
    <x v="1"/>
    <x v="0"/>
    <x v="0"/>
    <x v="0"/>
    <x v="0"/>
    <x v="0"/>
  </r>
  <r>
    <x v="3"/>
    <s v="RGTI"/>
    <n v="3516"/>
    <n v="11.32"/>
    <n v="-0.27"/>
    <n v="0.72"/>
    <n v="-0.65"/>
    <n v="-41.925925925925924"/>
    <n v="15.722222222222223"/>
    <n v="-85.28"/>
    <n v="-21.32"/>
    <n v="1.3"/>
    <n v="-17.415384615384614"/>
    <s v="NO"/>
    <n v="-3.3866559923962858"/>
    <n v="4.9146129688340707"/>
    <n v="-3.7171491670315984"/>
    <n v="-3.6664124755182215"/>
    <n v="-0.29885422379831139"/>
    <n v="-0.78470515085679593"/>
    <x v="1"/>
    <x v="1"/>
    <x v="1"/>
    <x v="1"/>
    <x v="0"/>
    <x v="0"/>
  </r>
  <r>
    <x v="3"/>
    <s v="SITM"/>
    <n v="4651"/>
    <n v="213.03"/>
    <n v="-0.57999999999999996"/>
    <n v="29.19"/>
    <n v="-3.81"/>
    <n v="-367.29310344827587"/>
    <n v="7.2980472764645423"/>
    <n v="-12.78"/>
    <n v="-6.94"/>
    <n v="1.26"/>
    <n v="-55.913385826771652"/>
    <s v="NO"/>
    <n v="-17.539001544889501"/>
    <n v="1.2683462452307506"/>
    <n v="-0.61710803750273513"/>
    <n v="-1.5550685639799402"/>
    <n v="-0.47079774981925782"/>
    <n v="-1.7413875874734821"/>
    <x v="1"/>
    <x v="0"/>
    <x v="0"/>
    <x v="0"/>
    <x v="0"/>
    <x v="0"/>
  </r>
  <r>
    <x v="4"/>
    <s v="SAIL"/>
    <n v="9807"/>
    <n v="19.18"/>
    <m/>
    <m/>
    <m/>
    <s v=""/>
    <s v=""/>
    <n v="29.12"/>
    <n v="-1.57"/>
    <n v="-1.33"/>
    <s v=""/>
    <s v="NO"/>
    <e v="#VALUE!"/>
    <e v="#VALUE!"/>
    <n v="0.16174015454943802"/>
    <n v="-0.17248963495714748"/>
    <n v="-4.1956433853823922"/>
    <e v="#VALUE!"/>
    <x v="1"/>
    <x v="1"/>
    <x v="0"/>
    <x v="0"/>
    <x v="1"/>
    <x v="1"/>
  </r>
  <r>
    <x v="4"/>
    <s v="QLYS"/>
    <n v="5033"/>
    <n v="141.77000000000001"/>
    <n v="6.98"/>
    <n v="13.68"/>
    <n v="4.8899999999999997"/>
    <n v="20.310888252148999"/>
    <n v="10.363304093567253"/>
    <n v="40.229999999999997"/>
    <n v="13.06"/>
    <n v="2"/>
    <n v="28.9918200408998"/>
    <s v="NO"/>
    <n v="-0.21072968986808077"/>
    <n v="0.70746921973611931"/>
    <n v="0.30889457853611901"/>
    <n v="1.8030257552284383"/>
    <n v="3.2615077348984542E-2"/>
    <n v="0.64996207531752426"/>
    <x v="0"/>
    <x v="0"/>
    <x v="0"/>
    <x v="0"/>
    <x v="0"/>
    <x v="0"/>
  </r>
  <r>
    <x v="4"/>
    <s v="RNG"/>
    <n v="2345"/>
    <n v="27.41"/>
    <n v="4.95"/>
    <n v="-5.98"/>
    <n v="-0.44"/>
    <n v="5.5373737373737368"/>
    <n v="-4.5836120401337785"/>
    <n v="12.07"/>
    <n v="1.35"/>
    <n v="-3.01"/>
    <n v="-62.295454545454547"/>
    <s v="NO"/>
    <n v="-0.79824514048141648"/>
    <n v="-2.1705747234546311"/>
    <n v="-6.4090892162795343E-2"/>
    <n v="0.22180325221591543"/>
    <n v="-6.3288188260396625"/>
    <n v="-0.9538971294875882"/>
    <x v="0"/>
    <x v="0"/>
    <x v="0"/>
    <x v="0"/>
    <x v="1"/>
    <x v="0"/>
  </r>
  <r>
    <x v="4"/>
    <s v="APPF"/>
    <n v="7608"/>
    <n v="217.95"/>
    <n v="4.91"/>
    <n v="12.99"/>
    <n v="5.36"/>
    <n v="44.389002036659875"/>
    <n v="16.778290993071593"/>
    <n v="49.12"/>
    <n v="16.940000000000001"/>
    <n v="1.22"/>
    <n v="40.662313432835816"/>
    <s v="NO"/>
    <n v="0.74681252907231699"/>
    <n v="1.9426814887163775"/>
    <n v="0.426644608170826"/>
    <n v="2.3269491806501796"/>
    <n v="-0.9577878058133199"/>
    <n v="0.85500520247943179"/>
    <x v="0"/>
    <x v="0"/>
    <x v="0"/>
    <x v="0"/>
    <x v="0"/>
    <x v="0"/>
  </r>
  <r>
    <x v="4"/>
    <s v="IDCC"/>
    <n v="5635"/>
    <n v="227.96"/>
    <n v="4.75"/>
    <n v="36.07"/>
    <n v="12.66"/>
    <n v="47.991578947368424"/>
    <n v="6.3199334627113943"/>
    <n v="50.29"/>
    <n v="15.78"/>
    <n v="1.99"/>
    <n v="18.006319115323855"/>
    <s v="NO"/>
    <n v="0.89008037471238532"/>
    <n v="-7.1085918334934425E-2"/>
    <n v="0.44214151870767721"/>
    <n v="2.1703122802663595"/>
    <n v="1.9917604487929348E-2"/>
    <n v="0.4569538290015171"/>
    <x v="0"/>
    <x v="0"/>
    <x v="0"/>
    <x v="0"/>
    <x v="0"/>
    <x v="0"/>
  </r>
  <r>
    <x v="4"/>
    <s v="PRGS"/>
    <n v="2649"/>
    <n v="64.28"/>
    <n v="4.72"/>
    <n v="10.039999999999999"/>
    <n v="1.27"/>
    <n v="13.618644067796611"/>
    <n v="6.4023904382470125"/>
    <n v="12.7"/>
    <n v="5.01"/>
    <n v="5.7"/>
    <n v="50.614173228346459"/>
    <s v="NO"/>
    <n v="-0.47686790996811229"/>
    <n v="-5.5208743612649297E-2"/>
    <n v="-5.5746401873721638E-2"/>
    <n v="0.71601967928900101"/>
    <n v="4.730680035939403"/>
    <n v="1.0298530332453815"/>
    <x v="0"/>
    <x v="0"/>
    <x v="0"/>
    <x v="0"/>
    <x v="1"/>
    <x v="0"/>
  </r>
  <r>
    <x v="4"/>
    <s v="CVLT"/>
    <n v="8082"/>
    <n v="190.99"/>
    <n v="4.6399999999999997"/>
    <n v="7.37"/>
    <n v="1.68"/>
    <n v="41.161637931034491"/>
    <n v="25.914518317503394"/>
    <n v="25.23"/>
    <n v="5.57"/>
    <n v="3.44"/>
    <n v="113.68452380952382"/>
    <s v="NO"/>
    <n v="0.61846620532427099"/>
    <n v="3.7018713764155704"/>
    <n v="0.11021623832007801"/>
    <n v="0.79163749326739674"/>
    <n v="1.8610511693409311"/>
    <n v="2.1379588759082275"/>
    <x v="0"/>
    <x v="1"/>
    <x v="0"/>
    <x v="0"/>
    <x v="0"/>
    <x v="0"/>
  </r>
  <r>
    <x v="4"/>
    <s v="PEGA"/>
    <n v="8400"/>
    <n v="102.04"/>
    <n v="4.21"/>
    <n v="7.14"/>
    <n v="2.14"/>
    <n v="24.237529691211403"/>
    <n v="14.291316526610645"/>
    <n v="39.29"/>
    <n v="12.16"/>
    <n v="2.16"/>
    <n v="47.682242990654203"/>
    <s v="NO"/>
    <n v="-5.4574395055833495E-2"/>
    <n v="1.4638120191854962"/>
    <n v="0.29644406921591382"/>
    <n v="1.6814971256203024"/>
    <n v="0.23577464312586768"/>
    <n v="0.97834088852557322"/>
    <x v="0"/>
    <x v="0"/>
    <x v="0"/>
    <x v="0"/>
    <x v="0"/>
    <x v="0"/>
  </r>
  <r>
    <x v="4"/>
    <s v="DLB"/>
    <n v="7134"/>
    <n v="75.5"/>
    <n v="4.08"/>
    <n v="26.79"/>
    <n v="2.64"/>
    <n v="18.504901960784313"/>
    <n v="2.8182157521463234"/>
    <n v="10.31"/>
    <n v="5.64"/>
    <n v="1.25"/>
    <n v="28.598484848484848"/>
    <s v="YES"/>
    <n v="-0.28255043697002868"/>
    <n v="-0.74534523427050381"/>
    <n v="-8.7402484081477494E-2"/>
    <n v="0.80108972001469603"/>
    <n v="-0.91969538723015432"/>
    <n v="0.64305142679847194"/>
    <x v="0"/>
    <x v="0"/>
    <x v="0"/>
    <x v="0"/>
    <x v="0"/>
    <x v="0"/>
  </r>
  <r>
    <x v="4"/>
    <s v="SPSC"/>
    <n v="5346"/>
    <n v="141.11000000000001"/>
    <n v="3.75"/>
    <n v="24.23"/>
    <n v="2.14"/>
    <n v="37.629333333333335"/>
    <n v="5.8237721832439133"/>
    <n v="10.130000000000001"/>
    <n v="6.38"/>
    <n v="1.2"/>
    <n v="65.939252336448604"/>
    <s v="NO"/>
    <n v="0.47799296008892606"/>
    <n v="-0.16662227864122417"/>
    <n v="-8.9786624164069989E-2"/>
    <n v="0.90101325991471892"/>
    <n v="-0.98318275153543022"/>
    <n v="1.2991049010798745"/>
    <x v="0"/>
    <x v="0"/>
    <x v="0"/>
    <x v="0"/>
    <x v="0"/>
    <x v="0"/>
  </r>
  <r>
    <x v="4"/>
    <s v="BLKB"/>
    <n v="3019"/>
    <n v="62.69"/>
    <n v="3.33"/>
    <n v="0.7"/>
    <n v="-5.71"/>
    <n v="18.825825825825824"/>
    <n v="89.557142857142864"/>
    <n v="-99.98"/>
    <n v="5.5"/>
    <n v="63.37"/>
    <n v="-10.978984238178633"/>
    <s v="NO"/>
    <n v="-0.26978788619080368"/>
    <n v="15.956323629083576"/>
    <n v="-1.5482180935766221"/>
    <n v="0.78218526652009723"/>
    <n v="77.957006025644645"/>
    <n v="-5.229946833082056E-2"/>
    <x v="0"/>
    <x v="1"/>
    <x v="0"/>
    <x v="1"/>
    <x v="1"/>
    <x v="0"/>
  </r>
  <r>
    <x v="4"/>
    <s v="ALRM"/>
    <n v="2855"/>
    <n v="59.11"/>
    <n v="3.32"/>
    <n v="15.29"/>
    <n v="2.36"/>
    <n v="17.804216867469879"/>
    <n v="3.8659254414650102"/>
    <n v="16.07"/>
    <n v="4.2"/>
    <n v="2.73"/>
    <n v="25.046610169491526"/>
    <s v="NO"/>
    <n v="-0.31041539205062002"/>
    <n v="-0.54360766522325765"/>
    <n v="-1.111000143851773E-2"/>
    <n v="0.60664391264167883"/>
    <n v="0.959530596206013"/>
    <n v="0.58064725355492997"/>
    <x v="0"/>
    <x v="0"/>
    <x v="0"/>
    <x v="0"/>
    <x v="0"/>
    <x v="0"/>
  </r>
  <r>
    <x v="4"/>
    <s v="KXSCF"/>
    <n v="4043"/>
    <n v="146.11349999999999"/>
    <n v="3.3"/>
    <n v="14.6"/>
    <n v="0.34"/>
    <n v="44.276818181818179"/>
    <n v="10.00777397260274"/>
    <n v="2.27"/>
    <n v="2.31"/>
    <n v="1.66"/>
    <n v="429.74558823529406"/>
    <s v="NO"/>
    <n v="0.7423511838749407"/>
    <n v="0.6390115324037674"/>
    <n v="-0.19389407443727552"/>
    <n v="0.35143379046459361"/>
    <n v="-0.39909899992689185"/>
    <n v="7.6909502403316266"/>
    <x v="0"/>
    <x v="0"/>
    <x v="0"/>
    <x v="0"/>
    <x v="0"/>
    <x v="1"/>
  </r>
  <r>
    <x v="4"/>
    <s v="YOU"/>
    <n v="2300"/>
    <n v="26.23"/>
    <n v="3.14"/>
    <n v="1.25"/>
    <n v="1.59"/>
    <n v="8.3535031847133752"/>
    <n v="20.984000000000002"/>
    <n v="117.27"/>
    <n v="7.91"/>
    <n v="9.52"/>
    <n v="16.49685534591195"/>
    <s v="NO"/>
    <n v="-0.68625286135348684"/>
    <n v="2.752495046639643"/>
    <n v="1.329306533885706"/>
    <n v="1.1076119302485499"/>
    <n v="9.5811146688624831"/>
    <n v="0.43043351308825184"/>
    <x v="0"/>
    <x v="0"/>
    <x v="0"/>
    <x v="1"/>
    <x v="1"/>
    <x v="0"/>
  </r>
  <r>
    <x v="4"/>
    <s v="BILL"/>
    <n v="4500"/>
    <n v="45.58"/>
    <n v="3.01"/>
    <n v="37.68"/>
    <n v="-0.02"/>
    <n v="15.142857142857144"/>
    <n v="1.2096602972399151"/>
    <n v="0.97"/>
    <n v="-0.53"/>
    <n v="2.4900000000000002"/>
    <n v="-2279"/>
    <s v="NO"/>
    <n v="-0.41625276448398779"/>
    <n v="-1.055074227386458"/>
    <n v="-0.21111286392266573"/>
    <n v="-3.2056551854412758E-2"/>
    <n v="0.65479124754068885"/>
    <n v="-39.899982503056741"/>
    <x v="0"/>
    <x v="0"/>
    <x v="0"/>
    <x v="0"/>
    <x v="0"/>
    <x v="1"/>
  </r>
  <r>
    <x v="4"/>
    <s v="DBX"/>
    <n v="7883"/>
    <n v="29.47"/>
    <n v="2.8"/>
    <n v="-3.85"/>
    <n v="1.48"/>
    <n v="10.525"/>
    <n v="-7.6545454545454543"/>
    <n v="-69.52"/>
    <n v="12.51"/>
    <n v="-2.75"/>
    <n v="19.912162162162161"/>
    <s v="NO"/>
    <n v="-0.5998964342039006"/>
    <n v="-2.761886083887156"/>
    <n v="-1.144768610711248"/>
    <n v="1.7287582593567996"/>
    <n v="-5.9986845316522279"/>
    <n v="0.49043827606641344"/>
    <x v="0"/>
    <x v="0"/>
    <x v="0"/>
    <x v="1"/>
    <x v="1"/>
    <x v="0"/>
  </r>
  <r>
    <x v="4"/>
    <s v="TDC"/>
    <n v="2099"/>
    <n v="22.58"/>
    <n v="2.74"/>
    <n v="1.65"/>
    <n v="1.41"/>
    <n v="8.2408759124087574"/>
    <n v="13.684848484848484"/>
    <n v="130.19"/>
    <n v="7.9"/>
    <n v="11.09"/>
    <n v="16.01418439716312"/>
    <s v="NO"/>
    <n v="-0.69073184044632352"/>
    <n v="1.3470359793175217"/>
    <n v="1.5004348109251227"/>
    <n v="1.106261612141793"/>
    <n v="11.574617908048147"/>
    <n v="0.42195329229569745"/>
    <x v="0"/>
    <x v="0"/>
    <x v="0"/>
    <x v="1"/>
    <x v="1"/>
    <x v="0"/>
  </r>
  <r>
    <x v="4"/>
    <s v="OTEX"/>
    <n v="7336"/>
    <n v="28.16"/>
    <n v="2.66"/>
    <n v="16.059999999999999"/>
    <n v="2.4500000000000002"/>
    <n v="10.586466165413533"/>
    <n v="1.7534246575342467"/>
    <n v="15.87"/>
    <n v="4.16"/>
    <n v="3.33"/>
    <n v="11.493877551020407"/>
    <s v="NO"/>
    <n v="-0.59745203806280034"/>
    <n v="-0.9503718453252169"/>
    <n v="-1.3759045974731626E-2"/>
    <n v="0.60124264021465057"/>
    <n v="1.7213789678693241"/>
    <n v="0.34253438339978787"/>
    <x v="0"/>
    <x v="0"/>
    <x v="0"/>
    <x v="0"/>
    <x v="0"/>
    <x v="0"/>
  </r>
  <r>
    <x v="4"/>
    <s v="ACIW"/>
    <n v="4853"/>
    <n v="47.79"/>
    <n v="2.64"/>
    <n v="14.08"/>
    <n v="2.5299999999999998"/>
    <n v="18.102272727272727"/>
    <n v="3.3941761363636362"/>
    <n v="19.690000000000001"/>
    <n v="7"/>
    <n v="2.16"/>
    <n v="18.889328063241109"/>
    <s v="NO"/>
    <n v="-0.29856225970320993"/>
    <n v="-0.63444347497201203"/>
    <n v="3.6837704666953526E-2"/>
    <n v="0.98473298253365693"/>
    <n v="0.23577464312586768"/>
    <n v="0.47246773316241603"/>
    <x v="0"/>
    <x v="0"/>
    <x v="0"/>
    <x v="0"/>
    <x v="0"/>
    <x v="0"/>
  </r>
  <r>
    <x v="4"/>
    <s v="ESTC"/>
    <n v="8535"/>
    <n v="85.71"/>
    <n v="2.5299999999999998"/>
    <n v="8.7899999999999991"/>
    <n v="-1.04"/>
    <n v="33.877470355731226"/>
    <n v="9.7508532423208187"/>
    <n v="-12.98"/>
    <n v="-1.41"/>
    <n v="2.8"/>
    <n v="-82.413461538461533"/>
    <s v="NO"/>
    <n v="0.32878828264261795"/>
    <n v="0.5895411838011666"/>
    <n v="-0.39588372032358393"/>
    <n v="-0.15088454524903444"/>
    <n v="1.0484129062333991"/>
    <n v="-1.3073576840312011"/>
    <x v="0"/>
    <x v="0"/>
    <x v="0"/>
    <x v="0"/>
    <x v="0"/>
    <x v="0"/>
  </r>
  <r>
    <x v="4"/>
    <s v="BL"/>
    <n v="3486"/>
    <n v="57.3"/>
    <n v="2.4500000000000002"/>
    <n v="6.71"/>
    <n v="1.41"/>
    <n v="23.387755102040813"/>
    <n v="8.5394932935916543"/>
    <n v="41.24"/>
    <n v="0.87"/>
    <n v="4.26"/>
    <n v="40.638297872340424"/>
    <s v="NO"/>
    <n v="-8.8368364674708308E-2"/>
    <n v="0.35629259042723904"/>
    <n v="0.32227225344399918"/>
    <n v="0.1569879830915763"/>
    <n v="2.9022439439474561"/>
    <n v="0.85458326439514098"/>
    <x v="0"/>
    <x v="0"/>
    <x v="0"/>
    <x v="0"/>
    <x v="0"/>
    <x v="0"/>
  </r>
  <r>
    <x v="4"/>
    <s v="RAMP"/>
    <n v="2117"/>
    <n v="33.380000000000003"/>
    <n v="2.34"/>
    <n v="13.21"/>
    <n v="-0.04"/>
    <n v="14.264957264957268"/>
    <n v="2.5268735806207419"/>
    <n v="-0.26"/>
    <n v="0.67"/>
    <n v="1.33"/>
    <n v="-834.5"/>
    <s v="NO"/>
    <n v="-0.45116522501204276"/>
    <n v="-0.80144346648475118"/>
    <n v="-0.22740448782038114"/>
    <n v="0.12998162095643501"/>
    <n v="-0.81811560434171271"/>
    <n v="-14.521038593964533"/>
    <x v="0"/>
    <x v="0"/>
    <x v="0"/>
    <x v="0"/>
    <x v="0"/>
    <x v="1"/>
  </r>
  <r>
    <x v="4"/>
    <s v="QTWO"/>
    <n v="5453"/>
    <n v="90.87"/>
    <n v="2.29"/>
    <n v="8.75"/>
    <n v="-0.34"/>
    <n v="39.681222707423579"/>
    <n v="10.385142857142858"/>
    <n v="-3.95"/>
    <n v="-1.17"/>
    <n v="2.4700000000000002"/>
    <n v="-267.26470588235293"/>
    <s v="NO"/>
    <n v="0.55959281969049113"/>
    <n v="0.71167429593199283"/>
    <n v="-0.27627935951352722"/>
    <n v="-0.11847691068686488"/>
    <n v="0.62939630181857842"/>
    <n v="-4.5550761760557883"/>
    <x v="0"/>
    <x v="0"/>
    <x v="0"/>
    <x v="0"/>
    <x v="0"/>
    <x v="1"/>
  </r>
  <r>
    <x v="4"/>
    <s v="TENB"/>
    <n v="3936"/>
    <n v="32.549999999999997"/>
    <n v="2.0099999999999998"/>
    <n v="3.19"/>
    <n v="-0.38"/>
    <n v="16.194029850746269"/>
    <n v="10.203761755485893"/>
    <n v="-12.09"/>
    <n v="0.38"/>
    <n v="4.42"/>
    <n v="-85.657894736842096"/>
    <s v="NO"/>
    <n v="-0.37444956277932462"/>
    <n v="0.67674917985028271"/>
    <n v="-0.38409547213743217"/>
    <n v="9.0822395860480118E-2"/>
    <n v="3.1054035097243391"/>
    <n v="-1.3643603065016041"/>
    <x v="0"/>
    <x v="0"/>
    <x v="0"/>
    <x v="0"/>
    <x v="1"/>
    <x v="0"/>
  </r>
  <r>
    <x v="4"/>
    <s v="BOX"/>
    <n v="5477"/>
    <n v="37.450000000000003"/>
    <n v="1.95"/>
    <n v="-1.94"/>
    <n v="1.3"/>
    <n v="19.205128205128208"/>
    <n v="-19.304123711340207"/>
    <n v="152.34"/>
    <n v="3.02"/>
    <n v="-5.86"/>
    <n v="28.80769230769231"/>
    <s v="NO"/>
    <n v="-0.25470372946752173"/>
    <n v="-5.0050242565232308"/>
    <n v="1.7938164933108098"/>
    <n v="0.4473063760443452"/>
    <n v="-9.947598591440391"/>
    <n v="0.64672706845481664"/>
    <x v="0"/>
    <x v="1"/>
    <x v="0"/>
    <x v="1"/>
    <x v="1"/>
    <x v="0"/>
  </r>
  <r>
    <x v="4"/>
    <s v="AGYS"/>
    <n v="2967"/>
    <n v="113.7"/>
    <n v="1.9"/>
    <n v="9.57"/>
    <n v="0.82"/>
    <n v="59.842105263157897"/>
    <n v="11.880877742946709"/>
    <n v="9.25"/>
    <n v="4.01"/>
    <n v="1.63"/>
    <n v="138.65853658536585"/>
    <s v="NO"/>
    <n v="1.3613539705424809"/>
    <n v="0.99967957342203007"/>
    <n v="-0.10144242012341108"/>
    <n v="0.58098786861329454"/>
    <n v="-0.43719141851005744"/>
    <n v="2.5767363556057328"/>
    <x v="0"/>
    <x v="0"/>
    <x v="0"/>
    <x v="0"/>
    <x v="0"/>
    <x v="0"/>
  </r>
  <r>
    <x v="4"/>
    <s v="INFA"/>
    <n v="7244"/>
    <n v="24.15"/>
    <n v="1.4"/>
    <n v="7.55"/>
    <n v="0"/>
    <n v="17.25"/>
    <n v="3.1986754966887414"/>
    <n v="0.09"/>
    <n v="2.04"/>
    <n v="2.2400000000000002"/>
    <s v=""/>
    <s v="NO"/>
    <n v="-0.33245557567134398"/>
    <n v="-0.67208732249702841"/>
    <n v="-0.22276865988200681"/>
    <n v="0.31497520158215286"/>
    <n v="0.33735442601430926"/>
    <e v="#VALUE!"/>
    <x v="0"/>
    <x v="0"/>
    <x v="0"/>
    <x v="0"/>
    <x v="0"/>
    <x v="1"/>
  </r>
  <r>
    <x v="4"/>
    <s v="INTA"/>
    <n v="4462"/>
    <n v="58.3"/>
    <n v="1.35"/>
    <n v="6.11"/>
    <n v="-0.24"/>
    <n v="43.185185185185183"/>
    <n v="9.5417348608837962"/>
    <n v="-4.16"/>
    <n v="-1.9"/>
    <n v="1.65"/>
    <n v="-242.91666666666666"/>
    <s v="NO"/>
    <n v="0.6989389510389562"/>
    <n v="0.5492752262135896"/>
    <n v="-0.27906085627655181"/>
    <n v="-0.21705013248013061"/>
    <n v="-0.41179647278794701"/>
    <n v="-4.1272966526558035"/>
    <x v="0"/>
    <x v="0"/>
    <x v="0"/>
    <x v="0"/>
    <x v="0"/>
    <x v="1"/>
  </r>
  <r>
    <x v="4"/>
    <s v="FIVN"/>
    <n v="2022"/>
    <n v="29.56"/>
    <n v="1.28"/>
    <n v="8.7100000000000009"/>
    <n v="-7.0000000000000007E-2"/>
    <n v="23.09375"/>
    <n v="3.3938002296211245"/>
    <n v="-0.9"/>
    <n v="-0.45"/>
    <n v="3.15"/>
    <n v="-422.28571428571422"/>
    <s v="NO"/>
    <n v="-0.10006040584983798"/>
    <n v="-0.63451585619860174"/>
    <n v="-0.23588143033626552"/>
    <n v="-2.1254007000356241E-2"/>
    <n v="1.4928244563703306"/>
    <n v="-7.2786964439684345"/>
    <x v="0"/>
    <x v="0"/>
    <x v="0"/>
    <x v="0"/>
    <x v="0"/>
    <x v="1"/>
  </r>
  <r>
    <x v="4"/>
    <s v="FROG"/>
    <n v="4920"/>
    <n v="42.44"/>
    <n v="1.07"/>
    <n v="6.98"/>
    <n v="-0.71"/>
    <n v="39.663551401869157"/>
    <n v="6.0802292263610305"/>
    <n v="-10.47"/>
    <n v="-5.26"/>
    <n v="1.45"/>
    <n v="-59.774647887323944"/>
    <s v="NO"/>
    <n v="0.55889006442969325"/>
    <n v="-0.11724121347503678"/>
    <n v="-0.36263821139409974"/>
    <n v="-0.67075701635050433"/>
    <n v="-0.66574593000905069"/>
    <n v="-0.90960816390616728"/>
    <x v="0"/>
    <x v="0"/>
    <x v="0"/>
    <x v="0"/>
    <x v="0"/>
    <x v="0"/>
  </r>
  <r>
    <x v="4"/>
    <s v="VRNS"/>
    <n v="5337"/>
    <n v="50.65"/>
    <n v="0.99"/>
    <n v="3.26"/>
    <n v="-0.81"/>
    <n v="51.161616161616159"/>
    <n v="15.536809815950921"/>
    <n v="-22.21"/>
    <n v="-5.0599999999999996"/>
    <n v="4.29"/>
    <n v="-62.53086419753086"/>
    <s v="NO"/>
    <n v="1.0161469136207226"/>
    <n v="1.7036330221004918"/>
    <n v="-0.51813712566985459"/>
    <n v="-0.64375065421536304"/>
    <n v="2.9403363625306218"/>
    <n v="-0.95803312696471077"/>
    <x v="0"/>
    <x v="0"/>
    <x v="0"/>
    <x v="0"/>
    <x v="0"/>
    <x v="0"/>
  </r>
  <r>
    <x v="4"/>
    <s v="WK"/>
    <n v="3750"/>
    <n v="69.55"/>
    <n v="0.96"/>
    <n v="-1.36"/>
    <n v="-1.1599999999999999"/>
    <n v="72.447916666666671"/>
    <n v="-51.139705882352935"/>
    <n v="81.47"/>
    <n v="-3.94"/>
    <n v="-17.079999999999998"/>
    <n v="-59.956896551724142"/>
    <s v="NO"/>
    <n v="1.862663862624842"/>
    <n v="-11.134998066883227"/>
    <n v="0.85512756190342132"/>
    <n v="-0.4925150262585718"/>
    <n v="-24.194163141544308"/>
    <n v="-0.91281015672812593"/>
    <x v="0"/>
    <x v="1"/>
    <x v="0"/>
    <x v="1"/>
    <x v="1"/>
    <x v="0"/>
  </r>
  <r>
    <x v="4"/>
    <s v="DV"/>
    <n v="2233"/>
    <n v="14.64"/>
    <n v="0.82"/>
    <n v="6.35"/>
    <n v="0.28999999999999998"/>
    <n v="17.853658536585368"/>
    <n v="2.3055118110236221"/>
    <n v="4.83"/>
    <n v="4.0999999999999996"/>
    <n v="1.21"/>
    <n v="50.482758620689658"/>
    <s v="NO"/>
    <n v="-0.30844918797098747"/>
    <n v="-0.84406690094736414"/>
    <n v="-0.15998630437373784"/>
    <n v="0.59314073157410807"/>
    <n v="-0.97048527867437506"/>
    <n v="1.0275441623858748"/>
    <x v="0"/>
    <x v="0"/>
    <x v="0"/>
    <x v="0"/>
    <x v="0"/>
    <x v="0"/>
  </r>
  <r>
    <x v="4"/>
    <s v="CLBT"/>
    <n v="3994"/>
    <n v="16.62"/>
    <n v="0.6"/>
    <n v="1.53"/>
    <n v="-0.89"/>
    <n v="27.700000000000003"/>
    <n v="10.862745098039216"/>
    <n v="-115.35"/>
    <n v="6.05"/>
    <n v="1.95"/>
    <n v="-18.674157303370787"/>
    <s v="NO"/>
    <n v="8.3121669185937441E-2"/>
    <n v="0.80363709443641829"/>
    <n v="-1.751797166184659"/>
    <n v="0.85645276239173573"/>
    <n v="-3.0872286956291434E-2"/>
    <n v="-0.18749875222993362"/>
    <x v="0"/>
    <x v="0"/>
    <x v="0"/>
    <x v="1"/>
    <x v="0"/>
    <x v="0"/>
  </r>
  <r>
    <x v="4"/>
    <s v="PATH"/>
    <n v="7119"/>
    <n v="13.11"/>
    <n v="0.56000000000000005"/>
    <n v="3.1"/>
    <n v="-0.12"/>
    <n v="23.410714285714281"/>
    <n v="4.2290322580645157"/>
    <n v="-3.62"/>
    <n v="-2.39"/>
    <n v="1.56"/>
    <n v="-109.25"/>
    <s v="NO"/>
    <n v="-8.7455320244546386E-2"/>
    <n v="-0.47369107742029137"/>
    <n v="-0.27190843602877435"/>
    <n v="-0.28321571971122678"/>
    <n v="-0.5260737285374435"/>
    <n v="-1.7788585523798202"/>
    <x v="0"/>
    <x v="0"/>
    <x v="0"/>
    <x v="0"/>
    <x v="0"/>
    <x v="0"/>
  </r>
  <r>
    <x v="4"/>
    <s v="FRSH"/>
    <n v="4505"/>
    <n v="15.95"/>
    <n v="0.53"/>
    <n v="3.56"/>
    <n v="-0.24"/>
    <n v="30.094339622641506"/>
    <n v="4.4803370786516847"/>
    <n v="-6.85"/>
    <n v="-4.3499999999999996"/>
    <n v="1.45"/>
    <n v="-66.458333333333329"/>
    <s v="NO"/>
    <n v="0.17834014417445213"/>
    <n v="-0.42530207795606206"/>
    <n v="-0.31469050528862846"/>
    <n v="-0.5478780686356115"/>
    <n v="-0.66574593000905069"/>
    <n v="-1.0270362553151584"/>
    <x v="0"/>
    <x v="0"/>
    <x v="0"/>
    <x v="0"/>
    <x v="0"/>
    <x v="0"/>
  </r>
  <r>
    <x v="4"/>
    <s v="ZETA"/>
    <n v="3095"/>
    <n v="13.6"/>
    <n v="0.53"/>
    <n v="2.87"/>
    <n v="-0.27"/>
    <n v="25.660377358490564"/>
    <n v="4.7386759581881526"/>
    <n v="-11.93"/>
    <n v="-2.81"/>
    <n v="1.61"/>
    <n v="-50.370370370370367"/>
    <s v="NO"/>
    <n v="2.0096349364615591E-3"/>
    <n v="-0.37555866326838533"/>
    <n v="-0.38197623650846108"/>
    <n v="-0.33992908019502349"/>
    <n v="-0.46258636423216754"/>
    <n v="-0.74438100460654666"/>
    <x v="0"/>
    <x v="0"/>
    <x v="0"/>
    <x v="0"/>
    <x v="0"/>
    <x v="0"/>
  </r>
  <r>
    <x v="4"/>
    <s v="LMGIF"/>
    <n v="8699"/>
    <n v="33.618499999999997"/>
    <n v="0.46"/>
    <n v="2.74"/>
    <n v="0.26"/>
    <n v="73.083695652173901"/>
    <n v="12.269525547445253"/>
    <n v="9.8699999999999992"/>
    <n v="5.58"/>
    <n v="1.88"/>
    <n v="129.30192307692306"/>
    <s v="NO"/>
    <n v="1.8879476213937656"/>
    <n v="1.0745141044895739"/>
    <n v="-9.3230382061148059E-2"/>
    <n v="0.79298781137415375"/>
    <n v="-0.11975459698367781"/>
    <n v="2.4123466225425112"/>
    <x v="0"/>
    <x v="0"/>
    <x v="0"/>
    <x v="0"/>
    <x v="0"/>
    <x v="0"/>
  </r>
  <r>
    <x v="4"/>
    <s v="NCNO"/>
    <n v="3049"/>
    <n v="27.16"/>
    <n v="0.45"/>
    <n v="9.34"/>
    <n v="-0.25"/>
    <n v="60.355555555555554"/>
    <n v="2.9079229122055676"/>
    <n v="-2.2999999999999998"/>
    <n v="-0.28999999999999998"/>
    <n v="1.54"/>
    <n v="-108.64"/>
    <s v="NO"/>
    <n v="1.3817729425889673"/>
    <n v="-0.72807202912504732"/>
    <n v="-0.25442474208976268"/>
    <n v="3.5108270775679817E-4"/>
    <n v="-0.55146867425955393"/>
    <n v="-1.7681412413486357"/>
    <x v="0"/>
    <x v="0"/>
    <x v="0"/>
    <x v="0"/>
    <x v="0"/>
    <x v="0"/>
  </r>
  <r>
    <x v="4"/>
    <s v="APPN"/>
    <n v="2338"/>
    <n v="31.93"/>
    <n v="0.42"/>
    <n v="-0.43"/>
    <n v="-0.83"/>
    <n v="76.023809523809533"/>
    <n v="-74.255813953488371"/>
    <n v="292.27999999999997"/>
    <n v="-3.71"/>
    <n v="-18.68"/>
    <n v="-38.46987951807229"/>
    <s v="NO"/>
    <n v="2.0048705326225704"/>
    <n v="-15.586028247902966"/>
    <n v="3.6473529552996622"/>
    <n v="-0.46145770980315931"/>
    <n v="-26.225758799313137"/>
    <n v="-0.53529696872483146"/>
    <x v="0"/>
    <x v="1"/>
    <x v="0"/>
    <x v="1"/>
    <x v="1"/>
    <x v="0"/>
  </r>
  <r>
    <x v="4"/>
    <s v="AVPT"/>
    <n v="3790"/>
    <n v="19.510000000000002"/>
    <n v="0.41"/>
    <n v="1.77"/>
    <n v="-0.13"/>
    <n v="47.585365853658544"/>
    <n v="11.022598870056498"/>
    <n v="-8.23"/>
    <n v="1.69"/>
    <n v="1.67"/>
    <n v="-150.07692307692309"/>
    <s v="NO"/>
    <n v="0.87392602846272938"/>
    <n v="0.83441710124419155"/>
    <n v="-0.33296891258850425"/>
    <n v="0.2677140678456556"/>
    <n v="-0.38640152706583664"/>
    <n v="-2.4961615573988949"/>
    <x v="0"/>
    <x v="0"/>
    <x v="0"/>
    <x v="0"/>
    <x v="0"/>
    <x v="0"/>
  </r>
  <r>
    <x v="4"/>
    <s v="OS"/>
    <n v="4946"/>
    <n v="28.92"/>
    <n v="0.39"/>
    <n v="2.35"/>
    <n v="-1.77"/>
    <n v="74.15384615384616"/>
    <n v="12.306382978723404"/>
    <n v="-108.78"/>
    <n v="-35.83"/>
    <n v="2.1"/>
    <n v="-16.338983050847457"/>
    <s v="NO"/>
    <n v="1.9305055349887508"/>
    <n v="1.0816110404663855"/>
    <n v="-1.6647760531700329"/>
    <n v="-4.798679468706851"/>
    <n v="0.15958980595953651"/>
    <n v="-0.14647122964582429"/>
    <x v="0"/>
    <x v="0"/>
    <x v="1"/>
    <x v="1"/>
    <x v="0"/>
    <x v="0"/>
  </r>
  <r>
    <x v="4"/>
    <s v="CCCS"/>
    <n v="5787"/>
    <n v="9.0299999999999994"/>
    <n v="0.38"/>
    <n v="3.31"/>
    <n v="0.01"/>
    <n v="23.763157894736839"/>
    <n v="2.7280966767371599"/>
    <n v="0.72"/>
    <n v="1.46"/>
    <n v="1.66"/>
    <n v="902.99999999999989"/>
    <s v="NO"/>
    <n v="-7.3439287325393149E-2"/>
    <n v="-0.76269775413662488"/>
    <n v="-0.21442416959293312"/>
    <n v="0.23665675139024311"/>
    <n v="-0.39909899992689185"/>
    <n v="16.005728482565544"/>
    <x v="0"/>
    <x v="0"/>
    <x v="0"/>
    <x v="0"/>
    <x v="0"/>
    <x v="1"/>
  </r>
  <r>
    <x v="4"/>
    <s v="CWAN"/>
    <n v="6254"/>
    <n v="24.21"/>
    <n v="0.37"/>
    <n v="4.5999999999999996"/>
    <n v="1.71"/>
    <n v="65.432432432432435"/>
    <n v="5.2630434782608706"/>
    <n v="55.82"/>
    <n v="1.89"/>
    <n v="1.1499999999999999"/>
    <n v="14.157894736842106"/>
    <s v="NO"/>
    <n v="1.5836709813422813"/>
    <n v="-0.27459116257113236"/>
    <n v="0.5153876001339911"/>
    <n v="0.29472042998079684"/>
    <n v="-1.0466701158407063"/>
    <n v="0.38933946663400493"/>
    <x v="0"/>
    <x v="0"/>
    <x v="0"/>
    <x v="0"/>
    <x v="0"/>
    <x v="0"/>
  </r>
  <r>
    <x v="4"/>
    <s v="CXM"/>
    <n v="2176"/>
    <n v="8.6999999999999993"/>
    <n v="0.23"/>
    <n v="2.4"/>
    <n v="0.44"/>
    <n v="37.826086956521735"/>
    <n v="3.625"/>
    <n v="18.829999999999998"/>
    <n v="1.39"/>
    <n v="1.93"/>
    <n v="19.77272727272727"/>
    <s v="NO"/>
    <n v="0.48581748914541628"/>
    <n v="-0.58999810465347058"/>
    <n v="2.5446813161233799E-2"/>
    <n v="0.22720452464294366"/>
    <n v="-5.6267232678401828E-2"/>
    <n v="0.48798849397022886"/>
    <x v="0"/>
    <x v="0"/>
    <x v="0"/>
    <x v="0"/>
    <x v="0"/>
    <x v="0"/>
  </r>
  <r>
    <x v="4"/>
    <s v="BRZE"/>
    <n v="3859"/>
    <n v="30.65"/>
    <n v="0.19"/>
    <n v="4.57"/>
    <n v="-1.02"/>
    <n v="161.31578947368419"/>
    <n v="6.7067833698030626"/>
    <n v="-22.64"/>
    <n v="-9.08"/>
    <n v="1.83"/>
    <n v="-30.049019607843135"/>
    <s v="NO"/>
    <n v="5.396775416449497"/>
    <n v="3.4024257535659576E-3"/>
    <n v="-0.52383257142271433"/>
    <n v="-1.1865785331317029"/>
    <n v="-0.18324196128895351"/>
    <n v="-0.38734782969538945"/>
    <x v="1"/>
    <x v="0"/>
    <x v="0"/>
    <x v="0"/>
    <x v="0"/>
    <x v="0"/>
  </r>
  <r>
    <x v="4"/>
    <s v="LIF"/>
    <n v="4863"/>
    <n v="64.58"/>
    <n v="0.13"/>
    <n v="1.64"/>
    <n v="0.04"/>
    <n v="496.76923076923072"/>
    <n v="39.378048780487809"/>
    <n v="3.12"/>
    <n v="0.12"/>
    <n v="1.21"/>
    <n v="1614.5"/>
    <s v="NO"/>
    <n v="18.737140671138203"/>
    <n v="6.2942878960740538"/>
    <n v="-0.1826356351583665"/>
    <n v="5.5714125084796444E-2"/>
    <n v="-0.97048527867437506"/>
    <n v="28.50632979188995"/>
    <x v="1"/>
    <x v="1"/>
    <x v="0"/>
    <x v="0"/>
    <x v="0"/>
    <x v="1"/>
  </r>
  <r>
    <x v="4"/>
    <s v="S"/>
    <n v="5855"/>
    <n v="18.09"/>
    <n v="0.06"/>
    <n v="4.72"/>
    <n v="-1.34"/>
    <n v="301.5"/>
    <n v="3.8326271186440679"/>
    <n v="-26.98"/>
    <n v="-8.83"/>
    <n v="1.54"/>
    <n v="-13.499999999999998"/>
    <s v="NO"/>
    <n v="10.971643166020733"/>
    <n v="-0.55001929123734528"/>
    <n v="-0.58131683785855559"/>
    <n v="-1.1528205804627765"/>
    <n v="-0.55146867425955393"/>
    <n v="-9.6592107730752566E-2"/>
    <x v="1"/>
    <x v="0"/>
    <x v="0"/>
    <x v="0"/>
    <x v="0"/>
    <x v="0"/>
  </r>
  <r>
    <x v="4"/>
    <s v="ALKT"/>
    <n v="2950"/>
    <n v="30.42"/>
    <n v="0.04"/>
    <n v="3.24"/>
    <n v="-0.37"/>
    <n v="760.5"/>
    <n v="9.3888888888888893"/>
    <n v="-11.33"/>
    <n v="-4.4000000000000004"/>
    <n v="2.5099999999999998"/>
    <n v="-82.216216216216225"/>
    <s v="NO"/>
    <n v="29.225227413819024"/>
    <n v="0.51984457844610787"/>
    <n v="-0.37402910289981944"/>
    <n v="-0.55462965916939688"/>
    <n v="0.68018619326279872"/>
    <n v="-1.3038922094935794"/>
    <x v="1"/>
    <x v="0"/>
    <x v="0"/>
    <x v="0"/>
    <x v="0"/>
    <x v="0"/>
  </r>
  <r>
    <x v="4"/>
    <s v="CFLT"/>
    <n v="7839"/>
    <n v="24.39"/>
    <n v="0.02"/>
    <n v="3.02"/>
    <n v="-0.98"/>
    <n v="1219.5"/>
    <n v="8.0761589403973506"/>
    <n v="-34.18"/>
    <n v="-9.9499999999999993"/>
    <n v="2.63"/>
    <n v="-24.887755102040817"/>
    <s v="NO"/>
    <n v="47.478811661617307"/>
    <n v="0.267077088249073"/>
    <n v="-0.6766824411622554"/>
    <n v="-1.3040562084195675"/>
    <n v="0.83255586759546107"/>
    <n v="-0.29666770342834514"/>
    <x v="1"/>
    <x v="0"/>
    <x v="0"/>
    <x v="0"/>
    <x v="0"/>
    <x v="0"/>
  </r>
  <r>
    <x v="4"/>
    <s v="ASAN"/>
    <n v="4217"/>
    <n v="14.64"/>
    <n v="0.01"/>
    <n v="0.98"/>
    <n v="-1.1100000000000001"/>
    <n v="1464"/>
    <n v="14.938775510204083"/>
    <n v="-92.26"/>
    <n v="-17.23"/>
    <n v="3.92"/>
    <n v="-13.189189189189188"/>
    <s v="NO"/>
    <n v="57.202126146555614"/>
    <n v="1.588480906702304"/>
    <n v="-1.4459649744787664"/>
    <n v="-2.2870877901387106"/>
    <n v="2.4705298666715798"/>
    <n v="-9.1131359974499851E-2"/>
    <x v="1"/>
    <x v="0"/>
    <x v="0"/>
    <x v="1"/>
    <x v="0"/>
    <x v="0"/>
  </r>
  <r>
    <x v="4"/>
    <s v="BB"/>
    <n v="2365"/>
    <n v="4.21"/>
    <n v="0.01"/>
    <n v="1.21"/>
    <n v="-0.01"/>
    <n v="421"/>
    <n v="3.4793388429752068"/>
    <n v="-1.1399999999999999"/>
    <n v="1.83"/>
    <n v="1.8"/>
    <n v="-421"/>
    <s v="NO"/>
    <n v="15.723937975632706"/>
    <n v="-0.6180453089719683"/>
    <n v="-0.23906028377972219"/>
    <n v="0.28661852134025451"/>
    <n v="-0.2213343798721191"/>
    <n v="-7.2561072638090298"/>
    <x v="1"/>
    <x v="0"/>
    <x v="0"/>
    <x v="0"/>
    <x v="0"/>
    <x v="1"/>
  </r>
  <r>
    <x v="4"/>
    <s v="QBTS"/>
    <n v="4771"/>
    <n v="17.95"/>
    <n v="-0.23"/>
    <n v="0.71"/>
    <n v="-0.59"/>
    <n v="-78.043478260869563"/>
    <n v="25.281690140845072"/>
    <n v="-154.88999999999999"/>
    <n v="-23.72"/>
    <n v="1.57"/>
    <n v="-30.423728813559322"/>
    <s v="NO"/>
    <n v="-4.1221016185918611"/>
    <n v="3.5800196656934236"/>
    <n v="-2.2755132709941432"/>
    <n v="-3.1634442414240453"/>
    <n v="-0.51337625567638834"/>
    <n v="-0.39393123150507559"/>
    <x v="1"/>
    <x v="1"/>
    <x v="1"/>
    <x v="1"/>
    <x v="0"/>
    <x v="0"/>
  </r>
  <r>
    <x v="4"/>
    <s v="SOUN"/>
    <n v="4062"/>
    <n v="10.02"/>
    <n v="-0.28999999999999998"/>
    <n v="0.99"/>
    <n v="-0.52"/>
    <n v="-34.551724137931032"/>
    <n v="10.121212121212121"/>
    <n v="-67.959999999999994"/>
    <n v="-19.28"/>
    <n v="1.48"/>
    <n v="-19.269230769230766"/>
    <s v="NO"/>
    <n v="-2.3925146949152007"/>
    <n v="0.66085416359348026"/>
    <n v="-1.1241060633287796"/>
    <n v="-2.5639030020239093"/>
    <n v="-0.6276535114258851"/>
    <n v="-0.19795381357423925"/>
    <x v="0"/>
    <x v="0"/>
    <x v="1"/>
    <x v="1"/>
    <x v="0"/>
    <x v="0"/>
  </r>
  <r>
    <x v="4"/>
    <s v="AI"/>
    <n v="3530"/>
    <n v="25.86"/>
    <n v="-0.34"/>
    <n v="6.29"/>
    <n v="-2.2400000000000002"/>
    <n v="-76.058823529411754"/>
    <n v="4.1112877583465819"/>
    <n v="-33.729999999999997"/>
    <n v="-19.649999999999999"/>
    <n v="1.22"/>
    <n v="-11.544642857142856"/>
    <s v="NO"/>
    <n v="-4.0431755568414109"/>
    <n v="-0.49636290090722196"/>
    <n v="-0.67072209095577406"/>
    <n v="-2.6138647719739203"/>
    <n v="-0.9577878058133199"/>
    <n v="-6.223772957165654E-2"/>
    <x v="1"/>
    <x v="0"/>
    <x v="1"/>
    <x v="0"/>
    <x v="0"/>
    <x v="0"/>
  </r>
  <r>
    <x v="4"/>
    <s v="GTLB"/>
    <n v="7513"/>
    <n v="48.64"/>
    <n v="-0.47"/>
    <n v="4.7300000000000004"/>
    <n v="-0.04"/>
    <n v="-103.48936170212767"/>
    <n v="10.283298097251585"/>
    <n v="-1.28"/>
    <n v="-6.22"/>
    <n v="1.8"/>
    <n v="-1216"/>
    <s v="NO"/>
    <n v="-5.1340375165322962"/>
    <n v="0.69206398356194432"/>
    <n v="-0.24091461495507191"/>
    <n v="-0.80038755459918254"/>
    <n v="-0.2213343798721191"/>
    <n v="-21.223750329041501"/>
    <x v="1"/>
    <x v="0"/>
    <x v="0"/>
    <x v="0"/>
    <x v="0"/>
    <x v="1"/>
  </r>
  <r>
    <x v="4"/>
    <s v="CORZ"/>
    <n v="3172"/>
    <n v="12.71"/>
    <n v="-0.62"/>
    <n v="-0.61"/>
    <n v="-3.2"/>
    <n v="-20.5"/>
    <n v="-20.836065573770494"/>
    <n v="377.99"/>
    <n v="-6.09"/>
    <n v="-8.9499999999999993"/>
    <n v="-3.9718750000000003"/>
    <s v="NO"/>
    <n v="-1.8337035176198959"/>
    <n v="-5.3000012242836112"/>
    <n v="4.7826009912941219"/>
    <n v="-0.78283341921134075"/>
    <n v="-13.871117705506441"/>
    <n v="7.0810972874175843E-2"/>
    <x v="0"/>
    <x v="1"/>
    <x v="0"/>
    <x v="1"/>
    <x v="1"/>
    <x v="0"/>
  </r>
  <r>
    <x v="4"/>
    <s v="PONY"/>
    <n v="6843"/>
    <n v="13.8"/>
    <n v="-0.75"/>
    <n v="2.56"/>
    <n v="-1.65"/>
    <n v="-18.400000000000002"/>
    <n v="5.390625"/>
    <n v="-36.159999999999997"/>
    <n v="-23.02"/>
    <n v="1.08"/>
    <n v="-8.3636363636363651"/>
    <s v="NO"/>
    <n v="-1.7501903870744138"/>
    <n v="-0.25002521046302745"/>
    <n v="-0.70290798207077265"/>
    <n v="-3.0689219739510509"/>
    <n v="-1.1355524258680922"/>
    <n v="-6.3494738616120261E-3"/>
    <x v="0"/>
    <x v="0"/>
    <x v="1"/>
    <x v="0"/>
    <x v="0"/>
    <x v="0"/>
  </r>
  <r>
    <x v="4"/>
    <s v="NBIS"/>
    <n v="8750"/>
    <n v="52.58"/>
    <n v="-2"/>
    <n v="13.28"/>
    <n v="-1.79"/>
    <n v="-26.29"/>
    <n v="3.9593373493975905"/>
    <n v="-12.54"/>
    <n v="-4.7300000000000004"/>
    <n v="1.0900000000000001"/>
    <n v="-29.374301675977652"/>
    <s v="NO"/>
    <n v="-2.0639611489810115"/>
    <n v="-0.52562110709699039"/>
    <n v="-0.39005582234391339"/>
    <n v="-0.59919015669238007"/>
    <n v="-1.1228549530070371"/>
    <n v="-0.37549346586896315"/>
    <x v="0"/>
    <x v="0"/>
    <x v="0"/>
    <x v="0"/>
    <x v="0"/>
    <x v="0"/>
  </r>
  <r>
    <x v="4"/>
    <s v="RIOT"/>
    <n v="2883"/>
    <n v="10.119999999999999"/>
    <n v="-2.95"/>
    <n v="8.41"/>
    <n v="-1.36"/>
    <n v="-3.4305084745762708"/>
    <n v="1.2033293697978595"/>
    <n v="-14.71"/>
    <n v="-7.42"/>
    <n v="1.26"/>
    <n v="-7.4411764705882346"/>
    <s v="NO"/>
    <n v="-1.1548812918543165"/>
    <n v="-1.0562932539211896"/>
    <n v="-0.41879795556183402"/>
    <n v="-0.96242572741003041"/>
    <n v="-0.90699791436909905"/>
    <n v="9.8575582491915014E-3"/>
    <x v="0"/>
    <x v="0"/>
    <x v="0"/>
    <x v="0"/>
    <x v="0"/>
    <x v="0"/>
  </r>
  <r>
    <x v="4"/>
    <s v="MARA"/>
    <n v="4969"/>
    <n v="16.27"/>
    <n v="-5.71"/>
    <n v="10.76"/>
    <n v="-1.07"/>
    <n v="-2.8493870402802099"/>
    <n v="1.512081784386617"/>
    <n v="-10.62"/>
    <n v="-9.9"/>
    <n v="1.73"/>
    <n v="-15.205607476635512"/>
    <s v="NO"/>
    <n v="-1.1317711631851999"/>
    <n v="-0.99684266165158086"/>
    <n v="-0.36462499479626015"/>
    <n v="-1.2973046178857823"/>
    <n v="-0.31021668989950546"/>
    <n v="-0.12655854350815721"/>
    <x v="0"/>
    <x v="0"/>
    <x v="0"/>
    <x v="0"/>
    <x v="0"/>
    <x v="0"/>
  </r>
  <r>
    <x v="4"/>
    <s v="BTDR"/>
    <n v="2530"/>
    <n v="14.01"/>
    <n v="-5.86"/>
    <n v="4.18"/>
    <n v="-4.38"/>
    <n v="-2.3907849829351533"/>
    <n v="3.3516746411483256"/>
    <n v="-32.090000000000003"/>
    <n v="-9.15"/>
    <n v="2.0099999999999998"/>
    <n v="-3.1986301369863015"/>
    <s v="NO"/>
    <n v="-1.1135334043835405"/>
    <n v="-0.64262718121528029"/>
    <n v="-0.64899992575882026"/>
    <n v="-1.1960307598790025"/>
    <n v="4.5312550210039458E-2"/>
    <n v="8.4396392054804689E-2"/>
    <x v="0"/>
    <x v="0"/>
    <x v="0"/>
    <x v="0"/>
    <x v="0"/>
    <x v="0"/>
  </r>
  <r>
    <x v="4"/>
    <s v="IREN"/>
    <n v="2029"/>
    <n v="10.34"/>
    <n v="-7.88"/>
    <n v="6.38"/>
    <n v="-0.18"/>
    <n v="-1.3121827411167513"/>
    <n v="1.6206896551724137"/>
    <n v="-3.39"/>
    <n v="-0.68"/>
    <n v="1.4"/>
    <n v="-57.444444444444443"/>
    <s v="NO"/>
    <n v="-1.0706393806560977"/>
    <n v="-0.97593010538232272"/>
    <n v="-0.26886203481212834"/>
    <n v="-5.2311323455768735E-2"/>
    <n v="-0.7292332943143266"/>
    <n v="-0.86866797527784423"/>
    <x v="0"/>
    <x v="0"/>
    <x v="0"/>
    <x v="0"/>
    <x v="0"/>
    <x v="0"/>
  </r>
  <r>
    <x v="5"/>
    <s v="IONQ"/>
    <n v="9996"/>
    <n v="40.06"/>
    <n v="-0.64"/>
    <n v="3.15"/>
    <n v="-1.49"/>
    <n v="-62.59375"/>
    <n v="12.717460317460318"/>
    <n v="-52.1"/>
    <n v="-22.89"/>
    <n v="1.1100000000000001"/>
    <n v="-26.885906040268459"/>
    <s v="NO"/>
    <n v="-1"/>
    <n v="0.99999999999999989"/>
    <n v="-1"/>
    <n v="-1.0000000000000002"/>
    <n v="-1.0000000000000002"/>
    <n v="-0.99999999999999989"/>
    <x v="0"/>
    <x v="0"/>
    <x v="0"/>
    <x v="0"/>
    <x v="0"/>
    <x v="0"/>
  </r>
  <r>
    <x v="5"/>
    <s v="SNDK"/>
    <n v="5476"/>
    <n v="41.82"/>
    <n v="-2.3199999999999998"/>
    <n v="63.18"/>
    <n v="-10.33"/>
    <n v="-18.02586206896552"/>
    <n v="0.66191832858499522"/>
    <n v="-5.97"/>
    <n v="-2.0299999999999998"/>
    <n v="1.41"/>
    <n v="-4.048402710551791"/>
    <s v="NO"/>
    <n v="1.0000000000000002"/>
    <n v="-0.99999999999999989"/>
    <n v="1"/>
    <n v="1.0000000000000004"/>
    <n v="1.0000000000000002"/>
    <n v="0.99999999999999989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s v="NTGR"/>
    <n v="844"/>
    <n v="30.17"/>
    <n v="4.5599999999999996"/>
    <n v="18.559999999999999"/>
    <n v="0.85"/>
    <n v="6.6162280701754392"/>
    <n v="1.6255387931034484"/>
    <n v="4.78"/>
    <n v="-4.63"/>
    <n v="1.52"/>
    <n v="35.494117647058829"/>
    <s v="NO"/>
    <n v="-0.67851070630812171"/>
    <n v="-0.27752048966876047"/>
    <n v="0.22184691407235596"/>
    <n v="-1.3503353814818364"/>
    <n v="-0.67771473302108265"/>
    <n v="1.5830141311820172"/>
    <x v="0"/>
    <x v="0"/>
    <x v="0"/>
    <x v="0"/>
    <x v="0"/>
    <x v="0"/>
  </r>
  <r>
    <x v="0"/>
    <s v="ITRN"/>
    <n v="758"/>
    <n v="37"/>
    <n v="3.08"/>
    <n v="9.58"/>
    <n v="2.77"/>
    <n v="12.012987012987013"/>
    <n v="3.8622129436325676"/>
    <n v="30.71"/>
    <n v="13.83"/>
    <n v="1.77"/>
    <n v="13.35740072202166"/>
    <s v="NO"/>
    <n v="-8.2791166761957982E-2"/>
    <n v="1.3992220843494578"/>
    <n v="2.0324329470432794"/>
    <n v="2.6869237114168891"/>
    <n v="-0.27797373804494468"/>
    <n v="0.16230234057845502"/>
    <x v="0"/>
    <x v="0"/>
    <x v="0"/>
    <x v="1"/>
    <x v="0"/>
    <x v="0"/>
  </r>
  <r>
    <x v="0"/>
    <s v="NTCT"/>
    <n v="1629"/>
    <n v="23.88"/>
    <n v="2.95"/>
    <n v="21.65"/>
    <n v="-5.12"/>
    <n v="8.0949152542372875"/>
    <n v="1.1030023094688222"/>
    <n v="-21.26"/>
    <n v="2.09"/>
    <n v="1.4"/>
    <n v="-4.6640625"/>
    <s v="NO"/>
    <n v="-0.515286286289239"/>
    <n v="-0.66924458965922318"/>
    <n v="-1.5964199697904611"/>
    <n v="0.11934940206526178"/>
    <n v="-0.86959041060962905"/>
    <n v="-0.99429668764043455"/>
    <x v="0"/>
    <x v="0"/>
    <x v="0"/>
    <x v="0"/>
    <x v="0"/>
    <x v="0"/>
  </r>
  <r>
    <x v="0"/>
    <s v="DGII"/>
    <n v="1201"/>
    <n v="34.92"/>
    <n v="2.92"/>
    <n v="16.329999999999998"/>
    <n v="1.1299999999999999"/>
    <n v="11.958904109589042"/>
    <n v="2.1383955909369261"/>
    <n v="7.3"/>
    <n v="4.2699999999999996"/>
    <n v="1.29"/>
    <n v="30.90265486725664"/>
    <s v="NO"/>
    <n v="-8.8761091053735586E-2"/>
    <n v="0.10694714818479861"/>
    <n v="0.39780822541391886"/>
    <n v="0.59612214434690958"/>
    <n v="-1.0454764483991297"/>
    <n v="1.2883387586110946"/>
    <x v="0"/>
    <x v="0"/>
    <x v="0"/>
    <x v="0"/>
    <x v="0"/>
    <x v="0"/>
  </r>
  <r>
    <x v="0"/>
    <s v="CLFD"/>
    <n v="513"/>
    <n v="39.1"/>
    <n v="1.23"/>
    <n v="19"/>
    <n v="-0.13"/>
    <n v="31.788617886178862"/>
    <n v="2.0578947368421052"/>
    <n v="-0.68"/>
    <n v="-1.8"/>
    <n v="1.17"/>
    <n v="-300.76923076923077"/>
    <s v="NO"/>
    <n v="2.1001356311274599"/>
    <n v="4.6598970389797226E-2"/>
    <n v="-0.15940259383436373"/>
    <n v="-0.73140562888685312"/>
    <n v="-1.2373521259876761"/>
    <n v="-19.998022725395767"/>
    <x v="0"/>
    <x v="0"/>
    <x v="0"/>
    <x v="0"/>
    <x v="0"/>
    <x v="1"/>
  </r>
  <r>
    <x v="0"/>
    <s v="COMM"/>
    <n v="1308"/>
    <n v="6.11"/>
    <n v="1.06"/>
    <n v="-11.77"/>
    <n v="0.03"/>
    <n v="5.7641509433962268"/>
    <n v="-0.51911639762107054"/>
    <n v="-4.1399999999999997"/>
    <n v="4.08"/>
    <n v="-2.95"/>
    <n v="203.66666666666669"/>
    <s v="NO"/>
    <n v="-0.77256697211537018"/>
    <n v="-1.885280235998491"/>
    <n v="-0.40100026734301758"/>
    <n v="0.5545685567168579"/>
    <n v="-7.8250837231944299"/>
    <n v="12.376155862952672"/>
    <x v="0"/>
    <x v="0"/>
    <x v="0"/>
    <x v="0"/>
    <x v="1"/>
    <x v="1"/>
  </r>
  <r>
    <x v="0"/>
    <s v="HLIT"/>
    <n v="1020"/>
    <n v="9.6300000000000008"/>
    <n v="0.94"/>
    <n v="3.89"/>
    <n v="0.44"/>
    <n v="10.244680851063832"/>
    <n v="2.475578406169666"/>
    <n v="12.45"/>
    <n v="9.0500000000000007"/>
    <n v="1.73"/>
    <n v="21.886363636363637"/>
    <s v="NO"/>
    <n v="-0.27798508661651417"/>
    <n v="0.35971923006999718"/>
    <n v="0.75741169898893834"/>
    <n v="1.6415229278818995"/>
    <n v="-0.34193229724112684"/>
    <n v="0.70968243379911311"/>
    <x v="0"/>
    <x v="0"/>
    <x v="0"/>
    <x v="0"/>
    <x v="0"/>
    <x v="0"/>
  </r>
  <r>
    <x v="0"/>
    <s v="EVTZF"/>
    <n v="668"/>
    <n v="8.85"/>
    <n v="0.84"/>
    <n v="2.4700000000000002"/>
    <n v="0.54"/>
    <n v="10.535714285714286"/>
    <n v="3.5829959514170038"/>
    <n v="22.6"/>
    <n v="9.9"/>
    <n v="1.75"/>
    <n v="16.388888888888886"/>
    <s v="NO"/>
    <n v="-0.24585945241277782"/>
    <n v="1.189904594751612"/>
    <n v="1.4661447585591225"/>
    <n v="1.8274205567531843"/>
    <n v="-0.30995301764303579"/>
    <n v="0.35686014227633323"/>
    <x v="0"/>
    <x v="0"/>
    <x v="0"/>
    <x v="0"/>
    <x v="0"/>
    <x v="0"/>
  </r>
  <r>
    <x v="0"/>
    <s v="ADTN"/>
    <n v="642"/>
    <n v="8.32"/>
    <n v="0.52"/>
    <n v="1.74"/>
    <n v="-1.62"/>
    <n v="16"/>
    <n v="4.7816091954022992"/>
    <n v="-19.190000000000001"/>
    <n v="-2.88"/>
    <n v="8.59"/>
    <n v="-5.1358024691358022"/>
    <s v="NO"/>
    <n v="0.35731400857695811"/>
    <n v="2.0884556221763222"/>
    <n v="-1.451880321188463"/>
    <n v="-0.96760496909977967"/>
    <n v="10.626960604904101"/>
    <n v="-1.0245724750808103"/>
    <x v="0"/>
    <x v="0"/>
    <x v="0"/>
    <x v="0"/>
    <x v="1"/>
    <x v="0"/>
  </r>
  <r>
    <x v="0"/>
    <s v="AUDC"/>
    <n v="278"/>
    <n v="9.51"/>
    <n v="0.49"/>
    <n v="6.3"/>
    <n v="0.56000000000000005"/>
    <n v="19.408163265306122"/>
    <n v="1.5095238095238095"/>
    <n v="9.33"/>
    <n v="3.29"/>
    <n v="1.78"/>
    <n v="16.982142857142854"/>
    <s v="NO"/>
    <n v="0.73352303933432839"/>
    <n v="-0.36449214897192128"/>
    <n v="0.53955483732795573"/>
    <n v="0.38179311341295796"/>
    <n v="-0.26198409824589919"/>
    <n v="0.39493457356507999"/>
    <x v="0"/>
    <x v="0"/>
    <x v="0"/>
    <x v="0"/>
    <x v="0"/>
    <x v="0"/>
  </r>
  <r>
    <x v="0"/>
    <s v="GILT"/>
    <n v="318"/>
    <n v="6.03"/>
    <n v="0.24"/>
    <n v="5.25"/>
    <n v="0.24"/>
    <n v="25.125000000000004"/>
    <n v="1.1485714285714286"/>
    <n v="4.79"/>
    <n v="1.89"/>
    <n v="1.95"/>
    <n v="25.125000000000004"/>
    <s v="NO"/>
    <n v="1.3645742653277921"/>
    <n v="-0.63508329618615655"/>
    <n v="0.22254517324434628"/>
    <n v="7.5608783507312441E-2"/>
    <n v="9.8397783378745569E-3"/>
    <n v="0.91753479433102192"/>
    <x v="0"/>
    <x v="0"/>
    <x v="0"/>
    <x v="0"/>
    <x v="0"/>
    <x v="0"/>
  </r>
  <r>
    <x v="0"/>
    <s v="RBBN"/>
    <n v="597"/>
    <n v="3.97"/>
    <n v="0.01"/>
    <n v="2.17"/>
    <n v="-0.28999999999999998"/>
    <n v="397"/>
    <n v="1.8294930875576039"/>
    <n v="-12.42"/>
    <n v="1.31"/>
    <n v="2.98"/>
    <n v="-13.689655172413795"/>
    <s v="NO"/>
    <n v="42.413879249351488"/>
    <n v="-0.12462434760701674"/>
    <n v="-0.97915886175101008"/>
    <n v="-5.1239010310740657E-2"/>
    <n v="1.656772677639563"/>
    <n v="-1.5735499694304065"/>
    <x v="1"/>
    <x v="0"/>
    <x v="0"/>
    <x v="0"/>
    <x v="0"/>
    <x v="0"/>
  </r>
  <r>
    <x v="0"/>
    <s v="AVNW"/>
    <n v="272"/>
    <n v="22.87"/>
    <n v="-0.63"/>
    <n v="20.18"/>
    <n v="-0.18"/>
    <n v="-36.301587301587304"/>
    <n v="1.1333002973240833"/>
    <n v="-0.9"/>
    <n v="2.08"/>
    <n v="2.4500000000000002"/>
    <n v="-127.05555555555557"/>
    <s v="NO"/>
    <n v="-5.4159802658200791"/>
    <n v="-0.64653143489236298"/>
    <n v="-0.17476429561815096"/>
    <n v="0.11716237113736436"/>
    <n v="0.8093217682901509"/>
    <n v="-8.8492571970254481"/>
    <x v="1"/>
    <x v="0"/>
    <x v="0"/>
    <x v="0"/>
    <x v="0"/>
    <x v="1"/>
  </r>
  <r>
    <x v="0"/>
    <s v="VSAT"/>
    <n v="1138"/>
    <n v="10.61"/>
    <n v="-0.95"/>
    <n v="34.97"/>
    <n v="-4.4800000000000004"/>
    <n v="-11.168421052631579"/>
    <n v="0.30340291678581643"/>
    <n v="-10.93"/>
    <n v="0.28000000000000003"/>
    <n v="3.39"/>
    <n v="-2.3683035714285712"/>
    <s v="NO"/>
    <n v="-2.6416636095039667"/>
    <n v="-1.2686713517352004"/>
    <n v="-0.87511824512445102"/>
    <n v="-0.27650319588417982"/>
    <n v="2.3123479094004296"/>
    <n v="-0.84695723395135269"/>
    <x v="1"/>
    <x v="0"/>
    <x v="0"/>
    <x v="0"/>
    <x v="0"/>
    <x v="0"/>
  </r>
  <r>
    <x v="0"/>
    <s v="AAOI"/>
    <n v="866"/>
    <n v="16.87"/>
    <n v="-3.84"/>
    <n v="5.81"/>
    <n v="-3.89"/>
    <n v="-4.393229166666667"/>
    <n v="2.9036144578313259"/>
    <n v="-68.44"/>
    <n v="-7.31"/>
    <n v="2.09"/>
    <n v="-4.3367609254498714"/>
    <s v="NO"/>
    <n v="-1.8937861828088234"/>
    <n v="0.68060024479714576"/>
    <n v="-4.8908067432408338"/>
    <n v="-1.9364596701583578"/>
    <n v="0.23369473552451167"/>
    <n v="-0.97329080824010894"/>
    <x v="0"/>
    <x v="0"/>
    <x v="1"/>
    <x v="0"/>
    <x v="0"/>
    <x v="0"/>
  </r>
  <r>
    <x v="1"/>
    <s v="PLUS"/>
    <n v="1893"/>
    <n v="72.16"/>
    <n v="11.15"/>
    <n v="37.24"/>
    <n v="4.05"/>
    <n v="6.4717488789237665"/>
    <n v="1.9377013963480128"/>
    <n v="11.49"/>
    <n v="5.0199999999999996"/>
    <n v="1.93"/>
    <n v="17.817283950617284"/>
    <s v="NO"/>
    <n v="4.245991415562167E-2"/>
    <n v="-0.51151803873331092"/>
    <n v="0.65207406029736825"/>
    <n v="0.53144423867727075"/>
    <n v="0.22994549680470605"/>
    <n v="0.33461702445315461"/>
    <x v="0"/>
    <x v="0"/>
    <x v="0"/>
    <x v="0"/>
    <x v="0"/>
    <x v="0"/>
  </r>
  <r>
    <x v="1"/>
    <s v="SCSC"/>
    <n v="912"/>
    <n v="41.97"/>
    <n v="6.37"/>
    <n v="39.39"/>
    <n v="2.78"/>
    <n v="6.5886970172684451"/>
    <n v="1.0654988575780655"/>
    <n v="7.32"/>
    <n v="3.22"/>
    <n v="1.91"/>
    <n v="15.097122302158274"/>
    <s v="NO"/>
    <n v="4.7941814468859312E-2"/>
    <n v="-0.90161968186764752"/>
    <n v="0.42871241483561445"/>
    <n v="0.27380322071230517"/>
    <n v="0.18183974433510242"/>
    <n v="0.20815216311214346"/>
    <x v="0"/>
    <x v="0"/>
    <x v="0"/>
    <x v="0"/>
    <x v="0"/>
    <x v="0"/>
  </r>
  <r>
    <x v="1"/>
    <s v="CLMB"/>
    <n v="507"/>
    <n v="106.32"/>
    <n v="5.16"/>
    <n v="21.21"/>
    <n v="4.26"/>
    <n v="20.604651162790695"/>
    <n v="5.0127298444130126"/>
    <n v="22.75"/>
    <n v="5.91"/>
    <n v="3.87"/>
    <n v="24.95774647887324"/>
    <s v="NO"/>
    <n v="0.70493443109531251"/>
    <n v="0.86382036829164888"/>
    <n v="1.2552040669878595"/>
    <n v="0.65883340867105955"/>
    <n v="4.8962034863562556"/>
    <n v="0.66658906150401909"/>
    <x v="0"/>
    <x v="0"/>
    <x v="0"/>
    <x v="0"/>
    <x v="1"/>
    <x v="0"/>
  </r>
  <r>
    <x v="1"/>
    <s v="BELFA"/>
    <n v="805"/>
    <n v="68.8"/>
    <n v="4.9400000000000004"/>
    <n v="29.75"/>
    <n v="3.42"/>
    <n v="13.927125506072873"/>
    <n v="2.3126050420168065"/>
    <n v="12.84"/>
    <n v="7.04"/>
    <n v="2.5"/>
    <n v="20.116959064327485"/>
    <s v="NO"/>
    <n v="0.39192790950941803"/>
    <n v="-0.34383848989972904"/>
    <n v="0.72438538436772015"/>
    <n v="0.82057471439351026"/>
    <n v="1.6009594421884088"/>
    <n v="0.44153276401940084"/>
    <x v="0"/>
    <x v="0"/>
    <x v="0"/>
    <x v="0"/>
    <x v="0"/>
    <x v="0"/>
  </r>
  <r>
    <x v="1"/>
    <s v="BELFB"/>
    <n v="935"/>
    <n v="77.709999999999994"/>
    <n v="4.9400000000000004"/>
    <n v="29.75"/>
    <n v="3.42"/>
    <n v="15.730769230769228"/>
    <n v="2.6121008403361343"/>
    <n v="12.84"/>
    <n v="7.04"/>
    <n v="2.5"/>
    <n v="22.722222222222221"/>
    <s v="NO"/>
    <n v="0.47647303557411147"/>
    <n v="-0.20988588389038584"/>
    <n v="0.72438538436772015"/>
    <n v="0.82057471439351026"/>
    <n v="1.6009594421884088"/>
    <n v="0.56265580250009262"/>
    <x v="0"/>
    <x v="0"/>
    <x v="0"/>
    <x v="0"/>
    <x v="0"/>
    <x v="0"/>
  </r>
  <r>
    <x v="1"/>
    <s v="KE"/>
    <n v="441"/>
    <n v="18.920000000000002"/>
    <n v="4.87"/>
    <n v="22.48"/>
    <n v="0.71"/>
    <n v="3.8850102669404518"/>
    <n v="0.84163701067615659"/>
    <n v="3.3"/>
    <n v="3.07"/>
    <n v="1.96"/>
    <n v="26.647887323943667"/>
    <s v="NO"/>
    <n v="-7.8792492321359819E-2"/>
    <n v="-1.0017442176603091"/>
    <n v="0.21338536093723304"/>
    <n v="0.25233313588189132"/>
    <n v="0.30210412550911153"/>
    <n v="0.74516653418462175"/>
    <x v="0"/>
    <x v="0"/>
    <x v="0"/>
    <x v="0"/>
    <x v="0"/>
    <x v="0"/>
  </r>
  <r>
    <x v="1"/>
    <s v="BHE"/>
    <n v="1318"/>
    <n v="38.26"/>
    <n v="3.91"/>
    <n v="30.6"/>
    <n v="1.44"/>
    <n v="9.7851662404092057"/>
    <n v="1.2503267973856207"/>
    <n v="4.84"/>
    <n v="3.16"/>
    <n v="1.93"/>
    <n v="26.569444444444443"/>
    <s v="NO"/>
    <n v="0.1977751156535732"/>
    <n v="-0.81895346638317368"/>
    <n v="0.29587383432119008"/>
    <n v="0.26521518678013961"/>
    <n v="0.22994549680470605"/>
    <n v="0.74151959361229258"/>
    <x v="0"/>
    <x v="0"/>
    <x v="0"/>
    <x v="0"/>
    <x v="0"/>
    <x v="0"/>
  </r>
  <r>
    <x v="1"/>
    <s v="ROG"/>
    <n v="1233"/>
    <n v="69.2"/>
    <n v="2.93"/>
    <n v="68.66"/>
    <n v="0.9"/>
    <n v="23.617747440273039"/>
    <n v="1.007864841246723"/>
    <n v="1.34"/>
    <n v="1.78"/>
    <n v="1.19"/>
    <n v="76.888888888888886"/>
    <s v="NO"/>
    <n v="0.84617219392881737"/>
    <n v="-0.9273970941909313"/>
    <n v="0.10840003117583315"/>
    <n v="6.7690406340332535E-2"/>
    <n v="-1.549967344570627"/>
    <n v="3.0809546665346774"/>
    <x v="0"/>
    <x v="0"/>
    <x v="0"/>
    <x v="0"/>
    <x v="0"/>
    <x v="1"/>
  </r>
  <r>
    <x v="1"/>
    <s v="CTS"/>
    <n v="1221"/>
    <n v="42.94"/>
    <n v="2.56"/>
    <n v="17.97"/>
    <n v="1.97"/>
    <n v="16.7734375"/>
    <n v="2.3895381190873679"/>
    <n v="11.39"/>
    <n v="6.48"/>
    <n v="1.42"/>
    <n v="21.796954314720811"/>
    <s v="NO"/>
    <n v="0.52534772133313623"/>
    <n v="-0.30942937224348882"/>
    <n v="0.6467176659217867"/>
    <n v="0.74041973102663206"/>
    <n v="-0.99675119117018574"/>
    <n v="0.51963855104676715"/>
    <x v="0"/>
    <x v="0"/>
    <x v="0"/>
    <x v="0"/>
    <x v="0"/>
    <x v="0"/>
  </r>
  <r>
    <x v="1"/>
    <s v="CNXN"/>
    <n v="1661"/>
    <n v="65.16"/>
    <n v="2.15"/>
    <n v="34.22"/>
    <n v="3.3"/>
    <n v="30.306976744186045"/>
    <n v="1.9041496201052015"/>
    <n v="10.11"/>
    <n v="5.27"/>
    <n v="1.42"/>
    <n v="19.745454545454546"/>
    <s v="NO"/>
    <n v="1.1597273196065205"/>
    <n v="-0.52652441908718484"/>
    <n v="0.57815581791434179"/>
    <n v="0.56722771339462719"/>
    <n v="-0.99675119117018574"/>
    <n v="0.42426089802811273"/>
    <x v="0"/>
    <x v="0"/>
    <x v="0"/>
    <x v="0"/>
    <x v="0"/>
    <x v="0"/>
  </r>
  <r>
    <x v="1"/>
    <s v="DAKT"/>
    <n v="740"/>
    <n v="14.13"/>
    <n v="1.42"/>
    <n v="5.85"/>
    <n v="0.04"/>
    <n v="9.9507042253521139"/>
    <n v="2.4153846153846157"/>
    <n v="0.72"/>
    <n v="6.51"/>
    <n v="1.92"/>
    <n v="353.25"/>
    <s v="NO"/>
    <n v="0.20553464688131035"/>
    <n v="-0.29786925836324091"/>
    <n v="7.5190386047227054E-2"/>
    <n v="0.74471374799271473"/>
    <n v="0.20589262056990423"/>
    <n v="15.92944461437062"/>
    <x v="0"/>
    <x v="0"/>
    <x v="0"/>
    <x v="0"/>
    <x v="0"/>
    <x v="1"/>
  </r>
  <r>
    <x v="1"/>
    <s v="NSSC"/>
    <n v="995"/>
    <n v="28.69"/>
    <n v="1.39"/>
    <n v="4.53"/>
    <n v="1.22"/>
    <n v="20.640287769784177"/>
    <n v="6.333333333333333"/>
    <n v="27.48"/>
    <n v="16.149999999999999"/>
    <n v="1.18"/>
    <n v="23.516393442622952"/>
    <s v="NO"/>
    <n v="0.7066048837404374"/>
    <n v="1.4544739929454933"/>
    <n v="1.5085615209528704"/>
    <n v="2.1245245330939757"/>
    <n v="-1.574020220805429"/>
    <n v="0.59957814986349178"/>
    <x v="0"/>
    <x v="0"/>
    <x v="0"/>
    <x v="0"/>
    <x v="0"/>
    <x v="0"/>
  </r>
  <r>
    <x v="1"/>
    <s v="KN"/>
    <n v="1427"/>
    <n v="17.48"/>
    <n v="1.1299999999999999"/>
    <n v="8.6199999999999992"/>
    <n v="0.27"/>
    <n v="15.469026548672568"/>
    <n v="2.0278422273781906"/>
    <n v="2.68"/>
    <n v="2.87"/>
    <n v="1.45"/>
    <n v="64.740740740740733"/>
    <s v="NO"/>
    <n v="0.46420394509278673"/>
    <n v="-0.47120161595843768"/>
    <n v="0.18017571580862696"/>
    <n v="0.22370635610800624"/>
    <n v="-0.92459256246578025"/>
    <n v="2.516166955489656"/>
    <x v="0"/>
    <x v="0"/>
    <x v="0"/>
    <x v="0"/>
    <x v="0"/>
    <x v="0"/>
  </r>
  <r>
    <x v="1"/>
    <s v="FARO"/>
    <n v="815"/>
    <n v="42.43"/>
    <n v="0.83"/>
    <n v="13.53"/>
    <n v="-0.05"/>
    <n v="51.120481927710848"/>
    <n v="3.1359940872135996"/>
    <n v="-0.34"/>
    <n v="1.99"/>
    <n v="1.9"/>
    <n v="-848.59999999999991"/>
    <s v="NO"/>
    <n v="2.1353526027457934"/>
    <n v="2.4430811314495926E-2"/>
    <n v="1.8412605666061826E-2"/>
    <n v="9.7748525102911862E-2"/>
    <n v="0.1577868681003006"/>
    <n v="-39.946570580828748"/>
    <x v="0"/>
    <x v="0"/>
    <x v="0"/>
    <x v="0"/>
    <x v="0"/>
    <x v="1"/>
  </r>
  <r>
    <x v="1"/>
    <s v="VPG"/>
    <n v="341"/>
    <n v="27.24"/>
    <n v="0.79"/>
    <n v="24.51"/>
    <n v="0.23"/>
    <n v="34.481012658227847"/>
    <n v="1.1113831089351285"/>
    <n v="0.93"/>
    <n v="1.45"/>
    <n v="1.4"/>
    <n v="118.43478260869564"/>
    <s v="NO"/>
    <n v="1.355383694376783"/>
    <n v="-0.88109747394834625"/>
    <n v="8.6438814235948486E-2"/>
    <n v="2.0456219713422132E-2"/>
    <n v="-1.0448569436397894"/>
    <n v="5.0124927027172799"/>
    <x v="0"/>
    <x v="0"/>
    <x v="0"/>
    <x v="0"/>
    <x v="0"/>
    <x v="1"/>
  </r>
  <r>
    <x v="1"/>
    <s v="ARLO"/>
    <n v="1481"/>
    <n v="17.34"/>
    <n v="0.56999999999999995"/>
    <n v="1"/>
    <n v="-0.22"/>
    <n v="30.421052631578949"/>
    <n v="17.34"/>
    <n v="-21.34"/>
    <n v="-4.95"/>
    <n v="2.87"/>
    <n v="-78.818181818181813"/>
    <s v="NO"/>
    <n v="1.1650745842289718"/>
    <n v="6.3773199619035257"/>
    <n v="-1.1064302132060797"/>
    <n v="-0.8956007330509006"/>
    <n v="2.4909158628760757"/>
    <n v="-4.1581272894733647"/>
    <x v="0"/>
    <x v="1"/>
    <x v="0"/>
    <x v="0"/>
    <x v="0"/>
    <x v="1"/>
  </r>
  <r>
    <x v="1"/>
    <s v="KRKNF"/>
    <n v="461"/>
    <n v="2.0230000000000001"/>
    <n v="-0.05"/>
    <n v="0.32"/>
    <n v="0.06"/>
    <n v="-40.46"/>
    <n v="6.3218750000000004"/>
    <n v="23.14"/>
    <n v="5.92"/>
    <n v="1.47"/>
    <n v="33.716666666666669"/>
    <s v="NO"/>
    <n v="-2.157448288930957"/>
    <n v="1.4493491343693903"/>
    <n v="1.2760940050526277"/>
    <n v="0.66026474765975374"/>
    <n v="-0.87648680999617667"/>
    <n v="1.0738059001333691"/>
    <x v="0"/>
    <x v="0"/>
    <x v="0"/>
    <x v="0"/>
    <x v="0"/>
    <x v="0"/>
  </r>
  <r>
    <x v="1"/>
    <s v="BLKLF"/>
    <n v="480"/>
    <n v="5.81"/>
    <n v="-0.09"/>
    <n v="0.67"/>
    <n v="-7.0000000000000007E-2"/>
    <n v="-64.555555555555557"/>
    <n v="8.6716417910447756"/>
    <n v="-14.1"/>
    <n v="-3.87"/>
    <n v="2.09"/>
    <n v="-82.999999999999986"/>
    <s v="NO"/>
    <n v="-3.2869184576507946"/>
    <n v="2.5003067335777085"/>
    <n v="-0.71862726041396996"/>
    <n v="-0.74101612227192115"/>
    <n v="0.61479151656153463"/>
    <n v="-4.3525470059694609"/>
    <x v="1"/>
    <x v="0"/>
    <x v="0"/>
    <x v="0"/>
    <x v="0"/>
    <x v="1"/>
  </r>
  <r>
    <x v="1"/>
    <s v="MVIS"/>
    <n v="274"/>
    <n v="1.19"/>
    <n v="-0.28000000000000003"/>
    <n v="0.22"/>
    <n v="-0.45"/>
    <n v="-4.2499999999999991"/>
    <n v="5.4090909090909092"/>
    <n v="-135.21"/>
    <n v="-33.74"/>
    <n v="2.19"/>
    <n v="-2.6444444444444444"/>
    <s v="NO"/>
    <n v="-0.46011806074637851"/>
    <n v="1.0410969706085627"/>
    <n v="-7.205756488680878"/>
    <n v="-5.0164256815016586"/>
    <n v="0.85532027890955287"/>
    <n v="-0.61668292705702688"/>
    <x v="0"/>
    <x v="0"/>
    <x v="1"/>
    <x v="1"/>
    <x v="0"/>
    <x v="0"/>
  </r>
  <r>
    <x v="1"/>
    <s v="EVLV"/>
    <n v="895"/>
    <n v="5.43"/>
    <n v="-0.3"/>
    <n v="0.74"/>
    <n v="-0.28000000000000003"/>
    <n v="-18.100000000000001"/>
    <n v="7.3378378378378377"/>
    <n v="-33.840000000000003"/>
    <n v="-16.7"/>
    <n v="2.11"/>
    <n v="-19.392857142857139"/>
    <s v="NO"/>
    <n v="-1.1093316387733438"/>
    <n v="1.9037490641871819"/>
    <n v="-1.7759795101537834"/>
    <n v="-2.5774240447666488"/>
    <n v="0.66289726903113833"/>
    <n v="-1.3953446256317059"/>
    <x v="0"/>
    <x v="0"/>
    <x v="0"/>
    <x v="0"/>
    <x v="0"/>
    <x v="0"/>
  </r>
  <r>
    <x v="1"/>
    <s v="LASR"/>
    <n v="748"/>
    <n v="17.63"/>
    <n v="-0.46"/>
    <n v="4.3"/>
    <n v="-1.1399999999999999"/>
    <n v="-38.326086956521735"/>
    <n v="4.0999999999999996"/>
    <n v="-24.12"/>
    <n v="-11.86"/>
    <n v="1.36"/>
    <n v="-15.464912280701755"/>
    <s v="NO"/>
    <n v="-2.0574219118800596"/>
    <n v="0.45559246683953269"/>
    <n v="-1.255337976847249"/>
    <n v="-1.8846559742386302"/>
    <n v="-1.1410684485789961"/>
    <n v="-1.212727904074357"/>
    <x v="0"/>
    <x v="0"/>
    <x v="0"/>
    <x v="0"/>
    <x v="0"/>
    <x v="0"/>
  </r>
  <r>
    <x v="1"/>
    <s v="AIOT"/>
    <n v="603"/>
    <n v="4.78"/>
    <n v="-0.49"/>
    <n v="3.46"/>
    <n v="-1.02"/>
    <n v="-9.7551020408163271"/>
    <n v="1.3815028901734105"/>
    <n v="-4.04"/>
    <n v="-3.6"/>
    <n v="1.98"/>
    <n v="-4.6862745098039218"/>
    <s v="NO"/>
    <n v="-0.71816766315229308"/>
    <n v="-0.76028359664325518"/>
    <n v="-0.17977398623045834"/>
    <n v="-0.70236996957717623"/>
    <n v="0.35020987797871517"/>
    <n v="-0.71161101937973037"/>
    <x v="0"/>
    <x v="0"/>
    <x v="0"/>
    <x v="0"/>
    <x v="0"/>
    <x v="0"/>
  </r>
  <r>
    <x v="1"/>
    <s v="MEI"/>
    <n v="284"/>
    <n v="8.57"/>
    <n v="-0.73"/>
    <n v="19.75"/>
    <n v="-2.59"/>
    <n v="-11.739726027397261"/>
    <n v="0.4339240506329114"/>
    <n v="-11.9"/>
    <n v="-0.28999999999999998"/>
    <n v="1.85"/>
    <n v="-3.3088803088803092"/>
    <s v="NO"/>
    <n v="-0.81119617140979106"/>
    <n v="-1.1840980730668054"/>
    <n v="-0.60078658415117425"/>
    <n v="-0.22859676431937809"/>
    <n v="3.7522486926292016E-2"/>
    <n v="-0.64757366089024548"/>
    <x v="0"/>
    <x v="0"/>
    <x v="0"/>
    <x v="0"/>
    <x v="0"/>
    <x v="0"/>
  </r>
  <r>
    <x v="1"/>
    <s v="OUST"/>
    <n v="658"/>
    <n v="15.185"/>
    <n v="-0.73"/>
    <n v="3.12"/>
    <n v="-1.95"/>
    <n v="-20.801369863013701"/>
    <n v="4.8669871794871797"/>
    <n v="-56.81"/>
    <n v="-21.79"/>
    <n v="1.6"/>
    <n v="-7.7871794871794879"/>
    <s v="NO"/>
    <n v="-1.2359573423358954"/>
    <n v="0.79863544789170915"/>
    <n v="-3.0063432982248828"/>
    <n v="-3.3059755900120242"/>
    <n v="-0.56379941894375296"/>
    <n v="-0.85577727443211327"/>
    <x v="0"/>
    <x v="0"/>
    <x v="0"/>
    <x v="1"/>
    <x v="0"/>
    <x v="0"/>
  </r>
  <r>
    <x v="1"/>
    <s v="VSH"/>
    <n v="1907"/>
    <n v="15.6"/>
    <n v="-1.6"/>
    <n v="14.99"/>
    <n v="-0.48"/>
    <n v="-9.75"/>
    <n v="1.0406937958639093"/>
    <n v="-3.09"/>
    <n v="0.94"/>
    <n v="2.0699999999999998"/>
    <n v="-32.5"/>
    <s v="NO"/>
    <n v="-0.7179285068942709"/>
    <n v="-0.91271400331549335"/>
    <n v="-0.12888823966243287"/>
    <n v="-5.2542068709984832E-2"/>
    <n v="0.56668576409193105"/>
    <n v="-2.0047176035002945"/>
    <x v="0"/>
    <x v="0"/>
    <x v="0"/>
    <x v="0"/>
    <x v="0"/>
    <x v="0"/>
  </r>
  <r>
    <x v="1"/>
    <s v="AEVA"/>
    <n v="1005"/>
    <n v="21.78"/>
    <n v="-2.0499999999999998"/>
    <n v="1.25"/>
    <n v="-2.82"/>
    <n v="-10.624390243902441"/>
    <n v="17.423999999999999"/>
    <n v="-113.7"/>
    <n v="-51.55"/>
    <n v="1.66"/>
    <n v="-7.7234042553191502"/>
    <s v="NO"/>
    <n v="-0.75891522305569881"/>
    <n v="6.4148898342287053"/>
    <n v="-6.0535960584932695"/>
    <n v="-7.5656404203661243"/>
    <n v="-0.41948216153494261"/>
    <n v="-0.85281225731308374"/>
    <x v="0"/>
    <x v="1"/>
    <x v="1"/>
    <x v="1"/>
    <x v="0"/>
    <x v="0"/>
  </r>
  <r>
    <x v="1"/>
    <s v="OST"/>
    <n v="592"/>
    <n v="6.19"/>
    <n v="-4.9400000000000004"/>
    <n v="2.93"/>
    <n v="-6.74"/>
    <n v="-1.2530364372469636"/>
    <n v="2.112627986348123"/>
    <n v="-92.74"/>
    <n v="-11.18"/>
    <n v="9.84"/>
    <n v="-0.91839762611275966"/>
    <s v="NO"/>
    <n v="-0.3196365128914081"/>
    <n v="-0.43328030477398777"/>
    <n v="-4.9308957973713605"/>
    <n v="-1.7873249230074209"/>
    <n v="19.255770598532933"/>
    <n v="-0.53643612566856191"/>
    <x v="0"/>
    <x v="0"/>
    <x v="1"/>
    <x v="0"/>
    <x v="1"/>
    <x v="0"/>
  </r>
  <r>
    <x v="2"/>
    <s v="FORTY"/>
    <n v="1687"/>
    <n v="110"/>
    <n v="19.309999999999999"/>
    <n v="44.48"/>
    <n v="5.21"/>
    <n v="5.6965302951838428"/>
    <n v="2.4730215827338133"/>
    <n v="14.95"/>
    <n v="5.83"/>
    <n v="4.47"/>
    <n v="21.113243761996163"/>
    <s v="NO"/>
    <n v="6.3690643975232178E-2"/>
    <n v="-0.46965962614689177"/>
    <n v="0.76993171335223765"/>
    <n v="0.81547006085684259"/>
    <n v="1.1099088005092195"/>
    <n v="0.8391067764388731"/>
    <x v="0"/>
    <x v="0"/>
    <x v="0"/>
    <x v="0"/>
    <x v="0"/>
    <x v="0"/>
  </r>
  <r>
    <x v="2"/>
    <s v="HCKT"/>
    <n v="678"/>
    <n v="24.91"/>
    <n v="1.61"/>
    <n v="4.1399999999999997"/>
    <n v="0.84"/>
    <n v="15.472049689440993"/>
    <n v="6.016908212560387"/>
    <n v="23.13"/>
    <n v="12.62"/>
    <n v="1.68"/>
    <n v="29.654761904761905"/>
    <s v="NO"/>
    <n v="0.8941924385046045"/>
    <n v="0.62124005776219327"/>
    <n v="0.92504119217742853"/>
    <n v="1.5782288006240723"/>
    <n v="-0.77619867942588283"/>
    <n v="1.2936995972386451"/>
    <x v="0"/>
    <x v="0"/>
    <x v="0"/>
    <x v="0"/>
    <x v="0"/>
    <x v="0"/>
  </r>
  <r>
    <x v="2"/>
    <s v="ATEAY"/>
    <n v="1627"/>
    <n v="7.3"/>
    <n v="1.26"/>
    <n v="3.47"/>
    <n v="0.6"/>
    <n v="5.7936507936507935"/>
    <n v="2.1037463976945245"/>
    <n v="16.62"/>
    <n v="4.6500000000000004"/>
    <n v="3.83"/>
    <n v="12.166666666666666"/>
    <s v="NO"/>
    <n v="7.1941739902654164E-2"/>
    <n v="-0.58333204987635601"/>
    <n v="0.8015983184424661"/>
    <n v="0.68291405011673489"/>
    <n v="0.6772533212409525"/>
    <n v="0.36295609101147452"/>
    <x v="0"/>
    <x v="0"/>
    <x v="0"/>
    <x v="0"/>
    <x v="0"/>
    <x v="0"/>
  </r>
  <r>
    <x v="2"/>
    <s v="UIS"/>
    <n v="339"/>
    <n v="4.59"/>
    <n v="1.1599999999999999"/>
    <n v="-3.77"/>
    <n v="-1.06"/>
    <n v="3.9568965517241379"/>
    <n v="-1.2175066312997347"/>
    <n v="37.35"/>
    <n v="4.3"/>
    <n v="-6.87"/>
    <n v="-4.3301886792452828"/>
    <s v="NO"/>
    <n v="-8.4103952659284928E-2"/>
    <n v="-1.6056993708335825"/>
    <n v="1.1946813864187749"/>
    <n v="0.64359658930399111"/>
    <n v="-6.5562054727753916"/>
    <n v="-0.5150320933694843"/>
    <x v="0"/>
    <x v="0"/>
    <x v="0"/>
    <x v="0"/>
    <x v="1"/>
    <x v="0"/>
  </r>
  <r>
    <x v="2"/>
    <s v="DAVA"/>
    <n v="918"/>
    <n v="16.579999999999998"/>
    <n v="1.1000000000000001"/>
    <n v="14.1"/>
    <n v="0.4"/>
    <n v="15.072727272727271"/>
    <n v="1.1758865248226948"/>
    <n v="2.86"/>
    <n v="2.72"/>
    <n v="1.49"/>
    <n v="41.449999999999996"/>
    <s v="NO"/>
    <n v="0.86026708167176136"/>
    <n v="-0.86895124364761289"/>
    <n v="0.54068066213016475"/>
    <n v="0.46610633763503323"/>
    <n v="-0.9046432748336497"/>
    <n v="1.9214604317994894"/>
    <x v="0"/>
    <x v="0"/>
    <x v="0"/>
    <x v="0"/>
    <x v="0"/>
    <x v="0"/>
  </r>
  <r>
    <x v="2"/>
    <s v="CINT"/>
    <n v="807"/>
    <n v="5.85"/>
    <n v="0.38"/>
    <n v="2.1800000000000002"/>
    <n v="0.24"/>
    <n v="15.394736842105262"/>
    <n v="2.6834862385321099"/>
    <n v="11.17"/>
    <n v="6.74"/>
    <n v="1.85"/>
    <n v="24.375"/>
    <s v="NO"/>
    <n v="0.88762414725961747"/>
    <n v="-0.40487317825320401"/>
    <n v="0.69825520602225966"/>
    <n v="0.91769545896997651"/>
    <n v="-0.66127456774524929"/>
    <n v="1.0127024937588971"/>
    <x v="0"/>
    <x v="0"/>
    <x v="0"/>
    <x v="0"/>
    <x v="0"/>
    <x v="0"/>
  </r>
  <r>
    <x v="2"/>
    <s v="BIGC"/>
    <n v="404"/>
    <n v="5.36"/>
    <n v="0.31"/>
    <n v="0.48"/>
    <n v="-0.27"/>
    <n v="17.290322580645164"/>
    <n v="11.166666666666668"/>
    <n v="-64.59"/>
    <n v="-3.25"/>
    <n v="7.52"/>
    <n v="-19.851851851851851"/>
    <s v="NO"/>
    <n v="1.0486680052940585"/>
    <n v="2.2064684966492467"/>
    <n v="-0.73830886681349284"/>
    <n v="-0.2045372082280541"/>
    <n v="3.1717825688970556"/>
    <n v="-1.3411190403503657"/>
    <x v="0"/>
    <x v="0"/>
    <x v="0"/>
    <x v="0"/>
    <x v="1"/>
    <x v="0"/>
  </r>
  <r>
    <x v="2"/>
    <s v="BLZE"/>
    <n v="313"/>
    <n v="5.63"/>
    <n v="0.02"/>
    <n v="1.42"/>
    <n v="-1"/>
    <n v="281.5"/>
    <n v="3.9647887323943665"/>
    <n v="-74.75"/>
    <n v="-16.489999999999998"/>
    <n v="2.19"/>
    <n v="-5.63"/>
    <s v="NO"/>
    <n v="23.495210473176421"/>
    <n v="-1.0455232209975037E-2"/>
    <n v="-0.93096318281152934"/>
    <n v="-1.6918605829729916"/>
    <n v="-0.43142634438398236"/>
    <n v="-0.58421006442019452"/>
    <x v="1"/>
    <x v="0"/>
    <x v="0"/>
    <x v="0"/>
    <x v="0"/>
    <x v="0"/>
  </r>
  <r>
    <x v="2"/>
    <s v="FSLY"/>
    <n v="1054"/>
    <n v="8.2799999999999994"/>
    <n v="-0.1"/>
    <n v="6.61"/>
    <n v="-1.1000000000000001"/>
    <n v="-82.799999999999983"/>
    <n v="1.2526475037821481"/>
    <n v="-15.78"/>
    <n v="-6.17"/>
    <n v="1.51"/>
    <n v="-7.5272727272727264"/>
    <s v="NO"/>
    <n v="-7.4547361787417605"/>
    <n v="-0.84532223503919779"/>
    <n v="0.1872282556140821"/>
    <n v="-0.53255716700865963"/>
    <n v="-0.89112279110651627"/>
    <n v="-0.68518585660391429"/>
    <x v="1"/>
    <x v="0"/>
    <x v="0"/>
    <x v="0"/>
    <x v="0"/>
    <x v="0"/>
  </r>
  <r>
    <x v="2"/>
    <s v="BBAI"/>
    <n v="1211"/>
    <n v="3.9"/>
    <n v="-0.17"/>
    <n v="0.68"/>
    <n v="-0.93"/>
    <n v="-22.941176470588232"/>
    <n v="5.735294117647058"/>
    <n v="-150.02000000000001"/>
    <n v="-7.22"/>
    <n v="2"/>
    <n v="-4.193548387096774"/>
    <s v="NO"/>
    <n v="-2.3692917788464039"/>
    <n v="0.53455197791796649"/>
    <n v="-2.3582358565489514"/>
    <n v="-0.6505095494468911"/>
    <n v="-0.55987093979174918"/>
    <n v="-0.50775988545462969"/>
    <x v="0"/>
    <x v="0"/>
    <x v="0"/>
    <x v="0"/>
    <x v="0"/>
    <x v="0"/>
  </r>
  <r>
    <x v="2"/>
    <s v="BASE"/>
    <n v="975"/>
    <n v="19.86"/>
    <n v="-0.37"/>
    <n v="2.4"/>
    <n v="-1.45"/>
    <n v="-53.675675675675677"/>
    <n v="8.2750000000000004"/>
    <n v="-57.86"/>
    <n v="-19.34"/>
    <n v="2.04"/>
    <n v="-13.696551724137931"/>
    <s v="NO"/>
    <n v="-4.9804120389915534"/>
    <n v="1.3163389349167718"/>
    <n v="-0.6106943445037698"/>
    <n v="-2.0120170495910483"/>
    <n v="-0.53282997233748242"/>
    <n v="-1.0135244370073322"/>
    <x v="1"/>
    <x v="0"/>
    <x v="0"/>
    <x v="0"/>
    <x v="0"/>
    <x v="0"/>
  </r>
  <r>
    <x v="2"/>
    <s v="VNET"/>
    <n v="1437"/>
    <n v="6.15"/>
    <n v="-2.0699999999999998"/>
    <n v="3.17"/>
    <n v="-0.01"/>
    <n v="-2.9710144927536235"/>
    <n v="1.94006309148265"/>
    <n v="2.66"/>
    <n v="1.63"/>
    <n v="6.29"/>
    <n v="-615"/>
    <s v="NO"/>
    <n v="-0.67268061265330481"/>
    <n v="-0.63371799210850521"/>
    <n v="0.53688825433492782"/>
    <n v="0.34366053110391681"/>
    <n v="2.3402728196783547"/>
    <n v="-33.015824981187166"/>
    <x v="0"/>
    <x v="0"/>
    <x v="0"/>
    <x v="0"/>
    <x v="0"/>
    <x v="1"/>
  </r>
  <r>
    <x v="2"/>
    <s v="APLD"/>
    <n v="1535"/>
    <n v="13.02"/>
    <n v="-3.95"/>
    <n v="2.0299999999999998"/>
    <n v="-1.39"/>
    <n v="-3.2962025316455694"/>
    <n v="6.4137931034482767"/>
    <n v="-79.239999999999995"/>
    <n v="-4.5999999999999996"/>
    <n v="3.76"/>
    <n v="-9.3669064748201443"/>
    <s v="NO"/>
    <n v="-0.70030771244893386"/>
    <n v="0.74341146086914822"/>
    <n v="-1.0161027378145986"/>
    <n v="-0.35619027136292303"/>
    <n v="0.62993162819598558"/>
    <n v="-0.78309401304145909"/>
    <x v="0"/>
    <x v="0"/>
    <x v="0"/>
    <x v="0"/>
    <x v="0"/>
    <x v="0"/>
  </r>
  <r>
    <x v="3"/>
    <s v="SLTCY"/>
    <n v="1350"/>
    <n v="4.5"/>
    <m/>
    <m/>
    <m/>
    <s v=""/>
    <s v=""/>
    <n v="2.02"/>
    <n v="1.31"/>
    <n v="2.5099999999999998"/>
    <s v=""/>
    <s v="NO"/>
    <e v="#VALUE!"/>
    <e v="#VALUE!"/>
    <n v="0.25604882775347604"/>
    <n v="0.25011492431467069"/>
    <n v="1.5006559104624049"/>
    <e v="#VALUE!"/>
    <x v="1"/>
    <x v="1"/>
    <x v="0"/>
    <x v="0"/>
    <x v="0"/>
    <x v="1"/>
  </r>
  <r>
    <x v="3"/>
    <s v="ACLS"/>
    <n v="1810"/>
    <n v="67.61"/>
    <n v="3.79"/>
    <n v="31.97"/>
    <n v="5.46"/>
    <n v="17.839050131926122"/>
    <n v="2.114795120425399"/>
    <n v="18.45"/>
    <n v="8.66"/>
    <n v="1.31"/>
    <n v="12.382783882783883"/>
    <s v="NO"/>
    <n v="0.84999148669224356"/>
    <n v="0.15274734490585826"/>
    <n v="1.319144511567691"/>
    <n v="1.768862336505586"/>
    <n v="-0.69208331943699897"/>
    <n v="0.71716963708526749"/>
    <x v="0"/>
    <x v="0"/>
    <x v="0"/>
    <x v="0"/>
    <x v="0"/>
    <x v="0"/>
  </r>
  <r>
    <x v="3"/>
    <s v="NVEC"/>
    <n v="344"/>
    <n v="74.349999999999994"/>
    <n v="2.7"/>
    <n v="12.87"/>
    <n v="3.11"/>
    <n v="27.537037037037035"/>
    <n v="5.7770007770007767"/>
    <n v="23.57"/>
    <n v="15.26"/>
    <n v="1.03"/>
    <n v="23.90675241157556"/>
    <s v="NO"/>
    <n v="1.5032629896408021"/>
    <n v="2.6806082955335295"/>
    <n v="1.6504317849169778"/>
    <n v="3.1326355229627345"/>
    <n v="-1.2037224730801934"/>
    <n v="1.2686885752418486"/>
    <x v="0"/>
    <x v="0"/>
    <x v="0"/>
    <x v="1"/>
    <x v="0"/>
    <x v="0"/>
  </r>
  <r>
    <x v="3"/>
    <s v="PENG"/>
    <n v="938"/>
    <n v="19.87"/>
    <n v="2.6"/>
    <n v="11.23"/>
    <n v="-0.16"/>
    <n v="7.6423076923076927"/>
    <n v="1.7693677649154052"/>
    <n v="-0.53"/>
    <n v="2.78"/>
    <n v="3.01"/>
    <n v="-124.1875"/>
    <s v="NO"/>
    <n v="0.16312303410665005"/>
    <n v="-8.568610344636779E-2"/>
    <n v="9.1052236534593003E-2"/>
    <n v="0.55386440675285364"/>
    <n v="2.4142972562538234"/>
    <n v="-5.8188685135390008"/>
    <x v="0"/>
    <x v="0"/>
    <x v="0"/>
    <x v="0"/>
    <x v="0"/>
    <x v="1"/>
  </r>
  <r>
    <x v="3"/>
    <s v="KLIC"/>
    <n v="1697"/>
    <n v="34.159999999999997"/>
    <n v="2.58"/>
    <n v="16.3"/>
    <n v="0.4"/>
    <n v="13.240310077519378"/>
    <n v="2.0957055214723925"/>
    <n v="2.29"/>
    <n v="4.55"/>
    <n v="1.33"/>
    <n v="85.399999999999991"/>
    <s v="NO"/>
    <n v="0.54021319389739775"/>
    <n v="0.13957062675246729"/>
    <n v="0.27351905505900481"/>
    <n v="0.91960357948454363"/>
    <n v="-0.65553766560534221"/>
    <n v="4.2116583108007886"/>
    <x v="0"/>
    <x v="0"/>
    <x v="0"/>
    <x v="0"/>
    <x v="0"/>
    <x v="1"/>
  </r>
  <r>
    <x v="3"/>
    <s v="PLAB"/>
    <n v="1062"/>
    <n v="18.329999999999998"/>
    <n v="1.46"/>
    <n v="18.11"/>
    <n v="1.93"/>
    <n v="12.554794520547944"/>
    <n v="1.0121479845389287"/>
    <n v="11.93"/>
    <n v="8.16"/>
    <n v="1.55"/>
    <n v="9.4974093264248705"/>
    <s v="NO"/>
    <n v="0.4940357982606457"/>
    <n v="-0.60836191506272663"/>
    <n v="0.89727087441195874"/>
    <n v="1.665546186016408"/>
    <n v="-0.25353547345711808"/>
    <n v="0.57908016664534812"/>
    <x v="0"/>
    <x v="0"/>
    <x v="0"/>
    <x v="0"/>
    <x v="0"/>
    <x v="0"/>
  </r>
  <r>
    <x v="3"/>
    <s v="ACMR"/>
    <n v="1440"/>
    <n v="25.02"/>
    <n v="1.44"/>
    <n v="14.86"/>
    <n v="1.57"/>
    <n v="17.375"/>
    <n v="1.6837146702557202"/>
    <n v="12.68"/>
    <n v="5.43"/>
    <n v="2.04"/>
    <n v="15.936305732484076"/>
    <s v="NO"/>
    <n v="0.81873234702820752"/>
    <n v="-0.14480870157295844"/>
    <n v="0.94579928359398313"/>
    <n v="1.1014400043454966"/>
    <n v="0.64183304541847197"/>
    <n v="0.88723558202136965"/>
    <x v="0"/>
    <x v="0"/>
    <x v="0"/>
    <x v="0"/>
    <x v="0"/>
    <x v="0"/>
  </r>
  <r>
    <x v="3"/>
    <s v="SKYT"/>
    <n v="434"/>
    <n v="9.24"/>
    <n v="1.1299999999999999"/>
    <n v="1.1100000000000001"/>
    <n v="-0.18"/>
    <n v="8.176991150442479"/>
    <n v="8.3243243243243246"/>
    <n v="-6.91"/>
    <n v="1.28"/>
    <n v="6.12"/>
    <n v="-51.333333333333336"/>
    <s v="NO"/>
    <n v="0.199140144638462"/>
    <n v="4.4389147173293741"/>
    <n v="-0.32176276424049471"/>
    <n v="0.24391595528532004"/>
    <n v="8.0971464270764475"/>
    <n v="-2.3321831290818085"/>
    <x v="0"/>
    <x v="1"/>
    <x v="0"/>
    <x v="0"/>
    <x v="1"/>
    <x v="0"/>
  </r>
  <r>
    <x v="3"/>
    <s v="VECO"/>
    <n v="1126"/>
    <n v="21.45"/>
    <n v="0.98"/>
    <n v="13.93"/>
    <n v="1.07"/>
    <n v="21.887755102040817"/>
    <n v="1.5398420674802584"/>
    <n v="8.51"/>
    <n v="3.28"/>
    <n v="1.58"/>
    <n v="20.046728971962615"/>
    <s v="NO"/>
    <n v="1.1227185595065245"/>
    <n v="-0.24411768870432338"/>
    <n v="0.67598132854192727"/>
    <n v="0.65718055724203162"/>
    <n v="-0.19871699270963294"/>
    <n v="1.083953948159518"/>
    <x v="0"/>
    <x v="0"/>
    <x v="0"/>
    <x v="0"/>
    <x v="0"/>
    <x v="0"/>
  </r>
  <r>
    <x v="3"/>
    <s v="HIMX"/>
    <n v="1426"/>
    <n v="8.83"/>
    <n v="0.56999999999999995"/>
    <n v="5.2"/>
    <n v="0.5"/>
    <n v="15.49122807017544"/>
    <n v="1.698076923076923"/>
    <n v="9.7799999999999994"/>
    <n v="2.97"/>
    <n v="1.8"/>
    <n v="17.66"/>
    <s v="NO"/>
    <n v="0.69183853578164323"/>
    <n v="-0.1348950644170071"/>
    <n v="0.75815610142348866"/>
    <n v="0.59312454393874137"/>
    <n v="0.20328519943859116"/>
    <n v="0.96972886805836711"/>
    <x v="0"/>
    <x v="0"/>
    <x v="0"/>
    <x v="0"/>
    <x v="0"/>
    <x v="0"/>
  </r>
  <r>
    <x v="3"/>
    <s v="UCTT"/>
    <n v="875"/>
    <n v="21.34"/>
    <n v="0.56999999999999995"/>
    <n v="19.329999999999998"/>
    <n v="0.62"/>
    <n v="37.438596491228076"/>
    <n v="1.1039834454216244"/>
    <n v="4.29"/>
    <n v="2.9"/>
    <n v="2.17"/>
    <n v="34.41935483870968"/>
    <s v="NO"/>
    <n v="2.1702474565681587"/>
    <n v="-0.54497189898554432"/>
    <n v="0.40292814621106993"/>
    <n v="0.57866028287025639"/>
    <n v="0.8793797953242406"/>
    <n v="1.771805128657431"/>
    <x v="0"/>
    <x v="0"/>
    <x v="0"/>
    <x v="0"/>
    <x v="0"/>
    <x v="0"/>
  </r>
  <r>
    <x v="3"/>
    <s v="AOSL"/>
    <n v="632"/>
    <n v="24.51"/>
    <n v="0.32"/>
    <n v="29.79"/>
    <n v="-0.78"/>
    <n v="76.59375"/>
    <n v="0.82275931520644519"/>
    <n v="-2.5499999999999998"/>
    <n v="-1.01"/>
    <n v="1.26"/>
    <n v="-31.423076923076923"/>
    <s v="NO"/>
    <n v="4.80779958270855"/>
    <n v="-0.73908865915950983"/>
    <n v="-3.9650945528992752E-2"/>
    <n v="-0.22927201395511482"/>
    <n v="-0.78344745401614091"/>
    <n v="-1.3793096943466254"/>
    <x v="1"/>
    <x v="0"/>
    <x v="0"/>
    <x v="0"/>
    <x v="0"/>
    <x v="0"/>
  </r>
  <r>
    <x v="3"/>
    <s v="ICHR"/>
    <n v="538"/>
    <n v="18.62"/>
    <n v="0.31"/>
    <n v="20.53"/>
    <n v="-0.49"/>
    <n v="60.064516129032263"/>
    <n v="0.90696541646371165"/>
    <n v="-2.35"/>
    <n v="-0.28999999999999998"/>
    <n v="1.44"/>
    <n v="-38"/>
    <s v="NO"/>
    <n v="3.694364644186964"/>
    <n v="-0.68096485751263691"/>
    <n v="-2.6710036413786258E-2"/>
    <n v="-8.0496757250698645E-2"/>
    <n v="-0.45453656953123034"/>
    <n v="-1.6940708482546416"/>
    <x v="1"/>
    <x v="0"/>
    <x v="0"/>
    <x v="0"/>
    <x v="0"/>
    <x v="0"/>
  </r>
  <r>
    <x v="3"/>
    <s v="CEVA"/>
    <n v="449"/>
    <n v="21.41"/>
    <n v="0.04"/>
    <n v="11.25"/>
    <n v="-0.28000000000000003"/>
    <n v="535.25"/>
    <n v="1.9031111111111112"/>
    <n v="-2.5099999999999998"/>
    <n v="-1.42"/>
    <n v="1.1499999999999999"/>
    <n v="-76.464285714285708"/>
    <s v="NO"/>
    <n v="35.703598959004267"/>
    <n v="6.6310993429902305E-3"/>
    <n v="-3.7062763705951449E-2"/>
    <n v="-0.31399125735624073"/>
    <n v="-0.98444855009025312"/>
    <n v="-3.5349108298194416"/>
    <x v="1"/>
    <x v="0"/>
    <x v="0"/>
    <x v="0"/>
    <x v="0"/>
    <x v="1"/>
  </r>
  <r>
    <x v="3"/>
    <s v="IMOS"/>
    <n v="673"/>
    <n v="19.77"/>
    <n v="-0.01"/>
    <n v="1.05"/>
    <n v="0.05"/>
    <n v="-1977"/>
    <n v="18.828571428571426"/>
    <n v="4.6100000000000003"/>
    <n v="1.43"/>
    <n v="1.73"/>
    <n v="395.4"/>
    <s v="NO"/>
    <n v="-133.52547397546226"/>
    <n v="11.689538674750892"/>
    <n v="0.42363360079540041"/>
    <n v="0.27491080043207339"/>
    <n v="7.5375411027792452E-2"/>
    <n v="19.047768840032422"/>
    <x v="1"/>
    <x v="1"/>
    <x v="0"/>
    <x v="0"/>
    <x v="0"/>
    <x v="1"/>
  </r>
  <r>
    <x v="3"/>
    <s v="PDFS"/>
    <n v="693"/>
    <n v="19.64"/>
    <n v="-0.1"/>
    <n v="6.36"/>
    <n v="0.03"/>
    <n v="-196.4"/>
    <n v="3.0880503144654088"/>
    <n v="0.6"/>
    <n v="-0.12"/>
    <n v="1.57"/>
    <n v="654.66666666666674"/>
    <s v="NO"/>
    <n v="-13.581484616476851"/>
    <n v="0.82454298685512661"/>
    <n v="0.1641683730355098"/>
    <n v="-4.5369266084378156E-2"/>
    <n v="-0.21698981962546132"/>
    <n v="31.45586214071669"/>
    <x v="1"/>
    <x v="0"/>
    <x v="0"/>
    <x v="0"/>
    <x v="0"/>
    <x v="1"/>
  </r>
  <r>
    <x v="3"/>
    <s v="AEHR"/>
    <n v="284"/>
    <n v="11.78"/>
    <n v="-0.21"/>
    <n v="4.17"/>
    <n v="0.78"/>
    <n v="-56.095238095238095"/>
    <n v="2.8249400479616305"/>
    <n v="21.69"/>
    <n v="0.28999999999999998"/>
    <n v="1.17"/>
    <n v="15.1025641025641"/>
    <s v="NO"/>
    <n v="-4.130337324036244"/>
    <n v="0.64292943732385888"/>
    <n v="1.5287872392340367"/>
    <n v="3.9349977316747733E-2"/>
    <n v="-0.94790289625859636"/>
    <n v="0.84733402403970992"/>
    <x v="1"/>
    <x v="0"/>
    <x v="0"/>
    <x v="0"/>
    <x v="0"/>
    <x v="0"/>
  </r>
  <r>
    <x v="3"/>
    <s v="COHU"/>
    <n v="794"/>
    <n v="19.100000000000001"/>
    <n v="-0.25"/>
    <n v="17.8"/>
    <n v="-1.84"/>
    <n v="-76.400000000000006"/>
    <n v="1.0730337078651686"/>
    <n v="-9.8699999999999992"/>
    <n v="-4.6399999999999997"/>
    <n v="1.18"/>
    <n v="-10.380434782608695"/>
    <s v="NO"/>
    <n v="-5.4980977114570537"/>
    <n v="-0.56633515390288292"/>
    <n v="-0.51328821914555101"/>
    <n v="-0.97934726650654635"/>
    <n v="-0.92963006934276793"/>
    <n v="-0.37224206653032249"/>
    <x v="1"/>
    <x v="0"/>
    <x v="0"/>
    <x v="0"/>
    <x v="0"/>
    <x v="0"/>
  </r>
  <r>
    <x v="3"/>
    <s v="NVTS"/>
    <n v="979"/>
    <n v="7.3"/>
    <n v="-0.31"/>
    <n v="1.78"/>
    <n v="-0.53"/>
    <n v="-23.548387096774192"/>
    <n v="4.1011235955056176"/>
    <n v="-26.43"/>
    <n v="-17.59"/>
    <n v="1.08"/>
    <n v="-13.773584905660377"/>
    <s v="NO"/>
    <n v="-1.9379307476977976"/>
    <n v="1.5238233188233119"/>
    <n v="-1.5847954938846502"/>
    <n v="-3.6552355641762544"/>
    <n v="-1.1123583385010514"/>
    <n v="-0.53463287384603431"/>
    <x v="0"/>
    <x v="0"/>
    <x v="0"/>
    <x v="1"/>
    <x v="0"/>
    <x v="0"/>
  </r>
  <r>
    <x v="3"/>
    <s v="LAES"/>
    <n v="389"/>
    <n v="3.91"/>
    <n v="-0.33"/>
    <n v="0.72"/>
    <n v="-0.6"/>
    <n v="-11.848484848484848"/>
    <n v="5.4305555555555562"/>
    <n v="-51.15"/>
    <n v="-17.12"/>
    <n v="1.25"/>
    <n v="-6.5166666666666675"/>
    <s v="NO"/>
    <n v="-1.1498071091658493"/>
    <n v="2.4414722586890338"/>
    <n v="-3.1842918605241755"/>
    <n v="-3.5581183827164278"/>
    <n v="-0.80172028093196923"/>
    <n v="-0.1873282251514935"/>
    <x v="0"/>
    <x v="0"/>
    <x v="1"/>
    <x v="1"/>
    <x v="0"/>
    <x v="0"/>
  </r>
  <r>
    <x v="3"/>
    <s v="POET"/>
    <n v="366"/>
    <n v="4.21"/>
    <n v="-0.52"/>
    <n v="0.42"/>
    <n v="-0.66"/>
    <n v="-8.0961538461538449"/>
    <n v="10.023809523809524"/>
    <n v="-236.1"/>
    <n v="-58.46"/>
    <n v="2"/>
    <n v="-6.378787878787878"/>
    <s v="NO"/>
    <n v="-0.8970442484363309"/>
    <n v="5.6119952799228106"/>
    <n v="-15.151397564811397"/>
    <n v="-12.100297705161656"/>
    <n v="0.56874173775515846"/>
    <n v="-0.18072956406566704"/>
    <x v="0"/>
    <x v="1"/>
    <x v="1"/>
    <x v="1"/>
    <x v="0"/>
    <x v="0"/>
  </r>
  <r>
    <x v="3"/>
    <s v="INDI"/>
    <n v="516"/>
    <n v="3.03"/>
    <n v="-0.52"/>
    <n v="2.09"/>
    <n v="-0.75"/>
    <n v="-5.8269230769230766"/>
    <n v="1.4497607655502391"/>
    <n v="-32.94"/>
    <n v="-11.22"/>
    <n v="2.2400000000000002"/>
    <n v="-4.04"/>
    <s v="NO"/>
    <n v="-0.74418532939909754"/>
    <n v="-0.30629688530999327"/>
    <n v="-2.0060220855846222"/>
    <n v="-2.3389878069441279"/>
    <n v="1.0072895837350397"/>
    <n v="-6.8798868987847192E-2"/>
    <x v="0"/>
    <x v="0"/>
    <x v="0"/>
    <x v="0"/>
    <x v="0"/>
    <x v="0"/>
  </r>
  <r>
    <x v="3"/>
    <s v="MXL"/>
    <n v="984"/>
    <n v="12.58"/>
    <n v="-1.06"/>
    <n v="5.71"/>
    <n v="-2.64"/>
    <n v="-11.867924528301886"/>
    <n v="2.2031523642732047"/>
    <n v="-39.36"/>
    <n v="-10.27"/>
    <n v="1.73"/>
    <n v="-4.7651515151515147"/>
    <s v="NO"/>
    <n v="-1.1511165962764396"/>
    <n v="0.21373649935897546"/>
    <n v="-2.4214252681827513"/>
    <n v="-2.1426871210146898"/>
    <n v="7.5375411027792452E-2"/>
    <n v="-0.10350347553374287"/>
    <x v="0"/>
    <x v="0"/>
    <x v="0"/>
    <x v="0"/>
    <x v="0"/>
    <x v="0"/>
  </r>
  <r>
    <x v="3"/>
    <s v="SMTGY"/>
    <n v="763"/>
    <n v="2.2200000000000002"/>
    <n v="-1.33"/>
    <n v="17.38"/>
    <n v="-4.3899999999999997"/>
    <n v="-1.6691729323308271"/>
    <n v="0.12773302646720369"/>
    <n v="-22.1"/>
    <n v="-4.74"/>
    <n v="2.94"/>
    <n v="-0.50569476082004561"/>
    <s v="NO"/>
    <n v="-0.46411280378958797"/>
    <n v="-1.2188350141489102"/>
    <n v="-1.3046248115404293"/>
    <n v="-1.0000104966043821"/>
    <n v="2.2863874678430252"/>
    <n v="0.10034739931059231"/>
    <x v="0"/>
    <x v="0"/>
    <x v="0"/>
    <x v="0"/>
    <x v="0"/>
    <x v="0"/>
  </r>
  <r>
    <x v="3"/>
    <s v="SEDG"/>
    <n v="1055"/>
    <n v="18.72"/>
    <n v="-2.87"/>
    <n v="10.19"/>
    <n v="-30.49"/>
    <n v="-6.5226480836236931"/>
    <n v="1.8370951913640825"/>
    <n v="-123.3"/>
    <n v="-25.21"/>
    <n v="4.25"/>
    <n v="-0.6139717940308298"/>
    <s v="NO"/>
    <n v="-0.79105044947125236"/>
    <n v="-3.8936812810893798E-2"/>
    <n v="-7.8527248238349241"/>
    <n v="-5.2297736976313258"/>
    <n v="4.680127793816542"/>
    <n v="9.5165431463842376E-2"/>
    <x v="0"/>
    <x v="0"/>
    <x v="1"/>
    <x v="1"/>
    <x v="1"/>
    <x v="0"/>
  </r>
  <r>
    <x v="3"/>
    <s v="JKS"/>
    <n v="934"/>
    <n v="19.100000000000001"/>
    <n v="-5.49"/>
    <n v="49.16"/>
    <n v="-5.04"/>
    <n v="-3.4790528233151186"/>
    <n v="0.38852725793327914"/>
    <n v="-9.06"/>
    <n v="-2.23"/>
    <n v="6.64"/>
    <n v="-3.78968253968254"/>
    <s v="NO"/>
    <n v="-0.58602913220993025"/>
    <n v="-1.0388201226617595"/>
    <n v="-0.46087753722896474"/>
    <n v="-0.481363421148709"/>
    <n v="9.047333426699522"/>
    <n v="-5.6819070572794318E-2"/>
    <x v="0"/>
    <x v="0"/>
    <x v="0"/>
    <x v="0"/>
    <x v="1"/>
    <x v="0"/>
  </r>
  <r>
    <x v="3"/>
    <s v="DQ"/>
    <n v="896"/>
    <n v="14.61"/>
    <n v="-8.94"/>
    <n v="64.67"/>
    <n v="-6.51"/>
    <n v="-1.6342281879194631"/>
    <n v="0.2259161898871192"/>
    <n v="-9.33"/>
    <n v="-4.74"/>
    <n v="1.46"/>
    <n v="-2.2442396313364057"/>
    <s v="NO"/>
    <n v="-0.46175887137813731"/>
    <n v="-1.1510634556694797"/>
    <n v="-0.47834776453449351"/>
    <n v="-1.0000104966043821"/>
    <n v="-0.41799091569957358"/>
    <n v="1.7143386862174842E-2"/>
    <x v="0"/>
    <x v="0"/>
    <x v="0"/>
    <x v="0"/>
    <x v="0"/>
    <x v="0"/>
  </r>
  <r>
    <x v="3"/>
    <s v="CSIQ"/>
    <n v="705"/>
    <n v="11.03"/>
    <n v="-39.96"/>
    <n v="41.35"/>
    <n v="-0.34"/>
    <n v="-0.27602602602602599"/>
    <n v="0.26674727932285364"/>
    <n v="-4.91"/>
    <n v="-7.0000000000000007E-2"/>
    <n v="5.0199999999999996"/>
    <n v="-32.441176470588232"/>
    <s v="NO"/>
    <n v="-0.37026825829631238"/>
    <n v="-1.1228795342201587"/>
    <n v="-0.19235367308842963"/>
    <n v="-3.503765103546036E-2"/>
    <n v="6.087135466335325"/>
    <n v="-1.4280343311744916"/>
    <x v="0"/>
    <x v="0"/>
    <x v="0"/>
    <x v="0"/>
    <x v="1"/>
    <x v="0"/>
  </r>
  <r>
    <x v="4"/>
    <s v="DGNX"/>
    <n v="1237"/>
    <n v="64.3"/>
    <m/>
    <m/>
    <m/>
    <s v=""/>
    <s v=""/>
    <n v="22.93"/>
    <n v="-395.93"/>
    <n v="-7.0000000000000007E-2"/>
    <s v=""/>
    <s v="NO"/>
    <e v="#VALUE!"/>
    <e v="#VALUE!"/>
    <n v="0.7816979130390026"/>
    <n v="-52.476177570078235"/>
    <n v="-1.6628753375395076"/>
    <e v="#VALUE!"/>
    <x v="1"/>
    <x v="1"/>
    <x v="0"/>
    <x v="1"/>
    <x v="0"/>
    <x v="1"/>
  </r>
  <r>
    <x v="4"/>
    <s v="DJCO"/>
    <n v="580"/>
    <n v="422.3"/>
    <n v="4.5999999999999996"/>
    <n v="242.8"/>
    <n v="76.72"/>
    <n v="91.804347826086968"/>
    <n v="1.7392915980230643"/>
    <n v="37.54"/>
    <n v="1.05"/>
    <n v="1.4"/>
    <n v="5.5044316996871743"/>
    <s v="NO"/>
    <n v="3.5777095479781722"/>
    <n v="-0.69631117816421528"/>
    <n v="1.1450498799350004"/>
    <n v="0.16444745549899845"/>
    <n v="-0.43941777031180562"/>
    <n v="0.3019767451339449"/>
    <x v="1"/>
    <x v="0"/>
    <x v="0"/>
    <x v="0"/>
    <x v="0"/>
    <x v="0"/>
  </r>
  <r>
    <x v="4"/>
    <s v="CCSI"/>
    <n v="429"/>
    <n v="22.88"/>
    <n v="4.46"/>
    <n v="-2.5299999999999998"/>
    <n v="4.32"/>
    <n v="5.1300448430493271"/>
    <n v="-9.0434782608695663"/>
    <n v="-83.72"/>
    <n v="14.92"/>
    <n v="-12.76"/>
    <n v="5.2962962962962958"/>
    <s v="NO"/>
    <n v="-0.27879927589962339"/>
    <n v="-3.5340825527069595"/>
    <n v="-1.8706968350416378"/>
    <n v="2.0036470854671489"/>
    <n v="-12.224560050545996"/>
    <n v="0.29514587515535762"/>
    <x v="0"/>
    <x v="1"/>
    <x v="0"/>
    <x v="0"/>
    <x v="1"/>
    <x v="0"/>
  </r>
  <r>
    <x v="4"/>
    <s v="KARO"/>
    <n v="1715"/>
    <n v="57.5"/>
    <n v="3.34"/>
    <n v="5.54"/>
    <n v="1.59"/>
    <n v="17.21556886227545"/>
    <n v="10.379061371841155"/>
    <n v="30"/>
    <n v="17.48"/>
    <n v="1.59"/>
    <n v="36.163522012578618"/>
    <s v="NO"/>
    <n v="0.25893715136018236"/>
    <n v="1.5774729856107998"/>
    <n v="0.95752942610913983"/>
    <n v="2.3431100308686243"/>
    <n v="-0.28128379903747669"/>
    <n v="1.3081883563119761"/>
    <x v="0"/>
    <x v="0"/>
    <x v="0"/>
    <x v="0"/>
    <x v="0"/>
    <x v="0"/>
  </r>
  <r>
    <x v="4"/>
    <s v="RPD"/>
    <n v="1474"/>
    <n v="23.61"/>
    <n v="2.4"/>
    <n v="0.82"/>
    <n v="0.41"/>
    <n v="9.8375000000000004"/>
    <n v="28.792682926829269"/>
    <n v="-155.51"/>
    <n v="1.03"/>
    <n v="31.2"/>
    <n v="57.585365853658537"/>
    <s v="NO"/>
    <n v="-6.9344550266096802E-2"/>
    <n v="6.4235050195148293"/>
    <n v="-3.6561203602616019"/>
    <n v="0.16179540123804942"/>
    <n v="24.362647197977662"/>
    <n v="2.0112394835880476"/>
    <x v="0"/>
    <x v="1"/>
    <x v="1"/>
    <x v="0"/>
    <x v="1"/>
    <x v="0"/>
  </r>
  <r>
    <x v="4"/>
    <s v="VRNT"/>
    <n v="1057"/>
    <n v="19.11"/>
    <n v="1.77"/>
    <n v="14.27"/>
    <n v="1.04"/>
    <n v="10.796610169491524"/>
    <n v="1.3391730903994394"/>
    <n v="6.41"/>
    <n v="3.2"/>
    <n v="2.58"/>
    <n v="18.375"/>
    <s v="NO"/>
    <n v="-2.6669654657892637E-2"/>
    <n v="-0.80161295704088087"/>
    <n v="0.37084408051868212"/>
    <n v="0.44954328855101883"/>
    <n v="0.54267741970771033"/>
    <n v="0.72438051295836958"/>
    <x v="0"/>
    <x v="0"/>
    <x v="0"/>
    <x v="0"/>
    <x v="0"/>
    <x v="0"/>
  </r>
  <r>
    <x v="4"/>
    <s v="ADEA"/>
    <n v="1393"/>
    <n v="13.75"/>
    <n v="1.69"/>
    <n v="3.59"/>
    <n v="0.66"/>
    <n v="8.1360946745562135"/>
    <n v="3.8300835654596104"/>
    <n v="20.43"/>
    <n v="8.58"/>
    <n v="2.79"/>
    <n v="20.833333333333332"/>
    <s v="NO"/>
    <n v="-0.14504731826932762"/>
    <n v="-0.14606391582260192"/>
    <n v="0.71952269625323984"/>
    <n v="1.1629458847463072"/>
    <n v="0.71745707216881061"/>
    <n v="0.80506143071886471"/>
    <x v="0"/>
    <x v="0"/>
    <x v="0"/>
    <x v="0"/>
    <x v="0"/>
    <x v="0"/>
  </r>
  <r>
    <x v="4"/>
    <s v="EGHSF"/>
    <n v="1052"/>
    <n v="17.04"/>
    <n v="1.64"/>
    <n v="7.6"/>
    <n v="1.06"/>
    <n v="10.390243902439025"/>
    <n v="2.2421052631578946"/>
    <n v="14.61"/>
    <n v="7.14"/>
    <n v="1.43"/>
    <n v="16.075471698113205"/>
    <s v="YES"/>
    <n v="-4.4750620303742029E-2"/>
    <n v="-0.56398244961662503"/>
    <n v="0.57477879157598399"/>
    <n v="0.97199797795797704"/>
    <n v="-0.41444924853164844"/>
    <n v="0.64891147411940275"/>
    <x v="0"/>
    <x v="0"/>
    <x v="0"/>
    <x v="0"/>
    <x v="0"/>
    <x v="0"/>
  </r>
  <r>
    <x v="4"/>
    <s v="RDWR"/>
    <n v="995"/>
    <n v="24.58"/>
    <n v="1.62"/>
    <n v="7.62"/>
    <n v="0.27"/>
    <n v="15.172839506172837"/>
    <n v="3.2257217847769026"/>
    <n v="3.34"/>
    <n v="0.06"/>
    <n v="1.99"/>
    <n v="91.037037037037024"/>
    <s v="NO"/>
    <n v="0.16804742377684501"/>
    <n v="-0.3051177195792184"/>
    <n v="0.29449291430576541"/>
    <n v="3.31707695820216E-2"/>
    <n v="5.162982469795234E-2"/>
    <n v="3.1091018015666068"/>
    <x v="0"/>
    <x v="0"/>
    <x v="0"/>
    <x v="0"/>
    <x v="0"/>
    <x v="1"/>
  </r>
  <r>
    <x v="4"/>
    <s v="TMVWY"/>
    <n v="1783"/>
    <n v="6.01"/>
    <n v="1.59"/>
    <n v="0.73"/>
    <n v="0.88"/>
    <n v="3.7798742138364778"/>
    <n v="8.2328767123287676"/>
    <n v="165.16"/>
    <n v="9.44"/>
    <n v="17.59"/>
    <n v="6.8295454545454541"/>
    <s v="NO"/>
    <n v="-0.33887411660897415"/>
    <n v="1.0126476697644973"/>
    <n v="4.318970346414619"/>
    <n v="1.2769842179671151"/>
    <n v="13.035261150379686"/>
    <n v="0.34546612569490304"/>
    <x v="0"/>
    <x v="0"/>
    <x v="1"/>
    <x v="0"/>
    <x v="1"/>
    <x v="0"/>
  </r>
  <r>
    <x v="4"/>
    <s v="SPNS"/>
    <n v="1604"/>
    <n v="30.03"/>
    <n v="1.41"/>
    <n v="8.24"/>
    <n v="1.3"/>
    <n v="21.297872340425535"/>
    <n v="3.6444174757281553"/>
    <n v="15.88"/>
    <n v="7.74"/>
    <n v="1.55"/>
    <n v="23.1"/>
    <s v="NO"/>
    <n v="0.44057621672784786"/>
    <n v="-0.19492686305769361"/>
    <n v="0.60636380170315163"/>
    <n v="1.051559605786448"/>
    <n v="-0.3145751614110196"/>
    <n v="0.87945197184040635"/>
    <x v="0"/>
    <x v="0"/>
    <x v="0"/>
    <x v="0"/>
    <x v="0"/>
    <x v="0"/>
  </r>
  <r>
    <x v="4"/>
    <s v="OSPN"/>
    <n v="609"/>
    <n v="16.75"/>
    <n v="1.31"/>
    <n v="6.06"/>
    <n v="1.48"/>
    <n v="12.786259541984732"/>
    <n v="2.7640264026402641"/>
    <n v="28.92"/>
    <n v="10.81"/>
    <n v="1.44"/>
    <n v="11.317567567567568"/>
    <s v="NO"/>
    <n v="6.1858318424793918E-2"/>
    <n v="-0.42662508330222382"/>
    <n v="0.93066973245769025"/>
    <n v="1.4586499348421238"/>
    <n v="-0.40612640793826271"/>
    <n v="0.49276012285070842"/>
    <x v="0"/>
    <x v="0"/>
    <x v="0"/>
    <x v="0"/>
    <x v="0"/>
    <x v="0"/>
  </r>
  <r>
    <x v="4"/>
    <s v="DYNDF"/>
    <n v="497"/>
    <n v="7.5"/>
    <n v="1.29"/>
    <n v="3.17"/>
    <n v="-1.61"/>
    <n v="5.8139534883720927"/>
    <n v="2.3659305993690851"/>
    <n v="-39.56"/>
    <n v="3.59"/>
    <n v="7.41"/>
    <n v="-4.658385093167702"/>
    <s v="NO"/>
    <n v="-0.24836926798909287"/>
    <n v="-0.53139453397513003"/>
    <n v="-0.77243380573792408"/>
    <n v="0.50125834663952484"/>
    <n v="4.5626094263130161"/>
    <n v="-3.1560360986450417E-2"/>
    <x v="0"/>
    <x v="0"/>
    <x v="0"/>
    <x v="0"/>
    <x v="1"/>
    <x v="0"/>
  </r>
  <r>
    <x v="4"/>
    <s v="PD"/>
    <n v="1314"/>
    <n v="16.07"/>
    <n v="1.2"/>
    <n v="1.59"/>
    <n v="-0.4"/>
    <n v="13.391666666666667"/>
    <n v="10.10691823899371"/>
    <n v="-19.13"/>
    <n v="-3.27"/>
    <n v="6.36"/>
    <n v="-40.174999999999997"/>
    <s v="NO"/>
    <n v="8.8795459399914151E-2"/>
    <n v="1.5058513149010277"/>
    <n v="-0.2643379341646705"/>
    <n v="-0.40839626486599134"/>
    <n v="3.6887111640075152"/>
    <n v="-1.1971928029238004"/>
    <x v="0"/>
    <x v="0"/>
    <x v="0"/>
    <x v="0"/>
    <x v="1"/>
    <x v="0"/>
  </r>
  <r>
    <x v="4"/>
    <s v="MGIC"/>
    <n v="777"/>
    <n v="16.149999999999999"/>
    <n v="1.18"/>
    <n v="5.49"/>
    <n v="0.76"/>
    <n v="13.686440677966102"/>
    <n v="2.9417122040072856"/>
    <n v="15.25"/>
    <n v="7.21"/>
    <n v="1.98"/>
    <n v="21.249999999999996"/>
    <s v="NO"/>
    <n v="0.10191121039532275"/>
    <n v="-0.37986236023750236"/>
    <n v="0.59069564707313937"/>
    <n v="0.98128016787129868"/>
    <n v="4.3306984104566605E-2"/>
    <n v="0.81873616254267745"/>
    <x v="0"/>
    <x v="0"/>
    <x v="0"/>
    <x v="0"/>
    <x v="0"/>
    <x v="0"/>
  </r>
  <r>
    <x v="4"/>
    <s v="RDVT"/>
    <n v="678"/>
    <n v="44.11"/>
    <n v="1.08"/>
    <n v="6.58"/>
    <n v="0.61"/>
    <n v="40.842592592592588"/>
    <n v="6.7036474164133741"/>
    <n v="9.86"/>
    <n v="6.57"/>
    <n v="1.08"/>
    <n v="72.311475409836063"/>
    <s v="NO"/>
    <n v="1.3102040477985659"/>
    <n v="0.61019049244822954"/>
    <n v="0.45664587968303477"/>
    <n v="0.89641443152092981"/>
    <n v="-0.70574866930014879"/>
    <n v="2.4945409211612013"/>
    <x v="0"/>
    <x v="0"/>
    <x v="0"/>
    <x v="0"/>
    <x v="0"/>
    <x v="0"/>
  </r>
  <r>
    <x v="4"/>
    <s v="MITK"/>
    <n v="428"/>
    <n v="10.34"/>
    <n v="1.02"/>
    <n v="4.84"/>
    <n v="0.28999999999999998"/>
    <n v="10.137254901960784"/>
    <n v="2.1363636363636362"/>
    <n v="6.11"/>
    <n v="2.78"/>
    <n v="1.93"/>
    <n v="35.655172413793103"/>
    <s v="NO"/>
    <n v="-5.6007178235096808E-2"/>
    <n v="-0.5918111583381469"/>
    <n v="0.36338305450439057"/>
    <n v="0.39385014907108928"/>
    <n v="1.6927811376379331E-3"/>
    <n v="1.2915046496652529"/>
    <x v="0"/>
    <x v="0"/>
    <x v="0"/>
    <x v="0"/>
    <x v="0"/>
    <x v="0"/>
  </r>
  <r>
    <x v="4"/>
    <s v="DCBO"/>
    <n v="810"/>
    <n v="28.05"/>
    <n v="0.91"/>
    <n v="1.75"/>
    <n v="0.74"/>
    <n v="30.824175824175825"/>
    <n v="16.028571428571428"/>
    <n v="41.12"/>
    <n v="5.74"/>
    <n v="3.77"/>
    <n v="37.905405405405403"/>
    <s v="NO"/>
    <n v="0.86444202446570229"/>
    <n v="3.0642911342851682"/>
    <n v="1.2340847903722125"/>
    <n v="0.7863541796915452"/>
    <n v="1.5330954503206118"/>
    <n v="1.3653558481485988"/>
    <x v="0"/>
    <x v="0"/>
    <x v="0"/>
    <x v="0"/>
    <x v="0"/>
    <x v="0"/>
  </r>
  <r>
    <x v="4"/>
    <s v="CRNC"/>
    <n v="368"/>
    <n v="10.050000000000001"/>
    <n v="0.89"/>
    <n v="3.45"/>
    <n v="-7.93"/>
    <n v="11.292134831460675"/>
    <n v="2.9130434782608696"/>
    <n v="-109.88"/>
    <n v="0.69"/>
    <n v="4.46"/>
    <n v="-1.2673392181588905"/>
    <s v="NO"/>
    <n v="-4.6216523600595685E-3"/>
    <n v="-0.38740729445500321"/>
    <n v="-2.5212983034878595"/>
    <n v="0.11671047880191594"/>
    <n v="2.107371451264227"/>
    <n v="7.9731582076730381E-2"/>
    <x v="0"/>
    <x v="0"/>
    <x v="0"/>
    <x v="0"/>
    <x v="0"/>
    <x v="0"/>
  </r>
  <r>
    <x v="4"/>
    <s v="OPRA"/>
    <n v="1642"/>
    <n v="18.91"/>
    <n v="0.88"/>
    <n v="10.39"/>
    <n v="0.93"/>
    <n v="21.488636363636363"/>
    <n v="1.820019249278152"/>
    <n v="9.1999999999999993"/>
    <n v="5.79"/>
    <n v="1.1200000000000001"/>
    <n v="20.333333333333332"/>
    <s v="NO"/>
    <n v="0.44906412044868843"/>
    <n v="-0.67506555937946233"/>
    <n v="0.44023162245159336"/>
    <n v="0.79298431534391778"/>
    <n v="-0.67245730692660588"/>
    <n v="0.78865175253028941"/>
    <x v="0"/>
    <x v="0"/>
    <x v="0"/>
    <x v="0"/>
    <x v="0"/>
    <x v="0"/>
  </r>
  <r>
    <x v="4"/>
    <s v="PGY"/>
    <n v="1245"/>
    <n v="17.309999999999999"/>
    <n v="0.83"/>
    <n v="4.45"/>
    <n v="-5.0599999999999996"/>
    <n v="20.855421686746986"/>
    <n v="3.8898876404494378"/>
    <n v="-62.58"/>
    <n v="5.0199999999999996"/>
    <n v="3.81"/>
    <n v="-3.4209486166007905"/>
    <s v="NO"/>
    <n v="0.42088970306328743"/>
    <n v="-0.13032489010768519"/>
    <n v="-1.3449432019012277"/>
    <n v="0.69088022629738022"/>
    <n v="1.5663868126941547"/>
    <n v="9.0515077320846675E-3"/>
    <x v="0"/>
    <x v="0"/>
    <x v="0"/>
    <x v="0"/>
    <x v="0"/>
    <x v="0"/>
  </r>
  <r>
    <x v="4"/>
    <s v="ATEN"/>
    <n v="1244"/>
    <n v="18.34"/>
    <n v="0.83"/>
    <n v="2.73"/>
    <n v="0.67"/>
    <n v="22.096385542168676"/>
    <n v="6.7179487179487181"/>
    <n v="24.36"/>
    <n v="5.72"/>
    <n v="3.09"/>
    <n v="27.373134328358208"/>
    <s v="NO"/>
    <n v="0.47610546937275222"/>
    <n v="0.61395425859058428"/>
    <n v="0.81726213704045891"/>
    <n v="0.78370212543059614"/>
    <n v="0.96714228997038221"/>
    <n v="1.0196934902102306"/>
    <x v="0"/>
    <x v="0"/>
    <x v="0"/>
    <x v="0"/>
    <x v="0"/>
    <x v="0"/>
  </r>
  <r>
    <x v="4"/>
    <s v="OOMA"/>
    <n v="376"/>
    <n v="13.27"/>
    <n v="0.76"/>
    <n v="3.2"/>
    <n v="-0.19"/>
    <n v="17.460526315789473"/>
    <n v="4.1468749999999996"/>
    <n v="-5.81"/>
    <n v="-1.75"/>
    <n v="1.7"/>
    <n v="-69.84210526315789"/>
    <s v="NO"/>
    <n v="0.26983635156645736"/>
    <n v="-6.2691862407435003E-2"/>
    <n v="6.6931620869873615E-2"/>
    <n v="-0.20684014103386533"/>
    <n v="-0.18973255251023377"/>
    <n v="-2.1708481032338205"/>
    <x v="0"/>
    <x v="0"/>
    <x v="0"/>
    <x v="0"/>
    <x v="0"/>
    <x v="0"/>
  </r>
  <r>
    <x v="4"/>
    <s v="PRO"/>
    <n v="842"/>
    <n v="19.71"/>
    <n v="0.68"/>
    <n v="-1.38"/>
    <n v="-0.27"/>
    <n v="28.985294117647058"/>
    <n v="-14.282608695652176"/>
    <n v="17.100000000000001"/>
    <n v="-1.88"/>
    <n v="-6.49"/>
    <n v="-73"/>
    <s v="NO"/>
    <n v="0.78262234685394805"/>
    <n v="-4.912898438595545"/>
    <n v="0.63670530749460386"/>
    <n v="-0.224078493730034"/>
    <n v="-7.006138998493145"/>
    <n v="-2.2744881760037701"/>
    <x v="0"/>
    <x v="1"/>
    <x v="0"/>
    <x v="0"/>
    <x v="1"/>
    <x v="0"/>
  </r>
  <r>
    <x v="4"/>
    <s v="EVCM"/>
    <n v="1827"/>
    <n v="10.3"/>
    <n v="0.6"/>
    <n v="4.04"/>
    <n v="-0.13"/>
    <n v="17.166666666666668"/>
    <n v="2.5495049504950495"/>
    <n v="-3.14"/>
    <n v="2.08"/>
    <n v="1.91"/>
    <n v="-79.230769230769241"/>
    <s v="NO"/>
    <n v="0.25676128443790469"/>
    <n v="-0.4830820831352472"/>
    <n v="0.13333475239706827"/>
    <n v="0.3010282499378733"/>
    <n v="-1.4952900049133536E-2"/>
    <n v="-2.4789780118921705"/>
    <x v="0"/>
    <x v="0"/>
    <x v="0"/>
    <x v="0"/>
    <x v="0"/>
    <x v="0"/>
  </r>
  <r>
    <x v="4"/>
    <s v="SPT"/>
    <n v="1270"/>
    <n v="21.88"/>
    <n v="0.52"/>
    <n v="3.01"/>
    <n v="-1.04"/>
    <n v="42.076923076923073"/>
    <n v="7.2691029900332227"/>
    <n v="-36.950000000000003"/>
    <n v="-8.48"/>
    <n v="2.42"/>
    <n v="-21.038461538461537"/>
    <s v="NO"/>
    <n v="1.365124667181377"/>
    <n v="0.75900509772988645"/>
    <n v="-0.70752287941358771"/>
    <n v="-1.0992563998432128"/>
    <n v="0.40951197021353858"/>
    <n v="-0.56914392732951968"/>
    <x v="0"/>
    <x v="0"/>
    <x v="0"/>
    <x v="0"/>
    <x v="0"/>
    <x v="0"/>
  </r>
  <r>
    <x v="4"/>
    <s v="TRAK"/>
    <n v="399"/>
    <n v="21.77"/>
    <n v="0.48"/>
    <n v="2.68"/>
    <n v="0.34"/>
    <n v="45.354166666666664"/>
    <n v="8.1231343283582085"/>
    <n v="14.17"/>
    <n v="7.02"/>
    <n v="1.1200000000000001"/>
    <n v="64.02941176470587"/>
    <s v="NO"/>
    <n v="1.5109431899368071"/>
    <n v="0.98376605586740595"/>
    <n v="0.5638359534216898"/>
    <n v="0.95608565239228283"/>
    <n v="-0.67245730692660588"/>
    <n v="2.2227289228534302"/>
    <x v="0"/>
    <x v="0"/>
    <x v="0"/>
    <x v="0"/>
    <x v="0"/>
    <x v="0"/>
  </r>
  <r>
    <x v="4"/>
    <s v="CGNT"/>
    <n v="785"/>
    <n v="11.2"/>
    <n v="0.47"/>
    <n v="2.75"/>
    <n v="-0.17"/>
    <n v="23.829787234042552"/>
    <n v="4.0727272727272723"/>
    <n v="-3.35"/>
    <n v="-0.66"/>
    <n v="2.5099999999999998"/>
    <n v="-65.882352941176464"/>
    <s v="NO"/>
    <n v="0.55323189196820766"/>
    <n v="-8.2205799985210312E-2"/>
    <n v="0.12811203418706421"/>
    <n v="-6.2303183812143371E-2"/>
    <n v="0.48441753555401001"/>
    <n v="-2.0408915806134624"/>
    <x v="0"/>
    <x v="0"/>
    <x v="0"/>
    <x v="0"/>
    <x v="0"/>
    <x v="0"/>
  </r>
  <r>
    <x v="4"/>
    <s v="WEAV"/>
    <n v="726"/>
    <n v="9.8800000000000008"/>
    <n v="0.41"/>
    <n v="0.92"/>
    <n v="-0.41"/>
    <n v="24.09756097560976"/>
    <n v="10.739130434782609"/>
    <n v="-42.2"/>
    <n v="-10.64"/>
    <n v="2.75"/>
    <n v="-24.09756097560976"/>
    <s v="NO"/>
    <n v="0.56514628598829919"/>
    <n v="1.6722346927644591"/>
    <n v="-0.83809083466368961"/>
    <n v="-1.3856782600257078"/>
    <n v="0.68416570979526758"/>
    <n v="-0.669541601950428"/>
    <x v="0"/>
    <x v="0"/>
    <x v="0"/>
    <x v="0"/>
    <x v="0"/>
    <x v="0"/>
  </r>
  <r>
    <x v="4"/>
    <s v="YEXT"/>
    <n v="836"/>
    <n v="8.75"/>
    <n v="0.38"/>
    <n v="1.21"/>
    <n v="-0.22"/>
    <n v="23.026315789473685"/>
    <n v="7.2314049586776861"/>
    <n v="-18.61"/>
    <n v="-0.37"/>
    <n v="3.98"/>
    <n v="-39.772727272727273"/>
    <s v="NO"/>
    <n v="0.51748202598635973"/>
    <n v="0.7490838626801436"/>
    <n v="-0.25140548907323185"/>
    <n v="-2.3848397028382474E-2"/>
    <n v="1.7078751027817123"/>
    <n v="-1.1839904709266285"/>
    <x v="0"/>
    <x v="0"/>
    <x v="0"/>
    <x v="0"/>
    <x v="0"/>
    <x v="0"/>
  </r>
  <r>
    <x v="4"/>
    <s v="NABL"/>
    <n v="1473"/>
    <n v="8.1999999999999993"/>
    <n v="0.38"/>
    <n v="4.0999999999999996"/>
    <n v="0.08"/>
    <n v="21.578947368421051"/>
    <n v="2"/>
    <n v="2.2000000000000002"/>
    <n v="3.46"/>
    <n v="1.74"/>
    <n v="102.49999999999999"/>
    <s v="NO"/>
    <n v="0.45308244162184608"/>
    <n v="-0.62769885963060712"/>
    <n v="0.26614101545145757"/>
    <n v="0.48401999394335615"/>
    <n v="-0.15644119013669083"/>
    <n v="3.4853088681861668"/>
    <x v="0"/>
    <x v="0"/>
    <x v="0"/>
    <x v="0"/>
    <x v="0"/>
    <x v="1"/>
  </r>
  <r>
    <x v="4"/>
    <s v="XNET"/>
    <n v="350"/>
    <n v="6.13"/>
    <n v="0.35"/>
    <n v="5.09"/>
    <n v="-0.05"/>
    <n v="17.514285714285716"/>
    <n v="1.2043222003929273"/>
    <n v="-1.22"/>
    <n v="-0.11"/>
    <n v="1.53"/>
    <n v="-122.6"/>
    <s v="NO"/>
    <n v="0.27222833612856795"/>
    <n v="-0.83710253907777243"/>
    <n v="0.1810853188885341"/>
    <n v="1.0628308363954874E-2"/>
    <n v="-0.33122084259779111"/>
    <n v="-3.9023282523104417"/>
    <x v="0"/>
    <x v="0"/>
    <x v="0"/>
    <x v="0"/>
    <x v="0"/>
    <x v="1"/>
  </r>
  <r>
    <x v="4"/>
    <s v="SEMR"/>
    <n v="1458"/>
    <n v="10.050000000000001"/>
    <n v="0.28999999999999998"/>
    <n v="1.82"/>
    <n v="0.05"/>
    <n v="34.65517241379311"/>
    <n v="5.5219780219780219"/>
    <n v="2.37"/>
    <n v="1.19"/>
    <n v="1.55"/>
    <n v="201"/>
    <s v="NO"/>
    <n v="1.0348993762253831"/>
    <n v="0.29920290525268128"/>
    <n v="0.27036893019288949"/>
    <n v="0.18301183532564161"/>
    <n v="-0.3145751614110196"/>
    <n v="6.7180154713355051"/>
    <x v="0"/>
    <x v="0"/>
    <x v="0"/>
    <x v="0"/>
    <x v="0"/>
    <x v="1"/>
  </r>
  <r>
    <x v="4"/>
    <s v="SMWB"/>
    <n v="620"/>
    <n v="8.2200000000000006"/>
    <n v="0.27"/>
    <n v="0.28999999999999998"/>
    <n v="-0.22"/>
    <n v="30.444444444444446"/>
    <n v="28.3448275862069"/>
    <n v="-83.47"/>
    <n v="-4.09"/>
    <n v="9.91"/>
    <n v="-37.363636363636367"/>
    <s v="NO"/>
    <n v="0.84754615837579639"/>
    <n v="6.3056400291472459"/>
    <n v="-1.8644793133630615"/>
    <n v="-0.51713048956490149"/>
    <n v="6.643319574659448"/>
    <n v="-1.1049256578362203"/>
    <x v="0"/>
    <x v="1"/>
    <x v="0"/>
    <x v="0"/>
    <x v="1"/>
    <x v="0"/>
  </r>
  <r>
    <x v="4"/>
    <s v="TCYSF"/>
    <n v="463"/>
    <n v="29.650099999999998"/>
    <n v="0.24"/>
    <n v="3.27"/>
    <n v="7.0000000000000007E-2"/>
    <n v="123.54208333333334"/>
    <n v="9.0673088685015291"/>
    <n v="4.5599999999999996"/>
    <n v="2.7"/>
    <n v="2.16"/>
    <n v="423.57285714285706"/>
    <s v="NO"/>
    <n v="4.9898565491204669"/>
    <n v="1.2322505842078761"/>
    <n v="0.32483442009721764"/>
    <n v="0.38324193202729312"/>
    <n v="0.19311811478550983"/>
    <n v="14.022713389787571"/>
    <x v="1"/>
    <x v="0"/>
    <x v="0"/>
    <x v="0"/>
    <x v="0"/>
    <x v="1"/>
  </r>
  <r>
    <x v="4"/>
    <s v="CMDXF"/>
    <n v="405"/>
    <n v="5.1543999999999999"/>
    <n v="0.24"/>
    <n v="0.72"/>
    <n v="0.19"/>
    <n v="21.476666666666667"/>
    <n v="7.1588888888888889"/>
    <n v="29.19"/>
    <n v="11.47"/>
    <n v="2.38"/>
    <n v="27.128421052631577"/>
    <s v="NO"/>
    <n v="0.44853153766008713"/>
    <n v="0.72999933896926406"/>
    <n v="0.93738465587055253"/>
    <n v="1.5461677254534416"/>
    <n v="0.37622060783999561"/>
    <n v="1.0116621580039382"/>
    <x v="0"/>
    <x v="0"/>
    <x v="0"/>
    <x v="0"/>
    <x v="0"/>
    <x v="0"/>
  </r>
  <r>
    <x v="4"/>
    <s v="ETWO"/>
    <n v="998"/>
    <n v="3.22"/>
    <n v="0.24"/>
    <n v="2.73"/>
    <n v="-2.14"/>
    <n v="13.416666666666668"/>
    <n v="1.1794871794871795"/>
    <n v="-58.96"/>
    <n v="-0.32"/>
    <n v="2.81"/>
    <n v="-1.5046728971962617"/>
    <s v="NO"/>
    <n v="8.9907815857119405E-2"/>
    <n v="-0.8436385323647273"/>
    <n v="-1.2549134879954433"/>
    <n v="-1.7218261376009909E-2"/>
    <n v="0.73410275335558206"/>
    <n v="7.1942443484102628E-2"/>
    <x v="0"/>
    <x v="0"/>
    <x v="0"/>
    <x v="0"/>
    <x v="0"/>
    <x v="0"/>
  </r>
  <r>
    <x v="4"/>
    <s v="RSKD"/>
    <n v="796"/>
    <n v="5.17"/>
    <n v="0.19"/>
    <n v="2.2599999999999998"/>
    <n v="-0.22"/>
    <n v="27.210526315789473"/>
    <n v="2.2876106194690267"/>
    <n v="-9"/>
    <n v="-5.83"/>
    <n v="1.28"/>
    <n v="-23.5"/>
    <s v="NO"/>
    <n v="0.70365536987649902"/>
    <n v="-0.55200651029695191"/>
    <n v="-1.2403955748759705E-2"/>
    <n v="-0.74785921026746682"/>
    <n v="-0.53929185743243424"/>
    <n v="-0.64993003533481353"/>
    <x v="0"/>
    <x v="0"/>
    <x v="0"/>
    <x v="0"/>
    <x v="0"/>
    <x v="0"/>
  </r>
  <r>
    <x v="4"/>
    <s v="ALLT"/>
    <n v="342"/>
    <n v="8.9499999999999993"/>
    <n v="0.17"/>
    <n v="1.26"/>
    <n v="-0.09"/>
    <n v="52.647058823529406"/>
    <n v="7.1031746031746028"/>
    <n v="-7.51"/>
    <n v="-1.82"/>
    <n v="2.81"/>
    <n v="-99.444444444444443"/>
    <s v="NO"/>
    <n v="1.8354350172323144"/>
    <n v="0.71533664958405885"/>
    <n v="2.4652473455554921E-2"/>
    <n v="-0.21612233094718694"/>
    <n v="0.73410275335558206"/>
    <n v="-3.1423778224217536"/>
    <x v="0"/>
    <x v="0"/>
    <x v="0"/>
    <x v="0"/>
    <x v="0"/>
    <x v="1"/>
  </r>
  <r>
    <x v="4"/>
    <s v="OLO"/>
    <n v="1456"/>
    <n v="8.75"/>
    <n v="0.14000000000000001"/>
    <n v="4.16"/>
    <n v="0.01"/>
    <n v="62.499999999999993"/>
    <n v="2.1033653846153846"/>
    <n v="0.49"/>
    <n v="-1.86"/>
    <n v="1.1000000000000001"/>
    <n v="875"/>
    <s v="NO"/>
    <n v="2.2738343268367305"/>
    <n v="-0.60049552195218769"/>
    <n v="0.22361316716999585"/>
    <n v="-0.221426439469085"/>
    <n v="-0.68910298811337733"/>
    <n v="28.838261669535036"/>
    <x v="0"/>
    <x v="0"/>
    <x v="0"/>
    <x v="0"/>
    <x v="0"/>
    <x v="1"/>
  </r>
  <r>
    <x v="4"/>
    <s v="MTLS"/>
    <n v="318"/>
    <n v="5.89"/>
    <n v="0.11"/>
    <n v="4.5599999999999996"/>
    <n v="0.17"/>
    <n v="53.54545454545454"/>
    <n v="1.2916666666666667"/>
    <n v="3.8"/>
    <n v="1.19"/>
    <n v="1.57"/>
    <n v="34.647058823529406"/>
    <s v="NO"/>
    <n v="1.8754084685286738"/>
    <n v="-0.81411553023310934"/>
    <n v="0.3059331541943458"/>
    <n v="0.18301183532564161"/>
    <n v="-0.29792948022424814"/>
    <n v="1.2584190104777397"/>
    <x v="0"/>
    <x v="0"/>
    <x v="0"/>
    <x v="0"/>
    <x v="0"/>
    <x v="0"/>
  </r>
  <r>
    <x v="4"/>
    <s v="TUYA"/>
    <n v="1470"/>
    <n v="2.85"/>
    <n v="0.11"/>
    <n v="1.63"/>
    <n v="0.03"/>
    <n v="25.90909090909091"/>
    <n v="1.7484662576687118"/>
    <n v="1.98"/>
    <n v="-1.73"/>
    <n v="1.1299999999999999"/>
    <n v="95"/>
    <s v="NO"/>
    <n v="0.64574896674543236"/>
    <n v="-0.69389662356884685"/>
    <n v="0.26066959637431047"/>
    <n v="-0.20418808677291631"/>
    <n v="-0.66413446633322026"/>
    <n v="3.2391636953575373"/>
    <x v="0"/>
    <x v="0"/>
    <x v="0"/>
    <x v="0"/>
    <x v="0"/>
    <x v="1"/>
  </r>
  <r>
    <x v="4"/>
    <s v="CVOSF"/>
    <n v="484"/>
    <n v="5.4429999999999996"/>
    <n v="0.1"/>
    <n v="1.32"/>
    <n v="-0.14000000000000001"/>
    <n v="54.429999999999993"/>
    <n v="4.1234848484848481"/>
    <n v="-9.01"/>
    <n v="-6.4"/>
    <n v="1.82"/>
    <n v="-38.878571428571419"/>
    <s v="NO"/>
    <n v="1.9147656624508806"/>
    <n v="-6.8847600059683406E-2"/>
    <n v="-1.2652656615902751E-2"/>
    <n v="-0.82344275670451417"/>
    <n v="-8.9858465389604958E-2"/>
    <n v="-1.1546448516205656"/>
    <x v="0"/>
    <x v="0"/>
    <x v="0"/>
    <x v="0"/>
    <x v="0"/>
    <x v="0"/>
  </r>
  <r>
    <x v="4"/>
    <s v="KLTR"/>
    <n v="326"/>
    <n v="2.1800000000000002"/>
    <n v="0.08"/>
    <n v="0.15"/>
    <n v="-0.14000000000000001"/>
    <n v="27.25"/>
    <n v="14.533333333333335"/>
    <n v="-89.29"/>
    <n v="-6.17"/>
    <n v="7.63"/>
    <n v="-15.571428571428571"/>
    <s v="NO"/>
    <n v="0.70541172217734949"/>
    <n v="2.67077964138308"/>
    <n v="-2.0092232180403173"/>
    <n v="-0.79294413270360031"/>
    <n v="4.7457119193675021"/>
    <n v="-0.38971942405883347"/>
    <x v="0"/>
    <x v="0"/>
    <x v="0"/>
    <x v="0"/>
    <x v="1"/>
    <x v="0"/>
  </r>
  <r>
    <x v="4"/>
    <s v="AIP"/>
    <n v="326"/>
    <n v="8.01"/>
    <n v="0.03"/>
    <n v="-0.12"/>
    <n v="-0.82"/>
    <n v="267"/>
    <n v="-66.75"/>
    <n v="-1369.6"/>
    <n v="-18.89"/>
    <n v="-20.39"/>
    <n v="-9.7682926829268304"/>
    <s v="NO"/>
    <n v="11.372910146775554"/>
    <n v="-18.721081594579353"/>
    <n v="-33.850643939232299"/>
    <n v="-2.4796506426671812"/>
    <n v="-18.574887423299305"/>
    <n v="-0.19926423922906214"/>
    <x v="1"/>
    <x v="1"/>
    <x v="1"/>
    <x v="0"/>
    <x v="1"/>
    <x v="0"/>
  </r>
  <r>
    <x v="4"/>
    <s v="AMPL"/>
    <n v="1622"/>
    <n v="12.69"/>
    <n v="0.03"/>
    <n v="2.21"/>
    <n v="-0.75"/>
    <n v="423"/>
    <n v="5.7420814479638009"/>
    <n v="-32.86"/>
    <n v="-15.12"/>
    <n v="1.54"/>
    <n v="-16.919999999999998"/>
    <s v="NO"/>
    <n v="18.314014439736223"/>
    <n v="0.35712894929099642"/>
    <n v="-0.60580422475207973"/>
    <n v="-1.9797384144782897"/>
    <n v="-0.32289800200440533"/>
    <n v="-0.43397867037316229"/>
    <x v="1"/>
    <x v="0"/>
    <x v="0"/>
    <x v="0"/>
    <x v="0"/>
    <x v="0"/>
  </r>
  <r>
    <x v="4"/>
    <s v="HKD"/>
    <n v="654"/>
    <n v="2.0099999999999998"/>
    <n v="0.02"/>
    <n v="0.09"/>
    <n v="0.23"/>
    <n v="100.49999999999999"/>
    <n v="22.333333333333332"/>
    <n v="15.52"/>
    <n v="-0.34"/>
    <n v="27.23"/>
    <n v="8.7391304347826075"/>
    <s v="NO"/>
    <n v="3.9646161417886878"/>
    <n v="4.7235561553118099"/>
    <n v="0.59741057048600166"/>
    <n v="-1.9870315636958936E-2"/>
    <n v="21.058479482403531"/>
    <n v="0.4081374756937603"/>
    <x v="1"/>
    <x v="1"/>
    <x v="0"/>
    <x v="0"/>
    <x v="1"/>
    <x v="0"/>
  </r>
  <r>
    <x v="4"/>
    <s v="NXTT"/>
    <n v="833"/>
    <n v="1.44"/>
    <n v="0"/>
    <n v="0.97"/>
    <n v="6.62"/>
    <s v=""/>
    <n v="1.4845360824742269"/>
    <n v="80.540000000000006"/>
    <n v="-0.03"/>
    <n v="1.1499999999999999"/>
    <n v="0.2175226586102719"/>
    <s v="NO"/>
    <e v="#VALUE!"/>
    <n v="-0.76335683702478707"/>
    <n v="2.2144636086501204"/>
    <n v="2.1236525407750981E-2"/>
    <n v="-0.64748878514644881"/>
    <n v="0.12846379318126228"/>
    <x v="1"/>
    <x v="0"/>
    <x v="0"/>
    <x v="0"/>
    <x v="0"/>
    <x v="0"/>
  </r>
  <r>
    <x v="4"/>
    <s v="BLND"/>
    <n v="946"/>
    <n v="3.67"/>
    <n v="0"/>
    <n v="-7.0000000000000007E-2"/>
    <n v="-0.2"/>
    <s v=""/>
    <n v="-52.428571428571423"/>
    <n v="-41.62"/>
    <n v="-9.25"/>
    <n v="-11.15"/>
    <n v="-18.349999999999998"/>
    <s v="NO"/>
    <e v="#VALUE!"/>
    <n v="-14.952018489792627"/>
    <n v="-0.82366618436939254"/>
    <n v="-1.2013604888897502"/>
    <n v="-10.884582715010893"/>
    <n v="-0.48091034999248772"/>
    <x v="1"/>
    <x v="1"/>
    <x v="0"/>
    <x v="0"/>
    <x v="1"/>
    <x v="0"/>
  </r>
  <r>
    <x v="4"/>
    <s v="BCHPY"/>
    <n v="258"/>
    <n v="6.05"/>
    <n v="-0.01"/>
    <n v="0.01"/>
    <n v="-0.01"/>
    <n v="-605"/>
    <n v="605"/>
    <n v="-133.28"/>
    <n v="-69.41"/>
    <n v="1.1599999999999999"/>
    <n v="-605"/>
    <s v="NO"/>
    <n v="-27.426083080543048"/>
    <n v="158.06771625562897"/>
    <n v="-3.1032583326025995"/>
    <n v="-9.1787397058244231"/>
    <n v="-0.63916594455306308"/>
    <n v="-19.734385768647911"/>
    <x v="1"/>
    <x v="1"/>
    <x v="1"/>
    <x v="1"/>
    <x v="0"/>
    <x v="1"/>
  </r>
  <r>
    <x v="4"/>
    <s v="BTQQF"/>
    <n v="375"/>
    <n v="3.24"/>
    <n v="-0.03"/>
    <n v="0.04"/>
    <n v="-0.03"/>
    <n v="-108.00000000000001"/>
    <n v="81"/>
    <n v="-148.13999999999999"/>
    <n v="-61.23"/>
    <n v="1.24"/>
    <n v="-108.00000000000001"/>
    <s v="NO"/>
    <n v="-5.3124367113029738"/>
    <n v="20.163242755801409"/>
    <n v="-3.472827821177173"/>
    <n v="-8.0940495130962713"/>
    <n v="-0.57258321980597715"/>
    <n v="-3.423165649204043"/>
    <x v="1"/>
    <x v="1"/>
    <x v="1"/>
    <x v="1"/>
    <x v="0"/>
    <x v="1"/>
  </r>
  <r>
    <x v="4"/>
    <s v="OCFT"/>
    <n v="277"/>
    <n v="7.21"/>
    <n v="-0.04"/>
    <n v="0.3"/>
    <n v="-0.08"/>
    <n v="-180.25"/>
    <n v="24.033333333333335"/>
    <n v="-25.94"/>
    <n v="-1.8"/>
    <n v="1.48"/>
    <n v="-90.125"/>
    <s v="NO"/>
    <n v="-8.527146872626103"/>
    <n v="5.1709561647578157"/>
    <n v="-0.4337032246890884"/>
    <n v="-0.21347027668623791"/>
    <n v="-0.37283504556471975"/>
    <n v="-2.8365196539624749"/>
    <x v="1"/>
    <x v="1"/>
    <x v="0"/>
    <x v="0"/>
    <x v="0"/>
    <x v="1"/>
  </r>
  <r>
    <x v="4"/>
    <s v="RZLV"/>
    <n v="487"/>
    <n v="2.06"/>
    <n v="-0.15"/>
    <n v="-0.18"/>
    <n v="-1.06"/>
    <n v="-13.733333333333334"/>
    <n v="-11.444444444444445"/>
    <n v="374.17"/>
    <n v="-772.93"/>
    <n v="-0.52"/>
    <n v="-1.9433962264150944"/>
    <s v="NO"/>
    <n v="-1.1181112966677662"/>
    <n v="-4.1659603722428065"/>
    <n v="9.5170671705715311"/>
    <n v="-102.46740038896738"/>
    <n v="-2.0374031642418649"/>
    <n v="5.7543826191499767E-2"/>
    <x v="0"/>
    <x v="1"/>
    <x v="1"/>
    <x v="1"/>
    <x v="0"/>
    <x v="0"/>
  </r>
  <r>
    <x v="4"/>
    <s v="RMNI"/>
    <n v="280"/>
    <n v="3.15"/>
    <n v="-0.21"/>
    <n v="-0.7"/>
    <n v="-0.38"/>
    <n v="-15"/>
    <n v="-4.5"/>
    <n v="68.47"/>
    <n v="7.86"/>
    <n v="-5.39"/>
    <n v="-8.2894736842105257"/>
    <s v="NO"/>
    <n v="-1.1744706904994979"/>
    <n v="-2.3383459545712162"/>
    <n v="1.9142816620084575"/>
    <n v="1.0674719313521421"/>
    <n v="-6.0906265332207141"/>
    <n v="-0.15073035149289066"/>
    <x v="0"/>
    <x v="0"/>
    <x v="0"/>
    <x v="0"/>
    <x v="1"/>
    <x v="0"/>
  </r>
  <r>
    <x v="4"/>
    <s v="QUBT"/>
    <n v="1596"/>
    <n v="14.34"/>
    <n v="-0.21"/>
    <n v="1.61"/>
    <n v="-0.42"/>
    <n v="-68.285714285714292"/>
    <n v="8.9068322981366457"/>
    <n v="-31.29"/>
    <n v="-10.84"/>
    <n v="1.1000000000000001"/>
    <n v="-34.142857142857146"/>
    <s v="NO"/>
    <n v="-3.5453790249997996"/>
    <n v="1.1900169259154578"/>
    <n v="-0.56675818861062066"/>
    <n v="-1.4121988026351979"/>
    <n v="-0.68910298811337733"/>
    <n v="-0.99922175677734548"/>
    <x v="1"/>
    <x v="0"/>
    <x v="0"/>
    <x v="0"/>
    <x v="0"/>
    <x v="0"/>
  </r>
  <r>
    <x v="4"/>
    <s v="IIIV"/>
    <n v="603"/>
    <n v="24.8"/>
    <n v="-0.25"/>
    <n v="15.79"/>
    <n v="-2.89"/>
    <n v="-99.2"/>
    <n v="1.5706143128562382"/>
    <n v="-0.56000000000000005"/>
    <n v="1.18"/>
    <n v="1.68"/>
    <n v="-8.5813148788927336"/>
    <s v="NO"/>
    <n v="-4.9208872383667304"/>
    <n v="-0.74070307168007687"/>
    <n v="0.19749957611997546"/>
    <n v="0.18168580819516711"/>
    <n v="-0.20637823369700525"/>
    <n v="-0.16030839166669944"/>
    <x v="1"/>
    <x v="0"/>
    <x v="0"/>
    <x v="0"/>
    <x v="0"/>
    <x v="0"/>
  </r>
  <r>
    <x v="4"/>
    <s v="FUFU"/>
    <n v="564"/>
    <n v="3.48"/>
    <n v="-0.32"/>
    <n v="1"/>
    <n v="0.33"/>
    <n v="-10.875"/>
    <n v="3.48"/>
    <n v="60.03"/>
    <n v="-1.83"/>
    <n v="2.3199999999999998"/>
    <n v="10.545454545454545"/>
    <s v="NO"/>
    <n v="-0.99093187506063418"/>
    <n v="-0.23819767493643776"/>
    <n v="1.7043781301397225"/>
    <n v="-0.21744835807766144"/>
    <n v="0.32628356427968119"/>
    <n v="0.4674198704145423"/>
    <x v="0"/>
    <x v="0"/>
    <x v="0"/>
    <x v="0"/>
    <x v="0"/>
    <x v="0"/>
  </r>
  <r>
    <x v="4"/>
    <s v="NN"/>
    <n v="1662"/>
    <n v="12.33"/>
    <n v="-0.35"/>
    <n v="0.05"/>
    <n v="-1.02"/>
    <n v="-35.228571428571428"/>
    <n v="246.6"/>
    <n v="-403.65"/>
    <n v="-17.55"/>
    <n v="40.86"/>
    <n v="-12.088235294117647"/>
    <s v="NO"/>
    <n v="-2.0745259724438481"/>
    <n v="63.745267205365224"/>
    <n v="-9.8273836775492711"/>
    <n v="-2.3019630071835966"/>
    <n v="32.402511211188276"/>
    <n v="-0.27540326256027098"/>
    <x v="0"/>
    <x v="1"/>
    <x v="1"/>
    <x v="0"/>
    <x v="1"/>
    <x v="0"/>
  </r>
  <r>
    <x v="4"/>
    <s v="LSPD"/>
    <n v="1440"/>
    <n v="11.67"/>
    <n v="-0.36"/>
    <n v="11.37"/>
    <n v="-4.34"/>
    <n v="-32.416666666666664"/>
    <n v="1.0263852242744065"/>
    <n v="-32.74"/>
    <n v="-2.95"/>
    <n v="1.1000000000000001"/>
    <n v="-2.6889400921658986"/>
    <s v="NO"/>
    <n v="-1.9494123556858116"/>
    <n v="-0.88393136542849005"/>
    <n v="-0.60281981434636323"/>
    <n v="-0.36596339669080702"/>
    <n v="-0.68910298811337733"/>
    <n v="3.3075556366625569E-2"/>
    <x v="0"/>
    <x v="0"/>
    <x v="0"/>
    <x v="0"/>
    <x v="0"/>
    <x v="0"/>
  </r>
  <r>
    <x v="4"/>
    <s v="APPS"/>
    <n v="496"/>
    <n v="5.1100000000000003"/>
    <n v="-0.38"/>
    <n v="1.56"/>
    <n v="-3.01"/>
    <n v="-13.447368421052632"/>
    <n v="3.2756410256410255"/>
    <n v="-101.69"/>
    <n v="-3.4"/>
    <n v="5.14"/>
    <n v="-1.6976744186046513"/>
    <s v="NO"/>
    <n v="-1.1053874999993833"/>
    <n v="-0.2919801496767796"/>
    <n v="-2.3176122932977008"/>
    <n v="-0.42563461756215998"/>
    <n v="2.673324611614456"/>
    <n v="6.5608257771668413E-2"/>
    <x v="0"/>
    <x v="0"/>
    <x v="0"/>
    <x v="0"/>
    <x v="0"/>
    <x v="0"/>
  </r>
  <r>
    <x v="4"/>
    <s v="DOMO"/>
    <n v="511"/>
    <n v="14.25"/>
    <n v="-0.43"/>
    <n v="-4.5"/>
    <n v="-1.89"/>
    <n v="-33.139534883720934"/>
    <n v="-3.1666666666666665"/>
    <n v="43.24"/>
    <n v="-16.86"/>
    <n v="-1.06"/>
    <n v="-7.5396825396825404"/>
    <s v="NO"/>
    <n v="-1.9815758408437618"/>
    <n v="-1.9874439863782705"/>
    <n v="1.2868093742065396"/>
    <n v="-2.2104671351808549"/>
    <n v="-2.4868365562846941"/>
    <n v="-0.12612268871219504"/>
    <x v="0"/>
    <x v="0"/>
    <x v="0"/>
    <x v="0"/>
    <x v="0"/>
    <x v="0"/>
  </r>
  <r>
    <x v="4"/>
    <s v="PRCH"/>
    <n v="941"/>
    <n v="11.045"/>
    <n v="-0.65"/>
    <n v="-0.51"/>
    <n v="-0.11"/>
    <n v="-16.992307692307691"/>
    <n v="-21.656862745098039"/>
    <n v="29.17"/>
    <n v="-2.65"/>
    <n v="-15.3"/>
    <n v="-100.40909090909091"/>
    <s v="NO"/>
    <n v="-1.2631169435506229"/>
    <n v="-6.8536286335245569"/>
    <n v="0.93688725413626661"/>
    <n v="-0.32618258277657147"/>
    <n v="-14.338561561265969"/>
    <n v="-3.1740368985229446"/>
    <x v="0"/>
    <x v="1"/>
    <x v="0"/>
    <x v="0"/>
    <x v="1"/>
    <x v="1"/>
  </r>
  <r>
    <x v="4"/>
    <s v="ABXXF"/>
    <n v="288"/>
    <n v="8.3879999999999999"/>
    <n v="-0.7"/>
    <n v="1.06"/>
    <n v="-1"/>
    <n v="-11.982857142857144"/>
    <n v="7.9132075471698107"/>
    <n v="-128.19"/>
    <n v="-59.85"/>
    <n v="1.1299999999999999"/>
    <n v="-8.3879999999999999"/>
    <s v="NO"/>
    <n v="-1.0402251569213576"/>
    <n v="0.92851826534584203"/>
    <n v="-2.9766695912267864"/>
    <n v="-7.9110577690907888"/>
    <n v="-0.66413446633322026"/>
    <n v="-0.15396392176331308"/>
    <x v="0"/>
    <x v="0"/>
    <x v="1"/>
    <x v="1"/>
    <x v="0"/>
    <x v="0"/>
  </r>
  <r>
    <x v="4"/>
    <s v="EXOD"/>
    <n v="822"/>
    <n v="29.01"/>
    <n v="-0.71"/>
    <n v="8.42"/>
    <n v="1.44"/>
    <n v="-40.859154929577471"/>
    <n v="3.4453681710213777"/>
    <n v="20.56"/>
    <n v="7.42"/>
    <n v="1.0900000000000001"/>
    <n v="20.145833333333336"/>
    <s v="NO"/>
    <n v="-2.3250546090509414"/>
    <n v="-0.24731195764947778"/>
    <n v="0.72275580752609947"/>
    <n v="1.0091267376112634"/>
    <n v="-0.69742582870676306"/>
    <n v="0.7824981232095739"/>
    <x v="0"/>
    <x v="0"/>
    <x v="0"/>
    <x v="0"/>
    <x v="0"/>
    <x v="0"/>
  </r>
  <r>
    <x v="4"/>
    <s v="WULF"/>
    <n v="1375"/>
    <n v="4.53"/>
    <n v="-0.82"/>
    <n v="0.42"/>
    <n v="-0.33"/>
    <n v="-5.5243902439024399"/>
    <n v="10.785714285714286"/>
    <n v="-56.12"/>
    <n v="-11.56"/>
    <n v="5.22"/>
    <n v="-13.727272727272727"/>
    <s v="NO"/>
    <n v="-0.75286046257341621"/>
    <n v="1.6844944664979082"/>
    <n v="-1.1842824417268167"/>
    <n v="-1.507672756029363"/>
    <n v="2.7399073363615418"/>
    <n v="-0.32919541619447773"/>
    <x v="0"/>
    <x v="0"/>
    <x v="0"/>
    <x v="0"/>
    <x v="0"/>
    <x v="0"/>
  </r>
  <r>
    <x v="4"/>
    <s v="BTBT"/>
    <n v="490"/>
    <n v="2.65"/>
    <n v="-0.85"/>
    <n v="2.23"/>
    <n v="-0.51"/>
    <n v="-3.1176470588235294"/>
    <n v="1.1883408071748878"/>
    <n v="-23.29"/>
    <n v="-11.7"/>
    <n v="1.19"/>
    <n v="-5.1960784313725483"/>
    <s v="NO"/>
    <n v="-0.64577420966312737"/>
    <n v="-0.84130846582877905"/>
    <n v="-0.3677974948961798"/>
    <n v="-1.5262371358560061"/>
    <n v="-0.6141974227729059"/>
    <n v="-4.9207110274615058E-2"/>
    <x v="0"/>
    <x v="0"/>
    <x v="0"/>
    <x v="0"/>
    <x v="0"/>
    <x v="0"/>
  </r>
  <r>
    <x v="4"/>
    <s v="XPER"/>
    <n v="356"/>
    <n v="7.95"/>
    <n v="-0.99"/>
    <n v="9.1999999999999993"/>
    <n v="-0.43"/>
    <n v="-8.0303030303030312"/>
    <n v="0.86413043478260876"/>
    <n v="-1.46"/>
    <n v="-6.89"/>
    <n v="1.51"/>
    <n v="-18.488372093023255"/>
    <s v="NO"/>
    <n v="-0.86435919333925071"/>
    <n v="-0.92663300916454294"/>
    <n v="0.17511649807710086"/>
    <n v="-0.88841808609776518"/>
    <n v="-0.34786652378456256"/>
    <n v="-0.4854516330260702"/>
    <x v="0"/>
    <x v="0"/>
    <x v="0"/>
    <x v="0"/>
    <x v="0"/>
    <x v="0"/>
  </r>
  <r>
    <x v="4"/>
    <s v="DMRC"/>
    <n v="282"/>
    <n v="13.4"/>
    <n v="-1.1299999999999999"/>
    <n v="2.3199999999999998"/>
    <n v="-1.88"/>
    <n v="-11.858407079646019"/>
    <n v="5.7758620689655178"/>
    <n v="-60.08"/>
    <n v="-31.53"/>
    <n v="1.33"/>
    <n v="-7.127659574468086"/>
    <s v="NO"/>
    <n v="-1.0346878436648579"/>
    <n v="0.3660192140882082"/>
    <n v="-1.282767985115465"/>
    <n v="-4.1557489355869661"/>
    <n v="-0.4976776544655056"/>
    <n v="-0.11260036018125151"/>
    <x v="0"/>
    <x v="0"/>
    <x v="0"/>
    <x v="1"/>
    <x v="0"/>
    <x v="0"/>
  </r>
  <r>
    <x v="4"/>
    <s v="HIVE"/>
    <n v="325"/>
    <n v="2.0099999999999998"/>
    <n v="-1.42"/>
    <n v="3.1"/>
    <n v="-7.0000000000000007E-2"/>
    <n v="-1.4154929577464788"/>
    <n v="0.64838709677419348"/>
    <n v="-2.15"/>
    <n v="-9.0299999999999994"/>
    <n v="1.1000000000000001"/>
    <n v="-28.714285714285708"/>
    <s v="NO"/>
    <n v="-0.5700381254434701"/>
    <n v="-0.98341158061329459"/>
    <n v="0.15795613824423033"/>
    <n v="-1.172187892019311"/>
    <n v="-0.68910298811337733"/>
    <n v="-0.82105953644424168"/>
    <x v="0"/>
    <x v="0"/>
    <x v="0"/>
    <x v="0"/>
    <x v="0"/>
    <x v="0"/>
  </r>
  <r>
    <x v="4"/>
    <s v="ARQQ"/>
    <n v="309"/>
    <n v="26.22"/>
    <n v="-2.06"/>
    <n v="1.25"/>
    <n v="-1.96"/>
    <n v="-12.728155339805824"/>
    <n v="20.975999999999999"/>
    <n v="-160.52000000000001"/>
    <n v="-63.42"/>
    <n v="1.84"/>
    <n v="-13.377551020408163"/>
    <s v="NO"/>
    <n v="-1.0733866473981291"/>
    <n v="4.366337951691392"/>
    <n v="-3.7807194947002709"/>
    <n v="-8.3844494546701895"/>
    <n v="-7.3212784202833489E-2"/>
    <n v="-0.31771777486406422"/>
    <x v="0"/>
    <x v="1"/>
    <x v="1"/>
    <x v="1"/>
    <x v="0"/>
    <x v="0"/>
  </r>
  <r>
    <x v="4"/>
    <s v="VYX"/>
    <n v="1528"/>
    <n v="11.8"/>
    <n v="-2.4300000000000002"/>
    <n v="6.2"/>
    <n v="-1.1599999999999999"/>
    <n v="-4.8559670781893001"/>
    <n v="1.903225806451613"/>
    <n v="-22.14"/>
    <n v="1.02"/>
    <n v="5.0599999999999996"/>
    <n v="-10.17241379310345"/>
    <s v="NO"/>
    <n v="-0.72311946959235307"/>
    <n v="-0.65316755087041767"/>
    <n v="-0.33919689517472895"/>
    <n v="0.16046937410757489"/>
    <n v="2.6067418868673702"/>
    <n v="-0.21252723396347836"/>
    <x v="0"/>
    <x v="0"/>
    <x v="0"/>
    <x v="0"/>
    <x v="0"/>
    <x v="0"/>
  </r>
  <r>
    <x v="4"/>
    <s v="HUT"/>
    <n v="1591"/>
    <n v="18.55"/>
    <n v="-2.65"/>
    <n v="9.2200000000000006"/>
    <n v="-0.56000000000000005"/>
    <n v="-7.0000000000000009"/>
    <n v="2.011930585683297"/>
    <n v="-6.27"/>
    <n v="2.7"/>
    <n v="1.64"/>
    <n v="-33.125"/>
    <s v="NO"/>
    <n v="-0.81851662419382276"/>
    <n v="-0.62455901013213455"/>
    <n v="5.5491380981293269E-2"/>
    <n v="0.38324193202729312"/>
    <n v="-0.23966959607054819"/>
    <n v="-0.9658163404648884"/>
    <x v="0"/>
    <x v="0"/>
    <x v="0"/>
    <x v="0"/>
    <x v="0"/>
    <x v="0"/>
  </r>
  <r>
    <x v="4"/>
    <s v="GRRR"/>
    <n v="351"/>
    <n v="22.29"/>
    <n v="-2.94"/>
    <n v="4.05"/>
    <n v="-6.13"/>
    <n v="-7.5816326530612246"/>
    <n v="5.503703703703704"/>
    <n v="-101.83"/>
    <n v="9.67"/>
    <n v="2.1"/>
    <n v="-3.6362153344208807"/>
    <s v="NO"/>
    <n v="-0.84439593768798538"/>
    <n v="0.29439353456529949"/>
    <n v="-2.3210941054377034"/>
    <n v="1.3074828419680291"/>
    <n v="0.14318107122519541"/>
    <n v="1.9865926038076013E-3"/>
    <x v="0"/>
    <x v="0"/>
    <x v="0"/>
    <x v="0"/>
    <x v="0"/>
    <x v="0"/>
  </r>
  <r>
    <x v="5"/>
    <s v="DBD"/>
    <n v="1795"/>
    <n v="51.22"/>
    <n v="4.0199999999999996"/>
    <n v="26.27"/>
    <n v="-0.27"/>
    <n v="12.741293532338309"/>
    <n v="1.9497525694708793"/>
    <n v="-0.79"/>
    <n v="4.58"/>
    <n v="3.68"/>
    <n v="-189.7037037037037"/>
    <s v="NO"/>
    <n v="0.27113205684358932"/>
    <n v="0.99871936533266259"/>
    <n v="0.19298925898704203"/>
    <n v="0.75361877426827706"/>
    <n v="0.7836187335260677"/>
    <n v="-16.494652678856458"/>
    <x v="0"/>
    <x v="0"/>
    <x v="0"/>
    <x v="0"/>
    <x v="0"/>
    <x v="1"/>
  </r>
  <r>
    <x v="5"/>
    <s v="CMPO"/>
    <n v="1403"/>
    <n v="13.92"/>
    <n v="1.42"/>
    <n v="-0.85"/>
    <n v="-0.97"/>
    <n v="9.8028169014084519"/>
    <n v="-16.376470588235293"/>
    <n v="55.32"/>
    <n v="20.39"/>
    <n v="-3.35"/>
    <n v="-14.350515463917526"/>
    <s v="NO"/>
    <n v="-1.3375916337288607"/>
    <n v="-38.086176974002832"/>
    <n v="7.3327435370724894"/>
    <n v="5.8819026284353324"/>
    <n v="-1.6894855074114208"/>
    <n v="-0.88272923687489324"/>
    <x v="0"/>
    <x v="1"/>
    <x v="1"/>
    <x v="1"/>
    <x v="0"/>
    <x v="0"/>
  </r>
  <r>
    <x v="5"/>
    <s v="CRSR"/>
    <n v="930"/>
    <n v="9.51"/>
    <n v="0.67"/>
    <n v="5.75"/>
    <n v="-0.93"/>
    <n v="14.194029850746267"/>
    <n v="1.6539130434782607"/>
    <n v="-12.6"/>
    <n v="-2.1"/>
    <n v="2.04"/>
    <n v="-10.225806451612902"/>
    <s v="NO"/>
    <n v="1.0664595768852725"/>
    <n v="0.36777336478494649"/>
    <n v="-1.309782047806562"/>
    <n v="-1.413170355765621"/>
    <n v="0.20667834161461937"/>
    <n v="-0.51550100471697591"/>
    <x v="0"/>
    <x v="0"/>
    <x v="0"/>
    <x v="0"/>
    <x v="0"/>
    <x v="0"/>
  </r>
  <r>
    <x v="5"/>
    <s v="KODK"/>
    <n v="459"/>
    <n v="5.86"/>
    <n v="-1.54"/>
    <n v="6.97"/>
    <n v="0.52"/>
    <n v="-3.8051948051948052"/>
    <n v="0.84074605451936879"/>
    <n v="6.47"/>
    <n v="4.29"/>
    <n v="3.44"/>
    <n v="11.26923076923077"/>
    <s v="NO"/>
    <n v="-8.7875507668299129"/>
    <n v="-1.3664927301176091"/>
    <n v="1.1167927888195202"/>
    <n v="0.65955158149734439"/>
    <n v="0.69918843227073368"/>
    <n v="1.3982302415918693"/>
    <x v="1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22" tableType="queryTable" totalsRowShown="0">
  <autoFilter ref="A1:Z122" xr:uid="{1B3BB95A-07C7-4768-8185-A2A759A39458}"/>
  <sortState xmlns:xlrd2="http://schemas.microsoft.com/office/spreadsheetml/2017/richdata2" ref="A2:Z122">
    <sortCondition ref="A1:A122"/>
  </sortState>
  <tableColumns count="26">
    <tableColumn id="1" xr3:uid="{FDA9EBBF-F574-44F1-B885-6A5ED1C1C8A3}" uniqueName="1" name="Industry" queryTableFieldId="1" dataDxfId="119"/>
    <tableColumn id="2" xr3:uid="{8F96E341-8F97-4BC1-90E1-73E9D5DAC8C9}" uniqueName="2" name="Symbol" queryTableFieldId="2" dataDxfId="118"/>
    <tableColumn id="3" xr3:uid="{F543FE77-4EA4-4170-A3F2-7D6D401D6817}" uniqueName="3" name="Market Cap (M)" queryTableFieldId="44" dataDxfId="117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16"/>
    <tableColumn id="9" xr3:uid="{92CA53A2-ADA4-45CE-B0FD-3AD68E123166}" uniqueName="9" name="P/B" queryTableFieldId="46" dataDxfId="115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14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13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12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11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10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09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08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29" tableType="queryTable" totalsRowShown="0">
  <autoFilter ref="A1:Z129" xr:uid="{8A05384F-F989-4428-B033-1A9B3ACA4EBB}"/>
  <sortState xmlns:xlrd2="http://schemas.microsoft.com/office/spreadsheetml/2017/richdata2" ref="A2:Z129">
    <sortCondition ref="A1:A129"/>
  </sortState>
  <tableColumns count="26">
    <tableColumn id="1" xr3:uid="{3547F496-7B67-42E8-9760-1F3941836443}" uniqueName="1" name="Industry" queryTableFieldId="1" dataDxfId="107"/>
    <tableColumn id="2" xr3:uid="{0A09E186-076D-4A57-B743-EBD7817F4082}" uniqueName="2" name="Symbol" queryTableFieldId="2" dataDxfId="106"/>
    <tableColumn id="3" xr3:uid="{C567BD69-49B3-415C-87A5-73BCB80F1796}" uniqueName="3" name="Market Cap (M)" queryTableFieldId="43" dataDxfId="105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04"/>
    <tableColumn id="9" xr3:uid="{F1DC44A8-3710-4CCA-B495-699F6ACADE85}" uniqueName="9" name="P/B" queryTableFieldId="45" dataDxfId="103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02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01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00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99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98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97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96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61" tableType="queryTable" totalsRowShown="0">
  <autoFilter ref="A1:Z161" xr:uid="{DE7CBD96-9DC7-4F09-9B11-F8C87451A82B}"/>
  <sortState xmlns:xlrd2="http://schemas.microsoft.com/office/spreadsheetml/2017/richdata2" ref="A2:Z161">
    <sortCondition ref="A1:A161"/>
  </sortState>
  <tableColumns count="26">
    <tableColumn id="1" xr3:uid="{261FC5A1-AB9E-4068-9D87-D85D75FE0DD5}" uniqueName="1" name="Industry" queryTableFieldId="1" dataDxfId="59"/>
    <tableColumn id="2" xr3:uid="{4D1C6415-A4DE-450C-A6A0-32BD8F91DEB2}" uniqueName="2" name="Symbol" queryTableFieldId="2" dataDxfId="58"/>
    <tableColumn id="3" xr3:uid="{1913483F-1018-45E5-BBAD-415B97CDE58A}" uniqueName="3" name="Market Cap (M)" queryTableFieldId="43" dataDxfId="5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56"/>
    <tableColumn id="9" xr3:uid="{A85952D4-A3AB-4C1A-90DC-2E32ECE72481}" uniqueName="9" name="P/B" queryTableFieldId="45" dataDxfId="5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5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5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5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5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5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4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4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143"/>
    <tableColumn id="3" xr3:uid="{BB549C0D-7552-41A2-B049-C1E0C569FC5B}" uniqueName="3" name="P/FCF Q3" queryTableFieldId="3" dataDxfId="142"/>
    <tableColumn id="4" xr3:uid="{F8874757-4F98-4408-A256-B3DBB97E40A5}" uniqueName="4" name="P/FCF LB" queryTableFieldId="4" dataDxfId="141"/>
    <tableColumn id="5" xr3:uid="{7F92E8F9-91DF-48EA-A8F2-F3E13D8104D3}" uniqueName="5" name="P/FCF UB" queryTableFieldId="5" dataDxfId="140"/>
    <tableColumn id="6" xr3:uid="{837AC52A-2B15-4BFB-A555-2456F010C7C9}" uniqueName="6" name="P/B Q1" queryTableFieldId="6" dataDxfId="139"/>
    <tableColumn id="7" xr3:uid="{C672A3A3-8D6C-4E08-B6E3-1D85CD510A41}" uniqueName="7" name="P/B Q3" queryTableFieldId="7" dataDxfId="138"/>
    <tableColumn id="8" xr3:uid="{47FBFC34-1D36-49FE-8583-28072989EA1C}" uniqueName="8" name="P/B LB" queryTableFieldId="8" dataDxfId="137"/>
    <tableColumn id="9" xr3:uid="{98DADD72-A76B-4DE4-AB34-515EBE2E4A04}" uniqueName="9" name="P/B UB" queryTableFieldId="9" dataDxfId="136"/>
    <tableColumn id="10" xr3:uid="{C06AFB5F-1921-4B19-AFA7-04514BD3BC35}" uniqueName="10" name="ROE Q1" queryTableFieldId="10" dataDxfId="135"/>
    <tableColumn id="11" xr3:uid="{38FF7E38-2AC1-4486-B824-BCBE4156ADA7}" uniqueName="11" name="ROE Q3" queryTableFieldId="11" dataDxfId="134"/>
    <tableColumn id="12" xr3:uid="{1BBD6DC1-3C0C-48AF-9986-81D1F4A26368}" uniqueName="12" name="ROE LB" queryTableFieldId="12" dataDxfId="133"/>
    <tableColumn id="13" xr3:uid="{5775303C-3550-4762-86D0-7A82C106A3F0}" uniqueName="13" name="ROE UB" queryTableFieldId="13" dataDxfId="132"/>
    <tableColumn id="14" xr3:uid="{9FE06177-2E94-4066-A65B-77414C97B4DC}" uniqueName="14" name="ROA Q1" queryTableFieldId="14" dataDxfId="131"/>
    <tableColumn id="15" xr3:uid="{386179E5-15F0-4AED-9E0C-1EB211C80CEE}" uniqueName="15" name="ROA Q3" queryTableFieldId="15" dataDxfId="130"/>
    <tableColumn id="16" xr3:uid="{C7DC1506-2223-42A0-AC4B-68B0E14D2B9D}" uniqueName="16" name="ROA LB" queryTableFieldId="16" dataDxfId="129"/>
    <tableColumn id="17" xr3:uid="{C45AE1E6-1326-44B3-972F-838B081A78FC}" uniqueName="17" name="ROA UB" queryTableFieldId="17" dataDxfId="128"/>
    <tableColumn id="18" xr3:uid="{17D85B47-F40C-47C3-996F-C47242CFB7D2}" uniqueName="18" name="P/E Q1" queryTableFieldId="18" dataDxfId="127"/>
    <tableColumn id="19" xr3:uid="{44248722-1EBA-4DF8-B99D-B6B2F31E253B}" uniqueName="19" name="P/E Q3" queryTableFieldId="19" dataDxfId="126"/>
    <tableColumn id="20" xr3:uid="{93299C7A-5544-43AE-ACC5-72F0CB129F08}" uniqueName="20" name="P/E LB" queryTableFieldId="20" dataDxfId="125"/>
    <tableColumn id="21" xr3:uid="{3E027012-2DA9-4754-8880-25FEEDEFA94A}" uniqueName="21" name="P/E UB" queryTableFieldId="21" dataDxfId="124"/>
    <tableColumn id="22" xr3:uid="{FF2638EF-6EA0-401C-B7D8-A2BC49ECD2B0}" uniqueName="22" name="A/E Q1" queryTableFieldId="22" dataDxfId="123"/>
    <tableColumn id="23" xr3:uid="{546FB46A-BFEC-4020-A8E1-97073EBE991F}" uniqueName="23" name="A/E Q3" queryTableFieldId="23" dataDxfId="122"/>
    <tableColumn id="24" xr3:uid="{41F03CE5-975A-469D-B609-D8C5D8D172FA}" uniqueName="24" name="A/E LB" queryTableFieldId="24" dataDxfId="121"/>
    <tableColumn id="25" xr3:uid="{1863137D-3C8C-4A15-9A63-5E253392AFAD}" uniqueName="25" name="A/E UB" queryTableFieldId="25" dataDxfId="12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47"/>
    <tableColumn id="3" xr3:uid="{6D66145B-6613-41BC-8233-7356853CCFEF}" uniqueName="3" name="P/FCF Q3" queryTableFieldId="3" dataDxfId="46"/>
    <tableColumn id="4" xr3:uid="{90A69125-3CA2-4D0A-8F1A-65993DFA9D46}" uniqueName="4" name="P/FCF LB" queryTableFieldId="4" dataDxfId="45"/>
    <tableColumn id="5" xr3:uid="{BED6E3D4-DC60-428F-B5E8-4C3C64096FD7}" uniqueName="5" name="P/FCF UB" queryTableFieldId="5" dataDxfId="44"/>
    <tableColumn id="6" xr3:uid="{FC33B186-B76E-4D86-8EBD-E25B773D256E}" uniqueName="6" name="P/B Q1" queryTableFieldId="6" dataDxfId="43"/>
    <tableColumn id="7" xr3:uid="{D82D1432-7C03-4449-BD2D-F895D50A5F32}" uniqueName="7" name="P/B Q3" queryTableFieldId="7" dataDxfId="42"/>
    <tableColumn id="8" xr3:uid="{D3389429-24FB-4947-AACF-CAA92D678F94}" uniqueName="8" name="P/B LB" queryTableFieldId="8" dataDxfId="41"/>
    <tableColumn id="9" xr3:uid="{452E932D-DD5B-4C62-A8B3-25C90C8C7751}" uniqueName="9" name="P/B UB" queryTableFieldId="9" dataDxfId="40"/>
    <tableColumn id="10" xr3:uid="{99E11285-9679-47B1-9540-1BD10239596C}" uniqueName="10" name="ROE Q1" queryTableFieldId="10" dataDxfId="39"/>
    <tableColumn id="11" xr3:uid="{B4F1825A-C678-4C01-BB96-B04FAB1938BD}" uniqueName="11" name="ROE Q3" queryTableFieldId="11" dataDxfId="38"/>
    <tableColumn id="12" xr3:uid="{9F07026D-928C-42B1-8DD2-9BD3176C8B6A}" uniqueName="12" name="ROE LB" queryTableFieldId="12" dataDxfId="37"/>
    <tableColumn id="13" xr3:uid="{47360B1B-7AC4-49FA-9F18-2F1F1B72CA28}" uniqueName="13" name="ROE UB" queryTableFieldId="13" dataDxfId="36"/>
    <tableColumn id="14" xr3:uid="{58B0248D-BCFF-4737-ADF5-EE087C03D561}" uniqueName="14" name="ROA Q1" queryTableFieldId="14" dataDxfId="35"/>
    <tableColumn id="15" xr3:uid="{CCD6E6AE-6BBB-4675-8C50-0F87AF280A3C}" uniqueName="15" name="ROA Q3" queryTableFieldId="15" dataDxfId="34"/>
    <tableColumn id="16" xr3:uid="{BB86731C-A605-4988-A848-B35835CAF73E}" uniqueName="16" name="ROA LB" queryTableFieldId="16" dataDxfId="33"/>
    <tableColumn id="17" xr3:uid="{9760AC7A-70E9-4457-8DC8-4BDA6646C74E}" uniqueName="17" name="ROA UB" queryTableFieldId="17" dataDxfId="32"/>
    <tableColumn id="18" xr3:uid="{931D5CA9-41B9-424B-87E6-FA364034B249}" uniqueName="18" name="P/E Q1" queryTableFieldId="18" dataDxfId="31"/>
    <tableColumn id="19" xr3:uid="{23E1DD3D-5F02-4A6D-9773-5EA3466661AF}" uniqueName="19" name="P/E Q3" queryTableFieldId="19" dataDxfId="30"/>
    <tableColumn id="20" xr3:uid="{478DC28A-5ACD-47E8-8720-6EEE2D43205B}" uniqueName="20" name="P/E LB" queryTableFieldId="20" dataDxfId="29"/>
    <tableColumn id="21" xr3:uid="{AC7D613F-0AC5-4542-BBED-886B4C332840}" uniqueName="21" name="P/E UB" queryTableFieldId="21" dataDxfId="28"/>
    <tableColumn id="22" xr3:uid="{1E3F527B-4B19-4D38-9A78-D4BBA95224B9}" uniqueName="22" name="A/E Q1" queryTableFieldId="22" dataDxfId="27"/>
    <tableColumn id="23" xr3:uid="{1256121C-1427-4F44-988A-E08E26F80A67}" uniqueName="23" name="A/E Q3" queryTableFieldId="23" dataDxfId="26"/>
    <tableColumn id="24" xr3:uid="{3F6A6F05-B80E-47C0-9039-80E1A481FF30}" uniqueName="24" name="A/E LB" queryTableFieldId="24" dataDxfId="25"/>
    <tableColumn id="25" xr3:uid="{08969B40-89DA-4EAE-925B-3C841EB86C63}" uniqueName="25" name="A/E UB" queryTableFieldId="25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22"/>
  <sheetViews>
    <sheetView workbookViewId="0">
      <selection activeCell="B24" sqref="B24"/>
    </sheetView>
  </sheetViews>
  <sheetFormatPr defaultRowHeight="15" x14ac:dyDescent="0.25"/>
  <cols>
    <col min="1" max="1" width="45.5703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165</v>
      </c>
      <c r="B2" s="67" t="s">
        <v>170</v>
      </c>
      <c r="C2" s="2">
        <v>16390</v>
      </c>
      <c r="D2">
        <f>RTD("tos.rtd", , "LAST", Main_L[[#This Row],[Symbol]])</f>
        <v>294.73</v>
      </c>
      <c r="E2">
        <v>14.31</v>
      </c>
      <c r="F2">
        <v>57.22</v>
      </c>
      <c r="G2">
        <v>10.53</v>
      </c>
      <c r="H2" s="1">
        <f>IF(ISNUMBER(Main_L[[#This Row],[Free CF]]),IF(Main_L[[#This Row],[Free CF]]&lt;&gt;0,Main_L[[#This Row],[Current Price]]/Main_L[[#This Row],[Free CF]],""),"")</f>
        <v>20.596086652690428</v>
      </c>
      <c r="I2" s="1">
        <f>IF(ISNUMBER(Main_L[[#This Row],[BVPS]]),IF(Main_L[[#This Row],[BVPS]]&lt;&gt;0,Main_L[[#This Row],[Current Price]]/Main_L[[#This Row],[BVPS]],""),"")</f>
        <v>5.150821391121986</v>
      </c>
      <c r="J2">
        <v>19.89</v>
      </c>
      <c r="K2">
        <v>8.08</v>
      </c>
      <c r="L2">
        <v>1.78</v>
      </c>
      <c r="M2" s="1">
        <f>IF(ISNUMBER(Main_L[[#This Row],[EPS]]),IF(Main_L[[#This Row],[EPS]]&lt;&gt;0,Main_L[[#This Row],[Current Price]]/Main_L[[#This Row],[EPS]],""),"")</f>
        <v>27.989553656220327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-0.38685799290941919</v>
      </c>
      <c r="P2" s="1">
        <f>(Main_L[[#This Row],[P/B]]-VLOOKUP(Main_L[[#This Row],[Industry]], Mean_PB_L, 2, FALSE))/(VLOOKUP(Main_L[[#This Row],[Industry]], Mean_PB_L, 3, FALSE))</f>
        <v>0.10626354375076158</v>
      </c>
      <c r="Q2" s="1">
        <f>(Main_L[[#This Row],[ROE]]-VLOOKUP(Main_L[[#This Row],[Industry]], Mean_ROE_L, 2, FALSE))/(VLOOKUP(Main_L[[#This Row],[Industry]], Mean_ROE_L, 3, FALSE))</f>
        <v>0.59828599724924403</v>
      </c>
      <c r="R2" s="1">
        <f>(Main_L[[#This Row],[ROA]]-VLOOKUP(Main_L[[#This Row],[Industry]], Mean_ROA_L, 2, FALSE))/(VLOOKUP(Main_L[[#This Row],[Industry]], Mean_ROA_L, 3, FALSE))</f>
        <v>0.29059487303089065</v>
      </c>
      <c r="S2" s="1">
        <f>(Main_L[[#This Row],[A/E]]-VLOOKUP(Main_L[[#This Row],[Industry]], Mean_AE_L, 2, FALSE))/(VLOOKUP(Main_L[[#This Row],[Industry]], Mean_AE_L, 3, FALSE))</f>
        <v>-0.80613176970028289</v>
      </c>
      <c r="T2" s="1">
        <f>(Main_L[[#This Row],[P/E]]-VLOOKUP(Main_L[[#This Row],[Industry]], Mean_PE_L, 2, FALSE))/(VLOOKUP(Main_L[[#This Row],[Industry]], Mean_PE_L, 3, FALSE))</f>
        <v>-0.70512116331245911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7" t="s">
        <v>165</v>
      </c>
      <c r="B3" s="67" t="s">
        <v>172</v>
      </c>
      <c r="C3" s="2">
        <v>69333</v>
      </c>
      <c r="D3">
        <f>RTD("tos.rtd", , "LAST", Main_L[[#This Row],[Symbol]])</f>
        <v>412.77</v>
      </c>
      <c r="E3">
        <v>13.6</v>
      </c>
      <c r="F3">
        <v>9.83</v>
      </c>
      <c r="G3">
        <v>11.91</v>
      </c>
      <c r="H3" s="1">
        <f>IF(ISNUMBER(Main_L[[#This Row],[Free CF]]),IF(Main_L[[#This Row],[Free CF]]&lt;&gt;0,Main_L[[#This Row],[Current Price]]/Main_L[[#This Row],[Free CF]],""),"")</f>
        <v>30.350735294117648</v>
      </c>
      <c r="I3" s="1">
        <f>IF(ISNUMBER(Main_L[[#This Row],[BVPS]]),IF(Main_L[[#This Row],[BVPS]]&lt;&gt;0,Main_L[[#This Row],[Current Price]]/Main_L[[#This Row],[BVPS]],""),"")</f>
        <v>41.990844354018307</v>
      </c>
      <c r="J3">
        <v>186.89</v>
      </c>
      <c r="K3">
        <v>13</v>
      </c>
      <c r="L3">
        <v>8.8000000000000007</v>
      </c>
      <c r="M3" s="1">
        <f>IF(ISNUMBER(Main_L[[#This Row],[EPS]]),IF(Main_L[[#This Row],[EPS]]&lt;&gt;0,Main_L[[#This Row],[Current Price]]/Main_L[[#This Row],[EPS]],""),"")</f>
        <v>34.657430730478588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0.40389965910645886</v>
      </c>
      <c r="P3" s="1">
        <f>(Main_L[[#This Row],[P/B]]-VLOOKUP(Main_L[[#This Row],[Industry]], Mean_PB_L, 2, FALSE))/(VLOOKUP(Main_L[[#This Row],[Industry]], Mean_PB_L, 3, FALSE))</f>
        <v>11.421930381731629</v>
      </c>
      <c r="Q3" s="1">
        <f>(Main_L[[#This Row],[ROE]]-VLOOKUP(Main_L[[#This Row],[Industry]], Mean_ROE_L, 2, FALSE))/(VLOOKUP(Main_L[[#This Row],[Industry]], Mean_ROE_L, 3, FALSE))</f>
        <v>15.740012145427771</v>
      </c>
      <c r="R3" s="1">
        <f>(Main_L[[#This Row],[ROA]]-VLOOKUP(Main_L[[#This Row],[Industry]], Mean_ROA_L, 2, FALSE))/(VLOOKUP(Main_L[[#This Row],[Industry]], Mean_ROA_L, 3, FALSE))</f>
        <v>1.298331807171494</v>
      </c>
      <c r="S3" s="1">
        <f>(Main_L[[#This Row],[A/E]]-VLOOKUP(Main_L[[#This Row],[Industry]], Mean_AE_L, 2, FALSE))/(VLOOKUP(Main_L[[#This Row],[Industry]], Mean_AE_L, 3, FALSE))</f>
        <v>11.202451834110835</v>
      </c>
      <c r="T3" s="1">
        <f>(Main_L[[#This Row],[P/E]]-VLOOKUP(Main_L[[#This Row],[Industry]], Mean_PE_L, 2, FALSE))/(VLOOKUP(Main_L[[#This Row],[Industry]], Mean_PE_L, 3, FALSE))</f>
        <v>0.17908745293550035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7" t="s">
        <v>165</v>
      </c>
      <c r="B4" s="67" t="s">
        <v>174</v>
      </c>
      <c r="C4" s="2">
        <v>23912</v>
      </c>
      <c r="D4">
        <f>RTD("tos.rtd", , "LAST", Main_L[[#This Row],[Symbol]])</f>
        <v>415.41</v>
      </c>
      <c r="E4">
        <v>12.1</v>
      </c>
      <c r="F4">
        <v>7.21</v>
      </c>
      <c r="G4">
        <v>9.08</v>
      </c>
      <c r="H4" s="1">
        <f>IF(ISNUMBER(Main_L[[#This Row],[Free CF]]),IF(Main_L[[#This Row],[Free CF]]&lt;&gt;0,Main_L[[#This Row],[Current Price]]/Main_L[[#This Row],[Free CF]],""),"")</f>
        <v>34.331404958677687</v>
      </c>
      <c r="I4" s="1">
        <f>IF(ISNUMBER(Main_L[[#This Row],[BVPS]]),IF(Main_L[[#This Row],[BVPS]]&lt;&gt;0,Main_L[[#This Row],[Current Price]]/Main_L[[#This Row],[BVPS]],""),"")</f>
        <v>57.615811373092932</v>
      </c>
      <c r="J4">
        <v>237.68</v>
      </c>
      <c r="K4">
        <v>35.35</v>
      </c>
      <c r="L4">
        <v>2.98</v>
      </c>
      <c r="M4" s="1">
        <f>IF(ISNUMBER(Main_L[[#This Row],[EPS]]),IF(Main_L[[#This Row],[EPS]]&lt;&gt;0,Main_L[[#This Row],[Current Price]]/Main_L[[#This Row],[EPS]],""),"")</f>
        <v>45.75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0.7265914456696474</v>
      </c>
      <c r="P4" s="1">
        <f>(Main_L[[#This Row],[P/B]]-VLOOKUP(Main_L[[#This Row],[Industry]], Mean_PB_L, 2, FALSE))/(VLOOKUP(Main_L[[#This Row],[Industry]], Mean_PB_L, 3, FALSE))</f>
        <v>16.221246639497259</v>
      </c>
      <c r="Q4" s="1">
        <f>(Main_L[[#This Row],[ROE]]-VLOOKUP(Main_L[[#This Row],[Industry]], Mean_ROE_L, 2, FALSE))/(VLOOKUP(Main_L[[#This Row],[Industry]], Mean_ROE_L, 3, FALSE))</f>
        <v>20.345091612888776</v>
      </c>
      <c r="R4" s="1">
        <f>(Main_L[[#This Row],[ROA]]-VLOOKUP(Main_L[[#This Row],[Industry]], Mean_ROA_L, 2, FALSE))/(VLOOKUP(Main_L[[#This Row],[Industry]], Mean_ROA_L, 3, FALSE))</f>
        <v>5.8761611726272838</v>
      </c>
      <c r="S4" s="1">
        <f>(Main_L[[#This Row],[A/E]]-VLOOKUP(Main_L[[#This Row],[Industry]], Mean_AE_L, 2, FALSE))/(VLOOKUP(Main_L[[#This Row],[Industry]], Mean_AE_L, 3, FALSE))</f>
        <v>1.2466175642845234</v>
      </c>
      <c r="T4" s="1">
        <f>(Main_L[[#This Row],[P/E]]-VLOOKUP(Main_L[[#This Row],[Industry]], Mean_PE_L, 2, FALSE))/(VLOOKUP(Main_L[[#This Row],[Industry]], Mean_PE_L, 3, FALSE))</f>
        <v>1.6500421833853314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7" t="s">
        <v>165</v>
      </c>
      <c r="B5" s="67" t="s">
        <v>168</v>
      </c>
      <c r="C5" s="2">
        <v>249638</v>
      </c>
      <c r="D5">
        <f>RTD("tos.rtd", , "LAST", Main_L[[#This Row],[Symbol]])</f>
        <v>65.900000000000006</v>
      </c>
      <c r="E5">
        <v>3.21</v>
      </c>
      <c r="F5">
        <v>11.6</v>
      </c>
      <c r="G5">
        <v>2.4500000000000002</v>
      </c>
      <c r="H5" s="1">
        <f>IF(ISNUMBER(Main_L[[#This Row],[Free CF]]),IF(Main_L[[#This Row],[Free CF]]&lt;&gt;0,Main_L[[#This Row],[Current Price]]/Main_L[[#This Row],[Free CF]],""),"")</f>
        <v>20.529595015576326</v>
      </c>
      <c r="I5" s="1">
        <f>IF(ISNUMBER(Main_L[[#This Row],[BVPS]]),IF(Main_L[[#This Row],[BVPS]]&lt;&gt;0,Main_L[[#This Row],[Current Price]]/Main_L[[#This Row],[BVPS]],""),"")</f>
        <v>5.681034482758621</v>
      </c>
      <c r="J5">
        <v>21.36</v>
      </c>
      <c r="K5">
        <v>6.2</v>
      </c>
      <c r="L5">
        <v>2.61</v>
      </c>
      <c r="M5" s="1">
        <f>IF(ISNUMBER(Main_L[[#This Row],[EPS]]),IF(Main_L[[#This Row],[EPS]]&lt;&gt;0,Main_L[[#This Row],[Current Price]]/Main_L[[#This Row],[EPS]],""),"")</f>
        <v>26.897959183673471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-0.39224811743115134</v>
      </c>
      <c r="P5" s="1">
        <f>(Main_L[[#This Row],[P/B]]-VLOOKUP(Main_L[[#This Row],[Industry]], Mean_PB_L, 2, FALSE))/(VLOOKUP(Main_L[[#This Row],[Industry]], Mean_PB_L, 3, FALSE))</f>
        <v>0.26912214739871898</v>
      </c>
      <c r="Q5" s="1">
        <f>(Main_L[[#This Row],[ROE]]-VLOOKUP(Main_L[[#This Row],[Industry]], Mean_ROE_L, 2, FALSE))/(VLOOKUP(Main_L[[#This Row],[Industry]], Mean_ROE_L, 3, FALSE))</f>
        <v>0.73156945496075554</v>
      </c>
      <c r="R5" s="1">
        <f>(Main_L[[#This Row],[ROA]]-VLOOKUP(Main_L[[#This Row],[Industry]], Mean_ROA_L, 2, FALSE))/(VLOOKUP(Main_L[[#This Row],[Industry]], Mean_ROA_L, 3, FALSE))</f>
        <v>-9.4475337575681329E-2</v>
      </c>
      <c r="S5" s="1">
        <f>(Main_L[[#This Row],[A/E]]-VLOOKUP(Main_L[[#This Row],[Industry]], Mean_AE_L, 2, FALSE))/(VLOOKUP(Main_L[[#This Row],[Industry]], Mean_AE_L, 3, FALSE))</f>
        <v>0.61368651963920795</v>
      </c>
      <c r="T5" s="1">
        <f>(Main_L[[#This Row],[P/E]]-VLOOKUP(Main_L[[#This Row],[Industry]], Mean_PE_L, 2, FALSE))/(VLOOKUP(Main_L[[#This Row],[Industry]], Mean_PE_L, 3, FALSE))</f>
        <v>-0.84987446744891038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7" t="s">
        <v>165</v>
      </c>
      <c r="B6" s="67" t="s">
        <v>166</v>
      </c>
      <c r="C6" s="2">
        <v>108813</v>
      </c>
      <c r="D6">
        <f>RTD("tos.rtd", , "LAST", Main_L[[#This Row],[Symbol]])</f>
        <v>96.8</v>
      </c>
      <c r="E6">
        <v>3.01</v>
      </c>
      <c r="F6">
        <v>8.0500000000000007</v>
      </c>
      <c r="G6">
        <v>2.37</v>
      </c>
      <c r="H6" s="1">
        <f>IF(ISNUMBER(Main_L[[#This Row],[Free CF]]),IF(Main_L[[#This Row],[Free CF]]&lt;&gt;0,Main_L[[#This Row],[Current Price]]/Main_L[[#This Row],[Free CF]],""),"")</f>
        <v>32.159468438538205</v>
      </c>
      <c r="I6" s="1">
        <f>IF(ISNUMBER(Main_L[[#This Row],[BVPS]]),IF(Main_L[[#This Row],[BVPS]]&lt;&gt;0,Main_L[[#This Row],[Current Price]]/Main_L[[#This Row],[BVPS]],""),"")</f>
        <v>12.024844720496892</v>
      </c>
      <c r="J6">
        <v>33.68</v>
      </c>
      <c r="K6">
        <v>15.68</v>
      </c>
      <c r="L6">
        <v>1.43</v>
      </c>
      <c r="M6" s="1">
        <f>IF(ISNUMBER(Main_L[[#This Row],[EPS]]),IF(Main_L[[#This Row],[EPS]]&lt;&gt;0,Main_L[[#This Row],[Current Price]]/Main_L[[#This Row],[EPS]],""),"")</f>
        <v>40.843881856540079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0.55052406629741135</v>
      </c>
      <c r="P6" s="1">
        <f>(Main_L[[#This Row],[P/B]]-VLOOKUP(Main_L[[#This Row],[Industry]], Mean_PB_L, 2, FALSE))/(VLOOKUP(Main_L[[#This Row],[Industry]], Mean_PB_L, 3, FALSE))</f>
        <v>2.2176671633971257</v>
      </c>
      <c r="Q6" s="1">
        <f>(Main_L[[#This Row],[ROE]]-VLOOKUP(Main_L[[#This Row],[Industry]], Mean_ROE_L, 2, FALSE))/(VLOOKUP(Main_L[[#This Row],[Industry]], Mean_ROE_L, 3, FALSE))</f>
        <v>1.8486117672096147</v>
      </c>
      <c r="R6" s="1">
        <f>(Main_L[[#This Row],[ROA]]-VLOOKUP(Main_L[[#This Row],[Industry]], Mean_ROA_L, 2, FALSE))/(VLOOKUP(Main_L[[#This Row],[Industry]], Mean_ROA_L, 3, FALSE))</f>
        <v>1.8472616818659688</v>
      </c>
      <c r="S6" s="1">
        <f>(Main_L[[#This Row],[A/E]]-VLOOKUP(Main_L[[#This Row],[Industry]], Mean_AE_L, 2, FALSE))/(VLOOKUP(Main_L[[#This Row],[Industry]], Mean_AE_L, 3, FALSE))</f>
        <v>-1.4048503254458515</v>
      </c>
      <c r="T6" s="1">
        <f>(Main_L[[#This Row],[P/E]]-VLOOKUP(Main_L[[#This Row],[Industry]], Mean_PE_L, 2, FALSE))/(VLOOKUP(Main_L[[#This Row],[Industry]], Mean_PE_L, 3, FALSE))</f>
        <v>0.99945551442514047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7" t="s">
        <v>165</v>
      </c>
      <c r="B7" s="67" t="s">
        <v>171</v>
      </c>
      <c r="C7" s="2">
        <v>12014</v>
      </c>
      <c r="D7">
        <f>RTD("tos.rtd", , "LAST", Main_L[[#This Row],[Symbol]])</f>
        <v>35.76</v>
      </c>
      <c r="E7">
        <v>2.0499999999999998</v>
      </c>
      <c r="F7">
        <v>14.45</v>
      </c>
      <c r="G7">
        <v>1.04</v>
      </c>
      <c r="H7" s="1">
        <f>IF(ISNUMBER(Main_L[[#This Row],[Free CF]]),IF(Main_L[[#This Row],[Free CF]]&lt;&gt;0,Main_L[[#This Row],[Current Price]]/Main_L[[#This Row],[Free CF]],""),"")</f>
        <v>17.443902439024392</v>
      </c>
      <c r="I7" s="1">
        <f>IF(ISNUMBER(Main_L[[#This Row],[BVPS]]),IF(Main_L[[#This Row],[BVPS]]&lt;&gt;0,Main_L[[#This Row],[Current Price]]/Main_L[[#This Row],[BVPS]],""),"")</f>
        <v>2.4747404844290659</v>
      </c>
      <c r="J7">
        <v>7.58</v>
      </c>
      <c r="K7">
        <v>2.91</v>
      </c>
      <c r="L7">
        <v>2.09</v>
      </c>
      <c r="M7" s="1">
        <f>IF(ISNUMBER(Main_L[[#This Row],[EPS]]),IF(Main_L[[#This Row],[EPS]]&lt;&gt;0,Main_L[[#This Row],[Current Price]]/Main_L[[#This Row],[EPS]],""),"")</f>
        <v>34.38461538461538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-0.64238885610567398</v>
      </c>
      <c r="P7" s="1">
        <f>(Main_L[[#This Row],[P/B]]-VLOOKUP(Main_L[[#This Row],[Industry]], Mean_PB_L, 2, FALSE))/(VLOOKUP(Main_L[[#This Row],[Industry]], Mean_PB_L, 3, FALSE))</f>
        <v>-0.71571314182615053</v>
      </c>
      <c r="Q7" s="1">
        <f>(Main_L[[#This Row],[ROE]]-VLOOKUP(Main_L[[#This Row],[Industry]], Mean_ROE_L, 2, FALSE))/(VLOOKUP(Main_L[[#This Row],[Industry]], Mean_ROE_L, 3, FALSE))</f>
        <v>-0.51784962481110142</v>
      </c>
      <c r="R7" s="1">
        <f>(Main_L[[#This Row],[ROA]]-VLOOKUP(Main_L[[#This Row],[Industry]], Mean_ROA_L, 2, FALSE))/(VLOOKUP(Main_L[[#This Row],[Industry]], Mean_ROA_L, 3, FALSE))</f>
        <v>-0.76834820613718235</v>
      </c>
      <c r="S7" s="1">
        <f>(Main_L[[#This Row],[A/E]]-VLOOKUP(Main_L[[#This Row],[Industry]], Mean_AE_L, 2, FALSE))/(VLOOKUP(Main_L[[#This Row],[Industry]], Mean_AE_L, 3, FALSE))</f>
        <v>-0.27583819175420821</v>
      </c>
      <c r="T7" s="1">
        <f>(Main_L[[#This Row],[P/E]]-VLOOKUP(Main_L[[#This Row],[Industry]], Mean_PE_L, 2, FALSE))/(VLOOKUP(Main_L[[#This Row],[Industry]], Mean_PE_L, 3, FALSE))</f>
        <v>0.14291016940575718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7" t="s">
        <v>165</v>
      </c>
      <c r="B8" s="67" t="s">
        <v>167</v>
      </c>
      <c r="C8" s="2">
        <v>11380</v>
      </c>
      <c r="D8">
        <f>RTD("tos.rtd", , "LAST", Main_L[[#This Row],[Symbol]])</f>
        <v>72.459999999999994</v>
      </c>
      <c r="E8">
        <v>1.42</v>
      </c>
      <c r="F8">
        <v>19.600000000000001</v>
      </c>
      <c r="G8">
        <v>0.55000000000000004</v>
      </c>
      <c r="H8" s="1">
        <f>IF(ISNUMBER(Main_L[[#This Row],[Free CF]]),IF(Main_L[[#This Row],[Free CF]]&lt;&gt;0,Main_L[[#This Row],[Current Price]]/Main_L[[#This Row],[Free CF]],""),"")</f>
        <v>51.028169014084504</v>
      </c>
      <c r="I8" s="1">
        <f>IF(ISNUMBER(Main_L[[#This Row],[BVPS]]),IF(Main_L[[#This Row],[BVPS]]&lt;&gt;0,Main_L[[#This Row],[Current Price]]/Main_L[[#This Row],[BVPS]],""),"")</f>
        <v>3.6969387755102034</v>
      </c>
      <c r="J8">
        <v>2.76</v>
      </c>
      <c r="K8">
        <v>2.06</v>
      </c>
      <c r="L8">
        <v>2</v>
      </c>
      <c r="M8" s="1">
        <f>IF(ISNUMBER(Main_L[[#This Row],[EPS]]),IF(Main_L[[#This Row],[EPS]]&lt;&gt;0,Main_L[[#This Row],[Current Price]]/Main_L[[#This Row],[EPS]],""),"")</f>
        <v>131.74545454545452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2.0801095913303849</v>
      </c>
      <c r="P8" s="1">
        <f>(Main_L[[#This Row],[P/B]]-VLOOKUP(Main_L[[#This Row],[Industry]], Mean_PB_L, 2, FALSE))/(VLOOKUP(Main_L[[#This Row],[Industry]], Mean_PB_L, 3, FALSE))</f>
        <v>-0.34030651719530586</v>
      </c>
      <c r="Q8" s="1">
        <f>(Main_L[[#This Row],[ROE]]-VLOOKUP(Main_L[[#This Row],[Industry]], Mean_ROE_L, 2, FALSE))/(VLOOKUP(Main_L[[#This Row],[Industry]], Mean_ROE_L, 3, FALSE))</f>
        <v>-0.95487429567469739</v>
      </c>
      <c r="R8" s="1">
        <f>(Main_L[[#This Row],[ROA]]-VLOOKUP(Main_L[[#This Row],[Industry]], Mean_ROA_L, 2, FALSE))/(VLOOKUP(Main_L[[#This Row],[Industry]], Mean_ROA_L, 3, FALSE))</f>
        <v>-0.94244909923057918</v>
      </c>
      <c r="S8" s="1">
        <f>(Main_L[[#This Row],[A/E]]-VLOOKUP(Main_L[[#This Row],[Industry]], Mean_AE_L, 2, FALSE))/(VLOOKUP(Main_L[[#This Row],[Industry]], Mean_AE_L, 3, FALSE))</f>
        <v>-0.42979439180306844</v>
      </c>
      <c r="T8" s="1">
        <f>(Main_L[[#This Row],[P/E]]-VLOOKUP(Main_L[[#This Row],[Industry]], Mean_PE_L, 2, FALSE))/(VLOOKUP(Main_L[[#This Row],[Industry]], Mean_PE_L, 3, FALSE))</f>
        <v>13.053660009634648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" spans="1:26" x14ac:dyDescent="0.25">
      <c r="A9" s="67" t="s">
        <v>165</v>
      </c>
      <c r="B9" s="67" t="s">
        <v>169</v>
      </c>
      <c r="C9" s="2">
        <v>28197</v>
      </c>
      <c r="D9">
        <f>RTD("tos.rtd", , "LAST", Main_L[[#This Row],[Symbol]])</f>
        <v>8.49</v>
      </c>
      <c r="E9">
        <v>1.25</v>
      </c>
      <c r="F9">
        <v>2.57</v>
      </c>
      <c r="G9">
        <v>0.05</v>
      </c>
      <c r="H9" s="1">
        <f>IF(ISNUMBER(Main_L[[#This Row],[Free CF]]),IF(Main_L[[#This Row],[Free CF]]&lt;&gt;0,Main_L[[#This Row],[Current Price]]/Main_L[[#This Row],[Free CF]],""),"")</f>
        <v>6.7919999999999998</v>
      </c>
      <c r="I9" s="1">
        <f>IF(ISNUMBER(Main_L[[#This Row],[BVPS]]),IF(Main_L[[#This Row],[BVPS]]&lt;&gt;0,Main_L[[#This Row],[Current Price]]/Main_L[[#This Row],[BVPS]],""),"")</f>
        <v>3.3035019455252921</v>
      </c>
      <c r="J9">
        <v>2.06</v>
      </c>
      <c r="K9">
        <v>2.65</v>
      </c>
      <c r="L9">
        <v>3.23</v>
      </c>
      <c r="M9" s="1">
        <f>IF(ISNUMBER(Main_L[[#This Row],[EPS]]),IF(Main_L[[#This Row],[EPS]]&lt;&gt;0,Main_L[[#This Row],[Current Price]]/Main_L[[#This Row],[EPS]],""),"")</f>
        <v>169.79999999999998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-1.5058821167868437</v>
      </c>
      <c r="P9" s="1">
        <f>(Main_L[[#This Row],[P/B]]-VLOOKUP(Main_L[[#This Row],[Industry]], Mean_PB_L, 2, FALSE))/(VLOOKUP(Main_L[[#This Row],[Industry]], Mean_PB_L, 3, FALSE))</f>
        <v>-0.46115334984751244</v>
      </c>
      <c r="Q9" s="1">
        <f>(Main_L[[#This Row],[ROE]]-VLOOKUP(Main_L[[#This Row],[Industry]], Mean_ROE_L, 2, FALSE))/(VLOOKUP(Main_L[[#This Row],[Industry]], Mean_ROE_L, 3, FALSE))</f>
        <v>-1.0183426088706551</v>
      </c>
      <c r="R9" s="1">
        <f>(Main_L[[#This Row],[ROA]]-VLOOKUP(Main_L[[#This Row],[Industry]], Mean_ROA_L, 2, FALSE))/(VLOOKUP(Main_L[[#This Row],[Industry]], Mean_ROA_L, 3, FALSE))</f>
        <v>-0.82160259696575078</v>
      </c>
      <c r="S9" s="1">
        <f>(Main_L[[#This Row],[A/E]]-VLOOKUP(Main_L[[#This Row],[Industry]], Mean_AE_L, 2, FALSE))/(VLOOKUP(Main_L[[#This Row],[Industry]], Mean_AE_L, 3, FALSE))</f>
        <v>1.6742736755313581</v>
      </c>
      <c r="T9" s="1">
        <f>(Main_L[[#This Row],[P/E]]-VLOOKUP(Main_L[[#This Row],[Industry]], Mean_PE_L, 2, FALSE))/(VLOOKUP(Main_L[[#This Row],[Industry]], Mean_PE_L, 3, FALSE))</f>
        <v>18.099967343075068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" spans="1:26" x14ac:dyDescent="0.25">
      <c r="A10" s="67" t="s">
        <v>165</v>
      </c>
      <c r="B10" s="67" t="s">
        <v>173</v>
      </c>
      <c r="C10" s="2">
        <v>28134</v>
      </c>
      <c r="D10">
        <f>RTD("tos.rtd", , "LAST", Main_L[[#This Row],[Symbol]])</f>
        <v>5.43</v>
      </c>
      <c r="E10">
        <v>0.36</v>
      </c>
      <c r="F10">
        <v>4.17</v>
      </c>
      <c r="G10">
        <v>0.24</v>
      </c>
      <c r="H10" s="1">
        <f>IF(ISNUMBER(Main_L[[#This Row],[Free CF]]),IF(Main_L[[#This Row],[Free CF]]&lt;&gt;0,Main_L[[#This Row],[Current Price]]/Main_L[[#This Row],[Free CF]],""),"")</f>
        <v>15.083333333333334</v>
      </c>
      <c r="I10" s="1">
        <f>IF(ISNUMBER(Main_L[[#This Row],[BVPS]]),IF(Main_L[[#This Row],[BVPS]]&lt;&gt;0,Main_L[[#This Row],[Current Price]]/Main_L[[#This Row],[BVPS]],""),"")</f>
        <v>1.3021582733812949</v>
      </c>
      <c r="J10">
        <v>5.71</v>
      </c>
      <c r="K10">
        <v>2.71</v>
      </c>
      <c r="L10">
        <v>1.89</v>
      </c>
      <c r="M10" s="1">
        <f>IF(ISNUMBER(Main_L[[#This Row],[EPS]]),IF(Main_L[[#This Row],[EPS]]&lt;&gt;0,Main_L[[#This Row],[Current Price]]/Main_L[[#This Row],[EPS]],""),"")</f>
        <v>22.625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-0.83374767917081416</v>
      </c>
      <c r="P10" s="1">
        <f>(Main_L[[#This Row],[P/B]]-VLOOKUP(Main_L[[#This Row],[Industry]], Mean_PB_L, 2, FALSE))/(VLOOKUP(Main_L[[#This Row],[Industry]], Mean_PB_L, 3, FALSE))</f>
        <v>-1.0758798456776399</v>
      </c>
      <c r="Q10" s="1">
        <f>(Main_L[[#This Row],[ROE]]-VLOOKUP(Main_L[[#This Row],[Industry]], Mean_ROE_L, 2, FALSE))/(VLOOKUP(Main_L[[#This Row],[Industry]], Mean_ROE_L, 3, FALSE))</f>
        <v>-0.6874006900631604</v>
      </c>
      <c r="R10" s="1">
        <f>(Main_L[[#This Row],[ROA]]-VLOOKUP(Main_L[[#This Row],[Industry]], Mean_ROA_L, 2, FALSE))/(VLOOKUP(Main_L[[#This Row],[Industry]], Mean_ROA_L, 3, FALSE))</f>
        <v>-0.80931312215915818</v>
      </c>
      <c r="S10" s="1">
        <f>(Main_L[[#This Row],[A/E]]-VLOOKUP(Main_L[[#This Row],[Industry]], Mean_AE_L, 2, FALSE))/(VLOOKUP(Main_L[[#This Row],[Industry]], Mean_AE_L, 3, FALSE))</f>
        <v>-0.61796308075167583</v>
      </c>
      <c r="T10" s="1">
        <f>(Main_L[[#This Row],[P/E]]-VLOOKUP(Main_L[[#This Row],[Industry]], Mean_PE_L, 2, FALSE))/(VLOOKUP(Main_L[[#This Row],[Industry]], Mean_PE_L, 3, FALSE))</f>
        <v>-1.4164996893903661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s="67" t="s">
        <v>186</v>
      </c>
      <c r="B11" s="67" t="s">
        <v>188</v>
      </c>
      <c r="C11" s="2">
        <v>23376</v>
      </c>
      <c r="D11">
        <f>RTD("tos.rtd", , "LAST", Main_L[[#This Row],[Symbol]])</f>
        <v>505.36</v>
      </c>
      <c r="E11">
        <v>22.56</v>
      </c>
      <c r="F11">
        <v>211.84</v>
      </c>
      <c r="G11">
        <v>17.489999999999998</v>
      </c>
      <c r="H11" s="1">
        <f>IF(ISNUMBER(Main_L[[#This Row],[Free CF]]),IF(Main_L[[#This Row],[Free CF]]&lt;&gt;0,Main_L[[#This Row],[Current Price]]/Main_L[[#This Row],[Free CF]],""),"")</f>
        <v>22.400709219858157</v>
      </c>
      <c r="I11" s="1">
        <f>IF(ISNUMBER(Main_L[[#This Row],[BVPS]]),IF(Main_L[[#This Row],[BVPS]]&lt;&gt;0,Main_L[[#This Row],[Current Price]]/Main_L[[#This Row],[BVPS]],""),"")</f>
        <v>2.3855740181268881</v>
      </c>
      <c r="J11">
        <v>8.6199999999999992</v>
      </c>
      <c r="K11">
        <v>4.55</v>
      </c>
      <c r="L11">
        <v>1.52</v>
      </c>
      <c r="M11" s="1">
        <f>IF(ISNUMBER(Main_L[[#This Row],[EPS]]),IF(Main_L[[#This Row],[EPS]]&lt;&gt;0,Main_L[[#This Row],[Current Price]]/Main_L[[#This Row],[EPS]],""),"")</f>
        <v>28.894225271583764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-0.45334526235872485</v>
      </c>
      <c r="P11" s="1">
        <f>(Main_L[[#This Row],[P/B]]-VLOOKUP(Main_L[[#This Row],[Industry]], Mean_PB_L, 2, FALSE))/(VLOOKUP(Main_L[[#This Row],[Industry]], Mean_PB_L, 3, FALSE))</f>
        <v>-0.92358553239358421</v>
      </c>
      <c r="Q11" s="1">
        <f>(Main_L[[#This Row],[ROE]]-VLOOKUP(Main_L[[#This Row],[Industry]], Mean_ROE_L, 2, FALSE))/(VLOOKUP(Main_L[[#This Row],[Industry]], Mean_ROE_L, 3, FALSE))</f>
        <v>-0.9406037708430347</v>
      </c>
      <c r="R11" s="1">
        <f>(Main_L[[#This Row],[ROA]]-VLOOKUP(Main_L[[#This Row],[Industry]], Mean_ROA_L, 2, FALSE))/(VLOOKUP(Main_L[[#This Row],[Industry]], Mean_ROA_L, 3, FALSE))</f>
        <v>-0.38969270732124517</v>
      </c>
      <c r="S11" s="1">
        <f>(Main_L[[#This Row],[A/E]]-VLOOKUP(Main_L[[#This Row],[Industry]], Mean_AE_L, 2, FALSE))/(VLOOKUP(Main_L[[#This Row],[Industry]], Mean_AE_L, 3, FALSE))</f>
        <v>-1.2076473823087877</v>
      </c>
      <c r="T11" s="1">
        <f>(Main_L[[#This Row],[P/E]]-VLOOKUP(Main_L[[#This Row],[Industry]], Mean_PE_L, 2, FALSE))/(VLOOKUP(Main_L[[#This Row],[Industry]], Mean_PE_L, 3, FALSE))</f>
        <v>-5.0075143850784098E-2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7" t="s">
        <v>186</v>
      </c>
      <c r="B12" s="67" t="s">
        <v>190</v>
      </c>
      <c r="C12" s="2">
        <v>14736</v>
      </c>
      <c r="D12">
        <f>RTD("tos.rtd", , "LAST", Main_L[[#This Row],[Symbol]])</f>
        <v>298.63</v>
      </c>
      <c r="E12">
        <v>19.440000000000001</v>
      </c>
      <c r="F12">
        <v>70.91</v>
      </c>
      <c r="G12">
        <v>10.57</v>
      </c>
      <c r="H12" s="1">
        <f>IF(ISNUMBER(Main_L[[#This Row],[Free CF]]),IF(Main_L[[#This Row],[Free CF]]&lt;&gt;0,Main_L[[#This Row],[Current Price]]/Main_L[[#This Row],[Free CF]],""),"")</f>
        <v>15.361625514403292</v>
      </c>
      <c r="I12" s="1">
        <f>IF(ISNUMBER(Main_L[[#This Row],[BVPS]]),IF(Main_L[[#This Row],[BVPS]]&lt;&gt;0,Main_L[[#This Row],[Current Price]]/Main_L[[#This Row],[BVPS]],""),"")</f>
        <v>4.2113947257086446</v>
      </c>
      <c r="J12">
        <v>16.16</v>
      </c>
      <c r="K12">
        <v>6.54</v>
      </c>
      <c r="L12">
        <v>2.1800000000000002</v>
      </c>
      <c r="M12" s="1">
        <f>IF(ISNUMBER(Main_L[[#This Row],[EPS]]),IF(Main_L[[#This Row],[EPS]]&lt;&gt;0,Main_L[[#This Row],[Current Price]]/Main_L[[#This Row],[EPS]],""),"")</f>
        <v>28.252601702932829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2" s="1">
        <f>(Main_L[[#This Row],[P/FCF]]-VLOOKUP(Main_L[[#This Row],[Industry]], Mean_PFCF_L, 2, FALSE))/(VLOOKUP(Main_L[[#This Row],[Industry]], Mean_PFCF_L, 3, FALSE))</f>
        <v>-1.0099528840059964</v>
      </c>
      <c r="P12" s="1">
        <f>(Main_L[[#This Row],[P/B]]-VLOOKUP(Main_L[[#This Row],[Industry]], Mean_PB_L, 2, FALSE))/(VLOOKUP(Main_L[[#This Row],[Industry]], Mean_PB_L, 3, FALSE))</f>
        <v>-0.45469886316620983</v>
      </c>
      <c r="Q12" s="1">
        <f>(Main_L[[#This Row],[ROE]]-VLOOKUP(Main_L[[#This Row],[Industry]], Mean_ROE_L, 2, FALSE))/(VLOOKUP(Main_L[[#This Row],[Industry]], Mean_ROE_L, 3, FALSE))</f>
        <v>-0.30372710253593455</v>
      </c>
      <c r="R12" s="1">
        <f>(Main_L[[#This Row],[ROA]]-VLOOKUP(Main_L[[#This Row],[Industry]], Mean_ROA_L, 2, FALSE))/(VLOOKUP(Main_L[[#This Row],[Industry]], Mean_ROA_L, 3, FALSE))</f>
        <v>0.76462033236239058</v>
      </c>
      <c r="S12" s="1">
        <f>(Main_L[[#This Row],[A/E]]-VLOOKUP(Main_L[[#This Row],[Industry]], Mean_AE_L, 2, FALSE))/(VLOOKUP(Main_L[[#This Row],[Industry]], Mean_AE_L, 3, FALSE))</f>
        <v>-0.39516290491449596</v>
      </c>
      <c r="T12" s="1">
        <f>(Main_L[[#This Row],[P/E]]-VLOOKUP(Main_L[[#This Row],[Industry]], Mean_PE_L, 2, FALSE))/(VLOOKUP(Main_L[[#This Row],[Industry]], Mean_PE_L, 3, FALSE))</f>
        <v>-0.11166898119511121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7" t="s">
        <v>186</v>
      </c>
      <c r="B13" s="67" t="s">
        <v>195</v>
      </c>
      <c r="C13" s="2">
        <v>18035</v>
      </c>
      <c r="D13">
        <f>RTD("tos.rtd", , "LAST", Main_L[[#This Row],[Symbol]])</f>
        <v>177.38</v>
      </c>
      <c r="E13">
        <v>10.96</v>
      </c>
      <c r="F13">
        <v>12.4</v>
      </c>
      <c r="G13">
        <v>4.18</v>
      </c>
      <c r="H13" s="1">
        <f>IF(ISNUMBER(Main_L[[#This Row],[Free CF]]),IF(Main_L[[#This Row],[Free CF]]&lt;&gt;0,Main_L[[#This Row],[Current Price]]/Main_L[[#This Row],[Free CF]],""),"")</f>
        <v>16.184306569343065</v>
      </c>
      <c r="I13" s="1">
        <f>IF(ISNUMBER(Main_L[[#This Row],[BVPS]]),IF(Main_L[[#This Row],[BVPS]]&lt;&gt;0,Main_L[[#This Row],[Current Price]]/Main_L[[#This Row],[BVPS]],""),"")</f>
        <v>14.304838709677419</v>
      </c>
      <c r="J13">
        <v>24.1</v>
      </c>
      <c r="K13">
        <v>4.6100000000000003</v>
      </c>
      <c r="L13">
        <v>12.81</v>
      </c>
      <c r="M13" s="1">
        <f>IF(ISNUMBER(Main_L[[#This Row],[EPS]]),IF(Main_L[[#This Row],[EPS]]&lt;&gt;0,Main_L[[#This Row],[Current Price]]/Main_L[[#This Row],[EPS]],""),"")</f>
        <v>42.435406698564599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-0.94490030549930193</v>
      </c>
      <c r="P13" s="1">
        <f>(Main_L[[#This Row],[P/B]]-VLOOKUP(Main_L[[#This Row],[Industry]], Mean_PB_L, 2, FALSE))/(VLOOKUP(Main_L[[#This Row],[Industry]], Mean_PB_L, 3, FALSE))</f>
        <v>2.1373855134780282</v>
      </c>
      <c r="Q13" s="1">
        <f>(Main_L[[#This Row],[ROE]]-VLOOKUP(Main_L[[#This Row],[Industry]], Mean_ROE_L, 2, FALSE))/(VLOOKUP(Main_L[[#This Row],[Industry]], Mean_ROE_L, 3, FALSE))</f>
        <v>0.36693612642406226</v>
      </c>
      <c r="R13" s="1">
        <f>(Main_L[[#This Row],[ROA]]-VLOOKUP(Main_L[[#This Row],[Industry]], Mean_ROA_L, 2, FALSE))/(VLOOKUP(Main_L[[#This Row],[Industry]], Mean_ROA_L, 3, FALSE))</f>
        <v>-0.35488929908957745</v>
      </c>
      <c r="S13" s="1">
        <f>(Main_L[[#This Row],[A/E]]-VLOOKUP(Main_L[[#This Row],[Industry]], Mean_AE_L, 2, FALSE))/(VLOOKUP(Main_L[[#This Row],[Industry]], Mean_AE_L, 3, FALSE))</f>
        <v>12.690761329481441</v>
      </c>
      <c r="T13" s="1">
        <f>(Main_L[[#This Row],[P/E]]-VLOOKUP(Main_L[[#This Row],[Industry]], Mean_PE_L, 2, FALSE))/(VLOOKUP(Main_L[[#This Row],[Industry]], Mean_PE_L, 3, FALSE))</f>
        <v>1.2498355312155081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7" t="s">
        <v>186</v>
      </c>
      <c r="B14" s="67" t="s">
        <v>196</v>
      </c>
      <c r="C14" s="2">
        <v>47468</v>
      </c>
      <c r="D14">
        <f>RTD("tos.rtd", , "LAST", Main_L[[#This Row],[Symbol]])</f>
        <v>166</v>
      </c>
      <c r="E14">
        <v>9.2100000000000009</v>
      </c>
      <c r="F14">
        <v>40.67</v>
      </c>
      <c r="G14">
        <v>4.58</v>
      </c>
      <c r="H14" s="1">
        <f>IF(ISNUMBER(Main_L[[#This Row],[Free CF]]),IF(Main_L[[#This Row],[Free CF]]&lt;&gt;0,Main_L[[#This Row],[Current Price]]/Main_L[[#This Row],[Free CF]],""),"")</f>
        <v>18.023887079261669</v>
      </c>
      <c r="I14" s="1">
        <f>IF(ISNUMBER(Main_L[[#This Row],[BVPS]]),IF(Main_L[[#This Row],[BVPS]]&lt;&gt;0,Main_L[[#This Row],[Current Price]]/Main_L[[#This Row],[BVPS]],""),"")</f>
        <v>4.0816326530612246</v>
      </c>
      <c r="J14">
        <v>11.22</v>
      </c>
      <c r="K14">
        <v>8.15</v>
      </c>
      <c r="L14">
        <v>1.96</v>
      </c>
      <c r="M14" s="1">
        <f>IF(ISNUMBER(Main_L[[#This Row],[EPS]]),IF(Main_L[[#This Row],[EPS]]&lt;&gt;0,Main_L[[#This Row],[Current Price]]/Main_L[[#This Row],[EPS]],""),"")</f>
        <v>36.244541484716159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4" s="1">
        <f>(Main_L[[#This Row],[P/FCF]]-VLOOKUP(Main_L[[#This Row],[Industry]], Mean_PFCF_L, 2, FALSE))/(VLOOKUP(Main_L[[#This Row],[Industry]], Mean_PFCF_L, 3, FALSE))</f>
        <v>-0.79943754709212611</v>
      </c>
      <c r="P14" s="1">
        <f>(Main_L[[#This Row],[P/B]]-VLOOKUP(Main_L[[#This Row],[Industry]], Mean_PB_L, 2, FALSE))/(VLOOKUP(Main_L[[#This Row],[Industry]], Mean_PB_L, 3, FALSE))</f>
        <v>-0.48802289426249146</v>
      </c>
      <c r="Q14" s="1">
        <f>(Main_L[[#This Row],[ROE]]-VLOOKUP(Main_L[[#This Row],[Industry]], Mean_ROE_L, 2, FALSE))/(VLOOKUP(Main_L[[#This Row],[Industry]], Mean_ROE_L, 3, FALSE))</f>
        <v>-0.72099112659920694</v>
      </c>
      <c r="R14" s="1">
        <f>(Main_L[[#This Row],[ROA]]-VLOOKUP(Main_L[[#This Row],[Industry]], Mean_ROA_L, 2, FALSE))/(VLOOKUP(Main_L[[#This Row],[Industry]], Mean_ROA_L, 3, FALSE))</f>
        <v>1.6985117865787995</v>
      </c>
      <c r="S14" s="1">
        <f>(Main_L[[#This Row],[A/E]]-VLOOKUP(Main_L[[#This Row],[Industry]], Mean_AE_L, 2, FALSE))/(VLOOKUP(Main_L[[#This Row],[Industry]], Mean_AE_L, 3, FALSE))</f>
        <v>-0.66599106404592667</v>
      </c>
      <c r="T14" s="1">
        <f>(Main_L[[#This Row],[P/E]]-VLOOKUP(Main_L[[#This Row],[Industry]], Mean_PE_L, 2, FALSE))/(VLOOKUP(Main_L[[#This Row],[Industry]], Mean_PE_L, 3, FALSE))</f>
        <v>0.65553201177935716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7" t="s">
        <v>186</v>
      </c>
      <c r="B15" s="67" t="s">
        <v>187</v>
      </c>
      <c r="C15" s="2">
        <v>27184</v>
      </c>
      <c r="D15">
        <f>RTD("tos.rtd", , "LAST", Main_L[[#This Row],[Symbol]])</f>
        <v>162.56</v>
      </c>
      <c r="E15">
        <v>7.78</v>
      </c>
      <c r="F15">
        <v>31.82</v>
      </c>
      <c r="G15">
        <v>4.26</v>
      </c>
      <c r="H15" s="1">
        <f>IF(ISNUMBER(Main_L[[#This Row],[Free CF]]),IF(Main_L[[#This Row],[Free CF]]&lt;&gt;0,Main_L[[#This Row],[Current Price]]/Main_L[[#This Row],[Free CF]],""),"")</f>
        <v>20.894601542416453</v>
      </c>
      <c r="I15" s="1">
        <f>IF(ISNUMBER(Main_L[[#This Row],[BVPS]]),IF(Main_L[[#This Row],[BVPS]]&lt;&gt;0,Main_L[[#This Row],[Current Price]]/Main_L[[#This Row],[BVPS]],""),"")</f>
        <v>5.1087366436203645</v>
      </c>
      <c r="J15">
        <v>14.3</v>
      </c>
      <c r="K15">
        <v>5.57</v>
      </c>
      <c r="L15">
        <v>1.93</v>
      </c>
      <c r="M15" s="1">
        <f>IF(ISNUMBER(Main_L[[#This Row],[EPS]]),IF(Main_L[[#This Row],[EPS]]&lt;&gt;0,Main_L[[#This Row],[Current Price]]/Main_L[[#This Row],[EPS]],""),"")</f>
        <v>38.159624413145544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5" s="1">
        <f>(Main_L[[#This Row],[P/FCF]]-VLOOKUP(Main_L[[#This Row],[Industry]], Mean_PFCF_L, 2, FALSE))/(VLOOKUP(Main_L[[#This Row],[Industry]], Mean_PFCF_L, 3, FALSE))</f>
        <v>-0.57243903185543965</v>
      </c>
      <c r="P15" s="1">
        <f>(Main_L[[#This Row],[P/B]]-VLOOKUP(Main_L[[#This Row],[Industry]], Mean_PB_L, 2, FALSE))/(VLOOKUP(Main_L[[#This Row],[Industry]], Mean_PB_L, 3, FALSE))</f>
        <v>-0.22425363856088532</v>
      </c>
      <c r="Q15" s="1">
        <f>(Main_L[[#This Row],[ROE]]-VLOOKUP(Main_L[[#This Row],[Industry]], Mean_ROE_L, 2, FALSE))/(VLOOKUP(Main_L[[#This Row],[Industry]], Mean_ROE_L, 3, FALSE))</f>
        <v>-0.46083460957190348</v>
      </c>
      <c r="R15" s="1">
        <f>(Main_L[[#This Row],[ROA]]-VLOOKUP(Main_L[[#This Row],[Industry]], Mean_ROA_L, 2, FALSE))/(VLOOKUP(Main_L[[#This Row],[Industry]], Mean_ROA_L, 3, FALSE))</f>
        <v>0.201965232617101</v>
      </c>
      <c r="S15" s="1">
        <f>(Main_L[[#This Row],[A/E]]-VLOOKUP(Main_L[[#This Row],[Industry]], Mean_AE_L, 2, FALSE))/(VLOOKUP(Main_L[[#This Row],[Industry]], Mean_AE_L, 3, FALSE))</f>
        <v>-0.70292217665475809</v>
      </c>
      <c r="T15" s="1">
        <f>(Main_L[[#This Row],[P/E]]-VLOOKUP(Main_L[[#This Row],[Industry]], Mean_PE_L, 2, FALSE))/(VLOOKUP(Main_L[[#This Row],[Industry]], Mean_PE_L, 3, FALSE))</f>
        <v>0.83937392806462041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7" t="s">
        <v>186</v>
      </c>
      <c r="B16" s="67" t="s">
        <v>197</v>
      </c>
      <c r="C16" s="2">
        <v>23751</v>
      </c>
      <c r="D16">
        <f>RTD("tos.rtd", , "LAST", Main_L[[#This Row],[Symbol]])</f>
        <v>177.43</v>
      </c>
      <c r="E16">
        <v>7.53</v>
      </c>
      <c r="F16">
        <v>17.64</v>
      </c>
      <c r="G16">
        <v>8.08</v>
      </c>
      <c r="H16" s="1">
        <f>IF(ISNUMBER(Main_L[[#This Row],[Free CF]]),IF(Main_L[[#This Row],[Free CF]]&lt;&gt;0,Main_L[[#This Row],[Current Price]]/Main_L[[#This Row],[Free CF]],""),"")</f>
        <v>23.563081009296148</v>
      </c>
      <c r="I16" s="1">
        <f>IF(ISNUMBER(Main_L[[#This Row],[BVPS]]),IF(Main_L[[#This Row],[BVPS]]&lt;&gt;0,Main_L[[#This Row],[Current Price]]/Main_L[[#This Row],[BVPS]],""),"")</f>
        <v>10.058390022675738</v>
      </c>
      <c r="J16">
        <v>48.71</v>
      </c>
      <c r="K16">
        <v>7.55</v>
      </c>
      <c r="L16">
        <v>6.46</v>
      </c>
      <c r="M16" s="1">
        <f>IF(ISNUMBER(Main_L[[#This Row],[EPS]]),IF(Main_L[[#This Row],[EPS]]&lt;&gt;0,Main_L[[#This Row],[Current Price]]/Main_L[[#This Row],[EPS]],""),"")</f>
        <v>21.959158415841586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-0.36143202133737024</v>
      </c>
      <c r="P16" s="1">
        <f>(Main_L[[#This Row],[P/B]]-VLOOKUP(Main_L[[#This Row],[Industry]], Mean_PB_L, 2, FALSE))/(VLOOKUP(Main_L[[#This Row],[Industry]], Mean_PB_L, 3, FALSE))</f>
        <v>1.0468604840350604</v>
      </c>
      <c r="Q16" s="1">
        <f>(Main_L[[#This Row],[ROE]]-VLOOKUP(Main_L[[#This Row],[Industry]], Mean_ROE_L, 2, FALSE))/(VLOOKUP(Main_L[[#This Row],[Industry]], Mean_ROE_L, 3, FALSE))</f>
        <v>2.4456542705935229</v>
      </c>
      <c r="R16" s="1">
        <f>(Main_L[[#This Row],[ROA]]-VLOOKUP(Main_L[[#This Row],[Industry]], Mean_ROA_L, 2, FALSE))/(VLOOKUP(Main_L[[#This Row],[Industry]], Mean_ROA_L, 3, FALSE))</f>
        <v>1.3504777042621252</v>
      </c>
      <c r="S16" s="1">
        <f>(Main_L[[#This Row],[A/E]]-VLOOKUP(Main_L[[#This Row],[Industry]], Mean_AE_L, 2, FALSE))/(VLOOKUP(Main_L[[#This Row],[Industry]], Mean_AE_L, 3, FALSE))</f>
        <v>4.8736758272787881</v>
      </c>
      <c r="T16" s="1">
        <f>(Main_L[[#This Row],[P/E]]-VLOOKUP(Main_L[[#This Row],[Industry]], Mean_PE_L, 2, FALSE))/(VLOOKUP(Main_L[[#This Row],[Industry]], Mean_PE_L, 3, FALSE))</f>
        <v>-0.71581967188105922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7" t="s">
        <v>186</v>
      </c>
      <c r="B17" s="67" t="s">
        <v>193</v>
      </c>
      <c r="C17" s="2">
        <v>13268</v>
      </c>
      <c r="D17">
        <f>RTD("tos.rtd", , "LAST", Main_L[[#This Row],[Symbol]])</f>
        <v>122.65</v>
      </c>
      <c r="E17">
        <v>2.8</v>
      </c>
      <c r="F17">
        <v>13.47</v>
      </c>
      <c r="G17">
        <v>3.58</v>
      </c>
      <c r="H17" s="1">
        <f>IF(ISNUMBER(Main_L[[#This Row],[Free CF]]),IF(Main_L[[#This Row],[Free CF]]&lt;&gt;0,Main_L[[#This Row],[Current Price]]/Main_L[[#This Row],[Free CF]],""),"")</f>
        <v>43.803571428571431</v>
      </c>
      <c r="I17" s="1">
        <f>IF(ISNUMBER(Main_L[[#This Row],[BVPS]]),IF(Main_L[[#This Row],[BVPS]]&lt;&gt;0,Main_L[[#This Row],[Current Price]]/Main_L[[#This Row],[BVPS]],""),"")</f>
        <v>9.1054194506310324</v>
      </c>
      <c r="J17">
        <v>25.85</v>
      </c>
      <c r="K17">
        <v>6.68</v>
      </c>
      <c r="L17">
        <v>3.75</v>
      </c>
      <c r="M17" s="1">
        <f>IF(ISNUMBER(Main_L[[#This Row],[EPS]]),IF(Main_L[[#This Row],[EPS]]&lt;&gt;0,Main_L[[#This Row],[Current Price]]/Main_L[[#This Row],[EPS]],""),"")</f>
        <v>34.259776536312849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1.2390619782604351</v>
      </c>
      <c r="P17" s="1">
        <f>(Main_L[[#This Row],[P/B]]-VLOOKUP(Main_L[[#This Row],[Industry]], Mean_PB_L, 2, FALSE))/(VLOOKUP(Main_L[[#This Row],[Industry]], Mean_PB_L, 3, FALSE))</f>
        <v>0.80212933626011407</v>
      </c>
      <c r="Q17" s="1">
        <f>(Main_L[[#This Row],[ROE]]-VLOOKUP(Main_L[[#This Row],[Industry]], Mean_ROE_L, 2, FALSE))/(VLOOKUP(Main_L[[#This Row],[Industry]], Mean_ROE_L, 3, FALSE))</f>
        <v>0.51475232928048476</v>
      </c>
      <c r="R17" s="1">
        <f>(Main_L[[#This Row],[ROA]]-VLOOKUP(Main_L[[#This Row],[Industry]], Mean_ROA_L, 2, FALSE))/(VLOOKUP(Main_L[[#This Row],[Industry]], Mean_ROA_L, 3, FALSE))</f>
        <v>0.8458282849029477</v>
      </c>
      <c r="S17" s="1">
        <f>(Main_L[[#This Row],[A/E]]-VLOOKUP(Main_L[[#This Row],[Industry]], Mean_AE_L, 2, FALSE))/(VLOOKUP(Main_L[[#This Row],[Industry]], Mean_AE_L, 3, FALSE))</f>
        <v>1.5375653216143486</v>
      </c>
      <c r="T17" s="1">
        <f>(Main_L[[#This Row],[P/E]]-VLOOKUP(Main_L[[#This Row],[Industry]], Mean_PE_L, 2, FALSE))/(VLOOKUP(Main_L[[#This Row],[Industry]], Mean_PE_L, 3, FALSE))</f>
        <v>0.46500084152369753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7" t="s">
        <v>186</v>
      </c>
      <c r="B18" s="67" t="s">
        <v>194</v>
      </c>
      <c r="C18" s="2">
        <v>15791</v>
      </c>
      <c r="D18">
        <f>RTD("tos.rtd", , "LAST", Main_L[[#This Row],[Symbol]])</f>
        <v>43.72</v>
      </c>
      <c r="E18">
        <v>2.73</v>
      </c>
      <c r="F18">
        <v>13.24</v>
      </c>
      <c r="G18">
        <v>2.11</v>
      </c>
      <c r="H18" s="1">
        <f>IF(ISNUMBER(Main_L[[#This Row],[Free CF]]),IF(Main_L[[#This Row],[Free CF]]&lt;&gt;0,Main_L[[#This Row],[Current Price]]/Main_L[[#This Row],[Free CF]],""),"")</f>
        <v>16.014652014652015</v>
      </c>
      <c r="I18" s="1">
        <f>IF(ISNUMBER(Main_L[[#This Row],[BVPS]]),IF(Main_L[[#This Row],[BVPS]]&lt;&gt;0,Main_L[[#This Row],[Current Price]]/Main_L[[#This Row],[BVPS]],""),"")</f>
        <v>3.3021148036253773</v>
      </c>
      <c r="J18">
        <v>16.23</v>
      </c>
      <c r="K18">
        <v>4.28</v>
      </c>
      <c r="L18">
        <v>3.67</v>
      </c>
      <c r="M18" s="1">
        <f>IF(ISNUMBER(Main_L[[#This Row],[EPS]]),IF(Main_L[[#This Row],[EPS]]&lt;&gt;0,Main_L[[#This Row],[Current Price]]/Main_L[[#This Row],[EPS]],""),"")</f>
        <v>20.720379146919431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-0.95831554846835976</v>
      </c>
      <c r="P18" s="1">
        <f>(Main_L[[#This Row],[P/B]]-VLOOKUP(Main_L[[#This Row],[Industry]], Mean_PB_L, 2, FALSE))/(VLOOKUP(Main_L[[#This Row],[Industry]], Mean_PB_L, 3, FALSE))</f>
        <v>-0.68820987127917854</v>
      </c>
      <c r="Q18" s="1">
        <f>(Main_L[[#This Row],[ROE]]-VLOOKUP(Main_L[[#This Row],[Industry]], Mean_ROE_L, 2, FALSE))/(VLOOKUP(Main_L[[#This Row],[Industry]], Mean_ROE_L, 3, FALSE))</f>
        <v>-0.29781445442167759</v>
      </c>
      <c r="R18" s="1">
        <f>(Main_L[[#This Row],[ROA]]-VLOOKUP(Main_L[[#This Row],[Industry]], Mean_ROA_L, 2, FALSE))/(VLOOKUP(Main_L[[#This Row],[Industry]], Mean_ROA_L, 3, FALSE))</f>
        <v>-0.54630804436374825</v>
      </c>
      <c r="S18" s="1">
        <f>(Main_L[[#This Row],[A/E]]-VLOOKUP(Main_L[[#This Row],[Industry]], Mean_AE_L, 2, FALSE))/(VLOOKUP(Main_L[[#This Row],[Industry]], Mean_AE_L, 3, FALSE))</f>
        <v>1.4390823546574647</v>
      </c>
      <c r="T18" s="1">
        <f>(Main_L[[#This Row],[P/E]]-VLOOKUP(Main_L[[#This Row],[Industry]], Mean_PE_L, 2, FALSE))/(VLOOKUP(Main_L[[#This Row],[Industry]], Mean_PE_L, 3, FALSE))</f>
        <v>-0.83473857156540987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7" t="s">
        <v>186</v>
      </c>
      <c r="B19" s="67" t="s">
        <v>191</v>
      </c>
      <c r="C19" s="2">
        <v>108779</v>
      </c>
      <c r="D19">
        <f>RTD("tos.rtd", , "LAST", Main_L[[#This Row],[Symbol]])</f>
        <v>92.96</v>
      </c>
      <c r="E19">
        <v>1.84</v>
      </c>
      <c r="F19">
        <v>8.52</v>
      </c>
      <c r="G19">
        <v>2.06</v>
      </c>
      <c r="H19" s="1">
        <f>IF(ISNUMBER(Main_L[[#This Row],[Free CF]]),IF(Main_L[[#This Row],[Free CF]]&lt;&gt;0,Main_L[[#This Row],[Current Price]]/Main_L[[#This Row],[Free CF]],""),"")</f>
        <v>50.521739130434774</v>
      </c>
      <c r="I19" s="1">
        <f>IF(ISNUMBER(Main_L[[#This Row],[BVPS]]),IF(Main_L[[#This Row],[BVPS]]&lt;&gt;0,Main_L[[#This Row],[Current Price]]/Main_L[[#This Row],[BVPS]],""),"")</f>
        <v>10.910798122065728</v>
      </c>
      <c r="J19">
        <v>27.53</v>
      </c>
      <c r="K19">
        <v>11.82</v>
      </c>
      <c r="L19">
        <v>2.2200000000000002</v>
      </c>
      <c r="M19" s="1">
        <f>IF(ISNUMBER(Main_L[[#This Row],[EPS]]),IF(Main_L[[#This Row],[EPS]]&lt;&gt;0,Main_L[[#This Row],[Current Price]]/Main_L[[#This Row],[EPS]],""),"")</f>
        <v>45.126213592233007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1.7702935281088727</v>
      </c>
      <c r="P19" s="1">
        <f>(Main_L[[#This Row],[P/B]]-VLOOKUP(Main_L[[#This Row],[Industry]], Mean_PB_L, 2, FALSE))/(VLOOKUP(Main_L[[#This Row],[Industry]], Mean_PB_L, 3, FALSE))</f>
        <v>1.2657663124582557</v>
      </c>
      <c r="Q19" s="1">
        <f>(Main_L[[#This Row],[ROE]]-VLOOKUP(Main_L[[#This Row],[Industry]], Mean_ROE_L, 2, FALSE))/(VLOOKUP(Main_L[[#This Row],[Industry]], Mean_ROE_L, 3, FALSE))</f>
        <v>0.65665588402265018</v>
      </c>
      <c r="R19" s="1">
        <f>(Main_L[[#This Row],[ROA]]-VLOOKUP(Main_L[[#This Row],[Industry]], Mean_ROA_L, 2, FALSE))/(VLOOKUP(Main_L[[#This Row],[Industry]], Mean_ROA_L, 3, FALSE))</f>
        <v>3.8273202567491227</v>
      </c>
      <c r="S19" s="1">
        <f>(Main_L[[#This Row],[A/E]]-VLOOKUP(Main_L[[#This Row],[Industry]], Mean_AE_L, 2, FALSE))/(VLOOKUP(Main_L[[#This Row],[Industry]], Mean_AE_L, 3, FALSE))</f>
        <v>-0.34592142143605403</v>
      </c>
      <c r="T19" s="1">
        <f>(Main_L[[#This Row],[P/E]]-VLOOKUP(Main_L[[#This Row],[Industry]], Mean_PE_L, 2, FALSE))/(VLOOKUP(Main_L[[#This Row],[Industry]], Mean_PE_L, 3, FALSE))</f>
        <v>1.5081444996377273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7" t="s">
        <v>186</v>
      </c>
      <c r="B20" s="67" t="s">
        <v>189</v>
      </c>
      <c r="C20" s="2">
        <v>17004</v>
      </c>
      <c r="D20">
        <f>RTD("tos.rtd", , "LAST", Main_L[[#This Row],[Symbol]])</f>
        <v>72.36</v>
      </c>
      <c r="E20">
        <v>1.71</v>
      </c>
      <c r="F20">
        <v>22.85</v>
      </c>
      <c r="G20">
        <v>6.14</v>
      </c>
      <c r="H20" s="1">
        <f>IF(ISNUMBER(Main_L[[#This Row],[Free CF]]),IF(Main_L[[#This Row],[Free CF]]&lt;&gt;0,Main_L[[#This Row],[Current Price]]/Main_L[[#This Row],[Free CF]],""),"")</f>
        <v>42.315789473684212</v>
      </c>
      <c r="I20" s="1">
        <f>IF(ISNUMBER(Main_L[[#This Row],[BVPS]]),IF(Main_L[[#This Row],[BVPS]]&lt;&gt;0,Main_L[[#This Row],[Current Price]]/Main_L[[#This Row],[BVPS]],""),"")</f>
        <v>3.1667396061269146</v>
      </c>
      <c r="J20">
        <v>31</v>
      </c>
      <c r="K20">
        <v>3.19</v>
      </c>
      <c r="L20">
        <v>1.64</v>
      </c>
      <c r="M20" s="1">
        <f>IF(ISNUMBER(Main_L[[#This Row],[EPS]]),IF(Main_L[[#This Row],[EPS]]&lt;&gt;0,Main_L[[#This Row],[Current Price]]/Main_L[[#This Row],[EPS]],""),"")</f>
        <v>11.785016286644952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1.1214172946494467</v>
      </c>
      <c r="P20" s="1">
        <f>(Main_L[[#This Row],[P/B]]-VLOOKUP(Main_L[[#This Row],[Industry]], Mean_PB_L, 2, FALSE))/(VLOOKUP(Main_L[[#This Row],[Industry]], Mean_PB_L, 3, FALSE))</f>
        <v>-0.72297540175403197</v>
      </c>
      <c r="Q20" s="1">
        <f>(Main_L[[#This Row],[ROE]]-VLOOKUP(Main_L[[#This Row],[Industry]], Mean_ROE_L, 2, FALSE))/(VLOOKUP(Main_L[[#This Row],[Industry]], Mean_ROE_L, 3, FALSE))</f>
        <v>0.94975429768652775</v>
      </c>
      <c r="R20" s="1">
        <f>(Main_L[[#This Row],[ROA]]-VLOOKUP(Main_L[[#This Row],[Industry]], Mean_ROA_L, 2, FALSE))/(VLOOKUP(Main_L[[#This Row],[Industry]], Mean_ROA_L, 3, FALSE))</f>
        <v>-1.178569960572373</v>
      </c>
      <c r="S20" s="1">
        <f>(Main_L[[#This Row],[A/E]]-VLOOKUP(Main_L[[#This Row],[Industry]], Mean_AE_L, 2, FALSE))/(VLOOKUP(Main_L[[#This Row],[Industry]], Mean_AE_L, 3, FALSE))</f>
        <v>-1.059922931873462</v>
      </c>
      <c r="T20" s="1">
        <f>(Main_L[[#This Row],[P/E]]-VLOOKUP(Main_L[[#This Row],[Industry]], Mean_PE_L, 2, FALSE))/(VLOOKUP(Main_L[[#This Row],[Industry]], Mean_PE_L, 3, FALSE))</f>
        <v>-1.6925052022168841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s="67" t="s">
        <v>186</v>
      </c>
      <c r="B21" s="67" t="s">
        <v>192</v>
      </c>
      <c r="C21" s="2">
        <v>42472</v>
      </c>
      <c r="D21">
        <f>RTD("tos.rtd", , "LAST", Main_L[[#This Row],[Symbol]])</f>
        <v>50.89</v>
      </c>
      <c r="E21">
        <v>1.26</v>
      </c>
      <c r="F21">
        <v>13.23</v>
      </c>
      <c r="G21">
        <v>0.52</v>
      </c>
      <c r="H21" s="1">
        <f>IF(ISNUMBER(Main_L[[#This Row],[Free CF]]),IF(Main_L[[#This Row],[Free CF]]&lt;&gt;0,Main_L[[#This Row],[Current Price]]/Main_L[[#This Row],[Free CF]],""),"")</f>
        <v>40.388888888888886</v>
      </c>
      <c r="I21" s="1">
        <f>IF(ISNUMBER(Main_L[[#This Row],[BVPS]]),IF(Main_L[[#This Row],[BVPS]]&lt;&gt;0,Main_L[[#This Row],[Current Price]]/Main_L[[#This Row],[BVPS]],""),"")</f>
        <v>3.8465608465608465</v>
      </c>
      <c r="J21">
        <v>4.87</v>
      </c>
      <c r="K21">
        <v>3.59</v>
      </c>
      <c r="L21">
        <v>2.56</v>
      </c>
      <c r="M21" s="1">
        <f>IF(ISNUMBER(Main_L[[#This Row],[EPS]]),IF(Main_L[[#This Row],[EPS]]&lt;&gt;0,Main_L[[#This Row],[Current Price]]/Main_L[[#This Row],[EPS]],""),"")</f>
        <v>97.865384615384613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0.96904979959856108</v>
      </c>
      <c r="P21" s="1">
        <f>(Main_L[[#This Row],[P/B]]-VLOOKUP(Main_L[[#This Row],[Industry]], Mean_PB_L, 2, FALSE))/(VLOOKUP(Main_L[[#This Row],[Industry]], Mean_PB_L, 3, FALSE))</f>
        <v>-0.54839138275729538</v>
      </c>
      <c r="Q21" s="1">
        <f>(Main_L[[#This Row],[ROE]]-VLOOKUP(Main_L[[#This Row],[Industry]], Mean_ROE_L, 2, FALSE))/(VLOOKUP(Main_L[[#This Row],[Industry]], Mean_ROE_L, 3, FALSE))</f>
        <v>-1.2573527769639399</v>
      </c>
      <c r="R21" s="1">
        <f>(Main_L[[#This Row],[ROA]]-VLOOKUP(Main_L[[#This Row],[Industry]], Mean_ROA_L, 2, FALSE))/(VLOOKUP(Main_L[[#This Row],[Industry]], Mean_ROA_L, 3, FALSE))</f>
        <v>-0.94654723902792359</v>
      </c>
      <c r="S21" s="1">
        <f>(Main_L[[#This Row],[A/E]]-VLOOKUP(Main_L[[#This Row],[Industry]], Mean_AE_L, 2, FALSE))/(VLOOKUP(Main_L[[#This Row],[Industry]], Mean_AE_L, 3, FALSE))</f>
        <v>7.2631188130702018E-2</v>
      </c>
      <c r="T21" s="1">
        <f>(Main_L[[#This Row],[P/E]]-VLOOKUP(Main_L[[#This Row],[Industry]], Mean_PE_L, 2, FALSE))/(VLOOKUP(Main_L[[#This Row],[Industry]], Mean_PE_L, 3, FALSE))</f>
        <v>6.5709384498423411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2" spans="1:26" x14ac:dyDescent="0.25">
      <c r="A22" s="67" t="s">
        <v>186</v>
      </c>
      <c r="B22" s="67" t="s">
        <v>320</v>
      </c>
      <c r="C22" s="2">
        <v>10183</v>
      </c>
      <c r="D22">
        <f>RTD("tos.rtd", , "LAST", Main_L[[#This Row],[Symbol]])</f>
        <v>125.9</v>
      </c>
      <c r="E22">
        <v>-1.07</v>
      </c>
      <c r="F22">
        <v>96.74</v>
      </c>
      <c r="G22">
        <v>8</v>
      </c>
      <c r="H22" s="1">
        <f>IF(ISNUMBER(Main_L[[#This Row],[Free CF]]),IF(Main_L[[#This Row],[Free CF]]&lt;&gt;0,Main_L[[#This Row],[Current Price]]/Main_L[[#This Row],[Free CF]],""),"")</f>
        <v>-117.66355140186916</v>
      </c>
      <c r="I22" s="1">
        <f>IF(ISNUMBER(Main_L[[#This Row],[BVPS]]),IF(Main_L[[#This Row],[BVPS]]&lt;&gt;0,Main_L[[#This Row],[Current Price]]/Main_L[[#This Row],[BVPS]],""),"")</f>
        <v>1.3014265040314246</v>
      </c>
      <c r="J22">
        <v>8.48</v>
      </c>
      <c r="K22">
        <v>2.73</v>
      </c>
      <c r="L22">
        <v>3.58</v>
      </c>
      <c r="M22" s="1">
        <f>IF(ISNUMBER(Main_L[[#This Row],[EPS]]),IF(Main_L[[#This Row],[EPS]]&lt;&gt;0,Main_L[[#This Row],[Current Price]]/Main_L[[#This Row],[EPS]],""),"")</f>
        <v>15.737500000000001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-11.528769031226293</v>
      </c>
      <c r="P22" s="1">
        <f>(Main_L[[#This Row],[P/B]]-VLOOKUP(Main_L[[#This Row],[Industry]], Mean_PB_L, 2, FALSE))/(VLOOKUP(Main_L[[#This Row],[Industry]], Mean_PB_L, 3, FALSE))</f>
        <v>-1.202004062057783</v>
      </c>
      <c r="Q22" s="1">
        <f>(Main_L[[#This Row],[ROE]]-VLOOKUP(Main_L[[#This Row],[Industry]], Mean_ROE_L, 2, FALSE))/(VLOOKUP(Main_L[[#This Row],[Industry]], Mean_ROE_L, 3, FALSE))</f>
        <v>-0.9524290670715484</v>
      </c>
      <c r="R22" s="1">
        <f>(Main_L[[#This Row],[ROA]]-VLOOKUP(Main_L[[#This Row],[Industry]], Mean_ROA_L, 2, FALSE))/(VLOOKUP(Main_L[[#This Row],[Industry]], Mean_ROA_L, 3, FALSE))</f>
        <v>-1.4453960903484897</v>
      </c>
      <c r="S22" s="1">
        <f>(Main_L[[#This Row],[A/E]]-VLOOKUP(Main_L[[#This Row],[Industry]], Mean_AE_L, 2, FALSE))/(VLOOKUP(Main_L[[#This Row],[Industry]], Mean_AE_L, 3, FALSE))</f>
        <v>1.3282890168309707</v>
      </c>
      <c r="T22" s="1">
        <f>(Main_L[[#This Row],[P/E]]-VLOOKUP(Main_L[[#This Row],[Industry]], Mean_PE_L, 2, FALSE))/(VLOOKUP(Main_L[[#This Row],[Industry]], Mean_PE_L, 3, FALSE))</f>
        <v>-1.3130792415116641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7" t="s">
        <v>105</v>
      </c>
      <c r="B23" s="67" t="s">
        <v>112</v>
      </c>
      <c r="C23" s="2">
        <v>33590</v>
      </c>
      <c r="D23">
        <f>RTD("tos.rtd", , "LAST", Main_L[[#This Row],[Symbol]])</f>
        <v>421.53</v>
      </c>
      <c r="E23">
        <v>19.41</v>
      </c>
      <c r="F23">
        <v>19.36</v>
      </c>
      <c r="G23">
        <v>16.059999999999999</v>
      </c>
      <c r="H23" s="1">
        <f>IF(ISNUMBER(Main_L[[#This Row],[Free CF]]),IF(Main_L[[#This Row],[Free CF]]&lt;&gt;0,Main_L[[#This Row],[Current Price]]/Main_L[[#This Row],[Free CF]],""),"")</f>
        <v>21.717156105100461</v>
      </c>
      <c r="I23" s="1">
        <f>IF(ISNUMBER(Main_L[[#This Row],[BVPS]]),IF(Main_L[[#This Row],[BVPS]]&lt;&gt;0,Main_L[[#This Row],[Current Price]]/Main_L[[#This Row],[BVPS]],""),"")</f>
        <v>21.773243801652892</v>
      </c>
      <c r="J23">
        <v>113.19</v>
      </c>
      <c r="K23">
        <v>9.0299999999999994</v>
      </c>
      <c r="L23">
        <v>5.66</v>
      </c>
      <c r="M23" s="1">
        <f>IF(ISNUMBER(Main_L[[#This Row],[EPS]]),IF(Main_L[[#This Row],[EPS]]&lt;&gt;0,Main_L[[#This Row],[Current Price]]/Main_L[[#This Row],[EPS]],""),"")</f>
        <v>26.24719800747198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0.12164958758364604</v>
      </c>
      <c r="P23" s="1">
        <f>(Main_L[[#This Row],[P/B]]-VLOOKUP(Main_L[[#This Row],[Industry]], Mean_PB_L, 2, FALSE))/(VLOOKUP(Main_L[[#This Row],[Industry]], Mean_PB_L, 3, FALSE))</f>
        <v>0.80769590176941253</v>
      </c>
      <c r="Q23" s="1">
        <f>(Main_L[[#This Row],[ROE]]-VLOOKUP(Main_L[[#This Row],[Industry]], Mean_ROE_L, 2, FALSE))/(VLOOKUP(Main_L[[#This Row],[Industry]], Mean_ROE_L, 3, FALSE))</f>
        <v>5.0888736871115006</v>
      </c>
      <c r="R23" s="1">
        <f>(Main_L[[#This Row],[ROA]]-VLOOKUP(Main_L[[#This Row],[Industry]], Mean_ROA_L, 2, FALSE))/(VLOOKUP(Main_L[[#This Row],[Industry]], Mean_ROA_L, 3, FALSE))</f>
        <v>0.69885907538859104</v>
      </c>
      <c r="S23" s="1">
        <f>(Main_L[[#This Row],[A/E]]-VLOOKUP(Main_L[[#This Row],[Industry]], Mean_AE_L, 2, FALSE))/(VLOOKUP(Main_L[[#This Row],[Industry]], Mean_AE_L, 3, FALSE))</f>
        <v>2.31194298690767</v>
      </c>
      <c r="T23" s="1">
        <f>(Main_L[[#This Row],[P/E]]-VLOOKUP(Main_L[[#This Row],[Industry]], Mean_PE_L, 2, FALSE))/(VLOOKUP(Main_L[[#This Row],[Industry]], Mean_PE_L, 3, FALSE))</f>
        <v>0.15441252108546949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7" t="s">
        <v>105</v>
      </c>
      <c r="B24" s="67" t="s">
        <v>106</v>
      </c>
      <c r="C24" s="2">
        <v>198338</v>
      </c>
      <c r="D24">
        <f>RTD("tos.rtd", , "LAST", Main_L[[#This Row],[Symbol]])</f>
        <v>316.62</v>
      </c>
      <c r="E24">
        <v>15.55</v>
      </c>
      <c r="F24">
        <v>46.69</v>
      </c>
      <c r="G24">
        <v>12.12</v>
      </c>
      <c r="H24" s="1">
        <f>IF(ISNUMBER(Main_L[[#This Row],[Free CF]]),IF(Main_L[[#This Row],[Free CF]]&lt;&gt;0,Main_L[[#This Row],[Current Price]]/Main_L[[#This Row],[Free CF]],""),"")</f>
        <v>20.361414790996783</v>
      </c>
      <c r="I24" s="1">
        <f>IF(ISNUMBER(Main_L[[#This Row],[BVPS]]),IF(Main_L[[#This Row],[BVPS]]&lt;&gt;0,Main_L[[#This Row],[Current Price]]/Main_L[[#This Row],[BVPS]],""),"")</f>
        <v>6.7813236239023347</v>
      </c>
      <c r="J24">
        <v>26.96</v>
      </c>
      <c r="K24">
        <v>11.58</v>
      </c>
      <c r="L24">
        <v>2.0499999999999998</v>
      </c>
      <c r="M24" s="1">
        <f>IF(ISNUMBER(Main_L[[#This Row],[EPS]]),IF(Main_L[[#This Row],[EPS]]&lt;&gt;0,Main_L[[#This Row],[Current Price]]/Main_L[[#This Row],[EPS]],""),"")</f>
        <v>26.123762376237625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4" s="1">
        <f>(Main_L[[#This Row],[P/FCF]]-VLOOKUP(Main_L[[#This Row],[Industry]], Mean_PFCF_L, 2, FALSE))/(VLOOKUP(Main_L[[#This Row],[Industry]], Mean_PFCF_L, 3, FALSE))</f>
        <v>-0.22431452283523456</v>
      </c>
      <c r="P24" s="1">
        <f>(Main_L[[#This Row],[P/B]]-VLOOKUP(Main_L[[#This Row],[Industry]], Mean_PB_L, 2, FALSE))/(VLOOKUP(Main_L[[#This Row],[Industry]], Mean_PB_L, 3, FALSE))</f>
        <v>-0.27095911143792417</v>
      </c>
      <c r="Q24" s="1">
        <f>(Main_L[[#This Row],[ROE]]-VLOOKUP(Main_L[[#This Row],[Industry]], Mean_ROE_L, 2, FALSE))/(VLOOKUP(Main_L[[#This Row],[Industry]], Mean_ROE_L, 3, FALSE))</f>
        <v>1.0344694353579293</v>
      </c>
      <c r="R24" s="1">
        <f>(Main_L[[#This Row],[ROA]]-VLOOKUP(Main_L[[#This Row],[Industry]], Mean_ROA_L, 2, FALSE))/(VLOOKUP(Main_L[[#This Row],[Industry]], Mean_ROA_L, 3, FALSE))</f>
        <v>1.0951900659445228</v>
      </c>
      <c r="S24" s="1">
        <f>(Main_L[[#This Row],[A/E]]-VLOOKUP(Main_L[[#This Row],[Industry]], Mean_AE_L, 2, FALSE))/(VLOOKUP(Main_L[[#This Row],[Industry]], Mean_AE_L, 3, FALSE))</f>
        <v>-3.8661253961666836E-2</v>
      </c>
      <c r="T24" s="1">
        <f>(Main_L[[#This Row],[P/E]]-VLOOKUP(Main_L[[#This Row],[Industry]], Mean_PE_L, 2, FALSE))/(VLOOKUP(Main_L[[#This Row],[Industry]], Mean_PE_L, 3, FALSE))</f>
        <v>0.1504138046179998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7" t="s">
        <v>105</v>
      </c>
      <c r="B25" s="67" t="s">
        <v>110</v>
      </c>
      <c r="C25" s="2">
        <v>240769</v>
      </c>
      <c r="D25">
        <f>RTD("tos.rtd", , "LAST", Main_L[[#This Row],[Symbol]])</f>
        <v>272.08</v>
      </c>
      <c r="E25">
        <v>12.92</v>
      </c>
      <c r="F25">
        <v>28.92</v>
      </c>
      <c r="G25">
        <v>5.85</v>
      </c>
      <c r="H25" s="1">
        <f>IF(ISNUMBER(Main_L[[#This Row],[Free CF]]),IF(Main_L[[#This Row],[Free CF]]&lt;&gt;0,Main_L[[#This Row],[Current Price]]/Main_L[[#This Row],[Free CF]],""),"")</f>
        <v>21.058823529411764</v>
      </c>
      <c r="I25" s="1">
        <f>IF(ISNUMBER(Main_L[[#This Row],[BVPS]]),IF(Main_L[[#This Row],[BVPS]]&lt;&gt;0,Main_L[[#This Row],[Current Price]]/Main_L[[#This Row],[BVPS]],""),"")</f>
        <v>9.4080221300138298</v>
      </c>
      <c r="J25">
        <v>21.85</v>
      </c>
      <c r="K25">
        <v>4.47</v>
      </c>
      <c r="L25">
        <v>5.42</v>
      </c>
      <c r="M25" s="1">
        <f>IF(ISNUMBER(Main_L[[#This Row],[EPS]]),IF(Main_L[[#This Row],[EPS]]&lt;&gt;0,Main_L[[#This Row],[Current Price]]/Main_L[[#This Row],[EPS]],""),"")</f>
        <v>46.509401709401708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-4.6346652951731404E-2</v>
      </c>
      <c r="P25" s="1">
        <f>(Main_L[[#This Row],[P/B]]-VLOOKUP(Main_L[[#This Row],[Industry]], Mean_PB_L, 2, FALSE))/(VLOOKUP(Main_L[[#This Row],[Industry]], Mean_PB_L, 3, FALSE))</f>
        <v>-8.1970544382566124E-2</v>
      </c>
      <c r="Q25" s="1">
        <f>(Main_L[[#This Row],[ROE]]-VLOOKUP(Main_L[[#This Row],[Industry]], Mean_ROE_L, 2, FALSE))/(VLOOKUP(Main_L[[#This Row],[Industry]], Mean_ROE_L, 3, FALSE))</f>
        <v>0.79420495981043149</v>
      </c>
      <c r="R25" s="1">
        <f>(Main_L[[#This Row],[ROA]]-VLOOKUP(Main_L[[#This Row],[Industry]], Mean_ROA_L, 2, FALSE))/(VLOOKUP(Main_L[[#This Row],[Industry]], Mean_ROA_L, 3, FALSE))</f>
        <v>-9.8739900761339334E-3</v>
      </c>
      <c r="S25" s="1">
        <f>(Main_L[[#This Row],[A/E]]-VLOOKUP(Main_L[[#This Row],[Industry]], Mean_AE_L, 2, FALSE))/(VLOOKUP(Main_L[[#This Row],[Industry]], Mean_AE_L, 3, FALSE))</f>
        <v>2.155670128788933</v>
      </c>
      <c r="T25" s="1">
        <f>(Main_L[[#This Row],[P/E]]-VLOOKUP(Main_L[[#This Row],[Industry]], Mean_PE_L, 2, FALSE))/(VLOOKUP(Main_L[[#This Row],[Industry]], Mean_PE_L, 3, FALSE))</f>
        <v>0.81080976068237243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7" t="s">
        <v>105</v>
      </c>
      <c r="B26" s="67" t="s">
        <v>116</v>
      </c>
      <c r="C26" s="2">
        <v>25954</v>
      </c>
      <c r="D26">
        <f>RTD("tos.rtd", , "LAST", Main_L[[#This Row],[Symbol]])</f>
        <v>179.67</v>
      </c>
      <c r="E26">
        <v>9.7100000000000009</v>
      </c>
      <c r="F26">
        <v>1.4</v>
      </c>
      <c r="G26">
        <v>5.2</v>
      </c>
      <c r="H26" s="1">
        <f>IF(ISNUMBER(Main_L[[#This Row],[Free CF]]),IF(Main_L[[#This Row],[Free CF]]&lt;&gt;0,Main_L[[#This Row],[Current Price]]/Main_L[[#This Row],[Free CF]],""),"")</f>
        <v>18.503604531410915</v>
      </c>
      <c r="I26" s="1">
        <f>IF(ISNUMBER(Main_L[[#This Row],[BVPS]]),IF(Main_L[[#This Row],[BVPS]]&lt;&gt;0,Main_L[[#This Row],[Current Price]]/Main_L[[#This Row],[BVPS]],""),"")</f>
        <v>128.33571428571429</v>
      </c>
      <c r="J26">
        <v>245.7</v>
      </c>
      <c r="K26">
        <v>7.78</v>
      </c>
      <c r="L26">
        <v>39.25</v>
      </c>
      <c r="M26" s="1">
        <f>IF(ISNUMBER(Main_L[[#This Row],[EPS]]),IF(Main_L[[#This Row],[EPS]]&lt;&gt;0,Main_L[[#This Row],[Current Price]]/Main_L[[#This Row],[EPS]],""),"")</f>
        <v>34.551923076923075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-0.69839882424167699</v>
      </c>
      <c r="P26" s="1">
        <f>(Main_L[[#This Row],[P/B]]-VLOOKUP(Main_L[[#This Row],[Industry]], Mean_PB_L, 2, FALSE))/(VLOOKUP(Main_L[[#This Row],[Industry]], Mean_PB_L, 3, FALSE))</f>
        <v>8.4747686746073949</v>
      </c>
      <c r="Q26" s="1">
        <f>(Main_L[[#This Row],[ROE]]-VLOOKUP(Main_L[[#This Row],[Industry]], Mean_ROE_L, 2, FALSE))/(VLOOKUP(Main_L[[#This Row],[Industry]], Mean_ROE_L, 3, FALSE))</f>
        <v>11.319293580418538</v>
      </c>
      <c r="R26" s="1">
        <f>(Main_L[[#This Row],[ROA]]-VLOOKUP(Main_L[[#This Row],[Industry]], Mean_ROA_L, 2, FALSE))/(VLOOKUP(Main_L[[#This Row],[Industry]], Mean_ROA_L, 3, FALSE))</f>
        <v>0.50457917805725205</v>
      </c>
      <c r="S26" s="1">
        <f>(Main_L[[#This Row],[A/E]]-VLOOKUP(Main_L[[#This Row],[Industry]], Mean_AE_L, 2, FALSE))/(VLOOKUP(Main_L[[#This Row],[Industry]], Mean_AE_L, 3, FALSE))</f>
        <v>24.18363175444258</v>
      </c>
      <c r="T26" s="1">
        <f>(Main_L[[#This Row],[P/E]]-VLOOKUP(Main_L[[#This Row],[Industry]], Mean_PE_L, 2, FALSE))/(VLOOKUP(Main_L[[#This Row],[Industry]], Mean_PE_L, 3, FALSE))</f>
        <v>0.42344538105418733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s="67" t="s">
        <v>105</v>
      </c>
      <c r="B27" s="67" t="s">
        <v>123</v>
      </c>
      <c r="C27" s="2">
        <v>25585</v>
      </c>
      <c r="D27">
        <f>RTD("tos.rtd", , "LAST", Main_L[[#This Row],[Symbol]])</f>
        <v>279.88</v>
      </c>
      <c r="E27">
        <v>9.39</v>
      </c>
      <c r="F27">
        <v>-21.01</v>
      </c>
      <c r="G27">
        <v>8.18</v>
      </c>
      <c r="H27" s="1">
        <f>IF(ISNUMBER(Main_L[[#This Row],[Free CF]]),IF(Main_L[[#This Row],[Free CF]]&lt;&gt;0,Main_L[[#This Row],[Current Price]]/Main_L[[#This Row],[Free CF]],""),"")</f>
        <v>29.806176783812564</v>
      </c>
      <c r="I27" s="1">
        <f>IF(ISNUMBER(Main_L[[#This Row],[BVPS]]),IF(Main_L[[#This Row],[BVPS]]&lt;&gt;0,Main_L[[#This Row],[Current Price]]/Main_L[[#This Row],[BVPS]],""),"")</f>
        <v>-13.321275583055687</v>
      </c>
      <c r="J27">
        <v>-43.78</v>
      </c>
      <c r="K27">
        <v>42.14</v>
      </c>
      <c r="L27">
        <v>-0.73</v>
      </c>
      <c r="M27" s="1">
        <f>IF(ISNUMBER(Main_L[[#This Row],[EPS]]),IF(Main_L[[#This Row],[EPS]]&lt;&gt;0,Main_L[[#This Row],[Current Price]]/Main_L[[#This Row],[EPS]],""),"")</f>
        <v>34.215158924205383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2.1858419332456522</v>
      </c>
      <c r="P27" s="1">
        <f>(Main_L[[#This Row],[P/B]]-VLOOKUP(Main_L[[#This Row],[Industry]], Mean_PB_L, 2, FALSE))/(VLOOKUP(Main_L[[#This Row],[Industry]], Mean_PB_L, 3, FALSE))</f>
        <v>-1.7173228297602698</v>
      </c>
      <c r="Q27" s="1">
        <f>(Main_L[[#This Row],[ROE]]-VLOOKUP(Main_L[[#This Row],[Industry]], Mean_ROE_L, 2, FALSE))/(VLOOKUP(Main_L[[#This Row],[Industry]], Mean_ROE_L, 3, FALSE))</f>
        <v>-2.2916184316146748</v>
      </c>
      <c r="R27" s="1">
        <f>(Main_L[[#This Row],[ROA]]-VLOOKUP(Main_L[[#This Row],[Industry]], Mean_ROA_L, 2, FALSE))/(VLOOKUP(Main_L[[#This Row],[Industry]], Mean_ROA_L, 3, FALSE))</f>
        <v>5.8449449959011019</v>
      </c>
      <c r="S27" s="1">
        <f>(Main_L[[#This Row],[A/E]]-VLOOKUP(Main_L[[#This Row],[Industry]], Mean_AE_L, 2, FALSE))/(VLOOKUP(Main_L[[#This Row],[Industry]], Mean_AE_L, 3, FALSE))</f>
        <v>-1.8488218605037043</v>
      </c>
      <c r="T27" s="1">
        <f>(Main_L[[#This Row],[P/E]]-VLOOKUP(Main_L[[#This Row],[Industry]], Mean_PE_L, 2, FALSE))/(VLOOKUP(Main_L[[#This Row],[Industry]], Mean_PE_L, 3, FALSE))</f>
        <v>0.41253585396173048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7" t="s">
        <v>105</v>
      </c>
      <c r="B28" s="67" t="s">
        <v>109</v>
      </c>
      <c r="C28" s="2">
        <v>24136</v>
      </c>
      <c r="D28">
        <f>RTD("tos.rtd", , "LAST", Main_L[[#This Row],[Symbol]])</f>
        <v>107.95</v>
      </c>
      <c r="E28">
        <v>5.72</v>
      </c>
      <c r="F28">
        <v>31.7</v>
      </c>
      <c r="G28">
        <v>5.3</v>
      </c>
      <c r="H28" s="1">
        <f>IF(ISNUMBER(Main_L[[#This Row],[Free CF]]),IF(Main_L[[#This Row],[Free CF]]&lt;&gt;0,Main_L[[#This Row],[Current Price]]/Main_L[[#This Row],[Free CF]],""),"")</f>
        <v>18.872377622377623</v>
      </c>
      <c r="I28" s="1">
        <f>IF(ISNUMBER(Main_L[[#This Row],[BVPS]]),IF(Main_L[[#This Row],[BVPS]]&lt;&gt;0,Main_L[[#This Row],[Current Price]]/Main_L[[#This Row],[BVPS]],""),"")</f>
        <v>3.4053627760252367</v>
      </c>
      <c r="J28">
        <v>18.34</v>
      </c>
      <c r="K28">
        <v>9.01</v>
      </c>
      <c r="L28">
        <v>1.84</v>
      </c>
      <c r="M28" s="1">
        <f>IF(ISNUMBER(Main_L[[#This Row],[EPS]]),IF(Main_L[[#This Row],[EPS]]&lt;&gt;0,Main_L[[#This Row],[Current Price]]/Main_L[[#This Row],[EPS]],""),"")</f>
        <v>20.367924528301888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8" s="1">
        <f>(Main_L[[#This Row],[P/FCF]]-VLOOKUP(Main_L[[#This Row],[Industry]], Mean_PFCF_L, 2, FALSE))/(VLOOKUP(Main_L[[#This Row],[Industry]], Mean_PFCF_L, 3, FALSE))</f>
        <v>-0.60429366344478341</v>
      </c>
      <c r="P28" s="1">
        <f>(Main_L[[#This Row],[P/B]]-VLOOKUP(Main_L[[#This Row],[Industry]], Mean_PB_L, 2, FALSE))/(VLOOKUP(Main_L[[#This Row],[Industry]], Mean_PB_L, 3, FALSE))</f>
        <v>-0.51385642210788429</v>
      </c>
      <c r="Q28" s="1">
        <f>(Main_L[[#This Row],[ROE]]-VLOOKUP(Main_L[[#This Row],[Industry]], Mean_ROE_L, 2, FALSE))/(VLOOKUP(Main_L[[#This Row],[Industry]], Mean_ROE_L, 3, FALSE))</f>
        <v>0.62917006564766864</v>
      </c>
      <c r="R28" s="1">
        <f>(Main_L[[#This Row],[ROA]]-VLOOKUP(Main_L[[#This Row],[Industry]], Mean_ROA_L, 2, FALSE))/(VLOOKUP(Main_L[[#This Row],[Industry]], Mean_ROA_L, 3, FALSE))</f>
        <v>0.69575059703128972</v>
      </c>
      <c r="S28" s="1">
        <f>(Main_L[[#This Row],[A/E]]-VLOOKUP(Main_L[[#This Row],[Industry]], Mean_AE_L, 2, FALSE))/(VLOOKUP(Main_L[[#This Row],[Industry]], Mean_AE_L, 3, FALSE))</f>
        <v>-0.17540000481556162</v>
      </c>
      <c r="T28" s="1">
        <f>(Main_L[[#This Row],[P/E]]-VLOOKUP(Main_L[[#This Row],[Industry]], Mean_PE_L, 2, FALSE))/(VLOOKUP(Main_L[[#This Row],[Industry]], Mean_PE_L, 3, FALSE))</f>
        <v>-3.6047457470317706E-2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7" t="s">
        <v>105</v>
      </c>
      <c r="B29" s="67" t="s">
        <v>108</v>
      </c>
      <c r="C29" s="2">
        <v>10205</v>
      </c>
      <c r="D29">
        <f>RTD("tos.rtd", , "LAST", Main_L[[#This Row],[Symbol]])</f>
        <v>92.39</v>
      </c>
      <c r="E29">
        <v>5.31</v>
      </c>
      <c r="F29">
        <v>31.12</v>
      </c>
      <c r="G29">
        <v>4.74</v>
      </c>
      <c r="H29" s="1">
        <f>IF(ISNUMBER(Main_L[[#This Row],[Free CF]]),IF(Main_L[[#This Row],[Free CF]]&lt;&gt;0,Main_L[[#This Row],[Current Price]]/Main_L[[#This Row],[Free CF]],""),"")</f>
        <v>17.39924670433145</v>
      </c>
      <c r="I29" s="1">
        <f>IF(ISNUMBER(Main_L[[#This Row],[BVPS]]),IF(Main_L[[#This Row],[BVPS]]&lt;&gt;0,Main_L[[#This Row],[Current Price]]/Main_L[[#This Row],[BVPS]],""),"")</f>
        <v>2.9688303341902311</v>
      </c>
      <c r="J29">
        <v>15.35</v>
      </c>
      <c r="K29">
        <v>7.83</v>
      </c>
      <c r="L29">
        <v>1.79</v>
      </c>
      <c r="M29" s="1">
        <f>IF(ISNUMBER(Main_L[[#This Row],[EPS]]),IF(Main_L[[#This Row],[EPS]]&lt;&gt;0,Main_L[[#This Row],[Current Price]]/Main_L[[#This Row],[EPS]],""),"")</f>
        <v>19.491561181434598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9" s="1">
        <f>(Main_L[[#This Row],[P/FCF]]-VLOOKUP(Main_L[[#This Row],[Industry]], Mean_PFCF_L, 2, FALSE))/(VLOOKUP(Main_L[[#This Row],[Industry]], Mean_PFCF_L, 3, FALSE))</f>
        <v>-0.98021377614662186</v>
      </c>
      <c r="P29" s="1">
        <f>(Main_L[[#This Row],[P/B]]-VLOOKUP(Main_L[[#This Row],[Industry]], Mean_PB_L, 2, FALSE))/(VLOOKUP(Main_L[[#This Row],[Industry]], Mean_PB_L, 3, FALSE))</f>
        <v>-0.54526453402618158</v>
      </c>
      <c r="Q29" s="1">
        <f>(Main_L[[#This Row],[ROE]]-VLOOKUP(Main_L[[#This Row],[Industry]], Mean_ROE_L, 2, FALSE))/(VLOOKUP(Main_L[[#This Row],[Industry]], Mean_ROE_L, 3, FALSE))</f>
        <v>0.48858478543494466</v>
      </c>
      <c r="R29" s="1">
        <f>(Main_L[[#This Row],[ROA]]-VLOOKUP(Main_L[[#This Row],[Industry]], Mean_ROA_L, 2, FALSE))/(VLOOKUP(Main_L[[#This Row],[Industry]], Mean_ROA_L, 3, FALSE))</f>
        <v>0.51235037395050564</v>
      </c>
      <c r="S29" s="1">
        <f>(Main_L[[#This Row],[A/E]]-VLOOKUP(Main_L[[#This Row],[Industry]], Mean_AE_L, 2, FALSE))/(VLOOKUP(Main_L[[#This Row],[Industry]], Mean_AE_L, 3, FALSE))</f>
        <v>-0.2079568502569652</v>
      </c>
      <c r="T29" s="1">
        <f>(Main_L[[#This Row],[P/E]]-VLOOKUP(Main_L[[#This Row],[Industry]], Mean_PE_L, 2, FALSE))/(VLOOKUP(Main_L[[#This Row],[Industry]], Mean_PE_L, 3, FALSE))</f>
        <v>-6.4437384362268132E-2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7" t="s">
        <v>105</v>
      </c>
      <c r="B30" s="67" t="s">
        <v>119</v>
      </c>
      <c r="C30" s="2">
        <v>18062</v>
      </c>
      <c r="D30">
        <f>RTD("tos.rtd", , "LAST", Main_L[[#This Row],[Symbol]])</f>
        <v>101.2</v>
      </c>
      <c r="E30">
        <v>4.4000000000000004</v>
      </c>
      <c r="F30">
        <v>37.51</v>
      </c>
      <c r="G30">
        <v>0.63</v>
      </c>
      <c r="H30" s="1">
        <f>IF(ISNUMBER(Main_L[[#This Row],[Free CF]]),IF(Main_L[[#This Row],[Free CF]]&lt;&gt;0,Main_L[[#This Row],[Current Price]]/Main_L[[#This Row],[Free CF]],""),"")</f>
        <v>23</v>
      </c>
      <c r="I30" s="1">
        <f>IF(ISNUMBER(Main_L[[#This Row],[BVPS]]),IF(Main_L[[#This Row],[BVPS]]&lt;&gt;0,Main_L[[#This Row],[Current Price]]/Main_L[[#This Row],[BVPS]],""),"")</f>
        <v>2.6979472140762466</v>
      </c>
      <c r="J30">
        <v>2.08</v>
      </c>
      <c r="K30">
        <v>0.11</v>
      </c>
      <c r="L30">
        <v>1.43</v>
      </c>
      <c r="M30" s="1">
        <f>IF(ISNUMBER(Main_L[[#This Row],[EPS]]),IF(Main_L[[#This Row],[EPS]]&lt;&gt;0,Main_L[[#This Row],[Current Price]]/Main_L[[#This Row],[EPS]],""),"")</f>
        <v>160.63492063492063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0.44901140970133557</v>
      </c>
      <c r="P30" s="1">
        <f>(Main_L[[#This Row],[P/B]]-VLOOKUP(Main_L[[#This Row],[Industry]], Mean_PB_L, 2, FALSE))/(VLOOKUP(Main_L[[#This Row],[Industry]], Mean_PB_L, 3, FALSE))</f>
        <v>-0.5647543279978593</v>
      </c>
      <c r="Q30" s="1">
        <f>(Main_L[[#This Row],[ROE]]-VLOOKUP(Main_L[[#This Row],[Industry]], Mean_ROE_L, 2, FALSE))/(VLOOKUP(Main_L[[#This Row],[Industry]], Mean_ROE_L, 3, FALSE))</f>
        <v>-0.13535055517470271</v>
      </c>
      <c r="R30" s="1">
        <f>(Main_L[[#This Row],[ROA]]-VLOOKUP(Main_L[[#This Row],[Industry]], Mean_ROA_L, 2, FALSE))/(VLOOKUP(Main_L[[#This Row],[Industry]], Mean_ROA_L, 3, FALSE))</f>
        <v>-0.68752227196784466</v>
      </c>
      <c r="S30" s="1">
        <f>(Main_L[[#This Row],[A/E]]-VLOOKUP(Main_L[[#This Row],[Industry]], Mean_AE_L, 2, FALSE))/(VLOOKUP(Main_L[[#This Row],[Industry]], Mean_AE_L, 3, FALSE))</f>
        <v>-0.44236613743507086</v>
      </c>
      <c r="T30" s="1">
        <f>(Main_L[[#This Row],[P/E]]-VLOOKUP(Main_L[[#This Row],[Industry]], Mean_PE_L, 2, FALSE))/(VLOOKUP(Main_L[[#This Row],[Industry]], Mean_PE_L, 3, FALSE))</f>
        <v>4.5079236922307118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1" spans="1:26" x14ac:dyDescent="0.25">
      <c r="A31" s="67" t="s">
        <v>105</v>
      </c>
      <c r="B31" s="67" t="s">
        <v>107</v>
      </c>
      <c r="C31" s="2">
        <v>39923</v>
      </c>
      <c r="D31">
        <f>RTD("tos.rtd", , "LAST", Main_L[[#This Row],[Symbol]])</f>
        <v>80.47</v>
      </c>
      <c r="E31">
        <v>4.3099999999999996</v>
      </c>
      <c r="F31">
        <v>30.22</v>
      </c>
      <c r="G31">
        <v>4.75</v>
      </c>
      <c r="H31" s="1">
        <f>IF(ISNUMBER(Main_L[[#This Row],[Free CF]]),IF(Main_L[[#This Row],[Free CF]]&lt;&gt;0,Main_L[[#This Row],[Current Price]]/Main_L[[#This Row],[Free CF]],""),"")</f>
        <v>18.670533642691417</v>
      </c>
      <c r="I31" s="1">
        <f>IF(ISNUMBER(Main_L[[#This Row],[BVPS]]),IF(Main_L[[#This Row],[BVPS]]&lt;&gt;0,Main_L[[#This Row],[Current Price]]/Main_L[[#This Row],[BVPS]],""),"")</f>
        <v>2.6628060886829914</v>
      </c>
      <c r="J31">
        <v>16.600000000000001</v>
      </c>
      <c r="K31">
        <v>10.09</v>
      </c>
      <c r="L31">
        <v>1.34</v>
      </c>
      <c r="M31" s="1">
        <f>IF(ISNUMBER(Main_L[[#This Row],[EPS]]),IF(Main_L[[#This Row],[EPS]]&lt;&gt;0,Main_L[[#This Row],[Current Price]]/Main_L[[#This Row],[EPS]],""),"")</f>
        <v>16.941052631578948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1" s="1">
        <f>(Main_L[[#This Row],[P/FCF]]-VLOOKUP(Main_L[[#This Row],[Industry]], Mean_PFCF_L, 2, FALSE))/(VLOOKUP(Main_L[[#This Row],[Industry]], Mean_PFCF_L, 3, FALSE))</f>
        <v>-0.65580110970248795</v>
      </c>
      <c r="P31" s="1">
        <f>(Main_L[[#This Row],[P/B]]-VLOOKUP(Main_L[[#This Row],[Industry]], Mean_PB_L, 2, FALSE))/(VLOOKUP(Main_L[[#This Row],[Industry]], Mean_PB_L, 3, FALSE))</f>
        <v>-0.56728269998928949</v>
      </c>
      <c r="Q31" s="1">
        <f>(Main_L[[#This Row],[ROE]]-VLOOKUP(Main_L[[#This Row],[Industry]], Mean_ROE_L, 2, FALSE))/(VLOOKUP(Main_L[[#This Row],[Industry]], Mean_ROE_L, 3, FALSE))</f>
        <v>0.5473578958917692</v>
      </c>
      <c r="R31" s="1">
        <f>(Main_L[[#This Row],[ROA]]-VLOOKUP(Main_L[[#This Row],[Industry]], Mean_ROA_L, 2, FALSE))/(VLOOKUP(Main_L[[#This Row],[Industry]], Mean_ROA_L, 3, FALSE))</f>
        <v>0.86360842832556672</v>
      </c>
      <c r="S31" s="1">
        <f>(Main_L[[#This Row],[A/E]]-VLOOKUP(Main_L[[#This Row],[Industry]], Mean_AE_L, 2, FALSE))/(VLOOKUP(Main_L[[#This Row],[Industry]], Mean_AE_L, 3, FALSE))</f>
        <v>-0.50096845922959721</v>
      </c>
      <c r="T31" s="1">
        <f>(Main_L[[#This Row],[P/E]]-VLOOKUP(Main_L[[#This Row],[Industry]], Mean_PE_L, 2, FALSE))/(VLOOKUP(Main_L[[#This Row],[Industry]], Mean_PE_L, 3, FALSE))</f>
        <v>-0.14706150542636082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7" t="s">
        <v>105</v>
      </c>
      <c r="B32" s="67" t="s">
        <v>122</v>
      </c>
      <c r="C32" s="2">
        <v>17970</v>
      </c>
      <c r="D32">
        <f>RTD("tos.rtd", , "LAST", Main_L[[#This Row],[Symbol]])</f>
        <v>121.42</v>
      </c>
      <c r="E32">
        <v>4.1399999999999997</v>
      </c>
      <c r="F32">
        <v>52.23</v>
      </c>
      <c r="G32">
        <v>-0.21</v>
      </c>
      <c r="H32" s="1">
        <f>IF(ISNUMBER(Main_L[[#This Row],[Free CF]]),IF(Main_L[[#This Row],[Free CF]]&lt;&gt;0,Main_L[[#This Row],[Current Price]]/Main_L[[#This Row],[Free CF]],""),"")</f>
        <v>29.328502415458939</v>
      </c>
      <c r="I32" s="1">
        <f>IF(ISNUMBER(Main_L[[#This Row],[BVPS]]),IF(Main_L[[#This Row],[BVPS]]&lt;&gt;0,Main_L[[#This Row],[Current Price]]/Main_L[[#This Row],[BVPS]],""),"")</f>
        <v>2.3247175952517711</v>
      </c>
      <c r="J32">
        <v>-0.39</v>
      </c>
      <c r="K32">
        <v>0.15</v>
      </c>
      <c r="L32">
        <v>1.23</v>
      </c>
      <c r="M32" s="1">
        <f>IF(ISNUMBER(Main_L[[#This Row],[EPS]]),IF(Main_L[[#This Row],[EPS]]&lt;&gt;0,Main_L[[#This Row],[Current Price]]/Main_L[[#This Row],[EPS]],""),"")</f>
        <v>-578.19047619047626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2.0639468591646355</v>
      </c>
      <c r="P32" s="1">
        <f>(Main_L[[#This Row],[P/B]]-VLOOKUP(Main_L[[#This Row],[Industry]], Mean_PB_L, 2, FALSE))/(VLOOKUP(Main_L[[#This Row],[Industry]], Mean_PB_L, 3, FALSE))</f>
        <v>-0.59160785941006355</v>
      </c>
      <c r="Q32" s="1">
        <f>(Main_L[[#This Row],[ROE]]-VLOOKUP(Main_L[[#This Row],[Industry]], Mean_ROE_L, 2, FALSE))/(VLOOKUP(Main_L[[#This Row],[Industry]], Mean_ROE_L, 3, FALSE))</f>
        <v>-0.25148622143738764</v>
      </c>
      <c r="R32" s="1">
        <f>(Main_L[[#This Row],[ROA]]-VLOOKUP(Main_L[[#This Row],[Industry]], Mean_ROA_L, 2, FALSE))/(VLOOKUP(Main_L[[#This Row],[Industry]], Mean_ROA_L, 3, FALSE))</f>
        <v>-0.68130531525324178</v>
      </c>
      <c r="S32" s="1">
        <f>(Main_L[[#This Row],[A/E]]-VLOOKUP(Main_L[[#This Row],[Industry]], Mean_AE_L, 2, FALSE))/(VLOOKUP(Main_L[[#This Row],[Industry]], Mean_AE_L, 3, FALSE))</f>
        <v>-0.57259351920068502</v>
      </c>
      <c r="T32" s="1">
        <f>(Main_L[[#This Row],[P/E]]-VLOOKUP(Main_L[[#This Row],[Industry]], Mean_PE_L, 2, FALSE))/(VLOOKUP(Main_L[[#This Row],[Industry]], Mean_PE_L, 3, FALSE))</f>
        <v>-19.4264399216387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3" spans="1:26" x14ac:dyDescent="0.25">
      <c r="A33" s="67" t="s">
        <v>105</v>
      </c>
      <c r="B33" s="67" t="s">
        <v>114</v>
      </c>
      <c r="C33" s="2">
        <v>10808</v>
      </c>
      <c r="D33">
        <f>RTD("tos.rtd", , "LAST", Main_L[[#This Row],[Symbol]])</f>
        <v>78.08</v>
      </c>
      <c r="E33">
        <v>3.64</v>
      </c>
      <c r="F33">
        <v>31.38</v>
      </c>
      <c r="G33">
        <v>2.97</v>
      </c>
      <c r="H33" s="1">
        <f>IF(ISNUMBER(Main_L[[#This Row],[Free CF]]),IF(Main_L[[#This Row],[Free CF]]&lt;&gt;0,Main_L[[#This Row],[Current Price]]/Main_L[[#This Row],[Free CF]],""),"")</f>
        <v>21.450549450549449</v>
      </c>
      <c r="I33" s="1">
        <f>IF(ISNUMBER(Main_L[[#This Row],[BVPS]]),IF(Main_L[[#This Row],[BVPS]]&lt;&gt;0,Main_L[[#This Row],[Current Price]]/Main_L[[#This Row],[BVPS]],""),"")</f>
        <v>2.4882090503505419</v>
      </c>
      <c r="J33">
        <v>9.82</v>
      </c>
      <c r="K33">
        <v>3.92</v>
      </c>
      <c r="L33">
        <v>2.1800000000000002</v>
      </c>
      <c r="M33" s="1">
        <f>IF(ISNUMBER(Main_L[[#This Row],[EPS]]),IF(Main_L[[#This Row],[EPS]]&lt;&gt;0,Main_L[[#This Row],[Current Price]]/Main_L[[#This Row],[EPS]],""),"")</f>
        <v>26.289562289562287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5.3615713337898135E-2</v>
      </c>
      <c r="P33" s="1">
        <f>(Main_L[[#This Row],[P/B]]-VLOOKUP(Main_L[[#This Row],[Industry]], Mean_PB_L, 2, FALSE))/(VLOOKUP(Main_L[[#This Row],[Industry]], Mean_PB_L, 3, FALSE))</f>
        <v>-0.57984479800312161</v>
      </c>
      <c r="Q33" s="1">
        <f>(Main_L[[#This Row],[ROE]]-VLOOKUP(Main_L[[#This Row],[Industry]], Mean_ROE_L, 2, FALSE))/(VLOOKUP(Main_L[[#This Row],[Industry]], Mean_ROE_L, 3, FALSE))</f>
        <v>0.22857254477395375</v>
      </c>
      <c r="R33" s="1">
        <f>(Main_L[[#This Row],[ROA]]-VLOOKUP(Main_L[[#This Row],[Industry]], Mean_ROA_L, 2, FALSE))/(VLOOKUP(Main_L[[#This Row],[Industry]], Mean_ROA_L, 3, FALSE))</f>
        <v>-9.535714490192311E-2</v>
      </c>
      <c r="S33" s="1">
        <f>(Main_L[[#This Row],[A/E]]-VLOOKUP(Main_L[[#This Row],[Industry]], Mean_AE_L, 2, FALSE))/(VLOOKUP(Main_L[[#This Row],[Industry]], Mean_AE_L, 3, FALSE))</f>
        <v>4.5986544185982629E-2</v>
      </c>
      <c r="T33" s="1">
        <f>(Main_L[[#This Row],[P/E]]-VLOOKUP(Main_L[[#This Row],[Industry]], Mean_PE_L, 2, FALSE))/(VLOOKUP(Main_L[[#This Row],[Industry]], Mean_PE_L, 3, FALSE))</f>
        <v>0.15578491859122223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7" t="s">
        <v>105</v>
      </c>
      <c r="B34" s="67" t="s">
        <v>121</v>
      </c>
      <c r="C34" s="2">
        <v>68623</v>
      </c>
      <c r="D34">
        <f>RTD("tos.rtd", , "LAST", Main_L[[#This Row],[Symbol]])</f>
        <v>210.85</v>
      </c>
      <c r="E34">
        <v>2.21</v>
      </c>
      <c r="F34">
        <v>7.24</v>
      </c>
      <c r="G34">
        <v>-4.21</v>
      </c>
      <c r="H34" s="1">
        <f>IF(ISNUMBER(Main_L[[#This Row],[Free CF]]),IF(Main_L[[#This Row],[Free CF]]&lt;&gt;0,Main_L[[#This Row],[Current Price]]/Main_L[[#This Row],[Free CF]],""),"")</f>
        <v>95.407239819004531</v>
      </c>
      <c r="I34" s="1">
        <f>IF(ISNUMBER(Main_L[[#This Row],[BVPS]]),IF(Main_L[[#This Row],[BVPS]]&lt;&gt;0,Main_L[[#This Row],[Current Price]]/Main_L[[#This Row],[BVPS]],""),"")</f>
        <v>29.122928176795579</v>
      </c>
      <c r="J34">
        <v>-40.14</v>
      </c>
      <c r="K34">
        <v>-11.57</v>
      </c>
      <c r="L34">
        <v>3.39</v>
      </c>
      <c r="M34" s="1">
        <f>IF(ISNUMBER(Main_L[[#This Row],[EPS]]),IF(Main_L[[#This Row],[EPS]]&lt;&gt;0,Main_L[[#This Row],[Current Price]]/Main_L[[#This Row],[EPS]],""),"")</f>
        <v>-50.083135391923989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18.926213550900354</v>
      </c>
      <c r="P34" s="1">
        <f>(Main_L[[#This Row],[P/B]]-VLOOKUP(Main_L[[#This Row],[Industry]], Mean_PB_L, 2, FALSE))/(VLOOKUP(Main_L[[#This Row],[Industry]], Mean_PB_L, 3, FALSE))</f>
        <v>1.3364990038900377</v>
      </c>
      <c r="Q34" s="1">
        <f>(Main_L[[#This Row],[ROE]]-VLOOKUP(Main_L[[#This Row],[Industry]], Mean_ROE_L, 2, FALSE))/(VLOOKUP(Main_L[[#This Row],[Industry]], Mean_ROE_L, 3, FALSE))</f>
        <v>-2.1204711339644025</v>
      </c>
      <c r="R34" s="1">
        <f>(Main_L[[#This Row],[ROA]]-VLOOKUP(Main_L[[#This Row],[Industry]], Mean_ROA_L, 2, FALSE))/(VLOOKUP(Main_L[[#This Row],[Industry]], Mean_ROA_L, 3, FALSE))</f>
        <v>-2.5028736326318768</v>
      </c>
      <c r="S34" s="1">
        <f>(Main_L[[#This Row],[A/E]]-VLOOKUP(Main_L[[#This Row],[Industry]], Mean_AE_L, 2, FALSE))/(VLOOKUP(Main_L[[#This Row],[Industry]], Mean_AE_L, 3, FALSE))</f>
        <v>0.83386220386794863</v>
      </c>
      <c r="T34" s="1">
        <f>(Main_L[[#This Row],[P/E]]-VLOOKUP(Main_L[[#This Row],[Industry]], Mean_PE_L, 2, FALSE))/(VLOOKUP(Main_L[[#This Row],[Industry]], Mean_PE_L, 3, FALSE))</f>
        <v>-2.3183204983788994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7" t="s">
        <v>105</v>
      </c>
      <c r="B35" s="67" t="s">
        <v>117</v>
      </c>
      <c r="C35" s="2">
        <v>15430</v>
      </c>
      <c r="D35">
        <f>RTD("tos.rtd", , "LAST", Main_L[[#This Row],[Symbol]])</f>
        <v>217.23</v>
      </c>
      <c r="E35">
        <v>1.62</v>
      </c>
      <c r="F35">
        <v>34.58</v>
      </c>
      <c r="G35">
        <v>-1.73</v>
      </c>
      <c r="H35" s="1">
        <f>IF(ISNUMBER(Main_L[[#This Row],[Free CF]]),IF(Main_L[[#This Row],[Free CF]]&lt;&gt;0,Main_L[[#This Row],[Current Price]]/Main_L[[#This Row],[Free CF]],""),"")</f>
        <v>134.09259259259258</v>
      </c>
      <c r="I35" s="1">
        <f>IF(ISNUMBER(Main_L[[#This Row],[BVPS]]),IF(Main_L[[#This Row],[BVPS]]&lt;&gt;0,Main_L[[#This Row],[Current Price]]/Main_L[[#This Row],[BVPS]],""),"")</f>
        <v>6.2819548872180455</v>
      </c>
      <c r="J35">
        <v>-6.7</v>
      </c>
      <c r="K35">
        <v>-4.29</v>
      </c>
      <c r="L35">
        <v>1.23</v>
      </c>
      <c r="M35" s="1">
        <f>IF(ISNUMBER(Main_L[[#This Row],[EPS]]),IF(Main_L[[#This Row],[EPS]]&lt;&gt;0,Main_L[[#This Row],[Current Price]]/Main_L[[#This Row],[EPS]],""),"")</f>
        <v>-125.5664739884393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28.798114273645062</v>
      </c>
      <c r="P35" s="1">
        <f>(Main_L[[#This Row],[P/B]]-VLOOKUP(Main_L[[#This Row],[Industry]], Mean_PB_L, 2, FALSE))/(VLOOKUP(Main_L[[#This Row],[Industry]], Mean_PB_L, 3, FALSE))</f>
        <v>-0.30688823758568246</v>
      </c>
      <c r="Q35" s="1">
        <f>(Main_L[[#This Row],[ROE]]-VLOOKUP(Main_L[[#This Row],[Industry]], Mean_ROE_L, 2, FALSE))/(VLOOKUP(Main_L[[#This Row],[Industry]], Mean_ROE_L, 3, FALSE))</f>
        <v>-0.54817288302343703</v>
      </c>
      <c r="R35" s="1">
        <f>(Main_L[[#This Row],[ROA]]-VLOOKUP(Main_L[[#This Row],[Industry]], Mean_ROA_L, 2, FALSE))/(VLOOKUP(Main_L[[#This Row],[Industry]], Mean_ROA_L, 3, FALSE))</f>
        <v>-1.3713875105741584</v>
      </c>
      <c r="S35" s="1">
        <f>(Main_L[[#This Row],[A/E]]-VLOOKUP(Main_L[[#This Row],[Industry]], Mean_AE_L, 2, FALSE))/(VLOOKUP(Main_L[[#This Row],[Industry]], Mean_AE_L, 3, FALSE))</f>
        <v>-0.57259351920068502</v>
      </c>
      <c r="T35" s="1">
        <f>(Main_L[[#This Row],[P/E]]-VLOOKUP(Main_L[[#This Row],[Industry]], Mean_PE_L, 2, FALSE))/(VLOOKUP(Main_L[[#This Row],[Industry]], Mean_PE_L, 3, FALSE))</f>
        <v>-4.7636149895004278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6" spans="1:26" x14ac:dyDescent="0.25">
      <c r="A36" s="67" t="s">
        <v>105</v>
      </c>
      <c r="B36" s="67" t="s">
        <v>120</v>
      </c>
      <c r="C36" s="2">
        <v>139105</v>
      </c>
      <c r="D36">
        <f>RTD("tos.rtd", , "LAST", Main_L[[#This Row],[Symbol]])</f>
        <v>107.8</v>
      </c>
      <c r="E36">
        <v>1.34</v>
      </c>
      <c r="F36">
        <v>8.52</v>
      </c>
      <c r="G36">
        <v>1.23</v>
      </c>
      <c r="H36" s="1">
        <f>IF(ISNUMBER(Main_L[[#This Row],[Free CF]]),IF(Main_L[[#This Row],[Free CF]]&lt;&gt;0,Main_L[[#This Row],[Current Price]]/Main_L[[#This Row],[Free CF]],""),"")</f>
        <v>80.447761194029837</v>
      </c>
      <c r="I36" s="1">
        <f>IF(ISNUMBER(Main_L[[#This Row],[BVPS]]),IF(Main_L[[#This Row],[BVPS]]&lt;&gt;0,Main_L[[#This Row],[Current Price]]/Main_L[[#This Row],[BVPS]],""),"")</f>
        <v>12.652582159624414</v>
      </c>
      <c r="J36">
        <v>16.14</v>
      </c>
      <c r="K36">
        <v>7.08</v>
      </c>
      <c r="L36">
        <v>1.21</v>
      </c>
      <c r="M36" s="1">
        <f>IF(ISNUMBER(Main_L[[#This Row],[EPS]]),IF(Main_L[[#This Row],[EPS]]&lt;&gt;0,Main_L[[#This Row],[Current Price]]/Main_L[[#This Row],[EPS]],""),"")</f>
        <v>87.642276422764226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15.108787128189858</v>
      </c>
      <c r="P36" s="1">
        <f>(Main_L[[#This Row],[P/B]]-VLOOKUP(Main_L[[#This Row],[Industry]], Mean_PB_L, 2, FALSE))/(VLOOKUP(Main_L[[#This Row],[Industry]], Mean_PB_L, 3, FALSE))</f>
        <v>0.15147259699605334</v>
      </c>
      <c r="Q36" s="1">
        <f>(Main_L[[#This Row],[ROE]]-VLOOKUP(Main_L[[#This Row],[Industry]], Mean_ROE_L, 2, FALSE))/(VLOOKUP(Main_L[[#This Row],[Industry]], Mean_ROE_L, 3, FALSE))</f>
        <v>0.52572939124365781</v>
      </c>
      <c r="R36" s="1">
        <f>(Main_L[[#This Row],[ROA]]-VLOOKUP(Main_L[[#This Row],[Industry]], Mean_ROA_L, 2, FALSE))/(VLOOKUP(Main_L[[#This Row],[Industry]], Mean_ROA_L, 3, FALSE))</f>
        <v>0.39578243555170217</v>
      </c>
      <c r="S36" s="1">
        <f>(Main_L[[#This Row],[A/E]]-VLOOKUP(Main_L[[#This Row],[Industry]], Mean_AE_L, 2, FALSE))/(VLOOKUP(Main_L[[#This Row],[Industry]], Mean_AE_L, 3, FALSE))</f>
        <v>-0.58561625737724643</v>
      </c>
      <c r="T36" s="1">
        <f>(Main_L[[#This Row],[P/E]]-VLOOKUP(Main_L[[#This Row],[Industry]], Mean_PE_L, 2, FALSE))/(VLOOKUP(Main_L[[#This Row],[Industry]], Mean_PE_L, 3, FALSE))</f>
        <v>2.1433156329812002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7" t="s">
        <v>105</v>
      </c>
      <c r="B37" s="67" t="s">
        <v>111</v>
      </c>
      <c r="C37" s="2">
        <v>75389</v>
      </c>
      <c r="D37">
        <f>RTD("tos.rtd", , "LAST", Main_L[[#This Row],[Symbol]])</f>
        <v>18.29</v>
      </c>
      <c r="E37">
        <v>0.98</v>
      </c>
      <c r="F37">
        <v>2.76</v>
      </c>
      <c r="G37">
        <v>0.76</v>
      </c>
      <c r="H37" s="1">
        <f>IF(ISNUMBER(Main_L[[#This Row],[Free CF]]),IF(Main_L[[#This Row],[Free CF]]&lt;&gt;0,Main_L[[#This Row],[Current Price]]/Main_L[[#This Row],[Free CF]],""),"")</f>
        <v>18.663265306122447</v>
      </c>
      <c r="I37" s="1">
        <f>IF(ISNUMBER(Main_L[[#This Row],[BVPS]]),IF(Main_L[[#This Row],[BVPS]]&lt;&gt;0,Main_L[[#This Row],[Current Price]]/Main_L[[#This Row],[BVPS]],""),"")</f>
        <v>6.6268115942028984</v>
      </c>
      <c r="J37">
        <v>28.89</v>
      </c>
      <c r="K37">
        <v>14.99</v>
      </c>
      <c r="L37">
        <v>1.55</v>
      </c>
      <c r="M37" s="1">
        <f>IF(ISNUMBER(Main_L[[#This Row],[EPS]]),IF(Main_L[[#This Row],[EPS]]&lt;&gt;0,Main_L[[#This Row],[Current Price]]/Main_L[[#This Row],[EPS]],""),"")</f>
        <v>24.065789473684209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7" s="1">
        <f>(Main_L[[#This Row],[P/FCF]]-VLOOKUP(Main_L[[#This Row],[Industry]], Mean_PFCF_L, 2, FALSE))/(VLOOKUP(Main_L[[#This Row],[Industry]], Mean_PFCF_L, 3, FALSE))</f>
        <v>-0.65765587621963217</v>
      </c>
      <c r="P37" s="1">
        <f>(Main_L[[#This Row],[P/B]]-VLOOKUP(Main_L[[#This Row],[Industry]], Mean_PB_L, 2, FALSE))/(VLOOKUP(Main_L[[#This Row],[Industry]], Mean_PB_L, 3, FALSE))</f>
        <v>-0.28207611135922073</v>
      </c>
      <c r="Q37" s="1">
        <f>(Main_L[[#This Row],[ROE]]-VLOOKUP(Main_L[[#This Row],[Industry]], Mean_ROE_L, 2, FALSE))/(VLOOKUP(Main_L[[#This Row],[Industry]], Mean_ROE_L, 3, FALSE))</f>
        <v>1.1252151179032663</v>
      </c>
      <c r="R37" s="1">
        <f>(Main_L[[#This Row],[ROA]]-VLOOKUP(Main_L[[#This Row],[Industry]], Mean_ROA_L, 2, FALSE))/(VLOOKUP(Main_L[[#This Row],[Industry]], Mean_ROA_L, 3, FALSE))</f>
        <v>1.625185625864416</v>
      </c>
      <c r="S37" s="1">
        <f>(Main_L[[#This Row],[A/E]]-VLOOKUP(Main_L[[#This Row],[Industry]], Mean_AE_L, 2, FALSE))/(VLOOKUP(Main_L[[#This Row],[Industry]], Mean_AE_L, 3, FALSE))</f>
        <v>-0.36422970837570223</v>
      </c>
      <c r="T37" s="1">
        <f>(Main_L[[#This Row],[P/E]]-VLOOKUP(Main_L[[#This Row],[Industry]], Mean_PE_L, 2, FALSE))/(VLOOKUP(Main_L[[#This Row],[Industry]], Mean_PE_L, 3, FALSE))</f>
        <v>8.3745452435130541E-2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7" t="s">
        <v>105</v>
      </c>
      <c r="B38" s="67" t="s">
        <v>118</v>
      </c>
      <c r="C38" s="2">
        <v>57499</v>
      </c>
      <c r="D38">
        <f>RTD("tos.rtd", , "LAST", Main_L[[#This Row],[Symbol]])</f>
        <v>177.8</v>
      </c>
      <c r="E38">
        <v>0.54</v>
      </c>
      <c r="F38">
        <v>4.1100000000000003</v>
      </c>
      <c r="G38">
        <v>-0.24</v>
      </c>
      <c r="H38" s="1">
        <f>IF(ISNUMBER(Main_L[[#This Row],[Free CF]]),IF(Main_L[[#This Row],[Free CF]]&lt;&gt;0,Main_L[[#This Row],[Current Price]]/Main_L[[#This Row],[Free CF]],""),"")</f>
        <v>329.25925925925924</v>
      </c>
      <c r="I38" s="1">
        <f>IF(ISNUMBER(Main_L[[#This Row],[BVPS]]),IF(Main_L[[#This Row],[BVPS]]&lt;&gt;0,Main_L[[#This Row],[Current Price]]/Main_L[[#This Row],[BVPS]],""),"")</f>
        <v>43.260340632603409</v>
      </c>
      <c r="J38">
        <v>-7.35</v>
      </c>
      <c r="K38">
        <v>-2.64</v>
      </c>
      <c r="L38">
        <v>2.61</v>
      </c>
      <c r="M38" s="1">
        <f>IF(ISNUMBER(Main_L[[#This Row],[EPS]]),IF(Main_L[[#This Row],[EPS]]&lt;&gt;0,Main_L[[#This Row],[Current Price]]/Main_L[[#This Row],[EPS]],""),"")</f>
        <v>-740.83333333333337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78.601614037456187</v>
      </c>
      <c r="P38" s="1">
        <f>(Main_L[[#This Row],[P/B]]-VLOOKUP(Main_L[[#This Row],[Industry]], Mean_PB_L, 2, FALSE))/(VLOOKUP(Main_L[[#This Row],[Industry]], Mean_PB_L, 3, FALSE))</f>
        <v>2.3536729641588843</v>
      </c>
      <c r="Q38" s="1">
        <f>(Main_L[[#This Row],[ROE]]-VLOOKUP(Main_L[[#This Row],[Industry]], Mean_ROE_L, 2, FALSE))/(VLOOKUP(Main_L[[#This Row],[Industry]], Mean_ROE_L, 3, FALSE))</f>
        <v>-0.57873490046098575</v>
      </c>
      <c r="R38" s="1">
        <f>(Main_L[[#This Row],[ROA]]-VLOOKUP(Main_L[[#This Row],[Industry]], Mean_ROA_L, 2, FALSE))/(VLOOKUP(Main_L[[#This Row],[Industry]], Mean_ROA_L, 3, FALSE))</f>
        <v>-1.1149380460967908</v>
      </c>
      <c r="S38" s="1">
        <f>(Main_L[[#This Row],[A/E]]-VLOOKUP(Main_L[[#This Row],[Industry]], Mean_AE_L, 2, FALSE))/(VLOOKUP(Main_L[[#This Row],[Industry]], Mean_AE_L, 3, FALSE))</f>
        <v>0.32597541498205301</v>
      </c>
      <c r="T38" s="1">
        <f>(Main_L[[#This Row],[P/E]]-VLOOKUP(Main_L[[#This Row],[Industry]], Mean_PE_L, 2, FALSE))/(VLOOKUP(Main_L[[#This Row],[Industry]], Mean_PE_L, 3, FALSE))</f>
        <v>-24.695280568944867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9" spans="1:26" x14ac:dyDescent="0.25">
      <c r="A39" s="67" t="s">
        <v>105</v>
      </c>
      <c r="B39" s="67" t="s">
        <v>113</v>
      </c>
      <c r="C39" s="2">
        <v>30152</v>
      </c>
      <c r="D39">
        <f>RTD("tos.rtd", , "LAST", Main_L[[#This Row],[Symbol]])</f>
        <v>2.94</v>
      </c>
      <c r="E39">
        <v>0.17</v>
      </c>
      <c r="F39">
        <v>0.93</v>
      </c>
      <c r="G39">
        <v>0.15</v>
      </c>
      <c r="H39" s="1">
        <f>IF(ISNUMBER(Main_L[[#This Row],[Free CF]]),IF(Main_L[[#This Row],[Free CF]]&lt;&gt;0,Main_L[[#This Row],[Current Price]]/Main_L[[#This Row],[Free CF]],""),"")</f>
        <v>17.294117647058822</v>
      </c>
      <c r="I39" s="1">
        <f>IF(ISNUMBER(Main_L[[#This Row],[BVPS]]),IF(Main_L[[#This Row],[BVPS]]&lt;&gt;0,Main_L[[#This Row],[Current Price]]/Main_L[[#This Row],[BVPS]],""),"")</f>
        <v>3.161290322580645</v>
      </c>
      <c r="J39">
        <v>16.71</v>
      </c>
      <c r="K39">
        <v>7.75</v>
      </c>
      <c r="L39">
        <v>1.55</v>
      </c>
      <c r="M39" s="1">
        <f>IF(ISNUMBER(Main_L[[#This Row],[EPS]]),IF(Main_L[[#This Row],[EPS]]&lt;&gt;0,Main_L[[#This Row],[Current Price]]/Main_L[[#This Row],[EPS]],""),"")</f>
        <v>19.600000000000001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9" s="1">
        <f>(Main_L[[#This Row],[P/FCF]]-VLOOKUP(Main_L[[#This Row],[Industry]], Mean_PFCF_L, 2, FALSE))/(VLOOKUP(Main_L[[#This Row],[Industry]], Mean_PFCF_L, 3, FALSE))</f>
        <v>-1.007041077491013</v>
      </c>
      <c r="P39" s="1">
        <f>(Main_L[[#This Row],[P/B]]-VLOOKUP(Main_L[[#This Row],[Industry]], Mean_PB_L, 2, FALSE))/(VLOOKUP(Main_L[[#This Row],[Industry]], Mean_PB_L, 3, FALSE))</f>
        <v>-0.53141721301207701</v>
      </c>
      <c r="Q39" s="1">
        <f>(Main_L[[#This Row],[ROE]]-VLOOKUP(Main_L[[#This Row],[Industry]], Mean_ROE_L, 2, FALSE))/(VLOOKUP(Main_L[[#This Row],[Industry]], Mean_ROE_L, 3, FALSE))</f>
        <v>0.55252992961196967</v>
      </c>
      <c r="R39" s="1">
        <f>(Main_L[[#This Row],[ROA]]-VLOOKUP(Main_L[[#This Row],[Industry]], Mean_ROA_L, 2, FALSE))/(VLOOKUP(Main_L[[#This Row],[Industry]], Mean_ROA_L, 3, FALSE))</f>
        <v>0.4999164605212999</v>
      </c>
      <c r="S39" s="1">
        <f>(Main_L[[#This Row],[A/E]]-VLOOKUP(Main_L[[#This Row],[Industry]], Mean_AE_L, 2, FALSE))/(VLOOKUP(Main_L[[#This Row],[Industry]], Mean_AE_L, 3, FALSE))</f>
        <v>-0.36422970837570223</v>
      </c>
      <c r="T39" s="1">
        <f>(Main_L[[#This Row],[P/E]]-VLOOKUP(Main_L[[#This Row],[Industry]], Mean_PE_L, 2, FALSE))/(VLOOKUP(Main_L[[#This Row],[Industry]], Mean_PE_L, 3, FALSE))</f>
        <v>-6.0924491973139643E-2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7" t="s">
        <v>105</v>
      </c>
      <c r="B40" s="67" t="s">
        <v>115</v>
      </c>
      <c r="C40" s="2">
        <v>53426</v>
      </c>
      <c r="D40">
        <f>RTD("tos.rtd", , "LAST", Main_L[[#This Row],[Symbol]])</f>
        <v>162.1</v>
      </c>
      <c r="E40">
        <v>-33.840000000000003</v>
      </c>
      <c r="F40">
        <v>4.38</v>
      </c>
      <c r="G40">
        <v>-5.19</v>
      </c>
      <c r="H40" s="1">
        <f>IF(ISNUMBER(Main_L[[#This Row],[Free CF]]),IF(Main_L[[#This Row],[Free CF]]&lt;&gt;0,Main_L[[#This Row],[Current Price]]/Main_L[[#This Row],[Free CF]],""),"")</f>
        <v>-4.790189125295508</v>
      </c>
      <c r="I40" s="1">
        <f>IF(ISNUMBER(Main_L[[#This Row],[BVPS]]),IF(Main_L[[#This Row],[BVPS]]&lt;&gt;0,Main_L[[#This Row],[Current Price]]/Main_L[[#This Row],[BVPS]],""),"")</f>
        <v>37.009132420091326</v>
      </c>
      <c r="J40">
        <v>-146.77000000000001</v>
      </c>
      <c r="K40">
        <v>1.78</v>
      </c>
      <c r="L40">
        <v>11.47</v>
      </c>
      <c r="M40" s="1">
        <f>IF(ISNUMBER(Main_L[[#This Row],[EPS]]),IF(Main_L[[#This Row],[EPS]]&lt;&gt;0,Main_L[[#This Row],[Current Price]]/Main_L[[#This Row],[EPS]],""),"")</f>
        <v>-31.23314065510597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-6.6426128987764859</v>
      </c>
      <c r="P40" s="1">
        <f>(Main_L[[#This Row],[P/B]]-VLOOKUP(Main_L[[#This Row],[Industry]], Mean_PB_L, 2, FALSE))/(VLOOKUP(Main_L[[#This Row],[Industry]], Mean_PB_L, 3, FALSE))</f>
        <v>1.9039042222577542</v>
      </c>
      <c r="Q40" s="1">
        <f>(Main_L[[#This Row],[ROE]]-VLOOKUP(Main_L[[#This Row],[Industry]], Mean_ROE_L, 2, FALSE))/(VLOOKUP(Main_L[[#This Row],[Industry]], Mean_ROE_L, 3, FALSE))</f>
        <v>-7.1340525483733481</v>
      </c>
      <c r="R40" s="1">
        <f>(Main_L[[#This Row],[ROA]]-VLOOKUP(Main_L[[#This Row],[Industry]], Mean_ROA_L, 2, FALSE))/(VLOOKUP(Main_L[[#This Row],[Industry]], Mean_ROA_L, 3, FALSE))</f>
        <v>-0.42796432913317561</v>
      </c>
      <c r="S40" s="1">
        <f>(Main_L[[#This Row],[A/E]]-VLOOKUP(Main_L[[#This Row],[Industry]], Mean_AE_L, 2, FALSE))/(VLOOKUP(Main_L[[#This Row],[Industry]], Mean_AE_L, 3, FALSE))</f>
        <v>6.0950484271987637</v>
      </c>
      <c r="T40" s="1">
        <f>(Main_L[[#This Row],[P/E]]-VLOOKUP(Main_L[[#This Row],[Industry]], Mean_PE_L, 2, FALSE))/(VLOOKUP(Main_L[[#This Row],[Industry]], Mean_PE_L, 3, FALSE))</f>
        <v>-1.7076719877983291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7" t="s">
        <v>198</v>
      </c>
      <c r="B41" s="67" t="s">
        <v>202</v>
      </c>
      <c r="C41" s="2">
        <v>100091</v>
      </c>
      <c r="D41">
        <f>RTD("tos.rtd", , "LAST", Main_L[[#This Row],[Symbol]])</f>
        <v>829.29</v>
      </c>
      <c r="E41">
        <v>26.27</v>
      </c>
      <c r="F41">
        <v>30.28</v>
      </c>
      <c r="G41">
        <v>27.49</v>
      </c>
      <c r="H41" s="1">
        <f>IF(ISNUMBER(Main_L[[#This Row],[Free CF]]),IF(Main_L[[#This Row],[Free CF]]&lt;&gt;0,Main_L[[#This Row],[Current Price]]/Main_L[[#This Row],[Free CF]],""),"")</f>
        <v>31.567948229920059</v>
      </c>
      <c r="I41" s="1">
        <f>IF(ISNUMBER(Main_L[[#This Row],[BVPS]]),IF(Main_L[[#This Row],[BVPS]]&lt;&gt;0,Main_L[[#This Row],[Current Price]]/Main_L[[#This Row],[BVPS]],""),"")</f>
        <v>27.387384412153235</v>
      </c>
      <c r="J41">
        <v>104.1</v>
      </c>
      <c r="K41">
        <v>19.23</v>
      </c>
      <c r="L41">
        <v>3.79</v>
      </c>
      <c r="M41" s="1">
        <f>IF(ISNUMBER(Main_L[[#This Row],[EPS]]),IF(Main_L[[#This Row],[EPS]]&lt;&gt;0,Main_L[[#This Row],[Current Price]]/Main_L[[#This Row],[EPS]],""),"")</f>
        <v>30.166969807202619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-0.45525990699165081</v>
      </c>
      <c r="P41" s="1">
        <f>(Main_L[[#This Row],[P/B]]-VLOOKUP(Main_L[[#This Row],[Industry]], Mean_PB_L, 2, FALSE))/(VLOOKUP(Main_L[[#This Row],[Industry]], Mean_PB_L, 3, FALSE))</f>
        <v>2.7461303259491681</v>
      </c>
      <c r="Q41" s="1">
        <f>(Main_L[[#This Row],[ROE]]-VLOOKUP(Main_L[[#This Row],[Industry]], Mean_ROE_L, 2, FALSE))/(VLOOKUP(Main_L[[#This Row],[Industry]], Mean_ROE_L, 3, FALSE))</f>
        <v>4.3339889490242145</v>
      </c>
      <c r="R41" s="1">
        <f>(Main_L[[#This Row],[ROA]]-VLOOKUP(Main_L[[#This Row],[Industry]], Mean_ROA_L, 2, FALSE))/(VLOOKUP(Main_L[[#This Row],[Industry]], Mean_ROA_L, 3, FALSE))</f>
        <v>2.0983430570344668</v>
      </c>
      <c r="S41" s="1">
        <f>(Main_L[[#This Row],[A/E]]-VLOOKUP(Main_L[[#This Row],[Industry]], Mean_AE_L, 2, FALSE))/(VLOOKUP(Main_L[[#This Row],[Industry]], Mean_AE_L, 3, FALSE))</f>
        <v>4.3737134781222258</v>
      </c>
      <c r="T41" s="1">
        <f>(Main_L[[#This Row],[P/E]]-VLOOKUP(Main_L[[#This Row],[Industry]], Mean_PE_L, 2, FALSE))/(VLOOKUP(Main_L[[#This Row],[Industry]], Mean_PE_L, 3, FALSE))</f>
        <v>-0.16796540022181355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7" t="s">
        <v>198</v>
      </c>
      <c r="B42" s="67" t="s">
        <v>200</v>
      </c>
      <c r="C42" s="2">
        <v>289698</v>
      </c>
      <c r="D42">
        <f>RTD("tos.rtd", , "LAST", Main_L[[#This Row],[Symbol]])</f>
        <v>770.2</v>
      </c>
      <c r="E42">
        <v>25.57</v>
      </c>
      <c r="F42">
        <v>48.29</v>
      </c>
      <c r="G42">
        <v>23.95</v>
      </c>
      <c r="H42" s="1">
        <f>IF(ISNUMBER(Main_L[[#This Row],[Free CF]]),IF(Main_L[[#This Row],[Free CF]]&lt;&gt;0,Main_L[[#This Row],[Current Price]]/Main_L[[#This Row],[Free CF]],""),"")</f>
        <v>30.12123582323035</v>
      </c>
      <c r="I42" s="1">
        <f>IF(ISNUMBER(Main_L[[#This Row],[BVPS]]),IF(Main_L[[#This Row],[BVPS]]&lt;&gt;0,Main_L[[#This Row],[Current Price]]/Main_L[[#This Row],[BVPS]],""),"")</f>
        <v>15.949471940360324</v>
      </c>
      <c r="J42">
        <v>55.62</v>
      </c>
      <c r="K42">
        <v>15.34</v>
      </c>
      <c r="L42">
        <v>2.6</v>
      </c>
      <c r="M42" s="1">
        <f>IF(ISNUMBER(Main_L[[#This Row],[EPS]]),IF(Main_L[[#This Row],[EPS]]&lt;&gt;0,Main_L[[#This Row],[Current Price]]/Main_L[[#This Row],[EPS]],""),"")</f>
        <v>32.158663883089773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-0.47933289996476031</v>
      </c>
      <c r="P42" s="1">
        <f>(Main_L[[#This Row],[P/B]]-VLOOKUP(Main_L[[#This Row],[Industry]], Mean_PB_L, 2, FALSE))/(VLOOKUP(Main_L[[#This Row],[Industry]], Mean_PB_L, 3, FALSE))</f>
        <v>1.0963322588161146</v>
      </c>
      <c r="Q42" s="1">
        <f>(Main_L[[#This Row],[ROE]]-VLOOKUP(Main_L[[#This Row],[Industry]], Mean_ROE_L, 2, FALSE))/(VLOOKUP(Main_L[[#This Row],[Industry]], Mean_ROE_L, 3, FALSE))</f>
        <v>1.9014526280181214</v>
      </c>
      <c r="R42" s="1">
        <f>(Main_L[[#This Row],[ROA]]-VLOOKUP(Main_L[[#This Row],[Industry]], Mean_ROA_L, 2, FALSE))/(VLOOKUP(Main_L[[#This Row],[Industry]], Mean_ROA_L, 3, FALSE))</f>
        <v>1.4219241987445355</v>
      </c>
      <c r="S42" s="1">
        <f>(Main_L[[#This Row],[A/E]]-VLOOKUP(Main_L[[#This Row],[Industry]], Mean_AE_L, 2, FALSE))/(VLOOKUP(Main_L[[#This Row],[Industry]], Mean_AE_L, 3, FALSE))</f>
        <v>1.8405293708009678</v>
      </c>
      <c r="T42" s="1">
        <f>(Main_L[[#This Row],[P/E]]-VLOOKUP(Main_L[[#This Row],[Industry]], Mean_PE_L, 2, FALSE))/(VLOOKUP(Main_L[[#This Row],[Industry]], Mean_PE_L, 3, FALSE))</f>
        <v>-6.8689755941753361E-2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7" t="s">
        <v>198</v>
      </c>
      <c r="B43" s="67" t="s">
        <v>214</v>
      </c>
      <c r="C43" s="2">
        <v>31692</v>
      </c>
      <c r="D43">
        <f>RTD("tos.rtd", , "LAST", Main_L[[#This Row],[Symbol]])</f>
        <v>706.28</v>
      </c>
      <c r="E43">
        <v>12.94</v>
      </c>
      <c r="F43">
        <v>68.239999999999995</v>
      </c>
      <c r="G43">
        <v>37.619999999999997</v>
      </c>
      <c r="H43" s="1">
        <f>IF(ISNUMBER(Main_L[[#This Row],[Free CF]]),IF(Main_L[[#This Row],[Free CF]]&lt;&gt;0,Main_L[[#This Row],[Current Price]]/Main_L[[#This Row],[Free CF]],""),"")</f>
        <v>54.581143740340032</v>
      </c>
      <c r="I43" s="1">
        <f>IF(ISNUMBER(Main_L[[#This Row],[BVPS]]),IF(Main_L[[#This Row],[BVPS]]&lt;&gt;0,Main_L[[#This Row],[Current Price]]/Main_L[[#This Row],[BVPS]],""),"")</f>
        <v>10.349941383352872</v>
      </c>
      <c r="J43">
        <v>67.95</v>
      </c>
      <c r="K43">
        <v>12</v>
      </c>
      <c r="L43">
        <v>1.1599999999999999</v>
      </c>
      <c r="M43" s="1">
        <f>IF(ISNUMBER(Main_L[[#This Row],[EPS]]),IF(Main_L[[#This Row],[EPS]]&lt;&gt;0,Main_L[[#This Row],[Current Price]]/Main_L[[#This Row],[EPS]],""),"")</f>
        <v>18.774056353003722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-7.2325129319590842E-2</v>
      </c>
      <c r="P43" s="1">
        <f>(Main_L[[#This Row],[P/B]]-VLOOKUP(Main_L[[#This Row],[Industry]], Mean_PB_L, 2, FALSE))/(VLOOKUP(Main_L[[#This Row],[Industry]], Mean_PB_L, 3, FALSE))</f>
        <v>0.2886591180585269</v>
      </c>
      <c r="Q43" s="1">
        <f>(Main_L[[#This Row],[ROE]]-VLOOKUP(Main_L[[#This Row],[Industry]], Mean_ROE_L, 2, FALSE))/(VLOOKUP(Main_L[[#This Row],[Industry]], Mean_ROE_L, 3, FALSE))</f>
        <v>2.520123684907666</v>
      </c>
      <c r="R43" s="1">
        <f>(Main_L[[#This Row],[ROA]]-VLOOKUP(Main_L[[#This Row],[Industry]], Mean_ROA_L, 2, FALSE))/(VLOOKUP(Main_L[[#This Row],[Industry]], Mean_ROA_L, 3, FALSE))</f>
        <v>0.84114296823338619</v>
      </c>
      <c r="S43" s="1">
        <f>(Main_L[[#This Row],[A/E]]-VLOOKUP(Main_L[[#This Row],[Industry]], Mean_AE_L, 2, FALSE))/(VLOOKUP(Main_L[[#This Row],[Industry]], Mean_AE_L, 3, FALSE))</f>
        <v>-1.2248362716718157</v>
      </c>
      <c r="T43" s="1">
        <f>(Main_L[[#This Row],[P/E]]-VLOOKUP(Main_L[[#This Row],[Industry]], Mean_PE_L, 2, FALSE))/(VLOOKUP(Main_L[[#This Row],[Industry]], Mean_PE_L, 3, FALSE))</f>
        <v>-0.73584318681851602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7" t="s">
        <v>198</v>
      </c>
      <c r="B44" s="67" t="s">
        <v>219</v>
      </c>
      <c r="C44" s="2">
        <v>159430</v>
      </c>
      <c r="D44">
        <f>RTD("tos.rtd", , "LAST", Main_L[[#This Row],[Symbol]])</f>
        <v>155.41</v>
      </c>
      <c r="E44">
        <v>10.53</v>
      </c>
      <c r="F44">
        <v>25.21</v>
      </c>
      <c r="G44">
        <v>9.7899999999999991</v>
      </c>
      <c r="H44" s="1">
        <f>IF(ISNUMBER(Main_L[[#This Row],[Free CF]]),IF(Main_L[[#This Row],[Free CF]]&lt;&gt;0,Main_L[[#This Row],[Current Price]]/Main_L[[#This Row],[Free CF]],""),"")</f>
        <v>14.758784425451093</v>
      </c>
      <c r="I44" s="1">
        <f>IF(ISNUMBER(Main_L[[#This Row],[BVPS]]),IF(Main_L[[#This Row],[BVPS]]&lt;&gt;0,Main_L[[#This Row],[Current Price]]/Main_L[[#This Row],[BVPS]],""),"")</f>
        <v>6.1646172153907175</v>
      </c>
      <c r="J44">
        <v>42.2</v>
      </c>
      <c r="K44">
        <v>13.43</v>
      </c>
      <c r="L44">
        <v>2</v>
      </c>
      <c r="M44" s="1">
        <f>IF(ISNUMBER(Main_L[[#This Row],[EPS]]),IF(Main_L[[#This Row],[EPS]]&lt;&gt;0,Main_L[[#This Row],[Current Price]]/Main_L[[#This Row],[EPS]],""),"")</f>
        <v>15.874361593462718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-0.73496088990830333</v>
      </c>
      <c r="P44" s="1">
        <f>(Main_L[[#This Row],[P/B]]-VLOOKUP(Main_L[[#This Row],[Industry]], Mean_PB_L, 2, FALSE))/(VLOOKUP(Main_L[[#This Row],[Industry]], Mean_PB_L, 3, FALSE))</f>
        <v>-0.31502968788902008</v>
      </c>
      <c r="Q44" s="1">
        <f>(Main_L[[#This Row],[ROE]]-VLOOKUP(Main_L[[#This Row],[Industry]], Mean_ROE_L, 2, FALSE))/(VLOOKUP(Main_L[[#This Row],[Industry]], Mean_ROE_L, 3, FALSE))</f>
        <v>1.2280896447693226</v>
      </c>
      <c r="R44" s="1">
        <f>(Main_L[[#This Row],[ROA]]-VLOOKUP(Main_L[[#This Row],[Industry]], Mean_ROA_L, 2, FALSE))/(VLOOKUP(Main_L[[#This Row],[Industry]], Mean_ROA_L, 3, FALSE))</f>
        <v>1.0898008004582196</v>
      </c>
      <c r="S44" s="1">
        <f>(Main_L[[#This Row],[A/E]]-VLOOKUP(Main_L[[#This Row],[Industry]], Mean_AE_L, 2, FALSE))/(VLOOKUP(Main_L[[#This Row],[Industry]], Mean_AE_L, 3, FALSE))</f>
        <v>0.56329368643730793</v>
      </c>
      <c r="T44" s="1">
        <f>(Main_L[[#This Row],[P/E]]-VLOOKUP(Main_L[[#This Row],[Industry]], Mean_PE_L, 2, FALSE))/(VLOOKUP(Main_L[[#This Row],[Industry]], Mean_PE_L, 3, FALSE))</f>
        <v>-0.8803779670109626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7" t="s">
        <v>198</v>
      </c>
      <c r="B45" s="67" t="s">
        <v>221</v>
      </c>
      <c r="C45" s="2">
        <v>10363</v>
      </c>
      <c r="D45">
        <f>RTD("tos.rtd", , "LAST", Main_L[[#This Row],[Symbol]])</f>
        <v>73.17</v>
      </c>
      <c r="E45">
        <v>8.2799999999999994</v>
      </c>
      <c r="F45">
        <v>38.67</v>
      </c>
      <c r="G45">
        <v>2.56</v>
      </c>
      <c r="H45" s="1">
        <f>IF(ISNUMBER(Main_L[[#This Row],[Free CF]]),IF(Main_L[[#This Row],[Free CF]]&lt;&gt;0,Main_L[[#This Row],[Current Price]]/Main_L[[#This Row],[Free CF]],""),"")</f>
        <v>8.8369565217391308</v>
      </c>
      <c r="I45" s="1">
        <f>IF(ISNUMBER(Main_L[[#This Row],[BVPS]]),IF(Main_L[[#This Row],[BVPS]]&lt;&gt;0,Main_L[[#This Row],[Current Price]]/Main_L[[#This Row],[BVPS]],""),"")</f>
        <v>1.8921644685802947</v>
      </c>
      <c r="J45">
        <v>6.7</v>
      </c>
      <c r="K45">
        <v>4.8099999999999996</v>
      </c>
      <c r="L45">
        <v>1.33</v>
      </c>
      <c r="M45" s="1">
        <f>IF(ISNUMBER(Main_L[[#This Row],[EPS]]),IF(Main_L[[#This Row],[EPS]]&lt;&gt;0,Main_L[[#This Row],[Current Price]]/Main_L[[#This Row],[EPS]],""),"")</f>
        <v>28.58203125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-0.83349887220169572</v>
      </c>
      <c r="P45" s="1">
        <f>(Main_L[[#This Row],[P/B]]-VLOOKUP(Main_L[[#This Row],[Industry]], Mean_PB_L, 2, FALSE))/(VLOOKUP(Main_L[[#This Row],[Industry]], Mean_PB_L, 3, FALSE))</f>
        <v>-0.93128587108572947</v>
      </c>
      <c r="Q45" s="1">
        <f>(Main_L[[#This Row],[ROE]]-VLOOKUP(Main_L[[#This Row],[Industry]], Mean_ROE_L, 2, FALSE))/(VLOOKUP(Main_L[[#This Row],[Industry]], Mean_ROE_L, 3, FALSE))</f>
        <v>-0.55316116784858871</v>
      </c>
      <c r="R45" s="1">
        <f>(Main_L[[#This Row],[ROA]]-VLOOKUP(Main_L[[#This Row],[Industry]], Mean_ROA_L, 2, FALSE))/(VLOOKUP(Main_L[[#This Row],[Industry]], Mean_ROA_L, 3, FALSE))</f>
        <v>-0.40910165672923765</v>
      </c>
      <c r="S45" s="1">
        <f>(Main_L[[#This Row],[A/E]]-VLOOKUP(Main_L[[#This Row],[Industry]], Mean_AE_L, 2, FALSE))/(VLOOKUP(Main_L[[#This Row],[Industry]], Mean_AE_L, 3, FALSE))</f>
        <v>-0.86295282776877857</v>
      </c>
      <c r="T45" s="1">
        <f>(Main_L[[#This Row],[P/E]]-VLOOKUP(Main_L[[#This Row],[Industry]], Mean_PE_L, 2, FALSE))/(VLOOKUP(Main_L[[#This Row],[Industry]], Mean_PE_L, 3, FALSE))</f>
        <v>-0.24696638652565295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s="67" t="s">
        <v>198</v>
      </c>
      <c r="B46" s="67" t="s">
        <v>199</v>
      </c>
      <c r="C46" s="2">
        <v>125792</v>
      </c>
      <c r="D46">
        <f>RTD("tos.rtd", , "LAST", Main_L[[#This Row],[Symbol]])</f>
        <v>169.79</v>
      </c>
      <c r="E46">
        <v>7.17</v>
      </c>
      <c r="F46">
        <v>23.63</v>
      </c>
      <c r="G46">
        <v>8.2200000000000006</v>
      </c>
      <c r="H46" s="1">
        <f>IF(ISNUMBER(Main_L[[#This Row],[Free CF]]),IF(Main_L[[#This Row],[Free CF]]&lt;&gt;0,Main_L[[#This Row],[Current Price]]/Main_L[[#This Row],[Free CF]],""),"")</f>
        <v>23.680613668061365</v>
      </c>
      <c r="I46" s="1">
        <f>IF(ISNUMBER(Main_L[[#This Row],[BVPS]]),IF(Main_L[[#This Row],[BVPS]]&lt;&gt;0,Main_L[[#This Row],[Current Price]]/Main_L[[#This Row],[BVPS]],""),"")</f>
        <v>7.18535759627592</v>
      </c>
      <c r="J46">
        <v>36.369999999999997</v>
      </c>
      <c r="K46">
        <v>15.88</v>
      </c>
      <c r="L46">
        <v>1.77</v>
      </c>
      <c r="M46" s="1">
        <f>IF(ISNUMBER(Main_L[[#This Row],[EPS]]),IF(Main_L[[#This Row],[EPS]]&lt;&gt;0,Main_L[[#This Row],[Current Price]]/Main_L[[#This Row],[EPS]],""),"")</f>
        <v>20.655717761557174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-0.58650351049308369</v>
      </c>
      <c r="P46" s="1">
        <f>(Main_L[[#This Row],[P/B]]-VLOOKUP(Main_L[[#This Row],[Industry]], Mean_PB_L, 2, FALSE))/(VLOOKUP(Main_L[[#This Row],[Industry]], Mean_PB_L, 3, FALSE))</f>
        <v>-0.1677986689787056</v>
      </c>
      <c r="Q46" s="1">
        <f>(Main_L[[#This Row],[ROE]]-VLOOKUP(Main_L[[#This Row],[Industry]], Mean_ROE_L, 2, FALSE))/(VLOOKUP(Main_L[[#This Row],[Industry]], Mean_ROE_L, 3, FALSE))</f>
        <v>0.9355631028661554</v>
      </c>
      <c r="R46" s="1">
        <f>(Main_L[[#This Row],[ROA]]-VLOOKUP(Main_L[[#This Row],[Industry]], Mean_ROA_L, 2, FALSE))/(VLOOKUP(Main_L[[#This Row],[Industry]], Mean_ROA_L, 3, FALSE))</f>
        <v>1.5158229605637035</v>
      </c>
      <c r="S46" s="1">
        <f>(Main_L[[#This Row],[A/E]]-VLOOKUP(Main_L[[#This Row],[Industry]], Mean_AE_L, 2, FALSE))/(VLOOKUP(Main_L[[#This Row],[Industry]], Mean_AE_L, 3, FALSE))</f>
        <v>7.3686674097905067E-2</v>
      </c>
      <c r="T46" s="1">
        <f>(Main_L[[#This Row],[P/E]]-VLOOKUP(Main_L[[#This Row],[Industry]], Mean_PE_L, 2, FALSE))/(VLOOKUP(Main_L[[#This Row],[Industry]], Mean_PE_L, 3, FALSE))</f>
        <v>-0.64205210167515014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s="67" t="s">
        <v>198</v>
      </c>
      <c r="B47" s="67" t="s">
        <v>217</v>
      </c>
      <c r="C47" s="2">
        <v>48285</v>
      </c>
      <c r="D47">
        <f>RTD("tos.rtd", , "LAST", Main_L[[#This Row],[Symbol]])</f>
        <v>213.08</v>
      </c>
      <c r="E47">
        <v>6.73</v>
      </c>
      <c r="F47">
        <v>36.82</v>
      </c>
      <c r="G47">
        <v>9.18</v>
      </c>
      <c r="H47" s="1">
        <f>IF(ISNUMBER(Main_L[[#This Row],[Free CF]]),IF(Main_L[[#This Row],[Free CF]]&lt;&gt;0,Main_L[[#This Row],[Current Price]]/Main_L[[#This Row],[Free CF]],""),"")</f>
        <v>31.661218424962854</v>
      </c>
      <c r="I47" s="1">
        <f>IF(ISNUMBER(Main_L[[#This Row],[BVPS]]),IF(Main_L[[#This Row],[BVPS]]&lt;&gt;0,Main_L[[#This Row],[Current Price]]/Main_L[[#This Row],[BVPS]],""),"")</f>
        <v>5.7870722433460076</v>
      </c>
      <c r="J47">
        <v>25.44</v>
      </c>
      <c r="K47">
        <v>8.76</v>
      </c>
      <c r="L47">
        <v>2.7</v>
      </c>
      <c r="M47" s="1">
        <f>IF(ISNUMBER(Main_L[[#This Row],[EPS]]),IF(Main_L[[#This Row],[EPS]]&lt;&gt;0,Main_L[[#This Row],[Current Price]]/Main_L[[#This Row],[EPS]],""),"")</f>
        <v>23.21132897603486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-0.4537079103823155</v>
      </c>
      <c r="P47" s="1">
        <f>(Main_L[[#This Row],[P/B]]-VLOOKUP(Main_L[[#This Row],[Industry]], Mean_PB_L, 2, FALSE))/(VLOOKUP(Main_L[[#This Row],[Industry]], Mean_PB_L, 3, FALSE))</f>
        <v>-0.36948656248665623</v>
      </c>
      <c r="Q47" s="1">
        <f>(Main_L[[#This Row],[ROE]]-VLOOKUP(Main_L[[#This Row],[Industry]], Mean_ROE_L, 2, FALSE))/(VLOOKUP(Main_L[[#This Row],[Industry]], Mean_ROE_L, 3, FALSE))</f>
        <v>0.38713855689675375</v>
      </c>
      <c r="R47" s="1">
        <f>(Main_L[[#This Row],[ROA]]-VLOOKUP(Main_L[[#This Row],[Industry]], Mean_ROA_L, 2, FALSE))/(VLOOKUP(Main_L[[#This Row],[Industry]], Mean_ROA_L, 3, FALSE))</f>
        <v>0.27775039731837903</v>
      </c>
      <c r="S47" s="1">
        <f>(Main_L[[#This Row],[A/E]]-VLOOKUP(Main_L[[#This Row],[Industry]], Mean_AE_L, 2, FALSE))/(VLOOKUP(Main_L[[#This Row],[Industry]], Mean_AE_L, 3, FALSE))</f>
        <v>2.0534019848615781</v>
      </c>
      <c r="T47" s="1">
        <f>(Main_L[[#This Row],[P/E]]-VLOOKUP(Main_L[[#This Row],[Industry]], Mean_PE_L, 2, FALSE))/(VLOOKUP(Main_L[[#This Row],[Industry]], Mean_PE_L, 3, FALSE))</f>
        <v>-0.51466810585058542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7" t="s">
        <v>198</v>
      </c>
      <c r="B48" s="67" t="s">
        <v>204</v>
      </c>
      <c r="C48" s="2">
        <v>106187</v>
      </c>
      <c r="D48">
        <f>RTD("tos.rtd", , "LAST", Main_L[[#This Row],[Symbol]])</f>
        <v>227.66</v>
      </c>
      <c r="E48">
        <v>6.64</v>
      </c>
      <c r="F48">
        <v>70.55</v>
      </c>
      <c r="G48">
        <v>3.68</v>
      </c>
      <c r="H48" s="1">
        <f>IF(ISNUMBER(Main_L[[#This Row],[Free CF]]),IF(Main_L[[#This Row],[Free CF]]&lt;&gt;0,Main_L[[#This Row],[Current Price]]/Main_L[[#This Row],[Free CF]],""),"")</f>
        <v>34.286144578313255</v>
      </c>
      <c r="I48" s="1">
        <f>IF(ISNUMBER(Main_L[[#This Row],[BVPS]]),IF(Main_L[[#This Row],[BVPS]]&lt;&gt;0,Main_L[[#This Row],[Current Price]]/Main_L[[#This Row],[BVPS]],""),"")</f>
        <v>3.2269312544294828</v>
      </c>
      <c r="J48">
        <v>5.21</v>
      </c>
      <c r="K48">
        <v>2.99</v>
      </c>
      <c r="L48">
        <v>1.35</v>
      </c>
      <c r="M48" s="1">
        <f>IF(ISNUMBER(Main_L[[#This Row],[EPS]]),IF(Main_L[[#This Row],[EPS]]&lt;&gt;0,Main_L[[#This Row],[Current Price]]/Main_L[[#This Row],[EPS]],""),"")</f>
        <v>61.864130434782602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-0.41002968618769264</v>
      </c>
      <c r="P48" s="1">
        <f>(Main_L[[#This Row],[P/B]]-VLOOKUP(Main_L[[#This Row],[Industry]], Mean_PB_L, 2, FALSE))/(VLOOKUP(Main_L[[#This Row],[Industry]], Mean_PB_L, 3, FALSE))</f>
        <v>-0.73875985999778093</v>
      </c>
      <c r="Q48" s="1">
        <f>(Main_L[[#This Row],[ROE]]-VLOOKUP(Main_L[[#This Row],[Industry]], Mean_ROE_L, 2, FALSE))/(VLOOKUP(Main_L[[#This Row],[Industry]], Mean_ROE_L, 3, FALSE))</f>
        <v>-0.62792352589931222</v>
      </c>
      <c r="R48" s="1">
        <f>(Main_L[[#This Row],[ROA]]-VLOOKUP(Main_L[[#This Row],[Industry]], Mean_ROA_L, 2, FALSE))/(VLOOKUP(Main_L[[#This Row],[Industry]], Mean_ROA_L, 3, FALSE))</f>
        <v>-0.7255752613790255</v>
      </c>
      <c r="S48" s="1">
        <f>(Main_L[[#This Row],[A/E]]-VLOOKUP(Main_L[[#This Row],[Industry]], Mean_AE_L, 2, FALSE))/(VLOOKUP(Main_L[[#This Row],[Industry]], Mean_AE_L, 3, FALSE))</f>
        <v>-0.82037830495665653</v>
      </c>
      <c r="T48" s="1">
        <f>(Main_L[[#This Row],[P/E]]-VLOOKUP(Main_L[[#This Row],[Industry]], Mean_PE_L, 2, FALSE))/(VLOOKUP(Main_L[[#This Row],[Industry]], Mean_PE_L, 3, FALSE))</f>
        <v>1.4119740499419426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7" t="s">
        <v>198</v>
      </c>
      <c r="B49" s="67" t="s">
        <v>209</v>
      </c>
      <c r="C49" s="2">
        <v>1138201</v>
      </c>
      <c r="D49">
        <f>RTD("tos.rtd", , "LAST", Main_L[[#This Row],[Symbol]])</f>
        <v>244.28</v>
      </c>
      <c r="E49">
        <v>4.4400000000000004</v>
      </c>
      <c r="F49">
        <v>14.84</v>
      </c>
      <c r="G49">
        <v>2.16</v>
      </c>
      <c r="H49" s="1">
        <f>IF(ISNUMBER(Main_L[[#This Row],[Free CF]]),IF(Main_L[[#This Row],[Free CF]]&lt;&gt;0,Main_L[[#This Row],[Current Price]]/Main_L[[#This Row],[Free CF]],""),"")</f>
        <v>55.018018018018012</v>
      </c>
      <c r="I49" s="1">
        <f>IF(ISNUMBER(Main_L[[#This Row],[BVPS]]),IF(Main_L[[#This Row],[BVPS]]&lt;&gt;0,Main_L[[#This Row],[Current Price]]/Main_L[[#This Row],[BVPS]],""),"")</f>
        <v>16.460916442048518</v>
      </c>
      <c r="J49">
        <v>14.84</v>
      </c>
      <c r="K49">
        <v>6.98</v>
      </c>
      <c r="L49">
        <v>2.37</v>
      </c>
      <c r="M49" s="1">
        <f>IF(ISNUMBER(Main_L[[#This Row],[EPS]]),IF(Main_L[[#This Row],[EPS]]&lt;&gt;0,Main_L[[#This Row],[Current Price]]/Main_L[[#This Row],[EPS]],""),"")</f>
        <v>113.09259259259258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-6.5055632377390399E-2</v>
      </c>
      <c r="P49" s="1">
        <f>(Main_L[[#This Row],[P/B]]-VLOOKUP(Main_L[[#This Row],[Industry]], Mean_PB_L, 2, FALSE))/(VLOOKUP(Main_L[[#This Row],[Industry]], Mean_PB_L, 3, FALSE))</f>
        <v>1.1701027263216022</v>
      </c>
      <c r="Q49" s="1">
        <f>(Main_L[[#This Row],[ROE]]-VLOOKUP(Main_L[[#This Row],[Industry]], Mean_ROE_L, 2, FALSE))/(VLOOKUP(Main_L[[#This Row],[Industry]], Mean_ROE_L, 3, FALSE))</f>
        <v>-0.14472788292718597</v>
      </c>
      <c r="R49" s="1">
        <f>(Main_L[[#This Row],[ROA]]-VLOOKUP(Main_L[[#This Row],[Industry]], Mean_ROA_L, 2, FALSE))/(VLOOKUP(Main_L[[#This Row],[Industry]], Mean_ROA_L, 3, FALSE))</f>
        <v>-3.1767743492951896E-2</v>
      </c>
      <c r="S49" s="1">
        <f>(Main_L[[#This Row],[A/E]]-VLOOKUP(Main_L[[#This Row],[Industry]], Mean_AE_L, 2, FALSE))/(VLOOKUP(Main_L[[#This Row],[Industry]], Mean_AE_L, 3, FALSE))</f>
        <v>1.3509223584615651</v>
      </c>
      <c r="T49" s="1">
        <f>(Main_L[[#This Row],[P/E]]-VLOOKUP(Main_L[[#This Row],[Industry]], Mean_PE_L, 2, FALSE))/(VLOOKUP(Main_L[[#This Row],[Industry]], Mean_PE_L, 3, FALSE))</f>
        <v>3.9654478227290331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0" spans="1:26" x14ac:dyDescent="0.25">
      <c r="A50" s="67" t="s">
        <v>198</v>
      </c>
      <c r="B50" s="67" t="s">
        <v>218</v>
      </c>
      <c r="C50" s="2">
        <v>17560</v>
      </c>
      <c r="D50">
        <f>RTD("tos.rtd", , "LAST", Main_L[[#This Row],[Symbol]])</f>
        <v>52.38</v>
      </c>
      <c r="E50">
        <v>3.29</v>
      </c>
      <c r="F50">
        <v>19.22</v>
      </c>
      <c r="G50">
        <v>1.47</v>
      </c>
      <c r="H50" s="1">
        <f>IF(ISNUMBER(Main_L[[#This Row],[Free CF]]),IF(Main_L[[#This Row],[Free CF]]&lt;&gt;0,Main_L[[#This Row],[Current Price]]/Main_L[[#This Row],[Free CF]],""),"")</f>
        <v>15.920972644376901</v>
      </c>
      <c r="I50" s="1">
        <f>IF(ISNUMBER(Main_L[[#This Row],[BVPS]]),IF(Main_L[[#This Row],[BVPS]]&lt;&gt;0,Main_L[[#This Row],[Current Price]]/Main_L[[#This Row],[BVPS]],""),"")</f>
        <v>2.7252861602497402</v>
      </c>
      <c r="J50">
        <v>7.85</v>
      </c>
      <c r="K50">
        <v>6.3</v>
      </c>
      <c r="L50">
        <v>1.65</v>
      </c>
      <c r="M50" s="1">
        <f>IF(ISNUMBER(Main_L[[#This Row],[EPS]]),IF(Main_L[[#This Row],[EPS]]&lt;&gt;0,Main_L[[#This Row],[Current Price]]/Main_L[[#This Row],[EPS]],""),"")</f>
        <v>35.632653061224495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-0.71562232012880722</v>
      </c>
      <c r="P50" s="1">
        <f>(Main_L[[#This Row],[P/B]]-VLOOKUP(Main_L[[#This Row],[Industry]], Mean_PB_L, 2, FALSE))/(VLOOKUP(Main_L[[#This Row],[Industry]], Mean_PB_L, 3, FALSE))</f>
        <v>-0.81111686647125214</v>
      </c>
      <c r="Q50" s="1">
        <f>(Main_L[[#This Row],[ROE]]-VLOOKUP(Main_L[[#This Row],[Industry]], Mean_ROE_L, 2, FALSE))/(VLOOKUP(Main_L[[#This Row],[Industry]], Mean_ROE_L, 3, FALSE))</f>
        <v>-0.49545867673561406</v>
      </c>
      <c r="R50" s="1">
        <f>(Main_L[[#This Row],[ROA]]-VLOOKUP(Main_L[[#This Row],[Industry]], Mean_ROA_L, 2, FALSE))/(VLOOKUP(Main_L[[#This Row],[Industry]], Mean_ROA_L, 3, FALSE))</f>
        <v>-0.15001062874671892</v>
      </c>
      <c r="S50" s="1">
        <f>(Main_L[[#This Row],[A/E]]-VLOOKUP(Main_L[[#This Row],[Industry]], Mean_AE_L, 2, FALSE))/(VLOOKUP(Main_L[[#This Row],[Industry]], Mean_AE_L, 3, FALSE))</f>
        <v>-0.1817604627748271</v>
      </c>
      <c r="T50" s="1">
        <f>(Main_L[[#This Row],[P/E]]-VLOOKUP(Main_L[[#This Row],[Industry]], Mean_PE_L, 2, FALSE))/(VLOOKUP(Main_L[[#This Row],[Industry]], Mean_PE_L, 3, FALSE))</f>
        <v>0.10447062950934134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7" t="s">
        <v>198</v>
      </c>
      <c r="B51" s="67" t="s">
        <v>216</v>
      </c>
      <c r="C51" s="2">
        <v>3295491</v>
      </c>
      <c r="D51">
        <f>RTD("tos.rtd", , "LAST", Main_L[[#This Row],[Symbol]])</f>
        <v>142.63</v>
      </c>
      <c r="E51">
        <v>2.94</v>
      </c>
      <c r="F51">
        <v>3.44</v>
      </c>
      <c r="G51">
        <v>3.1</v>
      </c>
      <c r="H51" s="1">
        <f>IF(ISNUMBER(Main_L[[#This Row],[Free CF]]),IF(Main_L[[#This Row],[Free CF]]&lt;&gt;0,Main_L[[#This Row],[Current Price]]/Main_L[[#This Row],[Free CF]],""),"")</f>
        <v>48.513605442176868</v>
      </c>
      <c r="I51" s="1">
        <f>IF(ISNUMBER(Main_L[[#This Row],[BVPS]]),IF(Main_L[[#This Row],[BVPS]]&lt;&gt;0,Main_L[[#This Row],[Current Price]]/Main_L[[#This Row],[BVPS]],""),"")</f>
        <v>41.462209302325583</v>
      </c>
      <c r="J51">
        <v>115.46</v>
      </c>
      <c r="K51">
        <v>53.24</v>
      </c>
      <c r="L51">
        <v>1.49</v>
      </c>
      <c r="M51" s="1">
        <f>IF(ISNUMBER(Main_L[[#This Row],[EPS]]),IF(Main_L[[#This Row],[EPS]]&lt;&gt;0,Main_L[[#This Row],[Current Price]]/Main_L[[#This Row],[EPS]],""),"")</f>
        <v>46.009677419354837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-0.17328770221268572</v>
      </c>
      <c r="P51" s="1">
        <f>(Main_L[[#This Row],[P/B]]-VLOOKUP(Main_L[[#This Row],[Industry]], Mean_PB_L, 2, FALSE))/(VLOOKUP(Main_L[[#This Row],[Industry]], Mean_PB_L, 3, FALSE))</f>
        <v>4.7762751584356025</v>
      </c>
      <c r="Q51" s="1">
        <f>(Main_L[[#This Row],[ROE]]-VLOOKUP(Main_L[[#This Row],[Industry]], Mean_ROE_L, 2, FALSE))/(VLOOKUP(Main_L[[#This Row],[Industry]], Mean_ROE_L, 3, FALSE))</f>
        <v>4.9039892090619457</v>
      </c>
      <c r="R51" s="1">
        <f>(Main_L[[#This Row],[ROA]]-VLOOKUP(Main_L[[#This Row],[Industry]], Mean_ROA_L, 2, FALSE))/(VLOOKUP(Main_L[[#This Row],[Industry]], Mean_ROA_L, 3, FALSE))</f>
        <v>8.0122261856824277</v>
      </c>
      <c r="S51" s="1">
        <f>(Main_L[[#This Row],[A/E]]-VLOOKUP(Main_L[[#This Row],[Industry]], Mean_AE_L, 2, FALSE))/(VLOOKUP(Main_L[[#This Row],[Industry]], Mean_AE_L, 3, FALSE))</f>
        <v>-0.52235664527180281</v>
      </c>
      <c r="T51" s="1">
        <f>(Main_L[[#This Row],[P/E]]-VLOOKUP(Main_L[[#This Row],[Industry]], Mean_PE_L, 2, FALSE))/(VLOOKUP(Main_L[[#This Row],[Industry]], Mean_PE_L, 3, FALSE))</f>
        <v>0.62171160106989365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s="67" t="s">
        <v>198</v>
      </c>
      <c r="B52" s="67" t="s">
        <v>203</v>
      </c>
      <c r="C52" s="2">
        <v>103340</v>
      </c>
      <c r="D52">
        <f>RTD("tos.rtd", , "LAST", Main_L[[#This Row],[Symbol]])</f>
        <v>88.3</v>
      </c>
      <c r="E52">
        <v>2.93</v>
      </c>
      <c r="F52">
        <v>7.41</v>
      </c>
      <c r="G52">
        <v>3.59</v>
      </c>
      <c r="H52" s="1">
        <f>IF(ISNUMBER(Main_L[[#This Row],[Free CF]]),IF(Main_L[[#This Row],[Free CF]]&lt;&gt;0,Main_L[[#This Row],[Current Price]]/Main_L[[#This Row],[Free CF]],""),"")</f>
        <v>30.136518771331055</v>
      </c>
      <c r="I52" s="1">
        <f>IF(ISNUMBER(Main_L[[#This Row],[BVPS]]),IF(Main_L[[#This Row],[BVPS]]&lt;&gt;0,Main_L[[#This Row],[Current Price]]/Main_L[[#This Row],[BVPS]],""),"")</f>
        <v>11.916329284750336</v>
      </c>
      <c r="J52">
        <v>53.14</v>
      </c>
      <c r="K52">
        <v>17.29</v>
      </c>
      <c r="L52">
        <v>2.1</v>
      </c>
      <c r="M52" s="1">
        <f>IF(ISNUMBER(Main_L[[#This Row],[EPS]]),IF(Main_L[[#This Row],[EPS]]&lt;&gt;0,Main_L[[#This Row],[Current Price]]/Main_L[[#This Row],[EPS]],""),"")</f>
        <v>24.596100278551532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-0.47907859489311272</v>
      </c>
      <c r="P52" s="1">
        <f>(Main_L[[#This Row],[P/B]]-VLOOKUP(Main_L[[#This Row],[Industry]], Mean_PB_L, 2, FALSE))/(VLOOKUP(Main_L[[#This Row],[Industry]], Mean_PB_L, 3, FALSE))</f>
        <v>0.51459402868833826</v>
      </c>
      <c r="Q52" s="1">
        <f>(Main_L[[#This Row],[ROE]]-VLOOKUP(Main_L[[#This Row],[Industry]], Mean_ROE_L, 2, FALSE))/(VLOOKUP(Main_L[[#This Row],[Industry]], Mean_ROE_L, 3, FALSE))</f>
        <v>1.7770159515310109</v>
      </c>
      <c r="R52" s="1">
        <f>(Main_L[[#This Row],[ROA]]-VLOOKUP(Main_L[[#This Row],[Industry]], Mean_ROA_L, 2, FALSE))/(VLOOKUP(Main_L[[#This Row],[Industry]], Mean_ROA_L, 3, FALSE))</f>
        <v>1.7610030608693081</v>
      </c>
      <c r="S52" s="1">
        <f>(Main_L[[#This Row],[A/E]]-VLOOKUP(Main_L[[#This Row],[Industry]], Mean_AE_L, 2, FALSE))/(VLOOKUP(Main_L[[#This Row],[Industry]], Mean_AE_L, 3, FALSE))</f>
        <v>0.77616630049791802</v>
      </c>
      <c r="T52" s="1">
        <f>(Main_L[[#This Row],[P/E]]-VLOOKUP(Main_L[[#This Row],[Industry]], Mean_PE_L, 2, FALSE))/(VLOOKUP(Main_L[[#This Row],[Industry]], Mean_PE_L, 3, FALSE))</f>
        <v>-0.44564442148949895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s="67" t="s">
        <v>198</v>
      </c>
      <c r="B53" s="67" t="s">
        <v>211</v>
      </c>
      <c r="C53" s="2">
        <v>19859</v>
      </c>
      <c r="D53">
        <f>RTD("tos.rtd", , "LAST", Main_L[[#This Row],[Symbol]])</f>
        <v>38.39</v>
      </c>
      <c r="E53">
        <v>1.81</v>
      </c>
      <c r="F53">
        <v>19.93</v>
      </c>
      <c r="G53">
        <v>-0.34</v>
      </c>
      <c r="H53" s="1">
        <f>IF(ISNUMBER(Main_L[[#This Row],[Free CF]]),IF(Main_L[[#This Row],[Free CF]]&lt;&gt;0,Main_L[[#This Row],[Current Price]]/Main_L[[#This Row],[Free CF]],""),"")</f>
        <v>21.209944751381215</v>
      </c>
      <c r="I53" s="1">
        <f>IF(ISNUMBER(Main_L[[#This Row],[BVPS]]),IF(Main_L[[#This Row],[BVPS]]&lt;&gt;0,Main_L[[#This Row],[Current Price]]/Main_L[[#This Row],[BVPS]],""),"")</f>
        <v>1.9262418464626192</v>
      </c>
      <c r="J53">
        <v>-1.65</v>
      </c>
      <c r="K53">
        <v>2.62</v>
      </c>
      <c r="L53">
        <v>1.49</v>
      </c>
      <c r="M53" s="1">
        <f>IF(ISNUMBER(Main_L[[#This Row],[EPS]]),IF(Main_L[[#This Row],[EPS]]&lt;&gt;0,Main_L[[#This Row],[Current Price]]/Main_L[[#This Row],[EPS]],""),"")</f>
        <v>-112.91176470588235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-0.62761492641451888</v>
      </c>
      <c r="P53" s="1">
        <f>(Main_L[[#This Row],[P/B]]-VLOOKUP(Main_L[[#This Row],[Industry]], Mean_PB_L, 2, FALSE))/(VLOOKUP(Main_L[[#This Row],[Industry]], Mean_PB_L, 3, FALSE))</f>
        <v>-0.92637056925055039</v>
      </c>
      <c r="Q53" s="1">
        <f>(Main_L[[#This Row],[ROE]]-VLOOKUP(Main_L[[#This Row],[Industry]], Mean_ROE_L, 2, FALSE))/(VLOOKUP(Main_L[[#This Row],[Industry]], Mean_ROE_L, 3, FALSE))</f>
        <v>-0.97213142940801267</v>
      </c>
      <c r="R53" s="1">
        <f>(Main_L[[#This Row],[ROA]]-VLOOKUP(Main_L[[#This Row],[Industry]], Mean_ROA_L, 2, FALSE))/(VLOOKUP(Main_L[[#This Row],[Industry]], Mean_ROA_L, 3, FALSE))</f>
        <v>-0.78991330188475162</v>
      </c>
      <c r="S53" s="1">
        <f>(Main_L[[#This Row],[A/E]]-VLOOKUP(Main_L[[#This Row],[Industry]], Mean_AE_L, 2, FALSE))/(VLOOKUP(Main_L[[#This Row],[Industry]], Mean_AE_L, 3, FALSE))</f>
        <v>-0.52235664527180281</v>
      </c>
      <c r="T53" s="1">
        <f>(Main_L[[#This Row],[P/E]]-VLOOKUP(Main_L[[#This Row],[Industry]], Mean_PE_L, 2, FALSE))/(VLOOKUP(Main_L[[#This Row],[Industry]], Mean_PE_L, 3, FALSE))</f>
        <v>-7.2996999991889027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4" spans="1:26" x14ac:dyDescent="0.25">
      <c r="A54" s="67" t="s">
        <v>198</v>
      </c>
      <c r="B54" s="67" t="s">
        <v>201</v>
      </c>
      <c r="C54" s="2">
        <v>10407</v>
      </c>
      <c r="D54">
        <f>RTD("tos.rtd", , "LAST", Main_L[[#This Row],[Symbol]])</f>
        <v>78.47</v>
      </c>
      <c r="E54">
        <v>1.77</v>
      </c>
      <c r="F54">
        <v>24.78</v>
      </c>
      <c r="G54">
        <v>2.04</v>
      </c>
      <c r="H54" s="1">
        <f>IF(ISNUMBER(Main_L[[#This Row],[Free CF]]),IF(Main_L[[#This Row],[Free CF]]&lt;&gt;0,Main_L[[#This Row],[Current Price]]/Main_L[[#This Row],[Free CF]],""),"")</f>
        <v>44.333333333333336</v>
      </c>
      <c r="I54" s="1">
        <f>IF(ISNUMBER(Main_L[[#This Row],[BVPS]]),IF(Main_L[[#This Row],[BVPS]]&lt;&gt;0,Main_L[[#This Row],[Current Price]]/Main_L[[#This Row],[BVPS]],""),"")</f>
        <v>3.1666666666666665</v>
      </c>
      <c r="J54">
        <v>8.65</v>
      </c>
      <c r="K54">
        <v>4.04</v>
      </c>
      <c r="L54">
        <v>2.25</v>
      </c>
      <c r="M54" s="1">
        <f>IF(ISNUMBER(Main_L[[#This Row],[EPS]]),IF(Main_L[[#This Row],[EPS]]&lt;&gt;0,Main_L[[#This Row],[Current Price]]/Main_L[[#This Row],[EPS]],""),"")</f>
        <v>38.4656862745098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-0.24284655899482666</v>
      </c>
      <c r="P54" s="1">
        <f>(Main_L[[#This Row],[P/B]]-VLOOKUP(Main_L[[#This Row],[Industry]], Mean_PB_L, 2, FALSE))/(VLOOKUP(Main_L[[#This Row],[Industry]], Mean_PB_L, 3, FALSE))</f>
        <v>-0.74745239026961641</v>
      </c>
      <c r="Q54" s="1">
        <f>(Main_L[[#This Row],[ROE]]-VLOOKUP(Main_L[[#This Row],[Industry]], Mean_ROE_L, 2, FALSE))/(VLOOKUP(Main_L[[#This Row],[Industry]], Mean_ROE_L, 3, FALSE))</f>
        <v>-0.45531781335267518</v>
      </c>
      <c r="R54" s="1">
        <f>(Main_L[[#This Row],[ROA]]-VLOOKUP(Main_L[[#This Row],[Industry]], Mean_ROA_L, 2, FALSE))/(VLOOKUP(Main_L[[#This Row],[Industry]], Mean_ROA_L, 3, FALSE))</f>
        <v>-0.54299433561953248</v>
      </c>
      <c r="S54" s="1">
        <f>(Main_L[[#This Row],[A/E]]-VLOOKUP(Main_L[[#This Row],[Industry]], Mean_AE_L, 2, FALSE))/(VLOOKUP(Main_L[[#This Row],[Industry]], Mean_AE_L, 3, FALSE))</f>
        <v>1.0954752215888328</v>
      </c>
      <c r="T54" s="1">
        <f>(Main_L[[#This Row],[P/E]]-VLOOKUP(Main_L[[#This Row],[Industry]], Mean_PE_L, 2, FALSE))/(VLOOKUP(Main_L[[#This Row],[Industry]], Mean_PE_L, 3, FALSE))</f>
        <v>0.24568267654042517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7" t="s">
        <v>198</v>
      </c>
      <c r="B55" s="67" t="s">
        <v>206</v>
      </c>
      <c r="C55" s="2">
        <v>179538</v>
      </c>
      <c r="D55">
        <f>RTD("tos.rtd", , "LAST", Main_L[[#This Row],[Symbol]])</f>
        <v>121.73</v>
      </c>
      <c r="E55">
        <v>1.7</v>
      </c>
      <c r="F55">
        <v>35.82</v>
      </c>
      <c r="G55">
        <v>1.37</v>
      </c>
      <c r="H55" s="1">
        <f>IF(ISNUMBER(Main_L[[#This Row],[Free CF]]),IF(Main_L[[#This Row],[Free CF]]&lt;&gt;0,Main_L[[#This Row],[Current Price]]/Main_L[[#This Row],[Free CF]],""),"")</f>
        <v>71.60588235294118</v>
      </c>
      <c r="I55" s="1">
        <f>IF(ISNUMBER(Main_L[[#This Row],[BVPS]]),IF(Main_L[[#This Row],[BVPS]]&lt;&gt;0,Main_L[[#This Row],[Current Price]]/Main_L[[#This Row],[BVPS]],""),"")</f>
        <v>3.3983807928531546</v>
      </c>
      <c r="J55">
        <v>3.9</v>
      </c>
      <c r="K55">
        <v>2.56</v>
      </c>
      <c r="L55">
        <v>1.24</v>
      </c>
      <c r="M55" s="1">
        <f>IF(ISNUMBER(Main_L[[#This Row],[EPS]]),IF(Main_L[[#This Row],[EPS]]&lt;&gt;0,Main_L[[#This Row],[Current Price]]/Main_L[[#This Row],[EPS]],""),"")</f>
        <v>88.854014598540147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0.21096297348166945</v>
      </c>
      <c r="P55" s="1">
        <f>(Main_L[[#This Row],[P/B]]-VLOOKUP(Main_L[[#This Row],[Industry]], Mean_PB_L, 2, FALSE))/(VLOOKUP(Main_L[[#This Row],[Industry]], Mean_PB_L, 3, FALSE))</f>
        <v>-0.71403007492556736</v>
      </c>
      <c r="Q55" s="1">
        <f>(Main_L[[#This Row],[ROE]]-VLOOKUP(Main_L[[#This Row],[Industry]], Mean_ROE_L, 2, FALSE))/(VLOOKUP(Main_L[[#This Row],[Industry]], Mean_ROE_L, 3, FALSE))</f>
        <v>-0.6936541896888746</v>
      </c>
      <c r="R55" s="1">
        <f>(Main_L[[#This Row],[ROA]]-VLOOKUP(Main_L[[#This Row],[Industry]], Mean_ROA_L, 2, FALSE))/(VLOOKUP(Main_L[[#This Row],[Industry]], Mean_ROA_L, 3, FALSE))</f>
        <v>-0.80034649764243682</v>
      </c>
      <c r="S55" s="1">
        <f>(Main_L[[#This Row],[A/E]]-VLOOKUP(Main_L[[#This Row],[Industry]], Mean_AE_L, 2, FALSE))/(VLOOKUP(Main_L[[#This Row],[Industry]], Mean_AE_L, 3, FALSE))</f>
        <v>-1.0545381804233278</v>
      </c>
      <c r="T55" s="1">
        <f>(Main_L[[#This Row],[P/E]]-VLOOKUP(Main_L[[#This Row],[Industry]], Mean_PE_L, 2, FALSE))/(VLOOKUP(Main_L[[#This Row],[Industry]], Mean_PE_L, 3, FALSE))</f>
        <v>2.7572801247254062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s="67" t="s">
        <v>198</v>
      </c>
      <c r="B56" s="67" t="s">
        <v>223</v>
      </c>
      <c r="C56" s="2">
        <v>166114</v>
      </c>
      <c r="D56">
        <f>RTD("tos.rtd", , "LAST", Main_L[[#This Row],[Symbol]])</f>
        <v>199.21</v>
      </c>
      <c r="E56">
        <v>1.6</v>
      </c>
      <c r="F56">
        <v>18.05</v>
      </c>
      <c r="G56">
        <v>5.28</v>
      </c>
      <c r="H56" s="1">
        <f>IF(ISNUMBER(Main_L[[#This Row],[Free CF]]),IF(Main_L[[#This Row],[Free CF]]&lt;&gt;0,Main_L[[#This Row],[Current Price]]/Main_L[[#This Row],[Free CF]],""),"")</f>
        <v>124.50624999999999</v>
      </c>
      <c r="I56" s="1">
        <f>IF(ISNUMBER(Main_L[[#This Row],[BVPS]]),IF(Main_L[[#This Row],[BVPS]]&lt;&gt;0,Main_L[[#This Row],[Current Price]]/Main_L[[#This Row],[BVPS]],""),"")</f>
        <v>11.036565096952909</v>
      </c>
      <c r="J56">
        <v>29.19</v>
      </c>
      <c r="K56">
        <v>10.039999999999999</v>
      </c>
      <c r="L56">
        <v>2.06</v>
      </c>
      <c r="M56" s="1">
        <f>IF(ISNUMBER(Main_L[[#This Row],[EPS]]),IF(Main_L[[#This Row],[EPS]]&lt;&gt;0,Main_L[[#This Row],[Current Price]]/Main_L[[#This Row],[EPS]],""),"")</f>
        <v>37.729166666666664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1.091214067447499</v>
      </c>
      <c r="P56" s="1">
        <f>(Main_L[[#This Row],[P/B]]-VLOOKUP(Main_L[[#This Row],[Industry]], Mean_PB_L, 2, FALSE))/(VLOOKUP(Main_L[[#This Row],[Industry]], Mean_PB_L, 3, FALSE))</f>
        <v>0.38769733664418576</v>
      </c>
      <c r="Q56" s="1">
        <f>(Main_L[[#This Row],[ROE]]-VLOOKUP(Main_L[[#This Row],[Industry]], Mean_ROE_L, 2, FALSE))/(VLOOKUP(Main_L[[#This Row],[Industry]], Mean_ROE_L, 3, FALSE))</f>
        <v>0.5752988540042796</v>
      </c>
      <c r="R56" s="1">
        <f>(Main_L[[#This Row],[ROA]]-VLOOKUP(Main_L[[#This Row],[Industry]], Mean_ROA_L, 2, FALSE))/(VLOOKUP(Main_L[[#This Row],[Industry]], Mean_ROA_L, 3, FALSE))</f>
        <v>0.50032524014899904</v>
      </c>
      <c r="S56" s="1">
        <f>(Main_L[[#This Row],[A/E]]-VLOOKUP(Main_L[[#This Row],[Industry]], Mean_AE_L, 2, FALSE))/(VLOOKUP(Main_L[[#This Row],[Industry]], Mean_AE_L, 3, FALSE))</f>
        <v>0.69101725487367405</v>
      </c>
      <c r="T56" s="1">
        <f>(Main_L[[#This Row],[P/E]]-VLOOKUP(Main_L[[#This Row],[Industry]], Mean_PE_L, 2, FALSE))/(VLOOKUP(Main_L[[#This Row],[Industry]], Mean_PE_L, 3, FALSE))</f>
        <v>0.20897098498159197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s="67" t="s">
        <v>198</v>
      </c>
      <c r="B57" s="67" t="s">
        <v>213</v>
      </c>
      <c r="C57" s="2">
        <v>31307</v>
      </c>
      <c r="D57">
        <f>RTD("tos.rtd", , "LAST", Main_L[[#This Row],[Symbol]])</f>
        <v>68.05</v>
      </c>
      <c r="E57">
        <v>1.44</v>
      </c>
      <c r="F57">
        <v>13.14</v>
      </c>
      <c r="G57">
        <v>-0.01</v>
      </c>
      <c r="H57" s="1">
        <f>IF(ISNUMBER(Main_L[[#This Row],[Free CF]]),IF(Main_L[[#This Row],[Free CF]]&lt;&gt;0,Main_L[[#This Row],[Current Price]]/Main_L[[#This Row],[Free CF]],""),"")</f>
        <v>47.256944444444443</v>
      </c>
      <c r="I57" s="1">
        <f>IF(ISNUMBER(Main_L[[#This Row],[BVPS]]),IF(Main_L[[#This Row],[BVPS]]&lt;&gt;0,Main_L[[#This Row],[Current Price]]/Main_L[[#This Row],[BVPS]],""),"")</f>
        <v>5.1788432267884321</v>
      </c>
      <c r="J57">
        <v>-0.01</v>
      </c>
      <c r="K57">
        <v>1.5</v>
      </c>
      <c r="L57">
        <v>2.17</v>
      </c>
      <c r="M57" s="1">
        <f>IF(ISNUMBER(Main_L[[#This Row],[EPS]]),IF(Main_L[[#This Row],[EPS]]&lt;&gt;0,Main_L[[#This Row],[Current Price]]/Main_L[[#This Row],[EPS]],""),"")</f>
        <v>-6805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-0.19419827934474579</v>
      </c>
      <c r="P57" s="1">
        <f>(Main_L[[#This Row],[P/B]]-VLOOKUP(Main_L[[#This Row],[Industry]], Mean_PB_L, 2, FALSE))/(VLOOKUP(Main_L[[#This Row],[Industry]], Mean_PB_L, 3, FALSE))</f>
        <v>-0.45721717402661605</v>
      </c>
      <c r="Q57" s="1">
        <f>(Main_L[[#This Row],[ROE]]-VLOOKUP(Main_L[[#This Row],[Industry]], Mean_ROE_L, 2, FALSE))/(VLOOKUP(Main_L[[#This Row],[Industry]], Mean_ROE_L, 3, FALSE))</f>
        <v>-0.88984265947298824</v>
      </c>
      <c r="R57" s="1">
        <f>(Main_L[[#This Row],[ROA]]-VLOOKUP(Main_L[[#This Row],[Industry]], Mean_ROA_L, 2, FALSE))/(VLOOKUP(Main_L[[#This Row],[Industry]], Mean_ROA_L, 3, FALSE))</f>
        <v>-0.98466628936154421</v>
      </c>
      <c r="S57" s="1">
        <f>(Main_L[[#This Row],[A/E]]-VLOOKUP(Main_L[[#This Row],[Industry]], Mean_AE_L, 2, FALSE))/(VLOOKUP(Main_L[[#This Row],[Industry]], Mean_AE_L, 3, FALSE))</f>
        <v>0.92517713034034466</v>
      </c>
      <c r="T57" s="1">
        <f>(Main_L[[#This Row],[P/E]]-VLOOKUP(Main_L[[#This Row],[Industry]], Mean_PE_L, 2, FALSE))/(VLOOKUP(Main_L[[#This Row],[Industry]], Mean_PE_L, 3, FALSE))</f>
        <v>-340.86567239477898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8" spans="1:26" x14ac:dyDescent="0.25">
      <c r="A58" s="67" t="s">
        <v>198</v>
      </c>
      <c r="B58" s="67" t="s">
        <v>222</v>
      </c>
      <c r="C58" s="2">
        <v>1002659</v>
      </c>
      <c r="D58">
        <f>RTD("tos.rtd", , "LAST", Main_L[[#This Row],[Symbol]])</f>
        <v>207</v>
      </c>
      <c r="E58">
        <v>1.04</v>
      </c>
      <c r="F58">
        <v>26.67</v>
      </c>
      <c r="G58">
        <v>7.59</v>
      </c>
      <c r="H58" s="1">
        <f>IF(ISNUMBER(Main_L[[#This Row],[Free CF]]),IF(Main_L[[#This Row],[Free CF]]&lt;&gt;0,Main_L[[#This Row],[Current Price]]/Main_L[[#This Row],[Free CF]],""),"")</f>
        <v>199.03846153846152</v>
      </c>
      <c r="I58" s="1">
        <f>IF(ISNUMBER(Main_L[[#This Row],[BVPS]]),IF(Main_L[[#This Row],[BVPS]]&lt;&gt;0,Main_L[[#This Row],[Current Price]]/Main_L[[#This Row],[BVPS]],""),"")</f>
        <v>7.7615298087739024</v>
      </c>
      <c r="J58">
        <v>31.64</v>
      </c>
      <c r="K58">
        <v>14.33</v>
      </c>
      <c r="L58">
        <v>1.56</v>
      </c>
      <c r="M58" s="1">
        <f>IF(ISNUMBER(Main_L[[#This Row],[EPS]]),IF(Main_L[[#This Row],[EPS]]&lt;&gt;0,Main_L[[#This Row],[Current Price]]/Main_L[[#This Row],[EPS]],""),"")</f>
        <v>27.272727272727273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2.3314145359988938</v>
      </c>
      <c r="P58" s="1">
        <f>(Main_L[[#This Row],[P/B]]-VLOOKUP(Main_L[[#This Row],[Industry]], Mean_PB_L, 2, FALSE))/(VLOOKUP(Main_L[[#This Row],[Industry]], Mean_PB_L, 3, FALSE))</f>
        <v>-8.4691912841242056E-2</v>
      </c>
      <c r="Q58" s="1">
        <f>(Main_L[[#This Row],[ROE]]-VLOOKUP(Main_L[[#This Row],[Industry]], Mean_ROE_L, 2, FALSE))/(VLOOKUP(Main_L[[#This Row],[Industry]], Mean_ROE_L, 3, FALSE))</f>
        <v>0.69823024811452972</v>
      </c>
      <c r="R58" s="1">
        <f>(Main_L[[#This Row],[ROA]]-VLOOKUP(Main_L[[#This Row],[Industry]], Mean_ROA_L, 2, FALSE))/(VLOOKUP(Main_L[[#This Row],[Industry]], Mean_ROA_L, 3, FALSE))</f>
        <v>1.2462987368234992</v>
      </c>
      <c r="S58" s="1">
        <f>(Main_L[[#This Row],[A/E]]-VLOOKUP(Main_L[[#This Row],[Industry]], Mean_AE_L, 2, FALSE))/(VLOOKUP(Main_L[[#This Row],[Industry]], Mean_AE_L, 3, FALSE))</f>
        <v>-0.37334581542937573</v>
      </c>
      <c r="T58" s="1">
        <f>(Main_L[[#This Row],[P/E]]-VLOOKUP(Main_L[[#This Row],[Industry]], Mean_PE_L, 2, FALSE))/(VLOOKUP(Main_L[[#This Row],[Industry]], Mean_PE_L, 3, FALSE))</f>
        <v>-0.31222841520558353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s="67" t="s">
        <v>198</v>
      </c>
      <c r="B59" s="67" t="s">
        <v>205</v>
      </c>
      <c r="C59" s="2">
        <v>14961</v>
      </c>
      <c r="D59">
        <f>RTD("tos.rtd", , "LAST", Main_L[[#This Row],[Symbol]])</f>
        <v>92.35</v>
      </c>
      <c r="E59">
        <v>0.68</v>
      </c>
      <c r="F59">
        <v>6.32</v>
      </c>
      <c r="G59">
        <v>0.26</v>
      </c>
      <c r="H59" s="1">
        <f>IF(ISNUMBER(Main_L[[#This Row],[Free CF]]),IF(Main_L[[#This Row],[Free CF]]&lt;&gt;0,Main_L[[#This Row],[Current Price]]/Main_L[[#This Row],[Free CF]],""),"")</f>
        <v>135.80882352941174</v>
      </c>
      <c r="I59" s="1">
        <f>IF(ISNUMBER(Main_L[[#This Row],[BVPS]]),IF(Main_L[[#This Row],[BVPS]]&lt;&gt;0,Main_L[[#This Row],[Current Price]]/Main_L[[#This Row],[BVPS]],""),"")</f>
        <v>14.612341772151897</v>
      </c>
      <c r="J59">
        <v>4.47</v>
      </c>
      <c r="K59">
        <v>-1.37</v>
      </c>
      <c r="L59">
        <v>1.08</v>
      </c>
      <c r="M59" s="1">
        <f>IF(ISNUMBER(Main_L[[#This Row],[EPS]]),IF(Main_L[[#This Row],[EPS]]&lt;&gt;0,Main_L[[#This Row],[Current Price]]/Main_L[[#This Row],[EPS]],""),"")</f>
        <v>355.19230769230768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1.2792865356819816</v>
      </c>
      <c r="P59" s="1">
        <f>(Main_L[[#This Row],[P/B]]-VLOOKUP(Main_L[[#This Row],[Industry]], Mean_PB_L, 2, FALSE))/(VLOOKUP(Main_L[[#This Row],[Industry]], Mean_PB_L, 3, FALSE))</f>
        <v>0.90346535478482637</v>
      </c>
      <c r="Q59" s="1">
        <f>(Main_L[[#This Row],[ROE]]-VLOOKUP(Main_L[[#This Row],[Industry]], Mean_ROE_L, 2, FALSE))/(VLOOKUP(Main_L[[#This Row],[Industry]], Mean_ROE_L, 3, FALSE))</f>
        <v>-0.66505382452853068</v>
      </c>
      <c r="R59" s="1">
        <f>(Main_L[[#This Row],[ROA]]-VLOOKUP(Main_L[[#This Row],[Industry]], Mean_ROA_L, 2, FALSE))/(VLOOKUP(Main_L[[#This Row],[Industry]], Mean_ROA_L, 3, FALSE))</f>
        <v>-1.4837208197708254</v>
      </c>
      <c r="S59" s="1">
        <f>(Main_L[[#This Row],[A/E]]-VLOOKUP(Main_L[[#This Row],[Industry]], Mean_AE_L, 2, FALSE))/(VLOOKUP(Main_L[[#This Row],[Industry]], Mean_AE_L, 3, FALSE))</f>
        <v>-1.3951343629203035</v>
      </c>
      <c r="T59" s="1">
        <f>(Main_L[[#This Row],[P/E]]-VLOOKUP(Main_L[[#This Row],[Industry]], Mean_PE_L, 2, FALSE))/(VLOOKUP(Main_L[[#This Row],[Industry]], Mean_PE_L, 3, FALSE))</f>
        <v>16.032865950604712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0" spans="1:26" x14ac:dyDescent="0.25">
      <c r="A60" s="67" t="s">
        <v>198</v>
      </c>
      <c r="B60" s="67" t="s">
        <v>215</v>
      </c>
      <c r="C60" s="2">
        <v>105566</v>
      </c>
      <c r="D60">
        <f>RTD("tos.rtd", , "LAST", Main_L[[#This Row],[Symbol]])</f>
        <v>110.95</v>
      </c>
      <c r="E60">
        <v>0.55000000000000004</v>
      </c>
      <c r="F60">
        <v>43.5</v>
      </c>
      <c r="G60">
        <v>4.1500000000000004</v>
      </c>
      <c r="H60" s="1">
        <f>IF(ISNUMBER(Main_L[[#This Row],[Free CF]]),IF(Main_L[[#This Row],[Free CF]]&lt;&gt;0,Main_L[[#This Row],[Current Price]]/Main_L[[#This Row],[Free CF]],""),"")</f>
        <v>201.72727272727272</v>
      </c>
      <c r="I60" s="1">
        <f>IF(ISNUMBER(Main_L[[#This Row],[BVPS]]),IF(Main_L[[#This Row],[BVPS]]&lt;&gt;0,Main_L[[#This Row],[Current Price]]/Main_L[[#This Row],[BVPS]],""),"")</f>
        <v>2.5505747126436784</v>
      </c>
      <c r="J60">
        <v>10.1</v>
      </c>
      <c r="K60">
        <v>5.52</v>
      </c>
      <c r="L60">
        <v>1.5</v>
      </c>
      <c r="M60" s="1">
        <f>IF(ISNUMBER(Main_L[[#This Row],[EPS]]),IF(Main_L[[#This Row],[EPS]]&lt;&gt;0,Main_L[[#This Row],[Current Price]]/Main_L[[#This Row],[EPS]],""),"")</f>
        <v>26.734939759036141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2.3761557938708551</v>
      </c>
      <c r="P60" s="1">
        <f>(Main_L[[#This Row],[P/B]]-VLOOKUP(Main_L[[#This Row],[Industry]], Mean_PB_L, 2, FALSE))/(VLOOKUP(Main_L[[#This Row],[Industry]], Mean_PB_L, 3, FALSE))</f>
        <v>-0.83631714749082842</v>
      </c>
      <c r="Q60" s="1">
        <f>(Main_L[[#This Row],[ROE]]-VLOOKUP(Main_L[[#This Row],[Industry]], Mean_ROE_L, 2, FALSE))/(VLOOKUP(Main_L[[#This Row],[Industry]], Mean_ROE_L, 3, FALSE))</f>
        <v>-0.38256249847109858</v>
      </c>
      <c r="R60" s="1">
        <f>(Main_L[[#This Row],[ROA]]-VLOOKUP(Main_L[[#This Row],[Industry]], Mean_ROA_L, 2, FALSE))/(VLOOKUP(Main_L[[#This Row],[Industry]], Mean_ROA_L, 3, FALSE))</f>
        <v>-0.28564217359662808</v>
      </c>
      <c r="S60" s="1">
        <f>(Main_L[[#This Row],[A/E]]-VLOOKUP(Main_L[[#This Row],[Industry]], Mean_AE_L, 2, FALSE))/(VLOOKUP(Main_L[[#This Row],[Industry]], Mean_AE_L, 3, FALSE))</f>
        <v>-0.50106938386574185</v>
      </c>
      <c r="T60" s="1">
        <f>(Main_L[[#This Row],[P/E]]-VLOOKUP(Main_L[[#This Row],[Industry]], Mean_PE_L, 2, FALSE))/(VLOOKUP(Main_L[[#This Row],[Industry]], Mean_PE_L, 3, FALSE))</f>
        <v>-0.33903434014848816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s="67" t="s">
        <v>198</v>
      </c>
      <c r="B61" s="67" t="s">
        <v>207</v>
      </c>
      <c r="C61" s="2">
        <v>131921</v>
      </c>
      <c r="D61">
        <f>RTD("tos.rtd", , "LAST", Main_L[[#This Row],[Symbol]])</f>
        <v>138.61000000000001</v>
      </c>
      <c r="E61">
        <v>0.15</v>
      </c>
      <c r="F61">
        <v>6.47</v>
      </c>
      <c r="G61">
        <v>0.75</v>
      </c>
      <c r="H61" s="1">
        <f>IF(ISNUMBER(Main_L[[#This Row],[Free CF]]),IF(Main_L[[#This Row],[Free CF]]&lt;&gt;0,Main_L[[#This Row],[Current Price]]/Main_L[[#This Row],[Free CF]],""),"")</f>
        <v>924.06666666666683</v>
      </c>
      <c r="I61" s="1">
        <f>IF(ISNUMBER(Main_L[[#This Row],[BVPS]]),IF(Main_L[[#This Row],[BVPS]]&lt;&gt;0,Main_L[[#This Row],[Current Price]]/Main_L[[#This Row],[BVPS]],""),"")</f>
        <v>21.423493044822258</v>
      </c>
      <c r="J61">
        <v>13.05</v>
      </c>
      <c r="K61">
        <v>6.16</v>
      </c>
      <c r="L61">
        <v>1.31</v>
      </c>
      <c r="M61" s="1">
        <f>IF(ISNUMBER(Main_L[[#This Row],[EPS]]),IF(Main_L[[#This Row],[EPS]]&lt;&gt;0,Main_L[[#This Row],[Current Price]]/Main_L[[#This Row],[EPS]],""),"")</f>
        <v>184.81333333333336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14.395732783807293</v>
      </c>
      <c r="P61" s="1">
        <f>(Main_L[[#This Row],[P/B]]-VLOOKUP(Main_L[[#This Row],[Industry]], Mean_PB_L, 2, FALSE))/(VLOOKUP(Main_L[[#This Row],[Industry]], Mean_PB_L, 3, FALSE))</f>
        <v>1.8859019866714644</v>
      </c>
      <c r="Q61" s="1">
        <f>(Main_L[[#This Row],[ROE]]-VLOOKUP(Main_L[[#This Row],[Industry]], Mean_ROE_L, 2, FALSE))/(VLOOKUP(Main_L[[#This Row],[Industry]], Mean_ROE_L, 3, FALSE))</f>
        <v>-0.23454306474651157</v>
      </c>
      <c r="R61" s="1">
        <f>(Main_L[[#This Row],[ROA]]-VLOOKUP(Main_L[[#This Row],[Industry]], Mean_ROA_L, 2, FALSE))/(VLOOKUP(Main_L[[#This Row],[Industry]], Mean_ROA_L, 3, FALSE))</f>
        <v>-0.17435475218131793</v>
      </c>
      <c r="S61" s="1">
        <f>(Main_L[[#This Row],[A/E]]-VLOOKUP(Main_L[[#This Row],[Industry]], Mean_AE_L, 2, FALSE))/(VLOOKUP(Main_L[[#This Row],[Industry]], Mean_AE_L, 3, FALSE))</f>
        <v>-0.90552735058090061</v>
      </c>
      <c r="T61" s="1">
        <f>(Main_L[[#This Row],[P/E]]-VLOOKUP(Main_L[[#This Row],[Industry]], Mean_PE_L, 2, FALSE))/(VLOOKUP(Main_L[[#This Row],[Industry]], Mean_PE_L, 3, FALSE))</f>
        <v>7.5403556519390538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2" spans="1:26" x14ac:dyDescent="0.25">
      <c r="A62" s="67" t="s">
        <v>198</v>
      </c>
      <c r="B62" s="67" t="s">
        <v>220</v>
      </c>
      <c r="C62" s="2">
        <v>22299</v>
      </c>
      <c r="D62">
        <f>RTD("tos.rtd", , "LAST", Main_L[[#This Row],[Symbol]])</f>
        <v>29.6</v>
      </c>
      <c r="E62">
        <v>0.08</v>
      </c>
      <c r="F62">
        <v>19.82</v>
      </c>
      <c r="G62">
        <v>1.18</v>
      </c>
      <c r="H62" s="1">
        <f>IF(ISNUMBER(Main_L[[#This Row],[Free CF]]),IF(Main_L[[#This Row],[Free CF]]&lt;&gt;0,Main_L[[#This Row],[Current Price]]/Main_L[[#This Row],[Free CF]],""),"")</f>
        <v>370</v>
      </c>
      <c r="I62" s="1">
        <f>IF(ISNUMBER(Main_L[[#This Row],[BVPS]]),IF(Main_L[[#This Row],[BVPS]]&lt;&gt;0,Main_L[[#This Row],[Current Price]]/Main_L[[#This Row],[BVPS]],""),"")</f>
        <v>1.4934409687184662</v>
      </c>
      <c r="J62">
        <v>6.31</v>
      </c>
      <c r="K62">
        <v>2.77</v>
      </c>
      <c r="L62">
        <v>1.41</v>
      </c>
      <c r="M62" s="1">
        <f>IF(ISNUMBER(Main_L[[#This Row],[EPS]]),IF(Main_L[[#This Row],[EPS]]&lt;&gt;0,Main_L[[#This Row],[Current Price]]/Main_L[[#This Row],[EPS]],""),"")</f>
        <v>25.084745762711869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5.1761789100555173</v>
      </c>
      <c r="P62" s="1">
        <f>(Main_L[[#This Row],[P/B]]-VLOOKUP(Main_L[[#This Row],[Industry]], Mean_PB_L, 2, FALSE))/(VLOOKUP(Main_L[[#This Row],[Industry]], Mean_PB_L, 3, FALSE))</f>
        <v>-0.98879752463394543</v>
      </c>
      <c r="Q62" s="1">
        <f>(Main_L[[#This Row],[ROE]]-VLOOKUP(Main_L[[#This Row],[Industry]], Mean_ROE_L, 2, FALSE))/(VLOOKUP(Main_L[[#This Row],[Industry]], Mean_ROE_L, 3, FALSE))</f>
        <v>-0.57272983874777139</v>
      </c>
      <c r="R62" s="1">
        <f>(Main_L[[#This Row],[ROA]]-VLOOKUP(Main_L[[#This Row],[Industry]], Mean_ROA_L, 2, FALSE))/(VLOOKUP(Main_L[[#This Row],[Industry]], Mean_ROA_L, 3, FALSE))</f>
        <v>-0.76383031249053845</v>
      </c>
      <c r="S62" s="1">
        <f>(Main_L[[#This Row],[A/E]]-VLOOKUP(Main_L[[#This Row],[Industry]], Mean_AE_L, 2, FALSE))/(VLOOKUP(Main_L[[#This Row],[Industry]], Mean_AE_L, 3, FALSE))</f>
        <v>-0.69265473652029097</v>
      </c>
      <c r="T62" s="1">
        <f>(Main_L[[#This Row],[P/E]]-VLOOKUP(Main_L[[#This Row],[Industry]], Mean_PE_L, 2, FALSE))/(VLOOKUP(Main_L[[#This Row],[Industry]], Mean_PE_L, 3, FALSE))</f>
        <v>-0.4212879724485229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s="67" t="s">
        <v>198</v>
      </c>
      <c r="B63" s="67" t="s">
        <v>224</v>
      </c>
      <c r="C63" s="2">
        <v>19111</v>
      </c>
      <c r="D63">
        <f>RTD("tos.rtd", , "LAST", Main_L[[#This Row],[Symbol]])</f>
        <v>7.76</v>
      </c>
      <c r="E63">
        <v>0.05</v>
      </c>
      <c r="F63">
        <v>0.93</v>
      </c>
      <c r="G63">
        <v>0.11</v>
      </c>
      <c r="H63" s="1">
        <f>IF(ISNUMBER(Main_L[[#This Row],[Free CF]]),IF(Main_L[[#This Row],[Free CF]]&lt;&gt;0,Main_L[[#This Row],[Current Price]]/Main_L[[#This Row],[Free CF]],""),"")</f>
        <v>155.19999999999999</v>
      </c>
      <c r="I63" s="1">
        <f>IF(ISNUMBER(Main_L[[#This Row],[BVPS]]),IF(Main_L[[#This Row],[BVPS]]&lt;&gt;0,Main_L[[#This Row],[Current Price]]/Main_L[[#This Row],[BVPS]],""),"")</f>
        <v>8.344086021505376</v>
      </c>
      <c r="J63">
        <v>11.55</v>
      </c>
      <c r="K63">
        <v>5.45</v>
      </c>
      <c r="L63">
        <v>1.47</v>
      </c>
      <c r="M63" s="1">
        <f>IF(ISNUMBER(Main_L[[#This Row],[EPS]]),IF(Main_L[[#This Row],[EPS]]&lt;&gt;0,Main_L[[#This Row],[Current Price]]/Main_L[[#This Row],[EPS]],""),"")</f>
        <v>70.545454545454547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1.6019516713082891</v>
      </c>
      <c r="P63" s="1">
        <f>(Main_L[[#This Row],[P/B]]-VLOOKUP(Main_L[[#This Row],[Industry]], Mean_PB_L, 2, FALSE))/(VLOOKUP(Main_L[[#This Row],[Industry]], Mean_PB_L, 3, FALSE))</f>
        <v>-6.643320977357133E-4</v>
      </c>
      <c r="Q63" s="1">
        <f>(Main_L[[#This Row],[ROE]]-VLOOKUP(Main_L[[#This Row],[Industry]], Mean_ROE_L, 2, FALSE))/(VLOOKUP(Main_L[[#This Row],[Industry]], Mean_ROE_L, 3, FALSE))</f>
        <v>-0.30980718358952192</v>
      </c>
      <c r="R63" s="1">
        <f>(Main_L[[#This Row],[ROA]]-VLOOKUP(Main_L[[#This Row],[Industry]], Mean_ROA_L, 2, FALSE))/(VLOOKUP(Main_L[[#This Row],[Industry]], Mean_ROA_L, 3, FALSE))</f>
        <v>-0.29781423531392753</v>
      </c>
      <c r="S63" s="1">
        <f>(Main_L[[#This Row],[A/E]]-VLOOKUP(Main_L[[#This Row],[Industry]], Mean_AE_L, 2, FALSE))/(VLOOKUP(Main_L[[#This Row],[Industry]], Mean_AE_L, 3, FALSE))</f>
        <v>-0.56493116808392485</v>
      </c>
      <c r="T63" s="1">
        <f>(Main_L[[#This Row],[P/E]]-VLOOKUP(Main_L[[#This Row],[Industry]], Mean_PE_L, 2, FALSE))/(VLOOKUP(Main_L[[#This Row],[Industry]], Mean_PE_L, 3, FALSE))</f>
        <v>1.8446931380413987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s="67" t="s">
        <v>198</v>
      </c>
      <c r="B64" s="67" t="s">
        <v>208</v>
      </c>
      <c r="C64" s="2">
        <v>20383</v>
      </c>
      <c r="D64">
        <f>RTD("tos.rtd", , "LAST", Main_L[[#This Row],[Symbol]])</f>
        <v>9.9</v>
      </c>
      <c r="E64">
        <v>-0.08</v>
      </c>
      <c r="F64">
        <v>2.15</v>
      </c>
      <c r="G64">
        <v>0.23</v>
      </c>
      <c r="H64" s="1">
        <f>IF(ISNUMBER(Main_L[[#This Row],[Free CF]]),IF(Main_L[[#This Row],[Free CF]]&lt;&gt;0,Main_L[[#This Row],[Current Price]]/Main_L[[#This Row],[Free CF]],""),"")</f>
        <v>-123.75</v>
      </c>
      <c r="I64" s="1">
        <f>IF(ISNUMBER(Main_L[[#This Row],[BVPS]]),IF(Main_L[[#This Row],[BVPS]]&lt;&gt;0,Main_L[[#This Row],[Current Price]]/Main_L[[#This Row],[BVPS]],""),"")</f>
        <v>4.6046511627906979</v>
      </c>
      <c r="J64">
        <v>11.06</v>
      </c>
      <c r="K64">
        <v>3.55</v>
      </c>
      <c r="L64">
        <v>2.4900000000000002</v>
      </c>
      <c r="M64" s="1">
        <f>IF(ISNUMBER(Main_L[[#This Row],[EPS]]),IF(Main_L[[#This Row],[EPS]]&lt;&gt;0,Main_L[[#This Row],[Current Price]]/Main_L[[#This Row],[EPS]],""),"")</f>
        <v>43.043478260869563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-3.039718199494966</v>
      </c>
      <c r="P64" s="1">
        <f>(Main_L[[#This Row],[P/B]]-VLOOKUP(Main_L[[#This Row],[Industry]], Mean_PB_L, 2, FALSE))/(VLOOKUP(Main_L[[#This Row],[Industry]], Mean_PB_L, 3, FALSE))</f>
        <v>-0.54003831465719387</v>
      </c>
      <c r="Q64" s="1">
        <f>(Main_L[[#This Row],[ROE]]-VLOOKUP(Main_L[[#This Row],[Industry]], Mean_ROE_L, 2, FALSE))/(VLOOKUP(Main_L[[#This Row],[Industry]], Mean_ROE_L, 3, FALSE))</f>
        <v>-0.33439346241157192</v>
      </c>
      <c r="R64" s="1">
        <f>(Main_L[[#This Row],[ROA]]-VLOOKUP(Main_L[[#This Row],[Industry]], Mean_ROA_L, 2, FALSE))/(VLOOKUP(Main_L[[#This Row],[Industry]], Mean_ROA_L, 3, FALSE))</f>
        <v>-0.62819876764062932</v>
      </c>
      <c r="S64" s="1">
        <f>(Main_L[[#This Row],[A/E]]-VLOOKUP(Main_L[[#This Row],[Industry]], Mean_AE_L, 2, FALSE))/(VLOOKUP(Main_L[[#This Row],[Industry]], Mean_AE_L, 3, FALSE))</f>
        <v>1.6063694953342971</v>
      </c>
      <c r="T64" s="1">
        <f>(Main_L[[#This Row],[P/E]]-VLOOKUP(Main_L[[#This Row],[Industry]], Mean_PE_L, 2, FALSE))/(VLOOKUP(Main_L[[#This Row],[Industry]], Mean_PE_L, 3, FALSE))</f>
        <v>0.4738619206964495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s="67" t="s">
        <v>198</v>
      </c>
      <c r="B65" s="67" t="s">
        <v>330</v>
      </c>
      <c r="C65" s="2">
        <v>10351</v>
      </c>
      <c r="D65">
        <f>RTD("tos.rtd", , "LAST", Main_L[[#This Row],[Symbol]])</f>
        <v>71.09</v>
      </c>
      <c r="E65">
        <v>-0.15</v>
      </c>
      <c r="F65">
        <v>3.64</v>
      </c>
      <c r="G65">
        <v>0.03</v>
      </c>
      <c r="H65" s="1">
        <f>IF(ISNUMBER(Main_L[[#This Row],[Free CF]]),IF(Main_L[[#This Row],[Free CF]]&lt;&gt;0,Main_L[[#This Row],[Current Price]]/Main_L[[#This Row],[Free CF]],""),"")</f>
        <v>-473.93333333333339</v>
      </c>
      <c r="I65" s="1">
        <f>IF(ISNUMBER(Main_L[[#This Row],[BVPS]]),IF(Main_L[[#This Row],[BVPS]]&lt;&gt;0,Main_L[[#This Row],[Current Price]]/Main_L[[#This Row],[BVPS]],""),"")</f>
        <v>19.530219780219781</v>
      </c>
      <c r="J65">
        <v>0.89</v>
      </c>
      <c r="K65">
        <v>-0.36</v>
      </c>
      <c r="L65">
        <v>1.1599999999999999</v>
      </c>
      <c r="M65" s="1">
        <f>IF(ISNUMBER(Main_L[[#This Row],[EPS]]),IF(Main_L[[#This Row],[EPS]]&lt;&gt;0,Main_L[[#This Row],[Current Price]]/Main_L[[#This Row],[EPS]],""),"")</f>
        <v>2369.666666666667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-8.866695892955395</v>
      </c>
      <c r="P65" s="1">
        <f>(Main_L[[#This Row],[P/B]]-VLOOKUP(Main_L[[#This Row],[Industry]], Mean_PB_L, 2, FALSE))/(VLOOKUP(Main_L[[#This Row],[Industry]], Mean_PB_L, 3, FALSE))</f>
        <v>1.6128173149537208</v>
      </c>
      <c r="Q65" s="1">
        <f>(Main_L[[#This Row],[ROE]]-VLOOKUP(Main_L[[#This Row],[Industry]], Mean_ROE_L, 2, FALSE))/(VLOOKUP(Main_L[[#This Row],[Industry]], Mean_ROE_L, 3, FALSE))</f>
        <v>-0.84468418816718194</v>
      </c>
      <c r="R65" s="1">
        <f>(Main_L[[#This Row],[ROA]]-VLOOKUP(Main_L[[#This Row],[Industry]], Mean_ROA_L, 2, FALSE))/(VLOOKUP(Main_L[[#This Row],[Industry]], Mean_ROA_L, 3, FALSE))</f>
        <v>-1.3080953578497891</v>
      </c>
      <c r="S65" s="1">
        <f>(Main_L[[#This Row],[A/E]]-VLOOKUP(Main_L[[#This Row],[Industry]], Mean_AE_L, 2, FALSE))/(VLOOKUP(Main_L[[#This Row],[Industry]], Mean_AE_L, 3, FALSE))</f>
        <v>-1.2248362716718157</v>
      </c>
      <c r="T65" s="1">
        <f>(Main_L[[#This Row],[P/E]]-VLOOKUP(Main_L[[#This Row],[Industry]], Mean_PE_L, 2, FALSE))/(VLOOKUP(Main_L[[#This Row],[Industry]], Mean_PE_L, 3, FALSE))</f>
        <v>116.44398947305667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6" spans="1:26" x14ac:dyDescent="0.25">
      <c r="A66" s="67" t="s">
        <v>198</v>
      </c>
      <c r="B66" s="67" t="s">
        <v>212</v>
      </c>
      <c r="C66" s="2">
        <v>85277</v>
      </c>
      <c r="D66">
        <f>RTD("tos.rtd", , "LAST", Main_L[[#This Row],[Symbol]])</f>
        <v>20.48</v>
      </c>
      <c r="E66">
        <v>-2.98</v>
      </c>
      <c r="F66">
        <v>22.87</v>
      </c>
      <c r="G66">
        <v>-4.46</v>
      </c>
      <c r="H66" s="1">
        <f>IF(ISNUMBER(Main_L[[#This Row],[Free CF]]),IF(Main_L[[#This Row],[Free CF]]&lt;&gt;0,Main_L[[#This Row],[Current Price]]/Main_L[[#This Row],[Free CF]],""),"")</f>
        <v>-6.8724832214765099</v>
      </c>
      <c r="I66" s="1">
        <f>IF(ISNUMBER(Main_L[[#This Row],[BVPS]]),IF(Main_L[[#This Row],[BVPS]]&lt;&gt;0,Main_L[[#This Row],[Current Price]]/Main_L[[#This Row],[BVPS]],""),"")</f>
        <v>0.89549628334062092</v>
      </c>
      <c r="J66">
        <v>-18.13</v>
      </c>
      <c r="K66">
        <v>-1.0900000000000001</v>
      </c>
      <c r="L66">
        <v>1.93</v>
      </c>
      <c r="M66" s="1">
        <f>IF(ISNUMBER(Main_L[[#This Row],[EPS]]),IF(Main_L[[#This Row],[EPS]]&lt;&gt;0,Main_L[[#This Row],[Current Price]]/Main_L[[#This Row],[EPS]],""),"")</f>
        <v>-4.5919282511210762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-1.0949006759058837</v>
      </c>
      <c r="P66" s="1">
        <f>(Main_L[[#This Row],[P/B]]-VLOOKUP(Main_L[[#This Row],[Industry]], Mean_PB_L, 2, FALSE))/(VLOOKUP(Main_L[[#This Row],[Industry]], Mean_PB_L, 3, FALSE))</f>
        <v>-1.0750447300240578</v>
      </c>
      <c r="Q66" s="1">
        <f>(Main_L[[#This Row],[ROE]]-VLOOKUP(Main_L[[#This Row],[Industry]], Mean_ROE_L, 2, FALSE))/(VLOOKUP(Main_L[[#This Row],[Industry]], Mean_ROE_L, 3, FALSE))</f>
        <v>-1.7990332150965529</v>
      </c>
      <c r="R66" s="1">
        <f>(Main_L[[#This Row],[ROA]]-VLOOKUP(Main_L[[#This Row],[Industry]], Mean_ROA_L, 2, FALSE))/(VLOOKUP(Main_L[[#This Row],[Industry]], Mean_ROA_L, 3, FALSE))</f>
        <v>-1.4350325729016271</v>
      </c>
      <c r="S66" s="1">
        <f>(Main_L[[#This Row],[A/E]]-VLOOKUP(Main_L[[#This Row],[Industry]], Mean_AE_L, 2, FALSE))/(VLOOKUP(Main_L[[#This Row],[Industry]], Mean_AE_L, 3, FALSE))</f>
        <v>0.41428285659488084</v>
      </c>
      <c r="T66" s="1">
        <f>(Main_L[[#This Row],[P/E]]-VLOOKUP(Main_L[[#This Row],[Industry]], Mean_PE_L, 2, FALSE))/(VLOOKUP(Main_L[[#This Row],[Industry]], Mean_PE_L, 3, FALSE))</f>
        <v>-1.9005166192979557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s="67" t="s">
        <v>198</v>
      </c>
      <c r="B67" s="67" t="s">
        <v>210</v>
      </c>
      <c r="C67" s="2">
        <v>16953</v>
      </c>
      <c r="D67">
        <f>RTD("tos.rtd", , "LAST", Main_L[[#This Row],[Symbol]])</f>
        <v>160.16</v>
      </c>
      <c r="E67">
        <v>-9.1199999999999992</v>
      </c>
      <c r="F67">
        <v>76.34</v>
      </c>
      <c r="G67">
        <v>11.77</v>
      </c>
      <c r="H67" s="1">
        <f>IF(ISNUMBER(Main_L[[#This Row],[Free CF]]),IF(Main_L[[#This Row],[Free CF]]&lt;&gt;0,Main_L[[#This Row],[Current Price]]/Main_L[[#This Row],[Free CF]],""),"")</f>
        <v>-17.561403508771932</v>
      </c>
      <c r="I67" s="1">
        <f>IF(ISNUMBER(Main_L[[#This Row],[BVPS]]),IF(Main_L[[#This Row],[BVPS]]&lt;&gt;0,Main_L[[#This Row],[Current Price]]/Main_L[[#This Row],[BVPS]],""),"")</f>
        <v>2.0979827089337175</v>
      </c>
      <c r="J67">
        <v>16.77</v>
      </c>
      <c r="K67">
        <v>7.5</v>
      </c>
      <c r="L67">
        <v>1.48</v>
      </c>
      <c r="M67" s="1">
        <f>IF(ISNUMBER(Main_L[[#This Row],[EPS]]),IF(Main_L[[#This Row],[EPS]]&lt;&gt;0,Main_L[[#This Row],[Current Price]]/Main_L[[#This Row],[EPS]],""),"")</f>
        <v>13.607476635514018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-1.2727620820681236</v>
      </c>
      <c r="P67" s="1">
        <f>(Main_L[[#This Row],[P/B]]-VLOOKUP(Main_L[[#This Row],[Industry]], Mean_PB_L, 2, FALSE))/(VLOOKUP(Main_L[[#This Row],[Industry]], Mean_PB_L, 3, FALSE))</f>
        <v>-0.90159876376145254</v>
      </c>
      <c r="Q67" s="1">
        <f>(Main_L[[#This Row],[ROE]]-VLOOKUP(Main_L[[#This Row],[Industry]], Mean_ROE_L, 2, FALSE))/(VLOOKUP(Main_L[[#This Row],[Industry]], Mean_ROE_L, 3, FALSE))</f>
        <v>-4.788805001584602E-2</v>
      </c>
      <c r="R67" s="1">
        <f>(Main_L[[#This Row],[ROA]]-VLOOKUP(Main_L[[#This Row],[Industry]], Mean_ROA_L, 2, FALSE))/(VLOOKUP(Main_L[[#This Row],[Industry]], Mean_ROA_L, 3, FALSE))</f>
        <v>5.8653286406987443E-2</v>
      </c>
      <c r="S67" s="1">
        <f>(Main_L[[#This Row],[A/E]]-VLOOKUP(Main_L[[#This Row],[Industry]], Mean_AE_L, 2, FALSE))/(VLOOKUP(Main_L[[#This Row],[Industry]], Mean_AE_L, 3, FALSE))</f>
        <v>-0.54364390667786389</v>
      </c>
      <c r="T67" s="1">
        <f>(Main_L[[#This Row],[P/E]]-VLOOKUP(Main_L[[#This Row],[Industry]], Mean_PE_L, 2, FALSE))/(VLOOKUP(Main_L[[#This Row],[Industry]], Mean_PE_L, 3, FALSE))</f>
        <v>-0.99337045287197134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s="67" t="s">
        <v>124</v>
      </c>
      <c r="B68" s="67" t="s">
        <v>489</v>
      </c>
      <c r="C68" s="2">
        <v>76792</v>
      </c>
      <c r="D68">
        <f>RTD("tos.rtd", , "LAST", Main_L[[#This Row],[Symbol]])</f>
        <v>3566.7849999999999</v>
      </c>
      <c r="E68">
        <v>104.48</v>
      </c>
      <c r="F68">
        <v>143.74</v>
      </c>
      <c r="G68">
        <v>34.950000000000003</v>
      </c>
      <c r="H68" s="1">
        <f>IF(ISNUMBER(Main_L[[#This Row],[Free CF]]),IF(Main_L[[#This Row],[Free CF]]&lt;&gt;0,Main_L[[#This Row],[Current Price]]/Main_L[[#This Row],[Free CF]],""),"")</f>
        <v>34.138447549770291</v>
      </c>
      <c r="I68" s="1">
        <f>IF(ISNUMBER(Main_L[[#This Row],[BVPS]]),IF(Main_L[[#This Row],[BVPS]]&lt;&gt;0,Main_L[[#This Row],[Current Price]]/Main_L[[#This Row],[BVPS]],""),"")</f>
        <v>24.814143592597745</v>
      </c>
      <c r="J68">
        <v>26.06</v>
      </c>
      <c r="K68">
        <v>7.45</v>
      </c>
      <c r="L68">
        <v>4.5599999999999996</v>
      </c>
      <c r="M68" s="1">
        <f>IF(ISNUMBER(Main_L[[#This Row],[EPS]]),IF(Main_L[[#This Row],[EPS]]&lt;&gt;0,Main_L[[#This Row],[Current Price]]/Main_L[[#This Row],[EPS]],""),"")</f>
        <v>102.05393419170242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-0.50362358378127448</v>
      </c>
      <c r="P68" s="1">
        <f>(Main_L[[#This Row],[P/B]]-VLOOKUP(Main_L[[#This Row],[Industry]], Mean_PB_L, 2, FALSE))/(VLOOKUP(Main_L[[#This Row],[Industry]], Mean_PB_L, 3, FALSE))</f>
        <v>1.0655484870028467</v>
      </c>
      <c r="Q68" s="1">
        <f>(Main_L[[#This Row],[ROE]]-VLOOKUP(Main_L[[#This Row],[Industry]], Mean_ROE_L, 2, FALSE))/(VLOOKUP(Main_L[[#This Row],[Industry]], Mean_ROE_L, 3, FALSE))</f>
        <v>0.93184895092037234</v>
      </c>
      <c r="R68" s="1">
        <f>(Main_L[[#This Row],[ROA]]-VLOOKUP(Main_L[[#This Row],[Industry]], Mean_ROA_L, 2, FALSE))/(VLOOKUP(Main_L[[#This Row],[Industry]], Mean_ROA_L, 3, FALSE))</f>
        <v>0.59501456841290801</v>
      </c>
      <c r="S68" s="1">
        <f>(Main_L[[#This Row],[A/E]]-VLOOKUP(Main_L[[#This Row],[Industry]], Mean_AE_L, 2, FALSE))/(VLOOKUP(Main_L[[#This Row],[Industry]], Mean_AE_L, 3, FALSE))</f>
        <v>3.4982332592935044</v>
      </c>
      <c r="T68" s="1">
        <f>(Main_L[[#This Row],[P/E]]-VLOOKUP(Main_L[[#This Row],[Industry]], Mean_PE_L, 2, FALSE))/(VLOOKUP(Main_L[[#This Row],[Industry]], Mean_PE_L, 3, FALSE))</f>
        <v>1.1560820894705284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s="67" t="s">
        <v>124</v>
      </c>
      <c r="B69" s="67" t="s">
        <v>134</v>
      </c>
      <c r="C69" s="2">
        <v>42021</v>
      </c>
      <c r="D69">
        <f>RTD("tos.rtd", , "LAST", Main_L[[#This Row],[Symbol]])</f>
        <v>1749.41</v>
      </c>
      <c r="E69">
        <v>27.68</v>
      </c>
      <c r="F69">
        <v>-46.16</v>
      </c>
      <c r="G69">
        <v>23.21</v>
      </c>
      <c r="H69" s="1">
        <f>IF(ISNUMBER(Main_L[[#This Row],[Free CF]]),IF(Main_L[[#This Row],[Free CF]]&lt;&gt;0,Main_L[[#This Row],[Current Price]]/Main_L[[#This Row],[Free CF]],""),"")</f>
        <v>63.201228323699425</v>
      </c>
      <c r="I69" s="1">
        <f>IF(ISNUMBER(Main_L[[#This Row],[BVPS]]),IF(Main_L[[#This Row],[BVPS]]&lt;&gt;0,Main_L[[#This Row],[Current Price]]/Main_L[[#This Row],[BVPS]],""),"")</f>
        <v>-37.898830155979205</v>
      </c>
      <c r="J69">
        <v>-62.06</v>
      </c>
      <c r="K69">
        <v>28.7</v>
      </c>
      <c r="L69">
        <v>-1.63</v>
      </c>
      <c r="M69" s="1">
        <f>IF(ISNUMBER(Main_L[[#This Row],[EPS]]),IF(Main_L[[#This Row],[EPS]]&lt;&gt;0,Main_L[[#This Row],[Current Price]]/Main_L[[#This Row],[EPS]],""),"")</f>
        <v>75.373115036622153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0.71371041409501734</v>
      </c>
      <c r="P69" s="1">
        <f>(Main_L[[#This Row],[P/B]]-VLOOKUP(Main_L[[#This Row],[Industry]], Mean_PB_L, 2, FALSE))/(VLOOKUP(Main_L[[#This Row],[Industry]], Mean_PB_L, 3, FALSE))</f>
        <v>-5.1884971171552232</v>
      </c>
      <c r="Q69" s="1">
        <f>(Main_L[[#This Row],[ROE]]-VLOOKUP(Main_L[[#This Row],[Industry]], Mean_ROE_L, 2, FALSE))/(VLOOKUP(Main_L[[#This Row],[Industry]], Mean_ROE_L, 3, FALSE))</f>
        <v>-3.9968426469758138</v>
      </c>
      <c r="R69" s="1">
        <f>(Main_L[[#This Row],[ROA]]-VLOOKUP(Main_L[[#This Row],[Industry]], Mean_ROA_L, 2, FALSE))/(VLOOKUP(Main_L[[#This Row],[Industry]], Mean_ROA_L, 3, FALSE))</f>
        <v>4.3734871830612017</v>
      </c>
      <c r="S69" s="1">
        <f>(Main_L[[#This Row],[A/E]]-VLOOKUP(Main_L[[#This Row],[Industry]], Mean_AE_L, 2, FALSE))/(VLOOKUP(Main_L[[#This Row],[Industry]], Mean_AE_L, 3, FALSE))</f>
        <v>-4.9648528648851302</v>
      </c>
      <c r="T69" s="1">
        <f>(Main_L[[#This Row],[P/E]]-VLOOKUP(Main_L[[#This Row],[Industry]], Mean_PE_L, 2, FALSE))/(VLOOKUP(Main_L[[#This Row],[Industry]], Mean_PE_L, 3, FALSE))</f>
        <v>0.65099802038685661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s="67" t="s">
        <v>124</v>
      </c>
      <c r="B70" s="67" t="s">
        <v>137</v>
      </c>
      <c r="C70" s="2">
        <v>210178</v>
      </c>
      <c r="D70">
        <f>RTD("tos.rtd", , "LAST", Main_L[[#This Row],[Symbol]])</f>
        <v>764.38</v>
      </c>
      <c r="E70">
        <v>21.79</v>
      </c>
      <c r="F70">
        <v>72.11</v>
      </c>
      <c r="G70">
        <v>12.24</v>
      </c>
      <c r="H70" s="1">
        <f>IF(ISNUMBER(Main_L[[#This Row],[Free CF]]),IF(Main_L[[#This Row],[Free CF]]&lt;&gt;0,Main_L[[#This Row],[Current Price]]/Main_L[[#This Row],[Free CF]],""),"")</f>
        <v>35.079394217530975</v>
      </c>
      <c r="I70" s="1">
        <f>IF(ISNUMBER(Main_L[[#This Row],[BVPS]]),IF(Main_L[[#This Row],[BVPS]]&lt;&gt;0,Main_L[[#This Row],[Current Price]]/Main_L[[#This Row],[BVPS]],""),"")</f>
        <v>10.600194147829704</v>
      </c>
      <c r="J70">
        <v>17.84</v>
      </c>
      <c r="K70">
        <v>8.57</v>
      </c>
      <c r="L70">
        <v>1.82</v>
      </c>
      <c r="M70" s="1">
        <f>IF(ISNUMBER(Main_L[[#This Row],[EPS]]),IF(Main_L[[#This Row],[EPS]]&lt;&gt;0,Main_L[[#This Row],[Current Price]]/Main_L[[#This Row],[EPS]],""),"")</f>
        <v>62.449346405228759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0" s="1">
        <f>(Main_L[[#This Row],[P/FCF]]-VLOOKUP(Main_L[[#This Row],[Industry]], Mean_PFCF_L, 2, FALSE))/(VLOOKUP(Main_L[[#This Row],[Industry]], Mean_PFCF_L, 3, FALSE))</f>
        <v>-0.46421075615945878</v>
      </c>
      <c r="P70" s="1">
        <f>(Main_L[[#This Row],[P/B]]-VLOOKUP(Main_L[[#This Row],[Industry]], Mean_PB_L, 2, FALSE))/(VLOOKUP(Main_L[[#This Row],[Industry]], Mean_PB_L, 3, FALSE))</f>
        <v>-0.35193632880520231</v>
      </c>
      <c r="Q70" s="1">
        <f>(Main_L[[#This Row],[ROE]]-VLOOKUP(Main_L[[#This Row],[Industry]], Mean_ROE_L, 2, FALSE))/(VLOOKUP(Main_L[[#This Row],[Industry]], Mean_ROE_L, 3, FALSE))</f>
        <v>0.47209129165225339</v>
      </c>
      <c r="R70" s="1">
        <f>(Main_L[[#This Row],[ROA]]-VLOOKUP(Main_L[[#This Row],[Industry]], Mean_ROA_L, 2, FALSE))/(VLOOKUP(Main_L[[#This Row],[Industry]], Mean_ROA_L, 3, FALSE))</f>
        <v>0.79416230151437095</v>
      </c>
      <c r="S70" s="1">
        <f>(Main_L[[#This Row],[A/E]]-VLOOKUP(Main_L[[#This Row],[Industry]], Mean_AE_L, 2, FALSE))/(VLOOKUP(Main_L[[#This Row],[Industry]], Mean_AE_L, 3, FALSE))</f>
        <v>-0.24794702830737711</v>
      </c>
      <c r="T70" s="1">
        <f>(Main_L[[#This Row],[P/E]]-VLOOKUP(Main_L[[#This Row],[Industry]], Mean_PE_L, 2, FALSE))/(VLOOKUP(Main_L[[#This Row],[Industry]], Mean_PE_L, 3, FALSE))</f>
        <v>0.40634325134476074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s="67" t="s">
        <v>124</v>
      </c>
      <c r="B71" s="67" t="s">
        <v>145</v>
      </c>
      <c r="C71" s="2">
        <v>61313</v>
      </c>
      <c r="D71">
        <f>RTD("tos.rtd", , "LAST", Main_L[[#This Row],[Symbol]])</f>
        <v>573.08000000000004</v>
      </c>
      <c r="E71">
        <v>21.24</v>
      </c>
      <c r="F71">
        <v>178.8</v>
      </c>
      <c r="G71">
        <v>13.87</v>
      </c>
      <c r="H71" s="1">
        <f>IF(ISNUMBER(Main_L[[#This Row],[Free CF]]),IF(Main_L[[#This Row],[Free CF]]&lt;&gt;0,Main_L[[#This Row],[Current Price]]/Main_L[[#This Row],[Free CF]],""),"")</f>
        <v>26.981167608286256</v>
      </c>
      <c r="I71" s="1">
        <f>IF(ISNUMBER(Main_L[[#This Row],[BVPS]]),IF(Main_L[[#This Row],[BVPS]]&lt;&gt;0,Main_L[[#This Row],[Current Price]]/Main_L[[#This Row],[BVPS]],""),"")</f>
        <v>3.205145413870246</v>
      </c>
      <c r="J71">
        <v>8.09</v>
      </c>
      <c r="K71">
        <v>4.16</v>
      </c>
      <c r="L71">
        <v>1.63</v>
      </c>
      <c r="M71" s="1">
        <f>IF(ISNUMBER(Main_L[[#This Row],[EPS]]),IF(Main_L[[#This Row],[EPS]]&lt;&gt;0,Main_L[[#This Row],[Current Price]]/Main_L[[#This Row],[EPS]],""),"")</f>
        <v>41.317952415284793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-0.80341596334952281</v>
      </c>
      <c r="P71" s="1">
        <f>(Main_L[[#This Row],[P/B]]-VLOOKUP(Main_L[[#This Row],[Industry]], Mean_PB_L, 2, FALSE))/(VLOOKUP(Main_L[[#This Row],[Industry]], Mean_PB_L, 3, FALSE))</f>
        <v>-1.0894068913170512</v>
      </c>
      <c r="Q71" s="1">
        <f>(Main_L[[#This Row],[ROE]]-VLOOKUP(Main_L[[#This Row],[Industry]], Mean_ROE_L, 2, FALSE))/(VLOOKUP(Main_L[[#This Row],[Industry]], Mean_ROE_L, 3, FALSE))</f>
        <v>-7.324169835555204E-2</v>
      </c>
      <c r="R71" s="1">
        <f>(Main_L[[#This Row],[ROA]]-VLOOKUP(Main_L[[#This Row],[Industry]], Mean_ROA_L, 2, FALSE))/(VLOOKUP(Main_L[[#This Row],[Industry]], Mean_ROA_L, 3, FALSE))</f>
        <v>1.0018102427360388E-2</v>
      </c>
      <c r="S71" s="1">
        <f>(Main_L[[#This Row],[A/E]]-VLOOKUP(Main_L[[#This Row],[Industry]], Mean_AE_L, 2, FALSE))/(VLOOKUP(Main_L[[#This Row],[Industry]], Mean_AE_L, 3, FALSE))</f>
        <v>-0.50771865408992023</v>
      </c>
      <c r="T71" s="1">
        <f>(Main_L[[#This Row],[P/E]]-VLOOKUP(Main_L[[#This Row],[Industry]], Mean_PE_L, 2, FALSE))/(VLOOKUP(Main_L[[#This Row],[Industry]], Mean_PE_L, 3, FALSE))</f>
        <v>6.3131623203432768E-3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s="67" t="s">
        <v>124</v>
      </c>
      <c r="B72" s="67" t="s">
        <v>125</v>
      </c>
      <c r="C72" s="2">
        <v>176911</v>
      </c>
      <c r="D72">
        <f>RTD("tos.rtd", , "LAST", Main_L[[#This Row],[Symbol]])</f>
        <v>416.26</v>
      </c>
      <c r="E72">
        <v>20.76</v>
      </c>
      <c r="F72">
        <v>30.1</v>
      </c>
      <c r="G72">
        <v>15.16</v>
      </c>
      <c r="H72" s="1">
        <f>IF(ISNUMBER(Main_L[[#This Row],[Free CF]]),IF(Main_L[[#This Row],[Free CF]]&lt;&gt;0,Main_L[[#This Row],[Current Price]]/Main_L[[#This Row],[Free CF]],""),"")</f>
        <v>20.051059730250479</v>
      </c>
      <c r="I72" s="1">
        <f>IF(ISNUMBER(Main_L[[#This Row],[BVPS]]),IF(Main_L[[#This Row],[BVPS]]&lt;&gt;0,Main_L[[#This Row],[Current Price]]/Main_L[[#This Row],[BVPS]],""),"")</f>
        <v>13.82923588039867</v>
      </c>
      <c r="J72">
        <v>47.28</v>
      </c>
      <c r="K72">
        <v>17.190000000000001</v>
      </c>
      <c r="L72">
        <v>2.29</v>
      </c>
      <c r="M72" s="1">
        <f>IF(ISNUMBER(Main_L[[#This Row],[EPS]]),IF(Main_L[[#This Row],[EPS]]&lt;&gt;0,Main_L[[#This Row],[Current Price]]/Main_L[[#This Row],[EPS]],""),"")</f>
        <v>27.457783641160947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-1.0936929328696263</v>
      </c>
      <c r="P72" s="1">
        <f>(Main_L[[#This Row],[P/B]]-VLOOKUP(Main_L[[#This Row],[Industry]], Mean_PB_L, 2, FALSE))/(VLOOKUP(Main_L[[#This Row],[Industry]], Mean_PB_L, 3, FALSE))</f>
        <v>-2.9920435663567575E-2</v>
      </c>
      <c r="Q72" s="1">
        <f>(Main_L[[#This Row],[ROE]]-VLOOKUP(Main_L[[#This Row],[Industry]], Mean_ROE_L, 2, FALSE))/(VLOOKUP(Main_L[[#This Row],[Industry]], Mean_ROE_L, 3, FALSE))</f>
        <v>2.1187172635322322</v>
      </c>
      <c r="R72" s="1">
        <f>(Main_L[[#This Row],[ROA]]-VLOOKUP(Main_L[[#This Row],[Industry]], Mean_ROA_L, 2, FALSE))/(VLOOKUP(Main_L[[#This Row],[Industry]], Mean_ROA_L, 3, FALSE))</f>
        <v>2.3268886044917028</v>
      </c>
      <c r="S72" s="1">
        <f>(Main_L[[#This Row],[A/E]]-VLOOKUP(Main_L[[#This Row],[Industry]], Mean_AE_L, 2, FALSE))/(VLOOKUP(Main_L[[#This Row],[Industry]], Mean_AE_L, 3, FALSE))</f>
        <v>0.39464594073365006</v>
      </c>
      <c r="T72" s="1">
        <f>(Main_L[[#This Row],[P/E]]-VLOOKUP(Main_L[[#This Row],[Industry]], Mean_PE_L, 2, FALSE))/(VLOOKUP(Main_L[[#This Row],[Industry]], Mean_PE_L, 3, FALSE))</f>
        <v>-0.25606822866809453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s="67" t="s">
        <v>124</v>
      </c>
      <c r="B73" s="67" t="s">
        <v>160</v>
      </c>
      <c r="C73" s="2">
        <v>209278</v>
      </c>
      <c r="D73">
        <f>RTD("tos.rtd", , "LAST", Main_L[[#This Row],[Symbol]])</f>
        <v>1026.8599999999999</v>
      </c>
      <c r="E73">
        <v>17.59</v>
      </c>
      <c r="F73">
        <v>48.99</v>
      </c>
      <c r="G73">
        <v>7.37</v>
      </c>
      <c r="H73" s="1">
        <f>IF(ISNUMBER(Main_L[[#This Row],[Free CF]]),IF(Main_L[[#This Row],[Free CF]]&lt;&gt;0,Main_L[[#This Row],[Current Price]]/Main_L[[#This Row],[Free CF]],""),"")</f>
        <v>58.37748720864127</v>
      </c>
      <c r="I73" s="1">
        <f>IF(ISNUMBER(Main_L[[#This Row],[BVPS]]),IF(Main_L[[#This Row],[BVPS]]&lt;&gt;0,Main_L[[#This Row],[Current Price]]/Main_L[[#This Row],[BVPS]],""),"")</f>
        <v>20.960604204939781</v>
      </c>
      <c r="J73">
        <v>16.86</v>
      </c>
      <c r="K73">
        <v>4.92</v>
      </c>
      <c r="L73">
        <v>2.0699999999999998</v>
      </c>
      <c r="M73" s="1">
        <f>IF(ISNUMBER(Main_L[[#This Row],[EPS]]),IF(Main_L[[#This Row],[EPS]]&lt;&gt;0,Main_L[[#This Row],[Current Price]]/Main_L[[#This Row],[EPS]],""),"")</f>
        <v>139.32971506105832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0.51166147383732608</v>
      </c>
      <c r="P73" s="1">
        <f>(Main_L[[#This Row],[P/B]]-VLOOKUP(Main_L[[#This Row],[Industry]], Mean_PB_L, 2, FALSE))/(VLOOKUP(Main_L[[#This Row],[Industry]], Mean_PB_L, 3, FALSE))</f>
        <v>0.68125462199729592</v>
      </c>
      <c r="Q73" s="1">
        <f>(Main_L[[#This Row],[ROE]]-VLOOKUP(Main_L[[#This Row],[Industry]], Mean_ROE_L, 2, FALSE))/(VLOOKUP(Main_L[[#This Row],[Industry]], Mean_ROE_L, 3, FALSE))</f>
        <v>0.41727833470787906</v>
      </c>
      <c r="R73" s="1">
        <f>(Main_L[[#This Row],[ROA]]-VLOOKUP(Main_L[[#This Row],[Industry]], Mean_ROA_L, 2, FALSE))/(VLOOKUP(Main_L[[#This Row],[Industry]], Mean_ROA_L, 3, FALSE))</f>
        <v>0.14515406417478166</v>
      </c>
      <c r="S73" s="1">
        <f>(Main_L[[#This Row],[A/E]]-VLOOKUP(Main_L[[#This Row],[Industry]], Mean_AE_L, 2, FALSE))/(VLOOKUP(Main_L[[#This Row],[Industry]], Mean_AE_L, 3, FALSE))</f>
        <v>9.3857742459126411E-2</v>
      </c>
      <c r="T73" s="1">
        <f>(Main_L[[#This Row],[P/E]]-VLOOKUP(Main_L[[#This Row],[Industry]], Mean_PE_L, 2, FALSE))/(VLOOKUP(Main_L[[#This Row],[Industry]], Mean_PE_L, 3, FALSE))</f>
        <v>1.8617352019305575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s="67" t="s">
        <v>124</v>
      </c>
      <c r="B74" s="67" t="s">
        <v>151</v>
      </c>
      <c r="C74" s="2">
        <v>24882</v>
      </c>
      <c r="D74">
        <f>RTD("tos.rtd", , "LAST", Main_L[[#This Row],[Symbol]])</f>
        <v>580.16999999999996</v>
      </c>
      <c r="E74">
        <v>13.22</v>
      </c>
      <c r="F74">
        <v>81.48</v>
      </c>
      <c r="G74">
        <v>6.63</v>
      </c>
      <c r="H74" s="1">
        <f>IF(ISNUMBER(Main_L[[#This Row],[Free CF]]),IF(Main_L[[#This Row],[Free CF]]&lt;&gt;0,Main_L[[#This Row],[Current Price]]/Main_L[[#This Row],[Free CF]],""),"")</f>
        <v>43.885779122541599</v>
      </c>
      <c r="I74" s="1">
        <f>IF(ISNUMBER(Main_L[[#This Row],[BVPS]]),IF(Main_L[[#This Row],[BVPS]]&lt;&gt;0,Main_L[[#This Row],[Current Price]]/Main_L[[#This Row],[BVPS]],""),"")</f>
        <v>7.1203976435935195</v>
      </c>
      <c r="J74">
        <v>8.8699999999999992</v>
      </c>
      <c r="K74">
        <v>4.47</v>
      </c>
      <c r="L74">
        <v>1.48</v>
      </c>
      <c r="M74" s="1">
        <f>IF(ISNUMBER(Main_L[[#This Row],[EPS]]),IF(Main_L[[#This Row],[EPS]]&lt;&gt;0,Main_L[[#This Row],[Current Price]]/Main_L[[#This Row],[EPS]],""),"")</f>
        <v>87.50678733031674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-9.5343378098006942E-2</v>
      </c>
      <c r="P74" s="1">
        <f>(Main_L[[#This Row],[P/B]]-VLOOKUP(Main_L[[#This Row],[Industry]], Mean_PB_L, 2, FALSE))/(VLOOKUP(Main_L[[#This Row],[Industry]], Mean_PB_L, 3, FALSE))</f>
        <v>-0.69895871874850746</v>
      </c>
      <c r="Q74" s="1">
        <f>(Main_L[[#This Row],[ROE]]-VLOOKUP(Main_L[[#This Row],[Industry]], Mean_ROE_L, 2, FALSE))/(VLOOKUP(Main_L[[#This Row],[Industry]], Mean_ROE_L, 3, FALSE))</f>
        <v>-2.9615059154927643E-2</v>
      </c>
      <c r="R74" s="1">
        <f>(Main_L[[#This Row],[ROA]]-VLOOKUP(Main_L[[#This Row],[Industry]], Mean_ROA_L, 2, FALSE))/(VLOOKUP(Main_L[[#This Row],[Industry]], Mean_ROA_L, 3, FALSE))</f>
        <v>6.5139349982229547E-2</v>
      </c>
      <c r="S74" s="1">
        <f>(Main_L[[#This Row],[A/E]]-VLOOKUP(Main_L[[#This Row],[Industry]], Mean_AE_L, 2, FALSE))/(VLOOKUP(Main_L[[#This Row],[Industry]], Mean_AE_L, 3, FALSE))</f>
        <v>-0.71280151654982238</v>
      </c>
      <c r="T74" s="1">
        <f>(Main_L[[#This Row],[P/E]]-VLOOKUP(Main_L[[#This Row],[Industry]], Mean_PE_L, 2, FALSE))/(VLOOKUP(Main_L[[#This Row],[Industry]], Mean_PE_L, 3, FALSE))</f>
        <v>0.88069578713852481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s="67" t="s">
        <v>124</v>
      </c>
      <c r="B75" s="67" t="s">
        <v>130</v>
      </c>
      <c r="C75" s="2">
        <v>253694</v>
      </c>
      <c r="D75">
        <f>RTD("tos.rtd", , "LAST", Main_L[[#This Row],[Symbol]])</f>
        <v>272.25</v>
      </c>
      <c r="E75">
        <v>13.18</v>
      </c>
      <c r="F75">
        <v>63.33</v>
      </c>
      <c r="G75">
        <v>6.39</v>
      </c>
      <c r="H75" s="1">
        <f>IF(ISNUMBER(Main_L[[#This Row],[Free CF]]),IF(Main_L[[#This Row],[Free CF]]&lt;&gt;0,Main_L[[#This Row],[Current Price]]/Main_L[[#This Row],[Free CF]],""),"")</f>
        <v>20.656297420333839</v>
      </c>
      <c r="I75" s="1">
        <f>IF(ISNUMBER(Main_L[[#This Row],[BVPS]]),IF(Main_L[[#This Row],[BVPS]]&lt;&gt;0,Main_L[[#This Row],[Current Price]]/Main_L[[#This Row],[BVPS]],""),"")</f>
        <v>4.2989104689720516</v>
      </c>
      <c r="J75">
        <v>10.31</v>
      </c>
      <c r="K75">
        <v>5.09</v>
      </c>
      <c r="L75">
        <v>1.63</v>
      </c>
      <c r="M75" s="1">
        <f>IF(ISNUMBER(Main_L[[#This Row],[EPS]]),IF(Main_L[[#This Row],[EPS]]&lt;&gt;0,Main_L[[#This Row],[Current Price]]/Main_L[[#This Row],[EPS]],""),"")</f>
        <v>42.605633802816904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5" s="1">
        <f>(Main_L[[#This Row],[P/FCF]]-VLOOKUP(Main_L[[#This Row],[Industry]], Mean_PFCF_L, 2, FALSE))/(VLOOKUP(Main_L[[#This Row],[Industry]], Mean_PFCF_L, 3, FALSE))</f>
        <v>-1.068341731184359</v>
      </c>
      <c r="P75" s="1">
        <f>(Main_L[[#This Row],[P/B]]-VLOOKUP(Main_L[[#This Row],[Industry]], Mean_PB_L, 2, FALSE))/(VLOOKUP(Main_L[[#This Row],[Industry]], Mean_PB_L, 3, FALSE))</f>
        <v>-0.98033127066054582</v>
      </c>
      <c r="Q75" s="1">
        <f>(Main_L[[#This Row],[ROE]]-VLOOKUP(Main_L[[#This Row],[Industry]], Mean_ROE_L, 2, FALSE))/(VLOOKUP(Main_L[[#This Row],[Industry]], Mean_ROE_L, 3, FALSE))</f>
        <v>5.0926428600071384E-2</v>
      </c>
      <c r="R75" s="1">
        <f>(Main_L[[#This Row],[ROA]]-VLOOKUP(Main_L[[#This Row],[Industry]], Mean_ROA_L, 2, FALSE))/(VLOOKUP(Main_L[[#This Row],[Industry]], Mean_ROA_L, 3, FALSE))</f>
        <v>0.175381845091968</v>
      </c>
      <c r="S75" s="1">
        <f>(Main_L[[#This Row],[A/E]]-VLOOKUP(Main_L[[#This Row],[Industry]], Mean_AE_L, 2, FALSE))/(VLOOKUP(Main_L[[#This Row],[Industry]], Mean_AE_L, 3, FALSE))</f>
        <v>-0.50771865408992023</v>
      </c>
      <c r="T75" s="1">
        <f>(Main_L[[#This Row],[P/E]]-VLOOKUP(Main_L[[#This Row],[Industry]], Mean_PE_L, 2, FALSE))/(VLOOKUP(Main_L[[#This Row],[Industry]], Mean_PE_L, 3, FALSE))</f>
        <v>3.0689751026923038E-2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s="67" t="s">
        <v>124</v>
      </c>
      <c r="B76" s="67" t="s">
        <v>141</v>
      </c>
      <c r="C76" s="2">
        <v>10495</v>
      </c>
      <c r="D76">
        <f>RTD("tos.rtd", , "LAST", Main_L[[#This Row],[Symbol]])</f>
        <v>175.42</v>
      </c>
      <c r="E76">
        <v>12.12</v>
      </c>
      <c r="F76">
        <v>55.24</v>
      </c>
      <c r="G76">
        <v>7.17</v>
      </c>
      <c r="H76" s="1">
        <f>IF(ISNUMBER(Main_L[[#This Row],[Free CF]]),IF(Main_L[[#This Row],[Free CF]]&lt;&gt;0,Main_L[[#This Row],[Current Price]]/Main_L[[#This Row],[Free CF]],""),"")</f>
        <v>14.473597359735974</v>
      </c>
      <c r="I76" s="1">
        <f>IF(ISNUMBER(Main_L[[#This Row],[BVPS]]),IF(Main_L[[#This Row],[BVPS]]&lt;&gt;0,Main_L[[#This Row],[Current Price]]/Main_L[[#This Row],[BVPS]],""),"")</f>
        <v>3.1755973931933377</v>
      </c>
      <c r="J76">
        <v>13.38</v>
      </c>
      <c r="K76">
        <v>6.97</v>
      </c>
      <c r="L76">
        <v>1.49</v>
      </c>
      <c r="M76" s="1">
        <f>IF(ISNUMBER(Main_L[[#This Row],[EPS]]),IF(Main_L[[#This Row],[EPS]]&lt;&gt;0,Main_L[[#This Row],[Current Price]]/Main_L[[#This Row],[EPS]],""),"")</f>
        <v>24.465829846582984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6" s="1">
        <f>(Main_L[[#This Row],[P/FCF]]-VLOOKUP(Main_L[[#This Row],[Industry]], Mean_PFCF_L, 2, FALSE))/(VLOOKUP(Main_L[[#This Row],[Industry]], Mean_PFCF_L, 3, FALSE))</f>
        <v>-1.3273125103738432</v>
      </c>
      <c r="P76" s="1">
        <f>(Main_L[[#This Row],[P/B]]-VLOOKUP(Main_L[[#This Row],[Industry]], Mean_PB_L, 2, FALSE))/(VLOOKUP(Main_L[[#This Row],[Industry]], Mean_PB_L, 3, FALSE))</f>
        <v>-1.0923535649920526</v>
      </c>
      <c r="Q76" s="1">
        <f>(Main_L[[#This Row],[ROE]]-VLOOKUP(Main_L[[#This Row],[Industry]], Mean_ROE_L, 2, FALSE))/(VLOOKUP(Main_L[[#This Row],[Industry]], Mean_ROE_L, 3, FALSE))</f>
        <v>0.22263640596663167</v>
      </c>
      <c r="R76" s="1">
        <f>(Main_L[[#This Row],[ROA]]-VLOOKUP(Main_L[[#This Row],[Industry]], Mean_ROA_L, 2, FALSE))/(VLOOKUP(Main_L[[#This Row],[Industry]], Mean_ROA_L, 3, FALSE))</f>
        <v>0.50966553994085229</v>
      </c>
      <c r="S76" s="1">
        <f>(Main_L[[#This Row],[A/E]]-VLOOKUP(Main_L[[#This Row],[Industry]], Mean_AE_L, 2, FALSE))/(VLOOKUP(Main_L[[#This Row],[Industry]], Mean_AE_L, 3, FALSE))</f>
        <v>-0.69912932571916231</v>
      </c>
      <c r="T76" s="1">
        <f>(Main_L[[#This Row],[P/E]]-VLOOKUP(Main_L[[#This Row],[Industry]], Mean_PE_L, 2, FALSE))/(VLOOKUP(Main_L[[#This Row],[Industry]], Mean_PE_L, 3, FALSE))</f>
        <v>-0.31270772643958727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s="67" t="s">
        <v>124</v>
      </c>
      <c r="B77" s="67" t="s">
        <v>153</v>
      </c>
      <c r="C77" s="2">
        <v>24803</v>
      </c>
      <c r="D77">
        <f>RTD("tos.rtd", , "LAST", Main_L[[#This Row],[Symbol]])</f>
        <v>227.8</v>
      </c>
      <c r="E77">
        <v>9.93</v>
      </c>
      <c r="F77">
        <v>25.47</v>
      </c>
      <c r="G77">
        <v>7.58</v>
      </c>
      <c r="H77" s="1">
        <f>IF(ISNUMBER(Main_L[[#This Row],[Free CF]]),IF(Main_L[[#This Row],[Free CF]]&lt;&gt;0,Main_L[[#This Row],[Current Price]]/Main_L[[#This Row],[Free CF]],""),"")</f>
        <v>22.940584088620344</v>
      </c>
      <c r="I77" s="1">
        <f>IF(ISNUMBER(Main_L[[#This Row],[BVPS]]),IF(Main_L[[#This Row],[BVPS]]&lt;&gt;0,Main_L[[#This Row],[Current Price]]/Main_L[[#This Row],[BVPS]],""),"")</f>
        <v>8.943855516293679</v>
      </c>
      <c r="J77">
        <v>30.92</v>
      </c>
      <c r="K77">
        <v>9.91</v>
      </c>
      <c r="L77">
        <v>2.02</v>
      </c>
      <c r="M77" s="1">
        <f>IF(ISNUMBER(Main_L[[#This Row],[EPS]]),IF(Main_L[[#This Row],[EPS]]&lt;&gt;0,Main_L[[#This Row],[Current Price]]/Main_L[[#This Row],[EPS]],""),"")</f>
        <v>30.052770448548813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-0.97266128533056107</v>
      </c>
      <c r="P77" s="1">
        <f>(Main_L[[#This Row],[P/B]]-VLOOKUP(Main_L[[#This Row],[Industry]], Mean_PB_L, 2, FALSE))/(VLOOKUP(Main_L[[#This Row],[Industry]], Mean_PB_L, 3, FALSE))</f>
        <v>-0.51711454821295488</v>
      </c>
      <c r="Q77" s="1">
        <f>(Main_L[[#This Row],[ROE]]-VLOOKUP(Main_L[[#This Row],[Industry]], Mean_ROE_L, 2, FALSE))/(VLOOKUP(Main_L[[#This Row],[Industry]], Mean_ROE_L, 3, FALSE))</f>
        <v>1.203676472093494</v>
      </c>
      <c r="R77" s="1">
        <f>(Main_L[[#This Row],[ROA]]-VLOOKUP(Main_L[[#This Row],[Industry]], Mean_ROA_L, 2, FALSE))/(VLOOKUP(Main_L[[#This Row],[Industry]], Mean_ROA_L, 3, FALSE))</f>
        <v>1.0324283393321927</v>
      </c>
      <c r="S77" s="1">
        <f>(Main_L[[#This Row],[A/E]]-VLOOKUP(Main_L[[#This Row],[Industry]], Mean_AE_L, 2, FALSE))/(VLOOKUP(Main_L[[#This Row],[Industry]], Mean_AE_L, 3, FALSE))</f>
        <v>2.5496788305825885E-2</v>
      </c>
      <c r="T77" s="1">
        <f>(Main_L[[#This Row],[P/E]]-VLOOKUP(Main_L[[#This Row],[Industry]], Mean_PE_L, 2, FALSE))/(VLOOKUP(Main_L[[#This Row],[Industry]], Mean_PE_L, 3, FALSE))</f>
        <v>-0.2069435564353703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s="67" t="s">
        <v>124</v>
      </c>
      <c r="B78" s="67" t="s">
        <v>127</v>
      </c>
      <c r="C78" s="2">
        <v>29084</v>
      </c>
      <c r="D78">
        <f>RTD("tos.rtd", , "LAST", Main_L[[#This Row],[Symbol]])</f>
        <v>342.14</v>
      </c>
      <c r="E78">
        <v>9.91</v>
      </c>
      <c r="F78">
        <v>70.290000000000006</v>
      </c>
      <c r="G78">
        <v>6.74</v>
      </c>
      <c r="H78" s="1">
        <f>IF(ISNUMBER(Main_L[[#This Row],[Free CF]]),IF(Main_L[[#This Row],[Free CF]]&lt;&gt;0,Main_L[[#This Row],[Current Price]]/Main_L[[#This Row],[Free CF]],""),"")</f>
        <v>34.5247225025227</v>
      </c>
      <c r="I78" s="1">
        <f>IF(ISNUMBER(Main_L[[#This Row],[BVPS]]),IF(Main_L[[#This Row],[BVPS]]&lt;&gt;0,Main_L[[#This Row],[Current Price]]/Main_L[[#This Row],[BVPS]],""),"")</f>
        <v>4.8675487267036557</v>
      </c>
      <c r="J78">
        <v>10.23</v>
      </c>
      <c r="K78">
        <v>6.06</v>
      </c>
      <c r="L78">
        <v>1.29</v>
      </c>
      <c r="M78" s="1">
        <f>IF(ISNUMBER(Main_L[[#This Row],[EPS]]),IF(Main_L[[#This Row],[EPS]]&lt;&gt;0,Main_L[[#This Row],[Current Price]]/Main_L[[#This Row],[EPS]],""),"")</f>
        <v>50.762611275964389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8" s="1">
        <f>(Main_L[[#This Row],[P/FCF]]-VLOOKUP(Main_L[[#This Row],[Industry]], Mean_PFCF_L, 2, FALSE))/(VLOOKUP(Main_L[[#This Row],[Industry]], Mean_PFCF_L, 3, FALSE))</f>
        <v>-0.48744393338335446</v>
      </c>
      <c r="P78" s="1">
        <f>(Main_L[[#This Row],[P/B]]-VLOOKUP(Main_L[[#This Row],[Industry]], Mean_PB_L, 2, FALSE))/(VLOOKUP(Main_L[[#This Row],[Industry]], Mean_PB_L, 3, FALSE))</f>
        <v>-0.92362387211841979</v>
      </c>
      <c r="Q78" s="1">
        <f>(Main_L[[#This Row],[ROE]]-VLOOKUP(Main_L[[#This Row],[Industry]], Mean_ROE_L, 2, FALSE))/(VLOOKUP(Main_L[[#This Row],[Industry]], Mean_ROE_L, 3, FALSE))</f>
        <v>4.645190150257144E-2</v>
      </c>
      <c r="R78" s="1">
        <f>(Main_L[[#This Row],[ROA]]-VLOOKUP(Main_L[[#This Row],[Industry]], Mean_ROA_L, 2, FALSE))/(VLOOKUP(Main_L[[#This Row],[Industry]], Mean_ROA_L, 3, FALSE))</f>
        <v>0.34785800679591361</v>
      </c>
      <c r="S78" s="1">
        <f>(Main_L[[#This Row],[A/E]]-VLOOKUP(Main_L[[#This Row],[Industry]], Mean_AE_L, 2, FALSE))/(VLOOKUP(Main_L[[#This Row],[Industry]], Mean_AE_L, 3, FALSE))</f>
        <v>-0.97257314233236525</v>
      </c>
      <c r="T78" s="1">
        <f>(Main_L[[#This Row],[P/E]]-VLOOKUP(Main_L[[#This Row],[Industry]], Mean_PE_L, 2, FALSE))/(VLOOKUP(Main_L[[#This Row],[Industry]], Mean_PE_L, 3, FALSE))</f>
        <v>0.18510627585752221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s="67" t="s">
        <v>124</v>
      </c>
      <c r="B79" s="67" t="s">
        <v>136</v>
      </c>
      <c r="C79" s="2">
        <v>31110</v>
      </c>
      <c r="D79">
        <f>RTD("tos.rtd", , "LAST", Main_L[[#This Row],[Symbol]])</f>
        <v>606.05999999999995</v>
      </c>
      <c r="E79">
        <v>9.4700000000000006</v>
      </c>
      <c r="F79">
        <v>38.340000000000003</v>
      </c>
      <c r="G79">
        <v>-0.45</v>
      </c>
      <c r="H79" s="1">
        <f>IF(ISNUMBER(Main_L[[#This Row],[Free CF]]),IF(Main_L[[#This Row],[Free CF]]&lt;&gt;0,Main_L[[#This Row],[Current Price]]/Main_L[[#This Row],[Free CF]],""),"")</f>
        <v>63.997888067581826</v>
      </c>
      <c r="I79" s="1">
        <f>IF(ISNUMBER(Main_L[[#This Row],[BVPS]]),IF(Main_L[[#This Row],[BVPS]]&lt;&gt;0,Main_L[[#This Row],[Current Price]]/Main_L[[#This Row],[BVPS]],""),"")</f>
        <v>15.807511737089198</v>
      </c>
      <c r="J79">
        <v>-1.34</v>
      </c>
      <c r="K79">
        <v>-1.1499999999999999</v>
      </c>
      <c r="L79">
        <v>1.94</v>
      </c>
      <c r="M79" s="1">
        <f>IF(ISNUMBER(Main_L[[#This Row],[EPS]]),IF(Main_L[[#This Row],[EPS]]&lt;&gt;0,Main_L[[#This Row],[Current Price]]/Main_L[[#This Row],[EPS]],""),"")</f>
        <v>-1346.8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0.74707958817754117</v>
      </c>
      <c r="P79" s="1">
        <f>(Main_L[[#This Row],[P/B]]-VLOOKUP(Main_L[[#This Row],[Industry]], Mean_PB_L, 2, FALSE))/(VLOOKUP(Main_L[[#This Row],[Industry]], Mean_PB_L, 3, FALSE))</f>
        <v>0.16736294424676848</v>
      </c>
      <c r="Q79" s="1">
        <f>(Main_L[[#This Row],[ROE]]-VLOOKUP(Main_L[[#This Row],[Industry]], Mean_ROE_L, 2, FALSE))/(VLOOKUP(Main_L[[#This Row],[Industry]], Mean_ROE_L, 3, FALSE))</f>
        <v>-0.60067657997335766</v>
      </c>
      <c r="R79" s="1">
        <f>(Main_L[[#This Row],[ROA]]-VLOOKUP(Main_L[[#This Row],[Industry]], Mean_ROA_L, 2, FALSE))/(VLOOKUP(Main_L[[#This Row],[Industry]], Mean_ROA_L, 3, FALSE))</f>
        <v>-0.9341555250447543</v>
      </c>
      <c r="S79" s="1">
        <f>(Main_L[[#This Row],[A/E]]-VLOOKUP(Main_L[[#This Row],[Industry]], Mean_AE_L, 2, FALSE))/(VLOOKUP(Main_L[[#This Row],[Industry]], Mean_AE_L, 3, FALSE))</f>
        <v>-8.3880738339455432E-2</v>
      </c>
      <c r="T79" s="1">
        <f>(Main_L[[#This Row],[P/E]]-VLOOKUP(Main_L[[#This Row],[Industry]], Mean_PE_L, 2, FALSE))/(VLOOKUP(Main_L[[#This Row],[Industry]], Mean_PE_L, 3, FALSE))</f>
        <v>-26.27160055909955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0" spans="1:26" x14ac:dyDescent="0.25">
      <c r="A80" s="67" t="s">
        <v>124</v>
      </c>
      <c r="B80" s="67" t="s">
        <v>159</v>
      </c>
      <c r="C80" s="2">
        <v>3421646</v>
      </c>
      <c r="D80">
        <f>RTD("tos.rtd", , "LAST", Main_L[[#This Row],[Symbol]])</f>
        <v>472.75</v>
      </c>
      <c r="E80">
        <v>9.33</v>
      </c>
      <c r="F80">
        <v>43.3</v>
      </c>
      <c r="G80">
        <v>12.94</v>
      </c>
      <c r="H80" s="1">
        <f>IF(ISNUMBER(Main_L[[#This Row],[Free CF]]),IF(Main_L[[#This Row],[Free CF]]&lt;&gt;0,Main_L[[#This Row],[Current Price]]/Main_L[[#This Row],[Free CF]],""),"")</f>
        <v>50.669882100750264</v>
      </c>
      <c r="I80" s="1">
        <f>IF(ISNUMBER(Main_L[[#This Row],[BVPS]]),IF(Main_L[[#This Row],[BVPS]]&lt;&gt;0,Main_L[[#This Row],[Current Price]]/Main_L[[#This Row],[BVPS]],""),"")</f>
        <v>10.918013856812934</v>
      </c>
      <c r="J80">
        <v>33.61</v>
      </c>
      <c r="K80">
        <v>14.58</v>
      </c>
      <c r="L80">
        <v>1.75</v>
      </c>
      <c r="M80" s="1">
        <f>IF(ISNUMBER(Main_L[[#This Row],[EPS]]),IF(Main_L[[#This Row],[EPS]]&lt;&gt;0,Main_L[[#This Row],[Current Price]]/Main_L[[#This Row],[EPS]],""),"")</f>
        <v>36.534003091190108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0.18881797812966503</v>
      </c>
      <c r="P80" s="1">
        <f>(Main_L[[#This Row],[P/B]]-VLOOKUP(Main_L[[#This Row],[Industry]], Mean_PB_L, 2, FALSE))/(VLOOKUP(Main_L[[#This Row],[Industry]], Mean_PB_L, 3, FALSE))</f>
        <v>-0.32024178722836527</v>
      </c>
      <c r="Q80" s="1">
        <f>(Main_L[[#This Row],[ROE]]-VLOOKUP(Main_L[[#This Row],[Industry]], Mean_ROE_L, 2, FALSE))/(VLOOKUP(Main_L[[#This Row],[Industry]], Mean_ROE_L, 3, FALSE))</f>
        <v>1.3541324457469295</v>
      </c>
      <c r="R80" s="1">
        <f>(Main_L[[#This Row],[ROA]]-VLOOKUP(Main_L[[#This Row],[Industry]], Mean_ROA_L, 2, FALSE))/(VLOOKUP(Main_L[[#This Row],[Industry]], Mean_ROA_L, 3, FALSE))</f>
        <v>1.8628032621749</v>
      </c>
      <c r="S80" s="1">
        <f>(Main_L[[#This Row],[A/E]]-VLOOKUP(Main_L[[#This Row],[Industry]], Mean_AE_L, 2, FALSE))/(VLOOKUP(Main_L[[#This Row],[Industry]], Mean_AE_L, 3, FALSE))</f>
        <v>-0.34365236412199829</v>
      </c>
      <c r="T80" s="1">
        <f>(Main_L[[#This Row],[P/E]]-VLOOKUP(Main_L[[#This Row],[Industry]], Mean_PE_L, 2, FALSE))/(VLOOKUP(Main_L[[#This Row],[Industry]], Mean_PE_L, 3, FALSE))</f>
        <v>-8.4249896364597426E-2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s="67" t="s">
        <v>124</v>
      </c>
      <c r="B81" s="67" t="s">
        <v>126</v>
      </c>
      <c r="C81" s="2">
        <v>63353</v>
      </c>
      <c r="D81">
        <f>RTD("tos.rtd", , "LAST", Main_L[[#This Row],[Symbol]])</f>
        <v>297.20999999999998</v>
      </c>
      <c r="E81">
        <v>7.46</v>
      </c>
      <c r="F81">
        <v>12.23</v>
      </c>
      <c r="G81">
        <v>4.66</v>
      </c>
      <c r="H81" s="1">
        <f>IF(ISNUMBER(Main_L[[#This Row],[Free CF]]),IF(Main_L[[#This Row],[Free CF]]&lt;&gt;0,Main_L[[#This Row],[Current Price]]/Main_L[[#This Row],[Free CF]],""),"")</f>
        <v>39.84048257372654</v>
      </c>
      <c r="I81" s="1">
        <f>IF(ISNUMBER(Main_L[[#This Row],[BVPS]]),IF(Main_L[[#This Row],[BVPS]]&lt;&gt;0,Main_L[[#This Row],[Current Price]]/Main_L[[#This Row],[BVPS]],""),"")</f>
        <v>24.301717089125098</v>
      </c>
      <c r="J81">
        <v>42.36</v>
      </c>
      <c r="K81">
        <v>8.9</v>
      </c>
      <c r="L81">
        <v>4.04</v>
      </c>
      <c r="M81" s="1">
        <f>IF(ISNUMBER(Main_L[[#This Row],[EPS]]),IF(Main_L[[#This Row],[EPS]]&lt;&gt;0,Main_L[[#This Row],[Current Price]]/Main_L[[#This Row],[EPS]],""),"")</f>
        <v>63.778969957081536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-0.2647861116984242</v>
      </c>
      <c r="P81" s="1">
        <f>(Main_L[[#This Row],[P/B]]-VLOOKUP(Main_L[[#This Row],[Industry]], Mean_PB_L, 2, FALSE))/(VLOOKUP(Main_L[[#This Row],[Industry]], Mean_PB_L, 3, FALSE))</f>
        <v>1.0144468005424765</v>
      </c>
      <c r="Q81" s="1">
        <f>(Main_L[[#This Row],[ROE]]-VLOOKUP(Main_L[[#This Row],[Industry]], Mean_ROE_L, 2, FALSE))/(VLOOKUP(Main_L[[#This Row],[Industry]], Mean_ROE_L, 3, FALSE))</f>
        <v>1.8435338470359857</v>
      </c>
      <c r="R81" s="1">
        <f>(Main_L[[#This Row],[ROA]]-VLOOKUP(Main_L[[#This Row],[Industry]], Mean_ROA_L, 2, FALSE))/(VLOOKUP(Main_L[[#This Row],[Industry]], Mean_ROA_L, 3, FALSE))</f>
        <v>0.85283975858890926</v>
      </c>
      <c r="S81" s="1">
        <f>(Main_L[[#This Row],[A/E]]-VLOOKUP(Main_L[[#This Row],[Industry]], Mean_AE_L, 2, FALSE))/(VLOOKUP(Main_L[[#This Row],[Industry]], Mean_AE_L, 3, FALSE))</f>
        <v>2.7872793360991768</v>
      </c>
      <c r="T81" s="1">
        <f>(Main_L[[#This Row],[P/E]]-VLOOKUP(Main_L[[#This Row],[Industry]], Mean_PE_L, 2, FALSE))/(VLOOKUP(Main_L[[#This Row],[Industry]], Mean_PE_L, 3, FALSE))</f>
        <v>0.4315138306292956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s="67" t="s">
        <v>124</v>
      </c>
      <c r="B82" s="67" t="s">
        <v>148</v>
      </c>
      <c r="C82" s="2">
        <v>71992</v>
      </c>
      <c r="D82">
        <f>RTD("tos.rtd", , "LAST", Main_L[[#This Row],[Symbol]])</f>
        <v>495.77</v>
      </c>
      <c r="E82">
        <v>7.04</v>
      </c>
      <c r="F82">
        <v>63.91</v>
      </c>
      <c r="G82">
        <v>8.65</v>
      </c>
      <c r="H82" s="1">
        <f>IF(ISNUMBER(Main_L[[#This Row],[Free CF]]),IF(Main_L[[#This Row],[Free CF]]&lt;&gt;0,Main_L[[#This Row],[Current Price]]/Main_L[[#This Row],[Free CF]],""),"")</f>
        <v>70.421875</v>
      </c>
      <c r="I82" s="1">
        <f>IF(ISNUMBER(Main_L[[#This Row],[BVPS]]),IF(Main_L[[#This Row],[BVPS]]&lt;&gt;0,Main_L[[#This Row],[Current Price]]/Main_L[[#This Row],[BVPS]],""),"")</f>
        <v>7.7573149741824441</v>
      </c>
      <c r="J82">
        <v>15.55</v>
      </c>
      <c r="K82">
        <v>4.67</v>
      </c>
      <c r="L82">
        <v>2.4</v>
      </c>
      <c r="M82" s="1">
        <f>IF(ISNUMBER(Main_L[[#This Row],[EPS]]),IF(Main_L[[#This Row],[EPS]]&lt;&gt;0,Main_L[[#This Row],[Current Price]]/Main_L[[#This Row],[EPS]],""),"")</f>
        <v>57.314450867052017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1.0161569953112988</v>
      </c>
      <c r="P82" s="1">
        <f>(Main_L[[#This Row],[P/B]]-VLOOKUP(Main_L[[#This Row],[Industry]], Mean_PB_L, 2, FALSE))/(VLOOKUP(Main_L[[#This Row],[Industry]], Mean_PB_L, 3, FALSE))</f>
        <v>-0.63544219587476725</v>
      </c>
      <c r="Q82" s="1">
        <f>(Main_L[[#This Row],[ROE]]-VLOOKUP(Main_L[[#This Row],[Industry]], Mean_ROE_L, 2, FALSE))/(VLOOKUP(Main_L[[#This Row],[Industry]], Mean_ROE_L, 3, FALSE))</f>
        <v>0.34400795348631757</v>
      </c>
      <c r="R82" s="1">
        <f>(Main_L[[#This Row],[ROA]]-VLOOKUP(Main_L[[#This Row],[Industry]], Mean_ROA_L, 2, FALSE))/(VLOOKUP(Main_L[[#This Row],[Industry]], Mean_ROA_L, 3, FALSE))</f>
        <v>0.10070144517891939</v>
      </c>
      <c r="S82" s="1">
        <f>(Main_L[[#This Row],[A/E]]-VLOOKUP(Main_L[[#This Row],[Industry]], Mean_AE_L, 2, FALSE))/(VLOOKUP(Main_L[[#This Row],[Industry]], Mean_AE_L, 3, FALSE))</f>
        <v>0.54504003987091154</v>
      </c>
      <c r="T82" s="1">
        <f>(Main_L[[#This Row],[P/E]]-VLOOKUP(Main_L[[#This Row],[Industry]], Mean_PE_L, 2, FALSE))/(VLOOKUP(Main_L[[#This Row],[Industry]], Mean_PE_L, 3, FALSE))</f>
        <v>0.30913656823405633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s="67" t="s">
        <v>124</v>
      </c>
      <c r="B83" s="67" t="s">
        <v>144</v>
      </c>
      <c r="C83" s="2">
        <v>20190</v>
      </c>
      <c r="D83">
        <f>RTD("tos.rtd", , "LAST", Main_L[[#This Row],[Symbol]])</f>
        <v>170.19</v>
      </c>
      <c r="E83">
        <v>6.79</v>
      </c>
      <c r="F83">
        <v>28.24</v>
      </c>
      <c r="G83">
        <v>3.64</v>
      </c>
      <c r="H83" s="1">
        <f>IF(ISNUMBER(Main_L[[#This Row],[Free CF]]),IF(Main_L[[#This Row],[Free CF]]&lt;&gt;0,Main_L[[#This Row],[Current Price]]/Main_L[[#This Row],[Free CF]],""),"")</f>
        <v>25.06480117820324</v>
      </c>
      <c r="I83" s="1">
        <f>IF(ISNUMBER(Main_L[[#This Row],[BVPS]]),IF(Main_L[[#This Row],[BVPS]]&lt;&gt;0,Main_L[[#This Row],[Current Price]]/Main_L[[#This Row],[BVPS]],""),"")</f>
        <v>6.0265580736543916</v>
      </c>
      <c r="J83">
        <v>13.92</v>
      </c>
      <c r="K83">
        <v>6.41</v>
      </c>
      <c r="L83">
        <v>1.82</v>
      </c>
      <c r="M83" s="1">
        <f>IF(ISNUMBER(Main_L[[#This Row],[EPS]]),IF(Main_L[[#This Row],[EPS]]&lt;&gt;0,Main_L[[#This Row],[Current Price]]/Main_L[[#This Row],[EPS]],""),"")</f>
        <v>46.755494505494504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3" s="1">
        <f>(Main_L[[#This Row],[P/FCF]]-VLOOKUP(Main_L[[#This Row],[Industry]], Mean_PFCF_L, 2, FALSE))/(VLOOKUP(Main_L[[#This Row],[Industry]], Mean_PFCF_L, 3, FALSE))</f>
        <v>-0.88368557092339872</v>
      </c>
      <c r="P83" s="1">
        <f>(Main_L[[#This Row],[P/B]]-VLOOKUP(Main_L[[#This Row],[Industry]], Mean_PB_L, 2, FALSE))/(VLOOKUP(Main_L[[#This Row],[Industry]], Mean_PB_L, 3, FALSE))</f>
        <v>-0.80804177039038871</v>
      </c>
      <c r="Q83" s="1">
        <f>(Main_L[[#This Row],[ROE]]-VLOOKUP(Main_L[[#This Row],[Industry]], Mean_ROE_L, 2, FALSE))/(VLOOKUP(Main_L[[#This Row],[Industry]], Mean_ROE_L, 3, FALSE))</f>
        <v>0.25283946387475625</v>
      </c>
      <c r="R83" s="1">
        <f>(Main_L[[#This Row],[ROA]]-VLOOKUP(Main_L[[#This Row],[Industry]], Mean_ROA_L, 2, FALSE))/(VLOOKUP(Main_L[[#This Row],[Industry]], Mean_ROA_L, 3, FALSE))</f>
        <v>0.41009167339012087</v>
      </c>
      <c r="S83" s="1">
        <f>(Main_L[[#This Row],[A/E]]-VLOOKUP(Main_L[[#This Row],[Industry]], Mean_AE_L, 2, FALSE))/(VLOOKUP(Main_L[[#This Row],[Industry]], Mean_AE_L, 3, FALSE))</f>
        <v>-0.24794702830737711</v>
      </c>
      <c r="T83" s="1">
        <f>(Main_L[[#This Row],[P/E]]-VLOOKUP(Main_L[[#This Row],[Industry]], Mean_PE_L, 2, FALSE))/(VLOOKUP(Main_L[[#This Row],[Industry]], Mean_PE_L, 3, FALSE))</f>
        <v>0.10924912799566669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s="67" t="s">
        <v>124</v>
      </c>
      <c r="B84" s="67" t="s">
        <v>158</v>
      </c>
      <c r="C84" s="2">
        <v>15105</v>
      </c>
      <c r="D84">
        <f>RTD("tos.rtd", , "LAST", Main_L[[#This Row],[Symbol]])</f>
        <v>309.02</v>
      </c>
      <c r="E84">
        <v>6.22</v>
      </c>
      <c r="F84">
        <v>21.59</v>
      </c>
      <c r="G84">
        <v>1</v>
      </c>
      <c r="H84" s="1">
        <f>IF(ISNUMBER(Main_L[[#This Row],[Free CF]]),IF(Main_L[[#This Row],[Free CF]]&lt;&gt;0,Main_L[[#This Row],[Current Price]]/Main_L[[#This Row],[Free CF]],""),"")</f>
        <v>49.681672025723472</v>
      </c>
      <c r="I84" s="1">
        <f>IF(ISNUMBER(Main_L[[#This Row],[BVPS]]),IF(Main_L[[#This Row],[BVPS]]&lt;&gt;0,Main_L[[#This Row],[Current Price]]/Main_L[[#This Row],[BVPS]],""),"")</f>
        <v>14.313107920333486</v>
      </c>
      <c r="J84">
        <v>5.39</v>
      </c>
      <c r="K84">
        <v>-0.24</v>
      </c>
      <c r="L84">
        <v>1.68</v>
      </c>
      <c r="M84" s="1">
        <f>IF(ISNUMBER(Main_L[[#This Row],[EPS]]),IF(Main_L[[#This Row],[EPS]]&lt;&gt;0,Main_L[[#This Row],[Current Price]]/Main_L[[#This Row],[EPS]],""),"")</f>
        <v>309.02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0.14742545857926004</v>
      </c>
      <c r="P84" s="1">
        <f>(Main_L[[#This Row],[P/B]]-VLOOKUP(Main_L[[#This Row],[Industry]], Mean_PB_L, 2, FALSE))/(VLOOKUP(Main_L[[#This Row],[Industry]], Mean_PB_L, 3, FALSE))</f>
        <v>1.833365951714459E-2</v>
      </c>
      <c r="Q84" s="1">
        <f>(Main_L[[#This Row],[ROE]]-VLOOKUP(Main_L[[#This Row],[Industry]], Mean_ROE_L, 2, FALSE))/(VLOOKUP(Main_L[[#This Row],[Industry]], Mean_ROE_L, 3, FALSE))</f>
        <v>-0.2242569878961751</v>
      </c>
      <c r="R84" s="1">
        <f>(Main_L[[#This Row],[ROA]]-VLOOKUP(Main_L[[#This Row],[Industry]], Mean_ROA_L, 2, FALSE))/(VLOOKUP(Main_L[[#This Row],[Industry]], Mean_ROA_L, 3, FALSE))</f>
        <v>-0.77234799189981573</v>
      </c>
      <c r="S84" s="1">
        <f>(Main_L[[#This Row],[A/E]]-VLOOKUP(Main_L[[#This Row],[Industry]], Mean_AE_L, 2, FALSE))/(VLOOKUP(Main_L[[#This Row],[Industry]], Mean_AE_L, 3, FALSE))</f>
        <v>-0.43935769993661944</v>
      </c>
      <c r="T84" s="1">
        <f>(Main_L[[#This Row],[P/E]]-VLOOKUP(Main_L[[#This Row],[Industry]], Mean_PE_L, 2, FALSE))/(VLOOKUP(Main_L[[#This Row],[Industry]], Mean_PE_L, 3, FALSE))</f>
        <v>5.0740750893514726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5" spans="1:26" x14ac:dyDescent="0.25">
      <c r="A85" s="67" t="s">
        <v>124</v>
      </c>
      <c r="B85" s="67" t="s">
        <v>149</v>
      </c>
      <c r="C85" s="2">
        <v>54504</v>
      </c>
      <c r="D85">
        <f>RTD("tos.rtd", , "LAST", Main_L[[#This Row],[Symbol]])</f>
        <v>214.99</v>
      </c>
      <c r="E85">
        <v>5.62</v>
      </c>
      <c r="F85">
        <v>5.2</v>
      </c>
      <c r="G85">
        <v>-1.65</v>
      </c>
      <c r="H85" s="1">
        <f>IF(ISNUMBER(Main_L[[#This Row],[Free CF]]),IF(Main_L[[#This Row],[Free CF]]&lt;&gt;0,Main_L[[#This Row],[Current Price]]/Main_L[[#This Row],[Free CF]],""),"")</f>
        <v>38.254448398576514</v>
      </c>
      <c r="I85" s="1">
        <f>IF(ISNUMBER(Main_L[[#This Row],[BVPS]]),IF(Main_L[[#This Row],[BVPS]]&lt;&gt;0,Main_L[[#This Row],[Current Price]]/Main_L[[#This Row],[BVPS]],""),"")</f>
        <v>41.344230769230769</v>
      </c>
      <c r="J85">
        <v>-34.33</v>
      </c>
      <c r="K85">
        <v>-1.93</v>
      </c>
      <c r="L85">
        <v>4.3</v>
      </c>
      <c r="M85" s="1">
        <f>IF(ISNUMBER(Main_L[[#This Row],[EPS]]),IF(Main_L[[#This Row],[EPS]]&lt;&gt;0,Main_L[[#This Row],[Current Price]]/Main_L[[#This Row],[EPS]],""),"")</f>
        <v>-130.29696969696971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-0.33121930466169969</v>
      </c>
      <c r="P85" s="1">
        <f>(Main_L[[#This Row],[P/B]]-VLOOKUP(Main_L[[#This Row],[Industry]], Mean_PB_L, 2, FALSE))/(VLOOKUP(Main_L[[#This Row],[Industry]], Mean_PB_L, 3, FALSE))</f>
        <v>2.7140099274989176</v>
      </c>
      <c r="Q85" s="1">
        <f>(Main_L[[#This Row],[ROE]]-VLOOKUP(Main_L[[#This Row],[Industry]], Mean_ROE_L, 2, FALSE))/(VLOOKUP(Main_L[[#This Row],[Industry]], Mean_ROE_L, 3, FALSE))</f>
        <v>-2.445859691804896</v>
      </c>
      <c r="R85" s="1">
        <f>(Main_L[[#This Row],[ROA]]-VLOOKUP(Main_L[[#This Row],[Industry]], Mean_ROA_L, 2, FALSE))/(VLOOKUP(Main_L[[#This Row],[Industry]], Mean_ROA_L, 3, FALSE))</f>
        <v>-1.0728476963118447</v>
      </c>
      <c r="S85" s="1">
        <f>(Main_L[[#This Row],[A/E]]-VLOOKUP(Main_L[[#This Row],[Industry]], Mean_AE_L, 2, FALSE))/(VLOOKUP(Main_L[[#This Row],[Industry]], Mean_AE_L, 3, FALSE))</f>
        <v>3.1427562976963404</v>
      </c>
      <c r="T85" s="1">
        <f>(Main_L[[#This Row],[P/E]]-VLOOKUP(Main_L[[#This Row],[Industry]], Mean_PE_L, 2, FALSE))/(VLOOKUP(Main_L[[#This Row],[Industry]], Mean_PE_L, 3, FALSE))</f>
        <v>-3.2424612726815982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s="67" t="s">
        <v>124</v>
      </c>
      <c r="B86" s="67" t="s">
        <v>152</v>
      </c>
      <c r="C86" s="2">
        <v>24582</v>
      </c>
      <c r="D86">
        <f>RTD("tos.rtd", , "LAST", Main_L[[#This Row],[Symbol]])</f>
        <v>80.260000000000005</v>
      </c>
      <c r="E86">
        <v>5.54</v>
      </c>
      <c r="F86">
        <v>29.2</v>
      </c>
      <c r="G86">
        <v>3.33</v>
      </c>
      <c r="H86" s="1">
        <f>IF(ISNUMBER(Main_L[[#This Row],[Free CF]]),IF(Main_L[[#This Row],[Free CF]]&lt;&gt;0,Main_L[[#This Row],[Current Price]]/Main_L[[#This Row],[Free CF]],""),"")</f>
        <v>14.48736462093863</v>
      </c>
      <c r="I86" s="1">
        <f>IF(ISNUMBER(Main_L[[#This Row],[BVPS]]),IF(Main_L[[#This Row],[BVPS]]&lt;&gt;0,Main_L[[#This Row],[Current Price]]/Main_L[[#This Row],[BVPS]],""),"")</f>
        <v>2.7486301369863018</v>
      </c>
      <c r="J86">
        <v>12.19</v>
      </c>
      <c r="K86">
        <v>5.0199999999999996</v>
      </c>
      <c r="L86">
        <v>1.23</v>
      </c>
      <c r="M86" s="1">
        <f>IF(ISNUMBER(Main_L[[#This Row],[EPS]]),IF(Main_L[[#This Row],[EPS]]&lt;&gt;0,Main_L[[#This Row],[Current Price]]/Main_L[[#This Row],[EPS]],""),"")</f>
        <v>24.102102102102101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6" s="1">
        <f>(Main_L[[#This Row],[P/FCF]]-VLOOKUP(Main_L[[#This Row],[Industry]], Mean_PFCF_L, 2, FALSE))/(VLOOKUP(Main_L[[#This Row],[Industry]], Mean_PFCF_L, 3, FALSE))</f>
        <v>-1.3267358499623707</v>
      </c>
      <c r="P86" s="1">
        <f>(Main_L[[#This Row],[P/B]]-VLOOKUP(Main_L[[#This Row],[Industry]], Mean_PB_L, 2, FALSE))/(VLOOKUP(Main_L[[#This Row],[Industry]], Mean_PB_L, 3, FALSE))</f>
        <v>-1.1349328357902522</v>
      </c>
      <c r="Q86" s="1">
        <f>(Main_L[[#This Row],[ROE]]-VLOOKUP(Main_L[[#This Row],[Industry]], Mean_ROE_L, 2, FALSE))/(VLOOKUP(Main_L[[#This Row],[Industry]], Mean_ROE_L, 3, FALSE))</f>
        <v>0.15607781539131996</v>
      </c>
      <c r="R86" s="1">
        <f>(Main_L[[#This Row],[ROA]]-VLOOKUP(Main_L[[#This Row],[Industry]], Mean_ROA_L, 2, FALSE))/(VLOOKUP(Main_L[[#This Row],[Industry]], Mean_ROA_L, 3, FALSE))</f>
        <v>0.16293511177312653</v>
      </c>
      <c r="S86" s="1">
        <f>(Main_L[[#This Row],[A/E]]-VLOOKUP(Main_L[[#This Row],[Industry]], Mean_AE_L, 2, FALSE))/(VLOOKUP(Main_L[[#This Row],[Industry]], Mean_AE_L, 3, FALSE))</f>
        <v>-1.0546062873163262</v>
      </c>
      <c r="T86" s="1">
        <f>(Main_L[[#This Row],[P/E]]-VLOOKUP(Main_L[[#This Row],[Industry]], Mean_PE_L, 2, FALSE))/(VLOOKUP(Main_L[[#This Row],[Industry]], Mean_PE_L, 3, FALSE))</f>
        <v>-0.3195933129784867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s="67" t="s">
        <v>124</v>
      </c>
      <c r="B87" s="67" t="s">
        <v>155</v>
      </c>
      <c r="C87" s="2">
        <v>19251</v>
      </c>
      <c r="D87">
        <f>RTD("tos.rtd", , "LAST", Main_L[[#This Row],[Symbol]])</f>
        <v>397.94</v>
      </c>
      <c r="E87">
        <v>5.43</v>
      </c>
      <c r="F87">
        <v>48.96</v>
      </c>
      <c r="G87">
        <v>-1.93</v>
      </c>
      <c r="H87" s="1">
        <f>IF(ISNUMBER(Main_L[[#This Row],[Free CF]]),IF(Main_L[[#This Row],[Free CF]]&lt;&gt;0,Main_L[[#This Row],[Current Price]]/Main_L[[#This Row],[Free CF]],""),"")</f>
        <v>73.285451197053405</v>
      </c>
      <c r="I87" s="1">
        <f>IF(ISNUMBER(Main_L[[#This Row],[BVPS]]),IF(Main_L[[#This Row],[BVPS]]&lt;&gt;0,Main_L[[#This Row],[Current Price]]/Main_L[[#This Row],[BVPS]],""),"")</f>
        <v>8.1278594771241828</v>
      </c>
      <c r="J87">
        <v>-5.36</v>
      </c>
      <c r="K87">
        <v>-1.52</v>
      </c>
      <c r="L87">
        <v>1.37</v>
      </c>
      <c r="M87" s="1">
        <f>IF(ISNUMBER(Main_L[[#This Row],[EPS]]),IF(Main_L[[#This Row],[EPS]]&lt;&gt;0,Main_L[[#This Row],[Current Price]]/Main_L[[#This Row],[EPS]],""),"")</f>
        <v>-206.18652849740934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1.1361017689136057</v>
      </c>
      <c r="P87" s="1">
        <f>(Main_L[[#This Row],[P/B]]-VLOOKUP(Main_L[[#This Row],[Industry]], Mean_PB_L, 2, FALSE))/(VLOOKUP(Main_L[[#This Row],[Industry]], Mean_PB_L, 3, FALSE))</f>
        <v>-0.59848967901504324</v>
      </c>
      <c r="Q87" s="1">
        <f>(Main_L[[#This Row],[ROE]]-VLOOKUP(Main_L[[#This Row],[Industry]], Mean_ROE_L, 2, FALSE))/(VLOOKUP(Main_L[[#This Row],[Industry]], Mean_ROE_L, 3, FALSE))</f>
        <v>-0.8255215666227298</v>
      </c>
      <c r="R87" s="1">
        <f>(Main_L[[#This Row],[ROA]]-VLOOKUP(Main_L[[#This Row],[Industry]], Mean_ROA_L, 2, FALSE))/(VLOOKUP(Main_L[[#This Row],[Industry]], Mean_ROA_L, 3, FALSE))</f>
        <v>-0.99994540115863062</v>
      </c>
      <c r="S87" s="1">
        <f>(Main_L[[#This Row],[A/E]]-VLOOKUP(Main_L[[#This Row],[Industry]], Mean_AE_L, 2, FALSE))/(VLOOKUP(Main_L[[#This Row],[Industry]], Mean_AE_L, 3, FALSE))</f>
        <v>-0.86319561568708392</v>
      </c>
      <c r="T87" s="1">
        <f>(Main_L[[#This Row],[P/E]]-VLOOKUP(Main_L[[#This Row],[Industry]], Mean_PE_L, 2, FALSE))/(VLOOKUP(Main_L[[#This Row],[Industry]], Mean_PE_L, 3, FALSE))</f>
        <v>-4.6790965925005601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8" spans="1:26" x14ac:dyDescent="0.25">
      <c r="A88" s="67" t="s">
        <v>124</v>
      </c>
      <c r="B88" s="67" t="s">
        <v>129</v>
      </c>
      <c r="C88" s="2">
        <v>78382</v>
      </c>
      <c r="D88">
        <f>RTD("tos.rtd", , "LAST", Main_L[[#This Row],[Symbol]])</f>
        <v>301.66000000000003</v>
      </c>
      <c r="E88">
        <v>5.1100000000000003</v>
      </c>
      <c r="F88">
        <v>17.489999999999998</v>
      </c>
      <c r="G88">
        <v>3.94</v>
      </c>
      <c r="H88" s="1">
        <f>IF(ISNUMBER(Main_L[[#This Row],[Free CF]]),IF(Main_L[[#This Row],[Free CF]]&lt;&gt;0,Main_L[[#This Row],[Current Price]]/Main_L[[#This Row],[Free CF]],""),"")</f>
        <v>59.033268101761252</v>
      </c>
      <c r="I88" s="1">
        <f>IF(ISNUMBER(Main_L[[#This Row],[BVPS]]),IF(Main_L[[#This Row],[BVPS]]&lt;&gt;0,Main_L[[#This Row],[Current Price]]/Main_L[[#This Row],[BVPS]],""),"")</f>
        <v>17.247570040022872</v>
      </c>
      <c r="J88">
        <v>25.92</v>
      </c>
      <c r="K88">
        <v>12.73</v>
      </c>
      <c r="L88">
        <v>1.89</v>
      </c>
      <c r="M88" s="1">
        <f>IF(ISNUMBER(Main_L[[#This Row],[EPS]]),IF(Main_L[[#This Row],[EPS]]&lt;&gt;0,Main_L[[#This Row],[Current Price]]/Main_L[[#This Row],[EPS]],""),"")</f>
        <v>76.563451776649757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0.53912974614624276</v>
      </c>
      <c r="P88" s="1">
        <f>(Main_L[[#This Row],[P/B]]-VLOOKUP(Main_L[[#This Row],[Industry]], Mean_PB_L, 2, FALSE))/(VLOOKUP(Main_L[[#This Row],[Industry]], Mean_PB_L, 3, FALSE))</f>
        <v>0.3109726275524981</v>
      </c>
      <c r="Q88" s="1">
        <f>(Main_L[[#This Row],[ROE]]-VLOOKUP(Main_L[[#This Row],[Industry]], Mean_ROE_L, 2, FALSE))/(VLOOKUP(Main_L[[#This Row],[Industry]], Mean_ROE_L, 3, FALSE))</f>
        <v>0.92401852849974764</v>
      </c>
      <c r="R88" s="1">
        <f>(Main_L[[#This Row],[ROA]]-VLOOKUP(Main_L[[#This Row],[Industry]], Mean_ROA_L, 2, FALSE))/(VLOOKUP(Main_L[[#This Row],[Industry]], Mean_ROA_L, 3, FALSE))</f>
        <v>1.5338538816055194</v>
      </c>
      <c r="S88" s="1">
        <f>(Main_L[[#This Row],[A/E]]-VLOOKUP(Main_L[[#This Row],[Industry]], Mean_AE_L, 2, FALSE))/(VLOOKUP(Main_L[[#This Row],[Industry]], Mean_AE_L, 3, FALSE))</f>
        <v>-0.15224169249275626</v>
      </c>
      <c r="T88" s="1">
        <f>(Main_L[[#This Row],[P/E]]-VLOOKUP(Main_L[[#This Row],[Industry]], Mean_PE_L, 2, FALSE))/(VLOOKUP(Main_L[[#This Row],[Industry]], Mean_PE_L, 3, FALSE))</f>
        <v>0.67353181594756961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s="67" t="s">
        <v>124</v>
      </c>
      <c r="B89" s="67" t="s">
        <v>139</v>
      </c>
      <c r="C89" s="2">
        <v>11462</v>
      </c>
      <c r="D89">
        <f>RTD("tos.rtd", , "LAST", Main_L[[#This Row],[Symbol]])</f>
        <v>193.65</v>
      </c>
      <c r="E89">
        <v>5.04</v>
      </c>
      <c r="F89">
        <v>4.04</v>
      </c>
      <c r="G89">
        <v>3.5</v>
      </c>
      <c r="H89" s="1">
        <f>IF(ISNUMBER(Main_L[[#This Row],[Free CF]]),IF(Main_L[[#This Row],[Free CF]]&lt;&gt;0,Main_L[[#This Row],[Current Price]]/Main_L[[#This Row],[Free CF]],""),"")</f>
        <v>38.422619047619051</v>
      </c>
      <c r="I89" s="1">
        <f>IF(ISNUMBER(Main_L[[#This Row],[BVPS]]),IF(Main_L[[#This Row],[BVPS]]&lt;&gt;0,Main_L[[#This Row],[Current Price]]/Main_L[[#This Row],[BVPS]],""),"")</f>
        <v>47.933168316831683</v>
      </c>
      <c r="J89">
        <v>89.6</v>
      </c>
      <c r="K89">
        <v>24.41</v>
      </c>
      <c r="L89">
        <v>2.89</v>
      </c>
      <c r="M89" s="1">
        <f>IF(ISNUMBER(Main_L[[#This Row],[EPS]]),IF(Main_L[[#This Row],[EPS]]&lt;&gt;0,Main_L[[#This Row],[Current Price]]/Main_L[[#This Row],[EPS]],""),"")</f>
        <v>55.328571428571429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-0.32417524889439864</v>
      </c>
      <c r="P89" s="1">
        <f>(Main_L[[#This Row],[P/B]]-VLOOKUP(Main_L[[#This Row],[Industry]], Mean_PB_L, 2, FALSE))/(VLOOKUP(Main_L[[#This Row],[Industry]], Mean_PB_L, 3, FALSE))</f>
        <v>3.3710911252563527</v>
      </c>
      <c r="Q89" s="1">
        <f>(Main_L[[#This Row],[ROE]]-VLOOKUP(Main_L[[#This Row],[Industry]], Mean_ROE_L, 2, FALSE))/(VLOOKUP(Main_L[[#This Row],[Industry]], Mean_ROE_L, 3, FALSE))</f>
        <v>4.4857420981097009</v>
      </c>
      <c r="R89" s="1">
        <f>(Main_L[[#This Row],[ROA]]-VLOOKUP(Main_L[[#This Row],[Industry]], Mean_ROA_L, 2, FALSE))/(VLOOKUP(Main_L[[#This Row],[Industry]], Mean_ROA_L, 3, FALSE))</f>
        <v>3.6106802410922052</v>
      </c>
      <c r="S89" s="1">
        <f>(Main_L[[#This Row],[A/E]]-VLOOKUP(Main_L[[#This Row],[Industry]], Mean_AE_L, 2, FALSE))/(VLOOKUP(Main_L[[#This Row],[Industry]], Mean_AE_L, 3, FALSE))</f>
        <v>1.2149773905732593</v>
      </c>
      <c r="T89" s="1">
        <f>(Main_L[[#This Row],[P/E]]-VLOOKUP(Main_L[[#This Row],[Industry]], Mean_PE_L, 2, FALSE))/(VLOOKUP(Main_L[[#This Row],[Industry]], Mean_PE_L, 3, FALSE))</f>
        <v>0.27154266747458938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s="67" t="s">
        <v>124</v>
      </c>
      <c r="B90" s="67" t="s">
        <v>490</v>
      </c>
      <c r="C90" s="2">
        <v>10797</v>
      </c>
      <c r="D90">
        <f>RTD("tos.rtd", , "LAST", Main_L[[#This Row],[Symbol]])</f>
        <v>125</v>
      </c>
      <c r="E90">
        <v>4.99</v>
      </c>
      <c r="F90">
        <v>5.59</v>
      </c>
      <c r="G90">
        <v>1.29</v>
      </c>
      <c r="H90" s="1">
        <f>IF(ISNUMBER(Main_L[[#This Row],[Free CF]]),IF(Main_L[[#This Row],[Free CF]]&lt;&gt;0,Main_L[[#This Row],[Current Price]]/Main_L[[#This Row],[Free CF]],""),"")</f>
        <v>25.050100200400802</v>
      </c>
      <c r="I90" s="1">
        <f>IF(ISNUMBER(Main_L[[#This Row],[BVPS]]),IF(Main_L[[#This Row],[BVPS]]&lt;&gt;0,Main_L[[#This Row],[Current Price]]/Main_L[[#This Row],[BVPS]],""),"")</f>
        <v>22.361359570661897</v>
      </c>
      <c r="J90">
        <v>28.15</v>
      </c>
      <c r="K90">
        <v>7.24</v>
      </c>
      <c r="L90">
        <v>4.76</v>
      </c>
      <c r="M90" s="1">
        <f>IF(ISNUMBER(Main_L[[#This Row],[EPS]]),IF(Main_L[[#This Row],[EPS]]&lt;&gt;0,Main_L[[#This Row],[Current Price]]/Main_L[[#This Row],[EPS]],""),"")</f>
        <v>96.899224806201545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-0.88430134132128801</v>
      </c>
      <c r="P90" s="1">
        <f>(Main_L[[#This Row],[P/B]]-VLOOKUP(Main_L[[#This Row],[Industry]], Mean_PB_L, 2, FALSE))/(VLOOKUP(Main_L[[#This Row],[Industry]], Mean_PB_L, 3, FALSE))</f>
        <v>0.82094482346368736</v>
      </c>
      <c r="Q90" s="1">
        <f>(Main_L[[#This Row],[ROE]]-VLOOKUP(Main_L[[#This Row],[Industry]], Mean_ROE_L, 2, FALSE))/(VLOOKUP(Main_L[[#This Row],[Industry]], Mean_ROE_L, 3, FALSE))</f>
        <v>1.0487459713425584</v>
      </c>
      <c r="R90" s="1">
        <f>(Main_L[[#This Row],[ROA]]-VLOOKUP(Main_L[[#This Row],[Industry]], Mean_ROA_L, 2, FALSE))/(VLOOKUP(Main_L[[#This Row],[Industry]], Mean_ROA_L, 3, FALSE))</f>
        <v>0.55767436845638363</v>
      </c>
      <c r="S90" s="1">
        <f>(Main_L[[#This Row],[A/E]]-VLOOKUP(Main_L[[#This Row],[Industry]], Mean_AE_L, 2, FALSE))/(VLOOKUP(Main_L[[#This Row],[Industry]], Mean_AE_L, 3, FALSE))</f>
        <v>3.7716770759067075</v>
      </c>
      <c r="T90" s="1">
        <f>(Main_L[[#This Row],[P/E]]-VLOOKUP(Main_L[[#This Row],[Industry]], Mean_PE_L, 2, FALSE))/(VLOOKUP(Main_L[[#This Row],[Industry]], Mean_PE_L, 3, FALSE))</f>
        <v>1.0585003182273154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s="67" t="s">
        <v>124</v>
      </c>
      <c r="B91" s="67" t="s">
        <v>147</v>
      </c>
      <c r="C91" s="2">
        <v>353313</v>
      </c>
      <c r="D91">
        <f>RTD("tos.rtd", , "LAST", Main_L[[#This Row],[Symbol]])</f>
        <v>305.42</v>
      </c>
      <c r="E91">
        <v>4.96</v>
      </c>
      <c r="F91">
        <v>42.38</v>
      </c>
      <c r="G91">
        <v>5.25</v>
      </c>
      <c r="H91" s="1">
        <f>IF(ISNUMBER(Main_L[[#This Row],[Free CF]]),IF(Main_L[[#This Row],[Free CF]]&lt;&gt;0,Main_L[[#This Row],[Current Price]]/Main_L[[#This Row],[Free CF]],""),"")</f>
        <v>61.576612903225808</v>
      </c>
      <c r="I91" s="1">
        <f>IF(ISNUMBER(Main_L[[#This Row],[BVPS]]),IF(Main_L[[#This Row],[BVPS]]&lt;&gt;0,Main_L[[#This Row],[Current Price]]/Main_L[[#This Row],[BVPS]],""),"")</f>
        <v>7.2067012741859369</v>
      </c>
      <c r="J91">
        <v>12.9</v>
      </c>
      <c r="K91">
        <v>7.63</v>
      </c>
      <c r="L91">
        <v>1.65</v>
      </c>
      <c r="M91" s="1">
        <f>IF(ISNUMBER(Main_L[[#This Row],[EPS]]),IF(Main_L[[#This Row],[EPS]]&lt;&gt;0,Main_L[[#This Row],[Current Price]]/Main_L[[#This Row],[EPS]],""),"")</f>
        <v>58.1752380952381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0.64566119333391514</v>
      </c>
      <c r="P91" s="1">
        <f>(Main_L[[#This Row],[P/B]]-VLOOKUP(Main_L[[#This Row],[Industry]], Mean_PB_L, 2, FALSE))/(VLOOKUP(Main_L[[#This Row],[Industry]], Mean_PB_L, 3, FALSE))</f>
        <v>-0.69035209703585687</v>
      </c>
      <c r="Q91" s="1">
        <f>(Main_L[[#This Row],[ROE]]-VLOOKUP(Main_L[[#This Row],[Industry]], Mean_ROE_L, 2, FALSE))/(VLOOKUP(Main_L[[#This Row],[Industry]], Mean_ROE_L, 3, FALSE))</f>
        <v>0.19578924338163201</v>
      </c>
      <c r="R91" s="1">
        <f>(Main_L[[#This Row],[ROA]]-VLOOKUP(Main_L[[#This Row],[Industry]], Mean_ROA_L, 2, FALSE))/(VLOOKUP(Main_L[[#This Row],[Industry]], Mean_ROA_L, 3, FALSE))</f>
        <v>0.62702045408992879</v>
      </c>
      <c r="S91" s="1">
        <f>(Main_L[[#This Row],[A/E]]-VLOOKUP(Main_L[[#This Row],[Industry]], Mean_AE_L, 2, FALSE))/(VLOOKUP(Main_L[[#This Row],[Industry]], Mean_AE_L, 3, FALSE))</f>
        <v>-0.48037427242859992</v>
      </c>
      <c r="T91" s="1">
        <f>(Main_L[[#This Row],[P/E]]-VLOOKUP(Main_L[[#This Row],[Industry]], Mean_PE_L, 2, FALSE))/(VLOOKUP(Main_L[[#This Row],[Industry]], Mean_PE_L, 3, FALSE))</f>
        <v>0.32543179190393001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s="67" t="s">
        <v>124</v>
      </c>
      <c r="B92" s="67" t="s">
        <v>162</v>
      </c>
      <c r="C92" s="2">
        <v>128306</v>
      </c>
      <c r="D92">
        <f>RTD("tos.rtd", , "LAST", Main_L[[#This Row],[Symbol]])</f>
        <v>196.33</v>
      </c>
      <c r="E92">
        <v>4.57</v>
      </c>
      <c r="F92">
        <v>10.86</v>
      </c>
      <c r="G92">
        <v>1.74</v>
      </c>
      <c r="H92" s="1">
        <f>IF(ISNUMBER(Main_L[[#This Row],[Free CF]]),IF(Main_L[[#This Row],[Free CF]]&lt;&gt;0,Main_L[[#This Row],[Current Price]]/Main_L[[#This Row],[Free CF]],""),"")</f>
        <v>42.960612691466082</v>
      </c>
      <c r="I92" s="1">
        <f>IF(ISNUMBER(Main_L[[#This Row],[BVPS]]),IF(Main_L[[#This Row],[BVPS]]&lt;&gt;0,Main_L[[#This Row],[Current Price]]/Main_L[[#This Row],[BVPS]],""),"")</f>
        <v>18.078268876611421</v>
      </c>
      <c r="J92">
        <v>21.16</v>
      </c>
      <c r="K92">
        <v>3.1</v>
      </c>
      <c r="L92">
        <v>3.04</v>
      </c>
      <c r="M92" s="1">
        <f>IF(ISNUMBER(Main_L[[#This Row],[EPS]]),IF(Main_L[[#This Row],[EPS]]&lt;&gt;0,Main_L[[#This Row],[Current Price]]/Main_L[[#This Row],[EPS]],""),"")</f>
        <v>112.83333333333334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-0.13409522909955993</v>
      </c>
      <c r="P92" s="1">
        <f>(Main_L[[#This Row],[P/B]]-VLOOKUP(Main_L[[#This Row],[Industry]], Mean_PB_L, 2, FALSE))/(VLOOKUP(Main_L[[#This Row],[Industry]], Mean_PB_L, 3, FALSE))</f>
        <v>0.39381399349017582</v>
      </c>
      <c r="Q92" s="1">
        <f>(Main_L[[#This Row],[ROE]]-VLOOKUP(Main_L[[#This Row],[Industry]], Mean_ROE_L, 2, FALSE))/(VLOOKUP(Main_L[[#This Row],[Industry]], Mean_ROE_L, 3, FALSE))</f>
        <v>0.657784166198501</v>
      </c>
      <c r="R92" s="1">
        <f>(Main_L[[#This Row],[ROA]]-VLOOKUP(Main_L[[#This Row],[Industry]], Mean_ROA_L, 2, FALSE))/(VLOOKUP(Main_L[[#This Row],[Industry]], Mean_ROA_L, 3, FALSE))</f>
        <v>-0.17846100211509569</v>
      </c>
      <c r="S92" s="1">
        <f>(Main_L[[#This Row],[A/E]]-VLOOKUP(Main_L[[#This Row],[Industry]], Mean_AE_L, 2, FALSE))/(VLOOKUP(Main_L[[#This Row],[Industry]], Mean_AE_L, 3, FALSE))</f>
        <v>1.4200602530331614</v>
      </c>
      <c r="T92" s="1">
        <f>(Main_L[[#This Row],[P/E]]-VLOOKUP(Main_L[[#This Row],[Industry]], Mean_PE_L, 2, FALSE))/(VLOOKUP(Main_L[[#This Row],[Industry]], Mean_PE_L, 3, FALSE))</f>
        <v>1.3601426450736458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s="67" t="s">
        <v>124</v>
      </c>
      <c r="B93" s="67" t="s">
        <v>164</v>
      </c>
      <c r="C93" s="2">
        <v>42925</v>
      </c>
      <c r="D93">
        <f>RTD("tos.rtd", , "LAST", Main_L[[#This Row],[Symbol]])</f>
        <v>299.89999999999998</v>
      </c>
      <c r="E93">
        <v>4.51</v>
      </c>
      <c r="F93">
        <v>11.65</v>
      </c>
      <c r="G93">
        <v>-0.26</v>
      </c>
      <c r="H93" s="1">
        <f>IF(ISNUMBER(Main_L[[#This Row],[Free CF]]),IF(Main_L[[#This Row],[Free CF]]&lt;&gt;0,Main_L[[#This Row],[Current Price]]/Main_L[[#This Row],[Free CF]],""),"")</f>
        <v>66.49667405764967</v>
      </c>
      <c r="I93" s="1">
        <f>IF(ISNUMBER(Main_L[[#This Row],[BVPS]]),IF(Main_L[[#This Row],[BVPS]]&lt;&gt;0,Main_L[[#This Row],[Current Price]]/Main_L[[#This Row],[BVPS]],""),"")</f>
        <v>25.742489270386262</v>
      </c>
      <c r="J93">
        <v>-2.68</v>
      </c>
      <c r="K93">
        <v>-1.61</v>
      </c>
      <c r="L93">
        <v>2.96</v>
      </c>
      <c r="M93" s="1">
        <f>IF(ISNUMBER(Main_L[[#This Row],[EPS]]),IF(Main_L[[#This Row],[EPS]]&lt;&gt;0,Main_L[[#This Row],[Current Price]]/Main_L[[#This Row],[EPS]],""),"")</f>
        <v>-1153.4615384615383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0.85174462910353765</v>
      </c>
      <c r="P93" s="1">
        <f>(Main_L[[#This Row],[P/B]]-VLOOKUP(Main_L[[#This Row],[Industry]], Mean_PB_L, 2, FALSE))/(VLOOKUP(Main_L[[#This Row],[Industry]], Mean_PB_L, 3, FALSE))</f>
        <v>1.1581276752994973</v>
      </c>
      <c r="Q93" s="1">
        <f>(Main_L[[#This Row],[ROE]]-VLOOKUP(Main_L[[#This Row],[Industry]], Mean_ROE_L, 2, FALSE))/(VLOOKUP(Main_L[[#This Row],[Industry]], Mean_ROE_L, 3, FALSE))</f>
        <v>-0.67562490885648174</v>
      </c>
      <c r="R93" s="1">
        <f>(Main_L[[#This Row],[ROA]]-VLOOKUP(Main_L[[#This Row],[Industry]], Mean_ROA_L, 2, FALSE))/(VLOOKUP(Main_L[[#This Row],[Industry]], Mean_ROA_L, 3, FALSE))</f>
        <v>-1.0159483439971411</v>
      </c>
      <c r="S93" s="1">
        <f>(Main_L[[#This Row],[A/E]]-VLOOKUP(Main_L[[#This Row],[Industry]], Mean_AE_L, 2, FALSE))/(VLOOKUP(Main_L[[#This Row],[Industry]], Mean_AE_L, 3, FALSE))</f>
        <v>1.3106827263878802</v>
      </c>
      <c r="T93" s="1">
        <f>(Main_L[[#This Row],[P/E]]-VLOOKUP(Main_L[[#This Row],[Industry]], Mean_PE_L, 2, FALSE))/(VLOOKUP(Main_L[[#This Row],[Industry]], Mean_PE_L, 3, FALSE))</f>
        <v>-22.611586363259942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4" spans="1:26" x14ac:dyDescent="0.25">
      <c r="A94" s="67" t="s">
        <v>124</v>
      </c>
      <c r="B94" s="67" t="s">
        <v>132</v>
      </c>
      <c r="C94" s="2">
        <v>17944</v>
      </c>
      <c r="D94">
        <f>RTD("tos.rtd", , "LAST", Main_L[[#This Row],[Symbol]])</f>
        <v>78.58</v>
      </c>
      <c r="E94">
        <v>4.5</v>
      </c>
      <c r="F94">
        <v>9.89</v>
      </c>
      <c r="G94">
        <v>5.08</v>
      </c>
      <c r="H94" s="1">
        <f>IF(ISNUMBER(Main_L[[#This Row],[Free CF]]),IF(Main_L[[#This Row],[Free CF]]&lt;&gt;0,Main_L[[#This Row],[Current Price]]/Main_L[[#This Row],[Free CF]],""),"")</f>
        <v>17.462222222222223</v>
      </c>
      <c r="I94" s="1">
        <f>IF(ISNUMBER(Main_L[[#This Row],[BVPS]]),IF(Main_L[[#This Row],[BVPS]]&lt;&gt;0,Main_L[[#This Row],[Current Price]]/Main_L[[#This Row],[BVPS]],""),"")</f>
        <v>7.9453993933265918</v>
      </c>
      <c r="J94">
        <v>68.180000000000007</v>
      </c>
      <c r="K94">
        <v>4.1900000000000004</v>
      </c>
      <c r="L94">
        <v>2</v>
      </c>
      <c r="M94" s="1">
        <f>IF(ISNUMBER(Main_L[[#This Row],[EPS]]),IF(Main_L[[#This Row],[EPS]]&lt;&gt;0,Main_L[[#This Row],[Current Price]]/Main_L[[#This Row],[EPS]],""),"")</f>
        <v>15.468503937007874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-1.2021299037849209</v>
      </c>
      <c r="P94" s="1">
        <f>(Main_L[[#This Row],[P/B]]-VLOOKUP(Main_L[[#This Row],[Industry]], Mean_PB_L, 2, FALSE))/(VLOOKUP(Main_L[[#This Row],[Industry]], Mean_PB_L, 3, FALSE))</f>
        <v>-0.61668549427941721</v>
      </c>
      <c r="Q94" s="1">
        <f>(Main_L[[#This Row],[ROE]]-VLOOKUP(Main_L[[#This Row],[Industry]], Mean_ROE_L, 2, FALSE))/(VLOOKUP(Main_L[[#This Row],[Industry]], Mean_ROE_L, 3, FALSE))</f>
        <v>3.2876874677540924</v>
      </c>
      <c r="R94" s="1">
        <f>(Main_L[[#This Row],[ROA]]-VLOOKUP(Main_L[[#This Row],[Industry]], Mean_ROA_L, 2, FALSE))/(VLOOKUP(Main_L[[#This Row],[Industry]], Mean_ROA_L, 3, FALSE))</f>
        <v>1.5352416706863905E-2</v>
      </c>
      <c r="S94" s="1">
        <f>(Main_L[[#This Row],[A/E]]-VLOOKUP(Main_L[[#This Row],[Industry]], Mean_AE_L, 2, FALSE))/(VLOOKUP(Main_L[[#This Row],[Industry]], Mean_AE_L, 3, FALSE))</f>
        <v>-1.8475933554944447E-3</v>
      </c>
      <c r="T94" s="1">
        <f>(Main_L[[#This Row],[P/E]]-VLOOKUP(Main_L[[#This Row],[Industry]], Mean_PE_L, 2, FALSE))/(VLOOKUP(Main_L[[#This Row],[Industry]], Mean_PE_L, 3, FALSE))</f>
        <v>-0.48303255623083635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5" spans="1:26" x14ac:dyDescent="0.25">
      <c r="A95" s="67" t="s">
        <v>124</v>
      </c>
      <c r="B95" s="67" t="s">
        <v>154</v>
      </c>
      <c r="C95" s="2">
        <v>117406</v>
      </c>
      <c r="D95">
        <f>RTD("tos.rtd", , "LAST", Main_L[[#This Row],[Symbol]])</f>
        <v>464.39</v>
      </c>
      <c r="E95">
        <v>4.3600000000000003</v>
      </c>
      <c r="F95">
        <v>13.23</v>
      </c>
      <c r="G95">
        <v>-0.08</v>
      </c>
      <c r="H95" s="1">
        <f>IF(ISNUMBER(Main_L[[#This Row],[Free CF]]),IF(Main_L[[#This Row],[Free CF]]&lt;&gt;0,Main_L[[#This Row],[Current Price]]/Main_L[[#This Row],[Free CF]],""),"")</f>
        <v>106.51146788990825</v>
      </c>
      <c r="I95" s="1">
        <f>IF(ISNUMBER(Main_L[[#This Row],[BVPS]]),IF(Main_L[[#This Row],[BVPS]]&lt;&gt;0,Main_L[[#This Row],[Current Price]]/Main_L[[#This Row],[BVPS]],""),"")</f>
        <v>35.101284958427811</v>
      </c>
      <c r="J95">
        <v>-0.59</v>
      </c>
      <c r="K95">
        <v>-0.47</v>
      </c>
      <c r="L95">
        <v>2.65</v>
      </c>
      <c r="M95" s="1">
        <f>IF(ISNUMBER(Main_L[[#This Row],[EPS]]),IF(Main_L[[#This Row],[EPS]]&lt;&gt;0,Main_L[[#This Row],[Current Price]]/Main_L[[#This Row],[EPS]],""),"")</f>
        <v>-5804.875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5" s="1">
        <f>(Main_L[[#This Row],[P/FCF]]-VLOOKUP(Main_L[[#This Row],[Industry]], Mean_PFCF_L, 2, FALSE))/(VLOOKUP(Main_L[[#This Row],[Industry]], Mean_PFCF_L, 3, FALSE))</f>
        <v>2.5278185508982345</v>
      </c>
      <c r="P95" s="1">
        <f>(Main_L[[#This Row],[P/B]]-VLOOKUP(Main_L[[#This Row],[Industry]], Mean_PB_L, 2, FALSE))/(VLOOKUP(Main_L[[#This Row],[Industry]], Mean_PB_L, 3, FALSE))</f>
        <v>2.0914327242302679</v>
      </c>
      <c r="Q95" s="1">
        <f>(Main_L[[#This Row],[ROE]]-VLOOKUP(Main_L[[#This Row],[Industry]], Mean_ROE_L, 2, FALSE))/(VLOOKUP(Main_L[[#This Row],[Industry]], Mean_ROE_L, 3, FALSE))</f>
        <v>-0.55872788843429577</v>
      </c>
      <c r="R95" s="1">
        <f>(Main_L[[#This Row],[ROA]]-VLOOKUP(Main_L[[#This Row],[Industry]], Mean_ROA_L, 2, FALSE))/(VLOOKUP(Main_L[[#This Row],[Industry]], Mean_ROA_L, 3, FALSE))</f>
        <v>-0.81324440137600895</v>
      </c>
      <c r="S95" s="1">
        <f>(Main_L[[#This Row],[A/E]]-VLOOKUP(Main_L[[#This Row],[Industry]], Mean_AE_L, 2, FALSE))/(VLOOKUP(Main_L[[#This Row],[Industry]], Mean_AE_L, 3, FALSE))</f>
        <v>0.88684481063741538</v>
      </c>
      <c r="T95" s="1">
        <f>(Main_L[[#This Row],[P/E]]-VLOOKUP(Main_L[[#This Row],[Industry]], Mean_PE_L, 2, FALSE))/(VLOOKUP(Main_L[[#This Row],[Industry]], Mean_PE_L, 3, FALSE))</f>
        <v>-110.6656608835722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6" spans="1:26" x14ac:dyDescent="0.25">
      <c r="A96" s="67" t="s">
        <v>124</v>
      </c>
      <c r="B96" s="67" t="s">
        <v>142</v>
      </c>
      <c r="C96" s="2">
        <v>20450</v>
      </c>
      <c r="D96">
        <f>RTD("tos.rtd", , "LAST", Main_L[[#This Row],[Symbol]])</f>
        <v>75.44</v>
      </c>
      <c r="E96">
        <v>2.92</v>
      </c>
      <c r="F96">
        <v>-2.66</v>
      </c>
      <c r="G96">
        <v>0.09</v>
      </c>
      <c r="H96" s="1">
        <f>IF(ISNUMBER(Main_L[[#This Row],[Free CF]]),IF(Main_L[[#This Row],[Free CF]]&lt;&gt;0,Main_L[[#This Row],[Current Price]]/Main_L[[#This Row],[Free CF]],""),"")</f>
        <v>25.835616438356166</v>
      </c>
      <c r="I96" s="1">
        <f>IF(ISNUMBER(Main_L[[#This Row],[BVPS]]),IF(Main_L[[#This Row],[BVPS]]&lt;&gt;0,Main_L[[#This Row],[Current Price]]/Main_L[[#This Row],[BVPS]],""),"")</f>
        <v>-28.360902255639097</v>
      </c>
      <c r="J96">
        <v>-3.55</v>
      </c>
      <c r="K96">
        <v>3.24</v>
      </c>
      <c r="L96">
        <v>-4.3499999999999996</v>
      </c>
      <c r="M96" s="1">
        <f>IF(ISNUMBER(Main_L[[#This Row],[EPS]]),IF(Main_L[[#This Row],[EPS]]&lt;&gt;0,Main_L[[#This Row],[Current Price]]/Main_L[[#This Row],[EPS]],""),"")</f>
        <v>838.22222222222217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-0.85139892810125839</v>
      </c>
      <c r="P96" s="1">
        <f>(Main_L[[#This Row],[P/B]]-VLOOKUP(Main_L[[#This Row],[Industry]], Mean_PB_L, 2, FALSE))/(VLOOKUP(Main_L[[#This Row],[Industry]], Mean_PB_L, 3, FALSE))</f>
        <v>-4.2373281246426941</v>
      </c>
      <c r="Q96" s="1">
        <f>(Main_L[[#This Row],[ROE]]-VLOOKUP(Main_L[[#This Row],[Industry]], Mean_ROE_L, 2, FALSE))/(VLOOKUP(Main_L[[#This Row],[Industry]], Mean_ROE_L, 3, FALSE))</f>
        <v>-0.72428539104179368</v>
      </c>
      <c r="R96" s="1">
        <f>(Main_L[[#This Row],[ROA]]-VLOOKUP(Main_L[[#This Row],[Industry]], Mean_ROA_L, 2, FALSE))/(VLOOKUP(Main_L[[#This Row],[Industry]], Mean_ROA_L, 3, FALSE))</f>
        <v>-0.15356753547741278</v>
      </c>
      <c r="S96" s="1">
        <f>(Main_L[[#This Row],[A/E]]-VLOOKUP(Main_L[[#This Row],[Industry]], Mean_AE_L, 2, FALSE))/(VLOOKUP(Main_L[[#This Row],[Industry]], Mean_AE_L, 3, FALSE))</f>
        <v>-8.6836887708246913</v>
      </c>
      <c r="T96" s="1">
        <f>(Main_L[[#This Row],[P/E]]-VLOOKUP(Main_L[[#This Row],[Industry]], Mean_PE_L, 2, FALSE))/(VLOOKUP(Main_L[[#This Row],[Industry]], Mean_PE_L, 3, FALSE))</f>
        <v>15.092193731605629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7" spans="1:26" x14ac:dyDescent="0.25">
      <c r="A97" s="67" t="s">
        <v>124</v>
      </c>
      <c r="B97" s="67" t="s">
        <v>156</v>
      </c>
      <c r="C97" s="2">
        <v>77904</v>
      </c>
      <c r="D97">
        <f>RTD("tos.rtd", , "LAST", Main_L[[#This Row],[Symbol]])</f>
        <v>102.08</v>
      </c>
      <c r="E97">
        <v>2.7</v>
      </c>
      <c r="F97">
        <v>2.5499999999999998</v>
      </c>
      <c r="G97">
        <v>2.4300000000000002</v>
      </c>
      <c r="H97" s="1">
        <f>IF(ISNUMBER(Main_L[[#This Row],[Free CF]]),IF(Main_L[[#This Row],[Free CF]]&lt;&gt;0,Main_L[[#This Row],[Current Price]]/Main_L[[#This Row],[Free CF]],""),"")</f>
        <v>37.807407407407403</v>
      </c>
      <c r="I97" s="1">
        <f>IF(ISNUMBER(Main_L[[#This Row],[BVPS]]),IF(Main_L[[#This Row],[BVPS]]&lt;&gt;0,Main_L[[#This Row],[Current Price]]/Main_L[[#This Row],[BVPS]],""),"")</f>
        <v>40.031372549019608</v>
      </c>
      <c r="J97">
        <v>205.91</v>
      </c>
      <c r="K97">
        <v>13.32</v>
      </c>
      <c r="L97">
        <v>5.3</v>
      </c>
      <c r="M97" s="1">
        <f>IF(ISNUMBER(Main_L[[#This Row],[EPS]]),IF(Main_L[[#This Row],[EPS]]&lt;&gt;0,Main_L[[#This Row],[Current Price]]/Main_L[[#This Row],[EPS]],""),"")</f>
        <v>42.008230452674894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-0.34994422301096684</v>
      </c>
      <c r="P97" s="1">
        <f>(Main_L[[#This Row],[P/B]]-VLOOKUP(Main_L[[#This Row],[Industry]], Mean_PB_L, 2, FALSE))/(VLOOKUP(Main_L[[#This Row],[Industry]], Mean_PB_L, 3, FALSE))</f>
        <v>2.5830852608755186</v>
      </c>
      <c r="Q97" s="1">
        <f>(Main_L[[#This Row],[ROE]]-VLOOKUP(Main_L[[#This Row],[Industry]], Mean_ROE_L, 2, FALSE))/(VLOOKUP(Main_L[[#This Row],[Industry]], Mean_ROE_L, 3, FALSE))</f>
        <v>10.991145181987429</v>
      </c>
      <c r="R97" s="1">
        <f>(Main_L[[#This Row],[ROA]]-VLOOKUP(Main_L[[#This Row],[Industry]], Mean_ROA_L, 2, FALSE))/(VLOOKUP(Main_L[[#This Row],[Industry]], Mean_ROA_L, 3, FALSE))</f>
        <v>1.6387620624357544</v>
      </c>
      <c r="S97" s="1">
        <f>(Main_L[[#This Row],[A/E]]-VLOOKUP(Main_L[[#This Row],[Industry]], Mean_AE_L, 2, FALSE))/(VLOOKUP(Main_L[[#This Row],[Industry]], Mean_AE_L, 3, FALSE))</f>
        <v>4.5099753807623557</v>
      </c>
      <c r="T97" s="1">
        <f>(Main_L[[#This Row],[P/E]]-VLOOKUP(Main_L[[#This Row],[Industry]], Mean_PE_L, 2, FALSE))/(VLOOKUP(Main_L[[#This Row],[Industry]], Mean_PE_L, 3, FALSE))</f>
        <v>1.9380543718852446E-2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s="67" t="s">
        <v>124</v>
      </c>
      <c r="B98" s="67" t="s">
        <v>135</v>
      </c>
      <c r="C98" s="2">
        <v>18036</v>
      </c>
      <c r="D98">
        <f>RTD("tos.rtd", , "LAST", Main_L[[#This Row],[Symbol]])</f>
        <v>257.37</v>
      </c>
      <c r="E98">
        <v>2.4700000000000002</v>
      </c>
      <c r="F98">
        <v>15.13</v>
      </c>
      <c r="G98">
        <v>-0.2</v>
      </c>
      <c r="H98" s="1">
        <f>IF(ISNUMBER(Main_L[[#This Row],[Free CF]]),IF(Main_L[[#This Row],[Free CF]]&lt;&gt;0,Main_L[[#This Row],[Current Price]]/Main_L[[#This Row],[Free CF]],""),"")</f>
        <v>104.19838056680162</v>
      </c>
      <c r="I98" s="1">
        <f>IF(ISNUMBER(Main_L[[#This Row],[BVPS]]),IF(Main_L[[#This Row],[BVPS]]&lt;&gt;0,Main_L[[#This Row],[Current Price]]/Main_L[[#This Row],[BVPS]],""),"")</f>
        <v>17.010575016523461</v>
      </c>
      <c r="J98">
        <v>-1.34</v>
      </c>
      <c r="K98">
        <v>0</v>
      </c>
      <c r="L98">
        <v>2</v>
      </c>
      <c r="M98" s="1">
        <f>IF(ISNUMBER(Main_L[[#This Row],[EPS]]),IF(Main_L[[#This Row],[EPS]]&lt;&gt;0,Main_L[[#This Row],[Current Price]]/Main_L[[#This Row],[EPS]],""),"")</f>
        <v>-1286.8499999999999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8" s="1">
        <f>(Main_L[[#This Row],[P/FCF]]-VLOOKUP(Main_L[[#This Row],[Industry]], Mean_PFCF_L, 2, FALSE))/(VLOOKUP(Main_L[[#This Row],[Industry]], Mean_PFCF_L, 3, FALSE))</f>
        <v>2.4309317505477228</v>
      </c>
      <c r="P98" s="1">
        <f>(Main_L[[#This Row],[P/B]]-VLOOKUP(Main_L[[#This Row],[Industry]], Mean_PB_L, 2, FALSE))/(VLOOKUP(Main_L[[#This Row],[Industry]], Mean_PB_L, 3, FALSE))</f>
        <v>0.28733832038559448</v>
      </c>
      <c r="Q98" s="1">
        <f>(Main_L[[#This Row],[ROE]]-VLOOKUP(Main_L[[#This Row],[Industry]], Mean_ROE_L, 2, FALSE))/(VLOOKUP(Main_L[[#This Row],[Industry]], Mean_ROE_L, 3, FALSE))</f>
        <v>-0.60067657997335766</v>
      </c>
      <c r="R98" s="1">
        <f>(Main_L[[#This Row],[ROA]]-VLOOKUP(Main_L[[#This Row],[Industry]], Mean_ROA_L, 2, FALSE))/(VLOOKUP(Main_L[[#This Row],[Industry]], Mean_ROA_L, 3, FALSE))</f>
        <v>-0.72967347766378798</v>
      </c>
      <c r="S98" s="1">
        <f>(Main_L[[#This Row],[A/E]]-VLOOKUP(Main_L[[#This Row],[Industry]], Mean_AE_L, 2, FALSE))/(VLOOKUP(Main_L[[#This Row],[Industry]], Mean_AE_L, 3, FALSE))</f>
        <v>-1.8475933554944447E-3</v>
      </c>
      <c r="T98" s="1">
        <f>(Main_L[[#This Row],[P/E]]-VLOOKUP(Main_L[[#This Row],[Industry]], Mean_PE_L, 2, FALSE))/(VLOOKUP(Main_L[[#This Row],[Industry]], Mean_PE_L, 3, FALSE))</f>
        <v>-25.136710743102256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9" spans="1:26" x14ac:dyDescent="0.25">
      <c r="A99" s="67" t="s">
        <v>124</v>
      </c>
      <c r="B99" s="67" t="s">
        <v>131</v>
      </c>
      <c r="C99" s="2">
        <v>40710</v>
      </c>
      <c r="D99">
        <f>RTD("tos.rtd", , "LAST", Main_L[[#This Row],[Symbol]])</f>
        <v>121.17</v>
      </c>
      <c r="E99">
        <v>2.46</v>
      </c>
      <c r="F99">
        <v>8.4600000000000009</v>
      </c>
      <c r="G99">
        <v>0.47</v>
      </c>
      <c r="H99" s="1">
        <f>IF(ISNUMBER(Main_L[[#This Row],[Free CF]]),IF(Main_L[[#This Row],[Free CF]]&lt;&gt;0,Main_L[[#This Row],[Current Price]]/Main_L[[#This Row],[Free CF]],""),"")</f>
        <v>49.256097560975611</v>
      </c>
      <c r="I99" s="1">
        <f>IF(ISNUMBER(Main_L[[#This Row],[BVPS]]),IF(Main_L[[#This Row],[BVPS]]&lt;&gt;0,Main_L[[#This Row],[Current Price]]/Main_L[[#This Row],[BVPS]],""),"")</f>
        <v>14.322695035460992</v>
      </c>
      <c r="J99">
        <v>6.48</v>
      </c>
      <c r="K99">
        <v>0.37</v>
      </c>
      <c r="L99">
        <v>2.06</v>
      </c>
      <c r="M99" s="1">
        <f>IF(ISNUMBER(Main_L[[#This Row],[EPS]]),IF(Main_L[[#This Row],[EPS]]&lt;&gt;0,Main_L[[#This Row],[Current Price]]/Main_L[[#This Row],[EPS]],""),"")</f>
        <v>257.80851063829789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0.12959969480959663</v>
      </c>
      <c r="P99" s="1">
        <f>(Main_L[[#This Row],[P/B]]-VLOOKUP(Main_L[[#This Row],[Industry]], Mean_PB_L, 2, FALSE))/(VLOOKUP(Main_L[[#This Row],[Industry]], Mean_PB_L, 3, FALSE))</f>
        <v>1.9289733701413261E-2</v>
      </c>
      <c r="Q99" s="1">
        <f>(Main_L[[#This Row],[ROE]]-VLOOKUP(Main_L[[#This Row],[Industry]], Mean_ROE_L, 2, FALSE))/(VLOOKUP(Main_L[[#This Row],[Industry]], Mean_ROE_L, 3, FALSE))</f>
        <v>-0.16329155619273836</v>
      </c>
      <c r="R99" s="1">
        <f>(Main_L[[#This Row],[ROA]]-VLOOKUP(Main_L[[#This Row],[Industry]], Mean_ROA_L, 2, FALSE))/(VLOOKUP(Main_L[[#This Row],[Industry]], Mean_ROA_L, 3, FALSE))</f>
        <v>-0.66388360154991177</v>
      </c>
      <c r="S99" s="1">
        <f>(Main_L[[#This Row],[A/E]]-VLOOKUP(Main_L[[#This Row],[Industry]], Mean_AE_L, 2, FALSE))/(VLOOKUP(Main_L[[#This Row],[Industry]], Mean_AE_L, 3, FALSE))</f>
        <v>8.018555162846655E-2</v>
      </c>
      <c r="T99" s="1">
        <f>(Main_L[[#This Row],[P/E]]-VLOOKUP(Main_L[[#This Row],[Industry]], Mean_PE_L, 2, FALSE))/(VLOOKUP(Main_L[[#This Row],[Industry]], Mean_PE_L, 3, FALSE))</f>
        <v>4.1046105732772533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0" spans="1:26" x14ac:dyDescent="0.25">
      <c r="A100" s="67" t="s">
        <v>124</v>
      </c>
      <c r="B100" s="67" t="s">
        <v>161</v>
      </c>
      <c r="C100" s="2">
        <v>464185</v>
      </c>
      <c r="D100">
        <f>RTD("tos.rtd", , "LAST", Main_L[[#This Row],[Symbol]])</f>
        <v>177.15</v>
      </c>
      <c r="E100">
        <v>2.09</v>
      </c>
      <c r="F100">
        <v>5.97</v>
      </c>
      <c r="G100">
        <v>4.26</v>
      </c>
      <c r="H100" s="1">
        <f>IF(ISNUMBER(Main_L[[#This Row],[Free CF]]),IF(Main_L[[#This Row],[Free CF]]&lt;&gt;0,Main_L[[#This Row],[Current Price]]/Main_L[[#This Row],[Free CF]],""),"")</f>
        <v>84.760765550239242</v>
      </c>
      <c r="I100" s="1">
        <f>IF(ISNUMBER(Main_L[[#This Row],[BVPS]]),IF(Main_L[[#This Row],[BVPS]]&lt;&gt;0,Main_L[[#This Row],[Current Price]]/Main_L[[#This Row],[BVPS]],""),"")</f>
        <v>29.673366834170857</v>
      </c>
      <c r="J100">
        <v>103.74</v>
      </c>
      <c r="K100">
        <v>7.35</v>
      </c>
      <c r="L100">
        <v>9.65</v>
      </c>
      <c r="M100" s="1">
        <f>IF(ISNUMBER(Main_L[[#This Row],[EPS]]),IF(Main_L[[#This Row],[EPS]]&lt;&gt;0,Main_L[[#This Row],[Current Price]]/Main_L[[#This Row],[EPS]],""),"")</f>
        <v>41.584507042253527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0" s="1">
        <f>(Main_L[[#This Row],[P/FCF]]-VLOOKUP(Main_L[[#This Row],[Industry]], Mean_PFCF_L, 2, FALSE))/(VLOOKUP(Main_L[[#This Row],[Industry]], Mean_PFCF_L, 3, FALSE))</f>
        <v>1.6167608774522528</v>
      </c>
      <c r="P100" s="1">
        <f>(Main_L[[#This Row],[P/B]]-VLOOKUP(Main_L[[#This Row],[Industry]], Mean_PB_L, 2, FALSE))/(VLOOKUP(Main_L[[#This Row],[Industry]], Mean_PB_L, 3, FALSE))</f>
        <v>1.5501340828863879</v>
      </c>
      <c r="Q100" s="1">
        <f>(Main_L[[#This Row],[ROE]]-VLOOKUP(Main_L[[#This Row],[Industry]], Mean_ROE_L, 2, FALSE))/(VLOOKUP(Main_L[[#This Row],[Industry]], Mean_ROE_L, 3, FALSE))</f>
        <v>5.2766147625928159</v>
      </c>
      <c r="R100" s="1">
        <f>(Main_L[[#This Row],[ROA]]-VLOOKUP(Main_L[[#This Row],[Industry]], Mean_ROA_L, 2, FALSE))/(VLOOKUP(Main_L[[#This Row],[Industry]], Mean_ROA_L, 3, FALSE))</f>
        <v>0.57723352081456292</v>
      </c>
      <c r="S100" s="1">
        <f>(Main_L[[#This Row],[A/E]]-VLOOKUP(Main_L[[#This Row],[Industry]], Mean_AE_L, 2, FALSE))/(VLOOKUP(Main_L[[#This Row],[Industry]], Mean_AE_L, 3, FALSE))</f>
        <v>10.457378392099523</v>
      </c>
      <c r="T100" s="1">
        <f>(Main_L[[#This Row],[P/E]]-VLOOKUP(Main_L[[#This Row],[Industry]], Mean_PE_L, 2, FALSE))/(VLOOKUP(Main_L[[#This Row],[Industry]], Mean_PE_L, 3, FALSE))</f>
        <v>1.1359202880039254E-2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s="67" t="s">
        <v>124</v>
      </c>
      <c r="B101" s="67" t="s">
        <v>157</v>
      </c>
      <c r="C101" s="2">
        <v>17664</v>
      </c>
      <c r="D101">
        <f>RTD("tos.rtd", , "LAST", Main_L[[#This Row],[Symbol]])</f>
        <v>29.33</v>
      </c>
      <c r="E101">
        <v>1.95</v>
      </c>
      <c r="F101">
        <v>3.68</v>
      </c>
      <c r="G101">
        <v>1.03</v>
      </c>
      <c r="H101" s="1">
        <f>IF(ISNUMBER(Main_L[[#This Row],[Free CF]]),IF(Main_L[[#This Row],[Free CF]]&lt;&gt;0,Main_L[[#This Row],[Current Price]]/Main_L[[#This Row],[Free CF]],""),"")</f>
        <v>15.041025641025641</v>
      </c>
      <c r="I101" s="1">
        <f>IF(ISNUMBER(Main_L[[#This Row],[BVPS]]),IF(Main_L[[#This Row],[BVPS]]&lt;&gt;0,Main_L[[#This Row],[Current Price]]/Main_L[[#This Row],[BVPS]],""),"")</f>
        <v>7.9701086956521729</v>
      </c>
      <c r="J101">
        <v>29.17</v>
      </c>
      <c r="K101">
        <v>6.74</v>
      </c>
      <c r="L101">
        <v>6.83</v>
      </c>
      <c r="M101" s="1">
        <f>IF(ISNUMBER(Main_L[[#This Row],[EPS]]),IF(Main_L[[#This Row],[EPS]]&lt;&gt;0,Main_L[[#This Row],[Current Price]]/Main_L[[#This Row],[EPS]],""),"")</f>
        <v>28.475728155339805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1" s="1">
        <f>(Main_L[[#This Row],[P/FCF]]-VLOOKUP(Main_L[[#This Row],[Industry]], Mean_PFCF_L, 2, FALSE))/(VLOOKUP(Main_L[[#This Row],[Industry]], Mean_PFCF_L, 3, FALSE))</f>
        <v>-1.3035450070663117</v>
      </c>
      <c r="P101" s="1">
        <f>(Main_L[[#This Row],[P/B]]-VLOOKUP(Main_L[[#This Row],[Industry]], Mean_PB_L, 2, FALSE))/(VLOOKUP(Main_L[[#This Row],[Industry]], Mean_PB_L, 3, FALSE))</f>
        <v>-0.61422136135198413</v>
      </c>
      <c r="Q101" s="1">
        <f>(Main_L[[#This Row],[ROE]]-VLOOKUP(Main_L[[#This Row],[Industry]], Mean_ROE_L, 2, FALSE))/(VLOOKUP(Main_L[[#This Row],[Industry]], Mean_ROE_L, 3, FALSE))</f>
        <v>1.1057961918356829</v>
      </c>
      <c r="R101" s="1">
        <f>(Main_L[[#This Row],[ROA]]-VLOOKUP(Main_L[[#This Row],[Industry]], Mean_ROA_L, 2, FALSE))/(VLOOKUP(Main_L[[#This Row],[Industry]], Mean_ROA_L, 3, FALSE))</f>
        <v>0.46876913046465912</v>
      </c>
      <c r="S101" s="1">
        <f>(Main_L[[#This Row],[A/E]]-VLOOKUP(Main_L[[#This Row],[Industry]], Mean_AE_L, 2, FALSE))/(VLOOKUP(Main_L[[#This Row],[Industry]], Mean_AE_L, 3, FALSE))</f>
        <v>6.6018205778533599</v>
      </c>
      <c r="T101" s="1">
        <f>(Main_L[[#This Row],[P/E]]-VLOOKUP(Main_L[[#This Row],[Industry]], Mean_PE_L, 2, FALSE))/(VLOOKUP(Main_L[[#This Row],[Industry]], Mean_PE_L, 3, FALSE))</f>
        <v>-0.23679792237298364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2" spans="1:26" x14ac:dyDescent="0.25">
      <c r="A102" s="67" t="s">
        <v>124</v>
      </c>
      <c r="B102" s="67" t="s">
        <v>133</v>
      </c>
      <c r="C102" s="2">
        <v>16185</v>
      </c>
      <c r="D102">
        <f>RTD("tos.rtd", , "LAST", Main_L[[#This Row],[Symbol]])</f>
        <v>54.21</v>
      </c>
      <c r="E102">
        <v>1.44</v>
      </c>
      <c r="F102">
        <v>8.74</v>
      </c>
      <c r="G102">
        <v>1.59</v>
      </c>
      <c r="H102" s="1">
        <f>IF(ISNUMBER(Main_L[[#This Row],[Free CF]]),IF(Main_L[[#This Row],[Free CF]]&lt;&gt;0,Main_L[[#This Row],[Current Price]]/Main_L[[#This Row],[Free CF]],""),"")</f>
        <v>37.645833333333336</v>
      </c>
      <c r="I102" s="1">
        <f>IF(ISNUMBER(Main_L[[#This Row],[BVPS]]),IF(Main_L[[#This Row],[BVPS]]&lt;&gt;0,Main_L[[#This Row],[Current Price]]/Main_L[[#This Row],[BVPS]],""),"")</f>
        <v>6.2025171624713957</v>
      </c>
      <c r="J102">
        <v>20.86</v>
      </c>
      <c r="K102">
        <v>2.97</v>
      </c>
      <c r="L102">
        <v>1.58</v>
      </c>
      <c r="M102" s="1">
        <f>IF(ISNUMBER(Main_L[[#This Row],[EPS]]),IF(Main_L[[#This Row],[EPS]]&lt;&gt;0,Main_L[[#This Row],[Current Price]]/Main_L[[#This Row],[EPS]],""),"")</f>
        <v>34.094339622641506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-0.35671197228711959</v>
      </c>
      <c r="P102" s="1">
        <f>(Main_L[[#This Row],[P/B]]-VLOOKUP(Main_L[[#This Row],[Industry]], Mean_PB_L, 2, FALSE))/(VLOOKUP(Main_L[[#This Row],[Industry]], Mean_PB_L, 3, FALSE))</f>
        <v>-0.79049426625927388</v>
      </c>
      <c r="Q102" s="1">
        <f>(Main_L[[#This Row],[ROE]]-VLOOKUP(Main_L[[#This Row],[Industry]], Mean_ROE_L, 2, FALSE))/(VLOOKUP(Main_L[[#This Row],[Industry]], Mean_ROE_L, 3, FALSE))</f>
        <v>0.64100468958287615</v>
      </c>
      <c r="R102" s="1">
        <f>(Main_L[[#This Row],[ROA]]-VLOOKUP(Main_L[[#This Row],[Industry]], Mean_ROA_L, 2, FALSE))/(VLOOKUP(Main_L[[#This Row],[Industry]], Mean_ROA_L, 3, FALSE))</f>
        <v>-0.20157636399294404</v>
      </c>
      <c r="S102" s="1">
        <f>(Main_L[[#This Row],[A/E]]-VLOOKUP(Main_L[[#This Row],[Industry]], Mean_AE_L, 2, FALSE))/(VLOOKUP(Main_L[[#This Row],[Industry]], Mean_AE_L, 3, FALSE))</f>
        <v>-0.5760796082432208</v>
      </c>
      <c r="T102" s="1">
        <f>(Main_L[[#This Row],[P/E]]-VLOOKUP(Main_L[[#This Row],[Industry]], Mean_PE_L, 2, FALSE))/(VLOOKUP(Main_L[[#This Row],[Industry]], Mean_PE_L, 3, FALSE))</f>
        <v>-0.13043420370265318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s="67" t="s">
        <v>124</v>
      </c>
      <c r="B103" s="67" t="s">
        <v>128</v>
      </c>
      <c r="C103" s="2">
        <v>14480</v>
      </c>
      <c r="D103">
        <f>RTD("tos.rtd", , "LAST", Main_L[[#This Row],[Symbol]])</f>
        <v>47.79</v>
      </c>
      <c r="E103">
        <v>1.38</v>
      </c>
      <c r="F103">
        <v>3.48</v>
      </c>
      <c r="G103">
        <v>0.79</v>
      </c>
      <c r="H103" s="1">
        <f>IF(ISNUMBER(Main_L[[#This Row],[Free CF]]),IF(Main_L[[#This Row],[Free CF]]&lt;&gt;0,Main_L[[#This Row],[Current Price]]/Main_L[[#This Row],[Free CF]],""),"")</f>
        <v>34.630434782608695</v>
      </c>
      <c r="I103" s="1">
        <f>IF(ISNUMBER(Main_L[[#This Row],[BVPS]]),IF(Main_L[[#This Row],[BVPS]]&lt;&gt;0,Main_L[[#This Row],[Current Price]]/Main_L[[#This Row],[BVPS]],""),"")</f>
        <v>13.732758620689655</v>
      </c>
      <c r="J103">
        <v>25.16</v>
      </c>
      <c r="K103">
        <v>6.2</v>
      </c>
      <c r="L103">
        <v>3.1</v>
      </c>
      <c r="M103" s="1">
        <f>IF(ISNUMBER(Main_L[[#This Row],[EPS]]),IF(Main_L[[#This Row],[EPS]]&lt;&gt;0,Main_L[[#This Row],[Current Price]]/Main_L[[#This Row],[EPS]],""),"")</f>
        <v>60.493670886075947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-0.48301603112779529</v>
      </c>
      <c r="P103" s="1">
        <f>(Main_L[[#This Row],[P/B]]-VLOOKUP(Main_L[[#This Row],[Industry]], Mean_PB_L, 2, FALSE))/(VLOOKUP(Main_L[[#This Row],[Industry]], Mean_PB_L, 3, FALSE))</f>
        <v>-3.954162161471337E-2</v>
      </c>
      <c r="Q103" s="1">
        <f>(Main_L[[#This Row],[ROE]]-VLOOKUP(Main_L[[#This Row],[Industry]], Mean_ROE_L, 2, FALSE))/(VLOOKUP(Main_L[[#This Row],[Industry]], Mean_ROE_L, 3, FALSE))</f>
        <v>0.88151052107349814</v>
      </c>
      <c r="R103" s="1">
        <f>(Main_L[[#This Row],[ROA]]-VLOOKUP(Main_L[[#This Row],[Industry]], Mean_ROA_L, 2, FALSE))/(VLOOKUP(Main_L[[#This Row],[Industry]], Mean_ROA_L, 3, FALSE))</f>
        <v>0.3727514734335966</v>
      </c>
      <c r="S103" s="1">
        <f>(Main_L[[#This Row],[A/E]]-VLOOKUP(Main_L[[#This Row],[Industry]], Mean_AE_L, 2, FALSE))/(VLOOKUP(Main_L[[#This Row],[Industry]], Mean_AE_L, 3, FALSE))</f>
        <v>1.5020933980171225</v>
      </c>
      <c r="T103" s="1">
        <f>(Main_L[[#This Row],[P/E]]-VLOOKUP(Main_L[[#This Row],[Industry]], Mean_PE_L, 2, FALSE))/(VLOOKUP(Main_L[[#This Row],[Industry]], Mean_PE_L, 3, FALSE))</f>
        <v>0.36932112907483999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s="67" t="s">
        <v>124</v>
      </c>
      <c r="B104" s="67" t="s">
        <v>264</v>
      </c>
      <c r="C104" s="2">
        <v>10020</v>
      </c>
      <c r="D104">
        <f>RTD("tos.rtd", , "LAST", Main_L[[#This Row],[Symbol]])</f>
        <v>67.53</v>
      </c>
      <c r="E104">
        <v>0.76</v>
      </c>
      <c r="F104">
        <v>7.92</v>
      </c>
      <c r="G104">
        <v>-0.86</v>
      </c>
      <c r="H104" s="1">
        <f>IF(ISNUMBER(Main_L[[#This Row],[Free CF]]),IF(Main_L[[#This Row],[Free CF]]&lt;&gt;0,Main_L[[#This Row],[Current Price]]/Main_L[[#This Row],[Free CF]],""),"")</f>
        <v>88.85526315789474</v>
      </c>
      <c r="I104" s="1">
        <f>IF(ISNUMBER(Main_L[[#This Row],[BVPS]]),IF(Main_L[[#This Row],[BVPS]]&lt;&gt;0,Main_L[[#This Row],[Current Price]]/Main_L[[#This Row],[BVPS]],""),"")</f>
        <v>8.5265151515151523</v>
      </c>
      <c r="J104">
        <v>-10.78</v>
      </c>
      <c r="K104">
        <v>-4.8899999999999997</v>
      </c>
      <c r="L104">
        <v>1.65</v>
      </c>
      <c r="M104" s="1">
        <f>IF(ISNUMBER(Main_L[[#This Row],[EPS]]),IF(Main_L[[#This Row],[EPS]]&lt;&gt;0,Main_L[[#This Row],[Current Price]]/Main_L[[#This Row],[EPS]],""),"")</f>
        <v>-78.523255813953497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1.7882644641459744</v>
      </c>
      <c r="P104" s="1">
        <f>(Main_L[[#This Row],[P/B]]-VLOOKUP(Main_L[[#This Row],[Industry]], Mean_PB_L, 2, FALSE))/(VLOOKUP(Main_L[[#This Row],[Industry]], Mean_PB_L, 3, FALSE))</f>
        <v>-0.55873377813888547</v>
      </c>
      <c r="Q104" s="1">
        <f>(Main_L[[#This Row],[ROE]]-VLOOKUP(Main_L[[#This Row],[Industry]], Mean_ROE_L, 2, FALSE))/(VLOOKUP(Main_L[[#This Row],[Industry]], Mean_ROE_L, 3, FALSE))</f>
        <v>-1.1286707774783509</v>
      </c>
      <c r="R104" s="1">
        <f>(Main_L[[#This Row],[ROA]]-VLOOKUP(Main_L[[#This Row],[Industry]], Mean_ROA_L, 2, FALSE))/(VLOOKUP(Main_L[[#This Row],[Industry]], Mean_ROA_L, 3, FALSE))</f>
        <v>-1.599166705222854</v>
      </c>
      <c r="S104" s="1">
        <f>(Main_L[[#This Row],[A/E]]-VLOOKUP(Main_L[[#This Row],[Industry]], Mean_AE_L, 2, FALSE))/(VLOOKUP(Main_L[[#This Row],[Industry]], Mean_AE_L, 3, FALSE))</f>
        <v>-0.48037427242859992</v>
      </c>
      <c r="T104" s="1">
        <f>(Main_L[[#This Row],[P/E]]-VLOOKUP(Main_L[[#This Row],[Industry]], Mean_PE_L, 2, FALSE))/(VLOOKUP(Main_L[[#This Row],[Industry]], Mean_PE_L, 3, FALSE))</f>
        <v>-2.26235350583935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s="67" t="s">
        <v>124</v>
      </c>
      <c r="B105" s="67" t="s">
        <v>273</v>
      </c>
      <c r="C105" s="2">
        <v>10841</v>
      </c>
      <c r="D105">
        <f>RTD("tos.rtd", , "LAST", Main_L[[#This Row],[Symbol]])</f>
        <v>24.69</v>
      </c>
      <c r="E105">
        <v>0.73</v>
      </c>
      <c r="F105">
        <v>7.67</v>
      </c>
      <c r="G105">
        <v>-1.1200000000000001</v>
      </c>
      <c r="H105" s="1">
        <f>IF(ISNUMBER(Main_L[[#This Row],[Free CF]]),IF(Main_L[[#This Row],[Free CF]]&lt;&gt;0,Main_L[[#This Row],[Current Price]]/Main_L[[#This Row],[Free CF]],""),"")</f>
        <v>33.821917808219183</v>
      </c>
      <c r="I105" s="1">
        <f>IF(ISNUMBER(Main_L[[#This Row],[BVPS]]),IF(Main_L[[#This Row],[BVPS]]&lt;&gt;0,Main_L[[#This Row],[Current Price]]/Main_L[[#This Row],[BVPS]],""),"")</f>
        <v>3.2190352020860495</v>
      </c>
      <c r="J105">
        <v>-13.18</v>
      </c>
      <c r="K105">
        <v>-3.66</v>
      </c>
      <c r="L105">
        <v>2.09</v>
      </c>
      <c r="M105" s="1">
        <f>IF(ISNUMBER(Main_L[[#This Row],[EPS]]),IF(Main_L[[#This Row],[EPS]]&lt;&gt;0,Main_L[[#This Row],[Current Price]]/Main_L[[#This Row],[EPS]],""),"")</f>
        <v>-22.044642857142858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-0.51688186139505377</v>
      </c>
      <c r="P105" s="1">
        <f>(Main_L[[#This Row],[P/B]]-VLOOKUP(Main_L[[#This Row],[Industry]], Mean_PB_L, 2, FALSE))/(VLOOKUP(Main_L[[#This Row],[Industry]], Mean_PB_L, 3, FALSE))</f>
        <v>-1.0880217334503235</v>
      </c>
      <c r="Q105" s="1">
        <f>(Main_L[[#This Row],[ROE]]-VLOOKUP(Main_L[[#This Row],[Industry]], Mean_ROE_L, 2, FALSE))/(VLOOKUP(Main_L[[#This Row],[Industry]], Mean_ROE_L, 3, FALSE))</f>
        <v>-1.2629065904033492</v>
      </c>
      <c r="R105" s="1">
        <f>(Main_L[[#This Row],[ROA]]-VLOOKUP(Main_L[[#This Row],[Industry]], Mean_ROA_L, 2, FALSE))/(VLOOKUP(Main_L[[#This Row],[Industry]], Mean_ROA_L, 3, FALSE))</f>
        <v>-1.3804598197632116</v>
      </c>
      <c r="S105" s="1">
        <f>(Main_L[[#This Row],[A/E]]-VLOOKUP(Main_L[[#This Row],[Industry]], Mean_AE_L, 2, FALSE))/(VLOOKUP(Main_L[[#This Row],[Industry]], Mean_AE_L, 3, FALSE))</f>
        <v>0.12120212412044674</v>
      </c>
      <c r="T105" s="1">
        <f>(Main_L[[#This Row],[P/E]]-VLOOKUP(Main_L[[#This Row],[Industry]], Mean_PE_L, 2, FALSE))/(VLOOKUP(Main_L[[#This Row],[Industry]], Mean_PE_L, 3, FALSE))</f>
        <v>-1.1931791494367279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6" spans="1:26" x14ac:dyDescent="0.25">
      <c r="A106" s="67" t="s">
        <v>124</v>
      </c>
      <c r="B106" s="67" t="s">
        <v>143</v>
      </c>
      <c r="C106" s="2">
        <v>310989</v>
      </c>
      <c r="D106">
        <f>RTD("tos.rtd", , "LAST", Main_L[[#This Row],[Symbol]])</f>
        <v>132.06</v>
      </c>
      <c r="E106">
        <v>0.57999999999999996</v>
      </c>
      <c r="F106">
        <v>2.2999999999999998</v>
      </c>
      <c r="G106">
        <v>0.23</v>
      </c>
      <c r="H106" s="1">
        <f>IF(ISNUMBER(Main_L[[#This Row],[Free CF]]),IF(Main_L[[#This Row],[Free CF]]&lt;&gt;0,Main_L[[#This Row],[Current Price]]/Main_L[[#This Row],[Free CF]],""),"")</f>
        <v>227.68965517241381</v>
      </c>
      <c r="I106" s="1">
        <f>IF(ISNUMBER(Main_L[[#This Row],[BVPS]]),IF(Main_L[[#This Row],[BVPS]]&lt;&gt;0,Main_L[[#This Row],[Current Price]]/Main_L[[#This Row],[BVPS]],""),"")</f>
        <v>57.417391304347831</v>
      </c>
      <c r="J106">
        <v>12.36</v>
      </c>
      <c r="K106">
        <v>4.3899999999999997</v>
      </c>
      <c r="L106">
        <v>1.24</v>
      </c>
      <c r="M106" s="1">
        <f>IF(ISNUMBER(Main_L[[#This Row],[EPS]]),IF(Main_L[[#This Row],[EPS]]&lt;&gt;0,Main_L[[#This Row],[Current Price]]/Main_L[[#This Row],[EPS]],""),"")</f>
        <v>574.17391304347825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7.6035313096836141</v>
      </c>
      <c r="P106" s="1">
        <f>(Main_L[[#This Row],[P/B]]-VLOOKUP(Main_L[[#This Row],[Industry]], Mean_PB_L, 2, FALSE))/(VLOOKUP(Main_L[[#This Row],[Industry]], Mean_PB_L, 3, FALSE))</f>
        <v>4.3169044002212678</v>
      </c>
      <c r="Q106" s="1">
        <f>(Main_L[[#This Row],[ROE]]-VLOOKUP(Main_L[[#This Row],[Industry]], Mean_ROE_L, 2, FALSE))/(VLOOKUP(Main_L[[#This Row],[Industry]], Mean_ROE_L, 3, FALSE))</f>
        <v>0.16558618547350734</v>
      </c>
      <c r="R106" s="1">
        <f>(Main_L[[#This Row],[ROA]]-VLOOKUP(Main_L[[#This Row],[Industry]], Mean_ROA_L, 2, FALSE))/(VLOOKUP(Main_L[[#This Row],[Industry]], Mean_ROA_L, 3, FALSE))</f>
        <v>5.0914511903553603E-2</v>
      </c>
      <c r="S106" s="1">
        <f>(Main_L[[#This Row],[A/E]]-VLOOKUP(Main_L[[#This Row],[Industry]], Mean_AE_L, 2, FALSE))/(VLOOKUP(Main_L[[#This Row],[Industry]], Mean_AE_L, 3, FALSE))</f>
        <v>-1.0409340964856661</v>
      </c>
      <c r="T106" s="1">
        <f>(Main_L[[#This Row],[P/E]]-VLOOKUP(Main_L[[#This Row],[Industry]], Mean_PE_L, 2, FALSE))/(VLOOKUP(Main_L[[#This Row],[Industry]], Mean_PE_L, 3, FALSE))</f>
        <v>10.09359928592988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7" spans="1:26" x14ac:dyDescent="0.25">
      <c r="A107" s="67" t="s">
        <v>124</v>
      </c>
      <c r="B107" s="67" t="s">
        <v>491</v>
      </c>
      <c r="C107" s="2">
        <v>23721</v>
      </c>
      <c r="D107">
        <f>RTD("tos.rtd", , "LAST", Main_L[[#This Row],[Symbol]])</f>
        <v>68.069999999999993</v>
      </c>
      <c r="E107">
        <v>0.5</v>
      </c>
      <c r="F107">
        <v>4.45</v>
      </c>
      <c r="G107">
        <v>0.52</v>
      </c>
      <c r="H107" s="1">
        <f>IF(ISNUMBER(Main_L[[#This Row],[Free CF]]),IF(Main_L[[#This Row],[Free CF]]&lt;&gt;0,Main_L[[#This Row],[Current Price]]/Main_L[[#This Row],[Free CF]],""),"")</f>
        <v>136.13999999999999</v>
      </c>
      <c r="I107" s="1">
        <f>IF(ISNUMBER(Main_L[[#This Row],[BVPS]]),IF(Main_L[[#This Row],[BVPS]]&lt;&gt;0,Main_L[[#This Row],[Current Price]]/Main_L[[#This Row],[BVPS]],""),"")</f>
        <v>15.296629213483143</v>
      </c>
      <c r="J107">
        <v>13.08</v>
      </c>
      <c r="K107">
        <v>8.9600000000000009</v>
      </c>
      <c r="L107">
        <v>1.26</v>
      </c>
      <c r="M107" s="1">
        <f>IF(ISNUMBER(Main_L[[#This Row],[EPS]]),IF(Main_L[[#This Row],[EPS]]&lt;&gt;0,Main_L[[#This Row],[Current Price]]/Main_L[[#This Row],[EPS]],""),"")</f>
        <v>130.90384615384613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3.7688498109605488</v>
      </c>
      <c r="P107" s="1">
        <f>(Main_L[[#This Row],[P/B]]-VLOOKUP(Main_L[[#This Row],[Industry]], Mean_PB_L, 2, FALSE))/(VLOOKUP(Main_L[[#This Row],[Industry]], Mean_PB_L, 3, FALSE))</f>
        <v>0.11641523103818968</v>
      </c>
      <c r="Q107" s="1">
        <f>(Main_L[[#This Row],[ROE]]-VLOOKUP(Main_L[[#This Row],[Industry]], Mean_ROE_L, 2, FALSE))/(VLOOKUP(Main_L[[#This Row],[Industry]], Mean_ROE_L, 3, FALSE))</f>
        <v>0.20585692935100686</v>
      </c>
      <c r="R107" s="1">
        <f>(Main_L[[#This Row],[ROA]]-VLOOKUP(Main_L[[#This Row],[Industry]], Mean_ROA_L, 2, FALSE))/(VLOOKUP(Main_L[[#This Row],[Industry]], Mean_ROA_L, 3, FALSE))</f>
        <v>0.86350838714791622</v>
      </c>
      <c r="S107" s="1">
        <f>(Main_L[[#This Row],[A/E]]-VLOOKUP(Main_L[[#This Row],[Industry]], Mean_AE_L, 2, FALSE))/(VLOOKUP(Main_L[[#This Row],[Industry]], Mean_AE_L, 3, FALSE))</f>
        <v>-1.0135897148243458</v>
      </c>
      <c r="T107" s="1">
        <f>(Main_L[[#This Row],[P/E]]-VLOOKUP(Main_L[[#This Row],[Industry]], Mean_PE_L, 2, FALSE))/(VLOOKUP(Main_L[[#This Row],[Industry]], Mean_PE_L, 3, FALSE))</f>
        <v>1.7022283993663647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s="67" t="s">
        <v>124</v>
      </c>
      <c r="B108" s="67" t="s">
        <v>259</v>
      </c>
      <c r="C108" s="2">
        <v>10113</v>
      </c>
      <c r="D108">
        <f>RTD("tos.rtd", , "LAST", Main_L[[#This Row],[Symbol]])</f>
        <v>34.76</v>
      </c>
      <c r="E108">
        <v>0.49</v>
      </c>
      <c r="F108">
        <v>3.86</v>
      </c>
      <c r="G108">
        <v>-0.18</v>
      </c>
      <c r="H108" s="1">
        <f>IF(ISNUMBER(Main_L[[#This Row],[Free CF]]),IF(Main_L[[#This Row],[Free CF]]&lt;&gt;0,Main_L[[#This Row],[Current Price]]/Main_L[[#This Row],[Free CF]],""),"")</f>
        <v>70.938775510204081</v>
      </c>
      <c r="I108" s="1">
        <f>IF(ISNUMBER(Main_L[[#This Row],[BVPS]]),IF(Main_L[[#This Row],[BVPS]]&lt;&gt;0,Main_L[[#This Row],[Current Price]]/Main_L[[#This Row],[BVPS]],""),"")</f>
        <v>9.0051813471502591</v>
      </c>
      <c r="J108">
        <v>-4.7300000000000004</v>
      </c>
      <c r="K108">
        <v>-4.3600000000000003</v>
      </c>
      <c r="L108">
        <v>1.27</v>
      </c>
      <c r="M108" s="1">
        <f>IF(ISNUMBER(Main_L[[#This Row],[EPS]]),IF(Main_L[[#This Row],[EPS]]&lt;&gt;0,Main_L[[#This Row],[Current Price]]/Main_L[[#This Row],[EPS]],""),"")</f>
        <v>-193.11111111111111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1.0378080743833844</v>
      </c>
      <c r="P108" s="1">
        <f>(Main_L[[#This Row],[P/B]]-VLOOKUP(Main_L[[#This Row],[Industry]], Mean_PB_L, 2, FALSE))/(VLOOKUP(Main_L[[#This Row],[Industry]], Mean_PB_L, 3, FALSE))</f>
        <v>-0.51099883530755885</v>
      </c>
      <c r="Q108" s="1">
        <f>(Main_L[[#This Row],[ROE]]-VLOOKUP(Main_L[[#This Row],[Industry]], Mean_ROE_L, 2, FALSE))/(VLOOKUP(Main_L[[#This Row],[Industry]], Mean_ROE_L, 3, FALSE))</f>
        <v>-0.79028466572991773</v>
      </c>
      <c r="R108" s="1">
        <f>(Main_L[[#This Row],[ROA]]-VLOOKUP(Main_L[[#This Row],[Industry]], Mean_ROA_L, 2, FALSE))/(VLOOKUP(Main_L[[#This Row],[Industry]], Mean_ROA_L, 3, FALSE))</f>
        <v>-1.5049271529516262</v>
      </c>
      <c r="S108" s="1">
        <f>(Main_L[[#This Row],[A/E]]-VLOOKUP(Main_L[[#This Row],[Industry]], Mean_AE_L, 2, FALSE))/(VLOOKUP(Main_L[[#This Row],[Industry]], Mean_AE_L, 3, FALSE))</f>
        <v>-0.99991752399368561</v>
      </c>
      <c r="T108" s="1">
        <f>(Main_L[[#This Row],[P/E]]-VLOOKUP(Main_L[[#This Row],[Industry]], Mean_PE_L, 2, FALSE))/(VLOOKUP(Main_L[[#This Row],[Industry]], Mean_PE_L, 3, FALSE))</f>
        <v>-4.4315710206636325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9" spans="1:26" x14ac:dyDescent="0.25">
      <c r="A109" s="67" t="s">
        <v>124</v>
      </c>
      <c r="B109" s="67" t="s">
        <v>150</v>
      </c>
      <c r="C109" s="2">
        <v>10031</v>
      </c>
      <c r="D109">
        <f>RTD("tos.rtd", , "LAST", Main_L[[#This Row],[Symbol]])</f>
        <v>104.19</v>
      </c>
      <c r="E109">
        <v>0.37</v>
      </c>
      <c r="F109">
        <v>16.149999999999999</v>
      </c>
      <c r="G109">
        <v>-8.5299999999999994</v>
      </c>
      <c r="H109" s="1">
        <f>IF(ISNUMBER(Main_L[[#This Row],[Free CF]]),IF(Main_L[[#This Row],[Free CF]]&lt;&gt;0,Main_L[[#This Row],[Current Price]]/Main_L[[#This Row],[Free CF]],""),"")</f>
        <v>281.59459459459458</v>
      </c>
      <c r="I109" s="1">
        <f>IF(ISNUMBER(Main_L[[#This Row],[BVPS]]),IF(Main_L[[#This Row],[BVPS]]&lt;&gt;0,Main_L[[#This Row],[Current Price]]/Main_L[[#This Row],[BVPS]],""),"")</f>
        <v>6.4513931888544898</v>
      </c>
      <c r="J109">
        <v>-18.350000000000001</v>
      </c>
      <c r="K109">
        <v>-8.57</v>
      </c>
      <c r="L109">
        <v>1.22</v>
      </c>
      <c r="M109" s="1">
        <f>IF(ISNUMBER(Main_L[[#This Row],[EPS]]),IF(Main_L[[#This Row],[EPS]]&lt;&gt;0,Main_L[[#This Row],[Current Price]]/Main_L[[#This Row],[EPS]],""),"")</f>
        <v>-12.214536928487691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9.8614128222107151</v>
      </c>
      <c r="P109" s="1">
        <f>(Main_L[[#This Row],[P/B]]-VLOOKUP(Main_L[[#This Row],[Industry]], Mean_PB_L, 2, FALSE))/(VLOOKUP(Main_L[[#This Row],[Industry]], Mean_PB_L, 3, FALSE))</f>
        <v>-0.76567512716021568</v>
      </c>
      <c r="Q109" s="1">
        <f>(Main_L[[#This Row],[ROE]]-VLOOKUP(Main_L[[#This Row],[Industry]], Mean_ROE_L, 2, FALSE))/(VLOOKUP(Main_L[[#This Row],[Industry]], Mean_ROE_L, 3, FALSE))</f>
        <v>-1.5520729040792829</v>
      </c>
      <c r="R109" s="1">
        <f>(Main_L[[#This Row],[ROA]]-VLOOKUP(Main_L[[#This Row],[Industry]], Mean_ROA_L, 2, FALSE))/(VLOOKUP(Main_L[[#This Row],[Industry]], Mean_ROA_L, 3, FALSE))</f>
        <v>-2.2535092568419466</v>
      </c>
      <c r="S109" s="1">
        <f>(Main_L[[#This Row],[A/E]]-VLOOKUP(Main_L[[#This Row],[Industry]], Mean_AE_L, 2, FALSE))/(VLOOKUP(Main_L[[#This Row],[Industry]], Mean_AE_L, 3, FALSE))</f>
        <v>-1.0682784781469865</v>
      </c>
      <c r="T109" s="1">
        <f>(Main_L[[#This Row],[P/E]]-VLOOKUP(Main_L[[#This Row],[Industry]], Mean_PE_L, 2, FALSE))/(VLOOKUP(Main_L[[#This Row],[Industry]], Mean_PE_L, 3, FALSE))</f>
        <v>-1.0070892894099492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0" spans="1:26" x14ac:dyDescent="0.25">
      <c r="A110" s="67" t="s">
        <v>124</v>
      </c>
      <c r="B110" s="67" t="s">
        <v>138</v>
      </c>
      <c r="C110" s="2">
        <v>26496</v>
      </c>
      <c r="D110">
        <f>RTD("tos.rtd", , "LAST", Main_L[[#This Row],[Symbol]])</f>
        <v>44.69</v>
      </c>
      <c r="E110">
        <v>0.2</v>
      </c>
      <c r="F110">
        <v>1.89</v>
      </c>
      <c r="G110">
        <v>-0.28000000000000003</v>
      </c>
      <c r="H110" s="1">
        <f>IF(ISNUMBER(Main_L[[#This Row],[Free CF]]),IF(Main_L[[#This Row],[Free CF]]&lt;&gt;0,Main_L[[#This Row],[Current Price]]/Main_L[[#This Row],[Free CF]],""),"")</f>
        <v>223.45</v>
      </c>
      <c r="I110" s="1">
        <f>IF(ISNUMBER(Main_L[[#This Row],[BVPS]]),IF(Main_L[[#This Row],[BVPS]]&lt;&gt;0,Main_L[[#This Row],[Current Price]]/Main_L[[#This Row],[BVPS]],""),"")</f>
        <v>23.645502645502646</v>
      </c>
      <c r="J110">
        <v>-15.61</v>
      </c>
      <c r="K110">
        <v>-6.15</v>
      </c>
      <c r="L110">
        <v>1.89</v>
      </c>
      <c r="M110" s="1">
        <f>IF(ISNUMBER(Main_L[[#This Row],[EPS]]),IF(Main_L[[#This Row],[EPS]]&lt;&gt;0,Main_L[[#This Row],[Current Price]]/Main_L[[#This Row],[EPS]],""),"")</f>
        <v>-159.60714285714283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7.4259476014762713</v>
      </c>
      <c r="P110" s="1">
        <f>(Main_L[[#This Row],[P/B]]-VLOOKUP(Main_L[[#This Row],[Industry]], Mean_PB_L, 2, FALSE))/(VLOOKUP(Main_L[[#This Row],[Industry]], Mean_PB_L, 3, FALSE))</f>
        <v>0.94900587482628596</v>
      </c>
      <c r="Q110" s="1">
        <f>(Main_L[[#This Row],[ROE]]-VLOOKUP(Main_L[[#This Row],[Industry]], Mean_ROE_L, 2, FALSE))/(VLOOKUP(Main_L[[#This Row],[Industry]], Mean_ROE_L, 3, FALSE))</f>
        <v>-1.3988203509899098</v>
      </c>
      <c r="R110" s="1">
        <f>(Main_L[[#This Row],[ROA]]-VLOOKUP(Main_L[[#This Row],[Industry]], Mean_ROA_L, 2, FALSE))/(VLOOKUP(Main_L[[#This Row],[Industry]], Mean_ROA_L, 3, FALSE))</f>
        <v>-1.8232079049620002</v>
      </c>
      <c r="S110" s="1">
        <f>(Main_L[[#This Row],[A/E]]-VLOOKUP(Main_L[[#This Row],[Industry]], Mean_AE_L, 2, FALSE))/(VLOOKUP(Main_L[[#This Row],[Industry]], Mean_AE_L, 3, FALSE))</f>
        <v>-0.15224169249275626</v>
      </c>
      <c r="T110" s="1">
        <f>(Main_L[[#This Row],[P/E]]-VLOOKUP(Main_L[[#This Row],[Industry]], Mean_PE_L, 2, FALSE))/(VLOOKUP(Main_L[[#This Row],[Industry]], Mean_PE_L, 3, FALSE))</f>
        <v>-3.7973206058692162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1" spans="1:26" x14ac:dyDescent="0.25">
      <c r="A111" s="67" t="s">
        <v>124</v>
      </c>
      <c r="B111" s="67" t="s">
        <v>163</v>
      </c>
      <c r="C111" s="2">
        <v>18095</v>
      </c>
      <c r="D111">
        <f>RTD("tos.rtd", , "LAST", Main_L[[#This Row],[Symbol]])</f>
        <v>93.15</v>
      </c>
      <c r="E111">
        <v>0.14000000000000001</v>
      </c>
      <c r="F111">
        <v>-2.92</v>
      </c>
      <c r="G111">
        <v>-7.48</v>
      </c>
      <c r="H111" s="1">
        <f>IF(ISNUMBER(Main_L[[#This Row],[Free CF]]),IF(Main_L[[#This Row],[Free CF]]&lt;&gt;0,Main_L[[#This Row],[Current Price]]/Main_L[[#This Row],[Free CF]],""),"")</f>
        <v>665.35714285714289</v>
      </c>
      <c r="I111" s="1">
        <f>IF(ISNUMBER(Main_L[[#This Row],[BVPS]]),IF(Main_L[[#This Row],[BVPS]]&lt;&gt;0,Main_L[[#This Row],[Current Price]]/Main_L[[#This Row],[BVPS]],""),"")</f>
        <v>-31.900684931506852</v>
      </c>
      <c r="J111">
        <v>183.56</v>
      </c>
      <c r="K111">
        <v>-61.72</v>
      </c>
      <c r="L111">
        <v>-2.57</v>
      </c>
      <c r="M111" s="1">
        <f>IF(ISNUMBER(Main_L[[#This Row],[EPS]]),IF(Main_L[[#This Row],[EPS]]&lt;&gt;0,Main_L[[#This Row],[Current Price]]/Main_L[[#This Row],[EPS]],""),"")</f>
        <v>-12.453208556149733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25.93582774986675</v>
      </c>
      <c r="P111" s="1">
        <f>(Main_L[[#This Row],[P/B]]-VLOOKUP(Main_L[[#This Row],[Industry]], Mean_PB_L, 2, FALSE))/(VLOOKUP(Main_L[[#This Row],[Industry]], Mean_PB_L, 3, FALSE))</f>
        <v>-4.5903326300970049</v>
      </c>
      <c r="Q111" s="1">
        <f>(Main_L[[#This Row],[ROE]]-VLOOKUP(Main_L[[#This Row],[Industry]], Mean_ROE_L, 2, FALSE))/(VLOOKUP(Main_L[[#This Row],[Industry]], Mean_ROE_L, 3, FALSE))</f>
        <v>9.7410741741233835</v>
      </c>
      <c r="R111" s="1">
        <f>(Main_L[[#This Row],[ROA]]-VLOOKUP(Main_L[[#This Row],[Industry]], Mean_ROA_L, 2, FALSE))/(VLOOKUP(Main_L[[#This Row],[Industry]], Mean_ROA_L, 3, FALSE))</f>
        <v>-11.704136055362268</v>
      </c>
      <c r="S111" s="1">
        <f>(Main_L[[#This Row],[A/E]]-VLOOKUP(Main_L[[#This Row],[Industry]], Mean_AE_L, 2, FALSE))/(VLOOKUP(Main_L[[#This Row],[Industry]], Mean_AE_L, 3, FALSE))</f>
        <v>-6.2500388029671852</v>
      </c>
      <c r="T111" s="1">
        <f>(Main_L[[#This Row],[P/E]]-VLOOKUP(Main_L[[#This Row],[Industry]], Mean_PE_L, 2, FALSE))/(VLOOKUP(Main_L[[#This Row],[Industry]], Mean_PE_L, 3, FALSE))</f>
        <v>-1.0116074879020451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2" spans="1:26" x14ac:dyDescent="0.25">
      <c r="A112" s="67" t="s">
        <v>124</v>
      </c>
      <c r="B112" s="67" t="s">
        <v>140</v>
      </c>
      <c r="C112" s="2">
        <v>102404</v>
      </c>
      <c r="D112">
        <f>RTD("tos.rtd", , "LAST", Main_L[[#This Row],[Symbol]])</f>
        <v>392.12</v>
      </c>
      <c r="E112">
        <v>-0.53</v>
      </c>
      <c r="F112">
        <v>121.05</v>
      </c>
      <c r="G112">
        <v>-25</v>
      </c>
      <c r="H112" s="1">
        <f>IF(ISNUMBER(Main_L[[#This Row],[Free CF]]),IF(Main_L[[#This Row],[Free CF]]&lt;&gt;0,Main_L[[#This Row],[Current Price]]/Main_L[[#This Row],[Free CF]],""),"")</f>
        <v>-739.84905660377353</v>
      </c>
      <c r="I112" s="1">
        <f>IF(ISNUMBER(Main_L[[#This Row],[BVPS]]),IF(Main_L[[#This Row],[BVPS]]&lt;&gt;0,Main_L[[#This Row],[Current Price]]/Main_L[[#This Row],[BVPS]],""),"")</f>
        <v>3.2393225939694341</v>
      </c>
      <c r="J112">
        <v>-29.68</v>
      </c>
      <c r="K112">
        <v>-18.82</v>
      </c>
      <c r="L112">
        <v>1.36</v>
      </c>
      <c r="M112" s="1">
        <f>IF(ISNUMBER(Main_L[[#This Row],[EPS]]),IF(Main_L[[#This Row],[EPS]]&lt;&gt;0,Main_L[[#This Row],[Current Price]]/Main_L[[#This Row],[EPS]],""),"")</f>
        <v>-15.684800000000001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-32.923140149199938</v>
      </c>
      <c r="P112" s="1">
        <f>(Main_L[[#This Row],[P/B]]-VLOOKUP(Main_L[[#This Row],[Industry]], Mean_PB_L, 2, FALSE))/(VLOOKUP(Main_L[[#This Row],[Industry]], Mean_PB_L, 3, FALSE))</f>
        <v>-1.0859985751396237</v>
      </c>
      <c r="Q112" s="1">
        <f>(Main_L[[#This Row],[ROE]]-VLOOKUP(Main_L[[#This Row],[Industry]], Mean_ROE_L, 2, FALSE))/(VLOOKUP(Main_L[[#This Row],[Industry]], Mean_ROE_L, 3, FALSE))</f>
        <v>-2.1857778042627123</v>
      </c>
      <c r="R112" s="1">
        <f>(Main_L[[#This Row],[ROA]]-VLOOKUP(Main_L[[#This Row],[Industry]], Mean_ROA_L, 2, FALSE))/(VLOOKUP(Main_L[[#This Row],[Industry]], Mean_ROA_L, 3, FALSE))</f>
        <v>-4.0760666356722997</v>
      </c>
      <c r="S112" s="1">
        <f>(Main_L[[#This Row],[A/E]]-VLOOKUP(Main_L[[#This Row],[Industry]], Mean_AE_L, 2, FALSE))/(VLOOKUP(Main_L[[#This Row],[Industry]], Mean_AE_L, 3, FALSE))</f>
        <v>-0.8768678065177441</v>
      </c>
      <c r="T112" s="1">
        <f>(Main_L[[#This Row],[P/E]]-VLOOKUP(Main_L[[#This Row],[Industry]], Mean_PE_L, 2, FALSE))/(VLOOKUP(Main_L[[#This Row],[Industry]], Mean_PE_L, 3, FALSE))</f>
        <v>-1.0727834715399045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3" spans="1:26" x14ac:dyDescent="0.25">
      <c r="A113" s="67" t="s">
        <v>175</v>
      </c>
      <c r="B113" s="67" t="s">
        <v>181</v>
      </c>
      <c r="C113" s="2">
        <v>20464</v>
      </c>
      <c r="D113">
        <f>RTD("tos.rtd", , "LAST", Main_L[[#This Row],[Symbol]])</f>
        <v>103.06</v>
      </c>
      <c r="E113">
        <v>6.56</v>
      </c>
      <c r="F113">
        <v>5.0999999999999996</v>
      </c>
      <c r="G113">
        <v>5.67</v>
      </c>
      <c r="H113" s="1">
        <f>IF(ISNUMBER(Main_L[[#This Row],[Free CF]]),IF(Main_L[[#This Row],[Free CF]]&lt;&gt;0,Main_L[[#This Row],[Current Price]]/Main_L[[#This Row],[Free CF]],""),"")</f>
        <v>15.710365853658537</v>
      </c>
      <c r="I113" s="1">
        <f>IF(ISNUMBER(Main_L[[#This Row],[BVPS]]),IF(Main_L[[#This Row],[BVPS]]&lt;&gt;0,Main_L[[#This Row],[Current Price]]/Main_L[[#This Row],[BVPS]],""),"")</f>
        <v>20.207843137254905</v>
      </c>
      <c r="J113">
        <v>108.51</v>
      </c>
      <c r="K113">
        <v>8.6</v>
      </c>
      <c r="L113">
        <v>10.41</v>
      </c>
      <c r="M113" s="1">
        <f>IF(ISNUMBER(Main_L[[#This Row],[EPS]]),IF(Main_L[[#This Row],[EPS]]&lt;&gt;0,Main_L[[#This Row],[Current Price]]/Main_L[[#This Row],[EPS]],""),"")</f>
        <v>18.176366843033509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-0.75519622852674995</v>
      </c>
      <c r="P113" s="1">
        <f>(Main_L[[#This Row],[P/B]]-VLOOKUP(Main_L[[#This Row],[Industry]], Mean_PB_L, 2, FALSE))/(VLOOKUP(Main_L[[#This Row],[Industry]], Mean_PB_L, 3, FALSE))</f>
        <v>0.84369204643853613</v>
      </c>
      <c r="Q113" s="1">
        <f>(Main_L[[#This Row],[ROE]]-VLOOKUP(Main_L[[#This Row],[Industry]], Mean_ROE_L, 2, FALSE))/(VLOOKUP(Main_L[[#This Row],[Industry]], Mean_ROE_L, 3, FALSE))</f>
        <v>1.1449372019944983</v>
      </c>
      <c r="R113" s="1">
        <f>(Main_L[[#This Row],[ROA]]-VLOOKUP(Main_L[[#This Row],[Industry]], Mean_ROA_L, 2, FALSE))/(VLOOKUP(Main_L[[#This Row],[Industry]], Mean_ROA_L, 3, FALSE))</f>
        <v>0.38834204899704317</v>
      </c>
      <c r="S113" s="1">
        <f>(Main_L[[#This Row],[A/E]]-VLOOKUP(Main_L[[#This Row],[Industry]], Mean_AE_L, 2, FALSE))/(VLOOKUP(Main_L[[#This Row],[Industry]], Mean_AE_L, 3, FALSE))</f>
        <v>1.5947862359215526</v>
      </c>
      <c r="T113" s="1">
        <f>(Main_L[[#This Row],[P/E]]-VLOOKUP(Main_L[[#This Row],[Industry]], Mean_PE_L, 2, FALSE))/(VLOOKUP(Main_L[[#This Row],[Industry]], Mean_PE_L, 3, FALSE))</f>
        <v>-0.71734765487519725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s="67" t="s">
        <v>175</v>
      </c>
      <c r="B114" s="67" t="s">
        <v>176</v>
      </c>
      <c r="C114" s="2">
        <v>2999861</v>
      </c>
      <c r="D114">
        <f>RTD("tos.rtd", , "LAST", Main_L[[#This Row],[Symbol]])</f>
        <v>201.45</v>
      </c>
      <c r="E114">
        <v>6.51</v>
      </c>
      <c r="F114">
        <v>4.47</v>
      </c>
      <c r="G114">
        <v>6.4</v>
      </c>
      <c r="H114" s="1">
        <f>IF(ISNUMBER(Main_L[[#This Row],[Free CF]]),IF(Main_L[[#This Row],[Free CF]]&lt;&gt;0,Main_L[[#This Row],[Current Price]]/Main_L[[#This Row],[Free CF]],""),"")</f>
        <v>30.944700460829491</v>
      </c>
      <c r="I114" s="1">
        <f>IF(ISNUMBER(Main_L[[#This Row],[BVPS]]),IF(Main_L[[#This Row],[BVPS]]&lt;&gt;0,Main_L[[#This Row],[Current Price]]/Main_L[[#This Row],[BVPS]],""),"")</f>
        <v>45.067114093959731</v>
      </c>
      <c r="J114">
        <v>138.02000000000001</v>
      </c>
      <c r="K114">
        <v>23.81</v>
      </c>
      <c r="L114">
        <v>4.96</v>
      </c>
      <c r="M114" s="1">
        <f>IF(ISNUMBER(Main_L[[#This Row],[EPS]]),IF(Main_L[[#This Row],[EPS]]&lt;&gt;0,Main_L[[#This Row],[Current Price]]/Main_L[[#This Row],[EPS]],""),"")</f>
        <v>31.476562499999996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4" s="1">
        <f>(Main_L[[#This Row],[P/FCF]]-VLOOKUP(Main_L[[#This Row],[Industry]], Mean_PFCF_L, 2, FALSE))/(VLOOKUP(Main_L[[#This Row],[Industry]], Mean_PFCF_L, 3, FALSE))</f>
        <v>1.0330971816358223</v>
      </c>
      <c r="P114" s="1">
        <f>(Main_L[[#This Row],[P/B]]-VLOOKUP(Main_L[[#This Row],[Industry]], Mean_PB_L, 2, FALSE))/(VLOOKUP(Main_L[[#This Row],[Industry]], Mean_PB_L, 3, FALSE))</f>
        <v>1.9736649882471566</v>
      </c>
      <c r="Q114" s="1">
        <f>(Main_L[[#This Row],[ROE]]-VLOOKUP(Main_L[[#This Row],[Industry]], Mean_ROE_L, 2, FALSE))/(VLOOKUP(Main_L[[#This Row],[Industry]], Mean_ROE_L, 3, FALSE))</f>
        <v>1.4147892604490264</v>
      </c>
      <c r="R114" s="1">
        <f>(Main_L[[#This Row],[ROA]]-VLOOKUP(Main_L[[#This Row],[Industry]], Mean_ROA_L, 2, FALSE))/(VLOOKUP(Main_L[[#This Row],[Industry]], Mean_ROA_L, 3, FALSE))</f>
        <v>4.3703752390498698</v>
      </c>
      <c r="S114" s="1">
        <f>(Main_L[[#This Row],[A/E]]-VLOOKUP(Main_L[[#This Row],[Industry]], Mean_AE_L, 2, FALSE))/(VLOOKUP(Main_L[[#This Row],[Industry]], Mean_AE_L, 3, FALSE))</f>
        <v>0.51976026365532346</v>
      </c>
      <c r="T114" s="1">
        <f>(Main_L[[#This Row],[P/E]]-VLOOKUP(Main_L[[#This Row],[Industry]], Mean_PE_L, 2, FALSE))/(VLOOKUP(Main_L[[#This Row],[Industry]], Mean_PE_L, 3, FALSE))</f>
        <v>5.8182527428916613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5" spans="1:26" x14ac:dyDescent="0.25">
      <c r="A115" s="67" t="s">
        <v>175</v>
      </c>
      <c r="B115" s="67" t="s">
        <v>177</v>
      </c>
      <c r="C115" s="2">
        <v>76051</v>
      </c>
      <c r="D115">
        <f>RTD("tos.rtd", , "LAST", Main_L[[#This Row],[Symbol]])</f>
        <v>114.22</v>
      </c>
      <c r="E115">
        <v>5.24</v>
      </c>
      <c r="F115">
        <v>-4.34</v>
      </c>
      <c r="G115">
        <v>6.55</v>
      </c>
      <c r="H115" s="1">
        <f>IF(ISNUMBER(Main_L[[#This Row],[Free CF]]),IF(Main_L[[#This Row],[Free CF]]&lt;&gt;0,Main_L[[#This Row],[Current Price]]/Main_L[[#This Row],[Free CF]],""),"")</f>
        <v>21.797709923664122</v>
      </c>
      <c r="I115" s="1">
        <f>IF(ISNUMBER(Main_L[[#This Row],[BVPS]]),IF(Main_L[[#This Row],[BVPS]]&lt;&gt;0,Main_L[[#This Row],[Current Price]]/Main_L[[#This Row],[BVPS]],""),"")</f>
        <v>-26.317972350230416</v>
      </c>
      <c r="J115">
        <v>-158.31</v>
      </c>
      <c r="K115">
        <v>5.33</v>
      </c>
      <c r="L115">
        <v>-28.73</v>
      </c>
      <c r="M115" s="1">
        <f>IF(ISNUMBER(Main_L[[#This Row],[EPS]]),IF(Main_L[[#This Row],[EPS]]&lt;&gt;0,Main_L[[#This Row],[Current Price]]/Main_L[[#This Row],[EPS]],""),"")</f>
        <v>17.438167938931297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-4.0628932580718202E-2</v>
      </c>
      <c r="P115" s="1">
        <f>(Main_L[[#This Row],[P/B]]-VLOOKUP(Main_L[[#This Row],[Industry]], Mean_PB_L, 2, FALSE))/(VLOOKUP(Main_L[[#This Row],[Industry]], Mean_PB_L, 3, FALSE))</f>
        <v>-1.2711291278428987</v>
      </c>
      <c r="Q115" s="1">
        <f>(Main_L[[#This Row],[ROE]]-VLOOKUP(Main_L[[#This Row],[Industry]], Mean_ROE_L, 2, FALSE))/(VLOOKUP(Main_L[[#This Row],[Industry]], Mean_ROE_L, 3, FALSE))</f>
        <v>-1.2949789700433596</v>
      </c>
      <c r="R115" s="1">
        <f>(Main_L[[#This Row],[ROA]]-VLOOKUP(Main_L[[#This Row],[Industry]], Mean_ROA_L, 2, FALSE))/(VLOOKUP(Main_L[[#This Row],[Industry]], Mean_ROA_L, 3, FALSE))</f>
        <v>-0.46775581632003388</v>
      </c>
      <c r="S115" s="1">
        <f>(Main_L[[#This Row],[A/E]]-VLOOKUP(Main_L[[#This Row],[Industry]], Mean_AE_L, 2, FALSE))/(VLOOKUP(Main_L[[#This Row],[Industry]], Mean_AE_L, 3, FALSE))</f>
        <v>-6.1256755171977506</v>
      </c>
      <c r="T115" s="1">
        <f>(Main_L[[#This Row],[P/E]]-VLOOKUP(Main_L[[#This Row],[Industry]], Mean_PE_L, 2, FALSE))/(VLOOKUP(Main_L[[#This Row],[Industry]], Mean_PE_L, 3, FALSE))</f>
        <v>-1.0800921720022385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6" spans="1:26" x14ac:dyDescent="0.25">
      <c r="A116" s="67" t="s">
        <v>175</v>
      </c>
      <c r="B116" s="67" t="s">
        <v>180</v>
      </c>
      <c r="C116" s="2">
        <v>12242</v>
      </c>
      <c r="D116">
        <f>RTD("tos.rtd", , "LAST", Main_L[[#This Row],[Symbol]])</f>
        <v>85.98</v>
      </c>
      <c r="E116">
        <v>5.2</v>
      </c>
      <c r="F116">
        <v>14.33</v>
      </c>
      <c r="G116">
        <v>4.13</v>
      </c>
      <c r="H116" s="1">
        <f>IF(ISNUMBER(Main_L[[#This Row],[Free CF]]),IF(Main_L[[#This Row],[Free CF]]&lt;&gt;0,Main_L[[#This Row],[Current Price]]/Main_L[[#This Row],[Free CF]],""),"")</f>
        <v>16.534615384615385</v>
      </c>
      <c r="I116" s="1">
        <f>IF(ISNUMBER(Main_L[[#This Row],[BVPS]]),IF(Main_L[[#This Row],[BVPS]]&lt;&gt;0,Main_L[[#This Row],[Current Price]]/Main_L[[#This Row],[BVPS]],""),"")</f>
        <v>6</v>
      </c>
      <c r="J116">
        <v>28.96</v>
      </c>
      <c r="K116">
        <v>11.69</v>
      </c>
      <c r="L116">
        <v>1.66</v>
      </c>
      <c r="M116" s="1">
        <f>IF(ISNUMBER(Main_L[[#This Row],[EPS]]),IF(Main_L[[#This Row],[EPS]]&lt;&gt;0,Main_L[[#This Row],[Current Price]]/Main_L[[#This Row],[EPS]],""),"")</f>
        <v>20.818401937046005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-0.65844109989475197</v>
      </c>
      <c r="P116" s="1">
        <f>(Main_L[[#This Row],[P/B]]-VLOOKUP(Main_L[[#This Row],[Industry]], Mean_PB_L, 2, FALSE))/(VLOOKUP(Main_L[[#This Row],[Industry]], Mean_PB_L, 3, FALSE))</f>
        <v>0.19787751975672005</v>
      </c>
      <c r="Q116" s="1">
        <f>(Main_L[[#This Row],[ROE]]-VLOOKUP(Main_L[[#This Row],[Industry]], Mean_ROE_L, 2, FALSE))/(VLOOKUP(Main_L[[#This Row],[Industry]], Mean_ROE_L, 3, FALSE))</f>
        <v>0.41749798647238007</v>
      </c>
      <c r="R116" s="1">
        <f>(Main_L[[#This Row],[ROA]]-VLOOKUP(Main_L[[#This Row],[Industry]], Mean_ROA_L, 2, FALSE))/(VLOOKUP(Main_L[[#This Row],[Industry]], Mean_ROA_L, 3, FALSE))</f>
        <v>1.1973152611774005</v>
      </c>
      <c r="S116" s="1">
        <f>(Main_L[[#This Row],[A/E]]-VLOOKUP(Main_L[[#This Row],[Industry]], Mean_AE_L, 2, FALSE))/(VLOOKUP(Main_L[[#This Row],[Industry]], Mean_AE_L, 3, FALSE))</f>
        <v>-0.13117289386367753</v>
      </c>
      <c r="T116" s="1">
        <f>(Main_L[[#This Row],[P/E]]-VLOOKUP(Main_L[[#This Row],[Industry]], Mean_PE_L, 2, FALSE))/(VLOOKUP(Main_L[[#This Row],[Industry]], Mean_PE_L, 3, FALSE))</f>
        <v>0.58092539739359872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s="67" t="s">
        <v>175</v>
      </c>
      <c r="B117" s="67" t="s">
        <v>184</v>
      </c>
      <c r="C117" s="2">
        <v>25029</v>
      </c>
      <c r="D117">
        <f>RTD("tos.rtd", , "LAST", Main_L[[#This Row],[Symbol]])</f>
        <v>130.16999999999999</v>
      </c>
      <c r="E117">
        <v>3.67</v>
      </c>
      <c r="F117">
        <v>-3.91</v>
      </c>
      <c r="G117">
        <v>6.85</v>
      </c>
      <c r="H117" s="1">
        <f>IF(ISNUMBER(Main_L[[#This Row],[Free CF]]),IF(Main_L[[#This Row],[Free CF]]&lt;&gt;0,Main_L[[#This Row],[Current Price]]/Main_L[[#This Row],[Free CF]],""),"")</f>
        <v>35.468664850136236</v>
      </c>
      <c r="I117" s="1">
        <f>IF(ISNUMBER(Main_L[[#This Row],[BVPS]]),IF(Main_L[[#This Row],[BVPS]]&lt;&gt;0,Main_L[[#This Row],[Current Price]]/Main_L[[#This Row],[BVPS]],""),"")</f>
        <v>-33.291560102301787</v>
      </c>
      <c r="J117">
        <v>-109.93</v>
      </c>
      <c r="K117">
        <v>14.08</v>
      </c>
      <c r="L117">
        <v>-9.1199999999999992</v>
      </c>
      <c r="M117" s="1">
        <f>IF(ISNUMBER(Main_L[[#This Row],[EPS]]),IF(Main_L[[#This Row],[EPS]]&lt;&gt;0,Main_L[[#This Row],[Current Price]]/Main_L[[#This Row],[EPS]],""),"")</f>
        <v>19.002919708029196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1.5641460205788287</v>
      </c>
      <c r="P117" s="1">
        <f>(Main_L[[#This Row],[P/B]]-VLOOKUP(Main_L[[#This Row],[Industry]], Mean_PB_L, 2, FALSE))/(VLOOKUP(Main_L[[#This Row],[Industry]], Mean_PB_L, 3, FALSE))</f>
        <v>-1.588112094917536</v>
      </c>
      <c r="Q117" s="1">
        <f>(Main_L[[#This Row],[ROE]]-VLOOKUP(Main_L[[#This Row],[Industry]], Mean_ROE_L, 2, FALSE))/(VLOOKUP(Main_L[[#This Row],[Industry]], Mean_ROE_L, 3, FALSE))</f>
        <v>-0.85257156279056168</v>
      </c>
      <c r="R117" s="1">
        <f>(Main_L[[#This Row],[ROA]]-VLOOKUP(Main_L[[#This Row],[Industry]], Mean_ROA_L, 2, FALSE))/(VLOOKUP(Main_L[[#This Row],[Industry]], Mean_ROA_L, 3, FALSE))</f>
        <v>1.8230259333816252</v>
      </c>
      <c r="S117" s="1">
        <f>(Main_L[[#This Row],[A/E]]-VLOOKUP(Main_L[[#This Row],[Industry]], Mean_AE_L, 2, FALSE))/(VLOOKUP(Main_L[[#This Row],[Industry]], Mean_AE_L, 3, FALSE))</f>
        <v>-2.257554541759081</v>
      </c>
      <c r="T117" s="1">
        <f>(Main_L[[#This Row],[P/E]]-VLOOKUP(Main_L[[#This Row],[Industry]], Mean_PE_L, 2, FALSE))/(VLOOKUP(Main_L[[#This Row],[Industry]], Mean_PE_L, 3, FALSE))</f>
        <v>-0.31118677028613229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s="67" t="s">
        <v>175</v>
      </c>
      <c r="B118" s="67" t="s">
        <v>179</v>
      </c>
      <c r="C118" s="2">
        <v>23388</v>
      </c>
      <c r="D118">
        <f>RTD("tos.rtd", , "LAST", Main_L[[#This Row],[Symbol]])</f>
        <v>25.12</v>
      </c>
      <c r="E118">
        <v>2.77</v>
      </c>
      <c r="F118">
        <v>-1.35</v>
      </c>
      <c r="G118">
        <v>2.61</v>
      </c>
      <c r="H118" s="1">
        <f>IF(ISNUMBER(Main_L[[#This Row],[Free CF]]),IF(Main_L[[#This Row],[Free CF]]&lt;&gt;0,Main_L[[#This Row],[Current Price]]/Main_L[[#This Row],[Free CF]],""),"")</f>
        <v>9.0685920577617338</v>
      </c>
      <c r="I118" s="1">
        <f>IF(ISNUMBER(Main_L[[#This Row],[BVPS]]),IF(Main_L[[#This Row],[BVPS]]&lt;&gt;0,Main_L[[#This Row],[Current Price]]/Main_L[[#This Row],[BVPS]],""),"")</f>
        <v>-18.607407407407408</v>
      </c>
      <c r="J118">
        <v>-229.65</v>
      </c>
      <c r="K118">
        <v>6.34</v>
      </c>
      <c r="L118">
        <v>-30.41</v>
      </c>
      <c r="M118" s="1">
        <f>IF(ISNUMBER(Main_L[[#This Row],[EPS]]),IF(Main_L[[#This Row],[EPS]]&lt;&gt;0,Main_L[[#This Row],[Current Price]]/Main_L[[#This Row],[EPS]],""),"")</f>
        <v>9.6245210727969361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-1.5348456597137135</v>
      </c>
      <c r="P118" s="1">
        <f>(Main_L[[#This Row],[P/B]]-VLOOKUP(Main_L[[#This Row],[Industry]], Mean_PB_L, 2, FALSE))/(VLOOKUP(Main_L[[#This Row],[Industry]], Mean_PB_L, 3, FALSE))</f>
        <v>-0.92064701730062581</v>
      </c>
      <c r="Q118" s="1">
        <f>(Main_L[[#This Row],[ROE]]-VLOOKUP(Main_L[[#This Row],[Industry]], Mean_ROE_L, 2, FALSE))/(VLOOKUP(Main_L[[#This Row],[Industry]], Mean_ROE_L, 3, FALSE))</f>
        <v>-1.9473424349754516</v>
      </c>
      <c r="R118" s="1">
        <f>(Main_L[[#This Row],[ROA]]-VLOOKUP(Main_L[[#This Row],[Industry]], Mean_ROA_L, 2, FALSE))/(VLOOKUP(Main_L[[#This Row],[Industry]], Mean_ROA_L, 3, FALSE))</f>
        <v>-0.20333415149732814</v>
      </c>
      <c r="S118" s="1">
        <f>(Main_L[[#This Row],[A/E]]-VLOOKUP(Main_L[[#This Row],[Industry]], Mean_AE_L, 2, FALSE))/(VLOOKUP(Main_L[[#This Row],[Industry]], Mean_AE_L, 3, FALSE))</f>
        <v>-6.4570596701165144</v>
      </c>
      <c r="T118" s="1">
        <f>(Main_L[[#This Row],[P/E]]-VLOOKUP(Main_L[[#This Row],[Industry]], Mean_PE_L, 2, FALSE))/(VLOOKUP(Main_L[[#This Row],[Industry]], Mean_PE_L, 3, FALSE))</f>
        <v>-4.9196502419295234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9" spans="1:26" x14ac:dyDescent="0.25">
      <c r="A119" s="67" t="s">
        <v>175</v>
      </c>
      <c r="B119" s="67" t="s">
        <v>185</v>
      </c>
      <c r="C119" s="2">
        <v>17985</v>
      </c>
      <c r="D119">
        <f>RTD("tos.rtd", , "LAST", Main_L[[#This Row],[Symbol]])</f>
        <v>57.02</v>
      </c>
      <c r="E119">
        <v>2.4900000000000002</v>
      </c>
      <c r="F119">
        <v>14.83</v>
      </c>
      <c r="G119">
        <v>3.03</v>
      </c>
      <c r="H119" s="1">
        <f>IF(ISNUMBER(Main_L[[#This Row],[Free CF]]),IF(Main_L[[#This Row],[Free CF]]&lt;&gt;0,Main_L[[#This Row],[Current Price]]/Main_L[[#This Row],[Free CF]],""),"")</f>
        <v>22.899598393574298</v>
      </c>
      <c r="I119" s="1">
        <f>IF(ISNUMBER(Main_L[[#This Row],[BVPS]]),IF(Main_L[[#This Row],[BVPS]]&lt;&gt;0,Main_L[[#This Row],[Current Price]]/Main_L[[#This Row],[BVPS]],""),"")</f>
        <v>3.8449089683074851</v>
      </c>
      <c r="J119">
        <v>13.56</v>
      </c>
      <c r="K119">
        <v>5.56</v>
      </c>
      <c r="L119">
        <v>3.16</v>
      </c>
      <c r="M119" s="1">
        <f>IF(ISNUMBER(Main_L[[#This Row],[EPS]]),IF(Main_L[[#This Row],[EPS]]&lt;&gt;0,Main_L[[#This Row],[Current Price]]/Main_L[[#This Row],[EPS]],""),"")</f>
        <v>18.81848184818482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8.8717044141294485E-2</v>
      </c>
      <c r="P119" s="1">
        <f>(Main_L[[#This Row],[P/B]]-VLOOKUP(Main_L[[#This Row],[Industry]], Mean_PB_L, 2, FALSE))/(VLOOKUP(Main_L[[#This Row],[Industry]], Mean_PB_L, 3, FALSE))</f>
        <v>9.9918309400626848E-2</v>
      </c>
      <c r="Q119" s="1">
        <f>(Main_L[[#This Row],[ROE]]-VLOOKUP(Main_L[[#This Row],[Industry]], Mean_ROE_L, 2, FALSE))/(VLOOKUP(Main_L[[#This Row],[Industry]], Mean_ROE_L, 3, FALSE))</f>
        <v>0.27667380144358533</v>
      </c>
      <c r="R119" s="1">
        <f>(Main_L[[#This Row],[ROA]]-VLOOKUP(Main_L[[#This Row],[Industry]], Mean_ROA_L, 2, FALSE))/(VLOOKUP(Main_L[[#This Row],[Industry]], Mean_ROA_L, 3, FALSE))</f>
        <v>-0.40754098175644754</v>
      </c>
      <c r="S119" s="1">
        <f>(Main_L[[#This Row],[A/E]]-VLOOKUP(Main_L[[#This Row],[Industry]], Mean_AE_L, 2, FALSE))/(VLOOKUP(Main_L[[#This Row],[Industry]], Mean_AE_L, 3, FALSE))</f>
        <v>0.1647058140995048</v>
      </c>
      <c r="T119" s="1">
        <f>(Main_L[[#This Row],[P/E]]-VLOOKUP(Main_L[[#This Row],[Industry]], Mean_PE_L, 2, FALSE))/(VLOOKUP(Main_L[[#This Row],[Industry]], Mean_PE_L, 3, FALSE))</f>
        <v>-0.40181792950000383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s="67" t="s">
        <v>175</v>
      </c>
      <c r="B120" s="67" t="s">
        <v>182</v>
      </c>
      <c r="C120" s="2">
        <v>17532</v>
      </c>
      <c r="D120">
        <f>RTD("tos.rtd", , "LAST", Main_L[[#This Row],[Symbol]])</f>
        <v>55.54</v>
      </c>
      <c r="E120">
        <v>1.73</v>
      </c>
      <c r="F120">
        <v>3.81</v>
      </c>
      <c r="G120">
        <v>0.37</v>
      </c>
      <c r="H120" s="1">
        <f>IF(ISNUMBER(Main_L[[#This Row],[Free CF]]),IF(Main_L[[#This Row],[Free CF]]&lt;&gt;0,Main_L[[#This Row],[Current Price]]/Main_L[[#This Row],[Free CF]],""),"")</f>
        <v>32.104046242774565</v>
      </c>
      <c r="I120" s="1">
        <f>IF(ISNUMBER(Main_L[[#This Row],[BVPS]]),IF(Main_L[[#This Row],[BVPS]]&lt;&gt;0,Main_L[[#This Row],[Current Price]]/Main_L[[#This Row],[BVPS]],""),"")</f>
        <v>14.57742782152231</v>
      </c>
      <c r="J120">
        <v>9.76</v>
      </c>
      <c r="K120">
        <v>1.61</v>
      </c>
      <c r="L120">
        <v>3.06</v>
      </c>
      <c r="M120" s="1">
        <f>IF(ISNUMBER(Main_L[[#This Row],[EPS]]),IF(Main_L[[#This Row],[EPS]]&lt;&gt;0,Main_L[[#This Row],[Current Price]]/Main_L[[#This Row],[EPS]],""),"")</f>
        <v>150.1081081081081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1.1691878265778239</v>
      </c>
      <c r="P120" s="1">
        <f>(Main_L[[#This Row],[P/B]]-VLOOKUP(Main_L[[#This Row],[Industry]], Mean_PB_L, 2, FALSE))/(VLOOKUP(Main_L[[#This Row],[Industry]], Mean_PB_L, 3, FALSE))</f>
        <v>0.58776270044109402</v>
      </c>
      <c r="Q120" s="1">
        <f>(Main_L[[#This Row],[ROE]]-VLOOKUP(Main_L[[#This Row],[Industry]], Mean_ROE_L, 2, FALSE))/(VLOOKUP(Main_L[[#This Row],[Industry]], Mean_ROE_L, 3, FALSE))</f>
        <v>0.24192497656635026</v>
      </c>
      <c r="R120" s="1">
        <f>(Main_L[[#This Row],[ROA]]-VLOOKUP(Main_L[[#This Row],[Industry]], Mean_ROA_L, 2, FALSE))/(VLOOKUP(Main_L[[#This Row],[Industry]], Mean_ROA_L, 3, FALSE))</f>
        <v>-1.4416653144789107</v>
      </c>
      <c r="S120" s="1">
        <f>(Main_L[[#This Row],[A/E]]-VLOOKUP(Main_L[[#This Row],[Industry]], Mean_AE_L, 2, FALSE))/(VLOOKUP(Main_L[[#This Row],[Industry]], Mean_AE_L, 3, FALSE))</f>
        <v>0.14498056690195929</v>
      </c>
      <c r="T120" s="1">
        <f>(Main_L[[#This Row],[P/E]]-VLOOKUP(Main_L[[#This Row],[Industry]], Mean_PE_L, 2, FALSE))/(VLOOKUP(Main_L[[#This Row],[Industry]], Mean_PE_L, 3, FALSE))</f>
        <v>64.11276183591697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1" spans="1:26" x14ac:dyDescent="0.25">
      <c r="A121" s="67" t="s">
        <v>175</v>
      </c>
      <c r="B121" s="67" t="s">
        <v>178</v>
      </c>
      <c r="C121" s="2">
        <v>22699</v>
      </c>
      <c r="D121">
        <f>RTD("tos.rtd", , "LAST", Main_L[[#This Row],[Symbol]])</f>
        <v>18.309999999999999</v>
      </c>
      <c r="E121">
        <v>1.24</v>
      </c>
      <c r="F121">
        <v>19.21</v>
      </c>
      <c r="G121">
        <v>2.08</v>
      </c>
      <c r="H121" s="1">
        <f>IF(ISNUMBER(Main_L[[#This Row],[Free CF]]),IF(Main_L[[#This Row],[Free CF]]&lt;&gt;0,Main_L[[#This Row],[Current Price]]/Main_L[[#This Row],[Free CF]],""),"")</f>
        <v>14.766129032258064</v>
      </c>
      <c r="I121" s="1">
        <f>IF(ISNUMBER(Main_L[[#This Row],[BVPS]]),IF(Main_L[[#This Row],[BVPS]]&lt;&gt;0,Main_L[[#This Row],[Current Price]]/Main_L[[#This Row],[BVPS]],""),"")</f>
        <v>0.9531494013534616</v>
      </c>
      <c r="J121">
        <v>12.06</v>
      </c>
      <c r="K121">
        <v>2.4700000000000002</v>
      </c>
      <c r="L121">
        <v>2.79</v>
      </c>
      <c r="M121" s="1">
        <f>IF(ISNUMBER(Main_L[[#This Row],[EPS]]),IF(Main_L[[#This Row],[EPS]]&lt;&gt;0,Main_L[[#This Row],[Current Price]]/Main_L[[#This Row],[EPS]],""),"")</f>
        <v>8.802884615384615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-0.86603615221783725</v>
      </c>
      <c r="P121" s="1">
        <f>(Main_L[[#This Row],[P/B]]-VLOOKUP(Main_L[[#This Row],[Industry]], Mean_PB_L, 2, FALSE))/(VLOOKUP(Main_L[[#This Row],[Industry]], Mean_PB_L, 3, FALSE))</f>
        <v>-3.1526014552604356E-2</v>
      </c>
      <c r="Q121" s="1">
        <f>(Main_L[[#This Row],[ROE]]-VLOOKUP(Main_L[[#This Row],[Industry]], Mean_ROE_L, 2, FALSE))/(VLOOKUP(Main_L[[#This Row],[Industry]], Mean_ROE_L, 3, FALSE))</f>
        <v>0.26295716004467679</v>
      </c>
      <c r="R121" s="1">
        <f>(Main_L[[#This Row],[ROA]]-VLOOKUP(Main_L[[#This Row],[Industry]], Mean_ROA_L, 2, FALSE))/(VLOOKUP(Main_L[[#This Row],[Industry]], Mean_ROA_L, 3, FALSE))</f>
        <v>-1.2165141939368047</v>
      </c>
      <c r="S121" s="1">
        <f>(Main_L[[#This Row],[A/E]]-VLOOKUP(Main_L[[#This Row],[Industry]], Mean_AE_L, 2, FALSE))/(VLOOKUP(Main_L[[#This Row],[Industry]], Mean_AE_L, 3, FALSE))</f>
        <v>9.1722399468586471E-2</v>
      </c>
      <c r="T121" s="1">
        <f>(Main_L[[#This Row],[P/E]]-VLOOKUP(Main_L[[#This Row],[Industry]], Mean_PE_L, 2, FALSE))/(VLOOKUP(Main_L[[#This Row],[Industry]], Mean_PE_L, 3, FALSE))</f>
        <v>-5.3233952466183103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2" spans="1:26" x14ac:dyDescent="0.25">
      <c r="A122" s="67" t="s">
        <v>175</v>
      </c>
      <c r="B122" s="67" t="s">
        <v>183</v>
      </c>
      <c r="C122" s="2">
        <v>23885</v>
      </c>
      <c r="D122">
        <f>RTD("tos.rtd", , "LAST", Main_L[[#This Row],[Symbol]])</f>
        <v>43.12</v>
      </c>
      <c r="E122">
        <v>0.05</v>
      </c>
      <c r="F122">
        <v>10.69</v>
      </c>
      <c r="G122">
        <v>1.83</v>
      </c>
      <c r="H122" s="1">
        <f>IF(ISNUMBER(Main_L[[#This Row],[Free CF]]),IF(Main_L[[#This Row],[Free CF]]&lt;&gt;0,Main_L[[#This Row],[Current Price]]/Main_L[[#This Row],[Free CF]],""),"")</f>
        <v>862.39999999999986</v>
      </c>
      <c r="I122" s="1">
        <f>IF(ISNUMBER(Main_L[[#This Row],[BVPS]]),IF(Main_L[[#This Row],[BVPS]]&lt;&gt;0,Main_L[[#This Row],[Current Price]]/Main_L[[#This Row],[BVPS]],""),"")</f>
        <v>4.0336763330215151</v>
      </c>
      <c r="J122">
        <v>20.059999999999999</v>
      </c>
      <c r="K122">
        <v>8.3699999999999992</v>
      </c>
      <c r="L122">
        <v>1.68</v>
      </c>
      <c r="M122" s="1">
        <f>IF(ISNUMBER(Main_L[[#This Row],[EPS]]),IF(Main_L[[#This Row],[EPS]]&lt;&gt;0,Main_L[[#This Row],[Current Price]]/Main_L[[#This Row],[EPS]],""),"")</f>
        <v>23.562841530054641</v>
      </c>
      <c r="N1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2" s="1">
        <f>(Main_L[[#This Row],[P/FCF]]-VLOOKUP(Main_L[[#This Row],[Industry]], Mean_PFCF_L, 2, FALSE))/(VLOOKUP(Main_L[[#This Row],[Industry]], Mean_PFCF_L, 3, FALSE))</f>
        <v>98.63408018162545</v>
      </c>
      <c r="P122" s="1">
        <f>(Main_L[[#This Row],[P/B]]-VLOOKUP(Main_L[[#This Row],[Industry]], Mean_PB_L, 2, FALSE))/(VLOOKUP(Main_L[[#This Row],[Industry]], Mean_PB_L, 3, FALSE))</f>
        <v>0.10849869032953109</v>
      </c>
      <c r="Q122" s="1">
        <f>(Main_L[[#This Row],[ROE]]-VLOOKUP(Main_L[[#This Row],[Industry]], Mean_ROE_L, 2, FALSE))/(VLOOKUP(Main_L[[#This Row],[Industry]], Mean_ROE_L, 3, FALSE))</f>
        <v>0.33611258083885581</v>
      </c>
      <c r="R122" s="1">
        <f>(Main_L[[#This Row],[ROA]]-VLOOKUP(Main_L[[#This Row],[Industry]], Mean_ROA_L, 2, FALSE))/(VLOOKUP(Main_L[[#This Row],[Industry]], Mean_ROA_L, 3, FALSE))</f>
        <v>0.3281272144334566</v>
      </c>
      <c r="S122" s="1">
        <f>(Main_L[[#This Row],[A/E]]-VLOOKUP(Main_L[[#This Row],[Industry]], Mean_AE_L, 2, FALSE))/(VLOOKUP(Main_L[[#This Row],[Industry]], Mean_AE_L, 3, FALSE))</f>
        <v>-0.12722784442416843</v>
      </c>
      <c r="T122" s="1">
        <f>(Main_L[[#This Row],[P/E]]-VLOOKUP(Main_L[[#This Row],[Industry]], Mean_PE_L, 2, FALSE))/(VLOOKUP(Main_L[[#This Row],[Industry]], Mean_PE_L, 3, FALSE))</f>
        <v>1.9295191292699714</v>
      </c>
      <c r="U1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29"/>
  <sheetViews>
    <sheetView topLeftCell="H1" workbookViewId="0">
      <selection activeCell="B24" sqref="B24"/>
    </sheetView>
  </sheetViews>
  <sheetFormatPr defaultRowHeight="15" x14ac:dyDescent="0.25"/>
  <cols>
    <col min="1" max="1" width="45.5703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165</v>
      </c>
      <c r="B2" s="67" t="s">
        <v>292</v>
      </c>
      <c r="C2" s="2">
        <v>2997</v>
      </c>
      <c r="D2">
        <f>RTD("tos.rtd", , "LAST", Main_M[[#This Row],[Symbol]])</f>
        <v>48.22</v>
      </c>
      <c r="E2">
        <v>0.79</v>
      </c>
      <c r="F2">
        <v>11.68</v>
      </c>
      <c r="G2">
        <v>-0.52</v>
      </c>
      <c r="H2" s="1">
        <f>IF(ISNUMBER(Main_M[[#This Row],[Free CF]]),IF(Main_M[[#This Row],[Free CF]]&lt;&gt;0,Main_M[[#This Row],[Current Price]]/Main_M[[#This Row],[Free CF]],""),"")</f>
        <v>61.037974683544299</v>
      </c>
      <c r="I2" s="1">
        <f>IF(ISNUMBER(Main_M[[#This Row],[BVPS]]),IF(Main_M[[#This Row],[BVPS]]&lt;&gt;0,Main_M[[#This Row],[Current Price]]/Main_M[[#This Row],[BVPS]],""),"")</f>
        <v>4.1284246575342465</v>
      </c>
      <c r="J2">
        <v>-4.59</v>
      </c>
      <c r="K2">
        <v>-3.2</v>
      </c>
      <c r="L2">
        <v>1.2</v>
      </c>
      <c r="M2" s="1">
        <f>IF(ISNUMBER(Main_M[[#This Row],[EPS]]),IF(Main_M[[#This Row],[EPS]]&lt;&gt;0,Main_M[[#This Row],[Current Price]]/Main_M[[#This Row],[EPS]],""),"")</f>
        <v>-92.730769230769226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1.4068646672146072</v>
      </c>
      <c r="P2" s="1">
        <f>(Main_M[[#This Row],[P/B]]-VLOOKUP(Main_M[[#This Row],[Industry]], Mean_PB_M, 2, FALSE))/(VLOOKUP(Main_M[[#This Row],[Industry]], Mean_PB_M, 3, FALSE))</f>
        <v>-0.60658151559819107</v>
      </c>
      <c r="Q2" s="1">
        <f>(Main_M[[#This Row],[ROE]]-VLOOKUP(Main_M[[#This Row],[Industry]], Mean_ROE_M, 2, FALSE))/(VLOOKUP(Main_M[[#This Row],[Industry]], Mean_ROE_M, 3, FALSE))</f>
        <v>0.52269986253369749</v>
      </c>
      <c r="R2" s="1">
        <f>(Main_M[[#This Row],[ROA]]-VLOOKUP(Main_M[[#This Row],[Industry]], Mean_ROA_M, 2, FALSE))/(VLOOKUP(Main_M[[#This Row],[Industry]], Mean_ROA_M, 3, FALSE))</f>
        <v>-0.85963865697152919</v>
      </c>
      <c r="S2" s="1">
        <f>(Main_M[[#This Row],[A/E]]-VLOOKUP(Main_M[[#This Row],[Industry]], Mean_AE_M, 2, FALSE))/(VLOOKUP(Main_M[[#This Row],[Industry]], Mean_AE_M, 3, FALSE))</f>
        <v>-1.3509793821978588</v>
      </c>
      <c r="T2" s="1">
        <f>(Main_M[[#This Row],[P/E]]-VLOOKUP(Main_M[[#This Row],[Industry]], Mean_PE_M, 2, FALSE))/(VLOOKUP(Main_M[[#This Row],[Industry]], Mean_PE_M, 3, FALSE))</f>
        <v>-0.90346392967355549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7" t="s">
        <v>165</v>
      </c>
      <c r="B3" s="67" t="s">
        <v>427</v>
      </c>
      <c r="C3" s="2">
        <v>2087</v>
      </c>
      <c r="D3">
        <f>RTD("tos.rtd", , "LAST", Main_M[[#This Row],[Symbol]])</f>
        <v>16.829999999999998</v>
      </c>
      <c r="E3">
        <v>0.48</v>
      </c>
      <c r="F3">
        <v>0.54</v>
      </c>
      <c r="G3">
        <v>-0.41</v>
      </c>
      <c r="H3" s="1">
        <f>IF(ISNUMBER(Main_M[[#This Row],[Free CF]]),IF(Main_M[[#This Row],[Free CF]]&lt;&gt;0,Main_M[[#This Row],[Current Price]]/Main_M[[#This Row],[Free CF]],""),"")</f>
        <v>35.0625</v>
      </c>
      <c r="I3" s="1">
        <f>IF(ISNUMBER(Main_M[[#This Row],[BVPS]]),IF(Main_M[[#This Row],[BVPS]]&lt;&gt;0,Main_M[[#This Row],[Current Price]]/Main_M[[#This Row],[BVPS]],""),"")</f>
        <v>31.166666666666661</v>
      </c>
      <c r="J3">
        <v>-78.83</v>
      </c>
      <c r="K3">
        <v>-1.0900000000000001</v>
      </c>
      <c r="L3">
        <v>14.96</v>
      </c>
      <c r="M3" s="1">
        <f>IF(ISNUMBER(Main_M[[#This Row],[EPS]]),IF(Main_M[[#This Row],[EPS]]&lt;&gt;0,Main_M[[#This Row],[Current Price]]/Main_M[[#This Row],[EPS]],""),"")</f>
        <v>-41.048780487804876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-0.57873728114993273</v>
      </c>
      <c r="P3" s="1">
        <f>(Main_M[[#This Row],[P/B]]-VLOOKUP(Main_M[[#This Row],[Industry]], Mean_PB_M, 2, FALSE))/(VLOOKUP(Main_M[[#This Row],[Industry]], Mean_PB_M, 3, FALSE))</f>
        <v>1.7214804384870619</v>
      </c>
      <c r="Q3" s="1">
        <f>(Main_M[[#This Row],[ROE]]-VLOOKUP(Main_M[[#This Row],[Industry]], Mean_ROE_M, 2, FALSE))/(VLOOKUP(Main_M[[#This Row],[Industry]], Mean_ROE_M, 3, FALSE))</f>
        <v>-1.664003495659794</v>
      </c>
      <c r="R3" s="1">
        <f>(Main_M[[#This Row],[ROA]]-VLOOKUP(Main_M[[#This Row],[Industry]], Mean_ROA_M, 2, FALSE))/(VLOOKUP(Main_M[[#This Row],[Industry]], Mean_ROA_M, 3, FALSE))</f>
        <v>-7.9157776502541827E-2</v>
      </c>
      <c r="S3" s="1">
        <f>(Main_M[[#This Row],[A/E]]-VLOOKUP(Main_M[[#This Row],[Industry]], Mean_AE_M, 2, FALSE))/(VLOOKUP(Main_M[[#This Row],[Industry]], Mean_AE_M, 3, FALSE))</f>
        <v>10.340515145501852</v>
      </c>
      <c r="T3" s="1">
        <f>(Main_M[[#This Row],[P/E]]-VLOOKUP(Main_M[[#This Row],[Industry]], Mean_PE_M, 2, FALSE))/(VLOOKUP(Main_M[[#This Row],[Industry]], Mean_PE_M, 3, FALSE))</f>
        <v>-0.75705677286211825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7" t="s">
        <v>165</v>
      </c>
      <c r="B4" s="67" t="s">
        <v>294</v>
      </c>
      <c r="C4" s="2">
        <v>2034</v>
      </c>
      <c r="D4">
        <f>RTD("tos.rtd", , "LAST", Main_M[[#This Row],[Symbol]])</f>
        <v>9.5399999999999991</v>
      </c>
      <c r="E4">
        <v>0.3</v>
      </c>
      <c r="F4">
        <v>3.27</v>
      </c>
      <c r="G4">
        <v>0.02</v>
      </c>
      <c r="H4" s="1">
        <f>IF(ISNUMBER(Main_M[[#This Row],[Free CF]]),IF(Main_M[[#This Row],[Free CF]]&lt;&gt;0,Main_M[[#This Row],[Current Price]]/Main_M[[#This Row],[Free CF]],""),"")</f>
        <v>31.799999999999997</v>
      </c>
      <c r="I4" s="1">
        <f>IF(ISNUMBER(Main_M[[#This Row],[BVPS]]),IF(Main_M[[#This Row],[BVPS]]&lt;&gt;0,Main_M[[#This Row],[Current Price]]/Main_M[[#This Row],[BVPS]],""),"")</f>
        <v>2.9174311926605503</v>
      </c>
      <c r="J4">
        <v>0.71</v>
      </c>
      <c r="K4">
        <v>1.55</v>
      </c>
      <c r="L4">
        <v>2.65</v>
      </c>
      <c r="M4" s="1">
        <f>IF(ISNUMBER(Main_M[[#This Row],[EPS]]),IF(Main_M[[#This Row],[EPS]]&lt;&gt;0,Main_M[[#This Row],[Current Price]]/Main_M[[#This Row],[EPS]],""),"")</f>
        <v>476.99999999999994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-0.82812738606467395</v>
      </c>
      <c r="P4" s="1">
        <f>(Main_M[[#This Row],[P/B]]-VLOOKUP(Main_M[[#This Row],[Industry]], Mean_PB_M, 2, FALSE))/(VLOOKUP(Main_M[[#This Row],[Industry]], Mean_PB_M, 3, FALSE))</f>
        <v>-0.71085115751004657</v>
      </c>
      <c r="Q4" s="1">
        <f>(Main_M[[#This Row],[ROE]]-VLOOKUP(Main_M[[#This Row],[Industry]], Mean_ROE_M, 2, FALSE))/(VLOOKUP(Main_M[[#This Row],[Industry]], Mean_ROE_M, 3, FALSE))</f>
        <v>0.67880880378404107</v>
      </c>
      <c r="R4" s="1">
        <f>(Main_M[[#This Row],[ROA]]-VLOOKUP(Main_M[[#This Row],[Industry]], Mean_ROA_M, 2, FALSE))/(VLOOKUP(Main_M[[#This Row],[Industry]], Mean_ROA_M, 3, FALSE))</f>
        <v>0.89736806446339501</v>
      </c>
      <c r="S4" s="1">
        <f>(Main_M[[#This Row],[A/E]]-VLOOKUP(Main_M[[#This Row],[Industry]], Mean_AE_M, 2, FALSE))/(VLOOKUP(Main_M[[#This Row],[Industry]], Mean_AE_M, 3, FALSE))</f>
        <v>-0.11895415943880529</v>
      </c>
      <c r="T4" s="1">
        <f>(Main_M[[#This Row],[P/E]]-VLOOKUP(Main_M[[#This Row],[Industry]], Mean_PE_M, 2, FALSE))/(VLOOKUP(Main_M[[#This Row],[Industry]], Mean_PE_M, 3, FALSE))</f>
        <v>0.71049606102872132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7" t="s">
        <v>165</v>
      </c>
      <c r="B5" s="67" t="s">
        <v>497</v>
      </c>
      <c r="C5" s="2">
        <v>9050</v>
      </c>
      <c r="D5">
        <f>RTD("tos.rtd", , "LAST", Main_M[[#This Row],[Symbol]])</f>
        <v>208.14490000000001</v>
      </c>
      <c r="E5">
        <v>0.23</v>
      </c>
      <c r="F5">
        <v>1.97</v>
      </c>
      <c r="G5">
        <v>0.26</v>
      </c>
      <c r="H5" s="1">
        <f>IF(ISNUMBER(Main_M[[#This Row],[Free CF]]),IF(Main_M[[#This Row],[Free CF]]&lt;&gt;0,Main_M[[#This Row],[Current Price]]/Main_M[[#This Row],[Free CF]],""),"")</f>
        <v>904.9778260869565</v>
      </c>
      <c r="I5" s="1">
        <f>IF(ISNUMBER(Main_M[[#This Row],[BVPS]]),IF(Main_M[[#This Row],[BVPS]]&lt;&gt;0,Main_M[[#This Row],[Current Price]]/Main_M[[#This Row],[BVPS]],""),"")</f>
        <v>105.65730964467005</v>
      </c>
      <c r="J5">
        <v>13.82</v>
      </c>
      <c r="K5">
        <v>2.73</v>
      </c>
      <c r="L5">
        <v>2.79</v>
      </c>
      <c r="M5" s="1">
        <f>IF(ISNUMBER(Main_M[[#This Row],[EPS]]),IF(Main_M[[#This Row],[EPS]]&lt;&gt;0,Main_M[[#This Row],[Current Price]]/Main_M[[#This Row],[EPS]],""),"")</f>
        <v>800.55730769230775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65.918818102686757</v>
      </c>
      <c r="P5" s="1">
        <f>(Main_M[[#This Row],[P/B]]-VLOOKUP(Main_M[[#This Row],[Industry]], Mean_PB_M, 2, FALSE))/(VLOOKUP(Main_M[[#This Row],[Industry]], Mean_PB_M, 3, FALSE))</f>
        <v>8.135315768234598</v>
      </c>
      <c r="Q5" s="1">
        <f>(Main_M[[#This Row],[ROE]]-VLOOKUP(Main_M[[#This Row],[Industry]], Mean_ROE_M, 2, FALSE))/(VLOOKUP(Main_M[[#This Row],[Industry]], Mean_ROE_M, 3, FALSE))</f>
        <v>1.0649575244995135</v>
      </c>
      <c r="R5" s="1">
        <f>(Main_M[[#This Row],[ROA]]-VLOOKUP(Main_M[[#This Row],[Industry]], Mean_ROA_M, 2, FALSE))/(VLOOKUP(Main_M[[#This Row],[Industry]], Mean_ROA_M, 3, FALSE))</f>
        <v>1.3338455236830182</v>
      </c>
      <c r="S5" s="1">
        <f>(Main_M[[#This Row],[A/E]]-VLOOKUP(Main_M[[#This Row],[Industry]], Mean_AE_M, 2, FALSE))/(VLOOKUP(Main_M[[#This Row],[Industry]], Mean_AE_M, 3, FALSE))</f>
        <v>0</v>
      </c>
      <c r="T5" s="1">
        <f>(Main_M[[#This Row],[P/E]]-VLOOKUP(Main_M[[#This Row],[Industry]], Mean_PE_M, 2, FALSE))/(VLOOKUP(Main_M[[#This Row],[Industry]], Mean_PE_M, 3, FALSE))</f>
        <v>1.6270843471411229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165</v>
      </c>
      <c r="B6" s="67" t="s">
        <v>293</v>
      </c>
      <c r="C6" s="2">
        <v>5016</v>
      </c>
      <c r="D6">
        <f>RTD("tos.rtd", , "LAST", Main_M[[#This Row],[Symbol]])</f>
        <v>82.11</v>
      </c>
      <c r="E6">
        <v>-1.52</v>
      </c>
      <c r="F6">
        <v>12.67</v>
      </c>
      <c r="G6">
        <v>-6.41</v>
      </c>
      <c r="H6" s="1">
        <f>IF(ISNUMBER(Main_M[[#This Row],[Free CF]]),IF(Main_M[[#This Row],[Free CF]]&lt;&gt;0,Main_M[[#This Row],[Current Price]]/Main_M[[#This Row],[Free CF]],""),"")</f>
        <v>-54.01973684210526</v>
      </c>
      <c r="I6" s="1">
        <f>IF(ISNUMBER(Main_M[[#This Row],[BVPS]]),IF(Main_M[[#This Row],[BVPS]]&lt;&gt;0,Main_M[[#This Row],[Current Price]]/Main_M[[#This Row],[BVPS]],""),"")</f>
        <v>6.4806629834254146</v>
      </c>
      <c r="J6">
        <v>-42.79</v>
      </c>
      <c r="K6">
        <v>-4.37</v>
      </c>
      <c r="L6">
        <v>4.5199999999999996</v>
      </c>
      <c r="M6" s="1">
        <f>IF(ISNUMBER(Main_M[[#This Row],[EPS]]),IF(Main_M[[#This Row],[EPS]]&lt;&gt;0,Main_M[[#This Row],[Current Price]]/Main_M[[#This Row],[EPS]],""),"")</f>
        <v>-12.809672386895475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-7.3883092020978056</v>
      </c>
      <c r="P6" s="1">
        <f>(Main_M[[#This Row],[P/B]]-VLOOKUP(Main_M[[#This Row],[Industry]], Mean_PB_M, 2, FALSE))/(VLOOKUP(Main_M[[#This Row],[Industry]], Mean_PB_M, 3, FALSE))</f>
        <v>-0.4040477653788242</v>
      </c>
      <c r="Q6" s="1">
        <f>(Main_M[[#This Row],[ROE]]-VLOOKUP(Main_M[[#This Row],[Industry]], Mean_ROE_M, 2, FALSE))/(VLOOKUP(Main_M[[#This Row],[Industry]], Mean_ROE_M, 3, FALSE))</f>
        <v>-0.60246269515745776</v>
      </c>
      <c r="R6" s="1">
        <f>(Main_M[[#This Row],[ROA]]-VLOOKUP(Main_M[[#This Row],[Industry]], Mean_ROA_M, 2, FALSE))/(VLOOKUP(Main_M[[#This Row],[Industry]], Mean_ROA_M, 3, FALSE))</f>
        <v>-1.292417154672342</v>
      </c>
      <c r="S6" s="1">
        <f>(Main_M[[#This Row],[A/E]]-VLOOKUP(Main_M[[#This Row],[Industry]], Mean_AE_M, 2, FALSE))/(VLOOKUP(Main_M[[#This Row],[Industry]], Mean_AE_M, 3, FALSE))</f>
        <v>1.4699335416366637</v>
      </c>
      <c r="T6" s="1">
        <f>(Main_M[[#This Row],[P/E]]-VLOOKUP(Main_M[[#This Row],[Industry]], Mean_PE_M, 2, FALSE))/(VLOOKUP(Main_M[[#This Row],[Industry]], Mean_PE_M, 3, FALSE))</f>
        <v>-0.67705970563417028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186</v>
      </c>
      <c r="B7" s="67" t="s">
        <v>492</v>
      </c>
      <c r="C7" s="2">
        <v>2958</v>
      </c>
      <c r="D7">
        <f>RTD("tos.rtd", , "LAST", Main_M[[#This Row],[Symbol]])</f>
        <v>4.95</v>
      </c>
      <c r="F7">
        <v>6.75</v>
      </c>
      <c r="G7">
        <v>0.62</v>
      </c>
      <c r="H7" s="1" t="str">
        <f>IF(ISNUMBER(Main_M[[#This Row],[Free CF]]),IF(Main_M[[#This Row],[Free CF]]&lt;&gt;0,Main_M[[#This Row],[Current Price]]/Main_M[[#This Row],[Free CF]],""),"")</f>
        <v/>
      </c>
      <c r="I7" s="1">
        <f>IF(ISNUMBER(Main_M[[#This Row],[BVPS]]),IF(Main_M[[#This Row],[BVPS]]&lt;&gt;0,Main_M[[#This Row],[Current Price]]/Main_M[[#This Row],[BVPS]],""),"")</f>
        <v>0.73333333333333339</v>
      </c>
      <c r="J7">
        <v>5.72</v>
      </c>
      <c r="K7">
        <v>3.39</v>
      </c>
      <c r="L7">
        <v>1.37</v>
      </c>
      <c r="M7" s="1">
        <f>IF(ISNUMBER(Main_M[[#This Row],[EPS]]),IF(Main_M[[#This Row],[EPS]]&lt;&gt;0,Main_M[[#This Row],[Current Price]]/Main_M[[#This Row],[EPS]],""),"")</f>
        <v>7.9838709677419359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 t="e">
        <f>(Main_M[[#This Row],[P/FCF]]-VLOOKUP(Main_M[[#This Row],[Industry]], Mean_PFCF_M, 2, FALSE))/(VLOOKUP(Main_M[[#This Row],[Industry]], Mean_PFCF_M, 3, FALSE))</f>
        <v>#VALUE!</v>
      </c>
      <c r="P7" s="1">
        <f>(Main_M[[#This Row],[P/B]]-VLOOKUP(Main_M[[#This Row],[Industry]], Mean_PB_M, 2, FALSE))/(VLOOKUP(Main_M[[#This Row],[Industry]], Mean_PB_M, 3, FALSE))</f>
        <v>-1.3557870533549923</v>
      </c>
      <c r="Q7" s="1">
        <f>(Main_M[[#This Row],[ROE]]-VLOOKUP(Main_M[[#This Row],[Industry]], Mean_ROE_M, 2, FALSE))/(VLOOKUP(Main_M[[#This Row],[Industry]], Mean_ROE_M, 3, FALSE))</f>
        <v>-0.29040616767700334</v>
      </c>
      <c r="R7" s="1">
        <f>(Main_M[[#This Row],[ROA]]-VLOOKUP(Main_M[[#This Row],[Industry]], Mean_ROA_M, 2, FALSE))/(VLOOKUP(Main_M[[#This Row],[Industry]], Mean_ROA_M, 3, FALSE))</f>
        <v>-0.47466002927732237</v>
      </c>
      <c r="S7" s="1">
        <f>(Main_M[[#This Row],[A/E]]-VLOOKUP(Main_M[[#This Row],[Industry]], Mean_AE_M, 2, FALSE))/(VLOOKUP(Main_M[[#This Row],[Industry]], Mean_AE_M, 3, FALSE))</f>
        <v>-1.0219988049907285</v>
      </c>
      <c r="T7" s="1">
        <f>(Main_M[[#This Row],[P/E]]-VLOOKUP(Main_M[[#This Row],[Industry]], Mean_PE_M, 2, FALSE))/(VLOOKUP(Main_M[[#This Row],[Industry]], Mean_PE_M, 3, FALSE))</f>
        <v>-0.92474097251137433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186</v>
      </c>
      <c r="B8" s="67" t="s">
        <v>316</v>
      </c>
      <c r="C8" s="2">
        <v>6141</v>
      </c>
      <c r="D8">
        <f>RTD("tos.rtd", , "LAST", Main_M[[#This Row],[Symbol]])</f>
        <v>123.28</v>
      </c>
      <c r="E8">
        <v>18.77</v>
      </c>
      <c r="F8">
        <v>114.23</v>
      </c>
      <c r="G8">
        <v>7.28</v>
      </c>
      <c r="H8" s="1">
        <f>IF(ISNUMBER(Main_M[[#This Row],[Free CF]]),IF(Main_M[[#This Row],[Free CF]]&lt;&gt;0,Main_M[[#This Row],[Current Price]]/Main_M[[#This Row],[Free CF]],""),"")</f>
        <v>6.5679275439531173</v>
      </c>
      <c r="I8" s="1">
        <f>IF(ISNUMBER(Main_M[[#This Row],[BVPS]]),IF(Main_M[[#This Row],[BVPS]]&lt;&gt;0,Main_M[[#This Row],[Current Price]]/Main_M[[#This Row],[BVPS]],""),"")</f>
        <v>1.0792261227348332</v>
      </c>
      <c r="J8">
        <v>6.63</v>
      </c>
      <c r="K8">
        <v>2.81</v>
      </c>
      <c r="L8">
        <v>3.61</v>
      </c>
      <c r="M8" s="1">
        <f>IF(ISNUMBER(Main_M[[#This Row],[EPS]]),IF(Main_M[[#This Row],[EPS]]&lt;&gt;0,Main_M[[#This Row],[Current Price]]/Main_M[[#This Row],[EPS]],""),"")</f>
        <v>16.934065934065934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-1.20085879247477</v>
      </c>
      <c r="P8" s="1">
        <f>(Main_M[[#This Row],[P/B]]-VLOOKUP(Main_M[[#This Row],[Industry]], Mean_PB_M, 2, FALSE))/(VLOOKUP(Main_M[[#This Row],[Industry]], Mean_PB_M, 3, FALSE))</f>
        <v>-1.1138353907907721</v>
      </c>
      <c r="Q8" s="1">
        <f>(Main_M[[#This Row],[ROE]]-VLOOKUP(Main_M[[#This Row],[Industry]], Mean_ROE_M, 2, FALSE))/(VLOOKUP(Main_M[[#This Row],[Industry]], Mean_ROE_M, 3, FALSE))</f>
        <v>-0.20346293939092577</v>
      </c>
      <c r="R8" s="1">
        <f>(Main_M[[#This Row],[ROA]]-VLOOKUP(Main_M[[#This Row],[Industry]], Mean_ROA_M, 2, FALSE))/(VLOOKUP(Main_M[[#This Row],[Industry]], Mean_ROA_M, 3, FALSE))</f>
        <v>-0.69096938547655951</v>
      </c>
      <c r="S8" s="1">
        <f>(Main_M[[#This Row],[A/E]]-VLOOKUP(Main_M[[#This Row],[Industry]], Mean_AE_M, 2, FALSE))/(VLOOKUP(Main_M[[#This Row],[Industry]], Mean_AE_M, 3, FALSE))</f>
        <v>2.8833483750875692</v>
      </c>
      <c r="T8" s="1">
        <f>(Main_M[[#This Row],[P/E]]-VLOOKUP(Main_M[[#This Row],[Industry]], Mean_PE_M, 2, FALSE))/(VLOOKUP(Main_M[[#This Row],[Industry]], Mean_PE_M, 3, FALSE))</f>
        <v>-0.44732954582615525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7" t="s">
        <v>186</v>
      </c>
      <c r="B9" s="67" t="s">
        <v>319</v>
      </c>
      <c r="C9" s="2">
        <v>4163</v>
      </c>
      <c r="D9">
        <f>RTD("tos.rtd", , "LAST", Main_M[[#This Row],[Symbol]])</f>
        <v>134.19999999999999</v>
      </c>
      <c r="E9">
        <v>12.97</v>
      </c>
      <c r="F9">
        <v>49.85</v>
      </c>
      <c r="G9">
        <v>5.12</v>
      </c>
      <c r="H9" s="1">
        <f>IF(ISNUMBER(Main_M[[#This Row],[Free CF]]),IF(Main_M[[#This Row],[Free CF]]&lt;&gt;0,Main_M[[#This Row],[Current Price]]/Main_M[[#This Row],[Free CF]],""),"")</f>
        <v>10.346954510408635</v>
      </c>
      <c r="I9" s="1">
        <f>IF(ISNUMBER(Main_M[[#This Row],[BVPS]]),IF(Main_M[[#This Row],[BVPS]]&lt;&gt;0,Main_M[[#This Row],[Current Price]]/Main_M[[#This Row],[BVPS]],""),"")</f>
        <v>2.6920762286860578</v>
      </c>
      <c r="J9">
        <v>11.37</v>
      </c>
      <c r="K9">
        <v>3.39</v>
      </c>
      <c r="L9">
        <v>4.9800000000000004</v>
      </c>
      <c r="M9" s="1">
        <f>IF(ISNUMBER(Main_M[[#This Row],[EPS]]),IF(Main_M[[#This Row],[EPS]]&lt;&gt;0,Main_M[[#This Row],[Current Price]]/Main_M[[#This Row],[EPS]],""),"")</f>
        <v>26.210937499999996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-0.94346973195877326</v>
      </c>
      <c r="P9" s="1">
        <f>(Main_M[[#This Row],[P/B]]-VLOOKUP(Main_M[[#This Row],[Industry]], Mean_PB_M, 2, FALSE))/(VLOOKUP(Main_M[[#This Row],[Industry]], Mean_PB_M, 3, FALSE))</f>
        <v>1.435165605977844E-2</v>
      </c>
      <c r="Q9" s="1">
        <f>(Main_M[[#This Row],[ROE]]-VLOOKUP(Main_M[[#This Row],[Industry]], Mean_ROE_M, 2, FALSE))/(VLOOKUP(Main_M[[#This Row],[Industry]], Mean_ROE_M, 3, FALSE))</f>
        <v>0.24940618376952203</v>
      </c>
      <c r="R9" s="1">
        <f>(Main_M[[#This Row],[ROA]]-VLOOKUP(Main_M[[#This Row],[Industry]], Mean_ROA_M, 2, FALSE))/(VLOOKUP(Main_M[[#This Row],[Industry]], Mean_ROA_M, 3, FALSE))</f>
        <v>-0.47466002927732237</v>
      </c>
      <c r="S9" s="1">
        <f>(Main_M[[#This Row],[A/E]]-VLOOKUP(Main_M[[#This Row],[Industry]], Mean_AE_M, 2, FALSE))/(VLOOKUP(Main_M[[#This Row],[Industry]], Mean_AE_M, 3, FALSE))</f>
        <v>5.2718866057604581</v>
      </c>
      <c r="T9" s="1">
        <f>(Main_M[[#This Row],[P/E]]-VLOOKUP(Main_M[[#This Row],[Industry]], Mean_PE_M, 2, FALSE))/(VLOOKUP(Main_M[[#This Row],[Industry]], Mean_PE_M, 3, FALSE))</f>
        <v>4.7507103669441504E-2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7" t="s">
        <v>186</v>
      </c>
      <c r="B10" s="67" t="s">
        <v>313</v>
      </c>
      <c r="C10" s="2">
        <v>3556</v>
      </c>
      <c r="D10">
        <f>RTD("tos.rtd", , "LAST", Main_M[[#This Row],[Symbol]])</f>
        <v>134.97</v>
      </c>
      <c r="E10">
        <v>12.93</v>
      </c>
      <c r="F10">
        <v>49.84</v>
      </c>
      <c r="G10">
        <v>5.14</v>
      </c>
      <c r="H10" s="1">
        <f>IF(ISNUMBER(Main_M[[#This Row],[Free CF]]),IF(Main_M[[#This Row],[Free CF]]&lt;&gt;0,Main_M[[#This Row],[Current Price]]/Main_M[[#This Row],[Free CF]],""),"")</f>
        <v>10.438515081206496</v>
      </c>
      <c r="I10" s="1">
        <f>IF(ISNUMBER(Main_M[[#This Row],[BVPS]]),IF(Main_M[[#This Row],[BVPS]]&lt;&gt;0,Main_M[[#This Row],[Current Price]]/Main_M[[#This Row],[BVPS]],""),"")</f>
        <v>2.7080658105939004</v>
      </c>
      <c r="J10">
        <v>10.93</v>
      </c>
      <c r="K10">
        <v>3.91</v>
      </c>
      <c r="L10">
        <v>2.2799999999999998</v>
      </c>
      <c r="M10" s="1">
        <f>IF(ISNUMBER(Main_M[[#This Row],[EPS]]),IF(Main_M[[#This Row],[EPS]]&lt;&gt;0,Main_M[[#This Row],[Current Price]]/Main_M[[#This Row],[EPS]],""),"")</f>
        <v>26.25875486381323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-0.93723355277636489</v>
      </c>
      <c r="P10" s="1">
        <f>(Main_M[[#This Row],[P/B]]-VLOOKUP(Main_M[[#This Row],[Industry]], Mean_PB_M, 2, FALSE))/(VLOOKUP(Main_M[[#This Row],[Industry]], Mean_PB_M, 3, FALSE))</f>
        <v>2.5536352719698233E-2</v>
      </c>
      <c r="Q10" s="1">
        <f>(Main_M[[#This Row],[ROE]]-VLOOKUP(Main_M[[#This Row],[Industry]], Mean_ROE_M, 2, FALSE))/(VLOOKUP(Main_M[[#This Row],[Industry]], Mean_ROE_M, 3, FALSE))</f>
        <v>0.20736769976306701</v>
      </c>
      <c r="R10" s="1">
        <f>(Main_M[[#This Row],[ROA]]-VLOOKUP(Main_M[[#This Row],[Industry]], Mean_ROA_M, 2, FALSE))/(VLOOKUP(Main_M[[#This Row],[Industry]], Mean_ROA_M, 3, FALSE))</f>
        <v>-0.28072750302973054</v>
      </c>
      <c r="S10" s="1">
        <f>(Main_M[[#This Row],[A/E]]-VLOOKUP(Main_M[[#This Row],[Industry]], Mean_AE_M, 2, FALSE))/(VLOOKUP(Main_M[[#This Row],[Industry]], Mean_AE_M, 3, FALSE))</f>
        <v>0.56454848691607973</v>
      </c>
      <c r="T10" s="1">
        <f>(Main_M[[#This Row],[P/E]]-VLOOKUP(Main_M[[#This Row],[Industry]], Mean_PE_M, 2, FALSE))/(VLOOKUP(Main_M[[#This Row],[Industry]], Mean_PE_M, 3, FALSE))</f>
        <v>5.0057724741306077E-2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7" t="s">
        <v>186</v>
      </c>
      <c r="B11" s="67" t="s">
        <v>309</v>
      </c>
      <c r="C11" s="2">
        <v>5068</v>
      </c>
      <c r="D11">
        <f>RTD("tos.rtd", , "LAST", Main_M[[#This Row],[Symbol]])</f>
        <v>222.69</v>
      </c>
      <c r="E11">
        <v>11.81</v>
      </c>
      <c r="F11">
        <v>99.39</v>
      </c>
      <c r="G11">
        <v>3.81</v>
      </c>
      <c r="H11" s="1">
        <f>IF(ISNUMBER(Main_M[[#This Row],[Free CF]]),IF(Main_M[[#This Row],[Free CF]]&lt;&gt;0,Main_M[[#This Row],[Current Price]]/Main_M[[#This Row],[Free CF]],""),"")</f>
        <v>18.856054191363249</v>
      </c>
      <c r="I11" s="1">
        <f>IF(ISNUMBER(Main_M[[#This Row],[BVPS]]),IF(Main_M[[#This Row],[BVPS]]&lt;&gt;0,Main_M[[#This Row],[Current Price]]/Main_M[[#This Row],[BVPS]],""),"")</f>
        <v>2.2405674615152429</v>
      </c>
      <c r="J11">
        <v>3.87</v>
      </c>
      <c r="K11">
        <v>4.59</v>
      </c>
      <c r="L11">
        <v>1.58</v>
      </c>
      <c r="M11" s="1">
        <f>IF(ISNUMBER(Main_M[[#This Row],[EPS]]),IF(Main_M[[#This Row],[EPS]]&lt;&gt;0,Main_M[[#This Row],[Current Price]]/Main_M[[#This Row],[EPS]],""),"")</f>
        <v>58.448818897637793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-0.36391600234564642</v>
      </c>
      <c r="P11" s="1">
        <f>(Main_M[[#This Row],[P/B]]-VLOOKUP(Main_M[[#This Row],[Industry]], Mean_PB_M, 2, FALSE))/(VLOOKUP(Main_M[[#This Row],[Industry]], Mean_PB_M, 3, FALSE))</f>
        <v>-0.3014782780314304</v>
      </c>
      <c r="Q11" s="1">
        <f>(Main_M[[#This Row],[ROE]]-VLOOKUP(Main_M[[#This Row],[Industry]], Mean_ROE_M, 2, FALSE))/(VLOOKUP(Main_M[[#This Row],[Industry]], Mean_ROE_M, 3, FALSE))</f>
        <v>-0.46715888452232579</v>
      </c>
      <c r="R11" s="1">
        <f>(Main_M[[#This Row],[ROA]]-VLOOKUP(Main_M[[#This Row],[Industry]], Mean_ROA_M, 2, FALSE))/(VLOOKUP(Main_M[[#This Row],[Industry]], Mean_ROA_M, 3, FALSE))</f>
        <v>-2.7123430244418281E-2</v>
      </c>
      <c r="S11" s="1">
        <f>(Main_M[[#This Row],[A/E]]-VLOOKUP(Main_M[[#This Row],[Industry]], Mean_AE_M, 2, FALSE))/(VLOOKUP(Main_M[[#This Row],[Industry]], Mean_AE_M, 3, FALSE))</f>
        <v>-0.65587250685838805</v>
      </c>
      <c r="T11" s="1">
        <f>(Main_M[[#This Row],[P/E]]-VLOOKUP(Main_M[[#This Row],[Industry]], Mean_PE_M, 2, FALSE))/(VLOOKUP(Main_M[[#This Row],[Industry]], Mean_PE_M, 3, FALSE))</f>
        <v>1.7671046106806643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186</v>
      </c>
      <c r="B12" s="67" t="s">
        <v>317</v>
      </c>
      <c r="C12" s="2">
        <v>4194</v>
      </c>
      <c r="D12">
        <f>RTD("tos.rtd", , "LAST", Main_M[[#This Row],[Symbol]])</f>
        <v>51.56</v>
      </c>
      <c r="E12">
        <v>8.49</v>
      </c>
      <c r="F12">
        <v>57.52</v>
      </c>
      <c r="G12">
        <v>3.56</v>
      </c>
      <c r="H12" s="1">
        <f>IF(ISNUMBER(Main_M[[#This Row],[Free CF]]),IF(Main_M[[#This Row],[Free CF]]&lt;&gt;0,Main_M[[#This Row],[Current Price]]/Main_M[[#This Row],[Free CF]],""),"")</f>
        <v>6.0730270906949357</v>
      </c>
      <c r="I12" s="1">
        <f>IF(ISNUMBER(Main_M[[#This Row],[BVPS]]),IF(Main_M[[#This Row],[BVPS]]&lt;&gt;0,Main_M[[#This Row],[Current Price]]/Main_M[[#This Row],[BVPS]],""),"")</f>
        <v>0.89638386648122392</v>
      </c>
      <c r="J12">
        <v>6.42</v>
      </c>
      <c r="K12">
        <v>3.61</v>
      </c>
      <c r="L12">
        <v>2.4</v>
      </c>
      <c r="M12" s="1">
        <f>IF(ISNUMBER(Main_M[[#This Row],[EPS]]),IF(Main_M[[#This Row],[EPS]]&lt;&gt;0,Main_M[[#This Row],[Current Price]]/Main_M[[#This Row],[EPS]],""),"")</f>
        <v>14.483146067415731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-1.2345664012967681</v>
      </c>
      <c r="P12" s="1">
        <f>(Main_M[[#This Row],[P/B]]-VLOOKUP(Main_M[[#This Row],[Industry]], Mean_PB_M, 2, FALSE))/(VLOOKUP(Main_M[[#This Row],[Industry]], Mean_PB_M, 3, FALSE))</f>
        <v>-1.2417333673982085</v>
      </c>
      <c r="Q12" s="1">
        <f>(Main_M[[#This Row],[ROE]]-VLOOKUP(Main_M[[#This Row],[Industry]], Mean_ROE_M, 2, FALSE))/(VLOOKUP(Main_M[[#This Row],[Industry]], Mean_ROE_M, 3, FALSE))</f>
        <v>-0.22352676130309754</v>
      </c>
      <c r="R12" s="1">
        <f>(Main_M[[#This Row],[ROA]]-VLOOKUP(Main_M[[#This Row],[Industry]], Mean_ROA_M, 2, FALSE))/(VLOOKUP(Main_M[[#This Row],[Industry]], Mean_ROA_M, 3, FALSE))</f>
        <v>-0.39261165278795673</v>
      </c>
      <c r="S12" s="1">
        <f>(Main_M[[#This Row],[A/E]]-VLOOKUP(Main_M[[#This Row],[Industry]], Mean_AE_M, 2, FALSE))/(VLOOKUP(Main_M[[#This Row],[Industry]], Mean_AE_M, 3, FALSE))</f>
        <v>0.77376351442027447</v>
      </c>
      <c r="T12" s="1">
        <f>(Main_M[[#This Row],[P/E]]-VLOOKUP(Main_M[[#This Row],[Industry]], Mean_PE_M, 2, FALSE))/(VLOOKUP(Main_M[[#This Row],[Industry]], Mean_PE_M, 3, FALSE))</f>
        <v>-0.57806380967529236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7" t="s">
        <v>186</v>
      </c>
      <c r="B13" s="67" t="s">
        <v>311</v>
      </c>
      <c r="C13" s="2">
        <v>8344</v>
      </c>
      <c r="D13">
        <f>RTD("tos.rtd", , "LAST", Main_M[[#This Row],[Symbol]])</f>
        <v>232.83</v>
      </c>
      <c r="E13">
        <v>7.54</v>
      </c>
      <c r="F13">
        <v>53.23</v>
      </c>
      <c r="G13">
        <v>8.9700000000000006</v>
      </c>
      <c r="H13" s="1">
        <f>IF(ISNUMBER(Main_M[[#This Row],[Free CF]]),IF(Main_M[[#This Row],[Free CF]]&lt;&gt;0,Main_M[[#This Row],[Current Price]]/Main_M[[#This Row],[Free CF]],""),"")</f>
        <v>30.879310344827587</v>
      </c>
      <c r="I13" s="1">
        <f>IF(ISNUMBER(Main_M[[#This Row],[BVPS]]),IF(Main_M[[#This Row],[BVPS]]&lt;&gt;0,Main_M[[#This Row],[Current Price]]/Main_M[[#This Row],[BVPS]],""),"")</f>
        <v>4.3740371970693221</v>
      </c>
      <c r="J13">
        <v>18.3</v>
      </c>
      <c r="K13">
        <v>7.99</v>
      </c>
      <c r="L13">
        <v>1.37</v>
      </c>
      <c r="M13" s="1">
        <f>IF(ISNUMBER(Main_M[[#This Row],[EPS]]),IF(Main_M[[#This Row],[EPS]]&lt;&gt;0,Main_M[[#This Row],[Current Price]]/Main_M[[#This Row],[EPS]],""),"")</f>
        <v>25.956521739130434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0.45498649111444894</v>
      </c>
      <c r="P13" s="1">
        <f>(Main_M[[#This Row],[P/B]]-VLOOKUP(Main_M[[#This Row],[Industry]], Mean_PB_M, 2, FALSE))/(VLOOKUP(Main_M[[#This Row],[Industry]], Mean_PB_M, 3, FALSE))</f>
        <v>1.190881682524366</v>
      </c>
      <c r="Q13" s="1">
        <f>(Main_M[[#This Row],[ROE]]-VLOOKUP(Main_M[[#This Row],[Industry]], Mean_ROE_M, 2, FALSE))/(VLOOKUP(Main_M[[#This Row],[Industry]], Mean_ROE_M, 3, FALSE))</f>
        <v>0.91151230687118967</v>
      </c>
      <c r="R13" s="1">
        <f>(Main_M[[#This Row],[ROA]]-VLOOKUP(Main_M[[#This Row],[Industry]], Mean_ROA_M, 2, FALSE))/(VLOOKUP(Main_M[[#This Row],[Industry]], Mean_ROA_M, 3, FALSE))</f>
        <v>1.2408969336821438</v>
      </c>
      <c r="S13" s="1">
        <f>(Main_M[[#This Row],[A/E]]-VLOOKUP(Main_M[[#This Row],[Industry]], Mean_AE_M, 2, FALSE))/(VLOOKUP(Main_M[[#This Row],[Industry]], Mean_AE_M, 3, FALSE))</f>
        <v>-1.0219988049907285</v>
      </c>
      <c r="T13" s="1">
        <f>(Main_M[[#This Row],[P/E]]-VLOOKUP(Main_M[[#This Row],[Industry]], Mean_PE_M, 2, FALSE))/(VLOOKUP(Main_M[[#This Row],[Industry]], Mean_PE_M, 3, FALSE))</f>
        <v>3.3936338806223154E-2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7" t="s">
        <v>186</v>
      </c>
      <c r="B14" s="67" t="s">
        <v>308</v>
      </c>
      <c r="C14" s="2">
        <v>4195</v>
      </c>
      <c r="D14">
        <f>RTD("tos.rtd", , "LAST", Main_M[[#This Row],[Symbol]])</f>
        <v>112.29</v>
      </c>
      <c r="E14">
        <v>5.43</v>
      </c>
      <c r="F14">
        <v>30.84</v>
      </c>
      <c r="G14">
        <v>5.17</v>
      </c>
      <c r="H14" s="1">
        <f>IF(ISNUMBER(Main_M[[#This Row],[Free CF]]),IF(Main_M[[#This Row],[Free CF]]&lt;&gt;0,Main_M[[#This Row],[Current Price]]/Main_M[[#This Row],[Free CF]],""),"")</f>
        <v>20.679558011049725</v>
      </c>
      <c r="I14" s="1">
        <f>IF(ISNUMBER(Main_M[[#This Row],[BVPS]]),IF(Main_M[[#This Row],[BVPS]]&lt;&gt;0,Main_M[[#This Row],[Current Price]]/Main_M[[#This Row],[BVPS]],""),"")</f>
        <v>3.6410505836575879</v>
      </c>
      <c r="J14">
        <v>17.920000000000002</v>
      </c>
      <c r="K14">
        <v>5.91</v>
      </c>
      <c r="L14">
        <v>2.68</v>
      </c>
      <c r="M14" s="1">
        <f>IF(ISNUMBER(Main_M[[#This Row],[EPS]]),IF(Main_M[[#This Row],[EPS]]&lt;&gt;0,Main_M[[#This Row],[Current Price]]/Main_M[[#This Row],[EPS]],""),"")</f>
        <v>21.719535783365572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-0.23971738212869317</v>
      </c>
      <c r="P14" s="1">
        <f>(Main_M[[#This Row],[P/B]]-VLOOKUP(Main_M[[#This Row],[Industry]], Mean_PB_M, 2, FALSE))/(VLOOKUP(Main_M[[#This Row],[Industry]], Mean_PB_M, 3, FALSE))</f>
        <v>0.67815827461768063</v>
      </c>
      <c r="Q14" s="1">
        <f>(Main_M[[#This Row],[ROE]]-VLOOKUP(Main_M[[#This Row],[Industry]], Mean_ROE_M, 2, FALSE))/(VLOOKUP(Main_M[[#This Row],[Industry]], Mean_ROE_M, 3, FALSE))</f>
        <v>0.87520634341106951</v>
      </c>
      <c r="R14" s="1">
        <f>(Main_M[[#This Row],[ROA]]-VLOOKUP(Main_M[[#This Row],[Industry]], Mean_ROA_M, 2, FALSE))/(VLOOKUP(Main_M[[#This Row],[Industry]], Mean_ROA_M, 3, FALSE))</f>
        <v>0.46516682869177645</v>
      </c>
      <c r="S14" s="1">
        <f>(Main_M[[#This Row],[A/E]]-VLOOKUP(Main_M[[#This Row],[Industry]], Mean_AE_M, 2, FALSE))/(VLOOKUP(Main_M[[#This Row],[Industry]], Mean_AE_M, 3, FALSE))</f>
        <v>1.2619319119300623</v>
      </c>
      <c r="T14" s="1">
        <f>(Main_M[[#This Row],[P/E]]-VLOOKUP(Main_M[[#This Row],[Industry]], Mean_PE_M, 2, FALSE))/(VLOOKUP(Main_M[[#This Row],[Industry]], Mean_PE_M, 3, FALSE))</f>
        <v>-0.19206829210940174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s="67" t="s">
        <v>186</v>
      </c>
      <c r="B15" s="67" t="s">
        <v>301</v>
      </c>
      <c r="C15" s="2">
        <v>5270</v>
      </c>
      <c r="D15">
        <f>RTD("tos.rtd", , "LAST", Main_M[[#This Row],[Symbol]])</f>
        <v>121.58</v>
      </c>
      <c r="E15">
        <v>5.32</v>
      </c>
      <c r="F15">
        <v>32.659999999999997</v>
      </c>
      <c r="G15">
        <v>5.48</v>
      </c>
      <c r="H15" s="1">
        <f>IF(ISNUMBER(Main_M[[#This Row],[Free CF]]),IF(Main_M[[#This Row],[Free CF]]&lt;&gt;0,Main_M[[#This Row],[Current Price]]/Main_M[[#This Row],[Free CF]],""),"")</f>
        <v>22.853383458646615</v>
      </c>
      <c r="I15" s="1">
        <f>IF(ISNUMBER(Main_M[[#This Row],[BVPS]]),IF(Main_M[[#This Row],[BVPS]]&lt;&gt;0,Main_M[[#This Row],[Current Price]]/Main_M[[#This Row],[BVPS]],""),"")</f>
        <v>3.722596448254746</v>
      </c>
      <c r="J15">
        <v>17.600000000000001</v>
      </c>
      <c r="K15">
        <v>5.62</v>
      </c>
      <c r="L15">
        <v>2.35</v>
      </c>
      <c r="M15" s="1">
        <f>IF(ISNUMBER(Main_M[[#This Row],[EPS]]),IF(Main_M[[#This Row],[EPS]]&lt;&gt;0,Main_M[[#This Row],[Current Price]]/Main_M[[#This Row],[EPS]],""),"")</f>
        <v>22.186131386861312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-9.1658399049373632E-2</v>
      </c>
      <c r="P15" s="1">
        <f>(Main_M[[#This Row],[P/B]]-VLOOKUP(Main_M[[#This Row],[Industry]], Mean_PB_M, 2, FALSE))/(VLOOKUP(Main_M[[#This Row],[Industry]], Mean_PB_M, 3, FALSE))</f>
        <v>0.73519952589284698</v>
      </c>
      <c r="Q15" s="1">
        <f>(Main_M[[#This Row],[ROE]]-VLOOKUP(Main_M[[#This Row],[Industry]], Mean_ROE_M, 2, FALSE))/(VLOOKUP(Main_M[[#This Row],[Industry]], Mean_ROE_M, 3, FALSE))</f>
        <v>0.8446329004972839</v>
      </c>
      <c r="R15" s="1">
        <f>(Main_M[[#This Row],[ROA]]-VLOOKUP(Main_M[[#This Row],[Industry]], Mean_ROA_M, 2, FALSE))/(VLOOKUP(Main_M[[#This Row],[Industry]], Mean_ROA_M, 3, FALSE))</f>
        <v>0.35701215059215791</v>
      </c>
      <c r="S15" s="1">
        <f>(Main_M[[#This Row],[A/E]]-VLOOKUP(Main_M[[#This Row],[Industry]], Mean_AE_M, 2, FALSE))/(VLOOKUP(Main_M[[#This Row],[Industry]], Mean_AE_M, 3, FALSE))</f>
        <v>0.68659058629352698</v>
      </c>
      <c r="T15" s="1">
        <f>(Main_M[[#This Row],[P/E]]-VLOOKUP(Main_M[[#This Row],[Industry]], Mean_PE_M, 2, FALSE))/(VLOOKUP(Main_M[[#This Row],[Industry]], Mean_PE_M, 3, FALSE))</f>
        <v>-0.16717966414229021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186</v>
      </c>
      <c r="B16" s="67" t="s">
        <v>298</v>
      </c>
      <c r="C16" s="2">
        <v>7311</v>
      </c>
      <c r="D16">
        <f>RTD("tos.rtd", , "LAST", Main_M[[#This Row],[Symbol]])</f>
        <v>247.83</v>
      </c>
      <c r="E16">
        <v>5.23</v>
      </c>
      <c r="F16">
        <v>21.79</v>
      </c>
      <c r="G16">
        <v>4.54</v>
      </c>
      <c r="H16" s="1">
        <f>IF(ISNUMBER(Main_M[[#This Row],[Free CF]]),IF(Main_M[[#This Row],[Free CF]]&lt;&gt;0,Main_M[[#This Row],[Current Price]]/Main_M[[#This Row],[Free CF]],""),"")</f>
        <v>47.38623326959847</v>
      </c>
      <c r="I16" s="1">
        <f>IF(ISNUMBER(Main_M[[#This Row],[BVPS]]),IF(Main_M[[#This Row],[BVPS]]&lt;&gt;0,Main_M[[#This Row],[Current Price]]/Main_M[[#This Row],[BVPS]],""),"")</f>
        <v>11.373565855897201</v>
      </c>
      <c r="J16">
        <v>22.8</v>
      </c>
      <c r="K16">
        <v>12.99</v>
      </c>
      <c r="L16">
        <v>1.4</v>
      </c>
      <c r="M16" s="1">
        <f>IF(ISNUMBER(Main_M[[#This Row],[EPS]]),IF(Main_M[[#This Row],[EPS]]&lt;&gt;0,Main_M[[#This Row],[Current Price]]/Main_M[[#This Row],[EPS]],""),"")</f>
        <v>54.58810572687225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1.5792709752767184</v>
      </c>
      <c r="P16" s="1">
        <f>(Main_M[[#This Row],[P/B]]-VLOOKUP(Main_M[[#This Row],[Industry]], Mean_PB_M, 2, FALSE))/(VLOOKUP(Main_M[[#This Row],[Industry]], Mean_PB_M, 3, FALSE))</f>
        <v>6.0870450257951703</v>
      </c>
      <c r="Q16" s="1">
        <f>(Main_M[[#This Row],[ROE]]-VLOOKUP(Main_M[[#This Row],[Industry]], Mean_ROE_M, 2, FALSE))/(VLOOKUP(Main_M[[#This Row],[Industry]], Mean_ROE_M, 3, FALSE))</f>
        <v>1.3414513478462984</v>
      </c>
      <c r="R16" s="1">
        <f>(Main_M[[#This Row],[ROA]]-VLOOKUP(Main_M[[#This Row],[Industry]], Mean_ROA_M, 2, FALSE))/(VLOOKUP(Main_M[[#This Row],[Industry]], Mean_ROA_M, 3, FALSE))</f>
        <v>3.1056327629859113</v>
      </c>
      <c r="S16" s="1">
        <f>(Main_M[[#This Row],[A/E]]-VLOOKUP(Main_M[[#This Row],[Industry]], Mean_AE_M, 2, FALSE))/(VLOOKUP(Main_M[[#This Row],[Industry]], Mean_AE_M, 3, FALSE))</f>
        <v>-0.96969504811468021</v>
      </c>
      <c r="T16" s="1">
        <f>(Main_M[[#This Row],[P/E]]-VLOOKUP(Main_M[[#This Row],[Industry]], Mean_PE_M, 2, FALSE))/(VLOOKUP(Main_M[[#This Row],[Industry]], Mean_PE_M, 3, FALSE))</f>
        <v>1.5611707075855226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186</v>
      </c>
      <c r="B17" s="67" t="s">
        <v>314</v>
      </c>
      <c r="C17" s="2">
        <v>4528</v>
      </c>
      <c r="D17">
        <f>RTD("tos.rtd", , "LAST", Main_M[[#This Row],[Symbol]])</f>
        <v>87.91</v>
      </c>
      <c r="E17">
        <v>4.8899999999999997</v>
      </c>
      <c r="F17">
        <v>41.51</v>
      </c>
      <c r="G17">
        <v>4.32</v>
      </c>
      <c r="H17" s="1">
        <f>IF(ISNUMBER(Main_M[[#This Row],[Free CF]]),IF(Main_M[[#This Row],[Free CF]]&lt;&gt;0,Main_M[[#This Row],[Current Price]]/Main_M[[#This Row],[Free CF]],""),"")</f>
        <v>17.977505112474439</v>
      </c>
      <c r="I17" s="1">
        <f>IF(ISNUMBER(Main_M[[#This Row],[BVPS]]),IF(Main_M[[#This Row],[BVPS]]&lt;&gt;0,Main_M[[#This Row],[Current Price]]/Main_M[[#This Row],[BVPS]],""),"")</f>
        <v>2.1178029390508311</v>
      </c>
      <c r="J17">
        <v>11.16</v>
      </c>
      <c r="K17">
        <v>4.6500000000000004</v>
      </c>
      <c r="L17">
        <v>2.2400000000000002</v>
      </c>
      <c r="M17" s="1">
        <f>IF(ISNUMBER(Main_M[[#This Row],[EPS]]),IF(Main_M[[#This Row],[EPS]]&lt;&gt;0,Main_M[[#This Row],[Current Price]]/Main_M[[#This Row],[EPS]],""),"")</f>
        <v>20.349537037037035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-0.42375387173361728</v>
      </c>
      <c r="P17" s="1">
        <f>(Main_M[[#This Row],[P/B]]-VLOOKUP(Main_M[[#This Row],[Industry]], Mean_PB_M, 2, FALSE))/(VLOOKUP(Main_M[[#This Row],[Industry]], Mean_PB_M, 3, FALSE))</f>
        <v>-0.38735193953666847</v>
      </c>
      <c r="Q17" s="1">
        <f>(Main_M[[#This Row],[ROE]]-VLOOKUP(Main_M[[#This Row],[Industry]], Mean_ROE_M, 2, FALSE))/(VLOOKUP(Main_M[[#This Row],[Industry]], Mean_ROE_M, 3, FALSE))</f>
        <v>0.22934236185735038</v>
      </c>
      <c r="R17" s="1">
        <f>(Main_M[[#This Row],[ROA]]-VLOOKUP(Main_M[[#This Row],[Industry]], Mean_ROA_M, 2, FALSE))/(VLOOKUP(Main_M[[#This Row],[Industry]], Mean_ROA_M, 3, FALSE))</f>
        <v>-4.7466002927728842E-3</v>
      </c>
      <c r="S17" s="1">
        <f>(Main_M[[#This Row],[A/E]]-VLOOKUP(Main_M[[#This Row],[Industry]], Mean_AE_M, 2, FALSE))/(VLOOKUP(Main_M[[#This Row],[Industry]], Mean_AE_M, 3, FALSE))</f>
        <v>0.49481014441468224</v>
      </c>
      <c r="T17" s="1">
        <f>(Main_M[[#This Row],[P/E]]-VLOOKUP(Main_M[[#This Row],[Industry]], Mean_PE_M, 2, FALSE))/(VLOOKUP(Main_M[[#This Row],[Industry]], Mean_PE_M, 3, FALSE))</f>
        <v>-0.265145253952424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7" t="s">
        <v>186</v>
      </c>
      <c r="B18" s="67" t="s">
        <v>303</v>
      </c>
      <c r="C18" s="2">
        <v>4454</v>
      </c>
      <c r="D18">
        <f>RTD("tos.rtd", , "LAST", Main_M[[#This Row],[Symbol]])</f>
        <v>128.69999999999999</v>
      </c>
      <c r="E18">
        <v>3.96</v>
      </c>
      <c r="F18">
        <v>21.4</v>
      </c>
      <c r="G18">
        <v>1.95</v>
      </c>
      <c r="H18" s="1">
        <f>IF(ISNUMBER(Main_M[[#This Row],[Free CF]]),IF(Main_M[[#This Row],[Free CF]]&lt;&gt;0,Main_M[[#This Row],[Current Price]]/Main_M[[#This Row],[Free CF]],""),"")</f>
        <v>32.5</v>
      </c>
      <c r="I18" s="1">
        <f>IF(ISNUMBER(Main_M[[#This Row],[BVPS]]),IF(Main_M[[#This Row],[BVPS]]&lt;&gt;0,Main_M[[#This Row],[Current Price]]/Main_M[[#This Row],[BVPS]],""),"")</f>
        <v>6.0140186915887845</v>
      </c>
      <c r="J18">
        <v>9.73</v>
      </c>
      <c r="K18">
        <v>5.75</v>
      </c>
      <c r="L18">
        <v>1.8</v>
      </c>
      <c r="M18" s="1">
        <f>IF(ISNUMBER(Main_M[[#This Row],[EPS]]),IF(Main_M[[#This Row],[EPS]]&lt;&gt;0,Main_M[[#This Row],[Current Price]]/Main_M[[#This Row],[EPS]],""),"")</f>
        <v>66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0.56537146360488866</v>
      </c>
      <c r="P18" s="1">
        <f>(Main_M[[#This Row],[P/B]]-VLOOKUP(Main_M[[#This Row],[Industry]], Mean_PB_M, 2, FALSE))/(VLOOKUP(Main_M[[#This Row],[Industry]], Mean_PB_M, 3, FALSE))</f>
        <v>2.3380471087251178</v>
      </c>
      <c r="Q18" s="1">
        <f>(Main_M[[#This Row],[ROE]]-VLOOKUP(Main_M[[#This Row],[Industry]], Mean_ROE_M, 2, FALSE))/(VLOOKUP(Main_M[[#This Row],[Industry]], Mean_ROE_M, 3, FALSE))</f>
        <v>9.2717288836371411E-2</v>
      </c>
      <c r="R18" s="1">
        <f>(Main_M[[#This Row],[ROA]]-VLOOKUP(Main_M[[#This Row],[Industry]], Mean_ROA_M, 2, FALSE))/(VLOOKUP(Main_M[[#This Row],[Industry]], Mean_ROA_M, 3, FALSE))</f>
        <v>0.40549528215405584</v>
      </c>
      <c r="S18" s="1">
        <f>(Main_M[[#This Row],[A/E]]-VLOOKUP(Main_M[[#This Row],[Industry]], Mean_AE_M, 2, FALSE))/(VLOOKUP(Main_M[[#This Row],[Industry]], Mean_AE_M, 3, FALSE))</f>
        <v>-0.27231162310069812</v>
      </c>
      <c r="T18" s="1">
        <f>(Main_M[[#This Row],[P/E]]-VLOOKUP(Main_M[[#This Row],[Industry]], Mean_PE_M, 2, FALSE))/(VLOOKUP(Main_M[[#This Row],[Industry]], Mean_PE_M, 3, FALSE))</f>
        <v>2.1698913831254494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s="67" t="s">
        <v>186</v>
      </c>
      <c r="B19" s="67" t="s">
        <v>297</v>
      </c>
      <c r="C19" s="2">
        <v>4322</v>
      </c>
      <c r="D19">
        <f>RTD("tos.rtd", , "LAST", Main_M[[#This Row],[Symbol]])</f>
        <v>125.73</v>
      </c>
      <c r="E19">
        <v>2.62</v>
      </c>
      <c r="F19">
        <v>32.46</v>
      </c>
      <c r="G19">
        <v>1.98</v>
      </c>
      <c r="H19" s="1">
        <f>IF(ISNUMBER(Main_M[[#This Row],[Free CF]]),IF(Main_M[[#This Row],[Free CF]]&lt;&gt;0,Main_M[[#This Row],[Current Price]]/Main_M[[#This Row],[Free CF]],""),"")</f>
        <v>47.988549618320612</v>
      </c>
      <c r="I19" s="1">
        <f>IF(ISNUMBER(Main_M[[#This Row],[BVPS]]),IF(Main_M[[#This Row],[BVPS]]&lt;&gt;0,Main_M[[#This Row],[Current Price]]/Main_M[[#This Row],[BVPS]],""),"")</f>
        <v>3.8733826247689462</v>
      </c>
      <c r="J19">
        <v>6.34</v>
      </c>
      <c r="K19">
        <v>2.58</v>
      </c>
      <c r="L19">
        <v>1.87</v>
      </c>
      <c r="M19" s="1">
        <f>IF(ISNUMBER(Main_M[[#This Row],[EPS]]),IF(Main_M[[#This Row],[EPS]]&lt;&gt;0,Main_M[[#This Row],[Current Price]]/Main_M[[#This Row],[EPS]],""),"")</f>
        <v>63.5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1.6202946674882681</v>
      </c>
      <c r="P19" s="1">
        <f>(Main_M[[#This Row],[P/B]]-VLOOKUP(Main_M[[#This Row],[Industry]], Mean_PB_M, 2, FALSE))/(VLOOKUP(Main_M[[#This Row],[Industry]], Mean_PB_M, 3, FALSE))</f>
        <v>0.84067430656821007</v>
      </c>
      <c r="Q19" s="1">
        <f>(Main_M[[#This Row],[ROE]]-VLOOKUP(Main_M[[#This Row],[Industry]], Mean_ROE_M, 2, FALSE))/(VLOOKUP(Main_M[[#This Row],[Industry]], Mean_ROE_M, 3, FALSE))</f>
        <v>-0.23117012203154391</v>
      </c>
      <c r="R19" s="1">
        <f>(Main_M[[#This Row],[ROA]]-VLOOKUP(Main_M[[#This Row],[Industry]], Mean_ROA_M, 2, FALSE))/(VLOOKUP(Main_M[[#This Row],[Industry]], Mean_ROA_M, 3, FALSE))</f>
        <v>-0.7767472336245328</v>
      </c>
      <c r="S19" s="1">
        <f>(Main_M[[#This Row],[A/E]]-VLOOKUP(Main_M[[#This Row],[Industry]], Mean_AE_M, 2, FALSE))/(VLOOKUP(Main_M[[#This Row],[Industry]], Mean_AE_M, 3, FALSE))</f>
        <v>-0.15026952372325117</v>
      </c>
      <c r="T19" s="1">
        <f>(Main_M[[#This Row],[P/E]]-VLOOKUP(Main_M[[#This Row],[Industry]], Mean_PE_M, 2, FALSE))/(VLOOKUP(Main_M[[#This Row],[Industry]], Mean_PE_M, 3, FALSE))</f>
        <v>2.0365391409448246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186</v>
      </c>
      <c r="B20" s="67" t="s">
        <v>312</v>
      </c>
      <c r="C20" s="2">
        <v>2818</v>
      </c>
      <c r="D20">
        <f>RTD("tos.rtd", , "LAST", Main_M[[#This Row],[Symbol]])</f>
        <v>69.260000000000005</v>
      </c>
      <c r="E20">
        <v>2.56</v>
      </c>
      <c r="F20">
        <v>48.22</v>
      </c>
      <c r="G20">
        <v>-4.6399999999999997</v>
      </c>
      <c r="H20" s="1">
        <f>IF(ISNUMBER(Main_M[[#This Row],[Free CF]]),IF(Main_M[[#This Row],[Free CF]]&lt;&gt;0,Main_M[[#This Row],[Current Price]]/Main_M[[#This Row],[Free CF]],""),"")</f>
        <v>27.0546875</v>
      </c>
      <c r="I20" s="1">
        <f>IF(ISNUMBER(Main_M[[#This Row],[BVPS]]),IF(Main_M[[#This Row],[BVPS]]&lt;&gt;0,Main_M[[#This Row],[Current Price]]/Main_M[[#This Row],[BVPS]],""),"")</f>
        <v>1.4363334715885525</v>
      </c>
      <c r="J20">
        <v>-9.17</v>
      </c>
      <c r="K20">
        <v>0.12</v>
      </c>
      <c r="L20">
        <v>1.1200000000000001</v>
      </c>
      <c r="M20" s="1">
        <f>IF(ISNUMBER(Main_M[[#This Row],[EPS]]),IF(Main_M[[#This Row],[EPS]]&lt;&gt;0,Main_M[[#This Row],[Current Price]]/Main_M[[#This Row],[EPS]],""),"")</f>
        <v>-14.926724137931037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0.19449190094709956</v>
      </c>
      <c r="P20" s="1">
        <f>(Main_M[[#This Row],[P/B]]-VLOOKUP(Main_M[[#This Row],[Industry]], Mean_PB_M, 2, FALSE))/(VLOOKUP(Main_M[[#This Row],[Industry]], Mean_PB_M, 3, FALSE))</f>
        <v>-0.86403915503066431</v>
      </c>
      <c r="Q20" s="1">
        <f>(Main_M[[#This Row],[ROE]]-VLOOKUP(Main_M[[#This Row],[Industry]], Mean_ROE_M, 2, FALSE))/(VLOOKUP(Main_M[[#This Row],[Industry]], Mean_ROE_M, 3, FALSE))</f>
        <v>-1.7130266832590855</v>
      </c>
      <c r="R20" s="1">
        <f>(Main_M[[#This Row],[ROA]]-VLOOKUP(Main_M[[#This Row],[Industry]], Mean_ROA_M, 2, FALSE))/(VLOOKUP(Main_M[[#This Row],[Industry]], Mean_ROA_M, 3, FALSE))</f>
        <v>-1.6941972616419865</v>
      </c>
      <c r="S20" s="1">
        <f>(Main_M[[#This Row],[A/E]]-VLOOKUP(Main_M[[#This Row],[Industry]], Mean_AE_M, 2, FALSE))/(VLOOKUP(Main_M[[#This Row],[Industry]], Mean_AE_M, 3, FALSE))</f>
        <v>-1.4578634456244672</v>
      </c>
      <c r="T20" s="1">
        <f>(Main_M[[#This Row],[P/E]]-VLOOKUP(Main_M[[#This Row],[Industry]], Mean_PE_M, 2, FALSE))/(VLOOKUP(Main_M[[#This Row],[Industry]], Mean_PE_M, 3, FALSE))</f>
        <v>-2.1468126633249507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7" t="s">
        <v>186</v>
      </c>
      <c r="B21" s="67" t="s">
        <v>300</v>
      </c>
      <c r="C21" s="2">
        <v>3075</v>
      </c>
      <c r="D21">
        <f>RTD("tos.rtd", , "LAST", Main_M[[#This Row],[Symbol]])</f>
        <v>55.52</v>
      </c>
      <c r="E21">
        <v>2.44</v>
      </c>
      <c r="F21">
        <v>19.29</v>
      </c>
      <c r="G21">
        <v>2.91</v>
      </c>
      <c r="H21" s="1">
        <f>IF(ISNUMBER(Main_M[[#This Row],[Free CF]]),IF(Main_M[[#This Row],[Free CF]]&lt;&gt;0,Main_M[[#This Row],[Current Price]]/Main_M[[#This Row],[Free CF]],""),"")</f>
        <v>22.754098360655739</v>
      </c>
      <c r="I21" s="1">
        <f>IF(ISNUMBER(Main_M[[#This Row],[BVPS]]),IF(Main_M[[#This Row],[BVPS]]&lt;&gt;0,Main_M[[#This Row],[Current Price]]/Main_M[[#This Row],[BVPS]],""),"")</f>
        <v>2.8781752203214102</v>
      </c>
      <c r="J21">
        <v>16.23</v>
      </c>
      <c r="K21">
        <v>7.97</v>
      </c>
      <c r="L21">
        <v>2.19</v>
      </c>
      <c r="M21" s="1">
        <f>IF(ISNUMBER(Main_M[[#This Row],[EPS]]),IF(Main_M[[#This Row],[EPS]]&lt;&gt;0,Main_M[[#This Row],[Current Price]]/Main_M[[#This Row],[EPS]],""),"")</f>
        <v>19.079037800687285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-9.8420694826024058E-2</v>
      </c>
      <c r="P21" s="1">
        <f>(Main_M[[#This Row],[P/B]]-VLOOKUP(Main_M[[#This Row],[Industry]], Mean_PB_M, 2, FALSE))/(VLOOKUP(Main_M[[#This Row],[Industry]], Mean_PB_M, 3, FALSE))</f>
        <v>0.14452771583138804</v>
      </c>
      <c r="Q21" s="1">
        <f>(Main_M[[#This Row],[ROE]]-VLOOKUP(Main_M[[#This Row],[Industry]], Mean_ROE_M, 2, FALSE))/(VLOOKUP(Main_M[[#This Row],[Industry]], Mean_ROE_M, 3, FALSE))</f>
        <v>0.71374034802263964</v>
      </c>
      <c r="R21" s="1">
        <f>(Main_M[[#This Row],[ROA]]-VLOOKUP(Main_M[[#This Row],[Industry]], Mean_ROA_M, 2, FALSE))/(VLOOKUP(Main_M[[#This Row],[Industry]], Mean_ROA_M, 3, FALSE))</f>
        <v>1.2334379903649286</v>
      </c>
      <c r="S21" s="1">
        <f>(Main_M[[#This Row],[A/E]]-VLOOKUP(Main_M[[#This Row],[Industry]], Mean_AE_M, 2, FALSE))/(VLOOKUP(Main_M[[#This Row],[Industry]], Mean_AE_M, 3, FALSE))</f>
        <v>0.40763721628793403</v>
      </c>
      <c r="T21" s="1">
        <f>(Main_M[[#This Row],[P/E]]-VLOOKUP(Main_M[[#This Row],[Industry]], Mean_PE_M, 2, FALSE))/(VLOOKUP(Main_M[[#This Row],[Industry]], Mean_PE_M, 3, FALSE))</f>
        <v>-0.33291482269482831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186</v>
      </c>
      <c r="B22" s="67" t="s">
        <v>307</v>
      </c>
      <c r="C22" s="2">
        <v>5287</v>
      </c>
      <c r="D22">
        <f>RTD("tos.rtd", , "LAST", Main_M[[#This Row],[Symbol]])</f>
        <v>36.5</v>
      </c>
      <c r="E22">
        <v>2.42</v>
      </c>
      <c r="F22">
        <v>7.39</v>
      </c>
      <c r="G22">
        <v>2.46</v>
      </c>
      <c r="H22" s="1">
        <f>IF(ISNUMBER(Main_M[[#This Row],[Free CF]]),IF(Main_M[[#This Row],[Free CF]]&lt;&gt;0,Main_M[[#This Row],[Current Price]]/Main_M[[#This Row],[Free CF]],""),"")</f>
        <v>15.082644628099175</v>
      </c>
      <c r="I22" s="1">
        <f>IF(ISNUMBER(Main_M[[#This Row],[BVPS]]),IF(Main_M[[#This Row],[BVPS]]&lt;&gt;0,Main_M[[#This Row],[Current Price]]/Main_M[[#This Row],[BVPS]],""),"")</f>
        <v>4.9391069012178619</v>
      </c>
      <c r="J22">
        <v>35.57</v>
      </c>
      <c r="K22">
        <v>7.83</v>
      </c>
      <c r="L22">
        <v>3.92</v>
      </c>
      <c r="M22" s="1">
        <f>IF(ISNUMBER(Main_M[[#This Row],[EPS]]),IF(Main_M[[#This Row],[EPS]]&lt;&gt;0,Main_M[[#This Row],[Current Price]]/Main_M[[#This Row],[EPS]],""),"")</f>
        <v>14.83739837398374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-0.62092246222321978</v>
      </c>
      <c r="P22" s="1">
        <f>(Main_M[[#This Row],[P/B]]-VLOOKUP(Main_M[[#This Row],[Industry]], Mean_PB_M, 2, FALSE))/(VLOOKUP(Main_M[[#This Row],[Industry]], Mean_PB_M, 3, FALSE))</f>
        <v>1.5861473792160428</v>
      </c>
      <c r="Q22" s="1">
        <f>(Main_M[[#This Row],[ROE]]-VLOOKUP(Main_M[[#This Row],[Industry]], Mean_ROE_M, 2, FALSE))/(VLOOKUP(Main_M[[#This Row],[Industry]], Mean_ROE_M, 3, FALSE))</f>
        <v>2.5615228041245515</v>
      </c>
      <c r="R22" s="1">
        <f>(Main_M[[#This Row],[ROA]]-VLOOKUP(Main_M[[#This Row],[Industry]], Mean_ROA_M, 2, FALSE))/(VLOOKUP(Main_M[[#This Row],[Industry]], Mean_ROA_M, 3, FALSE))</f>
        <v>1.1812253871444232</v>
      </c>
      <c r="S22" s="1">
        <f>(Main_M[[#This Row],[A/E]]-VLOOKUP(Main_M[[#This Row],[Industry]], Mean_AE_M, 2, FALSE))/(VLOOKUP(Main_M[[#This Row],[Industry]], Mean_AE_M, 3, FALSE))</f>
        <v>3.4238205294734056</v>
      </c>
      <c r="T22" s="1">
        <f>(Main_M[[#This Row],[P/E]]-VLOOKUP(Main_M[[#This Row],[Industry]], Mean_PE_M, 2, FALSE))/(VLOOKUP(Main_M[[#This Row],[Industry]], Mean_PE_M, 3, FALSE))</f>
        <v>-0.55916767392389144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186</v>
      </c>
      <c r="B23" s="67" t="s">
        <v>310</v>
      </c>
      <c r="C23" s="2">
        <v>3170</v>
      </c>
      <c r="D23">
        <f>RTD("tos.rtd", , "LAST", Main_M[[#This Row],[Symbol]])</f>
        <v>3.33</v>
      </c>
      <c r="E23">
        <v>1.7</v>
      </c>
      <c r="F23">
        <v>8.52</v>
      </c>
      <c r="G23">
        <v>-2.77</v>
      </c>
      <c r="H23" s="1">
        <f>IF(ISNUMBER(Main_M[[#This Row],[Free CF]]),IF(Main_M[[#This Row],[Free CF]]&lt;&gt;0,Main_M[[#This Row],[Current Price]]/Main_M[[#This Row],[Free CF]],""),"")</f>
        <v>1.9588235294117649</v>
      </c>
      <c r="I23" s="1">
        <f>IF(ISNUMBER(Main_M[[#This Row],[BVPS]]),IF(Main_M[[#This Row],[BVPS]]&lt;&gt;0,Main_M[[#This Row],[Current Price]]/Main_M[[#This Row],[BVPS]],""),"")</f>
        <v>0.39084507042253525</v>
      </c>
      <c r="J23">
        <v>-21.7</v>
      </c>
      <c r="K23">
        <v>-0.11</v>
      </c>
      <c r="L23">
        <v>5.0999999999999996</v>
      </c>
      <c r="M23" s="1">
        <f>IF(ISNUMBER(Main_M[[#This Row],[EPS]]),IF(Main_M[[#This Row],[EPS]]&lt;&gt;0,Main_M[[#This Row],[Current Price]]/Main_M[[#This Row],[EPS]],""),"")</f>
        <v>-1.2021660649819494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-1.5147842983401096</v>
      </c>
      <c r="P23" s="1">
        <f>(Main_M[[#This Row],[P/B]]-VLOOKUP(Main_M[[#This Row],[Industry]], Mean_PB_M, 2, FALSE))/(VLOOKUP(Main_M[[#This Row],[Industry]], Mean_PB_M, 3, FALSE))</f>
        <v>-1.5953572530211437</v>
      </c>
      <c r="Q23" s="1">
        <f>(Main_M[[#This Row],[ROE]]-VLOOKUP(Main_M[[#This Row],[Industry]], Mean_ROE_M, 2, FALSE))/(VLOOKUP(Main_M[[#This Row],[Industry]], Mean_ROE_M, 3, FALSE))</f>
        <v>-2.9101680573519992</v>
      </c>
      <c r="R23" s="1">
        <f>(Main_M[[#This Row],[ROA]]-VLOOKUP(Main_M[[#This Row],[Industry]], Mean_ROA_M, 2, FALSE))/(VLOOKUP(Main_M[[#This Row],[Industry]], Mean_ROA_M, 3, FALSE))</f>
        <v>-1.7799751097899599</v>
      </c>
      <c r="S23" s="1">
        <f>(Main_M[[#This Row],[A/E]]-VLOOKUP(Main_M[[#This Row],[Industry]], Mean_AE_M, 2, FALSE))/(VLOOKUP(Main_M[[#This Row],[Industry]], Mean_AE_M, 3, FALSE))</f>
        <v>5.4811016332646512</v>
      </c>
      <c r="T23" s="1">
        <f>(Main_M[[#This Row],[P/E]]-VLOOKUP(Main_M[[#This Row],[Industry]], Mean_PE_M, 2, FALSE))/(VLOOKUP(Main_M[[#This Row],[Industry]], Mean_PE_M, 3, FALSE))</f>
        <v>-1.4147324265385681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186</v>
      </c>
      <c r="B24" s="67" t="s">
        <v>304</v>
      </c>
      <c r="C24" s="2">
        <v>3679</v>
      </c>
      <c r="D24">
        <f>RTD("tos.rtd", , "LAST", Main_M[[#This Row],[Symbol]])</f>
        <v>227.78</v>
      </c>
      <c r="E24">
        <v>1.42</v>
      </c>
      <c r="F24">
        <v>52.38</v>
      </c>
      <c r="G24">
        <v>8.23</v>
      </c>
      <c r="H24" s="1">
        <f>IF(ISNUMBER(Main_M[[#This Row],[Free CF]]),IF(Main_M[[#This Row],[Free CF]]&lt;&gt;0,Main_M[[#This Row],[Current Price]]/Main_M[[#This Row],[Free CF]],""),"")</f>
        <v>160.40845070422537</v>
      </c>
      <c r="I24" s="1">
        <f>IF(ISNUMBER(Main_M[[#This Row],[BVPS]]),IF(Main_M[[#This Row],[BVPS]]&lt;&gt;0,Main_M[[#This Row],[Current Price]]/Main_M[[#This Row],[BVPS]],""),"")</f>
        <v>4.3486063382970599</v>
      </c>
      <c r="J24">
        <v>16.73</v>
      </c>
      <c r="K24">
        <v>6.54</v>
      </c>
      <c r="L24">
        <v>2.37</v>
      </c>
      <c r="M24" s="1">
        <f>IF(ISNUMBER(Main_M[[#This Row],[EPS]]),IF(Main_M[[#This Row],[EPS]]&lt;&gt;0,Main_M[[#This Row],[Current Price]]/Main_M[[#This Row],[EPS]],""),"")</f>
        <v>27.676792223572296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9.2772002626716983</v>
      </c>
      <c r="P24" s="1">
        <f>(Main_M[[#This Row],[P/B]]-VLOOKUP(Main_M[[#This Row],[Industry]], Mean_PB_M, 2, FALSE))/(VLOOKUP(Main_M[[#This Row],[Industry]], Mean_PB_M, 3, FALSE))</f>
        <v>1.1730928220770831</v>
      </c>
      <c r="Q24" s="1">
        <f>(Main_M[[#This Row],[ROE]]-VLOOKUP(Main_M[[#This Row],[Industry]], Mean_ROE_M, 2, FALSE))/(VLOOKUP(Main_M[[#This Row],[Industry]], Mean_ROE_M, 3, FALSE))</f>
        <v>0.76151135257542946</v>
      </c>
      <c r="R24" s="1">
        <f>(Main_M[[#This Row],[ROA]]-VLOOKUP(Main_M[[#This Row],[Industry]], Mean_ROA_M, 2, FALSE))/(VLOOKUP(Main_M[[#This Row],[Industry]], Mean_ROA_M, 3, FALSE))</f>
        <v>0.70012354318405112</v>
      </c>
      <c r="S24" s="1">
        <f>(Main_M[[#This Row],[A/E]]-VLOOKUP(Main_M[[#This Row],[Industry]], Mean_AE_M, 2, FALSE))/(VLOOKUP(Main_M[[#This Row],[Industry]], Mean_AE_M, 3, FALSE))</f>
        <v>0.72145975754422609</v>
      </c>
      <c r="T24" s="1">
        <f>(Main_M[[#This Row],[P/E]]-VLOOKUP(Main_M[[#This Row],[Industry]], Mean_PE_M, 2, FALSE))/(VLOOKUP(Main_M[[#This Row],[Industry]], Mean_PE_M, 3, FALSE))</f>
        <v>0.12569710930921199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7" t="s">
        <v>186</v>
      </c>
      <c r="B25" s="67" t="s">
        <v>299</v>
      </c>
      <c r="C25" s="2">
        <v>5076</v>
      </c>
      <c r="D25">
        <f>RTD("tos.rtd", , "LAST", Main_M[[#This Row],[Symbol]])</f>
        <v>31.14</v>
      </c>
      <c r="E25">
        <v>0.95</v>
      </c>
      <c r="F25">
        <v>8.61</v>
      </c>
      <c r="G25">
        <v>0.69</v>
      </c>
      <c r="H25" s="1">
        <f>IF(ISNUMBER(Main_M[[#This Row],[Free CF]]),IF(Main_M[[#This Row],[Free CF]]&lt;&gt;0,Main_M[[#This Row],[Current Price]]/Main_M[[#This Row],[Free CF]],""),"")</f>
        <v>32.778947368421058</v>
      </c>
      <c r="I25" s="1">
        <f>IF(ISNUMBER(Main_M[[#This Row],[BVPS]]),IF(Main_M[[#This Row],[BVPS]]&lt;&gt;0,Main_M[[#This Row],[Current Price]]/Main_M[[#This Row],[BVPS]],""),"")</f>
        <v>3.6167247386759587</v>
      </c>
      <c r="J25">
        <v>8.02</v>
      </c>
      <c r="K25">
        <v>4.0199999999999996</v>
      </c>
      <c r="L25">
        <v>1.34</v>
      </c>
      <c r="M25" s="1">
        <f>IF(ISNUMBER(Main_M[[#This Row],[EPS]]),IF(Main_M[[#This Row],[EPS]]&lt;&gt;0,Main_M[[#This Row],[Current Price]]/Main_M[[#This Row],[EPS]],""),"")</f>
        <v>45.130434782608702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0.58437053445794673</v>
      </c>
      <c r="P25" s="1">
        <f>(Main_M[[#This Row],[P/B]]-VLOOKUP(Main_M[[#This Row],[Industry]], Mean_PB_M, 2, FALSE))/(VLOOKUP(Main_M[[#This Row],[Industry]], Mean_PB_M, 3, FALSE))</f>
        <v>0.66114237021918554</v>
      </c>
      <c r="Q25" s="1">
        <f>(Main_M[[#This Row],[ROE]]-VLOOKUP(Main_M[[#This Row],[Industry]], Mean_ROE_M, 2, FALSE))/(VLOOKUP(Main_M[[#This Row],[Industry]], Mean_ROE_M, 3, FALSE))</f>
        <v>-7.0659546734170006E-2</v>
      </c>
      <c r="R25" s="1">
        <f>(Main_M[[#This Row],[ROA]]-VLOOKUP(Main_M[[#This Row],[Industry]], Mean_ROA_M, 2, FALSE))/(VLOOKUP(Main_M[[#This Row],[Industry]], Mean_ROA_M, 3, FALSE))</f>
        <v>-0.23970331478504789</v>
      </c>
      <c r="S25" s="1">
        <f>(Main_M[[#This Row],[A/E]]-VLOOKUP(Main_M[[#This Row],[Industry]], Mean_AE_M, 2, FALSE))/(VLOOKUP(Main_M[[#This Row],[Industry]], Mean_AE_M, 3, FALSE))</f>
        <v>-1.0743025618667772</v>
      </c>
      <c r="T25" s="1">
        <f>(Main_M[[#This Row],[P/E]]-VLOOKUP(Main_M[[#This Row],[Industry]], Mean_PE_M, 2, FALSE))/(VLOOKUP(Main_M[[#This Row],[Industry]], Mean_PE_M, 3, FALSE))</f>
        <v>1.0566900570958857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186</v>
      </c>
      <c r="B26" s="67" t="s">
        <v>306</v>
      </c>
      <c r="C26" s="2">
        <v>6862</v>
      </c>
      <c r="D26">
        <f>RTD("tos.rtd", , "LAST", Main_M[[#This Row],[Symbol]])</f>
        <v>11.82</v>
      </c>
      <c r="E26">
        <v>0.84</v>
      </c>
      <c r="F26">
        <v>11.5</v>
      </c>
      <c r="G26">
        <v>1.22</v>
      </c>
      <c r="H26" s="1">
        <f>IF(ISNUMBER(Main_M[[#This Row],[Free CF]]),IF(Main_M[[#This Row],[Free CF]]&lt;&gt;0,Main_M[[#This Row],[Current Price]]/Main_M[[#This Row],[Free CF]],""),"")</f>
        <v>14.071428571428573</v>
      </c>
      <c r="I26" s="1">
        <f>IF(ISNUMBER(Main_M[[#This Row],[BVPS]]),IF(Main_M[[#This Row],[BVPS]]&lt;&gt;0,Main_M[[#This Row],[Current Price]]/Main_M[[#This Row],[BVPS]],""),"")</f>
        <v>1.0278260869565217</v>
      </c>
      <c r="J26">
        <v>10.86</v>
      </c>
      <c r="K26">
        <v>6.66</v>
      </c>
      <c r="L26">
        <v>1.35</v>
      </c>
      <c r="M26" s="1">
        <f>IF(ISNUMBER(Main_M[[#This Row],[EPS]]),IF(Main_M[[#This Row],[EPS]]&lt;&gt;0,Main_M[[#This Row],[Current Price]]/Main_M[[#This Row],[EPS]],""),"")</f>
        <v>9.6885245901639347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26" s="1">
        <f>(Main_M[[#This Row],[P/FCF]]-VLOOKUP(Main_M[[#This Row],[Industry]], Mean_PFCF_M, 2, FALSE))/(VLOOKUP(Main_M[[#This Row],[Industry]], Mean_PFCF_M, 3, FALSE))</f>
        <v>-0.68979626310251307</v>
      </c>
      <c r="P26" s="1">
        <f>(Main_M[[#This Row],[P/B]]-VLOOKUP(Main_M[[#This Row],[Industry]], Mean_PB_M, 2, FALSE))/(VLOOKUP(Main_M[[#This Row],[Industry]], Mean_PB_M, 3, FALSE))</f>
        <v>-1.1497896647550878</v>
      </c>
      <c r="Q26" s="1">
        <f>(Main_M[[#This Row],[ROE]]-VLOOKUP(Main_M[[#This Row],[Industry]], Mean_ROE_M, 2, FALSE))/(VLOOKUP(Main_M[[#This Row],[Industry]], Mean_ROE_M, 3, FALSE))</f>
        <v>0.2006797591256764</v>
      </c>
      <c r="R26" s="1">
        <f>(Main_M[[#This Row],[ROA]]-VLOOKUP(Main_M[[#This Row],[Industry]], Mean_ROA_M, 2, FALSE))/(VLOOKUP(Main_M[[#This Row],[Industry]], Mean_ROA_M, 3, FALSE))</f>
        <v>0.74487720308734162</v>
      </c>
      <c r="S26" s="1">
        <f>(Main_M[[#This Row],[A/E]]-VLOOKUP(Main_M[[#This Row],[Industry]], Mean_AE_M, 2, FALSE))/(VLOOKUP(Main_M[[#This Row],[Industry]], Mean_AE_M, 3, FALSE))</f>
        <v>-1.0568679762414277</v>
      </c>
      <c r="T26" s="1">
        <f>(Main_M[[#This Row],[P/E]]-VLOOKUP(Main_M[[#This Row],[Industry]], Mean_PE_M, 2, FALSE))/(VLOOKUP(Main_M[[#This Row],[Industry]], Mean_PE_M, 3, FALSE))</f>
        <v>-0.8338132194348552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186</v>
      </c>
      <c r="B27" s="67" t="s">
        <v>495</v>
      </c>
      <c r="C27" s="2">
        <v>6027</v>
      </c>
      <c r="D27">
        <f>RTD("tos.rtd", , "LAST", Main_M[[#This Row],[Symbol]])</f>
        <v>43.17</v>
      </c>
      <c r="E27">
        <v>0.5</v>
      </c>
      <c r="F27">
        <v>23.19</v>
      </c>
      <c r="G27">
        <v>1.25</v>
      </c>
      <c r="H27" s="1">
        <f>IF(ISNUMBER(Main_M[[#This Row],[Free CF]]),IF(Main_M[[#This Row],[Free CF]]&lt;&gt;0,Main_M[[#This Row],[Current Price]]/Main_M[[#This Row],[Free CF]],""),"")</f>
        <v>86.34</v>
      </c>
      <c r="I27" s="1">
        <f>IF(ISNUMBER(Main_M[[#This Row],[BVPS]]),IF(Main_M[[#This Row],[BVPS]]&lt;&gt;0,Main_M[[#This Row],[Current Price]]/Main_M[[#This Row],[BVPS]],""),"")</f>
        <v>1.8615782664941785</v>
      </c>
      <c r="J27">
        <v>6.82</v>
      </c>
      <c r="K27">
        <v>2.59</v>
      </c>
      <c r="L27">
        <v>2.21</v>
      </c>
      <c r="M27" s="1">
        <f>IF(ISNUMBER(Main_M[[#This Row],[EPS]]),IF(Main_M[[#This Row],[EPS]]&lt;&gt;0,Main_M[[#This Row],[Current Price]]/Main_M[[#This Row],[EPS]],""),"")</f>
        <v>34.536000000000001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4.2324072220660174</v>
      </c>
      <c r="P27" s="1">
        <f>(Main_M[[#This Row],[P/B]]-VLOOKUP(Main_M[[#This Row],[Industry]], Mean_PB_M, 2, FALSE))/(VLOOKUP(Main_M[[#This Row],[Industry]], Mean_PB_M, 3, FALSE))</f>
        <v>-0.56658084344739623</v>
      </c>
      <c r="Q27" s="1">
        <f>(Main_M[[#This Row],[ROE]]-VLOOKUP(Main_M[[#This Row],[Industry]], Mean_ROE_M, 2, FALSE))/(VLOOKUP(Main_M[[#This Row],[Industry]], Mean_ROE_M, 3, FALSE))</f>
        <v>-0.18530995766086561</v>
      </c>
      <c r="R27" s="1">
        <f>(Main_M[[#This Row],[ROA]]-VLOOKUP(Main_M[[#This Row],[Industry]], Mean_ROA_M, 2, FALSE))/(VLOOKUP(Main_M[[#This Row],[Industry]], Mean_ROA_M, 3, FALSE))</f>
        <v>-0.77301776196592531</v>
      </c>
      <c r="S27" s="1">
        <f>(Main_M[[#This Row],[A/E]]-VLOOKUP(Main_M[[#This Row],[Industry]], Mean_AE_M, 2, FALSE))/(VLOOKUP(Main_M[[#This Row],[Industry]], Mean_AE_M, 3, FALSE))</f>
        <v>0.44250638753863314</v>
      </c>
      <c r="T27" s="1">
        <f>(Main_M[[#This Row],[P/E]]-VLOOKUP(Main_M[[#This Row],[Industry]], Mean_PE_M, 2, FALSE))/(VLOOKUP(Main_M[[#This Row],[Industry]], Mean_PE_M, 3, FALSE))</f>
        <v>0.49157340393697713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186</v>
      </c>
      <c r="B28" s="67" t="s">
        <v>318</v>
      </c>
      <c r="C28" s="2">
        <v>4492</v>
      </c>
      <c r="D28">
        <f>RTD("tos.rtd", , "LAST", Main_M[[#This Row],[Symbol]])</f>
        <v>20.010000000000002</v>
      </c>
      <c r="E28">
        <v>0.43</v>
      </c>
      <c r="F28">
        <v>16.45</v>
      </c>
      <c r="G28">
        <v>1.25</v>
      </c>
      <c r="H28" s="1">
        <f>IF(ISNUMBER(Main_M[[#This Row],[Free CF]]),IF(Main_M[[#This Row],[Free CF]]&lt;&gt;0,Main_M[[#This Row],[Current Price]]/Main_M[[#This Row],[Free CF]],""),"")</f>
        <v>46.534883720930239</v>
      </c>
      <c r="I28" s="1">
        <f>IF(ISNUMBER(Main_M[[#This Row],[BVPS]]),IF(Main_M[[#This Row],[BVPS]]&lt;&gt;0,Main_M[[#This Row],[Current Price]]/Main_M[[#This Row],[BVPS]],""),"")</f>
        <v>1.2164133738601826</v>
      </c>
      <c r="J28">
        <v>7.73</v>
      </c>
      <c r="K28">
        <v>2.99</v>
      </c>
      <c r="L28">
        <v>4.82</v>
      </c>
      <c r="M28" s="1">
        <f>IF(ISNUMBER(Main_M[[#This Row],[EPS]]),IF(Main_M[[#This Row],[EPS]]&lt;&gt;0,Main_M[[#This Row],[Current Price]]/Main_M[[#This Row],[EPS]],""),"")</f>
        <v>16.008000000000003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1.5212856625368196</v>
      </c>
      <c r="P28" s="1">
        <f>(Main_M[[#This Row],[P/B]]-VLOOKUP(Main_M[[#This Row],[Industry]], Mean_PB_M, 2, FALSE))/(VLOOKUP(Main_M[[#This Row],[Industry]], Mean_PB_M, 3, FALSE))</f>
        <v>-1.0178730449152569</v>
      </c>
      <c r="Q28" s="1">
        <f>(Main_M[[#This Row],[ROE]]-VLOOKUP(Main_M[[#This Row],[Industry]], Mean_ROE_M, 2, FALSE))/(VLOOKUP(Main_M[[#This Row],[Industry]], Mean_ROE_M, 3, FALSE))</f>
        <v>-9.8366729374788034E-2</v>
      </c>
      <c r="R28" s="1">
        <f>(Main_M[[#This Row],[ROA]]-VLOOKUP(Main_M[[#This Row],[Industry]], Mean_ROA_M, 2, FALSE))/(VLOOKUP(Main_M[[#This Row],[Industry]], Mean_ROA_M, 3, FALSE))</f>
        <v>-0.62383889562162376</v>
      </c>
      <c r="S28" s="1">
        <f>(Main_M[[#This Row],[A/E]]-VLOOKUP(Main_M[[#This Row],[Industry]], Mean_AE_M, 2, FALSE))/(VLOOKUP(Main_M[[#This Row],[Industry]], Mean_AE_M, 3, FALSE))</f>
        <v>4.9929332357548653</v>
      </c>
      <c r="T28" s="1">
        <f>(Main_M[[#This Row],[P/E]]-VLOOKUP(Main_M[[#This Row],[Industry]], Mean_PE_M, 2, FALSE))/(VLOOKUP(Main_M[[#This Row],[Industry]], Mean_PE_M, 3, FALSE))</f>
        <v>-0.49672673331206996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186</v>
      </c>
      <c r="B29" s="67" t="s">
        <v>302</v>
      </c>
      <c r="C29" s="2">
        <v>4400</v>
      </c>
      <c r="D29">
        <f>RTD("tos.rtd", , "LAST", Main_M[[#This Row],[Symbol]])</f>
        <v>20.48</v>
      </c>
      <c r="E29">
        <v>0.4</v>
      </c>
      <c r="F29">
        <v>7.28</v>
      </c>
      <c r="G29">
        <v>-0.05</v>
      </c>
      <c r="H29" s="1">
        <f>IF(ISNUMBER(Main_M[[#This Row],[Free CF]]),IF(Main_M[[#This Row],[Free CF]]&lt;&gt;0,Main_M[[#This Row],[Current Price]]/Main_M[[#This Row],[Free CF]],""),"")</f>
        <v>51.199999999999996</v>
      </c>
      <c r="I29" s="1">
        <f>IF(ISNUMBER(Main_M[[#This Row],[BVPS]]),IF(Main_M[[#This Row],[BVPS]]&lt;&gt;0,Main_M[[#This Row],[Current Price]]/Main_M[[#This Row],[BVPS]],""),"")</f>
        <v>2.813186813186813</v>
      </c>
      <c r="J29">
        <v>-0.63</v>
      </c>
      <c r="K29">
        <v>0.99</v>
      </c>
      <c r="L29">
        <v>1.75</v>
      </c>
      <c r="M29" s="1">
        <f>IF(ISNUMBER(Main_M[[#This Row],[EPS]]),IF(Main_M[[#This Row],[EPS]]&lt;&gt;0,Main_M[[#This Row],[Current Price]]/Main_M[[#This Row],[EPS]],""),"")</f>
        <v>-409.59999999999997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1.8390261568296862</v>
      </c>
      <c r="P29" s="1">
        <f>(Main_M[[#This Row],[P/B]]-VLOOKUP(Main_M[[#This Row],[Industry]], Mean_PB_M, 2, FALSE))/(VLOOKUP(Main_M[[#This Row],[Industry]], Mean_PB_M, 3, FALSE))</f>
        <v>9.9068389602519166E-2</v>
      </c>
      <c r="Q29" s="1">
        <f>(Main_M[[#This Row],[ROE]]-VLOOKUP(Main_M[[#This Row],[Industry]], Mean_ROE_M, 2, FALSE))/(VLOOKUP(Main_M[[#This Row],[Industry]], Mean_ROE_M, 3, FALSE))</f>
        <v>-0.89709792549743461</v>
      </c>
      <c r="R29" s="1">
        <f>(Main_M[[#This Row],[ROA]]-VLOOKUP(Main_M[[#This Row],[Industry]], Mean_ROA_M, 2, FALSE))/(VLOOKUP(Main_M[[#This Row],[Industry]], Mean_ROA_M, 3, FALSE))</f>
        <v>-1.3697332273431309</v>
      </c>
      <c r="S29" s="1">
        <f>(Main_M[[#This Row],[A/E]]-VLOOKUP(Main_M[[#This Row],[Industry]], Mean_AE_M, 2, FALSE))/(VLOOKUP(Main_M[[#This Row],[Industry]], Mean_AE_M, 3, FALSE))</f>
        <v>-0.35948455122744588</v>
      </c>
      <c r="T29" s="1">
        <f>(Main_M[[#This Row],[P/E]]-VLOOKUP(Main_M[[#This Row],[Industry]], Mean_PE_M, 2, FALSE))/(VLOOKUP(Main_M[[#This Row],[Industry]], Mean_PE_M, 3, FALSE))</f>
        <v>-23.199039169316627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0" spans="1:26" x14ac:dyDescent="0.25">
      <c r="A30" s="67" t="s">
        <v>186</v>
      </c>
      <c r="B30" s="67" t="s">
        <v>315</v>
      </c>
      <c r="C30" s="2">
        <v>3035</v>
      </c>
      <c r="D30">
        <f>RTD("tos.rtd", , "LAST", Main_M[[#This Row],[Symbol]])</f>
        <v>35.700000000000003</v>
      </c>
      <c r="E30">
        <v>-0.17</v>
      </c>
      <c r="F30">
        <v>15.62</v>
      </c>
      <c r="G30">
        <v>0.75</v>
      </c>
      <c r="H30" s="1">
        <f>IF(ISNUMBER(Main_M[[#This Row],[Free CF]]),IF(Main_M[[#This Row],[Free CF]]&lt;&gt;0,Main_M[[#This Row],[Current Price]]/Main_M[[#This Row],[Free CF]],""),"")</f>
        <v>-210</v>
      </c>
      <c r="I30" s="1">
        <f>IF(ISNUMBER(Main_M[[#This Row],[BVPS]]),IF(Main_M[[#This Row],[BVPS]]&lt;&gt;0,Main_M[[#This Row],[Current Price]]/Main_M[[#This Row],[BVPS]],""),"")</f>
        <v>2.2855313700384126</v>
      </c>
      <c r="J30">
        <v>5.0199999999999996</v>
      </c>
      <c r="K30">
        <v>3.51</v>
      </c>
      <c r="L30">
        <v>2.1800000000000002</v>
      </c>
      <c r="M30" s="1">
        <f>IF(ISNUMBER(Main_M[[#This Row],[EPS]]),IF(Main_M[[#This Row],[EPS]]&lt;&gt;0,Main_M[[#This Row],[Current Price]]/Main_M[[#This Row],[EPS]],""),"")</f>
        <v>47.6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-15.951273622331659</v>
      </c>
      <c r="P30" s="1">
        <f>(Main_M[[#This Row],[P/B]]-VLOOKUP(Main_M[[#This Row],[Industry]], Mean_PB_M, 2, FALSE))/(VLOOKUP(Main_M[[#This Row],[Industry]], Mean_PB_M, 3, FALSE))</f>
        <v>-0.27002606868821</v>
      </c>
      <c r="Q30" s="1">
        <f>(Main_M[[#This Row],[ROE]]-VLOOKUP(Main_M[[#This Row],[Industry]], Mean_ROE_M, 2, FALSE))/(VLOOKUP(Main_M[[#This Row],[Industry]], Mean_ROE_M, 3, FALSE))</f>
        <v>-0.35728557405090916</v>
      </c>
      <c r="R30" s="1">
        <f>(Main_M[[#This Row],[ROA]]-VLOOKUP(Main_M[[#This Row],[Industry]], Mean_ROA_M, 2, FALSE))/(VLOOKUP(Main_M[[#This Row],[Industry]], Mean_ROA_M, 3, FALSE))</f>
        <v>-0.42990636937403209</v>
      </c>
      <c r="S30" s="1">
        <f>(Main_M[[#This Row],[A/E]]-VLOOKUP(Main_M[[#This Row],[Industry]], Mean_AE_M, 2, FALSE))/(VLOOKUP(Main_M[[#This Row],[Industry]], Mean_AE_M, 3, FALSE))</f>
        <v>0.39020263066258487</v>
      </c>
      <c r="T30" s="1">
        <f>(Main_M[[#This Row],[P/E]]-VLOOKUP(Main_M[[#This Row],[Industry]], Mean_PE_M, 2, FALSE))/(VLOOKUP(Main_M[[#This Row],[Industry]], Mean_PE_M, 3, FALSE))</f>
        <v>1.1884188806760505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7" t="s">
        <v>186</v>
      </c>
      <c r="B31" s="67" t="s">
        <v>305</v>
      </c>
      <c r="C31" s="2">
        <v>2655</v>
      </c>
      <c r="D31">
        <f>RTD("tos.rtd", , "LAST", Main_M[[#This Row],[Symbol]])</f>
        <v>67.55</v>
      </c>
      <c r="E31">
        <v>-0.7</v>
      </c>
      <c r="F31">
        <v>21.04</v>
      </c>
      <c r="G31">
        <v>-2.56</v>
      </c>
      <c r="H31" s="1">
        <f>IF(ISNUMBER(Main_M[[#This Row],[Free CF]]),IF(Main_M[[#This Row],[Free CF]]&lt;&gt;0,Main_M[[#This Row],[Current Price]]/Main_M[[#This Row],[Free CF]],""),"")</f>
        <v>-96.5</v>
      </c>
      <c r="I31" s="1">
        <f>IF(ISNUMBER(Main_M[[#This Row],[BVPS]]),IF(Main_M[[#This Row],[BVPS]]&lt;&gt;0,Main_M[[#This Row],[Current Price]]/Main_M[[#This Row],[BVPS]],""),"")</f>
        <v>3.210551330798479</v>
      </c>
      <c r="J31">
        <v>-13.65</v>
      </c>
      <c r="K31">
        <v>-3.62</v>
      </c>
      <c r="L31">
        <v>1.62</v>
      </c>
      <c r="M31" s="1">
        <f>IF(ISNUMBER(Main_M[[#This Row],[EPS]]),IF(Main_M[[#This Row],[EPS]]&lt;&gt;0,Main_M[[#This Row],[Current Price]]/Main_M[[#This Row],[EPS]],""),"")</f>
        <v>-26.38671875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-8.2208026233469234</v>
      </c>
      <c r="P31" s="1">
        <f>(Main_M[[#This Row],[P/B]]-VLOOKUP(Main_M[[#This Row],[Industry]], Mean_PB_M, 2, FALSE))/(VLOOKUP(Main_M[[#This Row],[Industry]], Mean_PB_M, 3, FALSE))</f>
        <v>0.37702447491591556</v>
      </c>
      <c r="Q31" s="1">
        <f>(Main_M[[#This Row],[ROE]]-VLOOKUP(Main_M[[#This Row],[Industry]], Mean_ROE_M, 2, FALSE))/(VLOOKUP(Main_M[[#This Row],[Industry]], Mean_ROE_M, 3, FALSE))</f>
        <v>-2.1410548840520827</v>
      </c>
      <c r="R31" s="1">
        <f>(Main_M[[#This Row],[ROA]]-VLOOKUP(Main_M[[#This Row],[Industry]], Mean_ROA_M, 2, FALSE))/(VLOOKUP(Main_M[[#This Row],[Industry]], Mean_ROA_M, 3, FALSE))</f>
        <v>-3.0890196619612045</v>
      </c>
      <c r="S31" s="1">
        <f>(Main_M[[#This Row],[A/E]]-VLOOKUP(Main_M[[#This Row],[Industry]], Mean_AE_M, 2, FALSE))/(VLOOKUP(Main_M[[#This Row],[Industry]], Mean_AE_M, 3, FALSE))</f>
        <v>-0.58613416435698984</v>
      </c>
      <c r="T31" s="1">
        <f>(Main_M[[#This Row],[P/E]]-VLOOKUP(Main_M[[#This Row],[Industry]], Mean_PE_M, 2, FALSE))/(VLOOKUP(Main_M[[#This Row],[Industry]], Mean_PE_M, 3, FALSE))</f>
        <v>-2.7580990540838619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2" spans="1:26" x14ac:dyDescent="0.25">
      <c r="A32" s="67" t="s">
        <v>105</v>
      </c>
      <c r="B32" s="67" t="s">
        <v>232</v>
      </c>
      <c r="C32" s="2">
        <v>8292</v>
      </c>
      <c r="D32">
        <f>RTD("tos.rtd", , "LAST", Main_M[[#This Row],[Symbol]])</f>
        <v>153.96</v>
      </c>
      <c r="E32">
        <v>9.2799999999999994</v>
      </c>
      <c r="F32">
        <v>-3.03</v>
      </c>
      <c r="G32">
        <v>2.5099999999999998</v>
      </c>
      <c r="H32" s="1">
        <f>IF(ISNUMBER(Main_M[[#This Row],[Free CF]]),IF(Main_M[[#This Row],[Free CF]]&lt;&gt;0,Main_M[[#This Row],[Current Price]]/Main_M[[#This Row],[Free CF]],""),"")</f>
        <v>16.590517241379313</v>
      </c>
      <c r="I32" s="1">
        <f>IF(ISNUMBER(Main_M[[#This Row],[BVPS]]),IF(Main_M[[#This Row],[BVPS]]&lt;&gt;0,Main_M[[#This Row],[Current Price]]/Main_M[[#This Row],[BVPS]],""),"")</f>
        <v>-50.811881188118818</v>
      </c>
      <c r="J32">
        <v>-81.63</v>
      </c>
      <c r="K32">
        <v>4.57</v>
      </c>
      <c r="L32">
        <v>-10.71</v>
      </c>
      <c r="M32" s="1">
        <f>IF(ISNUMBER(Main_M[[#This Row],[EPS]]),IF(Main_M[[#This Row],[EPS]]&lt;&gt;0,Main_M[[#This Row],[Current Price]]/Main_M[[#This Row],[EPS]],""),"")</f>
        <v>61.338645418326699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-0.40389144081384359</v>
      </c>
      <c r="P32" s="1">
        <f>(Main_M[[#This Row],[P/B]]-VLOOKUP(Main_M[[#This Row],[Industry]], Mean_PB_M, 2, FALSE))/(VLOOKUP(Main_M[[#This Row],[Industry]], Mean_PB_M, 3, FALSE))</f>
        <v>-20.315354781842615</v>
      </c>
      <c r="Q32" s="1">
        <f>(Main_M[[#This Row],[ROE]]-VLOOKUP(Main_M[[#This Row],[Industry]], Mean_ROE_M, 2, FALSE))/(VLOOKUP(Main_M[[#This Row],[Industry]], Mean_ROE_M, 3, FALSE))</f>
        <v>-1.8488031165572525</v>
      </c>
      <c r="R32" s="1">
        <f>(Main_M[[#This Row],[ROA]]-VLOOKUP(Main_M[[#This Row],[Industry]], Mean_ROA_M, 2, FALSE))/(VLOOKUP(Main_M[[#This Row],[Industry]], Mean_ROA_M, 3, FALSE))</f>
        <v>0.10591872426392052</v>
      </c>
      <c r="S32" s="1">
        <f>(Main_M[[#This Row],[A/E]]-VLOOKUP(Main_M[[#This Row],[Industry]], Mean_AE_M, 2, FALSE))/(VLOOKUP(Main_M[[#This Row],[Industry]], Mean_AE_M, 3, FALSE))</f>
        <v>-5.3823007667561713</v>
      </c>
      <c r="T32" s="1">
        <f>(Main_M[[#This Row],[P/E]]-VLOOKUP(Main_M[[#This Row],[Industry]], Mean_PE_M, 2, FALSE))/(VLOOKUP(Main_M[[#This Row],[Industry]], Mean_PE_M, 3, FALSE))</f>
        <v>2.0044039281604555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7" t="s">
        <v>105</v>
      </c>
      <c r="B33" s="67" t="s">
        <v>227</v>
      </c>
      <c r="C33" s="2">
        <v>9885</v>
      </c>
      <c r="D33">
        <f>RTD("tos.rtd", , "LAST", Main_M[[#This Row],[Symbol]])</f>
        <v>176.69</v>
      </c>
      <c r="E33">
        <v>7.34</v>
      </c>
      <c r="F33">
        <v>64.33</v>
      </c>
      <c r="G33">
        <v>7.15</v>
      </c>
      <c r="H33" s="1">
        <f>IF(ISNUMBER(Main_M[[#This Row],[Free CF]]),IF(Main_M[[#This Row],[Free CF]]&lt;&gt;0,Main_M[[#This Row],[Current Price]]/Main_M[[#This Row],[Free CF]],""),"")</f>
        <v>24.072207084468666</v>
      </c>
      <c r="I33" s="1">
        <f>IF(ISNUMBER(Main_M[[#This Row],[BVPS]]),IF(Main_M[[#This Row],[BVPS]]&lt;&gt;0,Main_M[[#This Row],[Current Price]]/Main_M[[#This Row],[BVPS]],""),"")</f>
        <v>2.7466189958028915</v>
      </c>
      <c r="J33">
        <v>11.57</v>
      </c>
      <c r="K33">
        <v>8.14</v>
      </c>
      <c r="L33">
        <v>1.3</v>
      </c>
      <c r="M33" s="1">
        <f>IF(ISNUMBER(Main_M[[#This Row],[EPS]]),IF(Main_M[[#This Row],[EPS]]&lt;&gt;0,Main_M[[#This Row],[Current Price]]/Main_M[[#This Row],[EPS]],""),"")</f>
        <v>24.711888111888111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0.2474482559727022</v>
      </c>
      <c r="P33" s="1">
        <f>(Main_M[[#This Row],[P/B]]-VLOOKUP(Main_M[[#This Row],[Industry]], Mean_PB_M, 2, FALSE))/(VLOOKUP(Main_M[[#This Row],[Industry]], Mean_PB_M, 3, FALSE))</f>
        <v>-5.3967779653838005E-2</v>
      </c>
      <c r="Q33" s="1">
        <f>(Main_M[[#This Row],[ROE]]-VLOOKUP(Main_M[[#This Row],[Industry]], Mean_ROE_M, 2, FALSE))/(VLOOKUP(Main_M[[#This Row],[Industry]], Mean_ROE_M, 3, FALSE))</f>
        <v>0.64384492756179368</v>
      </c>
      <c r="R33" s="1">
        <f>(Main_M[[#This Row],[ROA]]-VLOOKUP(Main_M[[#This Row],[Industry]], Mean_ROA_M, 2, FALSE))/(VLOOKUP(Main_M[[#This Row],[Industry]], Mean_ROA_M, 3, FALSE))</f>
        <v>1.7036504663295406</v>
      </c>
      <c r="S33" s="1">
        <f>(Main_M[[#This Row],[A/E]]-VLOOKUP(Main_M[[#This Row],[Industry]], Mean_AE_M, 2, FALSE))/(VLOOKUP(Main_M[[#This Row],[Industry]], Mean_AE_M, 3, FALSE))</f>
        <v>-0.84712077082013626</v>
      </c>
      <c r="T33" s="1">
        <f>(Main_M[[#This Row],[P/E]]-VLOOKUP(Main_M[[#This Row],[Industry]], Mean_PE_M, 2, FALSE))/(VLOOKUP(Main_M[[#This Row],[Industry]], Mean_PE_M, 3, FALSE))</f>
        <v>-0.26405385457079578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7" t="s">
        <v>105</v>
      </c>
      <c r="B34" s="67" t="s">
        <v>225</v>
      </c>
      <c r="C34" s="2">
        <v>2313</v>
      </c>
      <c r="D34">
        <f>RTD("tos.rtd", , "LAST", Main_M[[#This Row],[Symbol]])</f>
        <v>54.27</v>
      </c>
      <c r="E34">
        <v>6.94</v>
      </c>
      <c r="F34">
        <v>40.85</v>
      </c>
      <c r="G34">
        <v>3.52</v>
      </c>
      <c r="H34" s="1">
        <f>IF(ISNUMBER(Main_M[[#This Row],[Free CF]]),IF(Main_M[[#This Row],[Free CF]]&lt;&gt;0,Main_M[[#This Row],[Current Price]]/Main_M[[#This Row],[Free CF]],""),"")</f>
        <v>7.8198847262247835</v>
      </c>
      <c r="I34" s="1">
        <f>IF(ISNUMBER(Main_M[[#This Row],[BVPS]]),IF(Main_M[[#This Row],[BVPS]]&lt;&gt;0,Main_M[[#This Row],[Current Price]]/Main_M[[#This Row],[BVPS]],""),"")</f>
        <v>1.3285189718482253</v>
      </c>
      <c r="J34">
        <v>8.65</v>
      </c>
      <c r="K34">
        <v>4.87</v>
      </c>
      <c r="L34">
        <v>2.06</v>
      </c>
      <c r="M34" s="1">
        <f>IF(ISNUMBER(Main_M[[#This Row],[EPS]]),IF(Main_M[[#This Row],[EPS]]&lt;&gt;0,Main_M[[#This Row],[Current Price]]/Main_M[[#This Row],[EPS]],""),"")</f>
        <v>15.417613636363637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-1.1674436920908211</v>
      </c>
      <c r="P34" s="1">
        <f>(Main_M[[#This Row],[P/B]]-VLOOKUP(Main_M[[#This Row],[Industry]], Mean_PB_M, 2, FALSE))/(VLOOKUP(Main_M[[#This Row],[Industry]], Mean_PB_M, 3, FALSE))</f>
        <v>-0.59044048323010856</v>
      </c>
      <c r="Q34" s="1">
        <f>(Main_M[[#This Row],[ROE]]-VLOOKUP(Main_M[[#This Row],[Industry]], Mean_ROE_M, 2, FALSE))/(VLOOKUP(Main_M[[#This Row],[Industry]], Mean_ROE_M, 3, FALSE))</f>
        <v>0.56574908755291375</v>
      </c>
      <c r="R34" s="1">
        <f>(Main_M[[#This Row],[ROA]]-VLOOKUP(Main_M[[#This Row],[Industry]], Mean_ROA_M, 2, FALSE))/(VLOOKUP(Main_M[[#This Row],[Industry]], Mean_ROA_M, 3, FALSE))</f>
        <v>0.24018189586607339</v>
      </c>
      <c r="S34" s="1">
        <f>(Main_M[[#This Row],[A/E]]-VLOOKUP(Main_M[[#This Row],[Industry]], Mean_AE_M, 2, FALSE))/(VLOOKUP(Main_M[[#This Row],[Industry]], Mean_AE_M, 3, FALSE))</f>
        <v>-0.5601318618350084</v>
      </c>
      <c r="T34" s="1">
        <f>(Main_M[[#This Row],[P/E]]-VLOOKUP(Main_M[[#This Row],[Industry]], Mean_PE_M, 2, FALSE))/(VLOOKUP(Main_M[[#This Row],[Industry]], Mean_PE_M, 3, FALSE))</f>
        <v>-0.83968955970425652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105</v>
      </c>
      <c r="B35" s="67" t="s">
        <v>226</v>
      </c>
      <c r="C35" s="2">
        <v>2755</v>
      </c>
      <c r="D35">
        <f>RTD("tos.rtd", , "LAST", Main_M[[#This Row],[Symbol]])</f>
        <v>15.6</v>
      </c>
      <c r="E35">
        <v>4.55</v>
      </c>
      <c r="F35">
        <v>17.82</v>
      </c>
      <c r="G35">
        <v>2.1</v>
      </c>
      <c r="H35" s="1">
        <f>IF(ISNUMBER(Main_M[[#This Row],[Free CF]]),IF(Main_M[[#This Row],[Free CF]]&lt;&gt;0,Main_M[[#This Row],[Current Price]]/Main_M[[#This Row],[Free CF]],""),"")</f>
        <v>3.4285714285714288</v>
      </c>
      <c r="I35" s="1">
        <f>IF(ISNUMBER(Main_M[[#This Row],[BVPS]]),IF(Main_M[[#This Row],[BVPS]]&lt;&gt;0,Main_M[[#This Row],[Current Price]]/Main_M[[#This Row],[BVPS]],""),"")</f>
        <v>0.87542087542087543</v>
      </c>
      <c r="J35">
        <v>12.08</v>
      </c>
      <c r="K35">
        <v>4.09</v>
      </c>
      <c r="L35">
        <v>4.09</v>
      </c>
      <c r="M35" s="1">
        <f>IF(ISNUMBER(Main_M[[#This Row],[EPS]]),IF(Main_M[[#This Row],[EPS]]&lt;&gt;0,Main_M[[#This Row],[Current Price]]/Main_M[[#This Row],[EPS]],""),"")</f>
        <v>7.4285714285714279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-1.5497419070362306</v>
      </c>
      <c r="P35" s="1">
        <f>(Main_M[[#This Row],[P/B]]-VLOOKUP(Main_M[[#This Row],[Industry]], Mean_PB_M, 2, FALSE))/(VLOOKUP(Main_M[[#This Row],[Industry]], Mean_PB_M, 3, FALSE))</f>
        <v>-0.76184923907920432</v>
      </c>
      <c r="Q35" s="1">
        <f>(Main_M[[#This Row],[ROE]]-VLOOKUP(Main_M[[#This Row],[Industry]], Mean_ROE_M, 2, FALSE))/(VLOOKUP(Main_M[[#This Row],[Industry]], Mean_ROE_M, 3, FALSE))</f>
        <v>0.65748495441265975</v>
      </c>
      <c r="R35" s="1">
        <f>(Main_M[[#This Row],[ROA]]-VLOOKUP(Main_M[[#This Row],[Industry]], Mean_ROA_M, 2, FALSE))/(VLOOKUP(Main_M[[#This Row],[Industry]], Mean_ROA_M, 3, FALSE))</f>
        <v>-0.10890235029952439</v>
      </c>
      <c r="S35" s="1">
        <f>(Main_M[[#This Row],[A/E]]-VLOOKUP(Main_M[[#This Row],[Industry]], Mean_AE_M, 2, FALSE))/(VLOOKUP(Main_M[[#This Row],[Industry]], Mean_AE_M, 3, FALSE))</f>
        <v>0.2064306187436884</v>
      </c>
      <c r="T35" s="1">
        <f>(Main_M[[#This Row],[P/E]]-VLOOKUP(Main_M[[#This Row],[Industry]], Mean_PE_M, 2, FALSE))/(VLOOKUP(Main_M[[#This Row],[Industry]], Mean_PE_M, 3, FALSE))</f>
        <v>-1.3344864324170069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105</v>
      </c>
      <c r="B36" s="67" t="s">
        <v>228</v>
      </c>
      <c r="C36" s="2">
        <v>4321</v>
      </c>
      <c r="D36">
        <f>RTD("tos.rtd", , "LAST", Main_M[[#This Row],[Symbol]])</f>
        <v>100.22</v>
      </c>
      <c r="E36">
        <v>3.08</v>
      </c>
      <c r="F36">
        <v>46.55</v>
      </c>
      <c r="G36">
        <v>3.38</v>
      </c>
      <c r="H36" s="1">
        <f>IF(ISNUMBER(Main_M[[#This Row],[Free CF]]),IF(Main_M[[#This Row],[Free CF]]&lt;&gt;0,Main_M[[#This Row],[Current Price]]/Main_M[[#This Row],[Free CF]],""),"")</f>
        <v>32.538961038961041</v>
      </c>
      <c r="I36" s="1">
        <f>IF(ISNUMBER(Main_M[[#This Row],[BVPS]]),IF(Main_M[[#This Row],[BVPS]]&lt;&gt;0,Main_M[[#This Row],[Current Price]]/Main_M[[#This Row],[BVPS]],""),"")</f>
        <v>2.152953813104189</v>
      </c>
      <c r="J36">
        <v>7.91</v>
      </c>
      <c r="K36">
        <v>5.35</v>
      </c>
      <c r="L36">
        <v>1.58</v>
      </c>
      <c r="M36" s="1">
        <f>IF(ISNUMBER(Main_M[[#This Row],[EPS]]),IF(Main_M[[#This Row],[EPS]]&lt;&gt;0,Main_M[[#This Row],[Current Price]]/Main_M[[#This Row],[EPS]],""),"")</f>
        <v>29.650887573964496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0.98454549859352147</v>
      </c>
      <c r="P36" s="1">
        <f>(Main_M[[#This Row],[P/B]]-VLOOKUP(Main_M[[#This Row],[Industry]], Mean_PB_M, 2, FALSE))/(VLOOKUP(Main_M[[#This Row],[Industry]], Mean_PB_M, 3, FALSE))</f>
        <v>-0.27855360590134881</v>
      </c>
      <c r="Q36" s="1">
        <f>(Main_M[[#This Row],[ROE]]-VLOOKUP(Main_M[[#This Row],[Industry]], Mean_ROE_M, 2, FALSE))/(VLOOKUP(Main_M[[#This Row],[Industry]], Mean_ROE_M, 3, FALSE))</f>
        <v>0.54595767604381407</v>
      </c>
      <c r="R36" s="1">
        <f>(Main_M[[#This Row],[ROA]]-VLOOKUP(Main_M[[#This Row],[Industry]], Mean_ROA_M, 2, FALSE))/(VLOOKUP(Main_M[[#This Row],[Industry]], Mean_ROA_M, 3, FALSE))</f>
        <v>0.45500297042951787</v>
      </c>
      <c r="S36" s="1">
        <f>(Main_M[[#This Row],[A/E]]-VLOOKUP(Main_M[[#This Row],[Industry]], Mean_AE_M, 2, FALSE))/(VLOOKUP(Main_M[[#This Row],[Industry]], Mean_AE_M, 3, FALSE))</f>
        <v>-0.74138801487824713</v>
      </c>
      <c r="T36" s="1">
        <f>(Main_M[[#This Row],[P/E]]-VLOOKUP(Main_M[[#This Row],[Industry]], Mean_PE_M, 2, FALSE))/(VLOOKUP(Main_M[[#This Row],[Industry]], Mean_PE_M, 3, FALSE))</f>
        <v>4.1840322053000333E-2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7" t="s">
        <v>105</v>
      </c>
      <c r="B37" s="67" t="s">
        <v>229</v>
      </c>
      <c r="C37" s="2">
        <v>9084</v>
      </c>
      <c r="D37">
        <f>RTD("tos.rtd", , "LAST", Main_M[[#This Row],[Symbol]])</f>
        <v>40.82</v>
      </c>
      <c r="E37">
        <v>1.46</v>
      </c>
      <c r="F37">
        <v>4.72</v>
      </c>
      <c r="G37">
        <v>1.05</v>
      </c>
      <c r="H37" s="1">
        <f>IF(ISNUMBER(Main_M[[#This Row],[Free CF]]),IF(Main_M[[#This Row],[Free CF]]&lt;&gt;0,Main_M[[#This Row],[Current Price]]/Main_M[[#This Row],[Free CF]],""),"")</f>
        <v>27.958904109589042</v>
      </c>
      <c r="I37" s="1">
        <f>IF(ISNUMBER(Main_M[[#This Row],[BVPS]]),IF(Main_M[[#This Row],[BVPS]]&lt;&gt;0,Main_M[[#This Row],[Current Price]]/Main_M[[#This Row],[BVPS]],""),"")</f>
        <v>8.648305084745763</v>
      </c>
      <c r="J37">
        <v>21.67</v>
      </c>
      <c r="K37">
        <v>2.48</v>
      </c>
      <c r="L37">
        <v>9.07</v>
      </c>
      <c r="M37" s="1">
        <f>IF(ISNUMBER(Main_M[[#This Row],[EPS]]),IF(Main_M[[#This Row],[EPS]]&lt;&gt;0,Main_M[[#This Row],[Current Price]]/Main_M[[#This Row],[EPS]],""),"")</f>
        <v>38.876190476190473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0.58581567228325848</v>
      </c>
      <c r="P37" s="1">
        <f>(Main_M[[#This Row],[P/B]]-VLOOKUP(Main_M[[#This Row],[Industry]], Mean_PB_M, 2, FALSE))/(VLOOKUP(Main_M[[#This Row],[Industry]], Mean_PB_M, 3, FALSE))</f>
        <v>2.1786628093820046</v>
      </c>
      <c r="Q37" s="1">
        <f>(Main_M[[#This Row],[ROE]]-VLOOKUP(Main_M[[#This Row],[Industry]], Mean_ROE_M, 2, FALSE))/(VLOOKUP(Main_M[[#This Row],[Industry]], Mean_ROE_M, 3, FALSE))</f>
        <v>0.91397094951031699</v>
      </c>
      <c r="R37" s="1">
        <f>(Main_M[[#This Row],[ROA]]-VLOOKUP(Main_M[[#This Row],[Industry]], Mean_ROA_M, 2, FALSE))/(VLOOKUP(Main_M[[#This Row],[Industry]], Mean_ROA_M, 3, FALSE))</f>
        <v>-0.82944803789774513</v>
      </c>
      <c r="S37" s="1">
        <f>(Main_M[[#This Row],[A/E]]-VLOOKUP(Main_M[[#This Row],[Industry]], Mean_AE_M, 2, FALSE))/(VLOOKUP(Main_M[[#This Row],[Industry]], Mean_AE_M, 3, FALSE))</f>
        <v>2.0869632065672903</v>
      </c>
      <c r="T37" s="1">
        <f>(Main_M[[#This Row],[P/E]]-VLOOKUP(Main_M[[#This Row],[Industry]], Mean_PE_M, 2, FALSE))/(VLOOKUP(Main_M[[#This Row],[Industry]], Mean_PE_M, 3, FALSE))</f>
        <v>0.61320431126776331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105</v>
      </c>
      <c r="B38" s="67" t="s">
        <v>230</v>
      </c>
      <c r="C38" s="2">
        <v>2576</v>
      </c>
      <c r="D38">
        <f>RTD("tos.rtd", , "LAST", Main_M[[#This Row],[Symbol]])</f>
        <v>28.96</v>
      </c>
      <c r="E38">
        <v>0.8</v>
      </c>
      <c r="F38">
        <v>-2.31</v>
      </c>
      <c r="G38">
        <v>1.1399999999999999</v>
      </c>
      <c r="H38" s="1">
        <f>IF(ISNUMBER(Main_M[[#This Row],[Free CF]]),IF(Main_M[[#This Row],[Free CF]]&lt;&gt;0,Main_M[[#This Row],[Current Price]]/Main_M[[#This Row],[Free CF]],""),"")</f>
        <v>36.199999999999996</v>
      </c>
      <c r="I38" s="1">
        <f>IF(ISNUMBER(Main_M[[#This Row],[BVPS]]),IF(Main_M[[#This Row],[BVPS]]&lt;&gt;0,Main_M[[#This Row],[Current Price]]/Main_M[[#This Row],[BVPS]],""),"")</f>
        <v>-12.536796536796537</v>
      </c>
      <c r="J38">
        <v>-43.7</v>
      </c>
      <c r="K38">
        <v>4.8899999999999997</v>
      </c>
      <c r="L38">
        <v>-7.79</v>
      </c>
      <c r="M38" s="1">
        <f>IF(ISNUMBER(Main_M[[#This Row],[EPS]]),IF(Main_M[[#This Row],[EPS]]&lt;&gt;0,Main_M[[#This Row],[Current Price]]/Main_M[[#This Row],[EPS]],""),"")</f>
        <v>25.403508771929829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1.3032676130914138</v>
      </c>
      <c r="P38" s="1">
        <f>(Main_M[[#This Row],[P/B]]-VLOOKUP(Main_M[[#This Row],[Industry]], Mean_PB_M, 2, FALSE))/(VLOOKUP(Main_M[[#This Row],[Industry]], Mean_PB_M, 3, FALSE))</f>
        <v>-5.8357427688313948</v>
      </c>
      <c r="Q38" s="1">
        <f>(Main_M[[#This Row],[ROE]]-VLOOKUP(Main_M[[#This Row],[Industry]], Mean_ROE_M, 2, FALSE))/(VLOOKUP(Main_M[[#This Row],[Industry]], Mean_ROE_M, 3, FALSE))</f>
        <v>-0.83435955096245207</v>
      </c>
      <c r="R38" s="1">
        <f>(Main_M[[#This Row],[ROA]]-VLOOKUP(Main_M[[#This Row],[Industry]], Mean_ROA_M, 2, FALSE))/(VLOOKUP(Main_M[[#This Row],[Industry]], Mean_ROA_M, 3, FALSE))</f>
        <v>0.24913277397288339</v>
      </c>
      <c r="S38" s="1">
        <f>(Main_M[[#This Row],[A/E]]-VLOOKUP(Main_M[[#This Row],[Industry]], Mean_AE_M, 2, FALSE))/(VLOOKUP(Main_M[[#This Row],[Industry]], Mean_AE_M, 3, FALSE))</f>
        <v>-4.2796591690764689</v>
      </c>
      <c r="T38" s="1">
        <f>(Main_M[[#This Row],[P/E]]-VLOOKUP(Main_M[[#This Row],[Industry]], Mean_PE_M, 2, FALSE))/(VLOOKUP(Main_M[[#This Row],[Industry]], Mean_PE_M, 3, FALSE))</f>
        <v>-0.22121871478915964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7" t="s">
        <v>105</v>
      </c>
      <c r="B39" s="67" t="s">
        <v>231</v>
      </c>
      <c r="C39" s="2">
        <v>4395</v>
      </c>
      <c r="D39">
        <f>RTD("tos.rtd", , "LAST", Main_M[[#This Row],[Symbol]])</f>
        <v>26.07</v>
      </c>
      <c r="E39">
        <v>-0.4</v>
      </c>
      <c r="F39">
        <v>16.46</v>
      </c>
      <c r="G39">
        <v>0.12</v>
      </c>
      <c r="H39" s="1">
        <f>IF(ISNUMBER(Main_M[[#This Row],[Free CF]]),IF(Main_M[[#This Row],[Free CF]]&lt;&gt;0,Main_M[[#This Row],[Current Price]]/Main_M[[#This Row],[Free CF]],""),"")</f>
        <v>-65.174999999999997</v>
      </c>
      <c r="I39" s="1">
        <f>IF(ISNUMBER(Main_M[[#This Row],[BVPS]]),IF(Main_M[[#This Row],[BVPS]]&lt;&gt;0,Main_M[[#This Row],[Current Price]]/Main_M[[#This Row],[BVPS]],""),"")</f>
        <v>1.5838396111786148</v>
      </c>
      <c r="J39">
        <v>1.2</v>
      </c>
      <c r="K39">
        <v>1.07</v>
      </c>
      <c r="L39">
        <v>3.16</v>
      </c>
      <c r="M39" s="1">
        <f>IF(ISNUMBER(Main_M[[#This Row],[EPS]]),IF(Main_M[[#This Row],[EPS]]&lt;&gt;0,Main_M[[#This Row],[Current Price]]/Main_M[[#This Row],[EPS]],""),"")</f>
        <v>217.25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-7.5222200971116377</v>
      </c>
      <c r="P39" s="1">
        <f>(Main_M[[#This Row],[P/B]]-VLOOKUP(Main_M[[#This Row],[Industry]], Mean_PB_M, 2, FALSE))/(VLOOKUP(Main_M[[#This Row],[Industry]], Mean_PB_M, 3, FALSE))</f>
        <v>-0.49385170151750446</v>
      </c>
      <c r="Q39" s="1">
        <f>(Main_M[[#This Row],[ROE]]-VLOOKUP(Main_M[[#This Row],[Industry]], Mean_ROE_M, 2, FALSE))/(VLOOKUP(Main_M[[#This Row],[Industry]], Mean_ROE_M, 3, FALSE))</f>
        <v>0.36649771492751781</v>
      </c>
      <c r="R39" s="1">
        <f>(Main_M[[#This Row],[ROA]]-VLOOKUP(Main_M[[#This Row],[Industry]], Mean_ROA_M, 2, FALSE))/(VLOOKUP(Main_M[[#This Row],[Industry]], Mean_ROA_M, 3, FALSE))</f>
        <v>-1.4604849444278638</v>
      </c>
      <c r="S39" s="1">
        <f>(Main_M[[#This Row],[A/E]]-VLOOKUP(Main_M[[#This Row],[Industry]], Mean_AE_M, 2, FALSE))/(VLOOKUP(Main_M[[#This Row],[Industry]], Mean_AE_M, 3, FALSE))</f>
        <v>-0.14475317777758645</v>
      </c>
      <c r="T39" s="1">
        <f>(Main_M[[#This Row],[P/E]]-VLOOKUP(Main_M[[#This Row],[Industry]], Mean_PE_M, 2, FALSE))/(VLOOKUP(Main_M[[#This Row],[Industry]], Mean_PE_M, 3, FALSE))</f>
        <v>11.660686704107857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0" spans="1:26" x14ac:dyDescent="0.25">
      <c r="A40" s="67" t="s">
        <v>198</v>
      </c>
      <c r="B40" s="67" t="s">
        <v>331</v>
      </c>
      <c r="C40" s="2">
        <v>5071</v>
      </c>
      <c r="D40">
        <f>RTD("tos.rtd", , "LAST", Main_M[[#This Row],[Symbol]])</f>
        <v>102.82</v>
      </c>
      <c r="E40">
        <v>7.82</v>
      </c>
      <c r="F40">
        <v>37.28</v>
      </c>
      <c r="G40">
        <v>6</v>
      </c>
      <c r="H40" s="1">
        <f>IF(ISNUMBER(Main_M[[#This Row],[Free CF]]),IF(Main_M[[#This Row],[Free CF]]&lt;&gt;0,Main_M[[#This Row],[Current Price]]/Main_M[[#This Row],[Free CF]],""),"")</f>
        <v>13.148337595907927</v>
      </c>
      <c r="I40" s="1">
        <f>IF(ISNUMBER(Main_M[[#This Row],[BVPS]]),IF(Main_M[[#This Row],[BVPS]]&lt;&gt;0,Main_M[[#This Row],[Current Price]]/Main_M[[#This Row],[BVPS]],""),"")</f>
        <v>2.758047210300429</v>
      </c>
      <c r="J40">
        <v>17.600000000000001</v>
      </c>
      <c r="K40">
        <v>11.25</v>
      </c>
      <c r="L40">
        <v>1.19</v>
      </c>
      <c r="M40" s="1">
        <f>IF(ISNUMBER(Main_M[[#This Row],[EPS]]),IF(Main_M[[#This Row],[EPS]]&lt;&gt;0,Main_M[[#This Row],[Current Price]]/Main_M[[#This Row],[EPS]],""),"")</f>
        <v>17.136666666666667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0" s="1">
        <f>(Main_M[[#This Row],[P/FCF]]-VLOOKUP(Main_M[[#This Row],[Industry]], Mean_PFCF_M, 2, FALSE))/(VLOOKUP(Main_M[[#This Row],[Industry]], Mean_PFCF_M, 3, FALSE))</f>
        <v>-0.99111623837016161</v>
      </c>
      <c r="P40" s="1">
        <f>(Main_M[[#This Row],[P/B]]-VLOOKUP(Main_M[[#This Row],[Industry]], Mean_PB_M, 2, FALSE))/(VLOOKUP(Main_M[[#This Row],[Industry]], Mean_PB_M, 3, FALSE))</f>
        <v>-0.69671873418868968</v>
      </c>
      <c r="Q40" s="1">
        <f>(Main_M[[#This Row],[ROE]]-VLOOKUP(Main_M[[#This Row],[Industry]], Mean_ROE_M, 2, FALSE))/(VLOOKUP(Main_M[[#This Row],[Industry]], Mean_ROE_M, 3, FALSE))</f>
        <v>0.68191609373984252</v>
      </c>
      <c r="R40" s="1">
        <f>(Main_M[[#This Row],[ROA]]-VLOOKUP(Main_M[[#This Row],[Industry]], Mean_ROA_M, 2, FALSE))/(VLOOKUP(Main_M[[#This Row],[Industry]], Mean_ROA_M, 3, FALSE))</f>
        <v>1.1156787065959528</v>
      </c>
      <c r="S40" s="1">
        <f>(Main_M[[#This Row],[A/E]]-VLOOKUP(Main_M[[#This Row],[Industry]], Mean_AE_M, 2, FALSE))/(VLOOKUP(Main_M[[#This Row],[Industry]], Mean_AE_M, 3, FALSE))</f>
        <v>-0.77169892035591403</v>
      </c>
      <c r="T40" s="1">
        <f>(Main_M[[#This Row],[P/E]]-VLOOKUP(Main_M[[#This Row],[Industry]], Mean_PE_M, 2, FALSE))/(VLOOKUP(Main_M[[#This Row],[Industry]], Mean_PE_M, 3, FALSE))</f>
        <v>7.3919701615813016E-2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198</v>
      </c>
      <c r="B41" s="67" t="s">
        <v>326</v>
      </c>
      <c r="C41" s="2">
        <v>6280</v>
      </c>
      <c r="D41">
        <f>RTD("tos.rtd", , "LAST", Main_M[[#This Row],[Symbol]])</f>
        <v>220.89</v>
      </c>
      <c r="E41">
        <v>7.58</v>
      </c>
      <c r="F41">
        <v>33.56</v>
      </c>
      <c r="G41">
        <v>6.63</v>
      </c>
      <c r="H41" s="1">
        <f>IF(ISNUMBER(Main_M[[#This Row],[Free CF]]),IF(Main_M[[#This Row],[Free CF]]&lt;&gt;0,Main_M[[#This Row],[Current Price]]/Main_M[[#This Row],[Free CF]],""),"")</f>
        <v>29.141160949868073</v>
      </c>
      <c r="I41" s="1">
        <f>IF(ISNUMBER(Main_M[[#This Row],[BVPS]]),IF(Main_M[[#This Row],[BVPS]]&lt;&gt;0,Main_M[[#This Row],[Current Price]]/Main_M[[#This Row],[BVPS]],""),"")</f>
        <v>6.5819427890345645</v>
      </c>
      <c r="J41">
        <v>23.87</v>
      </c>
      <c r="K41">
        <v>10.119999999999999</v>
      </c>
      <c r="L41">
        <v>1.49</v>
      </c>
      <c r="M41" s="1">
        <f>IF(ISNUMBER(Main_M[[#This Row],[EPS]]),IF(Main_M[[#This Row],[EPS]]&lt;&gt;0,Main_M[[#This Row],[Current Price]]/Main_M[[#This Row],[EPS]],""),"")</f>
        <v>33.316742081447963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-0.29548380184487572</v>
      </c>
      <c r="P41" s="1">
        <f>(Main_M[[#This Row],[P/B]]-VLOOKUP(Main_M[[#This Row],[Industry]], Mean_PB_M, 2, FALSE))/(VLOOKUP(Main_M[[#This Row],[Industry]], Mean_PB_M, 3, FALSE))</f>
        <v>0.95839209779772916</v>
      </c>
      <c r="Q41" s="1">
        <f>(Main_M[[#This Row],[ROE]]-VLOOKUP(Main_M[[#This Row],[Industry]], Mean_ROE_M, 2, FALSE))/(VLOOKUP(Main_M[[#This Row],[Industry]], Mean_ROE_M, 3, FALSE))</f>
        <v>0.95001620245909724</v>
      </c>
      <c r="R41" s="1">
        <f>(Main_M[[#This Row],[ROA]]-VLOOKUP(Main_M[[#This Row],[Industry]], Mean_ROA_M, 2, FALSE))/(VLOOKUP(Main_M[[#This Row],[Industry]], Mean_ROA_M, 3, FALSE))</f>
        <v>0.94976642425671354</v>
      </c>
      <c r="S41" s="1">
        <f>(Main_M[[#This Row],[A/E]]-VLOOKUP(Main_M[[#This Row],[Industry]], Mean_AE_M, 2, FALSE))/(VLOOKUP(Main_M[[#This Row],[Industry]], Mean_AE_M, 3, FALSE))</f>
        <v>0.51787752480118299</v>
      </c>
      <c r="T41" s="1">
        <f>(Main_M[[#This Row],[P/E]]-VLOOKUP(Main_M[[#This Row],[Industry]], Mean_PE_M, 2, FALSE))/(VLOOKUP(Main_M[[#This Row],[Industry]], Mean_PE_M, 3, FALSE))</f>
        <v>0.47599756242371993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198</v>
      </c>
      <c r="B42" s="67" t="s">
        <v>325</v>
      </c>
      <c r="C42" s="2">
        <v>5513</v>
      </c>
      <c r="D42">
        <f>RTD("tos.rtd", , "LAST", Main_M[[#This Row],[Symbol]])</f>
        <v>91.59</v>
      </c>
      <c r="E42">
        <v>7.18</v>
      </c>
      <c r="F42">
        <v>35.19</v>
      </c>
      <c r="G42">
        <v>3.36</v>
      </c>
      <c r="H42" s="1">
        <f>IF(ISNUMBER(Main_M[[#This Row],[Free CF]]),IF(Main_M[[#This Row],[Free CF]]&lt;&gt;0,Main_M[[#This Row],[Current Price]]/Main_M[[#This Row],[Free CF]],""),"")</f>
        <v>12.756267409470754</v>
      </c>
      <c r="I42" s="1">
        <f>IF(ISNUMBER(Main_M[[#This Row],[BVPS]]),IF(Main_M[[#This Row],[BVPS]]&lt;&gt;0,Main_M[[#This Row],[Current Price]]/Main_M[[#This Row],[BVPS]],""),"")</f>
        <v>2.6027280477408357</v>
      </c>
      <c r="J42">
        <v>9.5</v>
      </c>
      <c r="K42">
        <v>3.82</v>
      </c>
      <c r="L42">
        <v>3.63</v>
      </c>
      <c r="M42" s="1">
        <f>IF(ISNUMBER(Main_M[[#This Row],[EPS]]),IF(Main_M[[#This Row],[EPS]]&lt;&gt;0,Main_M[[#This Row],[Current Price]]/Main_M[[#This Row],[EPS]],""),"")</f>
        <v>27.258928571428573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-1.0081699338336758</v>
      </c>
      <c r="P42" s="1">
        <f>(Main_M[[#This Row],[P/B]]-VLOOKUP(Main_M[[#This Row],[Industry]], Mean_PB_M, 2, FALSE))/(VLOOKUP(Main_M[[#This Row],[Industry]], Mean_PB_M, 3, FALSE))</f>
        <v>-0.76394610038485111</v>
      </c>
      <c r="Q42" s="1">
        <f>(Main_M[[#This Row],[ROE]]-VLOOKUP(Main_M[[#This Row],[Industry]], Mean_ROE_M, 2, FALSE))/(VLOOKUP(Main_M[[#This Row],[Industry]], Mean_ROE_M, 3, FALSE))</f>
        <v>0.33556667099247972</v>
      </c>
      <c r="R42" s="1">
        <f>(Main_M[[#This Row],[ROA]]-VLOOKUP(Main_M[[#This Row],[Industry]], Mean_ROA_M, 2, FALSE))/(VLOOKUP(Main_M[[#This Row],[Industry]], Mean_ROA_M, 3, FALSE))</f>
        <v>2.4768743958301059E-2</v>
      </c>
      <c r="S42" s="1">
        <f>(Main_M[[#This Row],[A/E]]-VLOOKUP(Main_M[[#This Row],[Industry]], Mean_AE_M, 2, FALSE))/(VLOOKUP(Main_M[[#This Row],[Industry]], Mean_AE_M, 3, FALSE))</f>
        <v>9.7168561669218061</v>
      </c>
      <c r="T42" s="1">
        <f>(Main_M[[#This Row],[P/E]]-VLOOKUP(Main_M[[#This Row],[Industry]], Mean_PE_M, 2, FALSE))/(VLOOKUP(Main_M[[#This Row],[Industry]], Mean_PE_M, 3, FALSE))</f>
        <v>0.32545977846155805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198</v>
      </c>
      <c r="B43" s="67" t="s">
        <v>337</v>
      </c>
      <c r="C43" s="2">
        <v>7072</v>
      </c>
      <c r="D43">
        <f>RTD("tos.rtd", , "LAST", Main_M[[#This Row],[Symbol]])</f>
        <v>81.09</v>
      </c>
      <c r="E43">
        <v>5.12</v>
      </c>
      <c r="F43">
        <v>36.51</v>
      </c>
      <c r="G43">
        <v>0.57999999999999996</v>
      </c>
      <c r="H43" s="1">
        <f>IF(ISNUMBER(Main_M[[#This Row],[Free CF]]),IF(Main_M[[#This Row],[Free CF]]&lt;&gt;0,Main_M[[#This Row],[Current Price]]/Main_M[[#This Row],[Free CF]],""),"")</f>
        <v>15.837890625</v>
      </c>
      <c r="I43" s="1">
        <f>IF(ISNUMBER(Main_M[[#This Row],[BVPS]]),IF(Main_M[[#This Row],[BVPS]]&lt;&gt;0,Main_M[[#This Row],[Current Price]]/Main_M[[#This Row],[BVPS]],""),"")</f>
        <v>2.2210353327855383</v>
      </c>
      <c r="J43">
        <v>1.6</v>
      </c>
      <c r="K43">
        <v>3.76</v>
      </c>
      <c r="L43">
        <v>1.75</v>
      </c>
      <c r="M43" s="1">
        <f>IF(ISNUMBER(Main_M[[#This Row],[EPS]]),IF(Main_M[[#This Row],[EPS]]&lt;&gt;0,Main_M[[#This Row],[Current Price]]/Main_M[[#This Row],[EPS]],""),"")</f>
        <v>139.81034482758622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-0.87412999489189547</v>
      </c>
      <c r="P43" s="1">
        <f>(Main_M[[#This Row],[P/B]]-VLOOKUP(Main_M[[#This Row],[Industry]], Mean_PB_M, 2, FALSE))/(VLOOKUP(Main_M[[#This Row],[Industry]], Mean_PB_M, 3, FALSE))</f>
        <v>-0.92915556649217357</v>
      </c>
      <c r="Q43" s="1">
        <f>(Main_M[[#This Row],[ROE]]-VLOOKUP(Main_M[[#This Row],[Industry]], Mean_ROE_M, 2, FALSE))/(VLOOKUP(Main_M[[#This Row],[Industry]], Mean_ROE_M, 3, FALSE))</f>
        <v>-2.2309141561826203E-3</v>
      </c>
      <c r="R43" s="1">
        <f>(Main_M[[#This Row],[ROA]]-VLOOKUP(Main_M[[#This Row],[Industry]], Mean_ROA_M, 2, FALSE))/(VLOOKUP(Main_M[[#This Row],[Industry]], Mean_ROA_M, 3, FALSE))</f>
        <v>1.5959242241173316E-2</v>
      </c>
      <c r="S43" s="1">
        <f>(Main_M[[#This Row],[A/E]]-VLOOKUP(Main_M[[#This Row],[Industry]], Mean_AE_M, 2, FALSE))/(VLOOKUP(Main_M[[#This Row],[Industry]], Mean_AE_M, 3, FALSE))</f>
        <v>1.6355104439373336</v>
      </c>
      <c r="T43" s="1">
        <f>(Main_M[[#This Row],[P/E]]-VLOOKUP(Main_M[[#This Row],[Industry]], Mean_PE_M, 2, FALSE))/(VLOOKUP(Main_M[[#This Row],[Industry]], Mean_PE_M, 3, FALSE))</f>
        <v>3.1223832487832106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4" spans="1:26" x14ac:dyDescent="0.25">
      <c r="A44" s="67" t="s">
        <v>198</v>
      </c>
      <c r="B44" s="67" t="s">
        <v>327</v>
      </c>
      <c r="C44" s="2">
        <v>4494</v>
      </c>
      <c r="D44">
        <f>RTD("tos.rtd", , "LAST", Main_M[[#This Row],[Symbol]])</f>
        <v>99.46</v>
      </c>
      <c r="E44">
        <v>5.01</v>
      </c>
      <c r="F44">
        <v>39.31</v>
      </c>
      <c r="G44">
        <v>4.42</v>
      </c>
      <c r="H44" s="1">
        <f>IF(ISNUMBER(Main_M[[#This Row],[Free CF]]),IF(Main_M[[#This Row],[Free CF]]&lt;&gt;0,Main_M[[#This Row],[Current Price]]/Main_M[[#This Row],[Free CF]],""),"")</f>
        <v>19.852295409181636</v>
      </c>
      <c r="I44" s="1">
        <f>IF(ISNUMBER(Main_M[[#This Row],[BVPS]]),IF(Main_M[[#This Row],[BVPS]]&lt;&gt;0,Main_M[[#This Row],[Current Price]]/Main_M[[#This Row],[BVPS]],""),"")</f>
        <v>2.5301450012719409</v>
      </c>
      <c r="J44">
        <v>11.83</v>
      </c>
      <c r="K44">
        <v>6.46</v>
      </c>
      <c r="L44">
        <v>1.1000000000000001</v>
      </c>
      <c r="M44" s="1">
        <f>IF(ISNUMBER(Main_M[[#This Row],[EPS]]),IF(Main_M[[#This Row],[EPS]]&lt;&gt;0,Main_M[[#This Row],[Current Price]]/Main_M[[#This Row],[EPS]],""),"")</f>
        <v>22.502262443438912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4" s="1">
        <f>(Main_M[[#This Row],[P/FCF]]-VLOOKUP(Main_M[[#This Row],[Industry]], Mean_PFCF_M, 2, FALSE))/(VLOOKUP(Main_M[[#This Row],[Industry]], Mean_PFCF_M, 3, FALSE))</f>
        <v>-0.69951728771611443</v>
      </c>
      <c r="P44" s="1">
        <f>(Main_M[[#This Row],[P/B]]-VLOOKUP(Main_M[[#This Row],[Industry]], Mean_PB_M, 2, FALSE))/(VLOOKUP(Main_M[[#This Row],[Industry]], Mean_PB_M, 3, FALSE))</f>
        <v>-0.79536248819034927</v>
      </c>
      <c r="Q44" s="1">
        <f>(Main_M[[#This Row],[ROE]]-VLOOKUP(Main_M[[#This Row],[Industry]], Mean_ROE_M, 2, FALSE))/(VLOOKUP(Main_M[[#This Row],[Industry]], Mean_ROE_M, 3, FALSE))</f>
        <v>0.43519557901733841</v>
      </c>
      <c r="R44" s="1">
        <f>(Main_M[[#This Row],[ROA]]-VLOOKUP(Main_M[[#This Row],[Industry]], Mean_ROA_M, 2, FALSE))/(VLOOKUP(Main_M[[#This Row],[Industry]], Mean_ROA_M, 3, FALSE))</f>
        <v>0.41238681951192158</v>
      </c>
      <c r="S44" s="1">
        <f>(Main_M[[#This Row],[A/E]]-VLOOKUP(Main_M[[#This Row],[Industry]], Mean_AE_M, 2, FALSE))/(VLOOKUP(Main_M[[#This Row],[Industry]], Mean_AE_M, 3, FALSE))</f>
        <v>-1.1585718539030425</v>
      </c>
      <c r="T44" s="1">
        <f>(Main_M[[#This Row],[P/E]]-VLOOKUP(Main_M[[#This Row],[Industry]], Mean_PE_M, 2, FALSE))/(VLOOKUP(Main_M[[#This Row],[Industry]], Mean_PE_M, 3, FALSE))</f>
        <v>0.20725574712729716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7" t="s">
        <v>198</v>
      </c>
      <c r="B45" s="67" t="s">
        <v>493</v>
      </c>
      <c r="C45" s="2">
        <v>9028</v>
      </c>
      <c r="D45">
        <f>RTD("tos.rtd", , "LAST", Main_M[[#This Row],[Symbol]])</f>
        <v>20.67</v>
      </c>
      <c r="E45">
        <v>3.71</v>
      </c>
      <c r="F45">
        <v>13.11</v>
      </c>
      <c r="G45">
        <v>5.19</v>
      </c>
      <c r="H45" s="1">
        <f>IF(ISNUMBER(Main_M[[#This Row],[Free CF]]),IF(Main_M[[#This Row],[Free CF]]&lt;&gt;0,Main_M[[#This Row],[Current Price]]/Main_M[[#This Row],[Free CF]],""),"")</f>
        <v>5.5714285714285721</v>
      </c>
      <c r="I45" s="1">
        <f>IF(ISNUMBER(Main_M[[#This Row],[BVPS]]),IF(Main_M[[#This Row],[BVPS]]&lt;&gt;0,Main_M[[#This Row],[Current Price]]/Main_M[[#This Row],[BVPS]],""),"")</f>
        <v>1.576659038901602</v>
      </c>
      <c r="J45">
        <v>45.27</v>
      </c>
      <c r="K45">
        <v>22.95</v>
      </c>
      <c r="L45">
        <v>1.69</v>
      </c>
      <c r="M45" s="1">
        <f>IF(ISNUMBER(Main_M[[#This Row],[EPS]]),IF(Main_M[[#This Row],[EPS]]&lt;&gt;0,Main_M[[#This Row],[Current Price]]/Main_M[[#This Row],[EPS]],""),"")</f>
        <v>3.9826589595375723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-1.3206855438876801</v>
      </c>
      <c r="P45" s="1">
        <f>(Main_M[[#This Row],[P/B]]-VLOOKUP(Main_M[[#This Row],[Industry]], Mean_PB_M, 2, FALSE))/(VLOOKUP(Main_M[[#This Row],[Industry]], Mean_PB_M, 3, FALSE))</f>
        <v>-1.2080633352643599</v>
      </c>
      <c r="Q45" s="1">
        <f>(Main_M[[#This Row],[ROE]]-VLOOKUP(Main_M[[#This Row],[Industry]], Mean_ROE_M, 2, FALSE))/(VLOOKUP(Main_M[[#This Row],[Industry]], Mean_ROE_M, 3, FALSE))</f>
        <v>1.8650628255200308</v>
      </c>
      <c r="R45" s="1">
        <f>(Main_M[[#This Row],[ROA]]-VLOOKUP(Main_M[[#This Row],[Industry]], Mean_ROA_M, 2, FALSE))/(VLOOKUP(Main_M[[#This Row],[Industry]], Mean_ROA_M, 3, FALSE))</f>
        <v>2.8335315414358617</v>
      </c>
      <c r="S45" s="1">
        <f>(Main_M[[#This Row],[A/E]]-VLOOKUP(Main_M[[#This Row],[Industry]], Mean_AE_M, 2, FALSE))/(VLOOKUP(Main_M[[#This Row],[Industry]], Mean_AE_M, 3, FALSE))</f>
        <v>1.377595154905914</v>
      </c>
      <c r="T45" s="1">
        <f>(Main_M[[#This Row],[P/E]]-VLOOKUP(Main_M[[#This Row],[Industry]], Mean_PE_M, 2, FALSE))/(VLOOKUP(Main_M[[#This Row],[Industry]], Mean_PE_M, 3, FALSE))</f>
        <v>-0.25295981806191881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7" t="s">
        <v>198</v>
      </c>
      <c r="B46" s="67" t="s">
        <v>323</v>
      </c>
      <c r="C46" s="2">
        <v>5431</v>
      </c>
      <c r="D46">
        <f>RTD("tos.rtd", , "LAST", Main_M[[#This Row],[Symbol]])</f>
        <v>43.26</v>
      </c>
      <c r="E46">
        <v>3.52</v>
      </c>
      <c r="F46">
        <v>6.18</v>
      </c>
      <c r="G46">
        <v>1.08</v>
      </c>
      <c r="H46" s="1">
        <f>IF(ISNUMBER(Main_M[[#This Row],[Free CF]]),IF(Main_M[[#This Row],[Free CF]]&lt;&gt;0,Main_M[[#This Row],[Current Price]]/Main_M[[#This Row],[Free CF]],""),"")</f>
        <v>12.289772727272727</v>
      </c>
      <c r="I46" s="1">
        <f>IF(ISNUMBER(Main_M[[#This Row],[BVPS]]),IF(Main_M[[#This Row],[BVPS]]&lt;&gt;0,Main_M[[#This Row],[Current Price]]/Main_M[[#This Row],[BVPS]],""),"")</f>
        <v>7</v>
      </c>
      <c r="J46">
        <v>17.13</v>
      </c>
      <c r="K46">
        <v>3.01</v>
      </c>
      <c r="L46">
        <v>3.83</v>
      </c>
      <c r="M46" s="1">
        <f>IF(ISNUMBER(Main_M[[#This Row],[EPS]]),IF(Main_M[[#This Row],[EPS]]&lt;&gt;0,Main_M[[#This Row],[Current Price]]/Main_M[[#This Row],[EPS]],""),"")</f>
        <v>40.05555555555555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-1.028460837148327</v>
      </c>
      <c r="P46" s="1">
        <f>(Main_M[[#This Row],[P/B]]-VLOOKUP(Main_M[[#This Row],[Industry]], Mean_PB_M, 2, FALSE))/(VLOOKUP(Main_M[[#This Row],[Industry]], Mean_PB_M, 3, FALSE))</f>
        <v>1.1393413428835433</v>
      </c>
      <c r="Q46" s="1">
        <f>(Main_M[[#This Row],[ROE]]-VLOOKUP(Main_M[[#This Row],[Industry]], Mean_ROE_M, 2, FALSE))/(VLOOKUP(Main_M[[#This Row],[Industry]], Mean_ROE_M, 3, FALSE))</f>
        <v>0.66181927538289664</v>
      </c>
      <c r="R46" s="1">
        <f>(Main_M[[#This Row],[ROA]]-VLOOKUP(Main_M[[#This Row],[Industry]], Mean_ROA_M, 2, FALSE))/(VLOOKUP(Main_M[[#This Row],[Industry]], Mean_ROA_M, 3, FALSE))</f>
        <v>-9.4159529222923422E-2</v>
      </c>
      <c r="S46" s="1">
        <f>(Main_M[[#This Row],[A/E]]-VLOOKUP(Main_M[[#This Row],[Industry]], Mean_AE_M, 2, FALSE))/(VLOOKUP(Main_M[[#This Row],[Industry]], Mean_AE_M, 3, FALSE))</f>
        <v>10.576573797026537</v>
      </c>
      <c r="T46" s="1">
        <f>(Main_M[[#This Row],[P/E]]-VLOOKUP(Main_M[[#This Row],[Industry]], Mean_PE_M, 2, FALSE))/(VLOOKUP(Main_M[[#This Row],[Industry]], Mean_PE_M, 3, FALSE))</f>
        <v>0.64345832120222302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7" t="s">
        <v>198</v>
      </c>
      <c r="B47" s="67" t="s">
        <v>334</v>
      </c>
      <c r="C47" s="2">
        <v>6813</v>
      </c>
      <c r="D47">
        <f>RTD("tos.rtd", , "LAST", Main_M[[#This Row],[Symbol]])</f>
        <v>155.88</v>
      </c>
      <c r="E47">
        <v>3.44</v>
      </c>
      <c r="F47">
        <v>34.880000000000003</v>
      </c>
      <c r="G47">
        <v>4.8099999999999996</v>
      </c>
      <c r="H47" s="1">
        <f>IF(ISNUMBER(Main_M[[#This Row],[Free CF]]),IF(Main_M[[#This Row],[Free CF]]&lt;&gt;0,Main_M[[#This Row],[Current Price]]/Main_M[[#This Row],[Free CF]],""),"")</f>
        <v>45.313953488372093</v>
      </c>
      <c r="I47" s="1">
        <f>IF(ISNUMBER(Main_M[[#This Row],[BVPS]]),IF(Main_M[[#This Row],[BVPS]]&lt;&gt;0,Main_M[[#This Row],[Current Price]]/Main_M[[#This Row],[BVPS]],""),"")</f>
        <v>4.4690366972477058</v>
      </c>
      <c r="J47">
        <v>14.61</v>
      </c>
      <c r="K47">
        <v>8.65</v>
      </c>
      <c r="L47">
        <v>1.1200000000000001</v>
      </c>
      <c r="M47" s="1">
        <f>IF(ISNUMBER(Main_M[[#This Row],[EPS]]),IF(Main_M[[#This Row],[EPS]]&lt;&gt;0,Main_M[[#This Row],[Current Price]]/Main_M[[#This Row],[EPS]],""),"")</f>
        <v>32.407484407484411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0.40797667101726626</v>
      </c>
      <c r="P47" s="1">
        <f>(Main_M[[#This Row],[P/B]]-VLOOKUP(Main_M[[#This Row],[Industry]], Mean_PB_M, 2, FALSE))/(VLOOKUP(Main_M[[#This Row],[Industry]], Mean_PB_M, 3, FALSE))</f>
        <v>4.3855158312524865E-2</v>
      </c>
      <c r="Q47" s="1">
        <f>(Main_M[[#This Row],[ROE]]-VLOOKUP(Main_M[[#This Row],[Industry]], Mean_ROE_M, 2, FALSE))/(VLOOKUP(Main_M[[#This Row],[Industry]], Mean_ROE_M, 3, FALSE))</f>
        <v>0.55406612163927271</v>
      </c>
      <c r="R47" s="1">
        <f>(Main_M[[#This Row],[ROA]]-VLOOKUP(Main_M[[#This Row],[Industry]], Mean_ROA_M, 2, FALSE))/(VLOOKUP(Main_M[[#This Row],[Industry]], Mean_ROA_M, 3, FALSE))</f>
        <v>0.73393363218708407</v>
      </c>
      <c r="S47" s="1">
        <f>(Main_M[[#This Row],[A/E]]-VLOOKUP(Main_M[[#This Row],[Industry]], Mean_AE_M, 2, FALSE))/(VLOOKUP(Main_M[[#This Row],[Industry]], Mean_AE_M, 3, FALSE))</f>
        <v>-1.0726000908925692</v>
      </c>
      <c r="T47" s="1">
        <f>(Main_M[[#This Row],[P/E]]-VLOOKUP(Main_M[[#This Row],[Industry]], Mean_PE_M, 2, FALSE))/(VLOOKUP(Main_M[[#This Row],[Industry]], Mean_PE_M, 3, FALSE))</f>
        <v>0.45340234138189145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7" t="s">
        <v>198</v>
      </c>
      <c r="B48" s="67" t="s">
        <v>476</v>
      </c>
      <c r="C48" s="2">
        <v>2060</v>
      </c>
      <c r="D48">
        <f>RTD("tos.rtd", , "LAST", Main_M[[#This Row],[Symbol]])</f>
        <v>50.9</v>
      </c>
      <c r="E48">
        <v>3</v>
      </c>
      <c r="F48">
        <v>38.82</v>
      </c>
      <c r="G48">
        <v>0.55000000000000004</v>
      </c>
      <c r="H48" s="1">
        <f>IF(ISNUMBER(Main_M[[#This Row],[Free CF]]),IF(Main_M[[#This Row],[Free CF]]&lt;&gt;0,Main_M[[#This Row],[Current Price]]/Main_M[[#This Row],[Free CF]],""),"")</f>
        <v>16.966666666666665</v>
      </c>
      <c r="I48" s="1">
        <f>IF(ISNUMBER(Main_M[[#This Row],[BVPS]]),IF(Main_M[[#This Row],[BVPS]]&lt;&gt;0,Main_M[[#This Row],[Current Price]]/Main_M[[#This Row],[BVPS]],""),"")</f>
        <v>1.3111798042246265</v>
      </c>
      <c r="J48">
        <v>1.77</v>
      </c>
      <c r="K48">
        <v>1.18</v>
      </c>
      <c r="L48">
        <v>1.31</v>
      </c>
      <c r="M48" s="1">
        <f>IF(ISNUMBER(Main_M[[#This Row],[EPS]]),IF(Main_M[[#This Row],[EPS]]&lt;&gt;0,Main_M[[#This Row],[Current Price]]/Main_M[[#This Row],[EPS]],""),"")</f>
        <v>92.545454545454533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-0.8250321457643669</v>
      </c>
      <c r="P48" s="1">
        <f>(Main_M[[#This Row],[P/B]]-VLOOKUP(Main_M[[#This Row],[Industry]], Mean_PB_M, 2, FALSE))/(VLOOKUP(Main_M[[#This Row],[Industry]], Mean_PB_M, 3, FALSE))</f>
        <v>-1.3229716919216266</v>
      </c>
      <c r="Q48" s="1">
        <f>(Main_M[[#This Row],[ROE]]-VLOOKUP(Main_M[[#This Row],[Industry]], Mean_ROE_M, 2, FALSE))/(VLOOKUP(Main_M[[#This Row],[Industry]], Mean_ROE_M, 3, FALSE))</f>
        <v>5.0381478027126426E-3</v>
      </c>
      <c r="R48" s="1">
        <f>(Main_M[[#This Row],[ROA]]-VLOOKUP(Main_M[[#This Row],[Industry]], Mean_ROA_M, 2, FALSE))/(VLOOKUP(Main_M[[#This Row],[Industry]], Mean_ROA_M, 3, FALSE))</f>
        <v>-0.36284933159531946</v>
      </c>
      <c r="S48" s="1">
        <f>(Main_M[[#This Row],[A/E]]-VLOOKUP(Main_M[[#This Row],[Industry]], Mean_AE_M, 2, FALSE))/(VLOOKUP(Main_M[[#This Row],[Industry]], Mean_AE_M, 3, FALSE))</f>
        <v>-0.25586834229307481</v>
      </c>
      <c r="T48" s="1">
        <f>(Main_M[[#This Row],[P/E]]-VLOOKUP(Main_M[[#This Row],[Industry]], Mean_PE_M, 2, FALSE))/(VLOOKUP(Main_M[[#This Row],[Industry]], Mean_PE_M, 3, FALSE))</f>
        <v>1.9478420004402826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7" t="s">
        <v>198</v>
      </c>
      <c r="B49" s="67" t="s">
        <v>341</v>
      </c>
      <c r="C49" s="2">
        <v>3926</v>
      </c>
      <c r="D49">
        <f>RTD("tos.rtd", , "LAST", Main_M[[#This Row],[Symbol]])</f>
        <v>134.97999999999999</v>
      </c>
      <c r="E49">
        <v>2.83</v>
      </c>
      <c r="F49">
        <v>32.9</v>
      </c>
      <c r="G49">
        <v>-5.0999999999999996</v>
      </c>
      <c r="H49" s="1">
        <f>IF(ISNUMBER(Main_M[[#This Row],[Free CF]]),IF(Main_M[[#This Row],[Free CF]]&lt;&gt;0,Main_M[[#This Row],[Current Price]]/Main_M[[#This Row],[Free CF]],""),"")</f>
        <v>47.696113074204945</v>
      </c>
      <c r="I49" s="1">
        <f>IF(ISNUMBER(Main_M[[#This Row],[BVPS]]),IF(Main_M[[#This Row],[BVPS]]&lt;&gt;0,Main_M[[#This Row],[Current Price]]/Main_M[[#This Row],[BVPS]],""),"")</f>
        <v>4.1027355623100306</v>
      </c>
      <c r="J49">
        <v>-14.77</v>
      </c>
      <c r="K49">
        <v>-6.72</v>
      </c>
      <c r="L49">
        <v>1.1499999999999999</v>
      </c>
      <c r="M49" s="1">
        <f>IF(ISNUMBER(Main_M[[#This Row],[EPS]]),IF(Main_M[[#This Row],[EPS]]&lt;&gt;0,Main_M[[#This Row],[Current Price]]/Main_M[[#This Row],[EPS]],""),"")</f>
        <v>-26.466666666666665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0.51159236414468645</v>
      </c>
      <c r="P49" s="1">
        <f>(Main_M[[#This Row],[P/B]]-VLOOKUP(Main_M[[#This Row],[Industry]], Mean_PB_M, 2, FALSE))/(VLOOKUP(Main_M[[#This Row],[Industry]], Mean_PB_M, 3, FALSE))</f>
        <v>-0.11469231342700542</v>
      </c>
      <c r="Q49" s="1">
        <f>(Main_M[[#This Row],[ROE]]-VLOOKUP(Main_M[[#This Row],[Industry]], Mean_ROE_M, 2, FALSE))/(VLOOKUP(Main_M[[#This Row],[Industry]], Mean_ROE_M, 3, FALSE))</f>
        <v>-0.70219882160980318</v>
      </c>
      <c r="R49" s="1">
        <f>(Main_M[[#This Row],[ROA]]-VLOOKUP(Main_M[[#This Row],[Industry]], Mean_ROA_M, 2, FALSE))/(VLOOKUP(Main_M[[#This Row],[Industry]], Mean_ROA_M, 3, FALSE))</f>
        <v>-1.5227670576838048</v>
      </c>
      <c r="S49" s="1">
        <f>(Main_M[[#This Row],[A/E]]-VLOOKUP(Main_M[[#This Row],[Industry]], Mean_AE_M, 2, FALSE))/(VLOOKUP(Main_M[[#This Row],[Industry]], Mean_AE_M, 3, FALSE))</f>
        <v>-0.94364244637686034</v>
      </c>
      <c r="T49" s="1">
        <f>(Main_M[[#This Row],[P/E]]-VLOOKUP(Main_M[[#This Row],[Industry]], Mean_PE_M, 2, FALSE))/(VLOOKUP(Main_M[[#This Row],[Industry]], Mean_PE_M, 3, FALSE))</f>
        <v>-1.0096311806467309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7" t="s">
        <v>198</v>
      </c>
      <c r="B50" s="67" t="s">
        <v>343</v>
      </c>
      <c r="C50" s="2">
        <v>2265</v>
      </c>
      <c r="D50">
        <f>RTD("tos.rtd", , "LAST", Main_M[[#This Row],[Symbol]])</f>
        <v>64.36</v>
      </c>
      <c r="E50">
        <v>2.76</v>
      </c>
      <c r="F50">
        <v>35.700000000000003</v>
      </c>
      <c r="G50">
        <v>4.13</v>
      </c>
      <c r="H50" s="1">
        <f>IF(ISNUMBER(Main_M[[#This Row],[Free CF]]),IF(Main_M[[#This Row],[Free CF]]&lt;&gt;0,Main_M[[#This Row],[Current Price]]/Main_M[[#This Row],[Free CF]],""),"")</f>
        <v>23.318840579710148</v>
      </c>
      <c r="I50" s="1">
        <f>IF(ISNUMBER(Main_M[[#This Row],[BVPS]]),IF(Main_M[[#This Row],[BVPS]]&lt;&gt;0,Main_M[[#This Row],[Current Price]]/Main_M[[#This Row],[BVPS]],""),"")</f>
        <v>1.8028011204481791</v>
      </c>
      <c r="J50">
        <v>12.6</v>
      </c>
      <c r="K50">
        <v>-1.33</v>
      </c>
      <c r="L50">
        <v>1.84</v>
      </c>
      <c r="M50" s="1">
        <f>IF(ISNUMBER(Main_M[[#This Row],[EPS]]),IF(Main_M[[#This Row],[EPS]]&lt;&gt;0,Main_M[[#This Row],[Current Price]]/Main_M[[#This Row],[EPS]],""),"")</f>
        <v>15.583535108958838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-0.54873457662573089</v>
      </c>
      <c r="P50" s="1">
        <f>(Main_M[[#This Row],[P/B]]-VLOOKUP(Main_M[[#This Row],[Industry]], Mean_PB_M, 2, FALSE))/(VLOOKUP(Main_M[[#This Row],[Industry]], Mean_PB_M, 3, FALSE))</f>
        <v>-1.1101814237348615</v>
      </c>
      <c r="Q50" s="1">
        <f>(Main_M[[#This Row],[ROE]]-VLOOKUP(Main_M[[#This Row],[Industry]], Mean_ROE_M, 2, FALSE))/(VLOOKUP(Main_M[[#This Row],[Industry]], Mean_ROE_M, 3, FALSE))</f>
        <v>0.46812015377233457</v>
      </c>
      <c r="R50" s="1">
        <f>(Main_M[[#This Row],[ROA]]-VLOOKUP(Main_M[[#This Row],[Industry]], Mean_ROA_M, 2, FALSE))/(VLOOKUP(Main_M[[#This Row],[Industry]], Mean_ROA_M, 3, FALSE))</f>
        <v>-0.73138015342849649</v>
      </c>
      <c r="S50" s="1">
        <f>(Main_M[[#This Row],[A/E]]-VLOOKUP(Main_M[[#This Row],[Industry]], Mean_AE_M, 2, FALSE))/(VLOOKUP(Main_M[[#This Row],[Industry]], Mean_AE_M, 3, FALSE))</f>
        <v>2.0223833774844628</v>
      </c>
      <c r="T50" s="1">
        <f>(Main_M[[#This Row],[P/E]]-VLOOKUP(Main_M[[#This Row],[Industry]], Mean_PE_M, 2, FALSE))/(VLOOKUP(Main_M[[#This Row],[Industry]], Mean_PE_M, 3, FALSE))</f>
        <v>3.5324095707454692E-2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s="67" t="s">
        <v>198</v>
      </c>
      <c r="B51" s="67" t="s">
        <v>333</v>
      </c>
      <c r="C51" s="2">
        <v>9047</v>
      </c>
      <c r="D51">
        <f>RTD("tos.rtd", , "LAST", Main_M[[#This Row],[Symbol]])</f>
        <v>126.3</v>
      </c>
      <c r="E51">
        <v>2.62</v>
      </c>
      <c r="F51">
        <v>16.16</v>
      </c>
      <c r="G51">
        <v>-1.2</v>
      </c>
      <c r="H51" s="1">
        <f>IF(ISNUMBER(Main_M[[#This Row],[Free CF]]),IF(Main_M[[#This Row],[Free CF]]&lt;&gt;0,Main_M[[#This Row],[Current Price]]/Main_M[[#This Row],[Free CF]],""),"")</f>
        <v>48.206106870229007</v>
      </c>
      <c r="I51" s="1">
        <f>IF(ISNUMBER(Main_M[[#This Row],[BVPS]]),IF(Main_M[[#This Row],[BVPS]]&lt;&gt;0,Main_M[[#This Row],[Current Price]]/Main_M[[#This Row],[BVPS]],""),"")</f>
        <v>7.8155940594059405</v>
      </c>
      <c r="J51">
        <v>-7.7</v>
      </c>
      <c r="K51">
        <v>3.47</v>
      </c>
      <c r="L51">
        <v>1.6</v>
      </c>
      <c r="M51" s="1">
        <f>IF(ISNUMBER(Main_M[[#This Row],[EPS]]),IF(Main_M[[#This Row],[EPS]]&lt;&gt;0,Main_M[[#This Row],[Current Price]]/Main_M[[#This Row],[EPS]],""),"")</f>
        <v>-105.25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0.53377532828360752</v>
      </c>
      <c r="P51" s="1">
        <f>(Main_M[[#This Row],[P/B]]-VLOOKUP(Main_M[[#This Row],[Industry]], Mean_PB_M, 2, FALSE))/(VLOOKUP(Main_M[[#This Row],[Industry]], Mean_PB_M, 3, FALSE))</f>
        <v>1.4923579288315878</v>
      </c>
      <c r="Q51" s="1">
        <f>(Main_M[[#This Row],[ROE]]-VLOOKUP(Main_M[[#This Row],[Industry]], Mean_ROE_M, 2, FALSE))/(VLOOKUP(Main_M[[#This Row],[Industry]], Mean_ROE_M, 3, FALSE))</f>
        <v>-0.39989136249574714</v>
      </c>
      <c r="R51" s="1">
        <f>(Main_M[[#This Row],[ROA]]-VLOOKUP(Main_M[[#This Row],[Industry]], Mean_ROA_M, 2, FALSE))/(VLOOKUP(Main_M[[#This Row],[Industry]], Mean_ROA_M, 3, FALSE))</f>
        <v>-2.6620016058277362E-2</v>
      </c>
      <c r="S51" s="1">
        <f>(Main_M[[#This Row],[A/E]]-VLOOKUP(Main_M[[#This Row],[Industry]], Mean_AE_M, 2, FALSE))/(VLOOKUP(Main_M[[#This Row],[Industry]], Mean_AE_M, 3, FALSE))</f>
        <v>0.99072222135878563</v>
      </c>
      <c r="T51" s="1">
        <f>(Main_M[[#This Row],[P/E]]-VLOOKUP(Main_M[[#This Row],[Industry]], Mean_PE_M, 2, FALSE))/(VLOOKUP(Main_M[[#This Row],[Industry]], Mean_PE_M, 3, FALSE))</f>
        <v>-2.9674115569386985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2" spans="1:26" x14ac:dyDescent="0.25">
      <c r="A52" s="67" t="s">
        <v>198</v>
      </c>
      <c r="B52" s="67" t="s">
        <v>322</v>
      </c>
      <c r="C52" s="2">
        <v>3034</v>
      </c>
      <c r="D52">
        <f>RTD("tos.rtd", , "LAST", Main_M[[#This Row],[Symbol]])</f>
        <v>74.44</v>
      </c>
      <c r="E52">
        <v>2.4700000000000002</v>
      </c>
      <c r="F52">
        <v>12.89</v>
      </c>
      <c r="G52">
        <v>2.61</v>
      </c>
      <c r="H52" s="1">
        <f>IF(ISNUMBER(Main_M[[#This Row],[Free CF]]),IF(Main_M[[#This Row],[Free CF]]&lt;&gt;0,Main_M[[#This Row],[Current Price]]/Main_M[[#This Row],[Free CF]],""),"")</f>
        <v>30.137651821862345</v>
      </c>
      <c r="I52" s="1">
        <f>IF(ISNUMBER(Main_M[[#This Row],[BVPS]]),IF(Main_M[[#This Row],[BVPS]]&lt;&gt;0,Main_M[[#This Row],[Current Price]]/Main_M[[#This Row],[BVPS]],""),"")</f>
        <v>5.7750193948797515</v>
      </c>
      <c r="J52">
        <v>24.82</v>
      </c>
      <c r="K52">
        <v>8.5399999999999991</v>
      </c>
      <c r="L52">
        <v>1.59</v>
      </c>
      <c r="M52" s="1">
        <f>IF(ISNUMBER(Main_M[[#This Row],[EPS]]),IF(Main_M[[#This Row],[EPS]]&lt;&gt;0,Main_M[[#This Row],[Current Price]]/Main_M[[#This Row],[EPS]],""),"")</f>
        <v>28.521072796934867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-0.25213989952578125</v>
      </c>
      <c r="P52" s="1">
        <f>(Main_M[[#This Row],[P/B]]-VLOOKUP(Main_M[[#This Row],[Industry]], Mean_PB_M, 2, FALSE))/(VLOOKUP(Main_M[[#This Row],[Industry]], Mean_PB_M, 3, FALSE))</f>
        <v>0.60912846788161157</v>
      </c>
      <c r="Q52" s="1">
        <f>(Main_M[[#This Row],[ROE]]-VLOOKUP(Main_M[[#This Row],[Industry]], Mean_ROE_M, 2, FALSE))/(VLOOKUP(Main_M[[#This Row],[Industry]], Mean_ROE_M, 3, FALSE))</f>
        <v>0.99063743105292368</v>
      </c>
      <c r="R52" s="1">
        <f>(Main_M[[#This Row],[ROA]]-VLOOKUP(Main_M[[#This Row],[Industry]], Mean_ROA_M, 2, FALSE))/(VLOOKUP(Main_M[[#This Row],[Industry]], Mean_ROA_M, 3, FALSE))</f>
        <v>0.71778287903901639</v>
      </c>
      <c r="S52" s="1">
        <f>(Main_M[[#This Row],[A/E]]-VLOOKUP(Main_M[[#This Row],[Industry]], Mean_AE_M, 2, FALSE))/(VLOOKUP(Main_M[[#This Row],[Industry]], Mean_AE_M, 3, FALSE))</f>
        <v>0.94773633985354899</v>
      </c>
      <c r="T52" s="1">
        <f>(Main_M[[#This Row],[P/E]]-VLOOKUP(Main_M[[#This Row],[Industry]], Mean_PE_M, 2, FALSE))/(VLOOKUP(Main_M[[#This Row],[Industry]], Mean_PE_M, 3, FALSE))</f>
        <v>0.3568242954500892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7" t="s">
        <v>198</v>
      </c>
      <c r="B53" s="67" t="s">
        <v>486</v>
      </c>
      <c r="C53" s="2">
        <v>2080</v>
      </c>
      <c r="D53">
        <f>RTD("tos.rtd", , "LAST", Main_M[[#This Row],[Symbol]])</f>
        <v>67.290000000000006</v>
      </c>
      <c r="E53">
        <v>2.21</v>
      </c>
      <c r="F53">
        <v>22.96</v>
      </c>
      <c r="G53">
        <v>2.8</v>
      </c>
      <c r="H53" s="1">
        <f>IF(ISNUMBER(Main_M[[#This Row],[Free CF]]),IF(Main_M[[#This Row],[Free CF]]&lt;&gt;0,Main_M[[#This Row],[Current Price]]/Main_M[[#This Row],[Free CF]],""),"")</f>
        <v>30.447963800904979</v>
      </c>
      <c r="I53" s="1">
        <f>IF(ISNUMBER(Main_M[[#This Row],[BVPS]]),IF(Main_M[[#This Row],[BVPS]]&lt;&gt;0,Main_M[[#This Row],[Current Price]]/Main_M[[#This Row],[BVPS]],""),"")</f>
        <v>2.9307491289198606</v>
      </c>
      <c r="J53">
        <v>12.34</v>
      </c>
      <c r="K53">
        <v>5.34</v>
      </c>
      <c r="L53">
        <v>1.28</v>
      </c>
      <c r="M53" s="1">
        <f>IF(ISNUMBER(Main_M[[#This Row],[EPS]]),IF(Main_M[[#This Row],[EPS]]&lt;&gt;0,Main_M[[#This Row],[Current Price]]/Main_M[[#This Row],[EPS]],""),"")</f>
        <v>24.032142857142862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53" s="1">
        <f>(Main_M[[#This Row],[P/FCF]]-VLOOKUP(Main_M[[#This Row],[Industry]], Mean_PFCF_M, 2, FALSE))/(VLOOKUP(Main_M[[#This Row],[Industry]], Mean_PFCF_M, 3, FALSE))</f>
        <v>-0.23864240297455727</v>
      </c>
      <c r="P53" s="1">
        <f>(Main_M[[#This Row],[P/B]]-VLOOKUP(Main_M[[#This Row],[Industry]], Mean_PB_M, 2, FALSE))/(VLOOKUP(Main_M[[#This Row],[Industry]], Mean_PB_M, 3, FALSE))</f>
        <v>-0.62196752555174173</v>
      </c>
      <c r="Q53" s="1">
        <f>(Main_M[[#This Row],[ROE]]-VLOOKUP(Main_M[[#This Row],[Industry]], Mean_ROE_M, 2, FALSE))/(VLOOKUP(Main_M[[#This Row],[Industry]], Mean_ROE_M, 3, FALSE))</f>
        <v>0.45700276489402419</v>
      </c>
      <c r="R53" s="1">
        <f>(Main_M[[#This Row],[ROA]]-VLOOKUP(Main_M[[#This Row],[Industry]], Mean_ROA_M, 2, FALSE))/(VLOOKUP(Main_M[[#This Row],[Industry]], Mean_ROA_M, 3, FALSE))</f>
        <v>0.24794278745887044</v>
      </c>
      <c r="S53" s="1">
        <f>(Main_M[[#This Row],[A/E]]-VLOOKUP(Main_M[[#This Row],[Industry]], Mean_AE_M, 2, FALSE))/(VLOOKUP(Main_M[[#This Row],[Industry]], Mean_AE_M, 3, FALSE))</f>
        <v>-0.3848259868087846</v>
      </c>
      <c r="T53" s="1">
        <f>(Main_M[[#This Row],[P/E]]-VLOOKUP(Main_M[[#This Row],[Industry]], Mean_PE_M, 2, FALSE))/(VLOOKUP(Main_M[[#This Row],[Industry]], Mean_PE_M, 3, FALSE))</f>
        <v>0.24527355781512913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7" t="s">
        <v>198</v>
      </c>
      <c r="B54" s="67" t="s">
        <v>339</v>
      </c>
      <c r="C54" s="2">
        <v>5743</v>
      </c>
      <c r="D54">
        <f>RTD("tos.rtd", , "LAST", Main_M[[#This Row],[Symbol]])</f>
        <v>59.03</v>
      </c>
      <c r="E54">
        <v>2.1800000000000002</v>
      </c>
      <c r="F54">
        <v>10.8</v>
      </c>
      <c r="G54">
        <v>1.91</v>
      </c>
      <c r="H54" s="1">
        <f>IF(ISNUMBER(Main_M[[#This Row],[Free CF]]),IF(Main_M[[#This Row],[Free CF]]&lt;&gt;0,Main_M[[#This Row],[Current Price]]/Main_M[[#This Row],[Free CF]],""),"")</f>
        <v>27.077981651376145</v>
      </c>
      <c r="I54" s="1">
        <f>IF(ISNUMBER(Main_M[[#This Row],[BVPS]]),IF(Main_M[[#This Row],[BVPS]]&lt;&gt;0,Main_M[[#This Row],[Current Price]]/Main_M[[#This Row],[BVPS]],""),"")</f>
        <v>5.4657407407407401</v>
      </c>
      <c r="J54">
        <v>19.260000000000002</v>
      </c>
      <c r="K54">
        <v>10.210000000000001</v>
      </c>
      <c r="L54">
        <v>1.19</v>
      </c>
      <c r="M54" s="1">
        <f>IF(ISNUMBER(Main_M[[#This Row],[EPS]]),IF(Main_M[[#This Row],[EPS]]&lt;&gt;0,Main_M[[#This Row],[Current Price]]/Main_M[[#This Row],[EPS]],""),"")</f>
        <v>30.905759162303667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-0.38522495702640169</v>
      </c>
      <c r="P54" s="1">
        <f>(Main_M[[#This Row],[P/B]]-VLOOKUP(Main_M[[#This Row],[Industry]], Mean_PB_M, 2, FALSE))/(VLOOKUP(Main_M[[#This Row],[Industry]], Mean_PB_M, 3, FALSE))</f>
        <v>0.47526224689627922</v>
      </c>
      <c r="Q54" s="1">
        <f>(Main_M[[#This Row],[ROE]]-VLOOKUP(Main_M[[#This Row],[Industry]], Mean_ROE_M, 2, FALSE))/(VLOOKUP(Main_M[[#This Row],[Industry]], Mean_ROE_M, 3, FALSE))</f>
        <v>0.75289634580905507</v>
      </c>
      <c r="R54" s="1">
        <f>(Main_M[[#This Row],[ROA]]-VLOOKUP(Main_M[[#This Row],[Industry]], Mean_ROA_M, 2, FALSE))/(VLOOKUP(Main_M[[#This Row],[Industry]], Mean_ROA_M, 3, FALSE))</f>
        <v>0.9629806768324054</v>
      </c>
      <c r="S54" s="1">
        <f>(Main_M[[#This Row],[A/E]]-VLOOKUP(Main_M[[#This Row],[Industry]], Mean_AE_M, 2, FALSE))/(VLOOKUP(Main_M[[#This Row],[Industry]], Mean_AE_M, 3, FALSE))</f>
        <v>-0.77169892035591403</v>
      </c>
      <c r="T54" s="1">
        <f>(Main_M[[#This Row],[P/E]]-VLOOKUP(Main_M[[#This Row],[Industry]], Mean_PE_M, 2, FALSE))/(VLOOKUP(Main_M[[#This Row],[Industry]], Mean_PE_M, 3, FALSE))</f>
        <v>0.4160841918291463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7" t="s">
        <v>198</v>
      </c>
      <c r="B55" s="67" t="s">
        <v>335</v>
      </c>
      <c r="C55" s="2">
        <v>3307</v>
      </c>
      <c r="D55">
        <f>RTD("tos.rtd", , "LAST", Main_M[[#This Row],[Symbol]])</f>
        <v>117.01</v>
      </c>
      <c r="E55">
        <v>1.57</v>
      </c>
      <c r="F55">
        <v>5.55</v>
      </c>
      <c r="G55">
        <v>-0.08</v>
      </c>
      <c r="H55" s="1">
        <f>IF(ISNUMBER(Main_M[[#This Row],[Free CF]]),IF(Main_M[[#This Row],[Free CF]]&lt;&gt;0,Main_M[[#This Row],[Current Price]]/Main_M[[#This Row],[Free CF]],""),"")</f>
        <v>74.528662420382162</v>
      </c>
      <c r="I55" s="1">
        <f>IF(ISNUMBER(Main_M[[#This Row],[BVPS]]),IF(Main_M[[#This Row],[BVPS]]&lt;&gt;0,Main_M[[#This Row],[Current Price]]/Main_M[[#This Row],[BVPS]],""),"")</f>
        <v>21.082882882882885</v>
      </c>
      <c r="J55">
        <v>-0.78</v>
      </c>
      <c r="K55">
        <v>-0.54</v>
      </c>
      <c r="L55">
        <v>2.99</v>
      </c>
      <c r="M55" s="1">
        <f>IF(ISNUMBER(Main_M[[#This Row],[EPS]]),IF(Main_M[[#This Row],[EPS]]&lt;&gt;0,Main_M[[#This Row],[Current Price]]/Main_M[[#This Row],[EPS]],""),"")</f>
        <v>-1462.625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1.6787153459191486</v>
      </c>
      <c r="P55" s="1">
        <f>(Main_M[[#This Row],[P/B]]-VLOOKUP(Main_M[[#This Row],[Industry]], Mean_PB_M, 2, FALSE))/(VLOOKUP(Main_M[[#This Row],[Industry]], Mean_PB_M, 3, FALSE))</f>
        <v>7.2348875012783092</v>
      </c>
      <c r="Q55" s="1">
        <f>(Main_M[[#This Row],[ROE]]-VLOOKUP(Main_M[[#This Row],[Industry]], Mean_ROE_M, 2, FALSE))/(VLOOKUP(Main_M[[#This Row],[Industry]], Mean_ROE_M, 3, FALSE))</f>
        <v>-0.10399778158071636</v>
      </c>
      <c r="R55" s="1">
        <f>(Main_M[[#This Row],[ROA]]-VLOOKUP(Main_M[[#This Row],[Industry]], Mean_ROA_M, 2, FALSE))/(VLOOKUP(Main_M[[#This Row],[Industry]], Mean_ROA_M, 3, FALSE))</f>
        <v>-0.61538838081964797</v>
      </c>
      <c r="S55" s="1">
        <f>(Main_M[[#This Row],[A/E]]-VLOOKUP(Main_M[[#This Row],[Industry]], Mean_AE_M, 2, FALSE))/(VLOOKUP(Main_M[[#This Row],[Industry]], Mean_AE_M, 3, FALSE))</f>
        <v>6.9657597505866677</v>
      </c>
      <c r="T55" s="1">
        <f>(Main_M[[#This Row],[P/E]]-VLOOKUP(Main_M[[#This Row],[Industry]], Mean_PE_M, 2, FALSE))/(VLOOKUP(Main_M[[#This Row],[Industry]], Mean_PE_M, 3, FALSE))</f>
        <v>-36.698430870701884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6" spans="1:26" x14ac:dyDescent="0.25">
      <c r="A56" s="67" t="s">
        <v>198</v>
      </c>
      <c r="B56" s="67" t="s">
        <v>336</v>
      </c>
      <c r="C56" s="2">
        <v>2799</v>
      </c>
      <c r="D56">
        <f>RTD("tos.rtd", , "LAST", Main_M[[#This Row],[Symbol]])</f>
        <v>56.85</v>
      </c>
      <c r="E56">
        <v>1.28</v>
      </c>
      <c r="F56">
        <v>12.98</v>
      </c>
      <c r="G56">
        <v>0.64</v>
      </c>
      <c r="H56" s="1">
        <f>IF(ISNUMBER(Main_M[[#This Row],[Free CF]]),IF(Main_M[[#This Row],[Free CF]]&lt;&gt;0,Main_M[[#This Row],[Current Price]]/Main_M[[#This Row],[Free CF]],""),"")</f>
        <v>44.4140625</v>
      </c>
      <c r="I56" s="1">
        <f>IF(ISNUMBER(Main_M[[#This Row],[BVPS]]),IF(Main_M[[#This Row],[BVPS]]&lt;&gt;0,Main_M[[#This Row],[Current Price]]/Main_M[[#This Row],[BVPS]],""),"")</f>
        <v>4.379815100154083</v>
      </c>
      <c r="J56">
        <v>5.03</v>
      </c>
      <c r="K56">
        <v>1.87</v>
      </c>
      <c r="L56">
        <v>1.1100000000000001</v>
      </c>
      <c r="M56" s="1">
        <f>IF(ISNUMBER(Main_M[[#This Row],[EPS]]),IF(Main_M[[#This Row],[EPS]]&lt;&gt;0,Main_M[[#This Row],[Current Price]]/Main_M[[#This Row],[EPS]],""),"")</f>
        <v>88.828125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0.36883452913314313</v>
      </c>
      <c r="P56" s="1">
        <f>(Main_M[[#This Row],[P/B]]-VLOOKUP(Main_M[[#This Row],[Industry]], Mean_PB_M, 2, FALSE))/(VLOOKUP(Main_M[[#This Row],[Industry]], Mean_PB_M, 3, FALSE))</f>
        <v>5.2370452505389187E-3</v>
      </c>
      <c r="Q56" s="1">
        <f>(Main_M[[#This Row],[ROE]]-VLOOKUP(Main_M[[#This Row],[Industry]], Mean_ROE_M, 2, FALSE))/(VLOOKUP(Main_M[[#This Row],[Industry]], Mean_ROE_M, 3, FALSE))</f>
        <v>0.14443310066152776</v>
      </c>
      <c r="R56" s="1">
        <f>(Main_M[[#This Row],[ROA]]-VLOOKUP(Main_M[[#This Row],[Industry]], Mean_ROA_M, 2, FALSE))/(VLOOKUP(Main_M[[#This Row],[Industry]], Mean_ROA_M, 3, FALSE))</f>
        <v>-0.26154006184835038</v>
      </c>
      <c r="S56" s="1">
        <f>(Main_M[[#This Row],[A/E]]-VLOOKUP(Main_M[[#This Row],[Industry]], Mean_AE_M, 2, FALSE))/(VLOOKUP(Main_M[[#This Row],[Industry]], Mean_AE_M, 3, FALSE))</f>
        <v>-1.1155859723978059</v>
      </c>
      <c r="T56" s="1">
        <f>(Main_M[[#This Row],[P/E]]-VLOOKUP(Main_M[[#This Row],[Industry]], Mean_PE_M, 2, FALSE))/(VLOOKUP(Main_M[[#This Row],[Industry]], Mean_PE_M, 3, FALSE))</f>
        <v>1.8554656750376861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7" t="s">
        <v>198</v>
      </c>
      <c r="B57" s="67" t="s">
        <v>321</v>
      </c>
      <c r="C57" s="2">
        <v>4452</v>
      </c>
      <c r="D57">
        <f>RTD("tos.rtd", , "LAST", Main_M[[#This Row],[Symbol]])</f>
        <v>19.87</v>
      </c>
      <c r="E57">
        <v>0.91</v>
      </c>
      <c r="F57">
        <v>16.82</v>
      </c>
      <c r="G57">
        <v>1.28</v>
      </c>
      <c r="H57" s="1">
        <f>IF(ISNUMBER(Main_M[[#This Row],[Free CF]]),IF(Main_M[[#This Row],[Free CF]]&lt;&gt;0,Main_M[[#This Row],[Current Price]]/Main_M[[#This Row],[Free CF]],""),"")</f>
        <v>21.835164835164836</v>
      </c>
      <c r="I57" s="1">
        <f>IF(ISNUMBER(Main_M[[#This Row],[BVPS]]),IF(Main_M[[#This Row],[BVPS]]&lt;&gt;0,Main_M[[#This Row],[Current Price]]/Main_M[[#This Row],[BVPS]],""),"")</f>
        <v>1.1813317479191439</v>
      </c>
      <c r="J57">
        <v>7.73</v>
      </c>
      <c r="K57">
        <v>3.65</v>
      </c>
      <c r="L57">
        <v>1.67</v>
      </c>
      <c r="M57" s="1">
        <f>IF(ISNUMBER(Main_M[[#This Row],[EPS]]),IF(Main_M[[#This Row],[EPS]]&lt;&gt;0,Main_M[[#This Row],[Current Price]]/Main_M[[#This Row],[EPS]],""),"")</f>
        <v>15.5234375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-0.61326933389458771</v>
      </c>
      <c r="P57" s="1">
        <f>(Main_M[[#This Row],[P/B]]-VLOOKUP(Main_M[[#This Row],[Industry]], Mean_PB_M, 2, FALSE))/(VLOOKUP(Main_M[[#This Row],[Industry]], Mean_PB_M, 3, FALSE))</f>
        <v>-1.3791743052196426</v>
      </c>
      <c r="Q57" s="1">
        <f>(Main_M[[#This Row],[ROE]]-VLOOKUP(Main_M[[#This Row],[Industry]], Mean_ROE_M, 2, FALSE))/(VLOOKUP(Main_M[[#This Row],[Industry]], Mean_ROE_M, 3, FALSE))</f>
        <v>0.25988290824398197</v>
      </c>
      <c r="R57" s="1">
        <f>(Main_M[[#This Row],[ROA]]-VLOOKUP(Main_M[[#This Row],[Industry]], Mean_ROA_M, 2, FALSE))/(VLOOKUP(Main_M[[#This Row],[Industry]], Mean_ROA_M, 3, FALSE))</f>
        <v>-1.9151090689418775E-4</v>
      </c>
      <c r="S57" s="1">
        <f>(Main_M[[#This Row],[A/E]]-VLOOKUP(Main_M[[#This Row],[Industry]], Mean_AE_M, 2, FALSE))/(VLOOKUP(Main_M[[#This Row],[Industry]], Mean_AE_M, 3, FALSE))</f>
        <v>1.291623391895441</v>
      </c>
      <c r="T57" s="1">
        <f>(Main_M[[#This Row],[P/E]]-VLOOKUP(Main_M[[#This Row],[Industry]], Mean_PE_M, 2, FALSE))/(VLOOKUP(Main_M[[#This Row],[Industry]], Mean_PE_M, 3, FALSE))</f>
        <v>3.3830659031148187E-2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7" t="s">
        <v>198</v>
      </c>
      <c r="B58" s="67" t="s">
        <v>324</v>
      </c>
      <c r="C58" s="2">
        <v>2301</v>
      </c>
      <c r="D58">
        <f>RTD("tos.rtd", , "LAST", Main_M[[#This Row],[Symbol]])</f>
        <v>34.17</v>
      </c>
      <c r="E58">
        <v>0.83</v>
      </c>
      <c r="F58">
        <v>12.53</v>
      </c>
      <c r="G58">
        <v>0.69</v>
      </c>
      <c r="H58" s="1">
        <f>IF(ISNUMBER(Main_M[[#This Row],[Free CF]]),IF(Main_M[[#This Row],[Free CF]]&lt;&gt;0,Main_M[[#This Row],[Current Price]]/Main_M[[#This Row],[Free CF]],""),"")</f>
        <v>41.168674698795186</v>
      </c>
      <c r="I58" s="1">
        <f>IF(ISNUMBER(Main_M[[#This Row],[BVPS]]),IF(Main_M[[#This Row],[BVPS]]&lt;&gt;0,Main_M[[#This Row],[Current Price]]/Main_M[[#This Row],[BVPS]],""),"")</f>
        <v>2.727055067837191</v>
      </c>
      <c r="J58">
        <v>5.74</v>
      </c>
      <c r="K58">
        <v>2.5499999999999998</v>
      </c>
      <c r="L58">
        <v>1.2</v>
      </c>
      <c r="M58" s="1">
        <f>IF(ISNUMBER(Main_M[[#This Row],[EPS]]),IF(Main_M[[#This Row],[EPS]]&lt;&gt;0,Main_M[[#This Row],[Current Price]]/Main_M[[#This Row],[EPS]],""),"")</f>
        <v>49.521739130434788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0.22767139779257731</v>
      </c>
      <c r="P58" s="1">
        <f>(Main_M[[#This Row],[P/B]]-VLOOKUP(Main_M[[#This Row],[Industry]], Mean_PB_M, 2, FALSE))/(VLOOKUP(Main_M[[#This Row],[Industry]], Mean_PB_M, 3, FALSE))</f>
        <v>-0.710133177559644</v>
      </c>
      <c r="Q58" s="1">
        <f>(Main_M[[#This Row],[ROE]]-VLOOKUP(Main_M[[#This Row],[Industry]], Mean_ROE_M, 2, FALSE))/(VLOOKUP(Main_M[[#This Row],[Industry]], Mean_ROE_M, 3, FALSE))</f>
        <v>0.17479212413691386</v>
      </c>
      <c r="R58" s="1">
        <f>(Main_M[[#This Row],[ROA]]-VLOOKUP(Main_M[[#This Row],[Industry]], Mean_ROA_M, 2, FALSE))/(VLOOKUP(Main_M[[#This Row],[Industry]], Mean_ROA_M, 3, FALSE))</f>
        <v>-0.16169904238756941</v>
      </c>
      <c r="S58" s="1">
        <f>(Main_M[[#This Row],[A/E]]-VLOOKUP(Main_M[[#This Row],[Industry]], Mean_AE_M, 2, FALSE))/(VLOOKUP(Main_M[[#This Row],[Industry]], Mean_AE_M, 3, FALSE))</f>
        <v>-0.7287130388506774</v>
      </c>
      <c r="T58" s="1">
        <f>(Main_M[[#This Row],[P/E]]-VLOOKUP(Main_M[[#This Row],[Industry]], Mean_PE_M, 2, FALSE))/(VLOOKUP(Main_M[[#This Row],[Industry]], Mean_PE_M, 3, FALSE))</f>
        <v>0.87869473044202739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7" t="s">
        <v>198</v>
      </c>
      <c r="B59" s="67" t="s">
        <v>332</v>
      </c>
      <c r="C59" s="2">
        <v>6180</v>
      </c>
      <c r="D59">
        <f>RTD("tos.rtd", , "LAST", Main_M[[#This Row],[Symbol]])</f>
        <v>50.08</v>
      </c>
      <c r="E59">
        <v>0.74</v>
      </c>
      <c r="F59">
        <v>5.15</v>
      </c>
      <c r="G59">
        <v>0.37</v>
      </c>
      <c r="H59" s="1">
        <f>IF(ISNUMBER(Main_M[[#This Row],[Free CF]]),IF(Main_M[[#This Row],[Free CF]]&lt;&gt;0,Main_M[[#This Row],[Current Price]]/Main_M[[#This Row],[Free CF]],""),"")</f>
        <v>67.675675675675677</v>
      </c>
      <c r="I59" s="1">
        <f>IF(ISNUMBER(Main_M[[#This Row],[BVPS]]),IF(Main_M[[#This Row],[BVPS]]&lt;&gt;0,Main_M[[#This Row],[Current Price]]/Main_M[[#This Row],[BVPS]],""),"")</f>
        <v>9.7242718446601923</v>
      </c>
      <c r="J59">
        <v>7.39</v>
      </c>
      <c r="K59">
        <v>3.78</v>
      </c>
      <c r="L59">
        <v>1.1599999999999999</v>
      </c>
      <c r="M59" s="1">
        <f>IF(ISNUMBER(Main_M[[#This Row],[EPS]]),IF(Main_M[[#This Row],[EPS]]&lt;&gt;0,Main_M[[#This Row],[Current Price]]/Main_M[[#This Row],[EPS]],""),"")</f>
        <v>135.35135135135135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1.3806341527997852</v>
      </c>
      <c r="P59" s="1">
        <f>(Main_M[[#This Row],[P/B]]-VLOOKUP(Main_M[[#This Row],[Industry]], Mean_PB_M, 2, FALSE))/(VLOOKUP(Main_M[[#This Row],[Industry]], Mean_PB_M, 3, FALSE))</f>
        <v>2.3184979768796419</v>
      </c>
      <c r="Q59" s="1">
        <f>(Main_M[[#This Row],[ROE]]-VLOOKUP(Main_M[[#This Row],[Industry]], Mean_ROE_M, 2, FALSE))/(VLOOKUP(Main_M[[#This Row],[Industry]], Mean_ROE_M, 3, FALSE))</f>
        <v>0.24534478432619142</v>
      </c>
      <c r="R59" s="1">
        <f>(Main_M[[#This Row],[ROA]]-VLOOKUP(Main_M[[#This Row],[Industry]], Mean_ROA_M, 2, FALSE))/(VLOOKUP(Main_M[[#This Row],[Industry]], Mean_ROA_M, 3, FALSE))</f>
        <v>1.8895742813549232E-2</v>
      </c>
      <c r="S59" s="1">
        <f>(Main_M[[#This Row],[A/E]]-VLOOKUP(Main_M[[#This Row],[Industry]], Mean_AE_M, 2, FALSE))/(VLOOKUP(Main_M[[#This Row],[Industry]], Mean_AE_M, 3, FALSE))</f>
        <v>-0.90065656487162382</v>
      </c>
      <c r="T59" s="1">
        <f>(Main_M[[#This Row],[P/E]]-VLOOKUP(Main_M[[#This Row],[Industry]], Mean_PE_M, 2, FALSE))/(VLOOKUP(Main_M[[#This Row],[Industry]], Mean_PE_M, 3, FALSE))</f>
        <v>3.0115764377937477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0" spans="1:26" x14ac:dyDescent="0.25">
      <c r="A60" s="67" t="s">
        <v>198</v>
      </c>
      <c r="B60" s="67" t="s">
        <v>342</v>
      </c>
      <c r="C60" s="2">
        <v>3234</v>
      </c>
      <c r="D60">
        <f>RTD("tos.rtd", , "LAST", Main_M[[#This Row],[Symbol]])</f>
        <v>41.35</v>
      </c>
      <c r="E60">
        <v>0.61</v>
      </c>
      <c r="F60">
        <v>6.58</v>
      </c>
      <c r="G60">
        <v>-1.55</v>
      </c>
      <c r="H60" s="1">
        <f>IF(ISNUMBER(Main_M[[#This Row],[Free CF]]),IF(Main_M[[#This Row],[Free CF]]&lt;&gt;0,Main_M[[#This Row],[Current Price]]/Main_M[[#This Row],[Free CF]],""),"")</f>
        <v>67.786885245901644</v>
      </c>
      <c r="I60" s="1">
        <f>IF(ISNUMBER(Main_M[[#This Row],[BVPS]]),IF(Main_M[[#This Row],[BVPS]]&lt;&gt;0,Main_M[[#This Row],[Current Price]]/Main_M[[#This Row],[BVPS]],""),"")</f>
        <v>6.2841945288753802</v>
      </c>
      <c r="J60">
        <v>-93.39</v>
      </c>
      <c r="K60">
        <v>4.17</v>
      </c>
      <c r="L60">
        <v>2.52</v>
      </c>
      <c r="M60" s="1">
        <f>IF(ISNUMBER(Main_M[[#This Row],[EPS]]),IF(Main_M[[#This Row],[EPS]]&lt;&gt;0,Main_M[[#This Row],[Current Price]]/Main_M[[#This Row],[EPS]],""),"")</f>
        <v>-26.677419354838708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1.3854713840121256</v>
      </c>
      <c r="P60" s="1">
        <f>(Main_M[[#This Row],[P/B]]-VLOOKUP(Main_M[[#This Row],[Industry]], Mean_PB_M, 2, FALSE))/(VLOOKUP(Main_M[[#This Row],[Industry]], Mean_PB_M, 3, FALSE))</f>
        <v>0.82951661978122038</v>
      </c>
      <c r="Q60" s="1">
        <f>(Main_M[[#This Row],[ROE]]-VLOOKUP(Main_M[[#This Row],[Industry]], Mean_ROE_M, 2, FALSE))/(VLOOKUP(Main_M[[#This Row],[Industry]], Mean_ROE_M, 3, FALSE))</f>
        <v>-4.0639261816588963</v>
      </c>
      <c r="R60" s="1">
        <f>(Main_M[[#This Row],[ROA]]-VLOOKUP(Main_M[[#This Row],[Industry]], Mean_ROA_M, 2, FALSE))/(VLOOKUP(Main_M[[#This Row],[Industry]], Mean_ROA_M, 3, FALSE))</f>
        <v>7.6157503974879553E-2</v>
      </c>
      <c r="S60" s="1">
        <f>(Main_M[[#This Row],[A/E]]-VLOOKUP(Main_M[[#This Row],[Industry]], Mean_AE_M, 2, FALSE))/(VLOOKUP(Main_M[[#This Row],[Industry]], Mean_AE_M, 3, FALSE))</f>
        <v>4.9454233198405486</v>
      </c>
      <c r="T60" s="1">
        <f>(Main_M[[#This Row],[P/E]]-VLOOKUP(Main_M[[#This Row],[Industry]], Mean_PE_M, 2, FALSE))/(VLOOKUP(Main_M[[#This Row],[Industry]], Mean_PE_M, 3, FALSE))</f>
        <v>-1.0148684238515628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s="67" t="s">
        <v>198</v>
      </c>
      <c r="B61" s="67" t="s">
        <v>329</v>
      </c>
      <c r="C61" s="2">
        <v>2233</v>
      </c>
      <c r="D61">
        <f>RTD("tos.rtd", , "LAST", Main_M[[#This Row],[Symbol]])</f>
        <v>54.37</v>
      </c>
      <c r="E61">
        <v>0.56999999999999995</v>
      </c>
      <c r="F61">
        <v>13.57</v>
      </c>
      <c r="G61">
        <v>-2.4900000000000002</v>
      </c>
      <c r="H61" s="1">
        <f>IF(ISNUMBER(Main_M[[#This Row],[Free CF]]),IF(Main_M[[#This Row],[Free CF]]&lt;&gt;0,Main_M[[#This Row],[Current Price]]/Main_M[[#This Row],[Free CF]],""),"")</f>
        <v>95.385964912280699</v>
      </c>
      <c r="I61" s="1">
        <f>IF(ISNUMBER(Main_M[[#This Row],[BVPS]]),IF(Main_M[[#This Row],[BVPS]]&lt;&gt;0,Main_M[[#This Row],[Current Price]]/Main_M[[#This Row],[BVPS]],""),"")</f>
        <v>4.0066322770817981</v>
      </c>
      <c r="J61">
        <v>-18.350000000000001</v>
      </c>
      <c r="K61">
        <v>-10.54</v>
      </c>
      <c r="L61">
        <v>1.23</v>
      </c>
      <c r="M61" s="1">
        <f>IF(ISNUMBER(Main_M[[#This Row],[EPS]]),IF(Main_M[[#This Row],[EPS]]&lt;&gt;0,Main_M[[#This Row],[Current Price]]/Main_M[[#This Row],[EPS]],""),"")</f>
        <v>-21.835341365461844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2.585935780401817</v>
      </c>
      <c r="P61" s="1">
        <f>(Main_M[[#This Row],[P/B]]-VLOOKUP(Main_M[[#This Row],[Industry]], Mean_PB_M, 2, FALSE))/(VLOOKUP(Main_M[[#This Row],[Industry]], Mean_PB_M, 3, FALSE))</f>
        <v>-0.15628905295496703</v>
      </c>
      <c r="Q61" s="1">
        <f>(Main_M[[#This Row],[ROE]]-VLOOKUP(Main_M[[#This Row],[Industry]], Mean_ROE_M, 2, FALSE))/(VLOOKUP(Main_M[[#This Row],[Industry]], Mean_ROE_M, 3, FALSE))</f>
        <v>-0.85527671462653887</v>
      </c>
      <c r="R61" s="1">
        <f>(Main_M[[#This Row],[ROA]]-VLOOKUP(Main_M[[#This Row],[Industry]], Mean_ROA_M, 2, FALSE))/(VLOOKUP(Main_M[[#This Row],[Industry]], Mean_ROA_M, 3, FALSE))</f>
        <v>-2.0836386670076044</v>
      </c>
      <c r="S61" s="1">
        <f>(Main_M[[#This Row],[A/E]]-VLOOKUP(Main_M[[#This Row],[Industry]], Mean_AE_M, 2, FALSE))/(VLOOKUP(Main_M[[#This Row],[Industry]], Mean_AE_M, 3, FALSE))</f>
        <v>-0.59975539433496761</v>
      </c>
      <c r="T61" s="1">
        <f>(Main_M[[#This Row],[P/E]]-VLOOKUP(Main_M[[#This Row],[Industry]], Mean_PE_M, 2, FALSE))/(VLOOKUP(Main_M[[#This Row],[Industry]], Mean_PE_M, 3, FALSE))</f>
        <v>-0.89454189199528245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s="67" t="s">
        <v>198</v>
      </c>
      <c r="B62" s="67" t="s">
        <v>328</v>
      </c>
      <c r="C62" s="2">
        <v>4687</v>
      </c>
      <c r="D62">
        <f>RTD("tos.rtd", , "LAST", Main_M[[#This Row],[Symbol]])</f>
        <v>29.8</v>
      </c>
      <c r="E62">
        <v>0.11</v>
      </c>
      <c r="F62">
        <v>5.04</v>
      </c>
      <c r="G62">
        <v>-0.39</v>
      </c>
      <c r="H62" s="1">
        <f>IF(ISNUMBER(Main_M[[#This Row],[Free CF]]),IF(Main_M[[#This Row],[Free CF]]&lt;&gt;0,Main_M[[#This Row],[Current Price]]/Main_M[[#This Row],[Free CF]],""),"")</f>
        <v>270.90909090909093</v>
      </c>
      <c r="I62" s="1">
        <f>IF(ISNUMBER(Main_M[[#This Row],[BVPS]]),IF(Main_M[[#This Row],[BVPS]]&lt;&gt;0,Main_M[[#This Row],[Current Price]]/Main_M[[#This Row],[BVPS]],""),"")</f>
        <v>5.912698412698413</v>
      </c>
      <c r="J62">
        <v>-7.05</v>
      </c>
      <c r="K62">
        <v>-0.56000000000000005</v>
      </c>
      <c r="L62">
        <v>1.53</v>
      </c>
      <c r="M62" s="1">
        <f>IF(ISNUMBER(Main_M[[#This Row],[EPS]]),IF(Main_M[[#This Row],[EPS]]&lt;&gt;0,Main_M[[#This Row],[Current Price]]/Main_M[[#This Row],[EPS]],""),"")</f>
        <v>-76.410256410256409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10.220583966112034</v>
      </c>
      <c r="P62" s="1">
        <f>(Main_M[[#This Row],[P/B]]-VLOOKUP(Main_M[[#This Row],[Industry]], Mean_PB_M, 2, FALSE))/(VLOOKUP(Main_M[[#This Row],[Industry]], Mean_PB_M, 3, FALSE))</f>
        <v>0.66872058514448762</v>
      </c>
      <c r="Q62" s="1">
        <f>(Main_M[[#This Row],[ROE]]-VLOOKUP(Main_M[[#This Row],[Industry]], Mean_ROE_M, 2, FALSE))/(VLOOKUP(Main_M[[#This Row],[Industry]], Mean_ROE_M, 3, FALSE))</f>
        <v>-0.3720978902999712</v>
      </c>
      <c r="R62" s="1">
        <f>(Main_M[[#This Row],[ROA]]-VLOOKUP(Main_M[[#This Row],[Industry]], Mean_ROA_M, 2, FALSE))/(VLOOKUP(Main_M[[#This Row],[Industry]], Mean_ROA_M, 3, FALSE))</f>
        <v>-0.61832488139202391</v>
      </c>
      <c r="S62" s="1">
        <f>(Main_M[[#This Row],[A/E]]-VLOOKUP(Main_M[[#This Row],[Industry]], Mean_AE_M, 2, FALSE))/(VLOOKUP(Main_M[[#This Row],[Industry]], Mean_AE_M, 3, FALSE))</f>
        <v>0.68982105082212941</v>
      </c>
      <c r="T62" s="1">
        <f>(Main_M[[#This Row],[P/E]]-VLOOKUP(Main_M[[#This Row],[Industry]], Mean_PE_M, 2, FALSE))/(VLOOKUP(Main_M[[#This Row],[Industry]], Mean_PE_M, 3, FALSE))</f>
        <v>-2.2507386050796918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s="67" t="s">
        <v>198</v>
      </c>
      <c r="B63" s="67" t="s">
        <v>338</v>
      </c>
      <c r="C63" s="2">
        <v>3516</v>
      </c>
      <c r="D63">
        <f>RTD("tos.rtd", , "LAST", Main_M[[#This Row],[Symbol]])</f>
        <v>11.32</v>
      </c>
      <c r="E63">
        <v>-0.27</v>
      </c>
      <c r="F63">
        <v>0.72</v>
      </c>
      <c r="G63">
        <v>-0.65</v>
      </c>
      <c r="H63" s="1">
        <f>IF(ISNUMBER(Main_M[[#This Row],[Free CF]]),IF(Main_M[[#This Row],[Free CF]]&lt;&gt;0,Main_M[[#This Row],[Current Price]]/Main_M[[#This Row],[Free CF]],""),"")</f>
        <v>-41.925925925925924</v>
      </c>
      <c r="I63" s="1">
        <f>IF(ISNUMBER(Main_M[[#This Row],[BVPS]]),IF(Main_M[[#This Row],[BVPS]]&lt;&gt;0,Main_M[[#This Row],[Current Price]]/Main_M[[#This Row],[BVPS]],""),"")</f>
        <v>15.722222222222223</v>
      </c>
      <c r="J63">
        <v>-85.28</v>
      </c>
      <c r="K63">
        <v>-21.32</v>
      </c>
      <c r="L63">
        <v>1.3</v>
      </c>
      <c r="M63" s="1">
        <f>IF(ISNUMBER(Main_M[[#This Row],[EPS]]),IF(Main_M[[#This Row],[EPS]]&lt;&gt;0,Main_M[[#This Row],[Current Price]]/Main_M[[#This Row],[EPS]],""),"")</f>
        <v>-17.415384615384614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-3.3866559923962858</v>
      </c>
      <c r="P63" s="1">
        <f>(Main_M[[#This Row],[P/B]]-VLOOKUP(Main_M[[#This Row],[Industry]], Mean_PB_M, 2, FALSE))/(VLOOKUP(Main_M[[#This Row],[Industry]], Mean_PB_M, 3, FALSE))</f>
        <v>4.9146129688340707</v>
      </c>
      <c r="Q63" s="1">
        <f>(Main_M[[#This Row],[ROE]]-VLOOKUP(Main_M[[#This Row],[Industry]], Mean_ROE_M, 2, FALSE))/(VLOOKUP(Main_M[[#This Row],[Industry]], Mean_ROE_M, 3, FALSE))</f>
        <v>-3.7171491670315984</v>
      </c>
      <c r="R63" s="1">
        <f>(Main_M[[#This Row],[ROA]]-VLOOKUP(Main_M[[#This Row],[Industry]], Mean_ROA_M, 2, FALSE))/(VLOOKUP(Main_M[[#This Row],[Industry]], Mean_ROA_M, 3, FALSE))</f>
        <v>-3.6664124755182215</v>
      </c>
      <c r="S63" s="1">
        <f>(Main_M[[#This Row],[A/E]]-VLOOKUP(Main_M[[#This Row],[Industry]], Mean_AE_M, 2, FALSE))/(VLOOKUP(Main_M[[#This Row],[Industry]], Mean_AE_M, 3, FALSE))</f>
        <v>-0.29885422379831139</v>
      </c>
      <c r="T63" s="1">
        <f>(Main_M[[#This Row],[P/E]]-VLOOKUP(Main_M[[#This Row],[Industry]], Mean_PE_M, 2, FALSE))/(VLOOKUP(Main_M[[#This Row],[Industry]], Mean_PE_M, 3, FALSE))</f>
        <v>-0.78470515085679593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s="67" t="s">
        <v>198</v>
      </c>
      <c r="B64" s="67" t="s">
        <v>340</v>
      </c>
      <c r="C64" s="2">
        <v>4651</v>
      </c>
      <c r="D64">
        <f>RTD("tos.rtd", , "LAST", Main_M[[#This Row],[Symbol]])</f>
        <v>213.03</v>
      </c>
      <c r="E64">
        <v>-0.57999999999999996</v>
      </c>
      <c r="F64">
        <v>29.19</v>
      </c>
      <c r="G64">
        <v>-3.81</v>
      </c>
      <c r="H64" s="1">
        <f>IF(ISNUMBER(Main_M[[#This Row],[Free CF]]),IF(Main_M[[#This Row],[Free CF]]&lt;&gt;0,Main_M[[#This Row],[Current Price]]/Main_M[[#This Row],[Free CF]],""),"")</f>
        <v>-367.29310344827587</v>
      </c>
      <c r="I64" s="1">
        <f>IF(ISNUMBER(Main_M[[#This Row],[BVPS]]),IF(Main_M[[#This Row],[BVPS]]&lt;&gt;0,Main_M[[#This Row],[Current Price]]/Main_M[[#This Row],[BVPS]],""),"")</f>
        <v>7.2980472764645423</v>
      </c>
      <c r="J64">
        <v>-12.78</v>
      </c>
      <c r="K64">
        <v>-6.94</v>
      </c>
      <c r="L64">
        <v>1.26</v>
      </c>
      <c r="M64" s="1">
        <f>IF(ISNUMBER(Main_M[[#This Row],[EPS]]),IF(Main_M[[#This Row],[EPS]]&lt;&gt;0,Main_M[[#This Row],[Current Price]]/Main_M[[#This Row],[EPS]],""),"")</f>
        <v>-55.913385826771652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-17.539001544889501</v>
      </c>
      <c r="P64" s="1">
        <f>(Main_M[[#This Row],[P/B]]-VLOOKUP(Main_M[[#This Row],[Industry]], Mean_PB_M, 2, FALSE))/(VLOOKUP(Main_M[[#This Row],[Industry]], Mean_PB_M, 3, FALSE))</f>
        <v>1.2683462452307506</v>
      </c>
      <c r="Q64" s="1">
        <f>(Main_M[[#This Row],[ROE]]-VLOOKUP(Main_M[[#This Row],[Industry]], Mean_ROE_M, 2, FALSE))/(VLOOKUP(Main_M[[#This Row],[Industry]], Mean_ROE_M, 3, FALSE))</f>
        <v>-0.61710803750273513</v>
      </c>
      <c r="R64" s="1">
        <f>(Main_M[[#This Row],[ROA]]-VLOOKUP(Main_M[[#This Row],[Industry]], Mean_ROA_M, 2, FALSE))/(VLOOKUP(Main_M[[#This Row],[Industry]], Mean_ROA_M, 3, FALSE))</f>
        <v>-1.5550685639799402</v>
      </c>
      <c r="S64" s="1">
        <f>(Main_M[[#This Row],[A/E]]-VLOOKUP(Main_M[[#This Row],[Industry]], Mean_AE_M, 2, FALSE))/(VLOOKUP(Main_M[[#This Row],[Industry]], Mean_AE_M, 3, FALSE))</f>
        <v>-0.47079774981925782</v>
      </c>
      <c r="T64" s="1">
        <f>(Main_M[[#This Row],[P/E]]-VLOOKUP(Main_M[[#This Row],[Industry]], Mean_PE_M, 2, FALSE))/(VLOOKUP(Main_M[[#This Row],[Industry]], Mean_PE_M, 3, FALSE))</f>
        <v>-1.7413875874734821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s="67" t="s">
        <v>124</v>
      </c>
      <c r="B65" s="67" t="s">
        <v>146</v>
      </c>
      <c r="C65" s="2">
        <v>9807</v>
      </c>
      <c r="D65">
        <f>RTD("tos.rtd", , "LAST", Main_M[[#This Row],[Symbol]])</f>
        <v>19.18</v>
      </c>
      <c r="H65" s="1" t="str">
        <f>IF(ISNUMBER(Main_M[[#This Row],[Free CF]]),IF(Main_M[[#This Row],[Free CF]]&lt;&gt;0,Main_M[[#This Row],[Current Price]]/Main_M[[#This Row],[Free CF]],""),"")</f>
        <v/>
      </c>
      <c r="I65" s="1" t="str">
        <f>IF(ISNUMBER(Main_M[[#This Row],[BVPS]]),IF(Main_M[[#This Row],[BVPS]]&lt;&gt;0,Main_M[[#This Row],[Current Price]]/Main_M[[#This Row],[BVPS]],""),"")</f>
        <v/>
      </c>
      <c r="J65">
        <v>29.12</v>
      </c>
      <c r="K65">
        <v>-1.57</v>
      </c>
      <c r="L65">
        <v>-1.33</v>
      </c>
      <c r="M65" s="1" t="str">
        <f>IF(ISNUMBER(Main_M[[#This Row],[EPS]]),IF(Main_M[[#This Row],[EPS]]&lt;&gt;0,Main_M[[#This Row],[Current Price]]/Main_M[[#This Row],[EPS]],""),"")</f>
        <v/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 t="e">
        <f>(Main_M[[#This Row],[P/FCF]]-VLOOKUP(Main_M[[#This Row],[Industry]], Mean_PFCF_M, 2, FALSE))/(VLOOKUP(Main_M[[#This Row],[Industry]], Mean_PFCF_M, 3, FALSE))</f>
        <v>#VALUE!</v>
      </c>
      <c r="P65" s="1" t="e">
        <f>(Main_M[[#This Row],[P/B]]-VLOOKUP(Main_M[[#This Row],[Industry]], Mean_PB_M, 2, FALSE))/(VLOOKUP(Main_M[[#This Row],[Industry]], Mean_PB_M, 3, FALSE))</f>
        <v>#VALUE!</v>
      </c>
      <c r="Q65" s="1">
        <f>(Main_M[[#This Row],[ROE]]-VLOOKUP(Main_M[[#This Row],[Industry]], Mean_ROE_M, 2, FALSE))/(VLOOKUP(Main_M[[#This Row],[Industry]], Mean_ROE_M, 3, FALSE))</f>
        <v>0.16174015454943802</v>
      </c>
      <c r="R65" s="1">
        <f>(Main_M[[#This Row],[ROA]]-VLOOKUP(Main_M[[#This Row],[Industry]], Mean_ROA_M, 2, FALSE))/(VLOOKUP(Main_M[[#This Row],[Industry]], Mean_ROA_M, 3, FALSE))</f>
        <v>-0.17248963495714748</v>
      </c>
      <c r="S65" s="1">
        <f>(Main_M[[#This Row],[A/E]]-VLOOKUP(Main_M[[#This Row],[Industry]], Mean_AE_M, 2, FALSE))/(VLOOKUP(Main_M[[#This Row],[Industry]], Mean_AE_M, 3, FALSE))</f>
        <v>-4.1956433853823922</v>
      </c>
      <c r="T65" s="1" t="e">
        <f>(Main_M[[#This Row],[P/E]]-VLOOKUP(Main_M[[#This Row],[Industry]], Mean_PE_M, 2, FALSE))/(VLOOKUP(Main_M[[#This Row],[Industry]], Mean_PE_M, 3, FALSE))</f>
        <v>#VALUE!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6" spans="1:26" x14ac:dyDescent="0.25">
      <c r="A66" s="67" t="s">
        <v>124</v>
      </c>
      <c r="B66" s="67" t="s">
        <v>287</v>
      </c>
      <c r="C66" s="2">
        <v>5033</v>
      </c>
      <c r="D66">
        <f>RTD("tos.rtd", , "LAST", Main_M[[#This Row],[Symbol]])</f>
        <v>141.77000000000001</v>
      </c>
      <c r="E66">
        <v>6.98</v>
      </c>
      <c r="F66">
        <v>13.68</v>
      </c>
      <c r="G66">
        <v>4.8899999999999997</v>
      </c>
      <c r="H66" s="1">
        <f>IF(ISNUMBER(Main_M[[#This Row],[Free CF]]),IF(Main_M[[#This Row],[Free CF]]&lt;&gt;0,Main_M[[#This Row],[Current Price]]/Main_M[[#This Row],[Free CF]],""),"")</f>
        <v>20.310888252148999</v>
      </c>
      <c r="I66" s="1">
        <f>IF(ISNUMBER(Main_M[[#This Row],[BVPS]]),IF(Main_M[[#This Row],[BVPS]]&lt;&gt;0,Main_M[[#This Row],[Current Price]]/Main_M[[#This Row],[BVPS]],""),"")</f>
        <v>10.363304093567253</v>
      </c>
      <c r="J66">
        <v>40.229999999999997</v>
      </c>
      <c r="K66">
        <v>13.06</v>
      </c>
      <c r="L66">
        <v>2</v>
      </c>
      <c r="M66" s="1">
        <f>IF(ISNUMBER(Main_M[[#This Row],[EPS]]),IF(Main_M[[#This Row],[EPS]]&lt;&gt;0,Main_M[[#This Row],[Current Price]]/Main_M[[#This Row],[EPS]],""),"")</f>
        <v>28.9918200408998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-0.21072968986808077</v>
      </c>
      <c r="P66" s="1">
        <f>(Main_M[[#This Row],[P/B]]-VLOOKUP(Main_M[[#This Row],[Industry]], Mean_PB_M, 2, FALSE))/(VLOOKUP(Main_M[[#This Row],[Industry]], Mean_PB_M, 3, FALSE))</f>
        <v>0.70746921973611931</v>
      </c>
      <c r="Q66" s="1">
        <f>(Main_M[[#This Row],[ROE]]-VLOOKUP(Main_M[[#This Row],[Industry]], Mean_ROE_M, 2, FALSE))/(VLOOKUP(Main_M[[#This Row],[Industry]], Mean_ROE_M, 3, FALSE))</f>
        <v>0.30889457853611901</v>
      </c>
      <c r="R66" s="1">
        <f>(Main_M[[#This Row],[ROA]]-VLOOKUP(Main_M[[#This Row],[Industry]], Mean_ROA_M, 2, FALSE))/(VLOOKUP(Main_M[[#This Row],[Industry]], Mean_ROA_M, 3, FALSE))</f>
        <v>1.8030257552284383</v>
      </c>
      <c r="S66" s="1">
        <f>(Main_M[[#This Row],[A/E]]-VLOOKUP(Main_M[[#This Row],[Industry]], Mean_AE_M, 2, FALSE))/(VLOOKUP(Main_M[[#This Row],[Industry]], Mean_AE_M, 3, FALSE))</f>
        <v>3.2615077348984542E-2</v>
      </c>
      <c r="T66" s="1">
        <f>(Main_M[[#This Row],[P/E]]-VLOOKUP(Main_M[[#This Row],[Industry]], Mean_PE_M, 2, FALSE))/(VLOOKUP(Main_M[[#This Row],[Industry]], Mean_PE_M, 3, FALSE))</f>
        <v>0.64996207531752426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s="67" t="s">
        <v>124</v>
      </c>
      <c r="B67" s="67" t="s">
        <v>270</v>
      </c>
      <c r="C67" s="2">
        <v>2345</v>
      </c>
      <c r="D67">
        <f>RTD("tos.rtd", , "LAST", Main_M[[#This Row],[Symbol]])</f>
        <v>27.41</v>
      </c>
      <c r="E67">
        <v>4.95</v>
      </c>
      <c r="F67">
        <v>-5.98</v>
      </c>
      <c r="G67">
        <v>-0.44</v>
      </c>
      <c r="H67" s="1">
        <f>IF(ISNUMBER(Main_M[[#This Row],[Free CF]]),IF(Main_M[[#This Row],[Free CF]]&lt;&gt;0,Main_M[[#This Row],[Current Price]]/Main_M[[#This Row],[Free CF]],""),"")</f>
        <v>5.5373737373737368</v>
      </c>
      <c r="I67" s="1">
        <f>IF(ISNUMBER(Main_M[[#This Row],[BVPS]]),IF(Main_M[[#This Row],[BVPS]]&lt;&gt;0,Main_M[[#This Row],[Current Price]]/Main_M[[#This Row],[BVPS]],""),"")</f>
        <v>-4.5836120401337785</v>
      </c>
      <c r="J67">
        <v>12.07</v>
      </c>
      <c r="K67">
        <v>1.35</v>
      </c>
      <c r="L67">
        <v>-3.01</v>
      </c>
      <c r="M67" s="1">
        <f>IF(ISNUMBER(Main_M[[#This Row],[EPS]]),IF(Main_M[[#This Row],[EPS]]&lt;&gt;0,Main_M[[#This Row],[Current Price]]/Main_M[[#This Row],[EPS]],""),"")</f>
        <v>-62.295454545454547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-0.79824514048141648</v>
      </c>
      <c r="P67" s="1">
        <f>(Main_M[[#This Row],[P/B]]-VLOOKUP(Main_M[[#This Row],[Industry]], Mean_PB_M, 2, FALSE))/(VLOOKUP(Main_M[[#This Row],[Industry]], Mean_PB_M, 3, FALSE))</f>
        <v>-2.1705747234546311</v>
      </c>
      <c r="Q67" s="1">
        <f>(Main_M[[#This Row],[ROE]]-VLOOKUP(Main_M[[#This Row],[Industry]], Mean_ROE_M, 2, FALSE))/(VLOOKUP(Main_M[[#This Row],[Industry]], Mean_ROE_M, 3, FALSE))</f>
        <v>-6.4090892162795343E-2</v>
      </c>
      <c r="R67" s="1">
        <f>(Main_M[[#This Row],[ROA]]-VLOOKUP(Main_M[[#This Row],[Industry]], Mean_ROA_M, 2, FALSE))/(VLOOKUP(Main_M[[#This Row],[Industry]], Mean_ROA_M, 3, FALSE))</f>
        <v>0.22180325221591543</v>
      </c>
      <c r="S67" s="1">
        <f>(Main_M[[#This Row],[A/E]]-VLOOKUP(Main_M[[#This Row],[Industry]], Mean_AE_M, 2, FALSE))/(VLOOKUP(Main_M[[#This Row],[Industry]], Mean_AE_M, 3, FALSE))</f>
        <v>-6.3288188260396625</v>
      </c>
      <c r="T67" s="1">
        <f>(Main_M[[#This Row],[P/E]]-VLOOKUP(Main_M[[#This Row],[Industry]], Mean_PE_M, 2, FALSE))/(VLOOKUP(Main_M[[#This Row],[Industry]], Mean_PE_M, 3, FALSE))</f>
        <v>-0.9538971294875882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s="67" t="s">
        <v>124</v>
      </c>
      <c r="B68" s="67" t="s">
        <v>238</v>
      </c>
      <c r="C68" s="2">
        <v>7608</v>
      </c>
      <c r="D68">
        <f>RTD("tos.rtd", , "LAST", Main_M[[#This Row],[Symbol]])</f>
        <v>217.95</v>
      </c>
      <c r="E68">
        <v>4.91</v>
      </c>
      <c r="F68">
        <v>12.99</v>
      </c>
      <c r="G68">
        <v>5.36</v>
      </c>
      <c r="H68" s="1">
        <f>IF(ISNUMBER(Main_M[[#This Row],[Free CF]]),IF(Main_M[[#This Row],[Free CF]]&lt;&gt;0,Main_M[[#This Row],[Current Price]]/Main_M[[#This Row],[Free CF]],""),"")</f>
        <v>44.389002036659875</v>
      </c>
      <c r="I68" s="1">
        <f>IF(ISNUMBER(Main_M[[#This Row],[BVPS]]),IF(Main_M[[#This Row],[BVPS]]&lt;&gt;0,Main_M[[#This Row],[Current Price]]/Main_M[[#This Row],[BVPS]],""),"")</f>
        <v>16.778290993071593</v>
      </c>
      <c r="J68">
        <v>49.12</v>
      </c>
      <c r="K68">
        <v>16.940000000000001</v>
      </c>
      <c r="L68">
        <v>1.22</v>
      </c>
      <c r="M68" s="1">
        <f>IF(ISNUMBER(Main_M[[#This Row],[EPS]]),IF(Main_M[[#This Row],[EPS]]&lt;&gt;0,Main_M[[#This Row],[Current Price]]/Main_M[[#This Row],[EPS]],""),"")</f>
        <v>40.662313432835816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0.74681252907231699</v>
      </c>
      <c r="P68" s="1">
        <f>(Main_M[[#This Row],[P/B]]-VLOOKUP(Main_M[[#This Row],[Industry]], Mean_PB_M, 2, FALSE))/(VLOOKUP(Main_M[[#This Row],[Industry]], Mean_PB_M, 3, FALSE))</f>
        <v>1.9426814887163775</v>
      </c>
      <c r="Q68" s="1">
        <f>(Main_M[[#This Row],[ROE]]-VLOOKUP(Main_M[[#This Row],[Industry]], Mean_ROE_M, 2, FALSE))/(VLOOKUP(Main_M[[#This Row],[Industry]], Mean_ROE_M, 3, FALSE))</f>
        <v>0.426644608170826</v>
      </c>
      <c r="R68" s="1">
        <f>(Main_M[[#This Row],[ROA]]-VLOOKUP(Main_M[[#This Row],[Industry]], Mean_ROA_M, 2, FALSE))/(VLOOKUP(Main_M[[#This Row],[Industry]], Mean_ROA_M, 3, FALSE))</f>
        <v>2.3269491806501796</v>
      </c>
      <c r="S68" s="1">
        <f>(Main_M[[#This Row],[A/E]]-VLOOKUP(Main_M[[#This Row],[Industry]], Mean_AE_M, 2, FALSE))/(VLOOKUP(Main_M[[#This Row],[Industry]], Mean_AE_M, 3, FALSE))</f>
        <v>-0.9577878058133199</v>
      </c>
      <c r="T68" s="1">
        <f>(Main_M[[#This Row],[P/E]]-VLOOKUP(Main_M[[#This Row],[Industry]], Mean_PE_M, 2, FALSE))/(VLOOKUP(Main_M[[#This Row],[Industry]], Mean_PE_M, 3, FALSE))</f>
        <v>0.85500520247943179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s="67" t="s">
        <v>124</v>
      </c>
      <c r="B69" s="67" t="s">
        <v>256</v>
      </c>
      <c r="C69" s="2">
        <v>5635</v>
      </c>
      <c r="D69">
        <f>RTD("tos.rtd", , "LAST", Main_M[[#This Row],[Symbol]])</f>
        <v>227.96</v>
      </c>
      <c r="E69">
        <v>4.75</v>
      </c>
      <c r="F69">
        <v>36.07</v>
      </c>
      <c r="G69">
        <v>12.66</v>
      </c>
      <c r="H69" s="1">
        <f>IF(ISNUMBER(Main_M[[#This Row],[Free CF]]),IF(Main_M[[#This Row],[Free CF]]&lt;&gt;0,Main_M[[#This Row],[Current Price]]/Main_M[[#This Row],[Free CF]],""),"")</f>
        <v>47.991578947368424</v>
      </c>
      <c r="I69" s="1">
        <f>IF(ISNUMBER(Main_M[[#This Row],[BVPS]]),IF(Main_M[[#This Row],[BVPS]]&lt;&gt;0,Main_M[[#This Row],[Current Price]]/Main_M[[#This Row],[BVPS]],""),"")</f>
        <v>6.3199334627113943</v>
      </c>
      <c r="J69">
        <v>50.29</v>
      </c>
      <c r="K69">
        <v>15.78</v>
      </c>
      <c r="L69">
        <v>1.99</v>
      </c>
      <c r="M69" s="1">
        <f>IF(ISNUMBER(Main_M[[#This Row],[EPS]]),IF(Main_M[[#This Row],[EPS]]&lt;&gt;0,Main_M[[#This Row],[Current Price]]/Main_M[[#This Row],[EPS]],""),"")</f>
        <v>18.006319115323855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0.89008037471238532</v>
      </c>
      <c r="P69" s="1">
        <f>(Main_M[[#This Row],[P/B]]-VLOOKUP(Main_M[[#This Row],[Industry]], Mean_PB_M, 2, FALSE))/(VLOOKUP(Main_M[[#This Row],[Industry]], Mean_PB_M, 3, FALSE))</f>
        <v>-7.1085918334934425E-2</v>
      </c>
      <c r="Q69" s="1">
        <f>(Main_M[[#This Row],[ROE]]-VLOOKUP(Main_M[[#This Row],[Industry]], Mean_ROE_M, 2, FALSE))/(VLOOKUP(Main_M[[#This Row],[Industry]], Mean_ROE_M, 3, FALSE))</f>
        <v>0.44214151870767721</v>
      </c>
      <c r="R69" s="1">
        <f>(Main_M[[#This Row],[ROA]]-VLOOKUP(Main_M[[#This Row],[Industry]], Mean_ROA_M, 2, FALSE))/(VLOOKUP(Main_M[[#This Row],[Industry]], Mean_ROA_M, 3, FALSE))</f>
        <v>2.1703122802663595</v>
      </c>
      <c r="S69" s="1">
        <f>(Main_M[[#This Row],[A/E]]-VLOOKUP(Main_M[[#This Row],[Industry]], Mean_AE_M, 2, FALSE))/(VLOOKUP(Main_M[[#This Row],[Industry]], Mean_AE_M, 3, FALSE))</f>
        <v>1.9917604487929348E-2</v>
      </c>
      <c r="T69" s="1">
        <f>(Main_M[[#This Row],[P/E]]-VLOOKUP(Main_M[[#This Row],[Industry]], Mean_PE_M, 2, FALSE))/(VLOOKUP(Main_M[[#This Row],[Industry]], Mean_PE_M, 3, FALSE))</f>
        <v>0.4569538290015171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s="67" t="s">
        <v>124</v>
      </c>
      <c r="B70" s="67" t="s">
        <v>286</v>
      </c>
      <c r="C70" s="2">
        <v>2649</v>
      </c>
      <c r="D70">
        <f>RTD("tos.rtd", , "LAST", Main_M[[#This Row],[Symbol]])</f>
        <v>64.28</v>
      </c>
      <c r="E70">
        <v>4.72</v>
      </c>
      <c r="F70">
        <v>10.039999999999999</v>
      </c>
      <c r="G70">
        <v>1.27</v>
      </c>
      <c r="H70" s="1">
        <f>IF(ISNUMBER(Main_M[[#This Row],[Free CF]]),IF(Main_M[[#This Row],[Free CF]]&lt;&gt;0,Main_M[[#This Row],[Current Price]]/Main_M[[#This Row],[Free CF]],""),"")</f>
        <v>13.618644067796611</v>
      </c>
      <c r="I70" s="1">
        <f>IF(ISNUMBER(Main_M[[#This Row],[BVPS]]),IF(Main_M[[#This Row],[BVPS]]&lt;&gt;0,Main_M[[#This Row],[Current Price]]/Main_M[[#This Row],[BVPS]],""),"")</f>
        <v>6.4023904382470125</v>
      </c>
      <c r="J70">
        <v>12.7</v>
      </c>
      <c r="K70">
        <v>5.01</v>
      </c>
      <c r="L70">
        <v>5.7</v>
      </c>
      <c r="M70" s="1">
        <f>IF(ISNUMBER(Main_M[[#This Row],[EPS]]),IF(Main_M[[#This Row],[EPS]]&lt;&gt;0,Main_M[[#This Row],[Current Price]]/Main_M[[#This Row],[EPS]],""),"")</f>
        <v>50.614173228346459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-0.47686790996811229</v>
      </c>
      <c r="P70" s="1">
        <f>(Main_M[[#This Row],[P/B]]-VLOOKUP(Main_M[[#This Row],[Industry]], Mean_PB_M, 2, FALSE))/(VLOOKUP(Main_M[[#This Row],[Industry]], Mean_PB_M, 3, FALSE))</f>
        <v>-5.5208743612649297E-2</v>
      </c>
      <c r="Q70" s="1">
        <f>(Main_M[[#This Row],[ROE]]-VLOOKUP(Main_M[[#This Row],[Industry]], Mean_ROE_M, 2, FALSE))/(VLOOKUP(Main_M[[#This Row],[Industry]], Mean_ROE_M, 3, FALSE))</f>
        <v>-5.5746401873721638E-2</v>
      </c>
      <c r="R70" s="1">
        <f>(Main_M[[#This Row],[ROA]]-VLOOKUP(Main_M[[#This Row],[Industry]], Mean_ROA_M, 2, FALSE))/(VLOOKUP(Main_M[[#This Row],[Industry]], Mean_ROA_M, 3, FALSE))</f>
        <v>0.71601967928900101</v>
      </c>
      <c r="S70" s="1">
        <f>(Main_M[[#This Row],[A/E]]-VLOOKUP(Main_M[[#This Row],[Industry]], Mean_AE_M, 2, FALSE))/(VLOOKUP(Main_M[[#This Row],[Industry]], Mean_AE_M, 3, FALSE))</f>
        <v>4.730680035939403</v>
      </c>
      <c r="T70" s="1">
        <f>(Main_M[[#This Row],[P/E]]-VLOOKUP(Main_M[[#This Row],[Industry]], Mean_PE_M, 2, FALSE))/(VLOOKUP(Main_M[[#This Row],[Industry]], Mean_PE_M, 3, FALSE))</f>
        <v>1.0298530332453815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s="67" t="s">
        <v>124</v>
      </c>
      <c r="B71" s="67" t="s">
        <v>279</v>
      </c>
      <c r="C71" s="2">
        <v>8082</v>
      </c>
      <c r="D71">
        <f>RTD("tos.rtd", , "LAST", Main_M[[#This Row],[Symbol]])</f>
        <v>190.99</v>
      </c>
      <c r="E71">
        <v>4.6399999999999997</v>
      </c>
      <c r="F71">
        <v>7.37</v>
      </c>
      <c r="G71">
        <v>1.68</v>
      </c>
      <c r="H71" s="1">
        <f>IF(ISNUMBER(Main_M[[#This Row],[Free CF]]),IF(Main_M[[#This Row],[Free CF]]&lt;&gt;0,Main_M[[#This Row],[Current Price]]/Main_M[[#This Row],[Free CF]],""),"")</f>
        <v>41.161637931034491</v>
      </c>
      <c r="I71" s="1">
        <f>IF(ISNUMBER(Main_M[[#This Row],[BVPS]]),IF(Main_M[[#This Row],[BVPS]]&lt;&gt;0,Main_M[[#This Row],[Current Price]]/Main_M[[#This Row],[BVPS]],""),"")</f>
        <v>25.914518317503394</v>
      </c>
      <c r="J71">
        <v>25.23</v>
      </c>
      <c r="K71">
        <v>5.57</v>
      </c>
      <c r="L71">
        <v>3.44</v>
      </c>
      <c r="M71" s="1">
        <f>IF(ISNUMBER(Main_M[[#This Row],[EPS]]),IF(Main_M[[#This Row],[EPS]]&lt;&gt;0,Main_M[[#This Row],[Current Price]]/Main_M[[#This Row],[EPS]],""),"")</f>
        <v>113.68452380952382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0.61846620532427099</v>
      </c>
      <c r="P71" s="1">
        <f>(Main_M[[#This Row],[P/B]]-VLOOKUP(Main_M[[#This Row],[Industry]], Mean_PB_M, 2, FALSE))/(VLOOKUP(Main_M[[#This Row],[Industry]], Mean_PB_M, 3, FALSE))</f>
        <v>3.7018713764155704</v>
      </c>
      <c r="Q71" s="1">
        <f>(Main_M[[#This Row],[ROE]]-VLOOKUP(Main_M[[#This Row],[Industry]], Mean_ROE_M, 2, FALSE))/(VLOOKUP(Main_M[[#This Row],[Industry]], Mean_ROE_M, 3, FALSE))</f>
        <v>0.11021623832007801</v>
      </c>
      <c r="R71" s="1">
        <f>(Main_M[[#This Row],[ROA]]-VLOOKUP(Main_M[[#This Row],[Industry]], Mean_ROA_M, 2, FALSE))/(VLOOKUP(Main_M[[#This Row],[Industry]], Mean_ROA_M, 3, FALSE))</f>
        <v>0.79163749326739674</v>
      </c>
      <c r="S71" s="1">
        <f>(Main_M[[#This Row],[A/E]]-VLOOKUP(Main_M[[#This Row],[Industry]], Mean_AE_M, 2, FALSE))/(VLOOKUP(Main_M[[#This Row],[Industry]], Mean_AE_M, 3, FALSE))</f>
        <v>1.8610511693409311</v>
      </c>
      <c r="T71" s="1">
        <f>(Main_M[[#This Row],[P/E]]-VLOOKUP(Main_M[[#This Row],[Industry]], Mean_PE_M, 2, FALSE))/(VLOOKUP(Main_M[[#This Row],[Industry]], Mean_PE_M, 3, FALSE))</f>
        <v>2.1379588759082275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s="67" t="s">
        <v>124</v>
      </c>
      <c r="B72" s="67" t="s">
        <v>265</v>
      </c>
      <c r="C72" s="2">
        <v>8400</v>
      </c>
      <c r="D72">
        <f>RTD("tos.rtd", , "LAST", Main_M[[#This Row],[Symbol]])</f>
        <v>102.04</v>
      </c>
      <c r="E72">
        <v>4.21</v>
      </c>
      <c r="F72">
        <v>7.14</v>
      </c>
      <c r="G72">
        <v>2.14</v>
      </c>
      <c r="H72" s="1">
        <f>IF(ISNUMBER(Main_M[[#This Row],[Free CF]]),IF(Main_M[[#This Row],[Free CF]]&lt;&gt;0,Main_M[[#This Row],[Current Price]]/Main_M[[#This Row],[Free CF]],""),"")</f>
        <v>24.237529691211403</v>
      </c>
      <c r="I72" s="1">
        <f>IF(ISNUMBER(Main_M[[#This Row],[BVPS]]),IF(Main_M[[#This Row],[BVPS]]&lt;&gt;0,Main_M[[#This Row],[Current Price]]/Main_M[[#This Row],[BVPS]],""),"")</f>
        <v>14.291316526610645</v>
      </c>
      <c r="J72">
        <v>39.29</v>
      </c>
      <c r="K72">
        <v>12.16</v>
      </c>
      <c r="L72">
        <v>2.16</v>
      </c>
      <c r="M72" s="1">
        <f>IF(ISNUMBER(Main_M[[#This Row],[EPS]]),IF(Main_M[[#This Row],[EPS]]&lt;&gt;0,Main_M[[#This Row],[Current Price]]/Main_M[[#This Row],[EPS]],""),"")</f>
        <v>47.682242990654203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-5.4574395055833495E-2</v>
      </c>
      <c r="P72" s="1">
        <f>(Main_M[[#This Row],[P/B]]-VLOOKUP(Main_M[[#This Row],[Industry]], Mean_PB_M, 2, FALSE))/(VLOOKUP(Main_M[[#This Row],[Industry]], Mean_PB_M, 3, FALSE))</f>
        <v>1.4638120191854962</v>
      </c>
      <c r="Q72" s="1">
        <f>(Main_M[[#This Row],[ROE]]-VLOOKUP(Main_M[[#This Row],[Industry]], Mean_ROE_M, 2, FALSE))/(VLOOKUP(Main_M[[#This Row],[Industry]], Mean_ROE_M, 3, FALSE))</f>
        <v>0.29644406921591382</v>
      </c>
      <c r="R72" s="1">
        <f>(Main_M[[#This Row],[ROA]]-VLOOKUP(Main_M[[#This Row],[Industry]], Mean_ROA_M, 2, FALSE))/(VLOOKUP(Main_M[[#This Row],[Industry]], Mean_ROA_M, 3, FALSE))</f>
        <v>1.6814971256203024</v>
      </c>
      <c r="S72" s="1">
        <f>(Main_M[[#This Row],[A/E]]-VLOOKUP(Main_M[[#This Row],[Industry]], Mean_AE_M, 2, FALSE))/(VLOOKUP(Main_M[[#This Row],[Industry]], Mean_AE_M, 3, FALSE))</f>
        <v>0.23577464312586768</v>
      </c>
      <c r="T72" s="1">
        <f>(Main_M[[#This Row],[P/E]]-VLOOKUP(Main_M[[#This Row],[Industry]], Mean_PE_M, 2, FALSE))/(VLOOKUP(Main_M[[#This Row],[Industry]], Mean_PE_M, 3, FALSE))</f>
        <v>0.97834088852557322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s="67" t="s">
        <v>124</v>
      </c>
      <c r="B73" s="67" t="s">
        <v>280</v>
      </c>
      <c r="C73" s="2">
        <v>7134</v>
      </c>
      <c r="D73">
        <f>RTD("tos.rtd", , "LAST", Main_M[[#This Row],[Symbol]])</f>
        <v>75.5</v>
      </c>
      <c r="E73">
        <v>4.08</v>
      </c>
      <c r="F73">
        <v>26.79</v>
      </c>
      <c r="G73">
        <v>2.64</v>
      </c>
      <c r="H73" s="1">
        <f>IF(ISNUMBER(Main_M[[#This Row],[Free CF]]),IF(Main_M[[#This Row],[Free CF]]&lt;&gt;0,Main_M[[#This Row],[Current Price]]/Main_M[[#This Row],[Free CF]],""),"")</f>
        <v>18.504901960784313</v>
      </c>
      <c r="I73" s="1">
        <f>IF(ISNUMBER(Main_M[[#This Row],[BVPS]]),IF(Main_M[[#This Row],[BVPS]]&lt;&gt;0,Main_M[[#This Row],[Current Price]]/Main_M[[#This Row],[BVPS]],""),"")</f>
        <v>2.8182157521463234</v>
      </c>
      <c r="J73">
        <v>10.31</v>
      </c>
      <c r="K73">
        <v>5.64</v>
      </c>
      <c r="L73">
        <v>1.25</v>
      </c>
      <c r="M73" s="1">
        <f>IF(ISNUMBER(Main_M[[#This Row],[EPS]]),IF(Main_M[[#This Row],[EPS]]&lt;&gt;0,Main_M[[#This Row],[Current Price]]/Main_M[[#This Row],[EPS]],""),"")</f>
        <v>28.598484848484848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73" s="1">
        <f>(Main_M[[#This Row],[P/FCF]]-VLOOKUP(Main_M[[#This Row],[Industry]], Mean_PFCF_M, 2, FALSE))/(VLOOKUP(Main_M[[#This Row],[Industry]], Mean_PFCF_M, 3, FALSE))</f>
        <v>-0.28255043697002868</v>
      </c>
      <c r="P73" s="1">
        <f>(Main_M[[#This Row],[P/B]]-VLOOKUP(Main_M[[#This Row],[Industry]], Mean_PB_M, 2, FALSE))/(VLOOKUP(Main_M[[#This Row],[Industry]], Mean_PB_M, 3, FALSE))</f>
        <v>-0.74534523427050381</v>
      </c>
      <c r="Q73" s="1">
        <f>(Main_M[[#This Row],[ROE]]-VLOOKUP(Main_M[[#This Row],[Industry]], Mean_ROE_M, 2, FALSE))/(VLOOKUP(Main_M[[#This Row],[Industry]], Mean_ROE_M, 3, FALSE))</f>
        <v>-8.7402484081477494E-2</v>
      </c>
      <c r="R73" s="1">
        <f>(Main_M[[#This Row],[ROA]]-VLOOKUP(Main_M[[#This Row],[Industry]], Mean_ROA_M, 2, FALSE))/(VLOOKUP(Main_M[[#This Row],[Industry]], Mean_ROA_M, 3, FALSE))</f>
        <v>0.80108972001469603</v>
      </c>
      <c r="S73" s="1">
        <f>(Main_M[[#This Row],[A/E]]-VLOOKUP(Main_M[[#This Row],[Industry]], Mean_AE_M, 2, FALSE))/(VLOOKUP(Main_M[[#This Row],[Industry]], Mean_AE_M, 3, FALSE))</f>
        <v>-0.91969538723015432</v>
      </c>
      <c r="T73" s="1">
        <f>(Main_M[[#This Row],[P/E]]-VLOOKUP(Main_M[[#This Row],[Industry]], Mean_PE_M, 2, FALSE))/(VLOOKUP(Main_M[[#This Row],[Industry]], Mean_PE_M, 3, FALSE))</f>
        <v>0.64305142679847194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s="67" t="s">
        <v>124</v>
      </c>
      <c r="B74" s="67" t="s">
        <v>272</v>
      </c>
      <c r="C74" s="2">
        <v>5346</v>
      </c>
      <c r="D74">
        <f>RTD("tos.rtd", , "LAST", Main_M[[#This Row],[Symbol]])</f>
        <v>141.11000000000001</v>
      </c>
      <c r="E74">
        <v>3.75</v>
      </c>
      <c r="F74">
        <v>24.23</v>
      </c>
      <c r="G74">
        <v>2.14</v>
      </c>
      <c r="H74" s="1">
        <f>IF(ISNUMBER(Main_M[[#This Row],[Free CF]]),IF(Main_M[[#This Row],[Free CF]]&lt;&gt;0,Main_M[[#This Row],[Current Price]]/Main_M[[#This Row],[Free CF]],""),"")</f>
        <v>37.629333333333335</v>
      </c>
      <c r="I74" s="1">
        <f>IF(ISNUMBER(Main_M[[#This Row],[BVPS]]),IF(Main_M[[#This Row],[BVPS]]&lt;&gt;0,Main_M[[#This Row],[Current Price]]/Main_M[[#This Row],[BVPS]],""),"")</f>
        <v>5.8237721832439133</v>
      </c>
      <c r="J74">
        <v>10.130000000000001</v>
      </c>
      <c r="K74">
        <v>6.38</v>
      </c>
      <c r="L74">
        <v>1.2</v>
      </c>
      <c r="M74" s="1">
        <f>IF(ISNUMBER(Main_M[[#This Row],[EPS]]),IF(Main_M[[#This Row],[EPS]]&lt;&gt;0,Main_M[[#This Row],[Current Price]]/Main_M[[#This Row],[EPS]],""),"")</f>
        <v>65.939252336448604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0.47799296008892606</v>
      </c>
      <c r="P74" s="1">
        <f>(Main_M[[#This Row],[P/B]]-VLOOKUP(Main_M[[#This Row],[Industry]], Mean_PB_M, 2, FALSE))/(VLOOKUP(Main_M[[#This Row],[Industry]], Mean_PB_M, 3, FALSE))</f>
        <v>-0.16662227864122417</v>
      </c>
      <c r="Q74" s="1">
        <f>(Main_M[[#This Row],[ROE]]-VLOOKUP(Main_M[[#This Row],[Industry]], Mean_ROE_M, 2, FALSE))/(VLOOKUP(Main_M[[#This Row],[Industry]], Mean_ROE_M, 3, FALSE))</f>
        <v>-8.9786624164069989E-2</v>
      </c>
      <c r="R74" s="1">
        <f>(Main_M[[#This Row],[ROA]]-VLOOKUP(Main_M[[#This Row],[Industry]], Mean_ROA_M, 2, FALSE))/(VLOOKUP(Main_M[[#This Row],[Industry]], Mean_ROA_M, 3, FALSE))</f>
        <v>0.90101325991471892</v>
      </c>
      <c r="S74" s="1">
        <f>(Main_M[[#This Row],[A/E]]-VLOOKUP(Main_M[[#This Row],[Industry]], Mean_AE_M, 2, FALSE))/(VLOOKUP(Main_M[[#This Row],[Industry]], Mean_AE_M, 3, FALSE))</f>
        <v>-0.98318275153543022</v>
      </c>
      <c r="T74" s="1">
        <f>(Main_M[[#This Row],[P/E]]-VLOOKUP(Main_M[[#This Row],[Industry]], Mean_PE_M, 2, FALSE))/(VLOOKUP(Main_M[[#This Row],[Industry]], Mean_PE_M, 3, FALSE))</f>
        <v>1.2991049010798745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s="67" t="s">
        <v>124</v>
      </c>
      <c r="B75" s="67" t="s">
        <v>243</v>
      </c>
      <c r="C75" s="2">
        <v>3019</v>
      </c>
      <c r="D75">
        <f>RTD("tos.rtd", , "LAST", Main_M[[#This Row],[Symbol]])</f>
        <v>62.69</v>
      </c>
      <c r="E75">
        <v>3.33</v>
      </c>
      <c r="F75">
        <v>0.7</v>
      </c>
      <c r="G75">
        <v>-5.71</v>
      </c>
      <c r="H75" s="1">
        <f>IF(ISNUMBER(Main_M[[#This Row],[Free CF]]),IF(Main_M[[#This Row],[Free CF]]&lt;&gt;0,Main_M[[#This Row],[Current Price]]/Main_M[[#This Row],[Free CF]],""),"")</f>
        <v>18.825825825825824</v>
      </c>
      <c r="I75" s="1">
        <f>IF(ISNUMBER(Main_M[[#This Row],[BVPS]]),IF(Main_M[[#This Row],[BVPS]]&lt;&gt;0,Main_M[[#This Row],[Current Price]]/Main_M[[#This Row],[BVPS]],""),"")</f>
        <v>89.557142857142864</v>
      </c>
      <c r="J75">
        <v>-99.98</v>
      </c>
      <c r="K75">
        <v>5.5</v>
      </c>
      <c r="L75">
        <v>63.37</v>
      </c>
      <c r="M75" s="1">
        <f>IF(ISNUMBER(Main_M[[#This Row],[EPS]]),IF(Main_M[[#This Row],[EPS]]&lt;&gt;0,Main_M[[#This Row],[Current Price]]/Main_M[[#This Row],[EPS]],""),"")</f>
        <v>-10.978984238178633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-0.26978788619080368</v>
      </c>
      <c r="P75" s="1">
        <f>(Main_M[[#This Row],[P/B]]-VLOOKUP(Main_M[[#This Row],[Industry]], Mean_PB_M, 2, FALSE))/(VLOOKUP(Main_M[[#This Row],[Industry]], Mean_PB_M, 3, FALSE))</f>
        <v>15.956323629083576</v>
      </c>
      <c r="Q75" s="1">
        <f>(Main_M[[#This Row],[ROE]]-VLOOKUP(Main_M[[#This Row],[Industry]], Mean_ROE_M, 2, FALSE))/(VLOOKUP(Main_M[[#This Row],[Industry]], Mean_ROE_M, 3, FALSE))</f>
        <v>-1.5482180935766221</v>
      </c>
      <c r="R75" s="1">
        <f>(Main_M[[#This Row],[ROA]]-VLOOKUP(Main_M[[#This Row],[Industry]], Mean_ROA_M, 2, FALSE))/(VLOOKUP(Main_M[[#This Row],[Industry]], Mean_ROA_M, 3, FALSE))</f>
        <v>0.78218526652009723</v>
      </c>
      <c r="S75" s="1">
        <f>(Main_M[[#This Row],[A/E]]-VLOOKUP(Main_M[[#This Row],[Industry]], Mean_AE_M, 2, FALSE))/(VLOOKUP(Main_M[[#This Row],[Industry]], Mean_AE_M, 3, FALSE))</f>
        <v>77.957006025644645</v>
      </c>
      <c r="T75" s="1">
        <f>(Main_M[[#This Row],[P/E]]-VLOOKUP(Main_M[[#This Row],[Industry]], Mean_PE_M, 2, FALSE))/(VLOOKUP(Main_M[[#This Row],[Industry]], Mean_PE_M, 3, FALSE))</f>
        <v>-5.229946833082056E-2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s="67" t="s">
        <v>124</v>
      </c>
      <c r="B76" s="67" t="s">
        <v>237</v>
      </c>
      <c r="C76" s="2">
        <v>2855</v>
      </c>
      <c r="D76">
        <f>RTD("tos.rtd", , "LAST", Main_M[[#This Row],[Symbol]])</f>
        <v>59.11</v>
      </c>
      <c r="E76">
        <v>3.32</v>
      </c>
      <c r="F76">
        <v>15.29</v>
      </c>
      <c r="G76">
        <v>2.36</v>
      </c>
      <c r="H76" s="1">
        <f>IF(ISNUMBER(Main_M[[#This Row],[Free CF]]),IF(Main_M[[#This Row],[Free CF]]&lt;&gt;0,Main_M[[#This Row],[Current Price]]/Main_M[[#This Row],[Free CF]],""),"")</f>
        <v>17.804216867469879</v>
      </c>
      <c r="I76" s="1">
        <f>IF(ISNUMBER(Main_M[[#This Row],[BVPS]]),IF(Main_M[[#This Row],[BVPS]]&lt;&gt;0,Main_M[[#This Row],[Current Price]]/Main_M[[#This Row],[BVPS]],""),"")</f>
        <v>3.8659254414650102</v>
      </c>
      <c r="J76">
        <v>16.07</v>
      </c>
      <c r="K76">
        <v>4.2</v>
      </c>
      <c r="L76">
        <v>2.73</v>
      </c>
      <c r="M76" s="1">
        <f>IF(ISNUMBER(Main_M[[#This Row],[EPS]]),IF(Main_M[[#This Row],[EPS]]&lt;&gt;0,Main_M[[#This Row],[Current Price]]/Main_M[[#This Row],[EPS]],""),"")</f>
        <v>25.046610169491526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-0.31041539205062002</v>
      </c>
      <c r="P76" s="1">
        <f>(Main_M[[#This Row],[P/B]]-VLOOKUP(Main_M[[#This Row],[Industry]], Mean_PB_M, 2, FALSE))/(VLOOKUP(Main_M[[#This Row],[Industry]], Mean_PB_M, 3, FALSE))</f>
        <v>-0.54360766522325765</v>
      </c>
      <c r="Q76" s="1">
        <f>(Main_M[[#This Row],[ROE]]-VLOOKUP(Main_M[[#This Row],[Industry]], Mean_ROE_M, 2, FALSE))/(VLOOKUP(Main_M[[#This Row],[Industry]], Mean_ROE_M, 3, FALSE))</f>
        <v>-1.111000143851773E-2</v>
      </c>
      <c r="R76" s="1">
        <f>(Main_M[[#This Row],[ROA]]-VLOOKUP(Main_M[[#This Row],[Industry]], Mean_ROA_M, 2, FALSE))/(VLOOKUP(Main_M[[#This Row],[Industry]], Mean_ROA_M, 3, FALSE))</f>
        <v>0.60664391264167883</v>
      </c>
      <c r="S76" s="1">
        <f>(Main_M[[#This Row],[A/E]]-VLOOKUP(Main_M[[#This Row],[Industry]], Mean_AE_M, 2, FALSE))/(VLOOKUP(Main_M[[#This Row],[Industry]], Mean_AE_M, 3, FALSE))</f>
        <v>0.959530596206013</v>
      </c>
      <c r="T76" s="1">
        <f>(Main_M[[#This Row],[P/E]]-VLOOKUP(Main_M[[#This Row],[Industry]], Mean_PE_M, 2, FALSE))/(VLOOKUP(Main_M[[#This Row],[Industry]], Mean_PE_M, 3, FALSE))</f>
        <v>0.58064725355492997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s="67" t="s">
        <v>124</v>
      </c>
      <c r="B77" s="67" t="s">
        <v>494</v>
      </c>
      <c r="C77" s="2">
        <v>4043</v>
      </c>
      <c r="D77">
        <f>RTD("tos.rtd", , "LAST", Main_M[[#This Row],[Symbol]])</f>
        <v>146.11349999999999</v>
      </c>
      <c r="E77">
        <v>3.3</v>
      </c>
      <c r="F77">
        <v>14.6</v>
      </c>
      <c r="G77">
        <v>0.34</v>
      </c>
      <c r="H77" s="1">
        <f>IF(ISNUMBER(Main_M[[#This Row],[Free CF]]),IF(Main_M[[#This Row],[Free CF]]&lt;&gt;0,Main_M[[#This Row],[Current Price]]/Main_M[[#This Row],[Free CF]],""),"")</f>
        <v>44.276818181818179</v>
      </c>
      <c r="I77" s="1">
        <f>IF(ISNUMBER(Main_M[[#This Row],[BVPS]]),IF(Main_M[[#This Row],[BVPS]]&lt;&gt;0,Main_M[[#This Row],[Current Price]]/Main_M[[#This Row],[BVPS]],""),"")</f>
        <v>10.00777397260274</v>
      </c>
      <c r="J77">
        <v>2.27</v>
      </c>
      <c r="K77">
        <v>2.31</v>
      </c>
      <c r="L77">
        <v>1.66</v>
      </c>
      <c r="M77" s="1">
        <f>IF(ISNUMBER(Main_M[[#This Row],[EPS]]),IF(Main_M[[#This Row],[EPS]]&lt;&gt;0,Main_M[[#This Row],[Current Price]]/Main_M[[#This Row],[EPS]],""),"")</f>
        <v>429.74558823529406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0.7423511838749407</v>
      </c>
      <c r="P77" s="1">
        <f>(Main_M[[#This Row],[P/B]]-VLOOKUP(Main_M[[#This Row],[Industry]], Mean_PB_M, 2, FALSE))/(VLOOKUP(Main_M[[#This Row],[Industry]], Mean_PB_M, 3, FALSE))</f>
        <v>0.6390115324037674</v>
      </c>
      <c r="Q77" s="1">
        <f>(Main_M[[#This Row],[ROE]]-VLOOKUP(Main_M[[#This Row],[Industry]], Mean_ROE_M, 2, FALSE))/(VLOOKUP(Main_M[[#This Row],[Industry]], Mean_ROE_M, 3, FALSE))</f>
        <v>-0.19389407443727552</v>
      </c>
      <c r="R77" s="1">
        <f>(Main_M[[#This Row],[ROA]]-VLOOKUP(Main_M[[#This Row],[Industry]], Mean_ROA_M, 2, FALSE))/(VLOOKUP(Main_M[[#This Row],[Industry]], Mean_ROA_M, 3, FALSE))</f>
        <v>0.35143379046459361</v>
      </c>
      <c r="S77" s="1">
        <f>(Main_M[[#This Row],[A/E]]-VLOOKUP(Main_M[[#This Row],[Industry]], Mean_AE_M, 2, FALSE))/(VLOOKUP(Main_M[[#This Row],[Industry]], Mean_AE_M, 3, FALSE))</f>
        <v>-0.39909899992689185</v>
      </c>
      <c r="T77" s="1">
        <f>(Main_M[[#This Row],[P/E]]-VLOOKUP(Main_M[[#This Row],[Industry]], Mean_PE_M, 2, FALSE))/(VLOOKUP(Main_M[[#This Row],[Industry]], Mean_PE_M, 3, FALSE))</f>
        <v>7.6909502403316266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8" spans="1:26" x14ac:dyDescent="0.25">
      <c r="A78" s="67" t="s">
        <v>124</v>
      </c>
      <c r="B78" s="67" t="s">
        <v>275</v>
      </c>
      <c r="C78" s="2">
        <v>2300</v>
      </c>
      <c r="D78">
        <f>RTD("tos.rtd", , "LAST", Main_M[[#This Row],[Symbol]])</f>
        <v>26.23</v>
      </c>
      <c r="E78">
        <v>3.14</v>
      </c>
      <c r="F78">
        <v>1.25</v>
      </c>
      <c r="G78">
        <v>1.59</v>
      </c>
      <c r="H78" s="1">
        <f>IF(ISNUMBER(Main_M[[#This Row],[Free CF]]),IF(Main_M[[#This Row],[Free CF]]&lt;&gt;0,Main_M[[#This Row],[Current Price]]/Main_M[[#This Row],[Free CF]],""),"")</f>
        <v>8.3535031847133752</v>
      </c>
      <c r="I78" s="1">
        <f>IF(ISNUMBER(Main_M[[#This Row],[BVPS]]),IF(Main_M[[#This Row],[BVPS]]&lt;&gt;0,Main_M[[#This Row],[Current Price]]/Main_M[[#This Row],[BVPS]],""),"")</f>
        <v>20.984000000000002</v>
      </c>
      <c r="J78">
        <v>117.27</v>
      </c>
      <c r="K78">
        <v>7.91</v>
      </c>
      <c r="L78">
        <v>9.52</v>
      </c>
      <c r="M78" s="1">
        <f>IF(ISNUMBER(Main_M[[#This Row],[EPS]]),IF(Main_M[[#This Row],[EPS]]&lt;&gt;0,Main_M[[#This Row],[Current Price]]/Main_M[[#This Row],[EPS]],""),"")</f>
        <v>16.49685534591195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-0.68625286135348684</v>
      </c>
      <c r="P78" s="1">
        <f>(Main_M[[#This Row],[P/B]]-VLOOKUP(Main_M[[#This Row],[Industry]], Mean_PB_M, 2, FALSE))/(VLOOKUP(Main_M[[#This Row],[Industry]], Mean_PB_M, 3, FALSE))</f>
        <v>2.752495046639643</v>
      </c>
      <c r="Q78" s="1">
        <f>(Main_M[[#This Row],[ROE]]-VLOOKUP(Main_M[[#This Row],[Industry]], Mean_ROE_M, 2, FALSE))/(VLOOKUP(Main_M[[#This Row],[Industry]], Mean_ROE_M, 3, FALSE))</f>
        <v>1.329306533885706</v>
      </c>
      <c r="R78" s="1">
        <f>(Main_M[[#This Row],[ROA]]-VLOOKUP(Main_M[[#This Row],[Industry]], Mean_ROA_M, 2, FALSE))/(VLOOKUP(Main_M[[#This Row],[Industry]], Mean_ROA_M, 3, FALSE))</f>
        <v>1.1076119302485499</v>
      </c>
      <c r="S78" s="1">
        <f>(Main_M[[#This Row],[A/E]]-VLOOKUP(Main_M[[#This Row],[Industry]], Mean_AE_M, 2, FALSE))/(VLOOKUP(Main_M[[#This Row],[Industry]], Mean_AE_M, 3, FALSE))</f>
        <v>9.5811146688624831</v>
      </c>
      <c r="T78" s="1">
        <f>(Main_M[[#This Row],[P/E]]-VLOOKUP(Main_M[[#This Row],[Industry]], Mean_PE_M, 2, FALSE))/(VLOOKUP(Main_M[[#This Row],[Industry]], Mean_PE_M, 3, FALSE))</f>
        <v>0.43043351308825184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s="67" t="s">
        <v>124</v>
      </c>
      <c r="B79" s="67" t="s">
        <v>241</v>
      </c>
      <c r="C79" s="2">
        <v>4500</v>
      </c>
      <c r="D79">
        <f>RTD("tos.rtd", , "LAST", Main_M[[#This Row],[Symbol]])</f>
        <v>45.58</v>
      </c>
      <c r="E79">
        <v>3.01</v>
      </c>
      <c r="F79">
        <v>37.68</v>
      </c>
      <c r="G79">
        <v>-0.02</v>
      </c>
      <c r="H79" s="1">
        <f>IF(ISNUMBER(Main_M[[#This Row],[Free CF]]),IF(Main_M[[#This Row],[Free CF]]&lt;&gt;0,Main_M[[#This Row],[Current Price]]/Main_M[[#This Row],[Free CF]],""),"")</f>
        <v>15.142857142857144</v>
      </c>
      <c r="I79" s="1">
        <f>IF(ISNUMBER(Main_M[[#This Row],[BVPS]]),IF(Main_M[[#This Row],[BVPS]]&lt;&gt;0,Main_M[[#This Row],[Current Price]]/Main_M[[#This Row],[BVPS]],""),"")</f>
        <v>1.2096602972399151</v>
      </c>
      <c r="J79">
        <v>0.97</v>
      </c>
      <c r="K79">
        <v>-0.53</v>
      </c>
      <c r="L79">
        <v>2.4900000000000002</v>
      </c>
      <c r="M79" s="1">
        <f>IF(ISNUMBER(Main_M[[#This Row],[EPS]]),IF(Main_M[[#This Row],[EPS]]&lt;&gt;0,Main_M[[#This Row],[Current Price]]/Main_M[[#This Row],[EPS]],""),"")</f>
        <v>-2279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-0.41625276448398779</v>
      </c>
      <c r="P79" s="1">
        <f>(Main_M[[#This Row],[P/B]]-VLOOKUP(Main_M[[#This Row],[Industry]], Mean_PB_M, 2, FALSE))/(VLOOKUP(Main_M[[#This Row],[Industry]], Mean_PB_M, 3, FALSE))</f>
        <v>-1.055074227386458</v>
      </c>
      <c r="Q79" s="1">
        <f>(Main_M[[#This Row],[ROE]]-VLOOKUP(Main_M[[#This Row],[Industry]], Mean_ROE_M, 2, FALSE))/(VLOOKUP(Main_M[[#This Row],[Industry]], Mean_ROE_M, 3, FALSE))</f>
        <v>-0.21111286392266573</v>
      </c>
      <c r="R79" s="1">
        <f>(Main_M[[#This Row],[ROA]]-VLOOKUP(Main_M[[#This Row],[Industry]], Mean_ROA_M, 2, FALSE))/(VLOOKUP(Main_M[[#This Row],[Industry]], Mean_ROA_M, 3, FALSE))</f>
        <v>-3.2056551854412758E-2</v>
      </c>
      <c r="S79" s="1">
        <f>(Main_M[[#This Row],[A/E]]-VLOOKUP(Main_M[[#This Row],[Industry]], Mean_AE_M, 2, FALSE))/(VLOOKUP(Main_M[[#This Row],[Industry]], Mean_AE_M, 3, FALSE))</f>
        <v>0.65479124754068885</v>
      </c>
      <c r="T79" s="1">
        <f>(Main_M[[#This Row],[P/E]]-VLOOKUP(Main_M[[#This Row],[Industry]], Mean_PE_M, 2, FALSE))/(VLOOKUP(Main_M[[#This Row],[Industry]], Mean_PE_M, 3, FALSE))</f>
        <v>-39.899982503056741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0" spans="1:26" x14ac:dyDescent="0.25">
      <c r="A80" s="67" t="s">
        <v>124</v>
      </c>
      <c r="B80" s="67" t="s">
        <v>252</v>
      </c>
      <c r="C80" s="2">
        <v>7883</v>
      </c>
      <c r="D80">
        <f>RTD("tos.rtd", , "LAST", Main_M[[#This Row],[Symbol]])</f>
        <v>29.47</v>
      </c>
      <c r="E80">
        <v>2.8</v>
      </c>
      <c r="F80">
        <v>-3.85</v>
      </c>
      <c r="G80">
        <v>1.48</v>
      </c>
      <c r="H80" s="1">
        <f>IF(ISNUMBER(Main_M[[#This Row],[Free CF]]),IF(Main_M[[#This Row],[Free CF]]&lt;&gt;0,Main_M[[#This Row],[Current Price]]/Main_M[[#This Row],[Free CF]],""),"")</f>
        <v>10.525</v>
      </c>
      <c r="I80" s="1">
        <f>IF(ISNUMBER(Main_M[[#This Row],[BVPS]]),IF(Main_M[[#This Row],[BVPS]]&lt;&gt;0,Main_M[[#This Row],[Current Price]]/Main_M[[#This Row],[BVPS]],""),"")</f>
        <v>-7.6545454545454543</v>
      </c>
      <c r="J80">
        <v>-69.52</v>
      </c>
      <c r="K80">
        <v>12.51</v>
      </c>
      <c r="L80">
        <v>-2.75</v>
      </c>
      <c r="M80" s="1">
        <f>IF(ISNUMBER(Main_M[[#This Row],[EPS]]),IF(Main_M[[#This Row],[EPS]]&lt;&gt;0,Main_M[[#This Row],[Current Price]]/Main_M[[#This Row],[EPS]],""),"")</f>
        <v>19.912162162162161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-0.5998964342039006</v>
      </c>
      <c r="P80" s="1">
        <f>(Main_M[[#This Row],[P/B]]-VLOOKUP(Main_M[[#This Row],[Industry]], Mean_PB_M, 2, FALSE))/(VLOOKUP(Main_M[[#This Row],[Industry]], Mean_PB_M, 3, FALSE))</f>
        <v>-2.761886083887156</v>
      </c>
      <c r="Q80" s="1">
        <f>(Main_M[[#This Row],[ROE]]-VLOOKUP(Main_M[[#This Row],[Industry]], Mean_ROE_M, 2, FALSE))/(VLOOKUP(Main_M[[#This Row],[Industry]], Mean_ROE_M, 3, FALSE))</f>
        <v>-1.144768610711248</v>
      </c>
      <c r="R80" s="1">
        <f>(Main_M[[#This Row],[ROA]]-VLOOKUP(Main_M[[#This Row],[Industry]], Mean_ROA_M, 2, FALSE))/(VLOOKUP(Main_M[[#This Row],[Industry]], Mean_ROA_M, 3, FALSE))</f>
        <v>1.7287582593567996</v>
      </c>
      <c r="S80" s="1">
        <f>(Main_M[[#This Row],[A/E]]-VLOOKUP(Main_M[[#This Row],[Industry]], Mean_AE_M, 2, FALSE))/(VLOOKUP(Main_M[[#This Row],[Industry]], Mean_AE_M, 3, FALSE))</f>
        <v>-5.9986845316522279</v>
      </c>
      <c r="T80" s="1">
        <f>(Main_M[[#This Row],[P/E]]-VLOOKUP(Main_M[[#This Row],[Industry]], Mean_PE_M, 2, FALSE))/(VLOOKUP(Main_M[[#This Row],[Industry]], Mean_PE_M, 3, FALSE))</f>
        <v>0.49043827606641344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s="67" t="s">
        <v>124</v>
      </c>
      <c r="B81" s="67" t="s">
        <v>289</v>
      </c>
      <c r="C81" s="2">
        <v>2099</v>
      </c>
      <c r="D81">
        <f>RTD("tos.rtd", , "LAST", Main_M[[#This Row],[Symbol]])</f>
        <v>22.58</v>
      </c>
      <c r="E81">
        <v>2.74</v>
      </c>
      <c r="F81">
        <v>1.65</v>
      </c>
      <c r="G81">
        <v>1.41</v>
      </c>
      <c r="H81" s="1">
        <f>IF(ISNUMBER(Main_M[[#This Row],[Free CF]]),IF(Main_M[[#This Row],[Free CF]]&lt;&gt;0,Main_M[[#This Row],[Current Price]]/Main_M[[#This Row],[Free CF]],""),"")</f>
        <v>8.2408759124087574</v>
      </c>
      <c r="I81" s="1">
        <f>IF(ISNUMBER(Main_M[[#This Row],[BVPS]]),IF(Main_M[[#This Row],[BVPS]]&lt;&gt;0,Main_M[[#This Row],[Current Price]]/Main_M[[#This Row],[BVPS]],""),"")</f>
        <v>13.684848484848484</v>
      </c>
      <c r="J81">
        <v>130.19</v>
      </c>
      <c r="K81">
        <v>7.9</v>
      </c>
      <c r="L81">
        <v>11.09</v>
      </c>
      <c r="M81" s="1">
        <f>IF(ISNUMBER(Main_M[[#This Row],[EPS]]),IF(Main_M[[#This Row],[EPS]]&lt;&gt;0,Main_M[[#This Row],[Current Price]]/Main_M[[#This Row],[EPS]],""),"")</f>
        <v>16.01418439716312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-0.69073184044632352</v>
      </c>
      <c r="P81" s="1">
        <f>(Main_M[[#This Row],[P/B]]-VLOOKUP(Main_M[[#This Row],[Industry]], Mean_PB_M, 2, FALSE))/(VLOOKUP(Main_M[[#This Row],[Industry]], Mean_PB_M, 3, FALSE))</f>
        <v>1.3470359793175217</v>
      </c>
      <c r="Q81" s="1">
        <f>(Main_M[[#This Row],[ROE]]-VLOOKUP(Main_M[[#This Row],[Industry]], Mean_ROE_M, 2, FALSE))/(VLOOKUP(Main_M[[#This Row],[Industry]], Mean_ROE_M, 3, FALSE))</f>
        <v>1.5004348109251227</v>
      </c>
      <c r="R81" s="1">
        <f>(Main_M[[#This Row],[ROA]]-VLOOKUP(Main_M[[#This Row],[Industry]], Mean_ROA_M, 2, FALSE))/(VLOOKUP(Main_M[[#This Row],[Industry]], Mean_ROA_M, 3, FALSE))</f>
        <v>1.106261612141793</v>
      </c>
      <c r="S81" s="1">
        <f>(Main_M[[#This Row],[A/E]]-VLOOKUP(Main_M[[#This Row],[Industry]], Mean_AE_M, 2, FALSE))/(VLOOKUP(Main_M[[#This Row],[Industry]], Mean_AE_M, 3, FALSE))</f>
        <v>11.574617908048147</v>
      </c>
      <c r="T81" s="1">
        <f>(Main_M[[#This Row],[P/E]]-VLOOKUP(Main_M[[#This Row],[Industry]], Mean_PE_M, 2, FALSE))/(VLOOKUP(Main_M[[#This Row],[Industry]], Mean_PE_M, 3, FALSE))</f>
        <v>0.42195329229569745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s="67" t="s">
        <v>124</v>
      </c>
      <c r="B82" s="67" t="s">
        <v>263</v>
      </c>
      <c r="C82" s="2">
        <v>7336</v>
      </c>
      <c r="D82">
        <f>RTD("tos.rtd", , "LAST", Main_M[[#This Row],[Symbol]])</f>
        <v>28.16</v>
      </c>
      <c r="E82">
        <v>2.66</v>
      </c>
      <c r="F82">
        <v>16.059999999999999</v>
      </c>
      <c r="G82">
        <v>2.4500000000000002</v>
      </c>
      <c r="H82" s="1">
        <f>IF(ISNUMBER(Main_M[[#This Row],[Free CF]]),IF(Main_M[[#This Row],[Free CF]]&lt;&gt;0,Main_M[[#This Row],[Current Price]]/Main_M[[#This Row],[Free CF]],""),"")</f>
        <v>10.586466165413533</v>
      </c>
      <c r="I82" s="1">
        <f>IF(ISNUMBER(Main_M[[#This Row],[BVPS]]),IF(Main_M[[#This Row],[BVPS]]&lt;&gt;0,Main_M[[#This Row],[Current Price]]/Main_M[[#This Row],[BVPS]],""),"")</f>
        <v>1.7534246575342467</v>
      </c>
      <c r="J82">
        <v>15.87</v>
      </c>
      <c r="K82">
        <v>4.16</v>
      </c>
      <c r="L82">
        <v>3.33</v>
      </c>
      <c r="M82" s="1">
        <f>IF(ISNUMBER(Main_M[[#This Row],[EPS]]),IF(Main_M[[#This Row],[EPS]]&lt;&gt;0,Main_M[[#This Row],[Current Price]]/Main_M[[#This Row],[EPS]],""),"")</f>
        <v>11.493877551020407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-0.59745203806280034</v>
      </c>
      <c r="P82" s="1">
        <f>(Main_M[[#This Row],[P/B]]-VLOOKUP(Main_M[[#This Row],[Industry]], Mean_PB_M, 2, FALSE))/(VLOOKUP(Main_M[[#This Row],[Industry]], Mean_PB_M, 3, FALSE))</f>
        <v>-0.9503718453252169</v>
      </c>
      <c r="Q82" s="1">
        <f>(Main_M[[#This Row],[ROE]]-VLOOKUP(Main_M[[#This Row],[Industry]], Mean_ROE_M, 2, FALSE))/(VLOOKUP(Main_M[[#This Row],[Industry]], Mean_ROE_M, 3, FALSE))</f>
        <v>-1.3759045974731626E-2</v>
      </c>
      <c r="R82" s="1">
        <f>(Main_M[[#This Row],[ROA]]-VLOOKUP(Main_M[[#This Row],[Industry]], Mean_ROA_M, 2, FALSE))/(VLOOKUP(Main_M[[#This Row],[Industry]], Mean_ROA_M, 3, FALSE))</f>
        <v>0.60124264021465057</v>
      </c>
      <c r="S82" s="1">
        <f>(Main_M[[#This Row],[A/E]]-VLOOKUP(Main_M[[#This Row],[Industry]], Mean_AE_M, 2, FALSE))/(VLOOKUP(Main_M[[#This Row],[Industry]], Mean_AE_M, 3, FALSE))</f>
        <v>1.7213789678693241</v>
      </c>
      <c r="T82" s="1">
        <f>(Main_M[[#This Row],[P/E]]-VLOOKUP(Main_M[[#This Row],[Industry]], Mean_PE_M, 2, FALSE))/(VLOOKUP(Main_M[[#This Row],[Industry]], Mean_PE_M, 3, FALSE))</f>
        <v>0.34253438339978787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s="67" t="s">
        <v>124</v>
      </c>
      <c r="B83" s="67" t="s">
        <v>233</v>
      </c>
      <c r="C83" s="2">
        <v>4853</v>
      </c>
      <c r="D83">
        <f>RTD("tos.rtd", , "LAST", Main_M[[#This Row],[Symbol]])</f>
        <v>47.79</v>
      </c>
      <c r="E83">
        <v>2.64</v>
      </c>
      <c r="F83">
        <v>14.08</v>
      </c>
      <c r="G83">
        <v>2.5299999999999998</v>
      </c>
      <c r="H83" s="1">
        <f>IF(ISNUMBER(Main_M[[#This Row],[Free CF]]),IF(Main_M[[#This Row],[Free CF]]&lt;&gt;0,Main_M[[#This Row],[Current Price]]/Main_M[[#This Row],[Free CF]],""),"")</f>
        <v>18.102272727272727</v>
      </c>
      <c r="I83" s="1">
        <f>IF(ISNUMBER(Main_M[[#This Row],[BVPS]]),IF(Main_M[[#This Row],[BVPS]]&lt;&gt;0,Main_M[[#This Row],[Current Price]]/Main_M[[#This Row],[BVPS]],""),"")</f>
        <v>3.3941761363636362</v>
      </c>
      <c r="J83">
        <v>19.690000000000001</v>
      </c>
      <c r="K83">
        <v>7</v>
      </c>
      <c r="L83">
        <v>2.16</v>
      </c>
      <c r="M83" s="1">
        <f>IF(ISNUMBER(Main_M[[#This Row],[EPS]]),IF(Main_M[[#This Row],[EPS]]&lt;&gt;0,Main_M[[#This Row],[Current Price]]/Main_M[[#This Row],[EPS]],""),"")</f>
        <v>18.889328063241109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-0.29856225970320993</v>
      </c>
      <c r="P83" s="1">
        <f>(Main_M[[#This Row],[P/B]]-VLOOKUP(Main_M[[#This Row],[Industry]], Mean_PB_M, 2, FALSE))/(VLOOKUP(Main_M[[#This Row],[Industry]], Mean_PB_M, 3, FALSE))</f>
        <v>-0.63444347497201203</v>
      </c>
      <c r="Q83" s="1">
        <f>(Main_M[[#This Row],[ROE]]-VLOOKUP(Main_M[[#This Row],[Industry]], Mean_ROE_M, 2, FALSE))/(VLOOKUP(Main_M[[#This Row],[Industry]], Mean_ROE_M, 3, FALSE))</f>
        <v>3.6837704666953526E-2</v>
      </c>
      <c r="R83" s="1">
        <f>(Main_M[[#This Row],[ROA]]-VLOOKUP(Main_M[[#This Row],[Industry]], Mean_ROA_M, 2, FALSE))/(VLOOKUP(Main_M[[#This Row],[Industry]], Mean_ROA_M, 3, FALSE))</f>
        <v>0.98473298253365693</v>
      </c>
      <c r="S83" s="1">
        <f>(Main_M[[#This Row],[A/E]]-VLOOKUP(Main_M[[#This Row],[Industry]], Mean_AE_M, 2, FALSE))/(VLOOKUP(Main_M[[#This Row],[Industry]], Mean_AE_M, 3, FALSE))</f>
        <v>0.23577464312586768</v>
      </c>
      <c r="T83" s="1">
        <f>(Main_M[[#This Row],[P/E]]-VLOOKUP(Main_M[[#This Row],[Industry]], Mean_PE_M, 2, FALSE))/(VLOOKUP(Main_M[[#This Row],[Industry]], Mean_PE_M, 3, FALSE))</f>
        <v>0.47246773316241603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s="67" t="s">
        <v>124</v>
      </c>
      <c r="B84" s="67" t="s">
        <v>254</v>
      </c>
      <c r="C84" s="2">
        <v>8535</v>
      </c>
      <c r="D84">
        <f>RTD("tos.rtd", , "LAST", Main_M[[#This Row],[Symbol]])</f>
        <v>85.71</v>
      </c>
      <c r="E84">
        <v>2.5299999999999998</v>
      </c>
      <c r="F84">
        <v>8.7899999999999991</v>
      </c>
      <c r="G84">
        <v>-1.04</v>
      </c>
      <c r="H84" s="1">
        <f>IF(ISNUMBER(Main_M[[#This Row],[Free CF]]),IF(Main_M[[#This Row],[Free CF]]&lt;&gt;0,Main_M[[#This Row],[Current Price]]/Main_M[[#This Row],[Free CF]],""),"")</f>
        <v>33.877470355731226</v>
      </c>
      <c r="I84" s="1">
        <f>IF(ISNUMBER(Main_M[[#This Row],[BVPS]]),IF(Main_M[[#This Row],[BVPS]]&lt;&gt;0,Main_M[[#This Row],[Current Price]]/Main_M[[#This Row],[BVPS]],""),"")</f>
        <v>9.7508532423208187</v>
      </c>
      <c r="J84">
        <v>-12.98</v>
      </c>
      <c r="K84">
        <v>-1.41</v>
      </c>
      <c r="L84">
        <v>2.8</v>
      </c>
      <c r="M84" s="1">
        <f>IF(ISNUMBER(Main_M[[#This Row],[EPS]]),IF(Main_M[[#This Row],[EPS]]&lt;&gt;0,Main_M[[#This Row],[Current Price]]/Main_M[[#This Row],[EPS]],""),"")</f>
        <v>-82.413461538461533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0.32878828264261795</v>
      </c>
      <c r="P84" s="1">
        <f>(Main_M[[#This Row],[P/B]]-VLOOKUP(Main_M[[#This Row],[Industry]], Mean_PB_M, 2, FALSE))/(VLOOKUP(Main_M[[#This Row],[Industry]], Mean_PB_M, 3, FALSE))</f>
        <v>0.5895411838011666</v>
      </c>
      <c r="Q84" s="1">
        <f>(Main_M[[#This Row],[ROE]]-VLOOKUP(Main_M[[#This Row],[Industry]], Mean_ROE_M, 2, FALSE))/(VLOOKUP(Main_M[[#This Row],[Industry]], Mean_ROE_M, 3, FALSE))</f>
        <v>-0.39588372032358393</v>
      </c>
      <c r="R84" s="1">
        <f>(Main_M[[#This Row],[ROA]]-VLOOKUP(Main_M[[#This Row],[Industry]], Mean_ROA_M, 2, FALSE))/(VLOOKUP(Main_M[[#This Row],[Industry]], Mean_ROA_M, 3, FALSE))</f>
        <v>-0.15088454524903444</v>
      </c>
      <c r="S84" s="1">
        <f>(Main_M[[#This Row],[A/E]]-VLOOKUP(Main_M[[#This Row],[Industry]], Mean_AE_M, 2, FALSE))/(VLOOKUP(Main_M[[#This Row],[Industry]], Mean_AE_M, 3, FALSE))</f>
        <v>1.0484129062333991</v>
      </c>
      <c r="T84" s="1">
        <f>(Main_M[[#This Row],[P/E]]-VLOOKUP(Main_M[[#This Row],[Industry]], Mean_PE_M, 2, FALSE))/(VLOOKUP(Main_M[[#This Row],[Industry]], Mean_PE_M, 3, FALSE))</f>
        <v>-1.3073576840312011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s="67" t="s">
        <v>124</v>
      </c>
      <c r="B85" s="67" t="s">
        <v>242</v>
      </c>
      <c r="C85" s="2">
        <v>3486</v>
      </c>
      <c r="D85">
        <f>RTD("tos.rtd", , "LAST", Main_M[[#This Row],[Symbol]])</f>
        <v>57.3</v>
      </c>
      <c r="E85">
        <v>2.4500000000000002</v>
      </c>
      <c r="F85">
        <v>6.71</v>
      </c>
      <c r="G85">
        <v>1.41</v>
      </c>
      <c r="H85" s="1">
        <f>IF(ISNUMBER(Main_M[[#This Row],[Free CF]]),IF(Main_M[[#This Row],[Free CF]]&lt;&gt;0,Main_M[[#This Row],[Current Price]]/Main_M[[#This Row],[Free CF]],""),"")</f>
        <v>23.387755102040813</v>
      </c>
      <c r="I85" s="1">
        <f>IF(ISNUMBER(Main_M[[#This Row],[BVPS]]),IF(Main_M[[#This Row],[BVPS]]&lt;&gt;0,Main_M[[#This Row],[Current Price]]/Main_M[[#This Row],[BVPS]],""),"")</f>
        <v>8.5394932935916543</v>
      </c>
      <c r="J85">
        <v>41.24</v>
      </c>
      <c r="K85">
        <v>0.87</v>
      </c>
      <c r="L85">
        <v>4.26</v>
      </c>
      <c r="M85" s="1">
        <f>IF(ISNUMBER(Main_M[[#This Row],[EPS]]),IF(Main_M[[#This Row],[EPS]]&lt;&gt;0,Main_M[[#This Row],[Current Price]]/Main_M[[#This Row],[EPS]],""),"")</f>
        <v>40.638297872340424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-8.8368364674708308E-2</v>
      </c>
      <c r="P85" s="1">
        <f>(Main_M[[#This Row],[P/B]]-VLOOKUP(Main_M[[#This Row],[Industry]], Mean_PB_M, 2, FALSE))/(VLOOKUP(Main_M[[#This Row],[Industry]], Mean_PB_M, 3, FALSE))</f>
        <v>0.35629259042723904</v>
      </c>
      <c r="Q85" s="1">
        <f>(Main_M[[#This Row],[ROE]]-VLOOKUP(Main_M[[#This Row],[Industry]], Mean_ROE_M, 2, FALSE))/(VLOOKUP(Main_M[[#This Row],[Industry]], Mean_ROE_M, 3, FALSE))</f>
        <v>0.32227225344399918</v>
      </c>
      <c r="R85" s="1">
        <f>(Main_M[[#This Row],[ROA]]-VLOOKUP(Main_M[[#This Row],[Industry]], Mean_ROA_M, 2, FALSE))/(VLOOKUP(Main_M[[#This Row],[Industry]], Mean_ROA_M, 3, FALSE))</f>
        <v>0.1569879830915763</v>
      </c>
      <c r="S85" s="1">
        <f>(Main_M[[#This Row],[A/E]]-VLOOKUP(Main_M[[#This Row],[Industry]], Mean_AE_M, 2, FALSE))/(VLOOKUP(Main_M[[#This Row],[Industry]], Mean_AE_M, 3, FALSE))</f>
        <v>2.9022439439474561</v>
      </c>
      <c r="T85" s="1">
        <f>(Main_M[[#This Row],[P/E]]-VLOOKUP(Main_M[[#This Row],[Industry]], Mean_PE_M, 2, FALSE))/(VLOOKUP(Main_M[[#This Row],[Industry]], Mean_PE_M, 3, FALSE))</f>
        <v>0.85458326439514098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s="67" t="s">
        <v>124</v>
      </c>
      <c r="B86" s="67" t="s">
        <v>395</v>
      </c>
      <c r="C86" s="2">
        <v>2117</v>
      </c>
      <c r="D86">
        <f>RTD("tos.rtd", , "LAST", Main_M[[#This Row],[Symbol]])</f>
        <v>33.380000000000003</v>
      </c>
      <c r="E86">
        <v>2.34</v>
      </c>
      <c r="F86">
        <v>13.21</v>
      </c>
      <c r="G86">
        <v>-0.04</v>
      </c>
      <c r="H86" s="1">
        <f>IF(ISNUMBER(Main_M[[#This Row],[Free CF]]),IF(Main_M[[#This Row],[Free CF]]&lt;&gt;0,Main_M[[#This Row],[Current Price]]/Main_M[[#This Row],[Free CF]],""),"")</f>
        <v>14.264957264957268</v>
      </c>
      <c r="I86" s="1">
        <f>IF(ISNUMBER(Main_M[[#This Row],[BVPS]]),IF(Main_M[[#This Row],[BVPS]]&lt;&gt;0,Main_M[[#This Row],[Current Price]]/Main_M[[#This Row],[BVPS]],""),"")</f>
        <v>2.5268735806207419</v>
      </c>
      <c r="J86">
        <v>-0.26</v>
      </c>
      <c r="K86">
        <v>0.67</v>
      </c>
      <c r="L86">
        <v>1.33</v>
      </c>
      <c r="M86" s="1">
        <f>IF(ISNUMBER(Main_M[[#This Row],[EPS]]),IF(Main_M[[#This Row],[EPS]]&lt;&gt;0,Main_M[[#This Row],[Current Price]]/Main_M[[#This Row],[EPS]],""),"")</f>
        <v>-834.5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-0.45116522501204276</v>
      </c>
      <c r="P86" s="1">
        <f>(Main_M[[#This Row],[P/B]]-VLOOKUP(Main_M[[#This Row],[Industry]], Mean_PB_M, 2, FALSE))/(VLOOKUP(Main_M[[#This Row],[Industry]], Mean_PB_M, 3, FALSE))</f>
        <v>-0.80144346648475118</v>
      </c>
      <c r="Q86" s="1">
        <f>(Main_M[[#This Row],[ROE]]-VLOOKUP(Main_M[[#This Row],[Industry]], Mean_ROE_M, 2, FALSE))/(VLOOKUP(Main_M[[#This Row],[Industry]], Mean_ROE_M, 3, FALSE))</f>
        <v>-0.22740448782038114</v>
      </c>
      <c r="R86" s="1">
        <f>(Main_M[[#This Row],[ROA]]-VLOOKUP(Main_M[[#This Row],[Industry]], Mean_ROA_M, 2, FALSE))/(VLOOKUP(Main_M[[#This Row],[Industry]], Mean_ROA_M, 3, FALSE))</f>
        <v>0.12998162095643501</v>
      </c>
      <c r="S86" s="1">
        <f>(Main_M[[#This Row],[A/E]]-VLOOKUP(Main_M[[#This Row],[Industry]], Mean_AE_M, 2, FALSE))/(VLOOKUP(Main_M[[#This Row],[Industry]], Mean_AE_M, 3, FALSE))</f>
        <v>-0.81811560434171271</v>
      </c>
      <c r="T86" s="1">
        <f>(Main_M[[#This Row],[P/E]]-VLOOKUP(Main_M[[#This Row],[Industry]], Mean_PE_M, 2, FALSE))/(VLOOKUP(Main_M[[#This Row],[Industry]], Mean_PE_M, 3, FALSE))</f>
        <v>-14.521038593964533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7" spans="1:26" x14ac:dyDescent="0.25">
      <c r="A87" s="67" t="s">
        <v>124</v>
      </c>
      <c r="B87" s="67" t="s">
        <v>268</v>
      </c>
      <c r="C87" s="2">
        <v>5453</v>
      </c>
      <c r="D87">
        <f>RTD("tos.rtd", , "LAST", Main_M[[#This Row],[Symbol]])</f>
        <v>90.87</v>
      </c>
      <c r="E87">
        <v>2.29</v>
      </c>
      <c r="F87">
        <v>8.75</v>
      </c>
      <c r="G87">
        <v>-0.34</v>
      </c>
      <c r="H87" s="1">
        <f>IF(ISNUMBER(Main_M[[#This Row],[Free CF]]),IF(Main_M[[#This Row],[Free CF]]&lt;&gt;0,Main_M[[#This Row],[Current Price]]/Main_M[[#This Row],[Free CF]],""),"")</f>
        <v>39.681222707423579</v>
      </c>
      <c r="I87" s="1">
        <f>IF(ISNUMBER(Main_M[[#This Row],[BVPS]]),IF(Main_M[[#This Row],[BVPS]]&lt;&gt;0,Main_M[[#This Row],[Current Price]]/Main_M[[#This Row],[BVPS]],""),"")</f>
        <v>10.385142857142858</v>
      </c>
      <c r="J87">
        <v>-3.95</v>
      </c>
      <c r="K87">
        <v>-1.17</v>
      </c>
      <c r="L87">
        <v>2.4700000000000002</v>
      </c>
      <c r="M87" s="1">
        <f>IF(ISNUMBER(Main_M[[#This Row],[EPS]]),IF(Main_M[[#This Row],[EPS]]&lt;&gt;0,Main_M[[#This Row],[Current Price]]/Main_M[[#This Row],[EPS]],""),"")</f>
        <v>-267.26470588235293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0.55959281969049113</v>
      </c>
      <c r="P87" s="1">
        <f>(Main_M[[#This Row],[P/B]]-VLOOKUP(Main_M[[#This Row],[Industry]], Mean_PB_M, 2, FALSE))/(VLOOKUP(Main_M[[#This Row],[Industry]], Mean_PB_M, 3, FALSE))</f>
        <v>0.71167429593199283</v>
      </c>
      <c r="Q87" s="1">
        <f>(Main_M[[#This Row],[ROE]]-VLOOKUP(Main_M[[#This Row],[Industry]], Mean_ROE_M, 2, FALSE))/(VLOOKUP(Main_M[[#This Row],[Industry]], Mean_ROE_M, 3, FALSE))</f>
        <v>-0.27627935951352722</v>
      </c>
      <c r="R87" s="1">
        <f>(Main_M[[#This Row],[ROA]]-VLOOKUP(Main_M[[#This Row],[Industry]], Mean_ROA_M, 2, FALSE))/(VLOOKUP(Main_M[[#This Row],[Industry]], Mean_ROA_M, 3, FALSE))</f>
        <v>-0.11847691068686488</v>
      </c>
      <c r="S87" s="1">
        <f>(Main_M[[#This Row],[A/E]]-VLOOKUP(Main_M[[#This Row],[Industry]], Mean_AE_M, 2, FALSE))/(VLOOKUP(Main_M[[#This Row],[Industry]], Mean_AE_M, 3, FALSE))</f>
        <v>0.62939630181857842</v>
      </c>
      <c r="T87" s="1">
        <f>(Main_M[[#This Row],[P/E]]-VLOOKUP(Main_M[[#This Row],[Industry]], Mean_PE_M, 2, FALSE))/(VLOOKUP(Main_M[[#This Row],[Industry]], Mean_PE_M, 3, FALSE))</f>
        <v>-4.5550761760557883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8" spans="1:26" x14ac:dyDescent="0.25">
      <c r="A88" s="67" t="s">
        <v>124</v>
      </c>
      <c r="B88" s="67" t="s">
        <v>290</v>
      </c>
      <c r="C88" s="2">
        <v>3936</v>
      </c>
      <c r="D88">
        <f>RTD("tos.rtd", , "LAST", Main_M[[#This Row],[Symbol]])</f>
        <v>32.549999999999997</v>
      </c>
      <c r="E88">
        <v>2.0099999999999998</v>
      </c>
      <c r="F88">
        <v>3.19</v>
      </c>
      <c r="G88">
        <v>-0.38</v>
      </c>
      <c r="H88" s="1">
        <f>IF(ISNUMBER(Main_M[[#This Row],[Free CF]]),IF(Main_M[[#This Row],[Free CF]]&lt;&gt;0,Main_M[[#This Row],[Current Price]]/Main_M[[#This Row],[Free CF]],""),"")</f>
        <v>16.194029850746269</v>
      </c>
      <c r="I88" s="1">
        <f>IF(ISNUMBER(Main_M[[#This Row],[BVPS]]),IF(Main_M[[#This Row],[BVPS]]&lt;&gt;0,Main_M[[#This Row],[Current Price]]/Main_M[[#This Row],[BVPS]],""),"")</f>
        <v>10.203761755485893</v>
      </c>
      <c r="J88">
        <v>-12.09</v>
      </c>
      <c r="K88">
        <v>0.38</v>
      </c>
      <c r="L88">
        <v>4.42</v>
      </c>
      <c r="M88" s="1">
        <f>IF(ISNUMBER(Main_M[[#This Row],[EPS]]),IF(Main_M[[#This Row],[EPS]]&lt;&gt;0,Main_M[[#This Row],[Current Price]]/Main_M[[#This Row],[EPS]],""),"")</f>
        <v>-85.657894736842096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-0.37444956277932462</v>
      </c>
      <c r="P88" s="1">
        <f>(Main_M[[#This Row],[P/B]]-VLOOKUP(Main_M[[#This Row],[Industry]], Mean_PB_M, 2, FALSE))/(VLOOKUP(Main_M[[#This Row],[Industry]], Mean_PB_M, 3, FALSE))</f>
        <v>0.67674917985028271</v>
      </c>
      <c r="Q88" s="1">
        <f>(Main_M[[#This Row],[ROE]]-VLOOKUP(Main_M[[#This Row],[Industry]], Mean_ROE_M, 2, FALSE))/(VLOOKUP(Main_M[[#This Row],[Industry]], Mean_ROE_M, 3, FALSE))</f>
        <v>-0.38409547213743217</v>
      </c>
      <c r="R88" s="1">
        <f>(Main_M[[#This Row],[ROA]]-VLOOKUP(Main_M[[#This Row],[Industry]], Mean_ROA_M, 2, FALSE))/(VLOOKUP(Main_M[[#This Row],[Industry]], Mean_ROA_M, 3, FALSE))</f>
        <v>9.0822395860480118E-2</v>
      </c>
      <c r="S88" s="1">
        <f>(Main_M[[#This Row],[A/E]]-VLOOKUP(Main_M[[#This Row],[Industry]], Mean_AE_M, 2, FALSE))/(VLOOKUP(Main_M[[#This Row],[Industry]], Mean_AE_M, 3, FALSE))</f>
        <v>3.1054035097243391</v>
      </c>
      <c r="T88" s="1">
        <f>(Main_M[[#This Row],[P/E]]-VLOOKUP(Main_M[[#This Row],[Industry]], Mean_PE_M, 2, FALSE))/(VLOOKUP(Main_M[[#This Row],[Industry]], Mean_PE_M, 3, FALSE))</f>
        <v>-1.3643603065016041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s="67" t="s">
        <v>124</v>
      </c>
      <c r="B89" s="67" t="s">
        <v>244</v>
      </c>
      <c r="C89" s="2">
        <v>5477</v>
      </c>
      <c r="D89">
        <f>RTD("tos.rtd", , "LAST", Main_M[[#This Row],[Symbol]])</f>
        <v>37.450000000000003</v>
      </c>
      <c r="E89">
        <v>1.95</v>
      </c>
      <c r="F89">
        <v>-1.94</v>
      </c>
      <c r="G89">
        <v>1.3</v>
      </c>
      <c r="H89" s="1">
        <f>IF(ISNUMBER(Main_M[[#This Row],[Free CF]]),IF(Main_M[[#This Row],[Free CF]]&lt;&gt;0,Main_M[[#This Row],[Current Price]]/Main_M[[#This Row],[Free CF]],""),"")</f>
        <v>19.205128205128208</v>
      </c>
      <c r="I89" s="1">
        <f>IF(ISNUMBER(Main_M[[#This Row],[BVPS]]),IF(Main_M[[#This Row],[BVPS]]&lt;&gt;0,Main_M[[#This Row],[Current Price]]/Main_M[[#This Row],[BVPS]],""),"")</f>
        <v>-19.304123711340207</v>
      </c>
      <c r="J89">
        <v>152.34</v>
      </c>
      <c r="K89">
        <v>3.02</v>
      </c>
      <c r="L89">
        <v>-5.86</v>
      </c>
      <c r="M89" s="1">
        <f>IF(ISNUMBER(Main_M[[#This Row],[EPS]]),IF(Main_M[[#This Row],[EPS]]&lt;&gt;0,Main_M[[#This Row],[Current Price]]/Main_M[[#This Row],[EPS]],""),"")</f>
        <v>28.80769230769231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-0.25470372946752173</v>
      </c>
      <c r="P89" s="1">
        <f>(Main_M[[#This Row],[P/B]]-VLOOKUP(Main_M[[#This Row],[Industry]], Mean_PB_M, 2, FALSE))/(VLOOKUP(Main_M[[#This Row],[Industry]], Mean_PB_M, 3, FALSE))</f>
        <v>-5.0050242565232308</v>
      </c>
      <c r="Q89" s="1">
        <f>(Main_M[[#This Row],[ROE]]-VLOOKUP(Main_M[[#This Row],[Industry]], Mean_ROE_M, 2, FALSE))/(VLOOKUP(Main_M[[#This Row],[Industry]], Mean_ROE_M, 3, FALSE))</f>
        <v>1.7938164933108098</v>
      </c>
      <c r="R89" s="1">
        <f>(Main_M[[#This Row],[ROA]]-VLOOKUP(Main_M[[#This Row],[Industry]], Mean_ROA_M, 2, FALSE))/(VLOOKUP(Main_M[[#This Row],[Industry]], Mean_ROA_M, 3, FALSE))</f>
        <v>0.4473063760443452</v>
      </c>
      <c r="S89" s="1">
        <f>(Main_M[[#This Row],[A/E]]-VLOOKUP(Main_M[[#This Row],[Industry]], Mean_AE_M, 2, FALSE))/(VLOOKUP(Main_M[[#This Row],[Industry]], Mean_AE_M, 3, FALSE))</f>
        <v>-9.947598591440391</v>
      </c>
      <c r="T89" s="1">
        <f>(Main_M[[#This Row],[P/E]]-VLOOKUP(Main_M[[#This Row],[Industry]], Mean_PE_M, 2, FALSE))/(VLOOKUP(Main_M[[#This Row],[Industry]], Mean_PE_M, 3, FALSE))</f>
        <v>0.64672706845481664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s="67" t="s">
        <v>124</v>
      </c>
      <c r="B90" s="67" t="s">
        <v>234</v>
      </c>
      <c r="C90" s="2">
        <v>2967</v>
      </c>
      <c r="D90">
        <f>RTD("tos.rtd", , "LAST", Main_M[[#This Row],[Symbol]])</f>
        <v>113.7</v>
      </c>
      <c r="E90">
        <v>1.9</v>
      </c>
      <c r="F90">
        <v>9.57</v>
      </c>
      <c r="G90">
        <v>0.82</v>
      </c>
      <c r="H90" s="1">
        <f>IF(ISNUMBER(Main_M[[#This Row],[Free CF]]),IF(Main_M[[#This Row],[Free CF]]&lt;&gt;0,Main_M[[#This Row],[Current Price]]/Main_M[[#This Row],[Free CF]],""),"")</f>
        <v>59.842105263157897</v>
      </c>
      <c r="I90" s="1">
        <f>IF(ISNUMBER(Main_M[[#This Row],[BVPS]]),IF(Main_M[[#This Row],[BVPS]]&lt;&gt;0,Main_M[[#This Row],[Current Price]]/Main_M[[#This Row],[BVPS]],""),"")</f>
        <v>11.880877742946709</v>
      </c>
      <c r="J90">
        <v>9.25</v>
      </c>
      <c r="K90">
        <v>4.01</v>
      </c>
      <c r="L90">
        <v>1.63</v>
      </c>
      <c r="M90" s="1">
        <f>IF(ISNUMBER(Main_M[[#This Row],[EPS]]),IF(Main_M[[#This Row],[EPS]]&lt;&gt;0,Main_M[[#This Row],[Current Price]]/Main_M[[#This Row],[EPS]],""),"")</f>
        <v>138.65853658536585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1.3613539705424809</v>
      </c>
      <c r="P90" s="1">
        <f>(Main_M[[#This Row],[P/B]]-VLOOKUP(Main_M[[#This Row],[Industry]], Mean_PB_M, 2, FALSE))/(VLOOKUP(Main_M[[#This Row],[Industry]], Mean_PB_M, 3, FALSE))</f>
        <v>0.99967957342203007</v>
      </c>
      <c r="Q90" s="1">
        <f>(Main_M[[#This Row],[ROE]]-VLOOKUP(Main_M[[#This Row],[Industry]], Mean_ROE_M, 2, FALSE))/(VLOOKUP(Main_M[[#This Row],[Industry]], Mean_ROE_M, 3, FALSE))</f>
        <v>-0.10144242012341108</v>
      </c>
      <c r="R90" s="1">
        <f>(Main_M[[#This Row],[ROA]]-VLOOKUP(Main_M[[#This Row],[Industry]], Mean_ROA_M, 2, FALSE))/(VLOOKUP(Main_M[[#This Row],[Industry]], Mean_ROA_M, 3, FALSE))</f>
        <v>0.58098786861329454</v>
      </c>
      <c r="S90" s="1">
        <f>(Main_M[[#This Row],[A/E]]-VLOOKUP(Main_M[[#This Row],[Industry]], Mean_AE_M, 2, FALSE))/(VLOOKUP(Main_M[[#This Row],[Industry]], Mean_AE_M, 3, FALSE))</f>
        <v>-0.43719141851005744</v>
      </c>
      <c r="T90" s="1">
        <f>(Main_M[[#This Row],[P/E]]-VLOOKUP(Main_M[[#This Row],[Industry]], Mean_PE_M, 2, FALSE))/(VLOOKUP(Main_M[[#This Row],[Industry]], Mean_PE_M, 3, FALSE))</f>
        <v>2.5767363556057328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s="67" t="s">
        <v>124</v>
      </c>
      <c r="B91" s="67" t="s">
        <v>257</v>
      </c>
      <c r="C91" s="2">
        <v>7244</v>
      </c>
      <c r="D91">
        <f>RTD("tos.rtd", , "LAST", Main_M[[#This Row],[Symbol]])</f>
        <v>24.15</v>
      </c>
      <c r="E91">
        <v>1.4</v>
      </c>
      <c r="F91">
        <v>7.55</v>
      </c>
      <c r="G91">
        <v>0</v>
      </c>
      <c r="H91" s="1">
        <f>IF(ISNUMBER(Main_M[[#This Row],[Free CF]]),IF(Main_M[[#This Row],[Free CF]]&lt;&gt;0,Main_M[[#This Row],[Current Price]]/Main_M[[#This Row],[Free CF]],""),"")</f>
        <v>17.25</v>
      </c>
      <c r="I91" s="1">
        <f>IF(ISNUMBER(Main_M[[#This Row],[BVPS]]),IF(Main_M[[#This Row],[BVPS]]&lt;&gt;0,Main_M[[#This Row],[Current Price]]/Main_M[[#This Row],[BVPS]],""),"")</f>
        <v>3.1986754966887414</v>
      </c>
      <c r="J91">
        <v>0.09</v>
      </c>
      <c r="K91">
        <v>2.04</v>
      </c>
      <c r="L91">
        <v>2.2400000000000002</v>
      </c>
      <c r="M91" s="1" t="str">
        <f>IF(ISNUMBER(Main_M[[#This Row],[EPS]]),IF(Main_M[[#This Row],[EPS]]&lt;&gt;0,Main_M[[#This Row],[Current Price]]/Main_M[[#This Row],[EPS]],""),"")</f>
        <v/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-0.33245557567134398</v>
      </c>
      <c r="P91" s="1">
        <f>(Main_M[[#This Row],[P/B]]-VLOOKUP(Main_M[[#This Row],[Industry]], Mean_PB_M, 2, FALSE))/(VLOOKUP(Main_M[[#This Row],[Industry]], Mean_PB_M, 3, FALSE))</f>
        <v>-0.67208732249702841</v>
      </c>
      <c r="Q91" s="1">
        <f>(Main_M[[#This Row],[ROE]]-VLOOKUP(Main_M[[#This Row],[Industry]], Mean_ROE_M, 2, FALSE))/(VLOOKUP(Main_M[[#This Row],[Industry]], Mean_ROE_M, 3, FALSE))</f>
        <v>-0.22276865988200681</v>
      </c>
      <c r="R91" s="1">
        <f>(Main_M[[#This Row],[ROA]]-VLOOKUP(Main_M[[#This Row],[Industry]], Mean_ROA_M, 2, FALSE))/(VLOOKUP(Main_M[[#This Row],[Industry]], Mean_ROA_M, 3, FALSE))</f>
        <v>0.31497520158215286</v>
      </c>
      <c r="S91" s="1">
        <f>(Main_M[[#This Row],[A/E]]-VLOOKUP(Main_M[[#This Row],[Industry]], Mean_AE_M, 2, FALSE))/(VLOOKUP(Main_M[[#This Row],[Industry]], Mean_AE_M, 3, FALSE))</f>
        <v>0.33735442601430926</v>
      </c>
      <c r="T91" s="1" t="e">
        <f>(Main_M[[#This Row],[P/E]]-VLOOKUP(Main_M[[#This Row],[Industry]], Mean_PE_M, 2, FALSE))/(VLOOKUP(Main_M[[#This Row],[Industry]], Mean_PE_M, 3, FALSE))</f>
        <v>#VALUE!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2" spans="1:26" x14ac:dyDescent="0.25">
      <c r="A92" s="67" t="s">
        <v>124</v>
      </c>
      <c r="B92" s="67" t="s">
        <v>258</v>
      </c>
      <c r="C92" s="2">
        <v>4462</v>
      </c>
      <c r="D92">
        <f>RTD("tos.rtd", , "LAST", Main_M[[#This Row],[Symbol]])</f>
        <v>58.3</v>
      </c>
      <c r="E92">
        <v>1.35</v>
      </c>
      <c r="F92">
        <v>6.11</v>
      </c>
      <c r="G92">
        <v>-0.24</v>
      </c>
      <c r="H92" s="1">
        <f>IF(ISNUMBER(Main_M[[#This Row],[Free CF]]),IF(Main_M[[#This Row],[Free CF]]&lt;&gt;0,Main_M[[#This Row],[Current Price]]/Main_M[[#This Row],[Free CF]],""),"")</f>
        <v>43.185185185185183</v>
      </c>
      <c r="I92" s="1">
        <f>IF(ISNUMBER(Main_M[[#This Row],[BVPS]]),IF(Main_M[[#This Row],[BVPS]]&lt;&gt;0,Main_M[[#This Row],[Current Price]]/Main_M[[#This Row],[BVPS]],""),"")</f>
        <v>9.5417348608837962</v>
      </c>
      <c r="J92">
        <v>-4.16</v>
      </c>
      <c r="K92">
        <v>-1.9</v>
      </c>
      <c r="L92">
        <v>1.65</v>
      </c>
      <c r="M92" s="1">
        <f>IF(ISNUMBER(Main_M[[#This Row],[EPS]]),IF(Main_M[[#This Row],[EPS]]&lt;&gt;0,Main_M[[#This Row],[Current Price]]/Main_M[[#This Row],[EPS]],""),"")</f>
        <v>-242.91666666666666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0.6989389510389562</v>
      </c>
      <c r="P92" s="1">
        <f>(Main_M[[#This Row],[P/B]]-VLOOKUP(Main_M[[#This Row],[Industry]], Mean_PB_M, 2, FALSE))/(VLOOKUP(Main_M[[#This Row],[Industry]], Mean_PB_M, 3, FALSE))</f>
        <v>0.5492752262135896</v>
      </c>
      <c r="Q92" s="1">
        <f>(Main_M[[#This Row],[ROE]]-VLOOKUP(Main_M[[#This Row],[Industry]], Mean_ROE_M, 2, FALSE))/(VLOOKUP(Main_M[[#This Row],[Industry]], Mean_ROE_M, 3, FALSE))</f>
        <v>-0.27906085627655181</v>
      </c>
      <c r="R92" s="1">
        <f>(Main_M[[#This Row],[ROA]]-VLOOKUP(Main_M[[#This Row],[Industry]], Mean_ROA_M, 2, FALSE))/(VLOOKUP(Main_M[[#This Row],[Industry]], Mean_ROA_M, 3, FALSE))</f>
        <v>-0.21705013248013061</v>
      </c>
      <c r="S92" s="1">
        <f>(Main_M[[#This Row],[A/E]]-VLOOKUP(Main_M[[#This Row],[Industry]], Mean_AE_M, 2, FALSE))/(VLOOKUP(Main_M[[#This Row],[Industry]], Mean_AE_M, 3, FALSE))</f>
        <v>-0.41179647278794701</v>
      </c>
      <c r="T92" s="1">
        <f>(Main_M[[#This Row],[P/E]]-VLOOKUP(Main_M[[#This Row],[Industry]], Mean_PE_M, 2, FALSE))/(VLOOKUP(Main_M[[#This Row],[Industry]], Mean_PE_M, 3, FALSE))</f>
        <v>-4.1272966526558035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3" spans="1:26" x14ac:dyDescent="0.25">
      <c r="A93" s="67" t="s">
        <v>124</v>
      </c>
      <c r="B93" s="67" t="s">
        <v>372</v>
      </c>
      <c r="C93" s="2">
        <v>2022</v>
      </c>
      <c r="D93">
        <f>RTD("tos.rtd", , "LAST", Main_M[[#This Row],[Symbol]])</f>
        <v>29.56</v>
      </c>
      <c r="E93">
        <v>1.28</v>
      </c>
      <c r="F93">
        <v>8.7100000000000009</v>
      </c>
      <c r="G93">
        <v>-7.0000000000000007E-2</v>
      </c>
      <c r="H93" s="1">
        <f>IF(ISNUMBER(Main_M[[#This Row],[Free CF]]),IF(Main_M[[#This Row],[Free CF]]&lt;&gt;0,Main_M[[#This Row],[Current Price]]/Main_M[[#This Row],[Free CF]],""),"")</f>
        <v>23.09375</v>
      </c>
      <c r="I93" s="1">
        <f>IF(ISNUMBER(Main_M[[#This Row],[BVPS]]),IF(Main_M[[#This Row],[BVPS]]&lt;&gt;0,Main_M[[#This Row],[Current Price]]/Main_M[[#This Row],[BVPS]],""),"")</f>
        <v>3.3938002296211245</v>
      </c>
      <c r="J93">
        <v>-0.9</v>
      </c>
      <c r="K93">
        <v>-0.45</v>
      </c>
      <c r="L93">
        <v>3.15</v>
      </c>
      <c r="M93" s="1">
        <f>IF(ISNUMBER(Main_M[[#This Row],[EPS]]),IF(Main_M[[#This Row],[EPS]]&lt;&gt;0,Main_M[[#This Row],[Current Price]]/Main_M[[#This Row],[EPS]],""),"")</f>
        <v>-422.28571428571422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-0.10006040584983798</v>
      </c>
      <c r="P93" s="1">
        <f>(Main_M[[#This Row],[P/B]]-VLOOKUP(Main_M[[#This Row],[Industry]], Mean_PB_M, 2, FALSE))/(VLOOKUP(Main_M[[#This Row],[Industry]], Mean_PB_M, 3, FALSE))</f>
        <v>-0.63451585619860174</v>
      </c>
      <c r="Q93" s="1">
        <f>(Main_M[[#This Row],[ROE]]-VLOOKUP(Main_M[[#This Row],[Industry]], Mean_ROE_M, 2, FALSE))/(VLOOKUP(Main_M[[#This Row],[Industry]], Mean_ROE_M, 3, FALSE))</f>
        <v>-0.23588143033626552</v>
      </c>
      <c r="R93" s="1">
        <f>(Main_M[[#This Row],[ROA]]-VLOOKUP(Main_M[[#This Row],[Industry]], Mean_ROA_M, 2, FALSE))/(VLOOKUP(Main_M[[#This Row],[Industry]], Mean_ROA_M, 3, FALSE))</f>
        <v>-2.1254007000356241E-2</v>
      </c>
      <c r="S93" s="1">
        <f>(Main_M[[#This Row],[A/E]]-VLOOKUP(Main_M[[#This Row],[Industry]], Mean_AE_M, 2, FALSE))/(VLOOKUP(Main_M[[#This Row],[Industry]], Mean_AE_M, 3, FALSE))</f>
        <v>1.4928244563703306</v>
      </c>
      <c r="T93" s="1">
        <f>(Main_M[[#This Row],[P/E]]-VLOOKUP(Main_M[[#This Row],[Industry]], Mean_PE_M, 2, FALSE))/(VLOOKUP(Main_M[[#This Row],[Industry]], Mean_PE_M, 3, FALSE))</f>
        <v>-7.2786964439684345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4" spans="1:26" x14ac:dyDescent="0.25">
      <c r="A94" s="67" t="s">
        <v>124</v>
      </c>
      <c r="B94" s="67" t="s">
        <v>281</v>
      </c>
      <c r="C94" s="2">
        <v>4920</v>
      </c>
      <c r="D94">
        <f>RTD("tos.rtd", , "LAST", Main_M[[#This Row],[Symbol]])</f>
        <v>42.44</v>
      </c>
      <c r="E94">
        <v>1.07</v>
      </c>
      <c r="F94">
        <v>6.98</v>
      </c>
      <c r="G94">
        <v>-0.71</v>
      </c>
      <c r="H94" s="1">
        <f>IF(ISNUMBER(Main_M[[#This Row],[Free CF]]),IF(Main_M[[#This Row],[Free CF]]&lt;&gt;0,Main_M[[#This Row],[Current Price]]/Main_M[[#This Row],[Free CF]],""),"")</f>
        <v>39.663551401869157</v>
      </c>
      <c r="I94" s="1">
        <f>IF(ISNUMBER(Main_M[[#This Row],[BVPS]]),IF(Main_M[[#This Row],[BVPS]]&lt;&gt;0,Main_M[[#This Row],[Current Price]]/Main_M[[#This Row],[BVPS]],""),"")</f>
        <v>6.0802292263610305</v>
      </c>
      <c r="J94">
        <v>-10.47</v>
      </c>
      <c r="K94">
        <v>-5.26</v>
      </c>
      <c r="L94">
        <v>1.45</v>
      </c>
      <c r="M94" s="1">
        <f>IF(ISNUMBER(Main_M[[#This Row],[EPS]]),IF(Main_M[[#This Row],[EPS]]&lt;&gt;0,Main_M[[#This Row],[Current Price]]/Main_M[[#This Row],[EPS]],""),"")</f>
        <v>-59.774647887323944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0.55889006442969325</v>
      </c>
      <c r="P94" s="1">
        <f>(Main_M[[#This Row],[P/B]]-VLOOKUP(Main_M[[#This Row],[Industry]], Mean_PB_M, 2, FALSE))/(VLOOKUP(Main_M[[#This Row],[Industry]], Mean_PB_M, 3, FALSE))</f>
        <v>-0.11724121347503678</v>
      </c>
      <c r="Q94" s="1">
        <f>(Main_M[[#This Row],[ROE]]-VLOOKUP(Main_M[[#This Row],[Industry]], Mean_ROE_M, 2, FALSE))/(VLOOKUP(Main_M[[#This Row],[Industry]], Mean_ROE_M, 3, FALSE))</f>
        <v>-0.36263821139409974</v>
      </c>
      <c r="R94" s="1">
        <f>(Main_M[[#This Row],[ROA]]-VLOOKUP(Main_M[[#This Row],[Industry]], Mean_ROA_M, 2, FALSE))/(VLOOKUP(Main_M[[#This Row],[Industry]], Mean_ROA_M, 3, FALSE))</f>
        <v>-0.67075701635050433</v>
      </c>
      <c r="S94" s="1">
        <f>(Main_M[[#This Row],[A/E]]-VLOOKUP(Main_M[[#This Row],[Industry]], Mean_AE_M, 2, FALSE))/(VLOOKUP(Main_M[[#This Row],[Industry]], Mean_AE_M, 3, FALSE))</f>
        <v>-0.66574593000905069</v>
      </c>
      <c r="T94" s="1">
        <f>(Main_M[[#This Row],[P/E]]-VLOOKUP(Main_M[[#This Row],[Industry]], Mean_PE_M, 2, FALSE))/(VLOOKUP(Main_M[[#This Row],[Industry]], Mean_PE_M, 3, FALSE))</f>
        <v>-0.90960816390616728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s="67" t="s">
        <v>124</v>
      </c>
      <c r="B95" s="67" t="s">
        <v>291</v>
      </c>
      <c r="C95" s="2">
        <v>5337</v>
      </c>
      <c r="D95">
        <f>RTD("tos.rtd", , "LAST", Main_M[[#This Row],[Symbol]])</f>
        <v>50.65</v>
      </c>
      <c r="E95">
        <v>0.99</v>
      </c>
      <c r="F95">
        <v>3.26</v>
      </c>
      <c r="G95">
        <v>-0.81</v>
      </c>
      <c r="H95" s="1">
        <f>IF(ISNUMBER(Main_M[[#This Row],[Free CF]]),IF(Main_M[[#This Row],[Free CF]]&lt;&gt;0,Main_M[[#This Row],[Current Price]]/Main_M[[#This Row],[Free CF]],""),"")</f>
        <v>51.161616161616159</v>
      </c>
      <c r="I95" s="1">
        <f>IF(ISNUMBER(Main_M[[#This Row],[BVPS]]),IF(Main_M[[#This Row],[BVPS]]&lt;&gt;0,Main_M[[#This Row],[Current Price]]/Main_M[[#This Row],[BVPS]],""),"")</f>
        <v>15.536809815950921</v>
      </c>
      <c r="J95">
        <v>-22.21</v>
      </c>
      <c r="K95">
        <v>-5.0599999999999996</v>
      </c>
      <c r="L95">
        <v>4.29</v>
      </c>
      <c r="M95" s="1">
        <f>IF(ISNUMBER(Main_M[[#This Row],[EPS]]),IF(Main_M[[#This Row],[EPS]]&lt;&gt;0,Main_M[[#This Row],[Current Price]]/Main_M[[#This Row],[EPS]],""),"")</f>
        <v>-62.53086419753086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1.0161469136207226</v>
      </c>
      <c r="P95" s="1">
        <f>(Main_M[[#This Row],[P/B]]-VLOOKUP(Main_M[[#This Row],[Industry]], Mean_PB_M, 2, FALSE))/(VLOOKUP(Main_M[[#This Row],[Industry]], Mean_PB_M, 3, FALSE))</f>
        <v>1.7036330221004918</v>
      </c>
      <c r="Q95" s="1">
        <f>(Main_M[[#This Row],[ROE]]-VLOOKUP(Main_M[[#This Row],[Industry]], Mean_ROE_M, 2, FALSE))/(VLOOKUP(Main_M[[#This Row],[Industry]], Mean_ROE_M, 3, FALSE))</f>
        <v>-0.51813712566985459</v>
      </c>
      <c r="R95" s="1">
        <f>(Main_M[[#This Row],[ROA]]-VLOOKUP(Main_M[[#This Row],[Industry]], Mean_ROA_M, 2, FALSE))/(VLOOKUP(Main_M[[#This Row],[Industry]], Mean_ROA_M, 3, FALSE))</f>
        <v>-0.64375065421536304</v>
      </c>
      <c r="S95" s="1">
        <f>(Main_M[[#This Row],[A/E]]-VLOOKUP(Main_M[[#This Row],[Industry]], Mean_AE_M, 2, FALSE))/(VLOOKUP(Main_M[[#This Row],[Industry]], Mean_AE_M, 3, FALSE))</f>
        <v>2.9403363625306218</v>
      </c>
      <c r="T95" s="1">
        <f>(Main_M[[#This Row],[P/E]]-VLOOKUP(Main_M[[#This Row],[Industry]], Mean_PE_M, 2, FALSE))/(VLOOKUP(Main_M[[#This Row],[Industry]], Mean_PE_M, 3, FALSE))</f>
        <v>-0.95803312696471077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s="67" t="s">
        <v>124</v>
      </c>
      <c r="B96" s="67" t="s">
        <v>274</v>
      </c>
      <c r="C96" s="2">
        <v>3750</v>
      </c>
      <c r="D96">
        <f>RTD("tos.rtd", , "LAST", Main_M[[#This Row],[Symbol]])</f>
        <v>69.55</v>
      </c>
      <c r="E96">
        <v>0.96</v>
      </c>
      <c r="F96">
        <v>-1.36</v>
      </c>
      <c r="G96">
        <v>-1.1599999999999999</v>
      </c>
      <c r="H96" s="1">
        <f>IF(ISNUMBER(Main_M[[#This Row],[Free CF]]),IF(Main_M[[#This Row],[Free CF]]&lt;&gt;0,Main_M[[#This Row],[Current Price]]/Main_M[[#This Row],[Free CF]],""),"")</f>
        <v>72.447916666666671</v>
      </c>
      <c r="I96" s="1">
        <f>IF(ISNUMBER(Main_M[[#This Row],[BVPS]]),IF(Main_M[[#This Row],[BVPS]]&lt;&gt;0,Main_M[[#This Row],[Current Price]]/Main_M[[#This Row],[BVPS]],""),"")</f>
        <v>-51.139705882352935</v>
      </c>
      <c r="J96">
        <v>81.47</v>
      </c>
      <c r="K96">
        <v>-3.94</v>
      </c>
      <c r="L96">
        <v>-17.079999999999998</v>
      </c>
      <c r="M96" s="1">
        <f>IF(ISNUMBER(Main_M[[#This Row],[EPS]]),IF(Main_M[[#This Row],[EPS]]&lt;&gt;0,Main_M[[#This Row],[Current Price]]/Main_M[[#This Row],[EPS]],""),"")</f>
        <v>-59.956896551724142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1.862663862624842</v>
      </c>
      <c r="P96" s="1">
        <f>(Main_M[[#This Row],[P/B]]-VLOOKUP(Main_M[[#This Row],[Industry]], Mean_PB_M, 2, FALSE))/(VLOOKUP(Main_M[[#This Row],[Industry]], Mean_PB_M, 3, FALSE))</f>
        <v>-11.134998066883227</v>
      </c>
      <c r="Q96" s="1">
        <f>(Main_M[[#This Row],[ROE]]-VLOOKUP(Main_M[[#This Row],[Industry]], Mean_ROE_M, 2, FALSE))/(VLOOKUP(Main_M[[#This Row],[Industry]], Mean_ROE_M, 3, FALSE))</f>
        <v>0.85512756190342132</v>
      </c>
      <c r="R96" s="1">
        <f>(Main_M[[#This Row],[ROA]]-VLOOKUP(Main_M[[#This Row],[Industry]], Mean_ROA_M, 2, FALSE))/(VLOOKUP(Main_M[[#This Row],[Industry]], Mean_ROA_M, 3, FALSE))</f>
        <v>-0.4925150262585718</v>
      </c>
      <c r="S96" s="1">
        <f>(Main_M[[#This Row],[A/E]]-VLOOKUP(Main_M[[#This Row],[Industry]], Mean_AE_M, 2, FALSE))/(VLOOKUP(Main_M[[#This Row],[Industry]], Mean_AE_M, 3, FALSE))</f>
        <v>-24.194163141544308</v>
      </c>
      <c r="T96" s="1">
        <f>(Main_M[[#This Row],[P/E]]-VLOOKUP(Main_M[[#This Row],[Industry]], Mean_PE_M, 2, FALSE))/(VLOOKUP(Main_M[[#This Row],[Industry]], Mean_PE_M, 3, FALSE))</f>
        <v>-0.91281015672812593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s="67" t="s">
        <v>124</v>
      </c>
      <c r="B97" s="67" t="s">
        <v>253</v>
      </c>
      <c r="C97" s="2">
        <v>2233</v>
      </c>
      <c r="D97">
        <f>RTD("tos.rtd", , "LAST", Main_M[[#This Row],[Symbol]])</f>
        <v>14.64</v>
      </c>
      <c r="E97">
        <v>0.82</v>
      </c>
      <c r="F97">
        <v>6.35</v>
      </c>
      <c r="G97">
        <v>0.28999999999999998</v>
      </c>
      <c r="H97" s="1">
        <f>IF(ISNUMBER(Main_M[[#This Row],[Free CF]]),IF(Main_M[[#This Row],[Free CF]]&lt;&gt;0,Main_M[[#This Row],[Current Price]]/Main_M[[#This Row],[Free CF]],""),"")</f>
        <v>17.853658536585368</v>
      </c>
      <c r="I97" s="1">
        <f>IF(ISNUMBER(Main_M[[#This Row],[BVPS]]),IF(Main_M[[#This Row],[BVPS]]&lt;&gt;0,Main_M[[#This Row],[Current Price]]/Main_M[[#This Row],[BVPS]],""),"")</f>
        <v>2.3055118110236221</v>
      </c>
      <c r="J97">
        <v>4.83</v>
      </c>
      <c r="K97">
        <v>4.0999999999999996</v>
      </c>
      <c r="L97">
        <v>1.21</v>
      </c>
      <c r="M97" s="1">
        <f>IF(ISNUMBER(Main_M[[#This Row],[EPS]]),IF(Main_M[[#This Row],[EPS]]&lt;&gt;0,Main_M[[#This Row],[Current Price]]/Main_M[[#This Row],[EPS]],""),"")</f>
        <v>50.482758620689658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-0.30844918797098747</v>
      </c>
      <c r="P97" s="1">
        <f>(Main_M[[#This Row],[P/B]]-VLOOKUP(Main_M[[#This Row],[Industry]], Mean_PB_M, 2, FALSE))/(VLOOKUP(Main_M[[#This Row],[Industry]], Mean_PB_M, 3, FALSE))</f>
        <v>-0.84406690094736414</v>
      </c>
      <c r="Q97" s="1">
        <f>(Main_M[[#This Row],[ROE]]-VLOOKUP(Main_M[[#This Row],[Industry]], Mean_ROE_M, 2, FALSE))/(VLOOKUP(Main_M[[#This Row],[Industry]], Mean_ROE_M, 3, FALSE))</f>
        <v>-0.15998630437373784</v>
      </c>
      <c r="R97" s="1">
        <f>(Main_M[[#This Row],[ROA]]-VLOOKUP(Main_M[[#This Row],[Industry]], Mean_ROA_M, 2, FALSE))/(VLOOKUP(Main_M[[#This Row],[Industry]], Mean_ROA_M, 3, FALSE))</f>
        <v>0.59314073157410807</v>
      </c>
      <c r="S97" s="1">
        <f>(Main_M[[#This Row],[A/E]]-VLOOKUP(Main_M[[#This Row],[Industry]], Mean_AE_M, 2, FALSE))/(VLOOKUP(Main_M[[#This Row],[Industry]], Mean_AE_M, 3, FALSE))</f>
        <v>-0.97048527867437506</v>
      </c>
      <c r="T97" s="1">
        <f>(Main_M[[#This Row],[P/E]]-VLOOKUP(Main_M[[#This Row],[Industry]], Mean_PE_M, 2, FALSE))/(VLOOKUP(Main_M[[#This Row],[Industry]], Mean_PE_M, 3, FALSE))</f>
        <v>1.0275441623858748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s="67" t="s">
        <v>124</v>
      </c>
      <c r="B98" s="67" t="s">
        <v>249</v>
      </c>
      <c r="C98" s="2">
        <v>3994</v>
      </c>
      <c r="D98">
        <f>RTD("tos.rtd", , "LAST", Main_M[[#This Row],[Symbol]])</f>
        <v>16.62</v>
      </c>
      <c r="E98">
        <v>0.6</v>
      </c>
      <c r="F98">
        <v>1.53</v>
      </c>
      <c r="G98">
        <v>-0.89</v>
      </c>
      <c r="H98" s="1">
        <f>IF(ISNUMBER(Main_M[[#This Row],[Free CF]]),IF(Main_M[[#This Row],[Free CF]]&lt;&gt;0,Main_M[[#This Row],[Current Price]]/Main_M[[#This Row],[Free CF]],""),"")</f>
        <v>27.700000000000003</v>
      </c>
      <c r="I98" s="1">
        <f>IF(ISNUMBER(Main_M[[#This Row],[BVPS]]),IF(Main_M[[#This Row],[BVPS]]&lt;&gt;0,Main_M[[#This Row],[Current Price]]/Main_M[[#This Row],[BVPS]],""),"")</f>
        <v>10.862745098039216</v>
      </c>
      <c r="J98">
        <v>-115.35</v>
      </c>
      <c r="K98">
        <v>6.05</v>
      </c>
      <c r="L98">
        <v>1.95</v>
      </c>
      <c r="M98" s="1">
        <f>IF(ISNUMBER(Main_M[[#This Row],[EPS]]),IF(Main_M[[#This Row],[EPS]]&lt;&gt;0,Main_M[[#This Row],[Current Price]]/Main_M[[#This Row],[EPS]],""),"")</f>
        <v>-18.674157303370787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8.3121669185937441E-2</v>
      </c>
      <c r="P98" s="1">
        <f>(Main_M[[#This Row],[P/B]]-VLOOKUP(Main_M[[#This Row],[Industry]], Mean_PB_M, 2, FALSE))/(VLOOKUP(Main_M[[#This Row],[Industry]], Mean_PB_M, 3, FALSE))</f>
        <v>0.80363709443641829</v>
      </c>
      <c r="Q98" s="1">
        <f>(Main_M[[#This Row],[ROE]]-VLOOKUP(Main_M[[#This Row],[Industry]], Mean_ROE_M, 2, FALSE))/(VLOOKUP(Main_M[[#This Row],[Industry]], Mean_ROE_M, 3, FALSE))</f>
        <v>-1.751797166184659</v>
      </c>
      <c r="R98" s="1">
        <f>(Main_M[[#This Row],[ROA]]-VLOOKUP(Main_M[[#This Row],[Industry]], Mean_ROA_M, 2, FALSE))/(VLOOKUP(Main_M[[#This Row],[Industry]], Mean_ROA_M, 3, FALSE))</f>
        <v>0.85645276239173573</v>
      </c>
      <c r="S98" s="1">
        <f>(Main_M[[#This Row],[A/E]]-VLOOKUP(Main_M[[#This Row],[Industry]], Mean_AE_M, 2, FALSE))/(VLOOKUP(Main_M[[#This Row],[Industry]], Mean_AE_M, 3, FALSE))</f>
        <v>-3.0872286956291434E-2</v>
      </c>
      <c r="T98" s="1">
        <f>(Main_M[[#This Row],[P/E]]-VLOOKUP(Main_M[[#This Row],[Industry]], Mean_PE_M, 2, FALSE))/(VLOOKUP(Main_M[[#This Row],[Industry]], Mean_PE_M, 3, FALSE))</f>
        <v>-0.18749875222993362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s="67" t="s">
        <v>124</v>
      </c>
      <c r="B99" s="67" t="s">
        <v>285</v>
      </c>
      <c r="C99" s="2">
        <v>7119</v>
      </c>
      <c r="D99">
        <f>RTD("tos.rtd", , "LAST", Main_M[[#This Row],[Symbol]])</f>
        <v>13.11</v>
      </c>
      <c r="E99">
        <v>0.56000000000000005</v>
      </c>
      <c r="F99">
        <v>3.1</v>
      </c>
      <c r="G99">
        <v>-0.12</v>
      </c>
      <c r="H99" s="1">
        <f>IF(ISNUMBER(Main_M[[#This Row],[Free CF]]),IF(Main_M[[#This Row],[Free CF]]&lt;&gt;0,Main_M[[#This Row],[Current Price]]/Main_M[[#This Row],[Free CF]],""),"")</f>
        <v>23.410714285714281</v>
      </c>
      <c r="I99" s="1">
        <f>IF(ISNUMBER(Main_M[[#This Row],[BVPS]]),IF(Main_M[[#This Row],[BVPS]]&lt;&gt;0,Main_M[[#This Row],[Current Price]]/Main_M[[#This Row],[BVPS]],""),"")</f>
        <v>4.2290322580645157</v>
      </c>
      <c r="J99">
        <v>-3.62</v>
      </c>
      <c r="K99">
        <v>-2.39</v>
      </c>
      <c r="L99">
        <v>1.56</v>
      </c>
      <c r="M99" s="1">
        <f>IF(ISNUMBER(Main_M[[#This Row],[EPS]]),IF(Main_M[[#This Row],[EPS]]&lt;&gt;0,Main_M[[#This Row],[Current Price]]/Main_M[[#This Row],[EPS]],""),"")</f>
        <v>-109.25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-8.7455320244546386E-2</v>
      </c>
      <c r="P99" s="1">
        <f>(Main_M[[#This Row],[P/B]]-VLOOKUP(Main_M[[#This Row],[Industry]], Mean_PB_M, 2, FALSE))/(VLOOKUP(Main_M[[#This Row],[Industry]], Mean_PB_M, 3, FALSE))</f>
        <v>-0.47369107742029137</v>
      </c>
      <c r="Q99" s="1">
        <f>(Main_M[[#This Row],[ROE]]-VLOOKUP(Main_M[[#This Row],[Industry]], Mean_ROE_M, 2, FALSE))/(VLOOKUP(Main_M[[#This Row],[Industry]], Mean_ROE_M, 3, FALSE))</f>
        <v>-0.27190843602877435</v>
      </c>
      <c r="R99" s="1">
        <f>(Main_M[[#This Row],[ROA]]-VLOOKUP(Main_M[[#This Row],[Industry]], Mean_ROA_M, 2, FALSE))/(VLOOKUP(Main_M[[#This Row],[Industry]], Mean_ROA_M, 3, FALSE))</f>
        <v>-0.28321571971122678</v>
      </c>
      <c r="S99" s="1">
        <f>(Main_M[[#This Row],[A/E]]-VLOOKUP(Main_M[[#This Row],[Industry]], Mean_AE_M, 2, FALSE))/(VLOOKUP(Main_M[[#This Row],[Industry]], Mean_AE_M, 3, FALSE))</f>
        <v>-0.5260737285374435</v>
      </c>
      <c r="T99" s="1">
        <f>(Main_M[[#This Row],[P/E]]-VLOOKUP(Main_M[[#This Row],[Industry]], Mean_PE_M, 2, FALSE))/(VLOOKUP(Main_M[[#This Row],[Industry]], Mean_PE_M, 3, FALSE))</f>
        <v>-1.7788585523798202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s="67" t="s">
        <v>124</v>
      </c>
      <c r="B100" s="67" t="s">
        <v>255</v>
      </c>
      <c r="C100" s="2">
        <v>4505</v>
      </c>
      <c r="D100">
        <f>RTD("tos.rtd", , "LAST", Main_M[[#This Row],[Symbol]])</f>
        <v>15.95</v>
      </c>
      <c r="E100">
        <v>0.53</v>
      </c>
      <c r="F100">
        <v>3.56</v>
      </c>
      <c r="G100">
        <v>-0.24</v>
      </c>
      <c r="H100" s="1">
        <f>IF(ISNUMBER(Main_M[[#This Row],[Free CF]]),IF(Main_M[[#This Row],[Free CF]]&lt;&gt;0,Main_M[[#This Row],[Current Price]]/Main_M[[#This Row],[Free CF]],""),"")</f>
        <v>30.094339622641506</v>
      </c>
      <c r="I100" s="1">
        <f>IF(ISNUMBER(Main_M[[#This Row],[BVPS]]),IF(Main_M[[#This Row],[BVPS]]&lt;&gt;0,Main_M[[#This Row],[Current Price]]/Main_M[[#This Row],[BVPS]],""),"")</f>
        <v>4.4803370786516847</v>
      </c>
      <c r="J100">
        <v>-6.85</v>
      </c>
      <c r="K100">
        <v>-4.3499999999999996</v>
      </c>
      <c r="L100">
        <v>1.45</v>
      </c>
      <c r="M100" s="1">
        <f>IF(ISNUMBER(Main_M[[#This Row],[EPS]]),IF(Main_M[[#This Row],[EPS]]&lt;&gt;0,Main_M[[#This Row],[Current Price]]/Main_M[[#This Row],[EPS]],""),"")</f>
        <v>-66.458333333333329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0.17834014417445213</v>
      </c>
      <c r="P100" s="1">
        <f>(Main_M[[#This Row],[P/B]]-VLOOKUP(Main_M[[#This Row],[Industry]], Mean_PB_M, 2, FALSE))/(VLOOKUP(Main_M[[#This Row],[Industry]], Mean_PB_M, 3, FALSE))</f>
        <v>-0.42530207795606206</v>
      </c>
      <c r="Q100" s="1">
        <f>(Main_M[[#This Row],[ROE]]-VLOOKUP(Main_M[[#This Row],[Industry]], Mean_ROE_M, 2, FALSE))/(VLOOKUP(Main_M[[#This Row],[Industry]], Mean_ROE_M, 3, FALSE))</f>
        <v>-0.31469050528862846</v>
      </c>
      <c r="R100" s="1">
        <f>(Main_M[[#This Row],[ROA]]-VLOOKUP(Main_M[[#This Row],[Industry]], Mean_ROA_M, 2, FALSE))/(VLOOKUP(Main_M[[#This Row],[Industry]], Mean_ROA_M, 3, FALSE))</f>
        <v>-0.5478780686356115</v>
      </c>
      <c r="S100" s="1">
        <f>(Main_M[[#This Row],[A/E]]-VLOOKUP(Main_M[[#This Row],[Industry]], Mean_AE_M, 2, FALSE))/(VLOOKUP(Main_M[[#This Row],[Industry]], Mean_AE_M, 3, FALSE))</f>
        <v>-0.66574593000905069</v>
      </c>
      <c r="T100" s="1">
        <f>(Main_M[[#This Row],[P/E]]-VLOOKUP(Main_M[[#This Row],[Industry]], Mean_PE_M, 2, FALSE))/(VLOOKUP(Main_M[[#This Row],[Industry]], Mean_PE_M, 3, FALSE))</f>
        <v>-1.0270362553151584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s="67" t="s">
        <v>124</v>
      </c>
      <c r="B101" s="67" t="s">
        <v>276</v>
      </c>
      <c r="C101" s="2">
        <v>3095</v>
      </c>
      <c r="D101">
        <f>RTD("tos.rtd", , "LAST", Main_M[[#This Row],[Symbol]])</f>
        <v>13.6</v>
      </c>
      <c r="E101">
        <v>0.53</v>
      </c>
      <c r="F101">
        <v>2.87</v>
      </c>
      <c r="G101">
        <v>-0.27</v>
      </c>
      <c r="H101" s="1">
        <f>IF(ISNUMBER(Main_M[[#This Row],[Free CF]]),IF(Main_M[[#This Row],[Free CF]]&lt;&gt;0,Main_M[[#This Row],[Current Price]]/Main_M[[#This Row],[Free CF]],""),"")</f>
        <v>25.660377358490564</v>
      </c>
      <c r="I101" s="1">
        <f>IF(ISNUMBER(Main_M[[#This Row],[BVPS]]),IF(Main_M[[#This Row],[BVPS]]&lt;&gt;0,Main_M[[#This Row],[Current Price]]/Main_M[[#This Row],[BVPS]],""),"")</f>
        <v>4.7386759581881526</v>
      </c>
      <c r="J101">
        <v>-11.93</v>
      </c>
      <c r="K101">
        <v>-2.81</v>
      </c>
      <c r="L101">
        <v>1.61</v>
      </c>
      <c r="M101" s="1">
        <f>IF(ISNUMBER(Main_M[[#This Row],[EPS]]),IF(Main_M[[#This Row],[EPS]]&lt;&gt;0,Main_M[[#This Row],[Current Price]]/Main_M[[#This Row],[EPS]],""),"")</f>
        <v>-50.370370370370367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2.0096349364615591E-3</v>
      </c>
      <c r="P101" s="1">
        <f>(Main_M[[#This Row],[P/B]]-VLOOKUP(Main_M[[#This Row],[Industry]], Mean_PB_M, 2, FALSE))/(VLOOKUP(Main_M[[#This Row],[Industry]], Mean_PB_M, 3, FALSE))</f>
        <v>-0.37555866326838533</v>
      </c>
      <c r="Q101" s="1">
        <f>(Main_M[[#This Row],[ROE]]-VLOOKUP(Main_M[[#This Row],[Industry]], Mean_ROE_M, 2, FALSE))/(VLOOKUP(Main_M[[#This Row],[Industry]], Mean_ROE_M, 3, FALSE))</f>
        <v>-0.38197623650846108</v>
      </c>
      <c r="R101" s="1">
        <f>(Main_M[[#This Row],[ROA]]-VLOOKUP(Main_M[[#This Row],[Industry]], Mean_ROA_M, 2, FALSE))/(VLOOKUP(Main_M[[#This Row],[Industry]], Mean_ROA_M, 3, FALSE))</f>
        <v>-0.33992908019502349</v>
      </c>
      <c r="S101" s="1">
        <f>(Main_M[[#This Row],[A/E]]-VLOOKUP(Main_M[[#This Row],[Industry]], Mean_AE_M, 2, FALSE))/(VLOOKUP(Main_M[[#This Row],[Industry]], Mean_AE_M, 3, FALSE))</f>
        <v>-0.46258636423216754</v>
      </c>
      <c r="T101" s="1">
        <f>(Main_M[[#This Row],[P/E]]-VLOOKUP(Main_M[[#This Row],[Industry]], Mean_PE_M, 2, FALSE))/(VLOOKUP(Main_M[[#This Row],[Industry]], Mean_PE_M, 3, FALSE))</f>
        <v>-0.74438100460654666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s="67" t="s">
        <v>124</v>
      </c>
      <c r="B102" s="67" t="s">
        <v>496</v>
      </c>
      <c r="C102" s="2">
        <v>8699</v>
      </c>
      <c r="D102">
        <f>RTD("tos.rtd", , "LAST", Main_M[[#This Row],[Symbol]])</f>
        <v>33.618499999999997</v>
      </c>
      <c r="E102">
        <v>0.46</v>
      </c>
      <c r="F102">
        <v>2.74</v>
      </c>
      <c r="G102">
        <v>0.26</v>
      </c>
      <c r="H102" s="1">
        <f>IF(ISNUMBER(Main_M[[#This Row],[Free CF]]),IF(Main_M[[#This Row],[Free CF]]&lt;&gt;0,Main_M[[#This Row],[Current Price]]/Main_M[[#This Row],[Free CF]],""),"")</f>
        <v>73.083695652173901</v>
      </c>
      <c r="I102" s="1">
        <f>IF(ISNUMBER(Main_M[[#This Row],[BVPS]]),IF(Main_M[[#This Row],[BVPS]]&lt;&gt;0,Main_M[[#This Row],[Current Price]]/Main_M[[#This Row],[BVPS]],""),"")</f>
        <v>12.269525547445253</v>
      </c>
      <c r="J102">
        <v>9.8699999999999992</v>
      </c>
      <c r="K102">
        <v>5.58</v>
      </c>
      <c r="L102">
        <v>1.88</v>
      </c>
      <c r="M102" s="1">
        <f>IF(ISNUMBER(Main_M[[#This Row],[EPS]]),IF(Main_M[[#This Row],[EPS]]&lt;&gt;0,Main_M[[#This Row],[Current Price]]/Main_M[[#This Row],[EPS]],""),"")</f>
        <v>129.30192307692306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1.8879476213937656</v>
      </c>
      <c r="P102" s="1">
        <f>(Main_M[[#This Row],[P/B]]-VLOOKUP(Main_M[[#This Row],[Industry]], Mean_PB_M, 2, FALSE))/(VLOOKUP(Main_M[[#This Row],[Industry]], Mean_PB_M, 3, FALSE))</f>
        <v>1.0745141044895739</v>
      </c>
      <c r="Q102" s="1">
        <f>(Main_M[[#This Row],[ROE]]-VLOOKUP(Main_M[[#This Row],[Industry]], Mean_ROE_M, 2, FALSE))/(VLOOKUP(Main_M[[#This Row],[Industry]], Mean_ROE_M, 3, FALSE))</f>
        <v>-9.3230382061148059E-2</v>
      </c>
      <c r="R102" s="1">
        <f>(Main_M[[#This Row],[ROA]]-VLOOKUP(Main_M[[#This Row],[Industry]], Mean_ROA_M, 2, FALSE))/(VLOOKUP(Main_M[[#This Row],[Industry]], Mean_ROA_M, 3, FALSE))</f>
        <v>0.79298781137415375</v>
      </c>
      <c r="S102" s="1">
        <f>(Main_M[[#This Row],[A/E]]-VLOOKUP(Main_M[[#This Row],[Industry]], Mean_AE_M, 2, FALSE))/(VLOOKUP(Main_M[[#This Row],[Industry]], Mean_AE_M, 3, FALSE))</f>
        <v>-0.11975459698367781</v>
      </c>
      <c r="T102" s="1">
        <f>(Main_M[[#This Row],[P/E]]-VLOOKUP(Main_M[[#This Row],[Industry]], Mean_PE_M, 2, FALSE))/(VLOOKUP(Main_M[[#This Row],[Industry]], Mean_PE_M, 3, FALSE))</f>
        <v>2.4123466225425112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s="67" t="s">
        <v>124</v>
      </c>
      <c r="B103" s="67" t="s">
        <v>262</v>
      </c>
      <c r="C103" s="2">
        <v>3049</v>
      </c>
      <c r="D103">
        <f>RTD("tos.rtd", , "LAST", Main_M[[#This Row],[Symbol]])</f>
        <v>27.16</v>
      </c>
      <c r="E103">
        <v>0.45</v>
      </c>
      <c r="F103">
        <v>9.34</v>
      </c>
      <c r="G103">
        <v>-0.25</v>
      </c>
      <c r="H103" s="1">
        <f>IF(ISNUMBER(Main_M[[#This Row],[Free CF]]),IF(Main_M[[#This Row],[Free CF]]&lt;&gt;0,Main_M[[#This Row],[Current Price]]/Main_M[[#This Row],[Free CF]],""),"")</f>
        <v>60.355555555555554</v>
      </c>
      <c r="I103" s="1">
        <f>IF(ISNUMBER(Main_M[[#This Row],[BVPS]]),IF(Main_M[[#This Row],[BVPS]]&lt;&gt;0,Main_M[[#This Row],[Current Price]]/Main_M[[#This Row],[BVPS]],""),"")</f>
        <v>2.9079229122055676</v>
      </c>
      <c r="J103">
        <v>-2.2999999999999998</v>
      </c>
      <c r="K103">
        <v>-0.28999999999999998</v>
      </c>
      <c r="L103">
        <v>1.54</v>
      </c>
      <c r="M103" s="1">
        <f>IF(ISNUMBER(Main_M[[#This Row],[EPS]]),IF(Main_M[[#This Row],[EPS]]&lt;&gt;0,Main_M[[#This Row],[Current Price]]/Main_M[[#This Row],[EPS]],""),"")</f>
        <v>-108.64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1.3817729425889673</v>
      </c>
      <c r="P103" s="1">
        <f>(Main_M[[#This Row],[P/B]]-VLOOKUP(Main_M[[#This Row],[Industry]], Mean_PB_M, 2, FALSE))/(VLOOKUP(Main_M[[#This Row],[Industry]], Mean_PB_M, 3, FALSE))</f>
        <v>-0.72807202912504732</v>
      </c>
      <c r="Q103" s="1">
        <f>(Main_M[[#This Row],[ROE]]-VLOOKUP(Main_M[[#This Row],[Industry]], Mean_ROE_M, 2, FALSE))/(VLOOKUP(Main_M[[#This Row],[Industry]], Mean_ROE_M, 3, FALSE))</f>
        <v>-0.25442474208976268</v>
      </c>
      <c r="R103" s="1">
        <f>(Main_M[[#This Row],[ROA]]-VLOOKUP(Main_M[[#This Row],[Industry]], Mean_ROA_M, 2, FALSE))/(VLOOKUP(Main_M[[#This Row],[Industry]], Mean_ROA_M, 3, FALSE))</f>
        <v>3.5108270775679817E-4</v>
      </c>
      <c r="S103" s="1">
        <f>(Main_M[[#This Row],[A/E]]-VLOOKUP(Main_M[[#This Row],[Industry]], Mean_AE_M, 2, FALSE))/(VLOOKUP(Main_M[[#This Row],[Industry]], Mean_AE_M, 3, FALSE))</f>
        <v>-0.55146867425955393</v>
      </c>
      <c r="T103" s="1">
        <f>(Main_M[[#This Row],[P/E]]-VLOOKUP(Main_M[[#This Row],[Industry]], Mean_PE_M, 2, FALSE))/(VLOOKUP(Main_M[[#This Row],[Industry]], Mean_PE_M, 3, FALSE))</f>
        <v>-1.7681412413486357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s="67" t="s">
        <v>124</v>
      </c>
      <c r="B104" s="67" t="s">
        <v>277</v>
      </c>
      <c r="C104" s="2">
        <v>2338</v>
      </c>
      <c r="D104">
        <f>RTD("tos.rtd", , "LAST", Main_M[[#This Row],[Symbol]])</f>
        <v>31.93</v>
      </c>
      <c r="E104">
        <v>0.42</v>
      </c>
      <c r="F104">
        <v>-0.43</v>
      </c>
      <c r="G104">
        <v>-0.83</v>
      </c>
      <c r="H104" s="1">
        <f>IF(ISNUMBER(Main_M[[#This Row],[Free CF]]),IF(Main_M[[#This Row],[Free CF]]&lt;&gt;0,Main_M[[#This Row],[Current Price]]/Main_M[[#This Row],[Free CF]],""),"")</f>
        <v>76.023809523809533</v>
      </c>
      <c r="I104" s="1">
        <f>IF(ISNUMBER(Main_M[[#This Row],[BVPS]]),IF(Main_M[[#This Row],[BVPS]]&lt;&gt;0,Main_M[[#This Row],[Current Price]]/Main_M[[#This Row],[BVPS]],""),"")</f>
        <v>-74.255813953488371</v>
      </c>
      <c r="J104">
        <v>292.27999999999997</v>
      </c>
      <c r="K104">
        <v>-3.71</v>
      </c>
      <c r="L104">
        <v>-18.68</v>
      </c>
      <c r="M104" s="1">
        <f>IF(ISNUMBER(Main_M[[#This Row],[EPS]]),IF(Main_M[[#This Row],[EPS]]&lt;&gt;0,Main_M[[#This Row],[Current Price]]/Main_M[[#This Row],[EPS]],""),"")</f>
        <v>-38.46987951807229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2.0048705326225704</v>
      </c>
      <c r="P104" s="1">
        <f>(Main_M[[#This Row],[P/B]]-VLOOKUP(Main_M[[#This Row],[Industry]], Mean_PB_M, 2, FALSE))/(VLOOKUP(Main_M[[#This Row],[Industry]], Mean_PB_M, 3, FALSE))</f>
        <v>-15.586028247902966</v>
      </c>
      <c r="Q104" s="1">
        <f>(Main_M[[#This Row],[ROE]]-VLOOKUP(Main_M[[#This Row],[Industry]], Mean_ROE_M, 2, FALSE))/(VLOOKUP(Main_M[[#This Row],[Industry]], Mean_ROE_M, 3, FALSE))</f>
        <v>3.6473529552996622</v>
      </c>
      <c r="R104" s="1">
        <f>(Main_M[[#This Row],[ROA]]-VLOOKUP(Main_M[[#This Row],[Industry]], Mean_ROA_M, 2, FALSE))/(VLOOKUP(Main_M[[#This Row],[Industry]], Mean_ROA_M, 3, FALSE))</f>
        <v>-0.46145770980315931</v>
      </c>
      <c r="S104" s="1">
        <f>(Main_M[[#This Row],[A/E]]-VLOOKUP(Main_M[[#This Row],[Industry]], Mean_AE_M, 2, FALSE))/(VLOOKUP(Main_M[[#This Row],[Industry]], Mean_AE_M, 3, FALSE))</f>
        <v>-26.225758799313137</v>
      </c>
      <c r="T104" s="1">
        <f>(Main_M[[#This Row],[P/E]]-VLOOKUP(Main_M[[#This Row],[Industry]], Mean_PE_M, 2, FALSE))/(VLOOKUP(Main_M[[#This Row],[Industry]], Mean_PE_M, 3, FALSE))</f>
        <v>-0.53529696872483146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s="67" t="s">
        <v>124</v>
      </c>
      <c r="B105" s="67" t="s">
        <v>240</v>
      </c>
      <c r="C105" s="2">
        <v>3790</v>
      </c>
      <c r="D105">
        <f>RTD("tos.rtd", , "LAST", Main_M[[#This Row],[Symbol]])</f>
        <v>19.510000000000002</v>
      </c>
      <c r="E105">
        <v>0.41</v>
      </c>
      <c r="F105">
        <v>1.77</v>
      </c>
      <c r="G105">
        <v>-0.13</v>
      </c>
      <c r="H105" s="1">
        <f>IF(ISNUMBER(Main_M[[#This Row],[Free CF]]),IF(Main_M[[#This Row],[Free CF]]&lt;&gt;0,Main_M[[#This Row],[Current Price]]/Main_M[[#This Row],[Free CF]],""),"")</f>
        <v>47.585365853658544</v>
      </c>
      <c r="I105" s="1">
        <f>IF(ISNUMBER(Main_M[[#This Row],[BVPS]]),IF(Main_M[[#This Row],[BVPS]]&lt;&gt;0,Main_M[[#This Row],[Current Price]]/Main_M[[#This Row],[BVPS]],""),"")</f>
        <v>11.022598870056498</v>
      </c>
      <c r="J105">
        <v>-8.23</v>
      </c>
      <c r="K105">
        <v>1.69</v>
      </c>
      <c r="L105">
        <v>1.67</v>
      </c>
      <c r="M105" s="1">
        <f>IF(ISNUMBER(Main_M[[#This Row],[EPS]]),IF(Main_M[[#This Row],[EPS]]&lt;&gt;0,Main_M[[#This Row],[Current Price]]/Main_M[[#This Row],[EPS]],""),"")</f>
        <v>-150.07692307692309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0.87392602846272938</v>
      </c>
      <c r="P105" s="1">
        <f>(Main_M[[#This Row],[P/B]]-VLOOKUP(Main_M[[#This Row],[Industry]], Mean_PB_M, 2, FALSE))/(VLOOKUP(Main_M[[#This Row],[Industry]], Mean_PB_M, 3, FALSE))</f>
        <v>0.83441710124419155</v>
      </c>
      <c r="Q105" s="1">
        <f>(Main_M[[#This Row],[ROE]]-VLOOKUP(Main_M[[#This Row],[Industry]], Mean_ROE_M, 2, FALSE))/(VLOOKUP(Main_M[[#This Row],[Industry]], Mean_ROE_M, 3, FALSE))</f>
        <v>-0.33296891258850425</v>
      </c>
      <c r="R105" s="1">
        <f>(Main_M[[#This Row],[ROA]]-VLOOKUP(Main_M[[#This Row],[Industry]], Mean_ROA_M, 2, FALSE))/(VLOOKUP(Main_M[[#This Row],[Industry]], Mean_ROA_M, 3, FALSE))</f>
        <v>0.2677140678456556</v>
      </c>
      <c r="S105" s="1">
        <f>(Main_M[[#This Row],[A/E]]-VLOOKUP(Main_M[[#This Row],[Industry]], Mean_AE_M, 2, FALSE))/(VLOOKUP(Main_M[[#This Row],[Industry]], Mean_AE_M, 3, FALSE))</f>
        <v>-0.38640152706583664</v>
      </c>
      <c r="T105" s="1">
        <f>(Main_M[[#This Row],[P/E]]-VLOOKUP(Main_M[[#This Row],[Industry]], Mean_PE_M, 2, FALSE))/(VLOOKUP(Main_M[[#This Row],[Industry]], Mean_PE_M, 3, FALSE))</f>
        <v>-2.4961615573988949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s="67" t="s">
        <v>124</v>
      </c>
      <c r="B106" s="67" t="s">
        <v>284</v>
      </c>
      <c r="C106" s="2">
        <v>4946</v>
      </c>
      <c r="D106">
        <f>RTD("tos.rtd", , "LAST", Main_M[[#This Row],[Symbol]])</f>
        <v>28.92</v>
      </c>
      <c r="E106">
        <v>0.39</v>
      </c>
      <c r="F106">
        <v>2.35</v>
      </c>
      <c r="G106">
        <v>-1.77</v>
      </c>
      <c r="H106" s="1">
        <f>IF(ISNUMBER(Main_M[[#This Row],[Free CF]]),IF(Main_M[[#This Row],[Free CF]]&lt;&gt;0,Main_M[[#This Row],[Current Price]]/Main_M[[#This Row],[Free CF]],""),"")</f>
        <v>74.15384615384616</v>
      </c>
      <c r="I106" s="1">
        <f>IF(ISNUMBER(Main_M[[#This Row],[BVPS]]),IF(Main_M[[#This Row],[BVPS]]&lt;&gt;0,Main_M[[#This Row],[Current Price]]/Main_M[[#This Row],[BVPS]],""),"")</f>
        <v>12.306382978723404</v>
      </c>
      <c r="J106">
        <v>-108.78</v>
      </c>
      <c r="K106">
        <v>-35.83</v>
      </c>
      <c r="L106">
        <v>2.1</v>
      </c>
      <c r="M106" s="1">
        <f>IF(ISNUMBER(Main_M[[#This Row],[EPS]]),IF(Main_M[[#This Row],[EPS]]&lt;&gt;0,Main_M[[#This Row],[Current Price]]/Main_M[[#This Row],[EPS]],""),"")</f>
        <v>-16.338983050847457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1.9305055349887508</v>
      </c>
      <c r="P106" s="1">
        <f>(Main_M[[#This Row],[P/B]]-VLOOKUP(Main_M[[#This Row],[Industry]], Mean_PB_M, 2, FALSE))/(VLOOKUP(Main_M[[#This Row],[Industry]], Mean_PB_M, 3, FALSE))</f>
        <v>1.0816110404663855</v>
      </c>
      <c r="Q106" s="1">
        <f>(Main_M[[#This Row],[ROE]]-VLOOKUP(Main_M[[#This Row],[Industry]], Mean_ROE_M, 2, FALSE))/(VLOOKUP(Main_M[[#This Row],[Industry]], Mean_ROE_M, 3, FALSE))</f>
        <v>-1.6647760531700329</v>
      </c>
      <c r="R106" s="1">
        <f>(Main_M[[#This Row],[ROA]]-VLOOKUP(Main_M[[#This Row],[Industry]], Mean_ROA_M, 2, FALSE))/(VLOOKUP(Main_M[[#This Row],[Industry]], Mean_ROA_M, 3, FALSE))</f>
        <v>-4.798679468706851</v>
      </c>
      <c r="S106" s="1">
        <f>(Main_M[[#This Row],[A/E]]-VLOOKUP(Main_M[[#This Row],[Industry]], Mean_AE_M, 2, FALSE))/(VLOOKUP(Main_M[[#This Row],[Industry]], Mean_AE_M, 3, FALSE))</f>
        <v>0.15958980595953651</v>
      </c>
      <c r="T106" s="1">
        <f>(Main_M[[#This Row],[P/E]]-VLOOKUP(Main_M[[#This Row],[Industry]], Mean_PE_M, 2, FALSE))/(VLOOKUP(Main_M[[#This Row],[Industry]], Mean_PE_M, 3, FALSE))</f>
        <v>-0.14647122964582429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s="67" t="s">
        <v>124</v>
      </c>
      <c r="B107" s="67" t="s">
        <v>247</v>
      </c>
      <c r="C107" s="2">
        <v>5787</v>
      </c>
      <c r="D107">
        <f>RTD("tos.rtd", , "LAST", Main_M[[#This Row],[Symbol]])</f>
        <v>9.0299999999999994</v>
      </c>
      <c r="E107">
        <v>0.38</v>
      </c>
      <c r="F107">
        <v>3.31</v>
      </c>
      <c r="G107">
        <v>0.01</v>
      </c>
      <c r="H107" s="1">
        <f>IF(ISNUMBER(Main_M[[#This Row],[Free CF]]),IF(Main_M[[#This Row],[Free CF]]&lt;&gt;0,Main_M[[#This Row],[Current Price]]/Main_M[[#This Row],[Free CF]],""),"")</f>
        <v>23.763157894736839</v>
      </c>
      <c r="I107" s="1">
        <f>IF(ISNUMBER(Main_M[[#This Row],[BVPS]]),IF(Main_M[[#This Row],[BVPS]]&lt;&gt;0,Main_M[[#This Row],[Current Price]]/Main_M[[#This Row],[BVPS]],""),"")</f>
        <v>2.7280966767371599</v>
      </c>
      <c r="J107">
        <v>0.72</v>
      </c>
      <c r="K107">
        <v>1.46</v>
      </c>
      <c r="L107">
        <v>1.66</v>
      </c>
      <c r="M107" s="1">
        <f>IF(ISNUMBER(Main_M[[#This Row],[EPS]]),IF(Main_M[[#This Row],[EPS]]&lt;&gt;0,Main_M[[#This Row],[Current Price]]/Main_M[[#This Row],[EPS]],""),"")</f>
        <v>902.99999999999989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-7.3439287325393149E-2</v>
      </c>
      <c r="P107" s="1">
        <f>(Main_M[[#This Row],[P/B]]-VLOOKUP(Main_M[[#This Row],[Industry]], Mean_PB_M, 2, FALSE))/(VLOOKUP(Main_M[[#This Row],[Industry]], Mean_PB_M, 3, FALSE))</f>
        <v>-0.76269775413662488</v>
      </c>
      <c r="Q107" s="1">
        <f>(Main_M[[#This Row],[ROE]]-VLOOKUP(Main_M[[#This Row],[Industry]], Mean_ROE_M, 2, FALSE))/(VLOOKUP(Main_M[[#This Row],[Industry]], Mean_ROE_M, 3, FALSE))</f>
        <v>-0.21442416959293312</v>
      </c>
      <c r="R107" s="1">
        <f>(Main_M[[#This Row],[ROA]]-VLOOKUP(Main_M[[#This Row],[Industry]], Mean_ROA_M, 2, FALSE))/(VLOOKUP(Main_M[[#This Row],[Industry]], Mean_ROA_M, 3, FALSE))</f>
        <v>0.23665675139024311</v>
      </c>
      <c r="S107" s="1">
        <f>(Main_M[[#This Row],[A/E]]-VLOOKUP(Main_M[[#This Row],[Industry]], Mean_AE_M, 2, FALSE))/(VLOOKUP(Main_M[[#This Row],[Industry]], Mean_AE_M, 3, FALSE))</f>
        <v>-0.39909899992689185</v>
      </c>
      <c r="T107" s="1">
        <f>(Main_M[[#This Row],[P/E]]-VLOOKUP(Main_M[[#This Row],[Industry]], Mean_PE_M, 2, FALSE))/(VLOOKUP(Main_M[[#This Row],[Industry]], Mean_PE_M, 3, FALSE))</f>
        <v>16.005728482565544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8" spans="1:26" x14ac:dyDescent="0.25">
      <c r="A108" s="67" t="s">
        <v>124</v>
      </c>
      <c r="B108" s="67" t="s">
        <v>251</v>
      </c>
      <c r="C108" s="2">
        <v>6254</v>
      </c>
      <c r="D108">
        <f>RTD("tos.rtd", , "LAST", Main_M[[#This Row],[Symbol]])</f>
        <v>24.21</v>
      </c>
      <c r="E108">
        <v>0.37</v>
      </c>
      <c r="F108">
        <v>4.5999999999999996</v>
      </c>
      <c r="G108">
        <v>1.71</v>
      </c>
      <c r="H108" s="1">
        <f>IF(ISNUMBER(Main_M[[#This Row],[Free CF]]),IF(Main_M[[#This Row],[Free CF]]&lt;&gt;0,Main_M[[#This Row],[Current Price]]/Main_M[[#This Row],[Free CF]],""),"")</f>
        <v>65.432432432432435</v>
      </c>
      <c r="I108" s="1">
        <f>IF(ISNUMBER(Main_M[[#This Row],[BVPS]]),IF(Main_M[[#This Row],[BVPS]]&lt;&gt;0,Main_M[[#This Row],[Current Price]]/Main_M[[#This Row],[BVPS]],""),"")</f>
        <v>5.2630434782608706</v>
      </c>
      <c r="J108">
        <v>55.82</v>
      </c>
      <c r="K108">
        <v>1.89</v>
      </c>
      <c r="L108">
        <v>1.1499999999999999</v>
      </c>
      <c r="M108" s="1">
        <f>IF(ISNUMBER(Main_M[[#This Row],[EPS]]),IF(Main_M[[#This Row],[EPS]]&lt;&gt;0,Main_M[[#This Row],[Current Price]]/Main_M[[#This Row],[EPS]],""),"")</f>
        <v>14.157894736842106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1.5836709813422813</v>
      </c>
      <c r="P108" s="1">
        <f>(Main_M[[#This Row],[P/B]]-VLOOKUP(Main_M[[#This Row],[Industry]], Mean_PB_M, 2, FALSE))/(VLOOKUP(Main_M[[#This Row],[Industry]], Mean_PB_M, 3, FALSE))</f>
        <v>-0.27459116257113236</v>
      </c>
      <c r="Q108" s="1">
        <f>(Main_M[[#This Row],[ROE]]-VLOOKUP(Main_M[[#This Row],[Industry]], Mean_ROE_M, 2, FALSE))/(VLOOKUP(Main_M[[#This Row],[Industry]], Mean_ROE_M, 3, FALSE))</f>
        <v>0.5153876001339911</v>
      </c>
      <c r="R108" s="1">
        <f>(Main_M[[#This Row],[ROA]]-VLOOKUP(Main_M[[#This Row],[Industry]], Mean_ROA_M, 2, FALSE))/(VLOOKUP(Main_M[[#This Row],[Industry]], Mean_ROA_M, 3, FALSE))</f>
        <v>0.29472042998079684</v>
      </c>
      <c r="S108" s="1">
        <f>(Main_M[[#This Row],[A/E]]-VLOOKUP(Main_M[[#This Row],[Industry]], Mean_AE_M, 2, FALSE))/(VLOOKUP(Main_M[[#This Row],[Industry]], Mean_AE_M, 3, FALSE))</f>
        <v>-1.0466701158407063</v>
      </c>
      <c r="T108" s="1">
        <f>(Main_M[[#This Row],[P/E]]-VLOOKUP(Main_M[[#This Row],[Industry]], Mean_PE_M, 2, FALSE))/(VLOOKUP(Main_M[[#This Row],[Industry]], Mean_PE_M, 3, FALSE))</f>
        <v>0.38933946663400493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s="67" t="s">
        <v>124</v>
      </c>
      <c r="B109" s="67" t="s">
        <v>363</v>
      </c>
      <c r="C109" s="2">
        <v>2176</v>
      </c>
      <c r="D109">
        <f>RTD("tos.rtd", , "LAST", Main_M[[#This Row],[Symbol]])</f>
        <v>8.6999999999999993</v>
      </c>
      <c r="E109">
        <v>0.23</v>
      </c>
      <c r="F109">
        <v>2.4</v>
      </c>
      <c r="G109">
        <v>0.44</v>
      </c>
      <c r="H109" s="1">
        <f>IF(ISNUMBER(Main_M[[#This Row],[Free CF]]),IF(Main_M[[#This Row],[Free CF]]&lt;&gt;0,Main_M[[#This Row],[Current Price]]/Main_M[[#This Row],[Free CF]],""),"")</f>
        <v>37.826086956521735</v>
      </c>
      <c r="I109" s="1">
        <f>IF(ISNUMBER(Main_M[[#This Row],[BVPS]]),IF(Main_M[[#This Row],[BVPS]]&lt;&gt;0,Main_M[[#This Row],[Current Price]]/Main_M[[#This Row],[BVPS]],""),"")</f>
        <v>3.625</v>
      </c>
      <c r="J109">
        <v>18.829999999999998</v>
      </c>
      <c r="K109">
        <v>1.39</v>
      </c>
      <c r="L109">
        <v>1.93</v>
      </c>
      <c r="M109" s="1">
        <f>IF(ISNUMBER(Main_M[[#This Row],[EPS]]),IF(Main_M[[#This Row],[EPS]]&lt;&gt;0,Main_M[[#This Row],[Current Price]]/Main_M[[#This Row],[EPS]],""),"")</f>
        <v>19.77272727272727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0.48581748914541628</v>
      </c>
      <c r="P109" s="1">
        <f>(Main_M[[#This Row],[P/B]]-VLOOKUP(Main_M[[#This Row],[Industry]], Mean_PB_M, 2, FALSE))/(VLOOKUP(Main_M[[#This Row],[Industry]], Mean_PB_M, 3, FALSE))</f>
        <v>-0.58999810465347058</v>
      </c>
      <c r="Q109" s="1">
        <f>(Main_M[[#This Row],[ROE]]-VLOOKUP(Main_M[[#This Row],[Industry]], Mean_ROE_M, 2, FALSE))/(VLOOKUP(Main_M[[#This Row],[Industry]], Mean_ROE_M, 3, FALSE))</f>
        <v>2.5446813161233799E-2</v>
      </c>
      <c r="R109" s="1">
        <f>(Main_M[[#This Row],[ROA]]-VLOOKUP(Main_M[[#This Row],[Industry]], Mean_ROA_M, 2, FALSE))/(VLOOKUP(Main_M[[#This Row],[Industry]], Mean_ROA_M, 3, FALSE))</f>
        <v>0.22720452464294366</v>
      </c>
      <c r="S109" s="1">
        <f>(Main_M[[#This Row],[A/E]]-VLOOKUP(Main_M[[#This Row],[Industry]], Mean_AE_M, 2, FALSE))/(VLOOKUP(Main_M[[#This Row],[Industry]], Mean_AE_M, 3, FALSE))</f>
        <v>-5.6267232678401828E-2</v>
      </c>
      <c r="T109" s="1">
        <f>(Main_M[[#This Row],[P/E]]-VLOOKUP(Main_M[[#This Row],[Industry]], Mean_PE_M, 2, FALSE))/(VLOOKUP(Main_M[[#This Row],[Industry]], Mean_PE_M, 3, FALSE))</f>
        <v>0.48798849397022886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s="67" t="s">
        <v>124</v>
      </c>
      <c r="B110" s="67" t="s">
        <v>245</v>
      </c>
      <c r="C110" s="2">
        <v>3859</v>
      </c>
      <c r="D110">
        <f>RTD("tos.rtd", , "LAST", Main_M[[#This Row],[Symbol]])</f>
        <v>30.65</v>
      </c>
      <c r="E110">
        <v>0.19</v>
      </c>
      <c r="F110">
        <v>4.57</v>
      </c>
      <c r="G110">
        <v>-1.02</v>
      </c>
      <c r="H110" s="1">
        <f>IF(ISNUMBER(Main_M[[#This Row],[Free CF]]),IF(Main_M[[#This Row],[Free CF]]&lt;&gt;0,Main_M[[#This Row],[Current Price]]/Main_M[[#This Row],[Free CF]],""),"")</f>
        <v>161.31578947368419</v>
      </c>
      <c r="I110" s="1">
        <f>IF(ISNUMBER(Main_M[[#This Row],[BVPS]]),IF(Main_M[[#This Row],[BVPS]]&lt;&gt;0,Main_M[[#This Row],[Current Price]]/Main_M[[#This Row],[BVPS]],""),"")</f>
        <v>6.7067833698030626</v>
      </c>
      <c r="J110">
        <v>-22.64</v>
      </c>
      <c r="K110">
        <v>-9.08</v>
      </c>
      <c r="L110">
        <v>1.83</v>
      </c>
      <c r="M110" s="1">
        <f>IF(ISNUMBER(Main_M[[#This Row],[EPS]]),IF(Main_M[[#This Row],[EPS]]&lt;&gt;0,Main_M[[#This Row],[Current Price]]/Main_M[[#This Row],[EPS]],""),"")</f>
        <v>-30.049019607843135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5.396775416449497</v>
      </c>
      <c r="P110" s="1">
        <f>(Main_M[[#This Row],[P/B]]-VLOOKUP(Main_M[[#This Row],[Industry]], Mean_PB_M, 2, FALSE))/(VLOOKUP(Main_M[[#This Row],[Industry]], Mean_PB_M, 3, FALSE))</f>
        <v>3.4024257535659576E-3</v>
      </c>
      <c r="Q110" s="1">
        <f>(Main_M[[#This Row],[ROE]]-VLOOKUP(Main_M[[#This Row],[Industry]], Mean_ROE_M, 2, FALSE))/(VLOOKUP(Main_M[[#This Row],[Industry]], Mean_ROE_M, 3, FALSE))</f>
        <v>-0.52383257142271433</v>
      </c>
      <c r="R110" s="1">
        <f>(Main_M[[#This Row],[ROA]]-VLOOKUP(Main_M[[#This Row],[Industry]], Mean_ROA_M, 2, FALSE))/(VLOOKUP(Main_M[[#This Row],[Industry]], Mean_ROA_M, 3, FALSE))</f>
        <v>-1.1865785331317029</v>
      </c>
      <c r="S110" s="1">
        <f>(Main_M[[#This Row],[A/E]]-VLOOKUP(Main_M[[#This Row],[Industry]], Mean_AE_M, 2, FALSE))/(VLOOKUP(Main_M[[#This Row],[Industry]], Mean_AE_M, 3, FALSE))</f>
        <v>-0.18324196128895351</v>
      </c>
      <c r="T110" s="1">
        <f>(Main_M[[#This Row],[P/E]]-VLOOKUP(Main_M[[#This Row],[Industry]], Mean_PE_M, 2, FALSE))/(VLOOKUP(Main_M[[#This Row],[Industry]], Mean_PE_M, 3, FALSE))</f>
        <v>-0.38734782969538945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s="67" t="s">
        <v>124</v>
      </c>
      <c r="B111" s="67" t="s">
        <v>260</v>
      </c>
      <c r="C111" s="2">
        <v>4863</v>
      </c>
      <c r="D111">
        <f>RTD("tos.rtd", , "LAST", Main_M[[#This Row],[Symbol]])</f>
        <v>64.58</v>
      </c>
      <c r="E111">
        <v>0.13</v>
      </c>
      <c r="F111">
        <v>1.64</v>
      </c>
      <c r="G111">
        <v>0.04</v>
      </c>
      <c r="H111" s="1">
        <f>IF(ISNUMBER(Main_M[[#This Row],[Free CF]]),IF(Main_M[[#This Row],[Free CF]]&lt;&gt;0,Main_M[[#This Row],[Current Price]]/Main_M[[#This Row],[Free CF]],""),"")</f>
        <v>496.76923076923072</v>
      </c>
      <c r="I111" s="1">
        <f>IF(ISNUMBER(Main_M[[#This Row],[BVPS]]),IF(Main_M[[#This Row],[BVPS]]&lt;&gt;0,Main_M[[#This Row],[Current Price]]/Main_M[[#This Row],[BVPS]],""),"")</f>
        <v>39.378048780487809</v>
      </c>
      <c r="J111">
        <v>3.12</v>
      </c>
      <c r="K111">
        <v>0.12</v>
      </c>
      <c r="L111">
        <v>1.21</v>
      </c>
      <c r="M111" s="1">
        <f>IF(ISNUMBER(Main_M[[#This Row],[EPS]]),IF(Main_M[[#This Row],[EPS]]&lt;&gt;0,Main_M[[#This Row],[Current Price]]/Main_M[[#This Row],[EPS]],""),"")</f>
        <v>1614.5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18.737140671138203</v>
      </c>
      <c r="P111" s="1">
        <f>(Main_M[[#This Row],[P/B]]-VLOOKUP(Main_M[[#This Row],[Industry]], Mean_PB_M, 2, FALSE))/(VLOOKUP(Main_M[[#This Row],[Industry]], Mean_PB_M, 3, FALSE))</f>
        <v>6.2942878960740538</v>
      </c>
      <c r="Q111" s="1">
        <f>(Main_M[[#This Row],[ROE]]-VLOOKUP(Main_M[[#This Row],[Industry]], Mean_ROE_M, 2, FALSE))/(VLOOKUP(Main_M[[#This Row],[Industry]], Mean_ROE_M, 3, FALSE))</f>
        <v>-0.1826356351583665</v>
      </c>
      <c r="R111" s="1">
        <f>(Main_M[[#This Row],[ROA]]-VLOOKUP(Main_M[[#This Row],[Industry]], Mean_ROA_M, 2, FALSE))/(VLOOKUP(Main_M[[#This Row],[Industry]], Mean_ROA_M, 3, FALSE))</f>
        <v>5.5714125084796444E-2</v>
      </c>
      <c r="S111" s="1">
        <f>(Main_M[[#This Row],[A/E]]-VLOOKUP(Main_M[[#This Row],[Industry]], Mean_AE_M, 2, FALSE))/(VLOOKUP(Main_M[[#This Row],[Industry]], Mean_AE_M, 3, FALSE))</f>
        <v>-0.97048527867437506</v>
      </c>
      <c r="T111" s="1">
        <f>(Main_M[[#This Row],[P/E]]-VLOOKUP(Main_M[[#This Row],[Industry]], Mean_PE_M, 2, FALSE))/(VLOOKUP(Main_M[[#This Row],[Industry]], Mean_PE_M, 3, FALSE))</f>
        <v>28.50632979188995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2" spans="1:26" x14ac:dyDescent="0.25">
      <c r="A112" s="67" t="s">
        <v>124</v>
      </c>
      <c r="B112" s="67" t="s">
        <v>288</v>
      </c>
      <c r="C112" s="2">
        <v>5855</v>
      </c>
      <c r="D112">
        <f>RTD("tos.rtd", , "LAST", Main_M[[#This Row],[Symbol]])</f>
        <v>18.09</v>
      </c>
      <c r="E112">
        <v>0.06</v>
      </c>
      <c r="F112">
        <v>4.72</v>
      </c>
      <c r="G112">
        <v>-1.34</v>
      </c>
      <c r="H112" s="1">
        <f>IF(ISNUMBER(Main_M[[#This Row],[Free CF]]),IF(Main_M[[#This Row],[Free CF]]&lt;&gt;0,Main_M[[#This Row],[Current Price]]/Main_M[[#This Row],[Free CF]],""),"")</f>
        <v>301.5</v>
      </c>
      <c r="I112" s="1">
        <f>IF(ISNUMBER(Main_M[[#This Row],[BVPS]]),IF(Main_M[[#This Row],[BVPS]]&lt;&gt;0,Main_M[[#This Row],[Current Price]]/Main_M[[#This Row],[BVPS]],""),"")</f>
        <v>3.8326271186440679</v>
      </c>
      <c r="J112">
        <v>-26.98</v>
      </c>
      <c r="K112">
        <v>-8.83</v>
      </c>
      <c r="L112">
        <v>1.54</v>
      </c>
      <c r="M112" s="1">
        <f>IF(ISNUMBER(Main_M[[#This Row],[EPS]]),IF(Main_M[[#This Row],[EPS]]&lt;&gt;0,Main_M[[#This Row],[Current Price]]/Main_M[[#This Row],[EPS]],""),"")</f>
        <v>-13.499999999999998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10.971643166020733</v>
      </c>
      <c r="P112" s="1">
        <f>(Main_M[[#This Row],[P/B]]-VLOOKUP(Main_M[[#This Row],[Industry]], Mean_PB_M, 2, FALSE))/(VLOOKUP(Main_M[[#This Row],[Industry]], Mean_PB_M, 3, FALSE))</f>
        <v>-0.55001929123734528</v>
      </c>
      <c r="Q112" s="1">
        <f>(Main_M[[#This Row],[ROE]]-VLOOKUP(Main_M[[#This Row],[Industry]], Mean_ROE_M, 2, FALSE))/(VLOOKUP(Main_M[[#This Row],[Industry]], Mean_ROE_M, 3, FALSE))</f>
        <v>-0.58131683785855559</v>
      </c>
      <c r="R112" s="1">
        <f>(Main_M[[#This Row],[ROA]]-VLOOKUP(Main_M[[#This Row],[Industry]], Mean_ROA_M, 2, FALSE))/(VLOOKUP(Main_M[[#This Row],[Industry]], Mean_ROA_M, 3, FALSE))</f>
        <v>-1.1528205804627765</v>
      </c>
      <c r="S112" s="1">
        <f>(Main_M[[#This Row],[A/E]]-VLOOKUP(Main_M[[#This Row],[Industry]], Mean_AE_M, 2, FALSE))/(VLOOKUP(Main_M[[#This Row],[Industry]], Mean_AE_M, 3, FALSE))</f>
        <v>-0.55146867425955393</v>
      </c>
      <c r="T112" s="1">
        <f>(Main_M[[#This Row],[P/E]]-VLOOKUP(Main_M[[#This Row],[Industry]], Mean_PE_M, 2, FALSE))/(VLOOKUP(Main_M[[#This Row],[Industry]], Mean_PE_M, 3, FALSE))</f>
        <v>-9.6592107730752566E-2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s="67" t="s">
        <v>124</v>
      </c>
      <c r="B113" s="67" t="s">
        <v>236</v>
      </c>
      <c r="C113" s="2">
        <v>2950</v>
      </c>
      <c r="D113">
        <f>RTD("tos.rtd", , "LAST", Main_M[[#This Row],[Symbol]])</f>
        <v>30.42</v>
      </c>
      <c r="E113">
        <v>0.04</v>
      </c>
      <c r="F113">
        <v>3.24</v>
      </c>
      <c r="G113">
        <v>-0.37</v>
      </c>
      <c r="H113" s="1">
        <f>IF(ISNUMBER(Main_M[[#This Row],[Free CF]]),IF(Main_M[[#This Row],[Free CF]]&lt;&gt;0,Main_M[[#This Row],[Current Price]]/Main_M[[#This Row],[Free CF]],""),"")</f>
        <v>760.5</v>
      </c>
      <c r="I113" s="1">
        <f>IF(ISNUMBER(Main_M[[#This Row],[BVPS]]),IF(Main_M[[#This Row],[BVPS]]&lt;&gt;0,Main_M[[#This Row],[Current Price]]/Main_M[[#This Row],[BVPS]],""),"")</f>
        <v>9.3888888888888893</v>
      </c>
      <c r="J113">
        <v>-11.33</v>
      </c>
      <c r="K113">
        <v>-4.4000000000000004</v>
      </c>
      <c r="L113">
        <v>2.5099999999999998</v>
      </c>
      <c r="M113" s="1">
        <f>IF(ISNUMBER(Main_M[[#This Row],[EPS]]),IF(Main_M[[#This Row],[EPS]]&lt;&gt;0,Main_M[[#This Row],[Current Price]]/Main_M[[#This Row],[EPS]],""),"")</f>
        <v>-82.216216216216225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29.225227413819024</v>
      </c>
      <c r="P113" s="1">
        <f>(Main_M[[#This Row],[P/B]]-VLOOKUP(Main_M[[#This Row],[Industry]], Mean_PB_M, 2, FALSE))/(VLOOKUP(Main_M[[#This Row],[Industry]], Mean_PB_M, 3, FALSE))</f>
        <v>0.51984457844610787</v>
      </c>
      <c r="Q113" s="1">
        <f>(Main_M[[#This Row],[ROE]]-VLOOKUP(Main_M[[#This Row],[Industry]], Mean_ROE_M, 2, FALSE))/(VLOOKUP(Main_M[[#This Row],[Industry]], Mean_ROE_M, 3, FALSE))</f>
        <v>-0.37402910289981944</v>
      </c>
      <c r="R113" s="1">
        <f>(Main_M[[#This Row],[ROA]]-VLOOKUP(Main_M[[#This Row],[Industry]], Mean_ROA_M, 2, FALSE))/(VLOOKUP(Main_M[[#This Row],[Industry]], Mean_ROA_M, 3, FALSE))</f>
        <v>-0.55462965916939688</v>
      </c>
      <c r="S113" s="1">
        <f>(Main_M[[#This Row],[A/E]]-VLOOKUP(Main_M[[#This Row],[Industry]], Mean_AE_M, 2, FALSE))/(VLOOKUP(Main_M[[#This Row],[Industry]], Mean_AE_M, 3, FALSE))</f>
        <v>0.68018619326279872</v>
      </c>
      <c r="T113" s="1">
        <f>(Main_M[[#This Row],[P/E]]-VLOOKUP(Main_M[[#This Row],[Industry]], Mean_PE_M, 2, FALSE))/(VLOOKUP(Main_M[[#This Row],[Industry]], Mean_PE_M, 3, FALSE))</f>
        <v>-1.3038922094935794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s="67" t="s">
        <v>124</v>
      </c>
      <c r="B114" s="67" t="s">
        <v>248</v>
      </c>
      <c r="C114" s="2">
        <v>7839</v>
      </c>
      <c r="D114">
        <f>RTD("tos.rtd", , "LAST", Main_M[[#This Row],[Symbol]])</f>
        <v>24.39</v>
      </c>
      <c r="E114">
        <v>0.02</v>
      </c>
      <c r="F114">
        <v>3.02</v>
      </c>
      <c r="G114">
        <v>-0.98</v>
      </c>
      <c r="H114" s="1">
        <f>IF(ISNUMBER(Main_M[[#This Row],[Free CF]]),IF(Main_M[[#This Row],[Free CF]]&lt;&gt;0,Main_M[[#This Row],[Current Price]]/Main_M[[#This Row],[Free CF]],""),"")</f>
        <v>1219.5</v>
      </c>
      <c r="I114" s="1">
        <f>IF(ISNUMBER(Main_M[[#This Row],[BVPS]]),IF(Main_M[[#This Row],[BVPS]]&lt;&gt;0,Main_M[[#This Row],[Current Price]]/Main_M[[#This Row],[BVPS]],""),"")</f>
        <v>8.0761589403973506</v>
      </c>
      <c r="J114">
        <v>-34.18</v>
      </c>
      <c r="K114">
        <v>-9.9499999999999993</v>
      </c>
      <c r="L114">
        <v>2.63</v>
      </c>
      <c r="M114" s="1">
        <f>IF(ISNUMBER(Main_M[[#This Row],[EPS]]),IF(Main_M[[#This Row],[EPS]]&lt;&gt;0,Main_M[[#This Row],[Current Price]]/Main_M[[#This Row],[EPS]],""),"")</f>
        <v>-24.887755102040817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47.478811661617307</v>
      </c>
      <c r="P114" s="1">
        <f>(Main_M[[#This Row],[P/B]]-VLOOKUP(Main_M[[#This Row],[Industry]], Mean_PB_M, 2, FALSE))/(VLOOKUP(Main_M[[#This Row],[Industry]], Mean_PB_M, 3, FALSE))</f>
        <v>0.267077088249073</v>
      </c>
      <c r="Q114" s="1">
        <f>(Main_M[[#This Row],[ROE]]-VLOOKUP(Main_M[[#This Row],[Industry]], Mean_ROE_M, 2, FALSE))/(VLOOKUP(Main_M[[#This Row],[Industry]], Mean_ROE_M, 3, FALSE))</f>
        <v>-0.6766824411622554</v>
      </c>
      <c r="R114" s="1">
        <f>(Main_M[[#This Row],[ROA]]-VLOOKUP(Main_M[[#This Row],[Industry]], Mean_ROA_M, 2, FALSE))/(VLOOKUP(Main_M[[#This Row],[Industry]], Mean_ROA_M, 3, FALSE))</f>
        <v>-1.3040562084195675</v>
      </c>
      <c r="S114" s="1">
        <f>(Main_M[[#This Row],[A/E]]-VLOOKUP(Main_M[[#This Row],[Industry]], Mean_AE_M, 2, FALSE))/(VLOOKUP(Main_M[[#This Row],[Industry]], Mean_AE_M, 3, FALSE))</f>
        <v>0.83255586759546107</v>
      </c>
      <c r="T114" s="1">
        <f>(Main_M[[#This Row],[P/E]]-VLOOKUP(Main_M[[#This Row],[Industry]], Mean_PE_M, 2, FALSE))/(VLOOKUP(Main_M[[#This Row],[Industry]], Mean_PE_M, 3, FALSE))</f>
        <v>-0.29666770342834514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s="67" t="s">
        <v>124</v>
      </c>
      <c r="B115" s="67" t="s">
        <v>239</v>
      </c>
      <c r="C115" s="2">
        <v>4217</v>
      </c>
      <c r="D115">
        <f>RTD("tos.rtd", , "LAST", Main_M[[#This Row],[Symbol]])</f>
        <v>14.64</v>
      </c>
      <c r="E115">
        <v>0.01</v>
      </c>
      <c r="F115">
        <v>0.98</v>
      </c>
      <c r="G115">
        <v>-1.1100000000000001</v>
      </c>
      <c r="H115" s="1">
        <f>IF(ISNUMBER(Main_M[[#This Row],[Free CF]]),IF(Main_M[[#This Row],[Free CF]]&lt;&gt;0,Main_M[[#This Row],[Current Price]]/Main_M[[#This Row],[Free CF]],""),"")</f>
        <v>1464</v>
      </c>
      <c r="I115" s="1">
        <f>IF(ISNUMBER(Main_M[[#This Row],[BVPS]]),IF(Main_M[[#This Row],[BVPS]]&lt;&gt;0,Main_M[[#This Row],[Current Price]]/Main_M[[#This Row],[BVPS]],""),"")</f>
        <v>14.938775510204083</v>
      </c>
      <c r="J115">
        <v>-92.26</v>
      </c>
      <c r="K115">
        <v>-17.23</v>
      </c>
      <c r="L115">
        <v>3.92</v>
      </c>
      <c r="M115" s="1">
        <f>IF(ISNUMBER(Main_M[[#This Row],[EPS]]),IF(Main_M[[#This Row],[EPS]]&lt;&gt;0,Main_M[[#This Row],[Current Price]]/Main_M[[#This Row],[EPS]],""),"")</f>
        <v>-13.189189189189188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57.202126146555614</v>
      </c>
      <c r="P115" s="1">
        <f>(Main_M[[#This Row],[P/B]]-VLOOKUP(Main_M[[#This Row],[Industry]], Mean_PB_M, 2, FALSE))/(VLOOKUP(Main_M[[#This Row],[Industry]], Mean_PB_M, 3, FALSE))</f>
        <v>1.588480906702304</v>
      </c>
      <c r="Q115" s="1">
        <f>(Main_M[[#This Row],[ROE]]-VLOOKUP(Main_M[[#This Row],[Industry]], Mean_ROE_M, 2, FALSE))/(VLOOKUP(Main_M[[#This Row],[Industry]], Mean_ROE_M, 3, FALSE))</f>
        <v>-1.4459649744787664</v>
      </c>
      <c r="R115" s="1">
        <f>(Main_M[[#This Row],[ROA]]-VLOOKUP(Main_M[[#This Row],[Industry]], Mean_ROA_M, 2, FALSE))/(VLOOKUP(Main_M[[#This Row],[Industry]], Mean_ROA_M, 3, FALSE))</f>
        <v>-2.2870877901387106</v>
      </c>
      <c r="S115" s="1">
        <f>(Main_M[[#This Row],[A/E]]-VLOOKUP(Main_M[[#This Row],[Industry]], Mean_AE_M, 2, FALSE))/(VLOOKUP(Main_M[[#This Row],[Industry]], Mean_AE_M, 3, FALSE))</f>
        <v>2.4705298666715798</v>
      </c>
      <c r="T115" s="1">
        <f>(Main_M[[#This Row],[P/E]]-VLOOKUP(Main_M[[#This Row],[Industry]], Mean_PE_M, 2, FALSE))/(VLOOKUP(Main_M[[#This Row],[Industry]], Mean_PE_M, 3, FALSE))</f>
        <v>-9.1131359974499851E-2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s="67" t="s">
        <v>124</v>
      </c>
      <c r="B116" s="67" t="s">
        <v>278</v>
      </c>
      <c r="C116" s="2">
        <v>2365</v>
      </c>
      <c r="D116">
        <f>RTD("tos.rtd", , "LAST", Main_M[[#This Row],[Symbol]])</f>
        <v>4.21</v>
      </c>
      <c r="E116">
        <v>0.01</v>
      </c>
      <c r="F116">
        <v>1.21</v>
      </c>
      <c r="G116">
        <v>-0.01</v>
      </c>
      <c r="H116" s="1">
        <f>IF(ISNUMBER(Main_M[[#This Row],[Free CF]]),IF(Main_M[[#This Row],[Free CF]]&lt;&gt;0,Main_M[[#This Row],[Current Price]]/Main_M[[#This Row],[Free CF]],""),"")</f>
        <v>421</v>
      </c>
      <c r="I116" s="1">
        <f>IF(ISNUMBER(Main_M[[#This Row],[BVPS]]),IF(Main_M[[#This Row],[BVPS]]&lt;&gt;0,Main_M[[#This Row],[Current Price]]/Main_M[[#This Row],[BVPS]],""),"")</f>
        <v>3.4793388429752068</v>
      </c>
      <c r="J116">
        <v>-1.1399999999999999</v>
      </c>
      <c r="K116">
        <v>1.83</v>
      </c>
      <c r="L116">
        <v>1.8</v>
      </c>
      <c r="M116" s="1">
        <f>IF(ISNUMBER(Main_M[[#This Row],[EPS]]),IF(Main_M[[#This Row],[EPS]]&lt;&gt;0,Main_M[[#This Row],[Current Price]]/Main_M[[#This Row],[EPS]],""),"")</f>
        <v>-421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15.723937975632706</v>
      </c>
      <c r="P116" s="1">
        <f>(Main_M[[#This Row],[P/B]]-VLOOKUP(Main_M[[#This Row],[Industry]], Mean_PB_M, 2, FALSE))/(VLOOKUP(Main_M[[#This Row],[Industry]], Mean_PB_M, 3, FALSE))</f>
        <v>-0.6180453089719683</v>
      </c>
      <c r="Q116" s="1">
        <f>(Main_M[[#This Row],[ROE]]-VLOOKUP(Main_M[[#This Row],[Industry]], Mean_ROE_M, 2, FALSE))/(VLOOKUP(Main_M[[#This Row],[Industry]], Mean_ROE_M, 3, FALSE))</f>
        <v>-0.23906028377972219</v>
      </c>
      <c r="R116" s="1">
        <f>(Main_M[[#This Row],[ROA]]-VLOOKUP(Main_M[[#This Row],[Industry]], Mean_ROA_M, 2, FALSE))/(VLOOKUP(Main_M[[#This Row],[Industry]], Mean_ROA_M, 3, FALSE))</f>
        <v>0.28661852134025451</v>
      </c>
      <c r="S116" s="1">
        <f>(Main_M[[#This Row],[A/E]]-VLOOKUP(Main_M[[#This Row],[Industry]], Mean_AE_M, 2, FALSE))/(VLOOKUP(Main_M[[#This Row],[Industry]], Mean_AE_M, 3, FALSE))</f>
        <v>-0.2213343798721191</v>
      </c>
      <c r="T116" s="1">
        <f>(Main_M[[#This Row],[P/E]]-VLOOKUP(Main_M[[#This Row],[Industry]], Mean_PE_M, 2, FALSE))/(VLOOKUP(Main_M[[#This Row],[Industry]], Mean_PE_M, 3, FALSE))</f>
        <v>-7.2561072638090298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7" spans="1:26" x14ac:dyDescent="0.25">
      <c r="A117" s="67" t="s">
        <v>124</v>
      </c>
      <c r="B117" s="67" t="s">
        <v>267</v>
      </c>
      <c r="C117" s="2">
        <v>4771</v>
      </c>
      <c r="D117">
        <f>RTD("tos.rtd", , "LAST", Main_M[[#This Row],[Symbol]])</f>
        <v>17.95</v>
      </c>
      <c r="E117">
        <v>-0.23</v>
      </c>
      <c r="F117">
        <v>0.71</v>
      </c>
      <c r="G117">
        <v>-0.59</v>
      </c>
      <c r="H117" s="1">
        <f>IF(ISNUMBER(Main_M[[#This Row],[Free CF]]),IF(Main_M[[#This Row],[Free CF]]&lt;&gt;0,Main_M[[#This Row],[Current Price]]/Main_M[[#This Row],[Free CF]],""),"")</f>
        <v>-78.043478260869563</v>
      </c>
      <c r="I117" s="1">
        <f>IF(ISNUMBER(Main_M[[#This Row],[BVPS]]),IF(Main_M[[#This Row],[BVPS]]&lt;&gt;0,Main_M[[#This Row],[Current Price]]/Main_M[[#This Row],[BVPS]],""),"")</f>
        <v>25.281690140845072</v>
      </c>
      <c r="J117">
        <v>-154.88999999999999</v>
      </c>
      <c r="K117">
        <v>-23.72</v>
      </c>
      <c r="L117">
        <v>1.57</v>
      </c>
      <c r="M117" s="1">
        <f>IF(ISNUMBER(Main_M[[#This Row],[EPS]]),IF(Main_M[[#This Row],[EPS]]&lt;&gt;0,Main_M[[#This Row],[Current Price]]/Main_M[[#This Row],[EPS]],""),"")</f>
        <v>-30.423728813559322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-4.1221016185918611</v>
      </c>
      <c r="P117" s="1">
        <f>(Main_M[[#This Row],[P/B]]-VLOOKUP(Main_M[[#This Row],[Industry]], Mean_PB_M, 2, FALSE))/(VLOOKUP(Main_M[[#This Row],[Industry]], Mean_PB_M, 3, FALSE))</f>
        <v>3.5800196656934236</v>
      </c>
      <c r="Q117" s="1">
        <f>(Main_M[[#This Row],[ROE]]-VLOOKUP(Main_M[[#This Row],[Industry]], Mean_ROE_M, 2, FALSE))/(VLOOKUP(Main_M[[#This Row],[Industry]], Mean_ROE_M, 3, FALSE))</f>
        <v>-2.2755132709941432</v>
      </c>
      <c r="R117" s="1">
        <f>(Main_M[[#This Row],[ROA]]-VLOOKUP(Main_M[[#This Row],[Industry]], Mean_ROA_M, 2, FALSE))/(VLOOKUP(Main_M[[#This Row],[Industry]], Mean_ROA_M, 3, FALSE))</f>
        <v>-3.1634442414240453</v>
      </c>
      <c r="S117" s="1">
        <f>(Main_M[[#This Row],[A/E]]-VLOOKUP(Main_M[[#This Row],[Industry]], Mean_AE_M, 2, FALSE))/(VLOOKUP(Main_M[[#This Row],[Industry]], Mean_AE_M, 3, FALSE))</f>
        <v>-0.51337625567638834</v>
      </c>
      <c r="T117" s="1">
        <f>(Main_M[[#This Row],[P/E]]-VLOOKUP(Main_M[[#This Row],[Industry]], Mean_PE_M, 2, FALSE))/(VLOOKUP(Main_M[[#This Row],[Industry]], Mean_PE_M, 3, FALSE))</f>
        <v>-0.39393123150507559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s="67" t="s">
        <v>124</v>
      </c>
      <c r="B118" s="67" t="s">
        <v>271</v>
      </c>
      <c r="C118" s="2">
        <v>4062</v>
      </c>
      <c r="D118">
        <f>RTD("tos.rtd", , "LAST", Main_M[[#This Row],[Symbol]])</f>
        <v>10.02</v>
      </c>
      <c r="E118">
        <v>-0.28999999999999998</v>
      </c>
      <c r="F118">
        <v>0.99</v>
      </c>
      <c r="G118">
        <v>-0.52</v>
      </c>
      <c r="H118" s="1">
        <f>IF(ISNUMBER(Main_M[[#This Row],[Free CF]]),IF(Main_M[[#This Row],[Free CF]]&lt;&gt;0,Main_M[[#This Row],[Current Price]]/Main_M[[#This Row],[Free CF]],""),"")</f>
        <v>-34.551724137931032</v>
      </c>
      <c r="I118" s="1">
        <f>IF(ISNUMBER(Main_M[[#This Row],[BVPS]]),IF(Main_M[[#This Row],[BVPS]]&lt;&gt;0,Main_M[[#This Row],[Current Price]]/Main_M[[#This Row],[BVPS]],""),"")</f>
        <v>10.121212121212121</v>
      </c>
      <c r="J118">
        <v>-67.959999999999994</v>
      </c>
      <c r="K118">
        <v>-19.28</v>
      </c>
      <c r="L118">
        <v>1.48</v>
      </c>
      <c r="M118" s="1">
        <f>IF(ISNUMBER(Main_M[[#This Row],[EPS]]),IF(Main_M[[#This Row],[EPS]]&lt;&gt;0,Main_M[[#This Row],[Current Price]]/Main_M[[#This Row],[EPS]],""),"")</f>
        <v>-19.269230769230766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-2.3925146949152007</v>
      </c>
      <c r="P118" s="1">
        <f>(Main_M[[#This Row],[P/B]]-VLOOKUP(Main_M[[#This Row],[Industry]], Mean_PB_M, 2, FALSE))/(VLOOKUP(Main_M[[#This Row],[Industry]], Mean_PB_M, 3, FALSE))</f>
        <v>0.66085416359348026</v>
      </c>
      <c r="Q118" s="1">
        <f>(Main_M[[#This Row],[ROE]]-VLOOKUP(Main_M[[#This Row],[Industry]], Mean_ROE_M, 2, FALSE))/(VLOOKUP(Main_M[[#This Row],[Industry]], Mean_ROE_M, 3, FALSE))</f>
        <v>-1.1241060633287796</v>
      </c>
      <c r="R118" s="1">
        <f>(Main_M[[#This Row],[ROA]]-VLOOKUP(Main_M[[#This Row],[Industry]], Mean_ROA_M, 2, FALSE))/(VLOOKUP(Main_M[[#This Row],[Industry]], Mean_ROA_M, 3, FALSE))</f>
        <v>-2.5639030020239093</v>
      </c>
      <c r="S118" s="1">
        <f>(Main_M[[#This Row],[A/E]]-VLOOKUP(Main_M[[#This Row],[Industry]], Mean_AE_M, 2, FALSE))/(VLOOKUP(Main_M[[#This Row],[Industry]], Mean_AE_M, 3, FALSE))</f>
        <v>-0.6276535114258851</v>
      </c>
      <c r="T118" s="1">
        <f>(Main_M[[#This Row],[P/E]]-VLOOKUP(Main_M[[#This Row],[Industry]], Mean_PE_M, 2, FALSE))/(VLOOKUP(Main_M[[#This Row],[Industry]], Mean_PE_M, 3, FALSE))</f>
        <v>-0.19795381357423925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s="67" t="s">
        <v>124</v>
      </c>
      <c r="B119" s="67" t="s">
        <v>235</v>
      </c>
      <c r="C119" s="2">
        <v>3530</v>
      </c>
      <c r="D119">
        <f>RTD("tos.rtd", , "LAST", Main_M[[#This Row],[Symbol]])</f>
        <v>25.86</v>
      </c>
      <c r="E119">
        <v>-0.34</v>
      </c>
      <c r="F119">
        <v>6.29</v>
      </c>
      <c r="G119">
        <v>-2.2400000000000002</v>
      </c>
      <c r="H119" s="1">
        <f>IF(ISNUMBER(Main_M[[#This Row],[Free CF]]),IF(Main_M[[#This Row],[Free CF]]&lt;&gt;0,Main_M[[#This Row],[Current Price]]/Main_M[[#This Row],[Free CF]],""),"")</f>
        <v>-76.058823529411754</v>
      </c>
      <c r="I119" s="1">
        <f>IF(ISNUMBER(Main_M[[#This Row],[BVPS]]),IF(Main_M[[#This Row],[BVPS]]&lt;&gt;0,Main_M[[#This Row],[Current Price]]/Main_M[[#This Row],[BVPS]],""),"")</f>
        <v>4.1112877583465819</v>
      </c>
      <c r="J119">
        <v>-33.729999999999997</v>
      </c>
      <c r="K119">
        <v>-19.649999999999999</v>
      </c>
      <c r="L119">
        <v>1.22</v>
      </c>
      <c r="M119" s="1">
        <f>IF(ISNUMBER(Main_M[[#This Row],[EPS]]),IF(Main_M[[#This Row],[EPS]]&lt;&gt;0,Main_M[[#This Row],[Current Price]]/Main_M[[#This Row],[EPS]],""),"")</f>
        <v>-11.544642857142856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-4.0431755568414109</v>
      </c>
      <c r="P119" s="1">
        <f>(Main_M[[#This Row],[P/B]]-VLOOKUP(Main_M[[#This Row],[Industry]], Mean_PB_M, 2, FALSE))/(VLOOKUP(Main_M[[#This Row],[Industry]], Mean_PB_M, 3, FALSE))</f>
        <v>-0.49636290090722196</v>
      </c>
      <c r="Q119" s="1">
        <f>(Main_M[[#This Row],[ROE]]-VLOOKUP(Main_M[[#This Row],[Industry]], Mean_ROE_M, 2, FALSE))/(VLOOKUP(Main_M[[#This Row],[Industry]], Mean_ROE_M, 3, FALSE))</f>
        <v>-0.67072209095577406</v>
      </c>
      <c r="R119" s="1">
        <f>(Main_M[[#This Row],[ROA]]-VLOOKUP(Main_M[[#This Row],[Industry]], Mean_ROA_M, 2, FALSE))/(VLOOKUP(Main_M[[#This Row],[Industry]], Mean_ROA_M, 3, FALSE))</f>
        <v>-2.6138647719739203</v>
      </c>
      <c r="S119" s="1">
        <f>(Main_M[[#This Row],[A/E]]-VLOOKUP(Main_M[[#This Row],[Industry]], Mean_AE_M, 2, FALSE))/(VLOOKUP(Main_M[[#This Row],[Industry]], Mean_AE_M, 3, FALSE))</f>
        <v>-0.9577878058133199</v>
      </c>
      <c r="T119" s="1">
        <f>(Main_M[[#This Row],[P/E]]-VLOOKUP(Main_M[[#This Row],[Industry]], Mean_PE_M, 2, FALSE))/(VLOOKUP(Main_M[[#This Row],[Industry]], Mean_PE_M, 3, FALSE))</f>
        <v>-6.223772957165654E-2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s="67" t="s">
        <v>124</v>
      </c>
      <c r="B120" s="67" t="s">
        <v>282</v>
      </c>
      <c r="C120" s="2">
        <v>7513</v>
      </c>
      <c r="D120">
        <f>RTD("tos.rtd", , "LAST", Main_M[[#This Row],[Symbol]])</f>
        <v>48.64</v>
      </c>
      <c r="E120">
        <v>-0.47</v>
      </c>
      <c r="F120">
        <v>4.7300000000000004</v>
      </c>
      <c r="G120">
        <v>-0.04</v>
      </c>
      <c r="H120" s="1">
        <f>IF(ISNUMBER(Main_M[[#This Row],[Free CF]]),IF(Main_M[[#This Row],[Free CF]]&lt;&gt;0,Main_M[[#This Row],[Current Price]]/Main_M[[#This Row],[Free CF]],""),"")</f>
        <v>-103.48936170212767</v>
      </c>
      <c r="I120" s="1">
        <f>IF(ISNUMBER(Main_M[[#This Row],[BVPS]]),IF(Main_M[[#This Row],[BVPS]]&lt;&gt;0,Main_M[[#This Row],[Current Price]]/Main_M[[#This Row],[BVPS]],""),"")</f>
        <v>10.283298097251585</v>
      </c>
      <c r="J120">
        <v>-1.28</v>
      </c>
      <c r="K120">
        <v>-6.22</v>
      </c>
      <c r="L120">
        <v>1.8</v>
      </c>
      <c r="M120" s="1">
        <f>IF(ISNUMBER(Main_M[[#This Row],[EPS]]),IF(Main_M[[#This Row],[EPS]]&lt;&gt;0,Main_M[[#This Row],[Current Price]]/Main_M[[#This Row],[EPS]],""),"")</f>
        <v>-1216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-5.1340375165322962</v>
      </c>
      <c r="P120" s="1">
        <f>(Main_M[[#This Row],[P/B]]-VLOOKUP(Main_M[[#This Row],[Industry]], Mean_PB_M, 2, FALSE))/(VLOOKUP(Main_M[[#This Row],[Industry]], Mean_PB_M, 3, FALSE))</f>
        <v>0.69206398356194432</v>
      </c>
      <c r="Q120" s="1">
        <f>(Main_M[[#This Row],[ROE]]-VLOOKUP(Main_M[[#This Row],[Industry]], Mean_ROE_M, 2, FALSE))/(VLOOKUP(Main_M[[#This Row],[Industry]], Mean_ROE_M, 3, FALSE))</f>
        <v>-0.24091461495507191</v>
      </c>
      <c r="R120" s="1">
        <f>(Main_M[[#This Row],[ROA]]-VLOOKUP(Main_M[[#This Row],[Industry]], Mean_ROA_M, 2, FALSE))/(VLOOKUP(Main_M[[#This Row],[Industry]], Mean_ROA_M, 3, FALSE))</f>
        <v>-0.80038755459918254</v>
      </c>
      <c r="S120" s="1">
        <f>(Main_M[[#This Row],[A/E]]-VLOOKUP(Main_M[[#This Row],[Industry]], Mean_AE_M, 2, FALSE))/(VLOOKUP(Main_M[[#This Row],[Industry]], Mean_AE_M, 3, FALSE))</f>
        <v>-0.2213343798721191</v>
      </c>
      <c r="T120" s="1">
        <f>(Main_M[[#This Row],[P/E]]-VLOOKUP(Main_M[[#This Row],[Industry]], Mean_PE_M, 2, FALSE))/(VLOOKUP(Main_M[[#This Row],[Industry]], Mean_PE_M, 3, FALSE))</f>
        <v>-21.223750329041501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1" spans="1:26" x14ac:dyDescent="0.25">
      <c r="A121" s="67" t="s">
        <v>124</v>
      </c>
      <c r="B121" s="67" t="s">
        <v>250</v>
      </c>
      <c r="C121" s="2">
        <v>3172</v>
      </c>
      <c r="D121">
        <f>RTD("tos.rtd", , "LAST", Main_M[[#This Row],[Symbol]])</f>
        <v>12.71</v>
      </c>
      <c r="E121">
        <v>-0.62</v>
      </c>
      <c r="F121">
        <v>-0.61</v>
      </c>
      <c r="G121">
        <v>-3.2</v>
      </c>
      <c r="H121" s="1">
        <f>IF(ISNUMBER(Main_M[[#This Row],[Free CF]]),IF(Main_M[[#This Row],[Free CF]]&lt;&gt;0,Main_M[[#This Row],[Current Price]]/Main_M[[#This Row],[Free CF]],""),"")</f>
        <v>-20.5</v>
      </c>
      <c r="I121" s="1">
        <f>IF(ISNUMBER(Main_M[[#This Row],[BVPS]]),IF(Main_M[[#This Row],[BVPS]]&lt;&gt;0,Main_M[[#This Row],[Current Price]]/Main_M[[#This Row],[BVPS]],""),"")</f>
        <v>-20.836065573770494</v>
      </c>
      <c r="J121">
        <v>377.99</v>
      </c>
      <c r="K121">
        <v>-6.09</v>
      </c>
      <c r="L121">
        <v>-8.9499999999999993</v>
      </c>
      <c r="M121" s="1">
        <f>IF(ISNUMBER(Main_M[[#This Row],[EPS]]),IF(Main_M[[#This Row],[EPS]]&lt;&gt;0,Main_M[[#This Row],[Current Price]]/Main_M[[#This Row],[EPS]],""),"")</f>
        <v>-3.9718750000000003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-1.8337035176198959</v>
      </c>
      <c r="P121" s="1">
        <f>(Main_M[[#This Row],[P/B]]-VLOOKUP(Main_M[[#This Row],[Industry]], Mean_PB_M, 2, FALSE))/(VLOOKUP(Main_M[[#This Row],[Industry]], Mean_PB_M, 3, FALSE))</f>
        <v>-5.3000012242836112</v>
      </c>
      <c r="Q121" s="1">
        <f>(Main_M[[#This Row],[ROE]]-VLOOKUP(Main_M[[#This Row],[Industry]], Mean_ROE_M, 2, FALSE))/(VLOOKUP(Main_M[[#This Row],[Industry]], Mean_ROE_M, 3, FALSE))</f>
        <v>4.7826009912941219</v>
      </c>
      <c r="R121" s="1">
        <f>(Main_M[[#This Row],[ROA]]-VLOOKUP(Main_M[[#This Row],[Industry]], Mean_ROA_M, 2, FALSE))/(VLOOKUP(Main_M[[#This Row],[Industry]], Mean_ROA_M, 3, FALSE))</f>
        <v>-0.78283341921134075</v>
      </c>
      <c r="S121" s="1">
        <f>(Main_M[[#This Row],[A/E]]-VLOOKUP(Main_M[[#This Row],[Industry]], Mean_AE_M, 2, FALSE))/(VLOOKUP(Main_M[[#This Row],[Industry]], Mean_AE_M, 3, FALSE))</f>
        <v>-13.871117705506441</v>
      </c>
      <c r="T121" s="1">
        <f>(Main_M[[#This Row],[P/E]]-VLOOKUP(Main_M[[#This Row],[Industry]], Mean_PE_M, 2, FALSE))/(VLOOKUP(Main_M[[#This Row],[Industry]], Mean_PE_M, 3, FALSE))</f>
        <v>7.0810972874175843E-2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s="67" t="s">
        <v>124</v>
      </c>
      <c r="B122" s="67" t="s">
        <v>266</v>
      </c>
      <c r="C122" s="2">
        <v>6843</v>
      </c>
      <c r="D122">
        <f>RTD("tos.rtd", , "LAST", Main_M[[#This Row],[Symbol]])</f>
        <v>13.8</v>
      </c>
      <c r="E122">
        <v>-0.75</v>
      </c>
      <c r="F122">
        <v>2.56</v>
      </c>
      <c r="G122">
        <v>-1.65</v>
      </c>
      <c r="H122" s="1">
        <f>IF(ISNUMBER(Main_M[[#This Row],[Free CF]]),IF(Main_M[[#This Row],[Free CF]]&lt;&gt;0,Main_M[[#This Row],[Current Price]]/Main_M[[#This Row],[Free CF]],""),"")</f>
        <v>-18.400000000000002</v>
      </c>
      <c r="I122" s="1">
        <f>IF(ISNUMBER(Main_M[[#This Row],[BVPS]]),IF(Main_M[[#This Row],[BVPS]]&lt;&gt;0,Main_M[[#This Row],[Current Price]]/Main_M[[#This Row],[BVPS]],""),"")</f>
        <v>5.390625</v>
      </c>
      <c r="J122">
        <v>-36.159999999999997</v>
      </c>
      <c r="K122">
        <v>-23.02</v>
      </c>
      <c r="L122">
        <v>1.08</v>
      </c>
      <c r="M122" s="1">
        <f>IF(ISNUMBER(Main_M[[#This Row],[EPS]]),IF(Main_M[[#This Row],[EPS]]&lt;&gt;0,Main_M[[#This Row],[Current Price]]/Main_M[[#This Row],[EPS]],""),"")</f>
        <v>-8.3636363636363651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-1.7501903870744138</v>
      </c>
      <c r="P122" s="1">
        <f>(Main_M[[#This Row],[P/B]]-VLOOKUP(Main_M[[#This Row],[Industry]], Mean_PB_M, 2, FALSE))/(VLOOKUP(Main_M[[#This Row],[Industry]], Mean_PB_M, 3, FALSE))</f>
        <v>-0.25002521046302745</v>
      </c>
      <c r="Q122" s="1">
        <f>(Main_M[[#This Row],[ROE]]-VLOOKUP(Main_M[[#This Row],[Industry]], Mean_ROE_M, 2, FALSE))/(VLOOKUP(Main_M[[#This Row],[Industry]], Mean_ROE_M, 3, FALSE))</f>
        <v>-0.70290798207077265</v>
      </c>
      <c r="R122" s="1">
        <f>(Main_M[[#This Row],[ROA]]-VLOOKUP(Main_M[[#This Row],[Industry]], Mean_ROA_M, 2, FALSE))/(VLOOKUP(Main_M[[#This Row],[Industry]], Mean_ROA_M, 3, FALSE))</f>
        <v>-3.0689219739510509</v>
      </c>
      <c r="S122" s="1">
        <f>(Main_M[[#This Row],[A/E]]-VLOOKUP(Main_M[[#This Row],[Industry]], Mean_AE_M, 2, FALSE))/(VLOOKUP(Main_M[[#This Row],[Industry]], Mean_AE_M, 3, FALSE))</f>
        <v>-1.1355524258680922</v>
      </c>
      <c r="T122" s="1">
        <f>(Main_M[[#This Row],[P/E]]-VLOOKUP(Main_M[[#This Row],[Industry]], Mean_PE_M, 2, FALSE))/(VLOOKUP(Main_M[[#This Row],[Industry]], Mean_PE_M, 3, FALSE))</f>
        <v>-6.3494738616120261E-3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s="67" t="s">
        <v>124</v>
      </c>
      <c r="B123" s="67" t="s">
        <v>283</v>
      </c>
      <c r="C123" s="2">
        <v>8750</v>
      </c>
      <c r="D123">
        <f>RTD("tos.rtd", , "LAST", Main_M[[#This Row],[Symbol]])</f>
        <v>52.58</v>
      </c>
      <c r="E123">
        <v>-2</v>
      </c>
      <c r="F123">
        <v>13.28</v>
      </c>
      <c r="G123">
        <v>-1.79</v>
      </c>
      <c r="H123" s="1">
        <f>IF(ISNUMBER(Main_M[[#This Row],[Free CF]]),IF(Main_M[[#This Row],[Free CF]]&lt;&gt;0,Main_M[[#This Row],[Current Price]]/Main_M[[#This Row],[Free CF]],""),"")</f>
        <v>-26.29</v>
      </c>
      <c r="I123" s="1">
        <f>IF(ISNUMBER(Main_M[[#This Row],[BVPS]]),IF(Main_M[[#This Row],[BVPS]]&lt;&gt;0,Main_M[[#This Row],[Current Price]]/Main_M[[#This Row],[BVPS]],""),"")</f>
        <v>3.9593373493975905</v>
      </c>
      <c r="J123">
        <v>-12.54</v>
      </c>
      <c r="K123">
        <v>-4.7300000000000004</v>
      </c>
      <c r="L123">
        <v>1.0900000000000001</v>
      </c>
      <c r="M123" s="1">
        <f>IF(ISNUMBER(Main_M[[#This Row],[EPS]]),IF(Main_M[[#This Row],[EPS]]&lt;&gt;0,Main_M[[#This Row],[Current Price]]/Main_M[[#This Row],[EPS]],""),"")</f>
        <v>-29.374301675977652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>
        <f>(Main_M[[#This Row],[P/FCF]]-VLOOKUP(Main_M[[#This Row],[Industry]], Mean_PFCF_M, 2, FALSE))/(VLOOKUP(Main_M[[#This Row],[Industry]], Mean_PFCF_M, 3, FALSE))</f>
        <v>-2.0639611489810115</v>
      </c>
      <c r="P123" s="1">
        <f>(Main_M[[#This Row],[P/B]]-VLOOKUP(Main_M[[#This Row],[Industry]], Mean_PB_M, 2, FALSE))/(VLOOKUP(Main_M[[#This Row],[Industry]], Mean_PB_M, 3, FALSE))</f>
        <v>-0.52562110709699039</v>
      </c>
      <c r="Q123" s="1">
        <f>(Main_M[[#This Row],[ROE]]-VLOOKUP(Main_M[[#This Row],[Industry]], Mean_ROE_M, 2, FALSE))/(VLOOKUP(Main_M[[#This Row],[Industry]], Mean_ROE_M, 3, FALSE))</f>
        <v>-0.39005582234391339</v>
      </c>
      <c r="R123" s="1">
        <f>(Main_M[[#This Row],[ROA]]-VLOOKUP(Main_M[[#This Row],[Industry]], Mean_ROA_M, 2, FALSE))/(VLOOKUP(Main_M[[#This Row],[Industry]], Mean_ROA_M, 3, FALSE))</f>
        <v>-0.59919015669238007</v>
      </c>
      <c r="S123" s="1">
        <f>(Main_M[[#This Row],[A/E]]-VLOOKUP(Main_M[[#This Row],[Industry]], Mean_AE_M, 2, FALSE))/(VLOOKUP(Main_M[[#This Row],[Industry]], Mean_AE_M, 3, FALSE))</f>
        <v>-1.1228549530070371</v>
      </c>
      <c r="T123" s="1">
        <f>(Main_M[[#This Row],[P/E]]-VLOOKUP(Main_M[[#This Row],[Industry]], Mean_PE_M, 2, FALSE))/(VLOOKUP(Main_M[[#This Row],[Industry]], Mean_PE_M, 3, FALSE))</f>
        <v>-0.37549346586896315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s="67" t="s">
        <v>124</v>
      </c>
      <c r="B124" s="67" t="s">
        <v>269</v>
      </c>
      <c r="C124" s="2">
        <v>2883</v>
      </c>
      <c r="D124">
        <f>RTD("tos.rtd", , "LAST", Main_M[[#This Row],[Symbol]])</f>
        <v>10.119999999999999</v>
      </c>
      <c r="E124">
        <v>-2.95</v>
      </c>
      <c r="F124">
        <v>8.41</v>
      </c>
      <c r="G124">
        <v>-1.36</v>
      </c>
      <c r="H124" s="1">
        <f>IF(ISNUMBER(Main_M[[#This Row],[Free CF]]),IF(Main_M[[#This Row],[Free CF]]&lt;&gt;0,Main_M[[#This Row],[Current Price]]/Main_M[[#This Row],[Free CF]],""),"")</f>
        <v>-3.4305084745762708</v>
      </c>
      <c r="I124" s="1">
        <f>IF(ISNUMBER(Main_M[[#This Row],[BVPS]]),IF(Main_M[[#This Row],[BVPS]]&lt;&gt;0,Main_M[[#This Row],[Current Price]]/Main_M[[#This Row],[BVPS]],""),"")</f>
        <v>1.2033293697978595</v>
      </c>
      <c r="J124">
        <v>-14.71</v>
      </c>
      <c r="K124">
        <v>-7.42</v>
      </c>
      <c r="L124">
        <v>1.26</v>
      </c>
      <c r="M124" s="1">
        <f>IF(ISNUMBER(Main_M[[#This Row],[EPS]]),IF(Main_M[[#This Row],[EPS]]&lt;&gt;0,Main_M[[#This Row],[Current Price]]/Main_M[[#This Row],[EPS]],""),"")</f>
        <v>-7.4411764705882346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-1.1548812918543165</v>
      </c>
      <c r="P124" s="1">
        <f>(Main_M[[#This Row],[P/B]]-VLOOKUP(Main_M[[#This Row],[Industry]], Mean_PB_M, 2, FALSE))/(VLOOKUP(Main_M[[#This Row],[Industry]], Mean_PB_M, 3, FALSE))</f>
        <v>-1.0562932539211896</v>
      </c>
      <c r="Q124" s="1">
        <f>(Main_M[[#This Row],[ROE]]-VLOOKUP(Main_M[[#This Row],[Industry]], Mean_ROE_M, 2, FALSE))/(VLOOKUP(Main_M[[#This Row],[Industry]], Mean_ROE_M, 3, FALSE))</f>
        <v>-0.41879795556183402</v>
      </c>
      <c r="R124" s="1">
        <f>(Main_M[[#This Row],[ROA]]-VLOOKUP(Main_M[[#This Row],[Industry]], Mean_ROA_M, 2, FALSE))/(VLOOKUP(Main_M[[#This Row],[Industry]], Mean_ROA_M, 3, FALSE))</f>
        <v>-0.96242572741003041</v>
      </c>
      <c r="S124" s="1">
        <f>(Main_M[[#This Row],[A/E]]-VLOOKUP(Main_M[[#This Row],[Industry]], Mean_AE_M, 2, FALSE))/(VLOOKUP(Main_M[[#This Row],[Industry]], Mean_AE_M, 3, FALSE))</f>
        <v>-0.90699791436909905</v>
      </c>
      <c r="T124" s="1">
        <f>(Main_M[[#This Row],[P/E]]-VLOOKUP(Main_M[[#This Row],[Industry]], Mean_PE_M, 2, FALSE))/(VLOOKUP(Main_M[[#This Row],[Industry]], Mean_PE_M, 3, FALSE))</f>
        <v>9.8575582491915014E-3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s="67" t="s">
        <v>124</v>
      </c>
      <c r="B125" s="67" t="s">
        <v>261</v>
      </c>
      <c r="C125" s="2">
        <v>4969</v>
      </c>
      <c r="D125">
        <f>RTD("tos.rtd", , "LAST", Main_M[[#This Row],[Symbol]])</f>
        <v>16.27</v>
      </c>
      <c r="E125">
        <v>-5.71</v>
      </c>
      <c r="F125">
        <v>10.76</v>
      </c>
      <c r="G125">
        <v>-1.07</v>
      </c>
      <c r="H125" s="1">
        <f>IF(ISNUMBER(Main_M[[#This Row],[Free CF]]),IF(Main_M[[#This Row],[Free CF]]&lt;&gt;0,Main_M[[#This Row],[Current Price]]/Main_M[[#This Row],[Free CF]],""),"")</f>
        <v>-2.8493870402802099</v>
      </c>
      <c r="I125" s="1">
        <f>IF(ISNUMBER(Main_M[[#This Row],[BVPS]]),IF(Main_M[[#This Row],[BVPS]]&lt;&gt;0,Main_M[[#This Row],[Current Price]]/Main_M[[#This Row],[BVPS]],""),"")</f>
        <v>1.512081784386617</v>
      </c>
      <c r="J125">
        <v>-10.62</v>
      </c>
      <c r="K125">
        <v>-9.9</v>
      </c>
      <c r="L125">
        <v>1.73</v>
      </c>
      <c r="M125" s="1">
        <f>IF(ISNUMBER(Main_M[[#This Row],[EPS]]),IF(Main_M[[#This Row],[EPS]]&lt;&gt;0,Main_M[[#This Row],[Current Price]]/Main_M[[#This Row],[EPS]],""),"")</f>
        <v>-15.205607476635512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-1.1317711631851999</v>
      </c>
      <c r="P125" s="1">
        <f>(Main_M[[#This Row],[P/B]]-VLOOKUP(Main_M[[#This Row],[Industry]], Mean_PB_M, 2, FALSE))/(VLOOKUP(Main_M[[#This Row],[Industry]], Mean_PB_M, 3, FALSE))</f>
        <v>-0.99684266165158086</v>
      </c>
      <c r="Q125" s="1">
        <f>(Main_M[[#This Row],[ROE]]-VLOOKUP(Main_M[[#This Row],[Industry]], Mean_ROE_M, 2, FALSE))/(VLOOKUP(Main_M[[#This Row],[Industry]], Mean_ROE_M, 3, FALSE))</f>
        <v>-0.36462499479626015</v>
      </c>
      <c r="R125" s="1">
        <f>(Main_M[[#This Row],[ROA]]-VLOOKUP(Main_M[[#This Row],[Industry]], Mean_ROA_M, 2, FALSE))/(VLOOKUP(Main_M[[#This Row],[Industry]], Mean_ROA_M, 3, FALSE))</f>
        <v>-1.2973046178857823</v>
      </c>
      <c r="S125" s="1">
        <f>(Main_M[[#This Row],[A/E]]-VLOOKUP(Main_M[[#This Row],[Industry]], Mean_AE_M, 2, FALSE))/(VLOOKUP(Main_M[[#This Row],[Industry]], Mean_AE_M, 3, FALSE))</f>
        <v>-0.31021668989950546</v>
      </c>
      <c r="T125" s="1">
        <f>(Main_M[[#This Row],[P/E]]-VLOOKUP(Main_M[[#This Row],[Industry]], Mean_PE_M, 2, FALSE))/(VLOOKUP(Main_M[[#This Row],[Industry]], Mean_PE_M, 3, FALSE))</f>
        <v>-0.12655854350815721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s="67" t="s">
        <v>124</v>
      </c>
      <c r="B126" s="67" t="s">
        <v>246</v>
      </c>
      <c r="C126" s="2">
        <v>2530</v>
      </c>
      <c r="D126">
        <f>RTD("tos.rtd", , "LAST", Main_M[[#This Row],[Symbol]])</f>
        <v>14.01</v>
      </c>
      <c r="E126">
        <v>-5.86</v>
      </c>
      <c r="F126">
        <v>4.18</v>
      </c>
      <c r="G126">
        <v>-4.38</v>
      </c>
      <c r="H126" s="1">
        <f>IF(ISNUMBER(Main_M[[#This Row],[Free CF]]),IF(Main_M[[#This Row],[Free CF]]&lt;&gt;0,Main_M[[#This Row],[Current Price]]/Main_M[[#This Row],[Free CF]],""),"")</f>
        <v>-2.3907849829351533</v>
      </c>
      <c r="I126" s="1">
        <f>IF(ISNUMBER(Main_M[[#This Row],[BVPS]]),IF(Main_M[[#This Row],[BVPS]]&lt;&gt;0,Main_M[[#This Row],[Current Price]]/Main_M[[#This Row],[BVPS]],""),"")</f>
        <v>3.3516746411483256</v>
      </c>
      <c r="J126">
        <v>-32.090000000000003</v>
      </c>
      <c r="K126">
        <v>-9.15</v>
      </c>
      <c r="L126">
        <v>2.0099999999999998</v>
      </c>
      <c r="M126" s="1">
        <f>IF(ISNUMBER(Main_M[[#This Row],[EPS]]),IF(Main_M[[#This Row],[EPS]]&lt;&gt;0,Main_M[[#This Row],[Current Price]]/Main_M[[#This Row],[EPS]],""),"")</f>
        <v>-3.1986301369863015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>
        <f>(Main_M[[#This Row],[P/FCF]]-VLOOKUP(Main_M[[#This Row],[Industry]], Mean_PFCF_M, 2, FALSE))/(VLOOKUP(Main_M[[#This Row],[Industry]], Mean_PFCF_M, 3, FALSE))</f>
        <v>-1.1135334043835405</v>
      </c>
      <c r="P126" s="1">
        <f>(Main_M[[#This Row],[P/B]]-VLOOKUP(Main_M[[#This Row],[Industry]], Mean_PB_M, 2, FALSE))/(VLOOKUP(Main_M[[#This Row],[Industry]], Mean_PB_M, 3, FALSE))</f>
        <v>-0.64262718121528029</v>
      </c>
      <c r="Q126" s="1">
        <f>(Main_M[[#This Row],[ROE]]-VLOOKUP(Main_M[[#This Row],[Industry]], Mean_ROE_M, 2, FALSE))/(VLOOKUP(Main_M[[#This Row],[Industry]], Mean_ROE_M, 3, FALSE))</f>
        <v>-0.64899992575882026</v>
      </c>
      <c r="R126" s="1">
        <f>(Main_M[[#This Row],[ROA]]-VLOOKUP(Main_M[[#This Row],[Industry]], Mean_ROA_M, 2, FALSE))/(VLOOKUP(Main_M[[#This Row],[Industry]], Mean_ROA_M, 3, FALSE))</f>
        <v>-1.1960307598790025</v>
      </c>
      <c r="S126" s="1">
        <f>(Main_M[[#This Row],[A/E]]-VLOOKUP(Main_M[[#This Row],[Industry]], Mean_AE_M, 2, FALSE))/(VLOOKUP(Main_M[[#This Row],[Industry]], Mean_AE_M, 3, FALSE))</f>
        <v>4.5312550210039458E-2</v>
      </c>
      <c r="T126" s="1">
        <f>(Main_M[[#This Row],[P/E]]-VLOOKUP(Main_M[[#This Row],[Industry]], Mean_PE_M, 2, FALSE))/(VLOOKUP(Main_M[[#This Row],[Industry]], Mean_PE_M, 3, FALSE))</f>
        <v>8.4396392054804689E-2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7" spans="1:26" x14ac:dyDescent="0.25">
      <c r="A127" s="67" t="s">
        <v>124</v>
      </c>
      <c r="B127" s="67" t="s">
        <v>379</v>
      </c>
      <c r="C127" s="2">
        <v>2029</v>
      </c>
      <c r="D127">
        <f>RTD("tos.rtd", , "LAST", Main_M[[#This Row],[Symbol]])</f>
        <v>10.34</v>
      </c>
      <c r="E127">
        <v>-7.88</v>
      </c>
      <c r="F127">
        <v>6.38</v>
      </c>
      <c r="G127">
        <v>-0.18</v>
      </c>
      <c r="H127" s="1">
        <f>IF(ISNUMBER(Main_M[[#This Row],[Free CF]]),IF(Main_M[[#This Row],[Free CF]]&lt;&gt;0,Main_M[[#This Row],[Current Price]]/Main_M[[#This Row],[Free CF]],""),"")</f>
        <v>-1.3121827411167513</v>
      </c>
      <c r="I127" s="1">
        <f>IF(ISNUMBER(Main_M[[#This Row],[BVPS]]),IF(Main_M[[#This Row],[BVPS]]&lt;&gt;0,Main_M[[#This Row],[Current Price]]/Main_M[[#This Row],[BVPS]],""),"")</f>
        <v>1.6206896551724137</v>
      </c>
      <c r="J127">
        <v>-3.39</v>
      </c>
      <c r="K127">
        <v>-0.68</v>
      </c>
      <c r="L127">
        <v>1.4</v>
      </c>
      <c r="M127" s="1">
        <f>IF(ISNUMBER(Main_M[[#This Row],[EPS]]),IF(Main_M[[#This Row],[EPS]]&lt;&gt;0,Main_M[[#This Row],[Current Price]]/Main_M[[#This Row],[EPS]],""),"")</f>
        <v>-57.444444444444443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-1.0706393806560977</v>
      </c>
      <c r="P127" s="1">
        <f>(Main_M[[#This Row],[P/B]]-VLOOKUP(Main_M[[#This Row],[Industry]], Mean_PB_M, 2, FALSE))/(VLOOKUP(Main_M[[#This Row],[Industry]], Mean_PB_M, 3, FALSE))</f>
        <v>-0.97593010538232272</v>
      </c>
      <c r="Q127" s="1">
        <f>(Main_M[[#This Row],[ROE]]-VLOOKUP(Main_M[[#This Row],[Industry]], Mean_ROE_M, 2, FALSE))/(VLOOKUP(Main_M[[#This Row],[Industry]], Mean_ROE_M, 3, FALSE))</f>
        <v>-0.26886203481212834</v>
      </c>
      <c r="R127" s="1">
        <f>(Main_M[[#This Row],[ROA]]-VLOOKUP(Main_M[[#This Row],[Industry]], Mean_ROA_M, 2, FALSE))/(VLOOKUP(Main_M[[#This Row],[Industry]], Mean_ROA_M, 3, FALSE))</f>
        <v>-5.2311323455768735E-2</v>
      </c>
      <c r="S127" s="1">
        <f>(Main_M[[#This Row],[A/E]]-VLOOKUP(Main_M[[#This Row],[Industry]], Mean_AE_M, 2, FALSE))/(VLOOKUP(Main_M[[#This Row],[Industry]], Mean_AE_M, 3, FALSE))</f>
        <v>-0.7292332943143266</v>
      </c>
      <c r="T127" s="1">
        <f>(Main_M[[#This Row],[P/E]]-VLOOKUP(Main_M[[#This Row],[Industry]], Mean_PE_M, 2, FALSE))/(VLOOKUP(Main_M[[#This Row],[Industry]], Mean_PE_M, 3, FALSE))</f>
        <v>-0.86866797527784423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s="67" t="s">
        <v>175</v>
      </c>
      <c r="B128" s="67" t="s">
        <v>295</v>
      </c>
      <c r="C128" s="2">
        <v>9996</v>
      </c>
      <c r="D128">
        <f>RTD("tos.rtd", , "LAST", Main_M[[#This Row],[Symbol]])</f>
        <v>40.06</v>
      </c>
      <c r="E128">
        <v>-0.64</v>
      </c>
      <c r="F128">
        <v>3.15</v>
      </c>
      <c r="G128">
        <v>-1.49</v>
      </c>
      <c r="H128" s="1">
        <f>IF(ISNUMBER(Main_M[[#This Row],[Free CF]]),IF(Main_M[[#This Row],[Free CF]]&lt;&gt;0,Main_M[[#This Row],[Current Price]]/Main_M[[#This Row],[Free CF]],""),"")</f>
        <v>-62.59375</v>
      </c>
      <c r="I128" s="1">
        <f>IF(ISNUMBER(Main_M[[#This Row],[BVPS]]),IF(Main_M[[#This Row],[BVPS]]&lt;&gt;0,Main_M[[#This Row],[Current Price]]/Main_M[[#This Row],[BVPS]],""),"")</f>
        <v>12.717460317460318</v>
      </c>
      <c r="J128">
        <v>-52.1</v>
      </c>
      <c r="K128">
        <v>-22.89</v>
      </c>
      <c r="L128">
        <v>1.1100000000000001</v>
      </c>
      <c r="M128" s="1">
        <f>IF(ISNUMBER(Main_M[[#This Row],[EPS]]),IF(Main_M[[#This Row],[EPS]]&lt;&gt;0,Main_M[[#This Row],[Current Price]]/Main_M[[#This Row],[EPS]],""),"")</f>
        <v>-26.885906040268459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-1</v>
      </c>
      <c r="P128" s="1">
        <f>(Main_M[[#This Row],[P/B]]-VLOOKUP(Main_M[[#This Row],[Industry]], Mean_PB_M, 2, FALSE))/(VLOOKUP(Main_M[[#This Row],[Industry]], Mean_PB_M, 3, FALSE))</f>
        <v>0.99999999999999989</v>
      </c>
      <c r="Q128" s="1">
        <f>(Main_M[[#This Row],[ROE]]-VLOOKUP(Main_M[[#This Row],[Industry]], Mean_ROE_M, 2, FALSE))/(VLOOKUP(Main_M[[#This Row],[Industry]], Mean_ROE_M, 3, FALSE))</f>
        <v>-1</v>
      </c>
      <c r="R128" s="1">
        <f>(Main_M[[#This Row],[ROA]]-VLOOKUP(Main_M[[#This Row],[Industry]], Mean_ROA_M, 2, FALSE))/(VLOOKUP(Main_M[[#This Row],[Industry]], Mean_ROA_M, 3, FALSE))</f>
        <v>-1.0000000000000002</v>
      </c>
      <c r="S128" s="1">
        <f>(Main_M[[#This Row],[A/E]]-VLOOKUP(Main_M[[#This Row],[Industry]], Mean_AE_M, 2, FALSE))/(VLOOKUP(Main_M[[#This Row],[Industry]], Mean_AE_M, 3, FALSE))</f>
        <v>-1.0000000000000002</v>
      </c>
      <c r="T128" s="1">
        <f>(Main_M[[#This Row],[P/E]]-VLOOKUP(Main_M[[#This Row],[Industry]], Mean_PE_M, 2, FALSE))/(VLOOKUP(Main_M[[#This Row],[Industry]], Mean_PE_M, 3, FALSE))</f>
        <v>-0.99999999999999989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s="67" t="s">
        <v>175</v>
      </c>
      <c r="B129" s="67" t="s">
        <v>296</v>
      </c>
      <c r="C129" s="2">
        <v>5476</v>
      </c>
      <c r="D129">
        <f>RTD("tos.rtd", , "LAST", Main_M[[#This Row],[Symbol]])</f>
        <v>41.82</v>
      </c>
      <c r="E129">
        <v>-2.3199999999999998</v>
      </c>
      <c r="F129">
        <v>63.18</v>
      </c>
      <c r="G129">
        <v>-10.33</v>
      </c>
      <c r="H129" s="1">
        <f>IF(ISNUMBER(Main_M[[#This Row],[Free CF]]),IF(Main_M[[#This Row],[Free CF]]&lt;&gt;0,Main_M[[#This Row],[Current Price]]/Main_M[[#This Row],[Free CF]],""),"")</f>
        <v>-18.02586206896552</v>
      </c>
      <c r="I129" s="1">
        <f>IF(ISNUMBER(Main_M[[#This Row],[BVPS]]),IF(Main_M[[#This Row],[BVPS]]&lt;&gt;0,Main_M[[#This Row],[Current Price]]/Main_M[[#This Row],[BVPS]],""),"")</f>
        <v>0.66191832858499522</v>
      </c>
      <c r="J129">
        <v>-5.97</v>
      </c>
      <c r="K129">
        <v>-2.0299999999999998</v>
      </c>
      <c r="L129">
        <v>1.41</v>
      </c>
      <c r="M129" s="1">
        <f>IF(ISNUMBER(Main_M[[#This Row],[EPS]]),IF(Main_M[[#This Row],[EPS]]&lt;&gt;0,Main_M[[#This Row],[Current Price]]/Main_M[[#This Row],[EPS]],""),"")</f>
        <v>-4.048402710551791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1.0000000000000002</v>
      </c>
      <c r="P129" s="1">
        <f>(Main_M[[#This Row],[P/B]]-VLOOKUP(Main_M[[#This Row],[Industry]], Mean_PB_M, 2, FALSE))/(VLOOKUP(Main_M[[#This Row],[Industry]], Mean_PB_M, 3, FALSE))</f>
        <v>-0.99999999999999989</v>
      </c>
      <c r="Q129" s="1">
        <f>(Main_M[[#This Row],[ROE]]-VLOOKUP(Main_M[[#This Row],[Industry]], Mean_ROE_M, 2, FALSE))/(VLOOKUP(Main_M[[#This Row],[Industry]], Mean_ROE_M, 3, FALSE))</f>
        <v>1</v>
      </c>
      <c r="R129" s="1">
        <f>(Main_M[[#This Row],[ROA]]-VLOOKUP(Main_M[[#This Row],[Industry]], Mean_ROA_M, 2, FALSE))/(VLOOKUP(Main_M[[#This Row],[Industry]], Mean_ROA_M, 3, FALSE))</f>
        <v>1.0000000000000004</v>
      </c>
      <c r="S129" s="1">
        <f>(Main_M[[#This Row],[A/E]]-VLOOKUP(Main_M[[#This Row],[Industry]], Mean_AE_M, 2, FALSE))/(VLOOKUP(Main_M[[#This Row],[Industry]], Mean_AE_M, 3, FALSE))</f>
        <v>1.0000000000000002</v>
      </c>
      <c r="T129" s="1">
        <f>(Main_M[[#This Row],[P/E]]-VLOOKUP(Main_M[[#This Row],[Industry]], Mean_PE_M, 2, FALSE))/(VLOOKUP(Main_M[[#This Row],[Industry]], Mean_PE_M, 3, FALSE))</f>
        <v>0.99999999999999989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61"/>
  <sheetViews>
    <sheetView workbookViewId="0">
      <selection activeCell="B24" sqref="B24"/>
    </sheetView>
  </sheetViews>
  <sheetFormatPr defaultRowHeight="15" x14ac:dyDescent="0.25"/>
  <cols>
    <col min="1" max="1" width="45.5703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710937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165</v>
      </c>
      <c r="B2" s="67" t="s">
        <v>432</v>
      </c>
      <c r="C2" s="2">
        <v>844</v>
      </c>
      <c r="D2">
        <f>RTD("tos.rtd", , "LAST", Main_S[[#This Row],[Symbol]])</f>
        <v>30.17</v>
      </c>
      <c r="E2">
        <v>4.5599999999999996</v>
      </c>
      <c r="F2">
        <v>18.559999999999999</v>
      </c>
      <c r="G2">
        <v>0.85</v>
      </c>
      <c r="H2" s="1">
        <f>IF(ISNUMBER(Main_S[[#This Row],[Free CF]]),IF(Main_S[[#This Row],[Free CF]]&lt;&gt;0,Main_S[[#This Row],[Current Price]]/Main_S[[#This Row],[Free CF]],""),"")</f>
        <v>6.6162280701754392</v>
      </c>
      <c r="I2" s="1">
        <f>IF(ISNUMBER(Main_S[[#This Row],[BVPS]]),IF(Main_S[[#This Row],[BVPS]]&lt;&gt;0,Main_S[[#This Row],[Current Price]]/Main_S[[#This Row],[BVPS]],""),"")</f>
        <v>1.6255387931034484</v>
      </c>
      <c r="J2">
        <v>4.78</v>
      </c>
      <c r="K2">
        <v>-4.63</v>
      </c>
      <c r="L2">
        <v>1.52</v>
      </c>
      <c r="M2" s="1">
        <f>IF(ISNUMBER(Main_S[[#This Row],[EPS]]),IF(Main_S[[#This Row],[EPS]]&lt;&gt;0,Main_S[[#This Row],[Current Price]]/Main_S[[#This Row],[EPS]],""),"")</f>
        <v>35.494117647058829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-0.67851070630812171</v>
      </c>
      <c r="P2" s="1">
        <f>(Main_S[[#This Row],[P/B]]-VLOOKUP(Main_S[[#This Row],[Industry]], Mean_PB_S, 2, FALSE))/(VLOOKUP(Main_S[[#This Row],[Industry]], Mean_PB_S, 3, FALSE))</f>
        <v>-0.27752048966876047</v>
      </c>
      <c r="Q2" s="1">
        <f>(Main_S[[#This Row],[ROE]]-VLOOKUP(Main_S[[#This Row],[Industry]], Mean_ROE_S, 2, FALSE))/(VLOOKUP(Main_S[[#This Row],[Industry]], Mean_ROE_S, 3, FALSE))</f>
        <v>0.22184691407235596</v>
      </c>
      <c r="R2" s="1">
        <f>(Main_S[[#This Row],[ROA]]-VLOOKUP(Main_S[[#This Row],[Industry]], Mean_ROA_S, 2, FALSE))/(VLOOKUP(Main_S[[#This Row],[Industry]], Mean_ROA_S, 3, FALSE))</f>
        <v>-1.3503353814818364</v>
      </c>
      <c r="S2" s="1">
        <f>(Main_S[[#This Row],[A/E]]-VLOOKUP(Main_S[[#This Row],[Industry]], Mean_AE_S, 2, FALSE))/(VLOOKUP(Main_S[[#This Row],[Industry]], Mean_AE_S, 3, FALSE))</f>
        <v>-0.67771473302108265</v>
      </c>
      <c r="T2" s="1">
        <f>(Main_S[[#This Row],[P/E]]-VLOOKUP(Main_S[[#This Row],[Industry]], Mean_PE_S, 2, FALSE))/(VLOOKUP(Main_S[[#This Row],[Industry]], Mean_PE_S, 3, FALSE))</f>
        <v>1.5830141311820172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7" t="s">
        <v>165</v>
      </c>
      <c r="B3" s="67" t="s">
        <v>430</v>
      </c>
      <c r="C3" s="2">
        <v>758</v>
      </c>
      <c r="D3">
        <f>RTD("tos.rtd", , "LAST", Main_S[[#This Row],[Symbol]])</f>
        <v>37</v>
      </c>
      <c r="E3">
        <v>3.08</v>
      </c>
      <c r="F3">
        <v>9.58</v>
      </c>
      <c r="G3">
        <v>2.77</v>
      </c>
      <c r="H3" s="1">
        <f>IF(ISNUMBER(Main_S[[#This Row],[Free CF]]),IF(Main_S[[#This Row],[Free CF]]&lt;&gt;0,Main_S[[#This Row],[Current Price]]/Main_S[[#This Row],[Free CF]],""),"")</f>
        <v>12.012987012987013</v>
      </c>
      <c r="I3" s="1">
        <f>IF(ISNUMBER(Main_S[[#This Row],[BVPS]]),IF(Main_S[[#This Row],[BVPS]]&lt;&gt;0,Main_S[[#This Row],[Current Price]]/Main_S[[#This Row],[BVPS]],""),"")</f>
        <v>3.8622129436325676</v>
      </c>
      <c r="J3">
        <v>30.71</v>
      </c>
      <c r="K3">
        <v>13.83</v>
      </c>
      <c r="L3">
        <v>1.77</v>
      </c>
      <c r="M3" s="1">
        <f>IF(ISNUMBER(Main_S[[#This Row],[EPS]]),IF(Main_S[[#This Row],[EPS]]&lt;&gt;0,Main_S[[#This Row],[Current Price]]/Main_S[[#This Row],[EPS]],""),"")</f>
        <v>13.35740072202166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-8.2791166761957982E-2</v>
      </c>
      <c r="P3" s="1">
        <f>(Main_S[[#This Row],[P/B]]-VLOOKUP(Main_S[[#This Row],[Industry]], Mean_PB_S, 2, FALSE))/(VLOOKUP(Main_S[[#This Row],[Industry]], Mean_PB_S, 3, FALSE))</f>
        <v>1.3992220843494578</v>
      </c>
      <c r="Q3" s="1">
        <f>(Main_S[[#This Row],[ROE]]-VLOOKUP(Main_S[[#This Row],[Industry]], Mean_ROE_S, 2, FALSE))/(VLOOKUP(Main_S[[#This Row],[Industry]], Mean_ROE_S, 3, FALSE))</f>
        <v>2.0324329470432794</v>
      </c>
      <c r="R3" s="1">
        <f>(Main_S[[#This Row],[ROA]]-VLOOKUP(Main_S[[#This Row],[Industry]], Mean_ROA_S, 2, FALSE))/(VLOOKUP(Main_S[[#This Row],[Industry]], Mean_ROA_S, 3, FALSE))</f>
        <v>2.6869237114168891</v>
      </c>
      <c r="S3" s="1">
        <f>(Main_S[[#This Row],[A/E]]-VLOOKUP(Main_S[[#This Row],[Industry]], Mean_AE_S, 2, FALSE))/(VLOOKUP(Main_S[[#This Row],[Industry]], Mean_AE_S, 3, FALSE))</f>
        <v>-0.27797373804494468</v>
      </c>
      <c r="T3" s="1">
        <f>(Main_S[[#This Row],[P/E]]-VLOOKUP(Main_S[[#This Row],[Industry]], Mean_PE_S, 2, FALSE))/(VLOOKUP(Main_S[[#This Row],[Industry]], Mean_PE_S, 3, FALSE))</f>
        <v>0.16230234057845502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7" t="s">
        <v>165</v>
      </c>
      <c r="B4" s="67" t="s">
        <v>431</v>
      </c>
      <c r="C4" s="2">
        <v>1629</v>
      </c>
      <c r="D4">
        <f>RTD("tos.rtd", , "LAST", Main_S[[#This Row],[Symbol]])</f>
        <v>23.88</v>
      </c>
      <c r="E4">
        <v>2.95</v>
      </c>
      <c r="F4">
        <v>21.65</v>
      </c>
      <c r="G4">
        <v>-5.12</v>
      </c>
      <c r="H4" s="1">
        <f>IF(ISNUMBER(Main_S[[#This Row],[Free CF]]),IF(Main_S[[#This Row],[Free CF]]&lt;&gt;0,Main_S[[#This Row],[Current Price]]/Main_S[[#This Row],[Free CF]],""),"")</f>
        <v>8.0949152542372875</v>
      </c>
      <c r="I4" s="1">
        <f>IF(ISNUMBER(Main_S[[#This Row],[BVPS]]),IF(Main_S[[#This Row],[BVPS]]&lt;&gt;0,Main_S[[#This Row],[Current Price]]/Main_S[[#This Row],[BVPS]],""),"")</f>
        <v>1.1030023094688222</v>
      </c>
      <c r="J4">
        <v>-21.26</v>
      </c>
      <c r="K4">
        <v>2.09</v>
      </c>
      <c r="L4">
        <v>1.4</v>
      </c>
      <c r="M4" s="1">
        <f>IF(ISNUMBER(Main_S[[#This Row],[EPS]]),IF(Main_S[[#This Row],[EPS]]&lt;&gt;0,Main_S[[#This Row],[Current Price]]/Main_S[[#This Row],[EPS]],""),"")</f>
        <v>-4.6640625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-0.515286286289239</v>
      </c>
      <c r="P4" s="1">
        <f>(Main_S[[#This Row],[P/B]]-VLOOKUP(Main_S[[#This Row],[Industry]], Mean_PB_S, 2, FALSE))/(VLOOKUP(Main_S[[#This Row],[Industry]], Mean_PB_S, 3, FALSE))</f>
        <v>-0.66924458965922318</v>
      </c>
      <c r="Q4" s="1">
        <f>(Main_S[[#This Row],[ROE]]-VLOOKUP(Main_S[[#This Row],[Industry]], Mean_ROE_S, 2, FALSE))/(VLOOKUP(Main_S[[#This Row],[Industry]], Mean_ROE_S, 3, FALSE))</f>
        <v>-1.5964199697904611</v>
      </c>
      <c r="R4" s="1">
        <f>(Main_S[[#This Row],[ROA]]-VLOOKUP(Main_S[[#This Row],[Industry]], Mean_ROA_S, 2, FALSE))/(VLOOKUP(Main_S[[#This Row],[Industry]], Mean_ROA_S, 3, FALSE))</f>
        <v>0.11934940206526178</v>
      </c>
      <c r="S4" s="1">
        <f>(Main_S[[#This Row],[A/E]]-VLOOKUP(Main_S[[#This Row],[Industry]], Mean_AE_S, 2, FALSE))/(VLOOKUP(Main_S[[#This Row],[Industry]], Mean_AE_S, 3, FALSE))</f>
        <v>-0.86959041060962905</v>
      </c>
      <c r="T4" s="1">
        <f>(Main_S[[#This Row],[P/E]]-VLOOKUP(Main_S[[#This Row],[Industry]], Mean_PE_S, 2, FALSE))/(VLOOKUP(Main_S[[#This Row],[Industry]], Mean_PE_S, 3, FALSE))</f>
        <v>-0.99429668764043455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7" t="s">
        <v>165</v>
      </c>
      <c r="B5" s="67" t="s">
        <v>426</v>
      </c>
      <c r="C5" s="2">
        <v>1201</v>
      </c>
      <c r="D5">
        <f>RTD("tos.rtd", , "LAST", Main_S[[#This Row],[Symbol]])</f>
        <v>34.92</v>
      </c>
      <c r="E5">
        <v>2.92</v>
      </c>
      <c r="F5">
        <v>16.329999999999998</v>
      </c>
      <c r="G5">
        <v>1.1299999999999999</v>
      </c>
      <c r="H5" s="1">
        <f>IF(ISNUMBER(Main_S[[#This Row],[Free CF]]),IF(Main_S[[#This Row],[Free CF]]&lt;&gt;0,Main_S[[#This Row],[Current Price]]/Main_S[[#This Row],[Free CF]],""),"")</f>
        <v>11.958904109589042</v>
      </c>
      <c r="I5" s="1">
        <f>IF(ISNUMBER(Main_S[[#This Row],[BVPS]]),IF(Main_S[[#This Row],[BVPS]]&lt;&gt;0,Main_S[[#This Row],[Current Price]]/Main_S[[#This Row],[BVPS]],""),"")</f>
        <v>2.1383955909369261</v>
      </c>
      <c r="J5">
        <v>7.3</v>
      </c>
      <c r="K5">
        <v>4.2699999999999996</v>
      </c>
      <c r="L5">
        <v>1.29</v>
      </c>
      <c r="M5" s="1">
        <f>IF(ISNUMBER(Main_S[[#This Row],[EPS]]),IF(Main_S[[#This Row],[EPS]]&lt;&gt;0,Main_S[[#This Row],[Current Price]]/Main_S[[#This Row],[EPS]],""),"")</f>
        <v>30.90265486725664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-8.8761091053735586E-2</v>
      </c>
      <c r="P5" s="1">
        <f>(Main_S[[#This Row],[P/B]]-VLOOKUP(Main_S[[#This Row],[Industry]], Mean_PB_S, 2, FALSE))/(VLOOKUP(Main_S[[#This Row],[Industry]], Mean_PB_S, 3, FALSE))</f>
        <v>0.10694714818479861</v>
      </c>
      <c r="Q5" s="1">
        <f>(Main_S[[#This Row],[ROE]]-VLOOKUP(Main_S[[#This Row],[Industry]], Mean_ROE_S, 2, FALSE))/(VLOOKUP(Main_S[[#This Row],[Industry]], Mean_ROE_S, 3, FALSE))</f>
        <v>0.39780822541391886</v>
      </c>
      <c r="R5" s="1">
        <f>(Main_S[[#This Row],[ROA]]-VLOOKUP(Main_S[[#This Row],[Industry]], Mean_ROA_S, 2, FALSE))/(VLOOKUP(Main_S[[#This Row],[Industry]], Mean_ROA_S, 3, FALSE))</f>
        <v>0.59612214434690958</v>
      </c>
      <c r="S5" s="1">
        <f>(Main_S[[#This Row],[A/E]]-VLOOKUP(Main_S[[#This Row],[Industry]], Mean_AE_S, 2, FALSE))/(VLOOKUP(Main_S[[#This Row],[Industry]], Mean_AE_S, 3, FALSE))</f>
        <v>-1.0454764483991297</v>
      </c>
      <c r="T5" s="1">
        <f>(Main_S[[#This Row],[P/E]]-VLOOKUP(Main_S[[#This Row],[Industry]], Mean_PE_S, 2, FALSE))/(VLOOKUP(Main_S[[#This Row],[Industry]], Mean_PE_S, 3, FALSE))</f>
        <v>1.2883387586110946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7" t="s">
        <v>165</v>
      </c>
      <c r="B6" s="67" t="s">
        <v>424</v>
      </c>
      <c r="C6" s="2">
        <v>513</v>
      </c>
      <c r="D6">
        <f>RTD("tos.rtd", , "LAST", Main_S[[#This Row],[Symbol]])</f>
        <v>39.1</v>
      </c>
      <c r="E6">
        <v>1.23</v>
      </c>
      <c r="F6">
        <v>19</v>
      </c>
      <c r="G6">
        <v>-0.13</v>
      </c>
      <c r="H6" s="1">
        <f>IF(ISNUMBER(Main_S[[#This Row],[Free CF]]),IF(Main_S[[#This Row],[Free CF]]&lt;&gt;0,Main_S[[#This Row],[Current Price]]/Main_S[[#This Row],[Free CF]],""),"")</f>
        <v>31.788617886178862</v>
      </c>
      <c r="I6" s="1">
        <f>IF(ISNUMBER(Main_S[[#This Row],[BVPS]]),IF(Main_S[[#This Row],[BVPS]]&lt;&gt;0,Main_S[[#This Row],[Current Price]]/Main_S[[#This Row],[BVPS]],""),"")</f>
        <v>2.0578947368421052</v>
      </c>
      <c r="J6">
        <v>-0.68</v>
      </c>
      <c r="K6">
        <v>-1.8</v>
      </c>
      <c r="L6">
        <v>1.17</v>
      </c>
      <c r="M6" s="1">
        <f>IF(ISNUMBER(Main_S[[#This Row],[EPS]]),IF(Main_S[[#This Row],[EPS]]&lt;&gt;0,Main_S[[#This Row],[Current Price]]/Main_S[[#This Row],[EPS]],""),"")</f>
        <v>-300.76923076923077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2.1001356311274599</v>
      </c>
      <c r="P6" s="1">
        <f>(Main_S[[#This Row],[P/B]]-VLOOKUP(Main_S[[#This Row],[Industry]], Mean_PB_S, 2, FALSE))/(VLOOKUP(Main_S[[#This Row],[Industry]], Mean_PB_S, 3, FALSE))</f>
        <v>4.6598970389797226E-2</v>
      </c>
      <c r="Q6" s="1">
        <f>(Main_S[[#This Row],[ROE]]-VLOOKUP(Main_S[[#This Row],[Industry]], Mean_ROE_S, 2, FALSE))/(VLOOKUP(Main_S[[#This Row],[Industry]], Mean_ROE_S, 3, FALSE))</f>
        <v>-0.15940259383436373</v>
      </c>
      <c r="R6" s="1">
        <f>(Main_S[[#This Row],[ROA]]-VLOOKUP(Main_S[[#This Row],[Industry]], Mean_ROA_S, 2, FALSE))/(VLOOKUP(Main_S[[#This Row],[Industry]], Mean_ROA_S, 3, FALSE))</f>
        <v>-0.73140562888685312</v>
      </c>
      <c r="S6" s="1">
        <f>(Main_S[[#This Row],[A/E]]-VLOOKUP(Main_S[[#This Row],[Industry]], Mean_AE_S, 2, FALSE))/(VLOOKUP(Main_S[[#This Row],[Industry]], Mean_AE_S, 3, FALSE))</f>
        <v>-1.2373521259876761</v>
      </c>
      <c r="T6" s="1">
        <f>(Main_S[[#This Row],[P/E]]-VLOOKUP(Main_S[[#This Row],[Industry]], Mean_PE_S, 2, FALSE))/(VLOOKUP(Main_S[[#This Row],[Industry]], Mean_PE_S, 3, FALSE))</f>
        <v>-19.998022725395767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" spans="1:26" x14ac:dyDescent="0.25">
      <c r="A7" s="67" t="s">
        <v>165</v>
      </c>
      <c r="B7" s="67" t="s">
        <v>425</v>
      </c>
      <c r="C7" s="2">
        <v>1308</v>
      </c>
      <c r="D7">
        <f>RTD("tos.rtd", , "LAST", Main_S[[#This Row],[Symbol]])</f>
        <v>6.11</v>
      </c>
      <c r="E7">
        <v>1.06</v>
      </c>
      <c r="F7">
        <v>-11.77</v>
      </c>
      <c r="G7">
        <v>0.03</v>
      </c>
      <c r="H7" s="1">
        <f>IF(ISNUMBER(Main_S[[#This Row],[Free CF]]),IF(Main_S[[#This Row],[Free CF]]&lt;&gt;0,Main_S[[#This Row],[Current Price]]/Main_S[[#This Row],[Free CF]],""),"")</f>
        <v>5.7641509433962268</v>
      </c>
      <c r="I7" s="1">
        <f>IF(ISNUMBER(Main_S[[#This Row],[BVPS]]),IF(Main_S[[#This Row],[BVPS]]&lt;&gt;0,Main_S[[#This Row],[Current Price]]/Main_S[[#This Row],[BVPS]],""),"")</f>
        <v>-0.51911639762107054</v>
      </c>
      <c r="J7">
        <v>-4.1399999999999997</v>
      </c>
      <c r="K7">
        <v>4.08</v>
      </c>
      <c r="L7">
        <v>-2.95</v>
      </c>
      <c r="M7" s="1">
        <f>IF(ISNUMBER(Main_S[[#This Row],[EPS]]),IF(Main_S[[#This Row],[EPS]]&lt;&gt;0,Main_S[[#This Row],[Current Price]]/Main_S[[#This Row],[EPS]],""),"")</f>
        <v>203.66666666666669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-0.77256697211537018</v>
      </c>
      <c r="P7" s="1">
        <f>(Main_S[[#This Row],[P/B]]-VLOOKUP(Main_S[[#This Row],[Industry]], Mean_PB_S, 2, FALSE))/(VLOOKUP(Main_S[[#This Row],[Industry]], Mean_PB_S, 3, FALSE))</f>
        <v>-1.885280235998491</v>
      </c>
      <c r="Q7" s="1">
        <f>(Main_S[[#This Row],[ROE]]-VLOOKUP(Main_S[[#This Row],[Industry]], Mean_ROE_S, 2, FALSE))/(VLOOKUP(Main_S[[#This Row],[Industry]], Mean_ROE_S, 3, FALSE))</f>
        <v>-0.40100026734301758</v>
      </c>
      <c r="R7" s="1">
        <f>(Main_S[[#This Row],[ROA]]-VLOOKUP(Main_S[[#This Row],[Industry]], Mean_ROA_S, 2, FALSE))/(VLOOKUP(Main_S[[#This Row],[Industry]], Mean_ROA_S, 3, FALSE))</f>
        <v>0.5545685567168579</v>
      </c>
      <c r="S7" s="1">
        <f>(Main_S[[#This Row],[A/E]]-VLOOKUP(Main_S[[#This Row],[Industry]], Mean_AE_S, 2, FALSE))/(VLOOKUP(Main_S[[#This Row],[Industry]], Mean_AE_S, 3, FALSE))</f>
        <v>-7.8250837231944299</v>
      </c>
      <c r="T7" s="1">
        <f>(Main_S[[#This Row],[P/E]]-VLOOKUP(Main_S[[#This Row],[Industry]], Mean_PE_S, 2, FALSE))/(VLOOKUP(Main_S[[#This Row],[Industry]], Mean_PE_S, 3, FALSE))</f>
        <v>12.376155862952672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" spans="1:26" x14ac:dyDescent="0.25">
      <c r="A8" s="67" t="s">
        <v>165</v>
      </c>
      <c r="B8" s="67" t="s">
        <v>429</v>
      </c>
      <c r="C8" s="2">
        <v>1020</v>
      </c>
      <c r="D8">
        <f>RTD("tos.rtd", , "LAST", Main_S[[#This Row],[Symbol]])</f>
        <v>9.6300000000000008</v>
      </c>
      <c r="E8">
        <v>0.94</v>
      </c>
      <c r="F8">
        <v>3.89</v>
      </c>
      <c r="G8">
        <v>0.44</v>
      </c>
      <c r="H8" s="1">
        <f>IF(ISNUMBER(Main_S[[#This Row],[Free CF]]),IF(Main_S[[#This Row],[Free CF]]&lt;&gt;0,Main_S[[#This Row],[Current Price]]/Main_S[[#This Row],[Free CF]],""),"")</f>
        <v>10.244680851063832</v>
      </c>
      <c r="I8" s="1">
        <f>IF(ISNUMBER(Main_S[[#This Row],[BVPS]]),IF(Main_S[[#This Row],[BVPS]]&lt;&gt;0,Main_S[[#This Row],[Current Price]]/Main_S[[#This Row],[BVPS]],""),"")</f>
        <v>2.475578406169666</v>
      </c>
      <c r="J8">
        <v>12.45</v>
      </c>
      <c r="K8">
        <v>9.0500000000000007</v>
      </c>
      <c r="L8">
        <v>1.73</v>
      </c>
      <c r="M8" s="1">
        <f>IF(ISNUMBER(Main_S[[#This Row],[EPS]]),IF(Main_S[[#This Row],[EPS]]&lt;&gt;0,Main_S[[#This Row],[Current Price]]/Main_S[[#This Row],[EPS]],""),"")</f>
        <v>21.886363636363637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-0.27798508661651417</v>
      </c>
      <c r="P8" s="1">
        <f>(Main_S[[#This Row],[P/B]]-VLOOKUP(Main_S[[#This Row],[Industry]], Mean_PB_S, 2, FALSE))/(VLOOKUP(Main_S[[#This Row],[Industry]], Mean_PB_S, 3, FALSE))</f>
        <v>0.35971923006999718</v>
      </c>
      <c r="Q8" s="1">
        <f>(Main_S[[#This Row],[ROE]]-VLOOKUP(Main_S[[#This Row],[Industry]], Mean_ROE_S, 2, FALSE))/(VLOOKUP(Main_S[[#This Row],[Industry]], Mean_ROE_S, 3, FALSE))</f>
        <v>0.75741169898893834</v>
      </c>
      <c r="R8" s="1">
        <f>(Main_S[[#This Row],[ROA]]-VLOOKUP(Main_S[[#This Row],[Industry]], Mean_ROA_S, 2, FALSE))/(VLOOKUP(Main_S[[#This Row],[Industry]], Mean_ROA_S, 3, FALSE))</f>
        <v>1.6415229278818995</v>
      </c>
      <c r="S8" s="1">
        <f>(Main_S[[#This Row],[A/E]]-VLOOKUP(Main_S[[#This Row],[Industry]], Mean_AE_S, 2, FALSE))/(VLOOKUP(Main_S[[#This Row],[Industry]], Mean_AE_S, 3, FALSE))</f>
        <v>-0.34193229724112684</v>
      </c>
      <c r="T8" s="1">
        <f>(Main_S[[#This Row],[P/E]]-VLOOKUP(Main_S[[#This Row],[Industry]], Mean_PE_S, 2, FALSE))/(VLOOKUP(Main_S[[#This Row],[Industry]], Mean_PE_S, 3, FALSE))</f>
        <v>0.70968243379911311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7" t="s">
        <v>165</v>
      </c>
      <c r="B9" s="67" t="s">
        <v>502</v>
      </c>
      <c r="C9" s="2">
        <v>668</v>
      </c>
      <c r="D9">
        <f>RTD("tos.rtd", , "LAST", Main_S[[#This Row],[Symbol]])</f>
        <v>8.85</v>
      </c>
      <c r="E9">
        <v>0.84</v>
      </c>
      <c r="F9">
        <v>2.4700000000000002</v>
      </c>
      <c r="G9">
        <v>0.54</v>
      </c>
      <c r="H9" s="1">
        <f>IF(ISNUMBER(Main_S[[#This Row],[Free CF]]),IF(Main_S[[#This Row],[Free CF]]&lt;&gt;0,Main_S[[#This Row],[Current Price]]/Main_S[[#This Row],[Free CF]],""),"")</f>
        <v>10.535714285714286</v>
      </c>
      <c r="I9" s="1">
        <f>IF(ISNUMBER(Main_S[[#This Row],[BVPS]]),IF(Main_S[[#This Row],[BVPS]]&lt;&gt;0,Main_S[[#This Row],[Current Price]]/Main_S[[#This Row],[BVPS]],""),"")</f>
        <v>3.5829959514170038</v>
      </c>
      <c r="J9">
        <v>22.6</v>
      </c>
      <c r="K9">
        <v>9.9</v>
      </c>
      <c r="L9">
        <v>1.75</v>
      </c>
      <c r="M9" s="1">
        <f>IF(ISNUMBER(Main_S[[#This Row],[EPS]]),IF(Main_S[[#This Row],[EPS]]&lt;&gt;0,Main_S[[#This Row],[Current Price]]/Main_S[[#This Row],[EPS]],""),"")</f>
        <v>16.388888888888886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-0.24585945241277782</v>
      </c>
      <c r="P9" s="1">
        <f>(Main_S[[#This Row],[P/B]]-VLOOKUP(Main_S[[#This Row],[Industry]], Mean_PB_S, 2, FALSE))/(VLOOKUP(Main_S[[#This Row],[Industry]], Mean_PB_S, 3, FALSE))</f>
        <v>1.189904594751612</v>
      </c>
      <c r="Q9" s="1">
        <f>(Main_S[[#This Row],[ROE]]-VLOOKUP(Main_S[[#This Row],[Industry]], Mean_ROE_S, 2, FALSE))/(VLOOKUP(Main_S[[#This Row],[Industry]], Mean_ROE_S, 3, FALSE))</f>
        <v>1.4661447585591225</v>
      </c>
      <c r="R9" s="1">
        <f>(Main_S[[#This Row],[ROA]]-VLOOKUP(Main_S[[#This Row],[Industry]], Mean_ROA_S, 2, FALSE))/(VLOOKUP(Main_S[[#This Row],[Industry]], Mean_ROA_S, 3, FALSE))</f>
        <v>1.8274205567531843</v>
      </c>
      <c r="S9" s="1">
        <f>(Main_S[[#This Row],[A/E]]-VLOOKUP(Main_S[[#This Row],[Industry]], Mean_AE_S, 2, FALSE))/(VLOOKUP(Main_S[[#This Row],[Industry]], Mean_AE_S, 3, FALSE))</f>
        <v>-0.30995301764303579</v>
      </c>
      <c r="T9" s="1">
        <f>(Main_S[[#This Row],[P/E]]-VLOOKUP(Main_S[[#This Row],[Industry]], Mean_PE_S, 2, FALSE))/(VLOOKUP(Main_S[[#This Row],[Industry]], Mean_PE_S, 3, FALSE))</f>
        <v>0.35686014227633323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7" t="s">
        <v>165</v>
      </c>
      <c r="B10" s="67" t="s">
        <v>422</v>
      </c>
      <c r="C10" s="2">
        <v>642</v>
      </c>
      <c r="D10">
        <f>RTD("tos.rtd", , "LAST", Main_S[[#This Row],[Symbol]])</f>
        <v>8.32</v>
      </c>
      <c r="E10">
        <v>0.52</v>
      </c>
      <c r="F10">
        <v>1.74</v>
      </c>
      <c r="G10">
        <v>-1.62</v>
      </c>
      <c r="H10" s="1">
        <f>IF(ISNUMBER(Main_S[[#This Row],[Free CF]]),IF(Main_S[[#This Row],[Free CF]]&lt;&gt;0,Main_S[[#This Row],[Current Price]]/Main_S[[#This Row],[Free CF]],""),"")</f>
        <v>16</v>
      </c>
      <c r="I10" s="1">
        <f>IF(ISNUMBER(Main_S[[#This Row],[BVPS]]),IF(Main_S[[#This Row],[BVPS]]&lt;&gt;0,Main_S[[#This Row],[Current Price]]/Main_S[[#This Row],[BVPS]],""),"")</f>
        <v>4.7816091954022992</v>
      </c>
      <c r="J10">
        <v>-19.190000000000001</v>
      </c>
      <c r="K10">
        <v>-2.88</v>
      </c>
      <c r="L10">
        <v>8.59</v>
      </c>
      <c r="M10" s="1">
        <f>IF(ISNUMBER(Main_S[[#This Row],[EPS]]),IF(Main_S[[#This Row],[EPS]]&lt;&gt;0,Main_S[[#This Row],[Current Price]]/Main_S[[#This Row],[EPS]],""),"")</f>
        <v>-5.1358024691358022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0.35731400857695811</v>
      </c>
      <c r="P10" s="1">
        <f>(Main_S[[#This Row],[P/B]]-VLOOKUP(Main_S[[#This Row],[Industry]], Mean_PB_S, 2, FALSE))/(VLOOKUP(Main_S[[#This Row],[Industry]], Mean_PB_S, 3, FALSE))</f>
        <v>2.0884556221763222</v>
      </c>
      <c r="Q10" s="1">
        <f>(Main_S[[#This Row],[ROE]]-VLOOKUP(Main_S[[#This Row],[Industry]], Mean_ROE_S, 2, FALSE))/(VLOOKUP(Main_S[[#This Row],[Industry]], Mean_ROE_S, 3, FALSE))</f>
        <v>-1.451880321188463</v>
      </c>
      <c r="R10" s="1">
        <f>(Main_S[[#This Row],[ROA]]-VLOOKUP(Main_S[[#This Row],[Industry]], Mean_ROA_S, 2, FALSE))/(VLOOKUP(Main_S[[#This Row],[Industry]], Mean_ROA_S, 3, FALSE))</f>
        <v>-0.96760496909977967</v>
      </c>
      <c r="S10" s="1">
        <f>(Main_S[[#This Row],[A/E]]-VLOOKUP(Main_S[[#This Row],[Industry]], Mean_AE_S, 2, FALSE))/(VLOOKUP(Main_S[[#This Row],[Industry]], Mean_AE_S, 3, FALSE))</f>
        <v>10.626960604904101</v>
      </c>
      <c r="T10" s="1">
        <f>(Main_S[[#This Row],[P/E]]-VLOOKUP(Main_S[[#This Row],[Industry]], Mean_PE_S, 2, FALSE))/(VLOOKUP(Main_S[[#This Row],[Industry]], Mean_PE_S, 3, FALSE))</f>
        <v>-1.0245724750808103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7" t="s">
        <v>165</v>
      </c>
      <c r="B11" s="67" t="s">
        <v>503</v>
      </c>
      <c r="C11" s="2">
        <v>278</v>
      </c>
      <c r="D11">
        <f>RTD("tos.rtd", , "LAST", Main_S[[#This Row],[Symbol]])</f>
        <v>9.51</v>
      </c>
      <c r="E11">
        <v>0.49</v>
      </c>
      <c r="F11">
        <v>6.3</v>
      </c>
      <c r="G11">
        <v>0.56000000000000005</v>
      </c>
      <c r="H11" s="1">
        <f>IF(ISNUMBER(Main_S[[#This Row],[Free CF]]),IF(Main_S[[#This Row],[Free CF]]&lt;&gt;0,Main_S[[#This Row],[Current Price]]/Main_S[[#This Row],[Free CF]],""),"")</f>
        <v>19.408163265306122</v>
      </c>
      <c r="I11" s="1">
        <f>IF(ISNUMBER(Main_S[[#This Row],[BVPS]]),IF(Main_S[[#This Row],[BVPS]]&lt;&gt;0,Main_S[[#This Row],[Current Price]]/Main_S[[#This Row],[BVPS]],""),"")</f>
        <v>1.5095238095238095</v>
      </c>
      <c r="J11">
        <v>9.33</v>
      </c>
      <c r="K11">
        <v>3.29</v>
      </c>
      <c r="L11">
        <v>1.78</v>
      </c>
      <c r="M11" s="1">
        <f>IF(ISNUMBER(Main_S[[#This Row],[EPS]]),IF(Main_S[[#This Row],[EPS]]&lt;&gt;0,Main_S[[#This Row],[Current Price]]/Main_S[[#This Row],[EPS]],""),"")</f>
        <v>16.982142857142854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0.73352303933432839</v>
      </c>
      <c r="P11" s="1">
        <f>(Main_S[[#This Row],[P/B]]-VLOOKUP(Main_S[[#This Row],[Industry]], Mean_PB_S, 2, FALSE))/(VLOOKUP(Main_S[[#This Row],[Industry]], Mean_PB_S, 3, FALSE))</f>
        <v>-0.36449214897192128</v>
      </c>
      <c r="Q11" s="1">
        <f>(Main_S[[#This Row],[ROE]]-VLOOKUP(Main_S[[#This Row],[Industry]], Mean_ROE_S, 2, FALSE))/(VLOOKUP(Main_S[[#This Row],[Industry]], Mean_ROE_S, 3, FALSE))</f>
        <v>0.53955483732795573</v>
      </c>
      <c r="R11" s="1">
        <f>(Main_S[[#This Row],[ROA]]-VLOOKUP(Main_S[[#This Row],[Industry]], Mean_ROA_S, 2, FALSE))/(VLOOKUP(Main_S[[#This Row],[Industry]], Mean_ROA_S, 3, FALSE))</f>
        <v>0.38179311341295796</v>
      </c>
      <c r="S11" s="1">
        <f>(Main_S[[#This Row],[A/E]]-VLOOKUP(Main_S[[#This Row],[Industry]], Mean_AE_S, 2, FALSE))/(VLOOKUP(Main_S[[#This Row],[Industry]], Mean_AE_S, 3, FALSE))</f>
        <v>-0.26198409824589919</v>
      </c>
      <c r="T11" s="1">
        <f>(Main_S[[#This Row],[P/E]]-VLOOKUP(Main_S[[#This Row],[Industry]], Mean_PE_S, 2, FALSE))/(VLOOKUP(Main_S[[#This Row],[Industry]], Mean_PE_S, 3, FALSE))</f>
        <v>0.39493457356507999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7" t="s">
        <v>165</v>
      </c>
      <c r="B12" s="67" t="s">
        <v>428</v>
      </c>
      <c r="C12" s="2">
        <v>318</v>
      </c>
      <c r="D12">
        <f>RTD("tos.rtd", , "LAST", Main_S[[#This Row],[Symbol]])</f>
        <v>6.03</v>
      </c>
      <c r="E12">
        <v>0.24</v>
      </c>
      <c r="F12">
        <v>5.25</v>
      </c>
      <c r="G12">
        <v>0.24</v>
      </c>
      <c r="H12" s="1">
        <f>IF(ISNUMBER(Main_S[[#This Row],[Free CF]]),IF(Main_S[[#This Row],[Free CF]]&lt;&gt;0,Main_S[[#This Row],[Current Price]]/Main_S[[#This Row],[Free CF]],""),"")</f>
        <v>25.125000000000004</v>
      </c>
      <c r="I12" s="1">
        <f>IF(ISNUMBER(Main_S[[#This Row],[BVPS]]),IF(Main_S[[#This Row],[BVPS]]&lt;&gt;0,Main_S[[#This Row],[Current Price]]/Main_S[[#This Row],[BVPS]],""),"")</f>
        <v>1.1485714285714286</v>
      </c>
      <c r="J12">
        <v>4.79</v>
      </c>
      <c r="K12">
        <v>1.89</v>
      </c>
      <c r="L12">
        <v>1.95</v>
      </c>
      <c r="M12" s="1">
        <f>IF(ISNUMBER(Main_S[[#This Row],[EPS]]),IF(Main_S[[#This Row],[EPS]]&lt;&gt;0,Main_S[[#This Row],[Current Price]]/Main_S[[#This Row],[EPS]],""),"")</f>
        <v>25.125000000000004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1.3645742653277921</v>
      </c>
      <c r="P12" s="1">
        <f>(Main_S[[#This Row],[P/B]]-VLOOKUP(Main_S[[#This Row],[Industry]], Mean_PB_S, 2, FALSE))/(VLOOKUP(Main_S[[#This Row],[Industry]], Mean_PB_S, 3, FALSE))</f>
        <v>-0.63508329618615655</v>
      </c>
      <c r="Q12" s="1">
        <f>(Main_S[[#This Row],[ROE]]-VLOOKUP(Main_S[[#This Row],[Industry]], Mean_ROE_S, 2, FALSE))/(VLOOKUP(Main_S[[#This Row],[Industry]], Mean_ROE_S, 3, FALSE))</f>
        <v>0.22254517324434628</v>
      </c>
      <c r="R12" s="1">
        <f>(Main_S[[#This Row],[ROA]]-VLOOKUP(Main_S[[#This Row],[Industry]], Mean_ROA_S, 2, FALSE))/(VLOOKUP(Main_S[[#This Row],[Industry]], Mean_ROA_S, 3, FALSE))</f>
        <v>7.5608783507312441E-2</v>
      </c>
      <c r="S12" s="1">
        <f>(Main_S[[#This Row],[A/E]]-VLOOKUP(Main_S[[#This Row],[Industry]], Mean_AE_S, 2, FALSE))/(VLOOKUP(Main_S[[#This Row],[Industry]], Mean_AE_S, 3, FALSE))</f>
        <v>9.8397783378745569E-3</v>
      </c>
      <c r="T12" s="1">
        <f>(Main_S[[#This Row],[P/E]]-VLOOKUP(Main_S[[#This Row],[Industry]], Mean_PE_S, 2, FALSE))/(VLOOKUP(Main_S[[#This Row],[Industry]], Mean_PE_S, 3, FALSE))</f>
        <v>0.91753479433102192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7" t="s">
        <v>165</v>
      </c>
      <c r="B13" s="67" t="s">
        <v>433</v>
      </c>
      <c r="C13" s="2">
        <v>597</v>
      </c>
      <c r="D13">
        <f>RTD("tos.rtd", , "LAST", Main_S[[#This Row],[Symbol]])</f>
        <v>3.97</v>
      </c>
      <c r="E13">
        <v>0.01</v>
      </c>
      <c r="F13">
        <v>2.17</v>
      </c>
      <c r="G13">
        <v>-0.28999999999999998</v>
      </c>
      <c r="H13" s="1">
        <f>IF(ISNUMBER(Main_S[[#This Row],[Free CF]]),IF(Main_S[[#This Row],[Free CF]]&lt;&gt;0,Main_S[[#This Row],[Current Price]]/Main_S[[#This Row],[Free CF]],""),"")</f>
        <v>397</v>
      </c>
      <c r="I13" s="1">
        <f>IF(ISNUMBER(Main_S[[#This Row],[BVPS]]),IF(Main_S[[#This Row],[BVPS]]&lt;&gt;0,Main_S[[#This Row],[Current Price]]/Main_S[[#This Row],[BVPS]],""),"")</f>
        <v>1.8294930875576039</v>
      </c>
      <c r="J13">
        <v>-12.42</v>
      </c>
      <c r="K13">
        <v>1.31</v>
      </c>
      <c r="L13">
        <v>2.98</v>
      </c>
      <c r="M13" s="1">
        <f>IF(ISNUMBER(Main_S[[#This Row],[EPS]]),IF(Main_S[[#This Row],[EPS]]&lt;&gt;0,Main_S[[#This Row],[Current Price]]/Main_S[[#This Row],[EPS]],""),"")</f>
        <v>-13.689655172413795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42.413879249351488</v>
      </c>
      <c r="P13" s="1">
        <f>(Main_S[[#This Row],[P/B]]-VLOOKUP(Main_S[[#This Row],[Industry]], Mean_PB_S, 2, FALSE))/(VLOOKUP(Main_S[[#This Row],[Industry]], Mean_PB_S, 3, FALSE))</f>
        <v>-0.12462434760701674</v>
      </c>
      <c r="Q13" s="1">
        <f>(Main_S[[#This Row],[ROE]]-VLOOKUP(Main_S[[#This Row],[Industry]], Mean_ROE_S, 2, FALSE))/(VLOOKUP(Main_S[[#This Row],[Industry]], Mean_ROE_S, 3, FALSE))</f>
        <v>-0.97915886175101008</v>
      </c>
      <c r="R13" s="1">
        <f>(Main_S[[#This Row],[ROA]]-VLOOKUP(Main_S[[#This Row],[Industry]], Mean_ROA_S, 2, FALSE))/(VLOOKUP(Main_S[[#This Row],[Industry]], Mean_ROA_S, 3, FALSE))</f>
        <v>-5.1239010310740657E-2</v>
      </c>
      <c r="S13" s="1">
        <f>(Main_S[[#This Row],[A/E]]-VLOOKUP(Main_S[[#This Row],[Industry]], Mean_AE_S, 2, FALSE))/(VLOOKUP(Main_S[[#This Row],[Industry]], Mean_AE_S, 3, FALSE))</f>
        <v>1.656772677639563</v>
      </c>
      <c r="T13" s="1">
        <f>(Main_S[[#This Row],[P/E]]-VLOOKUP(Main_S[[#This Row],[Industry]], Mean_PE_S, 2, FALSE))/(VLOOKUP(Main_S[[#This Row],[Industry]], Mean_PE_S, 3, FALSE))</f>
        <v>-1.5735499694304065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7" t="s">
        <v>165</v>
      </c>
      <c r="B14" s="67" t="s">
        <v>423</v>
      </c>
      <c r="C14" s="2">
        <v>272</v>
      </c>
      <c r="D14">
        <f>RTD("tos.rtd", , "LAST", Main_S[[#This Row],[Symbol]])</f>
        <v>22.87</v>
      </c>
      <c r="E14">
        <v>-0.63</v>
      </c>
      <c r="F14">
        <v>20.18</v>
      </c>
      <c r="G14">
        <v>-0.18</v>
      </c>
      <c r="H14" s="1">
        <f>IF(ISNUMBER(Main_S[[#This Row],[Free CF]]),IF(Main_S[[#This Row],[Free CF]]&lt;&gt;0,Main_S[[#This Row],[Current Price]]/Main_S[[#This Row],[Free CF]],""),"")</f>
        <v>-36.301587301587304</v>
      </c>
      <c r="I14" s="1">
        <f>IF(ISNUMBER(Main_S[[#This Row],[BVPS]]),IF(Main_S[[#This Row],[BVPS]]&lt;&gt;0,Main_S[[#This Row],[Current Price]]/Main_S[[#This Row],[BVPS]],""),"")</f>
        <v>1.1333002973240833</v>
      </c>
      <c r="J14">
        <v>-0.9</v>
      </c>
      <c r="K14">
        <v>2.08</v>
      </c>
      <c r="L14">
        <v>2.4500000000000002</v>
      </c>
      <c r="M14" s="1">
        <f>IF(ISNUMBER(Main_S[[#This Row],[EPS]]),IF(Main_S[[#This Row],[EPS]]&lt;&gt;0,Main_S[[#This Row],[Current Price]]/Main_S[[#This Row],[EPS]],""),"")</f>
        <v>-127.05555555555557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-5.4159802658200791</v>
      </c>
      <c r="P14" s="1">
        <f>(Main_S[[#This Row],[P/B]]-VLOOKUP(Main_S[[#This Row],[Industry]], Mean_PB_S, 2, FALSE))/(VLOOKUP(Main_S[[#This Row],[Industry]], Mean_PB_S, 3, FALSE))</f>
        <v>-0.64653143489236298</v>
      </c>
      <c r="Q14" s="1">
        <f>(Main_S[[#This Row],[ROE]]-VLOOKUP(Main_S[[#This Row],[Industry]], Mean_ROE_S, 2, FALSE))/(VLOOKUP(Main_S[[#This Row],[Industry]], Mean_ROE_S, 3, FALSE))</f>
        <v>-0.17476429561815096</v>
      </c>
      <c r="R14" s="1">
        <f>(Main_S[[#This Row],[ROA]]-VLOOKUP(Main_S[[#This Row],[Industry]], Mean_ROA_S, 2, FALSE))/(VLOOKUP(Main_S[[#This Row],[Industry]], Mean_ROA_S, 3, FALSE))</f>
        <v>0.11716237113736436</v>
      </c>
      <c r="S14" s="1">
        <f>(Main_S[[#This Row],[A/E]]-VLOOKUP(Main_S[[#This Row],[Industry]], Mean_AE_S, 2, FALSE))/(VLOOKUP(Main_S[[#This Row],[Industry]], Mean_AE_S, 3, FALSE))</f>
        <v>0.8093217682901509</v>
      </c>
      <c r="T14" s="1">
        <f>(Main_S[[#This Row],[P/E]]-VLOOKUP(Main_S[[#This Row],[Industry]], Mean_PE_S, 2, FALSE))/(VLOOKUP(Main_S[[#This Row],[Industry]], Mean_PE_S, 3, FALSE))</f>
        <v>-8.8492571970254481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s="67" t="s">
        <v>165</v>
      </c>
      <c r="B15" s="67" t="s">
        <v>434</v>
      </c>
      <c r="C15" s="2">
        <v>1138</v>
      </c>
      <c r="D15">
        <f>RTD("tos.rtd", , "LAST", Main_S[[#This Row],[Symbol]])</f>
        <v>10.61</v>
      </c>
      <c r="E15">
        <v>-0.95</v>
      </c>
      <c r="F15">
        <v>34.97</v>
      </c>
      <c r="G15">
        <v>-4.4800000000000004</v>
      </c>
      <c r="H15" s="1">
        <f>IF(ISNUMBER(Main_S[[#This Row],[Free CF]]),IF(Main_S[[#This Row],[Free CF]]&lt;&gt;0,Main_S[[#This Row],[Current Price]]/Main_S[[#This Row],[Free CF]],""),"")</f>
        <v>-11.168421052631579</v>
      </c>
      <c r="I15" s="1">
        <f>IF(ISNUMBER(Main_S[[#This Row],[BVPS]]),IF(Main_S[[#This Row],[BVPS]]&lt;&gt;0,Main_S[[#This Row],[Current Price]]/Main_S[[#This Row],[BVPS]],""),"")</f>
        <v>0.30340291678581643</v>
      </c>
      <c r="J15">
        <v>-10.93</v>
      </c>
      <c r="K15">
        <v>0.28000000000000003</v>
      </c>
      <c r="L15">
        <v>3.39</v>
      </c>
      <c r="M15" s="1">
        <f>IF(ISNUMBER(Main_S[[#This Row],[EPS]]),IF(Main_S[[#This Row],[EPS]]&lt;&gt;0,Main_S[[#This Row],[Current Price]]/Main_S[[#This Row],[EPS]],""),"")</f>
        <v>-2.3683035714285712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-2.6416636095039667</v>
      </c>
      <c r="P15" s="1">
        <f>(Main_S[[#This Row],[P/B]]-VLOOKUP(Main_S[[#This Row],[Industry]], Mean_PB_S, 2, FALSE))/(VLOOKUP(Main_S[[#This Row],[Industry]], Mean_PB_S, 3, FALSE))</f>
        <v>-1.2686713517352004</v>
      </c>
      <c r="Q15" s="1">
        <f>(Main_S[[#This Row],[ROE]]-VLOOKUP(Main_S[[#This Row],[Industry]], Mean_ROE_S, 2, FALSE))/(VLOOKUP(Main_S[[#This Row],[Industry]], Mean_ROE_S, 3, FALSE))</f>
        <v>-0.87511824512445102</v>
      </c>
      <c r="R15" s="1">
        <f>(Main_S[[#This Row],[ROA]]-VLOOKUP(Main_S[[#This Row],[Industry]], Mean_ROA_S, 2, FALSE))/(VLOOKUP(Main_S[[#This Row],[Industry]], Mean_ROA_S, 3, FALSE))</f>
        <v>-0.27650319588417982</v>
      </c>
      <c r="S15" s="1">
        <f>(Main_S[[#This Row],[A/E]]-VLOOKUP(Main_S[[#This Row],[Industry]], Mean_AE_S, 2, FALSE))/(VLOOKUP(Main_S[[#This Row],[Industry]], Mean_AE_S, 3, FALSE))</f>
        <v>2.3123479094004296</v>
      </c>
      <c r="T15" s="1">
        <f>(Main_S[[#This Row],[P/E]]-VLOOKUP(Main_S[[#This Row],[Industry]], Mean_PE_S, 2, FALSE))/(VLOOKUP(Main_S[[#This Row],[Industry]], Mean_PE_S, 3, FALSE))</f>
        <v>-0.84695723395135269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7" t="s">
        <v>165</v>
      </c>
      <c r="B16" s="67" t="s">
        <v>421</v>
      </c>
      <c r="C16" s="2">
        <v>866</v>
      </c>
      <c r="D16">
        <f>RTD("tos.rtd", , "LAST", Main_S[[#This Row],[Symbol]])</f>
        <v>16.87</v>
      </c>
      <c r="E16">
        <v>-3.84</v>
      </c>
      <c r="F16">
        <v>5.81</v>
      </c>
      <c r="G16">
        <v>-3.89</v>
      </c>
      <c r="H16" s="1">
        <f>IF(ISNUMBER(Main_S[[#This Row],[Free CF]]),IF(Main_S[[#This Row],[Free CF]]&lt;&gt;0,Main_S[[#This Row],[Current Price]]/Main_S[[#This Row],[Free CF]],""),"")</f>
        <v>-4.393229166666667</v>
      </c>
      <c r="I16" s="1">
        <f>IF(ISNUMBER(Main_S[[#This Row],[BVPS]]),IF(Main_S[[#This Row],[BVPS]]&lt;&gt;0,Main_S[[#This Row],[Current Price]]/Main_S[[#This Row],[BVPS]],""),"")</f>
        <v>2.9036144578313259</v>
      </c>
      <c r="J16">
        <v>-68.44</v>
      </c>
      <c r="K16">
        <v>-7.31</v>
      </c>
      <c r="L16">
        <v>2.09</v>
      </c>
      <c r="M16" s="1">
        <f>IF(ISNUMBER(Main_S[[#This Row],[EPS]]),IF(Main_S[[#This Row],[EPS]]&lt;&gt;0,Main_S[[#This Row],[Current Price]]/Main_S[[#This Row],[EPS]],""),"")</f>
        <v>-4.3367609254498714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-1.8937861828088234</v>
      </c>
      <c r="P16" s="1">
        <f>(Main_S[[#This Row],[P/B]]-VLOOKUP(Main_S[[#This Row],[Industry]], Mean_PB_S, 2, FALSE))/(VLOOKUP(Main_S[[#This Row],[Industry]], Mean_PB_S, 3, FALSE))</f>
        <v>0.68060024479714576</v>
      </c>
      <c r="Q16" s="1">
        <f>(Main_S[[#This Row],[ROE]]-VLOOKUP(Main_S[[#This Row],[Industry]], Mean_ROE_S, 2, FALSE))/(VLOOKUP(Main_S[[#This Row],[Industry]], Mean_ROE_S, 3, FALSE))</f>
        <v>-4.8908067432408338</v>
      </c>
      <c r="R16" s="1">
        <f>(Main_S[[#This Row],[ROA]]-VLOOKUP(Main_S[[#This Row],[Industry]], Mean_ROA_S, 2, FALSE))/(VLOOKUP(Main_S[[#This Row],[Industry]], Mean_ROA_S, 3, FALSE))</f>
        <v>-1.9364596701583578</v>
      </c>
      <c r="S16" s="1">
        <f>(Main_S[[#This Row],[A/E]]-VLOOKUP(Main_S[[#This Row],[Industry]], Mean_AE_S, 2, FALSE))/(VLOOKUP(Main_S[[#This Row],[Industry]], Mean_AE_S, 3, FALSE))</f>
        <v>0.23369473552451167</v>
      </c>
      <c r="T16" s="1">
        <f>(Main_S[[#This Row],[P/E]]-VLOOKUP(Main_S[[#This Row],[Industry]], Mean_PE_S, 2, FALSE))/(VLOOKUP(Main_S[[#This Row],[Industry]], Mean_PE_S, 3, FALSE))</f>
        <v>-0.97329080824010894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7" t="s">
        <v>186</v>
      </c>
      <c r="B17" s="67" t="s">
        <v>460</v>
      </c>
      <c r="C17" s="2">
        <v>1893</v>
      </c>
      <c r="D17">
        <f>RTD("tos.rtd", , "LAST", Main_S[[#This Row],[Symbol]])</f>
        <v>72.16</v>
      </c>
      <c r="E17">
        <v>11.15</v>
      </c>
      <c r="F17">
        <v>37.24</v>
      </c>
      <c r="G17">
        <v>4.05</v>
      </c>
      <c r="H17" s="1">
        <f>IF(ISNUMBER(Main_S[[#This Row],[Free CF]]),IF(Main_S[[#This Row],[Free CF]]&lt;&gt;0,Main_S[[#This Row],[Current Price]]/Main_S[[#This Row],[Free CF]],""),"")</f>
        <v>6.4717488789237665</v>
      </c>
      <c r="I17" s="1">
        <f>IF(ISNUMBER(Main_S[[#This Row],[BVPS]]),IF(Main_S[[#This Row],[BVPS]]&lt;&gt;0,Main_S[[#This Row],[Current Price]]/Main_S[[#This Row],[BVPS]],""),"")</f>
        <v>1.9377013963480128</v>
      </c>
      <c r="J17">
        <v>11.49</v>
      </c>
      <c r="K17">
        <v>5.0199999999999996</v>
      </c>
      <c r="L17">
        <v>1.93</v>
      </c>
      <c r="M17" s="1">
        <f>IF(ISNUMBER(Main_S[[#This Row],[EPS]]),IF(Main_S[[#This Row],[EPS]]&lt;&gt;0,Main_S[[#This Row],[Current Price]]/Main_S[[#This Row],[EPS]],""),"")</f>
        <v>17.817283950617284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4.245991415562167E-2</v>
      </c>
      <c r="P17" s="1">
        <f>(Main_S[[#This Row],[P/B]]-VLOOKUP(Main_S[[#This Row],[Industry]], Mean_PB_S, 2, FALSE))/(VLOOKUP(Main_S[[#This Row],[Industry]], Mean_PB_S, 3, FALSE))</f>
        <v>-0.51151803873331092</v>
      </c>
      <c r="Q17" s="1">
        <f>(Main_S[[#This Row],[ROE]]-VLOOKUP(Main_S[[#This Row],[Industry]], Mean_ROE_S, 2, FALSE))/(VLOOKUP(Main_S[[#This Row],[Industry]], Mean_ROE_S, 3, FALSE))</f>
        <v>0.65207406029736825</v>
      </c>
      <c r="R17" s="1">
        <f>(Main_S[[#This Row],[ROA]]-VLOOKUP(Main_S[[#This Row],[Industry]], Mean_ROA_S, 2, FALSE))/(VLOOKUP(Main_S[[#This Row],[Industry]], Mean_ROA_S, 3, FALSE))</f>
        <v>0.53144423867727075</v>
      </c>
      <c r="S17" s="1">
        <f>(Main_S[[#This Row],[A/E]]-VLOOKUP(Main_S[[#This Row],[Industry]], Mean_AE_S, 2, FALSE))/(VLOOKUP(Main_S[[#This Row],[Industry]], Mean_AE_S, 3, FALSE))</f>
        <v>0.22994549680470605</v>
      </c>
      <c r="T17" s="1">
        <f>(Main_S[[#This Row],[P/E]]-VLOOKUP(Main_S[[#This Row],[Industry]], Mean_PE_S, 2, FALSE))/(VLOOKUP(Main_S[[#This Row],[Industry]], Mean_PE_S, 3, FALSE))</f>
        <v>0.33461702445315461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7" t="s">
        <v>186</v>
      </c>
      <c r="B18" s="67" t="s">
        <v>461</v>
      </c>
      <c r="C18" s="2">
        <v>912</v>
      </c>
      <c r="D18">
        <f>RTD("tos.rtd", , "LAST", Main_S[[#This Row],[Symbol]])</f>
        <v>41.97</v>
      </c>
      <c r="E18">
        <v>6.37</v>
      </c>
      <c r="F18">
        <v>39.39</v>
      </c>
      <c r="G18">
        <v>2.78</v>
      </c>
      <c r="H18" s="1">
        <f>IF(ISNUMBER(Main_S[[#This Row],[Free CF]]),IF(Main_S[[#This Row],[Free CF]]&lt;&gt;0,Main_S[[#This Row],[Current Price]]/Main_S[[#This Row],[Free CF]],""),"")</f>
        <v>6.5886970172684451</v>
      </c>
      <c r="I18" s="1">
        <f>IF(ISNUMBER(Main_S[[#This Row],[BVPS]]),IF(Main_S[[#This Row],[BVPS]]&lt;&gt;0,Main_S[[#This Row],[Current Price]]/Main_S[[#This Row],[BVPS]],""),"")</f>
        <v>1.0654988575780655</v>
      </c>
      <c r="J18">
        <v>7.32</v>
      </c>
      <c r="K18">
        <v>3.22</v>
      </c>
      <c r="L18">
        <v>1.91</v>
      </c>
      <c r="M18" s="1">
        <f>IF(ISNUMBER(Main_S[[#This Row],[EPS]]),IF(Main_S[[#This Row],[EPS]]&lt;&gt;0,Main_S[[#This Row],[Current Price]]/Main_S[[#This Row],[EPS]],""),"")</f>
        <v>15.097122302158274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4.7941814468859312E-2</v>
      </c>
      <c r="P18" s="1">
        <f>(Main_S[[#This Row],[P/B]]-VLOOKUP(Main_S[[#This Row],[Industry]], Mean_PB_S, 2, FALSE))/(VLOOKUP(Main_S[[#This Row],[Industry]], Mean_PB_S, 3, FALSE))</f>
        <v>-0.90161968186764752</v>
      </c>
      <c r="Q18" s="1">
        <f>(Main_S[[#This Row],[ROE]]-VLOOKUP(Main_S[[#This Row],[Industry]], Mean_ROE_S, 2, FALSE))/(VLOOKUP(Main_S[[#This Row],[Industry]], Mean_ROE_S, 3, FALSE))</f>
        <v>0.42871241483561445</v>
      </c>
      <c r="R18" s="1">
        <f>(Main_S[[#This Row],[ROA]]-VLOOKUP(Main_S[[#This Row],[Industry]], Mean_ROA_S, 2, FALSE))/(VLOOKUP(Main_S[[#This Row],[Industry]], Mean_ROA_S, 3, FALSE))</f>
        <v>0.27380322071230517</v>
      </c>
      <c r="S18" s="1">
        <f>(Main_S[[#This Row],[A/E]]-VLOOKUP(Main_S[[#This Row],[Industry]], Mean_AE_S, 2, FALSE))/(VLOOKUP(Main_S[[#This Row],[Industry]], Mean_AE_S, 3, FALSE))</f>
        <v>0.18183974433510242</v>
      </c>
      <c r="T18" s="1">
        <f>(Main_S[[#This Row],[P/E]]-VLOOKUP(Main_S[[#This Row],[Industry]], Mean_PE_S, 2, FALSE))/(VLOOKUP(Main_S[[#This Row],[Industry]], Mean_PE_S, 3, FALSE))</f>
        <v>0.20815216311214346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7" t="s">
        <v>186</v>
      </c>
      <c r="B19" s="67" t="s">
        <v>458</v>
      </c>
      <c r="C19" s="2">
        <v>507</v>
      </c>
      <c r="D19">
        <f>RTD("tos.rtd", , "LAST", Main_S[[#This Row],[Symbol]])</f>
        <v>106.32</v>
      </c>
      <c r="E19">
        <v>5.16</v>
      </c>
      <c r="F19">
        <v>21.21</v>
      </c>
      <c r="G19">
        <v>4.26</v>
      </c>
      <c r="H19" s="1">
        <f>IF(ISNUMBER(Main_S[[#This Row],[Free CF]]),IF(Main_S[[#This Row],[Free CF]]&lt;&gt;0,Main_S[[#This Row],[Current Price]]/Main_S[[#This Row],[Free CF]],""),"")</f>
        <v>20.604651162790695</v>
      </c>
      <c r="I19" s="1">
        <f>IF(ISNUMBER(Main_S[[#This Row],[BVPS]]),IF(Main_S[[#This Row],[BVPS]]&lt;&gt;0,Main_S[[#This Row],[Current Price]]/Main_S[[#This Row],[BVPS]],""),"")</f>
        <v>5.0127298444130126</v>
      </c>
      <c r="J19">
        <v>22.75</v>
      </c>
      <c r="K19">
        <v>5.91</v>
      </c>
      <c r="L19">
        <v>3.87</v>
      </c>
      <c r="M19" s="1">
        <f>IF(ISNUMBER(Main_S[[#This Row],[EPS]]),IF(Main_S[[#This Row],[EPS]]&lt;&gt;0,Main_S[[#This Row],[Current Price]]/Main_S[[#This Row],[EPS]],""),"")</f>
        <v>24.95774647887324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0.70493443109531251</v>
      </c>
      <c r="P19" s="1">
        <f>(Main_S[[#This Row],[P/B]]-VLOOKUP(Main_S[[#This Row],[Industry]], Mean_PB_S, 2, FALSE))/(VLOOKUP(Main_S[[#This Row],[Industry]], Mean_PB_S, 3, FALSE))</f>
        <v>0.86382036829164888</v>
      </c>
      <c r="Q19" s="1">
        <f>(Main_S[[#This Row],[ROE]]-VLOOKUP(Main_S[[#This Row],[Industry]], Mean_ROE_S, 2, FALSE))/(VLOOKUP(Main_S[[#This Row],[Industry]], Mean_ROE_S, 3, FALSE))</f>
        <v>1.2552040669878595</v>
      </c>
      <c r="R19" s="1">
        <f>(Main_S[[#This Row],[ROA]]-VLOOKUP(Main_S[[#This Row],[Industry]], Mean_ROA_S, 2, FALSE))/(VLOOKUP(Main_S[[#This Row],[Industry]], Mean_ROA_S, 3, FALSE))</f>
        <v>0.65883340867105955</v>
      </c>
      <c r="S19" s="1">
        <f>(Main_S[[#This Row],[A/E]]-VLOOKUP(Main_S[[#This Row],[Industry]], Mean_AE_S, 2, FALSE))/(VLOOKUP(Main_S[[#This Row],[Industry]], Mean_AE_S, 3, FALSE))</f>
        <v>4.8962034863562556</v>
      </c>
      <c r="T19" s="1">
        <f>(Main_S[[#This Row],[P/E]]-VLOOKUP(Main_S[[#This Row],[Industry]], Mean_PE_S, 2, FALSE))/(VLOOKUP(Main_S[[#This Row],[Industry]], Mean_PE_S, 3, FALSE))</f>
        <v>0.66658906150401909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7" t="s">
        <v>186</v>
      </c>
      <c r="B20" s="67" t="s">
        <v>450</v>
      </c>
      <c r="C20" s="2">
        <v>805</v>
      </c>
      <c r="D20">
        <f>RTD("tos.rtd", , "LAST", Main_S[[#This Row],[Symbol]])</f>
        <v>68.8</v>
      </c>
      <c r="E20">
        <v>4.9400000000000004</v>
      </c>
      <c r="F20">
        <v>29.75</v>
      </c>
      <c r="G20">
        <v>3.42</v>
      </c>
      <c r="H20" s="1">
        <f>IF(ISNUMBER(Main_S[[#This Row],[Free CF]]),IF(Main_S[[#This Row],[Free CF]]&lt;&gt;0,Main_S[[#This Row],[Current Price]]/Main_S[[#This Row],[Free CF]],""),"")</f>
        <v>13.927125506072873</v>
      </c>
      <c r="I20" s="1">
        <f>IF(ISNUMBER(Main_S[[#This Row],[BVPS]]),IF(Main_S[[#This Row],[BVPS]]&lt;&gt;0,Main_S[[#This Row],[Current Price]]/Main_S[[#This Row],[BVPS]],""),"")</f>
        <v>2.3126050420168065</v>
      </c>
      <c r="J20">
        <v>12.84</v>
      </c>
      <c r="K20">
        <v>7.04</v>
      </c>
      <c r="L20">
        <v>2.5</v>
      </c>
      <c r="M20" s="1">
        <f>IF(ISNUMBER(Main_S[[#This Row],[EPS]]),IF(Main_S[[#This Row],[EPS]]&lt;&gt;0,Main_S[[#This Row],[Current Price]]/Main_S[[#This Row],[EPS]],""),"")</f>
        <v>20.116959064327485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0.39192790950941803</v>
      </c>
      <c r="P20" s="1">
        <f>(Main_S[[#This Row],[P/B]]-VLOOKUP(Main_S[[#This Row],[Industry]], Mean_PB_S, 2, FALSE))/(VLOOKUP(Main_S[[#This Row],[Industry]], Mean_PB_S, 3, FALSE))</f>
        <v>-0.34383848989972904</v>
      </c>
      <c r="Q20" s="1">
        <f>(Main_S[[#This Row],[ROE]]-VLOOKUP(Main_S[[#This Row],[Industry]], Mean_ROE_S, 2, FALSE))/(VLOOKUP(Main_S[[#This Row],[Industry]], Mean_ROE_S, 3, FALSE))</f>
        <v>0.72438538436772015</v>
      </c>
      <c r="R20" s="1">
        <f>(Main_S[[#This Row],[ROA]]-VLOOKUP(Main_S[[#This Row],[Industry]], Mean_ROA_S, 2, FALSE))/(VLOOKUP(Main_S[[#This Row],[Industry]], Mean_ROA_S, 3, FALSE))</f>
        <v>0.82057471439351026</v>
      </c>
      <c r="S20" s="1">
        <f>(Main_S[[#This Row],[A/E]]-VLOOKUP(Main_S[[#This Row],[Industry]], Mean_AE_S, 2, FALSE))/(VLOOKUP(Main_S[[#This Row],[Industry]], Mean_AE_S, 3, FALSE))</f>
        <v>1.6009594421884088</v>
      </c>
      <c r="T20" s="1">
        <f>(Main_S[[#This Row],[P/E]]-VLOOKUP(Main_S[[#This Row],[Industry]], Mean_PE_S, 2, FALSE))/(VLOOKUP(Main_S[[#This Row],[Industry]], Mean_PE_S, 3, FALSE))</f>
        <v>0.44153276401940084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7" t="s">
        <v>186</v>
      </c>
      <c r="B21" s="67" t="s">
        <v>451</v>
      </c>
      <c r="C21" s="2">
        <v>935</v>
      </c>
      <c r="D21">
        <f>RTD("tos.rtd", , "LAST", Main_S[[#This Row],[Symbol]])</f>
        <v>77.709999999999994</v>
      </c>
      <c r="E21">
        <v>4.9400000000000004</v>
      </c>
      <c r="F21">
        <v>29.75</v>
      </c>
      <c r="G21">
        <v>3.42</v>
      </c>
      <c r="H21" s="1">
        <f>IF(ISNUMBER(Main_S[[#This Row],[Free CF]]),IF(Main_S[[#This Row],[Free CF]]&lt;&gt;0,Main_S[[#This Row],[Current Price]]/Main_S[[#This Row],[Free CF]],""),"")</f>
        <v>15.730769230769228</v>
      </c>
      <c r="I21" s="1">
        <f>IF(ISNUMBER(Main_S[[#This Row],[BVPS]]),IF(Main_S[[#This Row],[BVPS]]&lt;&gt;0,Main_S[[#This Row],[Current Price]]/Main_S[[#This Row],[BVPS]],""),"")</f>
        <v>2.6121008403361343</v>
      </c>
      <c r="J21">
        <v>12.84</v>
      </c>
      <c r="K21">
        <v>7.04</v>
      </c>
      <c r="L21">
        <v>2.5</v>
      </c>
      <c r="M21" s="1">
        <f>IF(ISNUMBER(Main_S[[#This Row],[EPS]]),IF(Main_S[[#This Row],[EPS]]&lt;&gt;0,Main_S[[#This Row],[Current Price]]/Main_S[[#This Row],[EPS]],""),"")</f>
        <v>22.722222222222221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0.47647303557411147</v>
      </c>
      <c r="P21" s="1">
        <f>(Main_S[[#This Row],[P/B]]-VLOOKUP(Main_S[[#This Row],[Industry]], Mean_PB_S, 2, FALSE))/(VLOOKUP(Main_S[[#This Row],[Industry]], Mean_PB_S, 3, FALSE))</f>
        <v>-0.20988588389038584</v>
      </c>
      <c r="Q21" s="1">
        <f>(Main_S[[#This Row],[ROE]]-VLOOKUP(Main_S[[#This Row],[Industry]], Mean_ROE_S, 2, FALSE))/(VLOOKUP(Main_S[[#This Row],[Industry]], Mean_ROE_S, 3, FALSE))</f>
        <v>0.72438538436772015</v>
      </c>
      <c r="R21" s="1">
        <f>(Main_S[[#This Row],[ROA]]-VLOOKUP(Main_S[[#This Row],[Industry]], Mean_ROA_S, 2, FALSE))/(VLOOKUP(Main_S[[#This Row],[Industry]], Mean_ROA_S, 3, FALSE))</f>
        <v>0.82057471439351026</v>
      </c>
      <c r="S21" s="1">
        <f>(Main_S[[#This Row],[A/E]]-VLOOKUP(Main_S[[#This Row],[Industry]], Mean_AE_S, 2, FALSE))/(VLOOKUP(Main_S[[#This Row],[Industry]], Mean_AE_S, 3, FALSE))</f>
        <v>1.6009594421884088</v>
      </c>
      <c r="T21" s="1">
        <f>(Main_S[[#This Row],[P/E]]-VLOOKUP(Main_S[[#This Row],[Industry]], Mean_PE_S, 2, FALSE))/(VLOOKUP(Main_S[[#This Row],[Industry]], Mean_PE_S, 3, FALSE))</f>
        <v>0.56265580250009262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7" t="s">
        <v>186</v>
      </c>
      <c r="B22" s="67" t="s">
        <v>457</v>
      </c>
      <c r="C22" s="2">
        <v>441</v>
      </c>
      <c r="D22">
        <f>RTD("tos.rtd", , "LAST", Main_S[[#This Row],[Symbol]])</f>
        <v>18.920000000000002</v>
      </c>
      <c r="E22">
        <v>4.87</v>
      </c>
      <c r="F22">
        <v>22.48</v>
      </c>
      <c r="G22">
        <v>0.71</v>
      </c>
      <c r="H22" s="1">
        <f>IF(ISNUMBER(Main_S[[#This Row],[Free CF]]),IF(Main_S[[#This Row],[Free CF]]&lt;&gt;0,Main_S[[#This Row],[Current Price]]/Main_S[[#This Row],[Free CF]],""),"")</f>
        <v>3.8850102669404518</v>
      </c>
      <c r="I22" s="1">
        <f>IF(ISNUMBER(Main_S[[#This Row],[BVPS]]),IF(Main_S[[#This Row],[BVPS]]&lt;&gt;0,Main_S[[#This Row],[Current Price]]/Main_S[[#This Row],[BVPS]],""),"")</f>
        <v>0.84163701067615659</v>
      </c>
      <c r="J22">
        <v>3.3</v>
      </c>
      <c r="K22">
        <v>3.07</v>
      </c>
      <c r="L22">
        <v>1.96</v>
      </c>
      <c r="M22" s="1">
        <f>IF(ISNUMBER(Main_S[[#This Row],[EPS]]),IF(Main_S[[#This Row],[EPS]]&lt;&gt;0,Main_S[[#This Row],[Current Price]]/Main_S[[#This Row],[EPS]],""),"")</f>
        <v>26.647887323943667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-7.8792492321359819E-2</v>
      </c>
      <c r="P22" s="1">
        <f>(Main_S[[#This Row],[P/B]]-VLOOKUP(Main_S[[#This Row],[Industry]], Mean_PB_S, 2, FALSE))/(VLOOKUP(Main_S[[#This Row],[Industry]], Mean_PB_S, 3, FALSE))</f>
        <v>-1.0017442176603091</v>
      </c>
      <c r="Q22" s="1">
        <f>(Main_S[[#This Row],[ROE]]-VLOOKUP(Main_S[[#This Row],[Industry]], Mean_ROE_S, 2, FALSE))/(VLOOKUP(Main_S[[#This Row],[Industry]], Mean_ROE_S, 3, FALSE))</f>
        <v>0.21338536093723304</v>
      </c>
      <c r="R22" s="1">
        <f>(Main_S[[#This Row],[ROA]]-VLOOKUP(Main_S[[#This Row],[Industry]], Mean_ROA_S, 2, FALSE))/(VLOOKUP(Main_S[[#This Row],[Industry]], Mean_ROA_S, 3, FALSE))</f>
        <v>0.25233313588189132</v>
      </c>
      <c r="S22" s="1">
        <f>(Main_S[[#This Row],[A/E]]-VLOOKUP(Main_S[[#This Row],[Industry]], Mean_AE_S, 2, FALSE))/(VLOOKUP(Main_S[[#This Row],[Industry]], Mean_AE_S, 3, FALSE))</f>
        <v>0.30210412550911153</v>
      </c>
      <c r="T22" s="1">
        <f>(Main_S[[#This Row],[P/E]]-VLOOKUP(Main_S[[#This Row],[Industry]], Mean_PE_S, 2, FALSE))/(VLOOKUP(Main_S[[#This Row],[Industry]], Mean_PE_S, 3, FALSE))</f>
        <v>0.74516653418462175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7" t="s">
        <v>186</v>
      </c>
      <c r="B23" s="67" t="s">
        <v>455</v>
      </c>
      <c r="C23" s="2">
        <v>1318</v>
      </c>
      <c r="D23">
        <f>RTD("tos.rtd", , "LAST", Main_S[[#This Row],[Symbol]])</f>
        <v>38.26</v>
      </c>
      <c r="E23">
        <v>3.91</v>
      </c>
      <c r="F23">
        <v>30.6</v>
      </c>
      <c r="G23">
        <v>1.44</v>
      </c>
      <c r="H23" s="1">
        <f>IF(ISNUMBER(Main_S[[#This Row],[Free CF]]),IF(Main_S[[#This Row],[Free CF]]&lt;&gt;0,Main_S[[#This Row],[Current Price]]/Main_S[[#This Row],[Free CF]],""),"")</f>
        <v>9.7851662404092057</v>
      </c>
      <c r="I23" s="1">
        <f>IF(ISNUMBER(Main_S[[#This Row],[BVPS]]),IF(Main_S[[#This Row],[BVPS]]&lt;&gt;0,Main_S[[#This Row],[Current Price]]/Main_S[[#This Row],[BVPS]],""),"")</f>
        <v>1.2503267973856207</v>
      </c>
      <c r="J23">
        <v>4.84</v>
      </c>
      <c r="K23">
        <v>3.16</v>
      </c>
      <c r="L23">
        <v>1.93</v>
      </c>
      <c r="M23" s="1">
        <f>IF(ISNUMBER(Main_S[[#This Row],[EPS]]),IF(Main_S[[#This Row],[EPS]]&lt;&gt;0,Main_S[[#This Row],[Current Price]]/Main_S[[#This Row],[EPS]],""),"")</f>
        <v>26.569444444444443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0.1977751156535732</v>
      </c>
      <c r="P23" s="1">
        <f>(Main_S[[#This Row],[P/B]]-VLOOKUP(Main_S[[#This Row],[Industry]], Mean_PB_S, 2, FALSE))/(VLOOKUP(Main_S[[#This Row],[Industry]], Mean_PB_S, 3, FALSE))</f>
        <v>-0.81895346638317368</v>
      </c>
      <c r="Q23" s="1">
        <f>(Main_S[[#This Row],[ROE]]-VLOOKUP(Main_S[[#This Row],[Industry]], Mean_ROE_S, 2, FALSE))/(VLOOKUP(Main_S[[#This Row],[Industry]], Mean_ROE_S, 3, FALSE))</f>
        <v>0.29587383432119008</v>
      </c>
      <c r="R23" s="1">
        <f>(Main_S[[#This Row],[ROA]]-VLOOKUP(Main_S[[#This Row],[Industry]], Mean_ROA_S, 2, FALSE))/(VLOOKUP(Main_S[[#This Row],[Industry]], Mean_ROA_S, 3, FALSE))</f>
        <v>0.26521518678013961</v>
      </c>
      <c r="S23" s="1">
        <f>(Main_S[[#This Row],[A/E]]-VLOOKUP(Main_S[[#This Row],[Industry]], Mean_AE_S, 2, FALSE))/(VLOOKUP(Main_S[[#This Row],[Industry]], Mean_AE_S, 3, FALSE))</f>
        <v>0.22994549680470605</v>
      </c>
      <c r="T23" s="1">
        <f>(Main_S[[#This Row],[P/E]]-VLOOKUP(Main_S[[#This Row],[Industry]], Mean_PE_S, 2, FALSE))/(VLOOKUP(Main_S[[#This Row],[Industry]], Mean_PE_S, 3, FALSE))</f>
        <v>0.74151959361229258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7" t="s">
        <v>186</v>
      </c>
      <c r="B24" s="67" t="s">
        <v>453</v>
      </c>
      <c r="C24" s="2">
        <v>1233</v>
      </c>
      <c r="D24">
        <f>RTD("tos.rtd", , "LAST", Main_S[[#This Row],[Symbol]])</f>
        <v>69.2</v>
      </c>
      <c r="E24">
        <v>2.93</v>
      </c>
      <c r="F24">
        <v>68.66</v>
      </c>
      <c r="G24">
        <v>0.9</v>
      </c>
      <c r="H24" s="1">
        <f>IF(ISNUMBER(Main_S[[#This Row],[Free CF]]),IF(Main_S[[#This Row],[Free CF]]&lt;&gt;0,Main_S[[#This Row],[Current Price]]/Main_S[[#This Row],[Free CF]],""),"")</f>
        <v>23.617747440273039</v>
      </c>
      <c r="I24" s="1">
        <f>IF(ISNUMBER(Main_S[[#This Row],[BVPS]]),IF(Main_S[[#This Row],[BVPS]]&lt;&gt;0,Main_S[[#This Row],[Current Price]]/Main_S[[#This Row],[BVPS]],""),"")</f>
        <v>1.007864841246723</v>
      </c>
      <c r="J24">
        <v>1.34</v>
      </c>
      <c r="K24">
        <v>1.78</v>
      </c>
      <c r="L24">
        <v>1.19</v>
      </c>
      <c r="M24" s="1">
        <f>IF(ISNUMBER(Main_S[[#This Row],[EPS]]),IF(Main_S[[#This Row],[EPS]]&lt;&gt;0,Main_S[[#This Row],[Current Price]]/Main_S[[#This Row],[EPS]],""),"")</f>
        <v>76.888888888888886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0.84617219392881737</v>
      </c>
      <c r="P24" s="1">
        <f>(Main_S[[#This Row],[P/B]]-VLOOKUP(Main_S[[#This Row],[Industry]], Mean_PB_S, 2, FALSE))/(VLOOKUP(Main_S[[#This Row],[Industry]], Mean_PB_S, 3, FALSE))</f>
        <v>-0.9273970941909313</v>
      </c>
      <c r="Q24" s="1">
        <f>(Main_S[[#This Row],[ROE]]-VLOOKUP(Main_S[[#This Row],[Industry]], Mean_ROE_S, 2, FALSE))/(VLOOKUP(Main_S[[#This Row],[Industry]], Mean_ROE_S, 3, FALSE))</f>
        <v>0.10840003117583315</v>
      </c>
      <c r="R24" s="1">
        <f>(Main_S[[#This Row],[ROA]]-VLOOKUP(Main_S[[#This Row],[Industry]], Mean_ROA_S, 2, FALSE))/(VLOOKUP(Main_S[[#This Row],[Industry]], Mean_ROA_S, 3, FALSE))</f>
        <v>6.7690406340332535E-2</v>
      </c>
      <c r="S24" s="1">
        <f>(Main_S[[#This Row],[A/E]]-VLOOKUP(Main_S[[#This Row],[Industry]], Mean_AE_S, 2, FALSE))/(VLOOKUP(Main_S[[#This Row],[Industry]], Mean_AE_S, 3, FALSE))</f>
        <v>-1.549967344570627</v>
      </c>
      <c r="T24" s="1">
        <f>(Main_S[[#This Row],[P/E]]-VLOOKUP(Main_S[[#This Row],[Industry]], Mean_PE_S, 2, FALSE))/(VLOOKUP(Main_S[[#This Row],[Industry]], Mean_PE_S, 3, FALSE))</f>
        <v>3.0809546665346774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" spans="1:26" x14ac:dyDescent="0.25">
      <c r="A25" s="67" t="s">
        <v>186</v>
      </c>
      <c r="B25" s="67" t="s">
        <v>456</v>
      </c>
      <c r="C25" s="2">
        <v>1221</v>
      </c>
      <c r="D25">
        <f>RTD("tos.rtd", , "LAST", Main_S[[#This Row],[Symbol]])</f>
        <v>42.94</v>
      </c>
      <c r="E25">
        <v>2.56</v>
      </c>
      <c r="F25">
        <v>17.97</v>
      </c>
      <c r="G25">
        <v>1.97</v>
      </c>
      <c r="H25" s="1">
        <f>IF(ISNUMBER(Main_S[[#This Row],[Free CF]]),IF(Main_S[[#This Row],[Free CF]]&lt;&gt;0,Main_S[[#This Row],[Current Price]]/Main_S[[#This Row],[Free CF]],""),"")</f>
        <v>16.7734375</v>
      </c>
      <c r="I25" s="1">
        <f>IF(ISNUMBER(Main_S[[#This Row],[BVPS]]),IF(Main_S[[#This Row],[BVPS]]&lt;&gt;0,Main_S[[#This Row],[Current Price]]/Main_S[[#This Row],[BVPS]],""),"")</f>
        <v>2.3895381190873679</v>
      </c>
      <c r="J25">
        <v>11.39</v>
      </c>
      <c r="K25">
        <v>6.48</v>
      </c>
      <c r="L25">
        <v>1.42</v>
      </c>
      <c r="M25" s="1">
        <f>IF(ISNUMBER(Main_S[[#This Row],[EPS]]),IF(Main_S[[#This Row],[EPS]]&lt;&gt;0,Main_S[[#This Row],[Current Price]]/Main_S[[#This Row],[EPS]],""),"")</f>
        <v>21.796954314720811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0.52534772133313623</v>
      </c>
      <c r="P25" s="1">
        <f>(Main_S[[#This Row],[P/B]]-VLOOKUP(Main_S[[#This Row],[Industry]], Mean_PB_S, 2, FALSE))/(VLOOKUP(Main_S[[#This Row],[Industry]], Mean_PB_S, 3, FALSE))</f>
        <v>-0.30942937224348882</v>
      </c>
      <c r="Q25" s="1">
        <f>(Main_S[[#This Row],[ROE]]-VLOOKUP(Main_S[[#This Row],[Industry]], Mean_ROE_S, 2, FALSE))/(VLOOKUP(Main_S[[#This Row],[Industry]], Mean_ROE_S, 3, FALSE))</f>
        <v>0.6467176659217867</v>
      </c>
      <c r="R25" s="1">
        <f>(Main_S[[#This Row],[ROA]]-VLOOKUP(Main_S[[#This Row],[Industry]], Mean_ROA_S, 2, FALSE))/(VLOOKUP(Main_S[[#This Row],[Industry]], Mean_ROA_S, 3, FALSE))</f>
        <v>0.74041973102663206</v>
      </c>
      <c r="S25" s="1">
        <f>(Main_S[[#This Row],[A/E]]-VLOOKUP(Main_S[[#This Row],[Industry]], Mean_AE_S, 2, FALSE))/(VLOOKUP(Main_S[[#This Row],[Industry]], Mean_AE_S, 3, FALSE))</f>
        <v>-0.99675119117018574</v>
      </c>
      <c r="T25" s="1">
        <f>(Main_S[[#This Row],[P/E]]-VLOOKUP(Main_S[[#This Row],[Industry]], Mean_PE_S, 2, FALSE))/(VLOOKUP(Main_S[[#This Row],[Industry]], Mean_PE_S, 3, FALSE))</f>
        <v>0.51963855104676715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7" t="s">
        <v>186</v>
      </c>
      <c r="B26" s="67" t="s">
        <v>459</v>
      </c>
      <c r="C26" s="2">
        <v>1661</v>
      </c>
      <c r="D26">
        <f>RTD("tos.rtd", , "LAST", Main_S[[#This Row],[Symbol]])</f>
        <v>65.16</v>
      </c>
      <c r="E26">
        <v>2.15</v>
      </c>
      <c r="F26">
        <v>34.22</v>
      </c>
      <c r="G26">
        <v>3.3</v>
      </c>
      <c r="H26" s="1">
        <f>IF(ISNUMBER(Main_S[[#This Row],[Free CF]]),IF(Main_S[[#This Row],[Free CF]]&lt;&gt;0,Main_S[[#This Row],[Current Price]]/Main_S[[#This Row],[Free CF]],""),"")</f>
        <v>30.306976744186045</v>
      </c>
      <c r="I26" s="1">
        <f>IF(ISNUMBER(Main_S[[#This Row],[BVPS]]),IF(Main_S[[#This Row],[BVPS]]&lt;&gt;0,Main_S[[#This Row],[Current Price]]/Main_S[[#This Row],[BVPS]],""),"")</f>
        <v>1.9041496201052015</v>
      </c>
      <c r="J26">
        <v>10.11</v>
      </c>
      <c r="K26">
        <v>5.27</v>
      </c>
      <c r="L26">
        <v>1.42</v>
      </c>
      <c r="M26" s="1">
        <f>IF(ISNUMBER(Main_S[[#This Row],[EPS]]),IF(Main_S[[#This Row],[EPS]]&lt;&gt;0,Main_S[[#This Row],[Current Price]]/Main_S[[#This Row],[EPS]],""),"")</f>
        <v>19.745454545454546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1.1597273196065205</v>
      </c>
      <c r="P26" s="1">
        <f>(Main_S[[#This Row],[P/B]]-VLOOKUP(Main_S[[#This Row],[Industry]], Mean_PB_S, 2, FALSE))/(VLOOKUP(Main_S[[#This Row],[Industry]], Mean_PB_S, 3, FALSE))</f>
        <v>-0.52652441908718484</v>
      </c>
      <c r="Q26" s="1">
        <f>(Main_S[[#This Row],[ROE]]-VLOOKUP(Main_S[[#This Row],[Industry]], Mean_ROE_S, 2, FALSE))/(VLOOKUP(Main_S[[#This Row],[Industry]], Mean_ROE_S, 3, FALSE))</f>
        <v>0.57815581791434179</v>
      </c>
      <c r="R26" s="1">
        <f>(Main_S[[#This Row],[ROA]]-VLOOKUP(Main_S[[#This Row],[Industry]], Mean_ROA_S, 2, FALSE))/(VLOOKUP(Main_S[[#This Row],[Industry]], Mean_ROA_S, 3, FALSE))</f>
        <v>0.56722771339462719</v>
      </c>
      <c r="S26" s="1">
        <f>(Main_S[[#This Row],[A/E]]-VLOOKUP(Main_S[[#This Row],[Industry]], Mean_AE_S, 2, FALSE))/(VLOOKUP(Main_S[[#This Row],[Industry]], Mean_AE_S, 3, FALSE))</f>
        <v>-0.99675119117018574</v>
      </c>
      <c r="T26" s="1">
        <f>(Main_S[[#This Row],[P/E]]-VLOOKUP(Main_S[[#This Row],[Industry]], Mean_PE_S, 2, FALSE))/(VLOOKUP(Main_S[[#This Row],[Industry]], Mean_PE_S, 3, FALSE))</f>
        <v>0.42426089802811273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7" t="s">
        <v>186</v>
      </c>
      <c r="B27" s="67" t="s">
        <v>442</v>
      </c>
      <c r="C27" s="2">
        <v>740</v>
      </c>
      <c r="D27">
        <f>RTD("tos.rtd", , "LAST", Main_S[[#This Row],[Symbol]])</f>
        <v>14.13</v>
      </c>
      <c r="E27">
        <v>1.42</v>
      </c>
      <c r="F27">
        <v>5.85</v>
      </c>
      <c r="G27">
        <v>0.04</v>
      </c>
      <c r="H27" s="1">
        <f>IF(ISNUMBER(Main_S[[#This Row],[Free CF]]),IF(Main_S[[#This Row],[Free CF]]&lt;&gt;0,Main_S[[#This Row],[Current Price]]/Main_S[[#This Row],[Free CF]],""),"")</f>
        <v>9.9507042253521139</v>
      </c>
      <c r="I27" s="1">
        <f>IF(ISNUMBER(Main_S[[#This Row],[BVPS]]),IF(Main_S[[#This Row],[BVPS]]&lt;&gt;0,Main_S[[#This Row],[Current Price]]/Main_S[[#This Row],[BVPS]],""),"")</f>
        <v>2.4153846153846157</v>
      </c>
      <c r="J27">
        <v>0.72</v>
      </c>
      <c r="K27">
        <v>6.51</v>
      </c>
      <c r="L27">
        <v>1.92</v>
      </c>
      <c r="M27" s="1">
        <f>IF(ISNUMBER(Main_S[[#This Row],[EPS]]),IF(Main_S[[#This Row],[EPS]]&lt;&gt;0,Main_S[[#This Row],[Current Price]]/Main_S[[#This Row],[EPS]],""),"")</f>
        <v>353.25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0.20553464688131035</v>
      </c>
      <c r="P27" s="1">
        <f>(Main_S[[#This Row],[P/B]]-VLOOKUP(Main_S[[#This Row],[Industry]], Mean_PB_S, 2, FALSE))/(VLOOKUP(Main_S[[#This Row],[Industry]], Mean_PB_S, 3, FALSE))</f>
        <v>-0.29786925836324091</v>
      </c>
      <c r="Q27" s="1">
        <f>(Main_S[[#This Row],[ROE]]-VLOOKUP(Main_S[[#This Row],[Industry]], Mean_ROE_S, 2, FALSE))/(VLOOKUP(Main_S[[#This Row],[Industry]], Mean_ROE_S, 3, FALSE))</f>
        <v>7.5190386047227054E-2</v>
      </c>
      <c r="R27" s="1">
        <f>(Main_S[[#This Row],[ROA]]-VLOOKUP(Main_S[[#This Row],[Industry]], Mean_ROA_S, 2, FALSE))/(VLOOKUP(Main_S[[#This Row],[Industry]], Mean_ROA_S, 3, FALSE))</f>
        <v>0.74471374799271473</v>
      </c>
      <c r="S27" s="1">
        <f>(Main_S[[#This Row],[A/E]]-VLOOKUP(Main_S[[#This Row],[Industry]], Mean_AE_S, 2, FALSE))/(VLOOKUP(Main_S[[#This Row],[Industry]], Mean_AE_S, 3, FALSE))</f>
        <v>0.20589262056990423</v>
      </c>
      <c r="T27" s="1">
        <f>(Main_S[[#This Row],[P/E]]-VLOOKUP(Main_S[[#This Row],[Industry]], Mean_PE_S, 2, FALSE))/(VLOOKUP(Main_S[[#This Row],[Industry]], Mean_PE_S, 3, FALSE))</f>
        <v>15.92944461437062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8" spans="1:26" x14ac:dyDescent="0.25">
      <c r="A28" s="67" t="s">
        <v>186</v>
      </c>
      <c r="B28" s="67" t="s">
        <v>447</v>
      </c>
      <c r="C28" s="2">
        <v>995</v>
      </c>
      <c r="D28">
        <f>RTD("tos.rtd", , "LAST", Main_S[[#This Row],[Symbol]])</f>
        <v>28.69</v>
      </c>
      <c r="E28">
        <v>1.39</v>
      </c>
      <c r="F28">
        <v>4.53</v>
      </c>
      <c r="G28">
        <v>1.22</v>
      </c>
      <c r="H28" s="1">
        <f>IF(ISNUMBER(Main_S[[#This Row],[Free CF]]),IF(Main_S[[#This Row],[Free CF]]&lt;&gt;0,Main_S[[#This Row],[Current Price]]/Main_S[[#This Row],[Free CF]],""),"")</f>
        <v>20.640287769784177</v>
      </c>
      <c r="I28" s="1">
        <f>IF(ISNUMBER(Main_S[[#This Row],[BVPS]]),IF(Main_S[[#This Row],[BVPS]]&lt;&gt;0,Main_S[[#This Row],[Current Price]]/Main_S[[#This Row],[BVPS]],""),"")</f>
        <v>6.333333333333333</v>
      </c>
      <c r="J28">
        <v>27.48</v>
      </c>
      <c r="K28">
        <v>16.149999999999999</v>
      </c>
      <c r="L28">
        <v>1.18</v>
      </c>
      <c r="M28" s="1">
        <f>IF(ISNUMBER(Main_S[[#This Row],[EPS]]),IF(Main_S[[#This Row],[EPS]]&lt;&gt;0,Main_S[[#This Row],[Current Price]]/Main_S[[#This Row],[EPS]],""),"")</f>
        <v>23.516393442622952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0.7066048837404374</v>
      </c>
      <c r="P28" s="1">
        <f>(Main_S[[#This Row],[P/B]]-VLOOKUP(Main_S[[#This Row],[Industry]], Mean_PB_S, 2, FALSE))/(VLOOKUP(Main_S[[#This Row],[Industry]], Mean_PB_S, 3, FALSE))</f>
        <v>1.4544739929454933</v>
      </c>
      <c r="Q28" s="1">
        <f>(Main_S[[#This Row],[ROE]]-VLOOKUP(Main_S[[#This Row],[Industry]], Mean_ROE_S, 2, FALSE))/(VLOOKUP(Main_S[[#This Row],[Industry]], Mean_ROE_S, 3, FALSE))</f>
        <v>1.5085615209528704</v>
      </c>
      <c r="R28" s="1">
        <f>(Main_S[[#This Row],[ROA]]-VLOOKUP(Main_S[[#This Row],[Industry]], Mean_ROA_S, 2, FALSE))/(VLOOKUP(Main_S[[#This Row],[Industry]], Mean_ROA_S, 3, FALSE))</f>
        <v>2.1245245330939757</v>
      </c>
      <c r="S28" s="1">
        <f>(Main_S[[#This Row],[A/E]]-VLOOKUP(Main_S[[#This Row],[Industry]], Mean_AE_S, 2, FALSE))/(VLOOKUP(Main_S[[#This Row],[Industry]], Mean_AE_S, 3, FALSE))</f>
        <v>-1.574020220805429</v>
      </c>
      <c r="T28" s="1">
        <f>(Main_S[[#This Row],[P/E]]-VLOOKUP(Main_S[[#This Row],[Industry]], Mean_PE_S, 2, FALSE))/(VLOOKUP(Main_S[[#This Row],[Industry]], Mean_PE_S, 3, FALSE))</f>
        <v>0.59957814986349178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7" t="s">
        <v>186</v>
      </c>
      <c r="B29" s="67" t="s">
        <v>452</v>
      </c>
      <c r="C29" s="2">
        <v>1427</v>
      </c>
      <c r="D29">
        <f>RTD("tos.rtd", , "LAST", Main_S[[#This Row],[Symbol]])</f>
        <v>17.48</v>
      </c>
      <c r="E29">
        <v>1.1299999999999999</v>
      </c>
      <c r="F29">
        <v>8.6199999999999992</v>
      </c>
      <c r="G29">
        <v>0.27</v>
      </c>
      <c r="H29" s="1">
        <f>IF(ISNUMBER(Main_S[[#This Row],[Free CF]]),IF(Main_S[[#This Row],[Free CF]]&lt;&gt;0,Main_S[[#This Row],[Current Price]]/Main_S[[#This Row],[Free CF]],""),"")</f>
        <v>15.469026548672568</v>
      </c>
      <c r="I29" s="1">
        <f>IF(ISNUMBER(Main_S[[#This Row],[BVPS]]),IF(Main_S[[#This Row],[BVPS]]&lt;&gt;0,Main_S[[#This Row],[Current Price]]/Main_S[[#This Row],[BVPS]],""),"")</f>
        <v>2.0278422273781906</v>
      </c>
      <c r="J29">
        <v>2.68</v>
      </c>
      <c r="K29">
        <v>2.87</v>
      </c>
      <c r="L29">
        <v>1.45</v>
      </c>
      <c r="M29" s="1">
        <f>IF(ISNUMBER(Main_S[[#This Row],[EPS]]),IF(Main_S[[#This Row],[EPS]]&lt;&gt;0,Main_S[[#This Row],[Current Price]]/Main_S[[#This Row],[EPS]],""),"")</f>
        <v>64.740740740740733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0.46420394509278673</v>
      </c>
      <c r="P29" s="1">
        <f>(Main_S[[#This Row],[P/B]]-VLOOKUP(Main_S[[#This Row],[Industry]], Mean_PB_S, 2, FALSE))/(VLOOKUP(Main_S[[#This Row],[Industry]], Mean_PB_S, 3, FALSE))</f>
        <v>-0.47120161595843768</v>
      </c>
      <c r="Q29" s="1">
        <f>(Main_S[[#This Row],[ROE]]-VLOOKUP(Main_S[[#This Row],[Industry]], Mean_ROE_S, 2, FALSE))/(VLOOKUP(Main_S[[#This Row],[Industry]], Mean_ROE_S, 3, FALSE))</f>
        <v>0.18017571580862696</v>
      </c>
      <c r="R29" s="1">
        <f>(Main_S[[#This Row],[ROA]]-VLOOKUP(Main_S[[#This Row],[Industry]], Mean_ROA_S, 2, FALSE))/(VLOOKUP(Main_S[[#This Row],[Industry]], Mean_ROA_S, 3, FALSE))</f>
        <v>0.22370635610800624</v>
      </c>
      <c r="S29" s="1">
        <f>(Main_S[[#This Row],[A/E]]-VLOOKUP(Main_S[[#This Row],[Industry]], Mean_AE_S, 2, FALSE))/(VLOOKUP(Main_S[[#This Row],[Industry]], Mean_AE_S, 3, FALSE))</f>
        <v>-0.92459256246578025</v>
      </c>
      <c r="T29" s="1">
        <f>(Main_S[[#This Row],[P/E]]-VLOOKUP(Main_S[[#This Row],[Industry]], Mean_PE_S, 2, FALSE))/(VLOOKUP(Main_S[[#This Row],[Industry]], Mean_PE_S, 3, FALSE))</f>
        <v>2.516166955489656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7" t="s">
        <v>186</v>
      </c>
      <c r="B30" s="67" t="s">
        <v>444</v>
      </c>
      <c r="C30" s="2">
        <v>815</v>
      </c>
      <c r="D30">
        <f>RTD("tos.rtd", , "LAST", Main_S[[#This Row],[Symbol]])</f>
        <v>42.43</v>
      </c>
      <c r="E30">
        <v>0.83</v>
      </c>
      <c r="F30">
        <v>13.53</v>
      </c>
      <c r="G30">
        <v>-0.05</v>
      </c>
      <c r="H30" s="1">
        <f>IF(ISNUMBER(Main_S[[#This Row],[Free CF]]),IF(Main_S[[#This Row],[Free CF]]&lt;&gt;0,Main_S[[#This Row],[Current Price]]/Main_S[[#This Row],[Free CF]],""),"")</f>
        <v>51.120481927710848</v>
      </c>
      <c r="I30" s="1">
        <f>IF(ISNUMBER(Main_S[[#This Row],[BVPS]]),IF(Main_S[[#This Row],[BVPS]]&lt;&gt;0,Main_S[[#This Row],[Current Price]]/Main_S[[#This Row],[BVPS]],""),"")</f>
        <v>3.1359940872135996</v>
      </c>
      <c r="J30">
        <v>-0.34</v>
      </c>
      <c r="K30">
        <v>1.99</v>
      </c>
      <c r="L30">
        <v>1.9</v>
      </c>
      <c r="M30" s="1">
        <f>IF(ISNUMBER(Main_S[[#This Row],[EPS]]),IF(Main_S[[#This Row],[EPS]]&lt;&gt;0,Main_S[[#This Row],[Current Price]]/Main_S[[#This Row],[EPS]],""),"")</f>
        <v>-848.59999999999991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2.1353526027457934</v>
      </c>
      <c r="P30" s="1">
        <f>(Main_S[[#This Row],[P/B]]-VLOOKUP(Main_S[[#This Row],[Industry]], Mean_PB_S, 2, FALSE))/(VLOOKUP(Main_S[[#This Row],[Industry]], Mean_PB_S, 3, FALSE))</f>
        <v>2.4430811314495926E-2</v>
      </c>
      <c r="Q30" s="1">
        <f>(Main_S[[#This Row],[ROE]]-VLOOKUP(Main_S[[#This Row],[Industry]], Mean_ROE_S, 2, FALSE))/(VLOOKUP(Main_S[[#This Row],[Industry]], Mean_ROE_S, 3, FALSE))</f>
        <v>1.8412605666061826E-2</v>
      </c>
      <c r="R30" s="1">
        <f>(Main_S[[#This Row],[ROA]]-VLOOKUP(Main_S[[#This Row],[Industry]], Mean_ROA_S, 2, FALSE))/(VLOOKUP(Main_S[[#This Row],[Industry]], Mean_ROA_S, 3, FALSE))</f>
        <v>9.7748525102911862E-2</v>
      </c>
      <c r="S30" s="1">
        <f>(Main_S[[#This Row],[A/E]]-VLOOKUP(Main_S[[#This Row],[Industry]], Mean_AE_S, 2, FALSE))/(VLOOKUP(Main_S[[#This Row],[Industry]], Mean_AE_S, 3, FALSE))</f>
        <v>0.1577868681003006</v>
      </c>
      <c r="T30" s="1">
        <f>(Main_S[[#This Row],[P/E]]-VLOOKUP(Main_S[[#This Row],[Industry]], Mean_PE_S, 2, FALSE))/(VLOOKUP(Main_S[[#This Row],[Industry]], Mean_PE_S, 3, FALSE))</f>
        <v>-39.946570580828748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1" spans="1:26" x14ac:dyDescent="0.25">
      <c r="A31" s="67" t="s">
        <v>186</v>
      </c>
      <c r="B31" s="67" t="s">
        <v>449</v>
      </c>
      <c r="C31" s="2">
        <v>341</v>
      </c>
      <c r="D31">
        <f>RTD("tos.rtd", , "LAST", Main_S[[#This Row],[Symbol]])</f>
        <v>27.24</v>
      </c>
      <c r="E31">
        <v>0.79</v>
      </c>
      <c r="F31">
        <v>24.51</v>
      </c>
      <c r="G31">
        <v>0.23</v>
      </c>
      <c r="H31" s="1">
        <f>IF(ISNUMBER(Main_S[[#This Row],[Free CF]]),IF(Main_S[[#This Row],[Free CF]]&lt;&gt;0,Main_S[[#This Row],[Current Price]]/Main_S[[#This Row],[Free CF]],""),"")</f>
        <v>34.481012658227847</v>
      </c>
      <c r="I31" s="1">
        <f>IF(ISNUMBER(Main_S[[#This Row],[BVPS]]),IF(Main_S[[#This Row],[BVPS]]&lt;&gt;0,Main_S[[#This Row],[Current Price]]/Main_S[[#This Row],[BVPS]],""),"")</f>
        <v>1.1113831089351285</v>
      </c>
      <c r="J31">
        <v>0.93</v>
      </c>
      <c r="K31">
        <v>1.45</v>
      </c>
      <c r="L31">
        <v>1.4</v>
      </c>
      <c r="M31" s="1">
        <f>IF(ISNUMBER(Main_S[[#This Row],[EPS]]),IF(Main_S[[#This Row],[EPS]]&lt;&gt;0,Main_S[[#This Row],[Current Price]]/Main_S[[#This Row],[EPS]],""),"")</f>
        <v>118.43478260869564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1.355383694376783</v>
      </c>
      <c r="P31" s="1">
        <f>(Main_S[[#This Row],[P/B]]-VLOOKUP(Main_S[[#This Row],[Industry]], Mean_PB_S, 2, FALSE))/(VLOOKUP(Main_S[[#This Row],[Industry]], Mean_PB_S, 3, FALSE))</f>
        <v>-0.88109747394834625</v>
      </c>
      <c r="Q31" s="1">
        <f>(Main_S[[#This Row],[ROE]]-VLOOKUP(Main_S[[#This Row],[Industry]], Mean_ROE_S, 2, FALSE))/(VLOOKUP(Main_S[[#This Row],[Industry]], Mean_ROE_S, 3, FALSE))</f>
        <v>8.6438814235948486E-2</v>
      </c>
      <c r="R31" s="1">
        <f>(Main_S[[#This Row],[ROA]]-VLOOKUP(Main_S[[#This Row],[Industry]], Mean_ROA_S, 2, FALSE))/(VLOOKUP(Main_S[[#This Row],[Industry]], Mean_ROA_S, 3, FALSE))</f>
        <v>2.0456219713422132E-2</v>
      </c>
      <c r="S31" s="1">
        <f>(Main_S[[#This Row],[A/E]]-VLOOKUP(Main_S[[#This Row],[Industry]], Mean_AE_S, 2, FALSE))/(VLOOKUP(Main_S[[#This Row],[Industry]], Mean_AE_S, 3, FALSE))</f>
        <v>-1.0448569436397894</v>
      </c>
      <c r="T31" s="1">
        <f>(Main_S[[#This Row],[P/E]]-VLOOKUP(Main_S[[#This Row],[Industry]], Mean_PE_S, 2, FALSE))/(VLOOKUP(Main_S[[#This Row],[Industry]], Mean_PE_S, 3, FALSE))</f>
        <v>5.0124927027172799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s="67" t="s">
        <v>186</v>
      </c>
      <c r="B32" s="67" t="s">
        <v>441</v>
      </c>
      <c r="C32" s="2">
        <v>1481</v>
      </c>
      <c r="D32">
        <f>RTD("tos.rtd", , "LAST", Main_S[[#This Row],[Symbol]])</f>
        <v>17.34</v>
      </c>
      <c r="E32">
        <v>0.56999999999999995</v>
      </c>
      <c r="F32">
        <v>1</v>
      </c>
      <c r="G32">
        <v>-0.22</v>
      </c>
      <c r="H32" s="1">
        <f>IF(ISNUMBER(Main_S[[#This Row],[Free CF]]),IF(Main_S[[#This Row],[Free CF]]&lt;&gt;0,Main_S[[#This Row],[Current Price]]/Main_S[[#This Row],[Free CF]],""),"")</f>
        <v>30.421052631578949</v>
      </c>
      <c r="I32" s="1">
        <f>IF(ISNUMBER(Main_S[[#This Row],[BVPS]]),IF(Main_S[[#This Row],[BVPS]]&lt;&gt;0,Main_S[[#This Row],[Current Price]]/Main_S[[#This Row],[BVPS]],""),"")</f>
        <v>17.34</v>
      </c>
      <c r="J32">
        <v>-21.34</v>
      </c>
      <c r="K32">
        <v>-4.95</v>
      </c>
      <c r="L32">
        <v>2.87</v>
      </c>
      <c r="M32" s="1">
        <f>IF(ISNUMBER(Main_S[[#This Row],[EPS]]),IF(Main_S[[#This Row],[EPS]]&lt;&gt;0,Main_S[[#This Row],[Current Price]]/Main_S[[#This Row],[EPS]],""),"")</f>
        <v>-78.818181818181813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1.1650745842289718</v>
      </c>
      <c r="P32" s="1">
        <f>(Main_S[[#This Row],[P/B]]-VLOOKUP(Main_S[[#This Row],[Industry]], Mean_PB_S, 2, FALSE))/(VLOOKUP(Main_S[[#This Row],[Industry]], Mean_PB_S, 3, FALSE))</f>
        <v>6.3773199619035257</v>
      </c>
      <c r="Q32" s="1">
        <f>(Main_S[[#This Row],[ROE]]-VLOOKUP(Main_S[[#This Row],[Industry]], Mean_ROE_S, 2, FALSE))/(VLOOKUP(Main_S[[#This Row],[Industry]], Mean_ROE_S, 3, FALSE))</f>
        <v>-1.1064302132060797</v>
      </c>
      <c r="R32" s="1">
        <f>(Main_S[[#This Row],[ROA]]-VLOOKUP(Main_S[[#This Row],[Industry]], Mean_ROA_S, 2, FALSE))/(VLOOKUP(Main_S[[#This Row],[Industry]], Mean_ROA_S, 3, FALSE))</f>
        <v>-0.8956007330509006</v>
      </c>
      <c r="S32" s="1">
        <f>(Main_S[[#This Row],[A/E]]-VLOOKUP(Main_S[[#This Row],[Industry]], Mean_AE_S, 2, FALSE))/(VLOOKUP(Main_S[[#This Row],[Industry]], Mean_AE_S, 3, FALSE))</f>
        <v>2.4909158628760757</v>
      </c>
      <c r="T32" s="1">
        <f>(Main_S[[#This Row],[P/E]]-VLOOKUP(Main_S[[#This Row],[Industry]], Mean_PE_S, 2, FALSE))/(VLOOKUP(Main_S[[#This Row],[Industry]], Mean_PE_S, 3, FALSE))</f>
        <v>-4.1581272894733647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3" spans="1:26" x14ac:dyDescent="0.25">
      <c r="A33" s="67" t="s">
        <v>186</v>
      </c>
      <c r="B33" s="67" t="s">
        <v>512</v>
      </c>
      <c r="C33" s="2">
        <v>461</v>
      </c>
      <c r="D33">
        <f>RTD("tos.rtd", , "LAST", Main_S[[#This Row],[Symbol]])</f>
        <v>2.0230000000000001</v>
      </c>
      <c r="E33">
        <v>-0.05</v>
      </c>
      <c r="F33">
        <v>0.32</v>
      </c>
      <c r="G33">
        <v>0.06</v>
      </c>
      <c r="H33" s="1">
        <f>IF(ISNUMBER(Main_S[[#This Row],[Free CF]]),IF(Main_S[[#This Row],[Free CF]]&lt;&gt;0,Main_S[[#This Row],[Current Price]]/Main_S[[#This Row],[Free CF]],""),"")</f>
        <v>-40.46</v>
      </c>
      <c r="I33" s="1">
        <f>IF(ISNUMBER(Main_S[[#This Row],[BVPS]]),IF(Main_S[[#This Row],[BVPS]]&lt;&gt;0,Main_S[[#This Row],[Current Price]]/Main_S[[#This Row],[BVPS]],""),"")</f>
        <v>6.3218750000000004</v>
      </c>
      <c r="J33">
        <v>23.14</v>
      </c>
      <c r="K33">
        <v>5.92</v>
      </c>
      <c r="L33">
        <v>1.47</v>
      </c>
      <c r="M33" s="1">
        <f>IF(ISNUMBER(Main_S[[#This Row],[EPS]]),IF(Main_S[[#This Row],[EPS]]&lt;&gt;0,Main_S[[#This Row],[Current Price]]/Main_S[[#This Row],[EPS]],""),"")</f>
        <v>33.716666666666669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-2.157448288930957</v>
      </c>
      <c r="P33" s="1">
        <f>(Main_S[[#This Row],[P/B]]-VLOOKUP(Main_S[[#This Row],[Industry]], Mean_PB_S, 2, FALSE))/(VLOOKUP(Main_S[[#This Row],[Industry]], Mean_PB_S, 3, FALSE))</f>
        <v>1.4493491343693903</v>
      </c>
      <c r="Q33" s="1">
        <f>(Main_S[[#This Row],[ROE]]-VLOOKUP(Main_S[[#This Row],[Industry]], Mean_ROE_S, 2, FALSE))/(VLOOKUP(Main_S[[#This Row],[Industry]], Mean_ROE_S, 3, FALSE))</f>
        <v>1.2760940050526277</v>
      </c>
      <c r="R33" s="1">
        <f>(Main_S[[#This Row],[ROA]]-VLOOKUP(Main_S[[#This Row],[Industry]], Mean_ROA_S, 2, FALSE))/(VLOOKUP(Main_S[[#This Row],[Industry]], Mean_ROA_S, 3, FALSE))</f>
        <v>0.66026474765975374</v>
      </c>
      <c r="S33" s="1">
        <f>(Main_S[[#This Row],[A/E]]-VLOOKUP(Main_S[[#This Row],[Industry]], Mean_AE_S, 2, FALSE))/(VLOOKUP(Main_S[[#This Row],[Industry]], Mean_AE_S, 3, FALSE))</f>
        <v>-0.87648680999617667</v>
      </c>
      <c r="T33" s="1">
        <f>(Main_S[[#This Row],[P/E]]-VLOOKUP(Main_S[[#This Row],[Industry]], Mean_PE_S, 2, FALSE))/(VLOOKUP(Main_S[[#This Row],[Industry]], Mean_PE_S, 3, FALSE))</f>
        <v>1.0738059001333691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7" t="s">
        <v>186</v>
      </c>
      <c r="B34" s="67" t="s">
        <v>513</v>
      </c>
      <c r="C34" s="2">
        <v>480</v>
      </c>
      <c r="D34">
        <f>RTD("tos.rtd", , "LAST", Main_S[[#This Row],[Symbol]])</f>
        <v>5.81</v>
      </c>
      <c r="E34">
        <v>-0.09</v>
      </c>
      <c r="F34">
        <v>0.67</v>
      </c>
      <c r="G34">
        <v>-7.0000000000000007E-2</v>
      </c>
      <c r="H34" s="1">
        <f>IF(ISNUMBER(Main_S[[#This Row],[Free CF]]),IF(Main_S[[#This Row],[Free CF]]&lt;&gt;0,Main_S[[#This Row],[Current Price]]/Main_S[[#This Row],[Free CF]],""),"")</f>
        <v>-64.555555555555557</v>
      </c>
      <c r="I34" s="1">
        <f>IF(ISNUMBER(Main_S[[#This Row],[BVPS]]),IF(Main_S[[#This Row],[BVPS]]&lt;&gt;0,Main_S[[#This Row],[Current Price]]/Main_S[[#This Row],[BVPS]],""),"")</f>
        <v>8.6716417910447756</v>
      </c>
      <c r="J34">
        <v>-14.1</v>
      </c>
      <c r="K34">
        <v>-3.87</v>
      </c>
      <c r="L34">
        <v>2.09</v>
      </c>
      <c r="M34" s="1">
        <f>IF(ISNUMBER(Main_S[[#This Row],[EPS]]),IF(Main_S[[#This Row],[EPS]]&lt;&gt;0,Main_S[[#This Row],[Current Price]]/Main_S[[#This Row],[EPS]],""),"")</f>
        <v>-82.999999999999986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-3.2869184576507946</v>
      </c>
      <c r="P34" s="1">
        <f>(Main_S[[#This Row],[P/B]]-VLOOKUP(Main_S[[#This Row],[Industry]], Mean_PB_S, 2, FALSE))/(VLOOKUP(Main_S[[#This Row],[Industry]], Mean_PB_S, 3, FALSE))</f>
        <v>2.5003067335777085</v>
      </c>
      <c r="Q34" s="1">
        <f>(Main_S[[#This Row],[ROE]]-VLOOKUP(Main_S[[#This Row],[Industry]], Mean_ROE_S, 2, FALSE))/(VLOOKUP(Main_S[[#This Row],[Industry]], Mean_ROE_S, 3, FALSE))</f>
        <v>-0.71862726041396996</v>
      </c>
      <c r="R34" s="1">
        <f>(Main_S[[#This Row],[ROA]]-VLOOKUP(Main_S[[#This Row],[Industry]], Mean_ROA_S, 2, FALSE))/(VLOOKUP(Main_S[[#This Row],[Industry]], Mean_ROA_S, 3, FALSE))</f>
        <v>-0.74101612227192115</v>
      </c>
      <c r="S34" s="1">
        <f>(Main_S[[#This Row],[A/E]]-VLOOKUP(Main_S[[#This Row],[Industry]], Mean_AE_S, 2, FALSE))/(VLOOKUP(Main_S[[#This Row],[Industry]], Mean_AE_S, 3, FALSE))</f>
        <v>0.61479151656153463</v>
      </c>
      <c r="T34" s="1">
        <f>(Main_S[[#This Row],[P/E]]-VLOOKUP(Main_S[[#This Row],[Industry]], Mean_PE_S, 2, FALSE))/(VLOOKUP(Main_S[[#This Row],[Industry]], Mean_PE_S, 3, FALSE))</f>
        <v>-4.3525470059694609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5" spans="1:26" x14ac:dyDescent="0.25">
      <c r="A35" s="67" t="s">
        <v>186</v>
      </c>
      <c r="B35" s="67" t="s">
        <v>446</v>
      </c>
      <c r="C35" s="2">
        <v>274</v>
      </c>
      <c r="D35">
        <f>RTD("tos.rtd", , "LAST", Main_S[[#This Row],[Symbol]])</f>
        <v>1.19</v>
      </c>
      <c r="E35">
        <v>-0.28000000000000003</v>
      </c>
      <c r="F35">
        <v>0.22</v>
      </c>
      <c r="G35">
        <v>-0.45</v>
      </c>
      <c r="H35" s="1">
        <f>IF(ISNUMBER(Main_S[[#This Row],[Free CF]]),IF(Main_S[[#This Row],[Free CF]]&lt;&gt;0,Main_S[[#This Row],[Current Price]]/Main_S[[#This Row],[Free CF]],""),"")</f>
        <v>-4.2499999999999991</v>
      </c>
      <c r="I35" s="1">
        <f>IF(ISNUMBER(Main_S[[#This Row],[BVPS]]),IF(Main_S[[#This Row],[BVPS]]&lt;&gt;0,Main_S[[#This Row],[Current Price]]/Main_S[[#This Row],[BVPS]],""),"")</f>
        <v>5.4090909090909092</v>
      </c>
      <c r="J35">
        <v>-135.21</v>
      </c>
      <c r="K35">
        <v>-33.74</v>
      </c>
      <c r="L35">
        <v>2.19</v>
      </c>
      <c r="M35" s="1">
        <f>IF(ISNUMBER(Main_S[[#This Row],[EPS]]),IF(Main_S[[#This Row],[EPS]]&lt;&gt;0,Main_S[[#This Row],[Current Price]]/Main_S[[#This Row],[EPS]],""),"")</f>
        <v>-2.6444444444444444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-0.46011806074637851</v>
      </c>
      <c r="P35" s="1">
        <f>(Main_S[[#This Row],[P/B]]-VLOOKUP(Main_S[[#This Row],[Industry]], Mean_PB_S, 2, FALSE))/(VLOOKUP(Main_S[[#This Row],[Industry]], Mean_PB_S, 3, FALSE))</f>
        <v>1.0410969706085627</v>
      </c>
      <c r="Q35" s="1">
        <f>(Main_S[[#This Row],[ROE]]-VLOOKUP(Main_S[[#This Row],[Industry]], Mean_ROE_S, 2, FALSE))/(VLOOKUP(Main_S[[#This Row],[Industry]], Mean_ROE_S, 3, FALSE))</f>
        <v>-7.205756488680878</v>
      </c>
      <c r="R35" s="1">
        <f>(Main_S[[#This Row],[ROA]]-VLOOKUP(Main_S[[#This Row],[Industry]], Mean_ROA_S, 2, FALSE))/(VLOOKUP(Main_S[[#This Row],[Industry]], Mean_ROA_S, 3, FALSE))</f>
        <v>-5.0164256815016586</v>
      </c>
      <c r="S35" s="1">
        <f>(Main_S[[#This Row],[A/E]]-VLOOKUP(Main_S[[#This Row],[Industry]], Mean_AE_S, 2, FALSE))/(VLOOKUP(Main_S[[#This Row],[Industry]], Mean_AE_S, 3, FALSE))</f>
        <v>0.85532027890955287</v>
      </c>
      <c r="T35" s="1">
        <f>(Main_S[[#This Row],[P/E]]-VLOOKUP(Main_S[[#This Row],[Industry]], Mean_PE_S, 2, FALSE))/(VLOOKUP(Main_S[[#This Row],[Industry]], Mean_PE_S, 3, FALSE))</f>
        <v>-0.61668292705702688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7" t="s">
        <v>186</v>
      </c>
      <c r="B36" s="67" t="s">
        <v>443</v>
      </c>
      <c r="C36" s="2">
        <v>895</v>
      </c>
      <c r="D36">
        <f>RTD("tos.rtd", , "LAST", Main_S[[#This Row],[Symbol]])</f>
        <v>5.43</v>
      </c>
      <c r="E36">
        <v>-0.3</v>
      </c>
      <c r="F36">
        <v>0.74</v>
      </c>
      <c r="G36">
        <v>-0.28000000000000003</v>
      </c>
      <c r="H36" s="1">
        <f>IF(ISNUMBER(Main_S[[#This Row],[Free CF]]),IF(Main_S[[#This Row],[Free CF]]&lt;&gt;0,Main_S[[#This Row],[Current Price]]/Main_S[[#This Row],[Free CF]],""),"")</f>
        <v>-18.100000000000001</v>
      </c>
      <c r="I36" s="1">
        <f>IF(ISNUMBER(Main_S[[#This Row],[BVPS]]),IF(Main_S[[#This Row],[BVPS]]&lt;&gt;0,Main_S[[#This Row],[Current Price]]/Main_S[[#This Row],[BVPS]],""),"")</f>
        <v>7.3378378378378377</v>
      </c>
      <c r="J36">
        <v>-33.840000000000003</v>
      </c>
      <c r="K36">
        <v>-16.7</v>
      </c>
      <c r="L36">
        <v>2.11</v>
      </c>
      <c r="M36" s="1">
        <f>IF(ISNUMBER(Main_S[[#This Row],[EPS]]),IF(Main_S[[#This Row],[EPS]]&lt;&gt;0,Main_S[[#This Row],[Current Price]]/Main_S[[#This Row],[EPS]],""),"")</f>
        <v>-19.392857142857139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-1.1093316387733438</v>
      </c>
      <c r="P36" s="1">
        <f>(Main_S[[#This Row],[P/B]]-VLOOKUP(Main_S[[#This Row],[Industry]], Mean_PB_S, 2, FALSE))/(VLOOKUP(Main_S[[#This Row],[Industry]], Mean_PB_S, 3, FALSE))</f>
        <v>1.9037490641871819</v>
      </c>
      <c r="Q36" s="1">
        <f>(Main_S[[#This Row],[ROE]]-VLOOKUP(Main_S[[#This Row],[Industry]], Mean_ROE_S, 2, FALSE))/(VLOOKUP(Main_S[[#This Row],[Industry]], Mean_ROE_S, 3, FALSE))</f>
        <v>-1.7759795101537834</v>
      </c>
      <c r="R36" s="1">
        <f>(Main_S[[#This Row],[ROA]]-VLOOKUP(Main_S[[#This Row],[Industry]], Mean_ROA_S, 2, FALSE))/(VLOOKUP(Main_S[[#This Row],[Industry]], Mean_ROA_S, 3, FALSE))</f>
        <v>-2.5774240447666488</v>
      </c>
      <c r="S36" s="1">
        <f>(Main_S[[#This Row],[A/E]]-VLOOKUP(Main_S[[#This Row],[Industry]], Mean_AE_S, 2, FALSE))/(VLOOKUP(Main_S[[#This Row],[Industry]], Mean_AE_S, 3, FALSE))</f>
        <v>0.66289726903113833</v>
      </c>
      <c r="T36" s="1">
        <f>(Main_S[[#This Row],[P/E]]-VLOOKUP(Main_S[[#This Row],[Industry]], Mean_PE_S, 2, FALSE))/(VLOOKUP(Main_S[[#This Row],[Industry]], Mean_PE_S, 3, FALSE))</f>
        <v>-1.3953446256317059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7" t="s">
        <v>186</v>
      </c>
      <c r="B37" s="67" t="s">
        <v>445</v>
      </c>
      <c r="C37" s="2">
        <v>748</v>
      </c>
      <c r="D37">
        <f>RTD("tos.rtd", , "LAST", Main_S[[#This Row],[Symbol]])</f>
        <v>17.63</v>
      </c>
      <c r="E37">
        <v>-0.46</v>
      </c>
      <c r="F37">
        <v>4.3</v>
      </c>
      <c r="G37">
        <v>-1.1399999999999999</v>
      </c>
      <c r="H37" s="1">
        <f>IF(ISNUMBER(Main_S[[#This Row],[Free CF]]),IF(Main_S[[#This Row],[Free CF]]&lt;&gt;0,Main_S[[#This Row],[Current Price]]/Main_S[[#This Row],[Free CF]],""),"")</f>
        <v>-38.326086956521735</v>
      </c>
      <c r="I37" s="1">
        <f>IF(ISNUMBER(Main_S[[#This Row],[BVPS]]),IF(Main_S[[#This Row],[BVPS]]&lt;&gt;0,Main_S[[#This Row],[Current Price]]/Main_S[[#This Row],[BVPS]],""),"")</f>
        <v>4.0999999999999996</v>
      </c>
      <c r="J37">
        <v>-24.12</v>
      </c>
      <c r="K37">
        <v>-11.86</v>
      </c>
      <c r="L37">
        <v>1.36</v>
      </c>
      <c r="M37" s="1">
        <f>IF(ISNUMBER(Main_S[[#This Row],[EPS]]),IF(Main_S[[#This Row],[EPS]]&lt;&gt;0,Main_S[[#This Row],[Current Price]]/Main_S[[#This Row],[EPS]],""),"")</f>
        <v>-15.464912280701755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-2.0574219118800596</v>
      </c>
      <c r="P37" s="1">
        <f>(Main_S[[#This Row],[P/B]]-VLOOKUP(Main_S[[#This Row],[Industry]], Mean_PB_S, 2, FALSE))/(VLOOKUP(Main_S[[#This Row],[Industry]], Mean_PB_S, 3, FALSE))</f>
        <v>0.45559246683953269</v>
      </c>
      <c r="Q37" s="1">
        <f>(Main_S[[#This Row],[ROE]]-VLOOKUP(Main_S[[#This Row],[Industry]], Mean_ROE_S, 2, FALSE))/(VLOOKUP(Main_S[[#This Row],[Industry]], Mean_ROE_S, 3, FALSE))</f>
        <v>-1.255337976847249</v>
      </c>
      <c r="R37" s="1">
        <f>(Main_S[[#This Row],[ROA]]-VLOOKUP(Main_S[[#This Row],[Industry]], Mean_ROA_S, 2, FALSE))/(VLOOKUP(Main_S[[#This Row],[Industry]], Mean_ROA_S, 3, FALSE))</f>
        <v>-1.8846559742386302</v>
      </c>
      <c r="S37" s="1">
        <f>(Main_S[[#This Row],[A/E]]-VLOOKUP(Main_S[[#This Row],[Industry]], Mean_AE_S, 2, FALSE))/(VLOOKUP(Main_S[[#This Row],[Industry]], Mean_AE_S, 3, FALSE))</f>
        <v>-1.1410684485789961</v>
      </c>
      <c r="T37" s="1">
        <f>(Main_S[[#This Row],[P/E]]-VLOOKUP(Main_S[[#This Row],[Industry]], Mean_PE_S, 2, FALSE))/(VLOOKUP(Main_S[[#This Row],[Industry]], Mean_PE_S, 3, FALSE))</f>
        <v>-1.212727904074357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7" t="s">
        <v>186</v>
      </c>
      <c r="B38" s="67" t="s">
        <v>440</v>
      </c>
      <c r="C38" s="2">
        <v>603</v>
      </c>
      <c r="D38">
        <f>RTD("tos.rtd", , "LAST", Main_S[[#This Row],[Symbol]])</f>
        <v>4.78</v>
      </c>
      <c r="E38">
        <v>-0.49</v>
      </c>
      <c r="F38">
        <v>3.46</v>
      </c>
      <c r="G38">
        <v>-1.02</v>
      </c>
      <c r="H38" s="1">
        <f>IF(ISNUMBER(Main_S[[#This Row],[Free CF]]),IF(Main_S[[#This Row],[Free CF]]&lt;&gt;0,Main_S[[#This Row],[Current Price]]/Main_S[[#This Row],[Free CF]],""),"")</f>
        <v>-9.7551020408163271</v>
      </c>
      <c r="I38" s="1">
        <f>IF(ISNUMBER(Main_S[[#This Row],[BVPS]]),IF(Main_S[[#This Row],[BVPS]]&lt;&gt;0,Main_S[[#This Row],[Current Price]]/Main_S[[#This Row],[BVPS]],""),"")</f>
        <v>1.3815028901734105</v>
      </c>
      <c r="J38">
        <v>-4.04</v>
      </c>
      <c r="K38">
        <v>-3.6</v>
      </c>
      <c r="L38">
        <v>1.98</v>
      </c>
      <c r="M38" s="1">
        <f>IF(ISNUMBER(Main_S[[#This Row],[EPS]]),IF(Main_S[[#This Row],[EPS]]&lt;&gt;0,Main_S[[#This Row],[Current Price]]/Main_S[[#This Row],[EPS]],""),"")</f>
        <v>-4.6862745098039218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-0.71816766315229308</v>
      </c>
      <c r="P38" s="1">
        <f>(Main_S[[#This Row],[P/B]]-VLOOKUP(Main_S[[#This Row],[Industry]], Mean_PB_S, 2, FALSE))/(VLOOKUP(Main_S[[#This Row],[Industry]], Mean_PB_S, 3, FALSE))</f>
        <v>-0.76028359664325518</v>
      </c>
      <c r="Q38" s="1">
        <f>(Main_S[[#This Row],[ROE]]-VLOOKUP(Main_S[[#This Row],[Industry]], Mean_ROE_S, 2, FALSE))/(VLOOKUP(Main_S[[#This Row],[Industry]], Mean_ROE_S, 3, FALSE))</f>
        <v>-0.17977398623045834</v>
      </c>
      <c r="R38" s="1">
        <f>(Main_S[[#This Row],[ROA]]-VLOOKUP(Main_S[[#This Row],[Industry]], Mean_ROA_S, 2, FALSE))/(VLOOKUP(Main_S[[#This Row],[Industry]], Mean_ROA_S, 3, FALSE))</f>
        <v>-0.70236996957717623</v>
      </c>
      <c r="S38" s="1">
        <f>(Main_S[[#This Row],[A/E]]-VLOOKUP(Main_S[[#This Row],[Industry]], Mean_AE_S, 2, FALSE))/(VLOOKUP(Main_S[[#This Row],[Industry]], Mean_AE_S, 3, FALSE))</f>
        <v>0.35020987797871517</v>
      </c>
      <c r="T38" s="1">
        <f>(Main_S[[#This Row],[P/E]]-VLOOKUP(Main_S[[#This Row],[Industry]], Mean_PE_S, 2, FALSE))/(VLOOKUP(Main_S[[#This Row],[Industry]], Mean_PE_S, 3, FALSE))</f>
        <v>-0.71161101937973037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7" t="s">
        <v>186</v>
      </c>
      <c r="B39" s="67" t="s">
        <v>517</v>
      </c>
      <c r="C39" s="2">
        <v>284</v>
      </c>
      <c r="D39">
        <f>RTD("tos.rtd", , "LAST", Main_S[[#This Row],[Symbol]])</f>
        <v>8.57</v>
      </c>
      <c r="E39">
        <v>-0.73</v>
      </c>
      <c r="F39">
        <v>19.75</v>
      </c>
      <c r="G39">
        <v>-2.59</v>
      </c>
      <c r="H39" s="1">
        <f>IF(ISNUMBER(Main_S[[#This Row],[Free CF]]),IF(Main_S[[#This Row],[Free CF]]&lt;&gt;0,Main_S[[#This Row],[Current Price]]/Main_S[[#This Row],[Free CF]],""),"")</f>
        <v>-11.739726027397261</v>
      </c>
      <c r="I39" s="1">
        <f>IF(ISNUMBER(Main_S[[#This Row],[BVPS]]),IF(Main_S[[#This Row],[BVPS]]&lt;&gt;0,Main_S[[#This Row],[Current Price]]/Main_S[[#This Row],[BVPS]],""),"")</f>
        <v>0.4339240506329114</v>
      </c>
      <c r="J39">
        <v>-11.9</v>
      </c>
      <c r="K39">
        <v>-0.28999999999999998</v>
      </c>
      <c r="L39">
        <v>1.85</v>
      </c>
      <c r="M39" s="1">
        <f>IF(ISNUMBER(Main_S[[#This Row],[EPS]]),IF(Main_S[[#This Row],[EPS]]&lt;&gt;0,Main_S[[#This Row],[Current Price]]/Main_S[[#This Row],[EPS]],""),"")</f>
        <v>-3.3088803088803092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-0.81119617140979106</v>
      </c>
      <c r="P39" s="1">
        <f>(Main_S[[#This Row],[P/B]]-VLOOKUP(Main_S[[#This Row],[Industry]], Mean_PB_S, 2, FALSE))/(VLOOKUP(Main_S[[#This Row],[Industry]], Mean_PB_S, 3, FALSE))</f>
        <v>-1.1840980730668054</v>
      </c>
      <c r="Q39" s="1">
        <f>(Main_S[[#This Row],[ROE]]-VLOOKUP(Main_S[[#This Row],[Industry]], Mean_ROE_S, 2, FALSE))/(VLOOKUP(Main_S[[#This Row],[Industry]], Mean_ROE_S, 3, FALSE))</f>
        <v>-0.60078658415117425</v>
      </c>
      <c r="R39" s="1">
        <f>(Main_S[[#This Row],[ROA]]-VLOOKUP(Main_S[[#This Row],[Industry]], Mean_ROA_S, 2, FALSE))/(VLOOKUP(Main_S[[#This Row],[Industry]], Mean_ROA_S, 3, FALSE))</f>
        <v>-0.22859676431937809</v>
      </c>
      <c r="S39" s="1">
        <f>(Main_S[[#This Row],[A/E]]-VLOOKUP(Main_S[[#This Row],[Industry]], Mean_AE_S, 2, FALSE))/(VLOOKUP(Main_S[[#This Row],[Industry]], Mean_AE_S, 3, FALSE))</f>
        <v>3.7522486926292016E-2</v>
      </c>
      <c r="T39" s="1">
        <f>(Main_S[[#This Row],[P/E]]-VLOOKUP(Main_S[[#This Row],[Industry]], Mean_PE_S, 2, FALSE))/(VLOOKUP(Main_S[[#This Row],[Industry]], Mean_PE_S, 3, FALSE))</f>
        <v>-0.64757366089024548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7" t="s">
        <v>186</v>
      </c>
      <c r="B40" s="67" t="s">
        <v>448</v>
      </c>
      <c r="C40" s="2">
        <v>658</v>
      </c>
      <c r="D40">
        <f>RTD("tos.rtd", , "LAST", Main_S[[#This Row],[Symbol]])</f>
        <v>15.185</v>
      </c>
      <c r="E40">
        <v>-0.73</v>
      </c>
      <c r="F40">
        <v>3.12</v>
      </c>
      <c r="G40">
        <v>-1.95</v>
      </c>
      <c r="H40" s="1">
        <f>IF(ISNUMBER(Main_S[[#This Row],[Free CF]]),IF(Main_S[[#This Row],[Free CF]]&lt;&gt;0,Main_S[[#This Row],[Current Price]]/Main_S[[#This Row],[Free CF]],""),"")</f>
        <v>-20.801369863013701</v>
      </c>
      <c r="I40" s="1">
        <f>IF(ISNUMBER(Main_S[[#This Row],[BVPS]]),IF(Main_S[[#This Row],[BVPS]]&lt;&gt;0,Main_S[[#This Row],[Current Price]]/Main_S[[#This Row],[BVPS]],""),"")</f>
        <v>4.8669871794871797</v>
      </c>
      <c r="J40">
        <v>-56.81</v>
      </c>
      <c r="K40">
        <v>-21.79</v>
      </c>
      <c r="L40">
        <v>1.6</v>
      </c>
      <c r="M40" s="1">
        <f>IF(ISNUMBER(Main_S[[#This Row],[EPS]]),IF(Main_S[[#This Row],[EPS]]&lt;&gt;0,Main_S[[#This Row],[Current Price]]/Main_S[[#This Row],[EPS]],""),"")</f>
        <v>-7.7871794871794879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-1.2359573423358954</v>
      </c>
      <c r="P40" s="1">
        <f>(Main_S[[#This Row],[P/B]]-VLOOKUP(Main_S[[#This Row],[Industry]], Mean_PB_S, 2, FALSE))/(VLOOKUP(Main_S[[#This Row],[Industry]], Mean_PB_S, 3, FALSE))</f>
        <v>0.79863544789170915</v>
      </c>
      <c r="Q40" s="1">
        <f>(Main_S[[#This Row],[ROE]]-VLOOKUP(Main_S[[#This Row],[Industry]], Mean_ROE_S, 2, FALSE))/(VLOOKUP(Main_S[[#This Row],[Industry]], Mean_ROE_S, 3, FALSE))</f>
        <v>-3.0063432982248828</v>
      </c>
      <c r="R40" s="1">
        <f>(Main_S[[#This Row],[ROA]]-VLOOKUP(Main_S[[#This Row],[Industry]], Mean_ROA_S, 2, FALSE))/(VLOOKUP(Main_S[[#This Row],[Industry]], Mean_ROA_S, 3, FALSE))</f>
        <v>-3.3059755900120242</v>
      </c>
      <c r="S40" s="1">
        <f>(Main_S[[#This Row],[A/E]]-VLOOKUP(Main_S[[#This Row],[Industry]], Mean_AE_S, 2, FALSE))/(VLOOKUP(Main_S[[#This Row],[Industry]], Mean_AE_S, 3, FALSE))</f>
        <v>-0.56379941894375296</v>
      </c>
      <c r="T40" s="1">
        <f>(Main_S[[#This Row],[P/E]]-VLOOKUP(Main_S[[#This Row],[Industry]], Mean_PE_S, 2, FALSE))/(VLOOKUP(Main_S[[#This Row],[Industry]], Mean_PE_S, 3, FALSE))</f>
        <v>-0.85577727443211327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7" t="s">
        <v>186</v>
      </c>
      <c r="B41" s="67" t="s">
        <v>454</v>
      </c>
      <c r="C41" s="2">
        <v>1907</v>
      </c>
      <c r="D41">
        <f>RTD("tos.rtd", , "LAST", Main_S[[#This Row],[Symbol]])</f>
        <v>15.6</v>
      </c>
      <c r="E41">
        <v>-1.6</v>
      </c>
      <c r="F41">
        <v>14.99</v>
      </c>
      <c r="G41">
        <v>-0.48</v>
      </c>
      <c r="H41" s="1">
        <f>IF(ISNUMBER(Main_S[[#This Row],[Free CF]]),IF(Main_S[[#This Row],[Free CF]]&lt;&gt;0,Main_S[[#This Row],[Current Price]]/Main_S[[#This Row],[Free CF]],""),"")</f>
        <v>-9.75</v>
      </c>
      <c r="I41" s="1">
        <f>IF(ISNUMBER(Main_S[[#This Row],[BVPS]]),IF(Main_S[[#This Row],[BVPS]]&lt;&gt;0,Main_S[[#This Row],[Current Price]]/Main_S[[#This Row],[BVPS]],""),"")</f>
        <v>1.0406937958639093</v>
      </c>
      <c r="J41">
        <v>-3.09</v>
      </c>
      <c r="K41">
        <v>0.94</v>
      </c>
      <c r="L41">
        <v>2.0699999999999998</v>
      </c>
      <c r="M41" s="1">
        <f>IF(ISNUMBER(Main_S[[#This Row],[EPS]]),IF(Main_S[[#This Row],[EPS]]&lt;&gt;0,Main_S[[#This Row],[Current Price]]/Main_S[[#This Row],[EPS]],""),"")</f>
        <v>-32.5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-0.7179285068942709</v>
      </c>
      <c r="P41" s="1">
        <f>(Main_S[[#This Row],[P/B]]-VLOOKUP(Main_S[[#This Row],[Industry]], Mean_PB_S, 2, FALSE))/(VLOOKUP(Main_S[[#This Row],[Industry]], Mean_PB_S, 3, FALSE))</f>
        <v>-0.91271400331549335</v>
      </c>
      <c r="Q41" s="1">
        <f>(Main_S[[#This Row],[ROE]]-VLOOKUP(Main_S[[#This Row],[Industry]], Mean_ROE_S, 2, FALSE))/(VLOOKUP(Main_S[[#This Row],[Industry]], Mean_ROE_S, 3, FALSE))</f>
        <v>-0.12888823966243287</v>
      </c>
      <c r="R41" s="1">
        <f>(Main_S[[#This Row],[ROA]]-VLOOKUP(Main_S[[#This Row],[Industry]], Mean_ROA_S, 2, FALSE))/(VLOOKUP(Main_S[[#This Row],[Industry]], Mean_ROA_S, 3, FALSE))</f>
        <v>-5.2542068709984832E-2</v>
      </c>
      <c r="S41" s="1">
        <f>(Main_S[[#This Row],[A/E]]-VLOOKUP(Main_S[[#This Row],[Industry]], Mean_AE_S, 2, FALSE))/(VLOOKUP(Main_S[[#This Row],[Industry]], Mean_AE_S, 3, FALSE))</f>
        <v>0.56668576409193105</v>
      </c>
      <c r="T41" s="1">
        <f>(Main_S[[#This Row],[P/E]]-VLOOKUP(Main_S[[#This Row],[Industry]], Mean_PE_S, 2, FALSE))/(VLOOKUP(Main_S[[#This Row],[Industry]], Mean_PE_S, 3, FALSE))</f>
        <v>-2.0047176035002945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7" t="s">
        <v>186</v>
      </c>
      <c r="B42" s="67" t="s">
        <v>439</v>
      </c>
      <c r="C42" s="2">
        <v>1005</v>
      </c>
      <c r="D42">
        <f>RTD("tos.rtd", , "LAST", Main_S[[#This Row],[Symbol]])</f>
        <v>21.78</v>
      </c>
      <c r="E42">
        <v>-2.0499999999999998</v>
      </c>
      <c r="F42">
        <v>1.25</v>
      </c>
      <c r="G42">
        <v>-2.82</v>
      </c>
      <c r="H42" s="1">
        <f>IF(ISNUMBER(Main_S[[#This Row],[Free CF]]),IF(Main_S[[#This Row],[Free CF]]&lt;&gt;0,Main_S[[#This Row],[Current Price]]/Main_S[[#This Row],[Free CF]],""),"")</f>
        <v>-10.624390243902441</v>
      </c>
      <c r="I42" s="1">
        <f>IF(ISNUMBER(Main_S[[#This Row],[BVPS]]),IF(Main_S[[#This Row],[BVPS]]&lt;&gt;0,Main_S[[#This Row],[Current Price]]/Main_S[[#This Row],[BVPS]],""),"")</f>
        <v>17.423999999999999</v>
      </c>
      <c r="J42">
        <v>-113.7</v>
      </c>
      <c r="K42">
        <v>-51.55</v>
      </c>
      <c r="L42">
        <v>1.66</v>
      </c>
      <c r="M42" s="1">
        <f>IF(ISNUMBER(Main_S[[#This Row],[EPS]]),IF(Main_S[[#This Row],[EPS]]&lt;&gt;0,Main_S[[#This Row],[Current Price]]/Main_S[[#This Row],[EPS]],""),"")</f>
        <v>-7.7234042553191502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-0.75891522305569881</v>
      </c>
      <c r="P42" s="1">
        <f>(Main_S[[#This Row],[P/B]]-VLOOKUP(Main_S[[#This Row],[Industry]], Mean_PB_S, 2, FALSE))/(VLOOKUP(Main_S[[#This Row],[Industry]], Mean_PB_S, 3, FALSE))</f>
        <v>6.4148898342287053</v>
      </c>
      <c r="Q42" s="1">
        <f>(Main_S[[#This Row],[ROE]]-VLOOKUP(Main_S[[#This Row],[Industry]], Mean_ROE_S, 2, FALSE))/(VLOOKUP(Main_S[[#This Row],[Industry]], Mean_ROE_S, 3, FALSE))</f>
        <v>-6.0535960584932695</v>
      </c>
      <c r="R42" s="1">
        <f>(Main_S[[#This Row],[ROA]]-VLOOKUP(Main_S[[#This Row],[Industry]], Mean_ROA_S, 2, FALSE))/(VLOOKUP(Main_S[[#This Row],[Industry]], Mean_ROA_S, 3, FALSE))</f>
        <v>-7.5656404203661243</v>
      </c>
      <c r="S42" s="1">
        <f>(Main_S[[#This Row],[A/E]]-VLOOKUP(Main_S[[#This Row],[Industry]], Mean_AE_S, 2, FALSE))/(VLOOKUP(Main_S[[#This Row],[Industry]], Mean_AE_S, 3, FALSE))</f>
        <v>-0.41948216153494261</v>
      </c>
      <c r="T42" s="1">
        <f>(Main_S[[#This Row],[P/E]]-VLOOKUP(Main_S[[#This Row],[Industry]], Mean_PE_S, 2, FALSE))/(VLOOKUP(Main_S[[#This Row],[Industry]], Mean_PE_S, 3, FALSE))</f>
        <v>-0.85281225731308374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7" t="s">
        <v>186</v>
      </c>
      <c r="B43" s="67" t="s">
        <v>520</v>
      </c>
      <c r="C43" s="2">
        <v>592</v>
      </c>
      <c r="D43">
        <f>RTD("tos.rtd", , "LAST", Main_S[[#This Row],[Symbol]])</f>
        <v>6.19</v>
      </c>
      <c r="E43">
        <v>-4.9400000000000004</v>
      </c>
      <c r="F43">
        <v>2.93</v>
      </c>
      <c r="G43">
        <v>-6.74</v>
      </c>
      <c r="H43" s="1">
        <f>IF(ISNUMBER(Main_S[[#This Row],[Free CF]]),IF(Main_S[[#This Row],[Free CF]]&lt;&gt;0,Main_S[[#This Row],[Current Price]]/Main_S[[#This Row],[Free CF]],""),"")</f>
        <v>-1.2530364372469636</v>
      </c>
      <c r="I43" s="1">
        <f>IF(ISNUMBER(Main_S[[#This Row],[BVPS]]),IF(Main_S[[#This Row],[BVPS]]&lt;&gt;0,Main_S[[#This Row],[Current Price]]/Main_S[[#This Row],[BVPS]],""),"")</f>
        <v>2.112627986348123</v>
      </c>
      <c r="J43">
        <v>-92.74</v>
      </c>
      <c r="K43">
        <v>-11.18</v>
      </c>
      <c r="L43">
        <v>9.84</v>
      </c>
      <c r="M43" s="1">
        <f>IF(ISNUMBER(Main_S[[#This Row],[EPS]]),IF(Main_S[[#This Row],[EPS]]&lt;&gt;0,Main_S[[#This Row],[Current Price]]/Main_S[[#This Row],[EPS]],""),"")</f>
        <v>-0.91839762611275966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-0.3196365128914081</v>
      </c>
      <c r="P43" s="1">
        <f>(Main_S[[#This Row],[P/B]]-VLOOKUP(Main_S[[#This Row],[Industry]], Mean_PB_S, 2, FALSE))/(VLOOKUP(Main_S[[#This Row],[Industry]], Mean_PB_S, 3, FALSE))</f>
        <v>-0.43328030477398777</v>
      </c>
      <c r="Q43" s="1">
        <f>(Main_S[[#This Row],[ROE]]-VLOOKUP(Main_S[[#This Row],[Industry]], Mean_ROE_S, 2, FALSE))/(VLOOKUP(Main_S[[#This Row],[Industry]], Mean_ROE_S, 3, FALSE))</f>
        <v>-4.9308957973713605</v>
      </c>
      <c r="R43" s="1">
        <f>(Main_S[[#This Row],[ROA]]-VLOOKUP(Main_S[[#This Row],[Industry]], Mean_ROA_S, 2, FALSE))/(VLOOKUP(Main_S[[#This Row],[Industry]], Mean_ROA_S, 3, FALSE))</f>
        <v>-1.7873249230074209</v>
      </c>
      <c r="S43" s="1">
        <f>(Main_S[[#This Row],[A/E]]-VLOOKUP(Main_S[[#This Row],[Industry]], Mean_AE_S, 2, FALSE))/(VLOOKUP(Main_S[[#This Row],[Industry]], Mean_AE_S, 3, FALSE))</f>
        <v>19.255770598532933</v>
      </c>
      <c r="T43" s="1">
        <f>(Main_S[[#This Row],[P/E]]-VLOOKUP(Main_S[[#This Row],[Industry]], Mean_PE_S, 2, FALSE))/(VLOOKUP(Main_S[[#This Row],[Industry]], Mean_PE_S, 3, FALSE))</f>
        <v>-0.53643612566856191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7" t="s">
        <v>105</v>
      </c>
      <c r="B44" s="67" t="s">
        <v>348</v>
      </c>
      <c r="C44" s="2">
        <v>1687</v>
      </c>
      <c r="D44">
        <f>RTD("tos.rtd", , "LAST", Main_S[[#This Row],[Symbol]])</f>
        <v>110</v>
      </c>
      <c r="E44">
        <v>19.309999999999999</v>
      </c>
      <c r="F44">
        <v>44.48</v>
      </c>
      <c r="G44">
        <v>5.21</v>
      </c>
      <c r="H44" s="1">
        <f>IF(ISNUMBER(Main_S[[#This Row],[Free CF]]),IF(Main_S[[#This Row],[Free CF]]&lt;&gt;0,Main_S[[#This Row],[Current Price]]/Main_S[[#This Row],[Free CF]],""),"")</f>
        <v>5.6965302951838428</v>
      </c>
      <c r="I44" s="1">
        <f>IF(ISNUMBER(Main_S[[#This Row],[BVPS]]),IF(Main_S[[#This Row],[BVPS]]&lt;&gt;0,Main_S[[#This Row],[Current Price]]/Main_S[[#This Row],[BVPS]],""),"")</f>
        <v>2.4730215827338133</v>
      </c>
      <c r="J44">
        <v>14.95</v>
      </c>
      <c r="K44">
        <v>5.83</v>
      </c>
      <c r="L44">
        <v>4.47</v>
      </c>
      <c r="M44" s="1">
        <f>IF(ISNUMBER(Main_S[[#This Row],[EPS]]),IF(Main_S[[#This Row],[EPS]]&lt;&gt;0,Main_S[[#This Row],[Current Price]]/Main_S[[#This Row],[EPS]],""),"")</f>
        <v>21.113243761996163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6.3690643975232178E-2</v>
      </c>
      <c r="P44" s="1">
        <f>(Main_S[[#This Row],[P/B]]-VLOOKUP(Main_S[[#This Row],[Industry]], Mean_PB_S, 2, FALSE))/(VLOOKUP(Main_S[[#This Row],[Industry]], Mean_PB_S, 3, FALSE))</f>
        <v>-0.46965962614689177</v>
      </c>
      <c r="Q44" s="1">
        <f>(Main_S[[#This Row],[ROE]]-VLOOKUP(Main_S[[#This Row],[Industry]], Mean_ROE_S, 2, FALSE))/(VLOOKUP(Main_S[[#This Row],[Industry]], Mean_ROE_S, 3, FALSE))</f>
        <v>0.76993171335223765</v>
      </c>
      <c r="R44" s="1">
        <f>(Main_S[[#This Row],[ROA]]-VLOOKUP(Main_S[[#This Row],[Industry]], Mean_ROA_S, 2, FALSE))/(VLOOKUP(Main_S[[#This Row],[Industry]], Mean_ROA_S, 3, FALSE))</f>
        <v>0.81547006085684259</v>
      </c>
      <c r="S44" s="1">
        <f>(Main_S[[#This Row],[A/E]]-VLOOKUP(Main_S[[#This Row],[Industry]], Mean_AE_S, 2, FALSE))/(VLOOKUP(Main_S[[#This Row],[Industry]], Mean_AE_S, 3, FALSE))</f>
        <v>1.1099088005092195</v>
      </c>
      <c r="T44" s="1">
        <f>(Main_S[[#This Row],[P/E]]-VLOOKUP(Main_S[[#This Row],[Industry]], Mean_PE_S, 2, FALSE))/(VLOOKUP(Main_S[[#This Row],[Industry]], Mean_PE_S, 3, FALSE))</f>
        <v>0.8391067764388731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7" t="s">
        <v>105</v>
      </c>
      <c r="B45" s="67" t="s">
        <v>349</v>
      </c>
      <c r="C45" s="2">
        <v>678</v>
      </c>
      <c r="D45">
        <f>RTD("tos.rtd", , "LAST", Main_S[[#This Row],[Symbol]])</f>
        <v>24.91</v>
      </c>
      <c r="E45">
        <v>1.61</v>
      </c>
      <c r="F45">
        <v>4.1399999999999997</v>
      </c>
      <c r="G45">
        <v>0.84</v>
      </c>
      <c r="H45" s="1">
        <f>IF(ISNUMBER(Main_S[[#This Row],[Free CF]]),IF(Main_S[[#This Row],[Free CF]]&lt;&gt;0,Main_S[[#This Row],[Current Price]]/Main_S[[#This Row],[Free CF]],""),"")</f>
        <v>15.472049689440993</v>
      </c>
      <c r="I45" s="1">
        <f>IF(ISNUMBER(Main_S[[#This Row],[BVPS]]),IF(Main_S[[#This Row],[BVPS]]&lt;&gt;0,Main_S[[#This Row],[Current Price]]/Main_S[[#This Row],[BVPS]],""),"")</f>
        <v>6.016908212560387</v>
      </c>
      <c r="J45">
        <v>23.13</v>
      </c>
      <c r="K45">
        <v>12.62</v>
      </c>
      <c r="L45">
        <v>1.68</v>
      </c>
      <c r="M45" s="1">
        <f>IF(ISNUMBER(Main_S[[#This Row],[EPS]]),IF(Main_S[[#This Row],[EPS]]&lt;&gt;0,Main_S[[#This Row],[Current Price]]/Main_S[[#This Row],[EPS]],""),"")</f>
        <v>29.654761904761905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0.8941924385046045</v>
      </c>
      <c r="P45" s="1">
        <f>(Main_S[[#This Row],[P/B]]-VLOOKUP(Main_S[[#This Row],[Industry]], Mean_PB_S, 2, FALSE))/(VLOOKUP(Main_S[[#This Row],[Industry]], Mean_PB_S, 3, FALSE))</f>
        <v>0.62124005776219327</v>
      </c>
      <c r="Q45" s="1">
        <f>(Main_S[[#This Row],[ROE]]-VLOOKUP(Main_S[[#This Row],[Industry]], Mean_ROE_S, 2, FALSE))/(VLOOKUP(Main_S[[#This Row],[Industry]], Mean_ROE_S, 3, FALSE))</f>
        <v>0.92504119217742853</v>
      </c>
      <c r="R45" s="1">
        <f>(Main_S[[#This Row],[ROA]]-VLOOKUP(Main_S[[#This Row],[Industry]], Mean_ROA_S, 2, FALSE))/(VLOOKUP(Main_S[[#This Row],[Industry]], Mean_ROA_S, 3, FALSE))</f>
        <v>1.5782288006240723</v>
      </c>
      <c r="S45" s="1">
        <f>(Main_S[[#This Row],[A/E]]-VLOOKUP(Main_S[[#This Row],[Industry]], Mean_AE_S, 2, FALSE))/(VLOOKUP(Main_S[[#This Row],[Industry]], Mean_AE_S, 3, FALSE))</f>
        <v>-0.77619867942588283</v>
      </c>
      <c r="T45" s="1">
        <f>(Main_S[[#This Row],[P/E]]-VLOOKUP(Main_S[[#This Row],[Industry]], Mean_PE_S, 2, FALSE))/(VLOOKUP(Main_S[[#This Row],[Industry]], Mean_PE_S, 3, FALSE))</f>
        <v>1.2936995972386451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7" t="s">
        <v>105</v>
      </c>
      <c r="B46" s="67" t="s">
        <v>344</v>
      </c>
      <c r="C46" s="2">
        <v>1627</v>
      </c>
      <c r="D46">
        <f>RTD("tos.rtd", , "LAST", Main_S[[#This Row],[Symbol]])</f>
        <v>7.3</v>
      </c>
      <c r="E46">
        <v>1.26</v>
      </c>
      <c r="F46">
        <v>3.47</v>
      </c>
      <c r="G46">
        <v>0.6</v>
      </c>
      <c r="H46" s="1">
        <f>IF(ISNUMBER(Main_S[[#This Row],[Free CF]]),IF(Main_S[[#This Row],[Free CF]]&lt;&gt;0,Main_S[[#This Row],[Current Price]]/Main_S[[#This Row],[Free CF]],""),"")</f>
        <v>5.7936507936507935</v>
      </c>
      <c r="I46" s="1">
        <f>IF(ISNUMBER(Main_S[[#This Row],[BVPS]]),IF(Main_S[[#This Row],[BVPS]]&lt;&gt;0,Main_S[[#This Row],[Current Price]]/Main_S[[#This Row],[BVPS]],""),"")</f>
        <v>2.1037463976945245</v>
      </c>
      <c r="J46">
        <v>16.62</v>
      </c>
      <c r="K46">
        <v>4.6500000000000004</v>
      </c>
      <c r="L46">
        <v>3.83</v>
      </c>
      <c r="M46" s="1">
        <f>IF(ISNUMBER(Main_S[[#This Row],[EPS]]),IF(Main_S[[#This Row],[EPS]]&lt;&gt;0,Main_S[[#This Row],[Current Price]]/Main_S[[#This Row],[EPS]],""),"")</f>
        <v>12.166666666666666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7.1941739902654164E-2</v>
      </c>
      <c r="P46" s="1">
        <f>(Main_S[[#This Row],[P/B]]-VLOOKUP(Main_S[[#This Row],[Industry]], Mean_PB_S, 2, FALSE))/(VLOOKUP(Main_S[[#This Row],[Industry]], Mean_PB_S, 3, FALSE))</f>
        <v>-0.58333204987635601</v>
      </c>
      <c r="Q46" s="1">
        <f>(Main_S[[#This Row],[ROE]]-VLOOKUP(Main_S[[#This Row],[Industry]], Mean_ROE_S, 2, FALSE))/(VLOOKUP(Main_S[[#This Row],[Industry]], Mean_ROE_S, 3, FALSE))</f>
        <v>0.8015983184424661</v>
      </c>
      <c r="R46" s="1">
        <f>(Main_S[[#This Row],[ROA]]-VLOOKUP(Main_S[[#This Row],[Industry]], Mean_ROA_S, 2, FALSE))/(VLOOKUP(Main_S[[#This Row],[Industry]], Mean_ROA_S, 3, FALSE))</f>
        <v>0.68291405011673489</v>
      </c>
      <c r="S46" s="1">
        <f>(Main_S[[#This Row],[A/E]]-VLOOKUP(Main_S[[#This Row],[Industry]], Mean_AE_S, 2, FALSE))/(VLOOKUP(Main_S[[#This Row],[Industry]], Mean_AE_S, 3, FALSE))</f>
        <v>0.6772533212409525</v>
      </c>
      <c r="T46" s="1">
        <f>(Main_S[[#This Row],[P/E]]-VLOOKUP(Main_S[[#This Row],[Industry]], Mean_PE_S, 2, FALSE))/(VLOOKUP(Main_S[[#This Row],[Industry]], Mean_PE_S, 3, FALSE))</f>
        <v>0.36295609101147452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7" t="s">
        <v>105</v>
      </c>
      <c r="B47" s="67" t="s">
        <v>350</v>
      </c>
      <c r="C47" s="2">
        <v>339</v>
      </c>
      <c r="D47">
        <f>RTD("tos.rtd", , "LAST", Main_S[[#This Row],[Symbol]])</f>
        <v>4.59</v>
      </c>
      <c r="E47">
        <v>1.1599999999999999</v>
      </c>
      <c r="F47">
        <v>-3.77</v>
      </c>
      <c r="G47">
        <v>-1.06</v>
      </c>
      <c r="H47" s="1">
        <f>IF(ISNUMBER(Main_S[[#This Row],[Free CF]]),IF(Main_S[[#This Row],[Free CF]]&lt;&gt;0,Main_S[[#This Row],[Current Price]]/Main_S[[#This Row],[Free CF]],""),"")</f>
        <v>3.9568965517241379</v>
      </c>
      <c r="I47" s="1">
        <f>IF(ISNUMBER(Main_S[[#This Row],[BVPS]]),IF(Main_S[[#This Row],[BVPS]]&lt;&gt;0,Main_S[[#This Row],[Current Price]]/Main_S[[#This Row],[BVPS]],""),"")</f>
        <v>-1.2175066312997347</v>
      </c>
      <c r="J47">
        <v>37.35</v>
      </c>
      <c r="K47">
        <v>4.3</v>
      </c>
      <c r="L47">
        <v>-6.87</v>
      </c>
      <c r="M47" s="1">
        <f>IF(ISNUMBER(Main_S[[#This Row],[EPS]]),IF(Main_S[[#This Row],[EPS]]&lt;&gt;0,Main_S[[#This Row],[Current Price]]/Main_S[[#This Row],[EPS]],""),"")</f>
        <v>-4.3301886792452828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-8.4103952659284928E-2</v>
      </c>
      <c r="P47" s="1">
        <f>(Main_S[[#This Row],[P/B]]-VLOOKUP(Main_S[[#This Row],[Industry]], Mean_PB_S, 2, FALSE))/(VLOOKUP(Main_S[[#This Row],[Industry]], Mean_PB_S, 3, FALSE))</f>
        <v>-1.6056993708335825</v>
      </c>
      <c r="Q47" s="1">
        <f>(Main_S[[#This Row],[ROE]]-VLOOKUP(Main_S[[#This Row],[Industry]], Mean_ROE_S, 2, FALSE))/(VLOOKUP(Main_S[[#This Row],[Industry]], Mean_ROE_S, 3, FALSE))</f>
        <v>1.1946813864187749</v>
      </c>
      <c r="R47" s="1">
        <f>(Main_S[[#This Row],[ROA]]-VLOOKUP(Main_S[[#This Row],[Industry]], Mean_ROA_S, 2, FALSE))/(VLOOKUP(Main_S[[#This Row],[Industry]], Mean_ROA_S, 3, FALSE))</f>
        <v>0.64359658930399111</v>
      </c>
      <c r="S47" s="1">
        <f>(Main_S[[#This Row],[A/E]]-VLOOKUP(Main_S[[#This Row],[Industry]], Mean_AE_S, 2, FALSE))/(VLOOKUP(Main_S[[#This Row],[Industry]], Mean_AE_S, 3, FALSE))</f>
        <v>-6.5562054727753916</v>
      </c>
      <c r="T47" s="1">
        <f>(Main_S[[#This Row],[P/E]]-VLOOKUP(Main_S[[#This Row],[Industry]], Mean_PE_S, 2, FALSE))/(VLOOKUP(Main_S[[#This Row],[Industry]], Mean_PE_S, 3, FALSE))</f>
        <v>-0.5150320933694843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s="67" t="s">
        <v>105</v>
      </c>
      <c r="B48" s="67" t="s">
        <v>347</v>
      </c>
      <c r="C48" s="2">
        <v>918</v>
      </c>
      <c r="D48">
        <f>RTD("tos.rtd", , "LAST", Main_S[[#This Row],[Symbol]])</f>
        <v>16.579999999999998</v>
      </c>
      <c r="E48">
        <v>1.1000000000000001</v>
      </c>
      <c r="F48">
        <v>14.1</v>
      </c>
      <c r="G48">
        <v>0.4</v>
      </c>
      <c r="H48" s="1">
        <f>IF(ISNUMBER(Main_S[[#This Row],[Free CF]]),IF(Main_S[[#This Row],[Free CF]]&lt;&gt;0,Main_S[[#This Row],[Current Price]]/Main_S[[#This Row],[Free CF]],""),"")</f>
        <v>15.072727272727271</v>
      </c>
      <c r="I48" s="1">
        <f>IF(ISNUMBER(Main_S[[#This Row],[BVPS]]),IF(Main_S[[#This Row],[BVPS]]&lt;&gt;0,Main_S[[#This Row],[Current Price]]/Main_S[[#This Row],[BVPS]],""),"")</f>
        <v>1.1758865248226948</v>
      </c>
      <c r="J48">
        <v>2.86</v>
      </c>
      <c r="K48">
        <v>2.72</v>
      </c>
      <c r="L48">
        <v>1.49</v>
      </c>
      <c r="M48" s="1">
        <f>IF(ISNUMBER(Main_S[[#This Row],[EPS]]),IF(Main_S[[#This Row],[EPS]]&lt;&gt;0,Main_S[[#This Row],[Current Price]]/Main_S[[#This Row],[EPS]],""),"")</f>
        <v>41.449999999999996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0.86026708167176136</v>
      </c>
      <c r="P48" s="1">
        <f>(Main_S[[#This Row],[P/B]]-VLOOKUP(Main_S[[#This Row],[Industry]], Mean_PB_S, 2, FALSE))/(VLOOKUP(Main_S[[#This Row],[Industry]], Mean_PB_S, 3, FALSE))</f>
        <v>-0.86895124364761289</v>
      </c>
      <c r="Q48" s="1">
        <f>(Main_S[[#This Row],[ROE]]-VLOOKUP(Main_S[[#This Row],[Industry]], Mean_ROE_S, 2, FALSE))/(VLOOKUP(Main_S[[#This Row],[Industry]], Mean_ROE_S, 3, FALSE))</f>
        <v>0.54068066213016475</v>
      </c>
      <c r="R48" s="1">
        <f>(Main_S[[#This Row],[ROA]]-VLOOKUP(Main_S[[#This Row],[Industry]], Mean_ROA_S, 2, FALSE))/(VLOOKUP(Main_S[[#This Row],[Industry]], Mean_ROA_S, 3, FALSE))</f>
        <v>0.46610633763503323</v>
      </c>
      <c r="S48" s="1">
        <f>(Main_S[[#This Row],[A/E]]-VLOOKUP(Main_S[[#This Row],[Industry]], Mean_AE_S, 2, FALSE))/(VLOOKUP(Main_S[[#This Row],[Industry]], Mean_AE_S, 3, FALSE))</f>
        <v>-0.9046432748336497</v>
      </c>
      <c r="T48" s="1">
        <f>(Main_S[[#This Row],[P/E]]-VLOOKUP(Main_S[[#This Row],[Industry]], Mean_PE_S, 2, FALSE))/(VLOOKUP(Main_S[[#This Row],[Industry]], Mean_PE_S, 3, FALSE))</f>
        <v>1.9214604317994894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7" t="s">
        <v>105</v>
      </c>
      <c r="B49" s="67" t="s">
        <v>346</v>
      </c>
      <c r="C49" s="2">
        <v>807</v>
      </c>
      <c r="D49">
        <f>RTD("tos.rtd", , "LAST", Main_S[[#This Row],[Symbol]])</f>
        <v>5.85</v>
      </c>
      <c r="E49">
        <v>0.38</v>
      </c>
      <c r="F49">
        <v>2.1800000000000002</v>
      </c>
      <c r="G49">
        <v>0.24</v>
      </c>
      <c r="H49" s="1">
        <f>IF(ISNUMBER(Main_S[[#This Row],[Free CF]]),IF(Main_S[[#This Row],[Free CF]]&lt;&gt;0,Main_S[[#This Row],[Current Price]]/Main_S[[#This Row],[Free CF]],""),"")</f>
        <v>15.394736842105262</v>
      </c>
      <c r="I49" s="1">
        <f>IF(ISNUMBER(Main_S[[#This Row],[BVPS]]),IF(Main_S[[#This Row],[BVPS]]&lt;&gt;0,Main_S[[#This Row],[Current Price]]/Main_S[[#This Row],[BVPS]],""),"")</f>
        <v>2.6834862385321099</v>
      </c>
      <c r="J49">
        <v>11.17</v>
      </c>
      <c r="K49">
        <v>6.74</v>
      </c>
      <c r="L49">
        <v>1.85</v>
      </c>
      <c r="M49" s="1">
        <f>IF(ISNUMBER(Main_S[[#This Row],[EPS]]),IF(Main_S[[#This Row],[EPS]]&lt;&gt;0,Main_S[[#This Row],[Current Price]]/Main_S[[#This Row],[EPS]],""),"")</f>
        <v>24.375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0.88762414725961747</v>
      </c>
      <c r="P49" s="1">
        <f>(Main_S[[#This Row],[P/B]]-VLOOKUP(Main_S[[#This Row],[Industry]], Mean_PB_S, 2, FALSE))/(VLOOKUP(Main_S[[#This Row],[Industry]], Mean_PB_S, 3, FALSE))</f>
        <v>-0.40487317825320401</v>
      </c>
      <c r="Q49" s="1">
        <f>(Main_S[[#This Row],[ROE]]-VLOOKUP(Main_S[[#This Row],[Industry]], Mean_ROE_S, 2, FALSE))/(VLOOKUP(Main_S[[#This Row],[Industry]], Mean_ROE_S, 3, FALSE))</f>
        <v>0.69825520602225966</v>
      </c>
      <c r="R49" s="1">
        <f>(Main_S[[#This Row],[ROA]]-VLOOKUP(Main_S[[#This Row],[Industry]], Mean_ROA_S, 2, FALSE))/(VLOOKUP(Main_S[[#This Row],[Industry]], Mean_ROA_S, 3, FALSE))</f>
        <v>0.91769545896997651</v>
      </c>
      <c r="S49" s="1">
        <f>(Main_S[[#This Row],[A/E]]-VLOOKUP(Main_S[[#This Row],[Industry]], Mean_AE_S, 2, FALSE))/(VLOOKUP(Main_S[[#This Row],[Industry]], Mean_AE_S, 3, FALSE))</f>
        <v>-0.66127456774524929</v>
      </c>
      <c r="T49" s="1">
        <f>(Main_S[[#This Row],[P/E]]-VLOOKUP(Main_S[[#This Row],[Industry]], Mean_PE_S, 2, FALSE))/(VLOOKUP(Main_S[[#This Row],[Industry]], Mean_PE_S, 3, FALSE))</f>
        <v>1.0127024937588971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7" t="s">
        <v>105</v>
      </c>
      <c r="B50" s="67" t="s">
        <v>353</v>
      </c>
      <c r="C50" s="2">
        <v>404</v>
      </c>
      <c r="D50">
        <f>RTD("tos.rtd", , "LAST", Main_S[[#This Row],[Symbol]])</f>
        <v>5.36</v>
      </c>
      <c r="E50">
        <v>0.31</v>
      </c>
      <c r="F50">
        <v>0.48</v>
      </c>
      <c r="G50">
        <v>-0.27</v>
      </c>
      <c r="H50" s="1">
        <f>IF(ISNUMBER(Main_S[[#This Row],[Free CF]]),IF(Main_S[[#This Row],[Free CF]]&lt;&gt;0,Main_S[[#This Row],[Current Price]]/Main_S[[#This Row],[Free CF]],""),"")</f>
        <v>17.290322580645164</v>
      </c>
      <c r="I50" s="1">
        <f>IF(ISNUMBER(Main_S[[#This Row],[BVPS]]),IF(Main_S[[#This Row],[BVPS]]&lt;&gt;0,Main_S[[#This Row],[Current Price]]/Main_S[[#This Row],[BVPS]],""),"")</f>
        <v>11.166666666666668</v>
      </c>
      <c r="J50">
        <v>-64.59</v>
      </c>
      <c r="K50">
        <v>-3.25</v>
      </c>
      <c r="L50">
        <v>7.52</v>
      </c>
      <c r="M50" s="1">
        <f>IF(ISNUMBER(Main_S[[#This Row],[EPS]]),IF(Main_S[[#This Row],[EPS]]&lt;&gt;0,Main_S[[#This Row],[Current Price]]/Main_S[[#This Row],[EPS]],""),"")</f>
        <v>-19.851851851851851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1.0486680052940585</v>
      </c>
      <c r="P50" s="1">
        <f>(Main_S[[#This Row],[P/B]]-VLOOKUP(Main_S[[#This Row],[Industry]], Mean_PB_S, 2, FALSE))/(VLOOKUP(Main_S[[#This Row],[Industry]], Mean_PB_S, 3, FALSE))</f>
        <v>2.2064684966492467</v>
      </c>
      <c r="Q50" s="1">
        <f>(Main_S[[#This Row],[ROE]]-VLOOKUP(Main_S[[#This Row],[Industry]], Mean_ROE_S, 2, FALSE))/(VLOOKUP(Main_S[[#This Row],[Industry]], Mean_ROE_S, 3, FALSE))</f>
        <v>-0.73830886681349284</v>
      </c>
      <c r="R50" s="1">
        <f>(Main_S[[#This Row],[ROA]]-VLOOKUP(Main_S[[#This Row],[Industry]], Mean_ROA_S, 2, FALSE))/(VLOOKUP(Main_S[[#This Row],[Industry]], Mean_ROA_S, 3, FALSE))</f>
        <v>-0.2045372082280541</v>
      </c>
      <c r="S50" s="1">
        <f>(Main_S[[#This Row],[A/E]]-VLOOKUP(Main_S[[#This Row],[Industry]], Mean_AE_S, 2, FALSE))/(VLOOKUP(Main_S[[#This Row],[Industry]], Mean_AE_S, 3, FALSE))</f>
        <v>3.1717825688970556</v>
      </c>
      <c r="T50" s="1">
        <f>(Main_S[[#This Row],[P/E]]-VLOOKUP(Main_S[[#This Row],[Industry]], Mean_PE_S, 2, FALSE))/(VLOOKUP(Main_S[[#This Row],[Industry]], Mean_PE_S, 3, FALSE))</f>
        <v>-1.3411190403503657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7" t="s">
        <v>105</v>
      </c>
      <c r="B51" s="67" t="s">
        <v>507</v>
      </c>
      <c r="C51" s="2">
        <v>313</v>
      </c>
      <c r="D51">
        <f>RTD("tos.rtd", , "LAST", Main_S[[#This Row],[Symbol]])</f>
        <v>5.63</v>
      </c>
      <c r="E51">
        <v>0.02</v>
      </c>
      <c r="F51">
        <v>1.42</v>
      </c>
      <c r="G51">
        <v>-1</v>
      </c>
      <c r="H51" s="1">
        <f>IF(ISNUMBER(Main_S[[#This Row],[Free CF]]),IF(Main_S[[#This Row],[Free CF]]&lt;&gt;0,Main_S[[#This Row],[Current Price]]/Main_S[[#This Row],[Free CF]],""),"")</f>
        <v>281.5</v>
      </c>
      <c r="I51" s="1">
        <f>IF(ISNUMBER(Main_S[[#This Row],[BVPS]]),IF(Main_S[[#This Row],[BVPS]]&lt;&gt;0,Main_S[[#This Row],[Current Price]]/Main_S[[#This Row],[BVPS]],""),"")</f>
        <v>3.9647887323943665</v>
      </c>
      <c r="J51">
        <v>-74.75</v>
      </c>
      <c r="K51">
        <v>-16.489999999999998</v>
      </c>
      <c r="L51">
        <v>2.19</v>
      </c>
      <c r="M51" s="1">
        <f>IF(ISNUMBER(Main_S[[#This Row],[EPS]]),IF(Main_S[[#This Row],[EPS]]&lt;&gt;0,Main_S[[#This Row],[Current Price]]/Main_S[[#This Row],[EPS]],""),"")</f>
        <v>-5.63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23.495210473176421</v>
      </c>
      <c r="P51" s="1">
        <f>(Main_S[[#This Row],[P/B]]-VLOOKUP(Main_S[[#This Row],[Industry]], Mean_PB_S, 2, FALSE))/(VLOOKUP(Main_S[[#This Row],[Industry]], Mean_PB_S, 3, FALSE))</f>
        <v>-1.0455232209975037E-2</v>
      </c>
      <c r="Q51" s="1">
        <f>(Main_S[[#This Row],[ROE]]-VLOOKUP(Main_S[[#This Row],[Industry]], Mean_ROE_S, 2, FALSE))/(VLOOKUP(Main_S[[#This Row],[Industry]], Mean_ROE_S, 3, FALSE))</f>
        <v>-0.93096318281152934</v>
      </c>
      <c r="R51" s="1">
        <f>(Main_S[[#This Row],[ROA]]-VLOOKUP(Main_S[[#This Row],[Industry]], Mean_ROA_S, 2, FALSE))/(VLOOKUP(Main_S[[#This Row],[Industry]], Mean_ROA_S, 3, FALSE))</f>
        <v>-1.6918605829729916</v>
      </c>
      <c r="S51" s="1">
        <f>(Main_S[[#This Row],[A/E]]-VLOOKUP(Main_S[[#This Row],[Industry]], Mean_AE_S, 2, FALSE))/(VLOOKUP(Main_S[[#This Row],[Industry]], Mean_AE_S, 3, FALSE))</f>
        <v>-0.43142634438398236</v>
      </c>
      <c r="T51" s="1">
        <f>(Main_S[[#This Row],[P/E]]-VLOOKUP(Main_S[[#This Row],[Industry]], Mean_PE_S, 2, FALSE))/(VLOOKUP(Main_S[[#This Row],[Industry]], Mean_PE_S, 3, FALSE))</f>
        <v>-0.58421006442019452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7" t="s">
        <v>105</v>
      </c>
      <c r="B52" s="67" t="s">
        <v>354</v>
      </c>
      <c r="C52" s="2">
        <v>1054</v>
      </c>
      <c r="D52">
        <f>RTD("tos.rtd", , "LAST", Main_S[[#This Row],[Symbol]])</f>
        <v>8.2799999999999994</v>
      </c>
      <c r="E52">
        <v>-0.1</v>
      </c>
      <c r="F52">
        <v>6.61</v>
      </c>
      <c r="G52">
        <v>-1.1000000000000001</v>
      </c>
      <c r="H52" s="1">
        <f>IF(ISNUMBER(Main_S[[#This Row],[Free CF]]),IF(Main_S[[#This Row],[Free CF]]&lt;&gt;0,Main_S[[#This Row],[Current Price]]/Main_S[[#This Row],[Free CF]],""),"")</f>
        <v>-82.799999999999983</v>
      </c>
      <c r="I52" s="1">
        <f>IF(ISNUMBER(Main_S[[#This Row],[BVPS]]),IF(Main_S[[#This Row],[BVPS]]&lt;&gt;0,Main_S[[#This Row],[Current Price]]/Main_S[[#This Row],[BVPS]],""),"")</f>
        <v>1.2526475037821481</v>
      </c>
      <c r="J52">
        <v>-15.78</v>
      </c>
      <c r="K52">
        <v>-6.17</v>
      </c>
      <c r="L52">
        <v>1.51</v>
      </c>
      <c r="M52" s="1">
        <f>IF(ISNUMBER(Main_S[[#This Row],[EPS]]),IF(Main_S[[#This Row],[EPS]]&lt;&gt;0,Main_S[[#This Row],[Current Price]]/Main_S[[#This Row],[EPS]],""),"")</f>
        <v>-7.5272727272727264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-7.4547361787417605</v>
      </c>
      <c r="P52" s="1">
        <f>(Main_S[[#This Row],[P/B]]-VLOOKUP(Main_S[[#This Row],[Industry]], Mean_PB_S, 2, FALSE))/(VLOOKUP(Main_S[[#This Row],[Industry]], Mean_PB_S, 3, FALSE))</f>
        <v>-0.84532223503919779</v>
      </c>
      <c r="Q52" s="1">
        <f>(Main_S[[#This Row],[ROE]]-VLOOKUP(Main_S[[#This Row],[Industry]], Mean_ROE_S, 2, FALSE))/(VLOOKUP(Main_S[[#This Row],[Industry]], Mean_ROE_S, 3, FALSE))</f>
        <v>0.1872282556140821</v>
      </c>
      <c r="R52" s="1">
        <f>(Main_S[[#This Row],[ROA]]-VLOOKUP(Main_S[[#This Row],[Industry]], Mean_ROA_S, 2, FALSE))/(VLOOKUP(Main_S[[#This Row],[Industry]], Mean_ROA_S, 3, FALSE))</f>
        <v>-0.53255716700865963</v>
      </c>
      <c r="S52" s="1">
        <f>(Main_S[[#This Row],[A/E]]-VLOOKUP(Main_S[[#This Row],[Industry]], Mean_AE_S, 2, FALSE))/(VLOOKUP(Main_S[[#This Row],[Industry]], Mean_AE_S, 3, FALSE))</f>
        <v>-0.89112279110651627</v>
      </c>
      <c r="T52" s="1">
        <f>(Main_S[[#This Row],[P/E]]-VLOOKUP(Main_S[[#This Row],[Industry]], Mean_PE_S, 2, FALSE))/(VLOOKUP(Main_S[[#This Row],[Industry]], Mean_PE_S, 3, FALSE))</f>
        <v>-0.68518585660391429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7" t="s">
        <v>105</v>
      </c>
      <c r="B53" s="67" t="s">
        <v>345</v>
      </c>
      <c r="C53" s="2">
        <v>1211</v>
      </c>
      <c r="D53">
        <f>RTD("tos.rtd", , "LAST", Main_S[[#This Row],[Symbol]])</f>
        <v>3.9</v>
      </c>
      <c r="E53">
        <v>-0.17</v>
      </c>
      <c r="F53">
        <v>0.68</v>
      </c>
      <c r="G53">
        <v>-0.93</v>
      </c>
      <c r="H53" s="1">
        <f>IF(ISNUMBER(Main_S[[#This Row],[Free CF]]),IF(Main_S[[#This Row],[Free CF]]&lt;&gt;0,Main_S[[#This Row],[Current Price]]/Main_S[[#This Row],[Free CF]],""),"")</f>
        <v>-22.941176470588232</v>
      </c>
      <c r="I53" s="1">
        <f>IF(ISNUMBER(Main_S[[#This Row],[BVPS]]),IF(Main_S[[#This Row],[BVPS]]&lt;&gt;0,Main_S[[#This Row],[Current Price]]/Main_S[[#This Row],[BVPS]],""),"")</f>
        <v>5.735294117647058</v>
      </c>
      <c r="J53">
        <v>-150.02000000000001</v>
      </c>
      <c r="K53">
        <v>-7.22</v>
      </c>
      <c r="L53">
        <v>2</v>
      </c>
      <c r="M53" s="1">
        <f>IF(ISNUMBER(Main_S[[#This Row],[EPS]]),IF(Main_S[[#This Row],[EPS]]&lt;&gt;0,Main_S[[#This Row],[Current Price]]/Main_S[[#This Row],[EPS]],""),"")</f>
        <v>-4.193548387096774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-2.3692917788464039</v>
      </c>
      <c r="P53" s="1">
        <f>(Main_S[[#This Row],[P/B]]-VLOOKUP(Main_S[[#This Row],[Industry]], Mean_PB_S, 2, FALSE))/(VLOOKUP(Main_S[[#This Row],[Industry]], Mean_PB_S, 3, FALSE))</f>
        <v>0.53455197791796649</v>
      </c>
      <c r="Q53" s="1">
        <f>(Main_S[[#This Row],[ROE]]-VLOOKUP(Main_S[[#This Row],[Industry]], Mean_ROE_S, 2, FALSE))/(VLOOKUP(Main_S[[#This Row],[Industry]], Mean_ROE_S, 3, FALSE))</f>
        <v>-2.3582358565489514</v>
      </c>
      <c r="R53" s="1">
        <f>(Main_S[[#This Row],[ROA]]-VLOOKUP(Main_S[[#This Row],[Industry]], Mean_ROA_S, 2, FALSE))/(VLOOKUP(Main_S[[#This Row],[Industry]], Mean_ROA_S, 3, FALSE))</f>
        <v>-0.6505095494468911</v>
      </c>
      <c r="S53" s="1">
        <f>(Main_S[[#This Row],[A/E]]-VLOOKUP(Main_S[[#This Row],[Industry]], Mean_AE_S, 2, FALSE))/(VLOOKUP(Main_S[[#This Row],[Industry]], Mean_AE_S, 3, FALSE))</f>
        <v>-0.55987093979174918</v>
      </c>
      <c r="T53" s="1">
        <f>(Main_S[[#This Row],[P/E]]-VLOOKUP(Main_S[[#This Row],[Industry]], Mean_PE_S, 2, FALSE))/(VLOOKUP(Main_S[[#This Row],[Industry]], Mean_PE_S, 3, FALSE))</f>
        <v>-0.50775988545462969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7" t="s">
        <v>105</v>
      </c>
      <c r="B54" s="67" t="s">
        <v>352</v>
      </c>
      <c r="C54" s="2">
        <v>975</v>
      </c>
      <c r="D54">
        <f>RTD("tos.rtd", , "LAST", Main_S[[#This Row],[Symbol]])</f>
        <v>19.86</v>
      </c>
      <c r="E54">
        <v>-0.37</v>
      </c>
      <c r="F54">
        <v>2.4</v>
      </c>
      <c r="G54">
        <v>-1.45</v>
      </c>
      <c r="H54" s="1">
        <f>IF(ISNUMBER(Main_S[[#This Row],[Free CF]]),IF(Main_S[[#This Row],[Free CF]]&lt;&gt;0,Main_S[[#This Row],[Current Price]]/Main_S[[#This Row],[Free CF]],""),"")</f>
        <v>-53.675675675675677</v>
      </c>
      <c r="I54" s="1">
        <f>IF(ISNUMBER(Main_S[[#This Row],[BVPS]]),IF(Main_S[[#This Row],[BVPS]]&lt;&gt;0,Main_S[[#This Row],[Current Price]]/Main_S[[#This Row],[BVPS]],""),"")</f>
        <v>8.2750000000000004</v>
      </c>
      <c r="J54">
        <v>-57.86</v>
      </c>
      <c r="K54">
        <v>-19.34</v>
      </c>
      <c r="L54">
        <v>2.04</v>
      </c>
      <c r="M54" s="1">
        <f>IF(ISNUMBER(Main_S[[#This Row],[EPS]]),IF(Main_S[[#This Row],[EPS]]&lt;&gt;0,Main_S[[#This Row],[Current Price]]/Main_S[[#This Row],[EPS]],""),"")</f>
        <v>-13.696551724137931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-4.9804120389915534</v>
      </c>
      <c r="P54" s="1">
        <f>(Main_S[[#This Row],[P/B]]-VLOOKUP(Main_S[[#This Row],[Industry]], Mean_PB_S, 2, FALSE))/(VLOOKUP(Main_S[[#This Row],[Industry]], Mean_PB_S, 3, FALSE))</f>
        <v>1.3163389349167718</v>
      </c>
      <c r="Q54" s="1">
        <f>(Main_S[[#This Row],[ROE]]-VLOOKUP(Main_S[[#This Row],[Industry]], Mean_ROE_S, 2, FALSE))/(VLOOKUP(Main_S[[#This Row],[Industry]], Mean_ROE_S, 3, FALSE))</f>
        <v>-0.6106943445037698</v>
      </c>
      <c r="R54" s="1">
        <f>(Main_S[[#This Row],[ROA]]-VLOOKUP(Main_S[[#This Row],[Industry]], Mean_ROA_S, 2, FALSE))/(VLOOKUP(Main_S[[#This Row],[Industry]], Mean_ROA_S, 3, FALSE))</f>
        <v>-2.0120170495910483</v>
      </c>
      <c r="S54" s="1">
        <f>(Main_S[[#This Row],[A/E]]-VLOOKUP(Main_S[[#This Row],[Industry]], Mean_AE_S, 2, FALSE))/(VLOOKUP(Main_S[[#This Row],[Industry]], Mean_AE_S, 3, FALSE))</f>
        <v>-0.53282997233748242</v>
      </c>
      <c r="T54" s="1">
        <f>(Main_S[[#This Row],[P/E]]-VLOOKUP(Main_S[[#This Row],[Industry]], Mean_PE_S, 2, FALSE))/(VLOOKUP(Main_S[[#This Row],[Industry]], Mean_PE_S, 3, FALSE))</f>
        <v>-1.0135244370073322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7" t="s">
        <v>105</v>
      </c>
      <c r="B55" s="67" t="s">
        <v>355</v>
      </c>
      <c r="C55" s="2">
        <v>1437</v>
      </c>
      <c r="D55">
        <f>RTD("tos.rtd", , "LAST", Main_S[[#This Row],[Symbol]])</f>
        <v>6.15</v>
      </c>
      <c r="E55">
        <v>-2.0699999999999998</v>
      </c>
      <c r="F55">
        <v>3.17</v>
      </c>
      <c r="G55">
        <v>-0.01</v>
      </c>
      <c r="H55" s="1">
        <f>IF(ISNUMBER(Main_S[[#This Row],[Free CF]]),IF(Main_S[[#This Row],[Free CF]]&lt;&gt;0,Main_S[[#This Row],[Current Price]]/Main_S[[#This Row],[Free CF]],""),"")</f>
        <v>-2.9710144927536235</v>
      </c>
      <c r="I55" s="1">
        <f>IF(ISNUMBER(Main_S[[#This Row],[BVPS]]),IF(Main_S[[#This Row],[BVPS]]&lt;&gt;0,Main_S[[#This Row],[Current Price]]/Main_S[[#This Row],[BVPS]],""),"")</f>
        <v>1.94006309148265</v>
      </c>
      <c r="J55">
        <v>2.66</v>
      </c>
      <c r="K55">
        <v>1.63</v>
      </c>
      <c r="L55">
        <v>6.29</v>
      </c>
      <c r="M55" s="1">
        <f>IF(ISNUMBER(Main_S[[#This Row],[EPS]]),IF(Main_S[[#This Row],[EPS]]&lt;&gt;0,Main_S[[#This Row],[Current Price]]/Main_S[[#This Row],[EPS]],""),"")</f>
        <v>-615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-0.67268061265330481</v>
      </c>
      <c r="P55" s="1">
        <f>(Main_S[[#This Row],[P/B]]-VLOOKUP(Main_S[[#This Row],[Industry]], Mean_PB_S, 2, FALSE))/(VLOOKUP(Main_S[[#This Row],[Industry]], Mean_PB_S, 3, FALSE))</f>
        <v>-0.63371799210850521</v>
      </c>
      <c r="Q55" s="1">
        <f>(Main_S[[#This Row],[ROE]]-VLOOKUP(Main_S[[#This Row],[Industry]], Mean_ROE_S, 2, FALSE))/(VLOOKUP(Main_S[[#This Row],[Industry]], Mean_ROE_S, 3, FALSE))</f>
        <v>0.53688825433492782</v>
      </c>
      <c r="R55" s="1">
        <f>(Main_S[[#This Row],[ROA]]-VLOOKUP(Main_S[[#This Row],[Industry]], Mean_ROA_S, 2, FALSE))/(VLOOKUP(Main_S[[#This Row],[Industry]], Mean_ROA_S, 3, FALSE))</f>
        <v>0.34366053110391681</v>
      </c>
      <c r="S55" s="1">
        <f>(Main_S[[#This Row],[A/E]]-VLOOKUP(Main_S[[#This Row],[Industry]], Mean_AE_S, 2, FALSE))/(VLOOKUP(Main_S[[#This Row],[Industry]], Mean_AE_S, 3, FALSE))</f>
        <v>2.3402728196783547</v>
      </c>
      <c r="T55" s="1">
        <f>(Main_S[[#This Row],[P/E]]-VLOOKUP(Main_S[[#This Row],[Industry]], Mean_PE_S, 2, FALSE))/(VLOOKUP(Main_S[[#This Row],[Industry]], Mean_PE_S, 3, FALSE))</f>
        <v>-33.015824981187166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s="67" t="s">
        <v>105</v>
      </c>
      <c r="B56" s="67" t="s">
        <v>351</v>
      </c>
      <c r="C56" s="2">
        <v>1535</v>
      </c>
      <c r="D56">
        <f>RTD("tos.rtd", , "LAST", Main_S[[#This Row],[Symbol]])</f>
        <v>13.02</v>
      </c>
      <c r="E56">
        <v>-3.95</v>
      </c>
      <c r="F56">
        <v>2.0299999999999998</v>
      </c>
      <c r="G56">
        <v>-1.39</v>
      </c>
      <c r="H56" s="1">
        <f>IF(ISNUMBER(Main_S[[#This Row],[Free CF]]),IF(Main_S[[#This Row],[Free CF]]&lt;&gt;0,Main_S[[#This Row],[Current Price]]/Main_S[[#This Row],[Free CF]],""),"")</f>
        <v>-3.2962025316455694</v>
      </c>
      <c r="I56" s="1">
        <f>IF(ISNUMBER(Main_S[[#This Row],[BVPS]]),IF(Main_S[[#This Row],[BVPS]]&lt;&gt;0,Main_S[[#This Row],[Current Price]]/Main_S[[#This Row],[BVPS]],""),"")</f>
        <v>6.4137931034482767</v>
      </c>
      <c r="J56">
        <v>-79.239999999999995</v>
      </c>
      <c r="K56">
        <v>-4.5999999999999996</v>
      </c>
      <c r="L56">
        <v>3.76</v>
      </c>
      <c r="M56" s="1">
        <f>IF(ISNUMBER(Main_S[[#This Row],[EPS]]),IF(Main_S[[#This Row],[EPS]]&lt;&gt;0,Main_S[[#This Row],[Current Price]]/Main_S[[#This Row],[EPS]],""),"")</f>
        <v>-9.3669064748201443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-0.70030771244893386</v>
      </c>
      <c r="P56" s="1">
        <f>(Main_S[[#This Row],[P/B]]-VLOOKUP(Main_S[[#This Row],[Industry]], Mean_PB_S, 2, FALSE))/(VLOOKUP(Main_S[[#This Row],[Industry]], Mean_PB_S, 3, FALSE))</f>
        <v>0.74341146086914822</v>
      </c>
      <c r="Q56" s="1">
        <f>(Main_S[[#This Row],[ROE]]-VLOOKUP(Main_S[[#This Row],[Industry]], Mean_ROE_S, 2, FALSE))/(VLOOKUP(Main_S[[#This Row],[Industry]], Mean_ROE_S, 3, FALSE))</f>
        <v>-1.0161027378145986</v>
      </c>
      <c r="R56" s="1">
        <f>(Main_S[[#This Row],[ROA]]-VLOOKUP(Main_S[[#This Row],[Industry]], Mean_ROA_S, 2, FALSE))/(VLOOKUP(Main_S[[#This Row],[Industry]], Mean_ROA_S, 3, FALSE))</f>
        <v>-0.35619027136292303</v>
      </c>
      <c r="S56" s="1">
        <f>(Main_S[[#This Row],[A/E]]-VLOOKUP(Main_S[[#This Row],[Industry]], Mean_AE_S, 2, FALSE))/(VLOOKUP(Main_S[[#This Row],[Industry]], Mean_AE_S, 3, FALSE))</f>
        <v>0.62993162819598558</v>
      </c>
      <c r="T56" s="1">
        <f>(Main_S[[#This Row],[P/E]]-VLOOKUP(Main_S[[#This Row],[Industry]], Mean_PE_S, 2, FALSE))/(VLOOKUP(Main_S[[#This Row],[Industry]], Mean_PE_S, 3, FALSE))</f>
        <v>-0.78309401304145909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s="67" t="s">
        <v>198</v>
      </c>
      <c r="B57" s="67" t="s">
        <v>498</v>
      </c>
      <c r="C57" s="2">
        <v>1350</v>
      </c>
      <c r="D57">
        <f>RTD("tos.rtd", , "LAST", Main_S[[#This Row],[Symbol]])</f>
        <v>4.5</v>
      </c>
      <c r="H57" s="1" t="str">
        <f>IF(ISNUMBER(Main_S[[#This Row],[Free CF]]),IF(Main_S[[#This Row],[Free CF]]&lt;&gt;0,Main_S[[#This Row],[Current Price]]/Main_S[[#This Row],[Free CF]],""),"")</f>
        <v/>
      </c>
      <c r="I57" s="1" t="str">
        <f>IF(ISNUMBER(Main_S[[#This Row],[BVPS]]),IF(Main_S[[#This Row],[BVPS]]&lt;&gt;0,Main_S[[#This Row],[Current Price]]/Main_S[[#This Row],[BVPS]],""),"")</f>
        <v/>
      </c>
      <c r="J57">
        <v>2.02</v>
      </c>
      <c r="K57">
        <v>1.31</v>
      </c>
      <c r="L57">
        <v>2.5099999999999998</v>
      </c>
      <c r="M57" s="1" t="str">
        <f>IF(ISNUMBER(Main_S[[#This Row],[EPS]]),IF(Main_S[[#This Row],[EPS]]&lt;&gt;0,Main_S[[#This Row],[Current Price]]/Main_S[[#This Row],[EPS]],""),"")</f>
        <v/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 t="e">
        <f>(Main_S[[#This Row],[P/FCF]]-VLOOKUP(Main_S[[#This Row],[Industry]], Mean_PFCF_S, 2, FALSE))/(VLOOKUP(Main_S[[#This Row],[Industry]], Mean_PFCF_S, 3, FALSE))</f>
        <v>#VALUE!</v>
      </c>
      <c r="P57" s="1" t="e">
        <f>(Main_S[[#This Row],[P/B]]-VLOOKUP(Main_S[[#This Row],[Industry]], Mean_PB_S, 2, FALSE))/(VLOOKUP(Main_S[[#This Row],[Industry]], Mean_PB_S, 3, FALSE))</f>
        <v>#VALUE!</v>
      </c>
      <c r="Q57" s="1">
        <f>(Main_S[[#This Row],[ROE]]-VLOOKUP(Main_S[[#This Row],[Industry]], Mean_ROE_S, 2, FALSE))/(VLOOKUP(Main_S[[#This Row],[Industry]], Mean_ROE_S, 3, FALSE))</f>
        <v>0.25604882775347604</v>
      </c>
      <c r="R57" s="1">
        <f>(Main_S[[#This Row],[ROA]]-VLOOKUP(Main_S[[#This Row],[Industry]], Mean_ROA_S, 2, FALSE))/(VLOOKUP(Main_S[[#This Row],[Industry]], Mean_ROA_S, 3, FALSE))</f>
        <v>0.25011492431467069</v>
      </c>
      <c r="S57" s="1">
        <f>(Main_S[[#This Row],[A/E]]-VLOOKUP(Main_S[[#This Row],[Industry]], Mean_AE_S, 2, FALSE))/(VLOOKUP(Main_S[[#This Row],[Industry]], Mean_AE_S, 3, FALSE))</f>
        <v>1.5006559104624049</v>
      </c>
      <c r="T57" s="1" t="e">
        <f>(Main_S[[#This Row],[P/E]]-VLOOKUP(Main_S[[#This Row],[Industry]], Mean_PE_S, 2, FALSE))/(VLOOKUP(Main_S[[#This Row],[Industry]], Mean_PE_S, 3, FALSE))</f>
        <v>#VALUE!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8" spans="1:26" x14ac:dyDescent="0.25">
      <c r="A58" s="67" t="s">
        <v>198</v>
      </c>
      <c r="B58" s="67" t="s">
        <v>462</v>
      </c>
      <c r="C58" s="2">
        <v>1810</v>
      </c>
      <c r="D58">
        <f>RTD("tos.rtd", , "LAST", Main_S[[#This Row],[Symbol]])</f>
        <v>67.61</v>
      </c>
      <c r="E58">
        <v>3.79</v>
      </c>
      <c r="F58">
        <v>31.97</v>
      </c>
      <c r="G58">
        <v>5.46</v>
      </c>
      <c r="H58" s="1">
        <f>IF(ISNUMBER(Main_S[[#This Row],[Free CF]]),IF(Main_S[[#This Row],[Free CF]]&lt;&gt;0,Main_S[[#This Row],[Current Price]]/Main_S[[#This Row],[Free CF]],""),"")</f>
        <v>17.839050131926122</v>
      </c>
      <c r="I58" s="1">
        <f>IF(ISNUMBER(Main_S[[#This Row],[BVPS]]),IF(Main_S[[#This Row],[BVPS]]&lt;&gt;0,Main_S[[#This Row],[Current Price]]/Main_S[[#This Row],[BVPS]],""),"")</f>
        <v>2.114795120425399</v>
      </c>
      <c r="J58">
        <v>18.45</v>
      </c>
      <c r="K58">
        <v>8.66</v>
      </c>
      <c r="L58">
        <v>1.31</v>
      </c>
      <c r="M58" s="1">
        <f>IF(ISNUMBER(Main_S[[#This Row],[EPS]]),IF(Main_S[[#This Row],[EPS]]&lt;&gt;0,Main_S[[#This Row],[Current Price]]/Main_S[[#This Row],[EPS]],""),"")</f>
        <v>12.382783882783883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0.84999148669224356</v>
      </c>
      <c r="P58" s="1">
        <f>(Main_S[[#This Row],[P/B]]-VLOOKUP(Main_S[[#This Row],[Industry]], Mean_PB_S, 2, FALSE))/(VLOOKUP(Main_S[[#This Row],[Industry]], Mean_PB_S, 3, FALSE))</f>
        <v>0.15274734490585826</v>
      </c>
      <c r="Q58" s="1">
        <f>(Main_S[[#This Row],[ROE]]-VLOOKUP(Main_S[[#This Row],[Industry]], Mean_ROE_S, 2, FALSE))/(VLOOKUP(Main_S[[#This Row],[Industry]], Mean_ROE_S, 3, FALSE))</f>
        <v>1.319144511567691</v>
      </c>
      <c r="R58" s="1">
        <f>(Main_S[[#This Row],[ROA]]-VLOOKUP(Main_S[[#This Row],[Industry]], Mean_ROA_S, 2, FALSE))/(VLOOKUP(Main_S[[#This Row],[Industry]], Mean_ROA_S, 3, FALSE))</f>
        <v>1.768862336505586</v>
      </c>
      <c r="S58" s="1">
        <f>(Main_S[[#This Row],[A/E]]-VLOOKUP(Main_S[[#This Row],[Industry]], Mean_AE_S, 2, FALSE))/(VLOOKUP(Main_S[[#This Row],[Industry]], Mean_AE_S, 3, FALSE))</f>
        <v>-0.69208331943699897</v>
      </c>
      <c r="T58" s="1">
        <f>(Main_S[[#This Row],[P/E]]-VLOOKUP(Main_S[[#This Row],[Industry]], Mean_PE_S, 2, FALSE))/(VLOOKUP(Main_S[[#This Row],[Industry]], Mean_PE_S, 3, FALSE))</f>
        <v>0.71716963708526749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7" t="s">
        <v>198</v>
      </c>
      <c r="B59" s="67" t="s">
        <v>482</v>
      </c>
      <c r="C59" s="2">
        <v>344</v>
      </c>
      <c r="D59">
        <f>RTD("tos.rtd", , "LAST", Main_S[[#This Row],[Symbol]])</f>
        <v>74.349999999999994</v>
      </c>
      <c r="E59">
        <v>2.7</v>
      </c>
      <c r="F59">
        <v>12.87</v>
      </c>
      <c r="G59">
        <v>3.11</v>
      </c>
      <c r="H59" s="1">
        <f>IF(ISNUMBER(Main_S[[#This Row],[Free CF]]),IF(Main_S[[#This Row],[Free CF]]&lt;&gt;0,Main_S[[#This Row],[Current Price]]/Main_S[[#This Row],[Free CF]],""),"")</f>
        <v>27.537037037037035</v>
      </c>
      <c r="I59" s="1">
        <f>IF(ISNUMBER(Main_S[[#This Row],[BVPS]]),IF(Main_S[[#This Row],[BVPS]]&lt;&gt;0,Main_S[[#This Row],[Current Price]]/Main_S[[#This Row],[BVPS]],""),"")</f>
        <v>5.7770007770007767</v>
      </c>
      <c r="J59">
        <v>23.57</v>
      </c>
      <c r="K59">
        <v>15.26</v>
      </c>
      <c r="L59">
        <v>1.03</v>
      </c>
      <c r="M59" s="1">
        <f>IF(ISNUMBER(Main_S[[#This Row],[EPS]]),IF(Main_S[[#This Row],[EPS]]&lt;&gt;0,Main_S[[#This Row],[Current Price]]/Main_S[[#This Row],[EPS]],""),"")</f>
        <v>23.90675241157556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1.5032629896408021</v>
      </c>
      <c r="P59" s="1">
        <f>(Main_S[[#This Row],[P/B]]-VLOOKUP(Main_S[[#This Row],[Industry]], Mean_PB_S, 2, FALSE))/(VLOOKUP(Main_S[[#This Row],[Industry]], Mean_PB_S, 3, FALSE))</f>
        <v>2.6806082955335295</v>
      </c>
      <c r="Q59" s="1">
        <f>(Main_S[[#This Row],[ROE]]-VLOOKUP(Main_S[[#This Row],[Industry]], Mean_ROE_S, 2, FALSE))/(VLOOKUP(Main_S[[#This Row],[Industry]], Mean_ROE_S, 3, FALSE))</f>
        <v>1.6504317849169778</v>
      </c>
      <c r="R59" s="1">
        <f>(Main_S[[#This Row],[ROA]]-VLOOKUP(Main_S[[#This Row],[Industry]], Mean_ROA_S, 2, FALSE))/(VLOOKUP(Main_S[[#This Row],[Industry]], Mean_ROA_S, 3, FALSE))</f>
        <v>3.1326355229627345</v>
      </c>
      <c r="S59" s="1">
        <f>(Main_S[[#This Row],[A/E]]-VLOOKUP(Main_S[[#This Row],[Industry]], Mean_AE_S, 2, FALSE))/(VLOOKUP(Main_S[[#This Row],[Industry]], Mean_AE_S, 3, FALSE))</f>
        <v>-1.2037224730801934</v>
      </c>
      <c r="T59" s="1">
        <f>(Main_S[[#This Row],[P/E]]-VLOOKUP(Main_S[[#This Row],[Industry]], Mean_PE_S, 2, FALSE))/(VLOOKUP(Main_S[[#This Row],[Industry]], Mean_PE_S, 3, FALSE))</f>
        <v>1.2686885752418486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7" t="s">
        <v>198</v>
      </c>
      <c r="B60" s="67" t="s">
        <v>484</v>
      </c>
      <c r="C60" s="2">
        <v>938</v>
      </c>
      <c r="D60">
        <f>RTD("tos.rtd", , "LAST", Main_S[[#This Row],[Symbol]])</f>
        <v>19.87</v>
      </c>
      <c r="E60">
        <v>2.6</v>
      </c>
      <c r="F60">
        <v>11.23</v>
      </c>
      <c r="G60">
        <v>-0.16</v>
      </c>
      <c r="H60" s="1">
        <f>IF(ISNUMBER(Main_S[[#This Row],[Free CF]]),IF(Main_S[[#This Row],[Free CF]]&lt;&gt;0,Main_S[[#This Row],[Current Price]]/Main_S[[#This Row],[Free CF]],""),"")</f>
        <v>7.6423076923076927</v>
      </c>
      <c r="I60" s="1">
        <f>IF(ISNUMBER(Main_S[[#This Row],[BVPS]]),IF(Main_S[[#This Row],[BVPS]]&lt;&gt;0,Main_S[[#This Row],[Current Price]]/Main_S[[#This Row],[BVPS]],""),"")</f>
        <v>1.7693677649154052</v>
      </c>
      <c r="J60">
        <v>-0.53</v>
      </c>
      <c r="K60">
        <v>2.78</v>
      </c>
      <c r="L60">
        <v>3.01</v>
      </c>
      <c r="M60" s="1">
        <f>IF(ISNUMBER(Main_S[[#This Row],[EPS]]),IF(Main_S[[#This Row],[EPS]]&lt;&gt;0,Main_S[[#This Row],[Current Price]]/Main_S[[#This Row],[EPS]],""),"")</f>
        <v>-124.1875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0.16312303410665005</v>
      </c>
      <c r="P60" s="1">
        <f>(Main_S[[#This Row],[P/B]]-VLOOKUP(Main_S[[#This Row],[Industry]], Mean_PB_S, 2, FALSE))/(VLOOKUP(Main_S[[#This Row],[Industry]], Mean_PB_S, 3, FALSE))</f>
        <v>-8.568610344636779E-2</v>
      </c>
      <c r="Q60" s="1">
        <f>(Main_S[[#This Row],[ROE]]-VLOOKUP(Main_S[[#This Row],[Industry]], Mean_ROE_S, 2, FALSE))/(VLOOKUP(Main_S[[#This Row],[Industry]], Mean_ROE_S, 3, FALSE))</f>
        <v>9.1052236534593003E-2</v>
      </c>
      <c r="R60" s="1">
        <f>(Main_S[[#This Row],[ROA]]-VLOOKUP(Main_S[[#This Row],[Industry]], Mean_ROA_S, 2, FALSE))/(VLOOKUP(Main_S[[#This Row],[Industry]], Mean_ROA_S, 3, FALSE))</f>
        <v>0.55386440675285364</v>
      </c>
      <c r="S60" s="1">
        <f>(Main_S[[#This Row],[A/E]]-VLOOKUP(Main_S[[#This Row],[Industry]], Mean_AE_S, 2, FALSE))/(VLOOKUP(Main_S[[#This Row],[Industry]], Mean_AE_S, 3, FALSE))</f>
        <v>2.4142972562538234</v>
      </c>
      <c r="T60" s="1">
        <f>(Main_S[[#This Row],[P/E]]-VLOOKUP(Main_S[[#This Row],[Industry]], Mean_PE_S, 2, FALSE))/(VLOOKUP(Main_S[[#This Row],[Industry]], Mean_PE_S, 3, FALSE))</f>
        <v>-5.8188685135390008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1" spans="1:26" x14ac:dyDescent="0.25">
      <c r="A61" s="67" t="s">
        <v>198</v>
      </c>
      <c r="B61" s="67" t="s">
        <v>467</v>
      </c>
      <c r="C61" s="2">
        <v>1697</v>
      </c>
      <c r="D61">
        <f>RTD("tos.rtd", , "LAST", Main_S[[#This Row],[Symbol]])</f>
        <v>34.159999999999997</v>
      </c>
      <c r="E61">
        <v>2.58</v>
      </c>
      <c r="F61">
        <v>16.3</v>
      </c>
      <c r="G61">
        <v>0.4</v>
      </c>
      <c r="H61" s="1">
        <f>IF(ISNUMBER(Main_S[[#This Row],[Free CF]]),IF(Main_S[[#This Row],[Free CF]]&lt;&gt;0,Main_S[[#This Row],[Current Price]]/Main_S[[#This Row],[Free CF]],""),"")</f>
        <v>13.240310077519378</v>
      </c>
      <c r="I61" s="1">
        <f>IF(ISNUMBER(Main_S[[#This Row],[BVPS]]),IF(Main_S[[#This Row],[BVPS]]&lt;&gt;0,Main_S[[#This Row],[Current Price]]/Main_S[[#This Row],[BVPS]],""),"")</f>
        <v>2.0957055214723925</v>
      </c>
      <c r="J61">
        <v>2.29</v>
      </c>
      <c r="K61">
        <v>4.55</v>
      </c>
      <c r="L61">
        <v>1.33</v>
      </c>
      <c r="M61" s="1">
        <f>IF(ISNUMBER(Main_S[[#This Row],[EPS]]),IF(Main_S[[#This Row],[EPS]]&lt;&gt;0,Main_S[[#This Row],[Current Price]]/Main_S[[#This Row],[EPS]],""),"")</f>
        <v>85.399999999999991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0.54021319389739775</v>
      </c>
      <c r="P61" s="1">
        <f>(Main_S[[#This Row],[P/B]]-VLOOKUP(Main_S[[#This Row],[Industry]], Mean_PB_S, 2, FALSE))/(VLOOKUP(Main_S[[#This Row],[Industry]], Mean_PB_S, 3, FALSE))</f>
        <v>0.13957062675246729</v>
      </c>
      <c r="Q61" s="1">
        <f>(Main_S[[#This Row],[ROE]]-VLOOKUP(Main_S[[#This Row],[Industry]], Mean_ROE_S, 2, FALSE))/(VLOOKUP(Main_S[[#This Row],[Industry]], Mean_ROE_S, 3, FALSE))</f>
        <v>0.27351905505900481</v>
      </c>
      <c r="R61" s="1">
        <f>(Main_S[[#This Row],[ROA]]-VLOOKUP(Main_S[[#This Row],[Industry]], Mean_ROA_S, 2, FALSE))/(VLOOKUP(Main_S[[#This Row],[Industry]], Mean_ROA_S, 3, FALSE))</f>
        <v>0.91960357948454363</v>
      </c>
      <c r="S61" s="1">
        <f>(Main_S[[#This Row],[A/E]]-VLOOKUP(Main_S[[#This Row],[Industry]], Mean_AE_S, 2, FALSE))/(VLOOKUP(Main_S[[#This Row],[Industry]], Mean_AE_S, 3, FALSE))</f>
        <v>-0.65553766560534221</v>
      </c>
      <c r="T61" s="1">
        <f>(Main_S[[#This Row],[P/E]]-VLOOKUP(Main_S[[#This Row],[Industry]], Mean_PE_S, 2, FALSE))/(VLOOKUP(Main_S[[#This Row],[Industry]], Mean_PE_S, 3, FALSE))</f>
        <v>4.2116583108007886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2" spans="1:26" x14ac:dyDescent="0.25">
      <c r="A62" s="67" t="s">
        <v>198</v>
      </c>
      <c r="B62" s="67" t="s">
        <v>469</v>
      </c>
      <c r="C62" s="2">
        <v>1062</v>
      </c>
      <c r="D62">
        <f>RTD("tos.rtd", , "LAST", Main_S[[#This Row],[Symbol]])</f>
        <v>18.329999999999998</v>
      </c>
      <c r="E62">
        <v>1.46</v>
      </c>
      <c r="F62">
        <v>18.11</v>
      </c>
      <c r="G62">
        <v>1.93</v>
      </c>
      <c r="H62" s="1">
        <f>IF(ISNUMBER(Main_S[[#This Row],[Free CF]]),IF(Main_S[[#This Row],[Free CF]]&lt;&gt;0,Main_S[[#This Row],[Current Price]]/Main_S[[#This Row],[Free CF]],""),"")</f>
        <v>12.554794520547944</v>
      </c>
      <c r="I62" s="1">
        <f>IF(ISNUMBER(Main_S[[#This Row],[BVPS]]),IF(Main_S[[#This Row],[BVPS]]&lt;&gt;0,Main_S[[#This Row],[Current Price]]/Main_S[[#This Row],[BVPS]],""),"")</f>
        <v>1.0121479845389287</v>
      </c>
      <c r="J62">
        <v>11.93</v>
      </c>
      <c r="K62">
        <v>8.16</v>
      </c>
      <c r="L62">
        <v>1.55</v>
      </c>
      <c r="M62" s="1">
        <f>IF(ISNUMBER(Main_S[[#This Row],[EPS]]),IF(Main_S[[#This Row],[EPS]]&lt;&gt;0,Main_S[[#This Row],[Current Price]]/Main_S[[#This Row],[EPS]],""),"")</f>
        <v>9.4974093264248705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0.4940357982606457</v>
      </c>
      <c r="P62" s="1">
        <f>(Main_S[[#This Row],[P/B]]-VLOOKUP(Main_S[[#This Row],[Industry]], Mean_PB_S, 2, FALSE))/(VLOOKUP(Main_S[[#This Row],[Industry]], Mean_PB_S, 3, FALSE))</f>
        <v>-0.60836191506272663</v>
      </c>
      <c r="Q62" s="1">
        <f>(Main_S[[#This Row],[ROE]]-VLOOKUP(Main_S[[#This Row],[Industry]], Mean_ROE_S, 2, FALSE))/(VLOOKUP(Main_S[[#This Row],[Industry]], Mean_ROE_S, 3, FALSE))</f>
        <v>0.89727087441195874</v>
      </c>
      <c r="R62" s="1">
        <f>(Main_S[[#This Row],[ROA]]-VLOOKUP(Main_S[[#This Row],[Industry]], Mean_ROA_S, 2, FALSE))/(VLOOKUP(Main_S[[#This Row],[Industry]], Mean_ROA_S, 3, FALSE))</f>
        <v>1.665546186016408</v>
      </c>
      <c r="S62" s="1">
        <f>(Main_S[[#This Row],[A/E]]-VLOOKUP(Main_S[[#This Row],[Industry]], Mean_AE_S, 2, FALSE))/(VLOOKUP(Main_S[[#This Row],[Industry]], Mean_AE_S, 3, FALSE))</f>
        <v>-0.25353547345711808</v>
      </c>
      <c r="T62" s="1">
        <f>(Main_S[[#This Row],[P/E]]-VLOOKUP(Main_S[[#This Row],[Industry]], Mean_PE_S, 2, FALSE))/(VLOOKUP(Main_S[[#This Row],[Industry]], Mean_PE_S, 3, FALSE))</f>
        <v>0.57908016664534812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7" t="s">
        <v>198</v>
      </c>
      <c r="B63" s="67" t="s">
        <v>463</v>
      </c>
      <c r="C63" s="2">
        <v>1440</v>
      </c>
      <c r="D63">
        <f>RTD("tos.rtd", , "LAST", Main_S[[#This Row],[Symbol]])</f>
        <v>25.02</v>
      </c>
      <c r="E63">
        <v>1.44</v>
      </c>
      <c r="F63">
        <v>14.86</v>
      </c>
      <c r="G63">
        <v>1.57</v>
      </c>
      <c r="H63" s="1">
        <f>IF(ISNUMBER(Main_S[[#This Row],[Free CF]]),IF(Main_S[[#This Row],[Free CF]]&lt;&gt;0,Main_S[[#This Row],[Current Price]]/Main_S[[#This Row],[Free CF]],""),"")</f>
        <v>17.375</v>
      </c>
      <c r="I63" s="1">
        <f>IF(ISNUMBER(Main_S[[#This Row],[BVPS]]),IF(Main_S[[#This Row],[BVPS]]&lt;&gt;0,Main_S[[#This Row],[Current Price]]/Main_S[[#This Row],[BVPS]],""),"")</f>
        <v>1.6837146702557202</v>
      </c>
      <c r="J63">
        <v>12.68</v>
      </c>
      <c r="K63">
        <v>5.43</v>
      </c>
      <c r="L63">
        <v>2.04</v>
      </c>
      <c r="M63" s="1">
        <f>IF(ISNUMBER(Main_S[[#This Row],[EPS]]),IF(Main_S[[#This Row],[EPS]]&lt;&gt;0,Main_S[[#This Row],[Current Price]]/Main_S[[#This Row],[EPS]],""),"")</f>
        <v>15.936305732484076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0.81873234702820752</v>
      </c>
      <c r="P63" s="1">
        <f>(Main_S[[#This Row],[P/B]]-VLOOKUP(Main_S[[#This Row],[Industry]], Mean_PB_S, 2, FALSE))/(VLOOKUP(Main_S[[#This Row],[Industry]], Mean_PB_S, 3, FALSE))</f>
        <v>-0.14480870157295844</v>
      </c>
      <c r="Q63" s="1">
        <f>(Main_S[[#This Row],[ROE]]-VLOOKUP(Main_S[[#This Row],[Industry]], Mean_ROE_S, 2, FALSE))/(VLOOKUP(Main_S[[#This Row],[Industry]], Mean_ROE_S, 3, FALSE))</f>
        <v>0.94579928359398313</v>
      </c>
      <c r="R63" s="1">
        <f>(Main_S[[#This Row],[ROA]]-VLOOKUP(Main_S[[#This Row],[Industry]], Mean_ROA_S, 2, FALSE))/(VLOOKUP(Main_S[[#This Row],[Industry]], Mean_ROA_S, 3, FALSE))</f>
        <v>1.1014400043454966</v>
      </c>
      <c r="S63" s="1">
        <f>(Main_S[[#This Row],[A/E]]-VLOOKUP(Main_S[[#This Row],[Industry]], Mean_AE_S, 2, FALSE))/(VLOOKUP(Main_S[[#This Row],[Industry]], Mean_AE_S, 3, FALSE))</f>
        <v>0.64183304541847197</v>
      </c>
      <c r="T63" s="1">
        <f>(Main_S[[#This Row],[P/E]]-VLOOKUP(Main_S[[#This Row],[Industry]], Mean_PE_S, 2, FALSE))/(VLOOKUP(Main_S[[#This Row],[Industry]], Mean_PE_S, 3, FALSE))</f>
        <v>0.88723558202136965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7" t="s">
        <v>198</v>
      </c>
      <c r="B64" s="67" t="s">
        <v>487</v>
      </c>
      <c r="C64" s="2">
        <v>434</v>
      </c>
      <c r="D64">
        <f>RTD("tos.rtd", , "LAST", Main_S[[#This Row],[Symbol]])</f>
        <v>9.24</v>
      </c>
      <c r="E64">
        <v>1.1299999999999999</v>
      </c>
      <c r="F64">
        <v>1.1100000000000001</v>
      </c>
      <c r="G64">
        <v>-0.18</v>
      </c>
      <c r="H64" s="1">
        <f>IF(ISNUMBER(Main_S[[#This Row],[Free CF]]),IF(Main_S[[#This Row],[Free CF]]&lt;&gt;0,Main_S[[#This Row],[Current Price]]/Main_S[[#This Row],[Free CF]],""),"")</f>
        <v>8.176991150442479</v>
      </c>
      <c r="I64" s="1">
        <f>IF(ISNUMBER(Main_S[[#This Row],[BVPS]]),IF(Main_S[[#This Row],[BVPS]]&lt;&gt;0,Main_S[[#This Row],[Current Price]]/Main_S[[#This Row],[BVPS]],""),"")</f>
        <v>8.3243243243243246</v>
      </c>
      <c r="J64">
        <v>-6.91</v>
      </c>
      <c r="K64">
        <v>1.28</v>
      </c>
      <c r="L64">
        <v>6.12</v>
      </c>
      <c r="M64" s="1">
        <f>IF(ISNUMBER(Main_S[[#This Row],[EPS]]),IF(Main_S[[#This Row],[EPS]]&lt;&gt;0,Main_S[[#This Row],[Current Price]]/Main_S[[#This Row],[EPS]],""),"")</f>
        <v>-51.333333333333336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0.199140144638462</v>
      </c>
      <c r="P64" s="1">
        <f>(Main_S[[#This Row],[P/B]]-VLOOKUP(Main_S[[#This Row],[Industry]], Mean_PB_S, 2, FALSE))/(VLOOKUP(Main_S[[#This Row],[Industry]], Mean_PB_S, 3, FALSE))</f>
        <v>4.4389147173293741</v>
      </c>
      <c r="Q64" s="1">
        <f>(Main_S[[#This Row],[ROE]]-VLOOKUP(Main_S[[#This Row],[Industry]], Mean_ROE_S, 2, FALSE))/(VLOOKUP(Main_S[[#This Row],[Industry]], Mean_ROE_S, 3, FALSE))</f>
        <v>-0.32176276424049471</v>
      </c>
      <c r="R64" s="1">
        <f>(Main_S[[#This Row],[ROA]]-VLOOKUP(Main_S[[#This Row],[Industry]], Mean_ROA_S, 2, FALSE))/(VLOOKUP(Main_S[[#This Row],[Industry]], Mean_ROA_S, 3, FALSE))</f>
        <v>0.24391595528532004</v>
      </c>
      <c r="S64" s="1">
        <f>(Main_S[[#This Row],[A/E]]-VLOOKUP(Main_S[[#This Row],[Industry]], Mean_AE_S, 2, FALSE))/(VLOOKUP(Main_S[[#This Row],[Industry]], Mean_AE_S, 3, FALSE))</f>
        <v>8.0971464270764475</v>
      </c>
      <c r="T64" s="1">
        <f>(Main_S[[#This Row],[P/E]]-VLOOKUP(Main_S[[#This Row],[Industry]], Mean_PE_S, 2, FALSE))/(VLOOKUP(Main_S[[#This Row],[Industry]], Mean_PE_S, 3, FALSE))</f>
        <v>-2.3321831290818085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7" t="s">
        <v>198</v>
      </c>
      <c r="B65" s="67" t="s">
        <v>472</v>
      </c>
      <c r="C65" s="2">
        <v>1126</v>
      </c>
      <c r="D65">
        <f>RTD("tos.rtd", , "LAST", Main_S[[#This Row],[Symbol]])</f>
        <v>21.45</v>
      </c>
      <c r="E65">
        <v>0.98</v>
      </c>
      <c r="F65">
        <v>13.93</v>
      </c>
      <c r="G65">
        <v>1.07</v>
      </c>
      <c r="H65" s="1">
        <f>IF(ISNUMBER(Main_S[[#This Row],[Free CF]]),IF(Main_S[[#This Row],[Free CF]]&lt;&gt;0,Main_S[[#This Row],[Current Price]]/Main_S[[#This Row],[Free CF]],""),"")</f>
        <v>21.887755102040817</v>
      </c>
      <c r="I65" s="1">
        <f>IF(ISNUMBER(Main_S[[#This Row],[BVPS]]),IF(Main_S[[#This Row],[BVPS]]&lt;&gt;0,Main_S[[#This Row],[Current Price]]/Main_S[[#This Row],[BVPS]],""),"")</f>
        <v>1.5398420674802584</v>
      </c>
      <c r="J65">
        <v>8.51</v>
      </c>
      <c r="K65">
        <v>3.28</v>
      </c>
      <c r="L65">
        <v>1.58</v>
      </c>
      <c r="M65" s="1">
        <f>IF(ISNUMBER(Main_S[[#This Row],[EPS]]),IF(Main_S[[#This Row],[EPS]]&lt;&gt;0,Main_S[[#This Row],[Current Price]]/Main_S[[#This Row],[EPS]],""),"")</f>
        <v>20.046728971962615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1.1227185595065245</v>
      </c>
      <c r="P65" s="1">
        <f>(Main_S[[#This Row],[P/B]]-VLOOKUP(Main_S[[#This Row],[Industry]], Mean_PB_S, 2, FALSE))/(VLOOKUP(Main_S[[#This Row],[Industry]], Mean_PB_S, 3, FALSE))</f>
        <v>-0.24411768870432338</v>
      </c>
      <c r="Q65" s="1">
        <f>(Main_S[[#This Row],[ROE]]-VLOOKUP(Main_S[[#This Row],[Industry]], Mean_ROE_S, 2, FALSE))/(VLOOKUP(Main_S[[#This Row],[Industry]], Mean_ROE_S, 3, FALSE))</f>
        <v>0.67598132854192727</v>
      </c>
      <c r="R65" s="1">
        <f>(Main_S[[#This Row],[ROA]]-VLOOKUP(Main_S[[#This Row],[Industry]], Mean_ROA_S, 2, FALSE))/(VLOOKUP(Main_S[[#This Row],[Industry]], Mean_ROA_S, 3, FALSE))</f>
        <v>0.65718055724203162</v>
      </c>
      <c r="S65" s="1">
        <f>(Main_S[[#This Row],[A/E]]-VLOOKUP(Main_S[[#This Row],[Industry]], Mean_AE_S, 2, FALSE))/(VLOOKUP(Main_S[[#This Row],[Industry]], Mean_AE_S, 3, FALSE))</f>
        <v>-0.19871699270963294</v>
      </c>
      <c r="T65" s="1">
        <f>(Main_S[[#This Row],[P/E]]-VLOOKUP(Main_S[[#This Row],[Industry]], Mean_PE_S, 2, FALSE))/(VLOOKUP(Main_S[[#This Row],[Industry]], Mean_PE_S, 3, FALSE))</f>
        <v>1.083953948159518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7" t="s">
        <v>198</v>
      </c>
      <c r="B66" s="67" t="s">
        <v>477</v>
      </c>
      <c r="C66" s="2">
        <v>1426</v>
      </c>
      <c r="D66">
        <f>RTD("tos.rtd", , "LAST", Main_S[[#This Row],[Symbol]])</f>
        <v>8.83</v>
      </c>
      <c r="E66">
        <v>0.56999999999999995</v>
      </c>
      <c r="F66">
        <v>5.2</v>
      </c>
      <c r="G66">
        <v>0.5</v>
      </c>
      <c r="H66" s="1">
        <f>IF(ISNUMBER(Main_S[[#This Row],[Free CF]]),IF(Main_S[[#This Row],[Free CF]]&lt;&gt;0,Main_S[[#This Row],[Current Price]]/Main_S[[#This Row],[Free CF]],""),"")</f>
        <v>15.49122807017544</v>
      </c>
      <c r="I66" s="1">
        <f>IF(ISNUMBER(Main_S[[#This Row],[BVPS]]),IF(Main_S[[#This Row],[BVPS]]&lt;&gt;0,Main_S[[#This Row],[Current Price]]/Main_S[[#This Row],[BVPS]],""),"")</f>
        <v>1.698076923076923</v>
      </c>
      <c r="J66">
        <v>9.7799999999999994</v>
      </c>
      <c r="K66">
        <v>2.97</v>
      </c>
      <c r="L66">
        <v>1.8</v>
      </c>
      <c r="M66" s="1">
        <f>IF(ISNUMBER(Main_S[[#This Row],[EPS]]),IF(Main_S[[#This Row],[EPS]]&lt;&gt;0,Main_S[[#This Row],[Current Price]]/Main_S[[#This Row],[EPS]],""),"")</f>
        <v>17.66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0.69183853578164323</v>
      </c>
      <c r="P66" s="1">
        <f>(Main_S[[#This Row],[P/B]]-VLOOKUP(Main_S[[#This Row],[Industry]], Mean_PB_S, 2, FALSE))/(VLOOKUP(Main_S[[#This Row],[Industry]], Mean_PB_S, 3, FALSE))</f>
        <v>-0.1348950644170071</v>
      </c>
      <c r="Q66" s="1">
        <f>(Main_S[[#This Row],[ROE]]-VLOOKUP(Main_S[[#This Row],[Industry]], Mean_ROE_S, 2, FALSE))/(VLOOKUP(Main_S[[#This Row],[Industry]], Mean_ROE_S, 3, FALSE))</f>
        <v>0.75815610142348866</v>
      </c>
      <c r="R66" s="1">
        <f>(Main_S[[#This Row],[ROA]]-VLOOKUP(Main_S[[#This Row],[Industry]], Mean_ROA_S, 2, FALSE))/(VLOOKUP(Main_S[[#This Row],[Industry]], Mean_ROA_S, 3, FALSE))</f>
        <v>0.59312454393874137</v>
      </c>
      <c r="S66" s="1">
        <f>(Main_S[[#This Row],[A/E]]-VLOOKUP(Main_S[[#This Row],[Industry]], Mean_AE_S, 2, FALSE))/(VLOOKUP(Main_S[[#This Row],[Industry]], Mean_AE_S, 3, FALSE))</f>
        <v>0.20328519943859116</v>
      </c>
      <c r="T66" s="1">
        <f>(Main_S[[#This Row],[P/E]]-VLOOKUP(Main_S[[#This Row],[Industry]], Mean_PE_S, 2, FALSE))/(VLOOKUP(Main_S[[#This Row],[Industry]], Mean_PE_S, 3, FALSE))</f>
        <v>0.96972886805836711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7" t="s">
        <v>198</v>
      </c>
      <c r="B67" s="67" t="s">
        <v>471</v>
      </c>
      <c r="C67" s="2">
        <v>875</v>
      </c>
      <c r="D67">
        <f>RTD("tos.rtd", , "LAST", Main_S[[#This Row],[Symbol]])</f>
        <v>21.34</v>
      </c>
      <c r="E67">
        <v>0.56999999999999995</v>
      </c>
      <c r="F67">
        <v>19.329999999999998</v>
      </c>
      <c r="G67">
        <v>0.62</v>
      </c>
      <c r="H67" s="1">
        <f>IF(ISNUMBER(Main_S[[#This Row],[Free CF]]),IF(Main_S[[#This Row],[Free CF]]&lt;&gt;0,Main_S[[#This Row],[Current Price]]/Main_S[[#This Row],[Free CF]],""),"")</f>
        <v>37.438596491228076</v>
      </c>
      <c r="I67" s="1">
        <f>IF(ISNUMBER(Main_S[[#This Row],[BVPS]]),IF(Main_S[[#This Row],[BVPS]]&lt;&gt;0,Main_S[[#This Row],[Current Price]]/Main_S[[#This Row],[BVPS]],""),"")</f>
        <v>1.1039834454216244</v>
      </c>
      <c r="J67">
        <v>4.29</v>
      </c>
      <c r="K67">
        <v>2.9</v>
      </c>
      <c r="L67">
        <v>2.17</v>
      </c>
      <c r="M67" s="1">
        <f>IF(ISNUMBER(Main_S[[#This Row],[EPS]]),IF(Main_S[[#This Row],[EPS]]&lt;&gt;0,Main_S[[#This Row],[Current Price]]/Main_S[[#This Row],[EPS]],""),"")</f>
        <v>34.41935483870968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2.1702474565681587</v>
      </c>
      <c r="P67" s="1">
        <f>(Main_S[[#This Row],[P/B]]-VLOOKUP(Main_S[[#This Row],[Industry]], Mean_PB_S, 2, FALSE))/(VLOOKUP(Main_S[[#This Row],[Industry]], Mean_PB_S, 3, FALSE))</f>
        <v>-0.54497189898554432</v>
      </c>
      <c r="Q67" s="1">
        <f>(Main_S[[#This Row],[ROE]]-VLOOKUP(Main_S[[#This Row],[Industry]], Mean_ROE_S, 2, FALSE))/(VLOOKUP(Main_S[[#This Row],[Industry]], Mean_ROE_S, 3, FALSE))</f>
        <v>0.40292814621106993</v>
      </c>
      <c r="R67" s="1">
        <f>(Main_S[[#This Row],[ROA]]-VLOOKUP(Main_S[[#This Row],[Industry]], Mean_ROA_S, 2, FALSE))/(VLOOKUP(Main_S[[#This Row],[Industry]], Mean_ROA_S, 3, FALSE))</f>
        <v>0.57866028287025639</v>
      </c>
      <c r="S67" s="1">
        <f>(Main_S[[#This Row],[A/E]]-VLOOKUP(Main_S[[#This Row],[Industry]], Mean_AE_S, 2, FALSE))/(VLOOKUP(Main_S[[#This Row],[Industry]], Mean_AE_S, 3, FALSE))</f>
        <v>0.8793797953242406</v>
      </c>
      <c r="T67" s="1">
        <f>(Main_S[[#This Row],[P/E]]-VLOOKUP(Main_S[[#This Row],[Industry]], Mean_PE_S, 2, FALSE))/(VLOOKUP(Main_S[[#This Row],[Industry]], Mean_PE_S, 3, FALSE))</f>
        <v>1.771805128657431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s="67" t="s">
        <v>198</v>
      </c>
      <c r="B68" s="67" t="s">
        <v>473</v>
      </c>
      <c r="C68" s="2">
        <v>632</v>
      </c>
      <c r="D68">
        <f>RTD("tos.rtd", , "LAST", Main_S[[#This Row],[Symbol]])</f>
        <v>24.51</v>
      </c>
      <c r="E68">
        <v>0.32</v>
      </c>
      <c r="F68">
        <v>29.79</v>
      </c>
      <c r="G68">
        <v>-0.78</v>
      </c>
      <c r="H68" s="1">
        <f>IF(ISNUMBER(Main_S[[#This Row],[Free CF]]),IF(Main_S[[#This Row],[Free CF]]&lt;&gt;0,Main_S[[#This Row],[Current Price]]/Main_S[[#This Row],[Free CF]],""),"")</f>
        <v>76.59375</v>
      </c>
      <c r="I68" s="1">
        <f>IF(ISNUMBER(Main_S[[#This Row],[BVPS]]),IF(Main_S[[#This Row],[BVPS]]&lt;&gt;0,Main_S[[#This Row],[Current Price]]/Main_S[[#This Row],[BVPS]],""),"")</f>
        <v>0.82275931520644519</v>
      </c>
      <c r="J68">
        <v>-2.5499999999999998</v>
      </c>
      <c r="K68">
        <v>-1.01</v>
      </c>
      <c r="L68">
        <v>1.26</v>
      </c>
      <c r="M68" s="1">
        <f>IF(ISNUMBER(Main_S[[#This Row],[EPS]]),IF(Main_S[[#This Row],[EPS]]&lt;&gt;0,Main_S[[#This Row],[Current Price]]/Main_S[[#This Row],[EPS]],""),"")</f>
        <v>-31.423076923076923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4.80779958270855</v>
      </c>
      <c r="P68" s="1">
        <f>(Main_S[[#This Row],[P/B]]-VLOOKUP(Main_S[[#This Row],[Industry]], Mean_PB_S, 2, FALSE))/(VLOOKUP(Main_S[[#This Row],[Industry]], Mean_PB_S, 3, FALSE))</f>
        <v>-0.73908865915950983</v>
      </c>
      <c r="Q68" s="1">
        <f>(Main_S[[#This Row],[ROE]]-VLOOKUP(Main_S[[#This Row],[Industry]], Mean_ROE_S, 2, FALSE))/(VLOOKUP(Main_S[[#This Row],[Industry]], Mean_ROE_S, 3, FALSE))</f>
        <v>-3.9650945528992752E-2</v>
      </c>
      <c r="R68" s="1">
        <f>(Main_S[[#This Row],[ROA]]-VLOOKUP(Main_S[[#This Row],[Industry]], Mean_ROA_S, 2, FALSE))/(VLOOKUP(Main_S[[#This Row],[Industry]], Mean_ROA_S, 3, FALSE))</f>
        <v>-0.22927201395511482</v>
      </c>
      <c r="S68" s="1">
        <f>(Main_S[[#This Row],[A/E]]-VLOOKUP(Main_S[[#This Row],[Industry]], Mean_AE_S, 2, FALSE))/(VLOOKUP(Main_S[[#This Row],[Industry]], Mean_AE_S, 3, FALSE))</f>
        <v>-0.78344745401614091</v>
      </c>
      <c r="T68" s="1">
        <f>(Main_S[[#This Row],[P/E]]-VLOOKUP(Main_S[[#This Row],[Industry]], Mean_PE_S, 2, FALSE))/(VLOOKUP(Main_S[[#This Row],[Industry]], Mean_PE_S, 3, FALSE))</f>
        <v>-1.3793096943466254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7" t="s">
        <v>198</v>
      </c>
      <c r="B69" s="67" t="s">
        <v>466</v>
      </c>
      <c r="C69" s="2">
        <v>538</v>
      </c>
      <c r="D69">
        <f>RTD("tos.rtd", , "LAST", Main_S[[#This Row],[Symbol]])</f>
        <v>18.62</v>
      </c>
      <c r="E69">
        <v>0.31</v>
      </c>
      <c r="F69">
        <v>20.53</v>
      </c>
      <c r="G69">
        <v>-0.49</v>
      </c>
      <c r="H69" s="1">
        <f>IF(ISNUMBER(Main_S[[#This Row],[Free CF]]),IF(Main_S[[#This Row],[Free CF]]&lt;&gt;0,Main_S[[#This Row],[Current Price]]/Main_S[[#This Row],[Free CF]],""),"")</f>
        <v>60.064516129032263</v>
      </c>
      <c r="I69" s="1">
        <f>IF(ISNUMBER(Main_S[[#This Row],[BVPS]]),IF(Main_S[[#This Row],[BVPS]]&lt;&gt;0,Main_S[[#This Row],[Current Price]]/Main_S[[#This Row],[BVPS]],""),"")</f>
        <v>0.90696541646371165</v>
      </c>
      <c r="J69">
        <v>-2.35</v>
      </c>
      <c r="K69">
        <v>-0.28999999999999998</v>
      </c>
      <c r="L69">
        <v>1.44</v>
      </c>
      <c r="M69" s="1">
        <f>IF(ISNUMBER(Main_S[[#This Row],[EPS]]),IF(Main_S[[#This Row],[EPS]]&lt;&gt;0,Main_S[[#This Row],[Current Price]]/Main_S[[#This Row],[EPS]],""),"")</f>
        <v>-38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3.694364644186964</v>
      </c>
      <c r="P69" s="1">
        <f>(Main_S[[#This Row],[P/B]]-VLOOKUP(Main_S[[#This Row],[Industry]], Mean_PB_S, 2, FALSE))/(VLOOKUP(Main_S[[#This Row],[Industry]], Mean_PB_S, 3, FALSE))</f>
        <v>-0.68096485751263691</v>
      </c>
      <c r="Q69" s="1">
        <f>(Main_S[[#This Row],[ROE]]-VLOOKUP(Main_S[[#This Row],[Industry]], Mean_ROE_S, 2, FALSE))/(VLOOKUP(Main_S[[#This Row],[Industry]], Mean_ROE_S, 3, FALSE))</f>
        <v>-2.6710036413786258E-2</v>
      </c>
      <c r="R69" s="1">
        <f>(Main_S[[#This Row],[ROA]]-VLOOKUP(Main_S[[#This Row],[Industry]], Mean_ROA_S, 2, FALSE))/(VLOOKUP(Main_S[[#This Row],[Industry]], Mean_ROA_S, 3, FALSE))</f>
        <v>-8.0496757250698645E-2</v>
      </c>
      <c r="S69" s="1">
        <f>(Main_S[[#This Row],[A/E]]-VLOOKUP(Main_S[[#This Row],[Industry]], Mean_AE_S, 2, FALSE))/(VLOOKUP(Main_S[[#This Row],[Industry]], Mean_AE_S, 3, FALSE))</f>
        <v>-0.45453656953123034</v>
      </c>
      <c r="T69" s="1">
        <f>(Main_S[[#This Row],[P/E]]-VLOOKUP(Main_S[[#This Row],[Industry]], Mean_PE_S, 2, FALSE))/(VLOOKUP(Main_S[[#This Row],[Industry]], Mean_PE_S, 3, FALSE))</f>
        <v>-1.6940708482546416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7" t="s">
        <v>198</v>
      </c>
      <c r="B70" s="67" t="s">
        <v>474</v>
      </c>
      <c r="C70" s="2">
        <v>449</v>
      </c>
      <c r="D70">
        <f>RTD("tos.rtd", , "LAST", Main_S[[#This Row],[Symbol]])</f>
        <v>21.41</v>
      </c>
      <c r="E70">
        <v>0.04</v>
      </c>
      <c r="F70">
        <v>11.25</v>
      </c>
      <c r="G70">
        <v>-0.28000000000000003</v>
      </c>
      <c r="H70" s="1">
        <f>IF(ISNUMBER(Main_S[[#This Row],[Free CF]]),IF(Main_S[[#This Row],[Free CF]]&lt;&gt;0,Main_S[[#This Row],[Current Price]]/Main_S[[#This Row],[Free CF]],""),"")</f>
        <v>535.25</v>
      </c>
      <c r="I70" s="1">
        <f>IF(ISNUMBER(Main_S[[#This Row],[BVPS]]),IF(Main_S[[#This Row],[BVPS]]&lt;&gt;0,Main_S[[#This Row],[Current Price]]/Main_S[[#This Row],[BVPS]],""),"")</f>
        <v>1.9031111111111112</v>
      </c>
      <c r="J70">
        <v>-2.5099999999999998</v>
      </c>
      <c r="K70">
        <v>-1.42</v>
      </c>
      <c r="L70">
        <v>1.1499999999999999</v>
      </c>
      <c r="M70" s="1">
        <f>IF(ISNUMBER(Main_S[[#This Row],[EPS]]),IF(Main_S[[#This Row],[EPS]]&lt;&gt;0,Main_S[[#This Row],[Current Price]]/Main_S[[#This Row],[EPS]],""),"")</f>
        <v>-76.464285714285708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35.703598959004267</v>
      </c>
      <c r="P70" s="1">
        <f>(Main_S[[#This Row],[P/B]]-VLOOKUP(Main_S[[#This Row],[Industry]], Mean_PB_S, 2, FALSE))/(VLOOKUP(Main_S[[#This Row],[Industry]], Mean_PB_S, 3, FALSE))</f>
        <v>6.6310993429902305E-3</v>
      </c>
      <c r="Q70" s="1">
        <f>(Main_S[[#This Row],[ROE]]-VLOOKUP(Main_S[[#This Row],[Industry]], Mean_ROE_S, 2, FALSE))/(VLOOKUP(Main_S[[#This Row],[Industry]], Mean_ROE_S, 3, FALSE))</f>
        <v>-3.7062763705951449E-2</v>
      </c>
      <c r="R70" s="1">
        <f>(Main_S[[#This Row],[ROA]]-VLOOKUP(Main_S[[#This Row],[Industry]], Mean_ROA_S, 2, FALSE))/(VLOOKUP(Main_S[[#This Row],[Industry]], Mean_ROA_S, 3, FALSE))</f>
        <v>-0.31399125735624073</v>
      </c>
      <c r="S70" s="1">
        <f>(Main_S[[#This Row],[A/E]]-VLOOKUP(Main_S[[#This Row],[Industry]], Mean_AE_S, 2, FALSE))/(VLOOKUP(Main_S[[#This Row],[Industry]], Mean_AE_S, 3, FALSE))</f>
        <v>-0.98444855009025312</v>
      </c>
      <c r="T70" s="1">
        <f>(Main_S[[#This Row],[P/E]]-VLOOKUP(Main_S[[#This Row],[Industry]], Mean_PE_S, 2, FALSE))/(VLOOKUP(Main_S[[#This Row],[Industry]], Mean_PE_S, 3, FALSE))</f>
        <v>-3.5349108298194416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1" spans="1:26" x14ac:dyDescent="0.25">
      <c r="A71" s="67" t="s">
        <v>198</v>
      </c>
      <c r="B71" s="67" t="s">
        <v>478</v>
      </c>
      <c r="C71" s="2">
        <v>673</v>
      </c>
      <c r="D71">
        <f>RTD("tos.rtd", , "LAST", Main_S[[#This Row],[Symbol]])</f>
        <v>19.77</v>
      </c>
      <c r="E71">
        <v>-0.01</v>
      </c>
      <c r="F71">
        <v>1.05</v>
      </c>
      <c r="G71">
        <v>0.05</v>
      </c>
      <c r="H71" s="1">
        <f>IF(ISNUMBER(Main_S[[#This Row],[Free CF]]),IF(Main_S[[#This Row],[Free CF]]&lt;&gt;0,Main_S[[#This Row],[Current Price]]/Main_S[[#This Row],[Free CF]],""),"")</f>
        <v>-1977</v>
      </c>
      <c r="I71" s="1">
        <f>IF(ISNUMBER(Main_S[[#This Row],[BVPS]]),IF(Main_S[[#This Row],[BVPS]]&lt;&gt;0,Main_S[[#This Row],[Current Price]]/Main_S[[#This Row],[BVPS]],""),"")</f>
        <v>18.828571428571426</v>
      </c>
      <c r="J71">
        <v>4.6100000000000003</v>
      </c>
      <c r="K71">
        <v>1.43</v>
      </c>
      <c r="L71">
        <v>1.73</v>
      </c>
      <c r="M71" s="1">
        <f>IF(ISNUMBER(Main_S[[#This Row],[EPS]]),IF(Main_S[[#This Row],[EPS]]&lt;&gt;0,Main_S[[#This Row],[Current Price]]/Main_S[[#This Row],[EPS]],""),"")</f>
        <v>395.4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-133.52547397546226</v>
      </c>
      <c r="P71" s="1">
        <f>(Main_S[[#This Row],[P/B]]-VLOOKUP(Main_S[[#This Row],[Industry]], Mean_PB_S, 2, FALSE))/(VLOOKUP(Main_S[[#This Row],[Industry]], Mean_PB_S, 3, FALSE))</f>
        <v>11.689538674750892</v>
      </c>
      <c r="Q71" s="1">
        <f>(Main_S[[#This Row],[ROE]]-VLOOKUP(Main_S[[#This Row],[Industry]], Mean_ROE_S, 2, FALSE))/(VLOOKUP(Main_S[[#This Row],[Industry]], Mean_ROE_S, 3, FALSE))</f>
        <v>0.42363360079540041</v>
      </c>
      <c r="R71" s="1">
        <f>(Main_S[[#This Row],[ROA]]-VLOOKUP(Main_S[[#This Row],[Industry]], Mean_ROA_S, 2, FALSE))/(VLOOKUP(Main_S[[#This Row],[Industry]], Mean_ROA_S, 3, FALSE))</f>
        <v>0.27491080043207339</v>
      </c>
      <c r="S71" s="1">
        <f>(Main_S[[#This Row],[A/E]]-VLOOKUP(Main_S[[#This Row],[Industry]], Mean_AE_S, 2, FALSE))/(VLOOKUP(Main_S[[#This Row],[Industry]], Mean_AE_S, 3, FALSE))</f>
        <v>7.5375411027792452E-2</v>
      </c>
      <c r="T71" s="1">
        <f>(Main_S[[#This Row],[P/E]]-VLOOKUP(Main_S[[#This Row],[Industry]], Mean_PE_S, 2, FALSE))/(VLOOKUP(Main_S[[#This Row],[Industry]], Mean_PE_S, 3, FALSE))</f>
        <v>19.047768840032422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2" spans="1:26" x14ac:dyDescent="0.25">
      <c r="A72" s="67" t="s">
        <v>198</v>
      </c>
      <c r="B72" s="67" t="s">
        <v>468</v>
      </c>
      <c r="C72" s="2">
        <v>693</v>
      </c>
      <c r="D72">
        <f>RTD("tos.rtd", , "LAST", Main_S[[#This Row],[Symbol]])</f>
        <v>19.64</v>
      </c>
      <c r="E72">
        <v>-0.1</v>
      </c>
      <c r="F72">
        <v>6.36</v>
      </c>
      <c r="G72">
        <v>0.03</v>
      </c>
      <c r="H72" s="1">
        <f>IF(ISNUMBER(Main_S[[#This Row],[Free CF]]),IF(Main_S[[#This Row],[Free CF]]&lt;&gt;0,Main_S[[#This Row],[Current Price]]/Main_S[[#This Row],[Free CF]],""),"")</f>
        <v>-196.4</v>
      </c>
      <c r="I72" s="1">
        <f>IF(ISNUMBER(Main_S[[#This Row],[BVPS]]),IF(Main_S[[#This Row],[BVPS]]&lt;&gt;0,Main_S[[#This Row],[Current Price]]/Main_S[[#This Row],[BVPS]],""),"")</f>
        <v>3.0880503144654088</v>
      </c>
      <c r="J72">
        <v>0.6</v>
      </c>
      <c r="K72">
        <v>-0.12</v>
      </c>
      <c r="L72">
        <v>1.57</v>
      </c>
      <c r="M72" s="1">
        <f>IF(ISNUMBER(Main_S[[#This Row],[EPS]]),IF(Main_S[[#This Row],[EPS]]&lt;&gt;0,Main_S[[#This Row],[Current Price]]/Main_S[[#This Row],[EPS]],""),"")</f>
        <v>654.66666666666674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-13.581484616476851</v>
      </c>
      <c r="P72" s="1">
        <f>(Main_S[[#This Row],[P/B]]-VLOOKUP(Main_S[[#This Row],[Industry]], Mean_PB_S, 2, FALSE))/(VLOOKUP(Main_S[[#This Row],[Industry]], Mean_PB_S, 3, FALSE))</f>
        <v>0.82454298685512661</v>
      </c>
      <c r="Q72" s="1">
        <f>(Main_S[[#This Row],[ROE]]-VLOOKUP(Main_S[[#This Row],[Industry]], Mean_ROE_S, 2, FALSE))/(VLOOKUP(Main_S[[#This Row],[Industry]], Mean_ROE_S, 3, FALSE))</f>
        <v>0.1641683730355098</v>
      </c>
      <c r="R72" s="1">
        <f>(Main_S[[#This Row],[ROA]]-VLOOKUP(Main_S[[#This Row],[Industry]], Mean_ROA_S, 2, FALSE))/(VLOOKUP(Main_S[[#This Row],[Industry]], Mean_ROA_S, 3, FALSE))</f>
        <v>-4.5369266084378156E-2</v>
      </c>
      <c r="S72" s="1">
        <f>(Main_S[[#This Row],[A/E]]-VLOOKUP(Main_S[[#This Row],[Industry]], Mean_AE_S, 2, FALSE))/(VLOOKUP(Main_S[[#This Row],[Industry]], Mean_AE_S, 3, FALSE))</f>
        <v>-0.21698981962546132</v>
      </c>
      <c r="T72" s="1">
        <f>(Main_S[[#This Row],[P/E]]-VLOOKUP(Main_S[[#This Row],[Industry]], Mean_PE_S, 2, FALSE))/(VLOOKUP(Main_S[[#This Row],[Industry]], Mean_PE_S, 3, FALSE))</f>
        <v>31.45586214071669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3" spans="1:26" x14ac:dyDescent="0.25">
      <c r="A73" s="67" t="s">
        <v>198</v>
      </c>
      <c r="B73" s="67" t="s">
        <v>514</v>
      </c>
      <c r="C73" s="2">
        <v>284</v>
      </c>
      <c r="D73">
        <f>RTD("tos.rtd", , "LAST", Main_S[[#This Row],[Symbol]])</f>
        <v>11.78</v>
      </c>
      <c r="E73">
        <v>-0.21</v>
      </c>
      <c r="F73">
        <v>4.17</v>
      </c>
      <c r="G73">
        <v>0.78</v>
      </c>
      <c r="H73" s="1">
        <f>IF(ISNUMBER(Main_S[[#This Row],[Free CF]]),IF(Main_S[[#This Row],[Free CF]]&lt;&gt;0,Main_S[[#This Row],[Current Price]]/Main_S[[#This Row],[Free CF]],""),"")</f>
        <v>-56.095238095238095</v>
      </c>
      <c r="I73" s="1">
        <f>IF(ISNUMBER(Main_S[[#This Row],[BVPS]]),IF(Main_S[[#This Row],[BVPS]]&lt;&gt;0,Main_S[[#This Row],[Current Price]]/Main_S[[#This Row],[BVPS]],""),"")</f>
        <v>2.8249400479616305</v>
      </c>
      <c r="J73">
        <v>21.69</v>
      </c>
      <c r="K73">
        <v>0.28999999999999998</v>
      </c>
      <c r="L73">
        <v>1.17</v>
      </c>
      <c r="M73" s="1">
        <f>IF(ISNUMBER(Main_S[[#This Row],[EPS]]),IF(Main_S[[#This Row],[EPS]]&lt;&gt;0,Main_S[[#This Row],[Current Price]]/Main_S[[#This Row],[EPS]],""),"")</f>
        <v>15.1025641025641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-4.130337324036244</v>
      </c>
      <c r="P73" s="1">
        <f>(Main_S[[#This Row],[P/B]]-VLOOKUP(Main_S[[#This Row],[Industry]], Mean_PB_S, 2, FALSE))/(VLOOKUP(Main_S[[#This Row],[Industry]], Mean_PB_S, 3, FALSE))</f>
        <v>0.64292943732385888</v>
      </c>
      <c r="Q73" s="1">
        <f>(Main_S[[#This Row],[ROE]]-VLOOKUP(Main_S[[#This Row],[Industry]], Mean_ROE_S, 2, FALSE))/(VLOOKUP(Main_S[[#This Row],[Industry]], Mean_ROE_S, 3, FALSE))</f>
        <v>1.5287872392340367</v>
      </c>
      <c r="R73" s="1">
        <f>(Main_S[[#This Row],[ROA]]-VLOOKUP(Main_S[[#This Row],[Industry]], Mean_ROA_S, 2, FALSE))/(VLOOKUP(Main_S[[#This Row],[Industry]], Mean_ROA_S, 3, FALSE))</f>
        <v>3.9349977316747733E-2</v>
      </c>
      <c r="S73" s="1">
        <f>(Main_S[[#This Row],[A/E]]-VLOOKUP(Main_S[[#This Row],[Industry]], Mean_AE_S, 2, FALSE))/(VLOOKUP(Main_S[[#This Row],[Industry]], Mean_AE_S, 3, FALSE))</f>
        <v>-0.94790289625859636</v>
      </c>
      <c r="T73" s="1">
        <f>(Main_S[[#This Row],[P/E]]-VLOOKUP(Main_S[[#This Row],[Industry]], Mean_PE_S, 2, FALSE))/(VLOOKUP(Main_S[[#This Row],[Industry]], Mean_PE_S, 3, FALSE))</f>
        <v>0.84733402403970992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7" t="s">
        <v>198</v>
      </c>
      <c r="B74" s="67" t="s">
        <v>464</v>
      </c>
      <c r="C74" s="2">
        <v>794</v>
      </c>
      <c r="D74">
        <f>RTD("tos.rtd", , "LAST", Main_S[[#This Row],[Symbol]])</f>
        <v>19.100000000000001</v>
      </c>
      <c r="E74">
        <v>-0.25</v>
      </c>
      <c r="F74">
        <v>17.8</v>
      </c>
      <c r="G74">
        <v>-1.84</v>
      </c>
      <c r="H74" s="1">
        <f>IF(ISNUMBER(Main_S[[#This Row],[Free CF]]),IF(Main_S[[#This Row],[Free CF]]&lt;&gt;0,Main_S[[#This Row],[Current Price]]/Main_S[[#This Row],[Free CF]],""),"")</f>
        <v>-76.400000000000006</v>
      </c>
      <c r="I74" s="1">
        <f>IF(ISNUMBER(Main_S[[#This Row],[BVPS]]),IF(Main_S[[#This Row],[BVPS]]&lt;&gt;0,Main_S[[#This Row],[Current Price]]/Main_S[[#This Row],[BVPS]],""),"")</f>
        <v>1.0730337078651686</v>
      </c>
      <c r="J74">
        <v>-9.8699999999999992</v>
      </c>
      <c r="K74">
        <v>-4.6399999999999997</v>
      </c>
      <c r="L74">
        <v>1.18</v>
      </c>
      <c r="M74" s="1">
        <f>IF(ISNUMBER(Main_S[[#This Row],[EPS]]),IF(Main_S[[#This Row],[EPS]]&lt;&gt;0,Main_S[[#This Row],[Current Price]]/Main_S[[#This Row],[EPS]],""),"")</f>
        <v>-10.380434782608695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-5.4980977114570537</v>
      </c>
      <c r="P74" s="1">
        <f>(Main_S[[#This Row],[P/B]]-VLOOKUP(Main_S[[#This Row],[Industry]], Mean_PB_S, 2, FALSE))/(VLOOKUP(Main_S[[#This Row],[Industry]], Mean_PB_S, 3, FALSE))</f>
        <v>-0.56633515390288292</v>
      </c>
      <c r="Q74" s="1">
        <f>(Main_S[[#This Row],[ROE]]-VLOOKUP(Main_S[[#This Row],[Industry]], Mean_ROE_S, 2, FALSE))/(VLOOKUP(Main_S[[#This Row],[Industry]], Mean_ROE_S, 3, FALSE))</f>
        <v>-0.51328821914555101</v>
      </c>
      <c r="R74" s="1">
        <f>(Main_S[[#This Row],[ROA]]-VLOOKUP(Main_S[[#This Row],[Industry]], Mean_ROA_S, 2, FALSE))/(VLOOKUP(Main_S[[#This Row],[Industry]], Mean_ROA_S, 3, FALSE))</f>
        <v>-0.97934726650654635</v>
      </c>
      <c r="S74" s="1">
        <f>(Main_S[[#This Row],[A/E]]-VLOOKUP(Main_S[[#This Row],[Industry]], Mean_AE_S, 2, FALSE))/(VLOOKUP(Main_S[[#This Row],[Industry]], Mean_AE_S, 3, FALSE))</f>
        <v>-0.92963006934276793</v>
      </c>
      <c r="T74" s="1">
        <f>(Main_S[[#This Row],[P/E]]-VLOOKUP(Main_S[[#This Row],[Industry]], Mean_PE_S, 2, FALSE))/(VLOOKUP(Main_S[[#This Row],[Industry]], Mean_PE_S, 3, FALSE))</f>
        <v>-0.37224206653032249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7" t="s">
        <v>198</v>
      </c>
      <c r="B75" s="67" t="s">
        <v>483</v>
      </c>
      <c r="C75" s="2">
        <v>979</v>
      </c>
      <c r="D75">
        <f>RTD("tos.rtd", , "LAST", Main_S[[#This Row],[Symbol]])</f>
        <v>7.3</v>
      </c>
      <c r="E75">
        <v>-0.31</v>
      </c>
      <c r="F75">
        <v>1.78</v>
      </c>
      <c r="G75">
        <v>-0.53</v>
      </c>
      <c r="H75" s="1">
        <f>IF(ISNUMBER(Main_S[[#This Row],[Free CF]]),IF(Main_S[[#This Row],[Free CF]]&lt;&gt;0,Main_S[[#This Row],[Current Price]]/Main_S[[#This Row],[Free CF]],""),"")</f>
        <v>-23.548387096774192</v>
      </c>
      <c r="I75" s="1">
        <f>IF(ISNUMBER(Main_S[[#This Row],[BVPS]]),IF(Main_S[[#This Row],[BVPS]]&lt;&gt;0,Main_S[[#This Row],[Current Price]]/Main_S[[#This Row],[BVPS]],""),"")</f>
        <v>4.1011235955056176</v>
      </c>
      <c r="J75">
        <v>-26.43</v>
      </c>
      <c r="K75">
        <v>-17.59</v>
      </c>
      <c r="L75">
        <v>1.08</v>
      </c>
      <c r="M75" s="1">
        <f>IF(ISNUMBER(Main_S[[#This Row],[EPS]]),IF(Main_S[[#This Row],[EPS]]&lt;&gt;0,Main_S[[#This Row],[Current Price]]/Main_S[[#This Row],[EPS]],""),"")</f>
        <v>-13.773584905660377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-1.9379307476977976</v>
      </c>
      <c r="P75" s="1">
        <f>(Main_S[[#This Row],[P/B]]-VLOOKUP(Main_S[[#This Row],[Industry]], Mean_PB_S, 2, FALSE))/(VLOOKUP(Main_S[[#This Row],[Industry]], Mean_PB_S, 3, FALSE))</f>
        <v>1.5238233188233119</v>
      </c>
      <c r="Q75" s="1">
        <f>(Main_S[[#This Row],[ROE]]-VLOOKUP(Main_S[[#This Row],[Industry]], Mean_ROE_S, 2, FALSE))/(VLOOKUP(Main_S[[#This Row],[Industry]], Mean_ROE_S, 3, FALSE))</f>
        <v>-1.5847954938846502</v>
      </c>
      <c r="R75" s="1">
        <f>(Main_S[[#This Row],[ROA]]-VLOOKUP(Main_S[[#This Row],[Industry]], Mean_ROA_S, 2, FALSE))/(VLOOKUP(Main_S[[#This Row],[Industry]], Mean_ROA_S, 3, FALSE))</f>
        <v>-3.6552355641762544</v>
      </c>
      <c r="S75" s="1">
        <f>(Main_S[[#This Row],[A/E]]-VLOOKUP(Main_S[[#This Row],[Industry]], Mean_AE_S, 2, FALSE))/(VLOOKUP(Main_S[[#This Row],[Industry]], Mean_AE_S, 3, FALSE))</f>
        <v>-1.1123583385010514</v>
      </c>
      <c r="T75" s="1">
        <f>(Main_S[[#This Row],[P/E]]-VLOOKUP(Main_S[[#This Row],[Industry]], Mean_PE_S, 2, FALSE))/(VLOOKUP(Main_S[[#This Row],[Industry]], Mean_PE_S, 3, FALSE))</f>
        <v>-0.53463287384603431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7" t="s">
        <v>198</v>
      </c>
      <c r="B76" s="67" t="s">
        <v>515</v>
      </c>
      <c r="C76" s="2">
        <v>389</v>
      </c>
      <c r="D76">
        <f>RTD("tos.rtd", , "LAST", Main_S[[#This Row],[Symbol]])</f>
        <v>3.91</v>
      </c>
      <c r="E76">
        <v>-0.33</v>
      </c>
      <c r="F76">
        <v>0.72</v>
      </c>
      <c r="G76">
        <v>-0.6</v>
      </c>
      <c r="H76" s="1">
        <f>IF(ISNUMBER(Main_S[[#This Row],[Free CF]]),IF(Main_S[[#This Row],[Free CF]]&lt;&gt;0,Main_S[[#This Row],[Current Price]]/Main_S[[#This Row],[Free CF]],""),"")</f>
        <v>-11.848484848484848</v>
      </c>
      <c r="I76" s="1">
        <f>IF(ISNUMBER(Main_S[[#This Row],[BVPS]]),IF(Main_S[[#This Row],[BVPS]]&lt;&gt;0,Main_S[[#This Row],[Current Price]]/Main_S[[#This Row],[BVPS]],""),"")</f>
        <v>5.4305555555555562</v>
      </c>
      <c r="J76">
        <v>-51.15</v>
      </c>
      <c r="K76">
        <v>-17.12</v>
      </c>
      <c r="L76">
        <v>1.25</v>
      </c>
      <c r="M76" s="1">
        <f>IF(ISNUMBER(Main_S[[#This Row],[EPS]]),IF(Main_S[[#This Row],[EPS]]&lt;&gt;0,Main_S[[#This Row],[Current Price]]/Main_S[[#This Row],[EPS]],""),"")</f>
        <v>-6.5166666666666675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-1.1498071091658493</v>
      </c>
      <c r="P76" s="1">
        <f>(Main_S[[#This Row],[P/B]]-VLOOKUP(Main_S[[#This Row],[Industry]], Mean_PB_S, 2, FALSE))/(VLOOKUP(Main_S[[#This Row],[Industry]], Mean_PB_S, 3, FALSE))</f>
        <v>2.4414722586890338</v>
      </c>
      <c r="Q76" s="1">
        <f>(Main_S[[#This Row],[ROE]]-VLOOKUP(Main_S[[#This Row],[Industry]], Mean_ROE_S, 2, FALSE))/(VLOOKUP(Main_S[[#This Row],[Industry]], Mean_ROE_S, 3, FALSE))</f>
        <v>-3.1842918605241755</v>
      </c>
      <c r="R76" s="1">
        <f>(Main_S[[#This Row],[ROA]]-VLOOKUP(Main_S[[#This Row],[Industry]], Mean_ROA_S, 2, FALSE))/(VLOOKUP(Main_S[[#This Row],[Industry]], Mean_ROA_S, 3, FALSE))</f>
        <v>-3.5581183827164278</v>
      </c>
      <c r="S76" s="1">
        <f>(Main_S[[#This Row],[A/E]]-VLOOKUP(Main_S[[#This Row],[Industry]], Mean_AE_S, 2, FALSE))/(VLOOKUP(Main_S[[#This Row],[Industry]], Mean_AE_S, 3, FALSE))</f>
        <v>-0.80172028093196923</v>
      </c>
      <c r="T76" s="1">
        <f>(Main_S[[#This Row],[P/E]]-VLOOKUP(Main_S[[#This Row],[Industry]], Mean_PE_S, 2, FALSE))/(VLOOKUP(Main_S[[#This Row],[Industry]], Mean_PE_S, 3, FALSE))</f>
        <v>-0.1873282251514935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7" t="s">
        <v>198</v>
      </c>
      <c r="B77" s="67" t="s">
        <v>485</v>
      </c>
      <c r="C77" s="2">
        <v>366</v>
      </c>
      <c r="D77">
        <f>RTD("tos.rtd", , "LAST", Main_S[[#This Row],[Symbol]])</f>
        <v>4.21</v>
      </c>
      <c r="E77">
        <v>-0.52</v>
      </c>
      <c r="F77">
        <v>0.42</v>
      </c>
      <c r="G77">
        <v>-0.66</v>
      </c>
      <c r="H77" s="1">
        <f>IF(ISNUMBER(Main_S[[#This Row],[Free CF]]),IF(Main_S[[#This Row],[Free CF]]&lt;&gt;0,Main_S[[#This Row],[Current Price]]/Main_S[[#This Row],[Free CF]],""),"")</f>
        <v>-8.0961538461538449</v>
      </c>
      <c r="I77" s="1">
        <f>IF(ISNUMBER(Main_S[[#This Row],[BVPS]]),IF(Main_S[[#This Row],[BVPS]]&lt;&gt;0,Main_S[[#This Row],[Current Price]]/Main_S[[#This Row],[BVPS]],""),"")</f>
        <v>10.023809523809524</v>
      </c>
      <c r="J77">
        <v>-236.1</v>
      </c>
      <c r="K77">
        <v>-58.46</v>
      </c>
      <c r="L77">
        <v>2</v>
      </c>
      <c r="M77" s="1">
        <f>IF(ISNUMBER(Main_S[[#This Row],[EPS]]),IF(Main_S[[#This Row],[EPS]]&lt;&gt;0,Main_S[[#This Row],[Current Price]]/Main_S[[#This Row],[EPS]],""),"")</f>
        <v>-6.378787878787878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-0.8970442484363309</v>
      </c>
      <c r="P77" s="1">
        <f>(Main_S[[#This Row],[P/B]]-VLOOKUP(Main_S[[#This Row],[Industry]], Mean_PB_S, 2, FALSE))/(VLOOKUP(Main_S[[#This Row],[Industry]], Mean_PB_S, 3, FALSE))</f>
        <v>5.6119952799228106</v>
      </c>
      <c r="Q77" s="1">
        <f>(Main_S[[#This Row],[ROE]]-VLOOKUP(Main_S[[#This Row],[Industry]], Mean_ROE_S, 2, FALSE))/(VLOOKUP(Main_S[[#This Row],[Industry]], Mean_ROE_S, 3, FALSE))</f>
        <v>-15.151397564811397</v>
      </c>
      <c r="R77" s="1">
        <f>(Main_S[[#This Row],[ROA]]-VLOOKUP(Main_S[[#This Row],[Industry]], Mean_ROA_S, 2, FALSE))/(VLOOKUP(Main_S[[#This Row],[Industry]], Mean_ROA_S, 3, FALSE))</f>
        <v>-12.100297705161656</v>
      </c>
      <c r="S77" s="1">
        <f>(Main_S[[#This Row],[A/E]]-VLOOKUP(Main_S[[#This Row],[Industry]], Mean_AE_S, 2, FALSE))/(VLOOKUP(Main_S[[#This Row],[Industry]], Mean_AE_S, 3, FALSE))</f>
        <v>0.56874173775515846</v>
      </c>
      <c r="T77" s="1">
        <f>(Main_S[[#This Row],[P/E]]-VLOOKUP(Main_S[[#This Row],[Industry]], Mean_PE_S, 2, FALSE))/(VLOOKUP(Main_S[[#This Row],[Industry]], Mean_PE_S, 3, FALSE))</f>
        <v>-0.18072956406566704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7" t="s">
        <v>198</v>
      </c>
      <c r="B78" s="67" t="s">
        <v>479</v>
      </c>
      <c r="C78" s="2">
        <v>516</v>
      </c>
      <c r="D78">
        <f>RTD("tos.rtd", , "LAST", Main_S[[#This Row],[Symbol]])</f>
        <v>3.03</v>
      </c>
      <c r="E78">
        <v>-0.52</v>
      </c>
      <c r="F78">
        <v>2.09</v>
      </c>
      <c r="G78">
        <v>-0.75</v>
      </c>
      <c r="H78" s="1">
        <f>IF(ISNUMBER(Main_S[[#This Row],[Free CF]]),IF(Main_S[[#This Row],[Free CF]]&lt;&gt;0,Main_S[[#This Row],[Current Price]]/Main_S[[#This Row],[Free CF]],""),"")</f>
        <v>-5.8269230769230766</v>
      </c>
      <c r="I78" s="1">
        <f>IF(ISNUMBER(Main_S[[#This Row],[BVPS]]),IF(Main_S[[#This Row],[BVPS]]&lt;&gt;0,Main_S[[#This Row],[Current Price]]/Main_S[[#This Row],[BVPS]],""),"")</f>
        <v>1.4497607655502391</v>
      </c>
      <c r="J78">
        <v>-32.94</v>
      </c>
      <c r="K78">
        <v>-11.22</v>
      </c>
      <c r="L78">
        <v>2.2400000000000002</v>
      </c>
      <c r="M78" s="1">
        <f>IF(ISNUMBER(Main_S[[#This Row],[EPS]]),IF(Main_S[[#This Row],[EPS]]&lt;&gt;0,Main_S[[#This Row],[Current Price]]/Main_S[[#This Row],[EPS]],""),"")</f>
        <v>-4.04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-0.74418532939909754</v>
      </c>
      <c r="P78" s="1">
        <f>(Main_S[[#This Row],[P/B]]-VLOOKUP(Main_S[[#This Row],[Industry]], Mean_PB_S, 2, FALSE))/(VLOOKUP(Main_S[[#This Row],[Industry]], Mean_PB_S, 3, FALSE))</f>
        <v>-0.30629688530999327</v>
      </c>
      <c r="Q78" s="1">
        <f>(Main_S[[#This Row],[ROE]]-VLOOKUP(Main_S[[#This Row],[Industry]], Mean_ROE_S, 2, FALSE))/(VLOOKUP(Main_S[[#This Row],[Industry]], Mean_ROE_S, 3, FALSE))</f>
        <v>-2.0060220855846222</v>
      </c>
      <c r="R78" s="1">
        <f>(Main_S[[#This Row],[ROA]]-VLOOKUP(Main_S[[#This Row],[Industry]], Mean_ROA_S, 2, FALSE))/(VLOOKUP(Main_S[[#This Row],[Industry]], Mean_ROA_S, 3, FALSE))</f>
        <v>-2.3389878069441279</v>
      </c>
      <c r="S78" s="1">
        <f>(Main_S[[#This Row],[A/E]]-VLOOKUP(Main_S[[#This Row],[Industry]], Mean_AE_S, 2, FALSE))/(VLOOKUP(Main_S[[#This Row],[Industry]], Mean_AE_S, 3, FALSE))</f>
        <v>1.0072895837350397</v>
      </c>
      <c r="T78" s="1">
        <f>(Main_S[[#This Row],[P/E]]-VLOOKUP(Main_S[[#This Row],[Industry]], Mean_PE_S, 2, FALSE))/(VLOOKUP(Main_S[[#This Row],[Industry]], Mean_PE_S, 3, FALSE))</f>
        <v>-6.8798868987847192E-2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7" t="s">
        <v>198</v>
      </c>
      <c r="B79" s="67" t="s">
        <v>481</v>
      </c>
      <c r="C79" s="2">
        <v>984</v>
      </c>
      <c r="D79">
        <f>RTD("tos.rtd", , "LAST", Main_S[[#This Row],[Symbol]])</f>
        <v>12.58</v>
      </c>
      <c r="E79">
        <v>-1.06</v>
      </c>
      <c r="F79">
        <v>5.71</v>
      </c>
      <c r="G79">
        <v>-2.64</v>
      </c>
      <c r="H79" s="1">
        <f>IF(ISNUMBER(Main_S[[#This Row],[Free CF]]),IF(Main_S[[#This Row],[Free CF]]&lt;&gt;0,Main_S[[#This Row],[Current Price]]/Main_S[[#This Row],[Free CF]],""),"")</f>
        <v>-11.867924528301886</v>
      </c>
      <c r="I79" s="1">
        <f>IF(ISNUMBER(Main_S[[#This Row],[BVPS]]),IF(Main_S[[#This Row],[BVPS]]&lt;&gt;0,Main_S[[#This Row],[Current Price]]/Main_S[[#This Row],[BVPS]],""),"")</f>
        <v>2.2031523642732047</v>
      </c>
      <c r="J79">
        <v>-39.36</v>
      </c>
      <c r="K79">
        <v>-10.27</v>
      </c>
      <c r="L79">
        <v>1.73</v>
      </c>
      <c r="M79" s="1">
        <f>IF(ISNUMBER(Main_S[[#This Row],[EPS]]),IF(Main_S[[#This Row],[EPS]]&lt;&gt;0,Main_S[[#This Row],[Current Price]]/Main_S[[#This Row],[EPS]],""),"")</f>
        <v>-4.7651515151515147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-1.1511165962764396</v>
      </c>
      <c r="P79" s="1">
        <f>(Main_S[[#This Row],[P/B]]-VLOOKUP(Main_S[[#This Row],[Industry]], Mean_PB_S, 2, FALSE))/(VLOOKUP(Main_S[[#This Row],[Industry]], Mean_PB_S, 3, FALSE))</f>
        <v>0.21373649935897546</v>
      </c>
      <c r="Q79" s="1">
        <f>(Main_S[[#This Row],[ROE]]-VLOOKUP(Main_S[[#This Row],[Industry]], Mean_ROE_S, 2, FALSE))/(VLOOKUP(Main_S[[#This Row],[Industry]], Mean_ROE_S, 3, FALSE))</f>
        <v>-2.4214252681827513</v>
      </c>
      <c r="R79" s="1">
        <f>(Main_S[[#This Row],[ROA]]-VLOOKUP(Main_S[[#This Row],[Industry]], Mean_ROA_S, 2, FALSE))/(VLOOKUP(Main_S[[#This Row],[Industry]], Mean_ROA_S, 3, FALSE))</f>
        <v>-2.1426871210146898</v>
      </c>
      <c r="S79" s="1">
        <f>(Main_S[[#This Row],[A/E]]-VLOOKUP(Main_S[[#This Row],[Industry]], Mean_AE_S, 2, FALSE))/(VLOOKUP(Main_S[[#This Row],[Industry]], Mean_AE_S, 3, FALSE))</f>
        <v>7.5375411027792452E-2</v>
      </c>
      <c r="T79" s="1">
        <f>(Main_S[[#This Row],[P/E]]-VLOOKUP(Main_S[[#This Row],[Industry]], Mean_PE_S, 2, FALSE))/(VLOOKUP(Main_S[[#This Row],[Industry]], Mean_PE_S, 3, FALSE))</f>
        <v>-0.10350347553374287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7" t="s">
        <v>198</v>
      </c>
      <c r="B80" s="67" t="s">
        <v>518</v>
      </c>
      <c r="C80" s="2">
        <v>763</v>
      </c>
      <c r="D80">
        <f>RTD("tos.rtd", , "LAST", Main_S[[#This Row],[Symbol]])</f>
        <v>2.2200000000000002</v>
      </c>
      <c r="E80">
        <v>-1.33</v>
      </c>
      <c r="F80">
        <v>17.38</v>
      </c>
      <c r="G80">
        <v>-4.3899999999999997</v>
      </c>
      <c r="H80" s="1">
        <f>IF(ISNUMBER(Main_S[[#This Row],[Free CF]]),IF(Main_S[[#This Row],[Free CF]]&lt;&gt;0,Main_S[[#This Row],[Current Price]]/Main_S[[#This Row],[Free CF]],""),"")</f>
        <v>-1.6691729323308271</v>
      </c>
      <c r="I80" s="1">
        <f>IF(ISNUMBER(Main_S[[#This Row],[BVPS]]),IF(Main_S[[#This Row],[BVPS]]&lt;&gt;0,Main_S[[#This Row],[Current Price]]/Main_S[[#This Row],[BVPS]],""),"")</f>
        <v>0.12773302646720369</v>
      </c>
      <c r="J80">
        <v>-22.1</v>
      </c>
      <c r="K80">
        <v>-4.74</v>
      </c>
      <c r="L80">
        <v>2.94</v>
      </c>
      <c r="M80" s="1">
        <f>IF(ISNUMBER(Main_S[[#This Row],[EPS]]),IF(Main_S[[#This Row],[EPS]]&lt;&gt;0,Main_S[[#This Row],[Current Price]]/Main_S[[#This Row],[EPS]],""),"")</f>
        <v>-0.50569476082004561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-0.46411280378958797</v>
      </c>
      <c r="P80" s="1">
        <f>(Main_S[[#This Row],[P/B]]-VLOOKUP(Main_S[[#This Row],[Industry]], Mean_PB_S, 2, FALSE))/(VLOOKUP(Main_S[[#This Row],[Industry]], Mean_PB_S, 3, FALSE))</f>
        <v>-1.2188350141489102</v>
      </c>
      <c r="Q80" s="1">
        <f>(Main_S[[#This Row],[ROE]]-VLOOKUP(Main_S[[#This Row],[Industry]], Mean_ROE_S, 2, FALSE))/(VLOOKUP(Main_S[[#This Row],[Industry]], Mean_ROE_S, 3, FALSE))</f>
        <v>-1.3046248115404293</v>
      </c>
      <c r="R80" s="1">
        <f>(Main_S[[#This Row],[ROA]]-VLOOKUP(Main_S[[#This Row],[Industry]], Mean_ROA_S, 2, FALSE))/(VLOOKUP(Main_S[[#This Row],[Industry]], Mean_ROA_S, 3, FALSE))</f>
        <v>-1.0000104966043821</v>
      </c>
      <c r="S80" s="1">
        <f>(Main_S[[#This Row],[A/E]]-VLOOKUP(Main_S[[#This Row],[Industry]], Mean_AE_S, 2, FALSE))/(VLOOKUP(Main_S[[#This Row],[Industry]], Mean_AE_S, 3, FALSE))</f>
        <v>2.2863874678430252</v>
      </c>
      <c r="T80" s="1">
        <f>(Main_S[[#This Row],[P/E]]-VLOOKUP(Main_S[[#This Row],[Industry]], Mean_PE_S, 2, FALSE))/(VLOOKUP(Main_S[[#This Row],[Industry]], Mean_PE_S, 3, FALSE))</f>
        <v>0.10034739931059231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7" t="s">
        <v>198</v>
      </c>
      <c r="B81" s="67" t="s">
        <v>470</v>
      </c>
      <c r="C81" s="2">
        <v>1055</v>
      </c>
      <c r="D81">
        <f>RTD("tos.rtd", , "LAST", Main_S[[#This Row],[Symbol]])</f>
        <v>18.72</v>
      </c>
      <c r="E81">
        <v>-2.87</v>
      </c>
      <c r="F81">
        <v>10.19</v>
      </c>
      <c r="G81">
        <v>-30.49</v>
      </c>
      <c r="H81" s="1">
        <f>IF(ISNUMBER(Main_S[[#This Row],[Free CF]]),IF(Main_S[[#This Row],[Free CF]]&lt;&gt;0,Main_S[[#This Row],[Current Price]]/Main_S[[#This Row],[Free CF]],""),"")</f>
        <v>-6.5226480836236931</v>
      </c>
      <c r="I81" s="1">
        <f>IF(ISNUMBER(Main_S[[#This Row],[BVPS]]),IF(Main_S[[#This Row],[BVPS]]&lt;&gt;0,Main_S[[#This Row],[Current Price]]/Main_S[[#This Row],[BVPS]],""),"")</f>
        <v>1.8370951913640825</v>
      </c>
      <c r="J81">
        <v>-123.3</v>
      </c>
      <c r="K81">
        <v>-25.21</v>
      </c>
      <c r="L81">
        <v>4.25</v>
      </c>
      <c r="M81" s="1">
        <f>IF(ISNUMBER(Main_S[[#This Row],[EPS]]),IF(Main_S[[#This Row],[EPS]]&lt;&gt;0,Main_S[[#This Row],[Current Price]]/Main_S[[#This Row],[EPS]],""),"")</f>
        <v>-0.6139717940308298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-0.79105044947125236</v>
      </c>
      <c r="P81" s="1">
        <f>(Main_S[[#This Row],[P/B]]-VLOOKUP(Main_S[[#This Row],[Industry]], Mean_PB_S, 2, FALSE))/(VLOOKUP(Main_S[[#This Row],[Industry]], Mean_PB_S, 3, FALSE))</f>
        <v>-3.8936812810893798E-2</v>
      </c>
      <c r="Q81" s="1">
        <f>(Main_S[[#This Row],[ROE]]-VLOOKUP(Main_S[[#This Row],[Industry]], Mean_ROE_S, 2, FALSE))/(VLOOKUP(Main_S[[#This Row],[Industry]], Mean_ROE_S, 3, FALSE))</f>
        <v>-7.8527248238349241</v>
      </c>
      <c r="R81" s="1">
        <f>(Main_S[[#This Row],[ROA]]-VLOOKUP(Main_S[[#This Row],[Industry]], Mean_ROA_S, 2, FALSE))/(VLOOKUP(Main_S[[#This Row],[Industry]], Mean_ROA_S, 3, FALSE))</f>
        <v>-5.2297736976313258</v>
      </c>
      <c r="S81" s="1">
        <f>(Main_S[[#This Row],[A/E]]-VLOOKUP(Main_S[[#This Row],[Industry]], Mean_AE_S, 2, FALSE))/(VLOOKUP(Main_S[[#This Row],[Industry]], Mean_AE_S, 3, FALSE))</f>
        <v>4.680127793816542</v>
      </c>
      <c r="T81" s="1">
        <f>(Main_S[[#This Row],[P/E]]-VLOOKUP(Main_S[[#This Row],[Industry]], Mean_PE_S, 2, FALSE))/(VLOOKUP(Main_S[[#This Row],[Industry]], Mean_PE_S, 3, FALSE))</f>
        <v>9.5165431463842376E-2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7" t="s">
        <v>198</v>
      </c>
      <c r="B82" s="67" t="s">
        <v>480</v>
      </c>
      <c r="C82" s="2">
        <v>934</v>
      </c>
      <c r="D82">
        <f>RTD("tos.rtd", , "LAST", Main_S[[#This Row],[Symbol]])</f>
        <v>19.100000000000001</v>
      </c>
      <c r="E82">
        <v>-5.49</v>
      </c>
      <c r="F82">
        <v>49.16</v>
      </c>
      <c r="G82">
        <v>-5.04</v>
      </c>
      <c r="H82" s="1">
        <f>IF(ISNUMBER(Main_S[[#This Row],[Free CF]]),IF(Main_S[[#This Row],[Free CF]]&lt;&gt;0,Main_S[[#This Row],[Current Price]]/Main_S[[#This Row],[Free CF]],""),"")</f>
        <v>-3.4790528233151186</v>
      </c>
      <c r="I82" s="1">
        <f>IF(ISNUMBER(Main_S[[#This Row],[BVPS]]),IF(Main_S[[#This Row],[BVPS]]&lt;&gt;0,Main_S[[#This Row],[Current Price]]/Main_S[[#This Row],[BVPS]],""),"")</f>
        <v>0.38852725793327914</v>
      </c>
      <c r="J82">
        <v>-9.06</v>
      </c>
      <c r="K82">
        <v>-2.23</v>
      </c>
      <c r="L82">
        <v>6.64</v>
      </c>
      <c r="M82" s="1">
        <f>IF(ISNUMBER(Main_S[[#This Row],[EPS]]),IF(Main_S[[#This Row],[EPS]]&lt;&gt;0,Main_S[[#This Row],[Current Price]]/Main_S[[#This Row],[EPS]],""),"")</f>
        <v>-3.78968253968254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-0.58602913220993025</v>
      </c>
      <c r="P82" s="1">
        <f>(Main_S[[#This Row],[P/B]]-VLOOKUP(Main_S[[#This Row],[Industry]], Mean_PB_S, 2, FALSE))/(VLOOKUP(Main_S[[#This Row],[Industry]], Mean_PB_S, 3, FALSE))</f>
        <v>-1.0388201226617595</v>
      </c>
      <c r="Q82" s="1">
        <f>(Main_S[[#This Row],[ROE]]-VLOOKUP(Main_S[[#This Row],[Industry]], Mean_ROE_S, 2, FALSE))/(VLOOKUP(Main_S[[#This Row],[Industry]], Mean_ROE_S, 3, FALSE))</f>
        <v>-0.46087753722896474</v>
      </c>
      <c r="R82" s="1">
        <f>(Main_S[[#This Row],[ROA]]-VLOOKUP(Main_S[[#This Row],[Industry]], Mean_ROA_S, 2, FALSE))/(VLOOKUP(Main_S[[#This Row],[Industry]], Mean_ROA_S, 3, FALSE))</f>
        <v>-0.481363421148709</v>
      </c>
      <c r="S82" s="1">
        <f>(Main_S[[#This Row],[A/E]]-VLOOKUP(Main_S[[#This Row],[Industry]], Mean_AE_S, 2, FALSE))/(VLOOKUP(Main_S[[#This Row],[Industry]], Mean_AE_S, 3, FALSE))</f>
        <v>9.047333426699522</v>
      </c>
      <c r="T82" s="1">
        <f>(Main_S[[#This Row],[P/E]]-VLOOKUP(Main_S[[#This Row],[Industry]], Mean_PE_S, 2, FALSE))/(VLOOKUP(Main_S[[#This Row],[Industry]], Mean_PE_S, 3, FALSE))</f>
        <v>-5.6819070572794318E-2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s="67" t="s">
        <v>198</v>
      </c>
      <c r="B83" s="67" t="s">
        <v>465</v>
      </c>
      <c r="C83" s="2">
        <v>896</v>
      </c>
      <c r="D83">
        <f>RTD("tos.rtd", , "LAST", Main_S[[#This Row],[Symbol]])</f>
        <v>14.61</v>
      </c>
      <c r="E83">
        <v>-8.94</v>
      </c>
      <c r="F83">
        <v>64.67</v>
      </c>
      <c r="G83">
        <v>-6.51</v>
      </c>
      <c r="H83" s="1">
        <f>IF(ISNUMBER(Main_S[[#This Row],[Free CF]]),IF(Main_S[[#This Row],[Free CF]]&lt;&gt;0,Main_S[[#This Row],[Current Price]]/Main_S[[#This Row],[Free CF]],""),"")</f>
        <v>-1.6342281879194631</v>
      </c>
      <c r="I83" s="1">
        <f>IF(ISNUMBER(Main_S[[#This Row],[BVPS]]),IF(Main_S[[#This Row],[BVPS]]&lt;&gt;0,Main_S[[#This Row],[Current Price]]/Main_S[[#This Row],[BVPS]],""),"")</f>
        <v>0.2259161898871192</v>
      </c>
      <c r="J83">
        <v>-9.33</v>
      </c>
      <c r="K83">
        <v>-4.74</v>
      </c>
      <c r="L83">
        <v>1.46</v>
      </c>
      <c r="M83" s="1">
        <f>IF(ISNUMBER(Main_S[[#This Row],[EPS]]),IF(Main_S[[#This Row],[EPS]]&lt;&gt;0,Main_S[[#This Row],[Current Price]]/Main_S[[#This Row],[EPS]],""),"")</f>
        <v>-2.2442396313364057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-0.46175887137813731</v>
      </c>
      <c r="P83" s="1">
        <f>(Main_S[[#This Row],[P/B]]-VLOOKUP(Main_S[[#This Row],[Industry]], Mean_PB_S, 2, FALSE))/(VLOOKUP(Main_S[[#This Row],[Industry]], Mean_PB_S, 3, FALSE))</f>
        <v>-1.1510634556694797</v>
      </c>
      <c r="Q83" s="1">
        <f>(Main_S[[#This Row],[ROE]]-VLOOKUP(Main_S[[#This Row],[Industry]], Mean_ROE_S, 2, FALSE))/(VLOOKUP(Main_S[[#This Row],[Industry]], Mean_ROE_S, 3, FALSE))</f>
        <v>-0.47834776453449351</v>
      </c>
      <c r="R83" s="1">
        <f>(Main_S[[#This Row],[ROA]]-VLOOKUP(Main_S[[#This Row],[Industry]], Mean_ROA_S, 2, FALSE))/(VLOOKUP(Main_S[[#This Row],[Industry]], Mean_ROA_S, 3, FALSE))</f>
        <v>-1.0000104966043821</v>
      </c>
      <c r="S83" s="1">
        <f>(Main_S[[#This Row],[A/E]]-VLOOKUP(Main_S[[#This Row],[Industry]], Mean_AE_S, 2, FALSE))/(VLOOKUP(Main_S[[#This Row],[Industry]], Mean_AE_S, 3, FALSE))</f>
        <v>-0.41799091569957358</v>
      </c>
      <c r="T83" s="1">
        <f>(Main_S[[#This Row],[P/E]]-VLOOKUP(Main_S[[#This Row],[Industry]], Mean_PE_S, 2, FALSE))/(VLOOKUP(Main_S[[#This Row],[Industry]], Mean_PE_S, 3, FALSE))</f>
        <v>1.7143386862174842E-2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7" t="s">
        <v>198</v>
      </c>
      <c r="B84" s="67" t="s">
        <v>475</v>
      </c>
      <c r="C84" s="2">
        <v>705</v>
      </c>
      <c r="D84">
        <f>RTD("tos.rtd", , "LAST", Main_S[[#This Row],[Symbol]])</f>
        <v>11.03</v>
      </c>
      <c r="E84">
        <v>-39.96</v>
      </c>
      <c r="F84">
        <v>41.35</v>
      </c>
      <c r="G84">
        <v>-0.34</v>
      </c>
      <c r="H84" s="1">
        <f>IF(ISNUMBER(Main_S[[#This Row],[Free CF]]),IF(Main_S[[#This Row],[Free CF]]&lt;&gt;0,Main_S[[#This Row],[Current Price]]/Main_S[[#This Row],[Free CF]],""),"")</f>
        <v>-0.27602602602602599</v>
      </c>
      <c r="I84" s="1">
        <f>IF(ISNUMBER(Main_S[[#This Row],[BVPS]]),IF(Main_S[[#This Row],[BVPS]]&lt;&gt;0,Main_S[[#This Row],[Current Price]]/Main_S[[#This Row],[BVPS]],""),"")</f>
        <v>0.26674727932285364</v>
      </c>
      <c r="J84">
        <v>-4.91</v>
      </c>
      <c r="K84">
        <v>-7.0000000000000007E-2</v>
      </c>
      <c r="L84">
        <v>5.0199999999999996</v>
      </c>
      <c r="M84" s="1">
        <f>IF(ISNUMBER(Main_S[[#This Row],[EPS]]),IF(Main_S[[#This Row],[EPS]]&lt;&gt;0,Main_S[[#This Row],[Current Price]]/Main_S[[#This Row],[EPS]],""),"")</f>
        <v>-32.441176470588232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-0.37026825829631238</v>
      </c>
      <c r="P84" s="1">
        <f>(Main_S[[#This Row],[P/B]]-VLOOKUP(Main_S[[#This Row],[Industry]], Mean_PB_S, 2, FALSE))/(VLOOKUP(Main_S[[#This Row],[Industry]], Mean_PB_S, 3, FALSE))</f>
        <v>-1.1228795342201587</v>
      </c>
      <c r="Q84" s="1">
        <f>(Main_S[[#This Row],[ROE]]-VLOOKUP(Main_S[[#This Row],[Industry]], Mean_ROE_S, 2, FALSE))/(VLOOKUP(Main_S[[#This Row],[Industry]], Mean_ROE_S, 3, FALSE))</f>
        <v>-0.19235367308842963</v>
      </c>
      <c r="R84" s="1">
        <f>(Main_S[[#This Row],[ROA]]-VLOOKUP(Main_S[[#This Row],[Industry]], Mean_ROA_S, 2, FALSE))/(VLOOKUP(Main_S[[#This Row],[Industry]], Mean_ROA_S, 3, FALSE))</f>
        <v>-3.503765103546036E-2</v>
      </c>
      <c r="S84" s="1">
        <f>(Main_S[[#This Row],[A/E]]-VLOOKUP(Main_S[[#This Row],[Industry]], Mean_AE_S, 2, FALSE))/(VLOOKUP(Main_S[[#This Row],[Industry]], Mean_AE_S, 3, FALSE))</f>
        <v>6.087135466335325</v>
      </c>
      <c r="T84" s="1">
        <f>(Main_S[[#This Row],[P/E]]-VLOOKUP(Main_S[[#This Row],[Industry]], Mean_PE_S, 2, FALSE))/(VLOOKUP(Main_S[[#This Row],[Industry]], Mean_PE_S, 3, FALSE))</f>
        <v>-1.4280343311744916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7" t="s">
        <v>124</v>
      </c>
      <c r="B85" s="67" t="s">
        <v>365</v>
      </c>
      <c r="C85" s="2">
        <v>1237</v>
      </c>
      <c r="D85">
        <f>RTD("tos.rtd", , "LAST", Main_S[[#This Row],[Symbol]])</f>
        <v>64.3</v>
      </c>
      <c r="H85" s="1" t="str">
        <f>IF(ISNUMBER(Main_S[[#This Row],[Free CF]]),IF(Main_S[[#This Row],[Free CF]]&lt;&gt;0,Main_S[[#This Row],[Current Price]]/Main_S[[#This Row],[Free CF]],""),"")</f>
        <v/>
      </c>
      <c r="I85" s="1" t="str">
        <f>IF(ISNUMBER(Main_S[[#This Row],[BVPS]]),IF(Main_S[[#This Row],[BVPS]]&lt;&gt;0,Main_S[[#This Row],[Current Price]]/Main_S[[#This Row],[BVPS]],""),"")</f>
        <v/>
      </c>
      <c r="J85">
        <v>22.93</v>
      </c>
      <c r="K85">
        <v>-395.93</v>
      </c>
      <c r="L85">
        <v>-7.0000000000000007E-2</v>
      </c>
      <c r="M85" s="1" t="str">
        <f>IF(ISNUMBER(Main_S[[#This Row],[EPS]]),IF(Main_S[[#This Row],[EPS]]&lt;&gt;0,Main_S[[#This Row],[Current Price]]/Main_S[[#This Row],[EPS]],""),"")</f>
        <v/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 t="e">
        <f>(Main_S[[#This Row],[P/FCF]]-VLOOKUP(Main_S[[#This Row],[Industry]], Mean_PFCF_S, 2, FALSE))/(VLOOKUP(Main_S[[#This Row],[Industry]], Mean_PFCF_S, 3, FALSE))</f>
        <v>#VALUE!</v>
      </c>
      <c r="P85" s="1" t="e">
        <f>(Main_S[[#This Row],[P/B]]-VLOOKUP(Main_S[[#This Row],[Industry]], Mean_PB_S, 2, FALSE))/(VLOOKUP(Main_S[[#This Row],[Industry]], Mean_PB_S, 3, FALSE))</f>
        <v>#VALUE!</v>
      </c>
      <c r="Q85" s="1">
        <f>(Main_S[[#This Row],[ROE]]-VLOOKUP(Main_S[[#This Row],[Industry]], Mean_ROE_S, 2, FALSE))/(VLOOKUP(Main_S[[#This Row],[Industry]], Mean_ROE_S, 3, FALSE))</f>
        <v>0.7816979130390026</v>
      </c>
      <c r="R85" s="1">
        <f>(Main_S[[#This Row],[ROA]]-VLOOKUP(Main_S[[#This Row],[Industry]], Mean_ROA_S, 2, FALSE))/(VLOOKUP(Main_S[[#This Row],[Industry]], Mean_ROA_S, 3, FALSE))</f>
        <v>-52.476177570078235</v>
      </c>
      <c r="S85" s="1">
        <f>(Main_S[[#This Row],[A/E]]-VLOOKUP(Main_S[[#This Row],[Industry]], Mean_AE_S, 2, FALSE))/(VLOOKUP(Main_S[[#This Row],[Industry]], Mean_AE_S, 3, FALSE))</f>
        <v>-1.6628753375395076</v>
      </c>
      <c r="T85" s="1" t="e">
        <f>(Main_S[[#This Row],[P/E]]-VLOOKUP(Main_S[[#This Row],[Industry]], Mean_PE_S, 2, FALSE))/(VLOOKUP(Main_S[[#This Row],[Industry]], Mean_PE_S, 3, FALSE))</f>
        <v>#VALUE!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6" spans="1:26" x14ac:dyDescent="0.25">
      <c r="A86" s="67" t="s">
        <v>124</v>
      </c>
      <c r="B86" s="67" t="s">
        <v>366</v>
      </c>
      <c r="C86" s="2">
        <v>580</v>
      </c>
      <c r="D86">
        <f>RTD("tos.rtd", , "LAST", Main_S[[#This Row],[Symbol]])</f>
        <v>422.3</v>
      </c>
      <c r="E86">
        <v>4.5999999999999996</v>
      </c>
      <c r="F86">
        <v>242.8</v>
      </c>
      <c r="G86">
        <v>76.72</v>
      </c>
      <c r="H86" s="1">
        <f>IF(ISNUMBER(Main_S[[#This Row],[Free CF]]),IF(Main_S[[#This Row],[Free CF]]&lt;&gt;0,Main_S[[#This Row],[Current Price]]/Main_S[[#This Row],[Free CF]],""),"")</f>
        <v>91.804347826086968</v>
      </c>
      <c r="I86" s="1">
        <f>IF(ISNUMBER(Main_S[[#This Row],[BVPS]]),IF(Main_S[[#This Row],[BVPS]]&lt;&gt;0,Main_S[[#This Row],[Current Price]]/Main_S[[#This Row],[BVPS]],""),"")</f>
        <v>1.7392915980230643</v>
      </c>
      <c r="J86">
        <v>37.54</v>
      </c>
      <c r="K86">
        <v>1.05</v>
      </c>
      <c r="L86">
        <v>1.4</v>
      </c>
      <c r="M86" s="1">
        <f>IF(ISNUMBER(Main_S[[#This Row],[EPS]]),IF(Main_S[[#This Row],[EPS]]&lt;&gt;0,Main_S[[#This Row],[Current Price]]/Main_S[[#This Row],[EPS]],""),"")</f>
        <v>5.5044316996871743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3.5777095479781722</v>
      </c>
      <c r="P86" s="1">
        <f>(Main_S[[#This Row],[P/B]]-VLOOKUP(Main_S[[#This Row],[Industry]], Mean_PB_S, 2, FALSE))/(VLOOKUP(Main_S[[#This Row],[Industry]], Mean_PB_S, 3, FALSE))</f>
        <v>-0.69631117816421528</v>
      </c>
      <c r="Q86" s="1">
        <f>(Main_S[[#This Row],[ROE]]-VLOOKUP(Main_S[[#This Row],[Industry]], Mean_ROE_S, 2, FALSE))/(VLOOKUP(Main_S[[#This Row],[Industry]], Mean_ROE_S, 3, FALSE))</f>
        <v>1.1450498799350004</v>
      </c>
      <c r="R86" s="1">
        <f>(Main_S[[#This Row],[ROA]]-VLOOKUP(Main_S[[#This Row],[Industry]], Mean_ROA_S, 2, FALSE))/(VLOOKUP(Main_S[[#This Row],[Industry]], Mean_ROA_S, 3, FALSE))</f>
        <v>0.16444745549899845</v>
      </c>
      <c r="S86" s="1">
        <f>(Main_S[[#This Row],[A/E]]-VLOOKUP(Main_S[[#This Row],[Industry]], Mean_AE_S, 2, FALSE))/(VLOOKUP(Main_S[[#This Row],[Industry]], Mean_AE_S, 3, FALSE))</f>
        <v>-0.43941777031180562</v>
      </c>
      <c r="T86" s="1">
        <f>(Main_S[[#This Row],[P/E]]-VLOOKUP(Main_S[[#This Row],[Industry]], Mean_PE_S, 2, FALSE))/(VLOOKUP(Main_S[[#This Row],[Industry]], Mean_PE_S, 3, FALSE))</f>
        <v>0.3019767451339449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7" t="s">
        <v>124</v>
      </c>
      <c r="B87" s="67" t="s">
        <v>360</v>
      </c>
      <c r="C87" s="2">
        <v>429</v>
      </c>
      <c r="D87">
        <f>RTD("tos.rtd", , "LAST", Main_S[[#This Row],[Symbol]])</f>
        <v>22.88</v>
      </c>
      <c r="E87">
        <v>4.46</v>
      </c>
      <c r="F87">
        <v>-2.5299999999999998</v>
      </c>
      <c r="G87">
        <v>4.32</v>
      </c>
      <c r="H87" s="1">
        <f>IF(ISNUMBER(Main_S[[#This Row],[Free CF]]),IF(Main_S[[#This Row],[Free CF]]&lt;&gt;0,Main_S[[#This Row],[Current Price]]/Main_S[[#This Row],[Free CF]],""),"")</f>
        <v>5.1300448430493271</v>
      </c>
      <c r="I87" s="1">
        <f>IF(ISNUMBER(Main_S[[#This Row],[BVPS]]),IF(Main_S[[#This Row],[BVPS]]&lt;&gt;0,Main_S[[#This Row],[Current Price]]/Main_S[[#This Row],[BVPS]],""),"")</f>
        <v>-9.0434782608695663</v>
      </c>
      <c r="J87">
        <v>-83.72</v>
      </c>
      <c r="K87">
        <v>14.92</v>
      </c>
      <c r="L87">
        <v>-12.76</v>
      </c>
      <c r="M87" s="1">
        <f>IF(ISNUMBER(Main_S[[#This Row],[EPS]]),IF(Main_S[[#This Row],[EPS]]&lt;&gt;0,Main_S[[#This Row],[Current Price]]/Main_S[[#This Row],[EPS]],""),"")</f>
        <v>5.2962962962962958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-0.27879927589962339</v>
      </c>
      <c r="P87" s="1">
        <f>(Main_S[[#This Row],[P/B]]-VLOOKUP(Main_S[[#This Row],[Industry]], Mean_PB_S, 2, FALSE))/(VLOOKUP(Main_S[[#This Row],[Industry]], Mean_PB_S, 3, FALSE))</f>
        <v>-3.5340825527069595</v>
      </c>
      <c r="Q87" s="1">
        <f>(Main_S[[#This Row],[ROE]]-VLOOKUP(Main_S[[#This Row],[Industry]], Mean_ROE_S, 2, FALSE))/(VLOOKUP(Main_S[[#This Row],[Industry]], Mean_ROE_S, 3, FALSE))</f>
        <v>-1.8706968350416378</v>
      </c>
      <c r="R87" s="1">
        <f>(Main_S[[#This Row],[ROA]]-VLOOKUP(Main_S[[#This Row],[Industry]], Mean_ROA_S, 2, FALSE))/(VLOOKUP(Main_S[[#This Row],[Industry]], Mean_ROA_S, 3, FALSE))</f>
        <v>2.0036470854671489</v>
      </c>
      <c r="S87" s="1">
        <f>(Main_S[[#This Row],[A/E]]-VLOOKUP(Main_S[[#This Row],[Industry]], Mean_AE_S, 2, FALSE))/(VLOOKUP(Main_S[[#This Row],[Industry]], Mean_AE_S, 3, FALSE))</f>
        <v>-12.224560050545996</v>
      </c>
      <c r="T87" s="1">
        <f>(Main_S[[#This Row],[P/E]]-VLOOKUP(Main_S[[#This Row],[Industry]], Mean_PE_S, 2, FALSE))/(VLOOKUP(Main_S[[#This Row],[Industry]], Mean_PE_S, 3, FALSE))</f>
        <v>0.29514587515535762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7" t="s">
        <v>124</v>
      </c>
      <c r="B88" s="67" t="s">
        <v>380</v>
      </c>
      <c r="C88" s="2">
        <v>1715</v>
      </c>
      <c r="D88">
        <f>RTD("tos.rtd", , "LAST", Main_S[[#This Row],[Symbol]])</f>
        <v>57.5</v>
      </c>
      <c r="E88">
        <v>3.34</v>
      </c>
      <c r="F88">
        <v>5.54</v>
      </c>
      <c r="G88">
        <v>1.59</v>
      </c>
      <c r="H88" s="1">
        <f>IF(ISNUMBER(Main_S[[#This Row],[Free CF]]),IF(Main_S[[#This Row],[Free CF]]&lt;&gt;0,Main_S[[#This Row],[Current Price]]/Main_S[[#This Row],[Free CF]],""),"")</f>
        <v>17.21556886227545</v>
      </c>
      <c r="I88" s="1">
        <f>IF(ISNUMBER(Main_S[[#This Row],[BVPS]]),IF(Main_S[[#This Row],[BVPS]]&lt;&gt;0,Main_S[[#This Row],[Current Price]]/Main_S[[#This Row],[BVPS]],""),"")</f>
        <v>10.379061371841155</v>
      </c>
      <c r="J88">
        <v>30</v>
      </c>
      <c r="K88">
        <v>17.48</v>
      </c>
      <c r="L88">
        <v>1.59</v>
      </c>
      <c r="M88" s="1">
        <f>IF(ISNUMBER(Main_S[[#This Row],[EPS]]),IF(Main_S[[#This Row],[EPS]]&lt;&gt;0,Main_S[[#This Row],[Current Price]]/Main_S[[#This Row],[EPS]],""),"")</f>
        <v>36.163522012578618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0.25893715136018236</v>
      </c>
      <c r="P88" s="1">
        <f>(Main_S[[#This Row],[P/B]]-VLOOKUP(Main_S[[#This Row],[Industry]], Mean_PB_S, 2, FALSE))/(VLOOKUP(Main_S[[#This Row],[Industry]], Mean_PB_S, 3, FALSE))</f>
        <v>1.5774729856107998</v>
      </c>
      <c r="Q88" s="1">
        <f>(Main_S[[#This Row],[ROE]]-VLOOKUP(Main_S[[#This Row],[Industry]], Mean_ROE_S, 2, FALSE))/(VLOOKUP(Main_S[[#This Row],[Industry]], Mean_ROE_S, 3, FALSE))</f>
        <v>0.95752942610913983</v>
      </c>
      <c r="R88" s="1">
        <f>(Main_S[[#This Row],[ROA]]-VLOOKUP(Main_S[[#This Row],[Industry]], Mean_ROA_S, 2, FALSE))/(VLOOKUP(Main_S[[#This Row],[Industry]], Mean_ROA_S, 3, FALSE))</f>
        <v>2.3431100308686243</v>
      </c>
      <c r="S88" s="1">
        <f>(Main_S[[#This Row],[A/E]]-VLOOKUP(Main_S[[#This Row],[Industry]], Mean_AE_S, 2, FALSE))/(VLOOKUP(Main_S[[#This Row],[Industry]], Mean_AE_S, 3, FALSE))</f>
        <v>-0.28128379903747669</v>
      </c>
      <c r="T88" s="1">
        <f>(Main_S[[#This Row],[P/E]]-VLOOKUP(Main_S[[#This Row],[Industry]], Mean_PE_S, 2, FALSE))/(VLOOKUP(Main_S[[#This Row],[Industry]], Mean_PE_S, 3, FALSE))</f>
        <v>1.3081883563119761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7" t="s">
        <v>124</v>
      </c>
      <c r="B89" s="67" t="s">
        <v>418</v>
      </c>
      <c r="C89" s="2">
        <v>1474</v>
      </c>
      <c r="D89">
        <f>RTD("tos.rtd", , "LAST", Main_S[[#This Row],[Symbol]])</f>
        <v>23.61</v>
      </c>
      <c r="E89">
        <v>2.4</v>
      </c>
      <c r="F89">
        <v>0.82</v>
      </c>
      <c r="G89">
        <v>0.41</v>
      </c>
      <c r="H89" s="1">
        <f>IF(ISNUMBER(Main_S[[#This Row],[Free CF]]),IF(Main_S[[#This Row],[Free CF]]&lt;&gt;0,Main_S[[#This Row],[Current Price]]/Main_S[[#This Row],[Free CF]],""),"")</f>
        <v>9.8375000000000004</v>
      </c>
      <c r="I89" s="1">
        <f>IF(ISNUMBER(Main_S[[#This Row],[BVPS]]),IF(Main_S[[#This Row],[BVPS]]&lt;&gt;0,Main_S[[#This Row],[Current Price]]/Main_S[[#This Row],[BVPS]],""),"")</f>
        <v>28.792682926829269</v>
      </c>
      <c r="J89">
        <v>-155.51</v>
      </c>
      <c r="K89">
        <v>1.03</v>
      </c>
      <c r="L89">
        <v>31.2</v>
      </c>
      <c r="M89" s="1">
        <f>IF(ISNUMBER(Main_S[[#This Row],[EPS]]),IF(Main_S[[#This Row],[EPS]]&lt;&gt;0,Main_S[[#This Row],[Current Price]]/Main_S[[#This Row],[EPS]],""),"")</f>
        <v>57.585365853658537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-6.9344550266096802E-2</v>
      </c>
      <c r="P89" s="1">
        <f>(Main_S[[#This Row],[P/B]]-VLOOKUP(Main_S[[#This Row],[Industry]], Mean_PB_S, 2, FALSE))/(VLOOKUP(Main_S[[#This Row],[Industry]], Mean_PB_S, 3, FALSE))</f>
        <v>6.4235050195148293</v>
      </c>
      <c r="Q89" s="1">
        <f>(Main_S[[#This Row],[ROE]]-VLOOKUP(Main_S[[#This Row],[Industry]], Mean_ROE_S, 2, FALSE))/(VLOOKUP(Main_S[[#This Row],[Industry]], Mean_ROE_S, 3, FALSE))</f>
        <v>-3.6561203602616019</v>
      </c>
      <c r="R89" s="1">
        <f>(Main_S[[#This Row],[ROA]]-VLOOKUP(Main_S[[#This Row],[Industry]], Mean_ROA_S, 2, FALSE))/(VLOOKUP(Main_S[[#This Row],[Industry]], Mean_ROA_S, 3, FALSE))</f>
        <v>0.16179540123804942</v>
      </c>
      <c r="S89" s="1">
        <f>(Main_S[[#This Row],[A/E]]-VLOOKUP(Main_S[[#This Row],[Industry]], Mean_AE_S, 2, FALSE))/(VLOOKUP(Main_S[[#This Row],[Industry]], Mean_AE_S, 3, FALSE))</f>
        <v>24.362647197977662</v>
      </c>
      <c r="T89" s="1">
        <f>(Main_S[[#This Row],[P/E]]-VLOOKUP(Main_S[[#This Row],[Industry]], Mean_PE_S, 2, FALSE))/(VLOOKUP(Main_S[[#This Row],[Industry]], Mean_PE_S, 3, FALSE))</f>
        <v>2.0112394835880476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s="67" t="s">
        <v>124</v>
      </c>
      <c r="B90" s="67" t="s">
        <v>406</v>
      </c>
      <c r="C90" s="2">
        <v>1057</v>
      </c>
      <c r="D90">
        <f>RTD("tos.rtd", , "LAST", Main_S[[#This Row],[Symbol]])</f>
        <v>19.11</v>
      </c>
      <c r="E90">
        <v>1.77</v>
      </c>
      <c r="F90">
        <v>14.27</v>
      </c>
      <c r="G90">
        <v>1.04</v>
      </c>
      <c r="H90" s="1">
        <f>IF(ISNUMBER(Main_S[[#This Row],[Free CF]]),IF(Main_S[[#This Row],[Free CF]]&lt;&gt;0,Main_S[[#This Row],[Current Price]]/Main_S[[#This Row],[Free CF]],""),"")</f>
        <v>10.796610169491524</v>
      </c>
      <c r="I90" s="1">
        <f>IF(ISNUMBER(Main_S[[#This Row],[BVPS]]),IF(Main_S[[#This Row],[BVPS]]&lt;&gt;0,Main_S[[#This Row],[Current Price]]/Main_S[[#This Row],[BVPS]],""),"")</f>
        <v>1.3391730903994394</v>
      </c>
      <c r="J90">
        <v>6.41</v>
      </c>
      <c r="K90">
        <v>3.2</v>
      </c>
      <c r="L90">
        <v>2.58</v>
      </c>
      <c r="M90" s="1">
        <f>IF(ISNUMBER(Main_S[[#This Row],[EPS]]),IF(Main_S[[#This Row],[EPS]]&lt;&gt;0,Main_S[[#This Row],[Current Price]]/Main_S[[#This Row],[EPS]],""),"")</f>
        <v>18.375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-2.6669654657892637E-2</v>
      </c>
      <c r="P90" s="1">
        <f>(Main_S[[#This Row],[P/B]]-VLOOKUP(Main_S[[#This Row],[Industry]], Mean_PB_S, 2, FALSE))/(VLOOKUP(Main_S[[#This Row],[Industry]], Mean_PB_S, 3, FALSE))</f>
        <v>-0.80161295704088087</v>
      </c>
      <c r="Q90" s="1">
        <f>(Main_S[[#This Row],[ROE]]-VLOOKUP(Main_S[[#This Row],[Industry]], Mean_ROE_S, 2, FALSE))/(VLOOKUP(Main_S[[#This Row],[Industry]], Mean_ROE_S, 3, FALSE))</f>
        <v>0.37084408051868212</v>
      </c>
      <c r="R90" s="1">
        <f>(Main_S[[#This Row],[ROA]]-VLOOKUP(Main_S[[#This Row],[Industry]], Mean_ROA_S, 2, FALSE))/(VLOOKUP(Main_S[[#This Row],[Industry]], Mean_ROA_S, 3, FALSE))</f>
        <v>0.44954328855101883</v>
      </c>
      <c r="S90" s="1">
        <f>(Main_S[[#This Row],[A/E]]-VLOOKUP(Main_S[[#This Row],[Industry]], Mean_AE_S, 2, FALSE))/(VLOOKUP(Main_S[[#This Row],[Industry]], Mean_AE_S, 3, FALSE))</f>
        <v>0.54267741970771033</v>
      </c>
      <c r="T90" s="1">
        <f>(Main_S[[#This Row],[P/E]]-VLOOKUP(Main_S[[#This Row],[Industry]], Mean_PE_S, 2, FALSE))/(VLOOKUP(Main_S[[#This Row],[Industry]], Mean_PE_S, 3, FALSE))</f>
        <v>0.72438051295836958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7" t="s">
        <v>124</v>
      </c>
      <c r="B91" s="67" t="s">
        <v>412</v>
      </c>
      <c r="C91" s="2">
        <v>1393</v>
      </c>
      <c r="D91">
        <f>RTD("tos.rtd", , "LAST", Main_S[[#This Row],[Symbol]])</f>
        <v>13.75</v>
      </c>
      <c r="E91">
        <v>1.69</v>
      </c>
      <c r="F91">
        <v>3.59</v>
      </c>
      <c r="G91">
        <v>0.66</v>
      </c>
      <c r="H91" s="1">
        <f>IF(ISNUMBER(Main_S[[#This Row],[Free CF]]),IF(Main_S[[#This Row],[Free CF]]&lt;&gt;0,Main_S[[#This Row],[Current Price]]/Main_S[[#This Row],[Free CF]],""),"")</f>
        <v>8.1360946745562135</v>
      </c>
      <c r="I91" s="1">
        <f>IF(ISNUMBER(Main_S[[#This Row],[BVPS]]),IF(Main_S[[#This Row],[BVPS]]&lt;&gt;0,Main_S[[#This Row],[Current Price]]/Main_S[[#This Row],[BVPS]],""),"")</f>
        <v>3.8300835654596104</v>
      </c>
      <c r="J91">
        <v>20.43</v>
      </c>
      <c r="K91">
        <v>8.58</v>
      </c>
      <c r="L91">
        <v>2.79</v>
      </c>
      <c r="M91" s="1">
        <f>IF(ISNUMBER(Main_S[[#This Row],[EPS]]),IF(Main_S[[#This Row],[EPS]]&lt;&gt;0,Main_S[[#This Row],[Current Price]]/Main_S[[#This Row],[EPS]],""),"")</f>
        <v>20.833333333333332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-0.14504731826932762</v>
      </c>
      <c r="P91" s="1">
        <f>(Main_S[[#This Row],[P/B]]-VLOOKUP(Main_S[[#This Row],[Industry]], Mean_PB_S, 2, FALSE))/(VLOOKUP(Main_S[[#This Row],[Industry]], Mean_PB_S, 3, FALSE))</f>
        <v>-0.14606391582260192</v>
      </c>
      <c r="Q91" s="1">
        <f>(Main_S[[#This Row],[ROE]]-VLOOKUP(Main_S[[#This Row],[Industry]], Mean_ROE_S, 2, FALSE))/(VLOOKUP(Main_S[[#This Row],[Industry]], Mean_ROE_S, 3, FALSE))</f>
        <v>0.71952269625323984</v>
      </c>
      <c r="R91" s="1">
        <f>(Main_S[[#This Row],[ROA]]-VLOOKUP(Main_S[[#This Row],[Industry]], Mean_ROA_S, 2, FALSE))/(VLOOKUP(Main_S[[#This Row],[Industry]], Mean_ROA_S, 3, FALSE))</f>
        <v>1.1629458847463072</v>
      </c>
      <c r="S91" s="1">
        <f>(Main_S[[#This Row],[A/E]]-VLOOKUP(Main_S[[#This Row],[Industry]], Mean_AE_S, 2, FALSE))/(VLOOKUP(Main_S[[#This Row],[Industry]], Mean_AE_S, 3, FALSE))</f>
        <v>0.71745707216881061</v>
      </c>
      <c r="T91" s="1">
        <f>(Main_S[[#This Row],[P/E]]-VLOOKUP(Main_S[[#This Row],[Industry]], Mean_PE_S, 2, FALSE))/(VLOOKUP(Main_S[[#This Row],[Industry]], Mean_PE_S, 3, FALSE))</f>
        <v>0.80506143071886471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7" t="s">
        <v>124</v>
      </c>
      <c r="B92" s="67" t="s">
        <v>499</v>
      </c>
      <c r="C92" s="2">
        <v>1052</v>
      </c>
      <c r="D92">
        <f>RTD("tos.rtd", , "LAST", Main_S[[#This Row],[Symbol]])</f>
        <v>17.04</v>
      </c>
      <c r="E92">
        <v>1.64</v>
      </c>
      <c r="F92">
        <v>7.6</v>
      </c>
      <c r="G92">
        <v>1.06</v>
      </c>
      <c r="H92" s="1">
        <f>IF(ISNUMBER(Main_S[[#This Row],[Free CF]]),IF(Main_S[[#This Row],[Free CF]]&lt;&gt;0,Main_S[[#This Row],[Current Price]]/Main_S[[#This Row],[Free CF]],""),"")</f>
        <v>10.390243902439025</v>
      </c>
      <c r="I92" s="1">
        <f>IF(ISNUMBER(Main_S[[#This Row],[BVPS]]),IF(Main_S[[#This Row],[BVPS]]&lt;&gt;0,Main_S[[#This Row],[Current Price]]/Main_S[[#This Row],[BVPS]],""),"")</f>
        <v>2.2421052631578946</v>
      </c>
      <c r="J92">
        <v>14.61</v>
      </c>
      <c r="K92">
        <v>7.14</v>
      </c>
      <c r="L92">
        <v>1.43</v>
      </c>
      <c r="M92" s="1">
        <f>IF(ISNUMBER(Main_S[[#This Row],[EPS]]),IF(Main_S[[#This Row],[EPS]]&lt;&gt;0,Main_S[[#This Row],[Current Price]]/Main_S[[#This Row],[EPS]],""),"")</f>
        <v>16.075471698113205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92" s="1">
        <f>(Main_S[[#This Row],[P/FCF]]-VLOOKUP(Main_S[[#This Row],[Industry]], Mean_PFCF_S, 2, FALSE))/(VLOOKUP(Main_S[[#This Row],[Industry]], Mean_PFCF_S, 3, FALSE))</f>
        <v>-4.4750620303742029E-2</v>
      </c>
      <c r="P92" s="1">
        <f>(Main_S[[#This Row],[P/B]]-VLOOKUP(Main_S[[#This Row],[Industry]], Mean_PB_S, 2, FALSE))/(VLOOKUP(Main_S[[#This Row],[Industry]], Mean_PB_S, 3, FALSE))</f>
        <v>-0.56398244961662503</v>
      </c>
      <c r="Q92" s="1">
        <f>(Main_S[[#This Row],[ROE]]-VLOOKUP(Main_S[[#This Row],[Industry]], Mean_ROE_S, 2, FALSE))/(VLOOKUP(Main_S[[#This Row],[Industry]], Mean_ROE_S, 3, FALSE))</f>
        <v>0.57477879157598399</v>
      </c>
      <c r="R92" s="1">
        <f>(Main_S[[#This Row],[ROA]]-VLOOKUP(Main_S[[#This Row],[Industry]], Mean_ROA_S, 2, FALSE))/(VLOOKUP(Main_S[[#This Row],[Industry]], Mean_ROA_S, 3, FALSE))</f>
        <v>0.97199797795797704</v>
      </c>
      <c r="S92" s="1">
        <f>(Main_S[[#This Row],[A/E]]-VLOOKUP(Main_S[[#This Row],[Industry]], Mean_AE_S, 2, FALSE))/(VLOOKUP(Main_S[[#This Row],[Industry]], Mean_AE_S, 3, FALSE))</f>
        <v>-0.41444924853164844</v>
      </c>
      <c r="T92" s="1">
        <f>(Main_S[[#This Row],[P/E]]-VLOOKUP(Main_S[[#This Row],[Industry]], Mean_PE_S, 2, FALSE))/(VLOOKUP(Main_S[[#This Row],[Industry]], Mean_PE_S, 3, FALSE))</f>
        <v>0.64891147411940275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s="67" t="s">
        <v>124</v>
      </c>
      <c r="B93" s="67" t="s">
        <v>417</v>
      </c>
      <c r="C93" s="2">
        <v>995</v>
      </c>
      <c r="D93">
        <f>RTD("tos.rtd", , "LAST", Main_S[[#This Row],[Symbol]])</f>
        <v>24.58</v>
      </c>
      <c r="E93">
        <v>1.62</v>
      </c>
      <c r="F93">
        <v>7.62</v>
      </c>
      <c r="G93">
        <v>0.27</v>
      </c>
      <c r="H93" s="1">
        <f>IF(ISNUMBER(Main_S[[#This Row],[Free CF]]),IF(Main_S[[#This Row],[Free CF]]&lt;&gt;0,Main_S[[#This Row],[Current Price]]/Main_S[[#This Row],[Free CF]],""),"")</f>
        <v>15.172839506172837</v>
      </c>
      <c r="I93" s="1">
        <f>IF(ISNUMBER(Main_S[[#This Row],[BVPS]]),IF(Main_S[[#This Row],[BVPS]]&lt;&gt;0,Main_S[[#This Row],[Current Price]]/Main_S[[#This Row],[BVPS]],""),"")</f>
        <v>3.2257217847769026</v>
      </c>
      <c r="J93">
        <v>3.34</v>
      </c>
      <c r="K93">
        <v>0.06</v>
      </c>
      <c r="L93">
        <v>1.99</v>
      </c>
      <c r="M93" s="1">
        <f>IF(ISNUMBER(Main_S[[#This Row],[EPS]]),IF(Main_S[[#This Row],[EPS]]&lt;&gt;0,Main_S[[#This Row],[Current Price]]/Main_S[[#This Row],[EPS]],""),"")</f>
        <v>91.037037037037024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0.16804742377684501</v>
      </c>
      <c r="P93" s="1">
        <f>(Main_S[[#This Row],[P/B]]-VLOOKUP(Main_S[[#This Row],[Industry]], Mean_PB_S, 2, FALSE))/(VLOOKUP(Main_S[[#This Row],[Industry]], Mean_PB_S, 3, FALSE))</f>
        <v>-0.3051177195792184</v>
      </c>
      <c r="Q93" s="1">
        <f>(Main_S[[#This Row],[ROE]]-VLOOKUP(Main_S[[#This Row],[Industry]], Mean_ROE_S, 2, FALSE))/(VLOOKUP(Main_S[[#This Row],[Industry]], Mean_ROE_S, 3, FALSE))</f>
        <v>0.29449291430576541</v>
      </c>
      <c r="R93" s="1">
        <f>(Main_S[[#This Row],[ROA]]-VLOOKUP(Main_S[[#This Row],[Industry]], Mean_ROA_S, 2, FALSE))/(VLOOKUP(Main_S[[#This Row],[Industry]], Mean_ROA_S, 3, FALSE))</f>
        <v>3.31707695820216E-2</v>
      </c>
      <c r="S93" s="1">
        <f>(Main_S[[#This Row],[A/E]]-VLOOKUP(Main_S[[#This Row],[Industry]], Mean_AE_S, 2, FALSE))/(VLOOKUP(Main_S[[#This Row],[Industry]], Mean_AE_S, 3, FALSE))</f>
        <v>5.162982469795234E-2</v>
      </c>
      <c r="T93" s="1">
        <f>(Main_S[[#This Row],[P/E]]-VLOOKUP(Main_S[[#This Row],[Industry]], Mean_PE_S, 2, FALSE))/(VLOOKUP(Main_S[[#This Row],[Industry]], Mean_PE_S, 3, FALSE))</f>
        <v>3.1091018015666068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4" spans="1:26" x14ac:dyDescent="0.25">
      <c r="A94" s="67" t="s">
        <v>124</v>
      </c>
      <c r="B94" s="67" t="s">
        <v>500</v>
      </c>
      <c r="C94" s="2">
        <v>1783</v>
      </c>
      <c r="D94">
        <f>RTD("tos.rtd", , "LAST", Main_S[[#This Row],[Symbol]])</f>
        <v>6.01</v>
      </c>
      <c r="E94">
        <v>1.59</v>
      </c>
      <c r="F94">
        <v>0.73</v>
      </c>
      <c r="G94">
        <v>0.88</v>
      </c>
      <c r="H94" s="1">
        <f>IF(ISNUMBER(Main_S[[#This Row],[Free CF]]),IF(Main_S[[#This Row],[Free CF]]&lt;&gt;0,Main_S[[#This Row],[Current Price]]/Main_S[[#This Row],[Free CF]],""),"")</f>
        <v>3.7798742138364778</v>
      </c>
      <c r="I94" s="1">
        <f>IF(ISNUMBER(Main_S[[#This Row],[BVPS]]),IF(Main_S[[#This Row],[BVPS]]&lt;&gt;0,Main_S[[#This Row],[Current Price]]/Main_S[[#This Row],[BVPS]],""),"")</f>
        <v>8.2328767123287676</v>
      </c>
      <c r="J94">
        <v>165.16</v>
      </c>
      <c r="K94">
        <v>9.44</v>
      </c>
      <c r="L94">
        <v>17.59</v>
      </c>
      <c r="M94" s="1">
        <f>IF(ISNUMBER(Main_S[[#This Row],[EPS]]),IF(Main_S[[#This Row],[EPS]]&lt;&gt;0,Main_S[[#This Row],[Current Price]]/Main_S[[#This Row],[EPS]],""),"")</f>
        <v>6.8295454545454541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-0.33887411660897415</v>
      </c>
      <c r="P94" s="1">
        <f>(Main_S[[#This Row],[P/B]]-VLOOKUP(Main_S[[#This Row],[Industry]], Mean_PB_S, 2, FALSE))/(VLOOKUP(Main_S[[#This Row],[Industry]], Mean_PB_S, 3, FALSE))</f>
        <v>1.0126476697644973</v>
      </c>
      <c r="Q94" s="1">
        <f>(Main_S[[#This Row],[ROE]]-VLOOKUP(Main_S[[#This Row],[Industry]], Mean_ROE_S, 2, FALSE))/(VLOOKUP(Main_S[[#This Row],[Industry]], Mean_ROE_S, 3, FALSE))</f>
        <v>4.318970346414619</v>
      </c>
      <c r="R94" s="1">
        <f>(Main_S[[#This Row],[ROA]]-VLOOKUP(Main_S[[#This Row],[Industry]], Mean_ROA_S, 2, FALSE))/(VLOOKUP(Main_S[[#This Row],[Industry]], Mean_ROA_S, 3, FALSE))</f>
        <v>1.2769842179671151</v>
      </c>
      <c r="S94" s="1">
        <f>(Main_S[[#This Row],[A/E]]-VLOOKUP(Main_S[[#This Row],[Industry]], Mean_AE_S, 2, FALSE))/(VLOOKUP(Main_S[[#This Row],[Industry]], Mean_AE_S, 3, FALSE))</f>
        <v>13.035261150379686</v>
      </c>
      <c r="T94" s="1">
        <f>(Main_S[[#This Row],[P/E]]-VLOOKUP(Main_S[[#This Row],[Industry]], Mean_PE_S, 2, FALSE))/(VLOOKUP(Main_S[[#This Row],[Industry]], Mean_PE_S, 3, FALSE))</f>
        <v>0.34546612569490304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7" t="s">
        <v>124</v>
      </c>
      <c r="B95" s="67" t="s">
        <v>402</v>
      </c>
      <c r="C95" s="2">
        <v>1604</v>
      </c>
      <c r="D95">
        <f>RTD("tos.rtd", , "LAST", Main_S[[#This Row],[Symbol]])</f>
        <v>30.03</v>
      </c>
      <c r="E95">
        <v>1.41</v>
      </c>
      <c r="F95">
        <v>8.24</v>
      </c>
      <c r="G95">
        <v>1.3</v>
      </c>
      <c r="H95" s="1">
        <f>IF(ISNUMBER(Main_S[[#This Row],[Free CF]]),IF(Main_S[[#This Row],[Free CF]]&lt;&gt;0,Main_S[[#This Row],[Current Price]]/Main_S[[#This Row],[Free CF]],""),"")</f>
        <v>21.297872340425535</v>
      </c>
      <c r="I95" s="1">
        <f>IF(ISNUMBER(Main_S[[#This Row],[BVPS]]),IF(Main_S[[#This Row],[BVPS]]&lt;&gt;0,Main_S[[#This Row],[Current Price]]/Main_S[[#This Row],[BVPS]],""),"")</f>
        <v>3.6444174757281553</v>
      </c>
      <c r="J95">
        <v>15.88</v>
      </c>
      <c r="K95">
        <v>7.74</v>
      </c>
      <c r="L95">
        <v>1.55</v>
      </c>
      <c r="M95" s="1">
        <f>IF(ISNUMBER(Main_S[[#This Row],[EPS]]),IF(Main_S[[#This Row],[EPS]]&lt;&gt;0,Main_S[[#This Row],[Current Price]]/Main_S[[#This Row],[EPS]],""),"")</f>
        <v>23.1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0.44057621672784786</v>
      </c>
      <c r="P95" s="1">
        <f>(Main_S[[#This Row],[P/B]]-VLOOKUP(Main_S[[#This Row],[Industry]], Mean_PB_S, 2, FALSE))/(VLOOKUP(Main_S[[#This Row],[Industry]], Mean_PB_S, 3, FALSE))</f>
        <v>-0.19492686305769361</v>
      </c>
      <c r="Q95" s="1">
        <f>(Main_S[[#This Row],[ROE]]-VLOOKUP(Main_S[[#This Row],[Industry]], Mean_ROE_S, 2, FALSE))/(VLOOKUP(Main_S[[#This Row],[Industry]], Mean_ROE_S, 3, FALSE))</f>
        <v>0.60636380170315163</v>
      </c>
      <c r="R95" s="1">
        <f>(Main_S[[#This Row],[ROA]]-VLOOKUP(Main_S[[#This Row],[Industry]], Mean_ROA_S, 2, FALSE))/(VLOOKUP(Main_S[[#This Row],[Industry]], Mean_ROA_S, 3, FALSE))</f>
        <v>1.051559605786448</v>
      </c>
      <c r="S95" s="1">
        <f>(Main_S[[#This Row],[A/E]]-VLOOKUP(Main_S[[#This Row],[Industry]], Mean_AE_S, 2, FALSE))/(VLOOKUP(Main_S[[#This Row],[Industry]], Mean_AE_S, 3, FALSE))</f>
        <v>-0.3145751614110196</v>
      </c>
      <c r="T95" s="1">
        <f>(Main_S[[#This Row],[P/E]]-VLOOKUP(Main_S[[#This Row],[Industry]], Mean_PE_S, 2, FALSE))/(VLOOKUP(Main_S[[#This Row],[Industry]], Mean_PE_S, 3, FALSE))</f>
        <v>0.87945197184040635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7" t="s">
        <v>124</v>
      </c>
      <c r="B96" s="67" t="s">
        <v>416</v>
      </c>
      <c r="C96" s="2">
        <v>609</v>
      </c>
      <c r="D96">
        <f>RTD("tos.rtd", , "LAST", Main_S[[#This Row],[Symbol]])</f>
        <v>16.75</v>
      </c>
      <c r="E96">
        <v>1.31</v>
      </c>
      <c r="F96">
        <v>6.06</v>
      </c>
      <c r="G96">
        <v>1.48</v>
      </c>
      <c r="H96" s="1">
        <f>IF(ISNUMBER(Main_S[[#This Row],[Free CF]]),IF(Main_S[[#This Row],[Free CF]]&lt;&gt;0,Main_S[[#This Row],[Current Price]]/Main_S[[#This Row],[Free CF]],""),"")</f>
        <v>12.786259541984732</v>
      </c>
      <c r="I96" s="1">
        <f>IF(ISNUMBER(Main_S[[#This Row],[BVPS]]),IF(Main_S[[#This Row],[BVPS]]&lt;&gt;0,Main_S[[#This Row],[Current Price]]/Main_S[[#This Row],[BVPS]],""),"")</f>
        <v>2.7640264026402641</v>
      </c>
      <c r="J96">
        <v>28.92</v>
      </c>
      <c r="K96">
        <v>10.81</v>
      </c>
      <c r="L96">
        <v>1.44</v>
      </c>
      <c r="M96" s="1">
        <f>IF(ISNUMBER(Main_S[[#This Row],[EPS]]),IF(Main_S[[#This Row],[EPS]]&lt;&gt;0,Main_S[[#This Row],[Current Price]]/Main_S[[#This Row],[EPS]],""),"")</f>
        <v>11.317567567567568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6.1858318424793918E-2</v>
      </c>
      <c r="P96" s="1">
        <f>(Main_S[[#This Row],[P/B]]-VLOOKUP(Main_S[[#This Row],[Industry]], Mean_PB_S, 2, FALSE))/(VLOOKUP(Main_S[[#This Row],[Industry]], Mean_PB_S, 3, FALSE))</f>
        <v>-0.42662508330222382</v>
      </c>
      <c r="Q96" s="1">
        <f>(Main_S[[#This Row],[ROE]]-VLOOKUP(Main_S[[#This Row],[Industry]], Mean_ROE_S, 2, FALSE))/(VLOOKUP(Main_S[[#This Row],[Industry]], Mean_ROE_S, 3, FALSE))</f>
        <v>0.93066973245769025</v>
      </c>
      <c r="R96" s="1">
        <f>(Main_S[[#This Row],[ROA]]-VLOOKUP(Main_S[[#This Row],[Industry]], Mean_ROA_S, 2, FALSE))/(VLOOKUP(Main_S[[#This Row],[Industry]], Mean_ROA_S, 3, FALSE))</f>
        <v>1.4586499348421238</v>
      </c>
      <c r="S96" s="1">
        <f>(Main_S[[#This Row],[A/E]]-VLOOKUP(Main_S[[#This Row],[Industry]], Mean_AE_S, 2, FALSE))/(VLOOKUP(Main_S[[#This Row],[Industry]], Mean_AE_S, 3, FALSE))</f>
        <v>-0.40612640793826271</v>
      </c>
      <c r="T96" s="1">
        <f>(Main_S[[#This Row],[P/E]]-VLOOKUP(Main_S[[#This Row],[Industry]], Mean_PE_S, 2, FALSE))/(VLOOKUP(Main_S[[#This Row],[Industry]], Mean_PE_S, 3, FALSE))</f>
        <v>0.49276012285070842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7" t="s">
        <v>124</v>
      </c>
      <c r="B97" s="67" t="s">
        <v>501</v>
      </c>
      <c r="C97" s="2">
        <v>497</v>
      </c>
      <c r="D97">
        <f>RTD("tos.rtd", , "LAST", Main_S[[#This Row],[Symbol]])</f>
        <v>7.5</v>
      </c>
      <c r="E97">
        <v>1.29</v>
      </c>
      <c r="F97">
        <v>3.17</v>
      </c>
      <c r="G97">
        <v>-1.61</v>
      </c>
      <c r="H97" s="1">
        <f>IF(ISNUMBER(Main_S[[#This Row],[Free CF]]),IF(Main_S[[#This Row],[Free CF]]&lt;&gt;0,Main_S[[#This Row],[Current Price]]/Main_S[[#This Row],[Free CF]],""),"")</f>
        <v>5.8139534883720927</v>
      </c>
      <c r="I97" s="1">
        <f>IF(ISNUMBER(Main_S[[#This Row],[BVPS]]),IF(Main_S[[#This Row],[BVPS]]&lt;&gt;0,Main_S[[#This Row],[Current Price]]/Main_S[[#This Row],[BVPS]],""),"")</f>
        <v>2.3659305993690851</v>
      </c>
      <c r="J97">
        <v>-39.56</v>
      </c>
      <c r="K97">
        <v>3.59</v>
      </c>
      <c r="L97">
        <v>7.41</v>
      </c>
      <c r="M97" s="1">
        <f>IF(ISNUMBER(Main_S[[#This Row],[EPS]]),IF(Main_S[[#This Row],[EPS]]&lt;&gt;0,Main_S[[#This Row],[Current Price]]/Main_S[[#This Row],[EPS]],""),"")</f>
        <v>-4.658385093167702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-0.24836926798909287</v>
      </c>
      <c r="P97" s="1">
        <f>(Main_S[[#This Row],[P/B]]-VLOOKUP(Main_S[[#This Row],[Industry]], Mean_PB_S, 2, FALSE))/(VLOOKUP(Main_S[[#This Row],[Industry]], Mean_PB_S, 3, FALSE))</f>
        <v>-0.53139453397513003</v>
      </c>
      <c r="Q97" s="1">
        <f>(Main_S[[#This Row],[ROE]]-VLOOKUP(Main_S[[#This Row],[Industry]], Mean_ROE_S, 2, FALSE))/(VLOOKUP(Main_S[[#This Row],[Industry]], Mean_ROE_S, 3, FALSE))</f>
        <v>-0.77243380573792408</v>
      </c>
      <c r="R97" s="1">
        <f>(Main_S[[#This Row],[ROA]]-VLOOKUP(Main_S[[#This Row],[Industry]], Mean_ROA_S, 2, FALSE))/(VLOOKUP(Main_S[[#This Row],[Industry]], Mean_ROA_S, 3, FALSE))</f>
        <v>0.50125834663952484</v>
      </c>
      <c r="S97" s="1">
        <f>(Main_S[[#This Row],[A/E]]-VLOOKUP(Main_S[[#This Row],[Industry]], Mean_AE_S, 2, FALSE))/(VLOOKUP(Main_S[[#This Row],[Industry]], Mean_AE_S, 3, FALSE))</f>
        <v>4.5626094263130161</v>
      </c>
      <c r="T97" s="1">
        <f>(Main_S[[#This Row],[P/E]]-VLOOKUP(Main_S[[#This Row],[Industry]], Mean_PE_S, 2, FALSE))/(VLOOKUP(Main_S[[#This Row],[Industry]], Mean_PE_S, 3, FALSE))</f>
        <v>-3.1560360986450417E-2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7" t="s">
        <v>124</v>
      </c>
      <c r="B98" s="67" t="s">
        <v>390</v>
      </c>
      <c r="C98" s="2">
        <v>1314</v>
      </c>
      <c r="D98">
        <f>RTD("tos.rtd", , "LAST", Main_S[[#This Row],[Symbol]])</f>
        <v>16.07</v>
      </c>
      <c r="E98">
        <v>1.2</v>
      </c>
      <c r="F98">
        <v>1.59</v>
      </c>
      <c r="G98">
        <v>-0.4</v>
      </c>
      <c r="H98" s="1">
        <f>IF(ISNUMBER(Main_S[[#This Row],[Free CF]]),IF(Main_S[[#This Row],[Free CF]]&lt;&gt;0,Main_S[[#This Row],[Current Price]]/Main_S[[#This Row],[Free CF]],""),"")</f>
        <v>13.391666666666667</v>
      </c>
      <c r="I98" s="1">
        <f>IF(ISNUMBER(Main_S[[#This Row],[BVPS]]),IF(Main_S[[#This Row],[BVPS]]&lt;&gt;0,Main_S[[#This Row],[Current Price]]/Main_S[[#This Row],[BVPS]],""),"")</f>
        <v>10.10691823899371</v>
      </c>
      <c r="J98">
        <v>-19.13</v>
      </c>
      <c r="K98">
        <v>-3.27</v>
      </c>
      <c r="L98">
        <v>6.36</v>
      </c>
      <c r="M98" s="1">
        <f>IF(ISNUMBER(Main_S[[#This Row],[EPS]]),IF(Main_S[[#This Row],[EPS]]&lt;&gt;0,Main_S[[#This Row],[Current Price]]/Main_S[[#This Row],[EPS]],""),"")</f>
        <v>-40.174999999999997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8.8795459399914151E-2</v>
      </c>
      <c r="P98" s="1">
        <f>(Main_S[[#This Row],[P/B]]-VLOOKUP(Main_S[[#This Row],[Industry]], Mean_PB_S, 2, FALSE))/(VLOOKUP(Main_S[[#This Row],[Industry]], Mean_PB_S, 3, FALSE))</f>
        <v>1.5058513149010277</v>
      </c>
      <c r="Q98" s="1">
        <f>(Main_S[[#This Row],[ROE]]-VLOOKUP(Main_S[[#This Row],[Industry]], Mean_ROE_S, 2, FALSE))/(VLOOKUP(Main_S[[#This Row],[Industry]], Mean_ROE_S, 3, FALSE))</f>
        <v>-0.2643379341646705</v>
      </c>
      <c r="R98" s="1">
        <f>(Main_S[[#This Row],[ROA]]-VLOOKUP(Main_S[[#This Row],[Industry]], Mean_ROA_S, 2, FALSE))/(VLOOKUP(Main_S[[#This Row],[Industry]], Mean_ROA_S, 3, FALSE))</f>
        <v>-0.40839626486599134</v>
      </c>
      <c r="S98" s="1">
        <f>(Main_S[[#This Row],[A/E]]-VLOOKUP(Main_S[[#This Row],[Industry]], Mean_AE_S, 2, FALSE))/(VLOOKUP(Main_S[[#This Row],[Industry]], Mean_AE_S, 3, FALSE))</f>
        <v>3.6887111640075152</v>
      </c>
      <c r="T98" s="1">
        <f>(Main_S[[#This Row],[P/E]]-VLOOKUP(Main_S[[#This Row],[Industry]], Mean_PE_S, 2, FALSE))/(VLOOKUP(Main_S[[#This Row],[Industry]], Mean_PE_S, 3, FALSE))</f>
        <v>-1.1971928029238004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7" t="s">
        <v>124</v>
      </c>
      <c r="B99" s="67" t="s">
        <v>383</v>
      </c>
      <c r="C99" s="2">
        <v>777</v>
      </c>
      <c r="D99">
        <f>RTD("tos.rtd", , "LAST", Main_S[[#This Row],[Symbol]])</f>
        <v>16.149999999999999</v>
      </c>
      <c r="E99">
        <v>1.18</v>
      </c>
      <c r="F99">
        <v>5.49</v>
      </c>
      <c r="G99">
        <v>0.76</v>
      </c>
      <c r="H99" s="1">
        <f>IF(ISNUMBER(Main_S[[#This Row],[Free CF]]),IF(Main_S[[#This Row],[Free CF]]&lt;&gt;0,Main_S[[#This Row],[Current Price]]/Main_S[[#This Row],[Free CF]],""),"")</f>
        <v>13.686440677966102</v>
      </c>
      <c r="I99" s="1">
        <f>IF(ISNUMBER(Main_S[[#This Row],[BVPS]]),IF(Main_S[[#This Row],[BVPS]]&lt;&gt;0,Main_S[[#This Row],[Current Price]]/Main_S[[#This Row],[BVPS]],""),"")</f>
        <v>2.9417122040072856</v>
      </c>
      <c r="J99">
        <v>15.25</v>
      </c>
      <c r="K99">
        <v>7.21</v>
      </c>
      <c r="L99">
        <v>1.98</v>
      </c>
      <c r="M99" s="1">
        <f>IF(ISNUMBER(Main_S[[#This Row],[EPS]]),IF(Main_S[[#This Row],[EPS]]&lt;&gt;0,Main_S[[#This Row],[Current Price]]/Main_S[[#This Row],[EPS]],""),"")</f>
        <v>21.249999999999996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0.10191121039532275</v>
      </c>
      <c r="P99" s="1">
        <f>(Main_S[[#This Row],[P/B]]-VLOOKUP(Main_S[[#This Row],[Industry]], Mean_PB_S, 2, FALSE))/(VLOOKUP(Main_S[[#This Row],[Industry]], Mean_PB_S, 3, FALSE))</f>
        <v>-0.37986236023750236</v>
      </c>
      <c r="Q99" s="1">
        <f>(Main_S[[#This Row],[ROE]]-VLOOKUP(Main_S[[#This Row],[Industry]], Mean_ROE_S, 2, FALSE))/(VLOOKUP(Main_S[[#This Row],[Industry]], Mean_ROE_S, 3, FALSE))</f>
        <v>0.59069564707313937</v>
      </c>
      <c r="R99" s="1">
        <f>(Main_S[[#This Row],[ROA]]-VLOOKUP(Main_S[[#This Row],[Industry]], Mean_ROA_S, 2, FALSE))/(VLOOKUP(Main_S[[#This Row],[Industry]], Mean_ROA_S, 3, FALSE))</f>
        <v>0.98128016787129868</v>
      </c>
      <c r="S99" s="1">
        <f>(Main_S[[#This Row],[A/E]]-VLOOKUP(Main_S[[#This Row],[Industry]], Mean_AE_S, 2, FALSE))/(VLOOKUP(Main_S[[#This Row],[Industry]], Mean_AE_S, 3, FALSE))</f>
        <v>4.3306984104566605E-2</v>
      </c>
      <c r="T99" s="1">
        <f>(Main_S[[#This Row],[P/E]]-VLOOKUP(Main_S[[#This Row],[Industry]], Mean_PE_S, 2, FALSE))/(VLOOKUP(Main_S[[#This Row],[Industry]], Mean_PE_S, 3, FALSE))</f>
        <v>0.81873616254267745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7" t="s">
        <v>124</v>
      </c>
      <c r="B100" s="67" t="s">
        <v>396</v>
      </c>
      <c r="C100" s="2">
        <v>678</v>
      </c>
      <c r="D100">
        <f>RTD("tos.rtd", , "LAST", Main_S[[#This Row],[Symbol]])</f>
        <v>44.11</v>
      </c>
      <c r="E100">
        <v>1.08</v>
      </c>
      <c r="F100">
        <v>6.58</v>
      </c>
      <c r="G100">
        <v>0.61</v>
      </c>
      <c r="H100" s="1">
        <f>IF(ISNUMBER(Main_S[[#This Row],[Free CF]]),IF(Main_S[[#This Row],[Free CF]]&lt;&gt;0,Main_S[[#This Row],[Current Price]]/Main_S[[#This Row],[Free CF]],""),"")</f>
        <v>40.842592592592588</v>
      </c>
      <c r="I100" s="1">
        <f>IF(ISNUMBER(Main_S[[#This Row],[BVPS]]),IF(Main_S[[#This Row],[BVPS]]&lt;&gt;0,Main_S[[#This Row],[Current Price]]/Main_S[[#This Row],[BVPS]],""),"")</f>
        <v>6.7036474164133741</v>
      </c>
      <c r="J100">
        <v>9.86</v>
      </c>
      <c r="K100">
        <v>6.57</v>
      </c>
      <c r="L100">
        <v>1.08</v>
      </c>
      <c r="M100" s="1">
        <f>IF(ISNUMBER(Main_S[[#This Row],[EPS]]),IF(Main_S[[#This Row],[EPS]]&lt;&gt;0,Main_S[[#This Row],[Current Price]]/Main_S[[#This Row],[EPS]],""),"")</f>
        <v>72.311475409836063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1.3102040477985659</v>
      </c>
      <c r="P100" s="1">
        <f>(Main_S[[#This Row],[P/B]]-VLOOKUP(Main_S[[#This Row],[Industry]], Mean_PB_S, 2, FALSE))/(VLOOKUP(Main_S[[#This Row],[Industry]], Mean_PB_S, 3, FALSE))</f>
        <v>0.61019049244822954</v>
      </c>
      <c r="Q100" s="1">
        <f>(Main_S[[#This Row],[ROE]]-VLOOKUP(Main_S[[#This Row],[Industry]], Mean_ROE_S, 2, FALSE))/(VLOOKUP(Main_S[[#This Row],[Industry]], Mean_ROE_S, 3, FALSE))</f>
        <v>0.45664587968303477</v>
      </c>
      <c r="R100" s="1">
        <f>(Main_S[[#This Row],[ROA]]-VLOOKUP(Main_S[[#This Row],[Industry]], Mean_ROA_S, 2, FALSE))/(VLOOKUP(Main_S[[#This Row],[Industry]], Mean_ROA_S, 3, FALSE))</f>
        <v>0.89641443152092981</v>
      </c>
      <c r="S100" s="1">
        <f>(Main_S[[#This Row],[A/E]]-VLOOKUP(Main_S[[#This Row],[Industry]], Mean_AE_S, 2, FALSE))/(VLOOKUP(Main_S[[#This Row],[Industry]], Mean_AE_S, 3, FALSE))</f>
        <v>-0.70574866930014879</v>
      </c>
      <c r="T100" s="1">
        <f>(Main_S[[#This Row],[P/E]]-VLOOKUP(Main_S[[#This Row],[Industry]], Mean_PE_S, 2, FALSE))/(VLOOKUP(Main_S[[#This Row],[Industry]], Mean_PE_S, 3, FALSE))</f>
        <v>2.4945409211612013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7" t="s">
        <v>124</v>
      </c>
      <c r="B101" s="67" t="s">
        <v>384</v>
      </c>
      <c r="C101" s="2">
        <v>428</v>
      </c>
      <c r="D101">
        <f>RTD("tos.rtd", , "LAST", Main_S[[#This Row],[Symbol]])</f>
        <v>10.34</v>
      </c>
      <c r="E101">
        <v>1.02</v>
      </c>
      <c r="F101">
        <v>4.84</v>
      </c>
      <c r="G101">
        <v>0.28999999999999998</v>
      </c>
      <c r="H101" s="1">
        <f>IF(ISNUMBER(Main_S[[#This Row],[Free CF]]),IF(Main_S[[#This Row],[Free CF]]&lt;&gt;0,Main_S[[#This Row],[Current Price]]/Main_S[[#This Row],[Free CF]],""),"")</f>
        <v>10.137254901960784</v>
      </c>
      <c r="I101" s="1">
        <f>IF(ISNUMBER(Main_S[[#This Row],[BVPS]]),IF(Main_S[[#This Row],[BVPS]]&lt;&gt;0,Main_S[[#This Row],[Current Price]]/Main_S[[#This Row],[BVPS]],""),"")</f>
        <v>2.1363636363636362</v>
      </c>
      <c r="J101">
        <v>6.11</v>
      </c>
      <c r="K101">
        <v>2.78</v>
      </c>
      <c r="L101">
        <v>1.93</v>
      </c>
      <c r="M101" s="1">
        <f>IF(ISNUMBER(Main_S[[#This Row],[EPS]]),IF(Main_S[[#This Row],[EPS]]&lt;&gt;0,Main_S[[#This Row],[Current Price]]/Main_S[[#This Row],[EPS]],""),"")</f>
        <v>35.655172413793103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-5.6007178235096808E-2</v>
      </c>
      <c r="P101" s="1">
        <f>(Main_S[[#This Row],[P/B]]-VLOOKUP(Main_S[[#This Row],[Industry]], Mean_PB_S, 2, FALSE))/(VLOOKUP(Main_S[[#This Row],[Industry]], Mean_PB_S, 3, FALSE))</f>
        <v>-0.5918111583381469</v>
      </c>
      <c r="Q101" s="1">
        <f>(Main_S[[#This Row],[ROE]]-VLOOKUP(Main_S[[#This Row],[Industry]], Mean_ROE_S, 2, FALSE))/(VLOOKUP(Main_S[[#This Row],[Industry]], Mean_ROE_S, 3, FALSE))</f>
        <v>0.36338305450439057</v>
      </c>
      <c r="R101" s="1">
        <f>(Main_S[[#This Row],[ROA]]-VLOOKUP(Main_S[[#This Row],[Industry]], Mean_ROA_S, 2, FALSE))/(VLOOKUP(Main_S[[#This Row],[Industry]], Mean_ROA_S, 3, FALSE))</f>
        <v>0.39385014907108928</v>
      </c>
      <c r="S101" s="1">
        <f>(Main_S[[#This Row],[A/E]]-VLOOKUP(Main_S[[#This Row],[Industry]], Mean_AE_S, 2, FALSE))/(VLOOKUP(Main_S[[#This Row],[Industry]], Mean_AE_S, 3, FALSE))</f>
        <v>1.6927811376379331E-3</v>
      </c>
      <c r="T101" s="1">
        <f>(Main_S[[#This Row],[P/E]]-VLOOKUP(Main_S[[#This Row],[Industry]], Mean_PE_S, 2, FALSE))/(VLOOKUP(Main_S[[#This Row],[Industry]], Mean_PE_S, 3, FALSE))</f>
        <v>1.2915046496652529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7" t="s">
        <v>124</v>
      </c>
      <c r="B102" s="67" t="s">
        <v>364</v>
      </c>
      <c r="C102" s="2">
        <v>810</v>
      </c>
      <c r="D102">
        <f>RTD("tos.rtd", , "LAST", Main_S[[#This Row],[Symbol]])</f>
        <v>28.05</v>
      </c>
      <c r="E102">
        <v>0.91</v>
      </c>
      <c r="F102">
        <v>1.75</v>
      </c>
      <c r="G102">
        <v>0.74</v>
      </c>
      <c r="H102" s="1">
        <f>IF(ISNUMBER(Main_S[[#This Row],[Free CF]]),IF(Main_S[[#This Row],[Free CF]]&lt;&gt;0,Main_S[[#This Row],[Current Price]]/Main_S[[#This Row],[Free CF]],""),"")</f>
        <v>30.824175824175825</v>
      </c>
      <c r="I102" s="1">
        <f>IF(ISNUMBER(Main_S[[#This Row],[BVPS]]),IF(Main_S[[#This Row],[BVPS]]&lt;&gt;0,Main_S[[#This Row],[Current Price]]/Main_S[[#This Row],[BVPS]],""),"")</f>
        <v>16.028571428571428</v>
      </c>
      <c r="J102">
        <v>41.12</v>
      </c>
      <c r="K102">
        <v>5.74</v>
      </c>
      <c r="L102">
        <v>3.77</v>
      </c>
      <c r="M102" s="1">
        <f>IF(ISNUMBER(Main_S[[#This Row],[EPS]]),IF(Main_S[[#This Row],[EPS]]&lt;&gt;0,Main_S[[#This Row],[Current Price]]/Main_S[[#This Row],[EPS]],""),"")</f>
        <v>37.905405405405403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0.86444202446570229</v>
      </c>
      <c r="P102" s="1">
        <f>(Main_S[[#This Row],[P/B]]-VLOOKUP(Main_S[[#This Row],[Industry]], Mean_PB_S, 2, FALSE))/(VLOOKUP(Main_S[[#This Row],[Industry]], Mean_PB_S, 3, FALSE))</f>
        <v>3.0642911342851682</v>
      </c>
      <c r="Q102" s="1">
        <f>(Main_S[[#This Row],[ROE]]-VLOOKUP(Main_S[[#This Row],[Industry]], Mean_ROE_S, 2, FALSE))/(VLOOKUP(Main_S[[#This Row],[Industry]], Mean_ROE_S, 3, FALSE))</f>
        <v>1.2340847903722125</v>
      </c>
      <c r="R102" s="1">
        <f>(Main_S[[#This Row],[ROA]]-VLOOKUP(Main_S[[#This Row],[Industry]], Mean_ROA_S, 2, FALSE))/(VLOOKUP(Main_S[[#This Row],[Industry]], Mean_ROA_S, 3, FALSE))</f>
        <v>0.7863541796915452</v>
      </c>
      <c r="S102" s="1">
        <f>(Main_S[[#This Row],[A/E]]-VLOOKUP(Main_S[[#This Row],[Industry]], Mean_AE_S, 2, FALSE))/(VLOOKUP(Main_S[[#This Row],[Industry]], Mean_AE_S, 3, FALSE))</f>
        <v>1.5330954503206118</v>
      </c>
      <c r="T102" s="1">
        <f>(Main_S[[#This Row],[P/E]]-VLOOKUP(Main_S[[#This Row],[Industry]], Mean_PE_S, 2, FALSE))/(VLOOKUP(Main_S[[#This Row],[Industry]], Mean_PE_S, 3, FALSE))</f>
        <v>1.3653558481485988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7" t="s">
        <v>124</v>
      </c>
      <c r="B103" s="67" t="s">
        <v>362</v>
      </c>
      <c r="C103" s="2">
        <v>368</v>
      </c>
      <c r="D103">
        <f>RTD("tos.rtd", , "LAST", Main_S[[#This Row],[Symbol]])</f>
        <v>10.050000000000001</v>
      </c>
      <c r="E103">
        <v>0.89</v>
      </c>
      <c r="F103">
        <v>3.45</v>
      </c>
      <c r="G103">
        <v>-7.93</v>
      </c>
      <c r="H103" s="1">
        <f>IF(ISNUMBER(Main_S[[#This Row],[Free CF]]),IF(Main_S[[#This Row],[Free CF]]&lt;&gt;0,Main_S[[#This Row],[Current Price]]/Main_S[[#This Row],[Free CF]],""),"")</f>
        <v>11.292134831460675</v>
      </c>
      <c r="I103" s="1">
        <f>IF(ISNUMBER(Main_S[[#This Row],[BVPS]]),IF(Main_S[[#This Row],[BVPS]]&lt;&gt;0,Main_S[[#This Row],[Current Price]]/Main_S[[#This Row],[BVPS]],""),"")</f>
        <v>2.9130434782608696</v>
      </c>
      <c r="J103">
        <v>-109.88</v>
      </c>
      <c r="K103">
        <v>0.69</v>
      </c>
      <c r="L103">
        <v>4.46</v>
      </c>
      <c r="M103" s="1">
        <f>IF(ISNUMBER(Main_S[[#This Row],[EPS]]),IF(Main_S[[#This Row],[EPS]]&lt;&gt;0,Main_S[[#This Row],[Current Price]]/Main_S[[#This Row],[EPS]],""),"")</f>
        <v>-1.2673392181588905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-4.6216523600595685E-3</v>
      </c>
      <c r="P103" s="1">
        <f>(Main_S[[#This Row],[P/B]]-VLOOKUP(Main_S[[#This Row],[Industry]], Mean_PB_S, 2, FALSE))/(VLOOKUP(Main_S[[#This Row],[Industry]], Mean_PB_S, 3, FALSE))</f>
        <v>-0.38740729445500321</v>
      </c>
      <c r="Q103" s="1">
        <f>(Main_S[[#This Row],[ROE]]-VLOOKUP(Main_S[[#This Row],[Industry]], Mean_ROE_S, 2, FALSE))/(VLOOKUP(Main_S[[#This Row],[Industry]], Mean_ROE_S, 3, FALSE))</f>
        <v>-2.5212983034878595</v>
      </c>
      <c r="R103" s="1">
        <f>(Main_S[[#This Row],[ROA]]-VLOOKUP(Main_S[[#This Row],[Industry]], Mean_ROA_S, 2, FALSE))/(VLOOKUP(Main_S[[#This Row],[Industry]], Mean_ROA_S, 3, FALSE))</f>
        <v>0.11671047880191594</v>
      </c>
      <c r="S103" s="1">
        <f>(Main_S[[#This Row],[A/E]]-VLOOKUP(Main_S[[#This Row],[Industry]], Mean_AE_S, 2, FALSE))/(VLOOKUP(Main_S[[#This Row],[Industry]], Mean_AE_S, 3, FALSE))</f>
        <v>2.107371451264227</v>
      </c>
      <c r="T103" s="1">
        <f>(Main_S[[#This Row],[P/E]]-VLOOKUP(Main_S[[#This Row],[Industry]], Mean_PE_S, 2, FALSE))/(VLOOKUP(Main_S[[#This Row],[Industry]], Mean_PE_S, 3, FALSE))</f>
        <v>7.9731582076730381E-2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7" t="s">
        <v>124</v>
      </c>
      <c r="B104" s="67" t="s">
        <v>389</v>
      </c>
      <c r="C104" s="2">
        <v>1642</v>
      </c>
      <c r="D104">
        <f>RTD("tos.rtd", , "LAST", Main_S[[#This Row],[Symbol]])</f>
        <v>18.91</v>
      </c>
      <c r="E104">
        <v>0.88</v>
      </c>
      <c r="F104">
        <v>10.39</v>
      </c>
      <c r="G104">
        <v>0.93</v>
      </c>
      <c r="H104" s="1">
        <f>IF(ISNUMBER(Main_S[[#This Row],[Free CF]]),IF(Main_S[[#This Row],[Free CF]]&lt;&gt;0,Main_S[[#This Row],[Current Price]]/Main_S[[#This Row],[Free CF]],""),"")</f>
        <v>21.488636363636363</v>
      </c>
      <c r="I104" s="1">
        <f>IF(ISNUMBER(Main_S[[#This Row],[BVPS]]),IF(Main_S[[#This Row],[BVPS]]&lt;&gt;0,Main_S[[#This Row],[Current Price]]/Main_S[[#This Row],[BVPS]],""),"")</f>
        <v>1.820019249278152</v>
      </c>
      <c r="J104">
        <v>9.1999999999999993</v>
      </c>
      <c r="K104">
        <v>5.79</v>
      </c>
      <c r="L104">
        <v>1.1200000000000001</v>
      </c>
      <c r="M104" s="1">
        <f>IF(ISNUMBER(Main_S[[#This Row],[EPS]]),IF(Main_S[[#This Row],[EPS]]&lt;&gt;0,Main_S[[#This Row],[Current Price]]/Main_S[[#This Row],[EPS]],""),"")</f>
        <v>20.333333333333332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0.44906412044868843</v>
      </c>
      <c r="P104" s="1">
        <f>(Main_S[[#This Row],[P/B]]-VLOOKUP(Main_S[[#This Row],[Industry]], Mean_PB_S, 2, FALSE))/(VLOOKUP(Main_S[[#This Row],[Industry]], Mean_PB_S, 3, FALSE))</f>
        <v>-0.67506555937946233</v>
      </c>
      <c r="Q104" s="1">
        <f>(Main_S[[#This Row],[ROE]]-VLOOKUP(Main_S[[#This Row],[Industry]], Mean_ROE_S, 2, FALSE))/(VLOOKUP(Main_S[[#This Row],[Industry]], Mean_ROE_S, 3, FALSE))</f>
        <v>0.44023162245159336</v>
      </c>
      <c r="R104" s="1">
        <f>(Main_S[[#This Row],[ROA]]-VLOOKUP(Main_S[[#This Row],[Industry]], Mean_ROA_S, 2, FALSE))/(VLOOKUP(Main_S[[#This Row],[Industry]], Mean_ROA_S, 3, FALSE))</f>
        <v>0.79298431534391778</v>
      </c>
      <c r="S104" s="1">
        <f>(Main_S[[#This Row],[A/E]]-VLOOKUP(Main_S[[#This Row],[Industry]], Mean_AE_S, 2, FALSE))/(VLOOKUP(Main_S[[#This Row],[Industry]], Mean_AE_S, 3, FALSE))</f>
        <v>-0.67245730692660588</v>
      </c>
      <c r="T104" s="1">
        <f>(Main_S[[#This Row],[P/E]]-VLOOKUP(Main_S[[#This Row],[Industry]], Mean_PE_S, 2, FALSE))/(VLOOKUP(Main_S[[#This Row],[Industry]], Mean_PE_S, 3, FALSE))</f>
        <v>0.78865175253028941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7" t="s">
        <v>124</v>
      </c>
      <c r="B105" s="67" t="s">
        <v>391</v>
      </c>
      <c r="C105" s="2">
        <v>1245</v>
      </c>
      <c r="D105">
        <f>RTD("tos.rtd", , "LAST", Main_S[[#This Row],[Symbol]])</f>
        <v>17.309999999999999</v>
      </c>
      <c r="E105">
        <v>0.83</v>
      </c>
      <c r="F105">
        <v>4.45</v>
      </c>
      <c r="G105">
        <v>-5.0599999999999996</v>
      </c>
      <c r="H105" s="1">
        <f>IF(ISNUMBER(Main_S[[#This Row],[Free CF]]),IF(Main_S[[#This Row],[Free CF]]&lt;&gt;0,Main_S[[#This Row],[Current Price]]/Main_S[[#This Row],[Free CF]],""),"")</f>
        <v>20.855421686746986</v>
      </c>
      <c r="I105" s="1">
        <f>IF(ISNUMBER(Main_S[[#This Row],[BVPS]]),IF(Main_S[[#This Row],[BVPS]]&lt;&gt;0,Main_S[[#This Row],[Current Price]]/Main_S[[#This Row],[BVPS]],""),"")</f>
        <v>3.8898876404494378</v>
      </c>
      <c r="J105">
        <v>-62.58</v>
      </c>
      <c r="K105">
        <v>5.0199999999999996</v>
      </c>
      <c r="L105">
        <v>3.81</v>
      </c>
      <c r="M105" s="1">
        <f>IF(ISNUMBER(Main_S[[#This Row],[EPS]]),IF(Main_S[[#This Row],[EPS]]&lt;&gt;0,Main_S[[#This Row],[Current Price]]/Main_S[[#This Row],[EPS]],""),"")</f>
        <v>-3.4209486166007905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0.42088970306328743</v>
      </c>
      <c r="P105" s="1">
        <f>(Main_S[[#This Row],[P/B]]-VLOOKUP(Main_S[[#This Row],[Industry]], Mean_PB_S, 2, FALSE))/(VLOOKUP(Main_S[[#This Row],[Industry]], Mean_PB_S, 3, FALSE))</f>
        <v>-0.13032489010768519</v>
      </c>
      <c r="Q105" s="1">
        <f>(Main_S[[#This Row],[ROE]]-VLOOKUP(Main_S[[#This Row],[Industry]], Mean_ROE_S, 2, FALSE))/(VLOOKUP(Main_S[[#This Row],[Industry]], Mean_ROE_S, 3, FALSE))</f>
        <v>-1.3449432019012277</v>
      </c>
      <c r="R105" s="1">
        <f>(Main_S[[#This Row],[ROA]]-VLOOKUP(Main_S[[#This Row],[Industry]], Mean_ROA_S, 2, FALSE))/(VLOOKUP(Main_S[[#This Row],[Industry]], Mean_ROA_S, 3, FALSE))</f>
        <v>0.69088022629738022</v>
      </c>
      <c r="S105" s="1">
        <f>(Main_S[[#This Row],[A/E]]-VLOOKUP(Main_S[[#This Row],[Industry]], Mean_AE_S, 2, FALSE))/(VLOOKUP(Main_S[[#This Row],[Industry]], Mean_AE_S, 3, FALSE))</f>
        <v>1.5663868126941547</v>
      </c>
      <c r="T105" s="1">
        <f>(Main_S[[#This Row],[P/E]]-VLOOKUP(Main_S[[#This Row],[Industry]], Mean_PE_S, 2, FALSE))/(VLOOKUP(Main_S[[#This Row],[Industry]], Mean_PE_S, 3, FALSE))</f>
        <v>9.0515077320846675E-3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7" t="s">
        <v>124</v>
      </c>
      <c r="B106" s="67" t="s">
        <v>414</v>
      </c>
      <c r="C106" s="2">
        <v>1244</v>
      </c>
      <c r="D106">
        <f>RTD("tos.rtd", , "LAST", Main_S[[#This Row],[Symbol]])</f>
        <v>18.34</v>
      </c>
      <c r="E106">
        <v>0.83</v>
      </c>
      <c r="F106">
        <v>2.73</v>
      </c>
      <c r="G106">
        <v>0.67</v>
      </c>
      <c r="H106" s="1">
        <f>IF(ISNUMBER(Main_S[[#This Row],[Free CF]]),IF(Main_S[[#This Row],[Free CF]]&lt;&gt;0,Main_S[[#This Row],[Current Price]]/Main_S[[#This Row],[Free CF]],""),"")</f>
        <v>22.096385542168676</v>
      </c>
      <c r="I106" s="1">
        <f>IF(ISNUMBER(Main_S[[#This Row],[BVPS]]),IF(Main_S[[#This Row],[BVPS]]&lt;&gt;0,Main_S[[#This Row],[Current Price]]/Main_S[[#This Row],[BVPS]],""),"")</f>
        <v>6.7179487179487181</v>
      </c>
      <c r="J106">
        <v>24.36</v>
      </c>
      <c r="K106">
        <v>5.72</v>
      </c>
      <c r="L106">
        <v>3.09</v>
      </c>
      <c r="M106" s="1">
        <f>IF(ISNUMBER(Main_S[[#This Row],[EPS]]),IF(Main_S[[#This Row],[EPS]]&lt;&gt;0,Main_S[[#This Row],[Current Price]]/Main_S[[#This Row],[EPS]],""),"")</f>
        <v>27.373134328358208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0.47610546937275222</v>
      </c>
      <c r="P106" s="1">
        <f>(Main_S[[#This Row],[P/B]]-VLOOKUP(Main_S[[#This Row],[Industry]], Mean_PB_S, 2, FALSE))/(VLOOKUP(Main_S[[#This Row],[Industry]], Mean_PB_S, 3, FALSE))</f>
        <v>0.61395425859058428</v>
      </c>
      <c r="Q106" s="1">
        <f>(Main_S[[#This Row],[ROE]]-VLOOKUP(Main_S[[#This Row],[Industry]], Mean_ROE_S, 2, FALSE))/(VLOOKUP(Main_S[[#This Row],[Industry]], Mean_ROE_S, 3, FALSE))</f>
        <v>0.81726213704045891</v>
      </c>
      <c r="R106" s="1">
        <f>(Main_S[[#This Row],[ROA]]-VLOOKUP(Main_S[[#This Row],[Industry]], Mean_ROA_S, 2, FALSE))/(VLOOKUP(Main_S[[#This Row],[Industry]], Mean_ROA_S, 3, FALSE))</f>
        <v>0.78370212543059614</v>
      </c>
      <c r="S106" s="1">
        <f>(Main_S[[#This Row],[A/E]]-VLOOKUP(Main_S[[#This Row],[Industry]], Mean_AE_S, 2, FALSE))/(VLOOKUP(Main_S[[#This Row],[Industry]], Mean_AE_S, 3, FALSE))</f>
        <v>0.96714228997038221</v>
      </c>
      <c r="T106" s="1">
        <f>(Main_S[[#This Row],[P/E]]-VLOOKUP(Main_S[[#This Row],[Industry]], Mean_PE_S, 2, FALSE))/(VLOOKUP(Main_S[[#This Row],[Industry]], Mean_PE_S, 3, FALSE))</f>
        <v>1.0196934902102306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7" t="s">
        <v>124</v>
      </c>
      <c r="B107" s="67" t="s">
        <v>388</v>
      </c>
      <c r="C107" s="2">
        <v>376</v>
      </c>
      <c r="D107">
        <f>RTD("tos.rtd", , "LAST", Main_S[[#This Row],[Symbol]])</f>
        <v>13.27</v>
      </c>
      <c r="E107">
        <v>0.76</v>
      </c>
      <c r="F107">
        <v>3.2</v>
      </c>
      <c r="G107">
        <v>-0.19</v>
      </c>
      <c r="H107" s="1">
        <f>IF(ISNUMBER(Main_S[[#This Row],[Free CF]]),IF(Main_S[[#This Row],[Free CF]]&lt;&gt;0,Main_S[[#This Row],[Current Price]]/Main_S[[#This Row],[Free CF]],""),"")</f>
        <v>17.460526315789473</v>
      </c>
      <c r="I107" s="1">
        <f>IF(ISNUMBER(Main_S[[#This Row],[BVPS]]),IF(Main_S[[#This Row],[BVPS]]&lt;&gt;0,Main_S[[#This Row],[Current Price]]/Main_S[[#This Row],[BVPS]],""),"")</f>
        <v>4.1468749999999996</v>
      </c>
      <c r="J107">
        <v>-5.81</v>
      </c>
      <c r="K107">
        <v>-1.75</v>
      </c>
      <c r="L107">
        <v>1.7</v>
      </c>
      <c r="M107" s="1">
        <f>IF(ISNUMBER(Main_S[[#This Row],[EPS]]),IF(Main_S[[#This Row],[EPS]]&lt;&gt;0,Main_S[[#This Row],[Current Price]]/Main_S[[#This Row],[EPS]],""),"")</f>
        <v>-69.84210526315789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0.26983635156645736</v>
      </c>
      <c r="P107" s="1">
        <f>(Main_S[[#This Row],[P/B]]-VLOOKUP(Main_S[[#This Row],[Industry]], Mean_PB_S, 2, FALSE))/(VLOOKUP(Main_S[[#This Row],[Industry]], Mean_PB_S, 3, FALSE))</f>
        <v>-6.2691862407435003E-2</v>
      </c>
      <c r="Q107" s="1">
        <f>(Main_S[[#This Row],[ROE]]-VLOOKUP(Main_S[[#This Row],[Industry]], Mean_ROE_S, 2, FALSE))/(VLOOKUP(Main_S[[#This Row],[Industry]], Mean_ROE_S, 3, FALSE))</f>
        <v>6.6931620869873615E-2</v>
      </c>
      <c r="R107" s="1">
        <f>(Main_S[[#This Row],[ROA]]-VLOOKUP(Main_S[[#This Row],[Industry]], Mean_ROA_S, 2, FALSE))/(VLOOKUP(Main_S[[#This Row],[Industry]], Mean_ROA_S, 3, FALSE))</f>
        <v>-0.20684014103386533</v>
      </c>
      <c r="S107" s="1">
        <f>(Main_S[[#This Row],[A/E]]-VLOOKUP(Main_S[[#This Row],[Industry]], Mean_AE_S, 2, FALSE))/(VLOOKUP(Main_S[[#This Row],[Industry]], Mean_AE_S, 3, FALSE))</f>
        <v>-0.18973255251023377</v>
      </c>
      <c r="T107" s="1">
        <f>(Main_S[[#This Row],[P/E]]-VLOOKUP(Main_S[[#This Row],[Industry]], Mean_PE_S, 2, FALSE))/(VLOOKUP(Main_S[[#This Row],[Industry]], Mean_PE_S, 3, FALSE))</f>
        <v>-2.1708481032338205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7" t="s">
        <v>124</v>
      </c>
      <c r="B108" s="67" t="s">
        <v>393</v>
      </c>
      <c r="C108" s="2">
        <v>842</v>
      </c>
      <c r="D108">
        <f>RTD("tos.rtd", , "LAST", Main_S[[#This Row],[Symbol]])</f>
        <v>19.71</v>
      </c>
      <c r="E108">
        <v>0.68</v>
      </c>
      <c r="F108">
        <v>-1.38</v>
      </c>
      <c r="G108">
        <v>-0.27</v>
      </c>
      <c r="H108" s="1">
        <f>IF(ISNUMBER(Main_S[[#This Row],[Free CF]]),IF(Main_S[[#This Row],[Free CF]]&lt;&gt;0,Main_S[[#This Row],[Current Price]]/Main_S[[#This Row],[Free CF]],""),"")</f>
        <v>28.985294117647058</v>
      </c>
      <c r="I108" s="1">
        <f>IF(ISNUMBER(Main_S[[#This Row],[BVPS]]),IF(Main_S[[#This Row],[BVPS]]&lt;&gt;0,Main_S[[#This Row],[Current Price]]/Main_S[[#This Row],[BVPS]],""),"")</f>
        <v>-14.282608695652176</v>
      </c>
      <c r="J108">
        <v>17.100000000000001</v>
      </c>
      <c r="K108">
        <v>-1.88</v>
      </c>
      <c r="L108">
        <v>-6.49</v>
      </c>
      <c r="M108" s="1">
        <f>IF(ISNUMBER(Main_S[[#This Row],[EPS]]),IF(Main_S[[#This Row],[EPS]]&lt;&gt;0,Main_S[[#This Row],[Current Price]]/Main_S[[#This Row],[EPS]],""),"")</f>
        <v>-73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0.78262234685394805</v>
      </c>
      <c r="P108" s="1">
        <f>(Main_S[[#This Row],[P/B]]-VLOOKUP(Main_S[[#This Row],[Industry]], Mean_PB_S, 2, FALSE))/(VLOOKUP(Main_S[[#This Row],[Industry]], Mean_PB_S, 3, FALSE))</f>
        <v>-4.912898438595545</v>
      </c>
      <c r="Q108" s="1">
        <f>(Main_S[[#This Row],[ROE]]-VLOOKUP(Main_S[[#This Row],[Industry]], Mean_ROE_S, 2, FALSE))/(VLOOKUP(Main_S[[#This Row],[Industry]], Mean_ROE_S, 3, FALSE))</f>
        <v>0.63670530749460386</v>
      </c>
      <c r="R108" s="1">
        <f>(Main_S[[#This Row],[ROA]]-VLOOKUP(Main_S[[#This Row],[Industry]], Mean_ROA_S, 2, FALSE))/(VLOOKUP(Main_S[[#This Row],[Industry]], Mean_ROA_S, 3, FALSE))</f>
        <v>-0.224078493730034</v>
      </c>
      <c r="S108" s="1">
        <f>(Main_S[[#This Row],[A/E]]-VLOOKUP(Main_S[[#This Row],[Industry]], Mean_AE_S, 2, FALSE))/(VLOOKUP(Main_S[[#This Row],[Industry]], Mean_AE_S, 3, FALSE))</f>
        <v>-7.006138998493145</v>
      </c>
      <c r="T108" s="1">
        <f>(Main_S[[#This Row],[P/E]]-VLOOKUP(Main_S[[#This Row],[Industry]], Mean_PE_S, 2, FALSE))/(VLOOKUP(Main_S[[#This Row],[Industry]], Mean_PE_S, 3, FALSE))</f>
        <v>-2.2744881760037701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7" t="s">
        <v>124</v>
      </c>
      <c r="B109" s="67" t="s">
        <v>370</v>
      </c>
      <c r="C109" s="2">
        <v>1827</v>
      </c>
      <c r="D109">
        <f>RTD("tos.rtd", , "LAST", Main_S[[#This Row],[Symbol]])</f>
        <v>10.3</v>
      </c>
      <c r="E109">
        <v>0.6</v>
      </c>
      <c r="F109">
        <v>4.04</v>
      </c>
      <c r="G109">
        <v>-0.13</v>
      </c>
      <c r="H109" s="1">
        <f>IF(ISNUMBER(Main_S[[#This Row],[Free CF]]),IF(Main_S[[#This Row],[Free CF]]&lt;&gt;0,Main_S[[#This Row],[Current Price]]/Main_S[[#This Row],[Free CF]],""),"")</f>
        <v>17.166666666666668</v>
      </c>
      <c r="I109" s="1">
        <f>IF(ISNUMBER(Main_S[[#This Row],[BVPS]]),IF(Main_S[[#This Row],[BVPS]]&lt;&gt;0,Main_S[[#This Row],[Current Price]]/Main_S[[#This Row],[BVPS]],""),"")</f>
        <v>2.5495049504950495</v>
      </c>
      <c r="J109">
        <v>-3.14</v>
      </c>
      <c r="K109">
        <v>2.08</v>
      </c>
      <c r="L109">
        <v>1.91</v>
      </c>
      <c r="M109" s="1">
        <f>IF(ISNUMBER(Main_S[[#This Row],[EPS]]),IF(Main_S[[#This Row],[EPS]]&lt;&gt;0,Main_S[[#This Row],[Current Price]]/Main_S[[#This Row],[EPS]],""),"")</f>
        <v>-79.230769230769241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0.25676128443790469</v>
      </c>
      <c r="P109" s="1">
        <f>(Main_S[[#This Row],[P/B]]-VLOOKUP(Main_S[[#This Row],[Industry]], Mean_PB_S, 2, FALSE))/(VLOOKUP(Main_S[[#This Row],[Industry]], Mean_PB_S, 3, FALSE))</f>
        <v>-0.4830820831352472</v>
      </c>
      <c r="Q109" s="1">
        <f>(Main_S[[#This Row],[ROE]]-VLOOKUP(Main_S[[#This Row],[Industry]], Mean_ROE_S, 2, FALSE))/(VLOOKUP(Main_S[[#This Row],[Industry]], Mean_ROE_S, 3, FALSE))</f>
        <v>0.13333475239706827</v>
      </c>
      <c r="R109" s="1">
        <f>(Main_S[[#This Row],[ROA]]-VLOOKUP(Main_S[[#This Row],[Industry]], Mean_ROA_S, 2, FALSE))/(VLOOKUP(Main_S[[#This Row],[Industry]], Mean_ROA_S, 3, FALSE))</f>
        <v>0.3010282499378733</v>
      </c>
      <c r="S109" s="1">
        <f>(Main_S[[#This Row],[A/E]]-VLOOKUP(Main_S[[#This Row],[Industry]], Mean_AE_S, 2, FALSE))/(VLOOKUP(Main_S[[#This Row],[Industry]], Mean_AE_S, 3, FALSE))</f>
        <v>-1.4952900049133536E-2</v>
      </c>
      <c r="T109" s="1">
        <f>(Main_S[[#This Row],[P/E]]-VLOOKUP(Main_S[[#This Row],[Industry]], Mean_PE_S, 2, FALSE))/(VLOOKUP(Main_S[[#This Row],[Industry]], Mean_PE_S, 3, FALSE))</f>
        <v>-2.4789780118921705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7" t="s">
        <v>124</v>
      </c>
      <c r="B110" s="67" t="s">
        <v>403</v>
      </c>
      <c r="C110" s="2">
        <v>1270</v>
      </c>
      <c r="D110">
        <f>RTD("tos.rtd", , "LAST", Main_S[[#This Row],[Symbol]])</f>
        <v>21.88</v>
      </c>
      <c r="E110">
        <v>0.52</v>
      </c>
      <c r="F110">
        <v>3.01</v>
      </c>
      <c r="G110">
        <v>-1.04</v>
      </c>
      <c r="H110" s="1">
        <f>IF(ISNUMBER(Main_S[[#This Row],[Free CF]]),IF(Main_S[[#This Row],[Free CF]]&lt;&gt;0,Main_S[[#This Row],[Current Price]]/Main_S[[#This Row],[Free CF]],""),"")</f>
        <v>42.076923076923073</v>
      </c>
      <c r="I110" s="1">
        <f>IF(ISNUMBER(Main_S[[#This Row],[BVPS]]),IF(Main_S[[#This Row],[BVPS]]&lt;&gt;0,Main_S[[#This Row],[Current Price]]/Main_S[[#This Row],[BVPS]],""),"")</f>
        <v>7.2691029900332227</v>
      </c>
      <c r="J110">
        <v>-36.950000000000003</v>
      </c>
      <c r="K110">
        <v>-8.48</v>
      </c>
      <c r="L110">
        <v>2.42</v>
      </c>
      <c r="M110" s="1">
        <f>IF(ISNUMBER(Main_S[[#This Row],[EPS]]),IF(Main_S[[#This Row],[EPS]]&lt;&gt;0,Main_S[[#This Row],[Current Price]]/Main_S[[#This Row],[EPS]],""),"")</f>
        <v>-21.038461538461537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1.365124667181377</v>
      </c>
      <c r="P110" s="1">
        <f>(Main_S[[#This Row],[P/B]]-VLOOKUP(Main_S[[#This Row],[Industry]], Mean_PB_S, 2, FALSE))/(VLOOKUP(Main_S[[#This Row],[Industry]], Mean_PB_S, 3, FALSE))</f>
        <v>0.75900509772988645</v>
      </c>
      <c r="Q110" s="1">
        <f>(Main_S[[#This Row],[ROE]]-VLOOKUP(Main_S[[#This Row],[Industry]], Mean_ROE_S, 2, FALSE))/(VLOOKUP(Main_S[[#This Row],[Industry]], Mean_ROE_S, 3, FALSE))</f>
        <v>-0.70752287941358771</v>
      </c>
      <c r="R110" s="1">
        <f>(Main_S[[#This Row],[ROA]]-VLOOKUP(Main_S[[#This Row],[Industry]], Mean_ROA_S, 2, FALSE))/(VLOOKUP(Main_S[[#This Row],[Industry]], Mean_ROA_S, 3, FALSE))</f>
        <v>-1.0992563998432128</v>
      </c>
      <c r="S110" s="1">
        <f>(Main_S[[#This Row],[A/E]]-VLOOKUP(Main_S[[#This Row],[Industry]], Mean_AE_S, 2, FALSE))/(VLOOKUP(Main_S[[#This Row],[Industry]], Mean_AE_S, 3, FALSE))</f>
        <v>0.40951197021353858</v>
      </c>
      <c r="T110" s="1">
        <f>(Main_S[[#This Row],[P/E]]-VLOOKUP(Main_S[[#This Row],[Industry]], Mean_PE_S, 2, FALSE))/(VLOOKUP(Main_S[[#This Row],[Industry]], Mean_PE_S, 3, FALSE))</f>
        <v>-0.56914392732951968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s="67" t="s">
        <v>124</v>
      </c>
      <c r="B111" s="67" t="s">
        <v>404</v>
      </c>
      <c r="C111" s="2">
        <v>399</v>
      </c>
      <c r="D111">
        <f>RTD("tos.rtd", , "LAST", Main_S[[#This Row],[Symbol]])</f>
        <v>21.77</v>
      </c>
      <c r="E111">
        <v>0.48</v>
      </c>
      <c r="F111">
        <v>2.68</v>
      </c>
      <c r="G111">
        <v>0.34</v>
      </c>
      <c r="H111" s="1">
        <f>IF(ISNUMBER(Main_S[[#This Row],[Free CF]]),IF(Main_S[[#This Row],[Free CF]]&lt;&gt;0,Main_S[[#This Row],[Current Price]]/Main_S[[#This Row],[Free CF]],""),"")</f>
        <v>45.354166666666664</v>
      </c>
      <c r="I111" s="1">
        <f>IF(ISNUMBER(Main_S[[#This Row],[BVPS]]),IF(Main_S[[#This Row],[BVPS]]&lt;&gt;0,Main_S[[#This Row],[Current Price]]/Main_S[[#This Row],[BVPS]],""),"")</f>
        <v>8.1231343283582085</v>
      </c>
      <c r="J111">
        <v>14.17</v>
      </c>
      <c r="K111">
        <v>7.02</v>
      </c>
      <c r="L111">
        <v>1.1200000000000001</v>
      </c>
      <c r="M111" s="1">
        <f>IF(ISNUMBER(Main_S[[#This Row],[EPS]]),IF(Main_S[[#This Row],[EPS]]&lt;&gt;0,Main_S[[#This Row],[Current Price]]/Main_S[[#This Row],[EPS]],""),"")</f>
        <v>64.02941176470587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1.5109431899368071</v>
      </c>
      <c r="P111" s="1">
        <f>(Main_S[[#This Row],[P/B]]-VLOOKUP(Main_S[[#This Row],[Industry]], Mean_PB_S, 2, FALSE))/(VLOOKUP(Main_S[[#This Row],[Industry]], Mean_PB_S, 3, FALSE))</f>
        <v>0.98376605586740595</v>
      </c>
      <c r="Q111" s="1">
        <f>(Main_S[[#This Row],[ROE]]-VLOOKUP(Main_S[[#This Row],[Industry]], Mean_ROE_S, 2, FALSE))/(VLOOKUP(Main_S[[#This Row],[Industry]], Mean_ROE_S, 3, FALSE))</f>
        <v>0.5638359534216898</v>
      </c>
      <c r="R111" s="1">
        <f>(Main_S[[#This Row],[ROA]]-VLOOKUP(Main_S[[#This Row],[Industry]], Mean_ROA_S, 2, FALSE))/(VLOOKUP(Main_S[[#This Row],[Industry]], Mean_ROA_S, 3, FALSE))</f>
        <v>0.95608565239228283</v>
      </c>
      <c r="S111" s="1">
        <f>(Main_S[[#This Row],[A/E]]-VLOOKUP(Main_S[[#This Row],[Industry]], Mean_AE_S, 2, FALSE))/(VLOOKUP(Main_S[[#This Row],[Industry]], Mean_AE_S, 3, FALSE))</f>
        <v>-0.67245730692660588</v>
      </c>
      <c r="T111" s="1">
        <f>(Main_S[[#This Row],[P/E]]-VLOOKUP(Main_S[[#This Row],[Industry]], Mean_PE_S, 2, FALSE))/(VLOOKUP(Main_S[[#This Row],[Industry]], Mean_PE_S, 3, FALSE))</f>
        <v>2.2227289228534302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7" t="s">
        <v>124</v>
      </c>
      <c r="B112" s="67" t="s">
        <v>361</v>
      </c>
      <c r="C112" s="2">
        <v>785</v>
      </c>
      <c r="D112">
        <f>RTD("tos.rtd", , "LAST", Main_S[[#This Row],[Symbol]])</f>
        <v>11.2</v>
      </c>
      <c r="E112">
        <v>0.47</v>
      </c>
      <c r="F112">
        <v>2.75</v>
      </c>
      <c r="G112">
        <v>-0.17</v>
      </c>
      <c r="H112" s="1">
        <f>IF(ISNUMBER(Main_S[[#This Row],[Free CF]]),IF(Main_S[[#This Row],[Free CF]]&lt;&gt;0,Main_S[[#This Row],[Current Price]]/Main_S[[#This Row],[Free CF]],""),"")</f>
        <v>23.829787234042552</v>
      </c>
      <c r="I112" s="1">
        <f>IF(ISNUMBER(Main_S[[#This Row],[BVPS]]),IF(Main_S[[#This Row],[BVPS]]&lt;&gt;0,Main_S[[#This Row],[Current Price]]/Main_S[[#This Row],[BVPS]],""),"")</f>
        <v>4.0727272727272723</v>
      </c>
      <c r="J112">
        <v>-3.35</v>
      </c>
      <c r="K112">
        <v>-0.66</v>
      </c>
      <c r="L112">
        <v>2.5099999999999998</v>
      </c>
      <c r="M112" s="1">
        <f>IF(ISNUMBER(Main_S[[#This Row],[EPS]]),IF(Main_S[[#This Row],[EPS]]&lt;&gt;0,Main_S[[#This Row],[Current Price]]/Main_S[[#This Row],[EPS]],""),"")</f>
        <v>-65.882352941176464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0.55323189196820766</v>
      </c>
      <c r="P112" s="1">
        <f>(Main_S[[#This Row],[P/B]]-VLOOKUP(Main_S[[#This Row],[Industry]], Mean_PB_S, 2, FALSE))/(VLOOKUP(Main_S[[#This Row],[Industry]], Mean_PB_S, 3, FALSE))</f>
        <v>-8.2205799985210312E-2</v>
      </c>
      <c r="Q112" s="1">
        <f>(Main_S[[#This Row],[ROE]]-VLOOKUP(Main_S[[#This Row],[Industry]], Mean_ROE_S, 2, FALSE))/(VLOOKUP(Main_S[[#This Row],[Industry]], Mean_ROE_S, 3, FALSE))</f>
        <v>0.12811203418706421</v>
      </c>
      <c r="R112" s="1">
        <f>(Main_S[[#This Row],[ROA]]-VLOOKUP(Main_S[[#This Row],[Industry]], Mean_ROA_S, 2, FALSE))/(VLOOKUP(Main_S[[#This Row],[Industry]], Mean_ROA_S, 3, FALSE))</f>
        <v>-6.2303183812143371E-2</v>
      </c>
      <c r="S112" s="1">
        <f>(Main_S[[#This Row],[A/E]]-VLOOKUP(Main_S[[#This Row],[Industry]], Mean_AE_S, 2, FALSE))/(VLOOKUP(Main_S[[#This Row],[Industry]], Mean_AE_S, 3, FALSE))</f>
        <v>0.48441753555401001</v>
      </c>
      <c r="T112" s="1">
        <f>(Main_S[[#This Row],[P/E]]-VLOOKUP(Main_S[[#This Row],[Industry]], Mean_PE_S, 2, FALSE))/(VLOOKUP(Main_S[[#This Row],[Industry]], Mean_PE_S, 3, FALSE))</f>
        <v>-2.0408915806134624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7" t="s">
        <v>124</v>
      </c>
      <c r="B113" s="67" t="s">
        <v>408</v>
      </c>
      <c r="C113" s="2">
        <v>726</v>
      </c>
      <c r="D113">
        <f>RTD("tos.rtd", , "LAST", Main_S[[#This Row],[Symbol]])</f>
        <v>9.8800000000000008</v>
      </c>
      <c r="E113">
        <v>0.41</v>
      </c>
      <c r="F113">
        <v>0.92</v>
      </c>
      <c r="G113">
        <v>-0.41</v>
      </c>
      <c r="H113" s="1">
        <f>IF(ISNUMBER(Main_S[[#This Row],[Free CF]]),IF(Main_S[[#This Row],[Free CF]]&lt;&gt;0,Main_S[[#This Row],[Current Price]]/Main_S[[#This Row],[Free CF]],""),"")</f>
        <v>24.09756097560976</v>
      </c>
      <c r="I113" s="1">
        <f>IF(ISNUMBER(Main_S[[#This Row],[BVPS]]),IF(Main_S[[#This Row],[BVPS]]&lt;&gt;0,Main_S[[#This Row],[Current Price]]/Main_S[[#This Row],[BVPS]],""),"")</f>
        <v>10.739130434782609</v>
      </c>
      <c r="J113">
        <v>-42.2</v>
      </c>
      <c r="K113">
        <v>-10.64</v>
      </c>
      <c r="L113">
        <v>2.75</v>
      </c>
      <c r="M113" s="1">
        <f>IF(ISNUMBER(Main_S[[#This Row],[EPS]]),IF(Main_S[[#This Row],[EPS]]&lt;&gt;0,Main_S[[#This Row],[Current Price]]/Main_S[[#This Row],[EPS]],""),"")</f>
        <v>-24.09756097560976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0.56514628598829919</v>
      </c>
      <c r="P113" s="1">
        <f>(Main_S[[#This Row],[P/B]]-VLOOKUP(Main_S[[#This Row],[Industry]], Mean_PB_S, 2, FALSE))/(VLOOKUP(Main_S[[#This Row],[Industry]], Mean_PB_S, 3, FALSE))</f>
        <v>1.6722346927644591</v>
      </c>
      <c r="Q113" s="1">
        <f>(Main_S[[#This Row],[ROE]]-VLOOKUP(Main_S[[#This Row],[Industry]], Mean_ROE_S, 2, FALSE))/(VLOOKUP(Main_S[[#This Row],[Industry]], Mean_ROE_S, 3, FALSE))</f>
        <v>-0.83809083466368961</v>
      </c>
      <c r="R113" s="1">
        <f>(Main_S[[#This Row],[ROA]]-VLOOKUP(Main_S[[#This Row],[Industry]], Mean_ROA_S, 2, FALSE))/(VLOOKUP(Main_S[[#This Row],[Industry]], Mean_ROA_S, 3, FALSE))</f>
        <v>-1.3856782600257078</v>
      </c>
      <c r="S113" s="1">
        <f>(Main_S[[#This Row],[A/E]]-VLOOKUP(Main_S[[#This Row],[Industry]], Mean_AE_S, 2, FALSE))/(VLOOKUP(Main_S[[#This Row],[Industry]], Mean_AE_S, 3, FALSE))</f>
        <v>0.68416570979526758</v>
      </c>
      <c r="T113" s="1">
        <f>(Main_S[[#This Row],[P/E]]-VLOOKUP(Main_S[[#This Row],[Industry]], Mean_PE_S, 2, FALSE))/(VLOOKUP(Main_S[[#This Row],[Industry]], Mean_PE_S, 3, FALSE))</f>
        <v>-0.669541601950428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7" t="s">
        <v>124</v>
      </c>
      <c r="B114" s="67" t="s">
        <v>411</v>
      </c>
      <c r="C114" s="2">
        <v>836</v>
      </c>
      <c r="D114">
        <f>RTD("tos.rtd", , "LAST", Main_S[[#This Row],[Symbol]])</f>
        <v>8.75</v>
      </c>
      <c r="E114">
        <v>0.38</v>
      </c>
      <c r="F114">
        <v>1.21</v>
      </c>
      <c r="G114">
        <v>-0.22</v>
      </c>
      <c r="H114" s="1">
        <f>IF(ISNUMBER(Main_S[[#This Row],[Free CF]]),IF(Main_S[[#This Row],[Free CF]]&lt;&gt;0,Main_S[[#This Row],[Current Price]]/Main_S[[#This Row],[Free CF]],""),"")</f>
        <v>23.026315789473685</v>
      </c>
      <c r="I114" s="1">
        <f>IF(ISNUMBER(Main_S[[#This Row],[BVPS]]),IF(Main_S[[#This Row],[BVPS]]&lt;&gt;0,Main_S[[#This Row],[Current Price]]/Main_S[[#This Row],[BVPS]],""),"")</f>
        <v>7.2314049586776861</v>
      </c>
      <c r="J114">
        <v>-18.61</v>
      </c>
      <c r="K114">
        <v>-0.37</v>
      </c>
      <c r="L114">
        <v>3.98</v>
      </c>
      <c r="M114" s="1">
        <f>IF(ISNUMBER(Main_S[[#This Row],[EPS]]),IF(Main_S[[#This Row],[EPS]]&lt;&gt;0,Main_S[[#This Row],[Current Price]]/Main_S[[#This Row],[EPS]],""),"")</f>
        <v>-39.772727272727273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0.51748202598635973</v>
      </c>
      <c r="P114" s="1">
        <f>(Main_S[[#This Row],[P/B]]-VLOOKUP(Main_S[[#This Row],[Industry]], Mean_PB_S, 2, FALSE))/(VLOOKUP(Main_S[[#This Row],[Industry]], Mean_PB_S, 3, FALSE))</f>
        <v>0.7490838626801436</v>
      </c>
      <c r="Q114" s="1">
        <f>(Main_S[[#This Row],[ROE]]-VLOOKUP(Main_S[[#This Row],[Industry]], Mean_ROE_S, 2, FALSE))/(VLOOKUP(Main_S[[#This Row],[Industry]], Mean_ROE_S, 3, FALSE))</f>
        <v>-0.25140548907323185</v>
      </c>
      <c r="R114" s="1">
        <f>(Main_S[[#This Row],[ROA]]-VLOOKUP(Main_S[[#This Row],[Industry]], Mean_ROA_S, 2, FALSE))/(VLOOKUP(Main_S[[#This Row],[Industry]], Mean_ROA_S, 3, FALSE))</f>
        <v>-2.3848397028382474E-2</v>
      </c>
      <c r="S114" s="1">
        <f>(Main_S[[#This Row],[A/E]]-VLOOKUP(Main_S[[#This Row],[Industry]], Mean_AE_S, 2, FALSE))/(VLOOKUP(Main_S[[#This Row],[Industry]], Mean_AE_S, 3, FALSE))</f>
        <v>1.7078751027817123</v>
      </c>
      <c r="T114" s="1">
        <f>(Main_S[[#This Row],[P/E]]-VLOOKUP(Main_S[[#This Row],[Industry]], Mean_PE_S, 2, FALSE))/(VLOOKUP(Main_S[[#This Row],[Industry]], Mean_PE_S, 3, FALSE))</f>
        <v>-1.1839904709266285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7" t="s">
        <v>124</v>
      </c>
      <c r="B115" s="67" t="s">
        <v>415</v>
      </c>
      <c r="C115" s="2">
        <v>1473</v>
      </c>
      <c r="D115">
        <f>RTD("tos.rtd", , "LAST", Main_S[[#This Row],[Symbol]])</f>
        <v>8.1999999999999993</v>
      </c>
      <c r="E115">
        <v>0.38</v>
      </c>
      <c r="F115">
        <v>4.0999999999999996</v>
      </c>
      <c r="G115">
        <v>0.08</v>
      </c>
      <c r="H115" s="1">
        <f>IF(ISNUMBER(Main_S[[#This Row],[Free CF]]),IF(Main_S[[#This Row],[Free CF]]&lt;&gt;0,Main_S[[#This Row],[Current Price]]/Main_S[[#This Row],[Free CF]],""),"")</f>
        <v>21.578947368421051</v>
      </c>
      <c r="I115" s="1">
        <f>IF(ISNUMBER(Main_S[[#This Row],[BVPS]]),IF(Main_S[[#This Row],[BVPS]]&lt;&gt;0,Main_S[[#This Row],[Current Price]]/Main_S[[#This Row],[BVPS]],""),"")</f>
        <v>2</v>
      </c>
      <c r="J115">
        <v>2.2000000000000002</v>
      </c>
      <c r="K115">
        <v>3.46</v>
      </c>
      <c r="L115">
        <v>1.74</v>
      </c>
      <c r="M115" s="1">
        <f>IF(ISNUMBER(Main_S[[#This Row],[EPS]]),IF(Main_S[[#This Row],[EPS]]&lt;&gt;0,Main_S[[#This Row],[Current Price]]/Main_S[[#This Row],[EPS]],""),"")</f>
        <v>102.49999999999999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0.45308244162184608</v>
      </c>
      <c r="P115" s="1">
        <f>(Main_S[[#This Row],[P/B]]-VLOOKUP(Main_S[[#This Row],[Industry]], Mean_PB_S, 2, FALSE))/(VLOOKUP(Main_S[[#This Row],[Industry]], Mean_PB_S, 3, FALSE))</f>
        <v>-0.62769885963060712</v>
      </c>
      <c r="Q115" s="1">
        <f>(Main_S[[#This Row],[ROE]]-VLOOKUP(Main_S[[#This Row],[Industry]], Mean_ROE_S, 2, FALSE))/(VLOOKUP(Main_S[[#This Row],[Industry]], Mean_ROE_S, 3, FALSE))</f>
        <v>0.26614101545145757</v>
      </c>
      <c r="R115" s="1">
        <f>(Main_S[[#This Row],[ROA]]-VLOOKUP(Main_S[[#This Row],[Industry]], Mean_ROA_S, 2, FALSE))/(VLOOKUP(Main_S[[#This Row],[Industry]], Mean_ROA_S, 3, FALSE))</f>
        <v>0.48401999394335615</v>
      </c>
      <c r="S115" s="1">
        <f>(Main_S[[#This Row],[A/E]]-VLOOKUP(Main_S[[#This Row],[Industry]], Mean_AE_S, 2, FALSE))/(VLOOKUP(Main_S[[#This Row],[Industry]], Mean_AE_S, 3, FALSE))</f>
        <v>-0.15644119013669083</v>
      </c>
      <c r="T115" s="1">
        <f>(Main_S[[#This Row],[P/E]]-VLOOKUP(Main_S[[#This Row],[Industry]], Mean_PE_S, 2, FALSE))/(VLOOKUP(Main_S[[#This Row],[Industry]], Mean_PE_S, 3, FALSE))</f>
        <v>3.4853088681861668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6" spans="1:26" x14ac:dyDescent="0.25">
      <c r="A116" s="67" t="s">
        <v>124</v>
      </c>
      <c r="B116" s="67" t="s">
        <v>410</v>
      </c>
      <c r="C116" s="2">
        <v>350</v>
      </c>
      <c r="D116">
        <f>RTD("tos.rtd", , "LAST", Main_S[[#This Row],[Symbol]])</f>
        <v>6.13</v>
      </c>
      <c r="E116">
        <v>0.35</v>
      </c>
      <c r="F116">
        <v>5.09</v>
      </c>
      <c r="G116">
        <v>-0.05</v>
      </c>
      <c r="H116" s="1">
        <f>IF(ISNUMBER(Main_S[[#This Row],[Free CF]]),IF(Main_S[[#This Row],[Free CF]]&lt;&gt;0,Main_S[[#This Row],[Current Price]]/Main_S[[#This Row],[Free CF]],""),"")</f>
        <v>17.514285714285716</v>
      </c>
      <c r="I116" s="1">
        <f>IF(ISNUMBER(Main_S[[#This Row],[BVPS]]),IF(Main_S[[#This Row],[BVPS]]&lt;&gt;0,Main_S[[#This Row],[Current Price]]/Main_S[[#This Row],[BVPS]],""),"")</f>
        <v>1.2043222003929273</v>
      </c>
      <c r="J116">
        <v>-1.22</v>
      </c>
      <c r="K116">
        <v>-0.11</v>
      </c>
      <c r="L116">
        <v>1.53</v>
      </c>
      <c r="M116" s="1">
        <f>IF(ISNUMBER(Main_S[[#This Row],[EPS]]),IF(Main_S[[#This Row],[EPS]]&lt;&gt;0,Main_S[[#This Row],[Current Price]]/Main_S[[#This Row],[EPS]],""),"")</f>
        <v>-122.6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0.27222833612856795</v>
      </c>
      <c r="P116" s="1">
        <f>(Main_S[[#This Row],[P/B]]-VLOOKUP(Main_S[[#This Row],[Industry]], Mean_PB_S, 2, FALSE))/(VLOOKUP(Main_S[[#This Row],[Industry]], Mean_PB_S, 3, FALSE))</f>
        <v>-0.83710253907777243</v>
      </c>
      <c r="Q116" s="1">
        <f>(Main_S[[#This Row],[ROE]]-VLOOKUP(Main_S[[#This Row],[Industry]], Mean_ROE_S, 2, FALSE))/(VLOOKUP(Main_S[[#This Row],[Industry]], Mean_ROE_S, 3, FALSE))</f>
        <v>0.1810853188885341</v>
      </c>
      <c r="R116" s="1">
        <f>(Main_S[[#This Row],[ROA]]-VLOOKUP(Main_S[[#This Row],[Industry]], Mean_ROA_S, 2, FALSE))/(VLOOKUP(Main_S[[#This Row],[Industry]], Mean_ROA_S, 3, FALSE))</f>
        <v>1.0628308363954874E-2</v>
      </c>
      <c r="S116" s="1">
        <f>(Main_S[[#This Row],[A/E]]-VLOOKUP(Main_S[[#This Row],[Industry]], Mean_AE_S, 2, FALSE))/(VLOOKUP(Main_S[[#This Row],[Industry]], Mean_AE_S, 3, FALSE))</f>
        <v>-0.33122084259779111</v>
      </c>
      <c r="T116" s="1">
        <f>(Main_S[[#This Row],[P/E]]-VLOOKUP(Main_S[[#This Row],[Industry]], Mean_PE_S, 2, FALSE))/(VLOOKUP(Main_S[[#This Row],[Industry]], Mean_PE_S, 3, FALSE))</f>
        <v>-3.9023282523104417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7" spans="1:26" x14ac:dyDescent="0.25">
      <c r="A117" s="67" t="s">
        <v>124</v>
      </c>
      <c r="B117" s="67" t="s">
        <v>400</v>
      </c>
      <c r="C117" s="2">
        <v>1458</v>
      </c>
      <c r="D117">
        <f>RTD("tos.rtd", , "LAST", Main_S[[#This Row],[Symbol]])</f>
        <v>10.050000000000001</v>
      </c>
      <c r="E117">
        <v>0.28999999999999998</v>
      </c>
      <c r="F117">
        <v>1.82</v>
      </c>
      <c r="G117">
        <v>0.05</v>
      </c>
      <c r="H117" s="1">
        <f>IF(ISNUMBER(Main_S[[#This Row],[Free CF]]),IF(Main_S[[#This Row],[Free CF]]&lt;&gt;0,Main_S[[#This Row],[Current Price]]/Main_S[[#This Row],[Free CF]],""),"")</f>
        <v>34.65517241379311</v>
      </c>
      <c r="I117" s="1">
        <f>IF(ISNUMBER(Main_S[[#This Row],[BVPS]]),IF(Main_S[[#This Row],[BVPS]]&lt;&gt;0,Main_S[[#This Row],[Current Price]]/Main_S[[#This Row],[BVPS]],""),"")</f>
        <v>5.5219780219780219</v>
      </c>
      <c r="J117">
        <v>2.37</v>
      </c>
      <c r="K117">
        <v>1.19</v>
      </c>
      <c r="L117">
        <v>1.55</v>
      </c>
      <c r="M117" s="1">
        <f>IF(ISNUMBER(Main_S[[#This Row],[EPS]]),IF(Main_S[[#This Row],[EPS]]&lt;&gt;0,Main_S[[#This Row],[Current Price]]/Main_S[[#This Row],[EPS]],""),"")</f>
        <v>201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1.0348993762253831</v>
      </c>
      <c r="P117" s="1">
        <f>(Main_S[[#This Row],[P/B]]-VLOOKUP(Main_S[[#This Row],[Industry]], Mean_PB_S, 2, FALSE))/(VLOOKUP(Main_S[[#This Row],[Industry]], Mean_PB_S, 3, FALSE))</f>
        <v>0.29920290525268128</v>
      </c>
      <c r="Q117" s="1">
        <f>(Main_S[[#This Row],[ROE]]-VLOOKUP(Main_S[[#This Row],[Industry]], Mean_ROE_S, 2, FALSE))/(VLOOKUP(Main_S[[#This Row],[Industry]], Mean_ROE_S, 3, FALSE))</f>
        <v>0.27036893019288949</v>
      </c>
      <c r="R117" s="1">
        <f>(Main_S[[#This Row],[ROA]]-VLOOKUP(Main_S[[#This Row],[Industry]], Mean_ROA_S, 2, FALSE))/(VLOOKUP(Main_S[[#This Row],[Industry]], Mean_ROA_S, 3, FALSE))</f>
        <v>0.18301183532564161</v>
      </c>
      <c r="S117" s="1">
        <f>(Main_S[[#This Row],[A/E]]-VLOOKUP(Main_S[[#This Row],[Industry]], Mean_AE_S, 2, FALSE))/(VLOOKUP(Main_S[[#This Row],[Industry]], Mean_AE_S, 3, FALSE))</f>
        <v>-0.3145751614110196</v>
      </c>
      <c r="T117" s="1">
        <f>(Main_S[[#This Row],[P/E]]-VLOOKUP(Main_S[[#This Row],[Industry]], Mean_PE_S, 2, FALSE))/(VLOOKUP(Main_S[[#This Row],[Industry]], Mean_PE_S, 3, FALSE))</f>
        <v>6.7180154713355051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8" spans="1:26" x14ac:dyDescent="0.25">
      <c r="A118" s="67" t="s">
        <v>124</v>
      </c>
      <c r="B118" s="67" t="s">
        <v>401</v>
      </c>
      <c r="C118" s="2">
        <v>620</v>
      </c>
      <c r="D118">
        <f>RTD("tos.rtd", , "LAST", Main_S[[#This Row],[Symbol]])</f>
        <v>8.2200000000000006</v>
      </c>
      <c r="E118">
        <v>0.27</v>
      </c>
      <c r="F118">
        <v>0.28999999999999998</v>
      </c>
      <c r="G118">
        <v>-0.22</v>
      </c>
      <c r="H118" s="1">
        <f>IF(ISNUMBER(Main_S[[#This Row],[Free CF]]),IF(Main_S[[#This Row],[Free CF]]&lt;&gt;0,Main_S[[#This Row],[Current Price]]/Main_S[[#This Row],[Free CF]],""),"")</f>
        <v>30.444444444444446</v>
      </c>
      <c r="I118" s="1">
        <f>IF(ISNUMBER(Main_S[[#This Row],[BVPS]]),IF(Main_S[[#This Row],[BVPS]]&lt;&gt;0,Main_S[[#This Row],[Current Price]]/Main_S[[#This Row],[BVPS]],""),"")</f>
        <v>28.3448275862069</v>
      </c>
      <c r="J118">
        <v>-83.47</v>
      </c>
      <c r="K118">
        <v>-4.09</v>
      </c>
      <c r="L118">
        <v>9.91</v>
      </c>
      <c r="M118" s="1">
        <f>IF(ISNUMBER(Main_S[[#This Row],[EPS]]),IF(Main_S[[#This Row],[EPS]]&lt;&gt;0,Main_S[[#This Row],[Current Price]]/Main_S[[#This Row],[EPS]],""),"")</f>
        <v>-37.363636363636367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0.84754615837579639</v>
      </c>
      <c r="P118" s="1">
        <f>(Main_S[[#This Row],[P/B]]-VLOOKUP(Main_S[[#This Row],[Industry]], Mean_PB_S, 2, FALSE))/(VLOOKUP(Main_S[[#This Row],[Industry]], Mean_PB_S, 3, FALSE))</f>
        <v>6.3056400291472459</v>
      </c>
      <c r="Q118" s="1">
        <f>(Main_S[[#This Row],[ROE]]-VLOOKUP(Main_S[[#This Row],[Industry]], Mean_ROE_S, 2, FALSE))/(VLOOKUP(Main_S[[#This Row],[Industry]], Mean_ROE_S, 3, FALSE))</f>
        <v>-1.8644793133630615</v>
      </c>
      <c r="R118" s="1">
        <f>(Main_S[[#This Row],[ROA]]-VLOOKUP(Main_S[[#This Row],[Industry]], Mean_ROA_S, 2, FALSE))/(VLOOKUP(Main_S[[#This Row],[Industry]], Mean_ROA_S, 3, FALSE))</f>
        <v>-0.51713048956490149</v>
      </c>
      <c r="S118" s="1">
        <f>(Main_S[[#This Row],[A/E]]-VLOOKUP(Main_S[[#This Row],[Industry]], Mean_AE_S, 2, FALSE))/(VLOOKUP(Main_S[[#This Row],[Industry]], Mean_AE_S, 3, FALSE))</f>
        <v>6.643319574659448</v>
      </c>
      <c r="T118" s="1">
        <f>(Main_S[[#This Row],[P/E]]-VLOOKUP(Main_S[[#This Row],[Industry]], Mean_PE_S, 2, FALSE))/(VLOOKUP(Main_S[[#This Row],[Industry]], Mean_PE_S, 3, FALSE))</f>
        <v>-1.1049256578362203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7" t="s">
        <v>124</v>
      </c>
      <c r="B119" s="67" t="s">
        <v>419</v>
      </c>
      <c r="C119" s="2">
        <v>463</v>
      </c>
      <c r="D119">
        <f>RTD("tos.rtd", , "LAST", Main_S[[#This Row],[Symbol]])</f>
        <v>29.650099999999998</v>
      </c>
      <c r="E119">
        <v>0.24</v>
      </c>
      <c r="F119">
        <v>3.27</v>
      </c>
      <c r="G119">
        <v>7.0000000000000007E-2</v>
      </c>
      <c r="H119" s="1">
        <f>IF(ISNUMBER(Main_S[[#This Row],[Free CF]]),IF(Main_S[[#This Row],[Free CF]]&lt;&gt;0,Main_S[[#This Row],[Current Price]]/Main_S[[#This Row],[Free CF]],""),"")</f>
        <v>123.54208333333334</v>
      </c>
      <c r="I119" s="1">
        <f>IF(ISNUMBER(Main_S[[#This Row],[BVPS]]),IF(Main_S[[#This Row],[BVPS]]&lt;&gt;0,Main_S[[#This Row],[Current Price]]/Main_S[[#This Row],[BVPS]],""),"")</f>
        <v>9.0673088685015291</v>
      </c>
      <c r="J119">
        <v>4.5599999999999996</v>
      </c>
      <c r="K119">
        <v>2.7</v>
      </c>
      <c r="L119">
        <v>2.16</v>
      </c>
      <c r="M119" s="1">
        <f>IF(ISNUMBER(Main_S[[#This Row],[EPS]]),IF(Main_S[[#This Row],[EPS]]&lt;&gt;0,Main_S[[#This Row],[Current Price]]/Main_S[[#This Row],[EPS]],""),"")</f>
        <v>423.57285714285706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4.9898565491204669</v>
      </c>
      <c r="P119" s="1">
        <f>(Main_S[[#This Row],[P/B]]-VLOOKUP(Main_S[[#This Row],[Industry]], Mean_PB_S, 2, FALSE))/(VLOOKUP(Main_S[[#This Row],[Industry]], Mean_PB_S, 3, FALSE))</f>
        <v>1.2322505842078761</v>
      </c>
      <c r="Q119" s="1">
        <f>(Main_S[[#This Row],[ROE]]-VLOOKUP(Main_S[[#This Row],[Industry]], Mean_ROE_S, 2, FALSE))/(VLOOKUP(Main_S[[#This Row],[Industry]], Mean_ROE_S, 3, FALSE))</f>
        <v>0.32483442009721764</v>
      </c>
      <c r="R119" s="1">
        <f>(Main_S[[#This Row],[ROA]]-VLOOKUP(Main_S[[#This Row],[Industry]], Mean_ROA_S, 2, FALSE))/(VLOOKUP(Main_S[[#This Row],[Industry]], Mean_ROA_S, 3, FALSE))</f>
        <v>0.38324193202729312</v>
      </c>
      <c r="S119" s="1">
        <f>(Main_S[[#This Row],[A/E]]-VLOOKUP(Main_S[[#This Row],[Industry]], Mean_AE_S, 2, FALSE))/(VLOOKUP(Main_S[[#This Row],[Industry]], Mean_AE_S, 3, FALSE))</f>
        <v>0.19311811478550983</v>
      </c>
      <c r="T119" s="1">
        <f>(Main_S[[#This Row],[P/E]]-VLOOKUP(Main_S[[#This Row],[Industry]], Mean_PE_S, 2, FALSE))/(VLOOKUP(Main_S[[#This Row],[Industry]], Mean_PE_S, 3, FALSE))</f>
        <v>14.022713389787571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0" spans="1:26" x14ac:dyDescent="0.25">
      <c r="A120" s="67" t="s">
        <v>124</v>
      </c>
      <c r="B120" s="67" t="s">
        <v>504</v>
      </c>
      <c r="C120" s="2">
        <v>405</v>
      </c>
      <c r="D120">
        <f>RTD("tos.rtd", , "LAST", Main_S[[#This Row],[Symbol]])</f>
        <v>5.1543999999999999</v>
      </c>
      <c r="E120">
        <v>0.24</v>
      </c>
      <c r="F120">
        <v>0.72</v>
      </c>
      <c r="G120">
        <v>0.19</v>
      </c>
      <c r="H120" s="1">
        <f>IF(ISNUMBER(Main_S[[#This Row],[Free CF]]),IF(Main_S[[#This Row],[Free CF]]&lt;&gt;0,Main_S[[#This Row],[Current Price]]/Main_S[[#This Row],[Free CF]],""),"")</f>
        <v>21.476666666666667</v>
      </c>
      <c r="I120" s="1">
        <f>IF(ISNUMBER(Main_S[[#This Row],[BVPS]]),IF(Main_S[[#This Row],[BVPS]]&lt;&gt;0,Main_S[[#This Row],[Current Price]]/Main_S[[#This Row],[BVPS]],""),"")</f>
        <v>7.1588888888888889</v>
      </c>
      <c r="J120">
        <v>29.19</v>
      </c>
      <c r="K120">
        <v>11.47</v>
      </c>
      <c r="L120">
        <v>2.38</v>
      </c>
      <c r="M120" s="1">
        <f>IF(ISNUMBER(Main_S[[#This Row],[EPS]]),IF(Main_S[[#This Row],[EPS]]&lt;&gt;0,Main_S[[#This Row],[Current Price]]/Main_S[[#This Row],[EPS]],""),"")</f>
        <v>27.128421052631577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0.44853153766008713</v>
      </c>
      <c r="P120" s="1">
        <f>(Main_S[[#This Row],[P/B]]-VLOOKUP(Main_S[[#This Row],[Industry]], Mean_PB_S, 2, FALSE))/(VLOOKUP(Main_S[[#This Row],[Industry]], Mean_PB_S, 3, FALSE))</f>
        <v>0.72999933896926406</v>
      </c>
      <c r="Q120" s="1">
        <f>(Main_S[[#This Row],[ROE]]-VLOOKUP(Main_S[[#This Row],[Industry]], Mean_ROE_S, 2, FALSE))/(VLOOKUP(Main_S[[#This Row],[Industry]], Mean_ROE_S, 3, FALSE))</f>
        <v>0.93738465587055253</v>
      </c>
      <c r="R120" s="1">
        <f>(Main_S[[#This Row],[ROA]]-VLOOKUP(Main_S[[#This Row],[Industry]], Mean_ROA_S, 2, FALSE))/(VLOOKUP(Main_S[[#This Row],[Industry]], Mean_ROA_S, 3, FALSE))</f>
        <v>1.5461677254534416</v>
      </c>
      <c r="S120" s="1">
        <f>(Main_S[[#This Row],[A/E]]-VLOOKUP(Main_S[[#This Row],[Industry]], Mean_AE_S, 2, FALSE))/(VLOOKUP(Main_S[[#This Row],[Industry]], Mean_AE_S, 3, FALSE))</f>
        <v>0.37622060783999561</v>
      </c>
      <c r="T120" s="1">
        <f>(Main_S[[#This Row],[P/E]]-VLOOKUP(Main_S[[#This Row],[Industry]], Mean_PE_S, 2, FALSE))/(VLOOKUP(Main_S[[#This Row],[Industry]], Mean_PE_S, 3, FALSE))</f>
        <v>1.0116621580039382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s="67" t="s">
        <v>124</v>
      </c>
      <c r="B121" s="67" t="s">
        <v>369</v>
      </c>
      <c r="C121" s="2">
        <v>998</v>
      </c>
      <c r="D121">
        <f>RTD("tos.rtd", , "LAST", Main_S[[#This Row],[Symbol]])</f>
        <v>3.22</v>
      </c>
      <c r="E121">
        <v>0.24</v>
      </c>
      <c r="F121">
        <v>2.73</v>
      </c>
      <c r="G121">
        <v>-2.14</v>
      </c>
      <c r="H121" s="1">
        <f>IF(ISNUMBER(Main_S[[#This Row],[Free CF]]),IF(Main_S[[#This Row],[Free CF]]&lt;&gt;0,Main_S[[#This Row],[Current Price]]/Main_S[[#This Row],[Free CF]],""),"")</f>
        <v>13.416666666666668</v>
      </c>
      <c r="I121" s="1">
        <f>IF(ISNUMBER(Main_S[[#This Row],[BVPS]]),IF(Main_S[[#This Row],[BVPS]]&lt;&gt;0,Main_S[[#This Row],[Current Price]]/Main_S[[#This Row],[BVPS]],""),"")</f>
        <v>1.1794871794871795</v>
      </c>
      <c r="J121">
        <v>-58.96</v>
      </c>
      <c r="K121">
        <v>-0.32</v>
      </c>
      <c r="L121">
        <v>2.81</v>
      </c>
      <c r="M121" s="1">
        <f>IF(ISNUMBER(Main_S[[#This Row],[EPS]]),IF(Main_S[[#This Row],[EPS]]&lt;&gt;0,Main_S[[#This Row],[Current Price]]/Main_S[[#This Row],[EPS]],""),"")</f>
        <v>-1.5046728971962617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8.9907815857119405E-2</v>
      </c>
      <c r="P121" s="1">
        <f>(Main_S[[#This Row],[P/B]]-VLOOKUP(Main_S[[#This Row],[Industry]], Mean_PB_S, 2, FALSE))/(VLOOKUP(Main_S[[#This Row],[Industry]], Mean_PB_S, 3, FALSE))</f>
        <v>-0.8436385323647273</v>
      </c>
      <c r="Q121" s="1">
        <f>(Main_S[[#This Row],[ROE]]-VLOOKUP(Main_S[[#This Row],[Industry]], Mean_ROE_S, 2, FALSE))/(VLOOKUP(Main_S[[#This Row],[Industry]], Mean_ROE_S, 3, FALSE))</f>
        <v>-1.2549134879954433</v>
      </c>
      <c r="R121" s="1">
        <f>(Main_S[[#This Row],[ROA]]-VLOOKUP(Main_S[[#This Row],[Industry]], Mean_ROA_S, 2, FALSE))/(VLOOKUP(Main_S[[#This Row],[Industry]], Mean_ROA_S, 3, FALSE))</f>
        <v>-1.7218261376009909E-2</v>
      </c>
      <c r="S121" s="1">
        <f>(Main_S[[#This Row],[A/E]]-VLOOKUP(Main_S[[#This Row],[Industry]], Mean_AE_S, 2, FALSE))/(VLOOKUP(Main_S[[#This Row],[Industry]], Mean_AE_S, 3, FALSE))</f>
        <v>0.73410275335558206</v>
      </c>
      <c r="T121" s="1">
        <f>(Main_S[[#This Row],[P/E]]-VLOOKUP(Main_S[[#This Row],[Industry]], Mean_PE_S, 2, FALSE))/(VLOOKUP(Main_S[[#This Row],[Industry]], Mean_PE_S, 3, FALSE))</f>
        <v>7.1942443484102628E-2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7" t="s">
        <v>124</v>
      </c>
      <c r="B122" s="67" t="s">
        <v>398</v>
      </c>
      <c r="C122" s="2">
        <v>796</v>
      </c>
      <c r="D122">
        <f>RTD("tos.rtd", , "LAST", Main_S[[#This Row],[Symbol]])</f>
        <v>5.17</v>
      </c>
      <c r="E122">
        <v>0.19</v>
      </c>
      <c r="F122">
        <v>2.2599999999999998</v>
      </c>
      <c r="G122">
        <v>-0.22</v>
      </c>
      <c r="H122" s="1">
        <f>IF(ISNUMBER(Main_S[[#This Row],[Free CF]]),IF(Main_S[[#This Row],[Free CF]]&lt;&gt;0,Main_S[[#This Row],[Current Price]]/Main_S[[#This Row],[Free CF]],""),"")</f>
        <v>27.210526315789473</v>
      </c>
      <c r="I122" s="1">
        <f>IF(ISNUMBER(Main_S[[#This Row],[BVPS]]),IF(Main_S[[#This Row],[BVPS]]&lt;&gt;0,Main_S[[#This Row],[Current Price]]/Main_S[[#This Row],[BVPS]],""),"")</f>
        <v>2.2876106194690267</v>
      </c>
      <c r="J122">
        <v>-9</v>
      </c>
      <c r="K122">
        <v>-5.83</v>
      </c>
      <c r="L122">
        <v>1.28</v>
      </c>
      <c r="M122" s="1">
        <f>IF(ISNUMBER(Main_S[[#This Row],[EPS]]),IF(Main_S[[#This Row],[EPS]]&lt;&gt;0,Main_S[[#This Row],[Current Price]]/Main_S[[#This Row],[EPS]],""),"")</f>
        <v>-23.5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0.70365536987649902</v>
      </c>
      <c r="P122" s="1">
        <f>(Main_S[[#This Row],[P/B]]-VLOOKUP(Main_S[[#This Row],[Industry]], Mean_PB_S, 2, FALSE))/(VLOOKUP(Main_S[[#This Row],[Industry]], Mean_PB_S, 3, FALSE))</f>
        <v>-0.55200651029695191</v>
      </c>
      <c r="Q122" s="1">
        <f>(Main_S[[#This Row],[ROE]]-VLOOKUP(Main_S[[#This Row],[Industry]], Mean_ROE_S, 2, FALSE))/(VLOOKUP(Main_S[[#This Row],[Industry]], Mean_ROE_S, 3, FALSE))</f>
        <v>-1.2403955748759705E-2</v>
      </c>
      <c r="R122" s="1">
        <f>(Main_S[[#This Row],[ROA]]-VLOOKUP(Main_S[[#This Row],[Industry]], Mean_ROA_S, 2, FALSE))/(VLOOKUP(Main_S[[#This Row],[Industry]], Mean_ROA_S, 3, FALSE))</f>
        <v>-0.74785921026746682</v>
      </c>
      <c r="S122" s="1">
        <f>(Main_S[[#This Row],[A/E]]-VLOOKUP(Main_S[[#This Row],[Industry]], Mean_AE_S, 2, FALSE))/(VLOOKUP(Main_S[[#This Row],[Industry]], Mean_AE_S, 3, FALSE))</f>
        <v>-0.53929185743243424</v>
      </c>
      <c r="T122" s="1">
        <f>(Main_S[[#This Row],[P/E]]-VLOOKUP(Main_S[[#This Row],[Industry]], Mean_PE_S, 2, FALSE))/(VLOOKUP(Main_S[[#This Row],[Industry]], Mean_PE_S, 3, FALSE))</f>
        <v>-0.64993003533481353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7" t="s">
        <v>124</v>
      </c>
      <c r="B123" s="67" t="s">
        <v>505</v>
      </c>
      <c r="C123" s="2">
        <v>342</v>
      </c>
      <c r="D123">
        <f>RTD("tos.rtd", , "LAST", Main_S[[#This Row],[Symbol]])</f>
        <v>8.9499999999999993</v>
      </c>
      <c r="E123">
        <v>0.17</v>
      </c>
      <c r="F123">
        <v>1.26</v>
      </c>
      <c r="G123">
        <v>-0.09</v>
      </c>
      <c r="H123" s="1">
        <f>IF(ISNUMBER(Main_S[[#This Row],[Free CF]]),IF(Main_S[[#This Row],[Free CF]]&lt;&gt;0,Main_S[[#This Row],[Current Price]]/Main_S[[#This Row],[Free CF]],""),"")</f>
        <v>52.647058823529406</v>
      </c>
      <c r="I123" s="1">
        <f>IF(ISNUMBER(Main_S[[#This Row],[BVPS]]),IF(Main_S[[#This Row],[BVPS]]&lt;&gt;0,Main_S[[#This Row],[Current Price]]/Main_S[[#This Row],[BVPS]],""),"")</f>
        <v>7.1031746031746028</v>
      </c>
      <c r="J123">
        <v>-7.51</v>
      </c>
      <c r="K123">
        <v>-1.82</v>
      </c>
      <c r="L123">
        <v>2.81</v>
      </c>
      <c r="M123" s="1">
        <f>IF(ISNUMBER(Main_S[[#This Row],[EPS]]),IF(Main_S[[#This Row],[EPS]]&lt;&gt;0,Main_S[[#This Row],[Current Price]]/Main_S[[#This Row],[EPS]],""),"")</f>
        <v>-99.444444444444443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1.8354350172323144</v>
      </c>
      <c r="P123" s="1">
        <f>(Main_S[[#This Row],[P/B]]-VLOOKUP(Main_S[[#This Row],[Industry]], Mean_PB_S, 2, FALSE))/(VLOOKUP(Main_S[[#This Row],[Industry]], Mean_PB_S, 3, FALSE))</f>
        <v>0.71533664958405885</v>
      </c>
      <c r="Q123" s="1">
        <f>(Main_S[[#This Row],[ROE]]-VLOOKUP(Main_S[[#This Row],[Industry]], Mean_ROE_S, 2, FALSE))/(VLOOKUP(Main_S[[#This Row],[Industry]], Mean_ROE_S, 3, FALSE))</f>
        <v>2.4652473455554921E-2</v>
      </c>
      <c r="R123" s="1">
        <f>(Main_S[[#This Row],[ROA]]-VLOOKUP(Main_S[[#This Row],[Industry]], Mean_ROA_S, 2, FALSE))/(VLOOKUP(Main_S[[#This Row],[Industry]], Mean_ROA_S, 3, FALSE))</f>
        <v>-0.21612233094718694</v>
      </c>
      <c r="S123" s="1">
        <f>(Main_S[[#This Row],[A/E]]-VLOOKUP(Main_S[[#This Row],[Industry]], Mean_AE_S, 2, FALSE))/(VLOOKUP(Main_S[[#This Row],[Industry]], Mean_AE_S, 3, FALSE))</f>
        <v>0.73410275335558206</v>
      </c>
      <c r="T123" s="1">
        <f>(Main_S[[#This Row],[P/E]]-VLOOKUP(Main_S[[#This Row],[Industry]], Mean_PE_S, 2, FALSE))/(VLOOKUP(Main_S[[#This Row],[Industry]], Mean_PE_S, 3, FALSE))</f>
        <v>-3.1423778224217536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4" spans="1:26" x14ac:dyDescent="0.25">
      <c r="A124" s="67" t="s">
        <v>124</v>
      </c>
      <c r="B124" s="67" t="s">
        <v>387</v>
      </c>
      <c r="C124" s="2">
        <v>1456</v>
      </c>
      <c r="D124">
        <f>RTD("tos.rtd", , "LAST", Main_S[[#This Row],[Symbol]])</f>
        <v>8.75</v>
      </c>
      <c r="E124">
        <v>0.14000000000000001</v>
      </c>
      <c r="F124">
        <v>4.16</v>
      </c>
      <c r="G124">
        <v>0.01</v>
      </c>
      <c r="H124" s="1">
        <f>IF(ISNUMBER(Main_S[[#This Row],[Free CF]]),IF(Main_S[[#This Row],[Free CF]]&lt;&gt;0,Main_S[[#This Row],[Current Price]]/Main_S[[#This Row],[Free CF]],""),"")</f>
        <v>62.499999999999993</v>
      </c>
      <c r="I124" s="1">
        <f>IF(ISNUMBER(Main_S[[#This Row],[BVPS]]),IF(Main_S[[#This Row],[BVPS]]&lt;&gt;0,Main_S[[#This Row],[Current Price]]/Main_S[[#This Row],[BVPS]],""),"")</f>
        <v>2.1033653846153846</v>
      </c>
      <c r="J124">
        <v>0.49</v>
      </c>
      <c r="K124">
        <v>-1.86</v>
      </c>
      <c r="L124">
        <v>1.1000000000000001</v>
      </c>
      <c r="M124" s="1">
        <f>IF(ISNUMBER(Main_S[[#This Row],[EPS]]),IF(Main_S[[#This Row],[EPS]]&lt;&gt;0,Main_S[[#This Row],[Current Price]]/Main_S[[#This Row],[EPS]],""),"")</f>
        <v>875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2.2738343268367305</v>
      </c>
      <c r="P124" s="1">
        <f>(Main_S[[#This Row],[P/B]]-VLOOKUP(Main_S[[#This Row],[Industry]], Mean_PB_S, 2, FALSE))/(VLOOKUP(Main_S[[#This Row],[Industry]], Mean_PB_S, 3, FALSE))</f>
        <v>-0.60049552195218769</v>
      </c>
      <c r="Q124" s="1">
        <f>(Main_S[[#This Row],[ROE]]-VLOOKUP(Main_S[[#This Row],[Industry]], Mean_ROE_S, 2, FALSE))/(VLOOKUP(Main_S[[#This Row],[Industry]], Mean_ROE_S, 3, FALSE))</f>
        <v>0.22361316716999585</v>
      </c>
      <c r="R124" s="1">
        <f>(Main_S[[#This Row],[ROA]]-VLOOKUP(Main_S[[#This Row],[Industry]], Mean_ROA_S, 2, FALSE))/(VLOOKUP(Main_S[[#This Row],[Industry]], Mean_ROA_S, 3, FALSE))</f>
        <v>-0.221426439469085</v>
      </c>
      <c r="S124" s="1">
        <f>(Main_S[[#This Row],[A/E]]-VLOOKUP(Main_S[[#This Row],[Industry]], Mean_AE_S, 2, FALSE))/(VLOOKUP(Main_S[[#This Row],[Industry]], Mean_AE_S, 3, FALSE))</f>
        <v>-0.68910298811337733</v>
      </c>
      <c r="T124" s="1">
        <f>(Main_S[[#This Row],[P/E]]-VLOOKUP(Main_S[[#This Row],[Industry]], Mean_PE_S, 2, FALSE))/(VLOOKUP(Main_S[[#This Row],[Industry]], Mean_PE_S, 3, FALSE))</f>
        <v>28.838261669535036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5" spans="1:26" x14ac:dyDescent="0.25">
      <c r="A125" s="67" t="s">
        <v>124</v>
      </c>
      <c r="B125" s="67" t="s">
        <v>385</v>
      </c>
      <c r="C125" s="2">
        <v>318</v>
      </c>
      <c r="D125">
        <f>RTD("tos.rtd", , "LAST", Main_S[[#This Row],[Symbol]])</f>
        <v>5.89</v>
      </c>
      <c r="E125">
        <v>0.11</v>
      </c>
      <c r="F125">
        <v>4.5599999999999996</v>
      </c>
      <c r="G125">
        <v>0.17</v>
      </c>
      <c r="H125" s="1">
        <f>IF(ISNUMBER(Main_S[[#This Row],[Free CF]]),IF(Main_S[[#This Row],[Free CF]]&lt;&gt;0,Main_S[[#This Row],[Current Price]]/Main_S[[#This Row],[Free CF]],""),"")</f>
        <v>53.54545454545454</v>
      </c>
      <c r="I125" s="1">
        <f>IF(ISNUMBER(Main_S[[#This Row],[BVPS]]),IF(Main_S[[#This Row],[BVPS]]&lt;&gt;0,Main_S[[#This Row],[Current Price]]/Main_S[[#This Row],[BVPS]],""),"")</f>
        <v>1.2916666666666667</v>
      </c>
      <c r="J125">
        <v>3.8</v>
      </c>
      <c r="K125">
        <v>1.19</v>
      </c>
      <c r="L125">
        <v>1.57</v>
      </c>
      <c r="M125" s="1">
        <f>IF(ISNUMBER(Main_S[[#This Row],[EPS]]),IF(Main_S[[#This Row],[EPS]]&lt;&gt;0,Main_S[[#This Row],[Current Price]]/Main_S[[#This Row],[EPS]],""),"")</f>
        <v>34.647058823529406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1.8754084685286738</v>
      </c>
      <c r="P125" s="1">
        <f>(Main_S[[#This Row],[P/B]]-VLOOKUP(Main_S[[#This Row],[Industry]], Mean_PB_S, 2, FALSE))/(VLOOKUP(Main_S[[#This Row],[Industry]], Mean_PB_S, 3, FALSE))</f>
        <v>-0.81411553023310934</v>
      </c>
      <c r="Q125" s="1">
        <f>(Main_S[[#This Row],[ROE]]-VLOOKUP(Main_S[[#This Row],[Industry]], Mean_ROE_S, 2, FALSE))/(VLOOKUP(Main_S[[#This Row],[Industry]], Mean_ROE_S, 3, FALSE))</f>
        <v>0.3059331541943458</v>
      </c>
      <c r="R125" s="1">
        <f>(Main_S[[#This Row],[ROA]]-VLOOKUP(Main_S[[#This Row],[Industry]], Mean_ROA_S, 2, FALSE))/(VLOOKUP(Main_S[[#This Row],[Industry]], Mean_ROA_S, 3, FALSE))</f>
        <v>0.18301183532564161</v>
      </c>
      <c r="S125" s="1">
        <f>(Main_S[[#This Row],[A/E]]-VLOOKUP(Main_S[[#This Row],[Industry]], Mean_AE_S, 2, FALSE))/(VLOOKUP(Main_S[[#This Row],[Industry]], Mean_AE_S, 3, FALSE))</f>
        <v>-0.29792948022424814</v>
      </c>
      <c r="T125" s="1">
        <f>(Main_S[[#This Row],[P/E]]-VLOOKUP(Main_S[[#This Row],[Industry]], Mean_PE_S, 2, FALSE))/(VLOOKUP(Main_S[[#This Row],[Industry]], Mean_PE_S, 3, FALSE))</f>
        <v>1.2584190104777397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7" t="s">
        <v>124</v>
      </c>
      <c r="B126" s="67" t="s">
        <v>405</v>
      </c>
      <c r="C126" s="2">
        <v>1470</v>
      </c>
      <c r="D126">
        <f>RTD("tos.rtd", , "LAST", Main_S[[#This Row],[Symbol]])</f>
        <v>2.85</v>
      </c>
      <c r="E126">
        <v>0.11</v>
      </c>
      <c r="F126">
        <v>1.63</v>
      </c>
      <c r="G126">
        <v>0.03</v>
      </c>
      <c r="H126" s="1">
        <f>IF(ISNUMBER(Main_S[[#This Row],[Free CF]]),IF(Main_S[[#This Row],[Free CF]]&lt;&gt;0,Main_S[[#This Row],[Current Price]]/Main_S[[#This Row],[Free CF]],""),"")</f>
        <v>25.90909090909091</v>
      </c>
      <c r="I126" s="1">
        <f>IF(ISNUMBER(Main_S[[#This Row],[BVPS]]),IF(Main_S[[#This Row],[BVPS]]&lt;&gt;0,Main_S[[#This Row],[Current Price]]/Main_S[[#This Row],[BVPS]],""),"")</f>
        <v>1.7484662576687118</v>
      </c>
      <c r="J126">
        <v>1.98</v>
      </c>
      <c r="K126">
        <v>-1.73</v>
      </c>
      <c r="L126">
        <v>1.1299999999999999</v>
      </c>
      <c r="M126" s="1">
        <f>IF(ISNUMBER(Main_S[[#This Row],[EPS]]),IF(Main_S[[#This Row],[EPS]]&lt;&gt;0,Main_S[[#This Row],[Current Price]]/Main_S[[#This Row],[EPS]],""),"")</f>
        <v>95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0.64574896674543236</v>
      </c>
      <c r="P126" s="1">
        <f>(Main_S[[#This Row],[P/B]]-VLOOKUP(Main_S[[#This Row],[Industry]], Mean_PB_S, 2, FALSE))/(VLOOKUP(Main_S[[#This Row],[Industry]], Mean_PB_S, 3, FALSE))</f>
        <v>-0.69389662356884685</v>
      </c>
      <c r="Q126" s="1">
        <f>(Main_S[[#This Row],[ROE]]-VLOOKUP(Main_S[[#This Row],[Industry]], Mean_ROE_S, 2, FALSE))/(VLOOKUP(Main_S[[#This Row],[Industry]], Mean_ROE_S, 3, FALSE))</f>
        <v>0.26066959637431047</v>
      </c>
      <c r="R126" s="1">
        <f>(Main_S[[#This Row],[ROA]]-VLOOKUP(Main_S[[#This Row],[Industry]], Mean_ROA_S, 2, FALSE))/(VLOOKUP(Main_S[[#This Row],[Industry]], Mean_ROA_S, 3, FALSE))</f>
        <v>-0.20418808677291631</v>
      </c>
      <c r="S126" s="1">
        <f>(Main_S[[#This Row],[A/E]]-VLOOKUP(Main_S[[#This Row],[Industry]], Mean_AE_S, 2, FALSE))/(VLOOKUP(Main_S[[#This Row],[Industry]], Mean_AE_S, 3, FALSE))</f>
        <v>-0.66413446633322026</v>
      </c>
      <c r="T126" s="1">
        <f>(Main_S[[#This Row],[P/E]]-VLOOKUP(Main_S[[#This Row],[Industry]], Mean_PE_S, 2, FALSE))/(VLOOKUP(Main_S[[#This Row],[Industry]], Mean_PE_S, 3, FALSE))</f>
        <v>3.2391636953575373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7" spans="1:26" x14ac:dyDescent="0.25">
      <c r="A127" s="67" t="s">
        <v>124</v>
      </c>
      <c r="B127" s="67" t="s">
        <v>506</v>
      </c>
      <c r="C127" s="2">
        <v>484</v>
      </c>
      <c r="D127">
        <f>RTD("tos.rtd", , "LAST", Main_S[[#This Row],[Symbol]])</f>
        <v>5.4429999999999996</v>
      </c>
      <c r="E127">
        <v>0.1</v>
      </c>
      <c r="F127">
        <v>1.32</v>
      </c>
      <c r="G127">
        <v>-0.14000000000000001</v>
      </c>
      <c r="H127" s="1">
        <f>IF(ISNUMBER(Main_S[[#This Row],[Free CF]]),IF(Main_S[[#This Row],[Free CF]]&lt;&gt;0,Main_S[[#This Row],[Current Price]]/Main_S[[#This Row],[Free CF]],""),"")</f>
        <v>54.429999999999993</v>
      </c>
      <c r="I127" s="1">
        <f>IF(ISNUMBER(Main_S[[#This Row],[BVPS]]),IF(Main_S[[#This Row],[BVPS]]&lt;&gt;0,Main_S[[#This Row],[Current Price]]/Main_S[[#This Row],[BVPS]],""),"")</f>
        <v>4.1234848484848481</v>
      </c>
      <c r="J127">
        <v>-9.01</v>
      </c>
      <c r="K127">
        <v>-6.4</v>
      </c>
      <c r="L127">
        <v>1.82</v>
      </c>
      <c r="M127" s="1">
        <f>IF(ISNUMBER(Main_S[[#This Row],[EPS]]),IF(Main_S[[#This Row],[EPS]]&lt;&gt;0,Main_S[[#This Row],[Current Price]]/Main_S[[#This Row],[EPS]],""),"")</f>
        <v>-38.878571428571419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1.9147656624508806</v>
      </c>
      <c r="P127" s="1">
        <f>(Main_S[[#This Row],[P/B]]-VLOOKUP(Main_S[[#This Row],[Industry]], Mean_PB_S, 2, FALSE))/(VLOOKUP(Main_S[[#This Row],[Industry]], Mean_PB_S, 3, FALSE))</f>
        <v>-6.8847600059683406E-2</v>
      </c>
      <c r="Q127" s="1">
        <f>(Main_S[[#This Row],[ROE]]-VLOOKUP(Main_S[[#This Row],[Industry]], Mean_ROE_S, 2, FALSE))/(VLOOKUP(Main_S[[#This Row],[Industry]], Mean_ROE_S, 3, FALSE))</f>
        <v>-1.2652656615902751E-2</v>
      </c>
      <c r="R127" s="1">
        <f>(Main_S[[#This Row],[ROA]]-VLOOKUP(Main_S[[#This Row],[Industry]], Mean_ROA_S, 2, FALSE))/(VLOOKUP(Main_S[[#This Row],[Industry]], Mean_ROA_S, 3, FALSE))</f>
        <v>-0.82344275670451417</v>
      </c>
      <c r="S127" s="1">
        <f>(Main_S[[#This Row],[A/E]]-VLOOKUP(Main_S[[#This Row],[Industry]], Mean_AE_S, 2, FALSE))/(VLOOKUP(Main_S[[#This Row],[Industry]], Mean_AE_S, 3, FALSE))</f>
        <v>-8.9858465389604958E-2</v>
      </c>
      <c r="T127" s="1">
        <f>(Main_S[[#This Row],[P/E]]-VLOOKUP(Main_S[[#This Row],[Industry]], Mean_PE_S, 2, FALSE))/(VLOOKUP(Main_S[[#This Row],[Industry]], Mean_PE_S, 3, FALSE))</f>
        <v>-1.1546448516205656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s="67" t="s">
        <v>124</v>
      </c>
      <c r="B128" s="67" t="s">
        <v>381</v>
      </c>
      <c r="C128" s="2">
        <v>326</v>
      </c>
      <c r="D128">
        <f>RTD("tos.rtd", , "LAST", Main_S[[#This Row],[Symbol]])</f>
        <v>2.1800000000000002</v>
      </c>
      <c r="E128">
        <v>0.08</v>
      </c>
      <c r="F128">
        <v>0.15</v>
      </c>
      <c r="G128">
        <v>-0.14000000000000001</v>
      </c>
      <c r="H128" s="1">
        <f>IF(ISNUMBER(Main_S[[#This Row],[Free CF]]),IF(Main_S[[#This Row],[Free CF]]&lt;&gt;0,Main_S[[#This Row],[Current Price]]/Main_S[[#This Row],[Free CF]],""),"")</f>
        <v>27.25</v>
      </c>
      <c r="I128" s="1">
        <f>IF(ISNUMBER(Main_S[[#This Row],[BVPS]]),IF(Main_S[[#This Row],[BVPS]]&lt;&gt;0,Main_S[[#This Row],[Current Price]]/Main_S[[#This Row],[BVPS]],""),"")</f>
        <v>14.533333333333335</v>
      </c>
      <c r="J128">
        <v>-89.29</v>
      </c>
      <c r="K128">
        <v>-6.17</v>
      </c>
      <c r="L128">
        <v>7.63</v>
      </c>
      <c r="M128" s="1">
        <f>IF(ISNUMBER(Main_S[[#This Row],[EPS]]),IF(Main_S[[#This Row],[EPS]]&lt;&gt;0,Main_S[[#This Row],[Current Price]]/Main_S[[#This Row],[EPS]],""),"")</f>
        <v>-15.571428571428571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0.70541172217734949</v>
      </c>
      <c r="P128" s="1">
        <f>(Main_S[[#This Row],[P/B]]-VLOOKUP(Main_S[[#This Row],[Industry]], Mean_PB_S, 2, FALSE))/(VLOOKUP(Main_S[[#This Row],[Industry]], Mean_PB_S, 3, FALSE))</f>
        <v>2.67077964138308</v>
      </c>
      <c r="Q128" s="1">
        <f>(Main_S[[#This Row],[ROE]]-VLOOKUP(Main_S[[#This Row],[Industry]], Mean_ROE_S, 2, FALSE))/(VLOOKUP(Main_S[[#This Row],[Industry]], Mean_ROE_S, 3, FALSE))</f>
        <v>-2.0092232180403173</v>
      </c>
      <c r="R128" s="1">
        <f>(Main_S[[#This Row],[ROA]]-VLOOKUP(Main_S[[#This Row],[Industry]], Mean_ROA_S, 2, FALSE))/(VLOOKUP(Main_S[[#This Row],[Industry]], Mean_ROA_S, 3, FALSE))</f>
        <v>-0.79294413270360031</v>
      </c>
      <c r="S128" s="1">
        <f>(Main_S[[#This Row],[A/E]]-VLOOKUP(Main_S[[#This Row],[Industry]], Mean_AE_S, 2, FALSE))/(VLOOKUP(Main_S[[#This Row],[Industry]], Mean_AE_S, 3, FALSE))</f>
        <v>4.7457119193675021</v>
      </c>
      <c r="T128" s="1">
        <f>(Main_S[[#This Row],[P/E]]-VLOOKUP(Main_S[[#This Row],[Industry]], Mean_PE_S, 2, FALSE))/(VLOOKUP(Main_S[[#This Row],[Industry]], Mean_PE_S, 3, FALSE))</f>
        <v>-0.38971942405883347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7" t="s">
        <v>124</v>
      </c>
      <c r="B129" s="67" t="s">
        <v>413</v>
      </c>
      <c r="C129" s="2">
        <v>326</v>
      </c>
      <c r="D129">
        <f>RTD("tos.rtd", , "LAST", Main_S[[#This Row],[Symbol]])</f>
        <v>8.01</v>
      </c>
      <c r="E129">
        <v>0.03</v>
      </c>
      <c r="F129">
        <v>-0.12</v>
      </c>
      <c r="G129">
        <v>-0.82</v>
      </c>
      <c r="H129" s="1">
        <f>IF(ISNUMBER(Main_S[[#This Row],[Free CF]]),IF(Main_S[[#This Row],[Free CF]]&lt;&gt;0,Main_S[[#This Row],[Current Price]]/Main_S[[#This Row],[Free CF]],""),"")</f>
        <v>267</v>
      </c>
      <c r="I129" s="1">
        <f>IF(ISNUMBER(Main_S[[#This Row],[BVPS]]),IF(Main_S[[#This Row],[BVPS]]&lt;&gt;0,Main_S[[#This Row],[Current Price]]/Main_S[[#This Row],[BVPS]],""),"")</f>
        <v>-66.75</v>
      </c>
      <c r="J129">
        <v>-1369.6</v>
      </c>
      <c r="K129">
        <v>-18.89</v>
      </c>
      <c r="L129">
        <v>-20.39</v>
      </c>
      <c r="M129" s="1">
        <f>IF(ISNUMBER(Main_S[[#This Row],[EPS]]),IF(Main_S[[#This Row],[EPS]]&lt;&gt;0,Main_S[[#This Row],[Current Price]]/Main_S[[#This Row],[EPS]],""),"")</f>
        <v>-9.7682926829268304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11.372910146775554</v>
      </c>
      <c r="P129" s="1">
        <f>(Main_S[[#This Row],[P/B]]-VLOOKUP(Main_S[[#This Row],[Industry]], Mean_PB_S, 2, FALSE))/(VLOOKUP(Main_S[[#This Row],[Industry]], Mean_PB_S, 3, FALSE))</f>
        <v>-18.721081594579353</v>
      </c>
      <c r="Q129" s="1">
        <f>(Main_S[[#This Row],[ROE]]-VLOOKUP(Main_S[[#This Row],[Industry]], Mean_ROE_S, 2, FALSE))/(VLOOKUP(Main_S[[#This Row],[Industry]], Mean_ROE_S, 3, FALSE))</f>
        <v>-33.850643939232299</v>
      </c>
      <c r="R129" s="1">
        <f>(Main_S[[#This Row],[ROA]]-VLOOKUP(Main_S[[#This Row],[Industry]], Mean_ROA_S, 2, FALSE))/(VLOOKUP(Main_S[[#This Row],[Industry]], Mean_ROA_S, 3, FALSE))</f>
        <v>-2.4796506426671812</v>
      </c>
      <c r="S129" s="1">
        <f>(Main_S[[#This Row],[A/E]]-VLOOKUP(Main_S[[#This Row],[Industry]], Mean_AE_S, 2, FALSE))/(VLOOKUP(Main_S[[#This Row],[Industry]], Mean_AE_S, 3, FALSE))</f>
        <v>-18.574887423299305</v>
      </c>
      <c r="T129" s="1">
        <f>(Main_S[[#This Row],[P/E]]-VLOOKUP(Main_S[[#This Row],[Industry]], Mean_PE_S, 2, FALSE))/(VLOOKUP(Main_S[[#This Row],[Industry]], Mean_PE_S, 3, FALSE))</f>
        <v>-0.19926423922906214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7" t="s">
        <v>124</v>
      </c>
      <c r="B130" s="67" t="s">
        <v>356</v>
      </c>
      <c r="C130" s="2">
        <v>1622</v>
      </c>
      <c r="D130">
        <f>RTD("tos.rtd", , "LAST", Main_S[[#This Row],[Symbol]])</f>
        <v>12.69</v>
      </c>
      <c r="E130">
        <v>0.03</v>
      </c>
      <c r="F130">
        <v>2.21</v>
      </c>
      <c r="G130">
        <v>-0.75</v>
      </c>
      <c r="H130" s="1">
        <f>IF(ISNUMBER(Main_S[[#This Row],[Free CF]]),IF(Main_S[[#This Row],[Free CF]]&lt;&gt;0,Main_S[[#This Row],[Current Price]]/Main_S[[#This Row],[Free CF]],""),"")</f>
        <v>423</v>
      </c>
      <c r="I130" s="1">
        <f>IF(ISNUMBER(Main_S[[#This Row],[BVPS]]),IF(Main_S[[#This Row],[BVPS]]&lt;&gt;0,Main_S[[#This Row],[Current Price]]/Main_S[[#This Row],[BVPS]],""),"")</f>
        <v>5.7420814479638009</v>
      </c>
      <c r="J130">
        <v>-32.86</v>
      </c>
      <c r="K130">
        <v>-15.12</v>
      </c>
      <c r="L130">
        <v>1.54</v>
      </c>
      <c r="M130" s="1">
        <f>IF(ISNUMBER(Main_S[[#This Row],[EPS]]),IF(Main_S[[#This Row],[EPS]]&lt;&gt;0,Main_S[[#This Row],[Current Price]]/Main_S[[#This Row],[EPS]],""),"")</f>
        <v>-16.919999999999998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18.314014439736223</v>
      </c>
      <c r="P130" s="1">
        <f>(Main_S[[#This Row],[P/B]]-VLOOKUP(Main_S[[#This Row],[Industry]], Mean_PB_S, 2, FALSE))/(VLOOKUP(Main_S[[#This Row],[Industry]], Mean_PB_S, 3, FALSE))</f>
        <v>0.35712894929099642</v>
      </c>
      <c r="Q130" s="1">
        <f>(Main_S[[#This Row],[ROE]]-VLOOKUP(Main_S[[#This Row],[Industry]], Mean_ROE_S, 2, FALSE))/(VLOOKUP(Main_S[[#This Row],[Industry]], Mean_ROE_S, 3, FALSE))</f>
        <v>-0.60580422475207973</v>
      </c>
      <c r="R130" s="1">
        <f>(Main_S[[#This Row],[ROA]]-VLOOKUP(Main_S[[#This Row],[Industry]], Mean_ROA_S, 2, FALSE))/(VLOOKUP(Main_S[[#This Row],[Industry]], Mean_ROA_S, 3, FALSE))</f>
        <v>-1.9797384144782897</v>
      </c>
      <c r="S130" s="1">
        <f>(Main_S[[#This Row],[A/E]]-VLOOKUP(Main_S[[#This Row],[Industry]], Mean_AE_S, 2, FALSE))/(VLOOKUP(Main_S[[#This Row],[Industry]], Mean_AE_S, 3, FALSE))</f>
        <v>-0.32289800200440533</v>
      </c>
      <c r="T130" s="1">
        <f>(Main_S[[#This Row],[P/E]]-VLOOKUP(Main_S[[#This Row],[Industry]], Mean_PE_S, 2, FALSE))/(VLOOKUP(Main_S[[#This Row],[Industry]], Mean_PE_S, 3, FALSE))</f>
        <v>-0.43397867037316229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s="67" t="s">
        <v>124</v>
      </c>
      <c r="B131" s="67" t="s">
        <v>376</v>
      </c>
      <c r="C131" s="2">
        <v>654</v>
      </c>
      <c r="D131">
        <f>RTD("tos.rtd", , "LAST", Main_S[[#This Row],[Symbol]])</f>
        <v>2.0099999999999998</v>
      </c>
      <c r="E131">
        <v>0.02</v>
      </c>
      <c r="F131">
        <v>0.09</v>
      </c>
      <c r="G131">
        <v>0.23</v>
      </c>
      <c r="H131" s="1">
        <f>IF(ISNUMBER(Main_S[[#This Row],[Free CF]]),IF(Main_S[[#This Row],[Free CF]]&lt;&gt;0,Main_S[[#This Row],[Current Price]]/Main_S[[#This Row],[Free CF]],""),"")</f>
        <v>100.49999999999999</v>
      </c>
      <c r="I131" s="1">
        <f>IF(ISNUMBER(Main_S[[#This Row],[BVPS]]),IF(Main_S[[#This Row],[BVPS]]&lt;&gt;0,Main_S[[#This Row],[Current Price]]/Main_S[[#This Row],[BVPS]],""),"")</f>
        <v>22.333333333333332</v>
      </c>
      <c r="J131">
        <v>15.52</v>
      </c>
      <c r="K131">
        <v>-0.34</v>
      </c>
      <c r="L131">
        <v>27.23</v>
      </c>
      <c r="M131" s="1">
        <f>IF(ISNUMBER(Main_S[[#This Row],[EPS]]),IF(Main_S[[#This Row],[EPS]]&lt;&gt;0,Main_S[[#This Row],[Current Price]]/Main_S[[#This Row],[EPS]],""),"")</f>
        <v>8.7391304347826075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3.9646161417886878</v>
      </c>
      <c r="P131" s="1">
        <f>(Main_S[[#This Row],[P/B]]-VLOOKUP(Main_S[[#This Row],[Industry]], Mean_PB_S, 2, FALSE))/(VLOOKUP(Main_S[[#This Row],[Industry]], Mean_PB_S, 3, FALSE))</f>
        <v>4.7235561553118099</v>
      </c>
      <c r="Q131" s="1">
        <f>(Main_S[[#This Row],[ROE]]-VLOOKUP(Main_S[[#This Row],[Industry]], Mean_ROE_S, 2, FALSE))/(VLOOKUP(Main_S[[#This Row],[Industry]], Mean_ROE_S, 3, FALSE))</f>
        <v>0.59741057048600166</v>
      </c>
      <c r="R131" s="1">
        <f>(Main_S[[#This Row],[ROA]]-VLOOKUP(Main_S[[#This Row],[Industry]], Mean_ROA_S, 2, FALSE))/(VLOOKUP(Main_S[[#This Row],[Industry]], Mean_ROA_S, 3, FALSE))</f>
        <v>-1.9870315636958936E-2</v>
      </c>
      <c r="S131" s="1">
        <f>(Main_S[[#This Row],[A/E]]-VLOOKUP(Main_S[[#This Row],[Industry]], Mean_AE_S, 2, FALSE))/(VLOOKUP(Main_S[[#This Row],[Industry]], Mean_AE_S, 3, FALSE))</f>
        <v>21.058479482403531</v>
      </c>
      <c r="T131" s="1">
        <f>(Main_S[[#This Row],[P/E]]-VLOOKUP(Main_S[[#This Row],[Industry]], Mean_PE_S, 2, FALSE))/(VLOOKUP(Main_S[[#This Row],[Industry]], Mean_PE_S, 3, FALSE))</f>
        <v>0.4081374756937603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s="67" t="s">
        <v>124</v>
      </c>
      <c r="B132" s="67" t="s">
        <v>508</v>
      </c>
      <c r="C132" s="2">
        <v>833</v>
      </c>
      <c r="D132">
        <f>RTD("tos.rtd", , "LAST", Main_S[[#This Row],[Symbol]])</f>
        <v>1.44</v>
      </c>
      <c r="E132">
        <v>0</v>
      </c>
      <c r="F132">
        <v>0.97</v>
      </c>
      <c r="G132">
        <v>6.62</v>
      </c>
      <c r="H132" s="1" t="str">
        <f>IF(ISNUMBER(Main_S[[#This Row],[Free CF]]),IF(Main_S[[#This Row],[Free CF]]&lt;&gt;0,Main_S[[#This Row],[Current Price]]/Main_S[[#This Row],[Free CF]],""),"")</f>
        <v/>
      </c>
      <c r="I132" s="1">
        <f>IF(ISNUMBER(Main_S[[#This Row],[BVPS]]),IF(Main_S[[#This Row],[BVPS]]&lt;&gt;0,Main_S[[#This Row],[Current Price]]/Main_S[[#This Row],[BVPS]],""),"")</f>
        <v>1.4845360824742269</v>
      </c>
      <c r="J132">
        <v>80.540000000000006</v>
      </c>
      <c r="K132">
        <v>-0.03</v>
      </c>
      <c r="L132">
        <v>1.1499999999999999</v>
      </c>
      <c r="M132" s="1">
        <f>IF(ISNUMBER(Main_S[[#This Row],[EPS]]),IF(Main_S[[#This Row],[EPS]]&lt;&gt;0,Main_S[[#This Row],[Current Price]]/Main_S[[#This Row],[EPS]],""),"")</f>
        <v>0.2175226586102719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 t="e">
        <f>(Main_S[[#This Row],[P/FCF]]-VLOOKUP(Main_S[[#This Row],[Industry]], Mean_PFCF_S, 2, FALSE))/(VLOOKUP(Main_S[[#This Row],[Industry]], Mean_PFCF_S, 3, FALSE))</f>
        <v>#VALUE!</v>
      </c>
      <c r="P132" s="1">
        <f>(Main_S[[#This Row],[P/B]]-VLOOKUP(Main_S[[#This Row],[Industry]], Mean_PB_S, 2, FALSE))/(VLOOKUP(Main_S[[#This Row],[Industry]], Mean_PB_S, 3, FALSE))</f>
        <v>-0.76335683702478707</v>
      </c>
      <c r="Q132" s="1">
        <f>(Main_S[[#This Row],[ROE]]-VLOOKUP(Main_S[[#This Row],[Industry]], Mean_ROE_S, 2, FALSE))/(VLOOKUP(Main_S[[#This Row],[Industry]], Mean_ROE_S, 3, FALSE))</f>
        <v>2.2144636086501204</v>
      </c>
      <c r="R132" s="1">
        <f>(Main_S[[#This Row],[ROA]]-VLOOKUP(Main_S[[#This Row],[Industry]], Mean_ROA_S, 2, FALSE))/(VLOOKUP(Main_S[[#This Row],[Industry]], Mean_ROA_S, 3, FALSE))</f>
        <v>2.1236525407750981E-2</v>
      </c>
      <c r="S132" s="1">
        <f>(Main_S[[#This Row],[A/E]]-VLOOKUP(Main_S[[#This Row],[Industry]], Mean_AE_S, 2, FALSE))/(VLOOKUP(Main_S[[#This Row],[Industry]], Mean_AE_S, 3, FALSE))</f>
        <v>-0.64748878514644881</v>
      </c>
      <c r="T132" s="1">
        <f>(Main_S[[#This Row],[P/E]]-VLOOKUP(Main_S[[#This Row],[Industry]], Mean_PE_S, 2, FALSE))/(VLOOKUP(Main_S[[#This Row],[Industry]], Mean_PE_S, 3, FALSE))</f>
        <v>0.12846379318126228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7" t="s">
        <v>124</v>
      </c>
      <c r="B133" s="67" t="s">
        <v>358</v>
      </c>
      <c r="C133" s="2">
        <v>946</v>
      </c>
      <c r="D133">
        <f>RTD("tos.rtd", , "LAST", Main_S[[#This Row],[Symbol]])</f>
        <v>3.67</v>
      </c>
      <c r="E133">
        <v>0</v>
      </c>
      <c r="F133">
        <v>-7.0000000000000007E-2</v>
      </c>
      <c r="G133">
        <v>-0.2</v>
      </c>
      <c r="H133" s="1" t="str">
        <f>IF(ISNUMBER(Main_S[[#This Row],[Free CF]]),IF(Main_S[[#This Row],[Free CF]]&lt;&gt;0,Main_S[[#This Row],[Current Price]]/Main_S[[#This Row],[Free CF]],""),"")</f>
        <v/>
      </c>
      <c r="I133" s="1">
        <f>IF(ISNUMBER(Main_S[[#This Row],[BVPS]]),IF(Main_S[[#This Row],[BVPS]]&lt;&gt;0,Main_S[[#This Row],[Current Price]]/Main_S[[#This Row],[BVPS]],""),"")</f>
        <v>-52.428571428571423</v>
      </c>
      <c r="J133">
        <v>-41.62</v>
      </c>
      <c r="K133">
        <v>-9.25</v>
      </c>
      <c r="L133">
        <v>-11.15</v>
      </c>
      <c r="M133" s="1">
        <f>IF(ISNUMBER(Main_S[[#This Row],[EPS]]),IF(Main_S[[#This Row],[EPS]]&lt;&gt;0,Main_S[[#This Row],[Current Price]]/Main_S[[#This Row],[EPS]],""),"")</f>
        <v>-18.349999999999998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 t="e">
        <f>(Main_S[[#This Row],[P/FCF]]-VLOOKUP(Main_S[[#This Row],[Industry]], Mean_PFCF_S, 2, FALSE))/(VLOOKUP(Main_S[[#This Row],[Industry]], Mean_PFCF_S, 3, FALSE))</f>
        <v>#VALUE!</v>
      </c>
      <c r="P133" s="1">
        <f>(Main_S[[#This Row],[P/B]]-VLOOKUP(Main_S[[#This Row],[Industry]], Mean_PB_S, 2, FALSE))/(VLOOKUP(Main_S[[#This Row],[Industry]], Mean_PB_S, 3, FALSE))</f>
        <v>-14.952018489792627</v>
      </c>
      <c r="Q133" s="1">
        <f>(Main_S[[#This Row],[ROE]]-VLOOKUP(Main_S[[#This Row],[Industry]], Mean_ROE_S, 2, FALSE))/(VLOOKUP(Main_S[[#This Row],[Industry]], Mean_ROE_S, 3, FALSE))</f>
        <v>-0.82366618436939254</v>
      </c>
      <c r="R133" s="1">
        <f>(Main_S[[#This Row],[ROA]]-VLOOKUP(Main_S[[#This Row],[Industry]], Mean_ROA_S, 2, FALSE))/(VLOOKUP(Main_S[[#This Row],[Industry]], Mean_ROA_S, 3, FALSE))</f>
        <v>-1.2013604888897502</v>
      </c>
      <c r="S133" s="1">
        <f>(Main_S[[#This Row],[A/E]]-VLOOKUP(Main_S[[#This Row],[Industry]], Mean_AE_S, 2, FALSE))/(VLOOKUP(Main_S[[#This Row],[Industry]], Mean_AE_S, 3, FALSE))</f>
        <v>-10.884582715010893</v>
      </c>
      <c r="T133" s="1">
        <f>(Main_S[[#This Row],[P/E]]-VLOOKUP(Main_S[[#This Row],[Industry]], Mean_PE_S, 2, FALSE))/(VLOOKUP(Main_S[[#This Row],[Industry]], Mean_PE_S, 3, FALSE))</f>
        <v>-0.48091034999248772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s="67" t="s">
        <v>124</v>
      </c>
      <c r="B134" s="67" t="s">
        <v>509</v>
      </c>
      <c r="C134" s="2">
        <v>258</v>
      </c>
      <c r="D134">
        <f>RTD("tos.rtd", , "LAST", Main_S[[#This Row],[Symbol]])</f>
        <v>6.05</v>
      </c>
      <c r="E134">
        <v>-0.01</v>
      </c>
      <c r="F134">
        <v>0.01</v>
      </c>
      <c r="G134">
        <v>-0.01</v>
      </c>
      <c r="H134" s="1">
        <f>IF(ISNUMBER(Main_S[[#This Row],[Free CF]]),IF(Main_S[[#This Row],[Free CF]]&lt;&gt;0,Main_S[[#This Row],[Current Price]]/Main_S[[#This Row],[Free CF]],""),"")</f>
        <v>-605</v>
      </c>
      <c r="I134" s="1">
        <f>IF(ISNUMBER(Main_S[[#This Row],[BVPS]]),IF(Main_S[[#This Row],[BVPS]]&lt;&gt;0,Main_S[[#This Row],[Current Price]]/Main_S[[#This Row],[BVPS]],""),"")</f>
        <v>605</v>
      </c>
      <c r="J134">
        <v>-133.28</v>
      </c>
      <c r="K134">
        <v>-69.41</v>
      </c>
      <c r="L134">
        <v>1.1599999999999999</v>
      </c>
      <c r="M134" s="1">
        <f>IF(ISNUMBER(Main_S[[#This Row],[EPS]]),IF(Main_S[[#This Row],[EPS]]&lt;&gt;0,Main_S[[#This Row],[Current Price]]/Main_S[[#This Row],[EPS]],""),"")</f>
        <v>-605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-27.426083080543048</v>
      </c>
      <c r="P134" s="1">
        <f>(Main_S[[#This Row],[P/B]]-VLOOKUP(Main_S[[#This Row],[Industry]], Mean_PB_S, 2, FALSE))/(VLOOKUP(Main_S[[#This Row],[Industry]], Mean_PB_S, 3, FALSE))</f>
        <v>158.06771625562897</v>
      </c>
      <c r="Q134" s="1">
        <f>(Main_S[[#This Row],[ROE]]-VLOOKUP(Main_S[[#This Row],[Industry]], Mean_ROE_S, 2, FALSE))/(VLOOKUP(Main_S[[#This Row],[Industry]], Mean_ROE_S, 3, FALSE))</f>
        <v>-3.1032583326025995</v>
      </c>
      <c r="R134" s="1">
        <f>(Main_S[[#This Row],[ROA]]-VLOOKUP(Main_S[[#This Row],[Industry]], Mean_ROA_S, 2, FALSE))/(VLOOKUP(Main_S[[#This Row],[Industry]], Mean_ROA_S, 3, FALSE))</f>
        <v>-9.1787397058244231</v>
      </c>
      <c r="S134" s="1">
        <f>(Main_S[[#This Row],[A/E]]-VLOOKUP(Main_S[[#This Row],[Industry]], Mean_AE_S, 2, FALSE))/(VLOOKUP(Main_S[[#This Row],[Industry]], Mean_AE_S, 3, FALSE))</f>
        <v>-0.63916594455306308</v>
      </c>
      <c r="T134" s="1">
        <f>(Main_S[[#This Row],[P/E]]-VLOOKUP(Main_S[[#This Row],[Industry]], Mean_PE_S, 2, FALSE))/(VLOOKUP(Main_S[[#This Row],[Industry]], Mean_PE_S, 3, FALSE))</f>
        <v>-19.734385768647911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5" spans="1:26" x14ac:dyDescent="0.25">
      <c r="A135" s="67" t="s">
        <v>124</v>
      </c>
      <c r="B135" s="67" t="s">
        <v>510</v>
      </c>
      <c r="C135" s="2">
        <v>375</v>
      </c>
      <c r="D135">
        <f>RTD("tos.rtd", , "LAST", Main_S[[#This Row],[Symbol]])</f>
        <v>3.24</v>
      </c>
      <c r="E135">
        <v>-0.03</v>
      </c>
      <c r="F135">
        <v>0.04</v>
      </c>
      <c r="G135">
        <v>-0.03</v>
      </c>
      <c r="H135" s="1">
        <f>IF(ISNUMBER(Main_S[[#This Row],[Free CF]]),IF(Main_S[[#This Row],[Free CF]]&lt;&gt;0,Main_S[[#This Row],[Current Price]]/Main_S[[#This Row],[Free CF]],""),"")</f>
        <v>-108.00000000000001</v>
      </c>
      <c r="I135" s="1">
        <f>IF(ISNUMBER(Main_S[[#This Row],[BVPS]]),IF(Main_S[[#This Row],[BVPS]]&lt;&gt;0,Main_S[[#This Row],[Current Price]]/Main_S[[#This Row],[BVPS]],""),"")</f>
        <v>81</v>
      </c>
      <c r="J135">
        <v>-148.13999999999999</v>
      </c>
      <c r="K135">
        <v>-61.23</v>
      </c>
      <c r="L135">
        <v>1.24</v>
      </c>
      <c r="M135" s="1">
        <f>IF(ISNUMBER(Main_S[[#This Row],[EPS]]),IF(Main_S[[#This Row],[EPS]]&lt;&gt;0,Main_S[[#This Row],[Current Price]]/Main_S[[#This Row],[EPS]],""),"")</f>
        <v>-108.00000000000001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-5.3124367113029738</v>
      </c>
      <c r="P135" s="1">
        <f>(Main_S[[#This Row],[P/B]]-VLOOKUP(Main_S[[#This Row],[Industry]], Mean_PB_S, 2, FALSE))/(VLOOKUP(Main_S[[#This Row],[Industry]], Mean_PB_S, 3, FALSE))</f>
        <v>20.163242755801409</v>
      </c>
      <c r="Q135" s="1">
        <f>(Main_S[[#This Row],[ROE]]-VLOOKUP(Main_S[[#This Row],[Industry]], Mean_ROE_S, 2, FALSE))/(VLOOKUP(Main_S[[#This Row],[Industry]], Mean_ROE_S, 3, FALSE))</f>
        <v>-3.472827821177173</v>
      </c>
      <c r="R135" s="1">
        <f>(Main_S[[#This Row],[ROA]]-VLOOKUP(Main_S[[#This Row],[Industry]], Mean_ROA_S, 2, FALSE))/(VLOOKUP(Main_S[[#This Row],[Industry]], Mean_ROA_S, 3, FALSE))</f>
        <v>-8.0940495130962713</v>
      </c>
      <c r="S135" s="1">
        <f>(Main_S[[#This Row],[A/E]]-VLOOKUP(Main_S[[#This Row],[Industry]], Mean_AE_S, 2, FALSE))/(VLOOKUP(Main_S[[#This Row],[Industry]], Mean_AE_S, 3, FALSE))</f>
        <v>-0.57258321980597715</v>
      </c>
      <c r="T135" s="1">
        <f>(Main_S[[#This Row],[P/E]]-VLOOKUP(Main_S[[#This Row],[Industry]], Mean_PE_S, 2, FALSE))/(VLOOKUP(Main_S[[#This Row],[Industry]], Mean_PE_S, 3, FALSE))</f>
        <v>-3.423165649204043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6" spans="1:26" x14ac:dyDescent="0.25">
      <c r="A136" s="67" t="s">
        <v>124</v>
      </c>
      <c r="B136" s="67" t="s">
        <v>511</v>
      </c>
      <c r="C136" s="2">
        <v>277</v>
      </c>
      <c r="D136">
        <f>RTD("tos.rtd", , "LAST", Main_S[[#This Row],[Symbol]])</f>
        <v>7.21</v>
      </c>
      <c r="E136">
        <v>-0.04</v>
      </c>
      <c r="F136">
        <v>0.3</v>
      </c>
      <c r="G136">
        <v>-0.08</v>
      </c>
      <c r="H136" s="1">
        <f>IF(ISNUMBER(Main_S[[#This Row],[Free CF]]),IF(Main_S[[#This Row],[Free CF]]&lt;&gt;0,Main_S[[#This Row],[Current Price]]/Main_S[[#This Row],[Free CF]],""),"")</f>
        <v>-180.25</v>
      </c>
      <c r="I136" s="1">
        <f>IF(ISNUMBER(Main_S[[#This Row],[BVPS]]),IF(Main_S[[#This Row],[BVPS]]&lt;&gt;0,Main_S[[#This Row],[Current Price]]/Main_S[[#This Row],[BVPS]],""),"")</f>
        <v>24.033333333333335</v>
      </c>
      <c r="J136">
        <v>-25.94</v>
      </c>
      <c r="K136">
        <v>-1.8</v>
      </c>
      <c r="L136">
        <v>1.48</v>
      </c>
      <c r="M136" s="1">
        <f>IF(ISNUMBER(Main_S[[#This Row],[EPS]]),IF(Main_S[[#This Row],[EPS]]&lt;&gt;0,Main_S[[#This Row],[Current Price]]/Main_S[[#This Row],[EPS]],""),"")</f>
        <v>-90.125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-8.527146872626103</v>
      </c>
      <c r="P136" s="1">
        <f>(Main_S[[#This Row],[P/B]]-VLOOKUP(Main_S[[#This Row],[Industry]], Mean_PB_S, 2, FALSE))/(VLOOKUP(Main_S[[#This Row],[Industry]], Mean_PB_S, 3, FALSE))</f>
        <v>5.1709561647578157</v>
      </c>
      <c r="Q136" s="1">
        <f>(Main_S[[#This Row],[ROE]]-VLOOKUP(Main_S[[#This Row],[Industry]], Mean_ROE_S, 2, FALSE))/(VLOOKUP(Main_S[[#This Row],[Industry]], Mean_ROE_S, 3, FALSE))</f>
        <v>-0.4337032246890884</v>
      </c>
      <c r="R136" s="1">
        <f>(Main_S[[#This Row],[ROA]]-VLOOKUP(Main_S[[#This Row],[Industry]], Mean_ROA_S, 2, FALSE))/(VLOOKUP(Main_S[[#This Row],[Industry]], Mean_ROA_S, 3, FALSE))</f>
        <v>-0.21347027668623791</v>
      </c>
      <c r="S136" s="1">
        <f>(Main_S[[#This Row],[A/E]]-VLOOKUP(Main_S[[#This Row],[Industry]], Mean_AE_S, 2, FALSE))/(VLOOKUP(Main_S[[#This Row],[Industry]], Mean_AE_S, 3, FALSE))</f>
        <v>-0.37283504556471975</v>
      </c>
      <c r="T136" s="1">
        <f>(Main_S[[#This Row],[P/E]]-VLOOKUP(Main_S[[#This Row],[Industry]], Mean_PE_S, 2, FALSE))/(VLOOKUP(Main_S[[#This Row],[Industry]], Mean_PE_S, 3, FALSE))</f>
        <v>-2.8365196539624749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7" spans="1:26" x14ac:dyDescent="0.25">
      <c r="A137" s="67" t="s">
        <v>124</v>
      </c>
      <c r="B137" s="67" t="s">
        <v>399</v>
      </c>
      <c r="C137" s="2">
        <v>487</v>
      </c>
      <c r="D137">
        <f>RTD("tos.rtd", , "LAST", Main_S[[#This Row],[Symbol]])</f>
        <v>2.06</v>
      </c>
      <c r="E137">
        <v>-0.15</v>
      </c>
      <c r="F137">
        <v>-0.18</v>
      </c>
      <c r="G137">
        <v>-1.06</v>
      </c>
      <c r="H137" s="1">
        <f>IF(ISNUMBER(Main_S[[#This Row],[Free CF]]),IF(Main_S[[#This Row],[Free CF]]&lt;&gt;0,Main_S[[#This Row],[Current Price]]/Main_S[[#This Row],[Free CF]],""),"")</f>
        <v>-13.733333333333334</v>
      </c>
      <c r="I137" s="1">
        <f>IF(ISNUMBER(Main_S[[#This Row],[BVPS]]),IF(Main_S[[#This Row],[BVPS]]&lt;&gt;0,Main_S[[#This Row],[Current Price]]/Main_S[[#This Row],[BVPS]],""),"")</f>
        <v>-11.444444444444445</v>
      </c>
      <c r="J137">
        <v>374.17</v>
      </c>
      <c r="K137">
        <v>-772.93</v>
      </c>
      <c r="L137">
        <v>-0.52</v>
      </c>
      <c r="M137" s="1">
        <f>IF(ISNUMBER(Main_S[[#This Row],[EPS]]),IF(Main_S[[#This Row],[EPS]]&lt;&gt;0,Main_S[[#This Row],[Current Price]]/Main_S[[#This Row],[EPS]],""),"")</f>
        <v>-1.9433962264150944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-1.1181112966677662</v>
      </c>
      <c r="P137" s="1">
        <f>(Main_S[[#This Row],[P/B]]-VLOOKUP(Main_S[[#This Row],[Industry]], Mean_PB_S, 2, FALSE))/(VLOOKUP(Main_S[[#This Row],[Industry]], Mean_PB_S, 3, FALSE))</f>
        <v>-4.1659603722428065</v>
      </c>
      <c r="Q137" s="1">
        <f>(Main_S[[#This Row],[ROE]]-VLOOKUP(Main_S[[#This Row],[Industry]], Mean_ROE_S, 2, FALSE))/(VLOOKUP(Main_S[[#This Row],[Industry]], Mean_ROE_S, 3, FALSE))</f>
        <v>9.5170671705715311</v>
      </c>
      <c r="R137" s="1">
        <f>(Main_S[[#This Row],[ROA]]-VLOOKUP(Main_S[[#This Row],[Industry]], Mean_ROA_S, 2, FALSE))/(VLOOKUP(Main_S[[#This Row],[Industry]], Mean_ROA_S, 3, FALSE))</f>
        <v>-102.46740038896738</v>
      </c>
      <c r="S137" s="1">
        <f>(Main_S[[#This Row],[A/E]]-VLOOKUP(Main_S[[#This Row],[Industry]], Mean_AE_S, 2, FALSE))/(VLOOKUP(Main_S[[#This Row],[Industry]], Mean_AE_S, 3, FALSE))</f>
        <v>-2.0374031642418649</v>
      </c>
      <c r="T137" s="1">
        <f>(Main_S[[#This Row],[P/E]]-VLOOKUP(Main_S[[#This Row],[Industry]], Mean_PE_S, 2, FALSE))/(VLOOKUP(Main_S[[#This Row],[Industry]], Mean_PE_S, 3, FALSE))</f>
        <v>5.7543826191499767E-2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7" t="s">
        <v>124</v>
      </c>
      <c r="B138" s="67" t="s">
        <v>397</v>
      </c>
      <c r="C138" s="2">
        <v>280</v>
      </c>
      <c r="D138">
        <f>RTD("tos.rtd", , "LAST", Main_S[[#This Row],[Symbol]])</f>
        <v>3.15</v>
      </c>
      <c r="E138">
        <v>-0.21</v>
      </c>
      <c r="F138">
        <v>-0.7</v>
      </c>
      <c r="G138">
        <v>-0.38</v>
      </c>
      <c r="H138" s="1">
        <f>IF(ISNUMBER(Main_S[[#This Row],[Free CF]]),IF(Main_S[[#This Row],[Free CF]]&lt;&gt;0,Main_S[[#This Row],[Current Price]]/Main_S[[#This Row],[Free CF]],""),"")</f>
        <v>-15</v>
      </c>
      <c r="I138" s="1">
        <f>IF(ISNUMBER(Main_S[[#This Row],[BVPS]]),IF(Main_S[[#This Row],[BVPS]]&lt;&gt;0,Main_S[[#This Row],[Current Price]]/Main_S[[#This Row],[BVPS]],""),"")</f>
        <v>-4.5</v>
      </c>
      <c r="J138">
        <v>68.47</v>
      </c>
      <c r="K138">
        <v>7.86</v>
      </c>
      <c r="L138">
        <v>-5.39</v>
      </c>
      <c r="M138" s="1">
        <f>IF(ISNUMBER(Main_S[[#This Row],[EPS]]),IF(Main_S[[#This Row],[EPS]]&lt;&gt;0,Main_S[[#This Row],[Current Price]]/Main_S[[#This Row],[EPS]],""),"")</f>
        <v>-8.2894736842105257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-1.1744706904994979</v>
      </c>
      <c r="P138" s="1">
        <f>(Main_S[[#This Row],[P/B]]-VLOOKUP(Main_S[[#This Row],[Industry]], Mean_PB_S, 2, FALSE))/(VLOOKUP(Main_S[[#This Row],[Industry]], Mean_PB_S, 3, FALSE))</f>
        <v>-2.3383459545712162</v>
      </c>
      <c r="Q138" s="1">
        <f>(Main_S[[#This Row],[ROE]]-VLOOKUP(Main_S[[#This Row],[Industry]], Mean_ROE_S, 2, FALSE))/(VLOOKUP(Main_S[[#This Row],[Industry]], Mean_ROE_S, 3, FALSE))</f>
        <v>1.9142816620084575</v>
      </c>
      <c r="R138" s="1">
        <f>(Main_S[[#This Row],[ROA]]-VLOOKUP(Main_S[[#This Row],[Industry]], Mean_ROA_S, 2, FALSE))/(VLOOKUP(Main_S[[#This Row],[Industry]], Mean_ROA_S, 3, FALSE))</f>
        <v>1.0674719313521421</v>
      </c>
      <c r="S138" s="1">
        <f>(Main_S[[#This Row],[A/E]]-VLOOKUP(Main_S[[#This Row],[Industry]], Mean_AE_S, 2, FALSE))/(VLOOKUP(Main_S[[#This Row],[Industry]], Mean_AE_S, 3, FALSE))</f>
        <v>-6.0906265332207141</v>
      </c>
      <c r="T138" s="1">
        <f>(Main_S[[#This Row],[P/E]]-VLOOKUP(Main_S[[#This Row],[Industry]], Mean_PE_S, 2, FALSE))/(VLOOKUP(Main_S[[#This Row],[Industry]], Mean_PE_S, 3, FALSE))</f>
        <v>-0.15073035149289066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s="67" t="s">
        <v>124</v>
      </c>
      <c r="B139" s="67" t="s">
        <v>394</v>
      </c>
      <c r="C139" s="2">
        <v>1596</v>
      </c>
      <c r="D139">
        <f>RTD("tos.rtd", , "LAST", Main_S[[#This Row],[Symbol]])</f>
        <v>14.34</v>
      </c>
      <c r="E139">
        <v>-0.21</v>
      </c>
      <c r="F139">
        <v>1.61</v>
      </c>
      <c r="G139">
        <v>-0.42</v>
      </c>
      <c r="H139" s="1">
        <f>IF(ISNUMBER(Main_S[[#This Row],[Free CF]]),IF(Main_S[[#This Row],[Free CF]]&lt;&gt;0,Main_S[[#This Row],[Current Price]]/Main_S[[#This Row],[Free CF]],""),"")</f>
        <v>-68.285714285714292</v>
      </c>
      <c r="I139" s="1">
        <f>IF(ISNUMBER(Main_S[[#This Row],[BVPS]]),IF(Main_S[[#This Row],[BVPS]]&lt;&gt;0,Main_S[[#This Row],[Current Price]]/Main_S[[#This Row],[BVPS]],""),"")</f>
        <v>8.9068322981366457</v>
      </c>
      <c r="J139">
        <v>-31.29</v>
      </c>
      <c r="K139">
        <v>-10.84</v>
      </c>
      <c r="L139">
        <v>1.1000000000000001</v>
      </c>
      <c r="M139" s="1">
        <f>IF(ISNUMBER(Main_S[[#This Row],[EPS]]),IF(Main_S[[#This Row],[EPS]]&lt;&gt;0,Main_S[[#This Row],[Current Price]]/Main_S[[#This Row],[EPS]],""),"")</f>
        <v>-34.142857142857146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-3.5453790249997996</v>
      </c>
      <c r="P139" s="1">
        <f>(Main_S[[#This Row],[P/B]]-VLOOKUP(Main_S[[#This Row],[Industry]], Mean_PB_S, 2, FALSE))/(VLOOKUP(Main_S[[#This Row],[Industry]], Mean_PB_S, 3, FALSE))</f>
        <v>1.1900169259154578</v>
      </c>
      <c r="Q139" s="1">
        <f>(Main_S[[#This Row],[ROE]]-VLOOKUP(Main_S[[#This Row],[Industry]], Mean_ROE_S, 2, FALSE))/(VLOOKUP(Main_S[[#This Row],[Industry]], Mean_ROE_S, 3, FALSE))</f>
        <v>-0.56675818861062066</v>
      </c>
      <c r="R139" s="1">
        <f>(Main_S[[#This Row],[ROA]]-VLOOKUP(Main_S[[#This Row],[Industry]], Mean_ROA_S, 2, FALSE))/(VLOOKUP(Main_S[[#This Row],[Industry]], Mean_ROA_S, 3, FALSE))</f>
        <v>-1.4121988026351979</v>
      </c>
      <c r="S139" s="1">
        <f>(Main_S[[#This Row],[A/E]]-VLOOKUP(Main_S[[#This Row],[Industry]], Mean_AE_S, 2, FALSE))/(VLOOKUP(Main_S[[#This Row],[Industry]], Mean_AE_S, 3, FALSE))</f>
        <v>-0.68910298811337733</v>
      </c>
      <c r="T139" s="1">
        <f>(Main_S[[#This Row],[P/E]]-VLOOKUP(Main_S[[#This Row],[Industry]], Mean_PE_S, 2, FALSE))/(VLOOKUP(Main_S[[#This Row],[Industry]], Mean_PE_S, 3, FALSE))</f>
        <v>-0.99922175677734548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s="67" t="s">
        <v>124</v>
      </c>
      <c r="B140" s="67" t="s">
        <v>378</v>
      </c>
      <c r="C140" s="2">
        <v>603</v>
      </c>
      <c r="D140">
        <f>RTD("tos.rtd", , "LAST", Main_S[[#This Row],[Symbol]])</f>
        <v>24.8</v>
      </c>
      <c r="E140">
        <v>-0.25</v>
      </c>
      <c r="F140">
        <v>15.79</v>
      </c>
      <c r="G140">
        <v>-2.89</v>
      </c>
      <c r="H140" s="1">
        <f>IF(ISNUMBER(Main_S[[#This Row],[Free CF]]),IF(Main_S[[#This Row],[Free CF]]&lt;&gt;0,Main_S[[#This Row],[Current Price]]/Main_S[[#This Row],[Free CF]],""),"")</f>
        <v>-99.2</v>
      </c>
      <c r="I140" s="1">
        <f>IF(ISNUMBER(Main_S[[#This Row],[BVPS]]),IF(Main_S[[#This Row],[BVPS]]&lt;&gt;0,Main_S[[#This Row],[Current Price]]/Main_S[[#This Row],[BVPS]],""),"")</f>
        <v>1.5706143128562382</v>
      </c>
      <c r="J140">
        <v>-0.56000000000000005</v>
      </c>
      <c r="K140">
        <v>1.18</v>
      </c>
      <c r="L140">
        <v>1.68</v>
      </c>
      <c r="M140" s="1">
        <f>IF(ISNUMBER(Main_S[[#This Row],[EPS]]),IF(Main_S[[#This Row],[EPS]]&lt;&gt;0,Main_S[[#This Row],[Current Price]]/Main_S[[#This Row],[EPS]],""),"")</f>
        <v>-8.5813148788927336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-4.9208872383667304</v>
      </c>
      <c r="P140" s="1">
        <f>(Main_S[[#This Row],[P/B]]-VLOOKUP(Main_S[[#This Row],[Industry]], Mean_PB_S, 2, FALSE))/(VLOOKUP(Main_S[[#This Row],[Industry]], Mean_PB_S, 3, FALSE))</f>
        <v>-0.74070307168007687</v>
      </c>
      <c r="Q140" s="1">
        <f>(Main_S[[#This Row],[ROE]]-VLOOKUP(Main_S[[#This Row],[Industry]], Mean_ROE_S, 2, FALSE))/(VLOOKUP(Main_S[[#This Row],[Industry]], Mean_ROE_S, 3, FALSE))</f>
        <v>0.19749957611997546</v>
      </c>
      <c r="R140" s="1">
        <f>(Main_S[[#This Row],[ROA]]-VLOOKUP(Main_S[[#This Row],[Industry]], Mean_ROA_S, 2, FALSE))/(VLOOKUP(Main_S[[#This Row],[Industry]], Mean_ROA_S, 3, FALSE))</f>
        <v>0.18168580819516711</v>
      </c>
      <c r="S140" s="1">
        <f>(Main_S[[#This Row],[A/E]]-VLOOKUP(Main_S[[#This Row],[Industry]], Mean_AE_S, 2, FALSE))/(VLOOKUP(Main_S[[#This Row],[Industry]], Mean_AE_S, 3, FALSE))</f>
        <v>-0.20637823369700525</v>
      </c>
      <c r="T140" s="1">
        <f>(Main_S[[#This Row],[P/E]]-VLOOKUP(Main_S[[#This Row],[Industry]], Mean_PE_S, 2, FALSE))/(VLOOKUP(Main_S[[#This Row],[Industry]], Mean_PE_S, 3, FALSE))</f>
        <v>-0.16030839166669944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s="67" t="s">
        <v>124</v>
      </c>
      <c r="B141" s="67" t="s">
        <v>373</v>
      </c>
      <c r="C141" s="2">
        <v>564</v>
      </c>
      <c r="D141">
        <f>RTD("tos.rtd", , "LAST", Main_S[[#This Row],[Symbol]])</f>
        <v>3.48</v>
      </c>
      <c r="E141">
        <v>-0.32</v>
      </c>
      <c r="F141">
        <v>1</v>
      </c>
      <c r="G141">
        <v>0.33</v>
      </c>
      <c r="H141" s="1">
        <f>IF(ISNUMBER(Main_S[[#This Row],[Free CF]]),IF(Main_S[[#This Row],[Free CF]]&lt;&gt;0,Main_S[[#This Row],[Current Price]]/Main_S[[#This Row],[Free CF]],""),"")</f>
        <v>-10.875</v>
      </c>
      <c r="I141" s="1">
        <f>IF(ISNUMBER(Main_S[[#This Row],[BVPS]]),IF(Main_S[[#This Row],[BVPS]]&lt;&gt;0,Main_S[[#This Row],[Current Price]]/Main_S[[#This Row],[BVPS]],""),"")</f>
        <v>3.48</v>
      </c>
      <c r="J141">
        <v>60.03</v>
      </c>
      <c r="K141">
        <v>-1.83</v>
      </c>
      <c r="L141">
        <v>2.3199999999999998</v>
      </c>
      <c r="M141" s="1">
        <f>IF(ISNUMBER(Main_S[[#This Row],[EPS]]),IF(Main_S[[#This Row],[EPS]]&lt;&gt;0,Main_S[[#This Row],[Current Price]]/Main_S[[#This Row],[EPS]],""),"")</f>
        <v>10.545454545454545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-0.99093187506063418</v>
      </c>
      <c r="P141" s="1">
        <f>(Main_S[[#This Row],[P/B]]-VLOOKUP(Main_S[[#This Row],[Industry]], Mean_PB_S, 2, FALSE))/(VLOOKUP(Main_S[[#This Row],[Industry]], Mean_PB_S, 3, FALSE))</f>
        <v>-0.23819767493643776</v>
      </c>
      <c r="Q141" s="1">
        <f>(Main_S[[#This Row],[ROE]]-VLOOKUP(Main_S[[#This Row],[Industry]], Mean_ROE_S, 2, FALSE))/(VLOOKUP(Main_S[[#This Row],[Industry]], Mean_ROE_S, 3, FALSE))</f>
        <v>1.7043781301397225</v>
      </c>
      <c r="R141" s="1">
        <f>(Main_S[[#This Row],[ROA]]-VLOOKUP(Main_S[[#This Row],[Industry]], Mean_ROA_S, 2, FALSE))/(VLOOKUP(Main_S[[#This Row],[Industry]], Mean_ROA_S, 3, FALSE))</f>
        <v>-0.21744835807766144</v>
      </c>
      <c r="S141" s="1">
        <f>(Main_S[[#This Row],[A/E]]-VLOOKUP(Main_S[[#This Row],[Industry]], Mean_AE_S, 2, FALSE))/(VLOOKUP(Main_S[[#This Row],[Industry]], Mean_AE_S, 3, FALSE))</f>
        <v>0.32628356427968119</v>
      </c>
      <c r="T141" s="1">
        <f>(Main_S[[#This Row],[P/E]]-VLOOKUP(Main_S[[#This Row],[Industry]], Mean_PE_S, 2, FALSE))/(VLOOKUP(Main_S[[#This Row],[Industry]], Mean_PE_S, 3, FALSE))</f>
        <v>0.4674198704145423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s="67" t="s">
        <v>124</v>
      </c>
      <c r="B142" s="67" t="s">
        <v>386</v>
      </c>
      <c r="C142" s="2">
        <v>1662</v>
      </c>
      <c r="D142">
        <f>RTD("tos.rtd", , "LAST", Main_S[[#This Row],[Symbol]])</f>
        <v>12.33</v>
      </c>
      <c r="E142">
        <v>-0.35</v>
      </c>
      <c r="F142">
        <v>0.05</v>
      </c>
      <c r="G142">
        <v>-1.02</v>
      </c>
      <c r="H142" s="1">
        <f>IF(ISNUMBER(Main_S[[#This Row],[Free CF]]),IF(Main_S[[#This Row],[Free CF]]&lt;&gt;0,Main_S[[#This Row],[Current Price]]/Main_S[[#This Row],[Free CF]],""),"")</f>
        <v>-35.228571428571428</v>
      </c>
      <c r="I142" s="1">
        <f>IF(ISNUMBER(Main_S[[#This Row],[BVPS]]),IF(Main_S[[#This Row],[BVPS]]&lt;&gt;0,Main_S[[#This Row],[Current Price]]/Main_S[[#This Row],[BVPS]],""),"")</f>
        <v>246.6</v>
      </c>
      <c r="J142">
        <v>-403.65</v>
      </c>
      <c r="K142">
        <v>-17.55</v>
      </c>
      <c r="L142">
        <v>40.86</v>
      </c>
      <c r="M142" s="1">
        <f>IF(ISNUMBER(Main_S[[#This Row],[EPS]]),IF(Main_S[[#This Row],[EPS]]&lt;&gt;0,Main_S[[#This Row],[Current Price]]/Main_S[[#This Row],[EPS]],""),"")</f>
        <v>-12.088235294117647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-2.0745259724438481</v>
      </c>
      <c r="P142" s="1">
        <f>(Main_S[[#This Row],[P/B]]-VLOOKUP(Main_S[[#This Row],[Industry]], Mean_PB_S, 2, FALSE))/(VLOOKUP(Main_S[[#This Row],[Industry]], Mean_PB_S, 3, FALSE))</f>
        <v>63.745267205365224</v>
      </c>
      <c r="Q142" s="1">
        <f>(Main_S[[#This Row],[ROE]]-VLOOKUP(Main_S[[#This Row],[Industry]], Mean_ROE_S, 2, FALSE))/(VLOOKUP(Main_S[[#This Row],[Industry]], Mean_ROE_S, 3, FALSE))</f>
        <v>-9.8273836775492711</v>
      </c>
      <c r="R142" s="1">
        <f>(Main_S[[#This Row],[ROA]]-VLOOKUP(Main_S[[#This Row],[Industry]], Mean_ROA_S, 2, FALSE))/(VLOOKUP(Main_S[[#This Row],[Industry]], Mean_ROA_S, 3, FALSE))</f>
        <v>-2.3019630071835966</v>
      </c>
      <c r="S142" s="1">
        <f>(Main_S[[#This Row],[A/E]]-VLOOKUP(Main_S[[#This Row],[Industry]], Mean_AE_S, 2, FALSE))/(VLOOKUP(Main_S[[#This Row],[Industry]], Mean_AE_S, 3, FALSE))</f>
        <v>32.402511211188276</v>
      </c>
      <c r="T142" s="1">
        <f>(Main_S[[#This Row],[P/E]]-VLOOKUP(Main_S[[#This Row],[Industry]], Mean_PE_S, 2, FALSE))/(VLOOKUP(Main_S[[#This Row],[Industry]], Mean_PE_S, 3, FALSE))</f>
        <v>-0.27540326256027098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s="67" t="s">
        <v>124</v>
      </c>
      <c r="B143" s="67" t="s">
        <v>382</v>
      </c>
      <c r="C143" s="2">
        <v>1440</v>
      </c>
      <c r="D143">
        <f>RTD("tos.rtd", , "LAST", Main_S[[#This Row],[Symbol]])</f>
        <v>11.67</v>
      </c>
      <c r="E143">
        <v>-0.36</v>
      </c>
      <c r="F143">
        <v>11.37</v>
      </c>
      <c r="G143">
        <v>-4.34</v>
      </c>
      <c r="H143" s="1">
        <f>IF(ISNUMBER(Main_S[[#This Row],[Free CF]]),IF(Main_S[[#This Row],[Free CF]]&lt;&gt;0,Main_S[[#This Row],[Current Price]]/Main_S[[#This Row],[Free CF]],""),"")</f>
        <v>-32.416666666666664</v>
      </c>
      <c r="I143" s="1">
        <f>IF(ISNUMBER(Main_S[[#This Row],[BVPS]]),IF(Main_S[[#This Row],[BVPS]]&lt;&gt;0,Main_S[[#This Row],[Current Price]]/Main_S[[#This Row],[BVPS]],""),"")</f>
        <v>1.0263852242744065</v>
      </c>
      <c r="J143">
        <v>-32.74</v>
      </c>
      <c r="K143">
        <v>-2.95</v>
      </c>
      <c r="L143">
        <v>1.1000000000000001</v>
      </c>
      <c r="M143" s="1">
        <f>IF(ISNUMBER(Main_S[[#This Row],[EPS]]),IF(Main_S[[#This Row],[EPS]]&lt;&gt;0,Main_S[[#This Row],[Current Price]]/Main_S[[#This Row],[EPS]],""),"")</f>
        <v>-2.6889400921658986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-1.9494123556858116</v>
      </c>
      <c r="P143" s="1">
        <f>(Main_S[[#This Row],[P/B]]-VLOOKUP(Main_S[[#This Row],[Industry]], Mean_PB_S, 2, FALSE))/(VLOOKUP(Main_S[[#This Row],[Industry]], Mean_PB_S, 3, FALSE))</f>
        <v>-0.88393136542849005</v>
      </c>
      <c r="Q143" s="1">
        <f>(Main_S[[#This Row],[ROE]]-VLOOKUP(Main_S[[#This Row],[Industry]], Mean_ROE_S, 2, FALSE))/(VLOOKUP(Main_S[[#This Row],[Industry]], Mean_ROE_S, 3, FALSE))</f>
        <v>-0.60281981434636323</v>
      </c>
      <c r="R143" s="1">
        <f>(Main_S[[#This Row],[ROA]]-VLOOKUP(Main_S[[#This Row],[Industry]], Mean_ROA_S, 2, FALSE))/(VLOOKUP(Main_S[[#This Row],[Industry]], Mean_ROA_S, 3, FALSE))</f>
        <v>-0.36596339669080702</v>
      </c>
      <c r="S143" s="1">
        <f>(Main_S[[#This Row],[A/E]]-VLOOKUP(Main_S[[#This Row],[Industry]], Mean_AE_S, 2, FALSE))/(VLOOKUP(Main_S[[#This Row],[Industry]], Mean_AE_S, 3, FALSE))</f>
        <v>-0.68910298811337733</v>
      </c>
      <c r="T143" s="1">
        <f>(Main_S[[#This Row],[P/E]]-VLOOKUP(Main_S[[#This Row],[Industry]], Mean_PE_S, 2, FALSE))/(VLOOKUP(Main_S[[#This Row],[Industry]], Mean_PE_S, 3, FALSE))</f>
        <v>3.3075556366625569E-2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s="67" t="s">
        <v>124</v>
      </c>
      <c r="B144" s="67" t="s">
        <v>357</v>
      </c>
      <c r="C144" s="2">
        <v>496</v>
      </c>
      <c r="D144">
        <f>RTD("tos.rtd", , "LAST", Main_S[[#This Row],[Symbol]])</f>
        <v>5.1100000000000003</v>
      </c>
      <c r="E144">
        <v>-0.38</v>
      </c>
      <c r="F144">
        <v>1.56</v>
      </c>
      <c r="G144">
        <v>-3.01</v>
      </c>
      <c r="H144" s="1">
        <f>IF(ISNUMBER(Main_S[[#This Row],[Free CF]]),IF(Main_S[[#This Row],[Free CF]]&lt;&gt;0,Main_S[[#This Row],[Current Price]]/Main_S[[#This Row],[Free CF]],""),"")</f>
        <v>-13.447368421052632</v>
      </c>
      <c r="I144" s="1">
        <f>IF(ISNUMBER(Main_S[[#This Row],[BVPS]]),IF(Main_S[[#This Row],[BVPS]]&lt;&gt;0,Main_S[[#This Row],[Current Price]]/Main_S[[#This Row],[BVPS]],""),"")</f>
        <v>3.2756410256410255</v>
      </c>
      <c r="J144">
        <v>-101.69</v>
      </c>
      <c r="K144">
        <v>-3.4</v>
      </c>
      <c r="L144">
        <v>5.14</v>
      </c>
      <c r="M144" s="1">
        <f>IF(ISNUMBER(Main_S[[#This Row],[EPS]]),IF(Main_S[[#This Row],[EPS]]&lt;&gt;0,Main_S[[#This Row],[Current Price]]/Main_S[[#This Row],[EPS]],""),"")</f>
        <v>-1.6976744186046513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-1.1053874999993833</v>
      </c>
      <c r="P144" s="1">
        <f>(Main_S[[#This Row],[P/B]]-VLOOKUP(Main_S[[#This Row],[Industry]], Mean_PB_S, 2, FALSE))/(VLOOKUP(Main_S[[#This Row],[Industry]], Mean_PB_S, 3, FALSE))</f>
        <v>-0.2919801496767796</v>
      </c>
      <c r="Q144" s="1">
        <f>(Main_S[[#This Row],[ROE]]-VLOOKUP(Main_S[[#This Row],[Industry]], Mean_ROE_S, 2, FALSE))/(VLOOKUP(Main_S[[#This Row],[Industry]], Mean_ROE_S, 3, FALSE))</f>
        <v>-2.3176122932977008</v>
      </c>
      <c r="R144" s="1">
        <f>(Main_S[[#This Row],[ROA]]-VLOOKUP(Main_S[[#This Row],[Industry]], Mean_ROA_S, 2, FALSE))/(VLOOKUP(Main_S[[#This Row],[Industry]], Mean_ROA_S, 3, FALSE))</f>
        <v>-0.42563461756215998</v>
      </c>
      <c r="S144" s="1">
        <f>(Main_S[[#This Row],[A/E]]-VLOOKUP(Main_S[[#This Row],[Industry]], Mean_AE_S, 2, FALSE))/(VLOOKUP(Main_S[[#This Row],[Industry]], Mean_AE_S, 3, FALSE))</f>
        <v>2.673324611614456</v>
      </c>
      <c r="T144" s="1">
        <f>(Main_S[[#This Row],[P/E]]-VLOOKUP(Main_S[[#This Row],[Industry]], Mean_PE_S, 2, FALSE))/(VLOOKUP(Main_S[[#This Row],[Industry]], Mean_PE_S, 3, FALSE))</f>
        <v>6.5608257771668413E-2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7" t="s">
        <v>124</v>
      </c>
      <c r="B145" s="67" t="s">
        <v>368</v>
      </c>
      <c r="C145" s="2">
        <v>511</v>
      </c>
      <c r="D145">
        <f>RTD("tos.rtd", , "LAST", Main_S[[#This Row],[Symbol]])</f>
        <v>14.25</v>
      </c>
      <c r="E145">
        <v>-0.43</v>
      </c>
      <c r="F145">
        <v>-4.5</v>
      </c>
      <c r="G145">
        <v>-1.89</v>
      </c>
      <c r="H145" s="1">
        <f>IF(ISNUMBER(Main_S[[#This Row],[Free CF]]),IF(Main_S[[#This Row],[Free CF]]&lt;&gt;0,Main_S[[#This Row],[Current Price]]/Main_S[[#This Row],[Free CF]],""),"")</f>
        <v>-33.139534883720934</v>
      </c>
      <c r="I145" s="1">
        <f>IF(ISNUMBER(Main_S[[#This Row],[BVPS]]),IF(Main_S[[#This Row],[BVPS]]&lt;&gt;0,Main_S[[#This Row],[Current Price]]/Main_S[[#This Row],[BVPS]],""),"")</f>
        <v>-3.1666666666666665</v>
      </c>
      <c r="J145">
        <v>43.24</v>
      </c>
      <c r="K145">
        <v>-16.86</v>
      </c>
      <c r="L145">
        <v>-1.06</v>
      </c>
      <c r="M145" s="1">
        <f>IF(ISNUMBER(Main_S[[#This Row],[EPS]]),IF(Main_S[[#This Row],[EPS]]&lt;&gt;0,Main_S[[#This Row],[Current Price]]/Main_S[[#This Row],[EPS]],""),"")</f>
        <v>-7.5396825396825404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-1.9815758408437618</v>
      </c>
      <c r="P145" s="1">
        <f>(Main_S[[#This Row],[P/B]]-VLOOKUP(Main_S[[#This Row],[Industry]], Mean_PB_S, 2, FALSE))/(VLOOKUP(Main_S[[#This Row],[Industry]], Mean_PB_S, 3, FALSE))</f>
        <v>-1.9874439863782705</v>
      </c>
      <c r="Q145" s="1">
        <f>(Main_S[[#This Row],[ROE]]-VLOOKUP(Main_S[[#This Row],[Industry]], Mean_ROE_S, 2, FALSE))/(VLOOKUP(Main_S[[#This Row],[Industry]], Mean_ROE_S, 3, FALSE))</f>
        <v>1.2868093742065396</v>
      </c>
      <c r="R145" s="1">
        <f>(Main_S[[#This Row],[ROA]]-VLOOKUP(Main_S[[#This Row],[Industry]], Mean_ROA_S, 2, FALSE))/(VLOOKUP(Main_S[[#This Row],[Industry]], Mean_ROA_S, 3, FALSE))</f>
        <v>-2.2104671351808549</v>
      </c>
      <c r="S145" s="1">
        <f>(Main_S[[#This Row],[A/E]]-VLOOKUP(Main_S[[#This Row],[Industry]], Mean_AE_S, 2, FALSE))/(VLOOKUP(Main_S[[#This Row],[Industry]], Mean_AE_S, 3, FALSE))</f>
        <v>-2.4868365562846941</v>
      </c>
      <c r="T145" s="1">
        <f>(Main_S[[#This Row],[P/E]]-VLOOKUP(Main_S[[#This Row],[Industry]], Mean_PE_S, 2, FALSE))/(VLOOKUP(Main_S[[#This Row],[Industry]], Mean_PE_S, 3, FALSE))</f>
        <v>-0.12612268871219504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s="67" t="s">
        <v>124</v>
      </c>
      <c r="B146" s="67" t="s">
        <v>392</v>
      </c>
      <c r="C146" s="2">
        <v>941</v>
      </c>
      <c r="D146">
        <f>RTD("tos.rtd", , "LAST", Main_S[[#This Row],[Symbol]])</f>
        <v>11.045</v>
      </c>
      <c r="E146">
        <v>-0.65</v>
      </c>
      <c r="F146">
        <v>-0.51</v>
      </c>
      <c r="G146">
        <v>-0.11</v>
      </c>
      <c r="H146" s="1">
        <f>IF(ISNUMBER(Main_S[[#This Row],[Free CF]]),IF(Main_S[[#This Row],[Free CF]]&lt;&gt;0,Main_S[[#This Row],[Current Price]]/Main_S[[#This Row],[Free CF]],""),"")</f>
        <v>-16.992307692307691</v>
      </c>
      <c r="I146" s="1">
        <f>IF(ISNUMBER(Main_S[[#This Row],[BVPS]]),IF(Main_S[[#This Row],[BVPS]]&lt;&gt;0,Main_S[[#This Row],[Current Price]]/Main_S[[#This Row],[BVPS]],""),"")</f>
        <v>-21.656862745098039</v>
      </c>
      <c r="J146">
        <v>29.17</v>
      </c>
      <c r="K146">
        <v>-2.65</v>
      </c>
      <c r="L146">
        <v>-15.3</v>
      </c>
      <c r="M146" s="1">
        <f>IF(ISNUMBER(Main_S[[#This Row],[EPS]]),IF(Main_S[[#This Row],[EPS]]&lt;&gt;0,Main_S[[#This Row],[Current Price]]/Main_S[[#This Row],[EPS]],""),"")</f>
        <v>-100.40909090909091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-1.2631169435506229</v>
      </c>
      <c r="P146" s="1">
        <f>(Main_S[[#This Row],[P/B]]-VLOOKUP(Main_S[[#This Row],[Industry]], Mean_PB_S, 2, FALSE))/(VLOOKUP(Main_S[[#This Row],[Industry]], Mean_PB_S, 3, FALSE))</f>
        <v>-6.8536286335245569</v>
      </c>
      <c r="Q146" s="1">
        <f>(Main_S[[#This Row],[ROE]]-VLOOKUP(Main_S[[#This Row],[Industry]], Mean_ROE_S, 2, FALSE))/(VLOOKUP(Main_S[[#This Row],[Industry]], Mean_ROE_S, 3, FALSE))</f>
        <v>0.93688725413626661</v>
      </c>
      <c r="R146" s="1">
        <f>(Main_S[[#This Row],[ROA]]-VLOOKUP(Main_S[[#This Row],[Industry]], Mean_ROA_S, 2, FALSE))/(VLOOKUP(Main_S[[#This Row],[Industry]], Mean_ROA_S, 3, FALSE))</f>
        <v>-0.32618258277657147</v>
      </c>
      <c r="S146" s="1">
        <f>(Main_S[[#This Row],[A/E]]-VLOOKUP(Main_S[[#This Row],[Industry]], Mean_AE_S, 2, FALSE))/(VLOOKUP(Main_S[[#This Row],[Industry]], Mean_AE_S, 3, FALSE))</f>
        <v>-14.338561561265969</v>
      </c>
      <c r="T146" s="1">
        <f>(Main_S[[#This Row],[P/E]]-VLOOKUP(Main_S[[#This Row],[Industry]], Mean_PE_S, 2, FALSE))/(VLOOKUP(Main_S[[#This Row],[Industry]], Mean_PE_S, 3, FALSE))</f>
        <v>-3.1740368985229446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7" spans="1:26" x14ac:dyDescent="0.25">
      <c r="A147" s="67" t="s">
        <v>124</v>
      </c>
      <c r="B147" s="67" t="s">
        <v>516</v>
      </c>
      <c r="C147" s="2">
        <v>288</v>
      </c>
      <c r="D147">
        <f>RTD("tos.rtd", , "LAST", Main_S[[#This Row],[Symbol]])</f>
        <v>8.3879999999999999</v>
      </c>
      <c r="E147">
        <v>-0.7</v>
      </c>
      <c r="F147">
        <v>1.06</v>
      </c>
      <c r="G147">
        <v>-1</v>
      </c>
      <c r="H147" s="1">
        <f>IF(ISNUMBER(Main_S[[#This Row],[Free CF]]),IF(Main_S[[#This Row],[Free CF]]&lt;&gt;0,Main_S[[#This Row],[Current Price]]/Main_S[[#This Row],[Free CF]],""),"")</f>
        <v>-11.982857142857144</v>
      </c>
      <c r="I147" s="1">
        <f>IF(ISNUMBER(Main_S[[#This Row],[BVPS]]),IF(Main_S[[#This Row],[BVPS]]&lt;&gt;0,Main_S[[#This Row],[Current Price]]/Main_S[[#This Row],[BVPS]],""),"")</f>
        <v>7.9132075471698107</v>
      </c>
      <c r="J147">
        <v>-128.19</v>
      </c>
      <c r="K147">
        <v>-59.85</v>
      </c>
      <c r="L147">
        <v>1.1299999999999999</v>
      </c>
      <c r="M147" s="1">
        <f>IF(ISNUMBER(Main_S[[#This Row],[EPS]]),IF(Main_S[[#This Row],[EPS]]&lt;&gt;0,Main_S[[#This Row],[Current Price]]/Main_S[[#This Row],[EPS]],""),"")</f>
        <v>-8.3879999999999999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-1.0402251569213576</v>
      </c>
      <c r="P147" s="1">
        <f>(Main_S[[#This Row],[P/B]]-VLOOKUP(Main_S[[#This Row],[Industry]], Mean_PB_S, 2, FALSE))/(VLOOKUP(Main_S[[#This Row],[Industry]], Mean_PB_S, 3, FALSE))</f>
        <v>0.92851826534584203</v>
      </c>
      <c r="Q147" s="1">
        <f>(Main_S[[#This Row],[ROE]]-VLOOKUP(Main_S[[#This Row],[Industry]], Mean_ROE_S, 2, FALSE))/(VLOOKUP(Main_S[[#This Row],[Industry]], Mean_ROE_S, 3, FALSE))</f>
        <v>-2.9766695912267864</v>
      </c>
      <c r="R147" s="1">
        <f>(Main_S[[#This Row],[ROA]]-VLOOKUP(Main_S[[#This Row],[Industry]], Mean_ROA_S, 2, FALSE))/(VLOOKUP(Main_S[[#This Row],[Industry]], Mean_ROA_S, 3, FALSE))</f>
        <v>-7.9110577690907888</v>
      </c>
      <c r="S147" s="1">
        <f>(Main_S[[#This Row],[A/E]]-VLOOKUP(Main_S[[#This Row],[Industry]], Mean_AE_S, 2, FALSE))/(VLOOKUP(Main_S[[#This Row],[Industry]], Mean_AE_S, 3, FALSE))</f>
        <v>-0.66413446633322026</v>
      </c>
      <c r="T147" s="1">
        <f>(Main_S[[#This Row],[P/E]]-VLOOKUP(Main_S[[#This Row],[Industry]], Mean_PE_S, 2, FALSE))/(VLOOKUP(Main_S[[#This Row],[Industry]], Mean_PE_S, 3, FALSE))</f>
        <v>-0.15396392176331308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7" t="s">
        <v>124</v>
      </c>
      <c r="B148" s="67" t="s">
        <v>371</v>
      </c>
      <c r="C148" s="2">
        <v>822</v>
      </c>
      <c r="D148">
        <f>RTD("tos.rtd", , "LAST", Main_S[[#This Row],[Symbol]])</f>
        <v>29.01</v>
      </c>
      <c r="E148">
        <v>-0.71</v>
      </c>
      <c r="F148">
        <v>8.42</v>
      </c>
      <c r="G148">
        <v>1.44</v>
      </c>
      <c r="H148" s="1">
        <f>IF(ISNUMBER(Main_S[[#This Row],[Free CF]]),IF(Main_S[[#This Row],[Free CF]]&lt;&gt;0,Main_S[[#This Row],[Current Price]]/Main_S[[#This Row],[Free CF]],""),"")</f>
        <v>-40.859154929577471</v>
      </c>
      <c r="I148" s="1">
        <f>IF(ISNUMBER(Main_S[[#This Row],[BVPS]]),IF(Main_S[[#This Row],[BVPS]]&lt;&gt;0,Main_S[[#This Row],[Current Price]]/Main_S[[#This Row],[BVPS]],""),"")</f>
        <v>3.4453681710213777</v>
      </c>
      <c r="J148">
        <v>20.56</v>
      </c>
      <c r="K148">
        <v>7.42</v>
      </c>
      <c r="L148">
        <v>1.0900000000000001</v>
      </c>
      <c r="M148" s="1">
        <f>IF(ISNUMBER(Main_S[[#This Row],[EPS]]),IF(Main_S[[#This Row],[EPS]]&lt;&gt;0,Main_S[[#This Row],[Current Price]]/Main_S[[#This Row],[EPS]],""),"")</f>
        <v>20.145833333333336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-2.3250546090509414</v>
      </c>
      <c r="P148" s="1">
        <f>(Main_S[[#This Row],[P/B]]-VLOOKUP(Main_S[[#This Row],[Industry]], Mean_PB_S, 2, FALSE))/(VLOOKUP(Main_S[[#This Row],[Industry]], Mean_PB_S, 3, FALSE))</f>
        <v>-0.24731195764947778</v>
      </c>
      <c r="Q148" s="1">
        <f>(Main_S[[#This Row],[ROE]]-VLOOKUP(Main_S[[#This Row],[Industry]], Mean_ROE_S, 2, FALSE))/(VLOOKUP(Main_S[[#This Row],[Industry]], Mean_ROE_S, 3, FALSE))</f>
        <v>0.72275580752609947</v>
      </c>
      <c r="R148" s="1">
        <f>(Main_S[[#This Row],[ROA]]-VLOOKUP(Main_S[[#This Row],[Industry]], Mean_ROA_S, 2, FALSE))/(VLOOKUP(Main_S[[#This Row],[Industry]], Mean_ROA_S, 3, FALSE))</f>
        <v>1.0091267376112634</v>
      </c>
      <c r="S148" s="1">
        <f>(Main_S[[#This Row],[A/E]]-VLOOKUP(Main_S[[#This Row],[Industry]], Mean_AE_S, 2, FALSE))/(VLOOKUP(Main_S[[#This Row],[Industry]], Mean_AE_S, 3, FALSE))</f>
        <v>-0.69742582870676306</v>
      </c>
      <c r="T148" s="1">
        <f>(Main_S[[#This Row],[P/E]]-VLOOKUP(Main_S[[#This Row],[Industry]], Mean_PE_S, 2, FALSE))/(VLOOKUP(Main_S[[#This Row],[Industry]], Mean_PE_S, 3, FALSE))</f>
        <v>0.7824981232095739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s="67" t="s">
        <v>124</v>
      </c>
      <c r="B149" s="67" t="s">
        <v>409</v>
      </c>
      <c r="C149" s="2">
        <v>1375</v>
      </c>
      <c r="D149">
        <f>RTD("tos.rtd", , "LAST", Main_S[[#This Row],[Symbol]])</f>
        <v>4.53</v>
      </c>
      <c r="E149">
        <v>-0.82</v>
      </c>
      <c r="F149">
        <v>0.42</v>
      </c>
      <c r="G149">
        <v>-0.33</v>
      </c>
      <c r="H149" s="1">
        <f>IF(ISNUMBER(Main_S[[#This Row],[Free CF]]),IF(Main_S[[#This Row],[Free CF]]&lt;&gt;0,Main_S[[#This Row],[Current Price]]/Main_S[[#This Row],[Free CF]],""),"")</f>
        <v>-5.5243902439024399</v>
      </c>
      <c r="I149" s="1">
        <f>IF(ISNUMBER(Main_S[[#This Row],[BVPS]]),IF(Main_S[[#This Row],[BVPS]]&lt;&gt;0,Main_S[[#This Row],[Current Price]]/Main_S[[#This Row],[BVPS]],""),"")</f>
        <v>10.785714285714286</v>
      </c>
      <c r="J149">
        <v>-56.12</v>
      </c>
      <c r="K149">
        <v>-11.56</v>
      </c>
      <c r="L149">
        <v>5.22</v>
      </c>
      <c r="M149" s="1">
        <f>IF(ISNUMBER(Main_S[[#This Row],[EPS]]),IF(Main_S[[#This Row],[EPS]]&lt;&gt;0,Main_S[[#This Row],[Current Price]]/Main_S[[#This Row],[EPS]],""),"")</f>
        <v>-13.727272727272727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-0.75286046257341621</v>
      </c>
      <c r="P149" s="1">
        <f>(Main_S[[#This Row],[P/B]]-VLOOKUP(Main_S[[#This Row],[Industry]], Mean_PB_S, 2, FALSE))/(VLOOKUP(Main_S[[#This Row],[Industry]], Mean_PB_S, 3, FALSE))</f>
        <v>1.6844944664979082</v>
      </c>
      <c r="Q149" s="1">
        <f>(Main_S[[#This Row],[ROE]]-VLOOKUP(Main_S[[#This Row],[Industry]], Mean_ROE_S, 2, FALSE))/(VLOOKUP(Main_S[[#This Row],[Industry]], Mean_ROE_S, 3, FALSE))</f>
        <v>-1.1842824417268167</v>
      </c>
      <c r="R149" s="1">
        <f>(Main_S[[#This Row],[ROA]]-VLOOKUP(Main_S[[#This Row],[Industry]], Mean_ROA_S, 2, FALSE))/(VLOOKUP(Main_S[[#This Row],[Industry]], Mean_ROA_S, 3, FALSE))</f>
        <v>-1.507672756029363</v>
      </c>
      <c r="S149" s="1">
        <f>(Main_S[[#This Row],[A/E]]-VLOOKUP(Main_S[[#This Row],[Industry]], Mean_AE_S, 2, FALSE))/(VLOOKUP(Main_S[[#This Row],[Industry]], Mean_AE_S, 3, FALSE))</f>
        <v>2.7399073363615418</v>
      </c>
      <c r="T149" s="1">
        <f>(Main_S[[#This Row],[P/E]]-VLOOKUP(Main_S[[#This Row],[Industry]], Mean_PE_S, 2, FALSE))/(VLOOKUP(Main_S[[#This Row],[Industry]], Mean_PE_S, 3, FALSE))</f>
        <v>-0.32919541619447773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s="67" t="s">
        <v>124</v>
      </c>
      <c r="B150" s="67" t="s">
        <v>359</v>
      </c>
      <c r="C150" s="2">
        <v>490</v>
      </c>
      <c r="D150">
        <f>RTD("tos.rtd", , "LAST", Main_S[[#This Row],[Symbol]])</f>
        <v>2.65</v>
      </c>
      <c r="E150">
        <v>-0.85</v>
      </c>
      <c r="F150">
        <v>2.23</v>
      </c>
      <c r="G150">
        <v>-0.51</v>
      </c>
      <c r="H150" s="1">
        <f>IF(ISNUMBER(Main_S[[#This Row],[Free CF]]),IF(Main_S[[#This Row],[Free CF]]&lt;&gt;0,Main_S[[#This Row],[Current Price]]/Main_S[[#This Row],[Free CF]],""),"")</f>
        <v>-3.1176470588235294</v>
      </c>
      <c r="I150" s="1">
        <f>IF(ISNUMBER(Main_S[[#This Row],[BVPS]]),IF(Main_S[[#This Row],[BVPS]]&lt;&gt;0,Main_S[[#This Row],[Current Price]]/Main_S[[#This Row],[BVPS]],""),"")</f>
        <v>1.1883408071748878</v>
      </c>
      <c r="J150">
        <v>-23.29</v>
      </c>
      <c r="K150">
        <v>-11.7</v>
      </c>
      <c r="L150">
        <v>1.19</v>
      </c>
      <c r="M150" s="1">
        <f>IF(ISNUMBER(Main_S[[#This Row],[EPS]]),IF(Main_S[[#This Row],[EPS]]&lt;&gt;0,Main_S[[#This Row],[Current Price]]/Main_S[[#This Row],[EPS]],""),"")</f>
        <v>-5.1960784313725483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-0.64577420966312737</v>
      </c>
      <c r="P150" s="1">
        <f>(Main_S[[#This Row],[P/B]]-VLOOKUP(Main_S[[#This Row],[Industry]], Mean_PB_S, 2, FALSE))/(VLOOKUP(Main_S[[#This Row],[Industry]], Mean_PB_S, 3, FALSE))</f>
        <v>-0.84130846582877905</v>
      </c>
      <c r="Q150" s="1">
        <f>(Main_S[[#This Row],[ROE]]-VLOOKUP(Main_S[[#This Row],[Industry]], Mean_ROE_S, 2, FALSE))/(VLOOKUP(Main_S[[#This Row],[Industry]], Mean_ROE_S, 3, FALSE))</f>
        <v>-0.3677974948961798</v>
      </c>
      <c r="R150" s="1">
        <f>(Main_S[[#This Row],[ROA]]-VLOOKUP(Main_S[[#This Row],[Industry]], Mean_ROA_S, 2, FALSE))/(VLOOKUP(Main_S[[#This Row],[Industry]], Mean_ROA_S, 3, FALSE))</f>
        <v>-1.5262371358560061</v>
      </c>
      <c r="S150" s="1">
        <f>(Main_S[[#This Row],[A/E]]-VLOOKUP(Main_S[[#This Row],[Industry]], Mean_AE_S, 2, FALSE))/(VLOOKUP(Main_S[[#This Row],[Industry]], Mean_AE_S, 3, FALSE))</f>
        <v>-0.6141974227729059</v>
      </c>
      <c r="T150" s="1">
        <f>(Main_S[[#This Row],[P/E]]-VLOOKUP(Main_S[[#This Row],[Industry]], Mean_PE_S, 2, FALSE))/(VLOOKUP(Main_S[[#This Row],[Industry]], Mean_PE_S, 3, FALSE))</f>
        <v>-4.9207110274615058E-2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7" t="s">
        <v>124</v>
      </c>
      <c r="B151" s="67" t="s">
        <v>420</v>
      </c>
      <c r="C151" s="2">
        <v>356</v>
      </c>
      <c r="D151">
        <f>RTD("tos.rtd", , "LAST", Main_S[[#This Row],[Symbol]])</f>
        <v>7.95</v>
      </c>
      <c r="E151">
        <v>-0.99</v>
      </c>
      <c r="F151">
        <v>9.1999999999999993</v>
      </c>
      <c r="G151">
        <v>-0.43</v>
      </c>
      <c r="H151" s="1">
        <f>IF(ISNUMBER(Main_S[[#This Row],[Free CF]]),IF(Main_S[[#This Row],[Free CF]]&lt;&gt;0,Main_S[[#This Row],[Current Price]]/Main_S[[#This Row],[Free CF]],""),"")</f>
        <v>-8.0303030303030312</v>
      </c>
      <c r="I151" s="1">
        <f>IF(ISNUMBER(Main_S[[#This Row],[BVPS]]),IF(Main_S[[#This Row],[BVPS]]&lt;&gt;0,Main_S[[#This Row],[Current Price]]/Main_S[[#This Row],[BVPS]],""),"")</f>
        <v>0.86413043478260876</v>
      </c>
      <c r="J151">
        <v>-1.46</v>
      </c>
      <c r="K151">
        <v>-6.89</v>
      </c>
      <c r="L151">
        <v>1.51</v>
      </c>
      <c r="M151" s="1">
        <f>IF(ISNUMBER(Main_S[[#This Row],[EPS]]),IF(Main_S[[#This Row],[EPS]]&lt;&gt;0,Main_S[[#This Row],[Current Price]]/Main_S[[#This Row],[EPS]],""),"")</f>
        <v>-18.488372093023255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-0.86435919333925071</v>
      </c>
      <c r="P151" s="1">
        <f>(Main_S[[#This Row],[P/B]]-VLOOKUP(Main_S[[#This Row],[Industry]], Mean_PB_S, 2, FALSE))/(VLOOKUP(Main_S[[#This Row],[Industry]], Mean_PB_S, 3, FALSE))</f>
        <v>-0.92663300916454294</v>
      </c>
      <c r="Q151" s="1">
        <f>(Main_S[[#This Row],[ROE]]-VLOOKUP(Main_S[[#This Row],[Industry]], Mean_ROE_S, 2, FALSE))/(VLOOKUP(Main_S[[#This Row],[Industry]], Mean_ROE_S, 3, FALSE))</f>
        <v>0.17511649807710086</v>
      </c>
      <c r="R151" s="1">
        <f>(Main_S[[#This Row],[ROA]]-VLOOKUP(Main_S[[#This Row],[Industry]], Mean_ROA_S, 2, FALSE))/(VLOOKUP(Main_S[[#This Row],[Industry]], Mean_ROA_S, 3, FALSE))</f>
        <v>-0.88841808609776518</v>
      </c>
      <c r="S151" s="1">
        <f>(Main_S[[#This Row],[A/E]]-VLOOKUP(Main_S[[#This Row],[Industry]], Mean_AE_S, 2, FALSE))/(VLOOKUP(Main_S[[#This Row],[Industry]], Mean_AE_S, 3, FALSE))</f>
        <v>-0.34786652378456256</v>
      </c>
      <c r="T151" s="1">
        <f>(Main_S[[#This Row],[P/E]]-VLOOKUP(Main_S[[#This Row],[Industry]], Mean_PE_S, 2, FALSE))/(VLOOKUP(Main_S[[#This Row],[Industry]], Mean_PE_S, 3, FALSE))</f>
        <v>-0.4854516330260702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s="67" t="s">
        <v>124</v>
      </c>
      <c r="B152" s="67" t="s">
        <v>367</v>
      </c>
      <c r="C152" s="2">
        <v>282</v>
      </c>
      <c r="D152">
        <f>RTD("tos.rtd", , "LAST", Main_S[[#This Row],[Symbol]])</f>
        <v>13.4</v>
      </c>
      <c r="E152">
        <v>-1.1299999999999999</v>
      </c>
      <c r="F152">
        <v>2.3199999999999998</v>
      </c>
      <c r="G152">
        <v>-1.88</v>
      </c>
      <c r="H152" s="1">
        <f>IF(ISNUMBER(Main_S[[#This Row],[Free CF]]),IF(Main_S[[#This Row],[Free CF]]&lt;&gt;0,Main_S[[#This Row],[Current Price]]/Main_S[[#This Row],[Free CF]],""),"")</f>
        <v>-11.858407079646019</v>
      </c>
      <c r="I152" s="1">
        <f>IF(ISNUMBER(Main_S[[#This Row],[BVPS]]),IF(Main_S[[#This Row],[BVPS]]&lt;&gt;0,Main_S[[#This Row],[Current Price]]/Main_S[[#This Row],[BVPS]],""),"")</f>
        <v>5.7758620689655178</v>
      </c>
      <c r="J152">
        <v>-60.08</v>
      </c>
      <c r="K152">
        <v>-31.53</v>
      </c>
      <c r="L152">
        <v>1.33</v>
      </c>
      <c r="M152" s="1">
        <f>IF(ISNUMBER(Main_S[[#This Row],[EPS]]),IF(Main_S[[#This Row],[EPS]]&lt;&gt;0,Main_S[[#This Row],[Current Price]]/Main_S[[#This Row],[EPS]],""),"")</f>
        <v>-7.127659574468086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-1.0346878436648579</v>
      </c>
      <c r="P152" s="1">
        <f>(Main_S[[#This Row],[P/B]]-VLOOKUP(Main_S[[#This Row],[Industry]], Mean_PB_S, 2, FALSE))/(VLOOKUP(Main_S[[#This Row],[Industry]], Mean_PB_S, 3, FALSE))</f>
        <v>0.3660192140882082</v>
      </c>
      <c r="Q152" s="1">
        <f>(Main_S[[#This Row],[ROE]]-VLOOKUP(Main_S[[#This Row],[Industry]], Mean_ROE_S, 2, FALSE))/(VLOOKUP(Main_S[[#This Row],[Industry]], Mean_ROE_S, 3, FALSE))</f>
        <v>-1.282767985115465</v>
      </c>
      <c r="R152" s="1">
        <f>(Main_S[[#This Row],[ROA]]-VLOOKUP(Main_S[[#This Row],[Industry]], Mean_ROA_S, 2, FALSE))/(VLOOKUP(Main_S[[#This Row],[Industry]], Mean_ROA_S, 3, FALSE))</f>
        <v>-4.1557489355869661</v>
      </c>
      <c r="S152" s="1">
        <f>(Main_S[[#This Row],[A/E]]-VLOOKUP(Main_S[[#This Row],[Industry]], Mean_AE_S, 2, FALSE))/(VLOOKUP(Main_S[[#This Row],[Industry]], Mean_AE_S, 3, FALSE))</f>
        <v>-0.4976776544655056</v>
      </c>
      <c r="T152" s="1">
        <f>(Main_S[[#This Row],[P/E]]-VLOOKUP(Main_S[[#This Row],[Industry]], Mean_PE_S, 2, FALSE))/(VLOOKUP(Main_S[[#This Row],[Industry]], Mean_PE_S, 3, FALSE))</f>
        <v>-0.11260036018125151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7" t="s">
        <v>124</v>
      </c>
      <c r="B153" s="67" t="s">
        <v>375</v>
      </c>
      <c r="C153" s="2">
        <v>325</v>
      </c>
      <c r="D153">
        <f>RTD("tos.rtd", , "LAST", Main_S[[#This Row],[Symbol]])</f>
        <v>2.0099999999999998</v>
      </c>
      <c r="E153">
        <v>-1.42</v>
      </c>
      <c r="F153">
        <v>3.1</v>
      </c>
      <c r="G153">
        <v>-7.0000000000000007E-2</v>
      </c>
      <c r="H153" s="1">
        <f>IF(ISNUMBER(Main_S[[#This Row],[Free CF]]),IF(Main_S[[#This Row],[Free CF]]&lt;&gt;0,Main_S[[#This Row],[Current Price]]/Main_S[[#This Row],[Free CF]],""),"")</f>
        <v>-1.4154929577464788</v>
      </c>
      <c r="I153" s="1">
        <f>IF(ISNUMBER(Main_S[[#This Row],[BVPS]]),IF(Main_S[[#This Row],[BVPS]]&lt;&gt;0,Main_S[[#This Row],[Current Price]]/Main_S[[#This Row],[BVPS]],""),"")</f>
        <v>0.64838709677419348</v>
      </c>
      <c r="J153">
        <v>-2.15</v>
      </c>
      <c r="K153">
        <v>-9.0299999999999994</v>
      </c>
      <c r="L153">
        <v>1.1000000000000001</v>
      </c>
      <c r="M153" s="1">
        <f>IF(ISNUMBER(Main_S[[#This Row],[EPS]]),IF(Main_S[[#This Row],[EPS]]&lt;&gt;0,Main_S[[#This Row],[Current Price]]/Main_S[[#This Row],[EPS]],""),"")</f>
        <v>-28.714285714285708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-0.5700381254434701</v>
      </c>
      <c r="P153" s="1">
        <f>(Main_S[[#This Row],[P/B]]-VLOOKUP(Main_S[[#This Row],[Industry]], Mean_PB_S, 2, FALSE))/(VLOOKUP(Main_S[[#This Row],[Industry]], Mean_PB_S, 3, FALSE))</f>
        <v>-0.98341158061329459</v>
      </c>
      <c r="Q153" s="1">
        <f>(Main_S[[#This Row],[ROE]]-VLOOKUP(Main_S[[#This Row],[Industry]], Mean_ROE_S, 2, FALSE))/(VLOOKUP(Main_S[[#This Row],[Industry]], Mean_ROE_S, 3, FALSE))</f>
        <v>0.15795613824423033</v>
      </c>
      <c r="R153" s="1">
        <f>(Main_S[[#This Row],[ROA]]-VLOOKUP(Main_S[[#This Row],[Industry]], Mean_ROA_S, 2, FALSE))/(VLOOKUP(Main_S[[#This Row],[Industry]], Mean_ROA_S, 3, FALSE))</f>
        <v>-1.172187892019311</v>
      </c>
      <c r="S153" s="1">
        <f>(Main_S[[#This Row],[A/E]]-VLOOKUP(Main_S[[#This Row],[Industry]], Mean_AE_S, 2, FALSE))/(VLOOKUP(Main_S[[#This Row],[Industry]], Mean_AE_S, 3, FALSE))</f>
        <v>-0.68910298811337733</v>
      </c>
      <c r="T153" s="1">
        <f>(Main_S[[#This Row],[P/E]]-VLOOKUP(Main_S[[#This Row],[Industry]], Mean_PE_S, 2, FALSE))/(VLOOKUP(Main_S[[#This Row],[Industry]], Mean_PE_S, 3, FALSE))</f>
        <v>-0.82105953644424168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s="67" t="s">
        <v>124</v>
      </c>
      <c r="B154" s="67" t="s">
        <v>519</v>
      </c>
      <c r="C154" s="2">
        <v>309</v>
      </c>
      <c r="D154">
        <f>RTD("tos.rtd", , "LAST", Main_S[[#This Row],[Symbol]])</f>
        <v>26.22</v>
      </c>
      <c r="E154">
        <v>-2.06</v>
      </c>
      <c r="F154">
        <v>1.25</v>
      </c>
      <c r="G154">
        <v>-1.96</v>
      </c>
      <c r="H154" s="1">
        <f>IF(ISNUMBER(Main_S[[#This Row],[Free CF]]),IF(Main_S[[#This Row],[Free CF]]&lt;&gt;0,Main_S[[#This Row],[Current Price]]/Main_S[[#This Row],[Free CF]],""),"")</f>
        <v>-12.728155339805824</v>
      </c>
      <c r="I154" s="1">
        <f>IF(ISNUMBER(Main_S[[#This Row],[BVPS]]),IF(Main_S[[#This Row],[BVPS]]&lt;&gt;0,Main_S[[#This Row],[Current Price]]/Main_S[[#This Row],[BVPS]],""),"")</f>
        <v>20.975999999999999</v>
      </c>
      <c r="J154">
        <v>-160.52000000000001</v>
      </c>
      <c r="K154">
        <v>-63.42</v>
      </c>
      <c r="L154">
        <v>1.84</v>
      </c>
      <c r="M154" s="1">
        <f>IF(ISNUMBER(Main_S[[#This Row],[EPS]]),IF(Main_S[[#This Row],[EPS]]&lt;&gt;0,Main_S[[#This Row],[Current Price]]/Main_S[[#This Row],[EPS]],""),"")</f>
        <v>-13.377551020408163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-1.0733866473981291</v>
      </c>
      <c r="P154" s="1">
        <f>(Main_S[[#This Row],[P/B]]-VLOOKUP(Main_S[[#This Row],[Industry]], Mean_PB_S, 2, FALSE))/(VLOOKUP(Main_S[[#This Row],[Industry]], Mean_PB_S, 3, FALSE))</f>
        <v>4.366337951691392</v>
      </c>
      <c r="Q154" s="1">
        <f>(Main_S[[#This Row],[ROE]]-VLOOKUP(Main_S[[#This Row],[Industry]], Mean_ROE_S, 2, FALSE))/(VLOOKUP(Main_S[[#This Row],[Industry]], Mean_ROE_S, 3, FALSE))</f>
        <v>-3.7807194947002709</v>
      </c>
      <c r="R154" s="1">
        <f>(Main_S[[#This Row],[ROA]]-VLOOKUP(Main_S[[#This Row],[Industry]], Mean_ROA_S, 2, FALSE))/(VLOOKUP(Main_S[[#This Row],[Industry]], Mean_ROA_S, 3, FALSE))</f>
        <v>-8.3844494546701895</v>
      </c>
      <c r="S154" s="1">
        <f>(Main_S[[#This Row],[A/E]]-VLOOKUP(Main_S[[#This Row],[Industry]], Mean_AE_S, 2, FALSE))/(VLOOKUP(Main_S[[#This Row],[Industry]], Mean_AE_S, 3, FALSE))</f>
        <v>-7.3212784202833489E-2</v>
      </c>
      <c r="T154" s="1">
        <f>(Main_S[[#This Row],[P/E]]-VLOOKUP(Main_S[[#This Row],[Industry]], Mean_PE_S, 2, FALSE))/(VLOOKUP(Main_S[[#This Row],[Industry]], Mean_PE_S, 3, FALSE))</f>
        <v>-0.31771777486406422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s="67" t="s">
        <v>124</v>
      </c>
      <c r="B155" s="67" t="s">
        <v>407</v>
      </c>
      <c r="C155" s="2">
        <v>1528</v>
      </c>
      <c r="D155">
        <f>RTD("tos.rtd", , "LAST", Main_S[[#This Row],[Symbol]])</f>
        <v>11.8</v>
      </c>
      <c r="E155">
        <v>-2.4300000000000002</v>
      </c>
      <c r="F155">
        <v>6.2</v>
      </c>
      <c r="G155">
        <v>-1.1599999999999999</v>
      </c>
      <c r="H155" s="1">
        <f>IF(ISNUMBER(Main_S[[#This Row],[Free CF]]),IF(Main_S[[#This Row],[Free CF]]&lt;&gt;0,Main_S[[#This Row],[Current Price]]/Main_S[[#This Row],[Free CF]],""),"")</f>
        <v>-4.8559670781893001</v>
      </c>
      <c r="I155" s="1">
        <f>IF(ISNUMBER(Main_S[[#This Row],[BVPS]]),IF(Main_S[[#This Row],[BVPS]]&lt;&gt;0,Main_S[[#This Row],[Current Price]]/Main_S[[#This Row],[BVPS]],""),"")</f>
        <v>1.903225806451613</v>
      </c>
      <c r="J155">
        <v>-22.14</v>
      </c>
      <c r="K155">
        <v>1.02</v>
      </c>
      <c r="L155">
        <v>5.0599999999999996</v>
      </c>
      <c r="M155" s="1">
        <f>IF(ISNUMBER(Main_S[[#This Row],[EPS]]),IF(Main_S[[#This Row],[EPS]]&lt;&gt;0,Main_S[[#This Row],[Current Price]]/Main_S[[#This Row],[EPS]],""),"")</f>
        <v>-10.17241379310345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-0.72311946959235307</v>
      </c>
      <c r="P155" s="1">
        <f>(Main_S[[#This Row],[P/B]]-VLOOKUP(Main_S[[#This Row],[Industry]], Mean_PB_S, 2, FALSE))/(VLOOKUP(Main_S[[#This Row],[Industry]], Mean_PB_S, 3, FALSE))</f>
        <v>-0.65316755087041767</v>
      </c>
      <c r="Q155" s="1">
        <f>(Main_S[[#This Row],[ROE]]-VLOOKUP(Main_S[[#This Row],[Industry]], Mean_ROE_S, 2, FALSE))/(VLOOKUP(Main_S[[#This Row],[Industry]], Mean_ROE_S, 3, FALSE))</f>
        <v>-0.33919689517472895</v>
      </c>
      <c r="R155" s="1">
        <f>(Main_S[[#This Row],[ROA]]-VLOOKUP(Main_S[[#This Row],[Industry]], Mean_ROA_S, 2, FALSE))/(VLOOKUP(Main_S[[#This Row],[Industry]], Mean_ROA_S, 3, FALSE))</f>
        <v>0.16046937410757489</v>
      </c>
      <c r="S155" s="1">
        <f>(Main_S[[#This Row],[A/E]]-VLOOKUP(Main_S[[#This Row],[Industry]], Mean_AE_S, 2, FALSE))/(VLOOKUP(Main_S[[#This Row],[Industry]], Mean_AE_S, 3, FALSE))</f>
        <v>2.6067418868673702</v>
      </c>
      <c r="T155" s="1">
        <f>(Main_S[[#This Row],[P/E]]-VLOOKUP(Main_S[[#This Row],[Industry]], Mean_PE_S, 2, FALSE))/(VLOOKUP(Main_S[[#This Row],[Industry]], Mean_PE_S, 3, FALSE))</f>
        <v>-0.21252723396347836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s="67" t="s">
        <v>124</v>
      </c>
      <c r="B156" s="67" t="s">
        <v>377</v>
      </c>
      <c r="C156" s="2">
        <v>1591</v>
      </c>
      <c r="D156">
        <f>RTD("tos.rtd", , "LAST", Main_S[[#This Row],[Symbol]])</f>
        <v>18.55</v>
      </c>
      <c r="E156">
        <v>-2.65</v>
      </c>
      <c r="F156">
        <v>9.2200000000000006</v>
      </c>
      <c r="G156">
        <v>-0.56000000000000005</v>
      </c>
      <c r="H156" s="1">
        <f>IF(ISNUMBER(Main_S[[#This Row],[Free CF]]),IF(Main_S[[#This Row],[Free CF]]&lt;&gt;0,Main_S[[#This Row],[Current Price]]/Main_S[[#This Row],[Free CF]],""),"")</f>
        <v>-7.0000000000000009</v>
      </c>
      <c r="I156" s="1">
        <f>IF(ISNUMBER(Main_S[[#This Row],[BVPS]]),IF(Main_S[[#This Row],[BVPS]]&lt;&gt;0,Main_S[[#This Row],[Current Price]]/Main_S[[#This Row],[BVPS]],""),"")</f>
        <v>2.011930585683297</v>
      </c>
      <c r="J156">
        <v>-6.27</v>
      </c>
      <c r="K156">
        <v>2.7</v>
      </c>
      <c r="L156">
        <v>1.64</v>
      </c>
      <c r="M156" s="1">
        <f>IF(ISNUMBER(Main_S[[#This Row],[EPS]]),IF(Main_S[[#This Row],[EPS]]&lt;&gt;0,Main_S[[#This Row],[Current Price]]/Main_S[[#This Row],[EPS]],""),"")</f>
        <v>-33.125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-0.81851662419382276</v>
      </c>
      <c r="P156" s="1">
        <f>(Main_S[[#This Row],[P/B]]-VLOOKUP(Main_S[[#This Row],[Industry]], Mean_PB_S, 2, FALSE))/(VLOOKUP(Main_S[[#This Row],[Industry]], Mean_PB_S, 3, FALSE))</f>
        <v>-0.62455901013213455</v>
      </c>
      <c r="Q156" s="1">
        <f>(Main_S[[#This Row],[ROE]]-VLOOKUP(Main_S[[#This Row],[Industry]], Mean_ROE_S, 2, FALSE))/(VLOOKUP(Main_S[[#This Row],[Industry]], Mean_ROE_S, 3, FALSE))</f>
        <v>5.5491380981293269E-2</v>
      </c>
      <c r="R156" s="1">
        <f>(Main_S[[#This Row],[ROA]]-VLOOKUP(Main_S[[#This Row],[Industry]], Mean_ROA_S, 2, FALSE))/(VLOOKUP(Main_S[[#This Row],[Industry]], Mean_ROA_S, 3, FALSE))</f>
        <v>0.38324193202729312</v>
      </c>
      <c r="S156" s="1">
        <f>(Main_S[[#This Row],[A/E]]-VLOOKUP(Main_S[[#This Row],[Industry]], Mean_AE_S, 2, FALSE))/(VLOOKUP(Main_S[[#This Row],[Industry]], Mean_AE_S, 3, FALSE))</f>
        <v>-0.23966959607054819</v>
      </c>
      <c r="T156" s="1">
        <f>(Main_S[[#This Row],[P/E]]-VLOOKUP(Main_S[[#This Row],[Industry]], Mean_PE_S, 2, FALSE))/(VLOOKUP(Main_S[[#This Row],[Industry]], Mean_PE_S, 3, FALSE))</f>
        <v>-0.9658163404648884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s="67" t="s">
        <v>124</v>
      </c>
      <c r="B157" s="67" t="s">
        <v>374</v>
      </c>
      <c r="C157" s="2">
        <v>351</v>
      </c>
      <c r="D157">
        <f>RTD("tos.rtd", , "LAST", Main_S[[#This Row],[Symbol]])</f>
        <v>22.29</v>
      </c>
      <c r="E157">
        <v>-2.94</v>
      </c>
      <c r="F157">
        <v>4.05</v>
      </c>
      <c r="G157">
        <v>-6.13</v>
      </c>
      <c r="H157" s="1">
        <f>IF(ISNUMBER(Main_S[[#This Row],[Free CF]]),IF(Main_S[[#This Row],[Free CF]]&lt;&gt;0,Main_S[[#This Row],[Current Price]]/Main_S[[#This Row],[Free CF]],""),"")</f>
        <v>-7.5816326530612246</v>
      </c>
      <c r="I157" s="1">
        <f>IF(ISNUMBER(Main_S[[#This Row],[BVPS]]),IF(Main_S[[#This Row],[BVPS]]&lt;&gt;0,Main_S[[#This Row],[Current Price]]/Main_S[[#This Row],[BVPS]],""),"")</f>
        <v>5.503703703703704</v>
      </c>
      <c r="J157">
        <v>-101.83</v>
      </c>
      <c r="K157">
        <v>9.67</v>
      </c>
      <c r="L157">
        <v>2.1</v>
      </c>
      <c r="M157" s="1">
        <f>IF(ISNUMBER(Main_S[[#This Row],[EPS]]),IF(Main_S[[#This Row],[EPS]]&lt;&gt;0,Main_S[[#This Row],[Current Price]]/Main_S[[#This Row],[EPS]],""),"")</f>
        <v>-3.6362153344208807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-0.84439593768798538</v>
      </c>
      <c r="P157" s="1">
        <f>(Main_S[[#This Row],[P/B]]-VLOOKUP(Main_S[[#This Row],[Industry]], Mean_PB_S, 2, FALSE))/(VLOOKUP(Main_S[[#This Row],[Industry]], Mean_PB_S, 3, FALSE))</f>
        <v>0.29439353456529949</v>
      </c>
      <c r="Q157" s="1">
        <f>(Main_S[[#This Row],[ROE]]-VLOOKUP(Main_S[[#This Row],[Industry]], Mean_ROE_S, 2, FALSE))/(VLOOKUP(Main_S[[#This Row],[Industry]], Mean_ROE_S, 3, FALSE))</f>
        <v>-2.3210941054377034</v>
      </c>
      <c r="R157" s="1">
        <f>(Main_S[[#This Row],[ROA]]-VLOOKUP(Main_S[[#This Row],[Industry]], Mean_ROA_S, 2, FALSE))/(VLOOKUP(Main_S[[#This Row],[Industry]], Mean_ROA_S, 3, FALSE))</f>
        <v>1.3074828419680291</v>
      </c>
      <c r="S157" s="1">
        <f>(Main_S[[#This Row],[A/E]]-VLOOKUP(Main_S[[#This Row],[Industry]], Mean_AE_S, 2, FALSE))/(VLOOKUP(Main_S[[#This Row],[Industry]], Mean_AE_S, 3, FALSE))</f>
        <v>0.14318107122519541</v>
      </c>
      <c r="T157" s="1">
        <f>(Main_S[[#This Row],[P/E]]-VLOOKUP(Main_S[[#This Row],[Industry]], Mean_PE_S, 2, FALSE))/(VLOOKUP(Main_S[[#This Row],[Industry]], Mean_PE_S, 3, FALSE))</f>
        <v>1.9865926038076013E-3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s="67" t="s">
        <v>175</v>
      </c>
      <c r="B158" s="67" t="s">
        <v>437</v>
      </c>
      <c r="C158" s="2">
        <v>1795</v>
      </c>
      <c r="D158">
        <f>RTD("tos.rtd", , "LAST", Main_S[[#This Row],[Symbol]])</f>
        <v>51.22</v>
      </c>
      <c r="E158">
        <v>4.0199999999999996</v>
      </c>
      <c r="F158">
        <v>26.27</v>
      </c>
      <c r="G158">
        <v>-0.27</v>
      </c>
      <c r="H158" s="1">
        <f>IF(ISNUMBER(Main_S[[#This Row],[Free CF]]),IF(Main_S[[#This Row],[Free CF]]&lt;&gt;0,Main_S[[#This Row],[Current Price]]/Main_S[[#This Row],[Free CF]],""),"")</f>
        <v>12.741293532338309</v>
      </c>
      <c r="I158" s="1">
        <f>IF(ISNUMBER(Main_S[[#This Row],[BVPS]]),IF(Main_S[[#This Row],[BVPS]]&lt;&gt;0,Main_S[[#This Row],[Current Price]]/Main_S[[#This Row],[BVPS]],""),"")</f>
        <v>1.9497525694708793</v>
      </c>
      <c r="J158">
        <v>-0.79</v>
      </c>
      <c r="K158">
        <v>4.58</v>
      </c>
      <c r="L158">
        <v>3.68</v>
      </c>
      <c r="M158" s="1">
        <f>IF(ISNUMBER(Main_S[[#This Row],[EPS]]),IF(Main_S[[#This Row],[EPS]]&lt;&gt;0,Main_S[[#This Row],[Current Price]]/Main_S[[#This Row],[EPS]],""),"")</f>
        <v>-189.7037037037037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0.27113205684358932</v>
      </c>
      <c r="P158" s="1">
        <f>(Main_S[[#This Row],[P/B]]-VLOOKUP(Main_S[[#This Row],[Industry]], Mean_PB_S, 2, FALSE))/(VLOOKUP(Main_S[[#This Row],[Industry]], Mean_PB_S, 3, FALSE))</f>
        <v>0.99871936533266259</v>
      </c>
      <c r="Q158" s="1">
        <f>(Main_S[[#This Row],[ROE]]-VLOOKUP(Main_S[[#This Row],[Industry]], Mean_ROE_S, 2, FALSE))/(VLOOKUP(Main_S[[#This Row],[Industry]], Mean_ROE_S, 3, FALSE))</f>
        <v>0.19298925898704203</v>
      </c>
      <c r="R158" s="1">
        <f>(Main_S[[#This Row],[ROA]]-VLOOKUP(Main_S[[#This Row],[Industry]], Mean_ROA_S, 2, FALSE))/(VLOOKUP(Main_S[[#This Row],[Industry]], Mean_ROA_S, 3, FALSE))</f>
        <v>0.75361877426827706</v>
      </c>
      <c r="S158" s="1">
        <f>(Main_S[[#This Row],[A/E]]-VLOOKUP(Main_S[[#This Row],[Industry]], Mean_AE_S, 2, FALSE))/(VLOOKUP(Main_S[[#This Row],[Industry]], Mean_AE_S, 3, FALSE))</f>
        <v>0.7836187335260677</v>
      </c>
      <c r="T158" s="1">
        <f>(Main_S[[#This Row],[P/E]]-VLOOKUP(Main_S[[#This Row],[Industry]], Mean_PE_S, 2, FALSE))/(VLOOKUP(Main_S[[#This Row],[Industry]], Mean_PE_S, 3, FALSE))</f>
        <v>-16.494652678856458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9" spans="1:26" x14ac:dyDescent="0.25">
      <c r="A159" s="67" t="s">
        <v>175</v>
      </c>
      <c r="B159" s="67" t="s">
        <v>435</v>
      </c>
      <c r="C159" s="2">
        <v>1403</v>
      </c>
      <c r="D159">
        <f>RTD("tos.rtd", , "LAST", Main_S[[#This Row],[Symbol]])</f>
        <v>13.92</v>
      </c>
      <c r="E159">
        <v>1.42</v>
      </c>
      <c r="F159">
        <v>-0.85</v>
      </c>
      <c r="G159">
        <v>-0.97</v>
      </c>
      <c r="H159" s="1">
        <f>IF(ISNUMBER(Main_S[[#This Row],[Free CF]]),IF(Main_S[[#This Row],[Free CF]]&lt;&gt;0,Main_S[[#This Row],[Current Price]]/Main_S[[#This Row],[Free CF]],""),"")</f>
        <v>9.8028169014084519</v>
      </c>
      <c r="I159" s="1">
        <f>IF(ISNUMBER(Main_S[[#This Row],[BVPS]]),IF(Main_S[[#This Row],[BVPS]]&lt;&gt;0,Main_S[[#This Row],[Current Price]]/Main_S[[#This Row],[BVPS]],""),"")</f>
        <v>-16.376470588235293</v>
      </c>
      <c r="J159">
        <v>55.32</v>
      </c>
      <c r="K159">
        <v>20.39</v>
      </c>
      <c r="L159">
        <v>-3.35</v>
      </c>
      <c r="M159" s="1">
        <f>IF(ISNUMBER(Main_S[[#This Row],[EPS]]),IF(Main_S[[#This Row],[EPS]]&lt;&gt;0,Main_S[[#This Row],[Current Price]]/Main_S[[#This Row],[EPS]],""),"")</f>
        <v>-14.350515463917526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-1.3375916337288607</v>
      </c>
      <c r="P159" s="1">
        <f>(Main_S[[#This Row],[P/B]]-VLOOKUP(Main_S[[#This Row],[Industry]], Mean_PB_S, 2, FALSE))/(VLOOKUP(Main_S[[#This Row],[Industry]], Mean_PB_S, 3, FALSE))</f>
        <v>-38.086176974002832</v>
      </c>
      <c r="Q159" s="1">
        <f>(Main_S[[#This Row],[ROE]]-VLOOKUP(Main_S[[#This Row],[Industry]], Mean_ROE_S, 2, FALSE))/(VLOOKUP(Main_S[[#This Row],[Industry]], Mean_ROE_S, 3, FALSE))</f>
        <v>7.3327435370724894</v>
      </c>
      <c r="R159" s="1">
        <f>(Main_S[[#This Row],[ROA]]-VLOOKUP(Main_S[[#This Row],[Industry]], Mean_ROA_S, 2, FALSE))/(VLOOKUP(Main_S[[#This Row],[Industry]], Mean_ROA_S, 3, FALSE))</f>
        <v>5.8819026284353324</v>
      </c>
      <c r="S159" s="1">
        <f>(Main_S[[#This Row],[A/E]]-VLOOKUP(Main_S[[#This Row],[Industry]], Mean_AE_S, 2, FALSE))/(VLOOKUP(Main_S[[#This Row],[Industry]], Mean_AE_S, 3, FALSE))</f>
        <v>-1.6894855074114208</v>
      </c>
      <c r="T159" s="1">
        <f>(Main_S[[#This Row],[P/E]]-VLOOKUP(Main_S[[#This Row],[Industry]], Mean_PE_S, 2, FALSE))/(VLOOKUP(Main_S[[#This Row],[Industry]], Mean_PE_S, 3, FALSE))</f>
        <v>-0.88272923687489324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7" t="s">
        <v>175</v>
      </c>
      <c r="B160" s="67" t="s">
        <v>436</v>
      </c>
      <c r="C160" s="2">
        <v>930</v>
      </c>
      <c r="D160">
        <f>RTD("tos.rtd", , "LAST", Main_S[[#This Row],[Symbol]])</f>
        <v>9.51</v>
      </c>
      <c r="E160">
        <v>0.67</v>
      </c>
      <c r="F160">
        <v>5.75</v>
      </c>
      <c r="G160">
        <v>-0.93</v>
      </c>
      <c r="H160" s="1">
        <f>IF(ISNUMBER(Main_S[[#This Row],[Free CF]]),IF(Main_S[[#This Row],[Free CF]]&lt;&gt;0,Main_S[[#This Row],[Current Price]]/Main_S[[#This Row],[Free CF]],""),"")</f>
        <v>14.194029850746267</v>
      </c>
      <c r="I160" s="1">
        <f>IF(ISNUMBER(Main_S[[#This Row],[BVPS]]),IF(Main_S[[#This Row],[BVPS]]&lt;&gt;0,Main_S[[#This Row],[Current Price]]/Main_S[[#This Row],[BVPS]],""),"")</f>
        <v>1.6539130434782607</v>
      </c>
      <c r="J160">
        <v>-12.6</v>
      </c>
      <c r="K160">
        <v>-2.1</v>
      </c>
      <c r="L160">
        <v>2.04</v>
      </c>
      <c r="M160" s="1">
        <f>IF(ISNUMBER(Main_S[[#This Row],[EPS]]),IF(Main_S[[#This Row],[EPS]]&lt;&gt;0,Main_S[[#This Row],[Current Price]]/Main_S[[#This Row],[EPS]],""),"")</f>
        <v>-10.225806451612902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1.0664595768852725</v>
      </c>
      <c r="P160" s="1">
        <f>(Main_S[[#This Row],[P/B]]-VLOOKUP(Main_S[[#This Row],[Industry]], Mean_PB_S, 2, FALSE))/(VLOOKUP(Main_S[[#This Row],[Industry]], Mean_PB_S, 3, FALSE))</f>
        <v>0.36777336478494649</v>
      </c>
      <c r="Q160" s="1">
        <f>(Main_S[[#This Row],[ROE]]-VLOOKUP(Main_S[[#This Row],[Industry]], Mean_ROE_S, 2, FALSE))/(VLOOKUP(Main_S[[#This Row],[Industry]], Mean_ROE_S, 3, FALSE))</f>
        <v>-1.309782047806562</v>
      </c>
      <c r="R160" s="1">
        <f>(Main_S[[#This Row],[ROA]]-VLOOKUP(Main_S[[#This Row],[Industry]], Mean_ROA_S, 2, FALSE))/(VLOOKUP(Main_S[[#This Row],[Industry]], Mean_ROA_S, 3, FALSE))</f>
        <v>-1.413170355765621</v>
      </c>
      <c r="S160" s="1">
        <f>(Main_S[[#This Row],[A/E]]-VLOOKUP(Main_S[[#This Row],[Industry]], Mean_AE_S, 2, FALSE))/(VLOOKUP(Main_S[[#This Row],[Industry]], Mean_AE_S, 3, FALSE))</f>
        <v>0.20667834161461937</v>
      </c>
      <c r="T160" s="1">
        <f>(Main_S[[#This Row],[P/E]]-VLOOKUP(Main_S[[#This Row],[Industry]], Mean_PE_S, 2, FALSE))/(VLOOKUP(Main_S[[#This Row],[Industry]], Mean_PE_S, 3, FALSE))</f>
        <v>-0.51550100471697591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s="67" t="s">
        <v>175</v>
      </c>
      <c r="B161" s="67" t="s">
        <v>438</v>
      </c>
      <c r="C161" s="2">
        <v>459</v>
      </c>
      <c r="D161">
        <f>RTD("tos.rtd", , "LAST", Main_S[[#This Row],[Symbol]])</f>
        <v>5.86</v>
      </c>
      <c r="E161">
        <v>-1.54</v>
      </c>
      <c r="F161">
        <v>6.97</v>
      </c>
      <c r="G161">
        <v>0.52</v>
      </c>
      <c r="H161" s="1">
        <f>IF(ISNUMBER(Main_S[[#This Row],[Free CF]]),IF(Main_S[[#This Row],[Free CF]]&lt;&gt;0,Main_S[[#This Row],[Current Price]]/Main_S[[#This Row],[Free CF]],""),"")</f>
        <v>-3.8051948051948052</v>
      </c>
      <c r="I161" s="1">
        <f>IF(ISNUMBER(Main_S[[#This Row],[BVPS]]),IF(Main_S[[#This Row],[BVPS]]&lt;&gt;0,Main_S[[#This Row],[Current Price]]/Main_S[[#This Row],[BVPS]],""),"")</f>
        <v>0.84074605451936879</v>
      </c>
      <c r="J161">
        <v>6.47</v>
      </c>
      <c r="K161">
        <v>4.29</v>
      </c>
      <c r="L161">
        <v>3.44</v>
      </c>
      <c r="M161" s="1">
        <f>IF(ISNUMBER(Main_S[[#This Row],[EPS]]),IF(Main_S[[#This Row],[EPS]]&lt;&gt;0,Main_S[[#This Row],[Current Price]]/Main_S[[#This Row],[EPS]],""),"")</f>
        <v>11.26923076923077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-8.7875507668299129</v>
      </c>
      <c r="P161" s="1">
        <f>(Main_S[[#This Row],[P/B]]-VLOOKUP(Main_S[[#This Row],[Industry]], Mean_PB_S, 2, FALSE))/(VLOOKUP(Main_S[[#This Row],[Industry]], Mean_PB_S, 3, FALSE))</f>
        <v>-1.3664927301176091</v>
      </c>
      <c r="Q161" s="1">
        <f>(Main_S[[#This Row],[ROE]]-VLOOKUP(Main_S[[#This Row],[Industry]], Mean_ROE_S, 2, FALSE))/(VLOOKUP(Main_S[[#This Row],[Industry]], Mean_ROE_S, 3, FALSE))</f>
        <v>1.1167927888195202</v>
      </c>
      <c r="R161" s="1">
        <f>(Main_S[[#This Row],[ROA]]-VLOOKUP(Main_S[[#This Row],[Industry]], Mean_ROA_S, 2, FALSE))/(VLOOKUP(Main_S[[#This Row],[Industry]], Mean_ROA_S, 3, FALSE))</f>
        <v>0.65955158149734439</v>
      </c>
      <c r="S161" s="1">
        <f>(Main_S[[#This Row],[A/E]]-VLOOKUP(Main_S[[#This Row],[Industry]], Mean_AE_S, 2, FALSE))/(VLOOKUP(Main_S[[#This Row],[Industry]], Mean_AE_S, 3, FALSE))</f>
        <v>0.69918843227073368</v>
      </c>
      <c r="T161" s="1">
        <f>(Main_S[[#This Row],[P/E]]-VLOOKUP(Main_S[[#This Row],[Industry]], Mean_PE_S, 2, FALSE))/(VLOOKUP(Main_S[[#This Row],[Industry]], Mean_PE_S, 3, FALSE))</f>
        <v>1.3982302415918693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45.5703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124</v>
      </c>
      <c r="B3" s="1" cm="1">
        <f t="array" ref="B3">_xlfn.QUARTILE.INC(IF(Quartile_L[[#This Row],[Industry]]=Main_L[Industry],Main_L[P/FCF]),1)</f>
        <v>26.981167608286256</v>
      </c>
      <c r="C3" s="1" cm="1">
        <f t="array" ref="C3">_xlfn.QUARTILE.INC(IF(Quartile_L[[#This Row],[Industry]]=Main_L[Industry],Main_L[P/FCF]),3)</f>
        <v>70.421875</v>
      </c>
      <c r="D3" s="1">
        <f>Quartile_L[[#This Row],[P/FCF Q1]]-1.5*(Quartile_L[[#This Row],[P/FCF Q3]]-Quartile_L[[#This Row],[P/FCF Q1]])</f>
        <v>-38.17989347928436</v>
      </c>
      <c r="E3" s="1">
        <f>Quartile_L[[#This Row],[P/FCF Q3]]+1.5*(Quartile_L[[#This Row],[P/FCF Q3]]-Quartile_L[[#This Row],[P/FCF Q1]])</f>
        <v>135.5829360875706</v>
      </c>
      <c r="F3" s="1" cm="1">
        <f t="array" ref="F3">_xlfn.QUARTILE.INC(IF(Quartile_L[[#This Row],[Industry]]=Main_L[Industry],Main_L[P/B]),1)</f>
        <v>6.2025171624713957</v>
      </c>
      <c r="G3" s="1" cm="1">
        <f t="array" ref="G3">_xlfn.QUARTILE.INC(IF(Quartile_L[[#This Row],[Industry]]=Main_L[Industry],Main_L[P/B]),3)</f>
        <v>20.960604204939781</v>
      </c>
      <c r="H3" s="1">
        <f>Quartile_L[[#This Row],[P/B Q1]]-1.5*(Quartile_L[[#This Row],[P/B Q3]]-Quartile_L[[#This Row],[P/B Q1]])</f>
        <v>-15.934613401231182</v>
      </c>
      <c r="I3" s="1">
        <f>Quartile_L[[#This Row],[P/B Q3]]+1.5*(Quartile_L[[#This Row],[P/B Q3]]-Quartile_L[[#This Row],[P/B Q1]])</f>
        <v>43.097734768642354</v>
      </c>
      <c r="J3" s="1" cm="1">
        <f t="array" ref="J3">_xlfn.QUARTILE.INC(IF(Quartile_L[[#This Row],[Industry]]=Main_L[Industry],Main_L[ROE]),1)</f>
        <v>-1.34</v>
      </c>
      <c r="K3" s="1" cm="1">
        <f t="array" ref="K3">_xlfn.QUARTILE.INC(IF(Quartile_L[[#This Row],[Industry]]=Main_L[Industry],Main_L[ROE]),3)</f>
        <v>26.06</v>
      </c>
      <c r="L3" s="1">
        <f>Quartile_L[[#This Row],[ROE Q1]]-1.5*(Quartile_L[[#This Row],[ROE Q3]]-Quartile_L[[#This Row],[ROE Q1]])</f>
        <v>-42.44</v>
      </c>
      <c r="M3" s="1">
        <f>Quartile_L[[#This Row],[ROE Q3]]+1.5*(Quartile_L[[#This Row],[ROE Q3]]-Quartile_L[[#This Row],[ROE Q1]])</f>
        <v>67.16</v>
      </c>
      <c r="N3" s="1" cm="1">
        <f t="array" ref="N3">_xlfn.QUARTILE.INC(IF(Quartile_L[[#This Row],[Industry]]=Main_L[Industry],Main_L[ROA]),1)</f>
        <v>-0.47</v>
      </c>
      <c r="O3" s="1" cm="1">
        <f t="array" ref="O3">_xlfn.QUARTILE.INC(IF(Quartile_L[[#This Row],[Industry]]=Main_L[Industry],Main_L[ROA]),3)</f>
        <v>7.45</v>
      </c>
      <c r="P3" s="1">
        <f>Quartile_L[[#This Row],[ROA Q1]]-1.5*(Quartile_L[[#This Row],[ROA Q3]]-Quartile_L[[#This Row],[ROA Q1]])</f>
        <v>-12.35</v>
      </c>
      <c r="Q3" s="1">
        <f>Quartile_L[[#This Row],[ROA Q3]]+1.5*(Quartile_L[[#This Row],[ROA Q3]]-Quartile_L[[#This Row],[ROA Q1]])</f>
        <v>19.329999999999998</v>
      </c>
      <c r="R3" s="1" cm="1">
        <f t="array" ref="R3">_xlfn.QUARTILE.INC(IF(Quartile_L[[#This Row],[Industry]]=Main_L[Industry],Main_L[P/E]),1)</f>
        <v>-12.453208556149733</v>
      </c>
      <c r="S3" s="1" cm="1">
        <f t="array" ref="S3">_xlfn.QUARTILE.INC(IF(Quartile_L[[#This Row],[Industry]]=Main_L[Industry],Main_L[P/E]),3)</f>
        <v>75.373115036622153</v>
      </c>
      <c r="T3" s="1">
        <f>Quartile_L[[#This Row],[P/E Q1]]-1.5*(Quartile_L[[#This Row],[P/E Q3]]-Quartile_L[[#This Row],[P/E Q1]])</f>
        <v>-144.19269394530755</v>
      </c>
      <c r="U3" s="1">
        <f>Quartile_L[[#This Row],[P/E Q3]]+1.5*(Quartile_L[[#This Row],[P/E Q3]]-Quartile_L[[#This Row],[P/E Q1]])</f>
        <v>207.11260042577999</v>
      </c>
      <c r="V3" s="1" cm="1">
        <f t="array" ref="V3">_xlfn.QUARTILE.INC(IF(Quartile_L[[#This Row],[Industry]]=Main_L[Industry],Main_L[A/E]),1)</f>
        <v>1.48</v>
      </c>
      <c r="W3" s="1" cm="1">
        <f t="array" ref="W3">_xlfn.QUARTILE.INC(IF(Quartile_L[[#This Row],[Industry]]=Main_L[Industry],Main_L[A/E]),3)</f>
        <v>2.65</v>
      </c>
      <c r="X3" s="1">
        <f>Quartile_L[[#This Row],[A/E Q1]]-1.5*(Quartile_L[[#This Row],[A/E Q3]]-Quartile_L[[#This Row],[A/E Q1]])</f>
        <v>-0.27499999999999991</v>
      </c>
      <c r="Y3" s="1">
        <f>Quartile_L[[#This Row],[A/E Q3]]+1.5*(Quartile_L[[#This Row],[A/E Q3]]-Quartile_L[[#This Row],[A/E Q1]])</f>
        <v>4.4049999999999994</v>
      </c>
    </row>
    <row r="4" spans="1:25" x14ac:dyDescent="0.25">
      <c r="A4" t="s">
        <v>186</v>
      </c>
      <c r="B4" s="1" cm="1">
        <f t="array" ref="B4">_xlfn.QUARTILE.INC(IF(Quartile_L[[#This Row],[Industry]]=Main_L[Industry],Main_L[P/FCF]),1)</f>
        <v>16.141892930670302</v>
      </c>
      <c r="C4" s="1" cm="1">
        <f t="array" ref="C4">_xlfn.QUARTILE.INC(IF(Quartile_L[[#This Row],[Industry]]=Main_L[Industry],Main_L[P/FCF]),3)</f>
        <v>40.870614035087719</v>
      </c>
      <c r="D4" s="1">
        <f>Quartile_L[[#This Row],[P/FCF Q1]]-1.5*(Quartile_L[[#This Row],[P/FCF Q3]]-Quartile_L[[#This Row],[P/FCF Q1]])</f>
        <v>-20.951188725955824</v>
      </c>
      <c r="E4" s="1">
        <f>Quartile_L[[#This Row],[P/FCF Q3]]+1.5*(Quartile_L[[#This Row],[P/FCF Q3]]-Quartile_L[[#This Row],[P/FCF Q1]])</f>
        <v>77.963695691713838</v>
      </c>
      <c r="F4" s="1" cm="1">
        <f t="array" ref="F4">_xlfn.QUARTILE.INC(IF(Quartile_L[[#This Row],[Industry]]=Main_L[Industry],Main_L[P/B]),1)</f>
        <v>3.2682710042507619</v>
      </c>
      <c r="G4" s="1" cm="1">
        <f t="array" ref="G4">_xlfn.QUARTILE.INC(IF(Quartile_L[[#This Row],[Industry]]=Main_L[Industry],Main_L[P/B]),3)</f>
        <v>9.3436620936422088</v>
      </c>
      <c r="H4" s="1">
        <f>Quartile_L[[#This Row],[P/B Q1]]-1.5*(Quartile_L[[#This Row],[P/B Q3]]-Quartile_L[[#This Row],[P/B Q1]])</f>
        <v>-5.8448156298364093</v>
      </c>
      <c r="I4" s="1">
        <f>Quartile_L[[#This Row],[P/B Q3]]+1.5*(Quartile_L[[#This Row],[P/B Q3]]-Quartile_L[[#This Row],[P/B Q1]])</f>
        <v>18.45674872772938</v>
      </c>
      <c r="J4" s="1" cm="1">
        <f t="array" ref="J4">_xlfn.QUARTILE.INC(IF(Quartile_L[[#This Row],[Industry]]=Main_L[Industry],Main_L[ROE]),1)</f>
        <v>10.57</v>
      </c>
      <c r="K4" s="1" cm="1">
        <f t="array" ref="K4">_xlfn.QUARTILE.INC(IF(Quartile_L[[#This Row],[Industry]]=Main_L[Industry],Main_L[ROE]),3)</f>
        <v>26.270000000000003</v>
      </c>
      <c r="L4" s="1">
        <f>Quartile_L[[#This Row],[ROE Q1]]-1.5*(Quartile_L[[#This Row],[ROE Q3]]-Quartile_L[[#This Row],[ROE Q1]])</f>
        <v>-12.980000000000004</v>
      </c>
      <c r="M4" s="1">
        <f>Quartile_L[[#This Row],[ROE Q3]]+1.5*(Quartile_L[[#This Row],[ROE Q3]]-Quartile_L[[#This Row],[ROE Q1]])</f>
        <v>49.820000000000007</v>
      </c>
      <c r="N4" s="1" cm="1">
        <f t="array" ref="N4">_xlfn.QUARTILE.INC(IF(Quartile_L[[#This Row],[Industry]]=Main_L[Industry],Main_L[ROA]),1)</f>
        <v>4.1074999999999999</v>
      </c>
      <c r="O4" s="1" cm="1">
        <f t="array" ref="O4">_xlfn.QUARTILE.INC(IF(Quartile_L[[#This Row],[Industry]]=Main_L[Industry],Main_L[ROA]),3)</f>
        <v>6.8975</v>
      </c>
      <c r="P4" s="1">
        <f>Quartile_L[[#This Row],[ROA Q1]]-1.5*(Quartile_L[[#This Row],[ROA Q3]]-Quartile_L[[#This Row],[ROA Q1]])</f>
        <v>-7.7500000000000568E-2</v>
      </c>
      <c r="Q4" s="1">
        <f>Quartile_L[[#This Row],[ROA Q3]]+1.5*(Quartile_L[[#This Row],[ROA Q3]]-Quartile_L[[#This Row],[ROA Q1]])</f>
        <v>11.0825</v>
      </c>
      <c r="R4" s="1" cm="1">
        <f t="array" ref="R4">_xlfn.QUARTILE.INC(IF(Quartile_L[[#This Row],[Industry]]=Main_L[Industry],Main_L[P/E]),1)</f>
        <v>21.649463598611046</v>
      </c>
      <c r="S4" s="1" cm="1">
        <f t="array" ref="S4">_xlfn.QUARTILE.INC(IF(Quartile_L[[#This Row],[Industry]]=Main_L[Industry],Main_L[P/E]),3)</f>
        <v>39.228569984500311</v>
      </c>
      <c r="T4" s="1">
        <f>Quartile_L[[#This Row],[P/E Q1]]-1.5*(Quartile_L[[#This Row],[P/E Q3]]-Quartile_L[[#This Row],[P/E Q1]])</f>
        <v>-4.7191959802228531</v>
      </c>
      <c r="U4" s="1">
        <f>Quartile_L[[#This Row],[P/E Q3]]+1.5*(Quartile_L[[#This Row],[P/E Q3]]-Quartile_L[[#This Row],[P/E Q1]])</f>
        <v>65.59722956333421</v>
      </c>
      <c r="V4" s="1" cm="1">
        <f t="array" ref="V4">_xlfn.QUARTILE.INC(IF(Quartile_L[[#This Row],[Industry]]=Main_L[Industry],Main_L[A/E]),1)</f>
        <v>1.9524999999999999</v>
      </c>
      <c r="W4" s="1" cm="1">
        <f t="array" ref="W4">_xlfn.QUARTILE.INC(IF(Quartile_L[[#This Row],[Industry]]=Main_L[Industry],Main_L[A/E]),3)</f>
        <v>3.69</v>
      </c>
      <c r="X4" s="1">
        <f>Quartile_L[[#This Row],[A/E Q1]]-1.5*(Quartile_L[[#This Row],[A/E Q3]]-Quartile_L[[#This Row],[A/E Q1]])</f>
        <v>-0.65375000000000028</v>
      </c>
      <c r="Y4" s="1">
        <f>Quartile_L[[#This Row],[A/E Q3]]+1.5*(Quartile_L[[#This Row],[A/E Q3]]-Quartile_L[[#This Row],[A/E Q1]])</f>
        <v>6.2962500000000006</v>
      </c>
    </row>
    <row r="5" spans="1:25" x14ac:dyDescent="0.25">
      <c r="A5" t="s">
        <v>198</v>
      </c>
      <c r="B5" s="1" cm="1">
        <f t="array" ref="B5">_xlfn.QUARTILE.INC(IF(Quartile_L[[#This Row],[Industry]]=Main_L[Industry],Main_L[P/FCF]),1)</f>
        <v>18.565458697879059</v>
      </c>
      <c r="C5" s="1" cm="1">
        <f t="array" ref="C5">_xlfn.QUARTILE.INC(IF(Quartile_L[[#This Row],[Industry]]=Main_L[Industry],Main_L[P/FCF]),3)</f>
        <v>98.05606617647058</v>
      </c>
      <c r="D5" s="1">
        <f>Quartile_L[[#This Row],[P/FCF Q1]]-1.5*(Quartile_L[[#This Row],[P/FCF Q3]]-Quartile_L[[#This Row],[P/FCF Q1]])</f>
        <v>-100.67045252000824</v>
      </c>
      <c r="E5" s="1">
        <f>Quartile_L[[#This Row],[P/FCF Q3]]+1.5*(Quartile_L[[#This Row],[P/FCF Q3]]-Quartile_L[[#This Row],[P/FCF Q1]])</f>
        <v>217.29197739435787</v>
      </c>
      <c r="F5" s="1" cm="1">
        <f t="array" ref="F5">_xlfn.QUARTILE.INC(IF(Quartile_L[[#This Row],[Industry]]=Main_L[Industry],Main_L[P/B]),1)</f>
        <v>2.9459764134582036</v>
      </c>
      <c r="G5" s="1" cm="1">
        <f t="array" ref="G5">_xlfn.QUARTILE.INC(IF(Quartile_L[[#This Row],[Industry]]=Main_L[Industry],Main_L[P/B]),3)</f>
        <v>13.264335528451117</v>
      </c>
      <c r="H5" s="1">
        <f>Quartile_L[[#This Row],[P/B Q1]]-1.5*(Quartile_L[[#This Row],[P/B Q3]]-Quartile_L[[#This Row],[P/B Q1]])</f>
        <v>-12.531562259031165</v>
      </c>
      <c r="I5" s="1">
        <f>Quartile_L[[#This Row],[P/B Q3]]+1.5*(Quartile_L[[#This Row],[P/B Q3]]-Quartile_L[[#This Row],[P/B Q1]])</f>
        <v>28.741874200940487</v>
      </c>
      <c r="J5" s="1" cm="1">
        <f t="array" ref="J5">_xlfn.QUARTILE.INC(IF(Quartile_L[[#This Row],[Industry]]=Main_L[Industry],Main_L[ROE]),1)</f>
        <v>5.76</v>
      </c>
      <c r="K5" s="1" cm="1">
        <f t="array" ref="K5">_xlfn.QUARTILE.INC(IF(Quartile_L[[#This Row],[Industry]]=Main_L[Industry],Main_L[ROE]),3)</f>
        <v>34.004999999999995</v>
      </c>
      <c r="L5" s="1">
        <f>Quartile_L[[#This Row],[ROE Q1]]-1.5*(Quartile_L[[#This Row],[ROE Q3]]-Quartile_L[[#This Row],[ROE Q1]])</f>
        <v>-36.607499999999995</v>
      </c>
      <c r="M5" s="1">
        <f>Quartile_L[[#This Row],[ROE Q3]]+1.5*(Quartile_L[[#This Row],[ROE Q3]]-Quartile_L[[#This Row],[ROE Q1]])</f>
        <v>76.372499999999988</v>
      </c>
      <c r="N5" s="1" cm="1">
        <f t="array" ref="N5">_xlfn.QUARTILE.INC(IF(Quartile_L[[#This Row],[Industry]]=Main_L[Industry],Main_L[ROA]),1)</f>
        <v>2.88</v>
      </c>
      <c r="O5" s="1" cm="1">
        <f t="array" ref="O5">_xlfn.QUARTILE.INC(IF(Quartile_L[[#This Row],[Industry]]=Main_L[Industry],Main_L[ROA]),3)</f>
        <v>12.715</v>
      </c>
      <c r="P5" s="1">
        <f>Quartile_L[[#This Row],[ROA Q1]]-1.5*(Quartile_L[[#This Row],[ROA Q3]]-Quartile_L[[#This Row],[ROA Q1]])</f>
        <v>-11.872500000000002</v>
      </c>
      <c r="Q5" s="1">
        <f>Quartile_L[[#This Row],[ROA Q3]]+1.5*(Quartile_L[[#This Row],[ROA Q3]]-Quartile_L[[#This Row],[ROA Q1]])</f>
        <v>27.467500000000001</v>
      </c>
      <c r="R5" s="1" cm="1">
        <f t="array" ref="R5">_xlfn.QUARTILE.INC(IF(Quartile_L[[#This Row],[Industry]]=Main_L[Industry],Main_L[P/E]),1)</f>
        <v>21.933523368796017</v>
      </c>
      <c r="S5" s="1" cm="1">
        <f t="array" ref="S5">_xlfn.QUARTILE.INC(IF(Quartile_L[[#This Row],[Industry]]=Main_L[Industry],Main_L[P/E]),3)</f>
        <v>53.93690392706872</v>
      </c>
      <c r="T5" s="1">
        <f>Quartile_L[[#This Row],[P/E Q1]]-1.5*(Quartile_L[[#This Row],[P/E Q3]]-Quartile_L[[#This Row],[P/E Q1]])</f>
        <v>-26.071547468613034</v>
      </c>
      <c r="U5" s="1">
        <f>Quartile_L[[#This Row],[P/E Q3]]+1.5*(Quartile_L[[#This Row],[P/E Q3]]-Quartile_L[[#This Row],[P/E Q1]])</f>
        <v>101.94197476447778</v>
      </c>
      <c r="V5" s="1" cm="1">
        <f t="array" ref="V5">_xlfn.QUARTILE.INC(IF(Quartile_L[[#This Row],[Industry]]=Main_L[Industry],Main_L[A/E]),1)</f>
        <v>1.38</v>
      </c>
      <c r="W5" s="1" cm="1">
        <f t="array" ref="W5">_xlfn.QUARTILE.INC(IF(Quartile_L[[#This Row],[Industry]]=Main_L[Industry],Main_L[A/E]),3)</f>
        <v>2.1349999999999998</v>
      </c>
      <c r="X5" s="1">
        <f>Quartile_L[[#This Row],[A/E Q1]]-1.5*(Quartile_L[[#This Row],[A/E Q3]]-Quartile_L[[#This Row],[A/E Q1]])</f>
        <v>0.24750000000000005</v>
      </c>
      <c r="Y5" s="1">
        <f>Quartile_L[[#This Row],[A/E Q3]]+1.5*(Quartile_L[[#This Row],[A/E Q3]]-Quartile_L[[#This Row],[A/E Q1]])</f>
        <v>3.2674999999999996</v>
      </c>
    </row>
    <row r="6" spans="1:25" x14ac:dyDescent="0.25">
      <c r="A6" t="s">
        <v>105</v>
      </c>
      <c r="B6" s="1" cm="1">
        <f t="array" ref="B6">_xlfn.QUARTILE.INC(IF(Quartile_L[[#This Row],[Industry]]=Main_L[Industry],Main_L[P/FCF]),1)</f>
        <v>18.66508239026469</v>
      </c>
      <c r="C6" s="1" cm="1">
        <f t="array" ref="C6">_xlfn.QUARTILE.INC(IF(Quartile_L[[#This Row],[Industry]]=Main_L[Industry],Main_L[P/FCF]),3)</f>
        <v>29.686758191724159</v>
      </c>
      <c r="D6" s="1">
        <f>Quartile_L[[#This Row],[P/FCF Q1]]-1.5*(Quartile_L[[#This Row],[P/FCF Q3]]-Quartile_L[[#This Row],[P/FCF Q1]])</f>
        <v>2.1325686880754837</v>
      </c>
      <c r="E6" s="1">
        <f>Quartile_L[[#This Row],[P/FCF Q3]]+1.5*(Quartile_L[[#This Row],[P/FCF Q3]]-Quartile_L[[#This Row],[P/FCF Q1]])</f>
        <v>46.219271893913366</v>
      </c>
      <c r="F6" s="1" cm="1">
        <f t="array" ref="F6">_xlfn.QUARTILE.INC(IF(Quartile_L[[#This Row],[Industry]]=Main_L[Industry],Main_L[P/B]),1)</f>
        <v>2.7656679941047426</v>
      </c>
      <c r="G6" s="1" cm="1">
        <f t="array" ref="G6">_xlfn.QUARTILE.INC(IF(Quartile_L[[#This Row],[Industry]]=Main_L[Industry],Main_L[P/B]),3)</f>
        <v>19.493078391145772</v>
      </c>
      <c r="H6" s="1">
        <f>Quartile_L[[#This Row],[P/B Q1]]-1.5*(Quartile_L[[#This Row],[P/B Q3]]-Quartile_L[[#This Row],[P/B Q1]])</f>
        <v>-22.325447601456805</v>
      </c>
      <c r="I6" s="1">
        <f>Quartile_L[[#This Row],[P/B Q3]]+1.5*(Quartile_L[[#This Row],[P/B Q3]]-Quartile_L[[#This Row],[P/B Q1]])</f>
        <v>44.584193986707319</v>
      </c>
      <c r="J6" s="1" cm="1">
        <f t="array" ref="J6">_xlfn.QUARTILE.INC(IF(Quartile_L[[#This Row],[Industry]]=Main_L[Industry],Main_L[ROE]),1)</f>
        <v>-5.1225000000000005</v>
      </c>
      <c r="K6" s="1" cm="1">
        <f t="array" ref="K6">_xlfn.QUARTILE.INC(IF(Quartile_L[[#This Row],[Industry]]=Main_L[Industry],Main_L[ROE]),3)</f>
        <v>20.9725</v>
      </c>
      <c r="L6" s="1">
        <f>Quartile_L[[#This Row],[ROE Q1]]-1.5*(Quartile_L[[#This Row],[ROE Q3]]-Quartile_L[[#This Row],[ROE Q1]])</f>
        <v>-44.265000000000001</v>
      </c>
      <c r="M6" s="1">
        <f>Quartile_L[[#This Row],[ROE Q3]]+1.5*(Quartile_L[[#This Row],[ROE Q3]]-Quartile_L[[#This Row],[ROE Q1]])</f>
        <v>60.114999999999995</v>
      </c>
      <c r="N6" s="1" cm="1">
        <f t="array" ref="N6">_xlfn.QUARTILE.INC(IF(Quartile_L[[#This Row],[Industry]]=Main_L[Industry],Main_L[ROA]),1)</f>
        <v>0.5575</v>
      </c>
      <c r="O6" s="1" cm="1">
        <f t="array" ref="O6">_xlfn.QUARTILE.INC(IF(Quartile_L[[#This Row],[Industry]]=Main_L[Industry],Main_L[ROA]),3)</f>
        <v>9.0249999999999986</v>
      </c>
      <c r="P6" s="1">
        <f>Quartile_L[[#This Row],[ROA Q1]]-1.5*(Quartile_L[[#This Row],[ROA Q3]]-Quartile_L[[#This Row],[ROA Q1]])</f>
        <v>-12.143749999999999</v>
      </c>
      <c r="Q6" s="1">
        <f>Quartile_L[[#This Row],[ROA Q3]]+1.5*(Quartile_L[[#This Row],[ROA Q3]]-Quartile_L[[#This Row],[ROA Q1]])</f>
        <v>21.726249999999997</v>
      </c>
      <c r="R6" s="1" cm="1">
        <f t="array" ref="R6">_xlfn.QUARTILE.INC(IF(Quartile_L[[#This Row],[Industry]]=Main_L[Industry],Main_L[P/E]),1)</f>
        <v>-19.189592333434739</v>
      </c>
      <c r="S6" s="1" cm="1">
        <f t="array" ref="S6">_xlfn.QUARTILE.INC(IF(Quartile_L[[#This Row],[Industry]]=Main_L[Industry],Main_L[P/E]),3)</f>
        <v>32.233759765544612</v>
      </c>
      <c r="T6" s="1">
        <f>Quartile_L[[#This Row],[P/E Q1]]-1.5*(Quartile_L[[#This Row],[P/E Q3]]-Quartile_L[[#This Row],[P/E Q1]])</f>
        <v>-96.324620481903764</v>
      </c>
      <c r="U6" s="1">
        <f>Quartile_L[[#This Row],[P/E Q3]]+1.5*(Quartile_L[[#This Row],[P/E Q3]]-Quartile_L[[#This Row],[P/E Q1]])</f>
        <v>109.36878791401364</v>
      </c>
      <c r="V6" s="1" cm="1">
        <f t="array" ref="V6">_xlfn.QUARTILE.INC(IF(Quartile_L[[#This Row],[Industry]]=Main_L[Industry],Main_L[A/E]),1)</f>
        <v>1.3625</v>
      </c>
      <c r="W6" s="1" cm="1">
        <f t="array" ref="W6">_xlfn.QUARTILE.INC(IF(Quartile_L[[#This Row],[Industry]]=Main_L[Industry],Main_L[A/E]),3)</f>
        <v>3.1950000000000003</v>
      </c>
      <c r="X6" s="1">
        <f>Quartile_L[[#This Row],[A/E Q1]]-1.5*(Quartile_L[[#This Row],[A/E Q3]]-Quartile_L[[#This Row],[A/E Q1]])</f>
        <v>-1.3862500000000002</v>
      </c>
      <c r="Y6" s="1">
        <f>Quartile_L[[#This Row],[A/E Q3]]+1.5*(Quartile_L[[#This Row],[A/E Q3]]-Quartile_L[[#This Row],[A/E Q1]])</f>
        <v>5.9437500000000005</v>
      </c>
    </row>
    <row r="7" spans="1:25" x14ac:dyDescent="0.25">
      <c r="A7" t="s">
        <v>165</v>
      </c>
      <c r="B7" s="1" cm="1">
        <f t="array" ref="B7">_xlfn.QUARTILE.INC(IF(Quartile_L[[#This Row],[Industry]]=Main_L[Industry],Main_L[P/FCF]),1)</f>
        <v>17.443902439024392</v>
      </c>
      <c r="C7" s="1" cm="1">
        <f t="array" ref="C7">_xlfn.QUARTILE.INC(IF(Quartile_L[[#This Row],[Industry]]=Main_L[Industry],Main_L[P/FCF]),3)</f>
        <v>32.159468438538205</v>
      </c>
      <c r="D7" s="1">
        <f>Quartile_L[[#This Row],[P/FCF Q1]]-1.5*(Quartile_L[[#This Row],[P/FCF Q3]]-Quartile_L[[#This Row],[P/FCF Q1]])</f>
        <v>-4.6294465602463291</v>
      </c>
      <c r="E7" s="1">
        <f>Quartile_L[[#This Row],[P/FCF Q3]]+1.5*(Quartile_L[[#This Row],[P/FCF Q3]]-Quartile_L[[#This Row],[P/FCF Q1]])</f>
        <v>54.232817437808926</v>
      </c>
      <c r="F7" s="1" cm="1">
        <f t="array" ref="F7">_xlfn.QUARTILE.INC(IF(Quartile_L[[#This Row],[Industry]]=Main_L[Industry],Main_L[P/B]),1)</f>
        <v>3.3035019455252921</v>
      </c>
      <c r="G7" s="1" cm="1">
        <f t="array" ref="G7">_xlfn.QUARTILE.INC(IF(Quartile_L[[#This Row],[Industry]]=Main_L[Industry],Main_L[P/B]),3)</f>
        <v>12.024844720496892</v>
      </c>
      <c r="H7" s="1">
        <f>Quartile_L[[#This Row],[P/B Q1]]-1.5*(Quartile_L[[#This Row],[P/B Q3]]-Quartile_L[[#This Row],[P/B Q1]])</f>
        <v>-9.778512216932107</v>
      </c>
      <c r="I7" s="1">
        <f>Quartile_L[[#This Row],[P/B Q3]]+1.5*(Quartile_L[[#This Row],[P/B Q3]]-Quartile_L[[#This Row],[P/B Q1]])</f>
        <v>25.106858882954292</v>
      </c>
      <c r="J7" s="1" cm="1">
        <f t="array" ref="J7">_xlfn.QUARTILE.INC(IF(Quartile_L[[#This Row],[Industry]]=Main_L[Industry],Main_L[ROE]),1)</f>
        <v>5.71</v>
      </c>
      <c r="K7" s="1" cm="1">
        <f t="array" ref="K7">_xlfn.QUARTILE.INC(IF(Quartile_L[[#This Row],[Industry]]=Main_L[Industry],Main_L[ROE]),3)</f>
        <v>33.68</v>
      </c>
      <c r="L7" s="1">
        <f>Quartile_L[[#This Row],[ROE Q1]]-1.5*(Quartile_L[[#This Row],[ROE Q3]]-Quartile_L[[#This Row],[ROE Q1]])</f>
        <v>-36.244999999999997</v>
      </c>
      <c r="M7" s="1">
        <f>Quartile_L[[#This Row],[ROE Q3]]+1.5*(Quartile_L[[#This Row],[ROE Q3]]-Quartile_L[[#This Row],[ROE Q1]])</f>
        <v>75.634999999999991</v>
      </c>
      <c r="N7" s="1" cm="1">
        <f t="array" ref="N7">_xlfn.QUARTILE.INC(IF(Quartile_L[[#This Row],[Industry]]=Main_L[Industry],Main_L[ROA]),1)</f>
        <v>2.71</v>
      </c>
      <c r="O7" s="1" cm="1">
        <f t="array" ref="O7">_xlfn.QUARTILE.INC(IF(Quartile_L[[#This Row],[Industry]]=Main_L[Industry],Main_L[ROA]),3)</f>
        <v>13</v>
      </c>
      <c r="P7" s="1">
        <f>Quartile_L[[#This Row],[ROA Q1]]-1.5*(Quartile_L[[#This Row],[ROA Q3]]-Quartile_L[[#This Row],[ROA Q1]])</f>
        <v>-12.724999999999998</v>
      </c>
      <c r="Q7" s="1">
        <f>Quartile_L[[#This Row],[ROA Q3]]+1.5*(Quartile_L[[#This Row],[ROA Q3]]-Quartile_L[[#This Row],[ROA Q1]])</f>
        <v>28.434999999999999</v>
      </c>
      <c r="R7" s="1" cm="1">
        <f t="array" ref="R7">_xlfn.QUARTILE.INC(IF(Quartile_L[[#This Row],[Industry]]=Main_L[Industry],Main_L[P/E]),1)</f>
        <v>27.989553656220327</v>
      </c>
      <c r="S7" s="1" cm="1">
        <f t="array" ref="S7">_xlfn.QUARTILE.INC(IF(Quartile_L[[#This Row],[Industry]]=Main_L[Industry],Main_L[P/E]),3)</f>
        <v>45.75</v>
      </c>
      <c r="T7" s="1">
        <f>Quartile_L[[#This Row],[P/E Q1]]-1.5*(Quartile_L[[#This Row],[P/E Q3]]-Quartile_L[[#This Row],[P/E Q1]])</f>
        <v>1.348884140550819</v>
      </c>
      <c r="U7" s="1">
        <f>Quartile_L[[#This Row],[P/E Q3]]+1.5*(Quartile_L[[#This Row],[P/E Q3]]-Quartile_L[[#This Row],[P/E Q1]])</f>
        <v>72.390669515669515</v>
      </c>
      <c r="V7" s="1" cm="1">
        <f t="array" ref="V7">_xlfn.QUARTILE.INC(IF(Quartile_L[[#This Row],[Industry]]=Main_L[Industry],Main_L[A/E]),1)</f>
        <v>1.89</v>
      </c>
      <c r="W7" s="1" cm="1">
        <f t="array" ref="W7">_xlfn.QUARTILE.INC(IF(Quartile_L[[#This Row],[Industry]]=Main_L[Industry],Main_L[A/E]),3)</f>
        <v>2.98</v>
      </c>
      <c r="X7" s="1">
        <f>Quartile_L[[#This Row],[A/E Q1]]-1.5*(Quartile_L[[#This Row],[A/E Q3]]-Quartile_L[[#This Row],[A/E Q1]])</f>
        <v>0.25499999999999967</v>
      </c>
      <c r="Y7" s="1">
        <f>Quartile_L[[#This Row],[A/E Q3]]+1.5*(Quartile_L[[#This Row],[A/E Q3]]-Quartile_L[[#This Row],[A/E Q1]])</f>
        <v>4.6150000000000002</v>
      </c>
    </row>
    <row r="8" spans="1:25" x14ac:dyDescent="0.25">
      <c r="A8" t="s">
        <v>175</v>
      </c>
      <c r="B8" s="1" cm="1">
        <f t="array" ref="B8">_xlfn.QUARTILE.INC(IF(Quartile_L[[#This Row],[Industry]]=Main_L[Industry],Main_L[P/FCF]),1)</f>
        <v>15.916428236397749</v>
      </c>
      <c r="C8" s="1" cm="1">
        <f t="array" ref="C8">_xlfn.QUARTILE.INC(IF(Quartile_L[[#This Row],[Industry]]=Main_L[Industry],Main_L[P/FCF]),3)</f>
        <v>31.814209797288296</v>
      </c>
      <c r="D8" s="1">
        <f>Quartile_L[[#This Row],[P/FCF Q1]]-1.5*(Quartile_L[[#This Row],[P/FCF Q3]]-Quartile_L[[#This Row],[P/FCF Q1]])</f>
        <v>-7.930244104938069</v>
      </c>
      <c r="E8" s="1">
        <f>Quartile_L[[#This Row],[P/FCF Q3]]+1.5*(Quartile_L[[#This Row],[P/FCF Q3]]-Quartile_L[[#This Row],[P/FCF Q1]])</f>
        <v>55.660882138624117</v>
      </c>
      <c r="F8" s="1" cm="1">
        <f t="array" ref="F8">_xlfn.QUARTILE.INC(IF(Quartile_L[[#This Row],[Industry]]=Main_L[Industry],Main_L[P/B]),1)</f>
        <v>-13.717268205217191</v>
      </c>
      <c r="G8" s="1" cm="1">
        <f t="array" ref="G8">_xlfn.QUARTILE.INC(IF(Quartile_L[[#This Row],[Industry]]=Main_L[Industry],Main_L[P/B]),3)</f>
        <v>12.433070866141733</v>
      </c>
      <c r="H8" s="1">
        <f>Quartile_L[[#This Row],[P/B Q1]]-1.5*(Quartile_L[[#This Row],[P/B Q3]]-Quartile_L[[#This Row],[P/B Q1]])</f>
        <v>-52.942776812255573</v>
      </c>
      <c r="I8" s="1">
        <f>Quartile_L[[#This Row],[P/B Q3]]+1.5*(Quartile_L[[#This Row],[P/B Q3]]-Quartile_L[[#This Row],[P/B Q1]])</f>
        <v>51.658579473180119</v>
      </c>
      <c r="J8" s="1" cm="1">
        <f t="array" ref="J8">_xlfn.QUARTILE.INC(IF(Quartile_L[[#This Row],[Industry]]=Main_L[Industry],Main_L[ROE]),1)</f>
        <v>-80.007500000000007</v>
      </c>
      <c r="K8" s="1" cm="1">
        <f t="array" ref="K8">_xlfn.QUARTILE.INC(IF(Quartile_L[[#This Row],[Industry]]=Main_L[Industry],Main_L[ROE]),3)</f>
        <v>26.734999999999999</v>
      </c>
      <c r="L8" s="1">
        <f>Quartile_L[[#This Row],[ROE Q1]]-1.5*(Quartile_L[[#This Row],[ROE Q3]]-Quartile_L[[#This Row],[ROE Q1]])</f>
        <v>-240.12125000000003</v>
      </c>
      <c r="M8" s="1">
        <f>Quartile_L[[#This Row],[ROE Q3]]+1.5*(Quartile_L[[#This Row],[ROE Q3]]-Quartile_L[[#This Row],[ROE Q1]])</f>
        <v>186.84875</v>
      </c>
      <c r="N8" s="1" cm="1">
        <f t="array" ref="N8">_xlfn.QUARTILE.INC(IF(Quartile_L[[#This Row],[Industry]]=Main_L[Industry],Main_L[ROA]),1)</f>
        <v>5.3875000000000002</v>
      </c>
      <c r="O8" s="1" cm="1">
        <f t="array" ref="O8">_xlfn.QUARTILE.INC(IF(Quartile_L[[#This Row],[Industry]]=Main_L[Industry],Main_L[ROA]),3)</f>
        <v>10.9175</v>
      </c>
      <c r="P8" s="1">
        <f>Quartile_L[[#This Row],[ROA Q1]]-1.5*(Quartile_L[[#This Row],[ROA Q3]]-Quartile_L[[#This Row],[ROA Q1]])</f>
        <v>-2.9074999999999998</v>
      </c>
      <c r="Q8" s="1">
        <f>Quartile_L[[#This Row],[ROA Q3]]+1.5*(Quartile_L[[#This Row],[ROA Q3]]-Quartile_L[[#This Row],[ROA Q1]])</f>
        <v>19.212499999999999</v>
      </c>
      <c r="R8" s="1" cm="1">
        <f t="array" ref="R8">_xlfn.QUARTILE.INC(IF(Quartile_L[[#This Row],[Industry]]=Main_L[Industry],Main_L[P/E]),1)</f>
        <v>17.622717664956852</v>
      </c>
      <c r="S8" s="1" cm="1">
        <f t="array" ref="S8">_xlfn.QUARTILE.INC(IF(Quartile_L[[#This Row],[Industry]]=Main_L[Industry],Main_L[P/E]),3)</f>
        <v>22.876731631802482</v>
      </c>
      <c r="T8" s="1">
        <f>Quartile_L[[#This Row],[P/E Q1]]-1.5*(Quartile_L[[#This Row],[P/E Q3]]-Quartile_L[[#This Row],[P/E Q1]])</f>
        <v>9.7416967146884073</v>
      </c>
      <c r="U8" s="1">
        <f>Quartile_L[[#This Row],[P/E Q3]]+1.5*(Quartile_L[[#This Row],[P/E Q3]]-Quartile_L[[#This Row],[P/E Q1]])</f>
        <v>30.757752582070928</v>
      </c>
      <c r="V8" s="1" cm="1">
        <f t="array" ref="V8">_xlfn.QUARTILE.INC(IF(Quartile_L[[#This Row],[Industry]]=Main_L[Industry],Main_L[A/E]),1)</f>
        <v>-6.4249999999999989</v>
      </c>
      <c r="W8" s="1" cm="1">
        <f t="array" ref="W8">_xlfn.QUARTILE.INC(IF(Quartile_L[[#This Row],[Industry]]=Main_L[Industry],Main_L[A/E]),3)</f>
        <v>3.1350000000000002</v>
      </c>
      <c r="X8" s="1">
        <f>Quartile_L[[#This Row],[A/E Q1]]-1.5*(Quartile_L[[#This Row],[A/E Q3]]-Quartile_L[[#This Row],[A/E Q1]])</f>
        <v>-20.764999999999997</v>
      </c>
      <c r="Y8" s="1">
        <f>Quartile_L[[#This Row],[A/E Q3]]+1.5*(Quartile_L[[#This Row],[A/E Q3]]-Quartile_L[[#This Row],[A/E Q1]])</f>
        <v>17.474999999999998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124</v>
      </c>
      <c r="B13" s="1" cm="1">
        <f t="array" ref="B13">_xlfn.QUARTILE.INC(IF(Quartile_M[[#This Row],[Industry]]=Main_M[Industry],Main_M[P/FCF]),1)</f>
        <v>11.344510641009302</v>
      </c>
      <c r="C13" s="1" cm="1">
        <f t="array" ref="C13">_xlfn.QUARTILE.INC(IF(Quartile_M[[#This Row],[Industry]]=Main_M[Industry],Main_M[P/FCF]),3)</f>
        <v>47.890025673940954</v>
      </c>
      <c r="D13" s="1">
        <f>Quartile_M[[#This Row],[P/FCF Q1]]-1.5*(Quartile_M[[#This Row],[P/FCF Q3]]-Quartile_M[[#This Row],[P/FCF Q1]])</f>
        <v>-43.473761908388177</v>
      </c>
      <c r="E13" s="1">
        <f>Quartile_M[[#This Row],[P/FCF Q3]]+1.5*(Quartile_M[[#This Row],[P/FCF Q3]]-Quartile_M[[#This Row],[P/FCF Q1]])</f>
        <v>102.70829822333843</v>
      </c>
      <c r="F13" s="1" cm="1">
        <f t="array" ref="F13">_xlfn.QUARTILE.INC(IF(Quartile_M[[#This Row],[Industry]]=Main_M[Industry],Main_M[P/B]),1)</f>
        <v>2.9806110583263612</v>
      </c>
      <c r="G13" s="1" cm="1">
        <f t="array" ref="G13">_xlfn.QUARTILE.INC(IF(Quartile_M[[#This Row],[Industry]]=Main_M[Industry],Main_M[P/B]),3)</f>
        <v>10.379683166248956</v>
      </c>
      <c r="H13" s="1">
        <f>Quartile_M[[#This Row],[P/B Q1]]-1.5*(Quartile_M[[#This Row],[P/B Q3]]-Quartile_M[[#This Row],[P/B Q1]])</f>
        <v>-8.1179971035575313</v>
      </c>
      <c r="I13" s="1">
        <f>Quartile_M[[#This Row],[P/B Q3]]+1.5*(Quartile_M[[#This Row],[P/B Q3]]-Quartile_M[[#This Row],[P/B Q1]])</f>
        <v>21.478291328132848</v>
      </c>
      <c r="J13" s="1" cm="1">
        <f t="array" ref="J13">_xlfn.QUARTILE.INC(IF(Quartile_M[[#This Row],[Industry]]=Main_M[Industry],Main_M[ROE]),1)</f>
        <v>-12.76</v>
      </c>
      <c r="K13" s="1" cm="1">
        <f t="array" ref="K13">_xlfn.QUARTILE.INC(IF(Quartile_M[[#This Row],[Industry]]=Main_M[Industry],Main_M[ROE]),3)</f>
        <v>17.45</v>
      </c>
      <c r="L13" s="1">
        <f>Quartile_M[[#This Row],[ROE Q1]]-1.5*(Quartile_M[[#This Row],[ROE Q3]]-Quartile_M[[#This Row],[ROE Q1]])</f>
        <v>-58.074999999999996</v>
      </c>
      <c r="M13" s="1">
        <f>Quartile_M[[#This Row],[ROE Q3]]+1.5*(Quartile_M[[#This Row],[ROE Q3]]-Quartile_M[[#This Row],[ROE Q1]])</f>
        <v>62.765000000000001</v>
      </c>
      <c r="N13" s="1" cm="1">
        <f t="array" ref="N13">_xlfn.QUARTILE.INC(IF(Quartile_M[[#This Row],[Industry]]=Main_M[Industry],Main_M[ROA]),1)</f>
        <v>-4.8949999999999996</v>
      </c>
      <c r="O13" s="1" cm="1">
        <f t="array" ref="O13">_xlfn.QUARTILE.INC(IF(Quartile_M[[#This Row],[Industry]]=Main_M[Industry],Main_M[ROA]),3)</f>
        <v>4.18</v>
      </c>
      <c r="P13" s="1">
        <f>Quartile_M[[#This Row],[ROA Q1]]-1.5*(Quartile_M[[#This Row],[ROA Q3]]-Quartile_M[[#This Row],[ROA Q1]])</f>
        <v>-18.5075</v>
      </c>
      <c r="Q13" s="1">
        <f>Quartile_M[[#This Row],[ROA Q3]]+1.5*(Quartile_M[[#This Row],[ROA Q3]]-Quartile_M[[#This Row],[ROA Q1]])</f>
        <v>17.792499999999997</v>
      </c>
      <c r="R13" s="1" cm="1">
        <f t="array" ref="R13">_xlfn.QUARTILE.INC(IF(Quartile_M[[#This Row],[Industry]]=Main_M[Industry],Main_M[P/E]),1)</f>
        <v>-62.295454545454547</v>
      </c>
      <c r="S13" s="1" cm="1">
        <f t="array" ref="S13">_xlfn.QUARTILE.INC(IF(Quartile_M[[#This Row],[Industry]]=Main_M[Industry],Main_M[P/E]),3)</f>
        <v>25.046610169491526</v>
      </c>
      <c r="T13" s="1">
        <f>Quartile_M[[#This Row],[P/E Q1]]-1.5*(Quartile_M[[#This Row],[P/E Q3]]-Quartile_M[[#This Row],[P/E Q1]])</f>
        <v>-193.30855161787366</v>
      </c>
      <c r="U13" s="1">
        <f>Quartile_M[[#This Row],[P/E Q3]]+1.5*(Quartile_M[[#This Row],[P/E Q3]]-Quartile_M[[#This Row],[P/E Q1]])</f>
        <v>156.05970724191062</v>
      </c>
      <c r="V13" s="1" cm="1">
        <f t="array" ref="V13">_xlfn.QUARTILE.INC(IF(Quartile_M[[#This Row],[Industry]]=Main_M[Industry],Main_M[A/E]),1)</f>
        <v>1.2549999999999999</v>
      </c>
      <c r="W13" s="1" cm="1">
        <f t="array" ref="W13">_xlfn.QUARTILE.INC(IF(Quartile_M[[#This Row],[Industry]]=Main_M[Industry],Main_M[A/E]),3)</f>
        <v>2.4800000000000004</v>
      </c>
      <c r="X13" s="1">
        <f>Quartile_M[[#This Row],[A/E Q1]]-1.5*(Quartile_M[[#This Row],[A/E Q3]]-Quartile_M[[#This Row],[A/E Q1]])</f>
        <v>-0.58250000000000091</v>
      </c>
      <c r="Y13" s="1">
        <f>Quartile_M[[#This Row],[A/E Q3]]+1.5*(Quartile_M[[#This Row],[A/E Q3]]-Quartile_M[[#This Row],[A/E Q1]])</f>
        <v>4.3175000000000008</v>
      </c>
    </row>
    <row r="14" spans="1:25" x14ac:dyDescent="0.25">
      <c r="A14" t="s">
        <v>186</v>
      </c>
      <c r="B14" s="1" cm="1">
        <f t="array" ref="B14">_xlfn.QUARTILE.INC(IF(Quartile_M[[#This Row],[Industry]]=Main_M[Industry],Main_M[P/FCF]),1)</f>
        <v>10.415624938507031</v>
      </c>
      <c r="C14" s="1" cm="1">
        <f t="array" ref="C14">_xlfn.QUARTILE.INC(IF(Quartile_M[[#This Row],[Industry]]=Main_M[Industry],Main_M[P/FCF]),3)</f>
        <v>36.217931456548357</v>
      </c>
      <c r="D14" s="1">
        <f>Quartile_M[[#This Row],[P/FCF Q1]]-1.5*(Quartile_M[[#This Row],[P/FCF Q3]]-Quartile_M[[#This Row],[P/FCF Q1]])</f>
        <v>-28.287834838554964</v>
      </c>
      <c r="E14" s="1">
        <f>Quartile_M[[#This Row],[P/FCF Q3]]+1.5*(Quartile_M[[#This Row],[P/FCF Q3]]-Quartile_M[[#This Row],[P/FCF Q1]])</f>
        <v>74.92139123361035</v>
      </c>
      <c r="F14" s="1" cm="1">
        <f t="array" ref="F14">_xlfn.QUARTILE.INC(IF(Quartile_M[[#This Row],[Industry]]=Main_M[Industry],Main_M[P/B]),1)</f>
        <v>1.4363334715885525</v>
      </c>
      <c r="G14" s="1" cm="1">
        <f t="array" ref="G14">_xlfn.QUARTILE.INC(IF(Quartile_M[[#This Row],[Industry]]=Main_M[Industry],Main_M[P/B]),3)</f>
        <v>3.722596448254746</v>
      </c>
      <c r="H14" s="1">
        <f>Quartile_M[[#This Row],[P/B Q1]]-1.5*(Quartile_M[[#This Row],[P/B Q3]]-Quartile_M[[#This Row],[P/B Q1]])</f>
        <v>-1.9930609934107375</v>
      </c>
      <c r="I14" s="1">
        <f>Quartile_M[[#This Row],[P/B Q3]]+1.5*(Quartile_M[[#This Row],[P/B Q3]]-Quartile_M[[#This Row],[P/B Q1]])</f>
        <v>7.1519909132540356</v>
      </c>
      <c r="J14" s="1" cm="1">
        <f t="array" ref="J14">_xlfn.QUARTILE.INC(IF(Quartile_M[[#This Row],[Industry]]=Main_M[Industry],Main_M[ROE]),1)</f>
        <v>5.72</v>
      </c>
      <c r="K14" s="1" cm="1">
        <f t="array" ref="K14">_xlfn.QUARTILE.INC(IF(Quartile_M[[#This Row],[Industry]]=Main_M[Industry],Main_M[ROE]),3)</f>
        <v>16.23</v>
      </c>
      <c r="L14" s="1">
        <f>Quartile_M[[#This Row],[ROE Q1]]-1.5*(Quartile_M[[#This Row],[ROE Q3]]-Quartile_M[[#This Row],[ROE Q1]])</f>
        <v>-10.045000000000002</v>
      </c>
      <c r="M14" s="1">
        <f>Quartile_M[[#This Row],[ROE Q3]]+1.5*(Quartile_M[[#This Row],[ROE Q3]]-Quartile_M[[#This Row],[ROE Q1]])</f>
        <v>31.995000000000005</v>
      </c>
      <c r="N14" s="1" cm="1">
        <f t="array" ref="N14">_xlfn.QUARTILE.INC(IF(Quartile_M[[#This Row],[Industry]]=Main_M[Industry],Main_M[ROA]),1)</f>
        <v>2.81</v>
      </c>
      <c r="O14" s="1" cm="1">
        <f t="array" ref="O14">_xlfn.QUARTILE.INC(IF(Quartile_M[[#This Row],[Industry]]=Main_M[Industry],Main_M[ROA]),3)</f>
        <v>5.91</v>
      </c>
      <c r="P14" s="1">
        <f>Quartile_M[[#This Row],[ROA Q1]]-1.5*(Quartile_M[[#This Row],[ROA Q3]]-Quartile_M[[#This Row],[ROA Q1]])</f>
        <v>-1.8400000000000003</v>
      </c>
      <c r="Q14" s="1">
        <f>Quartile_M[[#This Row],[ROA Q3]]+1.5*(Quartile_M[[#This Row],[ROA Q3]]-Quartile_M[[#This Row],[ROA Q1]])</f>
        <v>10.56</v>
      </c>
      <c r="R14" s="1" cm="1">
        <f t="array" ref="R14">_xlfn.QUARTILE.INC(IF(Quartile_M[[#This Row],[Industry]]=Main_M[Industry],Main_M[P/E]),1)</f>
        <v>14.483146067415731</v>
      </c>
      <c r="S14" s="1" cm="1">
        <f t="array" ref="S14">_xlfn.QUARTILE.INC(IF(Quartile_M[[#This Row],[Industry]]=Main_M[Industry],Main_M[P/E]),3)</f>
        <v>34.536000000000001</v>
      </c>
      <c r="T14" s="1">
        <f>Quartile_M[[#This Row],[P/E Q1]]-1.5*(Quartile_M[[#This Row],[P/E Q3]]-Quartile_M[[#This Row],[P/E Q1]])</f>
        <v>-15.596134831460674</v>
      </c>
      <c r="U14" s="1">
        <f>Quartile_M[[#This Row],[P/E Q3]]+1.5*(Quartile_M[[#This Row],[P/E Q3]]-Quartile_M[[#This Row],[P/E Q1]])</f>
        <v>64.615280898876406</v>
      </c>
      <c r="V14" s="1" cm="1">
        <f t="array" ref="V14">_xlfn.QUARTILE.INC(IF(Quartile_M[[#This Row],[Industry]]=Main_M[Industry],Main_M[A/E]),1)</f>
        <v>1.58</v>
      </c>
      <c r="W14" s="1" cm="1">
        <f t="array" ref="W14">_xlfn.QUARTILE.INC(IF(Quartile_M[[#This Row],[Industry]]=Main_M[Industry],Main_M[A/E]),3)</f>
        <v>2.4</v>
      </c>
      <c r="X14" s="1">
        <f>Quartile_M[[#This Row],[A/E Q1]]-1.5*(Quartile_M[[#This Row],[A/E Q3]]-Quartile_M[[#This Row],[A/E Q1]])</f>
        <v>0.35000000000000031</v>
      </c>
      <c r="Y14" s="1">
        <f>Quartile_M[[#This Row],[A/E Q3]]+1.5*(Quartile_M[[#This Row],[A/E Q3]]-Quartile_M[[#This Row],[A/E Q1]])</f>
        <v>3.63</v>
      </c>
    </row>
    <row r="15" spans="1:25" x14ac:dyDescent="0.25">
      <c r="A15" t="s">
        <v>198</v>
      </c>
      <c r="B15" s="1" cm="1">
        <f t="array" ref="B15">_xlfn.QUARTILE.INC(IF(Quartile_M[[#This Row],[Industry]]=Main_M[Industry],Main_M[P/FCF]),1)</f>
        <v>15.837890625</v>
      </c>
      <c r="C15" s="1" cm="1">
        <f t="array" ref="C15">_xlfn.QUARTILE.INC(IF(Quartile_M[[#This Row],[Industry]]=Main_M[Industry],Main_M[P/FCF]),3)</f>
        <v>47.696113074204945</v>
      </c>
      <c r="D15" s="1">
        <f>Quartile_M[[#This Row],[P/FCF Q1]]-1.5*(Quartile_M[[#This Row],[P/FCF Q3]]-Quartile_M[[#This Row],[P/FCF Q1]])</f>
        <v>-31.949443048807417</v>
      </c>
      <c r="E15" s="1">
        <f>Quartile_M[[#This Row],[P/FCF Q3]]+1.5*(Quartile_M[[#This Row],[P/FCF Q3]]-Quartile_M[[#This Row],[P/FCF Q1]])</f>
        <v>95.483446748012369</v>
      </c>
      <c r="F15" s="1" cm="1">
        <f t="array" ref="F15">_xlfn.QUARTILE.INC(IF(Quartile_M[[#This Row],[Industry]]=Main_M[Industry],Main_M[P/B]),1)</f>
        <v>2.6027280477408357</v>
      </c>
      <c r="G15" s="1" cm="1">
        <f t="array" ref="G15">_xlfn.QUARTILE.INC(IF(Quartile_M[[#This Row],[Industry]]=Main_M[Industry],Main_M[P/B]),3)</f>
        <v>6.5819427890345645</v>
      </c>
      <c r="H15" s="1">
        <f>Quartile_M[[#This Row],[P/B Q1]]-1.5*(Quartile_M[[#This Row],[P/B Q3]]-Quartile_M[[#This Row],[P/B Q1]])</f>
        <v>-3.3660940641997574</v>
      </c>
      <c r="I15" s="1">
        <f>Quartile_M[[#This Row],[P/B Q3]]+1.5*(Quartile_M[[#This Row],[P/B Q3]]-Quartile_M[[#This Row],[P/B Q1]])</f>
        <v>12.550764900975157</v>
      </c>
      <c r="J15" s="1" cm="1">
        <f t="array" ref="J15">_xlfn.QUARTILE.INC(IF(Quartile_M[[#This Row],[Industry]]=Main_M[Industry],Main_M[ROE]),1)</f>
        <v>-7.05</v>
      </c>
      <c r="K15" s="1" cm="1">
        <f t="array" ref="K15">_xlfn.QUARTILE.INC(IF(Quartile_M[[#This Row],[Industry]]=Main_M[Industry],Main_M[ROE]),3)</f>
        <v>14.61</v>
      </c>
      <c r="L15" s="1">
        <f>Quartile_M[[#This Row],[ROE Q1]]-1.5*(Quartile_M[[#This Row],[ROE Q3]]-Quartile_M[[#This Row],[ROE Q1]])</f>
        <v>-39.54</v>
      </c>
      <c r="M15" s="1">
        <f>Quartile_M[[#This Row],[ROE Q3]]+1.5*(Quartile_M[[#This Row],[ROE Q3]]-Quartile_M[[#This Row],[ROE Q1]])</f>
        <v>47.1</v>
      </c>
      <c r="N15" s="1" cm="1">
        <f t="array" ref="N15">_xlfn.QUARTILE.INC(IF(Quartile_M[[#This Row],[Industry]]=Main_M[Industry],Main_M[ROA]),1)</f>
        <v>-0.54</v>
      </c>
      <c r="O15" s="1" cm="1">
        <f t="array" ref="O15">_xlfn.QUARTILE.INC(IF(Quartile_M[[#This Row],[Industry]]=Main_M[Industry],Main_M[ROA]),3)</f>
        <v>6.46</v>
      </c>
      <c r="P15" s="1">
        <f>Quartile_M[[#This Row],[ROA Q1]]-1.5*(Quartile_M[[#This Row],[ROA Q3]]-Quartile_M[[#This Row],[ROA Q1]])</f>
        <v>-11.04</v>
      </c>
      <c r="Q15" s="1">
        <f>Quartile_M[[#This Row],[ROA Q3]]+1.5*(Quartile_M[[#This Row],[ROA Q3]]-Quartile_M[[#This Row],[ROA Q1]])</f>
        <v>16.96</v>
      </c>
      <c r="R15" s="1" cm="1">
        <f t="array" ref="R15">_xlfn.QUARTILE.INC(IF(Quartile_M[[#This Row],[Industry]]=Main_M[Industry],Main_M[P/E]),1)</f>
        <v>-21.835341365461844</v>
      </c>
      <c r="S15" s="1" cm="1">
        <f t="array" ref="S15">_xlfn.QUARTILE.INC(IF(Quartile_M[[#This Row],[Industry]]=Main_M[Industry],Main_M[P/E]),3)</f>
        <v>33.316742081447963</v>
      </c>
      <c r="T15" s="1">
        <f>Quartile_M[[#This Row],[P/E Q1]]-1.5*(Quartile_M[[#This Row],[P/E Q3]]-Quartile_M[[#This Row],[P/E Q1]])</f>
        <v>-104.56346653582655</v>
      </c>
      <c r="U15" s="1">
        <f>Quartile_M[[#This Row],[P/E Q3]]+1.5*(Quartile_M[[#This Row],[P/E Q3]]-Quartile_M[[#This Row],[P/E Q1]])</f>
        <v>116.04486725181266</v>
      </c>
      <c r="V15" s="1" cm="1">
        <f t="array" ref="V15">_xlfn.QUARTILE.INC(IF(Quartile_M[[#This Row],[Industry]]=Main_M[Industry],Main_M[A/E]),1)</f>
        <v>1.19</v>
      </c>
      <c r="W15" s="1" cm="1">
        <f t="array" ref="W15">_xlfn.QUARTILE.INC(IF(Quartile_M[[#This Row],[Industry]]=Main_M[Industry],Main_M[A/E]),3)</f>
        <v>1.69</v>
      </c>
      <c r="X15" s="1">
        <f>Quartile_M[[#This Row],[A/E Q1]]-1.5*(Quartile_M[[#This Row],[A/E Q3]]-Quartile_M[[#This Row],[A/E Q1]])</f>
        <v>0.43999999999999995</v>
      </c>
      <c r="Y15" s="1">
        <f>Quartile_M[[#This Row],[A/E Q3]]+1.5*(Quartile_M[[#This Row],[A/E Q3]]-Quartile_M[[#This Row],[A/E Q1]])</f>
        <v>2.44</v>
      </c>
    </row>
    <row r="16" spans="1:25" x14ac:dyDescent="0.25">
      <c r="A16" t="s">
        <v>105</v>
      </c>
      <c r="B16" s="1" cm="1">
        <f t="array" ref="B16">_xlfn.QUARTILE.INC(IF(Quartile_M[[#This Row],[Industry]]=Main_M[Industry],Main_M[P/FCF]),1)</f>
        <v>6.7220564018114448</v>
      </c>
      <c r="C16" s="1" cm="1">
        <f t="array" ref="C16">_xlfn.QUARTILE.INC(IF(Quartile_M[[#This Row],[Industry]]=Main_M[Industry],Main_M[P/FCF]),3)</f>
        <v>29.103918341932044</v>
      </c>
      <c r="D16" s="1">
        <f>Quartile_M[[#This Row],[P/FCF Q1]]-1.5*(Quartile_M[[#This Row],[P/FCF Q3]]-Quartile_M[[#This Row],[P/FCF Q1]])</f>
        <v>-26.850736508369458</v>
      </c>
      <c r="E16" s="1">
        <f>Quartile_M[[#This Row],[P/FCF Q3]]+1.5*(Quartile_M[[#This Row],[P/FCF Q3]]-Quartile_M[[#This Row],[P/FCF Q1]])</f>
        <v>62.676711252112945</v>
      </c>
      <c r="F16" s="1" cm="1">
        <f t="array" ref="F16">_xlfn.QUARTILE.INC(IF(Quartile_M[[#This Row],[Industry]]=Main_M[Industry],Main_M[P/B]),1)</f>
        <v>-2.4776334776334785</v>
      </c>
      <c r="G16" s="1" cm="1">
        <f t="array" ref="G16">_xlfn.QUARTILE.INC(IF(Quartile_M[[#This Row],[Industry]]=Main_M[Industry],Main_M[P/B]),3)</f>
        <v>2.3013701087788645</v>
      </c>
      <c r="H16" s="1">
        <f>Quartile_M[[#This Row],[P/B Q1]]-1.5*(Quartile_M[[#This Row],[P/B Q3]]-Quartile_M[[#This Row],[P/B Q1]])</f>
        <v>-9.6461388572519926</v>
      </c>
      <c r="I16" s="1">
        <f>Quartile_M[[#This Row],[P/B Q3]]+1.5*(Quartile_M[[#This Row],[P/B Q3]]-Quartile_M[[#This Row],[P/B Q1]])</f>
        <v>9.4698754883973777</v>
      </c>
      <c r="J16" s="1" cm="1">
        <f t="array" ref="J16">_xlfn.QUARTILE.INC(IF(Quartile_M[[#This Row],[Industry]]=Main_M[Industry],Main_M[ROE]),1)</f>
        <v>-10.024999999999999</v>
      </c>
      <c r="K16" s="1" cm="1">
        <f t="array" ref="K16">_xlfn.QUARTILE.INC(IF(Quartile_M[[#This Row],[Industry]]=Main_M[Industry],Main_M[ROE]),3)</f>
        <v>11.6975</v>
      </c>
      <c r="L16" s="1">
        <f>Quartile_M[[#This Row],[ROE Q1]]-1.5*(Quartile_M[[#This Row],[ROE Q3]]-Quartile_M[[#This Row],[ROE Q1]])</f>
        <v>-42.608749999999993</v>
      </c>
      <c r="M16" s="1">
        <f>Quartile_M[[#This Row],[ROE Q3]]+1.5*(Quartile_M[[#This Row],[ROE Q3]]-Quartile_M[[#This Row],[ROE Q1]])</f>
        <v>44.281249999999993</v>
      </c>
      <c r="N16" s="1" cm="1">
        <f t="array" ref="N16">_xlfn.QUARTILE.INC(IF(Quartile_M[[#This Row],[Industry]]=Main_M[Industry],Main_M[ROA]),1)</f>
        <v>3.6875</v>
      </c>
      <c r="O16" s="1" cm="1">
        <f t="array" ref="O16">_xlfn.QUARTILE.INC(IF(Quartile_M[[#This Row],[Industry]]=Main_M[Industry],Main_M[ROA]),3)</f>
        <v>5.0049999999999999</v>
      </c>
      <c r="P16" s="1">
        <f>Quartile_M[[#This Row],[ROA Q1]]-1.5*(Quartile_M[[#This Row],[ROA Q3]]-Quartile_M[[#This Row],[ROA Q1]])</f>
        <v>1.7112500000000002</v>
      </c>
      <c r="Q16" s="1">
        <f>Quartile_M[[#This Row],[ROA Q3]]+1.5*(Quartile_M[[#This Row],[ROA Q3]]-Quartile_M[[#This Row],[ROA Q1]])</f>
        <v>6.9812499999999993</v>
      </c>
      <c r="R16" s="1" cm="1">
        <f t="array" ref="R16">_xlfn.QUARTILE.INC(IF(Quartile_M[[#This Row],[Industry]]=Main_M[Industry],Main_M[P/E]),1)</f>
        <v>22.388319493006993</v>
      </c>
      <c r="S16" s="1" cm="1">
        <f t="array" ref="S16">_xlfn.QUARTILE.INC(IF(Quartile_M[[#This Row],[Industry]]=Main_M[Industry],Main_M[P/E]),3)</f>
        <v>44.491804211724528</v>
      </c>
      <c r="T16" s="1">
        <f>Quartile_M[[#This Row],[P/E Q1]]-1.5*(Quartile_M[[#This Row],[P/E Q3]]-Quartile_M[[#This Row],[P/E Q1]])</f>
        <v>-10.766907585069308</v>
      </c>
      <c r="U16" s="1">
        <f>Quartile_M[[#This Row],[P/E Q3]]+1.5*(Quartile_M[[#This Row],[P/E Q3]]-Quartile_M[[#This Row],[P/E Q1]])</f>
        <v>77.647031289800822</v>
      </c>
      <c r="V16" s="1" cm="1">
        <f t="array" ref="V16">_xlfn.QUARTILE.INC(IF(Quartile_M[[#This Row],[Industry]]=Main_M[Industry],Main_M[A/E]),1)</f>
        <v>-0.97250000000000014</v>
      </c>
      <c r="W16" s="1" cm="1">
        <f t="array" ref="W16">_xlfn.QUARTILE.INC(IF(Quartile_M[[#This Row],[Industry]]=Main_M[Industry],Main_M[A/E]),3)</f>
        <v>3.3925000000000001</v>
      </c>
      <c r="X16" s="1">
        <f>Quartile_M[[#This Row],[A/E Q1]]-1.5*(Quartile_M[[#This Row],[A/E Q3]]-Quartile_M[[#This Row],[A/E Q1]])</f>
        <v>-7.5200000000000005</v>
      </c>
      <c r="Y16" s="1">
        <f>Quartile_M[[#This Row],[A/E Q3]]+1.5*(Quartile_M[[#This Row],[A/E Q3]]-Quartile_M[[#This Row],[A/E Q1]])</f>
        <v>9.9400000000000013</v>
      </c>
    </row>
    <row r="17" spans="1:25" x14ac:dyDescent="0.25">
      <c r="A17" t="s">
        <v>165</v>
      </c>
      <c r="B17" s="1" cm="1">
        <f t="array" ref="B17">_xlfn.QUARTILE.INC(IF(Quartile_M[[#This Row],[Industry]]=Main_M[Industry],Main_M[P/FCF]),1)</f>
        <v>31.799999999999997</v>
      </c>
      <c r="C17" s="1" cm="1">
        <f t="array" ref="C17">_xlfn.QUARTILE.INC(IF(Quartile_M[[#This Row],[Industry]]=Main_M[Industry],Main_M[P/FCF]),3)</f>
        <v>61.037974683544299</v>
      </c>
      <c r="D17" s="1">
        <f>Quartile_M[[#This Row],[P/FCF Q1]]-1.5*(Quartile_M[[#This Row],[P/FCF Q3]]-Quartile_M[[#This Row],[P/FCF Q1]])</f>
        <v>-12.056962025316452</v>
      </c>
      <c r="E17" s="1">
        <f>Quartile_M[[#This Row],[P/FCF Q3]]+1.5*(Quartile_M[[#This Row],[P/FCF Q3]]-Quartile_M[[#This Row],[P/FCF Q1]])</f>
        <v>104.89493670886074</v>
      </c>
      <c r="F17" s="1" cm="1">
        <f t="array" ref="F17">_xlfn.QUARTILE.INC(IF(Quartile_M[[#This Row],[Industry]]=Main_M[Industry],Main_M[P/B]),1)</f>
        <v>4.1284246575342465</v>
      </c>
      <c r="G17" s="1" cm="1">
        <f t="array" ref="G17">_xlfn.QUARTILE.INC(IF(Quartile_M[[#This Row],[Industry]]=Main_M[Industry],Main_M[P/B]),3)</f>
        <v>31.166666666666661</v>
      </c>
      <c r="H17" s="1">
        <f>Quartile_M[[#This Row],[P/B Q1]]-1.5*(Quartile_M[[#This Row],[P/B Q3]]-Quartile_M[[#This Row],[P/B Q1]])</f>
        <v>-36.428938356164373</v>
      </c>
      <c r="I17" s="1">
        <f>Quartile_M[[#This Row],[P/B Q3]]+1.5*(Quartile_M[[#This Row],[P/B Q3]]-Quartile_M[[#This Row],[P/B Q1]])</f>
        <v>71.724029680365277</v>
      </c>
      <c r="J17" s="1" cm="1">
        <f t="array" ref="J17">_xlfn.QUARTILE.INC(IF(Quartile_M[[#This Row],[Industry]]=Main_M[Industry],Main_M[ROE]),1)</f>
        <v>-42.79</v>
      </c>
      <c r="K17" s="1" cm="1">
        <f t="array" ref="K17">_xlfn.QUARTILE.INC(IF(Quartile_M[[#This Row],[Industry]]=Main_M[Industry],Main_M[ROE]),3)</f>
        <v>0.71</v>
      </c>
      <c r="L17" s="1">
        <f>Quartile_M[[#This Row],[ROE Q1]]-1.5*(Quartile_M[[#This Row],[ROE Q3]]-Quartile_M[[#This Row],[ROE Q1]])</f>
        <v>-108.03999999999999</v>
      </c>
      <c r="M17" s="1">
        <f>Quartile_M[[#This Row],[ROE Q3]]+1.5*(Quartile_M[[#This Row],[ROE Q3]]-Quartile_M[[#This Row],[ROE Q1]])</f>
        <v>65.959999999999994</v>
      </c>
      <c r="N17" s="1" cm="1">
        <f t="array" ref="N17">_xlfn.QUARTILE.INC(IF(Quartile_M[[#This Row],[Industry]]=Main_M[Industry],Main_M[ROA]),1)</f>
        <v>-3.2</v>
      </c>
      <c r="O17" s="1" cm="1">
        <f t="array" ref="O17">_xlfn.QUARTILE.INC(IF(Quartile_M[[#This Row],[Industry]]=Main_M[Industry],Main_M[ROA]),3)</f>
        <v>1.55</v>
      </c>
      <c r="P17" s="1">
        <f>Quartile_M[[#This Row],[ROA Q1]]-1.5*(Quartile_M[[#This Row],[ROA Q3]]-Quartile_M[[#This Row],[ROA Q1]])</f>
        <v>-10.324999999999999</v>
      </c>
      <c r="Q17" s="1">
        <f>Quartile_M[[#This Row],[ROA Q3]]+1.5*(Quartile_M[[#This Row],[ROA Q3]]-Quartile_M[[#This Row],[ROA Q1]])</f>
        <v>8.6750000000000007</v>
      </c>
      <c r="R17" s="1" cm="1">
        <f t="array" ref="R17">_xlfn.QUARTILE.INC(IF(Quartile_M[[#This Row],[Industry]]=Main_M[Industry],Main_M[P/E]),1)</f>
        <v>-41.048780487804876</v>
      </c>
      <c r="S17" s="1" cm="1">
        <f t="array" ref="S17">_xlfn.QUARTILE.INC(IF(Quartile_M[[#This Row],[Industry]]=Main_M[Industry],Main_M[P/E]),3)</f>
        <v>476.99999999999994</v>
      </c>
      <c r="T17" s="1">
        <f>Quartile_M[[#This Row],[P/E Q1]]-1.5*(Quartile_M[[#This Row],[P/E Q3]]-Quartile_M[[#This Row],[P/E Q1]])</f>
        <v>-818.12195121951208</v>
      </c>
      <c r="U17" s="1">
        <f>Quartile_M[[#This Row],[P/E Q3]]+1.5*(Quartile_M[[#This Row],[P/E Q3]]-Quartile_M[[#This Row],[P/E Q1]])</f>
        <v>1254.0731707317073</v>
      </c>
      <c r="V17" s="1" cm="1">
        <f t="array" ref="V17">_xlfn.QUARTILE.INC(IF(Quartile_M[[#This Row],[Industry]]=Main_M[Industry],Main_M[A/E]),1)</f>
        <v>2.65</v>
      </c>
      <c r="W17" s="1" cm="1">
        <f t="array" ref="W17">_xlfn.QUARTILE.INC(IF(Quartile_M[[#This Row],[Industry]]=Main_M[Industry],Main_M[A/E]),3)</f>
        <v>4.5199999999999996</v>
      </c>
      <c r="X17" s="1">
        <f>Quartile_M[[#This Row],[A/E Q1]]-1.5*(Quartile_M[[#This Row],[A/E Q3]]-Quartile_M[[#This Row],[A/E Q1]])</f>
        <v>-0.1549999999999998</v>
      </c>
      <c r="Y17" s="1">
        <f>Quartile_M[[#This Row],[A/E Q3]]+1.5*(Quartile_M[[#This Row],[A/E Q3]]-Quartile_M[[#This Row],[A/E Q1]])</f>
        <v>7.3249999999999993</v>
      </c>
    </row>
    <row r="18" spans="1:25" x14ac:dyDescent="0.25">
      <c r="A18" t="s">
        <v>175</v>
      </c>
      <c r="B18" s="1" cm="1">
        <f t="array" ref="B18">_xlfn.QUARTILE.INC(IF(Quartile_M[[#This Row],[Industry]]=Main_M[Industry],Main_M[P/FCF]),1)</f>
        <v>-51.451778017241381</v>
      </c>
      <c r="C18" s="1" cm="1">
        <f t="array" ref="C18">_xlfn.QUARTILE.INC(IF(Quartile_M[[#This Row],[Industry]]=Main_M[Industry],Main_M[P/FCF]),3)</f>
        <v>-29.167834051724142</v>
      </c>
      <c r="D18" s="1">
        <f>Quartile_M[[#This Row],[P/FCF Q1]]-1.5*(Quartile_M[[#This Row],[P/FCF Q3]]-Quartile_M[[#This Row],[P/FCF Q1]])</f>
        <v>-84.877693965517238</v>
      </c>
      <c r="E18" s="1">
        <f>Quartile_M[[#This Row],[P/FCF Q3]]+1.5*(Quartile_M[[#This Row],[P/FCF Q3]]-Quartile_M[[#This Row],[P/FCF Q1]])</f>
        <v>4.2580818965517153</v>
      </c>
      <c r="F18" s="1" cm="1">
        <f t="array" ref="F18">_xlfn.QUARTILE.INC(IF(Quartile_M[[#This Row],[Industry]]=Main_M[Industry],Main_M[P/B]),1)</f>
        <v>3.6758038258038259</v>
      </c>
      <c r="G18" s="1" cm="1">
        <f t="array" ref="G18">_xlfn.QUARTILE.INC(IF(Quartile_M[[#This Row],[Industry]]=Main_M[Industry],Main_M[P/B]),3)</f>
        <v>9.7035748202414887</v>
      </c>
      <c r="H18" s="1">
        <f>Quartile_M[[#This Row],[P/B Q1]]-1.5*(Quartile_M[[#This Row],[P/B Q3]]-Quartile_M[[#This Row],[P/B Q1]])</f>
        <v>-5.3658526658526693</v>
      </c>
      <c r="I18" s="1">
        <f>Quartile_M[[#This Row],[P/B Q3]]+1.5*(Quartile_M[[#This Row],[P/B Q3]]-Quartile_M[[#This Row],[P/B Q1]])</f>
        <v>18.745231311897982</v>
      </c>
      <c r="J18" s="1" cm="1">
        <f t="array" ref="J18">_xlfn.QUARTILE.INC(IF(Quartile_M[[#This Row],[Industry]]=Main_M[Industry],Main_M[ROE]),1)</f>
        <v>-40.567500000000003</v>
      </c>
      <c r="K18" s="1" cm="1">
        <f t="array" ref="K18">_xlfn.QUARTILE.INC(IF(Quartile_M[[#This Row],[Industry]]=Main_M[Industry],Main_M[ROE]),3)</f>
        <v>-17.502499999999998</v>
      </c>
      <c r="L18" s="1">
        <f>Quartile_M[[#This Row],[ROE Q1]]-1.5*(Quartile_M[[#This Row],[ROE Q3]]-Quartile_M[[#This Row],[ROE Q1]])</f>
        <v>-75.16500000000002</v>
      </c>
      <c r="M18" s="1">
        <f>Quartile_M[[#This Row],[ROE Q3]]+1.5*(Quartile_M[[#This Row],[ROE Q3]]-Quartile_M[[#This Row],[ROE Q1]])</f>
        <v>17.095000000000013</v>
      </c>
      <c r="N18" s="1" cm="1">
        <f t="array" ref="N18">_xlfn.QUARTILE.INC(IF(Quartile_M[[#This Row],[Industry]]=Main_M[Industry],Main_M[ROA]),1)</f>
        <v>-17.675000000000001</v>
      </c>
      <c r="O18" s="1" cm="1">
        <f t="array" ref="O18">_xlfn.QUARTILE.INC(IF(Quartile_M[[#This Row],[Industry]]=Main_M[Industry],Main_M[ROA]),3)</f>
        <v>-7.245000000000001</v>
      </c>
      <c r="P18" s="1">
        <f>Quartile_M[[#This Row],[ROA Q1]]-1.5*(Quartile_M[[#This Row],[ROA Q3]]-Quartile_M[[#This Row],[ROA Q1]])</f>
        <v>-33.32</v>
      </c>
      <c r="Q18" s="1">
        <f>Quartile_M[[#This Row],[ROA Q3]]+1.5*(Quartile_M[[#This Row],[ROA Q3]]-Quartile_M[[#This Row],[ROA Q1]])</f>
        <v>8.3999999999999986</v>
      </c>
      <c r="R18" s="1" cm="1">
        <f t="array" ref="R18">_xlfn.QUARTILE.INC(IF(Quartile_M[[#This Row],[Industry]]=Main_M[Industry],Main_M[P/E]),1)</f>
        <v>-21.176530207839292</v>
      </c>
      <c r="S18" s="1" cm="1">
        <f t="array" ref="S18">_xlfn.QUARTILE.INC(IF(Quartile_M[[#This Row],[Industry]]=Main_M[Industry],Main_M[P/E]),3)</f>
        <v>-9.757778542980958</v>
      </c>
      <c r="T18" s="1">
        <f>Quartile_M[[#This Row],[P/E Q1]]-1.5*(Quartile_M[[#This Row],[P/E Q3]]-Quartile_M[[#This Row],[P/E Q1]])</f>
        <v>-38.304657705126793</v>
      </c>
      <c r="U18" s="1">
        <f>Quartile_M[[#This Row],[P/E Q3]]+1.5*(Quartile_M[[#This Row],[P/E Q3]]-Quartile_M[[#This Row],[P/E Q1]])</f>
        <v>7.370348954306543</v>
      </c>
      <c r="V18" s="1" cm="1">
        <f t="array" ref="V18">_xlfn.QUARTILE.INC(IF(Quartile_M[[#This Row],[Industry]]=Main_M[Industry],Main_M[A/E]),1)</f>
        <v>1.1850000000000001</v>
      </c>
      <c r="W18" s="1" cm="1">
        <f t="array" ref="W18">_xlfn.QUARTILE.INC(IF(Quartile_M[[#This Row],[Industry]]=Main_M[Industry],Main_M[A/E]),3)</f>
        <v>1.335</v>
      </c>
      <c r="X18" s="1">
        <f>Quartile_M[[#This Row],[A/E Q1]]-1.5*(Quartile_M[[#This Row],[A/E Q3]]-Quartile_M[[#This Row],[A/E Q1]])</f>
        <v>0.96000000000000019</v>
      </c>
      <c r="Y18" s="1">
        <f>Quartile_M[[#This Row],[A/E Q3]]+1.5*(Quartile_M[[#This Row],[A/E Q3]]-Quartile_M[[#This Row],[A/E Q1]])</f>
        <v>1.5599999999999998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124</v>
      </c>
      <c r="B23" s="1" cm="1">
        <f t="array" ref="B23">_xlfn.QUARTILE.INC(IF(Quartile_S[[#This Row],[Industry]]=Main_S[Industry],Main_S[P/FCF]),1)</f>
        <v>-7.9181354359925793</v>
      </c>
      <c r="C23" s="1" cm="1">
        <f t="array" ref="C23">_xlfn.QUARTILE.INC(IF(Quartile_S[[#This Row],[Industry]]=Main_S[Industry],Main_S[P/FCF]),3)</f>
        <v>26.885167464114833</v>
      </c>
      <c r="D23" s="1">
        <f>Quartile_S[[#This Row],[P/FCF Q1]]-1.5*(Quartile_S[[#This Row],[P/FCF Q3]]-Quartile_S[[#This Row],[P/FCF Q1]])</f>
        <v>-60.123089786153699</v>
      </c>
      <c r="E23" s="1">
        <f>Quartile_S[[#This Row],[P/FCF Q3]]+1.5*(Quartile_S[[#This Row],[P/FCF Q3]]-Quartile_S[[#This Row],[P/FCF Q1]])</f>
        <v>79.090121814275946</v>
      </c>
      <c r="F23" s="1" cm="1">
        <f t="array" ref="F23">_xlfn.QUARTILE.INC(IF(Quartile_S[[#This Row],[Industry]]=Main_S[Industry],Main_S[P/B]),1)</f>
        <v>1.6971222767313578</v>
      </c>
      <c r="G23" s="1" cm="1">
        <f t="array" ref="G23">_xlfn.QUARTILE.INC(IF(Quartile_S[[#This Row],[Industry]]=Main_S[Industry],Main_S[P/B]),3)</f>
        <v>7.9656892424669099</v>
      </c>
      <c r="H23" s="1">
        <f>Quartile_S[[#This Row],[P/B Q1]]-1.5*(Quartile_S[[#This Row],[P/B Q3]]-Quartile_S[[#This Row],[P/B Q1]])</f>
        <v>-7.7057281718719697</v>
      </c>
      <c r="I23" s="1">
        <f>Quartile_S[[#This Row],[P/B Q3]]+1.5*(Quartile_S[[#This Row],[P/B Q3]]-Quartile_S[[#This Row],[P/B Q1]])</f>
        <v>17.368539691070239</v>
      </c>
      <c r="J23" s="1" cm="1">
        <f t="array" ref="J23">_xlfn.QUARTILE.INC(IF(Quartile_S[[#This Row],[Industry]]=Main_S[Industry],Main_S[ROE]),1)</f>
        <v>-41.62</v>
      </c>
      <c r="K23" s="1" cm="1">
        <f t="array" ref="K23">_xlfn.QUARTILE.INC(IF(Quartile_S[[#This Row],[Industry]]=Main_S[Industry],Main_S[ROE]),3)</f>
        <v>15.52</v>
      </c>
      <c r="L23" s="1">
        <f>Quartile_S[[#This Row],[ROE Q1]]-1.5*(Quartile_S[[#This Row],[ROE Q3]]-Quartile_S[[#This Row],[ROE Q1]])</f>
        <v>-127.33000000000001</v>
      </c>
      <c r="M23" s="1">
        <f>Quartile_S[[#This Row],[ROE Q3]]+1.5*(Quartile_S[[#This Row],[ROE Q3]]-Quartile_S[[#This Row],[ROE Q1]])</f>
        <v>101.23</v>
      </c>
      <c r="N23" s="1" cm="1">
        <f t="array" ref="N23">_xlfn.QUARTILE.INC(IF(Quartile_S[[#This Row],[Industry]]=Main_S[Industry],Main_S[ROA]),1)</f>
        <v>-6.89</v>
      </c>
      <c r="O23" s="1" cm="1">
        <f t="array" ref="O23">_xlfn.QUARTILE.INC(IF(Quartile_S[[#This Row],[Industry]]=Main_S[Industry],Main_S[ROA]),3)</f>
        <v>3.59</v>
      </c>
      <c r="P23" s="1">
        <f>Quartile_S[[#This Row],[ROA Q1]]-1.5*(Quartile_S[[#This Row],[ROA Q3]]-Quartile_S[[#This Row],[ROA Q1]])</f>
        <v>-22.61</v>
      </c>
      <c r="Q23" s="1">
        <f>Quartile_S[[#This Row],[ROA Q3]]+1.5*(Quartile_S[[#This Row],[ROA Q3]]-Quartile_S[[#This Row],[ROA Q1]])</f>
        <v>19.310000000000002</v>
      </c>
      <c r="R23" s="1" cm="1">
        <f t="array" ref="R23">_xlfn.QUARTILE.INC(IF(Quartile_S[[#This Row],[Industry]]=Main_S[Industry],Main_S[P/E]),1)</f>
        <v>-23.649390243902438</v>
      </c>
      <c r="S23" s="1" cm="1">
        <f t="array" ref="S23">_xlfn.QUARTILE.INC(IF(Quartile_S[[#This Row],[Industry]]=Main_S[Industry],Main_S[P/E]),3)</f>
        <v>20.458333333333332</v>
      </c>
      <c r="T23" s="1">
        <f>Quartile_S[[#This Row],[P/E Q1]]-1.5*(Quartile_S[[#This Row],[P/E Q3]]-Quartile_S[[#This Row],[P/E Q1]])</f>
        <v>-89.810975609756099</v>
      </c>
      <c r="U23" s="1">
        <f>Quartile_S[[#This Row],[P/E Q3]]+1.5*(Quartile_S[[#This Row],[P/E Q3]]-Quartile_S[[#This Row],[P/E Q1]])</f>
        <v>86.619918699186982</v>
      </c>
      <c r="V23" s="1" cm="1">
        <f t="array" ref="V23">_xlfn.QUARTILE.INC(IF(Quartile_S[[#This Row],[Industry]]=Main_S[Industry],Main_S[A/E]),1)</f>
        <v>1.1299999999999999</v>
      </c>
      <c r="W23" s="1" cm="1">
        <f t="array" ref="W23">_xlfn.QUARTILE.INC(IF(Quartile_S[[#This Row],[Industry]]=Main_S[Industry],Main_S[A/E]),3)</f>
        <v>2.79</v>
      </c>
      <c r="X23" s="1">
        <f>Quartile_S[[#This Row],[A/E Q1]]-1.5*(Quartile_S[[#This Row],[A/E Q3]]-Quartile_S[[#This Row],[A/E Q1]])</f>
        <v>-1.3600000000000003</v>
      </c>
      <c r="Y23" s="1">
        <f>Quartile_S[[#This Row],[A/E Q3]]+1.5*(Quartile_S[[#This Row],[A/E Q3]]-Quartile_S[[#This Row],[A/E Q1]])</f>
        <v>5.28</v>
      </c>
    </row>
    <row r="24" spans="1:25" x14ac:dyDescent="0.25">
      <c r="A24" t="s">
        <v>186</v>
      </c>
      <c r="B24" s="1" cm="1">
        <f t="array" ref="B24">_xlfn.QUARTILE.INC(IF(Quartile_S[[#This Row],[Industry]]=Main_S[Industry],Main_S[P/FCF]),1)</f>
        <v>-10.189746142359384</v>
      </c>
      <c r="C24" s="1" cm="1">
        <f t="array" ref="C24">_xlfn.QUARTILE.INC(IF(Quartile_S[[#This Row],[Industry]]=Main_S[Industry],Main_S[P/FCF]),3)</f>
        <v>18.689044331395348</v>
      </c>
      <c r="D24" s="1">
        <f>Quartile_S[[#This Row],[P/FCF Q1]]-1.5*(Quartile_S[[#This Row],[P/FCF Q3]]-Quartile_S[[#This Row],[P/FCF Q1]])</f>
        <v>-53.507931852991483</v>
      </c>
      <c r="E24" s="1">
        <f>Quartile_S[[#This Row],[P/FCF Q3]]+1.5*(Quartile_S[[#This Row],[P/FCF Q3]]-Quartile_S[[#This Row],[P/FCF Q1]])</f>
        <v>62.007230042027444</v>
      </c>
      <c r="F24" s="1" cm="1">
        <f t="array" ref="F24">_xlfn.QUARTILE.INC(IF(Quartile_S[[#This Row],[Industry]]=Main_S[Industry],Main_S[P/B]),1)</f>
        <v>1.3159148437795156</v>
      </c>
      <c r="G24" s="1" cm="1">
        <f t="array" ref="G24">_xlfn.QUARTILE.INC(IF(Quartile_S[[#This Row],[Industry]]=Main_S[Industry],Main_S[P/B]),3)</f>
        <v>5.2109103767519613</v>
      </c>
      <c r="H24" s="1">
        <f>Quartile_S[[#This Row],[P/B Q1]]-1.5*(Quartile_S[[#This Row],[P/B Q3]]-Quartile_S[[#This Row],[P/B Q1]])</f>
        <v>-4.5265784556791528</v>
      </c>
      <c r="I24" s="1">
        <f>Quartile_S[[#This Row],[P/B Q3]]+1.5*(Quartile_S[[#This Row],[P/B Q3]]-Quartile_S[[#This Row],[P/B Q1]])</f>
        <v>11.05340367621063</v>
      </c>
      <c r="J24" s="1" cm="1">
        <f t="array" ref="J24">_xlfn.QUARTILE.INC(IF(Quartile_S[[#This Row],[Industry]]=Main_S[Industry],Main_S[ROE]),1)</f>
        <v>-17.72</v>
      </c>
      <c r="K24" s="1" cm="1">
        <f t="array" ref="K24">_xlfn.QUARTILE.INC(IF(Quartile_S[[#This Row],[Industry]]=Main_S[Industry],Main_S[ROE]),3)</f>
        <v>10.75</v>
      </c>
      <c r="L24" s="1">
        <f>Quartile_S[[#This Row],[ROE Q1]]-1.5*(Quartile_S[[#This Row],[ROE Q3]]-Quartile_S[[#This Row],[ROE Q1]])</f>
        <v>-60.424999999999997</v>
      </c>
      <c r="M24" s="1">
        <f>Quartile_S[[#This Row],[ROE Q3]]+1.5*(Quartile_S[[#This Row],[ROE Q3]]-Quartile_S[[#This Row],[ROE Q1]])</f>
        <v>53.454999999999998</v>
      </c>
      <c r="N24" s="1" cm="1">
        <f t="array" ref="N24">_xlfn.QUARTILE.INC(IF(Quartile_S[[#This Row],[Industry]]=Main_S[Industry],Main_S[ROA]),1)</f>
        <v>-4.41</v>
      </c>
      <c r="O24" s="1" cm="1">
        <f t="array" ref="O24">_xlfn.QUARTILE.INC(IF(Quartile_S[[#This Row],[Industry]]=Main_S[Industry],Main_S[ROA]),3)</f>
        <v>5.59</v>
      </c>
      <c r="P24" s="1">
        <f>Quartile_S[[#This Row],[ROA Q1]]-1.5*(Quartile_S[[#This Row],[ROA Q3]]-Quartile_S[[#This Row],[ROA Q1]])</f>
        <v>-19.41</v>
      </c>
      <c r="Q24" s="1">
        <f>Quartile_S[[#This Row],[ROA Q3]]+1.5*(Quartile_S[[#This Row],[ROA Q3]]-Quartile_S[[#This Row],[ROA Q1]])</f>
        <v>20.59</v>
      </c>
      <c r="R24" s="1" cm="1">
        <f t="array" ref="R24">_xlfn.QUARTILE.INC(IF(Quartile_S[[#This Row],[Industry]]=Main_S[Industry],Main_S[P/E]),1)</f>
        <v>-7.7552918712493195</v>
      </c>
      <c r="S24" s="1" cm="1">
        <f t="array" ref="S24">_xlfn.QUARTILE.INC(IF(Quartile_S[[#This Row],[Industry]]=Main_S[Industry],Main_S[P/E]),3)</f>
        <v>25.763595461658841</v>
      </c>
      <c r="T24" s="1">
        <f>Quartile_S[[#This Row],[P/E Q1]]-1.5*(Quartile_S[[#This Row],[P/E Q3]]-Quartile_S[[#This Row],[P/E Q1]])</f>
        <v>-58.033622870611566</v>
      </c>
      <c r="U24" s="1">
        <f>Quartile_S[[#This Row],[P/E Q3]]+1.5*(Quartile_S[[#This Row],[P/E Q3]]-Quartile_S[[#This Row],[P/E Q1]])</f>
        <v>76.041926461021092</v>
      </c>
      <c r="V24" s="1" cm="1">
        <f t="array" ref="V24">_xlfn.QUARTILE.INC(IF(Quartile_S[[#This Row],[Industry]]=Main_S[Industry],Main_S[A/E]),1)</f>
        <v>1.46</v>
      </c>
      <c r="W24" s="1" cm="1">
        <f t="array" ref="W24">_xlfn.QUARTILE.INC(IF(Quartile_S[[#This Row],[Industry]]=Main_S[Industry],Main_S[A/E]),3)</f>
        <v>2.0999999999999996</v>
      </c>
      <c r="X24" s="1">
        <f>Quartile_S[[#This Row],[A/E Q1]]-1.5*(Quartile_S[[#This Row],[A/E Q3]]-Quartile_S[[#This Row],[A/E Q1]])</f>
        <v>0.50000000000000044</v>
      </c>
      <c r="Y24" s="1">
        <f>Quartile_S[[#This Row],[A/E Q3]]+1.5*(Quartile_S[[#This Row],[A/E Q3]]-Quartile_S[[#This Row],[A/E Q1]])</f>
        <v>3.0599999999999992</v>
      </c>
    </row>
    <row r="25" spans="1:25" x14ac:dyDescent="0.25">
      <c r="A25" t="s">
        <v>198</v>
      </c>
      <c r="B25" s="1" cm="1">
        <f t="array" ref="B25">_xlfn.QUARTILE.INC(IF(Quartile_S[[#This Row],[Industry]]=Main_S[Industry],Main_S[P/FCF]),1)</f>
        <v>-9.9723193473193454</v>
      </c>
      <c r="C25" s="1" cm="1">
        <f t="array" ref="C25">_xlfn.QUARTILE.INC(IF(Quartile_S[[#This Row],[Industry]]=Main_S[Industry],Main_S[P/FCF]),3)</f>
        <v>17.607025065963061</v>
      </c>
      <c r="D25" s="1">
        <f>Quartile_S[[#This Row],[P/FCF Q1]]-1.5*(Quartile_S[[#This Row],[P/FCF Q3]]-Quartile_S[[#This Row],[P/FCF Q1]])</f>
        <v>-51.341335967242955</v>
      </c>
      <c r="E25" s="1">
        <f>Quartile_S[[#This Row],[P/FCF Q3]]+1.5*(Quartile_S[[#This Row],[P/FCF Q3]]-Quartile_S[[#This Row],[P/FCF Q1]])</f>
        <v>58.976041685886671</v>
      </c>
      <c r="F25" s="1" cm="1">
        <f t="array" ref="F25">_xlfn.QUARTILE.INC(IF(Quartile_S[[#This Row],[Industry]]=Main_S[Industry],Main_S[P/B]),1)</f>
        <v>1.0425908462020486</v>
      </c>
      <c r="G25" s="1" cm="1">
        <f t="array" ref="G25">_xlfn.QUARTILE.INC(IF(Quartile_S[[#This Row],[Industry]]=Main_S[Industry],Main_S[P/B]),3)</f>
        <v>2.9564951812135196</v>
      </c>
      <c r="H25" s="1">
        <f>Quartile_S[[#This Row],[P/B Q1]]-1.5*(Quartile_S[[#This Row],[P/B Q3]]-Quartile_S[[#This Row],[P/B Q1]])</f>
        <v>-1.8282656563151578</v>
      </c>
      <c r="I25" s="1">
        <f>Quartile_S[[#This Row],[P/B Q3]]+1.5*(Quartile_S[[#This Row],[P/B Q3]]-Quartile_S[[#This Row],[P/B Q1]])</f>
        <v>5.8273516837307255</v>
      </c>
      <c r="J25" s="1" cm="1">
        <f t="array" ref="J25">_xlfn.QUARTILE.INC(IF(Quartile_S[[#This Row],[Industry]]=Main_S[Industry],Main_S[ROE]),1)</f>
        <v>-12.9275</v>
      </c>
      <c r="K25" s="1" cm="1">
        <f t="array" ref="K25">_xlfn.QUARTILE.INC(IF(Quartile_S[[#This Row],[Industry]]=Main_S[Industry],Main_S[ROE]),3)</f>
        <v>5.585</v>
      </c>
      <c r="L25" s="1">
        <f>Quartile_S[[#This Row],[ROE Q1]]-1.5*(Quartile_S[[#This Row],[ROE Q3]]-Quartile_S[[#This Row],[ROE Q1]])</f>
        <v>-40.696249999999999</v>
      </c>
      <c r="M25" s="1">
        <f>Quartile_S[[#This Row],[ROE Q3]]+1.5*(Quartile_S[[#This Row],[ROE Q3]]-Quartile_S[[#This Row],[ROE Q1]])</f>
        <v>33.353749999999998</v>
      </c>
      <c r="N25" s="1" cm="1">
        <f t="array" ref="N25">_xlfn.QUARTILE.INC(IF(Quartile_S[[#This Row],[Industry]]=Main_S[Industry],Main_S[ROA]),1)</f>
        <v>-4.74</v>
      </c>
      <c r="O25" s="1" cm="1">
        <f t="array" ref="O25">_xlfn.QUARTILE.INC(IF(Quartile_S[[#This Row],[Industry]]=Main_S[Industry],Main_S[ROA]),3)</f>
        <v>2.9175</v>
      </c>
      <c r="P25" s="1">
        <f>Quartile_S[[#This Row],[ROA Q1]]-1.5*(Quartile_S[[#This Row],[ROA Q3]]-Quartile_S[[#This Row],[ROA Q1]])</f>
        <v>-16.22625</v>
      </c>
      <c r="Q25" s="1">
        <f>Quartile_S[[#This Row],[ROA Q3]]+1.5*(Quartile_S[[#This Row],[ROA Q3]]-Quartile_S[[#This Row],[ROA Q1]])</f>
        <v>14.403750000000002</v>
      </c>
      <c r="R25" s="1" cm="1">
        <f t="array" ref="R25">_xlfn.QUARTILE.INC(IF(Quartile_S[[#This Row],[Industry]]=Main_S[Industry],Main_S[P/E]),1)</f>
        <v>-12.077009844134537</v>
      </c>
      <c r="S25" s="1" cm="1">
        <f t="array" ref="S25">_xlfn.QUARTILE.INC(IF(Quartile_S[[#This Row],[Industry]]=Main_S[Industry],Main_S[P/E]),3)</f>
        <v>16.798152866242038</v>
      </c>
      <c r="T25" s="1">
        <f>Quartile_S[[#This Row],[P/E Q1]]-1.5*(Quartile_S[[#This Row],[P/E Q3]]-Quartile_S[[#This Row],[P/E Q1]])</f>
        <v>-55.389753909699401</v>
      </c>
      <c r="U25" s="1">
        <f>Quartile_S[[#This Row],[P/E Q3]]+1.5*(Quartile_S[[#This Row],[P/E Q3]]-Quartile_S[[#This Row],[P/E Q1]])</f>
        <v>60.110896931806906</v>
      </c>
      <c r="V25" s="1" cm="1">
        <f t="array" ref="V25">_xlfn.QUARTILE.INC(IF(Quartile_S[[#This Row],[Industry]]=Main_S[Industry],Main_S[A/E]),1)</f>
        <v>1.2975000000000001</v>
      </c>
      <c r="W25" s="1" cm="1">
        <f t="array" ref="W25">_xlfn.QUARTILE.INC(IF(Quartile_S[[#This Row],[Industry]]=Main_S[Industry],Main_S[A/E]),3)</f>
        <v>2.3075000000000001</v>
      </c>
      <c r="X25" s="1">
        <f>Quartile_S[[#This Row],[A/E Q1]]-1.5*(Quartile_S[[#This Row],[A/E Q3]]-Quartile_S[[#This Row],[A/E Q1]])</f>
        <v>-0.21750000000000003</v>
      </c>
      <c r="Y25" s="1">
        <f>Quartile_S[[#This Row],[A/E Q3]]+1.5*(Quartile_S[[#This Row],[A/E Q3]]-Quartile_S[[#This Row],[A/E Q1]])</f>
        <v>3.8225000000000002</v>
      </c>
    </row>
    <row r="26" spans="1:25" x14ac:dyDescent="0.25">
      <c r="A26" t="s">
        <v>105</v>
      </c>
      <c r="B26" s="1" cm="1">
        <f t="array" ref="B26">_xlfn.QUARTILE.INC(IF(Quartile_S[[#This Row],[Industry]]=Main_S[Industry],Main_S[P/FCF]),1)</f>
        <v>-3.2962025316455694</v>
      </c>
      <c r="C26" s="1" cm="1">
        <f t="array" ref="C26">_xlfn.QUARTILE.INC(IF(Quartile_S[[#This Row],[Industry]]=Main_S[Industry],Main_S[P/FCF]),3)</f>
        <v>15.394736842105262</v>
      </c>
      <c r="D26" s="1">
        <f>Quartile_S[[#This Row],[P/FCF Q1]]-1.5*(Quartile_S[[#This Row],[P/FCF Q3]]-Quartile_S[[#This Row],[P/FCF Q1]])</f>
        <v>-31.332611592271814</v>
      </c>
      <c r="E26" s="1">
        <f>Quartile_S[[#This Row],[P/FCF Q3]]+1.5*(Quartile_S[[#This Row],[P/FCF Q3]]-Quartile_S[[#This Row],[P/FCF Q1]])</f>
        <v>43.431145902731508</v>
      </c>
      <c r="F26" s="1" cm="1">
        <f t="array" ref="F26">_xlfn.QUARTILE.INC(IF(Quartile_S[[#This Row],[Industry]]=Main_S[Industry],Main_S[P/B]),1)</f>
        <v>1.94006309148265</v>
      </c>
      <c r="G26" s="1" cm="1">
        <f t="array" ref="G26">_xlfn.QUARTILE.INC(IF(Quartile_S[[#This Row],[Industry]]=Main_S[Industry],Main_S[P/B]),3)</f>
        <v>6.016908212560387</v>
      </c>
      <c r="H26" s="1">
        <f>Quartile_S[[#This Row],[P/B Q1]]-1.5*(Quartile_S[[#This Row],[P/B Q3]]-Quartile_S[[#This Row],[P/B Q1]])</f>
        <v>-4.175204590133955</v>
      </c>
      <c r="I26" s="1">
        <f>Quartile_S[[#This Row],[P/B Q3]]+1.5*(Quartile_S[[#This Row],[P/B Q3]]-Quartile_S[[#This Row],[P/B Q1]])</f>
        <v>12.132175894176992</v>
      </c>
      <c r="J26" s="1" cm="1">
        <f t="array" ref="J26">_xlfn.QUARTILE.INC(IF(Quartile_S[[#This Row],[Industry]]=Main_S[Industry],Main_S[ROE]),1)</f>
        <v>-64.59</v>
      </c>
      <c r="K26" s="1" cm="1">
        <f t="array" ref="K26">_xlfn.QUARTILE.INC(IF(Quartile_S[[#This Row],[Industry]]=Main_S[Industry],Main_S[ROE]),3)</f>
        <v>14.95</v>
      </c>
      <c r="L26" s="1">
        <f>Quartile_S[[#This Row],[ROE Q1]]-1.5*(Quartile_S[[#This Row],[ROE Q3]]-Quartile_S[[#This Row],[ROE Q1]])</f>
        <v>-183.9</v>
      </c>
      <c r="M26" s="1">
        <f>Quartile_S[[#This Row],[ROE Q3]]+1.5*(Quartile_S[[#This Row],[ROE Q3]]-Quartile_S[[#This Row],[ROE Q1]])</f>
        <v>134.26</v>
      </c>
      <c r="N26" s="1" cm="1">
        <f t="array" ref="N26">_xlfn.QUARTILE.INC(IF(Quartile_S[[#This Row],[Industry]]=Main_S[Industry],Main_S[ROA]),1)</f>
        <v>-6.17</v>
      </c>
      <c r="O26" s="1" cm="1">
        <f t="array" ref="O26">_xlfn.QUARTILE.INC(IF(Quartile_S[[#This Row],[Industry]]=Main_S[Industry],Main_S[ROA]),3)</f>
        <v>4.6500000000000004</v>
      </c>
      <c r="P26" s="1">
        <f>Quartile_S[[#This Row],[ROA Q1]]-1.5*(Quartile_S[[#This Row],[ROA Q3]]-Quartile_S[[#This Row],[ROA Q1]])</f>
        <v>-22.4</v>
      </c>
      <c r="Q26" s="1">
        <f>Quartile_S[[#This Row],[ROA Q3]]+1.5*(Quartile_S[[#This Row],[ROA Q3]]-Quartile_S[[#This Row],[ROA Q1]])</f>
        <v>20.880000000000003</v>
      </c>
      <c r="R26" s="1" cm="1">
        <f t="array" ref="R26">_xlfn.QUARTILE.INC(IF(Quartile_S[[#This Row],[Industry]]=Main_S[Industry],Main_S[P/E]),1)</f>
        <v>-9.3669064748201443</v>
      </c>
      <c r="S26" s="1" cm="1">
        <f t="array" ref="S26">_xlfn.QUARTILE.INC(IF(Quartile_S[[#This Row],[Industry]]=Main_S[Industry],Main_S[P/E]),3)</f>
        <v>21.113243761996163</v>
      </c>
      <c r="T26" s="1">
        <f>Quartile_S[[#This Row],[P/E Q1]]-1.5*(Quartile_S[[#This Row],[P/E Q3]]-Quartile_S[[#This Row],[P/E Q1]])</f>
        <v>-55.087131830044598</v>
      </c>
      <c r="U26" s="1">
        <f>Quartile_S[[#This Row],[P/E Q3]]+1.5*(Quartile_S[[#This Row],[P/E Q3]]-Quartile_S[[#This Row],[P/E Q1]])</f>
        <v>66.833469117220616</v>
      </c>
      <c r="V26" s="1" cm="1">
        <f t="array" ref="V26">_xlfn.QUARTILE.INC(IF(Quartile_S[[#This Row],[Industry]]=Main_S[Industry],Main_S[A/E]),1)</f>
        <v>1.68</v>
      </c>
      <c r="W26" s="1" cm="1">
        <f t="array" ref="W26">_xlfn.QUARTILE.INC(IF(Quartile_S[[#This Row],[Industry]]=Main_S[Industry],Main_S[A/E]),3)</f>
        <v>3.83</v>
      </c>
      <c r="X26" s="1">
        <f>Quartile_S[[#This Row],[A/E Q1]]-1.5*(Quartile_S[[#This Row],[A/E Q3]]-Quartile_S[[#This Row],[A/E Q1]])</f>
        <v>-1.5450000000000006</v>
      </c>
      <c r="Y26" s="1">
        <f>Quartile_S[[#This Row],[A/E Q3]]+1.5*(Quartile_S[[#This Row],[A/E Q3]]-Quartile_S[[#This Row],[A/E Q1]])</f>
        <v>7.0550000000000006</v>
      </c>
    </row>
    <row r="27" spans="1:25" x14ac:dyDescent="0.25">
      <c r="A27" t="s">
        <v>165</v>
      </c>
      <c r="B27" s="1" cm="1">
        <f t="array" ref="B27">_xlfn.QUARTILE.INC(IF(Quartile_S[[#This Row],[Industry]]=Main_S[Industry],Main_S[P/FCF]),1)</f>
        <v>6.190189506785833</v>
      </c>
      <c r="C27" s="1" cm="1">
        <f t="array" ref="C27">_xlfn.QUARTILE.INC(IF(Quartile_S[[#This Row],[Industry]]=Main_S[Industry],Main_S[P/FCF]),3)</f>
        <v>17.704081632653061</v>
      </c>
      <c r="D27" s="1">
        <f>Quartile_S[[#This Row],[P/FCF Q1]]-1.5*(Quartile_S[[#This Row],[P/FCF Q3]]-Quartile_S[[#This Row],[P/FCF Q1]])</f>
        <v>-11.080648682015008</v>
      </c>
      <c r="E27" s="1">
        <f>Quartile_S[[#This Row],[P/FCF Q3]]+1.5*(Quartile_S[[#This Row],[P/FCF Q3]]-Quartile_S[[#This Row],[P/FCF Q1]])</f>
        <v>34.974919821453902</v>
      </c>
      <c r="F27" s="1" cm="1">
        <f t="array" ref="F27">_xlfn.QUARTILE.INC(IF(Quartile_S[[#This Row],[Industry]]=Main_S[Industry],Main_S[P/B]),1)</f>
        <v>1.140935862947756</v>
      </c>
      <c r="G27" s="1" cm="1">
        <f t="array" ref="G27">_xlfn.QUARTILE.INC(IF(Quartile_S[[#This Row],[Industry]]=Main_S[Industry],Main_S[P/B]),3)</f>
        <v>2.6895964320004957</v>
      </c>
      <c r="H27" s="1">
        <f>Quartile_S[[#This Row],[P/B Q1]]-1.5*(Quartile_S[[#This Row],[P/B Q3]]-Quartile_S[[#This Row],[P/B Q1]])</f>
        <v>-1.1820549906313536</v>
      </c>
      <c r="I27" s="1">
        <f>Quartile_S[[#This Row],[P/B Q3]]+1.5*(Quartile_S[[#This Row],[P/B Q3]]-Quartile_S[[#This Row],[P/B Q1]])</f>
        <v>5.0125872855796052</v>
      </c>
      <c r="J27" s="1" cm="1">
        <f t="array" ref="J27">_xlfn.QUARTILE.INC(IF(Quartile_S[[#This Row],[Industry]]=Main_S[Industry],Main_S[ROE]),1)</f>
        <v>-11.675000000000001</v>
      </c>
      <c r="K27" s="1" cm="1">
        <f t="array" ref="K27">_xlfn.QUARTILE.INC(IF(Quartile_S[[#This Row],[Industry]]=Main_S[Industry],Main_S[ROE]),3)</f>
        <v>8.3149999999999995</v>
      </c>
      <c r="L27" s="1">
        <f>Quartile_S[[#This Row],[ROE Q1]]-1.5*(Quartile_S[[#This Row],[ROE Q3]]-Quartile_S[[#This Row],[ROE Q1]])</f>
        <v>-41.660000000000004</v>
      </c>
      <c r="M27" s="1">
        <f>Quartile_S[[#This Row],[ROE Q3]]+1.5*(Quartile_S[[#This Row],[ROE Q3]]-Quartile_S[[#This Row],[ROE Q1]])</f>
        <v>38.300000000000004</v>
      </c>
      <c r="N27" s="1" cm="1">
        <f t="array" ref="N27">_xlfn.QUARTILE.INC(IF(Quartile_S[[#This Row],[Industry]]=Main_S[Industry],Main_S[ROA]),1)</f>
        <v>-0.76</v>
      </c>
      <c r="O27" s="1" cm="1">
        <f t="array" ref="O27">_xlfn.QUARTILE.INC(IF(Quartile_S[[#This Row],[Industry]]=Main_S[Industry],Main_S[ROA]),3)</f>
        <v>4.1749999999999998</v>
      </c>
      <c r="P27" s="1">
        <f>Quartile_S[[#This Row],[ROA Q1]]-1.5*(Quartile_S[[#This Row],[ROA Q3]]-Quartile_S[[#This Row],[ROA Q1]])</f>
        <v>-8.1624999999999996</v>
      </c>
      <c r="Q27" s="1">
        <f>Quartile_S[[#This Row],[ROA Q3]]+1.5*(Quartile_S[[#This Row],[ROA Q3]]-Quartile_S[[#This Row],[ROA Q1]])</f>
        <v>11.577500000000001</v>
      </c>
      <c r="R27" s="1" cm="1">
        <f t="array" ref="R27">_xlfn.QUARTILE.INC(IF(Quartile_S[[#This Row],[Industry]]=Main_S[Industry],Main_S[P/E]),1)</f>
        <v>-4.8999324845679011</v>
      </c>
      <c r="S27" s="1" cm="1">
        <f t="array" ref="S27">_xlfn.QUARTILE.INC(IF(Quartile_S[[#This Row],[Industry]]=Main_S[Industry],Main_S[P/E]),3)</f>
        <v>23.50568181818182</v>
      </c>
      <c r="T27" s="1">
        <f>Quartile_S[[#This Row],[P/E Q1]]-1.5*(Quartile_S[[#This Row],[P/E Q3]]-Quartile_S[[#This Row],[P/E Q1]])</f>
        <v>-47.50835393869248</v>
      </c>
      <c r="U27" s="1">
        <f>Quartile_S[[#This Row],[P/E Q3]]+1.5*(Quartile_S[[#This Row],[P/E Q3]]-Quartile_S[[#This Row],[P/E Q1]])</f>
        <v>66.114103272306409</v>
      </c>
      <c r="V27" s="1" cm="1">
        <f t="array" ref="V27">_xlfn.QUARTILE.INC(IF(Quartile_S[[#This Row],[Industry]]=Main_S[Industry],Main_S[A/E]),1)</f>
        <v>1.46</v>
      </c>
      <c r="W27" s="1" cm="1">
        <f t="array" ref="W27">_xlfn.QUARTILE.INC(IF(Quartile_S[[#This Row],[Industry]]=Main_S[Industry],Main_S[A/E]),3)</f>
        <v>2.27</v>
      </c>
      <c r="X27" s="1">
        <f>Quartile_S[[#This Row],[A/E Q1]]-1.5*(Quartile_S[[#This Row],[A/E Q3]]-Quartile_S[[#This Row],[A/E Q1]])</f>
        <v>0.24499999999999988</v>
      </c>
      <c r="Y27" s="1">
        <f>Quartile_S[[#This Row],[A/E Q3]]+1.5*(Quartile_S[[#This Row],[A/E Q3]]-Quartile_S[[#This Row],[A/E Q1]])</f>
        <v>3.4850000000000003</v>
      </c>
    </row>
    <row r="28" spans="1:25" x14ac:dyDescent="0.25">
      <c r="A28" t="s">
        <v>175</v>
      </c>
      <c r="B28" s="1" cm="1">
        <f t="array" ref="B28">_xlfn.QUARTILE.INC(IF(Quartile_S[[#This Row],[Industry]]=Main_S[Industry],Main_S[P/FCF]),1)</f>
        <v>6.4008139747576376</v>
      </c>
      <c r="C28" s="1" cm="1">
        <f t="array" ref="C28">_xlfn.QUARTILE.INC(IF(Quartile_S[[#This Row],[Industry]]=Main_S[Industry],Main_S[P/FCF]),3)</f>
        <v>13.104477611940299</v>
      </c>
      <c r="D28" s="1">
        <f>Quartile_S[[#This Row],[P/FCF Q1]]-1.5*(Quartile_S[[#This Row],[P/FCF Q3]]-Quartile_S[[#This Row],[P/FCF Q1]])</f>
        <v>-3.6546814810163539</v>
      </c>
      <c r="E28" s="1">
        <f>Quartile_S[[#This Row],[P/FCF Q3]]+1.5*(Quartile_S[[#This Row],[P/FCF Q3]]-Quartile_S[[#This Row],[P/FCF Q1]])</f>
        <v>23.15997306771429</v>
      </c>
      <c r="F28" s="1" cm="1">
        <f t="array" ref="F28">_xlfn.QUARTILE.INC(IF(Quartile_S[[#This Row],[Industry]]=Main_S[Industry],Main_S[P/B]),1)</f>
        <v>-3.4635581061692982</v>
      </c>
      <c r="G28" s="1" cm="1">
        <f t="array" ref="G28">_xlfn.QUARTILE.INC(IF(Quartile_S[[#This Row],[Industry]]=Main_S[Industry],Main_S[P/B]),3)</f>
        <v>1.7278729249764153</v>
      </c>
      <c r="H28" s="1">
        <f>Quartile_S[[#This Row],[P/B Q1]]-1.5*(Quartile_S[[#This Row],[P/B Q3]]-Quartile_S[[#This Row],[P/B Q1]])</f>
        <v>-11.250704652887869</v>
      </c>
      <c r="I28" s="1">
        <f>Quartile_S[[#This Row],[P/B Q3]]+1.5*(Quartile_S[[#This Row],[P/B Q3]]-Quartile_S[[#This Row],[P/B Q1]])</f>
        <v>9.5150194716949859</v>
      </c>
      <c r="J28" s="1" cm="1">
        <f t="array" ref="J28">_xlfn.QUARTILE.INC(IF(Quartile_S[[#This Row],[Industry]]=Main_S[Industry],Main_S[ROE]),1)</f>
        <v>-3.7425000000000015</v>
      </c>
      <c r="K28" s="1" cm="1">
        <f t="array" ref="K28">_xlfn.QUARTILE.INC(IF(Quartile_S[[#This Row],[Industry]]=Main_S[Industry],Main_S[ROE]),3)</f>
        <v>18.682500000000001</v>
      </c>
      <c r="L28" s="1">
        <f>Quartile_S[[#This Row],[ROE Q1]]-1.5*(Quartile_S[[#This Row],[ROE Q3]]-Quartile_S[[#This Row],[ROE Q1]])</f>
        <v>-37.380000000000003</v>
      </c>
      <c r="M28" s="1">
        <f>Quartile_S[[#This Row],[ROE Q3]]+1.5*(Quartile_S[[#This Row],[ROE Q3]]-Quartile_S[[#This Row],[ROE Q1]])</f>
        <v>52.320000000000007</v>
      </c>
      <c r="N28" s="1" cm="1">
        <f t="array" ref="N28">_xlfn.QUARTILE.INC(IF(Quartile_S[[#This Row],[Industry]]=Main_S[Industry],Main_S[ROA]),1)</f>
        <v>2.6925000000000003</v>
      </c>
      <c r="O28" s="1" cm="1">
        <f t="array" ref="O28">_xlfn.QUARTILE.INC(IF(Quartile_S[[#This Row],[Industry]]=Main_S[Industry],Main_S[ROA]),3)</f>
        <v>8.5325000000000006</v>
      </c>
      <c r="P28" s="1">
        <f>Quartile_S[[#This Row],[ROA Q1]]-1.5*(Quartile_S[[#This Row],[ROA Q3]]-Quartile_S[[#This Row],[ROA Q1]])</f>
        <v>-6.067499999999999</v>
      </c>
      <c r="Q28" s="1">
        <f>Quartile_S[[#This Row],[ROA Q3]]+1.5*(Quartile_S[[#This Row],[ROA Q3]]-Quartile_S[[#This Row],[ROA Q1]])</f>
        <v>17.2925</v>
      </c>
      <c r="R28" s="1" cm="1">
        <f t="array" ref="R28">_xlfn.QUARTILE.INC(IF(Quartile_S[[#This Row],[Industry]]=Main_S[Industry],Main_S[P/E]),1)</f>
        <v>-58.188812523864073</v>
      </c>
      <c r="S28" s="1" cm="1">
        <f t="array" ref="S28">_xlfn.QUARTILE.INC(IF(Quartile_S[[#This Row],[Industry]]=Main_S[Industry],Main_S[P/E]),3)</f>
        <v>-4.8520471464019845</v>
      </c>
      <c r="T28" s="1">
        <f>Quartile_S[[#This Row],[P/E Q1]]-1.5*(Quartile_S[[#This Row],[P/E Q3]]-Quartile_S[[#This Row],[P/E Q1]])</f>
        <v>-138.1939605900572</v>
      </c>
      <c r="U28" s="1">
        <f>Quartile_S[[#This Row],[P/E Q3]]+1.5*(Quartile_S[[#This Row],[P/E Q3]]-Quartile_S[[#This Row],[P/E Q1]])</f>
        <v>75.153100919791143</v>
      </c>
      <c r="V28" s="1" cm="1">
        <f t="array" ref="V28">_xlfn.QUARTILE.INC(IF(Quartile_S[[#This Row],[Industry]]=Main_S[Industry],Main_S[A/E]),1)</f>
        <v>0.69250000000000034</v>
      </c>
      <c r="W28" s="1" cm="1">
        <f t="array" ref="W28">_xlfn.QUARTILE.INC(IF(Quartile_S[[#This Row],[Industry]]=Main_S[Industry],Main_S[A/E]),3)</f>
        <v>3.5</v>
      </c>
      <c r="X28" s="1">
        <f>Quartile_S[[#This Row],[A/E Q1]]-1.5*(Quartile_S[[#This Row],[A/E Q3]]-Quartile_S[[#This Row],[A/E Q1]])</f>
        <v>-3.5187499999999994</v>
      </c>
      <c r="Y28" s="1">
        <f>Quartile_S[[#This Row],[A/E Q3]]+1.5*(Quartile_S[[#This Row],[A/E Q3]]-Quartile_S[[#This Row],[A/E Q1]])</f>
        <v>7.7112499999999997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45.5703125" bestFit="1" customWidth="1"/>
    <col min="2" max="2" width="16.28515625" bestFit="1" customWidth="1"/>
    <col min="3" max="3" width="16.85546875" bestFit="1" customWidth="1"/>
    <col min="5" max="5" width="45.5703125" bestFit="1" customWidth="1"/>
    <col min="6" max="6" width="14" bestFit="1" customWidth="1"/>
    <col min="7" max="7" width="14.5703125" bestFit="1" customWidth="1"/>
    <col min="9" max="9" width="45.570312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165</v>
      </c>
      <c r="B5" s="1">
        <v>25.368299460671391</v>
      </c>
      <c r="C5" s="1">
        <v>12.335825795121552</v>
      </c>
      <c r="E5" s="6" t="s">
        <v>165</v>
      </c>
      <c r="F5" s="1">
        <v>4.8048628676033376</v>
      </c>
      <c r="G5" s="1">
        <v>3.2556652197679883</v>
      </c>
      <c r="I5" s="6" t="s">
        <v>165</v>
      </c>
      <c r="J5" s="1">
        <v>13.291428571428572</v>
      </c>
      <c r="K5" s="1">
        <v>11.029125633743497</v>
      </c>
    </row>
    <row r="6" spans="1:11" x14ac:dyDescent="0.25">
      <c r="A6" s="6" t="s">
        <v>186</v>
      </c>
      <c r="B6" s="1">
        <v>28.133895624619104</v>
      </c>
      <c r="C6" s="1">
        <v>12.646401938627447</v>
      </c>
      <c r="E6" s="6" t="s">
        <v>186</v>
      </c>
      <c r="F6" s="1">
        <v>5.9819688421593007</v>
      </c>
      <c r="G6" s="1">
        <v>3.8939488524813917</v>
      </c>
      <c r="I6" s="6" t="s">
        <v>186</v>
      </c>
      <c r="J6" s="1">
        <v>19.755833333333332</v>
      </c>
      <c r="K6" s="1">
        <v>11.839026887328574</v>
      </c>
    </row>
    <row r="7" spans="1:11" x14ac:dyDescent="0.25">
      <c r="A7" s="6" t="s">
        <v>105</v>
      </c>
      <c r="B7" s="1">
        <v>21.240443733024822</v>
      </c>
      <c r="C7" s="1">
        <v>3.9187339763717013</v>
      </c>
      <c r="E7" s="6" t="s">
        <v>105</v>
      </c>
      <c r="F7" s="1">
        <v>10.547307483776864</v>
      </c>
      <c r="G7" s="1">
        <v>13.898716451678739</v>
      </c>
      <c r="I7" s="6" t="s">
        <v>105</v>
      </c>
      <c r="J7" s="1">
        <v>4.9586666666666668</v>
      </c>
      <c r="K7" s="1">
        <v>21.268229472358271</v>
      </c>
    </row>
    <row r="8" spans="1:11" x14ac:dyDescent="0.25">
      <c r="A8" s="6" t="s">
        <v>198</v>
      </c>
      <c r="B8" s="1">
        <v>58.927660271083418</v>
      </c>
      <c r="C8" s="1">
        <v>60.096906450550058</v>
      </c>
      <c r="E8" s="6" t="s">
        <v>198</v>
      </c>
      <c r="F8" s="1">
        <v>8.3486917805600633</v>
      </c>
      <c r="G8" s="1">
        <v>6.9329166397128912</v>
      </c>
      <c r="I8" s="6" t="s">
        <v>198</v>
      </c>
      <c r="J8" s="1">
        <v>17.724399999999999</v>
      </c>
      <c r="K8" s="1">
        <v>19.929815469291221</v>
      </c>
    </row>
    <row r="9" spans="1:11" x14ac:dyDescent="0.25">
      <c r="A9" s="6" t="s">
        <v>124</v>
      </c>
      <c r="B9" s="1">
        <v>46.162018593995022</v>
      </c>
      <c r="C9" s="1">
        <v>23.874122323561817</v>
      </c>
      <c r="E9" s="6" t="s">
        <v>124</v>
      </c>
      <c r="F9" s="1">
        <v>14.129265591577584</v>
      </c>
      <c r="G9" s="1">
        <v>10.027584977455481</v>
      </c>
      <c r="I9" s="6" t="s">
        <v>124</v>
      </c>
      <c r="J9" s="1">
        <v>9.3994871794871813</v>
      </c>
      <c r="K9" s="1">
        <v>17.878984361207355</v>
      </c>
    </row>
    <row r="10" spans="1:11" x14ac:dyDescent="0.25">
      <c r="A10" s="6" t="s">
        <v>175</v>
      </c>
      <c r="B10" s="1">
        <v>22.143824688808049</v>
      </c>
      <c r="C10" s="1">
        <v>8.5189234163682421</v>
      </c>
      <c r="E10" s="6" t="s">
        <v>175</v>
      </c>
      <c r="F10" s="1">
        <v>1.6467179895479795</v>
      </c>
      <c r="G10" s="1">
        <v>21.999881622754071</v>
      </c>
      <c r="I10" s="6" t="s">
        <v>175</v>
      </c>
      <c r="J10" s="1">
        <v>-16.696000000000005</v>
      </c>
      <c r="K10" s="1">
        <v>109.35621602817099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165</v>
      </c>
      <c r="B25" s="1">
        <v>6.661249999999999</v>
      </c>
      <c r="C25" s="1">
        <v>4.8822265348404335</v>
      </c>
      <c r="E25" s="6" t="s">
        <v>165</v>
      </c>
      <c r="F25" s="1">
        <v>2.2512499999999998</v>
      </c>
      <c r="G25" s="1">
        <v>0.58458184841816729</v>
      </c>
      <c r="I25" s="6" t="s">
        <v>165</v>
      </c>
      <c r="J25" s="1">
        <v>33.306920115932556</v>
      </c>
      <c r="K25" s="1">
        <v>7.5410677432127411</v>
      </c>
    </row>
    <row r="26" spans="1:11" x14ac:dyDescent="0.25">
      <c r="A26" s="6" t="s">
        <v>186</v>
      </c>
      <c r="B26" s="1">
        <v>5.2218181818181808</v>
      </c>
      <c r="C26" s="1">
        <v>1.7239690894814828</v>
      </c>
      <c r="E26" s="6" t="s">
        <v>186</v>
      </c>
      <c r="F26" s="1">
        <v>2.5009999999999999</v>
      </c>
      <c r="G26" s="1">
        <v>0.81232321153590226</v>
      </c>
      <c r="I26" s="6" t="s">
        <v>186</v>
      </c>
      <c r="J26" s="1">
        <v>29.415858504444977</v>
      </c>
      <c r="K26" s="1">
        <v>10.417009173565152</v>
      </c>
    </row>
    <row r="27" spans="1:11" x14ac:dyDescent="0.25">
      <c r="A27" s="6" t="s">
        <v>105</v>
      </c>
      <c r="B27" s="1">
        <v>4.5335294117647056</v>
      </c>
      <c r="C27" s="1">
        <v>6.4340161651833636</v>
      </c>
      <c r="E27" s="6" t="s">
        <v>105</v>
      </c>
      <c r="F27" s="1">
        <v>2.109375</v>
      </c>
      <c r="G27" s="1">
        <v>1.5357753284172133</v>
      </c>
      <c r="I27" s="6" t="s">
        <v>105</v>
      </c>
      <c r="J27" s="1">
        <v>21.480666755324002</v>
      </c>
      <c r="K27" s="1">
        <v>30.868813090031967</v>
      </c>
    </row>
    <row r="28" spans="1:11" x14ac:dyDescent="0.25">
      <c r="A28" s="6" t="s">
        <v>198</v>
      </c>
      <c r="B28" s="1">
        <v>7.162692307692307</v>
      </c>
      <c r="C28" s="1">
        <v>5.7508745540217348</v>
      </c>
      <c r="E28" s="6" t="s">
        <v>198</v>
      </c>
      <c r="F28" s="1">
        <v>1.7353846153846146</v>
      </c>
      <c r="G28" s="1">
        <v>0.46976451358617505</v>
      </c>
      <c r="I28" s="6" t="s">
        <v>198</v>
      </c>
      <c r="J28" s="1">
        <v>33.536735825865399</v>
      </c>
      <c r="K28" s="1">
        <v>20.0622629077935</v>
      </c>
    </row>
    <row r="29" spans="1:11" x14ac:dyDescent="0.25">
      <c r="A29" s="6" t="s">
        <v>124</v>
      </c>
      <c r="B29" s="1">
        <v>4.1036585365853648</v>
      </c>
      <c r="C29" s="1">
        <v>5.6239655985909494</v>
      </c>
      <c r="E29" s="6" t="s">
        <v>124</v>
      </c>
      <c r="F29" s="1">
        <v>2.0013513513513512</v>
      </c>
      <c r="G29" s="1">
        <v>0.73141167526529882</v>
      </c>
      <c r="I29" s="6" t="s">
        <v>124</v>
      </c>
      <c r="J29" s="1">
        <v>40.984462700451118</v>
      </c>
      <c r="K29" s="1">
        <v>52.824511379828046</v>
      </c>
    </row>
    <row r="30" spans="1:11" x14ac:dyDescent="0.25">
      <c r="A30" s="6" t="s">
        <v>175</v>
      </c>
      <c r="B30" s="1">
        <v>7.1166666666666663</v>
      </c>
      <c r="C30" s="1">
        <v>3.8196567617755641</v>
      </c>
      <c r="E30" s="6" t="s">
        <v>175</v>
      </c>
      <c r="F30" s="1">
        <v>2.3250000000000002</v>
      </c>
      <c r="G30" s="1">
        <v>5.0696449579827583</v>
      </c>
      <c r="I30" s="6" t="s">
        <v>175</v>
      </c>
      <c r="J30" s="1">
        <v>19.636196634213245</v>
      </c>
      <c r="K30" s="1">
        <v>2.0350380756924817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45.5703125" bestFit="1" customWidth="1"/>
    <col min="2" max="2" width="14.85546875" bestFit="1" customWidth="1"/>
    <col min="3" max="3" width="15.42578125" bestFit="1" customWidth="1"/>
    <col min="5" max="5" width="45.5703125" bestFit="1" customWidth="1"/>
    <col min="6" max="6" width="14" bestFit="1" customWidth="1"/>
    <col min="7" max="7" width="14.5703125" bestFit="1" customWidth="1"/>
    <col min="9" max="9" width="45.5703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165</v>
      </c>
      <c r="B5" s="1">
        <v>42.63349156118143</v>
      </c>
      <c r="C5" s="1">
        <v>13.081914381147364</v>
      </c>
      <c r="E5" s="6" t="s">
        <v>165</v>
      </c>
      <c r="F5" s="1">
        <v>11.173296375071718</v>
      </c>
      <c r="G5" s="1">
        <v>11.614056044207096</v>
      </c>
      <c r="I5" s="6" t="s">
        <v>165</v>
      </c>
      <c r="J5" s="1">
        <v>-22.336000000000002</v>
      </c>
      <c r="K5" s="1">
        <v>33.950649831777888</v>
      </c>
    </row>
    <row r="6" spans="1:11" x14ac:dyDescent="0.25">
      <c r="A6" s="6" t="s">
        <v>186</v>
      </c>
      <c r="B6" s="1">
        <v>24.199126595574519</v>
      </c>
      <c r="C6" s="1">
        <v>14.682158437035245</v>
      </c>
      <c r="E6" s="6" t="s">
        <v>186</v>
      </c>
      <c r="F6" s="1">
        <v>2.6715591787330322</v>
      </c>
      <c r="G6" s="1">
        <v>1.4295945964400678</v>
      </c>
      <c r="I6" s="6" t="s">
        <v>186</v>
      </c>
      <c r="J6" s="1">
        <v>8.7595652173913034</v>
      </c>
      <c r="K6" s="1">
        <v>10.466600078452812</v>
      </c>
    </row>
    <row r="7" spans="1:11" x14ac:dyDescent="0.25">
      <c r="A7" s="6" t="s">
        <v>105</v>
      </c>
      <c r="B7" s="1">
        <v>21.229863661313466</v>
      </c>
      <c r="C7" s="1">
        <v>11.486617321193643</v>
      </c>
      <c r="E7" s="6" t="s">
        <v>105</v>
      </c>
      <c r="F7" s="1">
        <v>2.889276225350093</v>
      </c>
      <c r="G7" s="1">
        <v>2.6433777795239757</v>
      </c>
      <c r="I7" s="6" t="s">
        <v>105</v>
      </c>
      <c r="J7" s="1">
        <v>-12.503333333333332</v>
      </c>
      <c r="K7" s="1">
        <v>37.389955721943416</v>
      </c>
    </row>
    <row r="8" spans="1:11" x14ac:dyDescent="0.25">
      <c r="A8" s="6" t="s">
        <v>198</v>
      </c>
      <c r="B8" s="1">
        <v>35.934432796802554</v>
      </c>
      <c r="C8" s="1">
        <v>22.990335864504814</v>
      </c>
      <c r="E8" s="6" t="s">
        <v>198</v>
      </c>
      <c r="F8" s="1">
        <v>4.3677156601696732</v>
      </c>
      <c r="G8" s="1">
        <v>2.3103562038469656</v>
      </c>
      <c r="I8" s="6" t="s">
        <v>198</v>
      </c>
      <c r="J8" s="1">
        <v>1.6521739130434767</v>
      </c>
      <c r="K8" s="1">
        <v>23.386786487900039</v>
      </c>
    </row>
    <row r="9" spans="1:11" x14ac:dyDescent="0.25">
      <c r="A9" s="6" t="s">
        <v>124</v>
      </c>
      <c r="B9" s="1">
        <v>25.609843588064237</v>
      </c>
      <c r="C9" s="1">
        <v>25.145746378844127</v>
      </c>
      <c r="E9" s="6" t="s">
        <v>124</v>
      </c>
      <c r="F9" s="1">
        <v>6.6891131141038693</v>
      </c>
      <c r="G9" s="1">
        <v>5.1934287414423901</v>
      </c>
      <c r="I9" s="6" t="s">
        <v>124</v>
      </c>
      <c r="J9" s="1">
        <v>16.908793103448279</v>
      </c>
      <c r="K9" s="1">
        <v>75.498919427699732</v>
      </c>
    </row>
    <row r="10" spans="1:11" x14ac:dyDescent="0.25">
      <c r="A10" s="6" t="s">
        <v>175</v>
      </c>
      <c r="B10" s="1">
        <v>-40.309806034482762</v>
      </c>
      <c r="C10" s="1">
        <v>22.283943965517238</v>
      </c>
      <c r="E10" s="6" t="s">
        <v>175</v>
      </c>
      <c r="F10" s="1">
        <v>6.6896893230226571</v>
      </c>
      <c r="G10" s="1">
        <v>6.0277709944376623</v>
      </c>
      <c r="I10" s="6" t="s">
        <v>175</v>
      </c>
      <c r="J10" s="1">
        <v>-29.035</v>
      </c>
      <c r="K10" s="1">
        <v>23.065000000000001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165</v>
      </c>
      <c r="B25" s="1">
        <v>-0.87600000000000011</v>
      </c>
      <c r="C25" s="1">
        <v>2.7034614848375411</v>
      </c>
      <c r="E25" s="6" t="s">
        <v>165</v>
      </c>
      <c r="F25" s="1">
        <v>2.79</v>
      </c>
      <c r="G25" s="1">
        <v>1.1769239567618621</v>
      </c>
      <c r="I25" s="6" t="s">
        <v>165</v>
      </c>
      <c r="J25" s="1">
        <v>226.19361711736761</v>
      </c>
      <c r="K25" s="1">
        <v>353.00179218374814</v>
      </c>
    </row>
    <row r="26" spans="1:11" x14ac:dyDescent="0.25">
      <c r="A26" s="6" t="s">
        <v>186</v>
      </c>
      <c r="B26" s="1">
        <v>4.6627272727272722</v>
      </c>
      <c r="C26" s="1">
        <v>2.6813449505428548</v>
      </c>
      <c r="E26" s="6" t="s">
        <v>186</v>
      </c>
      <c r="F26" s="1">
        <v>1.9561904761904765</v>
      </c>
      <c r="G26" s="1">
        <v>0.57357256518102706</v>
      </c>
      <c r="I26" s="6" t="s">
        <v>186</v>
      </c>
      <c r="J26" s="1">
        <v>25.32030561236564</v>
      </c>
      <c r="K26" s="1">
        <v>18.747341320393875</v>
      </c>
    </row>
    <row r="27" spans="1:11" x14ac:dyDescent="0.25">
      <c r="A27" s="6" t="s">
        <v>105</v>
      </c>
      <c r="B27" s="1">
        <v>4.3333333333333339</v>
      </c>
      <c r="C27" s="1">
        <v>2.2344176472231454</v>
      </c>
      <c r="E27" s="6" t="s">
        <v>105</v>
      </c>
      <c r="F27" s="1">
        <v>3.5433333333333334</v>
      </c>
      <c r="G27" s="1">
        <v>2.6481859619159849</v>
      </c>
      <c r="I27" s="6" t="s">
        <v>105</v>
      </c>
      <c r="J27" s="1">
        <v>28.975329345319238</v>
      </c>
      <c r="K27" s="1">
        <v>16.146104893492669</v>
      </c>
    </row>
    <row r="28" spans="1:11" x14ac:dyDescent="0.25">
      <c r="A28" s="6" t="s">
        <v>198</v>
      </c>
      <c r="B28" s="1">
        <v>3.6513043478260876</v>
      </c>
      <c r="C28" s="1">
        <v>6.8108278909062383</v>
      </c>
      <c r="E28" s="6" t="s">
        <v>198</v>
      </c>
      <c r="F28" s="1">
        <v>1.3695238095238096</v>
      </c>
      <c r="G28" s="1">
        <v>0.23263452207631929</v>
      </c>
      <c r="I28" s="6" t="s">
        <v>198</v>
      </c>
      <c r="J28" s="1">
        <v>14.162052883209965</v>
      </c>
      <c r="K28" s="1">
        <v>40.241149767038131</v>
      </c>
    </row>
    <row r="29" spans="1:11" x14ac:dyDescent="0.25">
      <c r="A29" s="6" t="s">
        <v>124</v>
      </c>
      <c r="B29" s="1">
        <v>-0.29259999999999969</v>
      </c>
      <c r="C29" s="1">
        <v>7.40566237685732</v>
      </c>
      <c r="E29" s="6" t="s">
        <v>124</v>
      </c>
      <c r="F29" s="1">
        <v>1.9743137254901963</v>
      </c>
      <c r="G29" s="1">
        <v>0.78755828891521495</v>
      </c>
      <c r="I29" s="6" t="s">
        <v>124</v>
      </c>
      <c r="J29" s="1">
        <v>-8.0022416962320726</v>
      </c>
      <c r="K29" s="1">
        <v>56.917262009570727</v>
      </c>
    </row>
    <row r="30" spans="1:11" x14ac:dyDescent="0.25">
      <c r="A30" s="6" t="s">
        <v>175</v>
      </c>
      <c r="B30" s="1">
        <v>-12.46</v>
      </c>
      <c r="C30" s="1">
        <v>10.429999999999998</v>
      </c>
      <c r="E30" s="6" t="s">
        <v>175</v>
      </c>
      <c r="F30" s="1">
        <v>1.26</v>
      </c>
      <c r="G30" s="1">
        <v>0.14999999999999988</v>
      </c>
      <c r="I30" s="6" t="s">
        <v>175</v>
      </c>
      <c r="J30" s="1">
        <v>-15.467154375410125</v>
      </c>
      <c r="K30" s="1">
        <v>11.418751664858336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45.5703125" bestFit="1" customWidth="1"/>
    <col min="2" max="2" width="16.28515625" bestFit="1" customWidth="1"/>
    <col min="3" max="3" width="16.85546875" bestFit="1" customWidth="1"/>
    <col min="5" max="5" width="45.5703125" bestFit="1" customWidth="1"/>
    <col min="6" max="6" width="14" bestFit="1" customWidth="1"/>
    <col min="7" max="7" width="14.5703125" bestFit="1" customWidth="1"/>
    <col min="9" max="9" width="45.5703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165</v>
      </c>
      <c r="B5" s="1">
        <v>12.763011042665122</v>
      </c>
      <c r="C5" s="1">
        <v>9.0592276810711638</v>
      </c>
      <c r="E5" s="6" t="s">
        <v>165</v>
      </c>
      <c r="F5" s="1">
        <v>1.9957345017963892</v>
      </c>
      <c r="G5" s="1">
        <v>1.3339400962242265</v>
      </c>
      <c r="I5" s="6" t="s">
        <v>165</v>
      </c>
      <c r="J5" s="1">
        <v>1.6028571428571432</v>
      </c>
      <c r="K5" s="1">
        <v>14.321329960472758</v>
      </c>
    </row>
    <row r="6" spans="1:11" x14ac:dyDescent="0.25">
      <c r="A6" s="6" t="s">
        <v>186</v>
      </c>
      <c r="B6" s="1">
        <v>5.565930160771611</v>
      </c>
      <c r="C6" s="1">
        <v>21.333503285762664</v>
      </c>
      <c r="E6" s="6" t="s">
        <v>186</v>
      </c>
      <c r="F6" s="1">
        <v>3.0813708472766814</v>
      </c>
      <c r="G6" s="1">
        <v>2.235834055355653</v>
      </c>
      <c r="I6" s="6" t="s">
        <v>186</v>
      </c>
      <c r="J6" s="1">
        <v>-0.68374999999999975</v>
      </c>
      <c r="K6" s="1">
        <v>18.669275073522094</v>
      </c>
    </row>
    <row r="7" spans="1:11" x14ac:dyDescent="0.25">
      <c r="A7" s="6" t="s">
        <v>105</v>
      </c>
      <c r="B7" s="1">
        <v>4.9468520530490032</v>
      </c>
      <c r="C7" s="1">
        <v>11.770618027137111</v>
      </c>
      <c r="E7" s="6" t="s">
        <v>105</v>
      </c>
      <c r="F7" s="1">
        <v>3.9987535031126891</v>
      </c>
      <c r="G7" s="1">
        <v>3.2485907568765224</v>
      </c>
      <c r="I7" s="6" t="s">
        <v>105</v>
      </c>
      <c r="J7" s="1">
        <v>-25.653846153846153</v>
      </c>
      <c r="K7" s="1">
        <v>52.736944653259414</v>
      </c>
    </row>
    <row r="8" spans="1:11" x14ac:dyDescent="0.25">
      <c r="A8" s="6" t="s">
        <v>198</v>
      </c>
      <c r="B8" s="1">
        <v>5.2207034411686006</v>
      </c>
      <c r="C8" s="1">
        <v>14.845262438876928</v>
      </c>
      <c r="E8" s="6" t="s">
        <v>198</v>
      </c>
      <c r="F8" s="1">
        <v>1.8935043922300026</v>
      </c>
      <c r="G8" s="1">
        <v>1.4487369867658455</v>
      </c>
      <c r="I8" s="6" t="s">
        <v>198</v>
      </c>
      <c r="J8" s="1">
        <v>-1.9371999999999998</v>
      </c>
      <c r="K8" s="1">
        <v>15.454864740915722</v>
      </c>
    </row>
    <row r="9" spans="1:11" x14ac:dyDescent="0.25">
      <c r="A9" s="6" t="s">
        <v>124</v>
      </c>
      <c r="B9" s="1">
        <v>11.396005590022893</v>
      </c>
      <c r="C9" s="1">
        <v>22.474809974863462</v>
      </c>
      <c r="E9" s="6" t="s">
        <v>124</v>
      </c>
      <c r="F9" s="1">
        <v>4.3850872571356394</v>
      </c>
      <c r="G9" s="1">
        <v>3.7997317034146487</v>
      </c>
      <c r="I9" s="6" t="s">
        <v>124</v>
      </c>
      <c r="J9" s="1">
        <v>-8.5012499999999989</v>
      </c>
      <c r="K9" s="1">
        <v>40.208947057060577</v>
      </c>
    </row>
    <row r="10" spans="1:11" x14ac:dyDescent="0.25">
      <c r="A10" s="6" t="s">
        <v>175</v>
      </c>
      <c r="B10" s="1">
        <v>12.246046761497675</v>
      </c>
      <c r="C10" s="1">
        <v>1.8265887722982599</v>
      </c>
      <c r="E10" s="6" t="s">
        <v>175</v>
      </c>
      <c r="F10" s="1">
        <v>1.4814705558228363</v>
      </c>
      <c r="G10" s="1">
        <v>0.46888248080787276</v>
      </c>
      <c r="I10" s="6" t="s">
        <v>175</v>
      </c>
      <c r="J10" s="1">
        <v>-2.3066666666666666</v>
      </c>
      <c r="K10" s="1">
        <v>7.8588138771417375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165</v>
      </c>
      <c r="B25" s="1">
        <v>1.5442857142857143</v>
      </c>
      <c r="C25" s="1">
        <v>4.5724090466400664</v>
      </c>
      <c r="E25" s="6" t="s">
        <v>165</v>
      </c>
      <c r="F25" s="1">
        <v>1.9438461538461536</v>
      </c>
      <c r="G25" s="1">
        <v>0.62540495756489378</v>
      </c>
      <c r="I25" s="6" t="s">
        <v>165</v>
      </c>
      <c r="J25" s="1">
        <v>10.82849866502537</v>
      </c>
      <c r="K25" s="1">
        <v>15.581426909699122</v>
      </c>
    </row>
    <row r="26" spans="1:11" x14ac:dyDescent="0.25">
      <c r="A26" s="6" t="s">
        <v>186</v>
      </c>
      <c r="B26" s="1">
        <v>1.3070833333333327</v>
      </c>
      <c r="C26" s="1">
        <v>6.9864651763049839</v>
      </c>
      <c r="E26" s="6" t="s">
        <v>186</v>
      </c>
      <c r="F26" s="1">
        <v>1.8343999999999996</v>
      </c>
      <c r="G26" s="1">
        <v>0.41575069452738161</v>
      </c>
      <c r="I26" s="6" t="s">
        <v>186</v>
      </c>
      <c r="J26" s="1">
        <v>10.619929782928253</v>
      </c>
      <c r="K26" s="1">
        <v>21.509228884726515</v>
      </c>
    </row>
    <row r="27" spans="1:11" x14ac:dyDescent="0.25">
      <c r="A27" s="6" t="s">
        <v>105</v>
      </c>
      <c r="B27" s="1">
        <v>-1.4292307692307691</v>
      </c>
      <c r="C27" s="1">
        <v>8.9018973444631975</v>
      </c>
      <c r="E27" s="6" t="s">
        <v>105</v>
      </c>
      <c r="F27" s="1">
        <v>2.8281818181818181</v>
      </c>
      <c r="G27" s="1">
        <v>1.4792370157484338</v>
      </c>
      <c r="I27" s="6" t="s">
        <v>105</v>
      </c>
      <c r="J27" s="1">
        <v>5.3469460407500025</v>
      </c>
      <c r="K27" s="1">
        <v>18.789381952267785</v>
      </c>
    </row>
    <row r="28" spans="1:11" x14ac:dyDescent="0.25">
      <c r="A28" s="6" t="s">
        <v>198</v>
      </c>
      <c r="B28" s="1">
        <v>9.9565217391304486E-2</v>
      </c>
      <c r="C28" s="1">
        <v>4.8395144189230477</v>
      </c>
      <c r="E28" s="6" t="s">
        <v>198</v>
      </c>
      <c r="F28" s="1">
        <v>1.6887499999999998</v>
      </c>
      <c r="G28" s="1">
        <v>0.54726069732197569</v>
      </c>
      <c r="I28" s="6" t="s">
        <v>198</v>
      </c>
      <c r="J28" s="1">
        <v>-2.6024500879653938</v>
      </c>
      <c r="K28" s="1">
        <v>20.89496430949379</v>
      </c>
    </row>
    <row r="29" spans="1:11" x14ac:dyDescent="0.25">
      <c r="A29" s="6" t="s">
        <v>124</v>
      </c>
      <c r="B29" s="1">
        <v>-0.19015151515151563</v>
      </c>
      <c r="C29" s="1">
        <v>7.5413238313016571</v>
      </c>
      <c r="E29" s="6" t="s">
        <v>124</v>
      </c>
      <c r="F29" s="1">
        <v>1.927966101694915</v>
      </c>
      <c r="G29" s="1">
        <v>1.2015128594373337</v>
      </c>
      <c r="I29" s="6" t="s">
        <v>124</v>
      </c>
      <c r="J29" s="1">
        <v>-3.6967464606556018</v>
      </c>
      <c r="K29" s="1">
        <v>30.469823615926117</v>
      </c>
    </row>
    <row r="30" spans="1:11" x14ac:dyDescent="0.25">
      <c r="A30" s="6" t="s">
        <v>175</v>
      </c>
      <c r="B30" s="1">
        <v>2.2566666666666664</v>
      </c>
      <c r="C30" s="1">
        <v>3.0829026726267061</v>
      </c>
      <c r="E30" s="6" t="s">
        <v>175</v>
      </c>
      <c r="F30" s="1">
        <v>1.4525000000000001</v>
      </c>
      <c r="G30" s="1">
        <v>2.8425813532773341</v>
      </c>
      <c r="I30" s="6" t="s">
        <v>175</v>
      </c>
      <c r="J30" s="1">
        <v>-4.4356970487665528</v>
      </c>
      <c r="K30" s="1">
        <v>11.232004108363041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2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30" sqref="H30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Information Technology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488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15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3">_xlfn._xlws.FILTER(_xlfn._xlws.FILTER(Main_L[], Main_L[Preliminary Criteria]="YES"), COUNTIF($A$8:$S$8,Main_L[#Headers]))</f>
        <v>Electronic Equipment, Instruments &amp; Components</v>
      </c>
      <c r="B9" t="str">
        <v>ZBRA</v>
      </c>
      <c r="C9" s="9">
        <v>14736</v>
      </c>
      <c r="D9" s="1">
        <v>298.63</v>
      </c>
      <c r="E9" s="1">
        <v>19.440000000000001</v>
      </c>
      <c r="F9" s="1">
        <v>70.91</v>
      </c>
      <c r="G9" s="1">
        <v>10.57</v>
      </c>
      <c r="H9" s="1">
        <v>15.361625514403292</v>
      </c>
      <c r="I9" s="1">
        <v>4.2113947257086446</v>
      </c>
      <c r="J9" s="1">
        <v>16.16</v>
      </c>
      <c r="K9" s="1">
        <v>6.54</v>
      </c>
      <c r="L9" s="1">
        <v>2.1800000000000002</v>
      </c>
      <c r="M9" s="1">
        <v>28.252601702932829</v>
      </c>
      <c r="N9" s="1">
        <v>-1.0099528840059964</v>
      </c>
      <c r="O9" s="1">
        <v>-0.45469886316620983</v>
      </c>
      <c r="P9" s="1">
        <v>-0.30372710253593455</v>
      </c>
      <c r="Q9" s="1">
        <v>0.76462033236239058</v>
      </c>
      <c r="R9" s="1">
        <v>-0.39516290491449596</v>
      </c>
      <c r="S9" s="1">
        <v>-0.11166898119511121</v>
      </c>
      <c r="T9">
        <f t="shared" ref="T9:T23" si="0">SUM(IF($I9&lt;(0.7*VLOOKUP($A9, Mean_PB_L, 2, FALSE)),1,0), IF($J9&gt;VLOOKUP($A9, Mean_ROE_L, 2, FALSE),1,0), IF($K9&gt;VLOOKUP($A9, Mean_ROA_L, 2,FALSE),1,0), IF($M9&lt;VLOOKUP($A9, Mean_PE_L, 2, FALSE),1,0), IF(AND($M9&gt;1,$M9&lt;25),1,0))</f>
        <v>2</v>
      </c>
    </row>
    <row r="10" spans="1:20" x14ac:dyDescent="0.25">
      <c r="A10" t="str">
        <v>Electronic Equipment, Instruments &amp; Components</v>
      </c>
      <c r="B10" t="str">
        <v>TEL</v>
      </c>
      <c r="C10" s="2">
        <v>47468</v>
      </c>
      <c r="D10" s="1">
        <v>166</v>
      </c>
      <c r="E10" s="1">
        <v>9.2100000000000009</v>
      </c>
      <c r="F10" s="1">
        <v>40.67</v>
      </c>
      <c r="G10" s="1">
        <v>4.58</v>
      </c>
      <c r="H10" s="1">
        <v>18.023887079261669</v>
      </c>
      <c r="I10" s="1">
        <v>4.0816326530612246</v>
      </c>
      <c r="J10" s="1">
        <v>11.22</v>
      </c>
      <c r="K10" s="1">
        <v>8.15</v>
      </c>
      <c r="L10" s="1">
        <v>1.96</v>
      </c>
      <c r="M10" s="1">
        <v>36.244541484716159</v>
      </c>
      <c r="N10" s="1">
        <v>-0.79943754709212611</v>
      </c>
      <c r="O10" s="1">
        <v>-0.48802289426249146</v>
      </c>
      <c r="P10" s="1">
        <v>-0.72099112659920694</v>
      </c>
      <c r="Q10" s="1">
        <v>1.6985117865787995</v>
      </c>
      <c r="R10" s="1">
        <v>-0.66599106404592667</v>
      </c>
      <c r="S10" s="1">
        <v>0.65553201177935716</v>
      </c>
      <c r="T10">
        <f t="shared" si="0"/>
        <v>2</v>
      </c>
    </row>
    <row r="11" spans="1:20" x14ac:dyDescent="0.25">
      <c r="A11" t="str">
        <v>Electronic Equipment, Instruments &amp; Components</v>
      </c>
      <c r="B11" t="str">
        <v>KEYS</v>
      </c>
      <c r="C11" s="2">
        <v>27184</v>
      </c>
      <c r="D11" s="1">
        <v>162.56</v>
      </c>
      <c r="E11" s="1">
        <v>7.78</v>
      </c>
      <c r="F11" s="1">
        <v>31.82</v>
      </c>
      <c r="G11" s="1">
        <v>4.26</v>
      </c>
      <c r="H11" s="1">
        <v>20.894601542416453</v>
      </c>
      <c r="I11" s="1">
        <v>5.1087366436203645</v>
      </c>
      <c r="J11" s="1">
        <v>14.3</v>
      </c>
      <c r="K11" s="1">
        <v>5.57</v>
      </c>
      <c r="L11" s="1">
        <v>1.93</v>
      </c>
      <c r="M11" s="1">
        <v>38.159624413145544</v>
      </c>
      <c r="N11" s="1">
        <v>-0.57243903185543965</v>
      </c>
      <c r="O11" s="1">
        <v>-0.22425363856088532</v>
      </c>
      <c r="P11" s="1">
        <v>-0.46083460957190348</v>
      </c>
      <c r="Q11" s="1">
        <v>0.201965232617101</v>
      </c>
      <c r="R11" s="1">
        <v>-0.70292217665475809</v>
      </c>
      <c r="S11" s="1">
        <v>0.83937392806462041</v>
      </c>
      <c r="T11">
        <f t="shared" si="0"/>
        <v>1</v>
      </c>
    </row>
    <row r="12" spans="1:20" x14ac:dyDescent="0.25">
      <c r="A12" t="str">
        <v>IT Services</v>
      </c>
      <c r="B12" t="str">
        <v>ACN</v>
      </c>
      <c r="C12" s="2">
        <v>198338</v>
      </c>
      <c r="D12" s="1">
        <v>316.62</v>
      </c>
      <c r="E12" s="1">
        <v>15.55</v>
      </c>
      <c r="F12" s="1">
        <v>46.69</v>
      </c>
      <c r="G12" s="1">
        <v>12.12</v>
      </c>
      <c r="H12" s="1">
        <v>20.361414790996783</v>
      </c>
      <c r="I12" s="1">
        <v>6.7813236239023347</v>
      </c>
      <c r="J12" s="1">
        <v>26.96</v>
      </c>
      <c r="K12" s="1">
        <v>11.58</v>
      </c>
      <c r="L12" s="1">
        <v>2.0499999999999998</v>
      </c>
      <c r="M12" s="1">
        <v>26.123762376237625</v>
      </c>
      <c r="N12" s="1">
        <v>-0.22431452283523456</v>
      </c>
      <c r="O12" s="1">
        <v>-0.27095911143792417</v>
      </c>
      <c r="P12" s="1">
        <v>1.0344694353579293</v>
      </c>
      <c r="Q12" s="1">
        <v>1.0951900659445228</v>
      </c>
      <c r="R12" s="1">
        <v>-3.8661253961666836E-2</v>
      </c>
      <c r="S12" s="1">
        <v>0.1504138046179998</v>
      </c>
      <c r="T12">
        <f t="shared" si="0"/>
        <v>3</v>
      </c>
    </row>
    <row r="13" spans="1:20" x14ac:dyDescent="0.25">
      <c r="A13" t="str">
        <v>IT Services</v>
      </c>
      <c r="B13" t="str">
        <v>GIB</v>
      </c>
      <c r="C13" s="2">
        <v>24136</v>
      </c>
      <c r="D13" s="1">
        <v>107.95</v>
      </c>
      <c r="E13" s="1">
        <v>5.72</v>
      </c>
      <c r="F13" s="1">
        <v>31.7</v>
      </c>
      <c r="G13" s="1">
        <v>5.3</v>
      </c>
      <c r="H13" s="1">
        <v>18.872377622377623</v>
      </c>
      <c r="I13" s="1">
        <v>3.4053627760252367</v>
      </c>
      <c r="J13" s="1">
        <v>18.34</v>
      </c>
      <c r="K13" s="1">
        <v>9.01</v>
      </c>
      <c r="L13" s="1">
        <v>1.84</v>
      </c>
      <c r="M13" s="1">
        <v>20.367924528301888</v>
      </c>
      <c r="N13" s="1">
        <v>-0.60429366344478341</v>
      </c>
      <c r="O13" s="1">
        <v>-0.51385642210788429</v>
      </c>
      <c r="P13" s="1">
        <v>0.62917006564766864</v>
      </c>
      <c r="Q13" s="1">
        <v>0.69575059703128972</v>
      </c>
      <c r="R13" s="1">
        <v>-0.17540000481556162</v>
      </c>
      <c r="S13" s="1">
        <v>-3.6047457470317706E-2</v>
      </c>
      <c r="T13">
        <f t="shared" si="0"/>
        <v>5</v>
      </c>
    </row>
    <row r="14" spans="1:20" x14ac:dyDescent="0.25">
      <c r="A14" t="str">
        <v>IT Services</v>
      </c>
      <c r="B14" t="str">
        <v>DOX</v>
      </c>
      <c r="C14" s="2">
        <v>10205</v>
      </c>
      <c r="D14" s="1">
        <v>92.39</v>
      </c>
      <c r="E14" s="1">
        <v>5.31</v>
      </c>
      <c r="F14" s="1">
        <v>31.12</v>
      </c>
      <c r="G14" s="1">
        <v>4.74</v>
      </c>
      <c r="H14" s="1">
        <v>17.39924670433145</v>
      </c>
      <c r="I14" s="1">
        <v>2.9688303341902311</v>
      </c>
      <c r="J14" s="1">
        <v>15.35</v>
      </c>
      <c r="K14" s="1">
        <v>7.83</v>
      </c>
      <c r="L14" s="1">
        <v>1.79</v>
      </c>
      <c r="M14" s="1">
        <v>19.491561181434598</v>
      </c>
      <c r="N14" s="1">
        <v>-0.98021377614662186</v>
      </c>
      <c r="O14" s="1">
        <v>-0.54526453402618158</v>
      </c>
      <c r="P14" s="1">
        <v>0.48858478543494466</v>
      </c>
      <c r="Q14" s="1">
        <v>0.51235037395050564</v>
      </c>
      <c r="R14" s="1">
        <v>-0.2079568502569652</v>
      </c>
      <c r="S14" s="1">
        <v>-6.4437384362268132E-2</v>
      </c>
      <c r="T14">
        <f t="shared" si="0"/>
        <v>5</v>
      </c>
    </row>
    <row r="15" spans="1:20" x14ac:dyDescent="0.25">
      <c r="A15" t="str">
        <v>IT Services</v>
      </c>
      <c r="B15" t="str">
        <v>CTSH</v>
      </c>
      <c r="C15" s="2">
        <v>39923</v>
      </c>
      <c r="D15" s="1">
        <v>80.47</v>
      </c>
      <c r="E15" s="1">
        <v>4.3099999999999996</v>
      </c>
      <c r="F15" s="1">
        <v>30.22</v>
      </c>
      <c r="G15" s="1">
        <v>4.75</v>
      </c>
      <c r="H15" s="1">
        <v>18.670533642691417</v>
      </c>
      <c r="I15" s="1">
        <v>2.6628060886829914</v>
      </c>
      <c r="J15" s="1">
        <v>16.600000000000001</v>
      </c>
      <c r="K15" s="1">
        <v>10.09</v>
      </c>
      <c r="L15" s="1">
        <v>1.34</v>
      </c>
      <c r="M15" s="1">
        <v>16.941052631578948</v>
      </c>
      <c r="N15" s="1">
        <v>-0.65580110970248795</v>
      </c>
      <c r="O15" s="1">
        <v>-0.56728269998928949</v>
      </c>
      <c r="P15" s="1">
        <v>0.5473578958917692</v>
      </c>
      <c r="Q15" s="1">
        <v>0.86360842832556672</v>
      </c>
      <c r="R15" s="1">
        <v>-0.50096845922959721</v>
      </c>
      <c r="S15" s="1">
        <v>-0.14706150542636082</v>
      </c>
      <c r="T15">
        <f t="shared" si="0"/>
        <v>5</v>
      </c>
    </row>
    <row r="16" spans="1:20" x14ac:dyDescent="0.25">
      <c r="A16" t="str">
        <v>IT Services</v>
      </c>
      <c r="B16" t="str">
        <v>INFY</v>
      </c>
      <c r="C16" s="2">
        <v>75389</v>
      </c>
      <c r="D16" s="1">
        <v>18.29</v>
      </c>
      <c r="E16" s="1">
        <v>0.98</v>
      </c>
      <c r="F16" s="1">
        <v>2.76</v>
      </c>
      <c r="G16" s="1">
        <v>0.76</v>
      </c>
      <c r="H16" s="1">
        <v>18.663265306122447</v>
      </c>
      <c r="I16" s="1">
        <v>6.6268115942028984</v>
      </c>
      <c r="J16" s="1">
        <v>28.89</v>
      </c>
      <c r="K16" s="1">
        <v>14.99</v>
      </c>
      <c r="L16" s="1">
        <v>1.55</v>
      </c>
      <c r="M16" s="1">
        <v>24.065789473684209</v>
      </c>
      <c r="N16" s="1">
        <v>-0.65765587621963217</v>
      </c>
      <c r="O16" s="1">
        <v>-0.28207611135922073</v>
      </c>
      <c r="P16" s="1">
        <v>1.1252151179032663</v>
      </c>
      <c r="Q16" s="1">
        <v>1.625185625864416</v>
      </c>
      <c r="R16" s="1">
        <v>-0.36422970837570223</v>
      </c>
      <c r="S16" s="1">
        <v>8.3745452435130541E-2</v>
      </c>
      <c r="T16">
        <f t="shared" si="0"/>
        <v>4</v>
      </c>
    </row>
    <row r="17" spans="1:20" x14ac:dyDescent="0.25">
      <c r="A17" t="str">
        <v>IT Services</v>
      </c>
      <c r="B17" t="str">
        <v>WIT</v>
      </c>
      <c r="C17" s="2">
        <v>30152</v>
      </c>
      <c r="D17" s="1">
        <v>2.94</v>
      </c>
      <c r="E17" s="1">
        <v>0.17</v>
      </c>
      <c r="F17" s="1">
        <v>0.93</v>
      </c>
      <c r="G17" s="1">
        <v>0.15</v>
      </c>
      <c r="H17" s="1">
        <v>17.294117647058822</v>
      </c>
      <c r="I17" s="1">
        <v>3.161290322580645</v>
      </c>
      <c r="J17" s="1">
        <v>16.71</v>
      </c>
      <c r="K17" s="1">
        <v>7.75</v>
      </c>
      <c r="L17" s="1">
        <v>1.55</v>
      </c>
      <c r="M17" s="1">
        <v>19.600000000000001</v>
      </c>
      <c r="N17" s="1">
        <v>-1.007041077491013</v>
      </c>
      <c r="O17" s="1">
        <v>-0.53141721301207701</v>
      </c>
      <c r="P17" s="1">
        <v>0.55252992961196967</v>
      </c>
      <c r="Q17" s="1">
        <v>0.4999164605212999</v>
      </c>
      <c r="R17" s="1">
        <v>-0.36422970837570223</v>
      </c>
      <c r="S17" s="1">
        <v>-6.0924491973139643E-2</v>
      </c>
      <c r="T17">
        <f t="shared" si="0"/>
        <v>5</v>
      </c>
    </row>
    <row r="18" spans="1:20" x14ac:dyDescent="0.25">
      <c r="A18" t="str">
        <v>Software</v>
      </c>
      <c r="B18" t="str">
        <v>INTU</v>
      </c>
      <c r="C18" s="2">
        <v>210178</v>
      </c>
      <c r="D18" s="1">
        <v>764.38</v>
      </c>
      <c r="E18" s="1">
        <v>21.79</v>
      </c>
      <c r="F18" s="1">
        <v>72.11</v>
      </c>
      <c r="G18" s="1">
        <v>12.24</v>
      </c>
      <c r="H18" s="1">
        <v>35.079394217530975</v>
      </c>
      <c r="I18" s="1">
        <v>10.600194147829704</v>
      </c>
      <c r="J18" s="1">
        <v>17.84</v>
      </c>
      <c r="K18" s="1">
        <v>8.57</v>
      </c>
      <c r="L18" s="1">
        <v>1.82</v>
      </c>
      <c r="M18" s="1">
        <v>62.449346405228759</v>
      </c>
      <c r="N18" s="1">
        <v>-0.46421075615945878</v>
      </c>
      <c r="O18" s="1">
        <v>-0.35193632880520231</v>
      </c>
      <c r="P18" s="1">
        <v>0.47209129165225339</v>
      </c>
      <c r="Q18" s="1">
        <v>0.79416230151437095</v>
      </c>
      <c r="R18" s="1">
        <v>-0.24794702830737711</v>
      </c>
      <c r="S18" s="1">
        <v>0.40634325134476074</v>
      </c>
      <c r="T18">
        <f t="shared" si="0"/>
        <v>2</v>
      </c>
    </row>
    <row r="19" spans="1:20" x14ac:dyDescent="0.25">
      <c r="A19" t="str">
        <v>Software</v>
      </c>
      <c r="B19" t="str">
        <v>CRM</v>
      </c>
      <c r="C19" s="2">
        <v>253694</v>
      </c>
      <c r="D19" s="1">
        <v>272.25</v>
      </c>
      <c r="E19" s="1">
        <v>13.18</v>
      </c>
      <c r="F19" s="1">
        <v>63.33</v>
      </c>
      <c r="G19" s="1">
        <v>6.39</v>
      </c>
      <c r="H19" s="1">
        <v>20.656297420333839</v>
      </c>
      <c r="I19" s="1">
        <v>4.2989104689720516</v>
      </c>
      <c r="J19" s="1">
        <v>10.31</v>
      </c>
      <c r="K19" s="1">
        <v>5.09</v>
      </c>
      <c r="L19" s="1">
        <v>1.63</v>
      </c>
      <c r="M19" s="1">
        <v>42.605633802816904</v>
      </c>
      <c r="N19" s="1">
        <v>-1.068341731184359</v>
      </c>
      <c r="O19" s="1">
        <v>-0.98033127066054582</v>
      </c>
      <c r="P19" s="1">
        <v>5.0926428600071384E-2</v>
      </c>
      <c r="Q19" s="1">
        <v>0.175381845091968</v>
      </c>
      <c r="R19" s="1">
        <v>-0.50771865408992023</v>
      </c>
      <c r="S19" s="1">
        <v>3.0689751026923038E-2</v>
      </c>
      <c r="T19">
        <f t="shared" si="0"/>
        <v>3</v>
      </c>
    </row>
    <row r="20" spans="1:20" x14ac:dyDescent="0.25">
      <c r="A20" t="str">
        <v>Software</v>
      </c>
      <c r="B20" t="str">
        <v>NICE</v>
      </c>
      <c r="C20" s="2">
        <v>10495</v>
      </c>
      <c r="D20" s="1">
        <v>175.42</v>
      </c>
      <c r="E20" s="1">
        <v>12.12</v>
      </c>
      <c r="F20" s="1">
        <v>55.24</v>
      </c>
      <c r="G20" s="1">
        <v>7.17</v>
      </c>
      <c r="H20" s="1">
        <v>14.473597359735974</v>
      </c>
      <c r="I20" s="1">
        <v>3.1755973931933377</v>
      </c>
      <c r="J20" s="1">
        <v>13.38</v>
      </c>
      <c r="K20" s="1">
        <v>6.97</v>
      </c>
      <c r="L20" s="1">
        <v>1.49</v>
      </c>
      <c r="M20" s="1">
        <v>24.465829846582984</v>
      </c>
      <c r="N20" s="1">
        <v>-1.3273125103738432</v>
      </c>
      <c r="O20" s="1">
        <v>-1.0923535649920526</v>
      </c>
      <c r="P20" s="1">
        <v>0.22263640596663167</v>
      </c>
      <c r="Q20" s="1">
        <v>0.50966553994085229</v>
      </c>
      <c r="R20" s="1">
        <v>-0.69912932571916231</v>
      </c>
      <c r="S20" s="1">
        <v>-0.31270772643958727</v>
      </c>
      <c r="T20">
        <f t="shared" si="0"/>
        <v>5</v>
      </c>
    </row>
    <row r="21" spans="1:20" x14ac:dyDescent="0.25">
      <c r="A21" t="str">
        <v>Software</v>
      </c>
      <c r="B21" t="str">
        <v>ANSS</v>
      </c>
      <c r="C21" s="2">
        <v>29084</v>
      </c>
      <c r="D21" s="1">
        <v>342.14</v>
      </c>
      <c r="E21" s="1">
        <v>9.91</v>
      </c>
      <c r="F21" s="1">
        <v>70.290000000000006</v>
      </c>
      <c r="G21" s="1">
        <v>6.74</v>
      </c>
      <c r="H21" s="1">
        <v>34.5247225025227</v>
      </c>
      <c r="I21" s="1">
        <v>4.8675487267036557</v>
      </c>
      <c r="J21" s="1">
        <v>10.23</v>
      </c>
      <c r="K21" s="1">
        <v>6.06</v>
      </c>
      <c r="L21" s="1">
        <v>1.29</v>
      </c>
      <c r="M21" s="1">
        <v>50.762611275964389</v>
      </c>
      <c r="N21" s="1">
        <v>-0.48744393338335446</v>
      </c>
      <c r="O21" s="1">
        <v>-0.92362387211841979</v>
      </c>
      <c r="P21" s="1">
        <v>4.645190150257144E-2</v>
      </c>
      <c r="Q21" s="1">
        <v>0.34785800679591361</v>
      </c>
      <c r="R21" s="1">
        <v>-0.97257314233236525</v>
      </c>
      <c r="S21" s="1">
        <v>0.18510627585752221</v>
      </c>
      <c r="T21">
        <f t="shared" si="0"/>
        <v>3</v>
      </c>
    </row>
    <row r="22" spans="1:20" x14ac:dyDescent="0.25">
      <c r="A22" t="str">
        <v>Software</v>
      </c>
      <c r="B22" t="str">
        <v>PTC</v>
      </c>
      <c r="C22" s="2">
        <v>20190</v>
      </c>
      <c r="D22" s="1">
        <v>170.19</v>
      </c>
      <c r="E22" s="1">
        <v>6.79</v>
      </c>
      <c r="F22" s="1">
        <v>28.24</v>
      </c>
      <c r="G22" s="1">
        <v>3.64</v>
      </c>
      <c r="H22" s="1">
        <v>25.06480117820324</v>
      </c>
      <c r="I22" s="1">
        <v>6.0265580736543916</v>
      </c>
      <c r="J22" s="1">
        <v>13.92</v>
      </c>
      <c r="K22" s="1">
        <v>6.41</v>
      </c>
      <c r="L22" s="1">
        <v>1.82</v>
      </c>
      <c r="M22" s="1">
        <v>46.755494505494504</v>
      </c>
      <c r="N22" s="1">
        <v>-0.88368557092339872</v>
      </c>
      <c r="O22" s="1">
        <v>-0.80804177039038871</v>
      </c>
      <c r="P22" s="1">
        <v>0.25283946387475625</v>
      </c>
      <c r="Q22" s="1">
        <v>0.41009167339012087</v>
      </c>
      <c r="R22" s="1">
        <v>-0.24794702830737711</v>
      </c>
      <c r="S22" s="1">
        <v>0.10924912799566669</v>
      </c>
      <c r="T22">
        <f t="shared" si="0"/>
        <v>3</v>
      </c>
    </row>
    <row r="23" spans="1:20" x14ac:dyDescent="0.25">
      <c r="A23" t="str">
        <v>Software</v>
      </c>
      <c r="B23" t="str">
        <v>ZM</v>
      </c>
      <c r="C23" s="2">
        <v>24582</v>
      </c>
      <c r="D23" s="1">
        <v>80.260000000000005</v>
      </c>
      <c r="E23" s="1">
        <v>5.54</v>
      </c>
      <c r="F23" s="1">
        <v>29.2</v>
      </c>
      <c r="G23" s="1">
        <v>3.33</v>
      </c>
      <c r="H23" s="1">
        <v>14.48736462093863</v>
      </c>
      <c r="I23" s="1">
        <v>2.7486301369863018</v>
      </c>
      <c r="J23" s="1">
        <v>12.19</v>
      </c>
      <c r="K23" s="1">
        <v>5.0199999999999996</v>
      </c>
      <c r="L23" s="1">
        <v>1.23</v>
      </c>
      <c r="M23" s="1">
        <v>24.102102102102101</v>
      </c>
      <c r="N23" s="1">
        <v>-1.3267358499623707</v>
      </c>
      <c r="O23" s="1">
        <v>-1.1349328357902522</v>
      </c>
      <c r="P23" s="1">
        <v>0.15607781539131996</v>
      </c>
      <c r="Q23" s="1">
        <v>0.16293511177312653</v>
      </c>
      <c r="R23" s="1">
        <v>-1.0546062873163262</v>
      </c>
      <c r="S23" s="1">
        <v>-0.3195933129784867</v>
      </c>
      <c r="T23">
        <f t="shared" si="0"/>
        <v>5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95" priority="1">
      <formula>$I9 &lt; (0.7*VLOOKUP($A9, Mean_PB_L, 2, FALSE))</formula>
    </cfRule>
  </conditionalFormatting>
  <conditionalFormatting sqref="J9:J1048576">
    <cfRule type="expression" dxfId="94" priority="3">
      <formula>$J9 &gt; VLOOKUP($A9, Mean_ROE_L, 2, FALSE)</formula>
    </cfRule>
  </conditionalFormatting>
  <conditionalFormatting sqref="K9:K1048576">
    <cfRule type="expression" dxfId="93" priority="4">
      <formula>$K9 &gt; VLOOKUP($A9, Mean_ROA_L, 2, FALSE)</formula>
    </cfRule>
  </conditionalFormatting>
  <conditionalFormatting sqref="M9:M1048576">
    <cfRule type="expression" dxfId="92" priority="5">
      <formula>AND($M9&gt;1, $M9&lt;25, $M9 &lt; VLOOKUP($A9, Mean_PE_L, 2, FALSE))</formula>
    </cfRule>
    <cfRule type="expression" dxfId="91" priority="6">
      <formula>AND($M9&gt;1, $M9&lt;25)</formula>
    </cfRule>
    <cfRule type="expression" dxfId="90" priority="9">
      <formula xml:space="preserve"> $M9 &lt; VLOOKUP($A9, Mean_PE_L, 2, FALSE)</formula>
    </cfRule>
  </conditionalFormatting>
  <conditionalFormatting sqref="N9:N1048576">
    <cfRule type="expression" dxfId="89" priority="10">
      <formula>$N9&lt;0</formula>
    </cfRule>
  </conditionalFormatting>
  <conditionalFormatting sqref="O9:O1048576">
    <cfRule type="expression" dxfId="88" priority="11">
      <formula>$O9&lt;0</formula>
    </cfRule>
  </conditionalFormatting>
  <conditionalFormatting sqref="P9:P1048576">
    <cfRule type="expression" dxfId="87" priority="12">
      <formula>$P9&gt;0</formula>
    </cfRule>
  </conditionalFormatting>
  <conditionalFormatting sqref="Q9:Q1048576">
    <cfRule type="expression" dxfId="86" priority="14">
      <formula>$Q9&gt;0</formula>
    </cfRule>
  </conditionalFormatting>
  <conditionalFormatting sqref="R9:R1048576">
    <cfRule type="expression" dxfId="85" priority="15">
      <formula>$R9&lt;0</formula>
    </cfRule>
  </conditionalFormatting>
  <conditionalFormatting sqref="S9:S1048576">
    <cfRule type="expression" dxfId="84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3"/>
  <sheetViews>
    <sheetView tabSelected="1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22" sqref="H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Information Technology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488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5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3">_xlfn._xlws.FILTER(_xlfn._xlws.FILTER(Main_M[], Main_M[Preliminary Criteria]="YES"), COUNTIF($A$8:$S$8,Main_M[#Headers]))</f>
        <v>Electronic Equipment, Instruments &amp; Components</v>
      </c>
      <c r="B9" t="str">
        <v>SHMXY</v>
      </c>
      <c r="C9" s="2">
        <v>6862</v>
      </c>
      <c r="D9" s="1">
        <v>11.82</v>
      </c>
      <c r="E9" s="1">
        <v>0.84</v>
      </c>
      <c r="F9" s="1">
        <v>11.5</v>
      </c>
      <c r="G9" s="1">
        <v>1.22</v>
      </c>
      <c r="H9" s="1">
        <v>14.071428571428573</v>
      </c>
      <c r="I9" s="1">
        <v>1.0278260869565217</v>
      </c>
      <c r="J9" s="1">
        <v>10.86</v>
      </c>
      <c r="K9" s="1">
        <v>6.66</v>
      </c>
      <c r="L9" s="1">
        <v>1.35</v>
      </c>
      <c r="M9" s="1">
        <v>9.6885245901639347</v>
      </c>
      <c r="N9" s="1">
        <v>-0.68979626310251307</v>
      </c>
      <c r="O9" s="1">
        <v>-1.1497896647550878</v>
      </c>
      <c r="P9" s="1">
        <v>0.2006797591256764</v>
      </c>
      <c r="Q9" s="1">
        <v>0.74487720308734162</v>
      </c>
      <c r="R9" s="1">
        <v>-1.0568679762414277</v>
      </c>
      <c r="S9" s="1">
        <v>-0.8338132194348552</v>
      </c>
      <c r="T9">
        <f t="shared" ref="T9:T13" si="0">SUM(IF($I9 &lt; (0.7*VLOOKUP($A9, Mean_PB_M, 2, FALSE)),1,0), IF($J9&gt;VLOOKUP($A9, Mean_ROE_M, 2, FALSE),1,0), IF($K9&gt;VLOOKUP($A9, Mean_ROA_M, 2,FALSE),1,0), IF($M9&lt;VLOOKUP($A9, Mean_PE_M, 2, FALSE),1,0), IF(AND($M9&gt;1,$M9&lt;25),1,0))</f>
        <v>5</v>
      </c>
    </row>
    <row r="10" spans="1:20" x14ac:dyDescent="0.25">
      <c r="A10" t="str">
        <v>Semiconductors &amp; Semiconductor Equipment</v>
      </c>
      <c r="B10" t="str">
        <v>CRUS</v>
      </c>
      <c r="C10" s="2">
        <v>5071</v>
      </c>
      <c r="D10" s="1">
        <v>102.82</v>
      </c>
      <c r="E10" s="1">
        <v>7.82</v>
      </c>
      <c r="F10" s="1">
        <v>37.28</v>
      </c>
      <c r="G10" s="1">
        <v>6</v>
      </c>
      <c r="H10" s="1">
        <v>13.148337595907927</v>
      </c>
      <c r="I10" s="1">
        <v>2.758047210300429</v>
      </c>
      <c r="J10" s="1">
        <v>17.600000000000001</v>
      </c>
      <c r="K10" s="1">
        <v>11.25</v>
      </c>
      <c r="L10" s="1">
        <v>1.19</v>
      </c>
      <c r="M10" s="1">
        <v>17.136666666666667</v>
      </c>
      <c r="N10" s="1">
        <v>-0.99111623837016161</v>
      </c>
      <c r="O10" s="1">
        <v>-0.69671873418868968</v>
      </c>
      <c r="P10" s="1">
        <v>0.68191609373984252</v>
      </c>
      <c r="Q10" s="1">
        <v>1.1156787065959528</v>
      </c>
      <c r="R10" s="1">
        <v>-0.77169892035591403</v>
      </c>
      <c r="S10" s="1">
        <v>7.3919701615813016E-2</v>
      </c>
      <c r="T10">
        <f t="shared" si="0"/>
        <v>4</v>
      </c>
    </row>
    <row r="11" spans="1:20" x14ac:dyDescent="0.25">
      <c r="A11" t="str">
        <v>Semiconductors &amp; Semiconductor Equipment</v>
      </c>
      <c r="B11" t="str">
        <v>ONTO</v>
      </c>
      <c r="C11" s="2">
        <v>4494</v>
      </c>
      <c r="D11" s="1">
        <v>99.46</v>
      </c>
      <c r="E11" s="1">
        <v>5.01</v>
      </c>
      <c r="F11" s="1">
        <v>39.31</v>
      </c>
      <c r="G11" s="1">
        <v>4.42</v>
      </c>
      <c r="H11" s="1">
        <v>19.852295409181636</v>
      </c>
      <c r="I11" s="1">
        <v>2.5301450012719409</v>
      </c>
      <c r="J11" s="1">
        <v>11.83</v>
      </c>
      <c r="K11" s="1">
        <v>6.46</v>
      </c>
      <c r="L11" s="1">
        <v>1.1000000000000001</v>
      </c>
      <c r="M11" s="1">
        <v>22.502262443438912</v>
      </c>
      <c r="N11" s="1">
        <v>-0.69951728771611443</v>
      </c>
      <c r="O11" s="1">
        <v>-0.79536248819034927</v>
      </c>
      <c r="P11" s="1">
        <v>0.43519557901733841</v>
      </c>
      <c r="Q11" s="1">
        <v>0.41238681951192158</v>
      </c>
      <c r="R11" s="1">
        <v>-1.1585718539030425</v>
      </c>
      <c r="S11" s="1">
        <v>0.20725574712729716</v>
      </c>
      <c r="T11">
        <f t="shared" si="0"/>
        <v>4</v>
      </c>
    </row>
    <row r="12" spans="1:20" x14ac:dyDescent="0.25">
      <c r="A12" t="str">
        <v>Semiconductors &amp; Semiconductor Equipment</v>
      </c>
      <c r="B12" t="str">
        <v>SIMO</v>
      </c>
      <c r="C12" s="2">
        <v>2080</v>
      </c>
      <c r="D12" s="1">
        <v>67.290000000000006</v>
      </c>
      <c r="E12" s="1">
        <v>2.21</v>
      </c>
      <c r="F12" s="1">
        <v>22.96</v>
      </c>
      <c r="G12" s="1">
        <v>2.8</v>
      </c>
      <c r="H12" s="1">
        <v>30.447963800904979</v>
      </c>
      <c r="I12" s="1">
        <v>2.9307491289198606</v>
      </c>
      <c r="J12" s="1">
        <v>12.34</v>
      </c>
      <c r="K12" s="1">
        <v>5.34</v>
      </c>
      <c r="L12" s="1">
        <v>1.28</v>
      </c>
      <c r="M12" s="1">
        <v>24.032142857142862</v>
      </c>
      <c r="N12" s="1">
        <v>-0.23864240297455727</v>
      </c>
      <c r="O12" s="1">
        <v>-0.62196752555174173</v>
      </c>
      <c r="P12" s="1">
        <v>0.45700276489402419</v>
      </c>
      <c r="Q12" s="1">
        <v>0.24794278745887044</v>
      </c>
      <c r="R12" s="1">
        <v>-0.3848259868087846</v>
      </c>
      <c r="S12" s="1">
        <v>0.24527355781512913</v>
      </c>
      <c r="T12">
        <f t="shared" si="0"/>
        <v>4</v>
      </c>
    </row>
    <row r="13" spans="1:20" x14ac:dyDescent="0.25">
      <c r="A13" t="str">
        <v>Software</v>
      </c>
      <c r="B13" t="str">
        <v>DLB</v>
      </c>
      <c r="C13" s="2">
        <v>7134</v>
      </c>
      <c r="D13" s="1">
        <v>75.5</v>
      </c>
      <c r="E13" s="1">
        <v>4.08</v>
      </c>
      <c r="F13" s="1">
        <v>26.79</v>
      </c>
      <c r="G13" s="1">
        <v>2.64</v>
      </c>
      <c r="H13" s="1">
        <v>18.504901960784313</v>
      </c>
      <c r="I13" s="1">
        <v>2.8182157521463234</v>
      </c>
      <c r="J13" s="1">
        <v>10.31</v>
      </c>
      <c r="K13" s="1">
        <v>5.64</v>
      </c>
      <c r="L13" s="1">
        <v>1.25</v>
      </c>
      <c r="M13" s="1">
        <v>28.598484848484848</v>
      </c>
      <c r="N13" s="1">
        <v>-0.28255043697002868</v>
      </c>
      <c r="O13" s="1">
        <v>-0.74534523427050381</v>
      </c>
      <c r="P13" s="1">
        <v>-8.7402484081477494E-2</v>
      </c>
      <c r="Q13" s="1">
        <v>0.80108972001469603</v>
      </c>
      <c r="R13" s="1">
        <v>-0.91969538723015432</v>
      </c>
      <c r="S13" s="1">
        <v>0.64305142679847194</v>
      </c>
      <c r="T13">
        <f t="shared" si="0"/>
        <v>2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83" priority="1">
      <formula>$I9 &lt; (0.7*VLOOKUP($A9, Mean_PB_M, 2, FALSE))</formula>
    </cfRule>
  </conditionalFormatting>
  <conditionalFormatting sqref="J9:J1048576">
    <cfRule type="expression" dxfId="82" priority="3">
      <formula>$J9 &gt; VLOOKUP($A9, Mean_ROE_M, 2, FALSE)</formula>
    </cfRule>
  </conditionalFormatting>
  <conditionalFormatting sqref="K9:K1048576">
    <cfRule type="expression" dxfId="81" priority="4">
      <formula>$K9 &gt; VLOOKUP($A9, Mean_ROA_M, 2, FALSE)</formula>
    </cfRule>
  </conditionalFormatting>
  <conditionalFormatting sqref="M9:M1048576">
    <cfRule type="expression" dxfId="80" priority="5">
      <formula>AND($M9&gt;1, $M9&lt;25, $M9 &lt; VLOOKUP($A9, Mean_PE_M, 2, FALSE))</formula>
    </cfRule>
    <cfRule type="expression" dxfId="79" priority="6">
      <formula>AND($M9&gt;1, $M9&lt;25)</formula>
    </cfRule>
    <cfRule type="expression" dxfId="78" priority="7">
      <formula xml:space="preserve"> $M9 &lt; VLOOKUP($A9, Mean_PE_M, 2, FALSE)</formula>
    </cfRule>
  </conditionalFormatting>
  <conditionalFormatting sqref="N9:N1048576">
    <cfRule type="expression" dxfId="77" priority="8">
      <formula>$N9&lt;0</formula>
    </cfRule>
  </conditionalFormatting>
  <conditionalFormatting sqref="O9:O1048576">
    <cfRule type="expression" dxfId="76" priority="9">
      <formula>$O9&lt;0</formula>
    </cfRule>
  </conditionalFormatting>
  <conditionalFormatting sqref="P9:P1048576">
    <cfRule type="expression" dxfId="75" priority="10">
      <formula>$P9&gt;0</formula>
    </cfRule>
  </conditionalFormatting>
  <conditionalFormatting sqref="Q9:Q1048576">
    <cfRule type="expression" dxfId="74" priority="11">
      <formula>$Q9&gt;0</formula>
    </cfRule>
  </conditionalFormatting>
  <conditionalFormatting sqref="R9:R1048576">
    <cfRule type="expression" dxfId="73" priority="12">
      <formula>$R9&lt;0</formula>
    </cfRule>
  </conditionalFormatting>
  <conditionalFormatting sqref="S9:S1048576">
    <cfRule type="expression" dxfId="72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3" sqref="I23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Information Technology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4/5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488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_xlfn._xlws.FILTER(_xlfn._xlws.FILTER(Main_S[], Main_S[Preliminary Criteria]="YES"), COUNTIF($A$8:$S$8,Main_S[#Headers]))</f>
        <v>Software</v>
      </c>
      <c r="B9" t="str">
        <v>EGHSF</v>
      </c>
      <c r="C9">
        <v>1052</v>
      </c>
      <c r="D9">
        <v>17.04</v>
      </c>
      <c r="E9">
        <v>1.64</v>
      </c>
      <c r="F9">
        <v>7.6</v>
      </c>
      <c r="G9">
        <v>1.06</v>
      </c>
      <c r="H9" s="1">
        <v>10.390243902439025</v>
      </c>
      <c r="I9" s="1">
        <v>2.2421052631578946</v>
      </c>
      <c r="J9" s="1">
        <v>14.61</v>
      </c>
      <c r="K9" s="1">
        <v>7.14</v>
      </c>
      <c r="L9" s="1">
        <v>1.43</v>
      </c>
      <c r="M9" s="1">
        <v>16.075471698113205</v>
      </c>
      <c r="N9" s="1">
        <v>-4.4750620303742029E-2</v>
      </c>
      <c r="O9" s="1">
        <v>-0.56398244961662503</v>
      </c>
      <c r="P9" s="1">
        <v>0.57477879157598399</v>
      </c>
      <c r="Q9" s="1">
        <v>0.97199797795797704</v>
      </c>
      <c r="R9" s="1">
        <v>-0.41444924853164844</v>
      </c>
      <c r="S9" s="1">
        <v>0.64891147411940275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4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71" priority="1">
      <formula>$I9 &lt; (0.7*VLOOKUP($A9, Mean_PB_S, 2, FALSE))</formula>
    </cfRule>
  </conditionalFormatting>
  <conditionalFormatting sqref="J9:J1048576">
    <cfRule type="expression" dxfId="70" priority="3">
      <formula>$J9 &gt; VLOOKUP($A9, Mean_ROE_S, 2, FALSE)</formula>
    </cfRule>
  </conditionalFormatting>
  <conditionalFormatting sqref="K9:K1048576">
    <cfRule type="expression" dxfId="69" priority="4">
      <formula>$K9 &gt; VLOOKUP($A9, Mean_ROA_S, 2, FALSE)</formula>
    </cfRule>
  </conditionalFormatting>
  <conditionalFormatting sqref="M9:M1048576">
    <cfRule type="expression" dxfId="68" priority="5">
      <formula>AND($M9&gt;1, $M9&lt;25, $M9 &lt; VLOOKUP($A9, Mean_PE_S, 2, FALSE))</formula>
    </cfRule>
    <cfRule type="expression" dxfId="67" priority="6">
      <formula>AND($M9&gt;1, $M9&lt;25)</formula>
    </cfRule>
    <cfRule type="expression" dxfId="66" priority="7">
      <formula xml:space="preserve"> $M9 &lt; VLOOKUP($A9, Mean_PE_S, 2, FALSE)</formula>
    </cfRule>
  </conditionalFormatting>
  <conditionalFormatting sqref="N9:N1048576">
    <cfRule type="expression" dxfId="65" priority="8">
      <formula>$N9&lt;0</formula>
    </cfRule>
  </conditionalFormatting>
  <conditionalFormatting sqref="O9:O1048576">
    <cfRule type="expression" dxfId="64" priority="9">
      <formula>$O9&lt;0</formula>
    </cfRule>
  </conditionalFormatting>
  <conditionalFormatting sqref="P9:P1048576">
    <cfRule type="expression" dxfId="63" priority="10">
      <formula>$P9&gt;0</formula>
    </cfRule>
  </conditionalFormatting>
  <conditionalFormatting sqref="Q9:Q1048576">
    <cfRule type="expression" dxfId="62" priority="11">
      <formula>$Q9&gt;0</formula>
    </cfRule>
  </conditionalFormatting>
  <conditionalFormatting sqref="R9:R1048576">
    <cfRule type="expression" dxfId="61" priority="12">
      <formula>$R9&lt;0</formula>
    </cfRule>
  </conditionalFormatting>
  <conditionalFormatting sqref="S9:S1048576">
    <cfRule type="expression" dxfId="60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2025-06-09T20:50:07Z</dcterms:modified>
</cp:coreProperties>
</file>
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F2734142-75FF-466E-B61C-DAA0B575701C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Main_L!$A$1:$M$121</definedName>
    <definedName name="ExternalData_1" localSheetId="2" hidden="1">Main_M!$A$1:$M$124</definedName>
    <definedName name="ExternalData_1" localSheetId="3" hidden="1">Main_S!$A$1:$M$159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86" i="4" s="1"/>
  <c r="Y23" i="1"/>
  <c r="Y41" i="4" s="1"/>
  <c r="X28" i="1"/>
  <c r="Y63" i="4" s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X99" i="4" s="1"/>
  <c r="Q23" i="1"/>
  <c r="X50" i="4" s="1"/>
  <c r="P28" i="1"/>
  <c r="P27" i="1"/>
  <c r="P26" i="1"/>
  <c r="P25" i="1"/>
  <c r="X15" i="4" s="1"/>
  <c r="P24" i="1"/>
  <c r="P23" i="1"/>
  <c r="O28" i="1" a="1"/>
  <c r="O28" i="1" s="1"/>
  <c r="O27" i="1" a="1"/>
  <c r="O27" i="1"/>
  <c r="O26" i="1" a="1"/>
  <c r="O26" i="1" s="1"/>
  <c r="O25" i="1" a="1"/>
  <c r="O25" i="1" s="1"/>
  <c r="O24" i="1" a="1"/>
  <c r="O24" i="1" s="1"/>
  <c r="O23" i="1" a="1"/>
  <c r="O23" i="1"/>
  <c r="N28" i="1" a="1"/>
  <c r="N28" i="1" s="1"/>
  <c r="N27" i="1" a="1"/>
  <c r="N27" i="1" s="1"/>
  <c r="N26" i="1" a="1"/>
  <c r="N26" i="1" s="1"/>
  <c r="N25" i="1" a="1"/>
  <c r="N25" i="1" s="1"/>
  <c r="N24" i="1" a="1"/>
  <c r="N24" i="1" s="1"/>
  <c r="N23" i="1" a="1"/>
  <c r="N23" i="1" s="1"/>
  <c r="M28" i="1"/>
  <c r="M27" i="1"/>
  <c r="M26" i="1"/>
  <c r="M25" i="1"/>
  <c r="M24" i="1"/>
  <c r="M23" i="1"/>
  <c r="W53" i="4" s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Y18" i="1"/>
  <c r="Y47" i="3" s="1"/>
  <c r="Y17" i="1"/>
  <c r="Y16" i="1"/>
  <c r="Y15" i="1"/>
  <c r="Y14" i="1"/>
  <c r="Y13" i="1"/>
  <c r="Y35" i="3" s="1"/>
  <c r="X18" i="1"/>
  <c r="X17" i="1"/>
  <c r="Y21" i="3" s="1"/>
  <c r="X16" i="1"/>
  <c r="Y123" i="3" s="1"/>
  <c r="X15" i="1"/>
  <c r="X14" i="1"/>
  <c r="X13" i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V18" i="1" a="1"/>
  <c r="V18" i="1" s="1"/>
  <c r="V17" i="1" a="1"/>
  <c r="V17" i="1" s="1"/>
  <c r="V16" i="1" a="1"/>
  <c r="V16" i="1"/>
  <c r="V15" i="1" a="1"/>
  <c r="V15" i="1" s="1"/>
  <c r="V14" i="1" a="1"/>
  <c r="V14" i="1" s="1"/>
  <c r="V13" i="1" a="1"/>
  <c r="V13" i="1" s="1"/>
  <c r="Q18" i="1"/>
  <c r="Q17" i="1"/>
  <c r="Q16" i="1"/>
  <c r="Q15" i="1"/>
  <c r="Q14" i="1"/>
  <c r="W62" i="3" s="1"/>
  <c r="Q13" i="1"/>
  <c r="P18" i="1"/>
  <c r="W49" i="3" s="1"/>
  <c r="P17" i="1"/>
  <c r="P16" i="1"/>
  <c r="P15" i="1"/>
  <c r="P14" i="1"/>
  <c r="P13" i="1"/>
  <c r="O18" i="1" a="1"/>
  <c r="O18" i="1"/>
  <c r="O17" i="1" a="1"/>
  <c r="O17" i="1" s="1"/>
  <c r="O16" i="1" a="1"/>
  <c r="O16" i="1" s="1"/>
  <c r="O15" i="1" a="1"/>
  <c r="O15" i="1" s="1"/>
  <c r="O14" i="1" a="1"/>
  <c r="O14" i="1" s="1"/>
  <c r="O13" i="1" a="1"/>
  <c r="O13" i="1" s="1"/>
  <c r="N18" i="1" a="1"/>
  <c r="N18" i="1" s="1"/>
  <c r="N17" i="1" a="1"/>
  <c r="N17" i="1"/>
  <c r="N16" i="1" a="1"/>
  <c r="N16" i="1" s="1"/>
  <c r="N15" i="1" a="1"/>
  <c r="N15" i="1" s="1"/>
  <c r="N14" i="1" a="1"/>
  <c r="N14" i="1" s="1"/>
  <c r="N13" i="1" a="1"/>
  <c r="N13" i="1" s="1"/>
  <c r="M18" i="1"/>
  <c r="M17" i="1"/>
  <c r="M16" i="1"/>
  <c r="M15" i="1"/>
  <c r="M14" i="1"/>
  <c r="M13" i="1"/>
  <c r="L18" i="1"/>
  <c r="L17" i="1"/>
  <c r="L16" i="1"/>
  <c r="L15" i="1"/>
  <c r="L14" i="1"/>
  <c r="L13" i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/>
  <c r="J16" i="1" a="1"/>
  <c r="J16" i="1" s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/>
  <c r="O7" i="1" a="1"/>
  <c r="O7" i="1" s="1"/>
  <c r="O6" i="1" a="1"/>
  <c r="O6" i="1" s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/>
  <c r="N5" i="1" a="1"/>
  <c r="N5" i="1" s="1"/>
  <c r="N4" i="1" a="1"/>
  <c r="N4" i="1" s="1"/>
  <c r="N3" i="1" a="1"/>
  <c r="N3" i="1" s="1"/>
  <c r="M8" i="1"/>
  <c r="M7" i="1"/>
  <c r="W15" i="2" s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 s="1"/>
  <c r="J6" i="1" a="1"/>
  <c r="J6" i="1"/>
  <c r="J5" i="1" a="1"/>
  <c r="J5" i="1" s="1"/>
  <c r="J4" i="1" a="1"/>
  <c r="J4" i="1" s="1"/>
  <c r="J3" i="1" a="1"/>
  <c r="J3" i="1" s="1"/>
  <c r="M158" i="4"/>
  <c r="M155" i="4"/>
  <c r="T155" i="4" s="1"/>
  <c r="M148" i="4"/>
  <c r="T148" i="4" s="1"/>
  <c r="M141" i="4"/>
  <c r="M137" i="4"/>
  <c r="T137" i="4" s="1"/>
  <c r="M135" i="4"/>
  <c r="M128" i="4"/>
  <c r="T128" i="4" s="1"/>
  <c r="M121" i="4"/>
  <c r="T121" i="4" s="1"/>
  <c r="M106" i="4"/>
  <c r="T106" i="4" s="1"/>
  <c r="M103" i="4"/>
  <c r="M101" i="4"/>
  <c r="T101" i="4" s="1"/>
  <c r="M96" i="4"/>
  <c r="M94" i="4"/>
  <c r="M81" i="4"/>
  <c r="T81" i="4" s="1"/>
  <c r="M75" i="4"/>
  <c r="M61" i="4"/>
  <c r="T61" i="4" s="1"/>
  <c r="M55" i="4"/>
  <c r="T55" i="4" s="1"/>
  <c r="M46" i="4"/>
  <c r="T46" i="4" s="1"/>
  <c r="M45" i="4"/>
  <c r="T45" i="4" s="1"/>
  <c r="M41" i="4"/>
  <c r="M40" i="4"/>
  <c r="M35" i="4"/>
  <c r="T35" i="4" s="1"/>
  <c r="M28" i="4"/>
  <c r="M21" i="4"/>
  <c r="M16" i="4"/>
  <c r="M15" i="4"/>
  <c r="T15" i="4" s="1"/>
  <c r="I158" i="4"/>
  <c r="I157" i="4"/>
  <c r="P157" i="4" s="1"/>
  <c r="I155" i="4"/>
  <c r="P155" i="4" s="1"/>
  <c r="I154" i="4"/>
  <c r="I148" i="4"/>
  <c r="N148" i="4" s="1"/>
  <c r="I141" i="4"/>
  <c r="I126" i="4"/>
  <c r="P126" i="4" s="1"/>
  <c r="I121" i="4"/>
  <c r="I118" i="4"/>
  <c r="P118" i="4" s="1"/>
  <c r="I117" i="4"/>
  <c r="P117" i="4" s="1"/>
  <c r="I115" i="4"/>
  <c r="N115" i="4" s="1"/>
  <c r="I114" i="4"/>
  <c r="I108" i="4"/>
  <c r="I106" i="4"/>
  <c r="I103" i="4"/>
  <c r="I101" i="4"/>
  <c r="P101" i="4" s="1"/>
  <c r="I94" i="4"/>
  <c r="I93" i="4"/>
  <c r="I88" i="4"/>
  <c r="N88" i="4" s="1"/>
  <c r="I81" i="4"/>
  <c r="P81" i="4" s="1"/>
  <c r="I75" i="4"/>
  <c r="I74" i="4"/>
  <c r="I68" i="4"/>
  <c r="I61" i="4"/>
  <c r="N61" i="4" s="1"/>
  <c r="I41" i="4"/>
  <c r="I36" i="4"/>
  <c r="P36" i="4" s="1"/>
  <c r="I35" i="4"/>
  <c r="I34" i="4"/>
  <c r="P34" i="4" s="1"/>
  <c r="I33" i="4"/>
  <c r="I28" i="4"/>
  <c r="H155" i="4"/>
  <c r="H153" i="4"/>
  <c r="H146" i="4"/>
  <c r="H141" i="4"/>
  <c r="O141" i="4" s="1"/>
  <c r="H138" i="4"/>
  <c r="H136" i="4"/>
  <c r="O136" i="4" s="1"/>
  <c r="H135" i="4"/>
  <c r="H126" i="4"/>
  <c r="H118" i="4"/>
  <c r="H115" i="4"/>
  <c r="O115" i="4" s="1"/>
  <c r="H114" i="4"/>
  <c r="H113" i="4"/>
  <c r="H106" i="4"/>
  <c r="H101" i="4"/>
  <c r="H96" i="4"/>
  <c r="O96" i="4" s="1"/>
  <c r="H95" i="4"/>
  <c r="H94" i="4"/>
  <c r="O94" i="4" s="1"/>
  <c r="H93" i="4"/>
  <c r="O93" i="4" s="1"/>
  <c r="H91" i="4"/>
  <c r="H81" i="4"/>
  <c r="O81" i="4" s="1"/>
  <c r="H75" i="4"/>
  <c r="H61" i="4"/>
  <c r="O61" i="4" s="1"/>
  <c r="H58" i="4"/>
  <c r="O58" i="4" s="1"/>
  <c r="H55" i="4"/>
  <c r="O55" i="4" s="1"/>
  <c r="H54" i="4"/>
  <c r="O54" i="4" s="1"/>
  <c r="H41" i="4"/>
  <c r="H40" i="4"/>
  <c r="H36" i="4"/>
  <c r="H21" i="4"/>
  <c r="H18" i="4"/>
  <c r="H15" i="4"/>
  <c r="H14" i="4"/>
  <c r="H13" i="4"/>
  <c r="H12" i="4"/>
  <c r="H11" i="4"/>
  <c r="D159" i="4"/>
  <c r="I159" i="4" s="1"/>
  <c r="D158" i="4"/>
  <c r="H158" i="4" s="1"/>
  <c r="D157" i="4"/>
  <c r="H157" i="4" s="1"/>
  <c r="D156" i="4"/>
  <c r="H156" i="4" s="1"/>
  <c r="O156" i="4" s="1"/>
  <c r="D155" i="4"/>
  <c r="D154" i="4"/>
  <c r="M154" i="4" s="1"/>
  <c r="T154" i="4" s="1"/>
  <c r="D153" i="4"/>
  <c r="M153" i="4" s="1"/>
  <c r="D152" i="4"/>
  <c r="D151" i="4"/>
  <c r="D150" i="4"/>
  <c r="D149" i="4"/>
  <c r="D148" i="4"/>
  <c r="H148" i="4" s="1"/>
  <c r="D147" i="4"/>
  <c r="D146" i="4"/>
  <c r="I146" i="4" s="1"/>
  <c r="P146" i="4" s="1"/>
  <c r="D145" i="4"/>
  <c r="H145" i="4" s="1"/>
  <c r="D144" i="4"/>
  <c r="D143" i="4"/>
  <c r="H143" i="4" s="1"/>
  <c r="D142" i="4"/>
  <c r="I142" i="4" s="1"/>
  <c r="D141" i="4"/>
  <c r="D140" i="4"/>
  <c r="I140" i="4" s="1"/>
  <c r="P140" i="4" s="1"/>
  <c r="D139" i="4"/>
  <c r="D138" i="4"/>
  <c r="M138" i="4" s="1"/>
  <c r="D137" i="4"/>
  <c r="I137" i="4" s="1"/>
  <c r="D136" i="4"/>
  <c r="I136" i="4" s="1"/>
  <c r="D135" i="4"/>
  <c r="I135" i="4" s="1"/>
  <c r="P135" i="4" s="1"/>
  <c r="D134" i="4"/>
  <c r="M134" i="4" s="1"/>
  <c r="D133" i="4"/>
  <c r="M133" i="4" s="1"/>
  <c r="D132" i="4"/>
  <c r="D131" i="4"/>
  <c r="D130" i="4"/>
  <c r="D129" i="4"/>
  <c r="D128" i="4"/>
  <c r="H128" i="4" s="1"/>
  <c r="D127" i="4"/>
  <c r="D126" i="4"/>
  <c r="M126" i="4" s="1"/>
  <c r="T126" i="4" s="1"/>
  <c r="D125" i="4"/>
  <c r="H125" i="4" s="1"/>
  <c r="D124" i="4"/>
  <c r="D123" i="4"/>
  <c r="H123" i="4" s="1"/>
  <c r="D122" i="4"/>
  <c r="H122" i="4" s="1"/>
  <c r="O122" i="4" s="1"/>
  <c r="D121" i="4"/>
  <c r="H121" i="4" s="1"/>
  <c r="D120" i="4"/>
  <c r="M120" i="4" s="1"/>
  <c r="D119" i="4"/>
  <c r="M119" i="4" s="1"/>
  <c r="T119" i="4" s="1"/>
  <c r="D118" i="4"/>
  <c r="M118" i="4" s="1"/>
  <c r="D117" i="4"/>
  <c r="M117" i="4" s="1"/>
  <c r="D116" i="4"/>
  <c r="I116" i="4" s="1"/>
  <c r="P116" i="4" s="1"/>
  <c r="D115" i="4"/>
  <c r="M115" i="4" s="1"/>
  <c r="T115" i="4" s="1"/>
  <c r="D114" i="4"/>
  <c r="M114" i="4" s="1"/>
  <c r="D113" i="4"/>
  <c r="M113" i="4" s="1"/>
  <c r="D112" i="4"/>
  <c r="D111" i="4"/>
  <c r="D110" i="4"/>
  <c r="D109" i="4"/>
  <c r="D108" i="4"/>
  <c r="H108" i="4" s="1"/>
  <c r="O108" i="4" s="1"/>
  <c r="D107" i="4"/>
  <c r="D106" i="4"/>
  <c r="D105" i="4"/>
  <c r="H105" i="4" s="1"/>
  <c r="O105" i="4" s="1"/>
  <c r="D104" i="4"/>
  <c r="D103" i="4"/>
  <c r="H103" i="4" s="1"/>
  <c r="D102" i="4"/>
  <c r="M102" i="4" s="1"/>
  <c r="T102" i="4" s="1"/>
  <c r="D101" i="4"/>
  <c r="D100" i="4"/>
  <c r="H100" i="4" s="1"/>
  <c r="O100" i="4" s="1"/>
  <c r="D99" i="4"/>
  <c r="D98" i="4"/>
  <c r="D97" i="4"/>
  <c r="H97" i="4" s="1"/>
  <c r="D96" i="4"/>
  <c r="I96" i="4" s="1"/>
  <c r="P96" i="4" s="1"/>
  <c r="D95" i="4"/>
  <c r="I95" i="4" s="1"/>
  <c r="D94" i="4"/>
  <c r="D93" i="4"/>
  <c r="M93" i="4" s="1"/>
  <c r="D92" i="4"/>
  <c r="H92" i="4" s="1"/>
  <c r="D91" i="4"/>
  <c r="D90" i="4"/>
  <c r="D89" i="4"/>
  <c r="H89" i="4" s="1"/>
  <c r="O89" i="4" s="1"/>
  <c r="D88" i="4"/>
  <c r="H88" i="4" s="1"/>
  <c r="O88" i="4" s="1"/>
  <c r="D87" i="4"/>
  <c r="D86" i="4"/>
  <c r="M86" i="4" s="1"/>
  <c r="T86" i="4" s="1"/>
  <c r="D85" i="4"/>
  <c r="H85" i="4" s="1"/>
  <c r="D84" i="4"/>
  <c r="D83" i="4"/>
  <c r="H83" i="4" s="1"/>
  <c r="D82" i="4"/>
  <c r="M82" i="4" s="1"/>
  <c r="T82" i="4" s="1"/>
  <c r="D81" i="4"/>
  <c r="D80" i="4"/>
  <c r="I80" i="4" s="1"/>
  <c r="D79" i="4"/>
  <c r="H79" i="4" s="1"/>
  <c r="D78" i="4"/>
  <c r="M78" i="4" s="1"/>
  <c r="T78" i="4" s="1"/>
  <c r="D77" i="4"/>
  <c r="M77" i="4" s="1"/>
  <c r="T77" i="4" s="1"/>
  <c r="D76" i="4"/>
  <c r="H76" i="4" s="1"/>
  <c r="D75" i="4"/>
  <c r="D74" i="4"/>
  <c r="M74" i="4" s="1"/>
  <c r="T74" i="4" s="1"/>
  <c r="D73" i="4"/>
  <c r="M73" i="4" s="1"/>
  <c r="D72" i="4"/>
  <c r="D71" i="4"/>
  <c r="D70" i="4"/>
  <c r="D69" i="4"/>
  <c r="D68" i="4"/>
  <c r="H68" i="4" s="1"/>
  <c r="D67" i="4"/>
  <c r="D66" i="4"/>
  <c r="I66" i="4" s="1"/>
  <c r="D65" i="4"/>
  <c r="H65" i="4" s="1"/>
  <c r="O65" i="4" s="1"/>
  <c r="D64" i="4"/>
  <c r="D63" i="4"/>
  <c r="H63" i="4" s="1"/>
  <c r="D62" i="4"/>
  <c r="M62" i="4" s="1"/>
  <c r="T62" i="4" s="1"/>
  <c r="D61" i="4"/>
  <c r="D60" i="4"/>
  <c r="M60" i="4" s="1"/>
  <c r="D59" i="4"/>
  <c r="H59" i="4" s="1"/>
  <c r="D58" i="4"/>
  <c r="I58" i="4" s="1"/>
  <c r="D57" i="4"/>
  <c r="I57" i="4" s="1"/>
  <c r="P57" i="4" s="1"/>
  <c r="D56" i="4"/>
  <c r="I56" i="4" s="1"/>
  <c r="P56" i="4" s="1"/>
  <c r="D55" i="4"/>
  <c r="I55" i="4" s="1"/>
  <c r="P55" i="4" s="1"/>
  <c r="D54" i="4"/>
  <c r="M54" i="4" s="1"/>
  <c r="T54" i="4" s="1"/>
  <c r="D53" i="4"/>
  <c r="M53" i="4" s="1"/>
  <c r="D52" i="4"/>
  <c r="D51" i="4"/>
  <c r="D50" i="4"/>
  <c r="D49" i="4"/>
  <c r="D48" i="4"/>
  <c r="H48" i="4" s="1"/>
  <c r="D47" i="4"/>
  <c r="D46" i="4"/>
  <c r="H46" i="4" s="1"/>
  <c r="O46" i="4" s="1"/>
  <c r="D45" i="4"/>
  <c r="H45" i="4" s="1"/>
  <c r="O45" i="4" s="1"/>
  <c r="D44" i="4"/>
  <c r="D43" i="4"/>
  <c r="H43" i="4" s="1"/>
  <c r="D42" i="4"/>
  <c r="M42" i="4" s="1"/>
  <c r="T42" i="4" s="1"/>
  <c r="D41" i="4"/>
  <c r="D40" i="4"/>
  <c r="I40" i="4" s="1"/>
  <c r="D39" i="4"/>
  <c r="I39" i="4" s="1"/>
  <c r="P39" i="4" s="1"/>
  <c r="D38" i="4"/>
  <c r="I38" i="4" s="1"/>
  <c r="D37" i="4"/>
  <c r="M37" i="4" s="1"/>
  <c r="D36" i="4"/>
  <c r="M36" i="4" s="1"/>
  <c r="D35" i="4"/>
  <c r="H35" i="4" s="1"/>
  <c r="D34" i="4"/>
  <c r="M34" i="4" s="1"/>
  <c r="D33" i="4"/>
  <c r="M33" i="4" s="1"/>
  <c r="D32" i="4"/>
  <c r="D31" i="4"/>
  <c r="D30" i="4"/>
  <c r="D29" i="4"/>
  <c r="D28" i="4"/>
  <c r="H28" i="4" s="1"/>
  <c r="D27" i="4"/>
  <c r="D26" i="4"/>
  <c r="I26" i="4" s="1"/>
  <c r="P26" i="4" s="1"/>
  <c r="D25" i="4"/>
  <c r="H25" i="4" s="1"/>
  <c r="O25" i="4" s="1"/>
  <c r="D24" i="4"/>
  <c r="D23" i="4"/>
  <c r="H23" i="4" s="1"/>
  <c r="D22" i="4"/>
  <c r="M22" i="4" s="1"/>
  <c r="T22" i="4" s="1"/>
  <c r="D21" i="4"/>
  <c r="I21" i="4" s="1"/>
  <c r="D20" i="4"/>
  <c r="H20" i="4" s="1"/>
  <c r="D19" i="4"/>
  <c r="H19" i="4" s="1"/>
  <c r="D18" i="4"/>
  <c r="I18" i="4" s="1"/>
  <c r="D17" i="4"/>
  <c r="M17" i="4" s="1"/>
  <c r="T17" i="4" s="1"/>
  <c r="D16" i="4"/>
  <c r="I16" i="4" s="1"/>
  <c r="P16" i="4" s="1"/>
  <c r="D15" i="4"/>
  <c r="I15" i="4" s="1"/>
  <c r="P15" i="4" s="1"/>
  <c r="D14" i="4"/>
  <c r="M14" i="4" s="1"/>
  <c r="D13" i="4"/>
  <c r="M13" i="4" s="1"/>
  <c r="D12" i="4"/>
  <c r="D11" i="4"/>
  <c r="D10" i="4"/>
  <c r="D9" i="4"/>
  <c r="H9" i="4" s="1"/>
  <c r="D8" i="4"/>
  <c r="H8" i="4" s="1"/>
  <c r="D7" i="4"/>
  <c r="D6" i="4"/>
  <c r="H6" i="4" s="1"/>
  <c r="D5" i="4"/>
  <c r="H5" i="4" s="1"/>
  <c r="O5" i="4" s="1"/>
  <c r="D4" i="4"/>
  <c r="D3" i="4"/>
  <c r="H3" i="4" s="1"/>
  <c r="D2" i="4"/>
  <c r="M2" i="4" s="1"/>
  <c r="T2" i="4" s="1"/>
  <c r="M124" i="3"/>
  <c r="M122" i="3"/>
  <c r="T122" i="3" s="1"/>
  <c r="M121" i="3"/>
  <c r="T121" i="3" s="1"/>
  <c r="M118" i="3"/>
  <c r="M115" i="3"/>
  <c r="T115" i="3" s="1"/>
  <c r="M101" i="3"/>
  <c r="T101" i="3" s="1"/>
  <c r="M98" i="3"/>
  <c r="M95" i="3"/>
  <c r="T95" i="3" s="1"/>
  <c r="M90" i="3"/>
  <c r="M87" i="3"/>
  <c r="T87" i="3" s="1"/>
  <c r="M75" i="3"/>
  <c r="M70" i="3"/>
  <c r="M67" i="3"/>
  <c r="M58" i="3"/>
  <c r="M50" i="3"/>
  <c r="T50" i="3" s="1"/>
  <c r="M47" i="3"/>
  <c r="M41" i="3"/>
  <c r="M40" i="3"/>
  <c r="T40" i="3" s="1"/>
  <c r="M30" i="3"/>
  <c r="T30" i="3" s="1"/>
  <c r="M25" i="3"/>
  <c r="M21" i="3"/>
  <c r="T21" i="3" s="1"/>
  <c r="M18" i="3"/>
  <c r="M15" i="3"/>
  <c r="M14" i="3"/>
  <c r="I124" i="3"/>
  <c r="I118" i="3"/>
  <c r="I115" i="3"/>
  <c r="P115" i="3" s="1"/>
  <c r="I110" i="3"/>
  <c r="I102" i="3"/>
  <c r="P102" i="3" s="1"/>
  <c r="I100" i="3"/>
  <c r="I98" i="3"/>
  <c r="P98" i="3" s="1"/>
  <c r="I70" i="3"/>
  <c r="I66" i="3"/>
  <c r="P66" i="3" s="1"/>
  <c r="I65" i="3"/>
  <c r="I60" i="3"/>
  <c r="I55" i="3"/>
  <c r="P55" i="3" s="1"/>
  <c r="I53" i="3"/>
  <c r="P53" i="3" s="1"/>
  <c r="I48" i="3"/>
  <c r="I46" i="3"/>
  <c r="I44" i="3"/>
  <c r="I38" i="3"/>
  <c r="I18" i="3"/>
  <c r="I15" i="3"/>
  <c r="I14" i="3"/>
  <c r="H124" i="3"/>
  <c r="N124" i="3" s="1"/>
  <c r="H123" i="3"/>
  <c r="O123" i="3" s="1"/>
  <c r="H118" i="3"/>
  <c r="O118" i="3" s="1"/>
  <c r="H109" i="3"/>
  <c r="H108" i="3"/>
  <c r="H101" i="3"/>
  <c r="O101" i="3" s="1"/>
  <c r="H89" i="3"/>
  <c r="H87" i="3"/>
  <c r="H86" i="3"/>
  <c r="H85" i="3"/>
  <c r="H80" i="3"/>
  <c r="H73" i="3"/>
  <c r="H68" i="3"/>
  <c r="O68" i="3" s="1"/>
  <c r="H67" i="3"/>
  <c r="N67" i="3" s="1"/>
  <c r="H61" i="3"/>
  <c r="O61" i="3" s="1"/>
  <c r="H49" i="3"/>
  <c r="H46" i="3"/>
  <c r="H45" i="3"/>
  <c r="O45" i="3" s="1"/>
  <c r="H29" i="3"/>
  <c r="O29" i="3" s="1"/>
  <c r="H27" i="3"/>
  <c r="H26" i="3"/>
  <c r="O26" i="3" s="1"/>
  <c r="H22" i="3"/>
  <c r="O22" i="3" s="1"/>
  <c r="H20" i="3"/>
  <c r="H14" i="3"/>
  <c r="D124" i="3"/>
  <c r="D123" i="3"/>
  <c r="D122" i="3"/>
  <c r="D121" i="3"/>
  <c r="H121" i="3" s="1"/>
  <c r="D120" i="3"/>
  <c r="H120" i="3" s="1"/>
  <c r="D119" i="3"/>
  <c r="D118" i="3"/>
  <c r="D117" i="3"/>
  <c r="D116" i="3"/>
  <c r="D115" i="3"/>
  <c r="H115" i="3" s="1"/>
  <c r="O115" i="3" s="1"/>
  <c r="D114" i="3"/>
  <c r="D113" i="3"/>
  <c r="H113" i="3" s="1"/>
  <c r="O113" i="3" s="1"/>
  <c r="D112" i="3"/>
  <c r="D111" i="3"/>
  <c r="H111" i="3" s="1"/>
  <c r="O111" i="3" s="1"/>
  <c r="D110" i="3"/>
  <c r="H110" i="3" s="1"/>
  <c r="O110" i="3" s="1"/>
  <c r="D109" i="3"/>
  <c r="D108" i="3"/>
  <c r="M108" i="3" s="1"/>
  <c r="T108" i="3" s="1"/>
  <c r="D107" i="3"/>
  <c r="I107" i="3" s="1"/>
  <c r="D106" i="3"/>
  <c r="D105" i="3"/>
  <c r="M105" i="3" s="1"/>
  <c r="T105" i="3" s="1"/>
  <c r="D104" i="3"/>
  <c r="D103" i="3"/>
  <c r="I103" i="3" s="1"/>
  <c r="P103" i="3" s="1"/>
  <c r="D102" i="3"/>
  <c r="H102" i="3" s="1"/>
  <c r="D101" i="3"/>
  <c r="I101" i="3" s="1"/>
  <c r="P101" i="3" s="1"/>
  <c r="D100" i="3"/>
  <c r="H100" i="3" s="1"/>
  <c r="O100" i="3" s="1"/>
  <c r="D99" i="3"/>
  <c r="M99" i="3" s="1"/>
  <c r="T99" i="3" s="1"/>
  <c r="D98" i="3"/>
  <c r="H98" i="3" s="1"/>
  <c r="D97" i="3"/>
  <c r="D96" i="3"/>
  <c r="D95" i="3"/>
  <c r="H95" i="3" s="1"/>
  <c r="O95" i="3" s="1"/>
  <c r="D94" i="3"/>
  <c r="H94" i="3" s="1"/>
  <c r="D93" i="3"/>
  <c r="I93" i="3" s="1"/>
  <c r="P93" i="3" s="1"/>
  <c r="D92" i="3"/>
  <c r="D91" i="3"/>
  <c r="M91" i="3" s="1"/>
  <c r="T91" i="3" s="1"/>
  <c r="D90" i="3"/>
  <c r="H90" i="3" s="1"/>
  <c r="D89" i="3"/>
  <c r="D88" i="3"/>
  <c r="M88" i="3" s="1"/>
  <c r="D87" i="3"/>
  <c r="I87" i="3" s="1"/>
  <c r="D86" i="3"/>
  <c r="M86" i="3" s="1"/>
  <c r="D85" i="3"/>
  <c r="M85" i="3" s="1"/>
  <c r="D84" i="3"/>
  <c r="D83" i="3"/>
  <c r="M83" i="3" s="1"/>
  <c r="T83" i="3" s="1"/>
  <c r="D82" i="3"/>
  <c r="D81" i="3"/>
  <c r="D80" i="3"/>
  <c r="M80" i="3" s="1"/>
  <c r="T80" i="3" s="1"/>
  <c r="D79" i="3"/>
  <c r="I79" i="3" s="1"/>
  <c r="D78" i="3"/>
  <c r="M78" i="3" s="1"/>
  <c r="D77" i="3"/>
  <c r="H77" i="3" s="1"/>
  <c r="O77" i="3" s="1"/>
  <c r="D76" i="3"/>
  <c r="D75" i="3"/>
  <c r="H75" i="3" s="1"/>
  <c r="D74" i="3"/>
  <c r="D73" i="3"/>
  <c r="M73" i="3" s="1"/>
  <c r="D72" i="3"/>
  <c r="D71" i="3"/>
  <c r="M71" i="3" s="1"/>
  <c r="D70" i="3"/>
  <c r="H70" i="3" s="1"/>
  <c r="N70" i="3" s="1"/>
  <c r="D69" i="3"/>
  <c r="H69" i="3" s="1"/>
  <c r="O69" i="3" s="1"/>
  <c r="D68" i="3"/>
  <c r="M68" i="3" s="1"/>
  <c r="T68" i="3" s="1"/>
  <c r="D67" i="3"/>
  <c r="I67" i="3" s="1"/>
  <c r="D66" i="3"/>
  <c r="M66" i="3" s="1"/>
  <c r="D65" i="3"/>
  <c r="M65" i="3" s="1"/>
  <c r="D64" i="3"/>
  <c r="D63" i="3"/>
  <c r="D62" i="3"/>
  <c r="D61" i="3"/>
  <c r="D60" i="3"/>
  <c r="H60" i="3" s="1"/>
  <c r="D59" i="3"/>
  <c r="D58" i="3"/>
  <c r="H58" i="3" s="1"/>
  <c r="O58" i="3" s="1"/>
  <c r="D57" i="3"/>
  <c r="M57" i="3" s="1"/>
  <c r="T57" i="3" s="1"/>
  <c r="D56" i="3"/>
  <c r="D55" i="3"/>
  <c r="H55" i="3" s="1"/>
  <c r="O55" i="3" s="1"/>
  <c r="D54" i="3"/>
  <c r="M54" i="3" s="1"/>
  <c r="T54" i="3" s="1"/>
  <c r="D53" i="3"/>
  <c r="H53" i="3" s="1"/>
  <c r="D52" i="3"/>
  <c r="D51" i="3"/>
  <c r="M51" i="3" s="1"/>
  <c r="T51" i="3" s="1"/>
  <c r="D50" i="3"/>
  <c r="H50" i="3" s="1"/>
  <c r="O50" i="3" s="1"/>
  <c r="D49" i="3"/>
  <c r="D48" i="3"/>
  <c r="M48" i="3" s="1"/>
  <c r="D47" i="3"/>
  <c r="I47" i="3" s="1"/>
  <c r="D46" i="3"/>
  <c r="M46" i="3" s="1"/>
  <c r="D45" i="3"/>
  <c r="I45" i="3" s="1"/>
  <c r="P45" i="3" s="1"/>
  <c r="D44" i="3"/>
  <c r="D43" i="3"/>
  <c r="H43" i="3" s="1"/>
  <c r="D42" i="3"/>
  <c r="H42" i="3" s="1"/>
  <c r="O42" i="3" s="1"/>
  <c r="D41" i="3"/>
  <c r="H41" i="3" s="1"/>
  <c r="D40" i="3"/>
  <c r="I40" i="3" s="1"/>
  <c r="P40" i="3" s="1"/>
  <c r="D39" i="3"/>
  <c r="D38" i="3"/>
  <c r="H38" i="3" s="1"/>
  <c r="O38" i="3" s="1"/>
  <c r="D37" i="3"/>
  <c r="D36" i="3"/>
  <c r="D35" i="3"/>
  <c r="H35" i="3" s="1"/>
  <c r="O35" i="3" s="1"/>
  <c r="D34" i="3"/>
  <c r="D33" i="3"/>
  <c r="I33" i="3" s="1"/>
  <c r="P33" i="3" s="1"/>
  <c r="D32" i="3"/>
  <c r="D31" i="3"/>
  <c r="D30" i="3"/>
  <c r="H30" i="3" s="1"/>
  <c r="D29" i="3"/>
  <c r="D28" i="3"/>
  <c r="M28" i="3" s="1"/>
  <c r="T28" i="3" s="1"/>
  <c r="D27" i="3"/>
  <c r="I27" i="3" s="1"/>
  <c r="D26" i="3"/>
  <c r="M26" i="3" s="1"/>
  <c r="D25" i="3"/>
  <c r="I25" i="3" s="1"/>
  <c r="P25" i="3" s="1"/>
  <c r="D24" i="3"/>
  <c r="D23" i="3"/>
  <c r="M23" i="3" s="1"/>
  <c r="T23" i="3" s="1"/>
  <c r="D22" i="3"/>
  <c r="D21" i="3"/>
  <c r="H21" i="3" s="1"/>
  <c r="D20" i="3"/>
  <c r="M20" i="3" s="1"/>
  <c r="D19" i="3"/>
  <c r="I19" i="3" s="1"/>
  <c r="D18" i="3"/>
  <c r="H18" i="3" s="1"/>
  <c r="D17" i="3"/>
  <c r="H17" i="3" s="1"/>
  <c r="D16" i="3"/>
  <c r="H16" i="3" s="1"/>
  <c r="O16" i="3" s="1"/>
  <c r="D15" i="3"/>
  <c r="H15" i="3" s="1"/>
  <c r="D14" i="3"/>
  <c r="D13" i="3"/>
  <c r="H13" i="3" s="1"/>
  <c r="D12" i="3"/>
  <c r="D11" i="3"/>
  <c r="M11" i="3" s="1"/>
  <c r="D10" i="3"/>
  <c r="H10" i="3" s="1"/>
  <c r="O10" i="3" s="1"/>
  <c r="D9" i="3"/>
  <c r="H9" i="3" s="1"/>
  <c r="D8" i="3"/>
  <c r="M8" i="3" s="1"/>
  <c r="D7" i="3"/>
  <c r="I7" i="3" s="1"/>
  <c r="D6" i="3"/>
  <c r="D5" i="3"/>
  <c r="M5" i="3" s="1"/>
  <c r="T5" i="3" s="1"/>
  <c r="D4" i="3"/>
  <c r="D3" i="3"/>
  <c r="M3" i="3" s="1"/>
  <c r="D2" i="3"/>
  <c r="M117" i="2"/>
  <c r="M116" i="2"/>
  <c r="T116" i="2" s="1"/>
  <c r="M108" i="2"/>
  <c r="T108" i="2" s="1"/>
  <c r="M99" i="2"/>
  <c r="M97" i="2"/>
  <c r="T97" i="2" s="1"/>
  <c r="M96" i="2"/>
  <c r="T96" i="2" s="1"/>
  <c r="M92" i="2"/>
  <c r="M88" i="2"/>
  <c r="T88" i="2" s="1"/>
  <c r="M85" i="2"/>
  <c r="T85" i="2" s="1"/>
  <c r="M68" i="2"/>
  <c r="M65" i="2"/>
  <c r="T65" i="2" s="1"/>
  <c r="M36" i="2"/>
  <c r="M32" i="2"/>
  <c r="T32" i="2" s="1"/>
  <c r="M31" i="2"/>
  <c r="M17" i="2"/>
  <c r="T17" i="2" s="1"/>
  <c r="M16" i="2"/>
  <c r="M8" i="2"/>
  <c r="M7" i="2"/>
  <c r="T7" i="2" s="1"/>
  <c r="I119" i="2"/>
  <c r="P119" i="2" s="1"/>
  <c r="I117" i="2"/>
  <c r="N117" i="2" s="1"/>
  <c r="I97" i="2"/>
  <c r="I96" i="2"/>
  <c r="P96" i="2" s="1"/>
  <c r="I92" i="2"/>
  <c r="P92" i="2" s="1"/>
  <c r="I91" i="2"/>
  <c r="I85" i="2"/>
  <c r="I79" i="2"/>
  <c r="I77" i="2"/>
  <c r="P77" i="2" s="1"/>
  <c r="I76" i="2"/>
  <c r="P76" i="2" s="1"/>
  <c r="I65" i="2"/>
  <c r="I51" i="2"/>
  <c r="P51" i="2" s="1"/>
  <c r="I42" i="2"/>
  <c r="P42" i="2" s="1"/>
  <c r="I37" i="2"/>
  <c r="P37" i="2" s="1"/>
  <c r="I36" i="2"/>
  <c r="P36" i="2" s="1"/>
  <c r="I32" i="2"/>
  <c r="I31" i="2"/>
  <c r="P31" i="2" s="1"/>
  <c r="I17" i="2"/>
  <c r="P17" i="2" s="1"/>
  <c r="I10" i="2"/>
  <c r="H117" i="2"/>
  <c r="O117" i="2" s="1"/>
  <c r="H116" i="2"/>
  <c r="H105" i="2"/>
  <c r="H97" i="2"/>
  <c r="O97" i="2" s="1"/>
  <c r="H96" i="2"/>
  <c r="O96" i="2" s="1"/>
  <c r="H92" i="2"/>
  <c r="H85" i="2"/>
  <c r="N85" i="2" s="1"/>
  <c r="H76" i="2"/>
  <c r="O76" i="2" s="1"/>
  <c r="H74" i="2"/>
  <c r="H37" i="2"/>
  <c r="O37" i="2" s="1"/>
  <c r="H36" i="2"/>
  <c r="O36" i="2" s="1"/>
  <c r="H32" i="2"/>
  <c r="H31" i="2"/>
  <c r="H30" i="2"/>
  <c r="H17" i="2"/>
  <c r="N17" i="2" s="1"/>
  <c r="H16" i="2"/>
  <c r="D121" i="2"/>
  <c r="D120" i="2"/>
  <c r="M120" i="2" s="1"/>
  <c r="T120" i="2" s="1"/>
  <c r="D119" i="2"/>
  <c r="H119" i="2" s="1"/>
  <c r="O119" i="2" s="1"/>
  <c r="D118" i="2"/>
  <c r="M118" i="2" s="1"/>
  <c r="D117" i="2"/>
  <c r="D116" i="2"/>
  <c r="I116" i="2" s="1"/>
  <c r="P116" i="2" s="1"/>
  <c r="D115" i="2"/>
  <c r="M115" i="2" s="1"/>
  <c r="D114" i="2"/>
  <c r="D113" i="2"/>
  <c r="M113" i="2" s="1"/>
  <c r="D112" i="2"/>
  <c r="M112" i="2" s="1"/>
  <c r="T112" i="2" s="1"/>
  <c r="D111" i="2"/>
  <c r="M111" i="2" s="1"/>
  <c r="T111" i="2" s="1"/>
  <c r="D110" i="2"/>
  <c r="M110" i="2" s="1"/>
  <c r="T110" i="2" s="1"/>
  <c r="D109" i="2"/>
  <c r="D108" i="2"/>
  <c r="D107" i="2"/>
  <c r="D106" i="2"/>
  <c r="D105" i="2"/>
  <c r="D104" i="2"/>
  <c r="H104" i="2" s="1"/>
  <c r="D103" i="2"/>
  <c r="D102" i="2"/>
  <c r="D101" i="2"/>
  <c r="D100" i="2"/>
  <c r="M100" i="2" s="1"/>
  <c r="D99" i="2"/>
  <c r="I99" i="2" s="1"/>
  <c r="D98" i="2"/>
  <c r="M98" i="2" s="1"/>
  <c r="T98" i="2" s="1"/>
  <c r="D97" i="2"/>
  <c r="D96" i="2"/>
  <c r="D95" i="2"/>
  <c r="M95" i="2" s="1"/>
  <c r="T95" i="2" s="1"/>
  <c r="D94" i="2"/>
  <c r="D93" i="2"/>
  <c r="M93" i="2" s="1"/>
  <c r="T93" i="2" s="1"/>
  <c r="D92" i="2"/>
  <c r="D91" i="2"/>
  <c r="H91" i="2" s="1"/>
  <c r="D90" i="2"/>
  <c r="M90" i="2" s="1"/>
  <c r="T90" i="2" s="1"/>
  <c r="D89" i="2"/>
  <c r="H89" i="2" s="1"/>
  <c r="O89" i="2" s="1"/>
  <c r="D88" i="2"/>
  <c r="H88" i="2" s="1"/>
  <c r="D87" i="2"/>
  <c r="H87" i="2" s="1"/>
  <c r="O87" i="2" s="1"/>
  <c r="D86" i="2"/>
  <c r="H86" i="2" s="1"/>
  <c r="O86" i="2" s="1"/>
  <c r="D85" i="2"/>
  <c r="D84" i="2"/>
  <c r="M84" i="2" s="1"/>
  <c r="T84" i="2" s="1"/>
  <c r="D83" i="2"/>
  <c r="H83" i="2" s="1"/>
  <c r="O83" i="2" s="1"/>
  <c r="D82" i="2"/>
  <c r="I82" i="2" s="1"/>
  <c r="P82" i="2" s="1"/>
  <c r="D81" i="2"/>
  <c r="D80" i="2"/>
  <c r="M80" i="2" s="1"/>
  <c r="T80" i="2" s="1"/>
  <c r="D79" i="2"/>
  <c r="D78" i="2"/>
  <c r="M78" i="2" s="1"/>
  <c r="D77" i="2"/>
  <c r="M77" i="2" s="1"/>
  <c r="T77" i="2" s="1"/>
  <c r="D76" i="2"/>
  <c r="M76" i="2" s="1"/>
  <c r="T76" i="2" s="1"/>
  <c r="D75" i="2"/>
  <c r="M75" i="2" s="1"/>
  <c r="D74" i="2"/>
  <c r="D73" i="2"/>
  <c r="M73" i="2" s="1"/>
  <c r="T73" i="2" s="1"/>
  <c r="D72" i="2"/>
  <c r="I72" i="2" s="1"/>
  <c r="P72" i="2" s="1"/>
  <c r="D71" i="2"/>
  <c r="H71" i="2" s="1"/>
  <c r="O71" i="2" s="1"/>
  <c r="D70" i="2"/>
  <c r="H70" i="2" s="1"/>
  <c r="O70" i="2" s="1"/>
  <c r="D69" i="2"/>
  <c r="D68" i="2"/>
  <c r="D67" i="2"/>
  <c r="H67" i="2" s="1"/>
  <c r="O67" i="2" s="1"/>
  <c r="D66" i="2"/>
  <c r="H66" i="2" s="1"/>
  <c r="D65" i="2"/>
  <c r="H65" i="2" s="1"/>
  <c r="D64" i="2"/>
  <c r="I64" i="2" s="1"/>
  <c r="P64" i="2" s="1"/>
  <c r="D63" i="2"/>
  <c r="I63" i="2" s="1"/>
  <c r="P63" i="2" s="1"/>
  <c r="D62" i="2"/>
  <c r="M62" i="2" s="1"/>
  <c r="T62" i="2" s="1"/>
  <c r="D61" i="2"/>
  <c r="H61" i="2" s="1"/>
  <c r="D60" i="2"/>
  <c r="M60" i="2" s="1"/>
  <c r="T60" i="2" s="1"/>
  <c r="D59" i="2"/>
  <c r="M59" i="2" s="1"/>
  <c r="T59" i="2" s="1"/>
  <c r="D58" i="2"/>
  <c r="M58" i="2" s="1"/>
  <c r="T58" i="2" s="1"/>
  <c r="D57" i="2"/>
  <c r="H57" i="2" s="1"/>
  <c r="D56" i="2"/>
  <c r="M56" i="2" s="1"/>
  <c r="T56" i="2" s="1"/>
  <c r="D55" i="2"/>
  <c r="M55" i="2" s="1"/>
  <c r="T55" i="2" s="1"/>
  <c r="D54" i="2"/>
  <c r="D53" i="2"/>
  <c r="M53" i="2" s="1"/>
  <c r="T53" i="2" s="1"/>
  <c r="D52" i="2"/>
  <c r="M52" i="2" s="1"/>
  <c r="T52" i="2" s="1"/>
  <c r="D51" i="2"/>
  <c r="D50" i="2"/>
  <c r="H50" i="2" s="1"/>
  <c r="O50" i="2" s="1"/>
  <c r="D49" i="2"/>
  <c r="M49" i="2" s="1"/>
  <c r="D48" i="2"/>
  <c r="D47" i="2"/>
  <c r="I47" i="2" s="1"/>
  <c r="P47" i="2" s="1"/>
  <c r="D46" i="2"/>
  <c r="H46" i="2" s="1"/>
  <c r="D45" i="2"/>
  <c r="M45" i="2" s="1"/>
  <c r="T45" i="2" s="1"/>
  <c r="D44" i="2"/>
  <c r="D43" i="2"/>
  <c r="D42" i="2"/>
  <c r="D41" i="2"/>
  <c r="I41" i="2" s="1"/>
  <c r="D40" i="2"/>
  <c r="M40" i="2" s="1"/>
  <c r="T40" i="2" s="1"/>
  <c r="D39" i="2"/>
  <c r="H39" i="2" s="1"/>
  <c r="D38" i="2"/>
  <c r="M38" i="2" s="1"/>
  <c r="T38" i="2" s="1"/>
  <c r="D37" i="2"/>
  <c r="M37" i="2" s="1"/>
  <c r="D36" i="2"/>
  <c r="D35" i="2"/>
  <c r="M35" i="2" s="1"/>
  <c r="D34" i="2"/>
  <c r="D33" i="2"/>
  <c r="M33" i="2" s="1"/>
  <c r="T33" i="2" s="1"/>
  <c r="D32" i="2"/>
  <c r="D31" i="2"/>
  <c r="D30" i="2"/>
  <c r="M30" i="2" s="1"/>
  <c r="D29" i="2"/>
  <c r="D28" i="2"/>
  <c r="M28" i="2" s="1"/>
  <c r="D27" i="2"/>
  <c r="M27" i="2" s="1"/>
  <c r="T27" i="2" s="1"/>
  <c r="D26" i="2"/>
  <c r="I26" i="2" s="1"/>
  <c r="D25" i="2"/>
  <c r="I25" i="2" s="1"/>
  <c r="D24" i="2"/>
  <c r="M24" i="2" s="1"/>
  <c r="T24" i="2" s="1"/>
  <c r="D23" i="2"/>
  <c r="D22" i="2"/>
  <c r="D21" i="2"/>
  <c r="D20" i="2"/>
  <c r="M20" i="2" s="1"/>
  <c r="T20" i="2" s="1"/>
  <c r="D19" i="2"/>
  <c r="D18" i="2"/>
  <c r="M18" i="2" s="1"/>
  <c r="D17" i="2"/>
  <c r="D16" i="2"/>
  <c r="I16" i="2" s="1"/>
  <c r="P16" i="2" s="1"/>
  <c r="D15" i="2"/>
  <c r="M15" i="2" s="1"/>
  <c r="D14" i="2"/>
  <c r="D13" i="2"/>
  <c r="M13" i="2" s="1"/>
  <c r="T13" i="2" s="1"/>
  <c r="D12" i="2"/>
  <c r="D11" i="2"/>
  <c r="M11" i="2" s="1"/>
  <c r="D10" i="2"/>
  <c r="M10" i="2" s="1"/>
  <c r="D9" i="2"/>
  <c r="D8" i="2"/>
  <c r="I8" i="2" s="1"/>
  <c r="D7" i="2"/>
  <c r="H7" i="2" s="1"/>
  <c r="O7" i="2" s="1"/>
  <c r="D6" i="2"/>
  <c r="M6" i="2" s="1"/>
  <c r="T6" i="2" s="1"/>
  <c r="D5" i="2"/>
  <c r="D4" i="2"/>
  <c r="D3" i="2"/>
  <c r="D2" i="2"/>
  <c r="I2" i="2" s="1"/>
  <c r="N41" i="4"/>
  <c r="N101" i="4"/>
  <c r="N141" i="4"/>
  <c r="O40" i="4"/>
  <c r="O41" i="4"/>
  <c r="O101" i="4"/>
  <c r="O113" i="4"/>
  <c r="O135" i="4"/>
  <c r="O146" i="4"/>
  <c r="O148" i="4"/>
  <c r="O14" i="4"/>
  <c r="O155" i="4"/>
  <c r="O157" i="4"/>
  <c r="O158" i="4"/>
  <c r="O20" i="4"/>
  <c r="O21" i="4"/>
  <c r="O36" i="4"/>
  <c r="O59" i="4"/>
  <c r="O68" i="4"/>
  <c r="O75" i="4"/>
  <c r="P88" i="4"/>
  <c r="P93" i="4"/>
  <c r="P94" i="4"/>
  <c r="P103" i="4"/>
  <c r="P106" i="4"/>
  <c r="P108" i="4"/>
  <c r="P114" i="4"/>
  <c r="P115" i="4"/>
  <c r="P121" i="4"/>
  <c r="P137" i="4"/>
  <c r="P141" i="4"/>
  <c r="P148" i="4"/>
  <c r="P154" i="4"/>
  <c r="P18" i="4"/>
  <c r="P28" i="4"/>
  <c r="P38" i="4"/>
  <c r="P58" i="4"/>
  <c r="P68" i="4"/>
  <c r="P75" i="4"/>
  <c r="P80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54" i="4"/>
  <c r="Q155" i="4"/>
  <c r="Q156" i="4"/>
  <c r="Q157" i="4"/>
  <c r="Q158" i="4"/>
  <c r="Q159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54" i="4"/>
  <c r="R155" i="4"/>
  <c r="R156" i="4"/>
  <c r="R157" i="4"/>
  <c r="R158" i="4"/>
  <c r="R159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54" i="4"/>
  <c r="S155" i="4"/>
  <c r="S156" i="4"/>
  <c r="S157" i="4"/>
  <c r="S158" i="4"/>
  <c r="S159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T40" i="4"/>
  <c r="T41" i="4"/>
  <c r="T53" i="4"/>
  <c r="T93" i="4"/>
  <c r="T94" i="4"/>
  <c r="T96" i="4"/>
  <c r="T103" i="4"/>
  <c r="T113" i="4"/>
  <c r="T114" i="4"/>
  <c r="T117" i="4"/>
  <c r="T118" i="4"/>
  <c r="T120" i="4"/>
  <c r="T133" i="4"/>
  <c r="T134" i="4"/>
  <c r="T138" i="4"/>
  <c r="T141" i="4"/>
  <c r="T153" i="4"/>
  <c r="T13" i="4"/>
  <c r="T14" i="4"/>
  <c r="T16" i="4"/>
  <c r="T21" i="4"/>
  <c r="T28" i="4"/>
  <c r="T33" i="4"/>
  <c r="T34" i="4"/>
  <c r="T36" i="4"/>
  <c r="T37" i="4"/>
  <c r="T60" i="4"/>
  <c r="T73" i="4"/>
  <c r="T75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54" i="4"/>
  <c r="W155" i="4"/>
  <c r="W156" i="4"/>
  <c r="W157" i="4"/>
  <c r="W158" i="4"/>
  <c r="W159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X40" i="4"/>
  <c r="X41" i="4"/>
  <c r="X42" i="4"/>
  <c r="X43" i="4"/>
  <c r="X44" i="4"/>
  <c r="X45" i="4"/>
  <c r="X46" i="4"/>
  <c r="X47" i="4"/>
  <c r="X48" i="4"/>
  <c r="X49" i="4"/>
  <c r="X51" i="4"/>
  <c r="X53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21" i="4"/>
  <c r="X122" i="4"/>
  <c r="X123" i="4"/>
  <c r="X124" i="4"/>
  <c r="X125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4" i="4"/>
  <c r="X155" i="4"/>
  <c r="X156" i="4"/>
  <c r="X157" i="4"/>
  <c r="X158" i="4"/>
  <c r="X159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Y40" i="4"/>
  <c r="Y42" i="4"/>
  <c r="Y43" i="4"/>
  <c r="Y44" i="4"/>
  <c r="Y45" i="4"/>
  <c r="Y46" i="4"/>
  <c r="Y47" i="4"/>
  <c r="Y48" i="4"/>
  <c r="Y49" i="4"/>
  <c r="Y50" i="4"/>
  <c r="Y51" i="4"/>
  <c r="Y52" i="4"/>
  <c r="Y53" i="4"/>
  <c r="Y82" i="4"/>
  <c r="Y83" i="4"/>
  <c r="Y84" i="4"/>
  <c r="Y85" i="4"/>
  <c r="Y87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7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7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7" i="4"/>
  <c r="Y149" i="4"/>
  <c r="Y150" i="4"/>
  <c r="Y151" i="4"/>
  <c r="Y152" i="4"/>
  <c r="Y153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54" i="4"/>
  <c r="Y155" i="4"/>
  <c r="Y156" i="4"/>
  <c r="Y157" i="4"/>
  <c r="Y158" i="4"/>
  <c r="Y159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54" i="4"/>
  <c r="Y55" i="4"/>
  <c r="Y56" i="4"/>
  <c r="Y57" i="4"/>
  <c r="Y58" i="4"/>
  <c r="Y59" i="4"/>
  <c r="Y60" i="4"/>
  <c r="Y61" i="4"/>
  <c r="Y62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N118" i="3"/>
  <c r="N55" i="3"/>
  <c r="O30" i="3"/>
  <c r="O75" i="3"/>
  <c r="O80" i="3"/>
  <c r="O89" i="3"/>
  <c r="O102" i="3"/>
  <c r="O109" i="3"/>
  <c r="O121" i="3"/>
  <c r="O14" i="3"/>
  <c r="O15" i="3"/>
  <c r="O41" i="3"/>
  <c r="O46" i="3"/>
  <c r="P65" i="3"/>
  <c r="P67" i="3"/>
  <c r="P87" i="3"/>
  <c r="P100" i="3"/>
  <c r="P107" i="3"/>
  <c r="P110" i="3"/>
  <c r="P118" i="3"/>
  <c r="P124" i="3"/>
  <c r="P7" i="3"/>
  <c r="P14" i="3"/>
  <c r="P27" i="3"/>
  <c r="P38" i="3"/>
  <c r="P44" i="3"/>
  <c r="P46" i="3"/>
  <c r="P47" i="3"/>
  <c r="P60" i="3"/>
  <c r="Q29" i="3"/>
  <c r="Q30" i="3"/>
  <c r="Q31" i="3"/>
  <c r="Q32" i="3"/>
  <c r="Q33" i="3"/>
  <c r="Q34" i="3"/>
  <c r="Q35" i="3"/>
  <c r="Q36" i="3"/>
  <c r="Q37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2" i="3"/>
  <c r="Q3" i="3"/>
  <c r="Q4" i="3"/>
  <c r="Q123" i="3"/>
  <c r="Q12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R29" i="3"/>
  <c r="R30" i="3"/>
  <c r="R31" i="3"/>
  <c r="R32" i="3"/>
  <c r="R33" i="3"/>
  <c r="R34" i="3"/>
  <c r="R35" i="3"/>
  <c r="R36" i="3"/>
  <c r="R37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2" i="3"/>
  <c r="R3" i="3"/>
  <c r="R4" i="3"/>
  <c r="R123" i="3"/>
  <c r="R12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S29" i="3"/>
  <c r="S30" i="3"/>
  <c r="S31" i="3"/>
  <c r="S32" i="3"/>
  <c r="S33" i="3"/>
  <c r="S34" i="3"/>
  <c r="S35" i="3"/>
  <c r="S36" i="3"/>
  <c r="S37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2" i="3"/>
  <c r="S3" i="3"/>
  <c r="S4" i="3"/>
  <c r="S123" i="3"/>
  <c r="S12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T65" i="3"/>
  <c r="T66" i="3"/>
  <c r="T67" i="3"/>
  <c r="T70" i="3"/>
  <c r="T71" i="3"/>
  <c r="T85" i="3"/>
  <c r="T86" i="3"/>
  <c r="T88" i="3"/>
  <c r="T90" i="3"/>
  <c r="T118" i="3"/>
  <c r="T124" i="3"/>
  <c r="T8" i="3"/>
  <c r="T11" i="3"/>
  <c r="T14" i="3"/>
  <c r="T15" i="3"/>
  <c r="T18" i="3"/>
  <c r="T25" i="3"/>
  <c r="T26" i="3"/>
  <c r="T46" i="3"/>
  <c r="T47" i="3"/>
  <c r="T48" i="3"/>
  <c r="T58" i="3"/>
  <c r="W29" i="3"/>
  <c r="W30" i="3"/>
  <c r="W31" i="3"/>
  <c r="W32" i="3"/>
  <c r="W33" i="3"/>
  <c r="W34" i="3"/>
  <c r="W35" i="3"/>
  <c r="W36" i="3"/>
  <c r="W37" i="3"/>
  <c r="W61" i="3"/>
  <c r="W63" i="3"/>
  <c r="W64" i="3"/>
  <c r="W65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3" i="3"/>
  <c r="W84" i="3"/>
  <c r="W85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3" i="3"/>
  <c r="W104" i="3"/>
  <c r="W105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2" i="3"/>
  <c r="W3" i="3"/>
  <c r="W4" i="3"/>
  <c r="W123" i="3"/>
  <c r="W12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38" i="3"/>
  <c r="W39" i="3"/>
  <c r="W40" i="3"/>
  <c r="W41" i="3"/>
  <c r="W42" i="3"/>
  <c r="W43" i="3"/>
  <c r="W44" i="3"/>
  <c r="W45" i="3"/>
  <c r="W46" i="3"/>
  <c r="W47" i="3"/>
  <c r="W48" i="3"/>
  <c r="W50" i="3"/>
  <c r="W51" i="3"/>
  <c r="W52" i="3"/>
  <c r="W53" i="3"/>
  <c r="W54" i="3"/>
  <c r="W55" i="3"/>
  <c r="W56" i="3"/>
  <c r="W57" i="3"/>
  <c r="W58" i="3"/>
  <c r="W59" i="3"/>
  <c r="W60" i="3"/>
  <c r="X29" i="3"/>
  <c r="X30" i="3"/>
  <c r="X31" i="3"/>
  <c r="X32" i="3"/>
  <c r="X33" i="3"/>
  <c r="X34" i="3"/>
  <c r="X35" i="3"/>
  <c r="X36" i="3"/>
  <c r="X37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2" i="3"/>
  <c r="X3" i="3"/>
  <c r="X4" i="3"/>
  <c r="X123" i="3"/>
  <c r="X12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Y29" i="3"/>
  <c r="Y30" i="3"/>
  <c r="Y31" i="3"/>
  <c r="Y32" i="3"/>
  <c r="Y33" i="3"/>
  <c r="Y34" i="3"/>
  <c r="Y36" i="3"/>
  <c r="Y37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2" i="3"/>
  <c r="Y3" i="3"/>
  <c r="Y4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2" i="3"/>
  <c r="Y23" i="3"/>
  <c r="Y24" i="3"/>
  <c r="Y26" i="3"/>
  <c r="Y27" i="3"/>
  <c r="Y28" i="3"/>
  <c r="Y38" i="3"/>
  <c r="Y39" i="3"/>
  <c r="Y40" i="3"/>
  <c r="Y41" i="3"/>
  <c r="Y42" i="3"/>
  <c r="Y43" i="3"/>
  <c r="Y44" i="3"/>
  <c r="Y45" i="3"/>
  <c r="Y46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N37" i="2"/>
  <c r="N91" i="2"/>
  <c r="N92" i="2"/>
  <c r="N97" i="2"/>
  <c r="O39" i="2"/>
  <c r="O88" i="2"/>
  <c r="O91" i="2"/>
  <c r="O92" i="2"/>
  <c r="O16" i="2"/>
  <c r="O17" i="2"/>
  <c r="P25" i="2"/>
  <c r="P32" i="2"/>
  <c r="P79" i="2"/>
  <c r="P85" i="2"/>
  <c r="P91" i="2"/>
  <c r="P97" i="2"/>
  <c r="P99" i="2"/>
  <c r="P2" i="2"/>
  <c r="P8" i="2"/>
  <c r="P10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2" i="2"/>
  <c r="Q3" i="2"/>
  <c r="Q4" i="2"/>
  <c r="Q5" i="2"/>
  <c r="Q6" i="2"/>
  <c r="Q7" i="2"/>
  <c r="Q8" i="2"/>
  <c r="Q9" i="2"/>
  <c r="Q10" i="2"/>
  <c r="Q112" i="2"/>
  <c r="Q113" i="2"/>
  <c r="Q114" i="2"/>
  <c r="Q115" i="2"/>
  <c r="Q116" i="2"/>
  <c r="Q117" i="2"/>
  <c r="Q118" i="2"/>
  <c r="Q119" i="2"/>
  <c r="Q120" i="2"/>
  <c r="Q121" i="2"/>
  <c r="Q11" i="2"/>
  <c r="Q12" i="2"/>
  <c r="Q13" i="2"/>
  <c r="Q14" i="2"/>
  <c r="Q15" i="2"/>
  <c r="Q16" i="2"/>
  <c r="Q17" i="2"/>
  <c r="Q18" i="2"/>
  <c r="Q19" i="2"/>
  <c r="Q20" i="2"/>
  <c r="Q21" i="2"/>
  <c r="Q22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2" i="2"/>
  <c r="R3" i="2"/>
  <c r="R4" i="2"/>
  <c r="R5" i="2"/>
  <c r="R6" i="2"/>
  <c r="R7" i="2"/>
  <c r="R8" i="2"/>
  <c r="R9" i="2"/>
  <c r="R10" i="2"/>
  <c r="R112" i="2"/>
  <c r="R113" i="2"/>
  <c r="R114" i="2"/>
  <c r="R115" i="2"/>
  <c r="R116" i="2"/>
  <c r="R117" i="2"/>
  <c r="R118" i="2"/>
  <c r="R119" i="2"/>
  <c r="R120" i="2"/>
  <c r="R121" i="2"/>
  <c r="R11" i="2"/>
  <c r="R12" i="2"/>
  <c r="R13" i="2"/>
  <c r="R14" i="2"/>
  <c r="R15" i="2"/>
  <c r="R16" i="2"/>
  <c r="R17" i="2"/>
  <c r="R18" i="2"/>
  <c r="R19" i="2"/>
  <c r="R20" i="2"/>
  <c r="R21" i="2"/>
  <c r="R22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2" i="2"/>
  <c r="S3" i="2"/>
  <c r="S4" i="2"/>
  <c r="S5" i="2"/>
  <c r="S6" i="2"/>
  <c r="S7" i="2"/>
  <c r="S8" i="2"/>
  <c r="S9" i="2"/>
  <c r="S10" i="2"/>
  <c r="S112" i="2"/>
  <c r="S113" i="2"/>
  <c r="S114" i="2"/>
  <c r="S115" i="2"/>
  <c r="S116" i="2"/>
  <c r="S117" i="2"/>
  <c r="S118" i="2"/>
  <c r="S119" i="2"/>
  <c r="S120" i="2"/>
  <c r="S121" i="2"/>
  <c r="S11" i="2"/>
  <c r="S12" i="2"/>
  <c r="S13" i="2"/>
  <c r="S14" i="2"/>
  <c r="S15" i="2"/>
  <c r="S16" i="2"/>
  <c r="S17" i="2"/>
  <c r="S18" i="2"/>
  <c r="S19" i="2"/>
  <c r="S20" i="2"/>
  <c r="S21" i="2"/>
  <c r="S22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T28" i="2"/>
  <c r="T30" i="2"/>
  <c r="T31" i="2"/>
  <c r="T35" i="2"/>
  <c r="T36" i="2"/>
  <c r="T75" i="2"/>
  <c r="T78" i="2"/>
  <c r="T92" i="2"/>
  <c r="T99" i="2"/>
  <c r="T100" i="2"/>
  <c r="T8" i="2"/>
  <c r="T10" i="2"/>
  <c r="T113" i="2"/>
  <c r="T115" i="2"/>
  <c r="T117" i="2"/>
  <c r="T118" i="2"/>
  <c r="T11" i="2"/>
  <c r="T15" i="2"/>
  <c r="T16" i="2"/>
  <c r="T18" i="2"/>
  <c r="T68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2" i="2"/>
  <c r="W3" i="2"/>
  <c r="W4" i="2"/>
  <c r="W5" i="2"/>
  <c r="W6" i="2"/>
  <c r="W7" i="2"/>
  <c r="W8" i="2"/>
  <c r="W9" i="2"/>
  <c r="W10" i="2"/>
  <c r="W112" i="2"/>
  <c r="W113" i="2"/>
  <c r="W114" i="2"/>
  <c r="W115" i="2"/>
  <c r="W116" i="2"/>
  <c r="W117" i="2"/>
  <c r="W118" i="2"/>
  <c r="W119" i="2"/>
  <c r="W120" i="2"/>
  <c r="W121" i="2"/>
  <c r="W11" i="2"/>
  <c r="W12" i="2"/>
  <c r="W13" i="2"/>
  <c r="W14" i="2"/>
  <c r="W16" i="2"/>
  <c r="W17" i="2"/>
  <c r="W18" i="2"/>
  <c r="W19" i="2"/>
  <c r="W20" i="2"/>
  <c r="W21" i="2"/>
  <c r="W22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69" i="2"/>
  <c r="X70" i="2"/>
  <c r="X71" i="2"/>
  <c r="X72" i="2"/>
  <c r="X73" i="2"/>
  <c r="X74" i="2"/>
  <c r="X75" i="2"/>
  <c r="X76" i="2"/>
  <c r="X77" i="2"/>
  <c r="X78" i="2"/>
  <c r="X79" i="2"/>
  <c r="X81" i="2"/>
  <c r="X82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1" i="2"/>
  <c r="X102" i="2"/>
  <c r="X103" i="2"/>
  <c r="X104" i="2"/>
  <c r="X105" i="2"/>
  <c r="X106" i="2"/>
  <c r="X107" i="2"/>
  <c r="X108" i="2"/>
  <c r="X109" i="2"/>
  <c r="X110" i="2"/>
  <c r="X111" i="2"/>
  <c r="X2" i="2"/>
  <c r="X3" i="2"/>
  <c r="X4" i="2"/>
  <c r="X5" i="2"/>
  <c r="X6" i="2"/>
  <c r="X7" i="2"/>
  <c r="X8" i="2"/>
  <c r="X9" i="2"/>
  <c r="X10" i="2"/>
  <c r="X112" i="2"/>
  <c r="X113" i="2"/>
  <c r="X114" i="2"/>
  <c r="X115" i="2"/>
  <c r="X116" i="2"/>
  <c r="X117" i="2"/>
  <c r="X118" i="2"/>
  <c r="X119" i="2"/>
  <c r="X120" i="2"/>
  <c r="X121" i="2"/>
  <c r="X11" i="2"/>
  <c r="X12" i="2"/>
  <c r="X13" i="2"/>
  <c r="X14" i="2"/>
  <c r="X15" i="2"/>
  <c r="X16" i="2"/>
  <c r="X17" i="2"/>
  <c r="X18" i="2"/>
  <c r="X19" i="2"/>
  <c r="X20" i="2"/>
  <c r="X21" i="2"/>
  <c r="X22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2" i="2"/>
  <c r="Y3" i="2"/>
  <c r="Y4" i="2"/>
  <c r="Y5" i="2"/>
  <c r="Y6" i="2"/>
  <c r="Y7" i="2"/>
  <c r="Y8" i="2"/>
  <c r="Y9" i="2"/>
  <c r="Y10" i="2"/>
  <c r="Y112" i="2"/>
  <c r="Y113" i="2"/>
  <c r="Y114" i="2"/>
  <c r="Y115" i="2"/>
  <c r="Y116" i="2"/>
  <c r="Y117" i="2"/>
  <c r="Y118" i="2"/>
  <c r="Y119" i="2"/>
  <c r="Y120" i="2"/>
  <c r="Y121" i="2"/>
  <c r="Y11" i="2"/>
  <c r="Y12" i="2"/>
  <c r="Y13" i="2"/>
  <c r="Y14" i="2"/>
  <c r="Y15" i="2"/>
  <c r="Y16" i="2"/>
  <c r="Y17" i="2"/>
  <c r="Y18" i="2"/>
  <c r="Y19" i="2"/>
  <c r="Y20" i="2"/>
  <c r="Y21" i="2"/>
  <c r="Y22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C1" i="12" a="1"/>
  <c r="C1" i="12" s="1"/>
  <c r="C1" i="11" a="1"/>
  <c r="C1" i="11" s="1"/>
  <c r="C1" i="9" a="1"/>
  <c r="C1" i="9" s="1"/>
  <c r="P21" i="4" l="1"/>
  <c r="N21" i="4"/>
  <c r="O121" i="4"/>
  <c r="N121" i="4"/>
  <c r="O98" i="3"/>
  <c r="N98" i="3"/>
  <c r="O6" i="4"/>
  <c r="P66" i="4"/>
  <c r="O18" i="3"/>
  <c r="N18" i="3"/>
  <c r="N80" i="3"/>
  <c r="N60" i="3"/>
  <c r="O60" i="3"/>
  <c r="O120" i="3"/>
  <c r="O13" i="3"/>
  <c r="N13" i="3"/>
  <c r="P142" i="4"/>
  <c r="N16" i="2"/>
  <c r="H27" i="2"/>
  <c r="M33" i="3"/>
  <c r="T33" i="3" s="1"/>
  <c r="H140" i="4"/>
  <c r="O140" i="4" s="1"/>
  <c r="M140" i="4"/>
  <c r="T140" i="4" s="1"/>
  <c r="H28" i="2"/>
  <c r="O28" i="2" s="1"/>
  <c r="H28" i="3"/>
  <c r="I11" i="3"/>
  <c r="P11" i="3" s="1"/>
  <c r="I58" i="3"/>
  <c r="P58" i="3" s="1"/>
  <c r="I113" i="3"/>
  <c r="P113" i="3" s="1"/>
  <c r="M38" i="3"/>
  <c r="T38" i="3" s="1"/>
  <c r="M93" i="3"/>
  <c r="T93" i="3" s="1"/>
  <c r="H56" i="4"/>
  <c r="I76" i="4"/>
  <c r="P76" i="4" s="1"/>
  <c r="I119" i="4"/>
  <c r="M48" i="4"/>
  <c r="T48" i="4" s="1"/>
  <c r="M97" i="4"/>
  <c r="T97" i="4" s="1"/>
  <c r="I13" i="3"/>
  <c r="H57" i="4"/>
  <c r="O57" i="4" s="1"/>
  <c r="H142" i="4"/>
  <c r="O142" i="4" s="1"/>
  <c r="I120" i="4"/>
  <c r="P120" i="4" s="1"/>
  <c r="M3" i="4"/>
  <c r="T3" i="4" s="1"/>
  <c r="M100" i="4"/>
  <c r="M142" i="4"/>
  <c r="I37" i="4"/>
  <c r="P37" i="4" s="1"/>
  <c r="I82" i="4"/>
  <c r="P82" i="4" s="1"/>
  <c r="M6" i="4"/>
  <c r="T6" i="4" s="1"/>
  <c r="M56" i="4"/>
  <c r="T56" i="4" s="1"/>
  <c r="M143" i="4"/>
  <c r="T143" i="4" s="1"/>
  <c r="H110" i="2"/>
  <c r="O110" i="2" s="1"/>
  <c r="H33" i="3"/>
  <c r="N110" i="3"/>
  <c r="M25" i="2"/>
  <c r="T25" i="2" s="1"/>
  <c r="H88" i="3"/>
  <c r="N88" i="3" s="1"/>
  <c r="I120" i="3"/>
  <c r="P120" i="3" s="1"/>
  <c r="M45" i="3"/>
  <c r="T45" i="3" s="1"/>
  <c r="H16" i="4"/>
  <c r="O16" i="4" s="1"/>
  <c r="H60" i="4"/>
  <c r="O60" i="4" s="1"/>
  <c r="I83" i="4"/>
  <c r="I122" i="4"/>
  <c r="M8" i="4"/>
  <c r="T8" i="4" s="1"/>
  <c r="M57" i="4"/>
  <c r="T57" i="4" s="1"/>
  <c r="M145" i="4"/>
  <c r="T145" i="4" s="1"/>
  <c r="O73" i="3"/>
  <c r="I83" i="2"/>
  <c r="H40" i="3"/>
  <c r="I17" i="3"/>
  <c r="I68" i="3"/>
  <c r="M100" i="3"/>
  <c r="T100" i="3" s="1"/>
  <c r="N68" i="4"/>
  <c r="H17" i="4"/>
  <c r="H154" i="4"/>
  <c r="N154" i="4" s="1"/>
  <c r="I42" i="4"/>
  <c r="P42" i="4" s="1"/>
  <c r="I86" i="4"/>
  <c r="P86" i="4" s="1"/>
  <c r="I123" i="4"/>
  <c r="P123" i="4" s="1"/>
  <c r="M58" i="4"/>
  <c r="T58" i="4" s="1"/>
  <c r="M146" i="4"/>
  <c r="T146" i="4" s="1"/>
  <c r="H26" i="2"/>
  <c r="H91" i="3"/>
  <c r="O91" i="3" s="1"/>
  <c r="H62" i="4"/>
  <c r="I43" i="4"/>
  <c r="P43" i="4" s="1"/>
  <c r="M105" i="4"/>
  <c r="T105" i="4" s="1"/>
  <c r="O70" i="3"/>
  <c r="H47" i="2"/>
  <c r="I7" i="2"/>
  <c r="P7" i="2" s="1"/>
  <c r="N46" i="3"/>
  <c r="H93" i="3"/>
  <c r="N93" i="3" s="1"/>
  <c r="I20" i="3"/>
  <c r="N20" i="3" s="1"/>
  <c r="I71" i="3"/>
  <c r="P71" i="3" s="1"/>
  <c r="M53" i="3"/>
  <c r="T53" i="3" s="1"/>
  <c r="M102" i="3"/>
  <c r="T102" i="3" s="1"/>
  <c r="H66" i="4"/>
  <c r="O66" i="4" s="1"/>
  <c r="I3" i="4"/>
  <c r="P3" i="4" s="1"/>
  <c r="I46" i="4"/>
  <c r="P46" i="4" s="1"/>
  <c r="N93" i="4"/>
  <c r="I128" i="4"/>
  <c r="P128" i="4" s="1"/>
  <c r="M20" i="4"/>
  <c r="T20" i="4" s="1"/>
  <c r="M63" i="4"/>
  <c r="T63" i="4" s="1"/>
  <c r="N157" i="4"/>
  <c r="I84" i="2"/>
  <c r="P117" i="2"/>
  <c r="H63" i="2"/>
  <c r="I87" i="2"/>
  <c r="H8" i="3"/>
  <c r="O8" i="3" s="1"/>
  <c r="H47" i="3"/>
  <c r="O47" i="3" s="1"/>
  <c r="I21" i="3"/>
  <c r="P21" i="3" s="1"/>
  <c r="I73" i="3"/>
  <c r="P73" i="3" s="1"/>
  <c r="M7" i="3"/>
  <c r="T7" i="3" s="1"/>
  <c r="M103" i="3"/>
  <c r="T103" i="3" s="1"/>
  <c r="H73" i="4"/>
  <c r="N73" i="4" s="1"/>
  <c r="H116" i="4"/>
  <c r="I6" i="4"/>
  <c r="P6" i="4" s="1"/>
  <c r="I48" i="4"/>
  <c r="P48" i="4" s="1"/>
  <c r="I133" i="4"/>
  <c r="P133" i="4" s="1"/>
  <c r="M65" i="4"/>
  <c r="T65" i="4" s="1"/>
  <c r="M108" i="4"/>
  <c r="T108" i="4" s="1"/>
  <c r="M156" i="4"/>
  <c r="O124" i="3"/>
  <c r="O67" i="3"/>
  <c r="H64" i="2"/>
  <c r="O64" i="2" s="1"/>
  <c r="I11" i="2"/>
  <c r="I88" i="2"/>
  <c r="M39" i="2"/>
  <c r="T39" i="2" s="1"/>
  <c r="H48" i="3"/>
  <c r="N48" i="3" s="1"/>
  <c r="I28" i="3"/>
  <c r="P28" i="3" s="1"/>
  <c r="I75" i="3"/>
  <c r="P75" i="3" s="1"/>
  <c r="M13" i="3"/>
  <c r="T13" i="3" s="1"/>
  <c r="M55" i="3"/>
  <c r="T55" i="3" s="1"/>
  <c r="H26" i="4"/>
  <c r="H74" i="4"/>
  <c r="H117" i="4"/>
  <c r="I8" i="4"/>
  <c r="P8" i="4" s="1"/>
  <c r="M66" i="4"/>
  <c r="T66" i="4" s="1"/>
  <c r="M157" i="4"/>
  <c r="T157" i="4" s="1"/>
  <c r="I6" i="2"/>
  <c r="I90" i="2"/>
  <c r="P90" i="2" s="1"/>
  <c r="M107" i="3"/>
  <c r="T107" i="3" s="1"/>
  <c r="H33" i="4"/>
  <c r="I13" i="4"/>
  <c r="I100" i="4"/>
  <c r="P100" i="4" s="1"/>
  <c r="M23" i="4"/>
  <c r="T23" i="4" s="1"/>
  <c r="M68" i="4"/>
  <c r="T68" i="4" s="1"/>
  <c r="M116" i="4"/>
  <c r="T116" i="4" s="1"/>
  <c r="M63" i="2"/>
  <c r="T63" i="2" s="1"/>
  <c r="N38" i="3"/>
  <c r="I80" i="3"/>
  <c r="P80" i="3" s="1"/>
  <c r="M110" i="3"/>
  <c r="T110" i="3" s="1"/>
  <c r="H34" i="4"/>
  <c r="H120" i="4"/>
  <c r="O120" i="4" s="1"/>
  <c r="I14" i="4"/>
  <c r="P14" i="4" s="1"/>
  <c r="M25" i="4"/>
  <c r="T25" i="4" s="1"/>
  <c r="I28" i="2"/>
  <c r="P28" i="2" s="1"/>
  <c r="M64" i="2"/>
  <c r="T64" i="2" s="1"/>
  <c r="H103" i="3"/>
  <c r="I88" i="3"/>
  <c r="P88" i="3" s="1"/>
  <c r="M17" i="3"/>
  <c r="T17" i="3" s="1"/>
  <c r="M60" i="3"/>
  <c r="T60" i="3" s="1"/>
  <c r="M113" i="3"/>
  <c r="T113" i="3" s="1"/>
  <c r="H80" i="4"/>
  <c r="I60" i="4"/>
  <c r="I143" i="4"/>
  <c r="P143" i="4" s="1"/>
  <c r="M26" i="4"/>
  <c r="T26" i="4" s="1"/>
  <c r="M76" i="4"/>
  <c r="T76" i="4" s="1"/>
  <c r="M122" i="4"/>
  <c r="T122" i="4" s="1"/>
  <c r="N7" i="2"/>
  <c r="I30" i="2"/>
  <c r="P30" i="2" s="1"/>
  <c r="H19" i="3"/>
  <c r="N19" i="3" s="1"/>
  <c r="I43" i="3"/>
  <c r="P43" i="3" s="1"/>
  <c r="I90" i="3"/>
  <c r="P90" i="3" s="1"/>
  <c r="I17" i="4"/>
  <c r="P17" i="4" s="1"/>
  <c r="M123" i="4"/>
  <c r="T123" i="4" s="1"/>
  <c r="M19" i="3"/>
  <c r="T19" i="3" s="1"/>
  <c r="H39" i="4"/>
  <c r="O39" i="4" s="1"/>
  <c r="H82" i="4"/>
  <c r="N82" i="4" s="1"/>
  <c r="I20" i="4"/>
  <c r="P20" i="4" s="1"/>
  <c r="I62" i="4"/>
  <c r="P62" i="4" s="1"/>
  <c r="M125" i="4"/>
  <c r="T125" i="4" s="1"/>
  <c r="N96" i="2"/>
  <c r="H8" i="2"/>
  <c r="H84" i="2"/>
  <c r="O84" i="2" s="1"/>
  <c r="H65" i="3"/>
  <c r="I95" i="3"/>
  <c r="M120" i="3"/>
  <c r="T120" i="3" s="1"/>
  <c r="H86" i="4"/>
  <c r="O86" i="4" s="1"/>
  <c r="H134" i="4"/>
  <c r="O134" i="4" s="1"/>
  <c r="I63" i="4"/>
  <c r="N63" i="4" s="1"/>
  <c r="I113" i="4"/>
  <c r="P113" i="4" s="1"/>
  <c r="I153" i="4"/>
  <c r="M38" i="4"/>
  <c r="T38" i="4" s="1"/>
  <c r="M83" i="4"/>
  <c r="N135" i="4"/>
  <c r="I23" i="4"/>
  <c r="P23" i="4" s="1"/>
  <c r="M85" i="4"/>
  <c r="T85" i="4" s="1"/>
  <c r="H90" i="2"/>
  <c r="H23" i="3"/>
  <c r="O23" i="3" s="1"/>
  <c r="H42" i="4"/>
  <c r="N42" i="4" s="1"/>
  <c r="N81" i="4"/>
  <c r="H25" i="2"/>
  <c r="I39" i="2"/>
  <c r="M2" i="2"/>
  <c r="T2" i="2" s="1"/>
  <c r="H25" i="3"/>
  <c r="H71" i="3"/>
  <c r="I50" i="3"/>
  <c r="P50" i="3" s="1"/>
  <c r="M27" i="3"/>
  <c r="T27" i="3" s="1"/>
  <c r="H137" i="4"/>
  <c r="I73" i="4"/>
  <c r="P73" i="4" s="1"/>
  <c r="I156" i="4"/>
  <c r="M43" i="4"/>
  <c r="T43" i="4" s="1"/>
  <c r="M88" i="4"/>
  <c r="T88" i="4" s="1"/>
  <c r="M136" i="4"/>
  <c r="H62" i="2"/>
  <c r="M95" i="4"/>
  <c r="T95" i="4" s="1"/>
  <c r="M5" i="4"/>
  <c r="T5" i="4" s="1"/>
  <c r="H78" i="3"/>
  <c r="O78" i="3" s="1"/>
  <c r="M42" i="3"/>
  <c r="T42" i="3" s="1"/>
  <c r="I35" i="3"/>
  <c r="P35" i="3" s="1"/>
  <c r="I78" i="3"/>
  <c r="N95" i="4"/>
  <c r="H77" i="2"/>
  <c r="P78" i="3"/>
  <c r="I86" i="2"/>
  <c r="P86" i="2" s="1"/>
  <c r="M86" i="2"/>
  <c r="I112" i="2"/>
  <c r="P112" i="2" s="1"/>
  <c r="M89" i="2"/>
  <c r="T89" i="2" s="1"/>
  <c r="H112" i="2"/>
  <c r="M35" i="3"/>
  <c r="T35" i="3" s="1"/>
  <c r="N119" i="2"/>
  <c r="H51" i="3"/>
  <c r="O51" i="3" s="1"/>
  <c r="N86" i="2"/>
  <c r="I52" i="2"/>
  <c r="P52" i="2" s="1"/>
  <c r="I89" i="2"/>
  <c r="N89" i="2" s="1"/>
  <c r="I51" i="3"/>
  <c r="P51" i="3" s="1"/>
  <c r="H52" i="2"/>
  <c r="O52" i="2" s="1"/>
  <c r="M46" i="2"/>
  <c r="T46" i="2" s="1"/>
  <c r="H56" i="2"/>
  <c r="O56" i="2" s="1"/>
  <c r="I46" i="2"/>
  <c r="P46" i="2" s="1"/>
  <c r="H111" i="2"/>
  <c r="O111" i="2" s="1"/>
  <c r="I50" i="2"/>
  <c r="M50" i="2"/>
  <c r="T50" i="2" s="1"/>
  <c r="I56" i="2"/>
  <c r="P56" i="2" s="1"/>
  <c r="O46" i="2"/>
  <c r="O57" i="2"/>
  <c r="I110" i="2"/>
  <c r="P110" i="2" s="1"/>
  <c r="M47" i="2"/>
  <c r="T47" i="2" s="1"/>
  <c r="I111" i="2"/>
  <c r="P111" i="2" s="1"/>
  <c r="I57" i="2"/>
  <c r="P57" i="2" s="1"/>
  <c r="M57" i="2"/>
  <c r="T57" i="2" s="1"/>
  <c r="M67" i="2"/>
  <c r="T67" i="2" s="1"/>
  <c r="O66" i="2"/>
  <c r="P65" i="2"/>
  <c r="O3" i="4"/>
  <c r="O23" i="4"/>
  <c r="O43" i="4"/>
  <c r="N43" i="4"/>
  <c r="O63" i="4"/>
  <c r="N83" i="4"/>
  <c r="O83" i="4"/>
  <c r="N103" i="4"/>
  <c r="O103" i="4"/>
  <c r="N123" i="4"/>
  <c r="O123" i="4"/>
  <c r="O143" i="4"/>
  <c r="N143" i="4"/>
  <c r="O12" i="4"/>
  <c r="T41" i="3"/>
  <c r="M144" i="4"/>
  <c r="I144" i="4"/>
  <c r="H144" i="4"/>
  <c r="O13" i="4"/>
  <c r="N13" i="4"/>
  <c r="M84" i="4"/>
  <c r="I84" i="4"/>
  <c r="H84" i="4"/>
  <c r="T3" i="3"/>
  <c r="T98" i="3"/>
  <c r="O20" i="3"/>
  <c r="M44" i="4"/>
  <c r="I44" i="4"/>
  <c r="H44" i="4"/>
  <c r="I52" i="3"/>
  <c r="H52" i="3"/>
  <c r="M52" i="3"/>
  <c r="O108" i="3"/>
  <c r="H24" i="4"/>
  <c r="I24" i="4"/>
  <c r="M24" i="4"/>
  <c r="P41" i="2"/>
  <c r="I72" i="3"/>
  <c r="H72" i="3"/>
  <c r="M72" i="3"/>
  <c r="O61" i="2"/>
  <c r="M4" i="4"/>
  <c r="H4" i="4"/>
  <c r="I4" i="4"/>
  <c r="O104" i="2"/>
  <c r="I12" i="3"/>
  <c r="H12" i="3"/>
  <c r="M12" i="3"/>
  <c r="I124" i="4"/>
  <c r="N124" i="4" s="1"/>
  <c r="M124" i="4"/>
  <c r="H124" i="4"/>
  <c r="I32" i="3"/>
  <c r="H32" i="3"/>
  <c r="M32" i="3"/>
  <c r="T37" i="2"/>
  <c r="H104" i="4"/>
  <c r="I104" i="4"/>
  <c r="M104" i="4"/>
  <c r="O105" i="2"/>
  <c r="T49" i="2"/>
  <c r="I64" i="4"/>
  <c r="H64" i="4"/>
  <c r="M64" i="4"/>
  <c r="I92" i="3"/>
  <c r="H92" i="3"/>
  <c r="M92" i="3"/>
  <c r="N65" i="2"/>
  <c r="T86" i="2"/>
  <c r="O53" i="3"/>
  <c r="N53" i="3"/>
  <c r="O11" i="4"/>
  <c r="N46" i="4"/>
  <c r="H21" i="2"/>
  <c r="O21" i="2" s="1"/>
  <c r="M21" i="2"/>
  <c r="I21" i="2"/>
  <c r="H41" i="2"/>
  <c r="M41" i="2"/>
  <c r="M61" i="2"/>
  <c r="I61" i="2"/>
  <c r="M81" i="2"/>
  <c r="H81" i="2"/>
  <c r="I101" i="2"/>
  <c r="M101" i="2"/>
  <c r="H101" i="2"/>
  <c r="H121" i="2"/>
  <c r="O121" i="2" s="1"/>
  <c r="M121" i="2"/>
  <c r="N116" i="2"/>
  <c r="O116" i="2"/>
  <c r="M3" i="2"/>
  <c r="I3" i="2"/>
  <c r="H3" i="2"/>
  <c r="M36" i="3"/>
  <c r="I36" i="3"/>
  <c r="H36" i="3"/>
  <c r="H56" i="3"/>
  <c r="I56" i="3"/>
  <c r="M56" i="3"/>
  <c r="H76" i="3"/>
  <c r="M76" i="3"/>
  <c r="I76" i="3"/>
  <c r="M96" i="3"/>
  <c r="H96" i="3"/>
  <c r="I96" i="3"/>
  <c r="M116" i="3"/>
  <c r="H116" i="3"/>
  <c r="I116" i="3"/>
  <c r="N159" i="4"/>
  <c r="P159" i="4"/>
  <c r="P6" i="2"/>
  <c r="N45" i="3"/>
  <c r="M16" i="3"/>
  <c r="H10" i="4"/>
  <c r="I10" i="4"/>
  <c r="H30" i="4"/>
  <c r="I30" i="4"/>
  <c r="M30" i="4"/>
  <c r="H50" i="4"/>
  <c r="I50" i="4"/>
  <c r="M50" i="4"/>
  <c r="H70" i="4"/>
  <c r="I70" i="4"/>
  <c r="M70" i="4"/>
  <c r="H90" i="4"/>
  <c r="I90" i="4"/>
  <c r="M90" i="4"/>
  <c r="H110" i="4"/>
  <c r="I110" i="4"/>
  <c r="M110" i="4"/>
  <c r="H130" i="4"/>
  <c r="I130" i="4"/>
  <c r="M130" i="4"/>
  <c r="H150" i="4"/>
  <c r="I150" i="4"/>
  <c r="M150" i="4"/>
  <c r="O19" i="4"/>
  <c r="O27" i="2"/>
  <c r="P122" i="4"/>
  <c r="N122" i="4"/>
  <c r="O65" i="2"/>
  <c r="P119" i="4"/>
  <c r="O85" i="3"/>
  <c r="M10" i="4"/>
  <c r="T142" i="4"/>
  <c r="M29" i="2"/>
  <c r="I29" i="2"/>
  <c r="H29" i="2"/>
  <c r="O79" i="4"/>
  <c r="O118" i="4"/>
  <c r="H69" i="2"/>
  <c r="I69" i="2"/>
  <c r="M69" i="2"/>
  <c r="I81" i="2"/>
  <c r="P79" i="3"/>
  <c r="O30" i="2"/>
  <c r="P13" i="4"/>
  <c r="I109" i="2"/>
  <c r="M109" i="2"/>
  <c r="H109" i="2"/>
  <c r="P11" i="2"/>
  <c r="O62" i="2"/>
  <c r="N31" i="2"/>
  <c r="M4" i="3"/>
  <c r="H4" i="3"/>
  <c r="I4" i="3"/>
  <c r="M24" i="3"/>
  <c r="I24" i="3"/>
  <c r="H24" i="3"/>
  <c r="M44" i="3"/>
  <c r="H44" i="3"/>
  <c r="M64" i="3"/>
  <c r="I64" i="3"/>
  <c r="H64" i="3"/>
  <c r="M84" i="3"/>
  <c r="H84" i="3"/>
  <c r="I84" i="3"/>
  <c r="M104" i="3"/>
  <c r="I104" i="3"/>
  <c r="H104" i="3"/>
  <c r="I49" i="2"/>
  <c r="H49" i="2"/>
  <c r="O74" i="2"/>
  <c r="N32" i="2"/>
  <c r="O85" i="2"/>
  <c r="I16" i="3"/>
  <c r="O82" i="4"/>
  <c r="O26" i="2"/>
  <c r="N26" i="2"/>
  <c r="P48" i="3"/>
  <c r="H9" i="2"/>
  <c r="M9" i="2"/>
  <c r="I9" i="2"/>
  <c r="I121" i="2"/>
  <c r="N50" i="3"/>
  <c r="P17" i="3"/>
  <c r="T78" i="3"/>
  <c r="M19" i="4"/>
  <c r="I19" i="4"/>
  <c r="N19" i="4" s="1"/>
  <c r="I14" i="2"/>
  <c r="H14" i="2"/>
  <c r="M14" i="2"/>
  <c r="I34" i="2"/>
  <c r="M34" i="2"/>
  <c r="H34" i="2"/>
  <c r="M54" i="2"/>
  <c r="H54" i="2"/>
  <c r="I54" i="2"/>
  <c r="I74" i="2"/>
  <c r="M74" i="2"/>
  <c r="H94" i="2"/>
  <c r="M94" i="2"/>
  <c r="I94" i="2"/>
  <c r="H114" i="2"/>
  <c r="M114" i="2"/>
  <c r="I114" i="2"/>
  <c r="N49" i="3"/>
  <c r="O93" i="3"/>
  <c r="O126" i="4"/>
  <c r="N126" i="4"/>
  <c r="P26" i="2"/>
  <c r="O86" i="3"/>
  <c r="P13" i="3"/>
  <c r="O94" i="3"/>
  <c r="N94" i="3"/>
  <c r="O9" i="4"/>
  <c r="I79" i="4"/>
  <c r="M79" i="4"/>
  <c r="H99" i="4"/>
  <c r="I99" i="4"/>
  <c r="M139" i="4"/>
  <c r="T139" i="4" s="1"/>
  <c r="I139" i="4"/>
  <c r="H139" i="4"/>
  <c r="H159" i="4"/>
  <c r="O159" i="4" s="1"/>
  <c r="M159" i="4"/>
  <c r="H119" i="4"/>
  <c r="N119" i="4" s="1"/>
  <c r="P83" i="4"/>
  <c r="T83" i="4"/>
  <c r="T158" i="4"/>
  <c r="N47" i="3"/>
  <c r="N87" i="3"/>
  <c r="O87" i="3"/>
  <c r="N40" i="4"/>
  <c r="P40" i="4"/>
  <c r="O125" i="4"/>
  <c r="O145" i="4"/>
  <c r="O91" i="4"/>
  <c r="T135" i="4"/>
  <c r="I112" i="3"/>
  <c r="H112" i="3"/>
  <c r="P18" i="3"/>
  <c r="N15" i="4"/>
  <c r="O15" i="4"/>
  <c r="O92" i="4"/>
  <c r="I59" i="4"/>
  <c r="N59" i="4" s="1"/>
  <c r="M59" i="4"/>
  <c r="N100" i="3"/>
  <c r="H7" i="4"/>
  <c r="I7" i="4"/>
  <c r="M7" i="4"/>
  <c r="H27" i="4"/>
  <c r="I27" i="4"/>
  <c r="M27" i="4"/>
  <c r="H47" i="4"/>
  <c r="I47" i="4"/>
  <c r="M47" i="4"/>
  <c r="H67" i="4"/>
  <c r="I67" i="4"/>
  <c r="M67" i="4"/>
  <c r="T67" i="4" s="1"/>
  <c r="H87" i="4"/>
  <c r="I87" i="4"/>
  <c r="M87" i="4"/>
  <c r="H107" i="4"/>
  <c r="I107" i="4"/>
  <c r="M107" i="4"/>
  <c r="H127" i="4"/>
  <c r="N127" i="4" s="1"/>
  <c r="I127" i="4"/>
  <c r="M127" i="4"/>
  <c r="H147" i="4"/>
  <c r="I147" i="4"/>
  <c r="P147" i="4" s="1"/>
  <c r="M147" i="4"/>
  <c r="P60" i="4"/>
  <c r="N60" i="4"/>
  <c r="H19" i="2"/>
  <c r="M19" i="2"/>
  <c r="M79" i="2"/>
  <c r="H79" i="2"/>
  <c r="I34" i="3"/>
  <c r="H34" i="3"/>
  <c r="I54" i="3"/>
  <c r="P54" i="3" s="1"/>
  <c r="H54" i="3"/>
  <c r="I74" i="3"/>
  <c r="H74" i="3"/>
  <c r="I94" i="3"/>
  <c r="M94" i="3"/>
  <c r="I114" i="3"/>
  <c r="H114" i="3"/>
  <c r="M114" i="3"/>
  <c r="N101" i="3"/>
  <c r="O8" i="4"/>
  <c r="O28" i="4"/>
  <c r="N28" i="4"/>
  <c r="O48" i="4"/>
  <c r="O128" i="4"/>
  <c r="M99" i="4"/>
  <c r="T99" i="4" s="1"/>
  <c r="N75" i="3"/>
  <c r="N65" i="3"/>
  <c r="O65" i="3"/>
  <c r="O103" i="3"/>
  <c r="N103" i="3"/>
  <c r="T20" i="3"/>
  <c r="I9" i="4"/>
  <c r="M9" i="4"/>
  <c r="I29" i="4"/>
  <c r="M29" i="4"/>
  <c r="I49" i="4"/>
  <c r="P49" i="4" s="1"/>
  <c r="M49" i="4"/>
  <c r="H49" i="4"/>
  <c r="I69" i="4"/>
  <c r="M69" i="4"/>
  <c r="H69" i="4"/>
  <c r="I89" i="4"/>
  <c r="M89" i="4"/>
  <c r="I109" i="4"/>
  <c r="M109" i="4"/>
  <c r="H109" i="4"/>
  <c r="I129" i="4"/>
  <c r="M129" i="4"/>
  <c r="H129" i="4"/>
  <c r="I149" i="4"/>
  <c r="P149" i="4" s="1"/>
  <c r="M149" i="4"/>
  <c r="O18" i="4"/>
  <c r="N18" i="4"/>
  <c r="O138" i="4"/>
  <c r="T100" i="4"/>
  <c r="H22" i="2"/>
  <c r="M22" i="2"/>
  <c r="M42" i="2"/>
  <c r="H42" i="2"/>
  <c r="M82" i="2"/>
  <c r="H82" i="2"/>
  <c r="M102" i="2"/>
  <c r="H102" i="2"/>
  <c r="I102" i="2"/>
  <c r="P102" i="2" s="1"/>
  <c r="H2" i="2"/>
  <c r="N17" i="3"/>
  <c r="O17" i="3"/>
  <c r="H37" i="3"/>
  <c r="M37" i="3"/>
  <c r="I37" i="3"/>
  <c r="H57" i="3"/>
  <c r="I57" i="3"/>
  <c r="H97" i="3"/>
  <c r="M97" i="3"/>
  <c r="I97" i="3"/>
  <c r="H117" i="3"/>
  <c r="M117" i="3"/>
  <c r="P70" i="3"/>
  <c r="I23" i="2"/>
  <c r="H23" i="2"/>
  <c r="M23" i="2"/>
  <c r="O106" i="4"/>
  <c r="N106" i="4"/>
  <c r="N153" i="4"/>
  <c r="P153" i="4"/>
  <c r="N27" i="3"/>
  <c r="O62" i="4"/>
  <c r="M4" i="2"/>
  <c r="I4" i="2"/>
  <c r="I24" i="2"/>
  <c r="H24" i="2"/>
  <c r="H44" i="2"/>
  <c r="M44" i="2"/>
  <c r="T44" i="2" s="1"/>
  <c r="I44" i="2"/>
  <c r="M104" i="2"/>
  <c r="I104" i="2"/>
  <c r="H4" i="2"/>
  <c r="I19" i="2"/>
  <c r="M26" i="2"/>
  <c r="P19" i="3"/>
  <c r="M39" i="3"/>
  <c r="H39" i="3"/>
  <c r="I59" i="3"/>
  <c r="P59" i="3" s="1"/>
  <c r="H59" i="3"/>
  <c r="M59" i="3"/>
  <c r="H79" i="3"/>
  <c r="N79" i="3" s="1"/>
  <c r="M79" i="3"/>
  <c r="H99" i="3"/>
  <c r="I99" i="3"/>
  <c r="M119" i="3"/>
  <c r="I119" i="3"/>
  <c r="I39" i="3"/>
  <c r="H29" i="4"/>
  <c r="N58" i="4"/>
  <c r="M5" i="2"/>
  <c r="I5" i="2"/>
  <c r="H45" i="2"/>
  <c r="I45" i="2"/>
  <c r="M105" i="2"/>
  <c r="I105" i="2"/>
  <c r="H5" i="2"/>
  <c r="I59" i="2"/>
  <c r="M119" i="2"/>
  <c r="I117" i="3"/>
  <c r="T73" i="3"/>
  <c r="M112" i="3"/>
  <c r="N33" i="4"/>
  <c r="O33" i="4"/>
  <c r="H149" i="4"/>
  <c r="P74" i="4"/>
  <c r="N155" i="4"/>
  <c r="H43" i="2"/>
  <c r="M43" i="2"/>
  <c r="I43" i="2"/>
  <c r="M103" i="2"/>
  <c r="I103" i="2"/>
  <c r="N57" i="4"/>
  <c r="M66" i="2"/>
  <c r="T66" i="2" s="1"/>
  <c r="I66" i="2"/>
  <c r="N66" i="2" s="1"/>
  <c r="M106" i="2"/>
  <c r="H106" i="2"/>
  <c r="I106" i="2"/>
  <c r="H6" i="2"/>
  <c r="H99" i="2"/>
  <c r="I22" i="2"/>
  <c r="M61" i="3"/>
  <c r="I61" i="3"/>
  <c r="I81" i="3"/>
  <c r="H81" i="3"/>
  <c r="M81" i="3"/>
  <c r="I41" i="3"/>
  <c r="M34" i="3"/>
  <c r="M74" i="3"/>
  <c r="O153" i="4"/>
  <c r="M39" i="4"/>
  <c r="I62" i="2"/>
  <c r="M83" i="2"/>
  <c r="I2" i="3"/>
  <c r="H2" i="3"/>
  <c r="M2" i="3"/>
  <c r="M22" i="3"/>
  <c r="I22" i="3"/>
  <c r="M62" i="3"/>
  <c r="I62" i="3"/>
  <c r="H62" i="3"/>
  <c r="I82" i="3"/>
  <c r="P82" i="3" s="1"/>
  <c r="H82" i="3"/>
  <c r="M82" i="3"/>
  <c r="N102" i="3"/>
  <c r="I122" i="3"/>
  <c r="H122" i="3"/>
  <c r="H119" i="3"/>
  <c r="I42" i="3"/>
  <c r="I77" i="3"/>
  <c r="N77" i="3" s="1"/>
  <c r="T75" i="3"/>
  <c r="N76" i="2"/>
  <c r="P33" i="4"/>
  <c r="P95" i="4"/>
  <c r="O27" i="3"/>
  <c r="T136" i="4"/>
  <c r="N55" i="4"/>
  <c r="I48" i="2"/>
  <c r="H48" i="2"/>
  <c r="M48" i="2"/>
  <c r="H68" i="2"/>
  <c r="I68" i="2"/>
  <c r="H108" i="2"/>
  <c r="I108" i="2"/>
  <c r="H59" i="2"/>
  <c r="H103" i="2"/>
  <c r="I27" i="2"/>
  <c r="N27" i="2" s="1"/>
  <c r="O43" i="3"/>
  <c r="I121" i="3"/>
  <c r="M77" i="3"/>
  <c r="P41" i="4"/>
  <c r="N118" i="4"/>
  <c r="N158" i="4"/>
  <c r="P158" i="4"/>
  <c r="M11" i="4"/>
  <c r="I11" i="4"/>
  <c r="M31" i="4"/>
  <c r="H31" i="4"/>
  <c r="M51" i="4"/>
  <c r="H51" i="4"/>
  <c r="I51" i="4"/>
  <c r="M71" i="4"/>
  <c r="T71" i="4" s="1"/>
  <c r="H71" i="4"/>
  <c r="I71" i="4"/>
  <c r="M91" i="4"/>
  <c r="I91" i="4"/>
  <c r="I111" i="4"/>
  <c r="M111" i="4"/>
  <c r="I131" i="4"/>
  <c r="M131" i="4"/>
  <c r="H131" i="4"/>
  <c r="I151" i="4"/>
  <c r="M151" i="4"/>
  <c r="H151" i="4"/>
  <c r="M107" i="2"/>
  <c r="H107" i="2"/>
  <c r="M87" i="2"/>
  <c r="I3" i="3"/>
  <c r="H3" i="3"/>
  <c r="M63" i="3"/>
  <c r="I63" i="3"/>
  <c r="H63" i="3"/>
  <c r="I83" i="3"/>
  <c r="H83" i="3"/>
  <c r="I123" i="3"/>
  <c r="M123" i="3"/>
  <c r="I12" i="4"/>
  <c r="N12" i="4" s="1"/>
  <c r="M12" i="4"/>
  <c r="I32" i="4"/>
  <c r="M32" i="4"/>
  <c r="H32" i="4"/>
  <c r="I52" i="4"/>
  <c r="M52" i="4"/>
  <c r="H52" i="4"/>
  <c r="I72" i="4"/>
  <c r="M72" i="4"/>
  <c r="I92" i="4"/>
  <c r="M92" i="4"/>
  <c r="I112" i="4"/>
  <c r="M112" i="4"/>
  <c r="I132" i="4"/>
  <c r="M132" i="4"/>
  <c r="H132" i="4"/>
  <c r="I152" i="4"/>
  <c r="M152" i="4"/>
  <c r="H152" i="4"/>
  <c r="T156" i="4"/>
  <c r="O95" i="4"/>
  <c r="N94" i="4"/>
  <c r="M70" i="2"/>
  <c r="I70" i="2"/>
  <c r="H10" i="2"/>
  <c r="I67" i="2"/>
  <c r="N109" i="3"/>
  <c r="M43" i="3"/>
  <c r="O34" i="4"/>
  <c r="H111" i="4"/>
  <c r="M51" i="2"/>
  <c r="H51" i="2"/>
  <c r="I71" i="2"/>
  <c r="M71" i="2"/>
  <c r="H11" i="2"/>
  <c r="M91" i="2"/>
  <c r="I23" i="3"/>
  <c r="H72" i="4"/>
  <c r="H112" i="4"/>
  <c r="I138" i="4"/>
  <c r="M18" i="4"/>
  <c r="M12" i="2"/>
  <c r="I12" i="2"/>
  <c r="H12" i="2"/>
  <c r="N36" i="2"/>
  <c r="I107" i="2"/>
  <c r="N113" i="3"/>
  <c r="O97" i="4"/>
  <c r="O73" i="4"/>
  <c r="N113" i="4"/>
  <c r="H78" i="4"/>
  <c r="I78" i="4"/>
  <c r="I98" i="4"/>
  <c r="H98" i="4"/>
  <c r="M98" i="4"/>
  <c r="T98" i="4" s="1"/>
  <c r="H38" i="4"/>
  <c r="O114" i="4"/>
  <c r="N114" i="4"/>
  <c r="N146" i="4"/>
  <c r="I31" i="4"/>
  <c r="N74" i="4"/>
  <c r="H72" i="2"/>
  <c r="H5" i="3"/>
  <c r="I5" i="3"/>
  <c r="I105" i="3"/>
  <c r="H105" i="3"/>
  <c r="I85" i="3"/>
  <c r="O76" i="4"/>
  <c r="N96" i="4"/>
  <c r="M6" i="3"/>
  <c r="H6" i="3"/>
  <c r="I6" i="3"/>
  <c r="M106" i="3"/>
  <c r="I106" i="3"/>
  <c r="H106" i="3"/>
  <c r="I26" i="3"/>
  <c r="N26" i="3" s="1"/>
  <c r="I86" i="3"/>
  <c r="N86" i="3" s="1"/>
  <c r="H77" i="4"/>
  <c r="I77" i="4"/>
  <c r="I2" i="4"/>
  <c r="P35" i="4"/>
  <c r="I97" i="4"/>
  <c r="N97" i="4" s="1"/>
  <c r="P136" i="4"/>
  <c r="H11" i="3"/>
  <c r="H66" i="3"/>
  <c r="I91" i="3"/>
  <c r="N20" i="4"/>
  <c r="N100" i="4"/>
  <c r="H2" i="4"/>
  <c r="N35" i="4"/>
  <c r="O35" i="4"/>
  <c r="M80" i="4"/>
  <c r="M72" i="2"/>
  <c r="M31" i="3"/>
  <c r="H31" i="3"/>
  <c r="I31" i="3"/>
  <c r="M111" i="3"/>
  <c r="I111" i="3"/>
  <c r="N111" i="3" s="1"/>
  <c r="H22" i="4"/>
  <c r="I22" i="4"/>
  <c r="H102" i="4"/>
  <c r="I102" i="4"/>
  <c r="P102" i="4" s="1"/>
  <c r="H37" i="4"/>
  <c r="N136" i="4"/>
  <c r="I30" i="3"/>
  <c r="M10" i="3"/>
  <c r="N75" i="4"/>
  <c r="I134" i="4"/>
  <c r="I53" i="4"/>
  <c r="P53" i="4" s="1"/>
  <c r="M9" i="3"/>
  <c r="I9" i="3"/>
  <c r="N9" i="3" s="1"/>
  <c r="M29" i="3"/>
  <c r="I29" i="3"/>
  <c r="M49" i="3"/>
  <c r="I49" i="3"/>
  <c r="M69" i="3"/>
  <c r="I69" i="3"/>
  <c r="M89" i="3"/>
  <c r="I89" i="3"/>
  <c r="M109" i="3"/>
  <c r="I109" i="3"/>
  <c r="I8" i="3"/>
  <c r="N58" i="3"/>
  <c r="I54" i="4"/>
  <c r="N54" i="4" s="1"/>
  <c r="N90" i="3"/>
  <c r="H7" i="3"/>
  <c r="N7" i="3" s="1"/>
  <c r="H107" i="3"/>
  <c r="I10" i="3"/>
  <c r="I108" i="3"/>
  <c r="H53" i="4"/>
  <c r="H133" i="4"/>
  <c r="H13" i="2"/>
  <c r="H33" i="2"/>
  <c r="H53" i="2"/>
  <c r="H73" i="2"/>
  <c r="H93" i="2"/>
  <c r="H113" i="2"/>
  <c r="I13" i="2"/>
  <c r="I33" i="2"/>
  <c r="I53" i="2"/>
  <c r="I73" i="2"/>
  <c r="I93" i="2"/>
  <c r="I113" i="2"/>
  <c r="I5" i="4"/>
  <c r="N5" i="4" s="1"/>
  <c r="I25" i="4"/>
  <c r="I45" i="4"/>
  <c r="N45" i="4" s="1"/>
  <c r="I65" i="4"/>
  <c r="N65" i="4" s="1"/>
  <c r="I85" i="4"/>
  <c r="P85" i="4" s="1"/>
  <c r="I105" i="4"/>
  <c r="P105" i="4" s="1"/>
  <c r="I125" i="4"/>
  <c r="P125" i="4" s="1"/>
  <c r="I145" i="4"/>
  <c r="H15" i="2"/>
  <c r="H35" i="2"/>
  <c r="H55" i="2"/>
  <c r="H75" i="2"/>
  <c r="H95" i="2"/>
  <c r="H115" i="2"/>
  <c r="I15" i="2"/>
  <c r="I35" i="2"/>
  <c r="P35" i="2" s="1"/>
  <c r="I55" i="2"/>
  <c r="I75" i="2"/>
  <c r="I95" i="2"/>
  <c r="I115" i="2"/>
  <c r="P115" i="2" s="1"/>
  <c r="H18" i="2"/>
  <c r="H38" i="2"/>
  <c r="H58" i="2"/>
  <c r="H78" i="2"/>
  <c r="H98" i="2"/>
  <c r="H118" i="2"/>
  <c r="I18" i="2"/>
  <c r="I38" i="2"/>
  <c r="I58" i="2"/>
  <c r="I78" i="2"/>
  <c r="I98" i="2"/>
  <c r="I118" i="2"/>
  <c r="H20" i="2"/>
  <c r="H40" i="2"/>
  <c r="H60" i="2"/>
  <c r="H80" i="2"/>
  <c r="H100" i="2"/>
  <c r="H120" i="2"/>
  <c r="I20" i="2"/>
  <c r="I40" i="2"/>
  <c r="I60" i="2"/>
  <c r="I80" i="2"/>
  <c r="I100" i="2"/>
  <c r="I120" i="2"/>
  <c r="Y148" i="4"/>
  <c r="Y128" i="4"/>
  <c r="Y108" i="4"/>
  <c r="Y88" i="4"/>
  <c r="Y146" i="4"/>
  <c r="Y126" i="4"/>
  <c r="Y106" i="4"/>
  <c r="Y64" i="4"/>
  <c r="X140" i="4"/>
  <c r="X120" i="4"/>
  <c r="X100" i="4"/>
  <c r="X139" i="4"/>
  <c r="X119" i="4"/>
  <c r="X52" i="4"/>
  <c r="Y25" i="3"/>
  <c r="Y5" i="3"/>
  <c r="Y124" i="3"/>
  <c r="W106" i="3"/>
  <c r="W86" i="3"/>
  <c r="W66" i="3"/>
  <c r="W122" i="3"/>
  <c r="W102" i="3"/>
  <c r="W82" i="3"/>
  <c r="X80" i="2"/>
  <c r="X83" i="2"/>
  <c r="X100" i="2"/>
  <c r="P61" i="4"/>
  <c r="N108" i="4"/>
  <c r="O85" i="4"/>
  <c r="O77" i="4"/>
  <c r="O74" i="4"/>
  <c r="N36" i="4"/>
  <c r="N34" i="4"/>
  <c r="N15" i="3"/>
  <c r="P15" i="3"/>
  <c r="N14" i="3"/>
  <c r="N115" i="3"/>
  <c r="O90" i="3"/>
  <c r="O49" i="3"/>
  <c r="O21" i="3"/>
  <c r="O9" i="3"/>
  <c r="N64" i="2"/>
  <c r="N121" i="2"/>
  <c r="O32" i="2"/>
  <c r="O31" i="2"/>
  <c r="A2" i="15" a="1"/>
  <c r="A2" i="15" s="1"/>
  <c r="N23" i="4" l="1"/>
  <c r="P20" i="3"/>
  <c r="N90" i="2"/>
  <c r="O90" i="2"/>
  <c r="N120" i="3"/>
  <c r="N56" i="4"/>
  <c r="O56" i="4"/>
  <c r="N8" i="4"/>
  <c r="O117" i="4"/>
  <c r="N117" i="4"/>
  <c r="O116" i="4"/>
  <c r="N116" i="4"/>
  <c r="N17" i="4"/>
  <c r="O17" i="4"/>
  <c r="N33" i="3"/>
  <c r="O33" i="3"/>
  <c r="N26" i="4"/>
  <c r="O26" i="4"/>
  <c r="P68" i="3"/>
  <c r="N68" i="3"/>
  <c r="N21" i="2"/>
  <c r="N62" i="4"/>
  <c r="P156" i="4"/>
  <c r="N156" i="4"/>
  <c r="O88" i="3"/>
  <c r="N28" i="2"/>
  <c r="O40" i="3"/>
  <c r="N40" i="3"/>
  <c r="N28" i="3"/>
  <c r="O28" i="3"/>
  <c r="N66" i="4"/>
  <c r="N112" i="2"/>
  <c r="N137" i="4"/>
  <c r="O137" i="4"/>
  <c r="N83" i="2"/>
  <c r="P83" i="2"/>
  <c r="S28" i="1" a="1"/>
  <c r="S28" i="1" s="1"/>
  <c r="U28" i="1" s="1"/>
  <c r="O42" i="4"/>
  <c r="N6" i="4"/>
  <c r="O47" i="2"/>
  <c r="N47" i="2"/>
  <c r="N3" i="4"/>
  <c r="N39" i="4"/>
  <c r="R28" i="1" a="1"/>
  <c r="R28" i="1" s="1"/>
  <c r="T28" i="1" s="1"/>
  <c r="O7" i="3"/>
  <c r="O154" i="4"/>
  <c r="N62" i="2"/>
  <c r="N25" i="3"/>
  <c r="O25" i="3"/>
  <c r="N16" i="4"/>
  <c r="N71" i="3"/>
  <c r="O71" i="3"/>
  <c r="P88" i="2"/>
  <c r="N88" i="2"/>
  <c r="P63" i="4"/>
  <c r="N84" i="2"/>
  <c r="P84" i="2"/>
  <c r="N128" i="4"/>
  <c r="N8" i="3"/>
  <c r="N48" i="4"/>
  <c r="N14" i="4"/>
  <c r="O63" i="2"/>
  <c r="N63" i="2"/>
  <c r="N125" i="4"/>
  <c r="O19" i="3"/>
  <c r="P39" i="2"/>
  <c r="N39" i="2"/>
  <c r="O8" i="2"/>
  <c r="N8" i="2"/>
  <c r="O80" i="4"/>
  <c r="N80" i="4"/>
  <c r="N76" i="4"/>
  <c r="P87" i="2"/>
  <c r="N87" i="2"/>
  <c r="N140" i="4"/>
  <c r="N43" i="3"/>
  <c r="N46" i="2"/>
  <c r="N95" i="3"/>
  <c r="P95" i="3"/>
  <c r="N86" i="4"/>
  <c r="N105" i="4"/>
  <c r="N25" i="2"/>
  <c r="O25" i="2"/>
  <c r="N142" i="4"/>
  <c r="N73" i="3"/>
  <c r="O48" i="3"/>
  <c r="N120" i="4"/>
  <c r="N78" i="3"/>
  <c r="N21" i="3"/>
  <c r="N30" i="2"/>
  <c r="N35" i="3"/>
  <c r="O112" i="2"/>
  <c r="N77" i="2"/>
  <c r="O77" i="2"/>
  <c r="N103" i="2"/>
  <c r="N55" i="2"/>
  <c r="N52" i="2"/>
  <c r="N51" i="3"/>
  <c r="N110" i="2"/>
  <c r="P89" i="2"/>
  <c r="N56" i="2"/>
  <c r="N50" i="2"/>
  <c r="P50" i="2"/>
  <c r="N111" i="2"/>
  <c r="N57" i="2"/>
  <c r="F7" i="1" a="1"/>
  <c r="F7" i="1" s="1"/>
  <c r="F4" i="1" a="1"/>
  <c r="F4" i="1" s="1"/>
  <c r="F3" i="1" a="1"/>
  <c r="F3" i="1" s="1"/>
  <c r="P3" i="2"/>
  <c r="T3" i="2"/>
  <c r="N29" i="4"/>
  <c r="O29" i="4"/>
  <c r="O97" i="3"/>
  <c r="N97" i="3"/>
  <c r="T129" i="4"/>
  <c r="S4" i="1" a="1"/>
  <c r="S4" i="1" s="1"/>
  <c r="T29" i="2"/>
  <c r="T50" i="4"/>
  <c r="T61" i="2"/>
  <c r="T92" i="3"/>
  <c r="P32" i="3"/>
  <c r="P72" i="3"/>
  <c r="O3" i="2"/>
  <c r="N3" i="2"/>
  <c r="O42" i="2"/>
  <c r="N42" i="2"/>
  <c r="P144" i="4"/>
  <c r="T72" i="4"/>
  <c r="T72" i="3"/>
  <c r="P67" i="4"/>
  <c r="P104" i="2"/>
  <c r="N22" i="2"/>
  <c r="N67" i="4"/>
  <c r="O67" i="4"/>
  <c r="P114" i="2"/>
  <c r="P104" i="3"/>
  <c r="P98" i="2"/>
  <c r="O55" i="2"/>
  <c r="N53" i="2"/>
  <c r="O53" i="2"/>
  <c r="P49" i="3"/>
  <c r="O22" i="4"/>
  <c r="N22" i="4"/>
  <c r="P77" i="4"/>
  <c r="P105" i="3"/>
  <c r="P78" i="4"/>
  <c r="N72" i="4"/>
  <c r="O72" i="4"/>
  <c r="T70" i="2"/>
  <c r="T52" i="4"/>
  <c r="O151" i="4"/>
  <c r="N151" i="4"/>
  <c r="N122" i="3"/>
  <c r="P122" i="3"/>
  <c r="T74" i="3"/>
  <c r="P103" i="2"/>
  <c r="P117" i="3"/>
  <c r="T104" i="2"/>
  <c r="F5" i="1" a="1"/>
  <c r="F5" i="1" s="1"/>
  <c r="P129" i="4"/>
  <c r="T47" i="4"/>
  <c r="T114" i="2"/>
  <c r="P19" i="4"/>
  <c r="T104" i="3"/>
  <c r="N109" i="2"/>
  <c r="O109" i="2"/>
  <c r="P50" i="4"/>
  <c r="P116" i="3"/>
  <c r="T41" i="2"/>
  <c r="O92" i="3"/>
  <c r="N92" i="3"/>
  <c r="O124" i="4"/>
  <c r="T117" i="3"/>
  <c r="P101" i="2"/>
  <c r="O60" i="2"/>
  <c r="N60" i="2"/>
  <c r="T70" i="4"/>
  <c r="N113" i="2"/>
  <c r="O113" i="2"/>
  <c r="P85" i="3"/>
  <c r="N107" i="2"/>
  <c r="O107" i="2"/>
  <c r="P19" i="2"/>
  <c r="T144" i="4"/>
  <c r="O20" i="2"/>
  <c r="N20" i="2"/>
  <c r="P69" i="3"/>
  <c r="N69" i="3"/>
  <c r="O129" i="4"/>
  <c r="N129" i="4"/>
  <c r="P39" i="3"/>
  <c r="P44" i="2"/>
  <c r="G8" i="1" a="1"/>
  <c r="G8" i="1" s="1"/>
  <c r="N109" i="4"/>
  <c r="O109" i="4"/>
  <c r="P47" i="4"/>
  <c r="O114" i="2"/>
  <c r="N114" i="2"/>
  <c r="T19" i="4"/>
  <c r="P84" i="3"/>
  <c r="T109" i="2"/>
  <c r="N50" i="4"/>
  <c r="O50" i="4"/>
  <c r="O116" i="3"/>
  <c r="N116" i="3"/>
  <c r="N41" i="2"/>
  <c r="O41" i="2"/>
  <c r="P92" i="3"/>
  <c r="T124" i="4"/>
  <c r="O38" i="4"/>
  <c r="T32" i="3"/>
  <c r="N48" i="2"/>
  <c r="O48" i="2"/>
  <c r="N73" i="2"/>
  <c r="O73" i="2"/>
  <c r="T49" i="3"/>
  <c r="T103" i="2"/>
  <c r="P29" i="3"/>
  <c r="N29" i="3"/>
  <c r="O32" i="4"/>
  <c r="N32" i="4"/>
  <c r="P151" i="4"/>
  <c r="T82" i="3"/>
  <c r="N41" i="3"/>
  <c r="P41" i="3"/>
  <c r="P43" i="2"/>
  <c r="T119" i="2"/>
  <c r="P57" i="3"/>
  <c r="F6" i="1" a="1"/>
  <c r="F6" i="1" s="1"/>
  <c r="T109" i="4"/>
  <c r="T114" i="3"/>
  <c r="N47" i="4"/>
  <c r="O47" i="4"/>
  <c r="O119" i="4"/>
  <c r="P94" i="2"/>
  <c r="N84" i="3"/>
  <c r="O84" i="3"/>
  <c r="P109" i="2"/>
  <c r="T10" i="4"/>
  <c r="T30" i="4"/>
  <c r="T116" i="3"/>
  <c r="P21" i="2"/>
  <c r="T64" i="4"/>
  <c r="P124" i="4"/>
  <c r="T24" i="4"/>
  <c r="T97" i="3"/>
  <c r="T69" i="3"/>
  <c r="N38" i="2"/>
  <c r="P38" i="2"/>
  <c r="O57" i="3"/>
  <c r="N57" i="3"/>
  <c r="F8" i="1" a="1"/>
  <c r="F8" i="1" s="1"/>
  <c r="P109" i="4"/>
  <c r="O114" i="3"/>
  <c r="N114" i="3"/>
  <c r="T27" i="4"/>
  <c r="T159" i="4"/>
  <c r="T94" i="2"/>
  <c r="P16" i="3"/>
  <c r="T84" i="3"/>
  <c r="P30" i="4"/>
  <c r="P96" i="3"/>
  <c r="G7" i="1" a="1"/>
  <c r="G7" i="1" s="1"/>
  <c r="T21" i="2"/>
  <c r="O64" i="4"/>
  <c r="T12" i="3"/>
  <c r="P24" i="4"/>
  <c r="T12" i="2"/>
  <c r="T19" i="2"/>
  <c r="N44" i="4"/>
  <c r="O44" i="4"/>
  <c r="N13" i="2"/>
  <c r="P13" i="2"/>
  <c r="P92" i="4"/>
  <c r="T39" i="4"/>
  <c r="O98" i="4"/>
  <c r="N98" i="4"/>
  <c r="N75" i="2"/>
  <c r="O75" i="2"/>
  <c r="N112" i="4"/>
  <c r="O112" i="4"/>
  <c r="P48" i="2"/>
  <c r="S24" i="1" a="1"/>
  <c r="S24" i="1" s="1"/>
  <c r="T32" i="4"/>
  <c r="O82" i="3"/>
  <c r="N82" i="3"/>
  <c r="T43" i="2"/>
  <c r="N81" i="3"/>
  <c r="N24" i="2"/>
  <c r="O24" i="2"/>
  <c r="P37" i="3"/>
  <c r="T89" i="4"/>
  <c r="G6" i="1" a="1"/>
  <c r="G6" i="1" s="1"/>
  <c r="P114" i="3"/>
  <c r="P27" i="4"/>
  <c r="N94" i="2"/>
  <c r="O94" i="2"/>
  <c r="O64" i="3"/>
  <c r="N64" i="3"/>
  <c r="N85" i="3"/>
  <c r="T150" i="4"/>
  <c r="O30" i="4"/>
  <c r="N30" i="4"/>
  <c r="O96" i="3"/>
  <c r="N96" i="3"/>
  <c r="N16" i="3"/>
  <c r="N64" i="4"/>
  <c r="P64" i="4"/>
  <c r="O12" i="3"/>
  <c r="N12" i="3"/>
  <c r="O24" i="4"/>
  <c r="N24" i="4"/>
  <c r="N37" i="4"/>
  <c r="O37" i="4"/>
  <c r="P77" i="3"/>
  <c r="P11" i="4"/>
  <c r="P22" i="4"/>
  <c r="O122" i="3"/>
  <c r="T34" i="3"/>
  <c r="O13" i="2"/>
  <c r="O5" i="3"/>
  <c r="N5" i="3"/>
  <c r="P145" i="4"/>
  <c r="P26" i="3"/>
  <c r="P32" i="4"/>
  <c r="T119" i="3"/>
  <c r="N118" i="2"/>
  <c r="O118" i="2"/>
  <c r="N53" i="4"/>
  <c r="O53" i="4"/>
  <c r="T9" i="3"/>
  <c r="N106" i="3"/>
  <c r="O106" i="3"/>
  <c r="T91" i="2"/>
  <c r="T12" i="4"/>
  <c r="P131" i="4"/>
  <c r="N62" i="3"/>
  <c r="O62" i="3"/>
  <c r="P81" i="3"/>
  <c r="P105" i="2"/>
  <c r="P99" i="3"/>
  <c r="P24" i="2"/>
  <c r="T37" i="3"/>
  <c r="G4" i="1" a="1"/>
  <c r="G4" i="1" s="1"/>
  <c r="P89" i="4"/>
  <c r="N89" i="4"/>
  <c r="T94" i="3"/>
  <c r="T147" i="4"/>
  <c r="N27" i="4"/>
  <c r="O27" i="4"/>
  <c r="N112" i="3"/>
  <c r="O112" i="3"/>
  <c r="O139" i="4"/>
  <c r="N139" i="4"/>
  <c r="T74" i="2"/>
  <c r="P64" i="3"/>
  <c r="P81" i="2"/>
  <c r="P150" i="4"/>
  <c r="P10" i="4"/>
  <c r="T96" i="3"/>
  <c r="P12" i="3"/>
  <c r="T109" i="3"/>
  <c r="T51" i="4"/>
  <c r="O90" i="4"/>
  <c r="N90" i="4"/>
  <c r="N81" i="2"/>
  <c r="O81" i="2"/>
  <c r="T112" i="3"/>
  <c r="F26" i="1" a="1"/>
  <c r="F26" i="1" s="1"/>
  <c r="F25" i="1" a="1"/>
  <c r="F25" i="1" s="1"/>
  <c r="F24" i="1" a="1"/>
  <c r="F24" i="1" s="1"/>
  <c r="F23" i="1" a="1"/>
  <c r="F23" i="1" s="1"/>
  <c r="P2" i="4"/>
  <c r="G28" i="1" a="1"/>
  <c r="G28" i="1" s="1"/>
  <c r="G26" i="1" a="1"/>
  <c r="G26" i="1" s="1"/>
  <c r="G27" i="1" a="1"/>
  <c r="G27" i="1" s="1"/>
  <c r="G25" i="1" a="1"/>
  <c r="G25" i="1" s="1"/>
  <c r="G24" i="1" a="1"/>
  <c r="G24" i="1" s="1"/>
  <c r="G23" i="1" a="1"/>
  <c r="G23" i="1" s="1"/>
  <c r="F28" i="1" a="1"/>
  <c r="F28" i="1" s="1"/>
  <c r="F27" i="1" a="1"/>
  <c r="F27" i="1" s="1"/>
  <c r="P61" i="2"/>
  <c r="T151" i="4"/>
  <c r="N72" i="2"/>
  <c r="O72" i="2"/>
  <c r="P119" i="3"/>
  <c r="P108" i="3"/>
  <c r="G5" i="1" a="1"/>
  <c r="G5" i="1" s="1"/>
  <c r="P112" i="3"/>
  <c r="P139" i="4"/>
  <c r="P74" i="2"/>
  <c r="T64" i="3"/>
  <c r="T69" i="2"/>
  <c r="O150" i="4"/>
  <c r="N150" i="4"/>
  <c r="N10" i="4"/>
  <c r="O10" i="4"/>
  <c r="P76" i="3"/>
  <c r="T31" i="3"/>
  <c r="T82" i="2"/>
  <c r="P70" i="4"/>
  <c r="N93" i="2"/>
  <c r="O93" i="2"/>
  <c r="O119" i="3"/>
  <c r="N119" i="3"/>
  <c r="N105" i="3"/>
  <c r="O105" i="3"/>
  <c r="O35" i="2"/>
  <c r="N35" i="2"/>
  <c r="P5" i="3"/>
  <c r="P58" i="2"/>
  <c r="P86" i="3"/>
  <c r="O44" i="2"/>
  <c r="N44" i="2"/>
  <c r="P9" i="3"/>
  <c r="T4" i="2"/>
  <c r="T69" i="4"/>
  <c r="N74" i="3"/>
  <c r="O74" i="3"/>
  <c r="N147" i="4"/>
  <c r="O147" i="4"/>
  <c r="P7" i="4"/>
  <c r="N54" i="2"/>
  <c r="P54" i="2"/>
  <c r="N44" i="3"/>
  <c r="O44" i="3"/>
  <c r="P69" i="2"/>
  <c r="T130" i="4"/>
  <c r="T16" i="3"/>
  <c r="T76" i="3"/>
  <c r="P68" i="2"/>
  <c r="R5" i="1" a="1"/>
  <c r="R5" i="1" s="1"/>
  <c r="P15" i="2"/>
  <c r="T87" i="2"/>
  <c r="O68" i="2"/>
  <c r="N68" i="2"/>
  <c r="O117" i="3"/>
  <c r="N117" i="3"/>
  <c r="T149" i="4"/>
  <c r="P59" i="4"/>
  <c r="R8" i="1" a="1"/>
  <c r="R8" i="1" s="1"/>
  <c r="R27" i="1" a="1"/>
  <c r="R27" i="1" s="1"/>
  <c r="P98" i="4"/>
  <c r="N52" i="4"/>
  <c r="O52" i="4"/>
  <c r="P59" i="2"/>
  <c r="P18" i="2"/>
  <c r="N133" i="4"/>
  <c r="O133" i="4"/>
  <c r="N38" i="4"/>
  <c r="O98" i="2"/>
  <c r="N98" i="2"/>
  <c r="P106" i="3"/>
  <c r="T111" i="4"/>
  <c r="T77" i="3"/>
  <c r="N99" i="3"/>
  <c r="O99" i="3"/>
  <c r="P4" i="2"/>
  <c r="N37" i="3"/>
  <c r="O37" i="3"/>
  <c r="O69" i="4"/>
  <c r="N69" i="4"/>
  <c r="T7" i="4"/>
  <c r="N78" i="2"/>
  <c r="O78" i="2"/>
  <c r="P65" i="4"/>
  <c r="T123" i="3"/>
  <c r="T61" i="3"/>
  <c r="P100" i="2"/>
  <c r="O58" i="2"/>
  <c r="N58" i="2"/>
  <c r="P45" i="4"/>
  <c r="N107" i="3"/>
  <c r="O107" i="3"/>
  <c r="R25" i="1" a="1"/>
  <c r="R25" i="1" s="1"/>
  <c r="P6" i="3"/>
  <c r="P71" i="2"/>
  <c r="N71" i="2"/>
  <c r="T152" i="4"/>
  <c r="P123" i="3"/>
  <c r="N123" i="3"/>
  <c r="P91" i="4"/>
  <c r="P22" i="3"/>
  <c r="N22" i="3"/>
  <c r="P22" i="2"/>
  <c r="O45" i="2"/>
  <c r="N45" i="2"/>
  <c r="O79" i="3"/>
  <c r="T23" i="2"/>
  <c r="P69" i="4"/>
  <c r="P74" i="3"/>
  <c r="T127" i="4"/>
  <c r="N7" i="4"/>
  <c r="O7" i="4"/>
  <c r="P99" i="4"/>
  <c r="O54" i="2"/>
  <c r="P121" i="2"/>
  <c r="T44" i="3"/>
  <c r="R4" i="1" a="1"/>
  <c r="R4" i="1" s="1"/>
  <c r="N69" i="2"/>
  <c r="O69" i="2"/>
  <c r="P130" i="4"/>
  <c r="N76" i="3"/>
  <c r="O76" i="3"/>
  <c r="N104" i="2"/>
  <c r="N80" i="2"/>
  <c r="O80" i="2"/>
  <c r="P134" i="4"/>
  <c r="N134" i="4"/>
  <c r="R26" i="1" a="1"/>
  <c r="R26" i="1" s="1"/>
  <c r="P91" i="3"/>
  <c r="N91" i="3"/>
  <c r="O6" i="3"/>
  <c r="N6" i="3"/>
  <c r="N51" i="2"/>
  <c r="O51" i="2"/>
  <c r="P152" i="4"/>
  <c r="O83" i="3"/>
  <c r="N83" i="3"/>
  <c r="T91" i="4"/>
  <c r="T22" i="3"/>
  <c r="N99" i="2"/>
  <c r="O99" i="2"/>
  <c r="P5" i="2"/>
  <c r="T59" i="3"/>
  <c r="N23" i="2"/>
  <c r="O23" i="2"/>
  <c r="N49" i="4"/>
  <c r="O49" i="4"/>
  <c r="O54" i="3"/>
  <c r="N54" i="3"/>
  <c r="P127" i="4"/>
  <c r="O99" i="4"/>
  <c r="N99" i="4"/>
  <c r="T54" i="2"/>
  <c r="P9" i="2"/>
  <c r="N24" i="3"/>
  <c r="O24" i="3"/>
  <c r="R6" i="1" a="1"/>
  <c r="R6" i="1" s="1"/>
  <c r="O130" i="4"/>
  <c r="N130" i="4"/>
  <c r="T56" i="3"/>
  <c r="N105" i="2"/>
  <c r="P4" i="4"/>
  <c r="N108" i="3"/>
  <c r="O84" i="4"/>
  <c r="P87" i="4"/>
  <c r="O144" i="4"/>
  <c r="N144" i="4"/>
  <c r="O19" i="2"/>
  <c r="N19" i="2"/>
  <c r="O87" i="4"/>
  <c r="N87" i="4"/>
  <c r="N115" i="2"/>
  <c r="O115" i="2"/>
  <c r="T80" i="4"/>
  <c r="T48" i="2"/>
  <c r="T81" i="2"/>
  <c r="S3" i="1" a="1"/>
  <c r="S3" i="1" s="1"/>
  <c r="O72" i="3"/>
  <c r="N72" i="3"/>
  <c r="P118" i="2"/>
  <c r="T11" i="4"/>
  <c r="P78" i="2"/>
  <c r="S26" i="1" a="1"/>
  <c r="S26" i="1" s="1"/>
  <c r="T81" i="3"/>
  <c r="G3" i="1" a="1"/>
  <c r="G3" i="1" s="1"/>
  <c r="N11" i="2"/>
  <c r="O11" i="2"/>
  <c r="P12" i="4"/>
  <c r="P61" i="3"/>
  <c r="N61" i="3"/>
  <c r="T105" i="2"/>
  <c r="P120" i="2"/>
  <c r="N10" i="3"/>
  <c r="P10" i="3"/>
  <c r="T71" i="2"/>
  <c r="N152" i="4"/>
  <c r="O152" i="4"/>
  <c r="P111" i="4"/>
  <c r="P121" i="3"/>
  <c r="N121" i="3"/>
  <c r="T62" i="3"/>
  <c r="P45" i="2"/>
  <c r="N85" i="4"/>
  <c r="P60" i="2"/>
  <c r="O18" i="2"/>
  <c r="N18" i="2"/>
  <c r="P5" i="4"/>
  <c r="O66" i="3"/>
  <c r="N66" i="3"/>
  <c r="T6" i="3"/>
  <c r="T51" i="2"/>
  <c r="N132" i="4"/>
  <c r="O132" i="4"/>
  <c r="P83" i="3"/>
  <c r="P71" i="4"/>
  <c r="P27" i="2"/>
  <c r="S18" i="1" a="1"/>
  <c r="S18" i="1" s="1"/>
  <c r="S17" i="1" a="1"/>
  <c r="S17" i="1" s="1"/>
  <c r="S15" i="1" a="1"/>
  <c r="S15" i="1" s="1"/>
  <c r="S13" i="1" a="1"/>
  <c r="S13" i="1" s="1"/>
  <c r="R17" i="1" a="1"/>
  <c r="R17" i="1" s="1"/>
  <c r="S16" i="1" a="1"/>
  <c r="S16" i="1" s="1"/>
  <c r="R15" i="1" a="1"/>
  <c r="R15" i="1" s="1"/>
  <c r="S14" i="1" a="1"/>
  <c r="S14" i="1" s="1"/>
  <c r="R16" i="1" a="1"/>
  <c r="R16" i="1" s="1"/>
  <c r="R14" i="1" a="1"/>
  <c r="R14" i="1" s="1"/>
  <c r="R13" i="1" a="1"/>
  <c r="R13" i="1" s="1"/>
  <c r="T2" i="3"/>
  <c r="R18" i="1" a="1"/>
  <c r="R18" i="1" s="1"/>
  <c r="O6" i="2"/>
  <c r="N6" i="2"/>
  <c r="T5" i="2"/>
  <c r="O59" i="3"/>
  <c r="N59" i="3"/>
  <c r="P23" i="2"/>
  <c r="C8" i="1" a="1"/>
  <c r="C8" i="1" s="1"/>
  <c r="C6" i="1" a="1"/>
  <c r="C6" i="1" s="1"/>
  <c r="C4" i="1" a="1"/>
  <c r="C4" i="1" s="1"/>
  <c r="B8" i="1" a="1"/>
  <c r="B8" i="1" s="1"/>
  <c r="C7" i="1" a="1"/>
  <c r="C7" i="1" s="1"/>
  <c r="C5" i="1" a="1"/>
  <c r="C5" i="1" s="1"/>
  <c r="B5" i="1" a="1"/>
  <c r="B5" i="1" s="1"/>
  <c r="B6" i="1" a="1"/>
  <c r="B6" i="1" s="1"/>
  <c r="B4" i="1" a="1"/>
  <c r="B4" i="1" s="1"/>
  <c r="B3" i="1" a="1"/>
  <c r="B3" i="1" s="1"/>
  <c r="B7" i="1" a="1"/>
  <c r="B7" i="1" s="1"/>
  <c r="O2" i="2"/>
  <c r="N2" i="2"/>
  <c r="C3" i="1" a="1"/>
  <c r="C3" i="1" s="1"/>
  <c r="T49" i="4"/>
  <c r="O127" i="4"/>
  <c r="T79" i="4"/>
  <c r="O34" i="2"/>
  <c r="N34" i="2"/>
  <c r="T9" i="2"/>
  <c r="P24" i="3"/>
  <c r="S5" i="1" a="1"/>
  <c r="S5" i="1" s="1"/>
  <c r="T110" i="4"/>
  <c r="P56" i="3"/>
  <c r="N11" i="4"/>
  <c r="N4" i="4"/>
  <c r="O4" i="4"/>
  <c r="N84" i="4"/>
  <c r="P84" i="4"/>
  <c r="P3" i="3"/>
  <c r="P9" i="4"/>
  <c r="P14" i="2"/>
  <c r="T72" i="2"/>
  <c r="T89" i="3"/>
  <c r="N67" i="2"/>
  <c r="P67" i="2"/>
  <c r="T31" i="4"/>
  <c r="N42" i="3"/>
  <c r="P42" i="3"/>
  <c r="P97" i="3"/>
  <c r="N92" i="4"/>
  <c r="P138" i="4"/>
  <c r="N138" i="4"/>
  <c r="O4" i="2"/>
  <c r="N4" i="2"/>
  <c r="O70" i="4"/>
  <c r="N70" i="4"/>
  <c r="T29" i="3"/>
  <c r="R23" i="1" a="1"/>
  <c r="R23" i="1" s="1"/>
  <c r="P62" i="3"/>
  <c r="T79" i="3"/>
  <c r="P80" i="2"/>
  <c r="O38" i="2"/>
  <c r="P25" i="4"/>
  <c r="N25" i="4"/>
  <c r="O22" i="2"/>
  <c r="P40" i="2"/>
  <c r="P113" i="2"/>
  <c r="P31" i="4"/>
  <c r="P107" i="2"/>
  <c r="N111" i="4"/>
  <c r="O111" i="4"/>
  <c r="T132" i="4"/>
  <c r="N63" i="3"/>
  <c r="O63" i="3"/>
  <c r="O71" i="4"/>
  <c r="N71" i="4"/>
  <c r="O103" i="2"/>
  <c r="B15" i="1" a="1"/>
  <c r="B15" i="1" s="1"/>
  <c r="B14" i="1" a="1"/>
  <c r="B14" i="1" s="1"/>
  <c r="B13" i="1" a="1"/>
  <c r="B13" i="1" s="1"/>
  <c r="C13" i="1" a="1"/>
  <c r="C13" i="1" s="1"/>
  <c r="B18" i="1" a="1"/>
  <c r="B18" i="1" s="1"/>
  <c r="B17" i="1" a="1"/>
  <c r="B17" i="1" s="1"/>
  <c r="B16" i="1" a="1"/>
  <c r="B16" i="1" s="1"/>
  <c r="C18" i="1" a="1"/>
  <c r="C18" i="1" s="1"/>
  <c r="C17" i="1" a="1"/>
  <c r="C17" i="1" s="1"/>
  <c r="C16" i="1" a="1"/>
  <c r="C16" i="1" s="1"/>
  <c r="O2" i="3"/>
  <c r="C15" i="1" a="1"/>
  <c r="C15" i="1" s="1"/>
  <c r="C14" i="1" a="1"/>
  <c r="C14" i="1" s="1"/>
  <c r="P106" i="2"/>
  <c r="O34" i="3"/>
  <c r="N34" i="3"/>
  <c r="T107" i="4"/>
  <c r="N91" i="4"/>
  <c r="P79" i="4"/>
  <c r="T34" i="2"/>
  <c r="N9" i="2"/>
  <c r="O9" i="2"/>
  <c r="N49" i="2"/>
  <c r="O49" i="2"/>
  <c r="T24" i="3"/>
  <c r="S8" i="1" a="1"/>
  <c r="S8" i="1" s="1"/>
  <c r="P110" i="4"/>
  <c r="O56" i="3"/>
  <c r="N56" i="3"/>
  <c r="T121" i="2"/>
  <c r="T104" i="4"/>
  <c r="T4" i="4"/>
  <c r="T84" i="4"/>
  <c r="P33" i="2"/>
  <c r="T92" i="4"/>
  <c r="T59" i="4"/>
  <c r="N89" i="3"/>
  <c r="P89" i="3"/>
  <c r="O31" i="4"/>
  <c r="N31" i="4"/>
  <c r="T26" i="2"/>
  <c r="N9" i="4"/>
  <c r="N95" i="2"/>
  <c r="O95" i="2"/>
  <c r="T107" i="2"/>
  <c r="N104" i="3"/>
  <c r="O104" i="3"/>
  <c r="P29" i="2"/>
  <c r="N32" i="3"/>
  <c r="O32" i="3"/>
  <c r="P70" i="2"/>
  <c r="N70" i="2"/>
  <c r="O33" i="2"/>
  <c r="N33" i="2"/>
  <c r="N78" i="4"/>
  <c r="O78" i="4"/>
  <c r="P52" i="4"/>
  <c r="O15" i="2"/>
  <c r="N15" i="2"/>
  <c r="P94" i="3"/>
  <c r="R24" i="1" a="1"/>
  <c r="R24" i="1" s="1"/>
  <c r="T106" i="3"/>
  <c r="P54" i="4"/>
  <c r="T10" i="3"/>
  <c r="P111" i="3"/>
  <c r="N11" i="3"/>
  <c r="O11" i="3"/>
  <c r="O81" i="3"/>
  <c r="P20" i="2"/>
  <c r="P95" i="2"/>
  <c r="P93" i="2"/>
  <c r="N30" i="3"/>
  <c r="P30" i="3"/>
  <c r="T111" i="3"/>
  <c r="P132" i="4"/>
  <c r="P63" i="3"/>
  <c r="O59" i="2"/>
  <c r="N59" i="2"/>
  <c r="N2" i="3"/>
  <c r="G18" i="1" a="1"/>
  <c r="G18" i="1" s="1"/>
  <c r="G17" i="1" a="1"/>
  <c r="G17" i="1" s="1"/>
  <c r="G14" i="1" a="1"/>
  <c r="G14" i="1" s="1"/>
  <c r="G13" i="1" a="1"/>
  <c r="G13" i="1" s="1"/>
  <c r="F18" i="1" a="1"/>
  <c r="F18" i="1" s="1"/>
  <c r="F14" i="1" a="1"/>
  <c r="F14" i="1" s="1"/>
  <c r="F17" i="1" a="1"/>
  <c r="F17" i="1" s="1"/>
  <c r="F16" i="1" a="1"/>
  <c r="F16" i="1" s="1"/>
  <c r="F15" i="1" a="1"/>
  <c r="F15" i="1" s="1"/>
  <c r="G16" i="1" a="1"/>
  <c r="G16" i="1" s="1"/>
  <c r="P2" i="3"/>
  <c r="F13" i="1" a="1"/>
  <c r="F13" i="1" s="1"/>
  <c r="G15" i="1" a="1"/>
  <c r="G15" i="1" s="1"/>
  <c r="N106" i="2"/>
  <c r="O106" i="2"/>
  <c r="N39" i="3"/>
  <c r="O39" i="3"/>
  <c r="O102" i="2"/>
  <c r="N102" i="2"/>
  <c r="T29" i="4"/>
  <c r="P34" i="3"/>
  <c r="P107" i="4"/>
  <c r="P34" i="2"/>
  <c r="P49" i="2"/>
  <c r="P4" i="3"/>
  <c r="S6" i="1" a="1"/>
  <c r="S6" i="1" s="1"/>
  <c r="N110" i="4"/>
  <c r="O110" i="4"/>
  <c r="O36" i="3"/>
  <c r="N36" i="3"/>
  <c r="S23" i="1" a="1"/>
  <c r="S23" i="1" s="1"/>
  <c r="P104" i="4"/>
  <c r="T52" i="3"/>
  <c r="P44" i="4"/>
  <c r="N40" i="2"/>
  <c r="O40" i="2"/>
  <c r="T18" i="4"/>
  <c r="N29" i="2"/>
  <c r="O29" i="2"/>
  <c r="O102" i="4"/>
  <c r="N102" i="4"/>
  <c r="N10" i="2"/>
  <c r="O10" i="2"/>
  <c r="T22" i="2"/>
  <c r="S27" i="1" a="1"/>
  <c r="S27" i="1" s="1"/>
  <c r="O43" i="2"/>
  <c r="N43" i="2"/>
  <c r="N120" i="2"/>
  <c r="O120" i="2"/>
  <c r="P75" i="2"/>
  <c r="P73" i="2"/>
  <c r="P8" i="3"/>
  <c r="S25" i="1" a="1"/>
  <c r="S25" i="1" s="1"/>
  <c r="P31" i="3"/>
  <c r="N12" i="2"/>
  <c r="O12" i="2"/>
  <c r="T112" i="4"/>
  <c r="T63" i="3"/>
  <c r="P51" i="4"/>
  <c r="P108" i="2"/>
  <c r="T83" i="2"/>
  <c r="T106" i="2"/>
  <c r="T39" i="3"/>
  <c r="T102" i="2"/>
  <c r="P29" i="4"/>
  <c r="N79" i="2"/>
  <c r="O79" i="2"/>
  <c r="N107" i="4"/>
  <c r="O107" i="4"/>
  <c r="T14" i="2"/>
  <c r="N4" i="3"/>
  <c r="O4" i="3"/>
  <c r="S7" i="1" a="1"/>
  <c r="S7" i="1" s="1"/>
  <c r="N79" i="4"/>
  <c r="T90" i="4"/>
  <c r="P36" i="3"/>
  <c r="N101" i="2"/>
  <c r="O101" i="2"/>
  <c r="N104" i="4"/>
  <c r="O104" i="4"/>
  <c r="N52" i="3"/>
  <c r="O52" i="3"/>
  <c r="R7" i="1" a="1"/>
  <c r="R7" i="1" s="1"/>
  <c r="T42" i="2"/>
  <c r="T44" i="4"/>
  <c r="P72" i="4"/>
  <c r="C25" i="1" a="1"/>
  <c r="C25" i="1" s="1"/>
  <c r="C24" i="1" a="1"/>
  <c r="C24" i="1" s="1"/>
  <c r="C23" i="1" a="1"/>
  <c r="C23" i="1" s="1"/>
  <c r="B28" i="1" a="1"/>
  <c r="B28" i="1" s="1"/>
  <c r="B26" i="1" a="1"/>
  <c r="B26" i="1" s="1"/>
  <c r="B24" i="1" a="1"/>
  <c r="B24" i="1" s="1"/>
  <c r="C27" i="1" a="1"/>
  <c r="C27" i="1" s="1"/>
  <c r="B25" i="1" a="1"/>
  <c r="B25" i="1" s="1"/>
  <c r="B27" i="1" a="1"/>
  <c r="B27" i="1" s="1"/>
  <c r="B23" i="1" a="1"/>
  <c r="B23" i="1" s="1"/>
  <c r="N2" i="4"/>
  <c r="C28" i="1" a="1"/>
  <c r="C28" i="1" s="1"/>
  <c r="O2" i="4"/>
  <c r="C26" i="1" a="1"/>
  <c r="C26" i="1" s="1"/>
  <c r="P23" i="3"/>
  <c r="N23" i="3"/>
  <c r="N131" i="4"/>
  <c r="O131" i="4"/>
  <c r="T131" i="4"/>
  <c r="N5" i="2"/>
  <c r="O5" i="2"/>
  <c r="N77" i="4"/>
  <c r="N100" i="2"/>
  <c r="O100" i="2"/>
  <c r="P55" i="2"/>
  <c r="P53" i="2"/>
  <c r="P109" i="3"/>
  <c r="N31" i="3"/>
  <c r="O31" i="3"/>
  <c r="P97" i="4"/>
  <c r="P12" i="2"/>
  <c r="T43" i="3"/>
  <c r="P112" i="4"/>
  <c r="O3" i="3"/>
  <c r="N3" i="3"/>
  <c r="N51" i="4"/>
  <c r="O51" i="4"/>
  <c r="N108" i="2"/>
  <c r="O108" i="2"/>
  <c r="P62" i="2"/>
  <c r="P66" i="2"/>
  <c r="O149" i="4"/>
  <c r="N149" i="4"/>
  <c r="N82" i="2"/>
  <c r="O82" i="2"/>
  <c r="T9" i="4"/>
  <c r="T79" i="2"/>
  <c r="T87" i="4"/>
  <c r="N145" i="4"/>
  <c r="N14" i="2"/>
  <c r="O14" i="2"/>
  <c r="T4" i="3"/>
  <c r="R3" i="1" a="1"/>
  <c r="R3" i="1" s="1"/>
  <c r="T3" i="1" s="1"/>
  <c r="P90" i="4"/>
  <c r="T36" i="3"/>
  <c r="T101" i="2"/>
  <c r="N74" i="2"/>
  <c r="N61" i="2"/>
  <c r="P52" i="3"/>
  <c r="Z69" i="4" l="1"/>
  <c r="T24" i="1"/>
  <c r="D4" i="1"/>
  <c r="Z64" i="4"/>
  <c r="U27" i="1"/>
  <c r="Z72" i="4"/>
  <c r="Z59" i="4"/>
  <c r="U8" i="1"/>
  <c r="U26" i="1"/>
  <c r="I7" i="1"/>
  <c r="D27" i="1"/>
  <c r="E25" i="1"/>
  <c r="I27" i="1"/>
  <c r="Z70" i="4"/>
  <c r="I6" i="1"/>
  <c r="T17" i="1"/>
  <c r="E7" i="1"/>
  <c r="D26" i="1"/>
  <c r="U158" i="4" s="1"/>
  <c r="D28" i="1"/>
  <c r="Z80" i="4"/>
  <c r="E23" i="1"/>
  <c r="E17" i="1"/>
  <c r="Z79" i="4"/>
  <c r="D16" i="1"/>
  <c r="I28" i="1"/>
  <c r="E13" i="1"/>
  <c r="H23" i="1"/>
  <c r="H24" i="1"/>
  <c r="H25" i="1"/>
  <c r="T23" i="1"/>
  <c r="T16" i="1"/>
  <c r="I3" i="1"/>
  <c r="H26" i="1"/>
  <c r="D18" i="1"/>
  <c r="U6" i="1"/>
  <c r="T15" i="1"/>
  <c r="E24" i="1"/>
  <c r="D5" i="1"/>
  <c r="U9" i="2" s="1"/>
  <c r="U7" i="1"/>
  <c r="U25" i="1"/>
  <c r="I15" i="1"/>
  <c r="E14" i="1"/>
  <c r="E6" i="1"/>
  <c r="T4" i="1"/>
  <c r="I16" i="1"/>
  <c r="I14" i="1"/>
  <c r="T13" i="1"/>
  <c r="T18" i="1"/>
  <c r="I13" i="1"/>
  <c r="H8" i="1"/>
  <c r="I17" i="1"/>
  <c r="T14" i="1"/>
  <c r="D3" i="1"/>
  <c r="I5" i="1"/>
  <c r="D15" i="1"/>
  <c r="I18" i="1"/>
  <c r="I4" i="1"/>
  <c r="D8" i="1"/>
  <c r="U43" i="2" s="1"/>
  <c r="U5" i="1"/>
  <c r="D14" i="1"/>
  <c r="D6" i="1"/>
  <c r="U3" i="1"/>
  <c r="Z26" i="2" s="1"/>
  <c r="I26" i="1"/>
  <c r="U4" i="1"/>
  <c r="U14" i="1"/>
  <c r="H5" i="1"/>
  <c r="T5" i="1"/>
  <c r="H6" i="1"/>
  <c r="I8" i="1"/>
  <c r="U16" i="1"/>
  <c r="E8" i="1"/>
  <c r="U13" i="1"/>
  <c r="H13" i="1"/>
  <c r="E15" i="1"/>
  <c r="U15" i="1"/>
  <c r="T27" i="1"/>
  <c r="U76" i="2"/>
  <c r="U77" i="2"/>
  <c r="U90" i="2"/>
  <c r="U92" i="2"/>
  <c r="T7" i="1"/>
  <c r="U17" i="1"/>
  <c r="T8" i="1"/>
  <c r="E5" i="1"/>
  <c r="E4" i="1"/>
  <c r="U84" i="2" s="1"/>
  <c r="E26" i="1"/>
  <c r="H15" i="1"/>
  <c r="E28" i="1"/>
  <c r="H16" i="1"/>
  <c r="Z97" i="4"/>
  <c r="Z93" i="4"/>
  <c r="Z133" i="4"/>
  <c r="Z153" i="4"/>
  <c r="Z115" i="4"/>
  <c r="Z113" i="4"/>
  <c r="Z102" i="4"/>
  <c r="Z146" i="4"/>
  <c r="E16" i="1"/>
  <c r="U18" i="1"/>
  <c r="H17" i="1"/>
  <c r="T6" i="1"/>
  <c r="U24" i="1"/>
  <c r="Z151" i="4" s="1"/>
  <c r="H3" i="1"/>
  <c r="D23" i="1"/>
  <c r="Z112" i="4"/>
  <c r="H14" i="1"/>
  <c r="E3" i="1"/>
  <c r="H27" i="1"/>
  <c r="H18" i="1"/>
  <c r="E18" i="1"/>
  <c r="T25" i="1"/>
  <c r="U98" i="2"/>
  <c r="H28" i="1"/>
  <c r="H4" i="1"/>
  <c r="I23" i="1"/>
  <c r="H7" i="1"/>
  <c r="E27" i="1"/>
  <c r="D17" i="1"/>
  <c r="I24" i="1"/>
  <c r="Z67" i="4"/>
  <c r="Z61" i="4"/>
  <c r="Z78" i="4"/>
  <c r="Z54" i="4"/>
  <c r="Z81" i="4"/>
  <c r="Z75" i="4"/>
  <c r="Z76" i="4"/>
  <c r="Z77" i="4"/>
  <c r="Z56" i="4"/>
  <c r="Z57" i="4"/>
  <c r="Z66" i="4"/>
  <c r="Z65" i="4"/>
  <c r="Z73" i="4"/>
  <c r="Z74" i="4"/>
  <c r="Z55" i="4"/>
  <c r="Z58" i="4"/>
  <c r="Z60" i="4"/>
  <c r="Z62" i="4"/>
  <c r="Z63" i="4"/>
  <c r="Z71" i="4"/>
  <c r="Z68" i="4"/>
  <c r="D13" i="1"/>
  <c r="D25" i="1"/>
  <c r="D24" i="1"/>
  <c r="U23" i="1"/>
  <c r="D7" i="1"/>
  <c r="T26" i="1"/>
  <c r="I25" i="1"/>
  <c r="U109" i="2" l="1"/>
  <c r="V53" i="3"/>
  <c r="U91" i="2"/>
  <c r="Z105" i="4"/>
  <c r="Z108" i="4"/>
  <c r="V155" i="4"/>
  <c r="Z86" i="4"/>
  <c r="Z126" i="4"/>
  <c r="U110" i="2"/>
  <c r="Z2" i="3"/>
  <c r="Z109" i="2"/>
  <c r="U57" i="4"/>
  <c r="U23" i="4"/>
  <c r="U155" i="4"/>
  <c r="Z138" i="4"/>
  <c r="Z99" i="4"/>
  <c r="Z78" i="2"/>
  <c r="Z40" i="3"/>
  <c r="Z31" i="3"/>
  <c r="U40" i="3"/>
  <c r="Z13" i="3"/>
  <c r="V101" i="4"/>
  <c r="Z134" i="4"/>
  <c r="U58" i="2"/>
  <c r="V159" i="4"/>
  <c r="Z79" i="3"/>
  <c r="Z48" i="4"/>
  <c r="Z124" i="3"/>
  <c r="U156" i="4"/>
  <c r="V48" i="2"/>
  <c r="Z142" i="4"/>
  <c r="V57" i="2"/>
  <c r="Z117" i="4"/>
  <c r="U59" i="2"/>
  <c r="U78" i="4"/>
  <c r="Z97" i="2"/>
  <c r="Z145" i="4"/>
  <c r="V157" i="4"/>
  <c r="Z152" i="4"/>
  <c r="V3" i="4"/>
  <c r="Z77" i="2"/>
  <c r="Z98" i="2"/>
  <c r="Z76" i="2"/>
  <c r="Z75" i="2"/>
  <c r="Z85" i="4"/>
  <c r="U69" i="4"/>
  <c r="Z137" i="4"/>
  <c r="Z105" i="2"/>
  <c r="Z73" i="2"/>
  <c r="Z140" i="4"/>
  <c r="U39" i="4"/>
  <c r="Z136" i="4"/>
  <c r="Z40" i="2"/>
  <c r="Z34" i="2"/>
  <c r="U33" i="4"/>
  <c r="Z120" i="4"/>
  <c r="Z37" i="2"/>
  <c r="Z75" i="3"/>
  <c r="U106" i="2"/>
  <c r="Z101" i="4"/>
  <c r="U105" i="2"/>
  <c r="Z39" i="2"/>
  <c r="U2" i="3"/>
  <c r="Z96" i="2"/>
  <c r="Z121" i="4"/>
  <c r="Z88" i="4"/>
  <c r="Z36" i="2"/>
  <c r="V50" i="4"/>
  <c r="Z149" i="4"/>
  <c r="Z132" i="4"/>
  <c r="Z114" i="4"/>
  <c r="Z35" i="2"/>
  <c r="U34" i="2"/>
  <c r="V154" i="4"/>
  <c r="V56" i="2"/>
  <c r="U49" i="3"/>
  <c r="Z87" i="3"/>
  <c r="Z42" i="4"/>
  <c r="V48" i="4"/>
  <c r="Z103" i="3"/>
  <c r="V156" i="4"/>
  <c r="V67" i="2"/>
  <c r="Z100" i="3"/>
  <c r="U60" i="3"/>
  <c r="V82" i="4"/>
  <c r="U47" i="3"/>
  <c r="Z45" i="4"/>
  <c r="Z28" i="2"/>
  <c r="Z118" i="4"/>
  <c r="Z29" i="2"/>
  <c r="Z111" i="2"/>
  <c r="U124" i="3"/>
  <c r="Z96" i="4"/>
  <c r="Z28" i="3"/>
  <c r="Z30" i="2"/>
  <c r="U51" i="3"/>
  <c r="V43" i="4"/>
  <c r="U50" i="3"/>
  <c r="V40" i="4"/>
  <c r="U3" i="3"/>
  <c r="Z32" i="2"/>
  <c r="Z43" i="3"/>
  <c r="Z31" i="2"/>
  <c r="U57" i="3"/>
  <c r="Z123" i="3"/>
  <c r="U48" i="3"/>
  <c r="Z41" i="4"/>
  <c r="Z33" i="2"/>
  <c r="Z25" i="3"/>
  <c r="Z27" i="2"/>
  <c r="Z110" i="2"/>
  <c r="Z24" i="2"/>
  <c r="Z108" i="2"/>
  <c r="Z83" i="4"/>
  <c r="Z125" i="4"/>
  <c r="Z38" i="2"/>
  <c r="V158" i="4"/>
  <c r="U33" i="2"/>
  <c r="Z52" i="4"/>
  <c r="Z23" i="2"/>
  <c r="Z30" i="3"/>
  <c r="Z92" i="4"/>
  <c r="Z128" i="4"/>
  <c r="U3" i="2"/>
  <c r="Z89" i="4"/>
  <c r="U20" i="4"/>
  <c r="Z106" i="4"/>
  <c r="Z143" i="4"/>
  <c r="Z111" i="4"/>
  <c r="Z25" i="2"/>
  <c r="Z39" i="3"/>
  <c r="U62" i="2"/>
  <c r="U66" i="2"/>
  <c r="Z104" i="2"/>
  <c r="U61" i="2"/>
  <c r="U88" i="2"/>
  <c r="U57" i="2"/>
  <c r="U74" i="2"/>
  <c r="U27" i="2"/>
  <c r="Z100" i="2"/>
  <c r="U6" i="2"/>
  <c r="V51" i="2"/>
  <c r="U26" i="2"/>
  <c r="U52" i="3"/>
  <c r="Z51" i="3"/>
  <c r="U69" i="2"/>
  <c r="U30" i="2"/>
  <c r="U80" i="2"/>
  <c r="U93" i="2"/>
  <c r="U39" i="2"/>
  <c r="Z52" i="3"/>
  <c r="U58" i="3"/>
  <c r="U55" i="3"/>
  <c r="U46" i="3"/>
  <c r="Z93" i="2"/>
  <c r="Z50" i="3"/>
  <c r="V63" i="2"/>
  <c r="Z76" i="3"/>
  <c r="U41" i="3"/>
  <c r="U2" i="2"/>
  <c r="U34" i="4"/>
  <c r="U100" i="2"/>
  <c r="U4" i="3"/>
  <c r="U32" i="2"/>
  <c r="U8" i="2"/>
  <c r="U18" i="4"/>
  <c r="V51" i="4"/>
  <c r="U40" i="2"/>
  <c r="U28" i="2"/>
  <c r="V52" i="2"/>
  <c r="U38" i="3"/>
  <c r="U70" i="4"/>
  <c r="V49" i="4"/>
  <c r="U73" i="4"/>
  <c r="U31" i="2"/>
  <c r="U38" i="2"/>
  <c r="V41" i="4"/>
  <c r="U23" i="2"/>
  <c r="U54" i="4"/>
  <c r="U25" i="2"/>
  <c r="Z60" i="3"/>
  <c r="U58" i="4"/>
  <c r="Z53" i="4"/>
  <c r="U4" i="2"/>
  <c r="V42" i="4"/>
  <c r="U79" i="4"/>
  <c r="Z46" i="4"/>
  <c r="U103" i="2"/>
  <c r="V46" i="4"/>
  <c r="Z119" i="4"/>
  <c r="Z103" i="4"/>
  <c r="V44" i="2"/>
  <c r="U74" i="4"/>
  <c r="U77" i="4"/>
  <c r="U56" i="4"/>
  <c r="Z84" i="2"/>
  <c r="Z38" i="3"/>
  <c r="U63" i="2"/>
  <c r="U55" i="2"/>
  <c r="U65" i="2"/>
  <c r="Z48" i="3"/>
  <c r="Z56" i="3"/>
  <c r="U56" i="2"/>
  <c r="U49" i="2"/>
  <c r="U50" i="2"/>
  <c r="Z32" i="3"/>
  <c r="Z86" i="3"/>
  <c r="Z88" i="3"/>
  <c r="U86" i="2"/>
  <c r="Z29" i="3"/>
  <c r="Z34" i="3"/>
  <c r="Z120" i="3"/>
  <c r="Z106" i="3"/>
  <c r="Z41" i="3"/>
  <c r="U53" i="2"/>
  <c r="U48" i="2"/>
  <c r="Z45" i="3"/>
  <c r="Z47" i="3"/>
  <c r="Z46" i="3"/>
  <c r="Z107" i="3"/>
  <c r="Z109" i="3"/>
  <c r="U108" i="2"/>
  <c r="Z53" i="3"/>
  <c r="U83" i="2"/>
  <c r="U107" i="2"/>
  <c r="U44" i="2"/>
  <c r="U101" i="2"/>
  <c r="U7" i="2"/>
  <c r="V61" i="2"/>
  <c r="Z55" i="3"/>
  <c r="U95" i="2"/>
  <c r="Z44" i="3"/>
  <c r="Z90" i="2"/>
  <c r="U94" i="2"/>
  <c r="Z92" i="3"/>
  <c r="Z59" i="3"/>
  <c r="Z86" i="2"/>
  <c r="Z58" i="3"/>
  <c r="U85" i="2"/>
  <c r="Z91" i="2"/>
  <c r="U72" i="2"/>
  <c r="V46" i="2"/>
  <c r="U46" i="2"/>
  <c r="Z42" i="3"/>
  <c r="U87" i="2"/>
  <c r="V47" i="2"/>
  <c r="U82" i="2"/>
  <c r="Z94" i="2"/>
  <c r="U99" i="2"/>
  <c r="U79" i="2"/>
  <c r="U29" i="2"/>
  <c r="U104" i="2"/>
  <c r="V50" i="2"/>
  <c r="U64" i="2"/>
  <c r="U60" i="2"/>
  <c r="U45" i="2"/>
  <c r="Z54" i="3"/>
  <c r="U89" i="2"/>
  <c r="U28" i="4"/>
  <c r="Z71" i="3"/>
  <c r="Z83" i="3"/>
  <c r="Z111" i="3"/>
  <c r="Z11" i="2"/>
  <c r="Z13" i="2"/>
  <c r="Z18" i="2"/>
  <c r="Z20" i="2"/>
  <c r="Z15" i="2"/>
  <c r="Z16" i="2"/>
  <c r="Z17" i="2"/>
  <c r="Z12" i="2"/>
  <c r="Z22" i="2"/>
  <c r="Z19" i="2"/>
  <c r="Z14" i="2"/>
  <c r="Z21" i="2"/>
  <c r="Z15" i="3"/>
  <c r="V145" i="4"/>
  <c r="U63" i="4"/>
  <c r="Z116" i="3"/>
  <c r="V96" i="4"/>
  <c r="U75" i="2"/>
  <c r="V148" i="4"/>
  <c r="V92" i="4"/>
  <c r="Z154" i="4"/>
  <c r="Z155" i="4"/>
  <c r="Z157" i="4"/>
  <c r="Z158" i="4"/>
  <c r="Z156" i="4"/>
  <c r="Z159" i="4"/>
  <c r="Z81" i="3"/>
  <c r="Z95" i="3"/>
  <c r="Z23" i="3"/>
  <c r="U76" i="4"/>
  <c r="V83" i="4"/>
  <c r="V122" i="4"/>
  <c r="U37" i="2"/>
  <c r="Z20" i="3"/>
  <c r="U101" i="4"/>
  <c r="U96" i="4"/>
  <c r="U136" i="4"/>
  <c r="U141" i="4"/>
  <c r="U113" i="4"/>
  <c r="U115" i="4"/>
  <c r="U116" i="4"/>
  <c r="U117" i="4"/>
  <c r="U122" i="4"/>
  <c r="U86" i="4"/>
  <c r="U88" i="4"/>
  <c r="U89" i="4"/>
  <c r="U91" i="4"/>
  <c r="U94" i="4"/>
  <c r="U92" i="4"/>
  <c r="U93" i="4"/>
  <c r="U134" i="4"/>
  <c r="U135" i="4"/>
  <c r="U142" i="4"/>
  <c r="U148" i="4"/>
  <c r="U125" i="4"/>
  <c r="U126" i="4"/>
  <c r="U153" i="4"/>
  <c r="U138" i="4"/>
  <c r="U108" i="4"/>
  <c r="U83" i="4"/>
  <c r="U118" i="4"/>
  <c r="U146" i="4"/>
  <c r="U100" i="4"/>
  <c r="U103" i="4"/>
  <c r="U128" i="4"/>
  <c r="U97" i="4"/>
  <c r="U140" i="4"/>
  <c r="U121" i="4"/>
  <c r="U123" i="4"/>
  <c r="U145" i="4"/>
  <c r="U99" i="4"/>
  <c r="U120" i="4"/>
  <c r="U106" i="4"/>
  <c r="U147" i="4"/>
  <c r="U95" i="4"/>
  <c r="U137" i="4"/>
  <c r="U105" i="4"/>
  <c r="U143" i="4"/>
  <c r="U114" i="4"/>
  <c r="U82" i="4"/>
  <c r="U85" i="4"/>
  <c r="U133" i="4"/>
  <c r="U84" i="4"/>
  <c r="U151" i="4"/>
  <c r="U119" i="4"/>
  <c r="U112" i="4"/>
  <c r="U144" i="4"/>
  <c r="U104" i="4"/>
  <c r="U139" i="4"/>
  <c r="U98" i="4"/>
  <c r="U90" i="4"/>
  <c r="U111" i="4"/>
  <c r="U129" i="4"/>
  <c r="U87" i="4"/>
  <c r="U109" i="4"/>
  <c r="U102" i="4"/>
  <c r="U127" i="4"/>
  <c r="U107" i="4"/>
  <c r="U131" i="4"/>
  <c r="U130" i="4"/>
  <c r="U150" i="4"/>
  <c r="U152" i="4"/>
  <c r="U124" i="4"/>
  <c r="U132" i="4"/>
  <c r="U110" i="4"/>
  <c r="U149" i="4"/>
  <c r="Z115" i="3"/>
  <c r="V84" i="4"/>
  <c r="Z19" i="3"/>
  <c r="Z94" i="3"/>
  <c r="U62" i="4"/>
  <c r="V153" i="4"/>
  <c r="V136" i="4"/>
  <c r="U36" i="2"/>
  <c r="V95" i="3"/>
  <c r="V118" i="3"/>
  <c r="V80" i="3"/>
  <c r="V107" i="3"/>
  <c r="V87" i="3"/>
  <c r="V101" i="3"/>
  <c r="V65" i="3"/>
  <c r="V102" i="3"/>
  <c r="V120" i="3"/>
  <c r="V78" i="3"/>
  <c r="V66" i="3"/>
  <c r="V103" i="3"/>
  <c r="V67" i="3"/>
  <c r="V68" i="3"/>
  <c r="V113" i="3"/>
  <c r="V115" i="3"/>
  <c r="V71" i="3"/>
  <c r="V90" i="3"/>
  <c r="V93" i="3"/>
  <c r="V98" i="3"/>
  <c r="V100" i="3"/>
  <c r="V79" i="3"/>
  <c r="V70" i="3"/>
  <c r="V82" i="3"/>
  <c r="V75" i="3"/>
  <c r="V110" i="3"/>
  <c r="V122" i="3"/>
  <c r="V73" i="3"/>
  <c r="V88" i="3"/>
  <c r="V83" i="3"/>
  <c r="V77" i="3"/>
  <c r="V69" i="3"/>
  <c r="V63" i="3"/>
  <c r="V114" i="3"/>
  <c r="V99" i="3"/>
  <c r="V91" i="3"/>
  <c r="V62" i="3"/>
  <c r="V109" i="3"/>
  <c r="V111" i="3"/>
  <c r="V61" i="3"/>
  <c r="V84" i="3"/>
  <c r="V104" i="3"/>
  <c r="V108" i="3"/>
  <c r="V121" i="3"/>
  <c r="V94" i="3"/>
  <c r="V106" i="3"/>
  <c r="V64" i="3"/>
  <c r="V97" i="3"/>
  <c r="V72" i="3"/>
  <c r="V105" i="3"/>
  <c r="V117" i="3"/>
  <c r="V116" i="3"/>
  <c r="V96" i="3"/>
  <c r="V74" i="3"/>
  <c r="V85" i="3"/>
  <c r="V89" i="3"/>
  <c r="V119" i="3"/>
  <c r="V76" i="3"/>
  <c r="V81" i="3"/>
  <c r="V92" i="3"/>
  <c r="V112" i="3"/>
  <c r="V86" i="3"/>
  <c r="V133" i="4"/>
  <c r="V25" i="3"/>
  <c r="V27" i="3"/>
  <c r="V28" i="3"/>
  <c r="V7" i="3"/>
  <c r="V21" i="3"/>
  <c r="V15" i="3"/>
  <c r="V13" i="3"/>
  <c r="V19" i="3"/>
  <c r="V14" i="3"/>
  <c r="V20" i="3"/>
  <c r="V17" i="3"/>
  <c r="V11" i="3"/>
  <c r="V18" i="3"/>
  <c r="V8" i="3"/>
  <c r="V9" i="3"/>
  <c r="V23" i="3"/>
  <c r="V10" i="3"/>
  <c r="V16" i="3"/>
  <c r="V6" i="3"/>
  <c r="V26" i="3"/>
  <c r="V5" i="3"/>
  <c r="V12" i="3"/>
  <c r="V24" i="3"/>
  <c r="V22" i="3"/>
  <c r="U40" i="4"/>
  <c r="U48" i="4"/>
  <c r="U43" i="4"/>
  <c r="U42" i="4"/>
  <c r="U46" i="4"/>
  <c r="U41" i="4"/>
  <c r="U45" i="4"/>
  <c r="U53" i="4"/>
  <c r="U44" i="4"/>
  <c r="U51" i="4"/>
  <c r="U50" i="4"/>
  <c r="U49" i="4"/>
  <c r="U52" i="4"/>
  <c r="U47" i="4"/>
  <c r="Z51" i="4"/>
  <c r="Z33" i="4"/>
  <c r="Z34" i="4"/>
  <c r="Z37" i="4"/>
  <c r="Z16" i="4"/>
  <c r="Z28" i="4"/>
  <c r="Z35" i="4"/>
  <c r="Z36" i="4"/>
  <c r="Z23" i="4"/>
  <c r="Z21" i="4"/>
  <c r="Z20" i="4"/>
  <c r="Z17" i="4"/>
  <c r="Z25" i="4"/>
  <c r="Z22" i="4"/>
  <c r="Z38" i="4"/>
  <c r="Z26" i="4"/>
  <c r="Z29" i="4"/>
  <c r="Z24" i="4"/>
  <c r="Z19" i="4"/>
  <c r="Z18" i="4"/>
  <c r="Z31" i="4"/>
  <c r="Z32" i="4"/>
  <c r="Z39" i="4"/>
  <c r="Z30" i="4"/>
  <c r="Z27" i="4"/>
  <c r="Z44" i="4"/>
  <c r="Z17" i="3"/>
  <c r="U81" i="4"/>
  <c r="V118" i="4"/>
  <c r="V141" i="4"/>
  <c r="Z49" i="4"/>
  <c r="V7" i="4"/>
  <c r="V12" i="4"/>
  <c r="V9" i="4"/>
  <c r="V10" i="4"/>
  <c r="V4" i="4"/>
  <c r="V11" i="4"/>
  <c r="V2" i="4"/>
  <c r="V105" i="4"/>
  <c r="U29" i="4"/>
  <c r="Z21" i="3"/>
  <c r="V13" i="4"/>
  <c r="U80" i="4"/>
  <c r="V121" i="4"/>
  <c r="V146" i="4"/>
  <c r="Z88" i="2"/>
  <c r="Z107" i="2"/>
  <c r="Z70" i="2"/>
  <c r="Z106" i="2"/>
  <c r="Z79" i="2"/>
  <c r="Z101" i="2"/>
  <c r="Z102" i="2"/>
  <c r="Z83" i="2"/>
  <c r="Z72" i="2"/>
  <c r="Z87" i="2"/>
  <c r="Z81" i="2"/>
  <c r="Z82" i="2"/>
  <c r="U64" i="4"/>
  <c r="Z62" i="3"/>
  <c r="Z96" i="3"/>
  <c r="Z89" i="3"/>
  <c r="Z117" i="3"/>
  <c r="Z113" i="3"/>
  <c r="Z27" i="3"/>
  <c r="V82" i="2"/>
  <c r="V96" i="2"/>
  <c r="V76" i="2"/>
  <c r="V97" i="2"/>
  <c r="V77" i="2"/>
  <c r="V99" i="2"/>
  <c r="V92" i="2"/>
  <c r="V72" i="2"/>
  <c r="V85" i="2"/>
  <c r="V86" i="2"/>
  <c r="V91" i="2"/>
  <c r="V83" i="2"/>
  <c r="V84" i="2"/>
  <c r="V87" i="2"/>
  <c r="V88" i="2"/>
  <c r="V90" i="2"/>
  <c r="V110" i="2"/>
  <c r="V111" i="2"/>
  <c r="V102" i="2"/>
  <c r="V89" i="2"/>
  <c r="V79" i="2"/>
  <c r="V95" i="2"/>
  <c r="V101" i="2"/>
  <c r="V105" i="2"/>
  <c r="V74" i="2"/>
  <c r="V107" i="2"/>
  <c r="V73" i="2"/>
  <c r="V94" i="2"/>
  <c r="V69" i="2"/>
  <c r="V80" i="2"/>
  <c r="V70" i="2"/>
  <c r="V108" i="2"/>
  <c r="V93" i="2"/>
  <c r="V104" i="2"/>
  <c r="V78" i="2"/>
  <c r="V71" i="2"/>
  <c r="V103" i="2"/>
  <c r="V109" i="2"/>
  <c r="V75" i="2"/>
  <c r="V98" i="2"/>
  <c r="V81" i="2"/>
  <c r="V106" i="2"/>
  <c r="V100" i="2"/>
  <c r="Z63" i="3"/>
  <c r="Z18" i="3"/>
  <c r="V15" i="4"/>
  <c r="U75" i="4"/>
  <c r="V94" i="4"/>
  <c r="V88" i="4"/>
  <c r="Z47" i="4"/>
  <c r="Z12" i="3"/>
  <c r="U78" i="3"/>
  <c r="U89" i="3"/>
  <c r="U118" i="3"/>
  <c r="U120" i="3"/>
  <c r="U121" i="3"/>
  <c r="U67" i="3"/>
  <c r="U68" i="3"/>
  <c r="U102" i="3"/>
  <c r="U110" i="3"/>
  <c r="U103" i="3"/>
  <c r="U69" i="3"/>
  <c r="U73" i="3"/>
  <c r="U61" i="3"/>
  <c r="U70" i="3"/>
  <c r="U109" i="3"/>
  <c r="U80" i="3"/>
  <c r="U98" i="3"/>
  <c r="U85" i="3"/>
  <c r="U113" i="3"/>
  <c r="U86" i="3"/>
  <c r="U87" i="3"/>
  <c r="U111" i="3"/>
  <c r="U90" i="3"/>
  <c r="U93" i="3"/>
  <c r="U100" i="3"/>
  <c r="U91" i="3"/>
  <c r="U95" i="3"/>
  <c r="U108" i="3"/>
  <c r="U115" i="3"/>
  <c r="U75" i="3"/>
  <c r="U71" i="3"/>
  <c r="U77" i="3"/>
  <c r="U101" i="3"/>
  <c r="U88" i="3"/>
  <c r="U94" i="3"/>
  <c r="U65" i="3"/>
  <c r="U96" i="3"/>
  <c r="U122" i="3"/>
  <c r="U112" i="3"/>
  <c r="U117" i="3"/>
  <c r="U107" i="3"/>
  <c r="U104" i="3"/>
  <c r="U119" i="3"/>
  <c r="U79" i="3"/>
  <c r="U81" i="3"/>
  <c r="U84" i="3"/>
  <c r="U92" i="3"/>
  <c r="U106" i="3"/>
  <c r="U105" i="3"/>
  <c r="U63" i="3"/>
  <c r="U72" i="3"/>
  <c r="U74" i="3"/>
  <c r="U82" i="3"/>
  <c r="U116" i="3"/>
  <c r="U64" i="3"/>
  <c r="U99" i="3"/>
  <c r="U76" i="3"/>
  <c r="U66" i="3"/>
  <c r="U97" i="3"/>
  <c r="U83" i="3"/>
  <c r="U114" i="3"/>
  <c r="U62" i="3"/>
  <c r="V86" i="4"/>
  <c r="V14" i="4"/>
  <c r="V85" i="4"/>
  <c r="V47" i="4"/>
  <c r="V100" i="4"/>
  <c r="V104" i="4"/>
  <c r="V129" i="4"/>
  <c r="V112" i="4"/>
  <c r="V147" i="4"/>
  <c r="V149" i="4"/>
  <c r="V127" i="4"/>
  <c r="V151" i="4"/>
  <c r="V134" i="4"/>
  <c r="V107" i="4"/>
  <c r="V125" i="4"/>
  <c r="V111" i="4"/>
  <c r="V109" i="4"/>
  <c r="V131" i="4"/>
  <c r="V91" i="4"/>
  <c r="V124" i="4"/>
  <c r="V102" i="4"/>
  <c r="V132" i="4"/>
  <c r="V87" i="4"/>
  <c r="V110" i="4"/>
  <c r="V138" i="4"/>
  <c r="V90" i="4"/>
  <c r="V97" i="4"/>
  <c r="V99" i="4"/>
  <c r="Z80" i="3"/>
  <c r="V150" i="4"/>
  <c r="Z102" i="3"/>
  <c r="Z85" i="3"/>
  <c r="U68" i="4"/>
  <c r="U33" i="3"/>
  <c r="U30" i="3"/>
  <c r="U36" i="3"/>
  <c r="U35" i="3"/>
  <c r="U34" i="3"/>
  <c r="U31" i="3"/>
  <c r="U32" i="3"/>
  <c r="U37" i="3"/>
  <c r="V16" i="2"/>
  <c r="V17" i="2"/>
  <c r="V11" i="2"/>
  <c r="V20" i="2"/>
  <c r="V12" i="2"/>
  <c r="V19" i="2"/>
  <c r="V13" i="2"/>
  <c r="V22" i="2"/>
  <c r="V15" i="2"/>
  <c r="V14" i="2"/>
  <c r="V21" i="2"/>
  <c r="V18" i="2"/>
  <c r="Z14" i="4"/>
  <c r="Z15" i="4"/>
  <c r="Z6" i="4"/>
  <c r="Z8" i="4"/>
  <c r="Z13" i="4"/>
  <c r="Z2" i="4"/>
  <c r="Z3" i="4"/>
  <c r="Z5" i="4"/>
  <c r="Z7" i="4"/>
  <c r="Z9" i="4"/>
  <c r="Z11" i="4"/>
  <c r="Z4" i="4"/>
  <c r="Z10" i="4"/>
  <c r="Z12" i="4"/>
  <c r="Z65" i="3"/>
  <c r="V34" i="4"/>
  <c r="V26" i="4"/>
  <c r="V28" i="4"/>
  <c r="V18" i="4"/>
  <c r="V23" i="4"/>
  <c r="V36" i="4"/>
  <c r="V37" i="4"/>
  <c r="V38" i="4"/>
  <c r="V39" i="4"/>
  <c r="V16" i="4"/>
  <c r="V21" i="4"/>
  <c r="V17" i="4"/>
  <c r="V35" i="4"/>
  <c r="V20" i="4"/>
  <c r="V33" i="4"/>
  <c r="V19" i="4"/>
  <c r="V24" i="4"/>
  <c r="V22" i="4"/>
  <c r="V29" i="4"/>
  <c r="V27" i="4"/>
  <c r="V30" i="4"/>
  <c r="V31" i="4"/>
  <c r="V25" i="4"/>
  <c r="V32" i="4"/>
  <c r="Z36" i="3"/>
  <c r="V4" i="3"/>
  <c r="V3" i="3"/>
  <c r="V2" i="3"/>
  <c r="U24" i="4"/>
  <c r="Z8" i="3"/>
  <c r="U35" i="2"/>
  <c r="V58" i="2"/>
  <c r="V60" i="2"/>
  <c r="V59" i="2"/>
  <c r="V49" i="2"/>
  <c r="V53" i="2"/>
  <c r="V55" i="2"/>
  <c r="V66" i="2"/>
  <c r="V62" i="2"/>
  <c r="V68" i="2"/>
  <c r="V45" i="2"/>
  <c r="V54" i="2"/>
  <c r="V8" i="4"/>
  <c r="U60" i="4"/>
  <c r="V113" i="4"/>
  <c r="V140" i="4"/>
  <c r="U32" i="4"/>
  <c r="Z49" i="3"/>
  <c r="Z66" i="3"/>
  <c r="U21" i="4"/>
  <c r="Z70" i="3"/>
  <c r="U123" i="3"/>
  <c r="V73" i="4"/>
  <c r="V62" i="4"/>
  <c r="V75" i="4"/>
  <c r="V76" i="4"/>
  <c r="V81" i="4"/>
  <c r="V56" i="4"/>
  <c r="V55" i="4"/>
  <c r="V61" i="4"/>
  <c r="V60" i="4"/>
  <c r="V66" i="4"/>
  <c r="V63" i="4"/>
  <c r="V74" i="4"/>
  <c r="V58" i="4"/>
  <c r="V57" i="4"/>
  <c r="V80" i="4"/>
  <c r="V68" i="4"/>
  <c r="V70" i="4"/>
  <c r="V67" i="4"/>
  <c r="V71" i="4"/>
  <c r="V64" i="4"/>
  <c r="V72" i="4"/>
  <c r="V59" i="4"/>
  <c r="V77" i="4"/>
  <c r="V65" i="4"/>
  <c r="V54" i="4"/>
  <c r="V69" i="4"/>
  <c r="V78" i="4"/>
  <c r="V79" i="4"/>
  <c r="Z104" i="3"/>
  <c r="U56" i="3"/>
  <c r="U59" i="3"/>
  <c r="U39" i="3"/>
  <c r="U54" i="3"/>
  <c r="Z91" i="3"/>
  <c r="Z64" i="3"/>
  <c r="Z74" i="3"/>
  <c r="V33" i="3"/>
  <c r="V35" i="3"/>
  <c r="V37" i="3"/>
  <c r="V31" i="3"/>
  <c r="V30" i="3"/>
  <c r="V34" i="3"/>
  <c r="V32" i="3"/>
  <c r="V29" i="3"/>
  <c r="V36" i="3"/>
  <c r="Z112" i="3"/>
  <c r="Z7" i="3"/>
  <c r="Z61" i="3"/>
  <c r="Z103" i="2"/>
  <c r="V6" i="4"/>
  <c r="U66" i="4"/>
  <c r="V114" i="4"/>
  <c r="V108" i="4"/>
  <c r="U52" i="2"/>
  <c r="Z119" i="3"/>
  <c r="V89" i="4"/>
  <c r="V10" i="2"/>
  <c r="V8" i="2"/>
  <c r="V2" i="2"/>
  <c r="V7" i="2"/>
  <c r="V6" i="2"/>
  <c r="V5" i="2"/>
  <c r="V9" i="2"/>
  <c r="V3" i="2"/>
  <c r="V4" i="2"/>
  <c r="Z5" i="3"/>
  <c r="V59" i="3"/>
  <c r="V51" i="3"/>
  <c r="V47" i="3"/>
  <c r="V40" i="3"/>
  <c r="V43" i="3"/>
  <c r="V38" i="3"/>
  <c r="V58" i="3"/>
  <c r="V48" i="3"/>
  <c r="V54" i="3"/>
  <c r="V46" i="3"/>
  <c r="V45" i="3"/>
  <c r="V55" i="3"/>
  <c r="V50" i="3"/>
  <c r="V60" i="3"/>
  <c r="V44" i="3"/>
  <c r="V56" i="3"/>
  <c r="V49" i="3"/>
  <c r="V52" i="3"/>
  <c r="V41" i="3"/>
  <c r="V42" i="3"/>
  <c r="V39" i="3"/>
  <c r="V57" i="3"/>
  <c r="Z73" i="3"/>
  <c r="Z90" i="3"/>
  <c r="Z94" i="4"/>
  <c r="Z84" i="4"/>
  <c r="Z147" i="4"/>
  <c r="Z104" i="4"/>
  <c r="Z87" i="4"/>
  <c r="Z90" i="4"/>
  <c r="Z129" i="4"/>
  <c r="Z110" i="4"/>
  <c r="Z98" i="4"/>
  <c r="Z150" i="4"/>
  <c r="Z107" i="4"/>
  <c r="Z91" i="4"/>
  <c r="Z131" i="4"/>
  <c r="Z127" i="4"/>
  <c r="Z109" i="4"/>
  <c r="Z144" i="4"/>
  <c r="Z124" i="4"/>
  <c r="Z99" i="2"/>
  <c r="Z69" i="3"/>
  <c r="Z135" i="4"/>
  <c r="Z82" i="4"/>
  <c r="U73" i="2"/>
  <c r="U102" i="2"/>
  <c r="U97" i="2"/>
  <c r="Z4" i="3"/>
  <c r="V98" i="4"/>
  <c r="Z26" i="3"/>
  <c r="V115" i="2"/>
  <c r="V119" i="2"/>
  <c r="V117" i="2"/>
  <c r="V112" i="2"/>
  <c r="V116" i="2"/>
  <c r="V121" i="2"/>
  <c r="V120" i="2"/>
  <c r="V118" i="2"/>
  <c r="V114" i="2"/>
  <c r="V113" i="2"/>
  <c r="Z6" i="2"/>
  <c r="Z8" i="2"/>
  <c r="Z10" i="2"/>
  <c r="Z7" i="2"/>
  <c r="Z2" i="2"/>
  <c r="Z5" i="2"/>
  <c r="Z4" i="2"/>
  <c r="Z3" i="2"/>
  <c r="Z9" i="2"/>
  <c r="U61" i="4"/>
  <c r="V119" i="4"/>
  <c r="V106" i="4"/>
  <c r="U47" i="2"/>
  <c r="U44" i="3"/>
  <c r="U28" i="3"/>
  <c r="U22" i="3"/>
  <c r="U8" i="3"/>
  <c r="U9" i="3"/>
  <c r="U10" i="3"/>
  <c r="U13" i="3"/>
  <c r="U14" i="3"/>
  <c r="U15" i="3"/>
  <c r="U26" i="3"/>
  <c r="U18" i="3"/>
  <c r="U27" i="3"/>
  <c r="U17" i="3"/>
  <c r="U23" i="3"/>
  <c r="U20" i="3"/>
  <c r="U19" i="3"/>
  <c r="U7" i="3"/>
  <c r="U16" i="3"/>
  <c r="U21" i="3"/>
  <c r="U25" i="3"/>
  <c r="U24" i="3"/>
  <c r="U6" i="3"/>
  <c r="U5" i="3"/>
  <c r="U12" i="3"/>
  <c r="U11" i="3"/>
  <c r="V142" i="4"/>
  <c r="V120" i="4"/>
  <c r="Z108" i="3"/>
  <c r="Z67" i="3"/>
  <c r="U53" i="3"/>
  <c r="Z50" i="4"/>
  <c r="V53" i="4"/>
  <c r="V45" i="4"/>
  <c r="V52" i="4"/>
  <c r="Z78" i="3"/>
  <c r="Z122" i="3"/>
  <c r="U78" i="2"/>
  <c r="Z92" i="2"/>
  <c r="Z84" i="3"/>
  <c r="Z139" i="4"/>
  <c r="Z148" i="4"/>
  <c r="U24" i="2"/>
  <c r="V43" i="2"/>
  <c r="U96" i="2"/>
  <c r="U72" i="4"/>
  <c r="Z77" i="3"/>
  <c r="Z14" i="3"/>
  <c r="V41" i="2"/>
  <c r="U59" i="4"/>
  <c r="U159" i="4"/>
  <c r="V116" i="4"/>
  <c r="V128" i="4"/>
  <c r="U67" i="2"/>
  <c r="U68" i="2"/>
  <c r="U81" i="2"/>
  <c r="U117" i="2"/>
  <c r="U112" i="2"/>
  <c r="U121" i="2"/>
  <c r="U119" i="2"/>
  <c r="U116" i="2"/>
  <c r="U118" i="2"/>
  <c r="U113" i="2"/>
  <c r="U115" i="2"/>
  <c r="U120" i="2"/>
  <c r="U114" i="2"/>
  <c r="V126" i="4"/>
  <c r="U31" i="4"/>
  <c r="U30" i="4"/>
  <c r="U37" i="4"/>
  <c r="U27" i="4"/>
  <c r="U26" i="4"/>
  <c r="Z118" i="3"/>
  <c r="U17" i="4"/>
  <c r="V124" i="3"/>
  <c r="V123" i="3"/>
  <c r="U6" i="4"/>
  <c r="U14" i="4"/>
  <c r="U13" i="4"/>
  <c r="U5" i="4"/>
  <c r="U11" i="4"/>
  <c r="U8" i="4"/>
  <c r="U15" i="4"/>
  <c r="U3" i="4"/>
  <c r="U9" i="4"/>
  <c r="U12" i="4"/>
  <c r="U4" i="4"/>
  <c r="U7" i="4"/>
  <c r="U2" i="4"/>
  <c r="U10" i="4"/>
  <c r="Z97" i="3"/>
  <c r="Z11" i="3"/>
  <c r="U45" i="3"/>
  <c r="U16" i="4"/>
  <c r="Z105" i="3"/>
  <c r="Z99" i="3"/>
  <c r="Z69" i="2"/>
  <c r="Z95" i="2"/>
  <c r="Z141" i="4"/>
  <c r="Z123" i="4"/>
  <c r="U10" i="2"/>
  <c r="U5" i="2"/>
  <c r="Z37" i="3"/>
  <c r="U71" i="2"/>
  <c r="U71" i="4"/>
  <c r="V65" i="2"/>
  <c r="U65" i="4"/>
  <c r="U154" i="4"/>
  <c r="V117" i="4"/>
  <c r="V143" i="4"/>
  <c r="Z35" i="3"/>
  <c r="V44" i="4"/>
  <c r="Z120" i="2"/>
  <c r="Z112" i="2"/>
  <c r="Z116" i="2"/>
  <c r="Z117" i="2"/>
  <c r="Z118" i="2"/>
  <c r="Z113" i="2"/>
  <c r="Z115" i="2"/>
  <c r="Z114" i="2"/>
  <c r="Z121" i="2"/>
  <c r="Z119" i="2"/>
  <c r="V115" i="4"/>
  <c r="V139" i="4"/>
  <c r="Z24" i="3"/>
  <c r="Z6" i="3"/>
  <c r="Z10" i="3"/>
  <c r="V137" i="4"/>
  <c r="U22" i="4"/>
  <c r="U35" i="4"/>
  <c r="U16" i="2"/>
  <c r="U17" i="2"/>
  <c r="U21" i="2"/>
  <c r="U20" i="2"/>
  <c r="U15" i="2"/>
  <c r="U12" i="2"/>
  <c r="U19" i="2"/>
  <c r="U22" i="2"/>
  <c r="U13" i="2"/>
  <c r="U14" i="2"/>
  <c r="U18" i="2"/>
  <c r="U11" i="2"/>
  <c r="U25" i="4"/>
  <c r="Z9" i="3"/>
  <c r="Z72" i="3"/>
  <c r="U42" i="3"/>
  <c r="Z82" i="3"/>
  <c r="Z43" i="4"/>
  <c r="U19" i="4"/>
  <c r="Z98" i="3"/>
  <c r="Z93" i="3"/>
  <c r="Z130" i="4"/>
  <c r="Z85" i="2"/>
  <c r="Z71" i="2"/>
  <c r="Z100" i="4"/>
  <c r="Z122" i="4"/>
  <c r="Z114" i="3"/>
  <c r="Z16" i="3"/>
  <c r="U70" i="2"/>
  <c r="U29" i="3"/>
  <c r="V130" i="4"/>
  <c r="U51" i="2"/>
  <c r="U41" i="2"/>
  <c r="U42" i="2"/>
  <c r="U54" i="2"/>
  <c r="V42" i="2"/>
  <c r="U55" i="4"/>
  <c r="U157" i="4"/>
  <c r="V95" i="4"/>
  <c r="V103" i="4"/>
  <c r="Z33" i="3"/>
  <c r="Z22" i="3"/>
  <c r="V144" i="4"/>
  <c r="V93" i="4"/>
  <c r="Z68" i="3"/>
  <c r="V5" i="4"/>
  <c r="Z110" i="3"/>
  <c r="V35" i="2"/>
  <c r="V25" i="2"/>
  <c r="V36" i="2"/>
  <c r="V37" i="2"/>
  <c r="V28" i="2"/>
  <c r="V30" i="2"/>
  <c r="V32" i="2"/>
  <c r="V31" i="2"/>
  <c r="V26" i="2"/>
  <c r="V39" i="2"/>
  <c r="V38" i="2"/>
  <c r="V33" i="2"/>
  <c r="V40" i="2"/>
  <c r="V24" i="2"/>
  <c r="V27" i="2"/>
  <c r="V29" i="2"/>
  <c r="V34" i="2"/>
  <c r="V23" i="2"/>
  <c r="U38" i="4"/>
  <c r="U43" i="3"/>
  <c r="Z40" i="4"/>
  <c r="U36" i="4"/>
  <c r="Z101" i="3"/>
  <c r="Z121" i="3"/>
  <c r="Z89" i="2"/>
  <c r="Z80" i="2"/>
  <c r="Z95" i="4"/>
  <c r="Z116" i="4"/>
  <c r="Z57" i="3"/>
  <c r="Z52" i="2"/>
  <c r="Z62" i="2"/>
  <c r="Z63" i="2"/>
  <c r="Z64" i="2"/>
  <c r="Z46" i="2"/>
  <c r="Z68" i="2"/>
  <c r="Z45" i="2"/>
  <c r="Z55" i="2"/>
  <c r="Z47" i="2"/>
  <c r="Z59" i="2"/>
  <c r="Z60" i="2"/>
  <c r="Z56" i="2"/>
  <c r="Z53" i="2"/>
  <c r="Z57" i="2"/>
  <c r="Z58" i="2"/>
  <c r="Z50" i="2"/>
  <c r="Z49" i="2"/>
  <c r="Z65" i="2"/>
  <c r="Z44" i="2"/>
  <c r="Z67" i="2"/>
  <c r="Z51" i="2"/>
  <c r="Z61" i="2"/>
  <c r="Z48" i="2"/>
  <c r="Z42" i="2"/>
  <c r="Z66" i="2"/>
  <c r="Z54" i="2"/>
  <c r="Z41" i="2"/>
  <c r="Z43" i="2"/>
  <c r="U111" i="2"/>
  <c r="U67" i="4"/>
  <c r="V152" i="4"/>
  <c r="Z3" i="3"/>
  <c r="V64" i="2"/>
  <c r="V123" i="4"/>
  <c r="V135" i="4"/>
  <c r="Z74" i="2"/>
  <c r="A9" i="12" l="1" a="1"/>
  <c r="A6" i="12" s="1"/>
  <c r="A9" i="11" a="1"/>
  <c r="A9" i="9" a="1"/>
  <c r="A9" i="12" l="1"/>
  <c r="T9" i="12" s="1"/>
  <c r="T2" i="12" s="1"/>
  <c r="T11" i="11"/>
  <c r="T10" i="11"/>
  <c r="T10" i="9"/>
  <c r="T15" i="9"/>
  <c r="T11" i="9"/>
  <c r="T12" i="9"/>
  <c r="T13" i="9"/>
  <c r="T14" i="9"/>
  <c r="T17" i="9"/>
  <c r="T16" i="9"/>
  <c r="T18" i="9"/>
  <c r="A9" i="9"/>
  <c r="T9" i="9" s="1"/>
  <c r="A6" i="9"/>
  <c r="A6" i="11"/>
  <c r="A9" i="11"/>
  <c r="T9" i="11" s="1"/>
  <c r="T2" i="11" s="1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<sst xmlns="http://schemas.openxmlformats.org/spreadsheetml/2006/main" count="1328" uniqueCount="512">
  <si>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</si>
  <si>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</si>
  <si>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</si>
  <si>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</si>
  <si>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</si>
  <si>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</si>
  <si>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</si>
  <si>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</si>
  <si>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</si>
  <si>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</si>
  <si>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</si>
  <si>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</si>
  <si>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</si>
  <si>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</si>
  <si>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</si>
  <si>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</si>
  <si>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</si>
  <si>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</si>
  <si>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</si>
  <si>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</si>
  <si>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</si>
  <si>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</si>
  <si>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</si>
  <si>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</si>
  <si>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</si>
  <si>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</si>
  <si>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</si>
  <si>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</si>
  <si>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</si>
  <si>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</si>
  <si>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</si>
  <si>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</si>
  <si>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</si>
  <si>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</si>
  <si>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</si>
  <si>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</si>
  <si>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</si>
  <si>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</si>
  <si>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</si>
  <si>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</si>
  <si>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</si>
  <si>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</si>
  <si>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</si>
  <si>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</si>
  <si>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</si>
  <si>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</si>
  <si>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</si>
  <si>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</si>
  <si>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</si>
  <si>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</si>
  <si>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</si>
  <si>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</si>
  <si>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</si>
  <si>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</si>
  <si>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</si>
  <si>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</si>
  <si>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</si>
  <si>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</si>
  <si>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</si>
  <si>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</si>
  <si>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</si>
  <si>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</si>
  <si>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</si>
  <si>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</si>
  <si>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</si>
  <si>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</si>
  <si>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</si>
  <si>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</si>
  <si>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</si>
  <si>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</si>
  <si>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</si>
  <si>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</si>
  <si>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</si>
  <si>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</si>
  <si>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</si>
  <si>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</si>
  <si>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</si>
  <si>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</si>
  <si>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</si>
  <si>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</si>
  <si>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</si>
  <si>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</si>
  <si>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</si>
  <si>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</si>
  <si>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</si>
  <si>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</si>
  <si>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</si>
  <si>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</si>
  <si>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</si>
  <si>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</si>
  <si>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</si>
  <si>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</si>
  <si>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</si>
  <si>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</si>
  <si>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</si>
  <si>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</si>
  <si>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</si>
  <si>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</si>
  <si>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</si>
  <si>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</si>
  <si>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</si>
  <si>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</si>
  <si>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</si>
  <si>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</si>
  <si>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</si>
  <si>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IT Services</t>
  </si>
  <si>
    <t>ACN</t>
  </si>
  <si>
    <t>CTSH</t>
  </si>
  <si>
    <t>DOX</t>
  </si>
  <si>
    <t>GIB</t>
  </si>
  <si>
    <t>IBM</t>
  </si>
  <si>
    <t>INFY</t>
  </si>
  <si>
    <t>IT</t>
  </si>
  <si>
    <t>WIT</t>
  </si>
  <si>
    <t>AKAM</t>
  </si>
  <si>
    <t>CRWV</t>
  </si>
  <si>
    <t>GDDY</t>
  </si>
  <si>
    <t>MDB</t>
  </si>
  <si>
    <t>NET</t>
  </si>
  <si>
    <t>OKTA</t>
  </si>
  <si>
    <t>SHOP</t>
  </si>
  <si>
    <t>SNOW</t>
  </si>
  <si>
    <t>TWLO</t>
  </si>
  <si>
    <t>VRSN</t>
  </si>
  <si>
    <t>Software</t>
  </si>
  <si>
    <t>ADBE</t>
  </si>
  <si>
    <t>ADSK</t>
  </si>
  <si>
    <t>ANSS</t>
  </si>
  <si>
    <t>APP</t>
  </si>
  <si>
    <t>AUR</t>
  </si>
  <si>
    <t>BSY</t>
  </si>
  <si>
    <t>CDNS</t>
  </si>
  <si>
    <t>CRM</t>
  </si>
  <si>
    <t>DDOG</t>
  </si>
  <si>
    <t>DOCU</t>
  </si>
  <si>
    <t>DT</t>
  </si>
  <si>
    <t>FICO</t>
  </si>
  <si>
    <t>GWRE</t>
  </si>
  <si>
    <t>HUBS</t>
  </si>
  <si>
    <t>INTU</t>
  </si>
  <si>
    <t>IOT</t>
  </si>
  <si>
    <t>MANH</t>
  </si>
  <si>
    <t>MSTR</t>
  </si>
  <si>
    <t>NICE</t>
  </si>
  <si>
    <t>NTNX</t>
  </si>
  <si>
    <t>PLTR</t>
  </si>
  <si>
    <t>PTC</t>
  </si>
  <si>
    <t>ROP</t>
  </si>
  <si>
    <t>SAIL</t>
  </si>
  <si>
    <t>SAP</t>
  </si>
  <si>
    <t>SNPS</t>
  </si>
  <si>
    <t>TEAM</t>
  </si>
  <si>
    <t>TTAN</t>
  </si>
  <si>
    <t>TYL</t>
  </si>
  <si>
    <t>WDAY</t>
  </si>
  <si>
    <t>ZM</t>
  </si>
  <si>
    <t>CHKP</t>
  </si>
  <si>
    <t>CRWD</t>
  </si>
  <si>
    <t>CYBR</t>
  </si>
  <si>
    <t>FTNT</t>
  </si>
  <si>
    <t>GEN</t>
  </si>
  <si>
    <t>MNDY</t>
  </si>
  <si>
    <t>MSFT</t>
  </si>
  <si>
    <t>NOW</t>
  </si>
  <si>
    <t>ORCL</t>
  </si>
  <si>
    <t>PANW</t>
  </si>
  <si>
    <t>RBRK</t>
  </si>
  <si>
    <t>ZS</t>
  </si>
  <si>
    <t>Communications Equipment</t>
  </si>
  <si>
    <t>ANET</t>
  </si>
  <si>
    <t>CIEN</t>
  </si>
  <si>
    <t>CSCO</t>
  </si>
  <si>
    <t>ERIC</t>
  </si>
  <si>
    <t>FFIV</t>
  </si>
  <si>
    <t>JNPR</t>
  </si>
  <si>
    <t>MSI</t>
  </si>
  <si>
    <t>NOK</t>
  </si>
  <si>
    <t>UI</t>
  </si>
  <si>
    <t>Technology Hardware, Storage &amp; Peripherals</t>
  </si>
  <si>
    <t>AAPL</t>
  </si>
  <si>
    <t>DELL</t>
  </si>
  <si>
    <t>HPE</t>
  </si>
  <si>
    <t>HPQ</t>
  </si>
  <si>
    <t>LOGI</t>
  </si>
  <si>
    <t>NTAP</t>
  </si>
  <si>
    <t>PSTG</t>
  </si>
  <si>
    <t>SMCI</t>
  </si>
  <si>
    <t>STX</t>
  </si>
  <si>
    <t>WDC</t>
  </si>
  <si>
    <t>Electronic Equipment, Instruments &amp; Components</t>
  </si>
  <si>
    <t>KEYS</t>
  </si>
  <si>
    <t>TDY</t>
  </si>
  <si>
    <t>TRMB</t>
  </si>
  <si>
    <t>ZBRA</t>
  </si>
  <si>
    <t>APH</t>
  </si>
  <si>
    <t>COHR</t>
  </si>
  <si>
    <t>GLW</t>
  </si>
  <si>
    <t>CLS</t>
  </si>
  <si>
    <t>FLEX</t>
  </si>
  <si>
    <t>JBL</t>
  </si>
  <si>
    <t>TEL</t>
  </si>
  <si>
    <t>CDW</t>
  </si>
  <si>
    <t>Semiconductors &amp; Semiconductor Equipment</t>
  </si>
  <si>
    <t>AMAT</t>
  </si>
  <si>
    <t>ASML</t>
  </si>
  <si>
    <t>ENTG</t>
  </si>
  <si>
    <t>KLAC</t>
  </si>
  <si>
    <t>LRCX</t>
  </si>
  <si>
    <t>TER</t>
  </si>
  <si>
    <t>ADI</t>
  </si>
  <si>
    <t>ALAB</t>
  </si>
  <si>
    <t>AMD</t>
  </si>
  <si>
    <t>ARM</t>
  </si>
  <si>
    <t>ASX</t>
  </si>
  <si>
    <t>AVGO</t>
  </si>
  <si>
    <t>FSLR</t>
  </si>
  <si>
    <t>GFS</t>
  </si>
  <si>
    <t>INTC</t>
  </si>
  <si>
    <t>MCHP</t>
  </si>
  <si>
    <t>MPWR</t>
  </si>
  <si>
    <t>MRVL</t>
  </si>
  <si>
    <t>MU</t>
  </si>
  <si>
    <t>NVDA</t>
  </si>
  <si>
    <t>NXPI</t>
  </si>
  <si>
    <t>ON</t>
  </si>
  <si>
    <t>QCOM</t>
  </si>
  <si>
    <t>STM</t>
  </si>
  <si>
    <t>SWKS</t>
  </si>
  <si>
    <t>TSM</t>
  </si>
  <si>
    <t>TXN</t>
  </si>
  <si>
    <t>UMC</t>
  </si>
  <si>
    <t>ASGN</t>
  </si>
  <si>
    <t>DXC</t>
  </si>
  <si>
    <t>EPAM</t>
  </si>
  <si>
    <t>GLOB</t>
  </si>
  <si>
    <t>KD</t>
  </si>
  <si>
    <t>DOCN</t>
  </si>
  <si>
    <t>GDS</t>
  </si>
  <si>
    <t>KC</t>
  </si>
  <si>
    <t>WIX</t>
  </si>
  <si>
    <t>ACIW</t>
  </si>
  <si>
    <t>AGYS</t>
  </si>
  <si>
    <t>AI</t>
  </si>
  <si>
    <t>ALKT</t>
  </si>
  <si>
    <t>ALRM</t>
  </si>
  <si>
    <t>APPF</t>
  </si>
  <si>
    <t>ASAN</t>
  </si>
  <si>
    <t>AVPT</t>
  </si>
  <si>
    <t>BILL</t>
  </si>
  <si>
    <t>BL</t>
  </si>
  <si>
    <t>BLKB</t>
  </si>
  <si>
    <t>BOX</t>
  </si>
  <si>
    <t>BRZE</t>
  </si>
  <si>
    <t>BTDR</t>
  </si>
  <si>
    <t>CCCS</t>
  </si>
  <si>
    <t>CFLT</t>
  </si>
  <si>
    <t>CLBT</t>
  </si>
  <si>
    <t>CLSK</t>
  </si>
  <si>
    <t>CORZ</t>
  </si>
  <si>
    <t>CWAN</t>
  </si>
  <si>
    <t>DBX</t>
  </si>
  <si>
    <t>DSGX</t>
  </si>
  <si>
    <t>DV</t>
  </si>
  <si>
    <t>ESTC</t>
  </si>
  <si>
    <t>FRSH</t>
  </si>
  <si>
    <t>IDCC</t>
  </si>
  <si>
    <t>INFA</t>
  </si>
  <si>
    <t>INTA</t>
  </si>
  <si>
    <t>KVYO</t>
  </si>
  <si>
    <t>LIF</t>
  </si>
  <si>
    <t>MARA</t>
  </si>
  <si>
    <t>NCNO</t>
  </si>
  <si>
    <t>OTEX</t>
  </si>
  <si>
    <t>PCOR</t>
  </si>
  <si>
    <t>PEGA</t>
  </si>
  <si>
    <t>PONY</t>
  </si>
  <si>
    <t>QBTS</t>
  </si>
  <si>
    <t>QTWO</t>
  </si>
  <si>
    <t>RIOT</t>
  </si>
  <si>
    <t>RNG</t>
  </si>
  <si>
    <t>SOUN</t>
  </si>
  <si>
    <t>SPSC</t>
  </si>
  <si>
    <t>U</t>
  </si>
  <si>
    <t>VERX</t>
  </si>
  <si>
    <t>WK</t>
  </si>
  <si>
    <t>YOU</t>
  </si>
  <si>
    <t>ZETA</t>
  </si>
  <si>
    <t>APPN</t>
  </si>
  <si>
    <t>BB</t>
  </si>
  <si>
    <t>CVLT</t>
  </si>
  <si>
    <t>DLB</t>
  </si>
  <si>
    <t>FROG</t>
  </si>
  <si>
    <t>GTLB</t>
  </si>
  <si>
    <t>NBIS</t>
  </si>
  <si>
    <t>OS</t>
  </si>
  <si>
    <t>PATH</t>
  </si>
  <si>
    <t>PRGS</t>
  </si>
  <si>
    <t>QLYS</t>
  </si>
  <si>
    <t>S</t>
  </si>
  <si>
    <t>TDC</t>
  </si>
  <si>
    <t>TENB</t>
  </si>
  <si>
    <t>VRNS</t>
  </si>
  <si>
    <t>CALX</t>
  </si>
  <si>
    <t>LITE</t>
  </si>
  <si>
    <t>VIAV</t>
  </si>
  <si>
    <t>IONQ</t>
  </si>
  <si>
    <t>SNDK</t>
  </si>
  <si>
    <t>AEIS</t>
  </si>
  <si>
    <t>BMI</t>
  </si>
  <si>
    <t>CGNX</t>
  </si>
  <si>
    <t>CXT</t>
  </si>
  <si>
    <t>ITRI</t>
  </si>
  <si>
    <t>MIR</t>
  </si>
  <si>
    <t>NOVT</t>
  </si>
  <si>
    <t>OSIS</t>
  </si>
  <si>
    <t>PAR</t>
  </si>
  <si>
    <t>SHMXY</t>
  </si>
  <si>
    <t>VNT</t>
  </si>
  <si>
    <t>BDC</t>
  </si>
  <si>
    <t>LFUS</t>
  </si>
  <si>
    <t>LPL</t>
  </si>
  <si>
    <t>FN</t>
  </si>
  <si>
    <t>IPGP</t>
  </si>
  <si>
    <t>PLXS</t>
  </si>
  <si>
    <t>SANM</t>
  </si>
  <si>
    <t>TTMI</t>
  </si>
  <si>
    <t>ARW</t>
  </si>
  <si>
    <t>AVT</t>
  </si>
  <si>
    <t>INGM</t>
  </si>
  <si>
    <t>NSIT</t>
  </si>
  <si>
    <t>SNX</t>
  </si>
  <si>
    <t>AMKR</t>
  </si>
  <si>
    <t>CAMT</t>
  </si>
  <si>
    <t>ENPH</t>
  </si>
  <si>
    <t>FORM</t>
  </si>
  <si>
    <t>MKSI</t>
  </si>
  <si>
    <t>NVMI</t>
  </si>
  <si>
    <t>ONTO</t>
  </si>
  <si>
    <t>ALGM</t>
  </si>
  <si>
    <t>AMBA</t>
  </si>
  <si>
    <t>CRDO</t>
  </si>
  <si>
    <t>CRUS</t>
  </si>
  <si>
    <t>LSCC</t>
  </si>
  <si>
    <t>MTSI</t>
  </si>
  <si>
    <t>OLED</t>
  </si>
  <si>
    <t>PI</t>
  </si>
  <si>
    <t>POWI</t>
  </si>
  <si>
    <t>QRVO</t>
  </si>
  <si>
    <t>RGTI</t>
  </si>
  <si>
    <t>RMBS</t>
  </si>
  <si>
    <t>SITM</t>
  </si>
  <si>
    <t>SLAB</t>
  </si>
  <si>
    <t>SMTC</t>
  </si>
  <si>
    <t>SYNA</t>
  </si>
  <si>
    <t>ATEAY</t>
  </si>
  <si>
    <t>BBAI</t>
  </si>
  <si>
    <t>CINT</t>
  </si>
  <si>
    <t>DAVA</t>
  </si>
  <si>
    <t>FORTY</t>
  </si>
  <si>
    <t>GDYN</t>
  </si>
  <si>
    <t>HCKT</t>
  </si>
  <si>
    <t>UIS</t>
  </si>
  <si>
    <t>APLD</t>
  </si>
  <si>
    <t>BASE</t>
  </si>
  <si>
    <t>BIGC</t>
  </si>
  <si>
    <t>FSLY</t>
  </si>
  <si>
    <t>RXT</t>
  </si>
  <si>
    <t>VNET</t>
  </si>
  <si>
    <t>AMPL</t>
  </si>
  <si>
    <t>API</t>
  </si>
  <si>
    <t>APPS</t>
  </si>
  <si>
    <t>BITF</t>
  </si>
  <si>
    <t>BLND</t>
  </si>
  <si>
    <t>BTBT</t>
  </si>
  <si>
    <t>CCSI</t>
  </si>
  <si>
    <t>CGNT</t>
  </si>
  <si>
    <t>CIFR</t>
  </si>
  <si>
    <t>CRNC</t>
  </si>
  <si>
    <t>CXM</t>
  </si>
  <si>
    <t>DCBO</t>
  </si>
  <si>
    <t>DGNX</t>
  </si>
  <si>
    <t>DJCO</t>
  </si>
  <si>
    <t>DMRC</t>
  </si>
  <si>
    <t>DOMO</t>
  </si>
  <si>
    <t>ETWO</t>
  </si>
  <si>
    <t>EVCM</t>
  </si>
  <si>
    <t>EXFY</t>
  </si>
  <si>
    <t>EXOD</t>
  </si>
  <si>
    <t>FIVN</t>
  </si>
  <si>
    <t>FUFU</t>
  </si>
  <si>
    <t>GRRR</t>
  </si>
  <si>
    <t>HIVE</t>
  </si>
  <si>
    <t>HKD</t>
  </si>
  <si>
    <t>HUT</t>
  </si>
  <si>
    <t>IIIV</t>
  </si>
  <si>
    <t>IREN</t>
  </si>
  <si>
    <t>JAMF</t>
  </si>
  <si>
    <t>KARO</t>
  </si>
  <si>
    <t>KLTR</t>
  </si>
  <si>
    <t>LSPD</t>
  </si>
  <si>
    <t>MFH</t>
  </si>
  <si>
    <t>MGIC</t>
  </si>
  <si>
    <t>MITK</t>
  </si>
  <si>
    <t>MLNK</t>
  </si>
  <si>
    <t>MTLS</t>
  </si>
  <si>
    <t>NN</t>
  </si>
  <si>
    <t>OLO</t>
  </si>
  <si>
    <t>OOMA</t>
  </si>
  <si>
    <t>OPRA</t>
  </si>
  <si>
    <t>PD</t>
  </si>
  <si>
    <t>PGY</t>
  </si>
  <si>
    <t>PRCH</t>
  </si>
  <si>
    <t>PRO</t>
  </si>
  <si>
    <t>QUBT</t>
  </si>
  <si>
    <t>RAMP</t>
  </si>
  <si>
    <t>RDVT</t>
  </si>
  <si>
    <t>RMNI</t>
  </si>
  <si>
    <t>RSKD</t>
  </si>
  <si>
    <t>RZLV</t>
  </si>
  <si>
    <t>SEMR</t>
  </si>
  <si>
    <t>SMWB</t>
  </si>
  <si>
    <t>SPNS</t>
  </si>
  <si>
    <t>SPT</t>
  </si>
  <si>
    <t>TRAK</t>
  </si>
  <si>
    <t>TUYA</t>
  </si>
  <si>
    <t>VRNT</t>
  </si>
  <si>
    <t>VYX</t>
  </si>
  <si>
    <t>WEAV</t>
  </si>
  <si>
    <t>WULF</t>
  </si>
  <si>
    <t>XNET</t>
  </si>
  <si>
    <t>YEXT</t>
  </si>
  <si>
    <t>ADEA</t>
  </si>
  <si>
    <t>AIP</t>
  </si>
  <si>
    <t>ATEN</t>
  </si>
  <si>
    <t>NABL</t>
  </si>
  <si>
    <t>OSPN</t>
  </si>
  <si>
    <t>RDWR</t>
  </si>
  <si>
    <t>RPD</t>
  </si>
  <si>
    <t>TCYSF</t>
  </si>
  <si>
    <t>XPER</t>
  </si>
  <si>
    <t>AAOI</t>
  </si>
  <si>
    <t>ADTN</t>
  </si>
  <si>
    <t>AVNW</t>
  </si>
  <si>
    <t>CLFD</t>
  </si>
  <si>
    <t>COMM</t>
  </si>
  <si>
    <t>DGII</t>
  </si>
  <si>
    <t>EXTR</t>
  </si>
  <si>
    <t>GILT</t>
  </si>
  <si>
    <t>HLIT</t>
  </si>
  <si>
    <t>ITRN</t>
  </si>
  <si>
    <t>NTCT</t>
  </si>
  <si>
    <t>NTGR</t>
  </si>
  <si>
    <t>RBBN</t>
  </si>
  <si>
    <t>VSAT</t>
  </si>
  <si>
    <t>CAN</t>
  </si>
  <si>
    <t>CMPO</t>
  </si>
  <si>
    <t>CRSR</t>
  </si>
  <si>
    <t>DBD</t>
  </si>
  <si>
    <t>KODK</t>
  </si>
  <si>
    <t>XRX</t>
  </si>
  <si>
    <t>AEVA</t>
  </si>
  <si>
    <t>AIOT</t>
  </si>
  <si>
    <t>ARLO</t>
  </si>
  <si>
    <t>DAKT</t>
  </si>
  <si>
    <t>EVLV</t>
  </si>
  <si>
    <t>FARO</t>
  </si>
  <si>
    <t>LASR</t>
  </si>
  <si>
    <t>MVIS</t>
  </si>
  <si>
    <t>NSSC</t>
  </si>
  <si>
    <t>OUST</t>
  </si>
  <si>
    <t>RCAT</t>
  </si>
  <si>
    <t>VPG</t>
  </si>
  <si>
    <t>BELFA</t>
  </si>
  <si>
    <t>BELFB</t>
  </si>
  <si>
    <t>KN</t>
  </si>
  <si>
    <t>ROG</t>
  </si>
  <si>
    <t>VSH</t>
  </si>
  <si>
    <t>BHE</t>
  </si>
  <si>
    <t>CTS</t>
  </si>
  <si>
    <t>KE</t>
  </si>
  <si>
    <t>CLMB</t>
  </si>
  <si>
    <t>CNXN</t>
  </si>
  <si>
    <t>PLUS</t>
  </si>
  <si>
    <t>SCSC</t>
  </si>
  <si>
    <t>ACLS</t>
  </si>
  <si>
    <t>ACMR</t>
  </si>
  <si>
    <t>COHU</t>
  </si>
  <si>
    <t>DQ</t>
  </si>
  <si>
    <t>ICHR</t>
  </si>
  <si>
    <t>KLIC</t>
  </si>
  <si>
    <t>PDFS</t>
  </si>
  <si>
    <t>PLAB</t>
  </si>
  <si>
    <t>SEDG</t>
  </si>
  <si>
    <t>UCTT</t>
  </si>
  <si>
    <t>VECO</t>
  </si>
  <si>
    <t>AOSL</t>
  </si>
  <si>
    <t>BZAI</t>
  </si>
  <si>
    <t>CEVA</t>
  </si>
  <si>
    <t>CSIQ</t>
  </si>
  <si>
    <t>DIOD</t>
  </si>
  <si>
    <t>HIMX</t>
  </si>
  <si>
    <t>IMOS</t>
  </si>
  <si>
    <t>INDI</t>
  </si>
  <si>
    <t>JKS</t>
  </si>
  <si>
    <t>MXL</t>
  </si>
  <si>
    <t>NVEC</t>
  </si>
  <si>
    <t>NVTS</t>
  </si>
  <si>
    <t>PENG</t>
  </si>
  <si>
    <t>POET</t>
  </si>
  <si>
    <t>SIMO</t>
  </si>
  <si>
    <t>SKYT</t>
  </si>
  <si>
    <t>WOLF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</si>
</sst>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11.11</v>
        <stp/>
        <stp>LAST</stp>
        <stp>VYX</stp>
        <tr r="D140" s="4"/>
      </tp>
      <tp>
        <v>14.84</v>
        <stp/>
        <stp>LAST</stp>
        <stp>VSH</stp>
        <tr r="D32" s="4"/>
      </tp>
      <tp>
        <v>26.38</v>
        <stp/>
        <stp>LAST</stp>
        <stp>VPG</stp>
        <tr r="D27" s="4"/>
      </tp>
      <tp>
        <v>37.200000000000003</v>
        <stp/>
        <stp>LAST</stp>
        <stp>VNT</stp>
        <tr r="D15" s="3"/>
      </tp>
      <tp>
        <v>2.99</v>
        <stp/>
        <stp>LAST</stp>
        <stp>WIT</stp>
        <tr r="D30" s="2"/>
      </tp>
      <tp>
        <v>184.89</v>
        <stp/>
        <stp>LAST</stp>
        <stp>WIX</stp>
        <tr r="D37" s="3"/>
      </tp>
      <tp>
        <v>49.01</v>
        <stp/>
        <stp>LAST</stp>
        <stp>WDC</stp>
        <tr r="D121" s="2"/>
      </tp>
      <tp>
        <v>188.2</v>
        <stp/>
        <stp>LAST</stp>
        <stp>TXN</stp>
        <tr r="D67" s="2"/>
      </tp>
      <tp>
        <v>567.79999999999995</v>
        <stp/>
        <stp>LAST</stp>
        <stp>TYL</stp>
        <tr r="D97" s="2"/>
      </tp>
      <tp>
        <v>193.99</v>
        <stp/>
        <stp>LAST</stp>
        <stp>TSM</stp>
        <tr r="D66" s="2"/>
      </tp>
      <tp>
        <v>493.17</v>
        <stp/>
        <stp>LAST</stp>
        <stp>TDY</stp>
        <tr r="D12" s="2"/>
      </tp>
      <tp>
        <v>23.55</v>
        <stp/>
        <stp>LAST</stp>
        <stp>TDC</stp>
        <tr r="D120" s="3"/>
      </tp>
      <tp>
        <v>84.9</v>
        <stp/>
        <stp>LAST</stp>
        <stp>TER</stp>
        <tr r="D46" s="2"/>
      </tp>
      <tp>
        <v>162.38999999999999</v>
        <stp/>
        <stp>LAST</stp>
        <stp>TEL</stp>
        <tr r="D21" s="2"/>
      </tp>
      <tp>
        <v>5.73</v>
        <stp/>
        <stp>LAST</stp>
        <stp>UIS</stp>
        <tr r="D47" s="4"/>
      </tp>
      <tp>
        <v>7.76</v>
        <stp/>
        <stp>LAST</stp>
        <stp>UMC</stp>
        <tr r="D68" s="2"/>
      </tp>
      <tp>
        <v>96.05</v>
        <stp/>
        <stp>LAST</stp>
        <stp>FORTY</stp>
        <tr r="D44" s="4"/>
      </tp>
      <tp>
        <v>1.27</v>
        <stp/>
        <stp>LAST</stp>
        <stp>RXT</stp>
        <tr r="D52" s="4"/>
      </tp>
      <tp>
        <v>24.56</v>
        <stp/>
        <stp>LAST</stp>
        <stp>RPD</stp>
        <tr r="D151" s="4"/>
      </tp>
      <tp>
        <v>28.34</v>
        <stp/>
        <stp>LAST</stp>
        <stp>RNG</stp>
        <tr r="D100" s="3"/>
      </tp>
      <tp>
        <v>577.07000000000005</v>
        <stp/>
        <stp>LAST</stp>
        <stp>ROP</stp>
        <tr r="D91" s="2"/>
      </tp>
      <tp>
        <v>71</v>
        <stp/>
        <stp>LAST</stp>
        <stp>ROG</stp>
        <tr r="D31" s="4"/>
      </tp>
      <tp>
        <v>24.38</v>
        <stp/>
        <stp>LAST</stp>
        <stp>SPT</stp>
        <tr r="D136" s="4"/>
      </tp>
      <tp>
        <v>105.47</v>
        <stp/>
        <stp>LAST</stp>
        <stp>STX</stp>
        <tr r="D120" s="2"/>
      </tp>
      <tp>
        <v>26.13</v>
        <stp/>
        <stp>LAST</stp>
        <stp>STM</stp>
        <tr r="D64" s="2"/>
      </tp>
      <tp>
        <v>124.92</v>
        <stp/>
        <stp>LAST</stp>
        <stp>SNX</stp>
        <tr r="D28" s="3"/>
      </tp>
      <tp>
        <v>289.73</v>
        <stp/>
        <stp>LAST</stp>
        <stp>SAP</stp>
        <tr r="D93" s="2"/>
      </tp>
      <tp>
        <v>18.63</v>
        <stp/>
        <stp>LAST</stp>
        <stp>PRO</stp>
        <tr r="D126" s="4"/>
      </tp>
      <tp>
        <v>170.96</v>
        <stp/>
        <stp>LAST</stp>
        <stp>PTC</stp>
        <tr r="D90" s="2"/>
      </tp>
      <tp>
        <v>69.400000000000006</v>
        <stp/>
        <stp>LAST</stp>
        <stp>PAR</stp>
        <tr r="D13" s="3"/>
      </tp>
      <tp>
        <v>14.96</v>
        <stp/>
        <stp>LAST</stp>
        <stp>PGY</stp>
        <tr r="D124" s="4"/>
      </tp>
      <tp>
        <v>5.95</v>
        <stp/>
        <stp>LAST</stp>
        <stp>XRX</stp>
        <tr r="D159" s="4"/>
      </tp>
      <tp>
        <v>30.66</v>
        <stp/>
        <stp>LAST</stp>
        <stp>TCYSF</stp>
        <tr r="D152" s="4"/>
      </tp>
      <tp>
        <v>24.97</v>
        <stp/>
        <stp>LAST</stp>
        <stp>YOU</stp>
        <tr r="D106" s="3"/>
      </tp>
      <tp>
        <v>107.56</v>
        <stp/>
        <stp>LAST</stp>
        <stp>GIB</stp>
        <tr r="D26" s="2"/>
      </tp>
      <tp>
        <v>47.62</v>
        <stp/>
        <stp>LAST</stp>
        <stp>GLW</stp>
        <tr r="D17" s="2"/>
      </tp>
      <tp>
        <v>39.700000000000003</v>
        <stp/>
        <stp>LAST</stp>
        <stp>GFS</stp>
        <tr r="D54" s="2"/>
      </tp>
      <tp>
        <v>27.34</v>
        <stp/>
        <stp>LAST</stp>
        <stp>GDS</stp>
        <tr r="D35" s="3"/>
      </tp>
      <tp>
        <v>29.1</v>
        <stp/>
        <stp>LAST</stp>
        <stp>GEN</stp>
        <tr r="D104" s="2"/>
      </tp>
      <tp>
        <v>16.940000000000001</v>
        <stp/>
        <stp>LAST</stp>
        <stp>DXC</stp>
        <tr r="D30" s="3"/>
      </tp>
      <tp>
        <v>91.12</v>
        <stp/>
        <stp>LAST</stp>
        <stp>DOX</stp>
        <tr r="D25" s="2"/>
      </tp>
      <tp>
        <v>77.58</v>
        <stp/>
        <stp>LAST</stp>
        <stp>DLB</stp>
        <tr r="D111" s="3"/>
      </tp>
      <tp>
        <v>29.7</v>
        <stp/>
        <stp>LAST</stp>
        <stp>DBX</stp>
        <tr r="D81" s="3"/>
      </tp>
      <tp>
        <v>48.74</v>
        <stp/>
        <stp>LAST</stp>
        <stp>DBD</stp>
        <tr r="D157" s="4"/>
      </tp>
      <tp>
        <v>7.13</v>
        <stp/>
        <stp>LAST</stp>
        <stp>ATEAY</stp>
        <tr r="D40" s="4"/>
      </tp>
      <tp>
        <v>48.14</v>
        <stp/>
        <stp>LAST</stp>
        <stp>BSY</stp>
        <tr r="D74" s="2"/>
      </tp>
      <tp>
        <v>37.159999999999997</v>
        <stp/>
        <stp>LAST</stp>
        <stp>BHE</stp>
        <tr r="D33" s="4"/>
      </tp>
      <tp>
        <v>31.72</v>
        <stp/>
        <stp>LAST</stp>
        <stp>BOX</stp>
        <tr r="D72" s="3"/>
      </tp>
      <tp>
        <v>247.46</v>
        <stp/>
        <stp>LAST</stp>
        <stp>BMI</stp>
        <tr r="D6" s="3"/>
      </tp>
      <tp>
        <v>113.87</v>
        <stp/>
        <stp>LAST</stp>
        <stp>BDC</stp>
        <tr r="D16" s="3"/>
      </tp>
      <tp>
        <v>55.27</v>
        <stp/>
        <stp>LAST</stp>
        <stp>CXT</stp>
        <tr r="D8" s="3"/>
      </tp>
      <tp>
        <v>8.49</v>
        <stp/>
        <stp>LAST</stp>
        <stp>CXM</stp>
        <tr r="D92" s="4"/>
      </tp>
      <tp>
        <v>289.17</v>
        <stp/>
        <stp>LAST</stp>
        <stp>CRM</stp>
        <tr r="D76" s="2"/>
      </tp>
      <tp>
        <v>43.38</v>
        <stp/>
        <stp>LAST</stp>
        <stp>CTS</stp>
        <tr r="D34" s="4"/>
      </tp>
      <tp>
        <v>109.87</v>
        <stp/>
        <stp>LAST</stp>
        <stp>CLS</stp>
        <tr r="D18" s="2"/>
      </tp>
      <tp>
        <v>0.88249999999999995</v>
        <stp/>
        <stp>LAST</stp>
        <stp>CAN</stp>
        <tr r="D154" s="4"/>
      </tp>
      <tp>
        <v>190.68</v>
        <stp/>
        <stp>LAST</stp>
        <stp>CDW</stp>
        <tr r="D22" s="2"/>
      </tp>
      <tp>
        <v>121.22</v>
        <stp/>
        <stp>LAST</stp>
        <stp>ARW</stp>
        <tr r="D24" s="3"/>
      </tp>
      <tp>
        <v>126.68</v>
        <stp/>
        <stp>LAST</stp>
        <stp>ARM</stp>
        <tr r="D50" s="2"/>
      </tp>
      <tp>
        <v>10.08</v>
        <stp/>
        <stp>LAST</stp>
        <stp>ASX</stp>
        <tr r="D51" s="2"/>
      </tp>
      <tp>
        <v>370.1</v>
        <stp/>
        <stp>LAST</stp>
        <stp>APP</stp>
        <tr r="D72" s="2"/>
      </tp>
      <tp>
        <v>85.78</v>
        <stp/>
        <stp>LAST</stp>
        <stp>APH</stp>
        <tr r="D15" s="2"/>
      </tp>
      <tp>
        <v>3.54</v>
        <stp/>
        <stp>LAST</stp>
        <stp>API</stp>
        <tr r="D83" s="4"/>
      </tp>
      <tp>
        <v>52.37</v>
        <stp/>
        <stp>LAST</stp>
        <stp>AVT</stp>
        <tr r="D25" s="3"/>
      </tp>
      <tp>
        <v>7.32</v>
        <stp/>
        <stp>LAST</stp>
        <stp>AUR</stp>
        <tr r="D73" s="2"/>
      </tp>
      <tp>
        <v>8.35</v>
        <stp/>
        <stp>LAST</stp>
        <stp>AIP</stp>
        <tr r="D146" s="4"/>
      </tp>
      <tp>
        <v>112.46</v>
        <stp/>
        <stp>LAST</stp>
        <stp>AMD</stp>
        <tr r="D49" s="2"/>
      </tp>
      <tp>
        <v>322.52999999999997</v>
        <stp/>
        <stp>LAST</stp>
        <stp>ACN</stp>
        <tr r="D23" s="2"/>
      </tp>
      <tp>
        <v>226.68</v>
        <stp/>
        <stp>LAST</stp>
        <stp>ADI</stp>
        <tr r="D47" s="2"/>
      </tp>
      <tp>
        <v>1036.72</v>
        <stp/>
        <stp>LAST</stp>
        <stp>NOW</stp>
        <tr r="D107" s="2"/>
      </tp>
      <tp>
        <v>5.18</v>
        <stp/>
        <stp>LAST</stp>
        <stp>NOK</stp>
        <tr r="D9" s="2"/>
      </tp>
      <tp>
        <v>150.36000000000001</v>
        <stp/>
        <stp>LAST</stp>
        <stp>NET</stp>
        <tr r="D35" s="2"/>
      </tp>
      <tp>
        <v>9.6999999999999993</v>
        <stp/>
        <stp>LAST</stp>
        <stp>OLO</stp>
        <tr r="D120" s="4"/>
      </tp>
      <tp>
        <v>72.650000000000006</v>
        <stp/>
        <stp>LAST</stp>
        <stp>BELFA</stp>
        <tr r="D28" s="4"/>
      </tp>
      <tp>
        <v>80.28</v>
        <stp/>
        <stp>LAST</stp>
        <stp>BELFB</stp>
        <tr r="D29" s="4"/>
      </tp>
      <tp>
        <v>3.23</v>
        <stp/>
        <stp>LAST</stp>
        <stp>LPL</stp>
        <tr r="D18" s="3"/>
      </tp>
      <tp>
        <v>59.62</v>
        <stp/>
        <stp>LAST</stp>
        <stp>LIF</stp>
        <tr r="D90" s="3"/>
      </tp>
      <tp>
        <v>12.125</v>
        <stp/>
        <stp>LAST</stp>
        <stp>SHMXY</stp>
        <tr r="D14" s="3"/>
      </tp>
      <tp>
        <v>12.83</v>
        <stp/>
        <stp>LAST</stp>
        <stp>MXL</stp>
        <tr r="D74" s="4"/>
      </tp>
      <tp>
        <v>413.28</v>
        <stp/>
        <stp>LAST</stp>
        <stp>MSI</stp>
        <tr r="D8" s="2"/>
      </tp>
      <tp>
        <v>17.43</v>
        <stp/>
        <stp>LAST</stp>
        <stp>MIR</stp>
        <tr r="D10" s="3"/>
      </tp>
      <tp>
        <v>5.98</v>
        <stp/>
        <stp>LAST</stp>
        <stp>MFH</stp>
        <tr r="D114" s="4"/>
      </tp>
      <tp>
        <v>195.9</v>
        <stp/>
        <stp>LAST</stp>
        <stp>MDB</stp>
        <tr r="D34" s="2"/>
      </tp>
      <tp>
        <v>19.37</v>
        <stp/>
        <stp>LAST</stp>
        <stp>JKS</stp>
        <tr r="D73" s="4"/>
      </tp>
      <tp>
        <v>167.01</v>
        <stp/>
        <stp>LAST</stp>
        <stp>JBL</stp>
        <tr r="D20" s="2"/>
      </tp>
      <tp>
        <v>28.78</v>
        <stp/>
        <stp>LAST</stp>
        <stp>HPQ</stp>
        <tr r="D115" s="2"/>
      </tp>
      <tp>
        <v>17.920000000000002</v>
        <stp/>
        <stp>LAST</stp>
        <stp>HPE</stp>
        <tr r="D114" s="2"/>
      </tp>
      <tp>
        <v>16.5</v>
        <stp/>
        <stp>LAST</stp>
        <stp>HUT</stp>
        <tr r="D107" s="4"/>
      </tp>
      <tp>
        <v>2.25</v>
        <stp/>
        <stp>LAST</stp>
        <stp>HKD</stp>
        <tr r="D106" s="4"/>
      </tp>
      <tp>
        <v>46.63</v>
        <stp/>
        <stp>LAST</stp>
        <stp>IOT</stp>
        <tr r="D84" s="2"/>
      </tp>
      <tp>
        <v>258.58999999999997</v>
        <stp/>
        <stp>LAST</stp>
        <stp>IBM</stp>
        <tr r="D27" s="2"/>
      </tp>
      <tp>
        <v>2.83</v>
        <stp/>
        <stp>LAST</stp>
        <stp>BZAI</stp>
        <tr r="D66" s="4"/>
      </tp>
      <tp>
        <v>2.2599999999999998</v>
        <stp/>
        <stp>LAST</stp>
        <stp>RZLV</stp>
        <tr r="D132" s="4"/>
      </tp>
      <tp>
        <v>16.059999999999999</v>
        <stp/>
        <stp>LAST</stp>
        <stp>EXTR</stp>
        <tr r="D8" s="4"/>
      </tp>
      <tp>
        <v>212.4</v>
        <stp/>
        <stp>LAST</stp>
        <stp>NXPI</stp>
        <tr r="D61" s="2"/>
      </tp>
      <tp>
        <v>2.36</v>
        <stp/>
        <stp>LAST</stp>
        <stp>EXFY</stp>
        <tr r="D100" s="4"/>
      </tp>
      <tp>
        <v>42.04</v>
        <stp/>
        <stp>LAST</stp>
        <stp>EXOD</stp>
        <tr r="D101" s="4"/>
      </tp>
      <tp>
        <v>361.29</v>
        <stp/>
        <stp>LAST</stp>
        <stp>CYBR</stp>
        <tr r="D102" s="2"/>
      </tp>
      <tp>
        <v>65.900000000000006</v>
        <stp/>
        <stp>LAST</stp>
        <stp>SYNA</stp>
        <tr r="D60" s="3"/>
      </tp>
      <tp>
        <v>78.58</v>
        <stp/>
        <stp>LAST</stp>
        <stp>QRVO</stp>
        <tr r="D54" s="3"/>
      </tp>
      <tp>
        <v>65.48</v>
        <stp/>
        <stp>LAST</stp>
        <stp>MRVL</stp>
        <tr r="D58" s="2"/>
      </tp>
      <tp>
        <v>63.26</v>
        <stp/>
        <stp>LAST</stp>
        <stp>CRWV</stp>
        <tr r="D32" s="2"/>
      </tp>
      <tp>
        <v>440.2</v>
        <stp/>
        <stp>LAST</stp>
        <stp>CRWD</stp>
        <tr r="D101" s="2"/>
      </tp>
      <tp>
        <v>107.24</v>
        <stp/>
        <stp>LAST</stp>
        <stp>CRUS</stp>
        <tr r="D48" s="3"/>
      </tp>
      <tp>
        <v>18.420000000000002</v>
        <stp/>
        <stp>LAST</stp>
        <stp>GRRR</stp>
        <tr r="D104" s="4"/>
      </tp>
      <tp>
        <v>8.81</v>
        <stp/>
        <stp>LAST</stp>
        <stp>CRSR</stp>
        <tr r="D156" s="4"/>
      </tp>
      <tp>
        <v>15.98</v>
        <stp/>
        <stp>LAST</stp>
        <stp>FRSH</stp>
        <tr r="D85" s="3"/>
      </tp>
      <tp>
        <v>275.95</v>
        <stp/>
        <stp>LAST</stp>
        <stp>VRSN</stp>
        <tr r="D40" s="2"/>
      </tp>
      <tp>
        <v>36.79</v>
        <stp/>
        <stp>LAST</stp>
        <stp>BRZE</stp>
        <tr r="D73" s="3"/>
      </tp>
      <tp>
        <v>62.52</v>
        <stp/>
        <stp>LAST</stp>
        <stp>PRGS</stp>
        <tr r="D117" s="3"/>
      </tp>
      <tp>
        <v>59.07</v>
        <stp/>
        <stp>LAST</stp>
        <stp>CRDO</stp>
        <tr r="D47" s="3"/>
      </tp>
      <tp>
        <v>8.1199999999999992</v>
        <stp/>
        <stp>LAST</stp>
        <stp>IREN</stp>
        <tr r="D109" s="4"/>
      </tp>
      <tp>
        <v>85.25</v>
        <stp/>
        <stp>LAST</stp>
        <stp>LRCX</stp>
        <tr r="D45" s="2"/>
      </tp>
      <tp>
        <v>10.5</v>
        <stp/>
        <stp>LAST</stp>
        <stp>PRCH</stp>
        <tr r="D125" s="4"/>
      </tp>
      <tp>
        <v>162.27000000000001</v>
        <stp/>
        <stp>LAST</stp>
        <stp>ORCL</stp>
        <tr r="D108" s="2"/>
      </tp>
      <tp>
        <v>22.75</v>
        <stp/>
        <stp>LAST</stp>
        <stp>TRAK</stp>
        <tr r="D137" s="4"/>
      </tp>
      <tp>
        <v>45.88</v>
        <stp/>
        <stp>LAST</stp>
        <stp>VRNS</stp>
        <tr r="D122" s="3"/>
      </tp>
      <tp>
        <v>18.690000000000001</v>
        <stp/>
        <stp>LAST</stp>
        <stp>VRNT</stp>
        <tr r="D139" s="4"/>
      </tp>
      <tp>
        <v>10.17</v>
        <stp/>
        <stp>LAST</stp>
        <stp>CRNC</stp>
        <tr r="D91" s="4"/>
      </tp>
      <tp>
        <v>42.18</v>
        <stp/>
        <stp>LAST</stp>
        <stp>FROG</stp>
        <tr r="D112" s="3"/>
      </tp>
      <tp>
        <v>13.72</v>
        <stp/>
        <stp>LAST</stp>
        <stp>ARLO</stp>
        <tr r="D18" s="4"/>
      </tp>
      <tp>
        <v>71.25</v>
        <stp/>
        <stp>LAST</stp>
        <stp>TRMB</stp>
        <tr r="D13" s="2"/>
      </tp>
      <tp>
        <v>8.4499999999999993</v>
        <stp/>
        <stp>LAST</stp>
        <stp>ERIC</stp>
        <tr r="D5" s="2"/>
      </tp>
      <tp>
        <v>421.61</v>
        <stp/>
        <stp>LAST</stp>
        <stp>MSTR</stp>
        <tr r="D86" s="2"/>
      </tp>
      <tp>
        <v>93.5</v>
        <stp/>
        <stp>LAST</stp>
        <stp>ESTC</stp>
        <tr r="D84" s="3"/>
      </tp>
      <tp>
        <v>55.12</v>
        <stp/>
        <stp>LAST</stp>
        <stp>PSTG</stp>
        <tr r="D118" s="2"/>
      </tp>
      <tp>
        <v>27.58</v>
        <stp/>
        <stp>LAST</stp>
        <stp>NSSC</stp>
        <tr r="D24" s="4"/>
      </tp>
      <tp>
        <v>10.78</v>
        <stp/>
        <stp>LAST</stp>
        <stp>LSPD</stp>
        <tr r="D113" s="4"/>
      </tp>
      <tp>
        <v>16.440000000000001</v>
        <stp/>
        <stp>LAST</stp>
        <stp>OSPN</stp>
        <tr r="D149" s="4"/>
      </tp>
      <tp>
        <v>449.14</v>
        <stp/>
        <stp>LAST</stp>
        <stp>MSFT</stp>
        <tr r="D106" s="2"/>
      </tp>
      <tp>
        <v>114.01</v>
        <stp/>
        <stp>LAST</stp>
        <stp>DSGX</stp>
        <tr r="D82" s="3"/>
      </tp>
      <tp>
        <v>56.81</v>
        <stp/>
        <stp>LAST</stp>
        <stp>ASGN</stp>
        <tr r="D29" s="3"/>
      </tp>
      <tp>
        <v>55.88</v>
        <stp/>
        <stp>LAST</stp>
        <stp>LSCC</stp>
        <tr r="D49" s="3"/>
      </tp>
      <tp>
        <v>61.78</v>
        <stp/>
        <stp>LAST</stp>
        <stp>CSCO</stp>
        <tr r="D4" s="2"/>
      </tp>
      <tp>
        <v>10.41</v>
        <stp/>
        <stp>LAST</stp>
        <stp>VSAT</stp>
        <tr r="D15" s="4"/>
      </tp>
      <tp>
        <v>18.23</v>
        <stp/>
        <stp>LAST</stp>
        <stp>ASAN</stp>
        <tr r="D67" s="3"/>
      </tp>
      <tp>
        <v>191.6</v>
        <stp/>
        <stp>LAST</stp>
        <stp>FSLR</stp>
        <tr r="D53" s="2"/>
      </tp>
      <tp>
        <v>8.17</v>
        <stp/>
        <stp>LAST</stp>
        <stp>FSLY</stp>
        <tr r="D51" s="4"/>
      </tp>
      <tp>
        <v>763.9</v>
        <stp/>
        <stp>LAST</stp>
        <stp>ASML</stp>
        <tr r="D42" s="2"/>
      </tp>
      <tp>
        <v>4.9400000000000004</v>
        <stp/>
        <stp>LAST</stp>
        <stp>RSKD</stp>
        <tr r="D131" s="4"/>
      </tp>
      <tp>
        <v>230.25</v>
        <stp/>
        <stp>LAST</stp>
        <stp>OSIS</stp>
        <tr r="D12" s="3"/>
      </tp>
      <tp>
        <v>10.15</v>
        <stp/>
        <stp>LAST</stp>
        <stp>CSIQ</stp>
        <tr r="D68" s="4"/>
      </tp>
      <tp>
        <v>138.44999999999999</v>
        <stp/>
        <stp>LAST</stp>
        <stp>NSIT</stp>
        <tr r="D27" s="3"/>
      </tp>
      <tp>
        <v>737.73</v>
        <stp/>
        <stp>LAST</stp>
        <stp>MPWR</stp>
        <tr r="D57" s="2"/>
      </tp>
      <tp>
        <v>18.510000000000002</v>
        <stp/>
        <stp>LAST</stp>
        <stp>OPRA</stp>
        <tr r="D122" s="4"/>
      </tp>
      <tp>
        <v>152.66999999999999</v>
        <stp/>
        <stp>LAST</stp>
        <stp>SPSC</stp>
        <tr r="D102" s="3"/>
      </tp>
      <tp>
        <v>4.42</v>
        <stp/>
        <stp>LAST</stp>
        <stp>APPS</stp>
        <tr r="D84" s="4"/>
      </tp>
      <tp>
        <v>216.7</v>
        <stp/>
        <stp>LAST</stp>
        <stp>APPF</stp>
        <tr r="D66" s="3"/>
      </tp>
      <tp>
        <v>32.9</v>
        <stp/>
        <stp>LAST</stp>
        <stp>APPN</stp>
        <tr r="D108" s="3"/>
      </tp>
      <tp>
        <v>65.59</v>
        <stp/>
        <stp>LAST</stp>
        <stp>IPGP</stp>
        <tr r="D20" s="3"/>
      </tp>
      <tp>
        <v>8.34</v>
        <stp/>
        <stp>LAST</stp>
        <stp>XPER</stp>
        <tr r="D153" s="4"/>
      </tp>
      <tp>
        <v>186.9</v>
        <stp/>
        <stp>LAST</stp>
        <stp>EPAM</stp>
        <tr r="D31" s="3"/>
      </tp>
      <tp>
        <v>28.39</v>
        <stp/>
        <stp>LAST</stp>
        <stp>SPNS</stp>
        <tr r="D135" s="4"/>
      </tp>
      <tp>
        <v>5.61</v>
        <stp/>
        <stp>LAST</stp>
        <stp>APLD</stp>
        <tr r="D48" s="4"/>
      </tp>
      <tp>
        <v>2.14</v>
        <stp/>
        <stp>LAST</stp>
        <stp>NVTS</stp>
        <tr r="D76" s="4"/>
      </tp>
      <tp>
        <v>19.989999999999998</v>
        <stp/>
        <stp>LAST</stp>
        <stp>AVPT</stp>
        <tr r="D68" s="3"/>
      </tp>
      <tp>
        <v>37.5</v>
        <stp/>
        <stp>LAST</stp>
        <stp>KVYO</stp>
        <tr r="D89" s="3"/>
      </tp>
      <tp>
        <v>232.42</v>
        <stp/>
        <stp>LAST</stp>
        <stp>AVGO</stp>
        <tr r="D52" s="2"/>
      </tp>
      <tp>
        <v>129.93</v>
        <stp/>
        <stp>LAST</stp>
        <stp>NVDA</stp>
        <tr r="D60" s="2"/>
      </tp>
      <tp>
        <v>70.650000000000006</v>
        <stp/>
        <stp>LAST</stp>
        <stp>NVEC</stp>
        <tr r="D75" s="4"/>
      </tp>
      <tp>
        <v>11.13</v>
        <stp/>
        <stp>LAST</stp>
        <stp>EVCM</stp>
        <tr r="D99" s="4"/>
      </tp>
      <tp>
        <v>20.81</v>
        <stp/>
        <stp>LAST</stp>
        <stp>AVNW</stp>
        <tr r="D4" s="4"/>
      </tp>
      <tp>
        <v>4.43</v>
        <stp/>
        <stp>LAST</stp>
        <stp>EVLV</stp>
        <tr r="D20" s="4"/>
      </tp>
      <tp>
        <v>181.33</v>
        <stp/>
        <stp>LAST</stp>
        <stp>CVLT</stp>
        <tr r="D110" s="3"/>
      </tp>
      <tp>
        <v>202.49</v>
        <stp/>
        <stp>LAST</stp>
        <stp>NVMI</stp>
        <tr r="D43" s="3"/>
      </tp>
      <tp>
        <v>1.07</v>
        <stp/>
        <stp>LAST</stp>
        <stp>MVIS</stp>
        <tr r="D23" s="4"/>
      </tp>
      <tp>
        <v>214.5</v>
        <stp/>
        <stp>LAST</stp>
        <stp>GWRE</stp>
        <tr r="D81" s="2"/>
      </tp>
      <tp>
        <v>24.31</v>
        <stp/>
        <stp>LAST</stp>
        <stp>CWAN</stp>
        <tr r="D80" s="3"/>
      </tp>
      <tp>
        <v>114.54</v>
        <stp/>
        <stp>LAST</stp>
        <stp>TWLO</stp>
        <tr r="D39" s="2"/>
      </tp>
      <tp>
        <v>72.599999999999994</v>
        <stp/>
        <stp>LAST</stp>
        <stp>SWKS</stp>
        <tr r="D65" s="2"/>
      </tp>
      <tp>
        <v>92.73</v>
        <stp/>
        <stp>LAST</stp>
        <stp>QTWO</stp>
        <tr r="D98" s="3"/>
      </tp>
      <tp>
        <v>2.74</v>
        <stp/>
        <stp>LAST</stp>
        <stp>ETWO</stp>
        <tr r="D98" s="4"/>
      </tp>
      <tp>
        <v>115.1</v>
        <stp/>
        <stp>LAST</stp>
        <stp>ITRI</stp>
        <tr r="D9" s="3"/>
      </tp>
      <tp>
        <v>37.4</v>
        <stp/>
        <stp>LAST</stp>
        <stp>ITRN</stp>
        <tr r="D11" s="4"/>
      </tp>
      <tp>
        <v>123.25</v>
        <stp/>
        <stp>LAST</stp>
        <stp>MTSI</stp>
        <tr r="D50" s="3"/>
      </tp>
      <tp>
        <v>81.27</v>
        <stp/>
        <stp>LAST</stp>
        <stp>CTSH</stp>
        <tr r="D24" s="2"/>
      </tp>
      <tp>
        <v>29.79</v>
        <stp/>
        <stp>LAST</stp>
        <stp>NTGR</stp>
        <tr r="D13" s="4"/>
      </tp>
      <tp>
        <v>14.43</v>
        <stp/>
        <stp>LAST</stp>
        <stp>BTDR</stp>
        <tr r="D74" s="3"/>
      </tp>
      <tp>
        <v>28.19</v>
        <stp/>
        <stp>LAST</stp>
        <stp>OTEX</stp>
        <tr r="D93" s="3"/>
      </tp>
      <tp>
        <v>17.920000000000002</v>
        <stp/>
        <stp>LAST</stp>
        <stp>ATEN</stp>
        <tr r="D147" s="4"/>
      </tp>
      <tp>
        <v>2.2400000000000002</v>
        <stp/>
        <stp>LAST</stp>
        <stp>BTBT</stp>
        <tr r="D87" s="4"/>
      </tp>
      <tp>
        <v>23.02</v>
        <stp/>
        <stp>LAST</stp>
        <stp>NTCT</stp>
        <tr r="D12" s="4"/>
      </tp>
      <tp>
        <v>99.53</v>
        <stp/>
        <stp>LAST</stp>
        <stp>NTAP</stp>
        <tr r="D117" s="2"/>
      </tp>
      <tp>
        <v>123.03</v>
        <stp/>
        <stp>LAST</stp>
        <stp>TTAN</stp>
        <tr r="D96" s="2"/>
      </tp>
      <tp>
        <v>105.05</v>
        <stp/>
        <stp>LAST</stp>
        <stp>FTNT</stp>
        <tr r="D103" s="2"/>
      </tp>
      <tp>
        <v>82.4</v>
        <stp/>
        <stp>LAST</stp>
        <stp>NTNX</stp>
        <tr r="D88" s="2"/>
      </tp>
      <tp>
        <v>5.38</v>
        <stp/>
        <stp>LAST</stp>
        <stp>MTLS</stp>
        <tr r="D118" s="4"/>
      </tp>
      <tp>
        <v>53.36</v>
        <stp/>
        <stp>LAST</stp>
        <stp>GTLB</stp>
        <tr r="D113" s="3"/>
      </tp>
      <tp>
        <v>29.8</v>
        <stp/>
        <stp>LAST</stp>
        <stp>TTMI</stp>
        <tr r="D23" s="3"/>
      </tp>
      <tp>
        <v>11.41</v>
        <stp/>
        <stp>LAST</stp>
        <stp>OUST</stp>
        <tr r="D25" s="4"/>
      </tp>
      <tp>
        <v>2.71</v>
        <stp/>
        <stp>LAST</stp>
        <stp>TUYA</stp>
        <tr r="D138" s="4"/>
      </tp>
      <tp>
        <v>4</v>
        <stp/>
        <stp>LAST</stp>
        <stp>FUFU</stp>
        <tr r="D103" s="4"/>
      </tp>
      <tp>
        <v>672.24</v>
        <stp/>
        <stp>LAST</stp>
        <stp>HUBS</stp>
        <tr r="D82" s="2"/>
      </tp>
      <tp>
        <v>8.7899999999999991</v>
        <stp/>
        <stp>LAST</stp>
        <stp>QUBT</stp>
        <tr r="D127" s="4"/>
      </tp>
      <tp>
        <v>3.83</v>
        <stp/>
        <stp>LAST</stp>
        <stp>WULF</stp>
        <tr r="D142" s="4"/>
      </tp>
      <tp>
        <v>413.01</v>
        <stp/>
        <stp>LAST</stp>
        <stp>DJCO</stp>
        <tr r="D95" s="4"/>
      </tp>
      <tp>
        <v>124.05</v>
        <stp/>
        <stp>LAST</stp>
        <stp>OKTA</stp>
        <tr r="D36" s="2"/>
      </tp>
      <tp>
        <v>93.32</v>
        <stp/>
        <stp>LAST</stp>
        <stp>MKSI</stp>
        <tr r="D42" s="3"/>
      </tp>
      <tp>
        <v>8.3800000000000008</v>
        <stp/>
        <stp>LAST</stp>
        <stp>SKYT</stp>
        <tr r="D80" s="4"/>
      </tp>
      <tp>
        <v>78.94</v>
        <stp/>
        <stp>LAST</stp>
        <stp>AKAM</stp>
        <tr r="D31" s="2"/>
      </tp>
      <tp>
        <v>107.68</v>
        <stp/>
        <stp>LAST</stp>
        <stp>SHOP</stp>
        <tr r="D37" s="2"/>
      </tp>
      <tp>
        <v>217.87</v>
        <stp/>
        <stp>LAST</stp>
        <stp>CHKP</stp>
        <tr r="D100" s="2"/>
      </tp>
      <tp>
        <v>1.96</v>
        <stp/>
        <stp>LAST</stp>
        <stp>HIVE</stp>
        <tr r="D105" s="4"/>
      </tp>
      <tp>
        <v>28.26</v>
        <stp/>
        <stp>LAST</stp>
        <stp>FIVN</stp>
        <tr r="D102" s="4"/>
      </tp>
      <tp>
        <v>1.1599999999999999</v>
        <stp/>
        <stp>LAST</stp>
        <stp>BITF</stp>
        <tr r="D85" s="4"/>
      </tp>
      <tp>
        <v>74.510000000000005</v>
        <stp/>
        <stp>LAST</stp>
        <stp>LITE</stp>
        <tr r="D3" s="3"/>
      </tp>
      <tp>
        <v>9.69</v>
        <stp/>
        <stp>LAST</stp>
        <stp>MITK</stp>
        <tr r="D116" s="4"/>
      </tp>
      <tp>
        <v>204.43</v>
        <stp/>
        <stp>LAST</stp>
        <stp>SITM</stp>
        <tr r="D57" s="3"/>
      </tp>
      <tp>
        <v>3.43</v>
        <stp/>
        <stp>LAST</stp>
        <stp>CIFR</stp>
        <tr r="D90" s="4"/>
      </tp>
      <tp>
        <v>5.33</v>
        <stp/>
        <stp>LAST</stp>
        <stp>BIGC</stp>
        <tr r="D50" s="4"/>
      </tp>
      <tp>
        <v>80.59</v>
        <stp/>
        <stp>LAST</stp>
        <stp>CIEN</stp>
        <tr r="D3" s="2"/>
      </tp>
      <tp>
        <v>166.82</v>
        <stp/>
        <stp>LAST</stp>
        <stp>NICE</stp>
        <tr r="D87" s="2"/>
      </tp>
      <tp>
        <v>2136.0300000000002</v>
        <stp/>
        <stp>LAST</stp>
        <stp>FICO</stp>
        <tr r="D80" s="2"/>
      </tp>
      <tp>
        <v>9.49</v>
        <stp/>
        <stp>LAST</stp>
        <stp>VIAV</stp>
        <tr r="D4" s="3"/>
      </tp>
      <tp>
        <v>6.21</v>
        <stp/>
        <stp>LAST</stp>
        <stp>CINT</stp>
        <tr r="D42" s="4"/>
      </tp>
      <tp>
        <v>9.06</v>
        <stp/>
        <stp>LAST</stp>
        <stp>RIOT</stp>
        <tr r="D99" s="3"/>
      </tp>
      <tp>
        <v>5.89</v>
        <stp/>
        <stp>LAST</stp>
        <stp>AIOT</stp>
        <tr r="D17" s="4"/>
      </tp>
      <tp>
        <v>48.55</v>
        <stp/>
        <stp>LAST</stp>
        <stp>DIOD</stp>
        <tr r="D69" s="4"/>
      </tp>
      <tp>
        <v>6.68</v>
        <stp/>
        <stp>LAST</stp>
        <stp>GILT</stp>
        <tr r="D9" s="4"/>
      </tp>
      <tp>
        <v>47.73</v>
        <stp/>
        <stp>LAST</stp>
        <stp>BILL</stp>
        <tr r="D69" s="3"/>
      </tp>
      <tp>
        <v>8.41</v>
        <stp/>
        <stp>LAST</stp>
        <stp>HIMX</stp>
        <tr r="D70" s="4"/>
      </tp>
      <tp>
        <v>57.42</v>
        <stp/>
        <stp>LAST</stp>
        <stp>SIMO</stp>
        <tr r="D79" s="4"/>
      </tp>
      <tp>
        <v>24.8</v>
        <stp/>
        <stp>LAST</stp>
        <stp>IIIV</stp>
        <tr r="D108" s="4"/>
      </tp>
      <tp>
        <v>656.8</v>
        <stp/>
        <stp>LAST</stp>
        <stp>INTU</stp>
        <tr r="D83" s="2"/>
      </tp>
      <tp>
        <v>22.56</v>
        <stp/>
        <stp>LAST</stp>
        <stp>INTC</stp>
        <tr r="D55" s="2"/>
      </tp>
      <tp>
        <v>56.61</v>
        <stp/>
        <stp>LAST</stp>
        <stp>INTA</stp>
        <tr r="D88" s="3"/>
      </tp>
      <tp>
        <v>83.14</v>
        <stp/>
        <stp>LAST</stp>
        <stp>ENTG</stp>
        <tr r="D43" s="2"/>
      </tp>
      <tp>
        <v>99.19</v>
        <stp/>
        <stp>LAST</stp>
        <stp>ONTO</stp>
        <tr r="D44" s="3"/>
      </tp>
      <tp>
        <v>347.08</v>
        <stp/>
        <stp>LAST</stp>
        <stp>ANSS</stp>
        <tr r="D71" s="2"/>
      </tp>
      <tp>
        <v>515.71</v>
        <stp/>
        <stp>LAST</stp>
        <stp>SNPS</stp>
        <tr r="D94" s="2"/>
      </tp>
      <tp>
        <v>36.39</v>
        <stp/>
        <stp>LAST</stp>
        <stp>JNPR</stp>
        <tr r="D7" s="2"/>
      </tp>
      <tp>
        <v>45.63</v>
        <stp/>
        <stp>LAST</stp>
        <stp>ENPH</stp>
        <tr r="D40" s="3"/>
      </tp>
      <tp>
        <v>70.64</v>
        <stp/>
        <stp>LAST</stp>
        <stp>CNXN</stp>
        <tr r="D37" s="4"/>
      </tp>
      <tp>
        <v>18.38</v>
        <stp/>
        <stp>LAST</stp>
        <stp>INFY</stp>
        <tr r="D28" s="2"/>
      </tp>
      <tp>
        <v>19.47</v>
        <stp/>
        <stp>LAST</stp>
        <stp>INFA</stp>
        <tr r="D87" s="3"/>
      </tp>
      <tp>
        <v>20.79</v>
        <stp/>
        <stp>LAST</stp>
        <stp>INGM</stp>
        <tr r="D26" s="3"/>
      </tp>
      <tp>
        <v>290.49</v>
        <stp/>
        <stp>LAST</stp>
        <stp>MNDY</stp>
        <tr r="D105" s="2"/>
      </tp>
      <tp>
        <v>42</v>
        <stp/>
        <stp>LAST</stp>
        <stp>SNDK</stp>
        <tr r="D124" s="3"/>
      </tp>
      <tp>
        <v>2.68</v>
        <stp/>
        <stp>LAST</stp>
        <stp>INDI</stp>
        <tr r="D72" s="4"/>
      </tp>
      <tp>
        <v>6.39</v>
        <stp/>
        <stp>LAST</stp>
        <stp>VNET</stp>
        <tr r="D53" s="4"/>
      </tp>
      <tp>
        <v>4.6900000000000004</v>
        <stp/>
        <stp>LAST</stp>
        <stp>XNET</stp>
        <tr r="D143" s="4"/>
      </tp>
      <tp>
        <v>97.25</v>
        <stp/>
        <stp>LAST</stp>
        <stp>ANET</stp>
        <tr r="D2" s="2"/>
      </tp>
      <tp>
        <v>181.02</v>
        <stp/>
        <stp>LAST</stp>
        <stp>SNOW</stp>
        <tr r="D38" s="2"/>
      </tp>
      <tp>
        <v>132.9</v>
        <stp/>
        <stp>LAST</stp>
        <stp>NOVT</stp>
        <tr r="D11" s="3"/>
      </tp>
      <tp>
        <v>55.35</v>
        <stp/>
        <stp>LAST</stp>
        <stp>POWI</stp>
        <tr r="D53" s="3"/>
      </tp>
      <tp>
        <v>11.26</v>
        <stp/>
        <stp>LAST</stp>
        <stp>SOUN</stp>
        <tr r="D101" s="3"/>
      </tp>
      <tp>
        <v>10.24</v>
        <stp/>
        <stp>LAST</stp>
        <stp>CORZ</stp>
        <tr r="D79" s="3"/>
      </tp>
      <tp>
        <v>32.39</v>
        <stp/>
        <stp>LAST</stp>
        <stp>FORM</stp>
        <tr r="D41" s="3"/>
      </tp>
      <tp>
        <v>24.79</v>
        <stp/>
        <stp>LAST</stp>
        <stp>AOSL</stp>
        <tr r="D65" s="4"/>
      </tp>
      <tp>
        <v>86.96</v>
        <stp/>
        <stp>LAST</stp>
        <stp>LOGI</stp>
        <tr r="D116" s="2"/>
      </tp>
      <tp>
        <v>6.23</v>
        <stp/>
        <stp>LAST</stp>
        <stp>KODK</stp>
        <tr r="D158" s="4"/>
      </tp>
      <tp>
        <v>4.3849999999999998</v>
        <stp/>
        <stp>LAST</stp>
        <stp>POET</stp>
        <tr r="D78" s="4"/>
      </tp>
      <tp>
        <v>90.34</v>
        <stp/>
        <stp>LAST</stp>
        <stp>DOCU</stp>
        <tr r="D78" s="2"/>
      </tp>
      <tp>
        <v>31.51</v>
        <stp/>
        <stp>LAST</stp>
        <stp>DOCN</stp>
        <tr r="D34" s="3"/>
      </tp>
      <tp>
        <v>33.22</v>
        <stp/>
        <stp>LAST</stp>
        <stp>IONQ</stp>
        <tr r="D123" s="3"/>
      </tp>
      <tp>
        <v>17.95</v>
        <stp/>
        <stp>LAST</stp>
        <stp>PONY</stp>
        <tr r="D96" s="3"/>
      </tp>
      <tp>
        <v>3.87</v>
        <stp/>
        <stp>LAST</stp>
        <stp>WOLF</stp>
        <tr r="D81" s="4"/>
      </tp>
      <tp>
        <v>13.39</v>
        <stp/>
        <stp>LAST</stp>
        <stp>OOMA</stp>
        <tr r="D121" s="4"/>
      </tp>
      <tp>
        <v>8.6300000000000008</v>
        <stp/>
        <stp>LAST</stp>
        <stp>DOMO</stp>
        <tr r="D97" s="4"/>
      </tp>
      <tp>
        <v>5.68</v>
        <stp/>
        <stp>LAST</stp>
        <stp>COMM</stp>
        <tr r="D6" s="4"/>
      </tp>
      <tp>
        <v>78.900000000000006</v>
        <stp/>
        <stp>LAST</stp>
        <stp>COHR</stp>
        <tr r="D16" s="2"/>
      </tp>
      <tp>
        <v>18.149999999999999</v>
        <stp/>
        <stp>LAST</stp>
        <stp>COHU</stp>
        <tr r="D56" s="4"/>
      </tp>
      <tp>
        <v>128.1</v>
        <stp/>
        <stp>LAST</stp>
        <stp>PLTR</stp>
        <tr r="D89" s="2"/>
      </tp>
      <tp>
        <v>2.2999999999999998</v>
        <stp/>
        <stp>LAST</stp>
        <stp>KLTR</stp>
        <tr r="D112" s="4"/>
      </tp>
      <tp>
        <v>66.900000000000006</v>
        <stp/>
        <stp>LAST</stp>
        <stp>PLUS</stp>
        <tr r="D38" s="4"/>
      </tp>
      <tp>
        <v>60.68</v>
        <stp/>
        <stp>LAST</stp>
        <stp>ALRM</stp>
        <tr r="D65" s="3"/>
      </tp>
      <tp>
        <v>10</v>
        <stp/>
        <stp>LAST</stp>
        <stp>CLSK</stp>
        <tr r="D78" s="3"/>
      </tp>
      <tp>
        <v>133.35</v>
        <stp/>
        <stp>LAST</stp>
        <stp>PLXS</stp>
        <tr r="D21" s="3"/>
      </tp>
      <tp>
        <v>136.75</v>
        <stp/>
        <stp>LAST</stp>
        <stp>QLYS</stp>
        <tr r="D118" s="3"/>
      </tp>
      <tp>
        <v>37.729999999999997</v>
        <stp/>
        <stp>LAST</stp>
        <stp>CLFD</stp>
        <tr r="D5" s="4"/>
      </tp>
      <tp>
        <v>26.3</v>
        <stp/>
        <stp>LAST</stp>
        <stp>ALGM</stp>
        <tr r="D45" s="3"/>
      </tp>
      <tp>
        <v>41.85</v>
        <stp/>
        <stp>LAST</stp>
        <stp>FLEX</stp>
        <tr r="D19" s="2"/>
      </tp>
      <tp>
        <v>154.53</v>
        <stp/>
        <stp>LAST</stp>
        <stp>OLED</stp>
        <tr r="D51" s="3"/>
      </tp>
      <tp>
        <v>20.12</v>
        <stp/>
        <stp>LAST</stp>
        <stp>CLBT</stp>
        <tr r="D77" s="3"/>
      </tp>
      <tp>
        <v>795.9</v>
        <stp/>
        <stp>LAST</stp>
        <stp>KLAC</stp>
        <tr r="D44" s="2"/>
      </tp>
      <tp>
        <v>133.55000000000001</v>
        <stp/>
        <stp>LAST</stp>
        <stp>SLAB</stp>
        <tr r="D58" s="3"/>
      </tp>
      <tp>
        <v>20.93</v>
        <stp/>
        <stp>LAST</stp>
        <stp>PLAB</stp>
        <tr r="D61" s="4"/>
      </tp>
      <tp>
        <v>87.76</v>
        <stp/>
        <stp>LAST</stp>
        <stp>ALAB</stp>
        <tr r="D48" s="2"/>
      </tp>
      <tp>
        <v>3.63</v>
        <stp/>
        <stp>LAST</stp>
        <stp>BLND</stp>
        <tr r="D86" s="4"/>
      </tp>
      <tp>
        <v>17.45</v>
        <stp/>
        <stp>LAST</stp>
        <stp>MLNK</stp>
        <tr r="D117" s="4"/>
      </tp>
      <tp>
        <v>140.36000000000001</v>
        <stp/>
        <stp>LAST</stp>
        <stp>GLOB</stp>
        <tr r="D32" s="3"/>
      </tp>
      <tp>
        <v>109.81</v>
        <stp/>
        <stp>LAST</stp>
        <stp>CLMB</stp>
        <tr r="D36" s="4"/>
      </tp>
      <tp>
        <v>31.19</v>
        <stp/>
        <stp>LAST</stp>
        <stp>ALKT</stp>
        <tr r="D64" s="3"/>
      </tp>
      <tp>
        <v>63.66</v>
        <stp/>
        <stp>LAST</stp>
        <stp>BLKB</stp>
        <tr r="D71" s="3"/>
      </tp>
      <tp>
        <v>9.73</v>
        <stp/>
        <stp>LAST</stp>
        <stp>HLIT</stp>
        <tr r="D10" s="4"/>
      </tp>
      <tp>
        <v>34.6</v>
        <stp/>
        <stp>LAST</stp>
        <stp>KLIC</stp>
        <tr r="D59" s="4"/>
      </tp>
      <tp>
        <v>8.17</v>
        <stp/>
        <stp>LAST</stp>
        <stp>SMWB</stp>
        <tr r="D134" s="4"/>
      </tp>
      <tp>
        <v>39.54</v>
        <stp/>
        <stp>LAST</stp>
        <stp>SMTC</stp>
        <tr r="D59" s="3"/>
      </tp>
      <tp>
        <v>13.49</v>
        <stp/>
        <stp>LAST</stp>
        <stp>DMRC</stp>
        <tr r="D96" s="4"/>
      </tp>
      <tp>
        <v>12.28</v>
        <stp/>
        <stp>LAST</stp>
        <stp>CMPO</stp>
        <tr r="D155" s="4"/>
      </tp>
      <tp>
        <v>11.8</v>
        <stp/>
        <stp>LAST</stp>
        <stp>AMPL</stp>
        <tr r="D82" s="4"/>
      </tp>
      <tp>
        <v>56.67</v>
        <stp/>
        <stp>LAST</stp>
        <stp>RMBS</stp>
        <tr r="D56" s="3"/>
      </tp>
      <tp>
        <v>60.66</v>
        <stp/>
        <stp>LAST</stp>
        <stp>AMBA</stp>
        <tr r="D46" s="3"/>
      </tp>
      <tp>
        <v>38.89</v>
        <stp/>
        <stp>LAST</stp>
        <stp>SMCI</stp>
        <tr r="D119" s="2"/>
      </tp>
      <tp>
        <v>173.03</v>
        <stp/>
        <stp>LAST</stp>
        <stp>AMAT</stp>
        <tr r="D41" s="2"/>
      </tp>
      <tp>
        <v>3.57</v>
        <stp/>
        <stp>LAST</stp>
        <stp>RMNI</stp>
        <tr r="D130" s="4"/>
      </tp>
      <tp>
        <v>18.16</v>
        <stp/>
        <stp>LAST</stp>
        <stp>IMOS</stp>
        <tr r="D71" s="4"/>
      </tp>
      <tp>
        <v>20.05</v>
        <stp/>
        <stp>LAST</stp>
        <stp>AMKR</stp>
        <tr r="D38" s="3"/>
      </tp>
      <tp>
        <v>10.73</v>
        <stp/>
        <stp>LAST</stp>
        <stp>QBTS</stp>
        <tr r="D97" s="3"/>
      </tp>
      <tp>
        <v>302.38</v>
        <stp/>
        <stp>LAST</stp>
        <stp>ZBRA</stp>
        <tr r="D14" s="2"/>
      </tp>
      <tp>
        <v>83.1</v>
        <stp/>
        <stp>LAST</stp>
        <stp>RBRK</stp>
        <tr r="D110" s="2"/>
      </tp>
      <tp>
        <v>3.54</v>
        <stp/>
        <stp>LAST</stp>
        <stp>RBBN</stp>
        <tr r="D14" s="4"/>
      </tp>
      <tp>
        <v>3.56</v>
        <stp/>
        <stp>LAST</stp>
        <stp>BBAI</stp>
        <tr r="D41" s="4"/>
      </tp>
      <tp>
        <v>35.270000000000003</v>
        <stp/>
        <stp>LAST</stp>
        <stp>NBIS</stp>
        <tr r="D114" s="3"/>
      </tp>
      <tp>
        <v>22.66</v>
        <stp/>
        <stp>LAST</stp>
        <stp>UCTT</stp>
        <tr r="D63" s="4"/>
      </tp>
      <tp>
        <v>42.055</v>
        <stp/>
        <stp>LAST</stp>
        <stp>SCSC</stp>
        <tr r="D39" s="4"/>
      </tp>
      <tp>
        <v>23.2</v>
        <stp/>
        <stp>LAST</stp>
        <stp>CCSI</stp>
        <tr r="D88" s="4"/>
      </tp>
      <tp>
        <v>26.59</v>
        <stp/>
        <stp>LAST</stp>
        <stp>DCBO</stp>
        <tr r="D93" s="4"/>
      </tp>
      <tp>
        <v>9.0500000000000007</v>
        <stp/>
        <stp>LAST</stp>
        <stp>CCCS</stp>
        <tr r="D75" s="3"/>
      </tp>
      <tp>
        <v>6.38</v>
        <stp/>
        <stp>LAST</stp>
        <stp>RCAT</stp>
        <tr r="D26" s="4"/>
      </tp>
      <tp>
        <v>23.91</v>
        <stp/>
        <stp>LAST</stp>
        <stp>NCNO</stp>
        <tr r="D92" s="3"/>
      </tp>
      <tp>
        <v>72.400000000000006</v>
        <stp/>
        <stp>LAST</stp>
        <stp>PCOR</stp>
        <tr r="D94" s="3"/>
      </tp>
      <tp>
        <v>151.34</v>
        <stp/>
        <stp>LAST</stp>
        <stp>QCOM</stp>
        <tr r="D63" s="2"/>
      </tp>
      <tp>
        <v>62.86</v>
        <stp/>
        <stp>LAST</stp>
        <stp>ACLS</stp>
        <tr r="D54" s="4"/>
      </tp>
      <tp>
        <v>25.14</v>
        <stp/>
        <stp>LAST</stp>
        <stp>ACMR</stp>
        <tr r="D55" s="4"/>
      </tp>
      <tp>
        <v>25.76</v>
        <stp/>
        <stp>LAST</stp>
        <stp>HCKT</stp>
        <tr r="D46" s="4"/>
      </tp>
      <tp>
        <v>19.28</v>
        <stp/>
        <stp>LAST</stp>
        <stp>ICHR</stp>
        <tr r="D58" s="4"/>
      </tp>
      <tp>
        <v>62.3</v>
        <stp/>
        <stp>LAST</stp>
        <stp>MCHP</stp>
        <tr r="D56" s="2"/>
      </tp>
      <tp>
        <v>49.16</v>
        <stp/>
        <stp>LAST</stp>
        <stp>ACIW</stp>
        <tr r="D61" s="3"/>
      </tp>
      <tp>
        <v>21.41</v>
        <stp/>
        <stp>LAST</stp>
        <stp>DAVA</stp>
        <tr r="D43" s="4"/>
      </tp>
      <tp>
        <v>13.26</v>
        <stp/>
        <stp>LAST</stp>
        <stp>PATH</stp>
        <tr r="D116" s="3"/>
      </tp>
      <tp>
        <v>16.37</v>
        <stp/>
        <stp>LAST</stp>
        <stp>MARA</stp>
        <tr r="D91" s="3"/>
      </tp>
      <tp>
        <v>42.14</v>
        <stp/>
        <stp>LAST</stp>
        <stp>FARO</stp>
        <tr r="D21" s="4"/>
      </tp>
      <tp>
        <v>44.58</v>
        <stp/>
        <stp>LAST</stp>
        <stp>KARO</stp>
        <tr r="D111" s="4"/>
      </tp>
      <tp>
        <v>13.26</v>
        <stp/>
        <stp>LAST</stp>
        <stp>LASR</stp>
        <tr r="D22" s="4"/>
      </tp>
      <tp>
        <v>18.16</v>
        <stp/>
        <stp>LAST</stp>
        <stp>BASE</stp>
        <tr r="D49" s="4"/>
      </tp>
      <tp>
        <v>212.93</v>
        <stp/>
        <stp>LAST</stp>
        <stp>AAPL</stp>
        <tr r="D112" s="2"/>
      </tp>
      <tp>
        <v>8.19</v>
        <stp/>
        <stp>LAST</stp>
        <stp>NABL</stp>
        <tr r="D148" s="4"/>
      </tp>
      <tp>
        <v>192</v>
        <stp/>
        <stp>LAST</stp>
        <stp>PANW</stp>
        <tr r="D109" s="2"/>
      </tp>
      <tp>
        <v>195.54</v>
        <stp/>
        <stp>LAST</stp>
        <stp>MANH</stp>
        <tr r="D85" s="2"/>
      </tp>
      <tp>
        <v>85.27</v>
        <stp/>
        <stp>LAST</stp>
        <stp>SANM</stp>
        <tr r="D22" s="3"/>
      </tp>
      <tp>
        <v>20.29</v>
        <stp/>
        <stp>LAST</stp>
        <stp>AAOI</stp>
        <tr r="D2" s="4"/>
      </tp>
      <tp>
        <v>44.9</v>
        <stp/>
        <stp>LAST</stp>
        <stp>CALX</stp>
        <tr r="D2" s="3"/>
      </tp>
      <tp>
        <v>29.71</v>
        <stp/>
        <stp>LAST</stp>
        <stp>RAMP</stp>
        <tr r="D128" s="4"/>
      </tp>
      <tp>
        <v>68.61</v>
        <stp/>
        <stp>LAST</stp>
        <stp>CAMT</stp>
        <tr r="D39" s="3"/>
      </tp>
      <tp>
        <v>11.83</v>
        <stp/>
        <stp>LAST</stp>
        <stp>JAMF</stp>
        <tr r="D110" s="4"/>
      </tp>
      <tp>
        <v>14.91</v>
        <stp/>
        <stp>LAST</stp>
        <stp>DAKT</stp>
        <tr r="D19" s="4"/>
      </tp>
      <tp>
        <v>19.579999999999998</v>
        <stp/>
        <stp>LAST</stp>
        <stp>SAIL</stp>
        <tr r="D92" s="2"/>
      </tp>
      <tp>
        <v>219.94</v>
        <stp/>
        <stp>LAST</stp>
        <stp>LFUS</stp>
        <tr r="D17" s="3"/>
      </tp>
      <tp>
        <v>23.12</v>
        <stp/>
        <stp>LAST</stp>
        <stp>CFLT</stp>
        <tr r="D76" s="3"/>
      </tp>
      <tp>
        <v>283.23</v>
        <stp/>
        <stp>LAST</stp>
        <stp>FFIV</stp>
        <tr r="D6" s="2"/>
      </tp>
      <tp>
        <v>9.8650000000000002</v>
        <stp/>
        <stp>LAST</stp>
        <stp>RGTI</stp>
        <tr r="D55" s="3"/>
      </tp>
      <tp>
        <v>84.67</v>
        <stp/>
        <stp>LAST</stp>
        <stp>AGYS</stp>
        <tr r="D62" s="3"/>
      </tp>
      <tp>
        <v>9.9</v>
        <stp/>
        <stp>LAST</stp>
        <stp>CGNT</stp>
        <tr r="D89" s="4"/>
      </tp>
      <tp>
        <v>77</v>
        <stp/>
        <stp>LAST</stp>
        <stp>DGNX</stp>
        <tr r="D94" s="4"/>
      </tp>
      <tp>
        <v>31.61</v>
        <stp/>
        <stp>LAST</stp>
        <stp>CGNX</stp>
        <tr r="D7" s="3"/>
      </tp>
      <tp>
        <v>15.2</v>
        <stp/>
        <stp>LAST</stp>
        <stp>MGIC</stp>
        <tr r="D115" s="4"/>
      </tp>
      <tp>
        <v>34.08</v>
        <stp/>
        <stp>LAST</stp>
        <stp>DGII</stp>
        <tr r="D7" s="4"/>
      </tp>
      <tp>
        <v>47.68</v>
        <stp/>
        <stp>LAST</stp>
        <stp>RDVT</stp>
        <tr r="D129" s="4"/>
      </tp>
      <tp>
        <v>24.06</v>
        <stp/>
        <stp>LAST</stp>
        <stp>RDWR</stp>
        <tr r="D150" s="4"/>
      </tp>
      <tp>
        <v>8.56</v>
        <stp/>
        <stp>LAST</stp>
        <stp>ADTN</stp>
        <tr r="D3" s="4"/>
      </tp>
      <tp>
        <v>297.01</v>
        <stp/>
        <stp>LAST</stp>
        <stp>ADSK</stp>
        <tr r="D70" s="2"/>
      </tp>
      <tp>
        <v>15.03</v>
        <stp/>
        <stp>LAST</stp>
        <stp>GDYN</stp>
        <tr r="D45" s="4"/>
      </tp>
      <tp>
        <v>19.41</v>
        <stp/>
        <stp>LAST</stp>
        <stp>PDFS</stp>
        <tr r="D60" s="4"/>
      </tp>
      <tp>
        <v>187.49</v>
        <stp/>
        <stp>LAST</stp>
        <stp>GDDY</stp>
        <tr r="D33" s="2"/>
      </tp>
      <tp>
        <v>14.02</v>
        <stp/>
        <stp>LAST</stp>
        <stp>ADEA</stp>
        <tr r="D145" s="4"/>
      </tp>
      <tp>
        <v>397.4</v>
        <stp/>
        <stp>LAST</stp>
        <stp>ADBE</stp>
        <tr r="D69" s="2"/>
      </tp>
      <tp>
        <v>222.4</v>
        <stp/>
        <stp>LAST</stp>
        <stp>IDCC</stp>
        <tr r="D86" s="3"/>
      </tp>
      <tp>
        <v>270.02</v>
        <stp/>
        <stp>LAST</stp>
        <stp>WDAY</stp>
        <tr r="D98" s="2"/>
      </tp>
      <tp>
        <v>318.66000000000003</v>
        <stp/>
        <stp>LAST</stp>
        <stp>CDNS</stp>
        <tr r="D75" s="2"/>
      </tp>
      <tp>
        <v>117.31</v>
        <stp/>
        <stp>LAST</stp>
        <stp>DDOG</stp>
        <tr r="D77" s="2"/>
      </tp>
      <tp>
        <v>22.17</v>
        <stp/>
        <stp>LAST</stp>
        <stp>CEVA</stp>
        <tr r="D67" s="4"/>
      </tp>
      <tp>
        <v>13.54</v>
        <stp/>
        <stp>LAST</stp>
        <stp>AEVA</stp>
        <tr r="D16" s="4"/>
      </tp>
      <tp>
        <v>14.91</v>
        <stp/>
        <stp>LAST</stp>
        <stp>ZETA</stp>
        <tr r="D107" s="3"/>
      </tp>
      <tp>
        <v>37.93</v>
        <stp/>
        <stp>LAST</stp>
        <stp>VERX</stp>
        <tr r="D104" s="3"/>
      </tp>
      <tp>
        <v>6.79</v>
        <stp/>
        <stp>LAST</stp>
        <stp>YEXT</stp>
        <tr r="D144" s="4"/>
      </tp>
      <tp>
        <v>165.06</v>
        <stp/>
        <stp>LAST</stp>
        <stp>KEYS</stp>
        <tr r="D11" s="2"/>
      </tp>
      <tp>
        <v>98.18</v>
        <stp/>
        <stp>LAST</stp>
        <stp>PEGA</stp>
        <tr r="D95" s="3"/>
      </tp>
      <tp>
        <v>18.149999999999999</v>
        <stp/>
        <stp>LAST</stp>
        <stp>SEDG</stp>
        <tr r="D62" s="4"/>
      </tp>
      <tp>
        <v>21.2</v>
        <stp/>
        <stp>LAST</stp>
        <stp>VECO</stp>
        <tr r="D64" s="4"/>
      </tp>
      <tp>
        <v>11.02</v>
        <stp/>
        <stp>LAST</stp>
        <stp>WEAV</stp>
        <tr r="D141" s="4"/>
      </tp>
      <tp>
        <v>229.52</v>
        <stp/>
        <stp>LAST</stp>
        <stp>TEAM</stp>
        <tr r="D95" s="2"/>
      </tp>
      <tp>
        <v>33.49</v>
        <stp/>
        <stp>LAST</stp>
        <stp>TENB</stp>
        <tr r="D121" s="3"/>
      </tp>
      <tp>
        <v>19.420000000000002</v>
        <stp/>
        <stp>LAST</stp>
        <stp>PENG</stp>
        <tr r="D77" s="4"/>
      </tp>
      <tp>
        <v>107.85</v>
        <stp/>
        <stp>LAST</stp>
        <stp>DELL</stp>
        <tr r="D113" s="2"/>
      </tp>
      <tp>
        <v>10.84</v>
        <stp/>
        <stp>LAST</stp>
        <stp>SEMR</stp>
        <tr r="D133" s="4"/>
      </tp>
      <tp>
        <v>120.14</v>
        <stp/>
        <stp>LAST</stp>
        <stp>AEIS</stp>
        <tr r="D5" s="3"/>
      </tp>
      <tp>
        <v>72.02</v>
        <stp/>
        <stp>LAST</stp>
        <stp>WK</stp>
        <tr r="D105" s="3"/>
      </tp>
      <tp>
        <v>456.69</v>
        <stp/>
        <stp>LAST</stp>
        <stp>UI</stp>
        <tr r="D10" s="2"/>
      </tp>
      <tp>
        <v>121.82</v>
        <stp/>
        <stp>LAST</stp>
        <stp>PI</stp>
        <tr r="D52" s="3"/>
      </tp>
      <tp>
        <v>17</v>
        <stp/>
        <stp>LAST</stp>
        <stp>PD</stp>
        <tr r="D123" s="4"/>
      </tp>
      <tp>
        <v>245</v>
        <stp/>
        <stp>LAST</stp>
        <stp>ZS</stp>
        <tr r="D111" s="2"/>
      </tp>
      <tp>
        <v>83.18</v>
        <stp/>
        <stp>LAST</stp>
        <stp>ZM</stp>
        <tr r="D99" s="2"/>
      </tp>
      <tp>
        <v>227.33</v>
        <stp/>
        <stp>LAST</stp>
        <stp>FN</stp>
        <tr r="D19" s="3"/>
      </tp>
      <tp>
        <v>15.02</v>
        <stp/>
        <stp>LAST</stp>
        <stp>DQ</stp>
        <tr r="D57" s="4"/>
      </tp>
      <tp>
        <v>14.69</v>
        <stp/>
        <stp>LAST</stp>
        <stp>DV</stp>
        <tr r="D83" s="3"/>
      </tp>
      <tp>
        <v>50.54</v>
        <stp/>
        <stp>LAST</stp>
        <stp>DT</stp>
        <tr r="D79" s="2"/>
      </tp>
      <tp>
        <v>55.16</v>
        <stp/>
        <stp>LAST</stp>
        <stp>BL</stp>
        <tr r="D70" s="3"/>
      </tp>
      <tp>
        <v>3.92</v>
        <stp/>
        <stp>LAST</stp>
        <stp>BB</stp>
        <tr r="D109" s="3"/>
      </tp>
      <tp>
        <v>23.99</v>
        <stp/>
        <stp>LAST</stp>
        <stp>AI</stp>
        <tr r="D63" s="3"/>
      </tp>
      <tp>
        <v>12.95</v>
        <stp/>
        <stp>LAST</stp>
        <stp>NN</stp>
        <tr r="D119" s="4"/>
      </tp>
      <tp>
        <v>27.7</v>
        <stp/>
        <stp>LAST</stp>
        <stp>OS</stp>
        <tr r="D115" s="3"/>
      </tp>
      <tp>
        <v>45.77</v>
        <stp/>
        <stp>LAST</stp>
        <stp>ON</stp>
        <tr r="D62" s="2"/>
      </tp>
      <tp>
        <v>96.93</v>
        <stp/>
        <stp>LAST</stp>
        <stp>MU</stp>
        <tr r="D59" s="2"/>
      </tp>
      <tp>
        <v>17.37</v>
        <stp/>
        <stp>LAST</stp>
        <stp>KN</stp>
        <tr r="D30" s="4"/>
      </tp>
      <tp>
        <v>13.95</v>
        <stp/>
        <stp>LAST</stp>
        <stp>KC</stp>
        <tr r="D36" s="3"/>
      </tp>
      <tp>
        <v>41.15</v>
        <stp/>
        <stp>LAST</stp>
        <stp>KD</stp>
        <tr r="D33" s="3"/>
      </tp>
      <tp>
        <v>18.53</v>
        <stp/>
        <stp>LAST</stp>
        <stp>KE</stp>
        <tr r="D35" s="4"/>
      </tp>
      <tp>
        <v>448.7</v>
        <stp/>
        <stp>LAST</stp>
        <stp>IT</stp>
        <tr r="D29" s="2"/>
      </tp>
      <tp>
        <v>21.95</v>
        <stp/>
        <stp>LAST</stp>
        <stp>U</stp>
        <tr r="D103" s="3"/>
      </tp>
      <tp>
        <v>20.34</v>
        <stp/>
        <stp>LAST</stp>
        <stp>S</stp>
        <tr r="D119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4181597221" createdVersion="8" refreshedVersion="8" minRefreshableVersion="3" recordCount="120" xr:uid="{3432845B-C090-4238-AA0B-FA56B072311B}">
  <cacheSource type="worksheet">
    <worksheetSource name="Main_L"/>
  </cacheSource>
  <cacheFields count="26">
    <cacheField name="Industry" numFmtId="0">
      <sharedItems count="58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21" maxValue="3220893"/>
    </cacheField>
    <cacheField name="Current Price" numFmtId="0">
      <sharedItems containsSemiMixedTypes="0" containsString="0" containsNumber="1" minValue="2.99" maxValue="2136.0300000000002"/>
    </cacheField>
    <cacheField name="Free CF" numFmtId="0">
      <sharedItems containsString="0" containsBlank="1" containsNumber="1" minValue="-9.1199999999999992" maxValue="27.68"/>
    </cacheField>
    <cacheField name="BVPS" numFmtId="0">
      <sharedItems containsString="0" containsBlank="1" containsNumber="1" minValue="-46.16" maxValue="211.84"/>
    </cacheField>
    <cacheField name="EPS" numFmtId="0">
      <sharedItems containsString="0" containsBlank="1" containsNumber="1" minValue="-25" maxValue="37.619999999999997"/>
    </cacheField>
    <cacheField name="P/FCF" numFmtId="2">
      <sharedItems containsMixedTypes="1" containsNumber="1" minValue="-916.54347826086951" maxValue="593.57142857142844"/>
    </cacheField>
    <cacheField name="P/B" numFmtId="2">
      <sharedItems containsMixedTypes="1" containsNumber="1" minValue="-50.633802816901408" maxValue="133.92142857142858"/>
    </cacheField>
    <cacheField name="ROE" numFmtId="0">
      <sharedItems containsSemiMixedTypes="0" containsString="0" containsNumber="1" minValue="-260.07" maxValue="338.74"/>
    </cacheField>
    <cacheField name="ROA" numFmtId="0">
      <sharedItems containsSemiMixedTypes="0" containsString="0" containsNumber="1" minValue="-61.72" maxValue="57.42"/>
    </cacheField>
    <cacheField name="A/E" numFmtId="0">
      <sharedItems containsSemiMixedTypes="0" containsString="0" containsNumber="1" minValue="-53.81" maxValue="39.25"/>
    </cacheField>
    <cacheField name="P/E" numFmtId="2">
      <sharedItems containsMixedTypes="1" containsNumber="1" minValue="-5502.5" maxValue="7469.3333333333339"/>
    </cacheField>
    <cacheField name="Preliminary Criteria" numFmtId="0">
      <sharedItems/>
    </cacheField>
    <cacheField name="P/FCF Z-Score" numFmtId="2">
      <sharedItems containsMixedTypes="1" containsNumber="1" minValue="-40.55952819918253" maxValue="66.449342267069284"/>
    </cacheField>
    <cacheField name="P/B Z-Score" numFmtId="2">
      <sharedItems containsMixedTypes="1" containsNumber="1" minValue="-7.5198891443602278" maxValue="27.238296715211085"/>
    </cacheField>
    <cacheField name="ROE Z-Score" numFmtId="2">
      <sharedItems containsSemiMixedTypes="0" containsString="0" containsNumber="1" minValue="-7.495820984838641" maxValue="28.907212384035002"/>
    </cacheField>
    <cacheField name="ROA Z-Score" numFmtId="2">
      <sharedItems containsSemiMixedTypes="0" containsString="0" containsNumber="1" minValue="-12.228161557901069" maxValue="9.0314301497043523"/>
    </cacheField>
    <cacheField name="A/E Z-Score" numFmtId="2">
      <sharedItems containsSemiMixedTypes="0" containsString="0" containsNumber="1" minValue="-50.609443103352646" maxValue="42.539913039789383"/>
    </cacheField>
    <cacheField name="P/E Z-Score" numFmtId="2">
      <sharedItems containsMixedTypes="1" containsNumber="1" minValue="-143.5259721650902" maxValue="191.84562287207063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418333333" createdVersion="8" refreshedVersion="8" minRefreshableVersion="3" recordCount="123" xr:uid="{A2646FF5-8A5C-4026-A340-9C8CC354FDFF}">
  <cacheSource type="worksheet">
    <worksheetSource name="Main_M"/>
  </cacheSource>
  <cacheFields count="26">
    <cacheField name="Industry" numFmtId="0">
      <sharedItems count="59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7" maxValue="9678"/>
    </cacheField>
    <cacheField name="Current Price" numFmtId="0">
      <sharedItems containsSemiMixedTypes="0" containsString="0" containsNumber="1" minValue="3.23" maxValue="247.46"/>
    </cacheField>
    <cacheField name="Free CF" numFmtId="0">
      <sharedItems containsString="0" containsBlank="1" containsNumber="1" minValue="-6.03" maxValue="18.77"/>
    </cacheField>
    <cacheField name="BVPS" numFmtId="0">
      <sharedItems containsString="0" containsBlank="1" containsNumber="1" minValue="-6.07" maxValue="114.23"/>
    </cacheField>
    <cacheField name="EPS" numFmtId="0">
      <sharedItems containsString="0" containsBlank="1" containsNumber="1" minValue="-7.68" maxValue="12.66"/>
    </cacheField>
    <cacheField name="P/FCF" numFmtId="2">
      <sharedItems containsMixedTypes="1" containsNumber="1" minValue="-393.8" maxValue="1823"/>
    </cacheField>
    <cacheField name="P/B" numFmtId="2">
      <sharedItems containsMixedTypes="1" containsNumber="1" minValue="-132.06428571428572" maxValue="90.94285714285715"/>
    </cacheField>
    <cacheField name="ROE" numFmtId="0">
      <sharedItems containsSemiMixedTypes="0" containsString="0" containsNumber="1" minValue="-936.62" maxValue="189.4"/>
    </cacheField>
    <cacheField name="ROA" numFmtId="0">
      <sharedItems containsSemiMixedTypes="0" containsString="0" containsNumber="1" minValue="-37.24" maxValue="16.940000000000001"/>
    </cacheField>
    <cacheField name="A/E" numFmtId="0">
      <sharedItems containsSemiMixedTypes="0" containsString="0" containsNumber="1" minValue="-24.28" maxValue="63.37"/>
    </cacheField>
    <cacheField name="P/E" numFmtId="2">
      <sharedItems containsMixedTypes="1" containsNumber="1" minValue="-2981" maxValue="1969"/>
    </cacheField>
    <cacheField name="Preliminary Criteria" numFmtId="0">
      <sharedItems/>
    </cacheField>
    <cacheField name="P/FCF Z-Score" numFmtId="2">
      <sharedItems containsMixedTypes="1" containsNumber="1" minValue="-13.570708156563361" maxValue="64.576172654948678"/>
    </cacheField>
    <cacheField name="P/B Z-Score" numFmtId="2">
      <sharedItems containsMixedTypes="1" containsNumber="1" minValue="-103.74278105731526" maxValue="16.87395988045661"/>
    </cacheField>
    <cacheField name="ROE Z-Score" numFmtId="2">
      <sharedItems containsSemiMixedTypes="0" containsString="0" containsNumber="1" minValue="-6.8741345483926706" maxValue="2.4751070777671735"/>
    </cacheField>
    <cacheField name="ROA Z-Score" numFmtId="2">
      <sharedItems containsSemiMixedTypes="0" containsString="0" containsNumber="1" minValue="-5.1137565579132715" maxValue="2.993636574534027"/>
    </cacheField>
    <cacheField name="A/E Z-Score" numFmtId="2">
      <sharedItems containsSemiMixedTypes="0" containsString="0" containsNumber="1" minValue="-24.892693839355474" maxValue="72.452376274207751"/>
    </cacheField>
    <cacheField name="P/E Z-Score" numFmtId="2">
      <sharedItems containsMixedTypes="1" containsNumber="1" minValue="-48.558032307369913" maxValue="44.92035934331902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41849537" createdVersion="8" refreshedVersion="8" minRefreshableVersion="3" recordCount="158" xr:uid="{FEEDC4AE-CB7E-4F82-B64E-6462C5DE2153}">
  <cacheSource type="worksheet">
    <worksheetSource name="Main_S"/>
  </cacheSource>
  <cacheFields count="26">
    <cacheField name="Industry" numFmtId="0">
      <sharedItems count="60">
        <s v="Communications Equipment"/>
        <s v="Electronic Equipment, Instruments &amp; Components"/>
        <s v="IT Services"/>
        <s v="Semiconductors &amp; Semiconductor Equipment"/>
        <s v="Software"/>
        <s v="Technology Hardware, Storage &amp; Peripher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2" maxValue="1995"/>
    </cacheField>
    <cacheField name="Current Price" numFmtId="0">
      <sharedItems containsSemiMixedTypes="0" containsString="0" containsNumber="1" minValue="0.88249999999999995" maxValue="413.01"/>
    </cacheField>
    <cacheField name="Free CF" numFmtId="0">
      <sharedItems containsString="0" containsBlank="1" containsNumber="1" minValue="-41.37" maxValue="17.190000000000001"/>
    </cacheField>
    <cacheField name="BVPS" numFmtId="0">
      <sharedItems containsString="0" containsBlank="1" containsNumber="1" minValue="-16.309999999999999" maxValue="210.32"/>
    </cacheField>
    <cacheField name="EPS" numFmtId="0">
      <sharedItems containsString="0" containsBlank="1" containsNumber="1" minValue="-31.64" maxValue="55.48"/>
    </cacheField>
    <cacheField name="P/FCF" numFmtId="2">
      <sharedItems containsMixedTypes="1" containsNumber="1" minValue="-2217" maxValue="454"/>
    </cacheField>
    <cacheField name="P/B" numFmtId="2">
      <sharedItems containsMixedTypes="1" containsNumber="1" minValue="-278.33333333333331" maxValue="87.714285714285708"/>
    </cacheField>
    <cacheField name="ROE" numFmtId="0">
      <sharedItems containsSemiMixedTypes="0" containsString="0" containsNumber="1" minValue="-483.48" maxValue="374.17"/>
    </cacheField>
    <cacheField name="ROA" numFmtId="0">
      <sharedItems containsSemiMixedTypes="0" containsString="0" containsNumber="1" minValue="-772.93" maxValue="26.01"/>
    </cacheField>
    <cacheField name="A/E" numFmtId="0">
      <sharedItems containsSemiMixedTypes="0" containsString="0" containsNumber="1" minValue="-89.34" maxValue="93.28"/>
    </cacheField>
    <cacheField name="P/E" numFmtId="2">
      <sharedItems containsMixedTypes="1" containsNumber="1" minValue="-969.99999999999989" maxValue="576.66666666666674"/>
    </cacheField>
    <cacheField name="Preliminary Criteria" numFmtId="0">
      <sharedItems/>
    </cacheField>
    <cacheField name="P/FCF Z-Score" numFmtId="2">
      <sharedItems containsMixedTypes="1" containsNumber="1" minValue="-101.76496907031607" maxValue="20.362149179628346"/>
    </cacheField>
    <cacheField name="P/B Z-Score" numFmtId="2">
      <sharedItems containsMixedTypes="1" containsNumber="1" minValue="-90.439690909673729" maxValue="27.052834952993123"/>
    </cacheField>
    <cacheField name="ROE Z-Score" numFmtId="2">
      <sharedItems containsSemiMixedTypes="0" containsString="0" containsNumber="1" minValue="-35.575313819749603" maxValue="11.88402277334265"/>
    </cacheField>
    <cacheField name="ROA Z-Score" numFmtId="2">
      <sharedItems containsSemiMixedTypes="0" containsString="0" containsNumber="1" minValue="-133.02775491590344" maxValue="5.9204688917841803"/>
    </cacheField>
    <cacheField name="A/E Z-Score" numFmtId="2">
      <sharedItems containsSemiMixedTypes="0" containsString="0" containsNumber="1" minValue="-98.274401877668438" maxValue="98.475387599115521"/>
    </cacheField>
    <cacheField name="P/E Z-Score" numFmtId="2">
      <sharedItems containsMixedTypes="1" containsNumber="1" minValue="-34.779721738840792" maxValue="29.64315637239012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s v="ANET"/>
    <n v="108549"/>
    <n v="97.25"/>
    <n v="2.93"/>
    <n v="7.92"/>
    <n v="2.23"/>
    <n v="33.191126279863482"/>
    <n v="12.279040404040405"/>
    <n v="33.14"/>
    <n v="15.34"/>
    <n v="1.41"/>
    <n v="43.609865470852021"/>
    <s v="NO"/>
    <n v="1.173136187200394"/>
    <n v="2.2478769009370598"/>
    <n v="1.8707925567089978"/>
    <n v="1.8068200367295852"/>
    <n v="-1.1902852358157192"/>
    <n v="0.61674419245076384"/>
    <x v="0"/>
    <x v="0"/>
    <x v="0"/>
    <x v="0"/>
    <x v="0"/>
    <x v="0"/>
  </r>
  <r>
    <x v="0"/>
    <s v="CIEN"/>
    <n v="10425"/>
    <n v="80.59"/>
    <n v="1.42"/>
    <n v="19.600000000000001"/>
    <n v="0.55000000000000004"/>
    <n v="56.753521126760567"/>
    <n v="4.1117346938775512"/>
    <n v="2.76"/>
    <n v="2.06"/>
    <n v="2"/>
    <n v="146.52727272727273"/>
    <s v="NO"/>
    <n v="3.6814729725938293"/>
    <n v="-0.21522710852222299"/>
    <n v="-0.95439381674459878"/>
    <n v="-0.95872614828916036"/>
    <n v="-0.47641658104441093"/>
    <n v="8.7931817875552039"/>
    <x v="1"/>
    <x v="0"/>
    <x v="0"/>
    <x v="0"/>
    <x v="0"/>
    <x v="1"/>
  </r>
  <r>
    <x v="0"/>
    <s v="CSCO"/>
    <n v="236987"/>
    <n v="61.78"/>
    <n v="3.2"/>
    <n v="11.45"/>
    <n v="2.2799999999999998"/>
    <n v="19.306249999999999"/>
    <n v="5.3956331877729262"/>
    <n v="20.02"/>
    <n v="6.56"/>
    <n v="2.67"/>
    <n v="27.096491228070178"/>
    <s v="NO"/>
    <n v="-0.30497952046523846"/>
    <n v="0.17197224953748355"/>
    <n v="0.65069890234062422"/>
    <n v="-2.1605829570458906E-2"/>
    <n v="0.33424782352639654"/>
    <n v="-0.69518716668563951"/>
    <x v="0"/>
    <x v="0"/>
    <x v="0"/>
    <x v="0"/>
    <x v="0"/>
    <x v="0"/>
  </r>
  <r>
    <x v="0"/>
    <s v="ERIC"/>
    <n v="27861"/>
    <n v="8.4499999999999993"/>
    <n v="1.25"/>
    <n v="2.57"/>
    <n v="0.05"/>
    <n v="6.76"/>
    <n v="3.2879377431906613"/>
    <n v="2.06"/>
    <n v="2.65"/>
    <n v="3.23"/>
    <n v="168.99999999999997"/>
    <s v="NO"/>
    <n v="-1.6405916514998169"/>
    <n v="-0.46366859513050984"/>
    <n v="-1.0194902769624234"/>
    <n v="-0.83585926205715289"/>
    <n v="1.0118180721228924"/>
    <n v="10.578563454618065"/>
    <x v="0"/>
    <x v="0"/>
    <x v="0"/>
    <x v="0"/>
    <x v="0"/>
    <x v="1"/>
  </r>
  <r>
    <x v="0"/>
    <s v="FFIV"/>
    <n v="15492"/>
    <n v="283.23"/>
    <n v="14.31"/>
    <n v="57.22"/>
    <n v="10.53"/>
    <n v="19.79245283018868"/>
    <n v="4.9498427123383433"/>
    <n v="19.89"/>
    <n v="8.08"/>
    <n v="1.78"/>
    <n v="26.897435897435901"/>
    <s v="NO"/>
    <n v="-0.25322075604213612"/>
    <n v="3.7530323841550868E-2"/>
    <n v="0.63860955972874256"/>
    <n v="0.29493258919674703"/>
    <n v="-0.74260489299303423"/>
    <n v="-0.71100143496436652"/>
    <x v="0"/>
    <x v="0"/>
    <x v="0"/>
    <x v="0"/>
    <x v="0"/>
    <x v="0"/>
  </r>
  <r>
    <x v="0"/>
    <s v="JNPR"/>
    <n v="12161"/>
    <n v="36.39"/>
    <n v="2.0499999999999998"/>
    <n v="14.49"/>
    <n v="1.04"/>
    <n v="17.751219512195124"/>
    <n v="2.5113871635610767"/>
    <n v="7.58"/>
    <n v="2.91"/>
    <n v="2.09"/>
    <n v="34.990384615384613"/>
    <s v="NO"/>
    <n v="-0.47052042580673958"/>
    <n v="-0.69786147514643626"/>
    <n v="-0.50615819067329082"/>
    <n v="-0.78171453253118339"/>
    <n v="-0.36752136251997425"/>
    <n v="-6.804421405594846E-2"/>
    <x v="0"/>
    <x v="0"/>
    <x v="0"/>
    <x v="0"/>
    <x v="0"/>
    <x v="0"/>
  </r>
  <r>
    <x v="0"/>
    <s v="MSI"/>
    <n v="69295"/>
    <n v="413.28"/>
    <n v="13.6"/>
    <n v="9.83"/>
    <n v="11.91"/>
    <n v="30.388235294117646"/>
    <n v="42.042726347914545"/>
    <n v="186.89"/>
    <n v="13"/>
    <n v="8.8000000000000007"/>
    <n v="34.700251889168761"/>
    <s v="NO"/>
    <n v="0.87475418440835584"/>
    <n v="11.224038292008766"/>
    <n v="16.168765068838372"/>
    <n v="1.3195174709958606"/>
    <n v="7.7512221519130398"/>
    <n v="-9.1094271314881542E-2"/>
    <x v="0"/>
    <x v="1"/>
    <x v="1"/>
    <x v="0"/>
    <x v="1"/>
    <x v="0"/>
  </r>
  <r>
    <x v="0"/>
    <s v="NOK"/>
    <n v="27272"/>
    <n v="5.18"/>
    <n v="0.36"/>
    <n v="4.17"/>
    <n v="0.24"/>
    <n v="14.388888888888889"/>
    <n v="1.2422062350119905"/>
    <n v="5.71"/>
    <n v="2.71"/>
    <n v="1.89"/>
    <n v="21.583333333333332"/>
    <s v="NO"/>
    <n v="-0.82845762369749287"/>
    <n v="-1.0806222955169247"/>
    <n v="-0.68005873439805142"/>
    <n v="-0.8233643244742368"/>
    <n v="-0.60951073701872271"/>
    <n v="-1.1331887903173008"/>
    <x v="0"/>
    <x v="0"/>
    <x v="0"/>
    <x v="0"/>
    <x v="0"/>
    <x v="0"/>
  </r>
  <r>
    <x v="0"/>
    <s v="UI"/>
    <n v="21273"/>
    <n v="456.69"/>
    <n v="12.76"/>
    <n v="4.8"/>
    <n v="7.36"/>
    <n v="35.790752351097176"/>
    <n v="95.143749999999997"/>
    <n v="323.87"/>
    <n v="29.66"/>
    <n v="4.08"/>
    <n v="62.05027173913043"/>
    <s v="NO"/>
    <n v="1.4498796059026742"/>
    <n v="27.238296715211085"/>
    <n v="28.907212384035002"/>
    <n v="4.7889451398522089"/>
    <n v="2.0402729137425739"/>
    <n v="2.0817716848873711"/>
    <x v="0"/>
    <x v="1"/>
    <x v="1"/>
    <x v="1"/>
    <x v="0"/>
    <x v="0"/>
  </r>
  <r>
    <x v="1"/>
    <s v="KEYS"/>
    <n v="25844"/>
    <n v="165.06"/>
    <n v="5.55"/>
    <n v="30.02"/>
    <n v="3.5"/>
    <n v="29.740540540540543"/>
    <n v="5.4983344437041977"/>
    <n v="12.22"/>
    <n v="5.75"/>
    <n v="1.81"/>
    <n v="47.160000000000004"/>
    <s v="NO"/>
    <n v="7.1484980690622049E-2"/>
    <n v="-0.1106346209017911"/>
    <n v="-0.533646400035797"/>
    <n v="0.35033065975724292"/>
    <n v="-0.72096266105951878"/>
    <n v="1.5911214680088801"/>
    <x v="0"/>
    <x v="0"/>
    <x v="0"/>
    <x v="0"/>
    <x v="0"/>
    <x v="0"/>
  </r>
  <r>
    <x v="1"/>
    <s v="TDY"/>
    <n v="22571"/>
    <n v="493.17"/>
    <n v="22.56"/>
    <n v="211.84"/>
    <n v="17.489999999999998"/>
    <n v="21.860372340425535"/>
    <n v="2.3280305891238671"/>
    <n v="8.6199999999999992"/>
    <n v="4.55"/>
    <n v="1.52"/>
    <n v="28.197255574614069"/>
    <s v="NO"/>
    <n v="-0.54530500293161099"/>
    <n v="-0.99110223050271939"/>
    <n v="-0.81892699008092062"/>
    <n v="-0.26955737091240906"/>
    <n v="-0.94231693331937094"/>
    <n v="-0.2113285654540967"/>
    <x v="0"/>
    <x v="0"/>
    <x v="0"/>
    <x v="0"/>
    <x v="0"/>
    <x v="0"/>
  </r>
  <r>
    <x v="1"/>
    <s v="TRMB"/>
    <n v="15818"/>
    <n v="71.25"/>
    <n v="2.0299999999999998"/>
    <n v="23.37"/>
    <n v="6.09"/>
    <n v="35.098522167487687"/>
    <n v="3.0487804878048781"/>
    <n v="29.37"/>
    <n v="3.15"/>
    <n v="1.65"/>
    <n v="11.699507389162562"/>
    <s v="NO"/>
    <n v="0.49086047065601673"/>
    <n v="-0.79093310807146089"/>
    <n v="0.82539863309583272"/>
    <n v="-0.99276007336033623"/>
    <n v="-0.84308915609943735"/>
    <n v="-1.7794753538019878"/>
    <x v="0"/>
    <x v="0"/>
    <x v="0"/>
    <x v="0"/>
    <x v="0"/>
    <x v="0"/>
  </r>
  <r>
    <x v="1"/>
    <s v="ZBRA"/>
    <n v="13084"/>
    <n v="302.38"/>
    <n v="19.440000000000001"/>
    <n v="70.91"/>
    <n v="10.57"/>
    <n v="15.554526748971192"/>
    <n v="4.2642786630940632"/>
    <n v="16.16"/>
    <n v="6.54"/>
    <n v="2.1800000000000002"/>
    <n v="28.607379375591297"/>
    <s v="YES"/>
    <n v="-1.0388709142557742"/>
    <n v="-0.45336080523841654"/>
    <n v="-0.22142264315307864"/>
    <n v="0.75842361328143038"/>
    <n v="-0.43854514127970728"/>
    <n v="-0.17234540762564735"/>
    <x v="0"/>
    <x v="0"/>
    <x v="0"/>
    <x v="0"/>
    <x v="0"/>
    <x v="0"/>
  </r>
  <r>
    <x v="1"/>
    <s v="APH"/>
    <n v="97961"/>
    <n v="85.78"/>
    <n v="1.84"/>
    <n v="8.52"/>
    <n v="2.06"/>
    <n v="46.619565217391305"/>
    <n v="10.068075117370892"/>
    <n v="27.53"/>
    <n v="11.82"/>
    <n v="2.2200000000000002"/>
    <n v="41.640776699029125"/>
    <s v="NO"/>
    <n v="1.3926259880414684"/>
    <n v="1.1584893596360499"/>
    <n v="0.67958855373943627"/>
    <n v="3.4859309482278986"/>
    <n v="-0.40801351751972764"/>
    <n v="1.0665073087732169"/>
    <x v="0"/>
    <x v="0"/>
    <x v="0"/>
    <x v="1"/>
    <x v="0"/>
    <x v="0"/>
  </r>
  <r>
    <x v="1"/>
    <s v="COHR"/>
    <n v="10789"/>
    <n v="78.900000000000006"/>
    <n v="1.5"/>
    <n v="33.36"/>
    <n v="-0.39"/>
    <n v="52.6"/>
    <n v="2.3651079136690649"/>
    <n v="0.79"/>
    <n v="1.54"/>
    <n v="2.75"/>
    <n v="-202.30769230769232"/>
    <s v="NO"/>
    <n v="1.8607216146760899"/>
    <n v="-0.98080498935167215"/>
    <n v="-1.4394122734290642"/>
    <n v="-1.8244431811754525"/>
    <n v="-3.4695026999979174E-3"/>
    <n v="-22.121324381652471"/>
    <x v="0"/>
    <x v="0"/>
    <x v="0"/>
    <x v="0"/>
    <x v="0"/>
    <x v="1"/>
  </r>
  <r>
    <x v="1"/>
    <s v="GLW"/>
    <n v="38282"/>
    <n v="47.62"/>
    <n v="1.26"/>
    <n v="13.23"/>
    <n v="0.52"/>
    <n v="37.793650793650791"/>
    <n v="3.5993953136810277"/>
    <n v="4.87"/>
    <n v="3.59"/>
    <n v="2.56"/>
    <n v="91.576923076923066"/>
    <s v="NO"/>
    <n v="0.70181134111671217"/>
    <n v="-0.63801447888404494"/>
    <n v="-1.1160942713779241"/>
    <n v="-0.76546779544813059"/>
    <n v="-0.14849471555990104"/>
    <n v="5.8130464536741897"/>
    <x v="0"/>
    <x v="0"/>
    <x v="0"/>
    <x v="0"/>
    <x v="0"/>
    <x v="1"/>
  </r>
  <r>
    <x v="1"/>
    <s v="CLS"/>
    <n v="11102"/>
    <n v="109.87"/>
    <n v="2.8"/>
    <n v="13.47"/>
    <n v="3.58"/>
    <n v="39.239285714285721"/>
    <n v="8.1566443949517442"/>
    <n v="25.85"/>
    <n v="6.68"/>
    <n v="3.75"/>
    <n v="30.689944134078214"/>
    <s v="NO"/>
    <n v="0.81496287752796959"/>
    <n v="0.62764029396851206"/>
    <n v="0.5464576117183787"/>
    <n v="0.83074388352622297"/>
    <n v="0.75982109129949238"/>
    <n v="2.5606894763576245E-2"/>
    <x v="0"/>
    <x v="0"/>
    <x v="0"/>
    <x v="0"/>
    <x v="0"/>
    <x v="0"/>
  </r>
  <r>
    <x v="1"/>
    <s v="FLEX"/>
    <n v="14539"/>
    <n v="41.85"/>
    <n v="3.36"/>
    <n v="12.99"/>
    <n v="2.48"/>
    <n v="12.455357142857144"/>
    <n v="3.2217090069284064"/>
    <n v="17.68"/>
    <n v="3.73"/>
    <n v="3.66"/>
    <n v="16.875"/>
    <s v="NO"/>
    <n v="-1.2814465448837737"/>
    <n v="-0.74290680937944586"/>
    <n v="-0.10097083846735989"/>
    <n v="-0.69314752520333778"/>
    <n v="0.69112493783953832"/>
    <n v="-1.2875335430426273"/>
    <x v="0"/>
    <x v="0"/>
    <x v="0"/>
    <x v="0"/>
    <x v="0"/>
    <x v="0"/>
  </r>
  <r>
    <x v="1"/>
    <s v="JBL"/>
    <n v="16394"/>
    <n v="167.01"/>
    <n v="10.96"/>
    <n v="12.4"/>
    <n v="4.18"/>
    <n v="15.238138686131386"/>
    <n v="13.468548387096773"/>
    <n v="24.1"/>
    <n v="4.6100000000000003"/>
    <n v="12.81"/>
    <n v="39.954545454545453"/>
    <s v="NO"/>
    <n v="-1.0636349780601972"/>
    <n v="2.1028804049870424"/>
    <n v="0.40777954711311037"/>
    <n v="-0.23856296937892621"/>
    <n v="7.6752338729348741"/>
    <n v="0.90622736749124433"/>
    <x v="0"/>
    <x v="0"/>
    <x v="0"/>
    <x v="0"/>
    <x v="1"/>
    <x v="0"/>
  </r>
  <r>
    <x v="1"/>
    <s v="TEL"/>
    <n v="44390"/>
    <n v="162.38999999999999"/>
    <n v="9.2100000000000009"/>
    <n v="40.67"/>
    <n v="4.58"/>
    <n v="17.631921824104232"/>
    <n v="3.9928694369313984"/>
    <n v="11.22"/>
    <n v="8.15"/>
    <n v="1.96"/>
    <n v="35.456331877729255"/>
    <s v="YES"/>
    <n v="-0.87627077148857846"/>
    <n v="-0.52873750209282977"/>
    <n v="-0.61289100838166466"/>
    <n v="1.5901067210965469"/>
    <n v="-0.60646907195959532"/>
    <n v="0.47866239956382572"/>
    <x v="0"/>
    <x v="0"/>
    <x v="0"/>
    <x v="0"/>
    <x v="0"/>
    <x v="0"/>
  </r>
  <r>
    <x v="1"/>
    <s v="CDW"/>
    <n v="23128"/>
    <n v="190.68"/>
    <n v="8.6300000000000008"/>
    <n v="17.739999999999998"/>
    <n v="7.97"/>
    <n v="22.095017381228271"/>
    <n v="10.748590755355131"/>
    <n v="49.04"/>
    <n v="7.5"/>
    <n v="6.24"/>
    <n v="23.924717691342536"/>
    <s v="NO"/>
    <n v="-0.52693906108894251"/>
    <n v="1.3474844858307753"/>
    <n v="2.3841400792590486"/>
    <n v="1.2543340378171519"/>
    <n v="2.6604146703582234"/>
    <n v="-0.61744256867638481"/>
    <x v="0"/>
    <x v="0"/>
    <x v="0"/>
    <x v="0"/>
    <x v="0"/>
    <x v="0"/>
  </r>
  <r>
    <x v="2"/>
    <s v="ACN"/>
    <n v="191620"/>
    <n v="322.52999999999997"/>
    <n v="15.55"/>
    <n v="46.69"/>
    <n v="12.12"/>
    <n v="20.741479099678454"/>
    <n v="6.9079031912615116"/>
    <n v="26.96"/>
    <n v="11.58"/>
    <n v="2.0499999999999998"/>
    <n v="26.611386138613859"/>
    <s v="NO"/>
    <n v="-0.20112206327300833"/>
    <n v="-9.8341808597146474E-2"/>
    <n v="1.054131610050864"/>
    <n v="1.1308090448797314"/>
    <n v="0.47173228800009481"/>
    <n v="-3.1828873351473483E-2"/>
    <x v="0"/>
    <x v="0"/>
    <x v="0"/>
    <x v="0"/>
    <x v="0"/>
    <x v="0"/>
  </r>
  <r>
    <x v="2"/>
    <s v="CTSH"/>
    <n v="38415"/>
    <n v="81.27"/>
    <n v="4.3099999999999996"/>
    <n v="30.22"/>
    <n v="4.75"/>
    <n v="18.856148491879352"/>
    <n v="2.6892786234281933"/>
    <n v="16.600000000000001"/>
    <n v="10.09"/>
    <n v="1.34"/>
    <n v="17.109473684210524"/>
    <s v="YES"/>
    <n v="-0.64030864528599085"/>
    <n v="-0.71157536412827027"/>
    <n v="0.5442743091641129"/>
    <n v="0.89341974348072928"/>
    <n v="-0.33118191452061441"/>
    <n v="-1.2516131401717934"/>
    <x v="0"/>
    <x v="0"/>
    <x v="0"/>
    <x v="0"/>
    <x v="0"/>
    <x v="0"/>
  </r>
  <r>
    <x v="2"/>
    <s v="DOX"/>
    <n v="10021"/>
    <n v="91.12"/>
    <n v="4.88"/>
    <n v="30.89"/>
    <n v="4.3099999999999996"/>
    <n v="18.672131147540984"/>
    <n v="2.9498219488507607"/>
    <n v="14.05"/>
    <n v="7.65"/>
    <n v="1.82"/>
    <n v="21.141531322505802"/>
    <s v="NO"/>
    <n v="-0.68317537017591312"/>
    <n v="-0.67370190389266471"/>
    <n v="0.41877854494970984"/>
    <n v="0.50467484723001454"/>
    <n v="0.2116333209863441"/>
    <n v="-0.7340078166428351"/>
    <x v="0"/>
    <x v="0"/>
    <x v="0"/>
    <x v="0"/>
    <x v="0"/>
    <x v="0"/>
  </r>
  <r>
    <x v="2"/>
    <s v="GIB"/>
    <n v="23786"/>
    <n v="107.56"/>
    <n v="5.72"/>
    <n v="31.7"/>
    <n v="5.3"/>
    <n v="18.804195804195807"/>
    <n v="3.3930599369085175"/>
    <n v="18.34"/>
    <n v="9.01"/>
    <n v="1.84"/>
    <n v="20.294339622641509"/>
    <s v="NO"/>
    <n v="-0.65241099128076596"/>
    <n v="-0.60927132871523892"/>
    <n v="0.62990671298099954"/>
    <n v="0.72135233038615054"/>
    <n v="0.23425062246580072"/>
    <n v="-0.84276393404910921"/>
    <x v="0"/>
    <x v="0"/>
    <x v="0"/>
    <x v="0"/>
    <x v="0"/>
    <x v="0"/>
  </r>
  <r>
    <x v="2"/>
    <s v="IBM"/>
    <n v="235481"/>
    <n v="258.58999999999997"/>
    <n v="12.92"/>
    <n v="28.92"/>
    <n v="5.85"/>
    <n v="20.014705882352938"/>
    <n v="8.941562932226832"/>
    <n v="21.85"/>
    <n v="4.47"/>
    <n v="5.42"/>
    <n v="44.203418803418799"/>
    <s v="NO"/>
    <n v="-0.37042342818766738"/>
    <n v="0.19727785929218677"/>
    <n v="0.80264794137023676"/>
    <n v="-1.9680913262450895E-3"/>
    <n v="4.282747587288533"/>
    <n v="2.2265043589205216"/>
    <x v="0"/>
    <x v="0"/>
    <x v="0"/>
    <x v="0"/>
    <x v="1"/>
    <x v="0"/>
  </r>
  <r>
    <x v="2"/>
    <s v="INFY"/>
    <n v="73394"/>
    <n v="18.38"/>
    <n v="0.98"/>
    <n v="2.76"/>
    <n v="0.76"/>
    <n v="18.755102040816325"/>
    <n v="6.6594202898550723"/>
    <n v="28.89"/>
    <n v="14.99"/>
    <n v="1.55"/>
    <n v="24.184210526315788"/>
    <s v="YES"/>
    <n v="-0.66384735265292805"/>
    <n v="-0.13446212474948466"/>
    <n v="1.1491146786523532"/>
    <n v="1.6740959695579845"/>
    <n v="-9.3700248986320095E-2"/>
    <n v="-0.34341147726392712"/>
    <x v="0"/>
    <x v="0"/>
    <x v="0"/>
    <x v="0"/>
    <x v="0"/>
    <x v="0"/>
  </r>
  <r>
    <x v="2"/>
    <s v="IT"/>
    <n v="33700"/>
    <n v="448.7"/>
    <n v="17.78"/>
    <n v="17.559999999999999"/>
    <n v="16"/>
    <n v="25.236220472440941"/>
    <n v="25.55239179954442"/>
    <n v="122.93"/>
    <n v="8.91"/>
    <n v="6.28"/>
    <n v="28.043749999999999"/>
    <s v="NO"/>
    <n v="0.84592511899299327"/>
    <n v="2.6118842038088497"/>
    <n v="5.7772016067788083"/>
    <n v="0.705420162507023"/>
    <n v="5.2552915509051674"/>
    <n v="0.15204725799208005"/>
    <x v="0"/>
    <x v="0"/>
    <x v="1"/>
    <x v="0"/>
    <x v="1"/>
    <x v="0"/>
  </r>
  <r>
    <x v="2"/>
    <s v="WIT"/>
    <n v="30338"/>
    <n v="2.99"/>
    <n v="0.17"/>
    <n v="0.92"/>
    <n v="0.15"/>
    <n v="17.588235294117649"/>
    <n v="3.25"/>
    <n v="16.760000000000002"/>
    <n v="7.69"/>
    <n v="1.56"/>
    <n v="19.933333333333337"/>
    <s v="YES"/>
    <n v="-0.9356682290696382"/>
    <n v="-0.63006700568384066"/>
    <n v="0.55214855319325196"/>
    <n v="0.51104771438166552"/>
    <n v="-8.2391598246591785E-2"/>
    <n v="-0.889107214313413"/>
    <x v="0"/>
    <x v="0"/>
    <x v="0"/>
    <x v="0"/>
    <x v="0"/>
    <x v="0"/>
  </r>
  <r>
    <x v="2"/>
    <s v="AKAM"/>
    <n v="12107"/>
    <n v="78.94"/>
    <n v="4.63"/>
    <n v="32.520000000000003"/>
    <n v="3.27"/>
    <n v="17.049676025917925"/>
    <n v="2.4274292742927428"/>
    <n v="10.66"/>
    <n v="3.92"/>
    <n v="2.13"/>
    <n v="24.140672782874617"/>
    <s v="NO"/>
    <n v="-1.0611252726425782"/>
    <n v="-0.74963867239424231"/>
    <n v="0.25194299958232702"/>
    <n v="-8.9595014661447175E-2"/>
    <n v="0.56220149391792129"/>
    <n v="-0.34900052628087408"/>
    <x v="0"/>
    <x v="0"/>
    <x v="0"/>
    <x v="0"/>
    <x v="0"/>
    <x v="0"/>
  </r>
  <r>
    <x v="2"/>
    <s v="CRWV"/>
    <n v="24946"/>
    <n v="63.26"/>
    <m/>
    <m/>
    <m/>
    <s v=""/>
    <s v=""/>
    <n v="-146.77000000000001"/>
    <n v="1.78"/>
    <n v="-43.12"/>
    <s v=""/>
    <s v="NO"/>
    <e v="#VALUE!"/>
    <e v="#VALUE!"/>
    <n v="-7.495820984838641"/>
    <n v="-0.43054340727477897"/>
    <n v="-50.609443103352646"/>
    <e v="#VALUE!"/>
    <x v="1"/>
    <x v="1"/>
    <x v="1"/>
    <x v="0"/>
    <x v="1"/>
    <x v="1"/>
  </r>
  <r>
    <x v="2"/>
    <s v="GDDY"/>
    <n v="26091"/>
    <n v="187.49"/>
    <n v="9.7100000000000009"/>
    <n v="1.4"/>
    <n v="5.2"/>
    <n v="19.308959835221419"/>
    <n v="133.92142857142858"/>
    <n v="245.7"/>
    <n v="7.78"/>
    <n v="39.25"/>
    <n v="36.055769230769229"/>
    <s v="NO"/>
    <n v="-0.53482652700050637"/>
    <n v="18.36477443154417"/>
    <n v="11.819207478387536"/>
    <n v="0.52538666547288049"/>
    <n v="42.539913039789383"/>
    <n v="1.1805702053515053"/>
    <x v="0"/>
    <x v="1"/>
    <x v="1"/>
    <x v="0"/>
    <x v="1"/>
    <x v="0"/>
  </r>
  <r>
    <x v="2"/>
    <s v="MDB"/>
    <n v="14153"/>
    <n v="195.9"/>
    <n v="1.62"/>
    <n v="34.58"/>
    <n v="-1.73"/>
    <n v="120.92592592592592"/>
    <n v="5.6651243493348762"/>
    <n v="-6.7"/>
    <n v="-4.29"/>
    <n v="1.23"/>
    <n v="-113.23699421965318"/>
    <s v="NO"/>
    <n v="23.136781957627271"/>
    <n v="-0.27899635031308401"/>
    <n v="-0.60241247757925587"/>
    <n v="-1.3976259975378278"/>
    <n v="-0.45557707265762587"/>
    <n v="-17.984515232008281"/>
    <x v="1"/>
    <x v="0"/>
    <x v="0"/>
    <x v="0"/>
    <x v="0"/>
    <x v="1"/>
  </r>
  <r>
    <x v="2"/>
    <s v="NET"/>
    <n v="42178"/>
    <n v="150.36000000000001"/>
    <n v="0.49"/>
    <n v="3.03"/>
    <n v="-0.23"/>
    <n v="306.85714285714289"/>
    <n v="49.623762376237629"/>
    <n v="-8.7100000000000009"/>
    <n v="-2.87"/>
    <n v="3.16"/>
    <n v="-653.73913043478262"/>
    <s v="NO"/>
    <n v="66.449342267069284"/>
    <n v="6.1109801598242672"/>
    <n v="-0.70133266819531481"/>
    <n v="-1.171389213654215"/>
    <n v="1.7269925201099368"/>
    <n v="-87.37012629733232"/>
    <x v="1"/>
    <x v="1"/>
    <x v="0"/>
    <x v="0"/>
    <x v="0"/>
    <x v="1"/>
  </r>
  <r>
    <x v="2"/>
    <s v="OKTA"/>
    <n v="20490"/>
    <n v="124.05"/>
    <n v="4.3099999999999996"/>
    <n v="36.93"/>
    <n v="0.15"/>
    <n v="28.78190255220418"/>
    <n v="3.3590576766856213"/>
    <n v="0.46"/>
    <n v="-0.43"/>
    <n v="1.47"/>
    <n v="827"/>
    <s v="NO"/>
    <n v="1.6718895345040552"/>
    <n v="-0.61421401242584239"/>
    <n v="-0.25004005727528505"/>
    <n v="-0.78264431740350016"/>
    <n v="-0.1841694549041466"/>
    <n v="102.71605932444071"/>
    <x v="0"/>
    <x v="0"/>
    <x v="0"/>
    <x v="0"/>
    <x v="0"/>
    <x v="1"/>
  </r>
  <r>
    <x v="2"/>
    <s v="SHOP"/>
    <n v="122361"/>
    <n v="107.68"/>
    <n v="1.24"/>
    <n v="8.93"/>
    <n v="1.55"/>
    <n v="86.838709677419359"/>
    <n v="12.058230683090706"/>
    <n v="19.579999999999998"/>
    <n v="6.18"/>
    <n v="1.2"/>
    <n v="69.470967741935482"/>
    <s v="NO"/>
    <n v="15.196186322787693"/>
    <n v="0.65032723961499128"/>
    <n v="0.69093210420682682"/>
    <n v="0.27047197940683781"/>
    <n v="-0.4895030248768108"/>
    <n v="5.4701628123334665"/>
    <x v="1"/>
    <x v="0"/>
    <x v="0"/>
    <x v="0"/>
    <x v="0"/>
    <x v="1"/>
  </r>
  <r>
    <x v="2"/>
    <s v="SNOW"/>
    <n v="56984"/>
    <n v="181.02"/>
    <n v="2.66"/>
    <n v="8.99"/>
    <n v="-3.86"/>
    <n v="68.05263157894737"/>
    <n v="20.135706340378199"/>
    <n v="-31.46"/>
    <n v="-10.41"/>
    <n v="3.01"/>
    <n v="-46.896373056994825"/>
    <s v="NO"/>
    <n v="10.819981218300237"/>
    <n v="1.8244964593184079"/>
    <n v="-1.8209517410885181"/>
    <n v="-2.3726746717404401"/>
    <n v="1.5573627590140118"/>
    <n v="-9.4682037701196116"/>
    <x v="1"/>
    <x v="0"/>
    <x v="0"/>
    <x v="0"/>
    <x v="0"/>
    <x v="1"/>
  </r>
  <r>
    <x v="2"/>
    <s v="TWLO"/>
    <n v="15811"/>
    <n v="114.54"/>
    <n v="4.1399999999999997"/>
    <n v="52.23"/>
    <n v="-0.21"/>
    <n v="27.666666666666671"/>
    <n v="2.1929925330269961"/>
    <n v="-0.39"/>
    <n v="0.15"/>
    <n v="1.23"/>
    <n v="-545.42857142857144"/>
    <s v="NO"/>
    <n v="1.4120960347956837"/>
    <n v="-0.78371719113461968"/>
    <n v="-0.29187197868008607"/>
    <n v="-0.69023774370455981"/>
    <n v="-0.45557707265762587"/>
    <n v="-73.466028944270946"/>
    <x v="0"/>
    <x v="0"/>
    <x v="0"/>
    <x v="0"/>
    <x v="0"/>
    <x v="1"/>
  </r>
  <r>
    <x v="2"/>
    <s v="VRSN"/>
    <n v="26985"/>
    <n v="275.95"/>
    <n v="9.39"/>
    <n v="-21.01"/>
    <n v="8.18"/>
    <n v="29.387646432374865"/>
    <n v="-13.134221799143264"/>
    <n v="-43.78"/>
    <n v="42.14"/>
    <n v="-0.73"/>
    <n v="33.734718826405867"/>
    <s v="NO"/>
    <n v="1.8129971912762586"/>
    <n v="-3.0117329792595555"/>
    <n v="-2.427268531332222"/>
    <n v="5.9996795487411427"/>
    <n v="-2.6720726176443734"/>
    <n v="0.88261115980932525"/>
    <x v="0"/>
    <x v="1"/>
    <x v="0"/>
    <x v="1"/>
    <x v="0"/>
    <x v="0"/>
  </r>
  <r>
    <x v="3"/>
    <s v="AMAT"/>
    <n v="126586"/>
    <n v="173.03"/>
    <n v="7.21"/>
    <n v="22.92"/>
    <n v="7.66"/>
    <n v="23.998613037447988"/>
    <n v="7.5493019197207678"/>
    <n v="35.19"/>
    <n v="15.56"/>
    <n v="1.79"/>
    <n v="22.588772845953002"/>
    <s v="NO"/>
    <n v="-0.40499266980534776"/>
    <n v="0.14213930272469205"/>
    <n v="0.8866897435042147"/>
    <n v="1.4532951713435507"/>
    <n v="8.7796113935725853E-2"/>
    <n v="-0.44702910639914983"/>
    <x v="0"/>
    <x v="0"/>
    <x v="0"/>
    <x v="0"/>
    <x v="0"/>
    <x v="0"/>
  </r>
  <r>
    <x v="3"/>
    <s v="ASML"/>
    <n v="275394"/>
    <n v="763.9"/>
    <n v="25.57"/>
    <n v="48.29"/>
    <n v="23.95"/>
    <n v="29.874853343762219"/>
    <n v="15.81901014702837"/>
    <n v="55.62"/>
    <n v="15.34"/>
    <n v="2.6"/>
    <n v="31.895615866388308"/>
    <s v="NO"/>
    <n v="-0.2215949928859193"/>
    <n v="1.7366168715485593"/>
    <n v="1.8815397909337586"/>
    <n v="1.4134674194266994"/>
    <n v="1.7720952470710831"/>
    <n v="9.7194039642143348E-2"/>
    <x v="0"/>
    <x v="0"/>
    <x v="0"/>
    <x v="0"/>
    <x v="0"/>
    <x v="0"/>
  </r>
  <r>
    <x v="3"/>
    <s v="ENTG"/>
    <n v="11862"/>
    <n v="83.14"/>
    <n v="2.09"/>
    <n v="24.43"/>
    <n v="1.93"/>
    <n v="39.779904306220097"/>
    <n v="3.4031927957429389"/>
    <n v="8.25"/>
    <n v="4"/>
    <n v="2.27"/>
    <n v="43.07772020725389"/>
    <s v="NO"/>
    <n v="8.754201336131695E-2"/>
    <n v="-0.65726955359368244"/>
    <n v="-0.42516832197556553"/>
    <n v="-0.63947215665097579"/>
    <n v="1.0858993039418634"/>
    <n v="0.7510741996905751"/>
    <x v="0"/>
    <x v="0"/>
    <x v="0"/>
    <x v="0"/>
    <x v="0"/>
    <x v="0"/>
  </r>
  <r>
    <x v="3"/>
    <s v="KLAC"/>
    <n v="91822"/>
    <n v="795.9"/>
    <n v="26.27"/>
    <n v="30.28"/>
    <n v="27.49"/>
    <n v="30.296916634944804"/>
    <n v="26.28467635402906"/>
    <n v="104.1"/>
    <n v="19.23"/>
    <n v="3.79"/>
    <n v="28.952346307748272"/>
    <s v="NO"/>
    <n v="-0.20842238198491861"/>
    <n v="3.7544958040551655"/>
    <n v="4.2422999622203115"/>
    <n v="2.1176944874110166"/>
    <n v="4.2465594056279654"/>
    <n v="-7.4915387296028951E-2"/>
    <x v="0"/>
    <x v="1"/>
    <x v="1"/>
    <x v="0"/>
    <x v="1"/>
    <x v="0"/>
  </r>
  <r>
    <x v="3"/>
    <s v="LRCX"/>
    <n v="96011"/>
    <n v="85.25"/>
    <n v="2.93"/>
    <n v="7.41"/>
    <n v="3.59"/>
    <n v="29.095563139931738"/>
    <n v="11.504723346828611"/>
    <n v="53.14"/>
    <n v="17.29"/>
    <n v="2.1"/>
    <n v="23.746518105849582"/>
    <s v="NO"/>
    <n v="-0.24591666891999936"/>
    <n v="0.90478177660820913"/>
    <n v="1.7607748316765257"/>
    <n v="1.7664861295987861"/>
    <n v="0.73240442414802309"/>
    <n v="-0.37932926808965606"/>
    <x v="0"/>
    <x v="0"/>
    <x v="0"/>
    <x v="0"/>
    <x v="0"/>
    <x v="0"/>
  </r>
  <r>
    <x v="3"/>
    <s v="TER"/>
    <n v="12046"/>
    <n v="84.9"/>
    <n v="3.77"/>
    <n v="17.41"/>
    <n v="3.53"/>
    <n v="22.519893899204245"/>
    <n v="4.8765077541642734"/>
    <n v="21.55"/>
    <n v="10.56"/>
    <n v="1.32"/>
    <n v="24.050991501416433"/>
    <s v="YES"/>
    <n v="-0.45114354870640194"/>
    <n v="-0.37320056488882786"/>
    <n v="0.22248246758943369"/>
    <n v="0.54811899141512221"/>
    <n v="-0.88951325961195049"/>
    <n v="-0.36152500633758483"/>
    <x v="0"/>
    <x v="0"/>
    <x v="0"/>
    <x v="0"/>
    <x v="0"/>
    <x v="0"/>
  </r>
  <r>
    <x v="3"/>
    <s v="ADI"/>
    <n v="99126"/>
    <n v="226.68"/>
    <n v="6.42"/>
    <n v="70.709999999999994"/>
    <n v="3.13"/>
    <n v="35.308411214953274"/>
    <n v="3.2057700466694956"/>
    <n v="4.43"/>
    <n v="2.62"/>
    <n v="1.37"/>
    <n v="72.42172523961662"/>
    <s v="NO"/>
    <n v="-5.2013451111166197E-2"/>
    <n v="-0.69533451747399022"/>
    <n v="-0.61118531567017431"/>
    <n v="-0.889300782311222"/>
    <n v="-0.78554417731964432"/>
    <n v="2.4669822365080956"/>
    <x v="0"/>
    <x v="0"/>
    <x v="0"/>
    <x v="0"/>
    <x v="0"/>
    <x v="0"/>
  </r>
  <r>
    <x v="3"/>
    <s v="ALAB"/>
    <n v="11724"/>
    <n v="87.76"/>
    <n v="0.78"/>
    <n v="5.95"/>
    <n v="-0.64"/>
    <n v="112.51282051282051"/>
    <n v="14.749579831932774"/>
    <n v="-14.87"/>
    <n v="-11.6"/>
    <n v="1.0900000000000001"/>
    <n v="-137.125"/>
    <s v="NO"/>
    <n v="2.3575390135746472"/>
    <n v="1.5304206428582356"/>
    <n v="-1.551009393760737"/>
    <n v="-3.463621838027672"/>
    <n v="-1.367771038156558"/>
    <n v="-9.7863863657293422"/>
    <x v="0"/>
    <x v="0"/>
    <x v="0"/>
    <x v="1"/>
    <x v="0"/>
    <x v="1"/>
  </r>
  <r>
    <x v="3"/>
    <s v="AMD"/>
    <n v="163048"/>
    <n v="112.46"/>
    <n v="1.48"/>
    <n v="35.49"/>
    <n v="1"/>
    <n v="75.986486486486484"/>
    <n v="3.1687799380107067"/>
    <n v="2.89"/>
    <n v="1.9"/>
    <n v="1.2"/>
    <n v="112.46"/>
    <s v="NO"/>
    <n v="1.2175507800072445"/>
    <n v="-0.70246655852110218"/>
    <n v="-0.68617645972506891"/>
    <n v="-1.0196461522209157"/>
    <n v="-1.139039057113485"/>
    <n v="4.8082440160736413"/>
    <x v="0"/>
    <x v="0"/>
    <x v="0"/>
    <x v="0"/>
    <x v="0"/>
    <x v="1"/>
  </r>
  <r>
    <x v="3"/>
    <s v="ARM"/>
    <n v="130896"/>
    <n v="126.68"/>
    <n v="0.6"/>
    <n v="6.09"/>
    <n v="0.76"/>
    <n v="211.13333333333335"/>
    <n v="20.801313628899837"/>
    <n v="14.11"/>
    <n v="3.54"/>
    <n v="1.32"/>
    <n v="166.68421052631581"/>
    <s v="NO"/>
    <n v="5.4354888599160027"/>
    <n v="2.6972518691273697"/>
    <n v="-0.13981241018226517"/>
    <n v="-0.72274836520439123"/>
    <n v="-0.88951325961195049"/>
    <n v="7.9790367735576631"/>
    <x v="1"/>
    <x v="0"/>
    <x v="0"/>
    <x v="0"/>
    <x v="0"/>
    <x v="1"/>
  </r>
  <r>
    <x v="3"/>
    <s v="ASX"/>
    <n v="19775"/>
    <n v="10.08"/>
    <n v="-0.08"/>
    <n v="2.16"/>
    <n v="0.23"/>
    <n v="-126"/>
    <n v="4.6666666666666661"/>
    <n v="11.06"/>
    <n v="3.55"/>
    <n v="2.4900000000000002"/>
    <n v="43.826086956521735"/>
    <s v="NO"/>
    <n v="-5.086454920871633"/>
    <n v="-0.41365990128085361"/>
    <n v="-0.28833383184942657"/>
    <n v="-0.7209380128445344"/>
    <n v="1.5433632660280101"/>
    <n v="0.79483538764496187"/>
    <x v="1"/>
    <x v="0"/>
    <x v="0"/>
    <x v="0"/>
    <x v="0"/>
    <x v="0"/>
  </r>
  <r>
    <x v="3"/>
    <s v="AVGO"/>
    <n v="963006"/>
    <n v="232.42"/>
    <n v="4.4400000000000004"/>
    <n v="14.84"/>
    <n v="2.16"/>
    <n v="52.346846846846837"/>
    <n v="15.661725067385444"/>
    <n v="14.84"/>
    <n v="6.98"/>
    <n v="2.37"/>
    <n v="107.60185185185183"/>
    <s v="NO"/>
    <n v="0.47975675404412227"/>
    <n v="1.7062908280524671"/>
    <n v="-0.10426466007832158"/>
    <n v="-9.9987153413632471E-2"/>
    <n v="1.2938374685264755"/>
    <n v="4.524160931904869"/>
    <x v="0"/>
    <x v="0"/>
    <x v="0"/>
    <x v="0"/>
    <x v="0"/>
    <x v="1"/>
  </r>
  <r>
    <x v="3"/>
    <s v="FSLR"/>
    <n v="13918"/>
    <n v="191.6"/>
    <n v="-9.1199999999999992"/>
    <n v="76.34"/>
    <n v="11.77"/>
    <n v="-21.008771929824562"/>
    <n v="2.509824469478648"/>
    <n v="16.77"/>
    <n v="7.5"/>
    <n v="1.48"/>
    <n v="16.278674596431607"/>
    <s v="NO"/>
    <n v="-1.8096748163722105"/>
    <n v="-0.8295193739951332"/>
    <n v="-1.0282252269265321E-2"/>
    <n v="-5.8488307010760091E-3"/>
    <n v="-0.55681219627657141"/>
    <n v="-0.81601583086026241"/>
    <x v="0"/>
    <x v="0"/>
    <x v="0"/>
    <x v="0"/>
    <x v="0"/>
    <x v="0"/>
  </r>
  <r>
    <x v="3"/>
    <s v="GFS"/>
    <n v="19512"/>
    <n v="39.700000000000003"/>
    <n v="1.98"/>
    <n v="19.489999999999998"/>
    <n v="-0.48"/>
    <n v="20.050505050505052"/>
    <n v="2.0369420215495131"/>
    <n v="-2.38"/>
    <n v="2.61"/>
    <n v="1.56"/>
    <n v="-82.708333333333343"/>
    <s v="NO"/>
    <n v="-0.52821326584774109"/>
    <n v="-0.92069556004529185"/>
    <n v="-0.94280199814668886"/>
    <n v="-0.89111113467107883"/>
    <n v="-0.39046166460888171"/>
    <n v="-6.6043396216951296"/>
    <x v="0"/>
    <x v="0"/>
    <x v="0"/>
    <x v="0"/>
    <x v="0"/>
    <x v="1"/>
  </r>
  <r>
    <x v="3"/>
    <s v="INTC"/>
    <n v="88592"/>
    <n v="22.56"/>
    <n v="-2.98"/>
    <n v="22.87"/>
    <n v="-4.46"/>
    <n v="-7.5704697986577179"/>
    <n v="0.98644512461740264"/>
    <n v="-18.13"/>
    <n v="-1.0900000000000001"/>
    <n v="1.93"/>
    <n v="-5.05829596412556"/>
    <s v="NO"/>
    <n v="-1.3902649106967817"/>
    <n v="-1.1232412475395968"/>
    <n v="-1.7097568805262933"/>
    <n v="-1.5609415078181159"/>
    <n v="0.37890954435418245"/>
    <n v="-2.0637077947152354"/>
    <x v="0"/>
    <x v="0"/>
    <x v="0"/>
    <x v="0"/>
    <x v="0"/>
    <x v="0"/>
  </r>
  <r>
    <x v="3"/>
    <s v="MCHP"/>
    <n v="25858"/>
    <n v="62.3"/>
    <n v="1.81"/>
    <n v="11.22"/>
    <n v="0.56999999999999995"/>
    <n v="34.41988950276243"/>
    <n v="5.5525846702317283"/>
    <n v="4.71"/>
    <n v="2.52"/>
    <n v="2.59"/>
    <n v="109.2982456140351"/>
    <s v="NO"/>
    <n v="-7.9744246554159764E-2"/>
    <n v="-0.24284657320753511"/>
    <n v="-0.59755056220564795"/>
    <n v="-0.90740430590979049"/>
    <n v="1.7513014306126213"/>
    <n v="4.6233585597313045"/>
    <x v="0"/>
    <x v="0"/>
    <x v="0"/>
    <x v="0"/>
    <x v="0"/>
    <x v="1"/>
  </r>
  <r>
    <x v="3"/>
    <s v="MPWR"/>
    <n v="30486"/>
    <n v="737.73"/>
    <n v="13.22"/>
    <n v="68.239999999999995"/>
    <n v="37.619999999999997"/>
    <n v="55.804084720121025"/>
    <n v="10.810814771395076"/>
    <n v="67.95"/>
    <n v="11.89"/>
    <n v="1.1599999999999999"/>
    <n v="19.610047846889955"/>
    <s v="NO"/>
    <n v="0.5876572757152736"/>
    <n v="0.77098967319520684"/>
    <n v="2.481955898853792"/>
    <n v="0.78889585527608408"/>
    <n v="-1.2222143229473299"/>
    <n v="-0.62121181117051671"/>
    <x v="0"/>
    <x v="0"/>
    <x v="0"/>
    <x v="0"/>
    <x v="0"/>
    <x v="0"/>
  </r>
  <r>
    <x v="3"/>
    <s v="MRVL"/>
    <n v="48642"/>
    <n v="65.48"/>
    <n v="1.61"/>
    <n v="15.5"/>
    <n v="-1.02"/>
    <n v="40.670807453416153"/>
    <n v="4.2245161290322581"/>
    <n v="-6.26"/>
    <n v="-0.03"/>
    <n v="1.5"/>
    <n v="-64.196078431372555"/>
    <s v="NO"/>
    <n v="0.11534713347874924"/>
    <n v="-0.49891068582165299"/>
    <n v="-1.1317407247265532"/>
    <n v="-1.369044157673289"/>
    <n v="-0.51522456335964895"/>
    <n v="-5.5218245754069386"/>
    <x v="0"/>
    <x v="0"/>
    <x v="0"/>
    <x v="0"/>
    <x v="0"/>
    <x v="1"/>
  </r>
  <r>
    <x v="3"/>
    <s v="MU"/>
    <n v="92334"/>
    <n v="96.93"/>
    <n v="0.55000000000000004"/>
    <n v="43.5"/>
    <n v="4.1500000000000004"/>
    <n v="176.23636363636362"/>
    <n v="2.2282758620689656"/>
    <n v="10.1"/>
    <n v="5.52"/>
    <n v="1.5"/>
    <n v="23.356626506024096"/>
    <s v="NO"/>
    <n v="4.3463531472265666"/>
    <n v="-0.88380459503424269"/>
    <n v="-0.3350815580135168"/>
    <n v="-0.36429859795273367"/>
    <n v="-0.51522456335964895"/>
    <n v="-0.40212840981861731"/>
    <x v="1"/>
    <x v="0"/>
    <x v="0"/>
    <x v="0"/>
    <x v="0"/>
    <x v="0"/>
  </r>
  <r>
    <x v="3"/>
    <s v="NVDA"/>
    <n v="2856264"/>
    <n v="129.93"/>
    <n v="2.48"/>
    <n v="3.24"/>
    <n v="2.94"/>
    <n v="52.391129032258071"/>
    <n v="40.101851851851855"/>
    <n v="119.18"/>
    <n v="57.42"/>
    <n v="1.41"/>
    <n v="44.193877551020414"/>
    <s v="NO"/>
    <n v="0.48113880268576975"/>
    <n v="6.4185772674170201"/>
    <n v="4.9766288273812282"/>
    <n v="9.0314301497043523"/>
    <n v="-0.70236891148579994"/>
    <n v="0.81634216002556093"/>
    <x v="0"/>
    <x v="1"/>
    <x v="1"/>
    <x v="1"/>
    <x v="0"/>
    <x v="0"/>
  </r>
  <r>
    <x v="3"/>
    <s v="NXPI"/>
    <n v="47209"/>
    <n v="212.4"/>
    <n v="6.73"/>
    <n v="36.82"/>
    <n v="9.18"/>
    <n v="31.560178306092123"/>
    <n v="5.7686040195545898"/>
    <n v="25.44"/>
    <n v="8.76"/>
    <n v="2.7"/>
    <n v="23.137254901960787"/>
    <s v="NO"/>
    <n v="-0.1689959385869477"/>
    <n v="-0.20119600979468666"/>
    <n v="0.41190814965017408"/>
    <n v="0.22225556664088789"/>
    <n v="1.9800334116556952"/>
    <n v="-0.41495629401665496"/>
    <x v="0"/>
    <x v="0"/>
    <x v="0"/>
    <x v="0"/>
    <x v="0"/>
    <x v="0"/>
  </r>
  <r>
    <x v="3"/>
    <s v="ON"/>
    <n v="16214"/>
    <n v="45.77"/>
    <n v="3.29"/>
    <n v="19.059999999999999"/>
    <n v="1.47"/>
    <n v="13.911854103343465"/>
    <n v="2.4013641133263381"/>
    <n v="7.85"/>
    <n v="6.3"/>
    <n v="1.65"/>
    <n v="31.136054421768709"/>
    <s v="NO"/>
    <n v="-0.71980078855659912"/>
    <n v="-0.85043155133416493"/>
    <n v="-0.4446465412106031"/>
    <n v="-0.22309111388389882"/>
    <n v="-0.20331731648273119"/>
    <n v="5.2778235260905006E-2"/>
    <x v="0"/>
    <x v="0"/>
    <x v="0"/>
    <x v="0"/>
    <x v="0"/>
    <x v="0"/>
  </r>
  <r>
    <x v="3"/>
    <s v="QCOM"/>
    <n v="158441"/>
    <n v="151.34"/>
    <n v="10.53"/>
    <n v="25.21"/>
    <n v="9.7899999999999991"/>
    <n v="14.37226970560304"/>
    <n v="6.0031733439111461"/>
    <n v="42.2"/>
    <n v="13.43"/>
    <n v="2"/>
    <n v="15.458631256384066"/>
    <s v="NO"/>
    <n v="-0.7054312006108624"/>
    <n v="-0.15596883662965849"/>
    <n v="1.2280455355982483"/>
    <n v="1.06769011869404"/>
    <n v="0.52446625956341097"/>
    <n v="-0.86396834982195092"/>
    <x v="0"/>
    <x v="0"/>
    <x v="0"/>
    <x v="0"/>
    <x v="0"/>
    <x v="0"/>
  </r>
  <r>
    <x v="3"/>
    <s v="STM"/>
    <n v="20583"/>
    <n v="26.13"/>
    <n v="-0.05"/>
    <n v="19.82"/>
    <n v="1.18"/>
    <n v="-522.59999999999991"/>
    <n v="1.3183652875882945"/>
    <n v="6.31"/>
    <n v="2.79"/>
    <n v="1.41"/>
    <n v="22.14406779661017"/>
    <s v="NO"/>
    <n v="-17.464355563921984"/>
    <n v="-1.059243916563658"/>
    <n v="-0.51963768526549781"/>
    <n v="-0.85852479219365541"/>
    <n v="-0.70236891148579994"/>
    <n v="-0.47303349698384084"/>
    <x v="1"/>
    <x v="0"/>
    <x v="0"/>
    <x v="0"/>
    <x v="0"/>
    <x v="0"/>
  </r>
  <r>
    <x v="3"/>
    <s v="SWKS"/>
    <n v="10271"/>
    <n v="72.599999999999994"/>
    <n v="7.64"/>
    <n v="39.83"/>
    <n v="3.25"/>
    <n v="9.5026178010471209"/>
    <n v="1.8227466733617876"/>
    <n v="8.34"/>
    <n v="5.25"/>
    <n v="1.3"/>
    <n v="22.338461538461537"/>
    <s v="NO"/>
    <n v="-0.85741321634670209"/>
    <n v="-0.96199443887441094"/>
    <n v="-0.4207857226476821"/>
    <n v="-0.41317811166886875"/>
    <n v="-0.93110089252887285"/>
    <n v="-0.46166620804076997"/>
    <x v="0"/>
    <x v="0"/>
    <x v="0"/>
    <x v="0"/>
    <x v="0"/>
    <x v="0"/>
  </r>
  <r>
    <x v="3"/>
    <s v="TSM"/>
    <n v="905260"/>
    <n v="193.99"/>
    <n v="1.04"/>
    <n v="26.67"/>
    <n v="7.59"/>
    <n v="186.52884615384616"/>
    <n v="7.2737157855268091"/>
    <n v="31.66"/>
    <n v="14.33"/>
    <n v="1.55"/>
    <n v="25.558629776021082"/>
    <s v="NO"/>
    <n v="4.6675819066106605"/>
    <n v="8.9003702631795731E-2"/>
    <n v="0.71479445875500824"/>
    <n v="1.230621831081157"/>
    <n v="-0.41125548106734289"/>
    <n v="-0.27336496720336589"/>
    <x v="1"/>
    <x v="0"/>
    <x v="0"/>
    <x v="0"/>
    <x v="0"/>
    <x v="0"/>
  </r>
  <r>
    <x v="3"/>
    <s v="TXN"/>
    <n v="149707"/>
    <n v="188.2"/>
    <n v="1.6"/>
    <n v="18.05"/>
    <n v="5.28"/>
    <n v="117.62499999999999"/>
    <n v="10.426592797783933"/>
    <n v="29.19"/>
    <n v="10.039999999999999"/>
    <n v="2.06"/>
    <n v="35.643939393939391"/>
    <s v="NO"/>
    <n v="2.51709032411864"/>
    <n v="0.69690806093841484"/>
    <n v="0.59451645497865124"/>
    <n v="0.45398066870256537"/>
    <n v="0.64922915831417827"/>
    <n v="0.31637947320595511"/>
    <x v="0"/>
    <x v="0"/>
    <x v="0"/>
    <x v="0"/>
    <x v="0"/>
    <x v="0"/>
  </r>
  <r>
    <x v="3"/>
    <s v="UMC"/>
    <n v="18762"/>
    <n v="7.76"/>
    <n v="0.05"/>
    <n v="0.93"/>
    <n v="0.11"/>
    <n v="155.19999999999999"/>
    <n v="8.344086021505376"/>
    <n v="11.55"/>
    <n v="5.45"/>
    <n v="1.47"/>
    <n v="70.545454545454547"/>
    <s v="NO"/>
    <n v="3.6898074614424354"/>
    <n v="0.29538115691353944"/>
    <n v="-0.26447301328650552"/>
    <n v="-0.37697106447173157"/>
    <n v="-0.57760601273503265"/>
    <n v="2.3572661987754415"/>
    <x v="1"/>
    <x v="0"/>
    <x v="0"/>
    <x v="0"/>
    <x v="0"/>
    <x v="0"/>
  </r>
  <r>
    <x v="4"/>
    <s v="ADBE"/>
    <n v="164074"/>
    <n v="397.4"/>
    <n v="20.76"/>
    <n v="30.1"/>
    <n v="15.16"/>
    <n v="19.142581888246625"/>
    <n v="13.202657807308968"/>
    <n v="47.28"/>
    <n v="17.190000000000001"/>
    <n v="2.29"/>
    <n v="26.213720316622691"/>
    <s v="NO"/>
    <n v="-1.0193972453121132"/>
    <n v="0.13062335153428534"/>
    <n v="1.7278872817253166"/>
    <n v="2.3922018630358939"/>
    <n v="0.70589003637284209"/>
    <n v="-0.58753846491253003"/>
    <x v="0"/>
    <x v="0"/>
    <x v="0"/>
    <x v="0"/>
    <x v="0"/>
    <x v="0"/>
  </r>
  <r>
    <x v="4"/>
    <s v="ADSK"/>
    <n v="60356"/>
    <n v="297.01"/>
    <n v="7"/>
    <n v="12.25"/>
    <n v="5.12"/>
    <n v="42.43"/>
    <n v="24.245714285714286"/>
    <n v="49.69"/>
    <n v="8.5299999999999994"/>
    <n v="4.13"/>
    <n v="58.009765625"/>
    <s v="NO"/>
    <n v="-3.5319785005052048E-2"/>
    <n v="1.5510858115159145"/>
    <n v="1.8478174416165865"/>
    <n v="0.78768599400390604"/>
    <n v="3.8831801037233928"/>
    <n v="0.23451113724684072"/>
    <x v="0"/>
    <x v="0"/>
    <x v="0"/>
    <x v="0"/>
    <x v="1"/>
    <x v="0"/>
  </r>
  <r>
    <x v="4"/>
    <s v="ANSS"/>
    <n v="28661"/>
    <n v="347.08"/>
    <n v="9.91"/>
    <n v="70.290000000000006"/>
    <n v="6.74"/>
    <n v="35.023208879919274"/>
    <n v="4.9378289941670213"/>
    <n v="10.23"/>
    <n v="6.06"/>
    <n v="1.29"/>
    <n v="51.495548961424326"/>
    <s v="YES"/>
    <n v="-0.34831524716816664"/>
    <n v="-0.93247716689555127"/>
    <n v="-0.11585231328362541"/>
    <n v="0.33004694128924"/>
    <n v="-1.0208980437089792"/>
    <n v="6.6093676372816837E-2"/>
    <x v="0"/>
    <x v="0"/>
    <x v="0"/>
    <x v="0"/>
    <x v="0"/>
    <x v="0"/>
  </r>
  <r>
    <x v="4"/>
    <s v="APP"/>
    <n v="102680"/>
    <n v="370.1"/>
    <n v="6.22"/>
    <n v="3.2"/>
    <n v="4.53"/>
    <n v="59.501607717041807"/>
    <n v="115.65625"/>
    <n v="134.66999999999999"/>
    <n v="20.87"/>
    <n v="5.39"/>
    <n v="81.699779249448127"/>
    <s v="NO"/>
    <n v="0.68609056134270052"/>
    <n v="13.309174225069269"/>
    <n v="6.0767240754589578"/>
    <n v="3.0740284678901331"/>
    <n v="6.0589330846264868"/>
    <n v="0.84698876099701015"/>
    <x v="0"/>
    <x v="1"/>
    <x v="1"/>
    <x v="1"/>
    <x v="1"/>
    <x v="0"/>
  </r>
  <r>
    <x v="4"/>
    <s v="AUR"/>
    <n v="12916"/>
    <n v="7.32"/>
    <n v="-0.4"/>
    <n v="1.08"/>
    <n v="-0.46"/>
    <n v="-18.3"/>
    <n v="6.7777777777777777"/>
    <n v="-38.76"/>
    <n v="-22.47"/>
    <n v="1.1399999999999999"/>
    <n v="-15.913043478260869"/>
    <s v="NO"/>
    <n v="-2.6016422462436757"/>
    <n v="-0.69580553703304082"/>
    <n v="-2.5537687170484853"/>
    <n v="-4.9559620360182191"/>
    <n v="-1.2799162557212524"/>
    <n v="-1.6766767235223758"/>
    <x v="0"/>
    <x v="0"/>
    <x v="1"/>
    <x v="1"/>
    <x v="0"/>
    <x v="0"/>
  </r>
  <r>
    <x v="4"/>
    <s v="BSY"/>
    <n v="13998"/>
    <n v="48.14"/>
    <n v="1.34"/>
    <n v="3.31"/>
    <n v="0.72"/>
    <n v="35.925373134328353"/>
    <n v="14.543806646525679"/>
    <n v="24.36"/>
    <n v="5.83"/>
    <n v="3.27"/>
    <n v="66.861111111111114"/>
    <s v="NO"/>
    <n v="-0.31019167743629417"/>
    <n v="0.30313461081115323"/>
    <n v="0.58730667396269975"/>
    <n v="0.28743277848585014"/>
    <n v="2.398142354853027"/>
    <n v="0.46335233321518687"/>
    <x v="0"/>
    <x v="0"/>
    <x v="0"/>
    <x v="0"/>
    <x v="0"/>
    <x v="0"/>
  </r>
  <r>
    <x v="4"/>
    <s v="CDNS"/>
    <n v="84190"/>
    <n v="318.66000000000003"/>
    <n v="5.1100000000000003"/>
    <n v="17.489999999999998"/>
    <n v="3.94"/>
    <n v="62.360078277886501"/>
    <n v="18.219554030874789"/>
    <n v="25.92"/>
    <n v="12.73"/>
    <n v="1.89"/>
    <n v="80.878172588832498"/>
    <s v="NO"/>
    <n v="0.80688353359834197"/>
    <n v="0.77594403472868412"/>
    <n v="0.66493781480518155"/>
    <n v="1.5658576625875491"/>
    <n v="1.5174804340113359E-2"/>
    <n v="0.82574708072073322"/>
    <x v="0"/>
    <x v="0"/>
    <x v="0"/>
    <x v="0"/>
    <x v="0"/>
    <x v="0"/>
  </r>
  <r>
    <x v="4"/>
    <s v="CRM"/>
    <n v="266954"/>
    <n v="289.17"/>
    <n v="12.93"/>
    <n v="63.59"/>
    <n v="6.36"/>
    <n v="22.364269141531324"/>
    <n v="4.5474131152696966"/>
    <n v="10.26"/>
    <n v="4.7300000000000004"/>
    <n v="1.68"/>
    <n v="45.466981132075475"/>
    <s v="NO"/>
    <n v="-0.88325549722730023"/>
    <n v="-0.98269615299227608"/>
    <n v="-0.11435940672896233"/>
    <n v="8.3625912904419952E-2"/>
    <n v="-0.347450692477069"/>
    <n v="-8.9767901305879721E-2"/>
    <x v="0"/>
    <x v="0"/>
    <x v="0"/>
    <x v="0"/>
    <x v="0"/>
    <x v="0"/>
  </r>
  <r>
    <x v="4"/>
    <s v="DDOG"/>
    <n v="36612"/>
    <n v="117.31"/>
    <n v="2.31"/>
    <n v="7.93"/>
    <n v="0.52"/>
    <n v="50.78354978354978"/>
    <n v="14.793190416141236"/>
    <n v="7.75"/>
    <n v="0.7"/>
    <n v="2.13"/>
    <n v="225.59615384615384"/>
    <s v="NO"/>
    <n v="0.31768371311118121"/>
    <n v="0.33521271197456953"/>
    <n v="-0.2392659218024426"/>
    <n v="-0.66304833099845639"/>
    <n v="0.4296039435597504"/>
    <n v="4.5672614031495185"/>
    <x v="0"/>
    <x v="0"/>
    <x v="0"/>
    <x v="0"/>
    <x v="0"/>
    <x v="1"/>
  </r>
  <r>
    <x v="4"/>
    <s v="DOCU"/>
    <n v="16654"/>
    <n v="90.34"/>
    <n v="4.5"/>
    <n v="9.89"/>
    <n v="5.08"/>
    <n v="20.075555555555557"/>
    <n v="9.1344792719919106"/>
    <n v="68.180000000000007"/>
    <n v="4.1900000000000004"/>
    <n v="2"/>
    <n v="17.783464566929133"/>
    <s v="NO"/>
    <n v="-0.97997173439231933"/>
    <n v="-0.39266428185065294"/>
    <n v="2.767945514807284"/>
    <n v="-1.6424730199191263E-2"/>
    <n v="0.20512149314911385"/>
    <n v="-0.80549287773101563"/>
    <x v="0"/>
    <x v="0"/>
    <x v="0"/>
    <x v="0"/>
    <x v="0"/>
    <x v="0"/>
  </r>
  <r>
    <x v="4"/>
    <s v="DT"/>
    <n v="14336"/>
    <n v="50.54"/>
    <n v="1.37"/>
    <n v="8.5299999999999994"/>
    <n v="1.6"/>
    <n v="36.890510948905103"/>
    <n v="5.9249706916764362"/>
    <n v="21.59"/>
    <n v="3.07"/>
    <n v="1.46"/>
    <n v="31.587499999999999"/>
    <s v="NO"/>
    <n v="-0.26940697709479788"/>
    <n v="-0.80550165728581047"/>
    <n v="0.44946163541547252"/>
    <n v="-0.22393717515482944"/>
    <n v="-0.72734407009506963"/>
    <n v="-0.44860566971838867"/>
    <x v="0"/>
    <x v="0"/>
    <x v="0"/>
    <x v="0"/>
    <x v="0"/>
    <x v="0"/>
  </r>
  <r>
    <x v="4"/>
    <s v="FICO"/>
    <n v="50997"/>
    <n v="2136.0300000000002"/>
    <n v="27.68"/>
    <n v="-46.16"/>
    <n v="23.21"/>
    <n v="77.168713872832384"/>
    <n v="-46.274480069324099"/>
    <n v="-62.06"/>
    <n v="28.7"/>
    <n v="-1.63"/>
    <n v="92.030590262817753"/>
    <s v="NO"/>
    <n v="1.432665423069895"/>
    <n v="-7.5198891443602278"/>
    <n v="-3.7132594745035012"/>
    <n v="4.5247627928924956"/>
    <n v="-6.0631192375478964"/>
    <n v="1.1140798096214328"/>
    <x v="0"/>
    <x v="1"/>
    <x v="1"/>
    <x v="1"/>
    <x v="1"/>
    <x v="0"/>
  </r>
  <r>
    <x v="4"/>
    <s v="GWRE"/>
    <n v="17879"/>
    <n v="214.5"/>
    <n v="2.4700000000000002"/>
    <n v="15.13"/>
    <n v="-0.2"/>
    <n v="86.84210526315789"/>
    <n v="14.17713152676801"/>
    <n v="-1.34"/>
    <n v="0"/>
    <n v="2"/>
    <n v="-1072.5"/>
    <s v="NO"/>
    <n v="1.8414426600424729"/>
    <n v="0.25596938588963303"/>
    <n v="-0.69161660786536516"/>
    <n v="-0.79274360909573016"/>
    <n v="0.20512149314911385"/>
    <n v="-28.993498008420801"/>
    <x v="0"/>
    <x v="0"/>
    <x v="0"/>
    <x v="0"/>
    <x v="0"/>
    <x v="1"/>
  </r>
  <r>
    <x v="4"/>
    <s v="HUBS"/>
    <n v="33884"/>
    <n v="672.24"/>
    <n v="9.18"/>
    <n v="36.86"/>
    <n v="0.09"/>
    <n v="73.22875816993465"/>
    <n v="18.237655995659253"/>
    <n v="0.28999999999999998"/>
    <n v="-1.1299999999999999"/>
    <n v="1.99"/>
    <n v="7469.3333333333339"/>
    <s v="NO"/>
    <n v="1.266171156370872"/>
    <n v="0.77827248079599554"/>
    <n v="-0.61050201839533613"/>
    <n v="-1.0021088437384722"/>
    <n v="0.18785361234829562"/>
    <n v="191.84562287207063"/>
    <x v="0"/>
    <x v="0"/>
    <x v="0"/>
    <x v="0"/>
    <x v="0"/>
    <x v="1"/>
  </r>
  <r>
    <x v="4"/>
    <s v="INTU"/>
    <n v="179238"/>
    <n v="656.8"/>
    <n v="20.11"/>
    <n v="64.16"/>
    <n v="10.7"/>
    <n v="32.660367976131276"/>
    <n v="10.236907730673316"/>
    <n v="17.420000000000002"/>
    <n v="8.26"/>
    <n v="1.77"/>
    <n v="61.383177570093459"/>
    <s v="YES"/>
    <n v="-0.44816394935365172"/>
    <n v="-0.25085949769197602"/>
    <n v="0.24194762431730021"/>
    <n v="0.73766067245210054"/>
    <n v="-0.19203976526970498"/>
    <n v="0.32172676172115594"/>
    <x v="0"/>
    <x v="0"/>
    <x v="0"/>
    <x v="0"/>
    <x v="0"/>
    <x v="0"/>
  </r>
  <r>
    <x v="4"/>
    <s v="IOT"/>
    <n v="23889"/>
    <n v="46.63"/>
    <n v="0.2"/>
    <n v="1.89"/>
    <n v="-0.28000000000000003"/>
    <n v="233.15"/>
    <n v="24.671957671957674"/>
    <n v="-15.61"/>
    <n v="-6.15"/>
    <n v="1.89"/>
    <n v="-166.53571428571428"/>
    <s v="NO"/>
    <n v="8.0241075129931421"/>
    <n v="1.6059132707576711"/>
    <n v="-1.4017424923667849"/>
    <n v="-1.9322092666646358"/>
    <n v="1.5174804340113359E-2"/>
    <n v="-5.5708498954553729"/>
    <x v="1"/>
    <x v="0"/>
    <x v="0"/>
    <x v="0"/>
    <x v="0"/>
    <x v="1"/>
  </r>
  <r>
    <x v="4"/>
    <s v="MANH"/>
    <n v="11166"/>
    <n v="195.54"/>
    <n v="5.04"/>
    <n v="4.04"/>
    <n v="3.5"/>
    <n v="38.797619047619044"/>
    <n v="48.400990099009896"/>
    <n v="89.6"/>
    <n v="24.41"/>
    <n v="2.89"/>
    <n v="55.868571428571428"/>
    <s v="NO"/>
    <n v="-0.18881658767046602"/>
    <n v="4.6581660451799403"/>
    <n v="3.8338807948367446"/>
    <n v="3.7299160171249173"/>
    <n v="1.7419628844219348"/>
    <n v="0.17915306298795453"/>
    <x v="0"/>
    <x v="1"/>
    <x v="1"/>
    <x v="1"/>
    <x v="0"/>
    <x v="0"/>
  </r>
  <r>
    <x v="4"/>
    <s v="MSTR"/>
    <n v="107305"/>
    <n v="421.61"/>
    <n v="-0.46"/>
    <n v="121.05"/>
    <n v="-25"/>
    <n v="-916.54347826086951"/>
    <n v="3.4829409334985546"/>
    <n v="-29.68"/>
    <n v="-18.82"/>
    <n v="1.31"/>
    <n v="-16.8644"/>
    <s v="NO"/>
    <n v="-40.55952819918253"/>
    <n v="-1.1196186415132257"/>
    <n v="-2.1019156665037841"/>
    <n v="-4.2796938002252913"/>
    <n v="-0.98636228210734267"/>
    <n v="-1.7012729348632032"/>
    <x v="1"/>
    <x v="0"/>
    <x v="0"/>
    <x v="1"/>
    <x v="0"/>
    <x v="0"/>
  </r>
  <r>
    <x v="4"/>
    <s v="NICE"/>
    <n v="10148"/>
    <n v="166.82"/>
    <n v="11.54"/>
    <n v="56.75"/>
    <n v="6.76"/>
    <n v="14.45580589254766"/>
    <n v="2.9395594713656386"/>
    <n v="12.72"/>
    <n v="6.55"/>
    <n v="1.48"/>
    <n v="24.677514792899409"/>
    <s v="YES"/>
    <n v="-1.2174505716509287"/>
    <n v="-1.1895135089277944"/>
    <n v="8.0589307534127928E-3"/>
    <n v="0.4208336359573317"/>
    <n v="-0.69280830849343322"/>
    <n v="-0.6272552638843516"/>
    <x v="0"/>
    <x v="0"/>
    <x v="0"/>
    <x v="0"/>
    <x v="0"/>
    <x v="0"/>
  </r>
  <r>
    <x v="4"/>
    <s v="NTNX"/>
    <n v="19653"/>
    <n v="82.4"/>
    <n v="2.5"/>
    <n v="-3.03"/>
    <n v="-0.24"/>
    <n v="32.96"/>
    <n v="-27.194719471947199"/>
    <n v="7.8"/>
    <n v="1.91"/>
    <n v="-3.7"/>
    <n v="-343.33333333333337"/>
    <s v="NO"/>
    <n v="-0.43550212829386753"/>
    <n v="-5.0656697235858577"/>
    <n v="-0.2367777442113374"/>
    <n v="-0.43886077885888308"/>
    <n v="-9.6375705633172668"/>
    <n v="-10.141745772324924"/>
    <x v="0"/>
    <x v="1"/>
    <x v="0"/>
    <x v="0"/>
    <x v="1"/>
    <x v="1"/>
  </r>
  <r>
    <x v="4"/>
    <s v="PLTR"/>
    <n v="260699"/>
    <n v="128.1"/>
    <n v="0.57999999999999996"/>
    <n v="2.31"/>
    <n v="0.23"/>
    <n v="220.86206896551724"/>
    <n v="55.454545454545453"/>
    <n v="12.36"/>
    <n v="4.3899999999999997"/>
    <n v="1.24"/>
    <n v="556.95652173913038"/>
    <s v="NO"/>
    <n v="7.5048453128293957"/>
    <n v="5.5654611053413534"/>
    <n v="-9.8559479025445967E-3"/>
    <n v="2.0631063542886834E-2"/>
    <n v="-1.1072374477130702"/>
    <n v="13.134196566184912"/>
    <x v="1"/>
    <x v="1"/>
    <x v="0"/>
    <x v="0"/>
    <x v="0"/>
    <x v="1"/>
  </r>
  <r>
    <x v="4"/>
    <s v="PTC"/>
    <n v="19318"/>
    <n v="170.96"/>
    <n v="6.79"/>
    <n v="28.24"/>
    <n v="3.64"/>
    <n v="25.17820324005891"/>
    <n v="6.0538243626062327"/>
    <n v="13.92"/>
    <n v="6.41"/>
    <n v="1.82"/>
    <n v="46.967032967032971"/>
    <s v="YES"/>
    <n v="-0.76434454248505423"/>
    <n v="-0.78892727837680821"/>
    <n v="6.7775192939937196E-2"/>
    <n v="0.394894580337877"/>
    <n v="-0.10570036126561384"/>
    <n v="-5.0985813716504125E-2"/>
    <x v="0"/>
    <x v="0"/>
    <x v="0"/>
    <x v="0"/>
    <x v="0"/>
    <x v="0"/>
  </r>
  <r>
    <x v="4"/>
    <s v="ROP"/>
    <n v="61745"/>
    <n v="577.07000000000005"/>
    <n v="21.24"/>
    <n v="178.8"/>
    <n v="13.87"/>
    <n v="27.169020715630889"/>
    <n v="3.2274608501118567"/>
    <n v="8.09"/>
    <n v="4.16"/>
    <n v="1.63"/>
    <n v="41.605623648161504"/>
    <s v="NO"/>
    <n v="-0.68021677031665728"/>
    <n v="-1.1524809082627827"/>
    <n v="-0.22234631418292736"/>
    <n v="-2.1983099260503042E-2"/>
    <n v="-0.43379009648116018"/>
    <n v="-0.1895987875894099"/>
    <x v="0"/>
    <x v="0"/>
    <x v="0"/>
    <x v="0"/>
    <x v="0"/>
    <x v="0"/>
  </r>
  <r>
    <x v="4"/>
    <s v="SAIL"/>
    <n v="10230"/>
    <n v="19.579999999999998"/>
    <m/>
    <m/>
    <m/>
    <s v=""/>
    <s v=""/>
    <n v="29.12"/>
    <n v="-1.57"/>
    <n v="-1.33"/>
    <s v=""/>
    <s v="NO"/>
    <e v="#VALUE!"/>
    <e v="#VALUE!"/>
    <n v="0.82418118063591339"/>
    <n v="-1.0836315899710443"/>
    <n v="-5.5450828135233508"/>
    <e v="#VALUE!"/>
    <x v="1"/>
    <x v="1"/>
    <x v="0"/>
    <x v="0"/>
    <x v="1"/>
    <x v="1"/>
  </r>
  <r>
    <x v="4"/>
    <s v="SAP"/>
    <n v="346862"/>
    <n v="289.73"/>
    <n v="4.96"/>
    <n v="42.38"/>
    <n v="5.25"/>
    <n v="58.413306451612904"/>
    <n v="6.8364794714487962"/>
    <n v="12.9"/>
    <n v="7.63"/>
    <n v="1.65"/>
    <n v="55.186666666666667"/>
    <s v="NO"/>
    <n v="0.64010123181751344"/>
    <n v="-0.68825476951137876"/>
    <n v="1.7016370081391445E-2"/>
    <n v="0.62093492216455415"/>
    <n v="-0.39925433487952372"/>
    <n v="0.16152321208046769"/>
    <x v="0"/>
    <x v="0"/>
    <x v="0"/>
    <x v="0"/>
    <x v="0"/>
    <x v="0"/>
  </r>
  <r>
    <x v="4"/>
    <s v="SNPS"/>
    <n v="74301"/>
    <n v="515.71"/>
    <n v="8.49"/>
    <n v="60.18"/>
    <n v="8.32"/>
    <n v="60.743227326266201"/>
    <n v="8.5694582917912943"/>
    <n v="15.95"/>
    <n v="6.65"/>
    <n v="1.4"/>
    <n v="61.984375"/>
    <s v="NO"/>
    <n v="0.7385588025985359"/>
    <n v="-0.46534262892299333"/>
    <n v="0.16879520313880766"/>
    <n v="0.43936153282837093"/>
    <n v="-0.83095135489997896"/>
    <n v="0.33727001885520264"/>
    <x v="0"/>
    <x v="0"/>
    <x v="0"/>
    <x v="0"/>
    <x v="0"/>
    <x v="0"/>
  </r>
  <r>
    <x v="4"/>
    <s v="TEAM"/>
    <n v="54000"/>
    <n v="229.52"/>
    <n v="5.62"/>
    <n v="5.2"/>
    <n v="-1.65"/>
    <n v="40.839857651245552"/>
    <n v="44.138461538461542"/>
    <n v="-34.33"/>
    <n v="-1.93"/>
    <n v="4.3"/>
    <n v="-139.10303030303032"/>
    <s v="NO"/>
    <n v="-0.10251586645038846"/>
    <n v="4.109879271794461"/>
    <n v="-2.3333161824765658"/>
    <n v="-1.1503320187067851"/>
    <n v="4.1767340773373025"/>
    <n v="-4.8616099023865633"/>
    <x v="0"/>
    <x v="1"/>
    <x v="0"/>
    <x v="0"/>
    <x v="1"/>
    <x v="1"/>
  </r>
  <r>
    <x v="4"/>
    <s v="TTAN"/>
    <n v="10509"/>
    <n v="123.03"/>
    <n v="0.37"/>
    <n v="16.149999999999999"/>
    <n v="-8.5299999999999994"/>
    <n v="332.51351351351354"/>
    <n v="7.6179566563467498"/>
    <n v="-18.350000000000001"/>
    <n v="-8.57"/>
    <n v="1.22"/>
    <n v="-14.423212192262604"/>
    <s v="NO"/>
    <n v="12.223001248499767"/>
    <n v="-0.58773377637416313"/>
    <n v="-1.538094624359349"/>
    <n v="-2.3805843709437822"/>
    <n v="-1.1417732093147066"/>
    <n v="-1.6381588762850408"/>
    <x v="1"/>
    <x v="0"/>
    <x v="0"/>
    <x v="0"/>
    <x v="0"/>
    <x v="0"/>
  </r>
  <r>
    <x v="4"/>
    <s v="TYL"/>
    <n v="24050"/>
    <n v="567.79999999999995"/>
    <n v="13.22"/>
    <n v="81.48"/>
    <n v="6.63"/>
    <n v="42.950075642965196"/>
    <n v="6.9685812469317616"/>
    <n v="8.8699999999999992"/>
    <n v="4.47"/>
    <n v="1.48"/>
    <n v="85.641025641025635"/>
    <s v="NO"/>
    <n v="-1.3342478828784936E-2"/>
    <n v="-0.67126258864755595"/>
    <n v="-0.18353074376168649"/>
    <n v="3.5453381039718138E-2"/>
    <n v="-0.69280830849343322"/>
    <n v="0.94888508164902308"/>
    <x v="0"/>
    <x v="0"/>
    <x v="0"/>
    <x v="0"/>
    <x v="0"/>
    <x v="0"/>
  </r>
  <r>
    <x v="4"/>
    <s v="WDAY"/>
    <n v="67026"/>
    <n v="270.02"/>
    <n v="8.25"/>
    <n v="33.92"/>
    <n v="1.95"/>
    <n v="32.729696969696967"/>
    <n v="7.9604952830188669"/>
    <n v="6.15"/>
    <n v="1.81"/>
    <n v="1.99"/>
    <n v="138.47179487179486"/>
    <s v="NO"/>
    <n v="-0.44523425145471052"/>
    <n v="-0.54367321567406368"/>
    <n v="-0.31888760471780847"/>
    <n v="-0.4573886757299222"/>
    <n v="0.18785361234829562"/>
    <n v="2.314762894651289"/>
    <x v="0"/>
    <x v="0"/>
    <x v="0"/>
    <x v="0"/>
    <x v="0"/>
    <x v="0"/>
  </r>
  <r>
    <x v="4"/>
    <s v="ZM"/>
    <n v="23977"/>
    <n v="83.18"/>
    <n v="5.87"/>
    <n v="29.22"/>
    <n v="3.21"/>
    <n v="14.170357751277685"/>
    <n v="2.8466803559206029"/>
    <n v="11.92"/>
    <n v="4.87"/>
    <n v="1.23"/>
    <n v="25.912772585669785"/>
    <s v="NO"/>
    <n v="-1.2295130115728776"/>
    <n v="-1.2014604999681795"/>
    <n v="-3.1751910704270199E-2"/>
    <n v="0.10956496852387465"/>
    <n v="-1.1245053285138884"/>
    <n v="-0.59531911688044703"/>
    <x v="0"/>
    <x v="0"/>
    <x v="0"/>
    <x v="0"/>
    <x v="0"/>
    <x v="0"/>
  </r>
  <r>
    <x v="4"/>
    <s v="CHKP"/>
    <n v="23935"/>
    <n v="217.87"/>
    <n v="9.93"/>
    <n v="25.47"/>
    <n v="7.58"/>
    <n v="21.940584088620344"/>
    <n v="8.5539850804868482"/>
    <n v="30.92"/>
    <n v="9.91"/>
    <n v="2.02"/>
    <n v="28.74274406332454"/>
    <s v="NO"/>
    <n v="-0.90115953917981995"/>
    <n v="-0.46733293983341101"/>
    <n v="0.91375557391570006"/>
    <n v="1.043370970824246"/>
    <n v="0.23965725475075031"/>
    <n v="-0.52215351075660843"/>
    <x v="0"/>
    <x v="0"/>
    <x v="0"/>
    <x v="0"/>
    <x v="0"/>
    <x v="0"/>
  </r>
  <r>
    <x v="4"/>
    <s v="CRWD"/>
    <n v="104731"/>
    <n v="440.2"/>
    <n v="4.3600000000000003"/>
    <n v="13.23"/>
    <n v="-0.08"/>
    <n v="100.96330275229357"/>
    <n v="33.272864701436127"/>
    <n v="-0.59"/>
    <n v="-0.47"/>
    <n v="2.65"/>
    <n v="-5502.5"/>
    <s v="NO"/>
    <n v="2.4381748565838093"/>
    <n v="2.712243350754735"/>
    <n v="-0.65429394399878738"/>
    <n v="-0.87982472438961401"/>
    <n v="1.3275337452022975"/>
    <n v="-143.5259721650902"/>
    <x v="0"/>
    <x v="0"/>
    <x v="0"/>
    <x v="0"/>
    <x v="0"/>
    <x v="1"/>
  </r>
  <r>
    <x v="4"/>
    <s v="CYBR"/>
    <n v="17840"/>
    <n v="361.29"/>
    <n v="5"/>
    <n v="47.95"/>
    <n v="-2.12"/>
    <n v="72.25800000000001"/>
    <n v="7.5347236704900942"/>
    <n v="-5.91"/>
    <n v="-1.19"/>
    <n v="1.41"/>
    <n v="-170.41981132075472"/>
    <s v="NO"/>
    <n v="1.2251489515967213"/>
    <n v="-0.5984399909147442"/>
    <n v="-0.91903603969237901"/>
    <n v="-1.0132255818610956"/>
    <n v="-0.81368347409916075"/>
    <n v="-5.6712686862652522"/>
    <x v="0"/>
    <x v="0"/>
    <x v="0"/>
    <x v="0"/>
    <x v="0"/>
    <x v="1"/>
  </r>
  <r>
    <x v="4"/>
    <s v="FTNT"/>
    <n v="82065"/>
    <n v="105.05"/>
    <n v="2.46"/>
    <n v="1.95"/>
    <n v="2.2599999999999998"/>
    <n v="42.703252032520325"/>
    <n v="53.871794871794869"/>
    <n v="338.74"/>
    <n v="13.21"/>
    <n v="6.54"/>
    <n v="46.482300884955755"/>
    <s v="NO"/>
    <n v="-2.3772727066043026E-2"/>
    <n v="5.3618727427618733"/>
    <n v="16.231972095795662"/>
    <n v="1.654791567568537"/>
    <n v="8.0447393767205817"/>
    <n v="-6.3517995356101684E-2"/>
    <x v="0"/>
    <x v="1"/>
    <x v="1"/>
    <x v="0"/>
    <x v="1"/>
    <x v="0"/>
  </r>
  <r>
    <x v="4"/>
    <s v="GEN"/>
    <n v="17158"/>
    <n v="29.1"/>
    <n v="3.43"/>
    <n v="3.49"/>
    <n v="1.02"/>
    <n v="8.4839650145772598"/>
    <n v="8.3381088825214906"/>
    <n v="28.06"/>
    <n v="7.94"/>
    <n v="7.14"/>
    <n v="28.529411764705884"/>
    <s v="NO"/>
    <n v="-1.4698080453884295"/>
    <n v="-0.49510097994196206"/>
    <n v="0.77143181570448338"/>
    <n v="0.67837140246477545"/>
    <n v="9.0808122247696748"/>
    <n v="-0.52766896808805863"/>
    <x v="0"/>
    <x v="0"/>
    <x v="0"/>
    <x v="0"/>
    <x v="1"/>
    <x v="0"/>
  </r>
  <r>
    <x v="4"/>
    <s v="MNDY"/>
    <n v="14027"/>
    <n v="290.49"/>
    <n v="5.93"/>
    <n v="20.29"/>
    <n v="0.62"/>
    <n v="48.986509274873526"/>
    <n v="14.316904879250863"/>
    <n v="3.51"/>
    <n v="-0.89"/>
    <n v="1.64"/>
    <n v="468.53225806451616"/>
    <s v="NO"/>
    <n v="0.24174454925194272"/>
    <n v="0.27394835760782749"/>
    <n v="-0.45026338152816225"/>
    <n v="-0.95764189124797827"/>
    <n v="-0.41652221568034192"/>
    <n v="10.848090540420742"/>
    <x v="0"/>
    <x v="0"/>
    <x v="0"/>
    <x v="0"/>
    <x v="0"/>
    <x v="1"/>
  </r>
  <r>
    <x v="4"/>
    <s v="MSFT"/>
    <n v="3220893"/>
    <n v="449.14"/>
    <n v="9.33"/>
    <n v="43.3"/>
    <n v="12.94"/>
    <n v="48.139335476956056"/>
    <n v="10.372748267898384"/>
    <n v="33.61"/>
    <n v="14.58"/>
    <n v="1.75"/>
    <n v="34.709428129829988"/>
    <s v="NO"/>
    <n v="0.20594476090732827"/>
    <n v="-0.23338640190103513"/>
    <n v="1.047619528317159"/>
    <n v="1.9086237547017726"/>
    <n v="-0.22657552687134144"/>
    <n v="-0.36789186546359581"/>
    <x v="0"/>
    <x v="0"/>
    <x v="0"/>
    <x v="0"/>
    <x v="0"/>
    <x v="0"/>
  </r>
  <r>
    <x v="4"/>
    <s v="NOW"/>
    <n v="203520"/>
    <n v="1036.72"/>
    <n v="17.59"/>
    <n v="48.99"/>
    <n v="7.37"/>
    <n v="58.938032973280272"/>
    <n v="21.161869769340683"/>
    <n v="16.86"/>
    <n v="4.92"/>
    <n v="2.0699999999999998"/>
    <n v="140.66757123473542"/>
    <s v="NO"/>
    <n v="0.66227507437576438"/>
    <n v="1.1544125375455296"/>
    <n v="0.21408003529692202"/>
    <n v="0.11882891695939418"/>
    <n v="0.32599665875484107"/>
    <n v="2.3715321270536176"/>
    <x v="0"/>
    <x v="0"/>
    <x v="0"/>
    <x v="0"/>
    <x v="0"/>
    <x v="0"/>
  </r>
  <r>
    <x v="4"/>
    <s v="ORCL"/>
    <n v="418868"/>
    <n v="162.27000000000001"/>
    <n v="2.09"/>
    <n v="5.97"/>
    <n v="4.26"/>
    <n v="77.641148325358856"/>
    <n v="27.180904522613069"/>
    <n v="103.74"/>
    <n v="7.35"/>
    <n v="9.65"/>
    <n v="38.091549295774655"/>
    <s v="NO"/>
    <n v="1.4526295124323461"/>
    <n v="1.928637764869809"/>
    <n v="4.5375374176012908"/>
    <n v="0.56905681092564464"/>
    <n v="13.415050305775047"/>
    <n v="-0.28045107425969468"/>
    <x v="0"/>
    <x v="0"/>
    <x v="1"/>
    <x v="0"/>
    <x v="1"/>
    <x v="0"/>
  </r>
  <r>
    <x v="4"/>
    <s v="PANW"/>
    <n v="124567"/>
    <n v="192"/>
    <n v="4.5"/>
    <n v="9.65"/>
    <n v="1.77"/>
    <n v="42.666666666666664"/>
    <n v="19.896373056994818"/>
    <n v="23.38"/>
    <n v="3.57"/>
    <n v="3.29"/>
    <n v="108.47457627118644"/>
    <s v="NO"/>
    <n v="-2.5318747914764947E-2"/>
    <n v="0.99163237096459644"/>
    <n v="0.53853839317703811"/>
    <n v="-0.13129769079963388"/>
    <n v="2.4326781164546634"/>
    <n v="1.5392198553406469"/>
    <x v="0"/>
    <x v="0"/>
    <x v="0"/>
    <x v="0"/>
    <x v="0"/>
    <x v="0"/>
  </r>
  <r>
    <x v="4"/>
    <s v="RBRK"/>
    <n v="14387"/>
    <n v="83.1"/>
    <n v="0.14000000000000001"/>
    <n v="-2.92"/>
    <n v="-7.48"/>
    <n v="593.57142857142844"/>
    <n v="-28.458904109589039"/>
    <n v="183.56"/>
    <n v="-61.72"/>
    <n v="-2.57"/>
    <n v="-11.109625668449196"/>
    <s v="NO"/>
    <n v="23.254761352192372"/>
    <n v="-5.2282811186980043"/>
    <n v="8.509664124041608"/>
    <n v="-12.228161557901069"/>
    <n v="-7.6863000328248097"/>
    <n v="-1.5524899681801769"/>
    <x v="1"/>
    <x v="1"/>
    <x v="1"/>
    <x v="1"/>
    <x v="1"/>
    <x v="0"/>
  </r>
  <r>
    <x v="4"/>
    <s v="ZS"/>
    <n v="36134"/>
    <n v="245"/>
    <n v="4.57"/>
    <n v="10.39"/>
    <n v="-0.1"/>
    <n v="53.610503282275708"/>
    <n v="23.58036573628489"/>
    <n v="-1.21"/>
    <n v="-1.41"/>
    <n v="3.11"/>
    <n v="-2450"/>
    <s v="NO"/>
    <n v="0.43714484040670998"/>
    <n v="1.4655023827690059"/>
    <n v="-0.68514734612849171"/>
    <n v="-1.0539869549773817"/>
    <n v="2.1218562620399353"/>
    <n v="-64.607151089868225"/>
    <x v="0"/>
    <x v="0"/>
    <x v="0"/>
    <x v="0"/>
    <x v="0"/>
    <x v="1"/>
  </r>
  <r>
    <x v="5"/>
    <s v="AAPL"/>
    <n v="2931156"/>
    <n v="212.93"/>
    <n v="6.51"/>
    <n v="4.47"/>
    <n v="6.4"/>
    <n v="32.70814132104455"/>
    <n v="47.635346756152131"/>
    <n v="138.02000000000001"/>
    <n v="23.81"/>
    <n v="4.96"/>
    <n v="33.270312499999996"/>
    <s v="NO"/>
    <n v="0.89913105691258011"/>
    <n v="1.8458726895778212"/>
    <n v="1.3676852066296565"/>
    <n v="3.8091696214555664"/>
    <n v="0.58766562025400382"/>
    <n v="4.6231315305871235"/>
    <x v="0"/>
    <x v="0"/>
    <x v="0"/>
    <x v="1"/>
    <x v="0"/>
    <x v="1"/>
  </r>
  <r>
    <x v="5"/>
    <s v="DELL"/>
    <n v="66846"/>
    <n v="107.85"/>
    <n v="2.65"/>
    <n v="-2.13"/>
    <n v="6.38"/>
    <n v="40.698113207547166"/>
    <n v="-50.633802816901408"/>
    <n v="-260.07"/>
    <n v="5.35"/>
    <n v="-53.81"/>
    <n v="16.904388714733543"/>
    <s v="NO"/>
    <n v="1.6809444115148444"/>
    <n v="-1.9039855973571129"/>
    <n v="-2.6944184277303331"/>
    <n v="-0.57378931551117496"/>
    <n v="-11.632452381454199"/>
    <n v="0.36571137353936506"/>
    <x v="0"/>
    <x v="0"/>
    <x v="1"/>
    <x v="0"/>
    <x v="1"/>
    <x v="0"/>
  </r>
  <r>
    <x v="5"/>
    <s v="HPE"/>
    <n v="21753"/>
    <n v="17.920000000000002"/>
    <n v="1.24"/>
    <n v="19.21"/>
    <n v="2.08"/>
    <n v="14.451612903225808"/>
    <n v="0.93284747527329526"/>
    <n v="12.06"/>
    <n v="2.4700000000000002"/>
    <n v="2.79"/>
    <n v="8.6153846153846168"/>
    <s v="NO"/>
    <n v="-0.88725792273302007"/>
    <n v="6.3749259082619206E-2"/>
    <n v="8.239149469520865E-2"/>
    <n v="-1.2575878928927682"/>
    <n v="0.13645486538405663"/>
    <n v="-1.7905844517039067"/>
    <x v="0"/>
    <x v="0"/>
    <x v="0"/>
    <x v="0"/>
    <x v="0"/>
    <x v="0"/>
  </r>
  <r>
    <x v="5"/>
    <s v="HPQ"/>
    <n v="24369"/>
    <n v="28.78"/>
    <n v="3.38"/>
    <n v="-1.1299999999999999"/>
    <n v="2.78"/>
    <n v="8.5147928994082847"/>
    <n v="-25.46902654867257"/>
    <n v="-200.44"/>
    <n v="6.87"/>
    <n v="-36.32"/>
    <n v="10.352517985611511"/>
    <s v="NO"/>
    <n v="-1.4681717518161015"/>
    <n v="-0.94372141232790596"/>
    <n v="-2.0859549151656211"/>
    <n v="-0.21289562189311159"/>
    <n v="-7.9957352834471118"/>
    <n v="-1.3386877715701322"/>
    <x v="0"/>
    <x v="0"/>
    <x v="0"/>
    <x v="0"/>
    <x v="1"/>
    <x v="0"/>
  </r>
  <r>
    <x v="5"/>
    <s v="LOGI"/>
    <n v="11530"/>
    <n v="86.96"/>
    <n v="5.2"/>
    <n v="14.33"/>
    <n v="4.13"/>
    <n v="16.723076923076921"/>
    <n v="6.068387997208653"/>
    <n v="28.96"/>
    <n v="11.63"/>
    <n v="1.66"/>
    <n v="21.055690072639223"/>
    <s v="NO"/>
    <n v="-0.66499670198728911"/>
    <n v="0.25971665340461181"/>
    <n v="0.25483880917355228"/>
    <n v="0.91727147127924435"/>
    <n v="-9.8507417105823752E-2"/>
    <n v="1.4456280535277186"/>
    <x v="0"/>
    <x v="0"/>
    <x v="0"/>
    <x v="0"/>
    <x v="0"/>
    <x v="0"/>
  </r>
  <r>
    <x v="5"/>
    <s v="NTAP"/>
    <n v="19197"/>
    <n v="99.53"/>
    <n v="6.17"/>
    <n v="4.9000000000000004"/>
    <n v="5.4"/>
    <n v="16.131280388978929"/>
    <n v="20.312244897959182"/>
    <n v="114.33"/>
    <n v="9.52"/>
    <n v="9.0299999999999994"/>
    <n v="18.43148148148148"/>
    <s v="NO"/>
    <n v="-0.72290359329271847"/>
    <n v="0.80324883078941534"/>
    <n v="1.1259528468668185"/>
    <n v="0.41629404132259057"/>
    <n v="1.4339456996644577"/>
    <n v="0.76296823554965398"/>
    <x v="0"/>
    <x v="0"/>
    <x v="0"/>
    <x v="0"/>
    <x v="0"/>
    <x v="0"/>
  </r>
  <r>
    <x v="5"/>
    <s v="PSTG"/>
    <n v="15585"/>
    <n v="55.12"/>
    <n v="1.62"/>
    <n v="4.01"/>
    <n v="0.31"/>
    <n v="34.02469135802469"/>
    <n v="13.74563591022444"/>
    <n v="8.2899999999999991"/>
    <n v="1.66"/>
    <n v="3.03"/>
    <n v="177.80645161290323"/>
    <s v="NO"/>
    <n v="1.0279545891520312"/>
    <n v="0.55267321029507999"/>
    <n v="4.392247838850119E-2"/>
    <n v="-1.4499062427813414"/>
    <n v="0.18635835901022585"/>
    <n v="42.22266334773439"/>
    <x v="0"/>
    <x v="0"/>
    <x v="0"/>
    <x v="0"/>
    <x v="0"/>
    <x v="1"/>
  </r>
  <r>
    <x v="5"/>
    <s v="SMCI"/>
    <n v="19384"/>
    <n v="38.89"/>
    <n v="-3.72"/>
    <n v="10.51"/>
    <n v="2.2799999999999998"/>
    <n v="-10.454301075268816"/>
    <n v="3.7002854424357756"/>
    <n v="31.02"/>
    <n v="12.76"/>
    <n v="1.56"/>
    <n v="17.057017543859651"/>
    <s v="NO"/>
    <n v="-3.3242847901060828"/>
    <n v="0.16935208804602583"/>
    <n v="0.27585901437032079"/>
    <n v="1.1855674408768833"/>
    <n v="-0.11930053945006093"/>
    <n v="0.40541613217041056"/>
    <x v="1"/>
    <x v="0"/>
    <x v="0"/>
    <x v="0"/>
    <x v="0"/>
    <x v="0"/>
  </r>
  <r>
    <x v="5"/>
    <s v="STX"/>
    <n v="20256"/>
    <n v="105.47"/>
    <n v="3.67"/>
    <n v="-3.91"/>
    <n v="6.85"/>
    <n v="28.73841961852861"/>
    <n v="-26.974424552429667"/>
    <n v="-109.93"/>
    <n v="14.08"/>
    <n v="-9.1199999999999992"/>
    <n v="15.397080291970804"/>
    <s v="NO"/>
    <n v="0.51069646851005401"/>
    <n v="-1.0011659837325595"/>
    <n v="-1.1623924043114862"/>
    <n v="1.4989751221767804"/>
    <n v="-2.3400060058145939"/>
    <n v="-2.6398802834248589E-2"/>
    <x v="0"/>
    <x v="0"/>
    <x v="0"/>
    <x v="0"/>
    <x v="0"/>
    <x v="0"/>
  </r>
  <r>
    <x v="5"/>
    <s v="WDC"/>
    <n v="15455"/>
    <n v="49.01"/>
    <n v="2.4900000000000002"/>
    <n v="14.83"/>
    <n v="3.03"/>
    <n v="19.682730923694777"/>
    <n v="3.3047875927174646"/>
    <n v="13.56"/>
    <n v="5.56"/>
    <n v="3.16"/>
    <n v="16.174917491749174"/>
    <s v="NO"/>
    <n v="-0.37539655626038076"/>
    <n v="0.15426026222200517"/>
    <n v="9.7697469353049793E-2"/>
    <n v="-0.5239290025771004"/>
    <n v="0.21338941805773429"/>
    <n v="0.17594723132114021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x v="0"/>
    <s v="CALX"/>
    <n v="2731"/>
    <n v="44.9"/>
    <n v="0.79"/>
    <n v="11.68"/>
    <n v="-0.52"/>
    <n v="56.835443037974677"/>
    <n v="3.8441780821917808"/>
    <n v="-4.59"/>
    <n v="-3.2"/>
    <n v="1.2"/>
    <n v="-86.34615384615384"/>
    <s v="NO"/>
    <n v="0.91565405507325304"/>
    <n v="-0.29726174941785805"/>
    <n v="0.58389165581190194"/>
    <n v="-0.4083937009628606"/>
    <n v="-1.1664030239037593"/>
    <n v="-0.85580822048901273"/>
    <x v="0"/>
    <x v="0"/>
    <x v="0"/>
    <x v="0"/>
    <x v="0"/>
    <x v="0"/>
  </r>
  <r>
    <x v="0"/>
    <s v="LITE"/>
    <n v="4584"/>
    <n v="74.510000000000005"/>
    <n v="-0.99"/>
    <n v="12.62"/>
    <n v="-7.68"/>
    <n v="-75.26262626262627"/>
    <n v="5.904120443740096"/>
    <n v="-48.63"/>
    <n v="-4.6900000000000004"/>
    <n v="4.55"/>
    <n v="-9.7018229166666679"/>
    <s v="NO"/>
    <n v="-1.3911989997807748"/>
    <n v="1.3460141004348354"/>
    <n v="-1.4074290867247137"/>
    <n v="-0.9683691130192984"/>
    <n v="1.2757533073947362"/>
    <n v="-0.54713138516454407"/>
    <x v="0"/>
    <x v="0"/>
    <x v="0"/>
    <x v="0"/>
    <x v="0"/>
    <x v="0"/>
  </r>
  <r>
    <x v="0"/>
    <s v="VIAV"/>
    <n v="2011"/>
    <n v="9.49"/>
    <n v="0.3"/>
    <n v="3.27"/>
    <n v="0.02"/>
    <n v="31.633333333333336"/>
    <n v="2.9021406727828745"/>
    <n v="0.71"/>
    <n v="1.55"/>
    <n v="2.65"/>
    <n v="474.5"/>
    <s v="NO"/>
    <n v="0.47554494470752162"/>
    <n v="-1.0487523510169754"/>
    <n v="0.82353743091281162"/>
    <n v="1.3767628139821593"/>
    <n v="-0.10935028349097767"/>
    <n v="1.4029396056535566"/>
    <x v="0"/>
    <x v="0"/>
    <x v="0"/>
    <x v="0"/>
    <x v="0"/>
    <x v="0"/>
  </r>
  <r>
    <x v="1"/>
    <s v="AEIS"/>
    <n v="4135"/>
    <n v="120.14"/>
    <n v="2.62"/>
    <n v="32.46"/>
    <n v="1.98"/>
    <n v="45.854961832061065"/>
    <n v="3.7011706715958104"/>
    <n v="6.34"/>
    <n v="2.58"/>
    <n v="1.87"/>
    <n v="60.676767676767675"/>
    <s v="NO"/>
    <n v="1.3976197396314687"/>
    <n v="0.63470083861672777"/>
    <n v="-0.26084884389841928"/>
    <n v="-0.80197235458604998"/>
    <n v="-0.36131314438717127"/>
    <n v="2.051414011269844"/>
    <x v="0"/>
    <x v="0"/>
    <x v="0"/>
    <x v="0"/>
    <x v="0"/>
    <x v="0"/>
  </r>
  <r>
    <x v="1"/>
    <s v="BMI"/>
    <n v="6653"/>
    <n v="247.46"/>
    <n v="5.23"/>
    <n v="21.79"/>
    <n v="4.54"/>
    <n v="47.315487571701716"/>
    <n v="11.356585589720057"/>
    <n v="22.8"/>
    <n v="12.99"/>
    <n v="1.4"/>
    <n v="54.506607929515418"/>
    <s v="NO"/>
    <n v="1.4908941365525308"/>
    <n v="5.8929081292788936"/>
    <n v="1.2798228793522017"/>
    <n v="2.993636574534027"/>
    <n v="-0.97616844354258325"/>
    <n v="1.6691719815451211"/>
    <x v="0"/>
    <x v="1"/>
    <x v="1"/>
    <x v="0"/>
    <x v="0"/>
    <x v="0"/>
  </r>
  <r>
    <x v="1"/>
    <s v="CGNX"/>
    <n v="4812"/>
    <n v="31.61"/>
    <n v="0.95"/>
    <n v="8.61"/>
    <n v="0.69"/>
    <n v="33.273684210526319"/>
    <n v="3.6713124274099886"/>
    <n v="8.02"/>
    <n v="4.0199999999999996"/>
    <n v="1.34"/>
    <n v="45.811594202898554"/>
    <s v="NO"/>
    <n v="0.59413435707748541"/>
    <n v="0.61419236991275739"/>
    <n v="-0.10359923909519674"/>
    <n v="-0.27693134998154384"/>
    <n v="-1.05466060939221"/>
    <n v="1.1305149886161376"/>
    <x v="0"/>
    <x v="0"/>
    <x v="0"/>
    <x v="0"/>
    <x v="0"/>
    <x v="0"/>
  </r>
  <r>
    <x v="1"/>
    <s v="CXT"/>
    <n v="2733"/>
    <n v="55.27"/>
    <n v="2.95"/>
    <n v="18.62"/>
    <n v="3.19"/>
    <n v="18.735593220338984"/>
    <n v="2.9683136412459721"/>
    <n v="18.149999999999999"/>
    <n v="8.2100000000000009"/>
    <n v="2.2400000000000002"/>
    <n v="17.32601880877743"/>
    <s v="NO"/>
    <n v="-0.33432012522892662"/>
    <n v="0.13132979717580942"/>
    <n v="0.84457843748613914"/>
    <n v="1.2507921286940689"/>
    <n v="0.12272187835219547"/>
    <n v="-0.63416933116575835"/>
    <x v="0"/>
    <x v="0"/>
    <x v="0"/>
    <x v="0"/>
    <x v="0"/>
    <x v="0"/>
  </r>
  <r>
    <x v="1"/>
    <s v="ITRI"/>
    <n v="4846"/>
    <n v="115.1"/>
    <n v="5.32"/>
    <n v="32.659999999999997"/>
    <n v="5.48"/>
    <n v="21.63533834586466"/>
    <n v="3.5241886099203921"/>
    <n v="17.600000000000001"/>
    <n v="5.62"/>
    <n v="2.35"/>
    <n v="21.003649635036492"/>
    <s v="NO"/>
    <n v="-0.14913203133422806"/>
    <n v="0.51313873166745139"/>
    <n v="0.79309791210413205"/>
    <n v="0.30644754402346341"/>
    <n v="0.26662418240984487"/>
    <n v="-0.4063397239609382"/>
    <x v="0"/>
    <x v="0"/>
    <x v="0"/>
    <x v="0"/>
    <x v="0"/>
    <x v="0"/>
  </r>
  <r>
    <x v="1"/>
    <s v="MIR"/>
    <n v="3709"/>
    <n v="17.43"/>
    <n v="0.4"/>
    <n v="7.28"/>
    <n v="-0.05"/>
    <n v="43.574999999999996"/>
    <n v="2.3942307692307692"/>
    <n v="-0.63"/>
    <n v="0.99"/>
    <n v="1.75"/>
    <n v="-348.59999999999997"/>
    <s v="NO"/>
    <n v="1.2520132233499688"/>
    <n v="-0.26298543921039208"/>
    <n v="-0.91324750192131288"/>
    <n v="-1.3817051305035257"/>
    <n v="-0.51829747608642551"/>
    <n v="-23.303323759597411"/>
    <x v="0"/>
    <x v="0"/>
    <x v="0"/>
    <x v="0"/>
    <x v="0"/>
    <x v="1"/>
  </r>
  <r>
    <x v="1"/>
    <s v="NOVT"/>
    <n v="4277"/>
    <n v="132.9"/>
    <n v="3.93"/>
    <n v="20.75"/>
    <n v="1.77"/>
    <n v="33.81679389312977"/>
    <n v="6.4048192771084338"/>
    <n v="9.0299999999999994"/>
    <n v="6.05"/>
    <n v="1.86"/>
    <n v="75.084745762711862"/>
    <s v="NO"/>
    <n v="0.62881928369801199"/>
    <n v="2.4917320983121081"/>
    <n v="-9.0622743027831895E-3"/>
    <n v="0.46323062178730895"/>
    <n v="-0.37439517202877581"/>
    <n v="2.9439897327093423"/>
    <x v="0"/>
    <x v="0"/>
    <x v="0"/>
    <x v="0"/>
    <x v="0"/>
    <x v="1"/>
  </r>
  <r>
    <x v="1"/>
    <s v="OSIS"/>
    <n v="3717"/>
    <n v="230.25"/>
    <n v="1.42"/>
    <n v="52.38"/>
    <n v="8.23"/>
    <n v="162.14788732394368"/>
    <n v="4.3957617411225653"/>
    <n v="16.73"/>
    <n v="6.54"/>
    <n v="2.37"/>
    <n v="27.976913730255163"/>
    <s v="NO"/>
    <n v="8.8245018527191856"/>
    <n v="1.1117884772197721"/>
    <n v="0.71166508104532034"/>
    <n v="0.64189040807634246"/>
    <n v="0.29278823769305384"/>
    <n v="2.5654702560989059E-2"/>
    <x v="1"/>
    <x v="0"/>
    <x v="0"/>
    <x v="0"/>
    <x v="0"/>
    <x v="0"/>
  </r>
  <r>
    <x v="1"/>
    <s v="PAR"/>
    <n v="2482"/>
    <n v="69.400000000000006"/>
    <n v="-0.94"/>
    <n v="22.51"/>
    <n v="-2.63"/>
    <n v="-73.82978723404257"/>
    <n v="3.0830741892492224"/>
    <n v="-14.93"/>
    <n v="-4.59"/>
    <n v="1.58"/>
    <n v="-26.387832699619775"/>
    <s v="NO"/>
    <n v="-6.2458763568742643"/>
    <n v="0.210154362094223"/>
    <n v="-2.2517411618535048"/>
    <n v="-3.4162390233459874"/>
    <n v="-0.74069194599370192"/>
    <n v="-3.3422469194479731"/>
    <x v="1"/>
    <x v="0"/>
    <x v="1"/>
    <x v="1"/>
    <x v="0"/>
    <x v="1"/>
  </r>
  <r>
    <x v="1"/>
    <s v="SHMXY"/>
    <n v="7512"/>
    <n v="12.125"/>
    <m/>
    <m/>
    <m/>
    <s v=""/>
    <s v=""/>
    <n v="12.46"/>
    <n v="7.03"/>
    <n v="1.34"/>
    <s v=""/>
    <s v="NO"/>
    <e v="#VALUE!"/>
    <e v="#VALUE!"/>
    <n v="0.31198900217046299"/>
    <n v="0.82055019436537591"/>
    <n v="-1.05466060939221"/>
    <e v="#VALUE!"/>
    <x v="1"/>
    <x v="1"/>
    <x v="0"/>
    <x v="0"/>
    <x v="0"/>
    <x v="1"/>
  </r>
  <r>
    <x v="1"/>
    <s v="VNT"/>
    <n v="5051"/>
    <n v="37.200000000000003"/>
    <n v="2.42"/>
    <n v="7.39"/>
    <n v="2.46"/>
    <n v="15.371900826446282"/>
    <n v="5.0338294993234109"/>
    <n v="35.57"/>
    <n v="7.83"/>
    <n v="3.92"/>
    <n v="15.121951219512196"/>
    <s v="NO"/>
    <n v="-0.54913755086738192"/>
    <n v="1.5500524477545301"/>
    <n v="2.4751070777671735"/>
    <n v="1.1122396413678795"/>
    <n v="2.3205025221417515"/>
    <n v="-0.7707115445738314"/>
    <x v="0"/>
    <x v="0"/>
    <x v="0"/>
    <x v="1"/>
    <x v="0"/>
    <x v="0"/>
  </r>
  <r>
    <x v="1"/>
    <s v="BDC"/>
    <n v="4148"/>
    <n v="113.87"/>
    <n v="5.43"/>
    <n v="30.84"/>
    <n v="5.17"/>
    <n v="20.970534069981586"/>
    <n v="3.692282749675746"/>
    <n v="17.920000000000002"/>
    <n v="5.91"/>
    <n v="2.68"/>
    <n v="22.025145067698261"/>
    <s v="NO"/>
    <n v="-0.19158880989041699"/>
    <n v="0.62859607011773055"/>
    <n v="0.82305021778093646"/>
    <n v="0.41218496856187098"/>
    <n v="0.69833109458279352"/>
    <n v="-0.34305797704846147"/>
    <x v="0"/>
    <x v="0"/>
    <x v="0"/>
    <x v="0"/>
    <x v="0"/>
    <x v="0"/>
  </r>
  <r>
    <x v="1"/>
    <s v="LFUS"/>
    <n v="4723"/>
    <n v="219.94"/>
    <n v="11.81"/>
    <n v="99.39"/>
    <n v="3.81"/>
    <n v="18.623200677392038"/>
    <n v="2.2128986819599556"/>
    <n v="3.87"/>
    <n v="4.59"/>
    <n v="1.58"/>
    <n v="57.727034120734906"/>
    <s v="NO"/>
    <n v="-0.34149791496399851"/>
    <n v="-0.38753540985417856"/>
    <n v="-0.4920432033412524"/>
    <n v="-6.9102618992259973E-2"/>
    <n v="-0.74069194599370192"/>
    <n v="1.8686777146760318"/>
    <x v="0"/>
    <x v="0"/>
    <x v="0"/>
    <x v="0"/>
    <x v="0"/>
    <x v="0"/>
  </r>
  <r>
    <x v="1"/>
    <s v="LPL"/>
    <n v="3090"/>
    <n v="3.23"/>
    <n v="-0.72"/>
    <n v="8.86"/>
    <n v="-3.68"/>
    <n v="-4.4861111111111116"/>
    <n v="0.36455981941309257"/>
    <n v="-21.7"/>
    <n v="-0.11"/>
    <n v="5.0999999999999996"/>
    <n v="-0.87771739130434778"/>
    <s v="NO"/>
    <n v="-1.8173412101761492"/>
    <n v="-1.6570876139611634"/>
    <n v="-2.8854196288283958"/>
    <n v="-1.7827781201319683"/>
    <n v="3.8641817838510826"/>
    <n v="-1.7618926574202152"/>
    <x v="0"/>
    <x v="0"/>
    <x v="0"/>
    <x v="1"/>
    <x v="1"/>
    <x v="0"/>
  </r>
  <r>
    <x v="1"/>
    <s v="FN"/>
    <n v="7521"/>
    <n v="227.33"/>
    <n v="7.54"/>
    <n v="53.1"/>
    <n v="8.9700000000000006"/>
    <n v="30.149867374005307"/>
    <n v="4.2811676082862524"/>
    <n v="18.3"/>
    <n v="7.99"/>
    <n v="1.37"/>
    <n v="25.343366778149388"/>
    <s v="NO"/>
    <n v="0.39463624238486322"/>
    <n v="1.0330782164185652"/>
    <n v="0.85861858077214137"/>
    <n v="1.1705775307683801"/>
    <n v="-1.0154145264673964"/>
    <n v="-0.13749380146219434"/>
    <x v="0"/>
    <x v="0"/>
    <x v="0"/>
    <x v="0"/>
    <x v="0"/>
    <x v="0"/>
  </r>
  <r>
    <x v="1"/>
    <s v="IPGP"/>
    <n v="2473"/>
    <n v="65.59"/>
    <n v="3.37"/>
    <n v="47.58"/>
    <n v="-4.09"/>
    <n v="19.462908011869438"/>
    <n v="1.3785203867171081"/>
    <n v="-8.18"/>
    <n v="0.36"/>
    <n v="1.1299999999999999"/>
    <n v="-16.036674816625919"/>
    <s v="NO"/>
    <n v="-0.28787120159101631"/>
    <n v="-0.96063746665180139"/>
    <n v="-1.6199347139834139"/>
    <n v="-1.6114105700179973"/>
    <n v="-1.3293831898659048"/>
    <n v="-2.7009916260240638"/>
    <x v="0"/>
    <x v="0"/>
    <x v="0"/>
    <x v="0"/>
    <x v="0"/>
    <x v="1"/>
  </r>
  <r>
    <x v="1"/>
    <s v="PLXS"/>
    <n v="3409"/>
    <n v="133.35"/>
    <n v="12.93"/>
    <n v="49.84"/>
    <n v="5.14"/>
    <n v="10.31322505800464"/>
    <n v="2.6755617977528088"/>
    <n v="10.93"/>
    <n v="3.91"/>
    <n v="2.2799999999999998"/>
    <n v="25.943579766536967"/>
    <s v="NO"/>
    <n v="-0.87220267646843952"/>
    <n v="-6.9750078216198344E-2"/>
    <n v="0.16877954065324235"/>
    <n v="-0.31703864894438788"/>
    <n v="0.17504998891861295"/>
    <n v="-0.10031054521820815"/>
    <x v="0"/>
    <x v="0"/>
    <x v="0"/>
    <x v="0"/>
    <x v="0"/>
    <x v="0"/>
  </r>
  <r>
    <x v="1"/>
    <s v="SANM"/>
    <n v="4259"/>
    <n v="85.27"/>
    <n v="4.8899999999999997"/>
    <n v="41.51"/>
    <n v="4.32"/>
    <n v="17.437627811860942"/>
    <n v="2.0542038063117323"/>
    <n v="11.16"/>
    <n v="4.6500000000000004"/>
    <n v="2.2400000000000002"/>
    <n v="19.738425925925924"/>
    <s v="NO"/>
    <n v="-0.41721283804751536"/>
    <n v="-0.49653675870969866"/>
    <n v="0.19030776035844549"/>
    <n v="-4.722591046707203E-2"/>
    <n v="0.12272187835219547"/>
    <n v="-0.4847204626187398"/>
    <x v="0"/>
    <x v="0"/>
    <x v="0"/>
    <x v="0"/>
    <x v="0"/>
    <x v="0"/>
  </r>
  <r>
    <x v="1"/>
    <s v="TTMI"/>
    <n v="2635"/>
    <n v="29.8"/>
    <n v="0.5"/>
    <n v="15.58"/>
    <n v="0.75"/>
    <n v="59.6"/>
    <n v="1.9127086007702183"/>
    <n v="5.0199999999999996"/>
    <n v="3.51"/>
    <n v="2.1800000000000002"/>
    <n v="39.733333333333334"/>
    <s v="NO"/>
    <n v="2.2754270325634804"/>
    <n v="-0.59372432193513258"/>
    <n v="-0.38440210481523701"/>
    <n v="-0.46288337244563976"/>
    <n v="4.422971250256838E-2"/>
    <n v="0.75396610379777795"/>
    <x v="0"/>
    <x v="0"/>
    <x v="0"/>
    <x v="0"/>
    <x v="0"/>
    <x v="0"/>
  </r>
  <r>
    <x v="1"/>
    <s v="ARW"/>
    <n v="5989"/>
    <n v="121.22"/>
    <n v="18.77"/>
    <n v="114.23"/>
    <n v="7.28"/>
    <n v="6.4581779435269047"/>
    <n v="1.0611923312614899"/>
    <n v="6.63"/>
    <n v="2.81"/>
    <n v="3.61"/>
    <n v="16.651098901098901"/>
    <s v="NO"/>
    <n v="-1.1183997717648648"/>
    <n v="-1.1785977878850782"/>
    <n v="-0.23370456687881536"/>
    <n v="-0.71811163857283022"/>
    <n v="1.914959665252012"/>
    <n v="-0.67598068872867234"/>
    <x v="0"/>
    <x v="0"/>
    <x v="0"/>
    <x v="0"/>
    <x v="0"/>
    <x v="0"/>
  </r>
  <r>
    <x v="1"/>
    <s v="AVT"/>
    <n v="4164"/>
    <n v="52.37"/>
    <n v="8.49"/>
    <n v="57.52"/>
    <n v="3.56"/>
    <n v="6.1684334511189629"/>
    <n v="0.91046592489568834"/>
    <n v="6.42"/>
    <n v="3.61"/>
    <n v="2.4"/>
    <n v="14.710674157303369"/>
    <s v="NO"/>
    <n v="-1.136903891245292"/>
    <n v="-1.2821259045612359"/>
    <n v="-0.25336076747921821"/>
    <n v="-0.42642219157032679"/>
    <n v="0.33203432061786714"/>
    <n v="-0.79619020079629499"/>
    <x v="0"/>
    <x v="0"/>
    <x v="0"/>
    <x v="0"/>
    <x v="0"/>
    <x v="0"/>
  </r>
  <r>
    <x v="1"/>
    <s v="INGM"/>
    <n v="4464"/>
    <n v="20.79"/>
    <n v="0.85"/>
    <n v="15.9"/>
    <n v="1.18"/>
    <n v="24.458823529411763"/>
    <n v="1.3075471698113206"/>
    <n v="7.3"/>
    <n v="2.88"/>
    <n v="5.03"/>
    <n v="17.618644067796609"/>
    <s v="NO"/>
    <n v="3.1185829942018507E-2"/>
    <n v="-1.009386213854546"/>
    <n v="-0.17099192686800638"/>
    <n v="-0.69258881196011124"/>
    <n v="3.7726075903598519"/>
    <n v="-0.61604116633079997"/>
    <x v="0"/>
    <x v="0"/>
    <x v="0"/>
    <x v="0"/>
    <x v="1"/>
    <x v="0"/>
  </r>
  <r>
    <x v="1"/>
    <s v="NSIT"/>
    <n v="4256"/>
    <n v="138.44999999999999"/>
    <n v="12.97"/>
    <n v="49.85"/>
    <n v="5.12"/>
    <n v="10.674633770239012"/>
    <n v="2.7773319959879634"/>
    <n v="11.37"/>
    <n v="3.39"/>
    <n v="4.9800000000000004"/>
    <n v="27.041015624999996"/>
    <s v="NO"/>
    <n v="-0.84912182362159216"/>
    <n v="1.5191978854769866E-4"/>
    <n v="0.20996396095884823"/>
    <n v="-0.50663678949601521"/>
    <n v="3.7071974521518296"/>
    <n v="-3.2324281131867277E-2"/>
    <x v="0"/>
    <x v="0"/>
    <x v="0"/>
    <x v="0"/>
    <x v="1"/>
    <x v="0"/>
  </r>
  <r>
    <x v="1"/>
    <s v="SNX"/>
    <n v="9678"/>
    <n v="124.92"/>
    <n v="-1.07"/>
    <n v="96.74"/>
    <n v="8"/>
    <n v="-116.74766355140187"/>
    <n v="1.291296258011164"/>
    <n v="8.48"/>
    <n v="2.73"/>
    <n v="3.58"/>
    <n v="15.615"/>
    <s v="NO"/>
    <n v="-8.986765423039822"/>
    <n v="-1.0205483342387967"/>
    <n v="-6.0542799684790476E-2"/>
    <n v="-0.74728058327308067"/>
    <n v="1.8757135823271986"/>
    <n v="-0.7401671220099123"/>
    <x v="1"/>
    <x v="0"/>
    <x v="0"/>
    <x v="0"/>
    <x v="0"/>
    <x v="0"/>
  </r>
  <r>
    <x v="2"/>
    <s v="ASGN"/>
    <n v="2387"/>
    <n v="56.81"/>
    <n v="6.94"/>
    <n v="40.85"/>
    <n v="3.52"/>
    <n v="8.1858789625360231"/>
    <n v="1.3906976744186046"/>
    <n v="8.65"/>
    <n v="4.87"/>
    <n v="2.06"/>
    <n v="16.139204545454547"/>
    <s v="NO"/>
    <n v="-0.16687604625150659"/>
    <n v="-0.86310787209306983"/>
    <n v="0.52588658768655416"/>
    <n v="0.56782741664373271"/>
    <n v="-0.56050647719363711"/>
    <n v="-5.2892489662022792E-2"/>
    <x v="0"/>
    <x v="0"/>
    <x v="0"/>
    <x v="0"/>
    <x v="0"/>
    <x v="0"/>
  </r>
  <r>
    <x v="2"/>
    <s v="DXC"/>
    <n v="2799"/>
    <n v="16.940000000000001"/>
    <n v="4.8499999999999996"/>
    <n v="16.52"/>
    <n v="-0.42"/>
    <n v="3.4927835051546396"/>
    <n v="1.0254237288135595"/>
    <n v="-1.87"/>
    <n v="1.1299999999999999"/>
    <n v="4.3600000000000003"/>
    <n v="-40.333333333333336"/>
    <s v="NO"/>
    <n v="-0.38879359713368883"/>
    <n v="-1.1446954396211355"/>
    <n v="0.36693197741276101"/>
    <n v="-0.58399606172782559"/>
    <n v="1.5528786007495854"/>
    <n v="-1.4287907605800156"/>
    <x v="0"/>
    <x v="0"/>
    <x v="0"/>
    <x v="0"/>
    <x v="0"/>
    <x v="0"/>
  </r>
  <r>
    <x v="2"/>
    <s v="EPAM"/>
    <n v="9015"/>
    <n v="186.9"/>
    <n v="9.1999999999999993"/>
    <n v="63.82"/>
    <n v="7.84"/>
    <n v="20.315217391304351"/>
    <n v="2.9285490441867754"/>
    <n v="12.8"/>
    <n v="8.3000000000000007"/>
    <n v="1.31"/>
    <n v="23.839285714285715"/>
    <s v="NO"/>
    <n v="0.40667143480384449"/>
    <n v="0.32241283542804738"/>
    <n v="0.58859206607402947"/>
    <n v="1.6241788954711245"/>
    <n v="-1.2496537852186009"/>
    <n v="0.1347124731052429"/>
    <x v="0"/>
    <x v="0"/>
    <x v="0"/>
    <x v="0"/>
    <x v="0"/>
    <x v="0"/>
  </r>
  <r>
    <x v="2"/>
    <s v="GLOB"/>
    <n v="5419"/>
    <n v="140.36000000000001"/>
    <n v="3.11"/>
    <n v="44.61"/>
    <n v="3.72"/>
    <n v="45.131832797427656"/>
    <n v="3.1463797354853176"/>
    <n v="8.83"/>
    <n v="5.39"/>
    <n v="1.61"/>
    <n v="37.731182795698928"/>
    <s v="NO"/>
    <n v="1.5801490599925729"/>
    <n v="0.49033725279680229"/>
    <n v="0.52860634337564949"/>
    <n v="0.72797399652427008"/>
    <n v="-0.97399486200861529"/>
    <n v="0.47317498766608851"/>
    <x v="0"/>
    <x v="0"/>
    <x v="0"/>
    <x v="0"/>
    <x v="0"/>
    <x v="0"/>
  </r>
  <r>
    <x v="2"/>
    <s v="KD"/>
    <n v="7711"/>
    <n v="41.15"/>
    <n v="-0.26"/>
    <n v="4.72"/>
    <n v="0.59"/>
    <n v="-158.26923076923075"/>
    <n v="8.7182203389830502"/>
    <n v="11.05"/>
    <n v="2.48"/>
    <n v="9.07"/>
    <n v="69.745762711864401"/>
    <s v="NO"/>
    <n v="-8.0378666576612474"/>
    <n v="4.785636879476133"/>
    <n v="0.56214999687449174"/>
    <n v="-0.1682309024225839"/>
    <n v="5.880723695146358"/>
    <n v="1.2531789826231401"/>
    <x v="1"/>
    <x v="1"/>
    <x v="0"/>
    <x v="0"/>
    <x v="1"/>
    <x v="0"/>
  </r>
  <r>
    <x v="2"/>
    <s v="DOCN"/>
    <n v="2635"/>
    <n v="31.51"/>
    <n v="1.05"/>
    <n v="-2.2000000000000002"/>
    <n v="0.89"/>
    <n v="30.009523809523809"/>
    <n v="-14.322727272727272"/>
    <n v="-32.71"/>
    <n v="4.21"/>
    <n v="-8.08"/>
    <n v="35.40449438202247"/>
    <s v="NO"/>
    <n v="0.86507607570008305"/>
    <n v="-12.976496088360413"/>
    <n v="-9.9052830652236884E-2"/>
    <n v="0.36456444987228126"/>
    <n v="-9.8777780816911473"/>
    <n v="0.41648749520358264"/>
    <x v="0"/>
    <x v="1"/>
    <x v="0"/>
    <x v="0"/>
    <x v="1"/>
    <x v="0"/>
  </r>
  <r>
    <x v="2"/>
    <s v="GDS"/>
    <n v="5091"/>
    <n v="27.34"/>
    <n v="-1.02"/>
    <n v="15.83"/>
    <n v="-0.63"/>
    <n v="-26.803921568627452"/>
    <n v="1.7271004421983576"/>
    <n v="-3.52"/>
    <n v="0.97"/>
    <n v="3.28"/>
    <n v="-43.396825396825399"/>
    <s v="NO"/>
    <n v="-1.8214025544475376"/>
    <n v="-0.60377692821229978"/>
    <n v="0.34200088359605396"/>
    <n v="-0.63327193246029867"/>
    <n v="0.56050647719363711"/>
    <n v="-1.5034297548851214"/>
    <x v="0"/>
    <x v="0"/>
    <x v="0"/>
    <x v="0"/>
    <x v="0"/>
    <x v="0"/>
  </r>
  <r>
    <x v="2"/>
    <s v="KC"/>
    <n v="3722"/>
    <n v="13.95"/>
    <n v="-1.72"/>
    <n v="2.88"/>
    <n v="-1.1000000000000001"/>
    <n v="-8.1104651162790695"/>
    <n v="4.84375"/>
    <n v="-31.04"/>
    <n v="-3.14"/>
    <n v="3.4"/>
    <n v="-12.68181818181818"/>
    <s v="NO"/>
    <n v="-0.93746441359783639"/>
    <n v="1.7988301517016547"/>
    <n v="-7.3819541758963617E-2"/>
    <n v="-1.8990458619007007"/>
    <n v="0.67077004647763139"/>
    <n v="-0.75508858047092875"/>
    <x v="0"/>
    <x v="0"/>
    <x v="0"/>
    <x v="0"/>
    <x v="0"/>
    <x v="0"/>
  </r>
  <r>
    <x v="2"/>
    <s v="WIX"/>
    <n v="9266"/>
    <n v="184.89"/>
    <n v="8.6"/>
    <n v="-1.4"/>
    <n v="2.36"/>
    <n v="21.498837209302327"/>
    <n v="-132.06428571428572"/>
    <n v="-207.58"/>
    <n v="3.37"/>
    <n v="-24.28"/>
    <n v="78.343220338983045"/>
    <s v="NO"/>
    <n v="0.46264004093406907"/>
    <n v="-103.74278105731526"/>
    <n v="-2.7412954826083391"/>
    <n v="0.10586612852679764"/>
    <n v="-24.763359935030369"/>
    <n v="1.4626476470000342"/>
    <x v="0"/>
    <x v="1"/>
    <x v="0"/>
    <x v="1"/>
    <x v="1"/>
    <x v="0"/>
  </r>
  <r>
    <x v="3"/>
    <s v="AMKR"/>
    <n v="4353"/>
    <n v="20.05"/>
    <n v="0.91"/>
    <n v="16.82"/>
    <n v="1.28"/>
    <n v="22.032967032967033"/>
    <n v="1.1920332936979787"/>
    <n v="7.73"/>
    <n v="3.65"/>
    <n v="1.67"/>
    <n v="15.6640625"/>
    <s v="NO"/>
    <n v="-0.55260898851148033"/>
    <n v="-1.5083453050146547"/>
    <n v="0.25585601572162542"/>
    <n v="0.2520369929900631"/>
    <n v="0.51313920716486394"/>
    <n v="0.19038068139963474"/>
    <x v="0"/>
    <x v="0"/>
    <x v="0"/>
    <x v="0"/>
    <x v="0"/>
    <x v="0"/>
  </r>
  <r>
    <x v="3"/>
    <s v="CAMT"/>
    <n v="3173"/>
    <n v="68.61"/>
    <n v="2.4700000000000002"/>
    <n v="12.08"/>
    <n v="2.42"/>
    <n v="27.777327935222669"/>
    <n v="5.6796357615894042"/>
    <n v="23.12"/>
    <n v="8.0399999999999991"/>
    <n v="1.62"/>
    <n v="28.351239669421489"/>
    <s v="NO"/>
    <n v="-0.37277557988056897"/>
    <n v="0.39287185314843975"/>
    <n v="0.72907397223457082"/>
    <n v="1.0181197619895328"/>
    <n v="0.38919253876755411"/>
    <n v="0.48090785246808487"/>
    <x v="0"/>
    <x v="0"/>
    <x v="0"/>
    <x v="0"/>
    <x v="0"/>
    <x v="0"/>
  </r>
  <r>
    <x v="3"/>
    <s v="ENPH"/>
    <n v="5738"/>
    <n v="45.63"/>
    <n v="3.52"/>
    <n v="6.18"/>
    <n v="1.08"/>
    <n v="12.963068181818182"/>
    <n v="7.3834951456310689"/>
    <n v="17.13"/>
    <n v="3.01"/>
    <n v="3.83"/>
    <n v="42.25"/>
    <s v="NO"/>
    <n v="-0.83655194649993347"/>
    <n v="1.1147287286660483"/>
    <n v="0.54489102489782337"/>
    <n v="0.14035294466212211"/>
    <n v="5.8676352819286652"/>
    <n v="0.79917940068399862"/>
    <x v="0"/>
    <x v="0"/>
    <x v="0"/>
    <x v="0"/>
    <x v="1"/>
    <x v="0"/>
  </r>
  <r>
    <x v="3"/>
    <s v="FORM"/>
    <n v="2286"/>
    <n v="32.39"/>
    <n v="0.83"/>
    <n v="12.49"/>
    <n v="0.69"/>
    <n v="39.024096385542173"/>
    <n v="2.5932746196957566"/>
    <n v="5.74"/>
    <n v="2.5499999999999998"/>
    <n v="1.2"/>
    <n v="46.94202898550725"/>
    <s v="NO"/>
    <n v="-2.0683373120134251E-2"/>
    <n v="-0.91469556202261637"/>
    <n v="0.19466668931091963"/>
    <n v="6.0080034926414581E-2"/>
    <n v="-0.65195947576985203"/>
    <n v="0.90662346720307196"/>
    <x v="0"/>
    <x v="0"/>
    <x v="0"/>
    <x v="0"/>
    <x v="0"/>
    <x v="0"/>
  </r>
  <r>
    <x v="3"/>
    <s v="MKSI"/>
    <n v="5011"/>
    <n v="93.32"/>
    <n v="6.09"/>
    <n v="34.450000000000003"/>
    <n v="2.81"/>
    <n v="15.323481116584563"/>
    <n v="2.7088534107402027"/>
    <n v="7.93"/>
    <n v="3.66"/>
    <n v="3.7"/>
    <n v="33.209964412811388"/>
    <s v="NO"/>
    <n v="-0.76265667580605156"/>
    <n v="-0.86572946437344189"/>
    <n v="0.26200569676792745"/>
    <n v="0.25378205624518718"/>
    <n v="5.5453739440956591"/>
    <n v="0.59216913114712422"/>
    <x v="0"/>
    <x v="0"/>
    <x v="0"/>
    <x v="0"/>
    <x v="1"/>
    <x v="0"/>
  </r>
  <r>
    <x v="3"/>
    <s v="NVMI"/>
    <n v="5877"/>
    <n v="202.49"/>
    <n v="7.49"/>
    <n v="31.69"/>
    <n v="5.75"/>
    <n v="27.034712950600802"/>
    <n v="6.3897128431681915"/>
    <n v="21.9"/>
    <n v="9.2899999999999991"/>
    <n v="1.5"/>
    <n v="35.215652173913043"/>
    <s v="NO"/>
    <n v="-0.39602394227585341"/>
    <n v="0.69370302987927235"/>
    <n v="0.69156091785212803"/>
    <n v="1.2362526688800424"/>
    <n v="9.1720534614009364E-2"/>
    <n v="0.63809792866434589"/>
    <x v="0"/>
    <x v="0"/>
    <x v="0"/>
    <x v="0"/>
    <x v="0"/>
    <x v="0"/>
  </r>
  <r>
    <x v="3"/>
    <s v="ONTO"/>
    <n v="6114"/>
    <n v="99.19"/>
    <n v="4.33"/>
    <n v="39.11"/>
    <n v="4.0599999999999996"/>
    <n v="22.907621247113163"/>
    <n v="2.5361800051137817"/>
    <n v="11.01"/>
    <n v="5.81"/>
    <n v="1.1000000000000001"/>
    <n v="24.431034482758623"/>
    <s v="YES"/>
    <n v="-0.52522699573983433"/>
    <n v="-0.9388842600319931"/>
    <n v="0.35671078488097957"/>
    <n v="0.62897065609686365"/>
    <n v="-0.89985281256447214"/>
    <n v="0.39113799210591887"/>
    <x v="0"/>
    <x v="0"/>
    <x v="0"/>
    <x v="0"/>
    <x v="0"/>
    <x v="0"/>
  </r>
  <r>
    <x v="3"/>
    <s v="ALGM"/>
    <n v="3441"/>
    <n v="26.3"/>
    <n v="0.03"/>
    <n v="5.07"/>
    <n v="-0.35"/>
    <n v="876.66666666666674"/>
    <n v="5.1873767258382646"/>
    <n v="-6.29"/>
    <n v="1.28"/>
    <n v="1.55"/>
    <n v="-75.142857142857153"/>
    <s v="NO"/>
    <n v="26.202620000604544"/>
    <n v="0.18432144527984107"/>
    <n v="-0.17523662562415085"/>
    <n v="-0.16154299847434317"/>
    <n v="0.21566720301131967"/>
    <n v="-1.8890320299531089"/>
    <x v="1"/>
    <x v="0"/>
    <x v="0"/>
    <x v="0"/>
    <x v="0"/>
    <x v="0"/>
  </r>
  <r>
    <x v="3"/>
    <s v="AMBA"/>
    <n v="2166"/>
    <n v="60.66"/>
    <n v="0.56999999999999995"/>
    <n v="13.38"/>
    <n v="-2.84"/>
    <n v="106.42105263157895"/>
    <n v="4.5336322869955152"/>
    <n v="-20.89"/>
    <n v="-11.75"/>
    <n v="1.23"/>
    <n v="-21.359154929577464"/>
    <s v="NO"/>
    <n v="2.0892509745483663"/>
    <n v="-9.2643850348392398E-2"/>
    <n v="-0.6241633420042032"/>
    <n v="-2.4353604199010159"/>
    <n v="-0.57759147473146577"/>
    <n v="-0.65742419119187345"/>
    <x v="0"/>
    <x v="0"/>
    <x v="1"/>
    <x v="0"/>
    <x v="0"/>
    <x v="0"/>
  </r>
  <r>
    <x v="3"/>
    <s v="CRDO"/>
    <n v="8223"/>
    <n v="59.07"/>
    <n v="-0.15"/>
    <n v="3.64"/>
    <n v="0.03"/>
    <n v="-393.8"/>
    <n v="16.228021978021978"/>
    <n v="0.89"/>
    <n v="-0.36"/>
    <n v="1.1599999999999999"/>
    <n v="1969"/>
    <s v="NO"/>
    <n v="-13.570708156563361"/>
    <n v="4.8617999743676439"/>
    <n v="4.553692393809404E-2"/>
    <n v="-0.44773337231469179"/>
    <n v="-0.75111681048770029"/>
    <n v="44.920359343319021"/>
    <x v="1"/>
    <x v="1"/>
    <x v="0"/>
    <x v="0"/>
    <x v="0"/>
    <x v="1"/>
  </r>
  <r>
    <x v="3"/>
    <s v="CRUS"/>
    <n v="5137"/>
    <n v="107.24"/>
    <n v="8.56"/>
    <n v="36.94"/>
    <n v="5.5"/>
    <n v="12.528037383177569"/>
    <n v="2.9030860855441256"/>
    <n v="16.21"/>
    <n v="10.28"/>
    <n v="1.2"/>
    <n v="19.498181818181816"/>
    <s v="YES"/>
    <n v="-0.8501710544755916"/>
    <n v="-0.7834408711534987"/>
    <n v="0.51660249208483378"/>
    <n v="1.409013931137326"/>
    <n v="-0.65195947576985203"/>
    <n v="0.27817923770379099"/>
    <x v="0"/>
    <x v="0"/>
    <x v="0"/>
    <x v="0"/>
    <x v="0"/>
    <x v="0"/>
  </r>
  <r>
    <x v="3"/>
    <s v="LSCC"/>
    <n v="6680"/>
    <n v="55.88"/>
    <n v="0.73"/>
    <n v="5.14"/>
    <n v="0.37"/>
    <n v="76.547945205479451"/>
    <n v="10.8715953307393"/>
    <n v="7.39"/>
    <n v="3.78"/>
    <n v="1.1599999999999999"/>
    <n v="151.02702702702703"/>
    <s v="NO"/>
    <n v="1.1540411529086134"/>
    <n v="2.5924968618214832"/>
    <n v="0.2454015579429118"/>
    <n v="0.27472281530667608"/>
    <n v="-0.75111681048770029"/>
    <n v="3.2900945599336846"/>
    <x v="0"/>
    <x v="0"/>
    <x v="0"/>
    <x v="0"/>
    <x v="0"/>
    <x v="1"/>
  </r>
  <r>
    <x v="3"/>
    <s v="MTSI"/>
    <n v="8428"/>
    <n v="123.25"/>
    <n v="2.39"/>
    <n v="15.48"/>
    <n v="-1.43"/>
    <n v="51.56903765690376"/>
    <n v="7.9618863049095605"/>
    <n v="-9.49"/>
    <n v="2.89"/>
    <n v="1.6"/>
    <n v="-86.188811188811187"/>
    <s v="NO"/>
    <n v="0.37204953281857345"/>
    <n v="1.3597698623266239"/>
    <n v="-0.27363152236498423"/>
    <n v="0.11941218560063326"/>
    <n v="0.33961387140862997"/>
    <n v="-2.1419763798166693"/>
    <x v="0"/>
    <x v="0"/>
    <x v="0"/>
    <x v="0"/>
    <x v="0"/>
    <x v="0"/>
  </r>
  <r>
    <x v="3"/>
    <s v="OLED"/>
    <n v="6811"/>
    <n v="154.53"/>
    <n v="3.44"/>
    <n v="34.880000000000003"/>
    <n v="4.8099999999999996"/>
    <n v="44.92151162790698"/>
    <n v="4.4303325688073389"/>
    <n v="14.61"/>
    <n v="8.65"/>
    <n v="1.1200000000000001"/>
    <n v="32.126819126819129"/>
    <s v="NO"/>
    <n v="0.16394156657157433"/>
    <n v="-0.136407797368649"/>
    <n v="0.4674050437144171"/>
    <n v="1.1245686205521017"/>
    <n v="-0.850274145205548"/>
    <n v="0.56736588834588819"/>
    <x v="0"/>
    <x v="0"/>
    <x v="0"/>
    <x v="0"/>
    <x v="0"/>
    <x v="0"/>
  </r>
  <r>
    <x v="3"/>
    <s v="PI"/>
    <n v="2831"/>
    <n v="121.82"/>
    <n v="1.57"/>
    <n v="5.55"/>
    <n v="-0.08"/>
    <n v="77.592356687898075"/>
    <n v="21.949549549549548"/>
    <n v="-0.78"/>
    <n v="-0.54"/>
    <n v="2.99"/>
    <n v="-1522.7499999999998"/>
    <s v="NO"/>
    <n v="1.1867375799076296"/>
    <n v="7.2857817035252586"/>
    <n v="-5.8129127985283788E-3"/>
    <n v="-0.47914451090692523"/>
    <n v="3.7853312528538541"/>
    <n v="-35.038187465917169"/>
    <x v="0"/>
    <x v="1"/>
    <x v="0"/>
    <x v="0"/>
    <x v="1"/>
    <x v="1"/>
  </r>
  <r>
    <x v="3"/>
    <s v="POWI"/>
    <n v="2861"/>
    <n v="55.35"/>
    <n v="1.1200000000000001"/>
    <n v="13.19"/>
    <n v="0.56000000000000005"/>
    <n v="49.419642857142854"/>
    <n v="4.1963608794541321"/>
    <n v="4.29"/>
    <n v="1.36"/>
    <n v="1.1100000000000001"/>
    <n v="98.839285714285708"/>
    <s v="NO"/>
    <n v="0.30476041225116984"/>
    <n v="-0.23553221703493318"/>
    <n v="0.15008150172522949"/>
    <n v="-0.14758249243335056"/>
    <n v="-0.87506347888501002"/>
    <n v="2.0950330702442348"/>
    <x v="0"/>
    <x v="0"/>
    <x v="0"/>
    <x v="0"/>
    <x v="0"/>
    <x v="0"/>
  </r>
  <r>
    <x v="3"/>
    <s v="QRVO"/>
    <n v="6659"/>
    <n v="78.58"/>
    <n v="5.07"/>
    <n v="36.380000000000003"/>
    <n v="0.57999999999999996"/>
    <n v="15.499013806706113"/>
    <n v="2.1599780098955468"/>
    <n v="1.6"/>
    <n v="0.96"/>
    <n v="1.75"/>
    <n v="135.48275862068965"/>
    <s v="NO"/>
    <n v="-0.75716143577363715"/>
    <n v="-1.0982659551267833"/>
    <n v="6.7368291652466453E-2"/>
    <n v="-0.21738502263831366"/>
    <n v="0.71145387660056036"/>
    <n v="2.9341420682079145"/>
    <x v="0"/>
    <x v="0"/>
    <x v="0"/>
    <x v="0"/>
    <x v="0"/>
    <x v="1"/>
  </r>
  <r>
    <x v="3"/>
    <s v="RGTI"/>
    <n v="2655"/>
    <n v="9.8650000000000002"/>
    <n v="-0.33"/>
    <n v="0.45"/>
    <n v="-1.0900000000000001"/>
    <n v="-29.893939393939394"/>
    <n v="21.922222222222221"/>
    <n v="-170.2"/>
    <n v="-19.260000000000002"/>
    <n v="2.25"/>
    <n v="-9.0504587155963296"/>
    <s v="NO"/>
    <n v="-2.1782367548208943"/>
    <n v="7.2742042110951264"/>
    <n v="-5.2152077271210251"/>
    <n v="-3.7459029244991981"/>
    <n v="1.9509205605736626"/>
    <n v="-0.37556395996504494"/>
    <x v="0"/>
    <x v="1"/>
    <x v="1"/>
    <x v="1"/>
    <x v="0"/>
    <x v="0"/>
  </r>
  <r>
    <x v="3"/>
    <s v="RMBS"/>
    <n v="5464"/>
    <n v="56.67"/>
    <n v="2.1800000000000002"/>
    <n v="10.8"/>
    <n v="1.91"/>
    <n v="25.995412844036696"/>
    <n v="5.2472222222222218"/>
    <n v="19.260000000000002"/>
    <n v="10.210000000000001"/>
    <n v="1.19"/>
    <n v="29.670157068062828"/>
    <s v="NO"/>
    <n v="-0.42856035214531379"/>
    <n v="0.20967558156487345"/>
    <n v="0.61038512804094058"/>
    <n v="1.3967984883514577"/>
    <n v="-0.67674880944931404"/>
    <n v="0.51111010593891748"/>
    <x v="0"/>
    <x v="0"/>
    <x v="0"/>
    <x v="0"/>
    <x v="0"/>
    <x v="0"/>
  </r>
  <r>
    <x v="3"/>
    <s v="SITM"/>
    <n v="3943"/>
    <n v="204.43"/>
    <n v="-0.57999999999999996"/>
    <n v="29.65"/>
    <n v="-4.05"/>
    <n v="-352.46551724137936"/>
    <n v="6.8947723440134911"/>
    <n v="-13.3"/>
    <n v="-7.22"/>
    <n v="1.26"/>
    <n v="-50.476543209876546"/>
    <s v="NO"/>
    <n v="-12.276687628438196"/>
    <n v="0.90767648135380774"/>
    <n v="-0.39078294629703897"/>
    <n v="-1.6448467653298087"/>
    <n v="-0.50322347369307963"/>
    <n v="-1.324191300455996"/>
    <x v="1"/>
    <x v="0"/>
    <x v="0"/>
    <x v="0"/>
    <x v="0"/>
    <x v="0"/>
  </r>
  <r>
    <x v="3"/>
    <s v="SLAB"/>
    <n v="3529"/>
    <n v="133.55000000000001"/>
    <n v="-0.8"/>
    <n v="33.270000000000003"/>
    <n v="-5.93"/>
    <n v="-166.9375"/>
    <n v="4.0141268409978963"/>
    <n v="-16.690000000000001"/>
    <n v="-7.76"/>
    <n v="1.1299999999999999"/>
    <n v="-22.521079258010122"/>
    <s v="NO"/>
    <n v="-6.4685331087681917"/>
    <n v="-0.31273746932572749"/>
    <n v="-0.4950200400318594"/>
    <n v="-1.7390801811065089"/>
    <n v="-0.82548481152608644"/>
    <n v="-0.68403141702527304"/>
    <x v="1"/>
    <x v="0"/>
    <x v="0"/>
    <x v="0"/>
    <x v="0"/>
    <x v="0"/>
  </r>
  <r>
    <x v="3"/>
    <s v="SMTC"/>
    <n v="2977"/>
    <n v="39.54"/>
    <n v="0.61"/>
    <n v="6.29"/>
    <n v="-2.2599999999999998"/>
    <n v="64.819672131147541"/>
    <n v="6.2861685214626393"/>
    <n v="-137.68"/>
    <n v="2.79"/>
    <n v="2.62"/>
    <n v="-17.495575221238941"/>
    <s v="NO"/>
    <n v="0.78687492498532052"/>
    <n v="0.64983545416028188"/>
    <n v="-4.2152695889923057"/>
    <n v="0.10196155304939247"/>
    <n v="2.8681259067137583"/>
    <n v="-0.5689510132838328"/>
    <x v="0"/>
    <x v="0"/>
    <x v="0"/>
    <x v="1"/>
    <x v="0"/>
    <x v="0"/>
  </r>
  <r>
    <x v="3"/>
    <s v="SYNA"/>
    <n v="2282"/>
    <n v="65.900000000000006"/>
    <n v="0.72"/>
    <n v="35.119999999999997"/>
    <n v="4.2"/>
    <n v="91.527777777777786"/>
    <n v="1.8764236902050118"/>
    <n v="13.01"/>
    <n v="-1.47"/>
    <n v="1.84"/>
    <n v="15.690476190476192"/>
    <s v="NO"/>
    <n v="1.62300095505805"/>
    <n v="-1.2183965463999922"/>
    <n v="0.41820759534400043"/>
    <n v="-0.64143539363346447"/>
    <n v="0.93455787971571902"/>
    <n v="0.19098553578678878"/>
    <x v="0"/>
    <x v="0"/>
    <x v="0"/>
    <x v="0"/>
    <x v="0"/>
    <x v="0"/>
  </r>
  <r>
    <x v="4"/>
    <s v="ACIW"/>
    <n v="5772"/>
    <n v="49.16"/>
    <n v="2.97"/>
    <n v="13.53"/>
    <n v="1.91"/>
    <n v="16.55218855218855"/>
    <n v="3.6334072431633406"/>
    <n v="14.78"/>
    <n v="6.14"/>
    <n v="2.12"/>
    <n v="25.738219895287958"/>
    <s v="NO"/>
    <n v="-0.36688259244671045"/>
    <n v="-0.65613858181475537"/>
    <n v="0.19134852745491054"/>
    <n v="0.83628113537192972"/>
    <n v="9.3328404599168316E-2"/>
    <n v="0.62819784747428475"/>
    <x v="0"/>
    <x v="0"/>
    <x v="0"/>
    <x v="0"/>
    <x v="0"/>
    <x v="0"/>
  </r>
  <r>
    <x v="4"/>
    <s v="AGYS"/>
    <n v="2194"/>
    <n v="84.67"/>
    <n v="2.02"/>
    <n v="9.27"/>
    <n v="0.79"/>
    <n v="41.915841584158414"/>
    <n v="9.1337648327939593"/>
    <n v="9.14"/>
    <n v="3.8"/>
    <n v="1.73"/>
    <n v="107.17721518987341"/>
    <s v="NO"/>
    <n v="0.54495837505448341"/>
    <n v="0.44822996288116629"/>
    <n v="0.1494635951995181"/>
    <n v="0.51532474527770722"/>
    <n v="-0.36740675734609468"/>
    <n v="1.9604312755903694"/>
    <x v="0"/>
    <x v="0"/>
    <x v="0"/>
    <x v="0"/>
    <x v="0"/>
    <x v="0"/>
  </r>
  <r>
    <x v="4"/>
    <s v="AI"/>
    <n v="2959"/>
    <n v="23.99"/>
    <n v="-0.28000000000000003"/>
    <n v="6.5"/>
    <n v="-2.23"/>
    <n v="-85.678571428571416"/>
    <n v="3.6907692307692304"/>
    <n v="-32.07"/>
    <n v="-18.739999999999998"/>
    <n v="1.23"/>
    <n v="-10.757847533632287"/>
    <s v="NO"/>
    <n v="-4.0421495175911568"/>
    <n v="-0.64462137157144173"/>
    <n v="-0.15657861370912055"/>
    <n v="-2.5762808242623669"/>
    <n v="-0.95809286240412406"/>
    <n v="3.1170823163502007E-2"/>
    <x v="1"/>
    <x v="0"/>
    <x v="0"/>
    <x v="0"/>
    <x v="0"/>
    <x v="0"/>
  </r>
  <r>
    <x v="4"/>
    <s v="ALKT"/>
    <n v="2885"/>
    <n v="31.19"/>
    <n v="0.04"/>
    <n v="3.24"/>
    <n v="-0.37"/>
    <n v="779.75"/>
    <n v="9.6265432098765427"/>
    <n v="-11.33"/>
    <n v="-4.4000000000000004"/>
    <n v="2.5099999999999998"/>
    <n v="-84.297297297297305"/>
    <s v="NO"/>
    <n v="27.070609550668213"/>
    <n v="0.54717060997332334"/>
    <n v="-2.554944386985958E-3"/>
    <n v="-0.60939422855674763"/>
    <n v="0.55406356654443079"/>
    <n v="-1.1718365679030205"/>
    <x v="1"/>
    <x v="0"/>
    <x v="0"/>
    <x v="0"/>
    <x v="0"/>
    <x v="0"/>
  </r>
  <r>
    <x v="4"/>
    <s v="ALRM"/>
    <n v="2654"/>
    <n v="60.68"/>
    <n v="3.89"/>
    <n v="14.64"/>
    <n v="2.29"/>
    <n v="15.598971722365038"/>
    <n v="4.1448087431693983"/>
    <n v="16.38"/>
    <n v="3.91"/>
    <n v="2.81"/>
    <n v="26.497816593886462"/>
    <s v="NO"/>
    <n v="-0.40115140046301329"/>
    <n v="-0.55345876125513804"/>
    <n v="0.20323077774012827"/>
    <n v="0.53041243882914513"/>
    <n v="0.90847522957924876"/>
    <n v="0.6406238371380697"/>
    <x v="0"/>
    <x v="0"/>
    <x v="0"/>
    <x v="0"/>
    <x v="0"/>
    <x v="0"/>
  </r>
  <r>
    <x v="4"/>
    <s v="APPF"/>
    <n v="7729"/>
    <n v="216.7"/>
    <n v="4.91"/>
    <n v="12.99"/>
    <n v="5.36"/>
    <n v="44.134419551934826"/>
    <n v="16.68206312548114"/>
    <n v="49.12"/>
    <n v="16.940000000000001"/>
    <n v="1.22"/>
    <n v="40.429104477611936"/>
    <s v="NO"/>
    <n v="0.62471779606785949"/>
    <n v="1.9637865543546071"/>
    <n v="0.44637132420139558"/>
    <n v="2.3176183204221874"/>
    <n v="-0.96990658450528466"/>
    <n v="0.86852114049099582"/>
    <x v="0"/>
    <x v="0"/>
    <x v="0"/>
    <x v="0"/>
    <x v="0"/>
    <x v="0"/>
  </r>
  <r>
    <x v="4"/>
    <s v="ASAN"/>
    <n v="3939"/>
    <n v="18.23"/>
    <n v="0.01"/>
    <n v="0.98"/>
    <n v="-1.1100000000000001"/>
    <n v="1823"/>
    <n v="18.602040816326532"/>
    <n v="-92.26"/>
    <n v="-17.23"/>
    <n v="3.92"/>
    <n v="-16.423423423423422"/>
    <s v="NO"/>
    <n v="64.576172654948678"/>
    <n v="2.3492820305550839"/>
    <n v="-0.60357401662615429"/>
    <n v="-2.3691679400562666"/>
    <n v="2.2197983828080736"/>
    <n v="-6.1510447800189612E-2"/>
    <x v="1"/>
    <x v="0"/>
    <x v="0"/>
    <x v="1"/>
    <x v="0"/>
    <x v="0"/>
  </r>
  <r>
    <x v="4"/>
    <s v="AVPT"/>
    <n v="3489"/>
    <n v="19.989999999999998"/>
    <n v="0.46"/>
    <n v="1.39"/>
    <n v="-0.16"/>
    <n v="43.45652173913043"/>
    <n v="14.381294964028777"/>
    <n v="-11.76"/>
    <n v="0.93"/>
    <n v="1.93"/>
    <n v="-124.93749999999999"/>
    <s v="NO"/>
    <n v="0.60034689820407894"/>
    <n v="1.5018355003111385"/>
    <n v="-5.7482991511382149E-3"/>
    <n v="0.12167310443564808"/>
    <n v="-0.13113231532288303"/>
    <n v="-1.8366561223450661"/>
    <x v="0"/>
    <x v="0"/>
    <x v="0"/>
    <x v="0"/>
    <x v="0"/>
    <x v="0"/>
  </r>
  <r>
    <x v="4"/>
    <s v="BILL"/>
    <n v="4733"/>
    <n v="47.73"/>
    <n v="2.72"/>
    <n v="37.369999999999997"/>
    <n v="0.39"/>
    <n v="17.547794117647058"/>
    <n v="1.2772277227722773"/>
    <n v="2.11"/>
    <n v="-0.49"/>
    <n v="2.54"/>
    <n v="122.38461538461537"/>
    <s v="NO"/>
    <n v="-0.33108987990199257"/>
    <n v="-1.1292151964847044"/>
    <n v="9.7255958008842805E-2"/>
    <n v="-7.309530322836727E-2"/>
    <n v="0.58950473284791283"/>
    <n v="2.2092040756585614"/>
    <x v="0"/>
    <x v="0"/>
    <x v="0"/>
    <x v="0"/>
    <x v="0"/>
    <x v="0"/>
  </r>
  <r>
    <x v="4"/>
    <s v="BL"/>
    <n v="3196"/>
    <n v="55.16"/>
    <n v="2.64"/>
    <n v="7.11"/>
    <n v="1.45"/>
    <n v="20.893939393939391"/>
    <n v="7.7580872011251749"/>
    <n v="43.34"/>
    <n v="0.65"/>
    <n v="4.09"/>
    <n v="38.04137931034483"/>
    <s v="NO"/>
    <n v="-0.21079362989856856"/>
    <n v="0.17201972031058926"/>
    <n v="0.40344669504604669"/>
    <n v="8.3268066304715477E-2"/>
    <n v="2.4206316585278036"/>
    <n v="0.82946113890967965"/>
    <x v="0"/>
    <x v="0"/>
    <x v="0"/>
    <x v="0"/>
    <x v="0"/>
    <x v="0"/>
  </r>
  <r>
    <x v="4"/>
    <s v="BLKB"/>
    <n v="3049"/>
    <n v="63.66"/>
    <n v="3.33"/>
    <n v="0.7"/>
    <n v="-5.71"/>
    <n v="19.117117117117115"/>
    <n v="90.94285714285715"/>
    <n v="-99.98"/>
    <n v="5.5"/>
    <n v="63.37"/>
    <n v="-11.148861646234675"/>
    <s v="NO"/>
    <n v="-0.2746716265709378"/>
    <n v="16.87395988045661"/>
    <n v="-0.66090587425232972"/>
    <n v="0.74849819107265514"/>
    <n v="72.452376274207751"/>
    <n v="2.4774353391376978E-2"/>
    <x v="0"/>
    <x v="1"/>
    <x v="0"/>
    <x v="1"/>
    <x v="1"/>
    <x v="0"/>
  </r>
  <r>
    <x v="4"/>
    <s v="BOX"/>
    <n v="4452"/>
    <n v="31.72"/>
    <n v="1.99"/>
    <n v="-2.06"/>
    <n v="1.36"/>
    <n v="15.939698492462311"/>
    <n v="-15.398058252427184"/>
    <n v="189.4"/>
    <n v="3.42"/>
    <n v="-5.62"/>
    <n v="23.323529411764703"/>
    <s v="NO"/>
    <n v="-0.38890203609474017"/>
    <n v="-4.4772995718600264"/>
    <n v="1.4881476179578583"/>
    <n v="0.46320362210001298"/>
    <n v="-9.0504925016991251"/>
    <n v="0.58869672925607719"/>
    <x v="0"/>
    <x v="1"/>
    <x v="0"/>
    <x v="1"/>
    <x v="1"/>
    <x v="0"/>
  </r>
  <r>
    <x v="4"/>
    <s v="BRZE"/>
    <n v="3413"/>
    <n v="36.79"/>
    <n v="0.19"/>
    <n v="4.57"/>
    <n v="-1.02"/>
    <n v="193.63157894736841"/>
    <n v="8.0503282275711161"/>
    <n v="-22.64"/>
    <n v="-9.08"/>
    <n v="1.83"/>
    <n v="-36.068627450980394"/>
    <s v="NO"/>
    <n v="5.9992446550336984"/>
    <n v="0.2306962321222914"/>
    <n v="-8.6547601090618653E-2"/>
    <n v="-1.2513070087451925"/>
    <n v="-0.24926953633448873"/>
    <n v="-0.38287980424916596"/>
    <x v="1"/>
    <x v="0"/>
    <x v="0"/>
    <x v="0"/>
    <x v="0"/>
    <x v="0"/>
  </r>
  <r>
    <x v="4"/>
    <s v="BTDR"/>
    <n v="2233"/>
    <n v="14.43"/>
    <n v="-5.45"/>
    <n v="1.44"/>
    <n v="-4.3600000000000003"/>
    <n v="-2.6477064220183486"/>
    <n v="10.020833333333334"/>
    <n v="-196.71"/>
    <n v="-33.19"/>
    <n v="5.63"/>
    <n v="-3.3096330275229353"/>
    <s v="NO"/>
    <n v="-1.0571321707363577"/>
    <n v="0.62633666467690385"/>
    <n v="-1.3792621680580228"/>
    <n v="-4.558255113519424"/>
    <n v="4.2399448621065341"/>
    <n v="0.15301368614240882"/>
    <x v="0"/>
    <x v="0"/>
    <x v="1"/>
    <x v="1"/>
    <x v="1"/>
    <x v="0"/>
  </r>
  <r>
    <x v="4"/>
    <s v="CCCS"/>
    <n v="5901"/>
    <n v="9.0500000000000007"/>
    <n v="0.38"/>
    <n v="3.18"/>
    <n v="0.04"/>
    <n v="23.815789473684212"/>
    <n v="2.8459119496855347"/>
    <n v="1.64"/>
    <n v="1.78"/>
    <n v="1.59"/>
    <n v="226.25"/>
    <s v="NO"/>
    <n v="-0.10575108731805925"/>
    <n v="-0.81425285294005811"/>
    <n v="9.3765546987560108E-2"/>
    <n v="0.23825982733312204"/>
    <n v="-0.53279886676234278"/>
    <n v="3.9083033450960039"/>
    <x v="0"/>
    <x v="0"/>
    <x v="0"/>
    <x v="0"/>
    <x v="0"/>
    <x v="1"/>
  </r>
  <r>
    <x v="4"/>
    <s v="CFLT"/>
    <n v="6954"/>
    <n v="23.12"/>
    <n v="0.02"/>
    <n v="3.02"/>
    <n v="-0.98"/>
    <n v="1156"/>
    <n v="7.6556291390728477"/>
    <n v="-34.18"/>
    <n v="-9.9499999999999993"/>
    <n v="2.63"/>
    <n v="-23.591836734693878"/>
    <s v="NO"/>
    <n v="40.597058741164759"/>
    <n v="0.15144806491596394"/>
    <n v="-0.17224833127275138"/>
    <n v="-1.3706369486520187"/>
    <n v="0.69582823175835795"/>
    <n v="-0.1787761361265503"/>
    <x v="1"/>
    <x v="0"/>
    <x v="0"/>
    <x v="0"/>
    <x v="0"/>
    <x v="0"/>
  </r>
  <r>
    <x v="4"/>
    <s v="CLBT"/>
    <n v="4569"/>
    <n v="20.12"/>
    <n v="0.57999999999999996"/>
    <n v="1.43"/>
    <n v="-1.35"/>
    <n v="34.689655172413801"/>
    <n v="14.069930069930072"/>
    <n v="-152.88"/>
    <n v="5.81"/>
    <n v="2.06"/>
    <n v="-14.903703703703703"/>
    <s v="NO"/>
    <n v="0.2851719475740313"/>
    <n v="1.4393192748909147"/>
    <n v="-1.0537627743073401"/>
    <n v="0.79101805471761621"/>
    <n v="2.244607199220474E-2"/>
    <n v="-3.6649858537585768E-2"/>
    <x v="0"/>
    <x v="0"/>
    <x v="0"/>
    <x v="1"/>
    <x v="0"/>
    <x v="0"/>
  </r>
  <r>
    <x v="4"/>
    <s v="CLSK"/>
    <n v="2255"/>
    <n v="10"/>
    <n v="-1.66"/>
    <n v="7.2"/>
    <n v="0.27"/>
    <n v="-6.024096385542169"/>
    <n v="1.3888888888888888"/>
    <n v="5.3"/>
    <n v="8.0500000000000007"/>
    <n v="1.37"/>
    <n v="37.037037037037038"/>
    <s v="NO"/>
    <n v="-1.1785157382816265"/>
    <n v="-1.106795730565665"/>
    <n v="0.12094619451499561"/>
    <n v="1.0982583597650772"/>
    <n v="-0.79270075298787568"/>
    <n v="0.81303143781954723"/>
    <x v="0"/>
    <x v="0"/>
    <x v="0"/>
    <x v="0"/>
    <x v="0"/>
    <x v="0"/>
  </r>
  <r>
    <x v="4"/>
    <s v="CORZ"/>
    <n v="2625"/>
    <n v="10.24"/>
    <n v="-0.2"/>
    <n v="-2.8"/>
    <n v="-4.3899999999999997"/>
    <n v="-51.199999999999996"/>
    <n v="-3.6571428571428575"/>
    <n v="185.59"/>
    <n v="-0.81"/>
    <n v="-1.95"/>
    <n v="-2.3325740318906609"/>
    <s v="NO"/>
    <n v="-2.8026208940975295"/>
    <n v="-2.1199441750159358"/>
    <n v="1.4598530094661837"/>
    <n v="-0.11698677537800453"/>
    <n v="-4.7148564905731911"/>
    <n v="0.16899706917058063"/>
    <x v="1"/>
    <x v="0"/>
    <x v="0"/>
    <x v="1"/>
    <x v="1"/>
    <x v="0"/>
  </r>
  <r>
    <x v="4"/>
    <s v="CWAN"/>
    <n v="6197"/>
    <n v="24.31"/>
    <n v="0.37"/>
    <n v="4.5999999999999996"/>
    <n v="1.71"/>
    <n v="65.702702702702695"/>
    <n v="5.284782608695652"/>
    <n v="55.82"/>
    <n v="1.89"/>
    <n v="1.1499999999999999"/>
    <n v="14.216374269005847"/>
    <s v="NO"/>
    <n v="1.4001125765731204"/>
    <n v="-0.32457341001251838"/>
    <n v="0.49612824727074478"/>
    <n v="0.25334752088455986"/>
    <n v="-1.0526026392134087"/>
    <n v="0.43971580835528457"/>
    <x v="0"/>
    <x v="0"/>
    <x v="0"/>
    <x v="0"/>
    <x v="0"/>
    <x v="0"/>
  </r>
  <r>
    <x v="4"/>
    <s v="DBX"/>
    <n v="8467"/>
    <n v="29.7"/>
    <n v="2.74"/>
    <n v="-2.54"/>
    <n v="1.4"/>
    <n v="10.839416058394159"/>
    <n v="-11.69291338582677"/>
    <n v="-98.52"/>
    <n v="10.57"/>
    <n v="-4.42"/>
    <n v="21.214285714285715"/>
    <s v="NO"/>
    <n v="-0.57226073696279312"/>
    <n v="-3.7333760400647318"/>
    <n v="-0.65006332086706842"/>
    <n v="1.4439037029434705"/>
    <n v="-7.632845849559855"/>
    <n v="0.55419231338429276"/>
    <x v="0"/>
    <x v="1"/>
    <x v="0"/>
    <x v="1"/>
    <x v="1"/>
    <x v="0"/>
  </r>
  <r>
    <x v="4"/>
    <s v="DSGX"/>
    <n v="9176"/>
    <n v="114.01"/>
    <n v="2.4900000000000002"/>
    <n v="16.18"/>
    <n v="1.64"/>
    <n v="45.787148594377506"/>
    <n v="7.0463535228677383"/>
    <n v="10.92"/>
    <n v="7.55"/>
    <n v="1.19"/>
    <n v="69.518292682926841"/>
    <s v="NO"/>
    <n v="0.68413455465459416"/>
    <n v="2.9116959233736032E-2"/>
    <n v="0.16268259864182283"/>
    <n v="1.0296779345312688"/>
    <n v="-1.0053477508087665"/>
    <n v="1.3443814919565207"/>
    <x v="0"/>
    <x v="0"/>
    <x v="0"/>
    <x v="0"/>
    <x v="0"/>
    <x v="0"/>
  </r>
  <r>
    <x v="4"/>
    <s v="DV"/>
    <n v="2200"/>
    <n v="14.69"/>
    <n v="0.78"/>
    <n v="6.49"/>
    <n v="0.32"/>
    <n v="18.833333333333332"/>
    <n v="2.263482280431433"/>
    <n v="5.21"/>
    <n v="4.09"/>
    <n v="1.18"/>
    <n v="45.90625"/>
    <s v="NO"/>
    <n v="-0.28487385097608914"/>
    <n v="-0.9311937964588004"/>
    <n v="0.12027781793645211"/>
    <n v="0.55510139191331598"/>
    <n v="-1.017161472909927"/>
    <n v="0.95811994176779458"/>
    <x v="0"/>
    <x v="0"/>
    <x v="0"/>
    <x v="0"/>
    <x v="0"/>
    <x v="0"/>
  </r>
  <r>
    <x v="4"/>
    <s v="ESTC"/>
    <n v="8825"/>
    <n v="93.5"/>
    <n v="2.31"/>
    <n v="8.23"/>
    <n v="-1.3"/>
    <n v="40.476190476190474"/>
    <n v="11.360874848116646"/>
    <n v="-16.95"/>
    <n v="-2.39"/>
    <n v="2.71"/>
    <n v="-71.92307692307692"/>
    <s v="NO"/>
    <n v="0.49320191641270161"/>
    <n v="0.89539184398075511"/>
    <n v="-4.429134851381316E-2"/>
    <n v="-0.33370091911683852"/>
    <n v="0.7903380085676428"/>
    <n v="-0.969410813879658"/>
    <x v="0"/>
    <x v="0"/>
    <x v="0"/>
    <x v="0"/>
    <x v="0"/>
    <x v="0"/>
  </r>
  <r>
    <x v="4"/>
    <s v="FRSH"/>
    <n v="4195"/>
    <n v="15.98"/>
    <n v="0.53"/>
    <n v="3.56"/>
    <n v="-0.24"/>
    <n v="30.150943396226413"/>
    <n v="4.48876404494382"/>
    <n v="-6.85"/>
    <n v="-4.3499999999999996"/>
    <n v="1.45"/>
    <n v="-66.583333333333343"/>
    <s v="NO"/>
    <n v="0.1220021024420524"/>
    <n v="-0.48439899379980539"/>
    <n v="3.0715356411623634E-2"/>
    <n v="-0.60253618603336667"/>
    <n v="-0.69819097617859116"/>
    <n v="-0.8820597251034199"/>
    <x v="0"/>
    <x v="0"/>
    <x v="0"/>
    <x v="0"/>
    <x v="0"/>
    <x v="0"/>
  </r>
  <r>
    <x v="4"/>
    <s v="IDCC"/>
    <n v="5512"/>
    <n v="222.4"/>
    <n v="4.75"/>
    <n v="36.07"/>
    <n v="12.66"/>
    <n v="46.821052631578951"/>
    <n v="6.1657887441086778"/>
    <n v="50.29"/>
    <n v="15.78"/>
    <n v="1.99"/>
    <n v="17.567140600315955"/>
    <s v="NO"/>
    <n v="0.72130412389593523"/>
    <n v="-0.14768391732417097"/>
    <n v="0.45506021972246108"/>
    <n v="2.1585117338797519"/>
    <n v="-6.0249982715919435E-2"/>
    <n v="0.49452987992173497"/>
    <x v="0"/>
    <x v="0"/>
    <x v="0"/>
    <x v="0"/>
    <x v="0"/>
    <x v="0"/>
  </r>
  <r>
    <x v="4"/>
    <s v="INFA"/>
    <n v="5758"/>
    <n v="19.47"/>
    <n v="1.35"/>
    <n v="7.6"/>
    <n v="0.03"/>
    <n v="14.422222222222221"/>
    <n v="2.5618421052631577"/>
    <n v="0.44"/>
    <n v="1.66"/>
    <n v="2.29"/>
    <n v="649"/>
    <s v="NO"/>
    <n v="-0.44345636344938943"/>
    <n v="-0.87128874480064633"/>
    <n v="8.4853859273646817E-2"/>
    <n v="0.22180052527700805"/>
    <n v="0.29416168031889822"/>
    <n v="10.823929940179008"/>
    <x v="0"/>
    <x v="0"/>
    <x v="0"/>
    <x v="0"/>
    <x v="0"/>
    <x v="1"/>
  </r>
  <r>
    <x v="4"/>
    <s v="INTA"/>
    <n v="4241"/>
    <n v="56.61"/>
    <n v="1.1399999999999999"/>
    <n v="5.91"/>
    <n v="-0.3"/>
    <n v="49.65789473684211"/>
    <n v="9.5786802030456855"/>
    <n v="-5.29"/>
    <n v="-2.06"/>
    <n v="1.71"/>
    <n v="-188.70000000000002"/>
    <s v="NO"/>
    <n v="0.82329057066883471"/>
    <n v="0.53756061674338962"/>
    <n v="4.2300550439710899E-2"/>
    <n v="-0.28843783846252508"/>
    <n v="-0.39103420154841589"/>
    <n v="-2.8797256451575564"/>
    <x v="0"/>
    <x v="0"/>
    <x v="0"/>
    <x v="0"/>
    <x v="0"/>
    <x v="0"/>
  </r>
  <r>
    <x v="4"/>
    <s v="KVYO"/>
    <n v="9267"/>
    <n v="37.5"/>
    <n v="0.56000000000000005"/>
    <n v="3.79"/>
    <n v="-0.17"/>
    <n v="66.964285714285708"/>
    <n v="9.8944591029023741"/>
    <n v="-4.74"/>
    <n v="-4.45"/>
    <n v="1.23"/>
    <n v="-220.58823529411762"/>
    <s v="NO"/>
    <n v="1.4454673632994228"/>
    <n v="0.60096309165481265"/>
    <n v="4.638507397525448E-2"/>
    <n v="-0.61625227108012837"/>
    <n v="-0.95809286240412406"/>
    <n v="-3.401374676666165"/>
    <x v="0"/>
    <x v="0"/>
    <x v="0"/>
    <x v="0"/>
    <x v="0"/>
    <x v="1"/>
  </r>
  <r>
    <x v="4"/>
    <s v="LIF"/>
    <n v="3427"/>
    <n v="59.62"/>
    <n v="0.13"/>
    <n v="1.58"/>
    <n v="-0.02"/>
    <n v="458.61538461538458"/>
    <n v="37.734177215189867"/>
    <n v="-1.5"/>
    <n v="-1.28"/>
    <n v="1.23"/>
    <n v="-2981"/>
    <s v="NO"/>
    <n v="15.525596771107672"/>
    <n v="6.1906558480627387"/>
    <n v="7.0446630802820348E-2"/>
    <n v="-0.18145237509778425"/>
    <n v="-0.95809286240412406"/>
    <n v="-48.558032307369913"/>
    <x v="1"/>
    <x v="1"/>
    <x v="0"/>
    <x v="0"/>
    <x v="0"/>
    <x v="1"/>
  </r>
  <r>
    <x v="4"/>
    <s v="MARA"/>
    <n v="4691"/>
    <n v="16.37"/>
    <n v="-6.03"/>
    <n v="12.13"/>
    <n v="1.72"/>
    <n v="-2.714759535655058"/>
    <n v="1.3495465787304204"/>
    <n v="18.809999999999999"/>
    <n v="4.92"/>
    <n v="1.65"/>
    <n v="9.5174418604651176"/>
    <s v="NO"/>
    <n v="-1.0595427768085743"/>
    <n v="-1.1146949278645086"/>
    <n v="0.22127694536080264"/>
    <n v="0.66894489780143762"/>
    <n v="-0.46191653415537948"/>
    <n v="0.36284753648538109"/>
    <x v="0"/>
    <x v="0"/>
    <x v="0"/>
    <x v="0"/>
    <x v="0"/>
    <x v="0"/>
  </r>
  <r>
    <x v="4"/>
    <s v="NCNO"/>
    <n v="2659"/>
    <n v="23.91"/>
    <n v="0.46"/>
    <n v="9.39"/>
    <n v="-0.33"/>
    <n v="51.978260869565219"/>
    <n v="2.5463258785942489"/>
    <n v="-3.07"/>
    <n v="-0.23"/>
    <n v="1.48"/>
    <n v="-72.454545454545453"/>
    <s v="NO"/>
    <n v="0.90670934700804562"/>
    <n v="-0.87440411182656819"/>
    <n v="5.8787172710450468E-2"/>
    <n v="-3.7433482106786993E-2"/>
    <n v="-0.66274980987510934"/>
    <n v="-0.97810493075883831"/>
    <x v="0"/>
    <x v="0"/>
    <x v="0"/>
    <x v="0"/>
    <x v="0"/>
    <x v="0"/>
  </r>
  <r>
    <x v="4"/>
    <s v="OTEX"/>
    <n v="6968"/>
    <n v="28.19"/>
    <n v="2.66"/>
    <n v="16.059999999999999"/>
    <n v="2.4500000000000002"/>
    <n v="10.597744360902256"/>
    <n v="1.7552926525529267"/>
    <n v="15.87"/>
    <n v="4.16"/>
    <n v="3.33"/>
    <n v="11.506122448979591"/>
    <s v="NO"/>
    <n v="-0.58094900257583049"/>
    <n v="-1.0332287333923167"/>
    <n v="0.1994433104617151"/>
    <n v="0.56470265144604914"/>
    <n v="1.5227887788395993"/>
    <n v="0.39537970057067023"/>
    <x v="0"/>
    <x v="0"/>
    <x v="0"/>
    <x v="0"/>
    <x v="0"/>
    <x v="0"/>
  </r>
  <r>
    <x v="4"/>
    <s v="PCOR"/>
    <n v="9617"/>
    <n v="72.400000000000006"/>
    <n v="0.76"/>
    <n v="7.92"/>
    <n v="-0.86"/>
    <n v="95.26315789473685"/>
    <n v="9.1414141414141419"/>
    <n v="-10.78"/>
    <n v="-4.8899999999999997"/>
    <n v="1.65"/>
    <n v="-84.186046511627922"/>
    <s v="NO"/>
    <n v="2.4628315007006951"/>
    <n v="0.44976580045011394"/>
    <n v="1.529579148557635E-3"/>
    <n v="-0.67660304528587956"/>
    <n v="-0.46191653415537948"/>
    <n v="-1.1700166533149683"/>
    <x v="0"/>
    <x v="0"/>
    <x v="0"/>
    <x v="0"/>
    <x v="0"/>
    <x v="0"/>
  </r>
  <r>
    <x v="4"/>
    <s v="PEGA"/>
    <n v="7919"/>
    <n v="98.18"/>
    <n v="4.21"/>
    <n v="7.14"/>
    <n v="2.14"/>
    <n v="23.320665083135395"/>
    <n v="13.750700280112046"/>
    <n v="39.29"/>
    <n v="12.16"/>
    <n v="2.16"/>
    <n v="45.878504672897193"/>
    <s v="NO"/>
    <n v="-0.12355115352864834"/>
    <n v="1.3752239260594954"/>
    <n v="0.37336974901158931"/>
    <n v="1.6619894551869807"/>
    <n v="0.1405832930038107"/>
    <n v="0.95766606519298336"/>
    <x v="0"/>
    <x v="0"/>
    <x v="0"/>
    <x v="0"/>
    <x v="0"/>
    <x v="0"/>
  </r>
  <r>
    <x v="4"/>
    <s v="PONY"/>
    <n v="5294"/>
    <n v="17.95"/>
    <n v="-1.07"/>
    <n v="2.72"/>
    <n v="-2.4"/>
    <n v="-16.775700934579437"/>
    <n v="6.5992647058823524"/>
    <n v="-33.06"/>
    <n v="-19.850000000000001"/>
    <n v="1.1000000000000001"/>
    <n v="-7.479166666666667"/>
    <s v="NO"/>
    <n v="-1.5650433998068469"/>
    <n v="-6.0650081930060412E-2"/>
    <n v="-0.16393075607309901"/>
    <n v="-2.7285293682814218"/>
    <n v="-1.1116712497192116"/>
    <n v="8.480567260259661E-2"/>
    <x v="0"/>
    <x v="0"/>
    <x v="1"/>
    <x v="0"/>
    <x v="0"/>
    <x v="0"/>
  </r>
  <r>
    <x v="4"/>
    <s v="QBTS"/>
    <n v="2007"/>
    <n v="10.73"/>
    <n v="-0.23"/>
    <n v="0.23"/>
    <n v="-0.75"/>
    <n v="-46.652173913043477"/>
    <n v="46.652173913043477"/>
    <n v="-753.98"/>
    <n v="-37.24"/>
    <n v="3.19"/>
    <n v="-14.306666666666667"/>
    <s v="NO"/>
    <n v="-2.639123383154188"/>
    <n v="7.9812221656742874"/>
    <n v="-5.5177756783350684"/>
    <n v="-5.1137565579132715"/>
    <n v="1.3573966694233508"/>
    <n v="-2.6883128291381418E-2"/>
    <x v="0"/>
    <x v="1"/>
    <x v="1"/>
    <x v="1"/>
    <x v="0"/>
    <x v="0"/>
  </r>
  <r>
    <x v="4"/>
    <s v="QTWO"/>
    <n v="5004"/>
    <n v="92.73"/>
    <n v="1.78"/>
    <n v="8.5299999999999994"/>
    <n v="-0.64"/>
    <n v="52.09550561797753"/>
    <n v="10.871043376318875"/>
    <n v="-7.98"/>
    <n v="-2.12"/>
    <n v="2.5"/>
    <n v="-144.890625"/>
    <s v="NO"/>
    <n v="0.91092437725987729"/>
    <n v="0.79704288014695202"/>
    <n v="2.2323517147688619E-2"/>
    <n v="-0.29666748949058208"/>
    <n v="0.54224984444327051"/>
    <n v="-2.163062655532566"/>
    <x v="0"/>
    <x v="0"/>
    <x v="0"/>
    <x v="0"/>
    <x v="0"/>
    <x v="0"/>
  </r>
  <r>
    <x v="4"/>
    <s v="RIOT"/>
    <n v="2801"/>
    <n v="9.06"/>
    <n v="-2.95"/>
    <n v="8.41"/>
    <n v="-1.36"/>
    <n v="-3.0711864406779661"/>
    <n v="1.0772889417360285"/>
    <n v="-14.71"/>
    <n v="-7.42"/>
    <n v="1.26"/>
    <n v="-6.6617647058823533"/>
    <s v="NO"/>
    <n v="-1.0723565719472277"/>
    <n v="-1.1693591502264657"/>
    <n v="-2.7656198114508375E-2"/>
    <n v="-1.0236199969689492"/>
    <n v="-0.92265169610064224"/>
    <n v="9.81772793178491E-2"/>
    <x v="0"/>
    <x v="0"/>
    <x v="0"/>
    <x v="0"/>
    <x v="0"/>
    <x v="0"/>
  </r>
  <r>
    <x v="4"/>
    <s v="RNG"/>
    <n v="2360"/>
    <n v="28.34"/>
    <n v="4.34"/>
    <n v="-6.07"/>
    <n v="-0.63"/>
    <n v="6.5299539170506913"/>
    <n v="-4.6688632619439865"/>
    <n v="17.809999999999999"/>
    <n v="0.47"/>
    <n v="-3.23"/>
    <n v="-44.984126984126981"/>
    <s v="NO"/>
    <n v="-0.72718889827375899"/>
    <n v="-2.3230786390725582"/>
    <n v="0.21385053893254158"/>
    <n v="5.8579113220544508E-2"/>
    <n v="-6.2270129195217461"/>
    <n v="-0.52872549479884934"/>
    <x v="0"/>
    <x v="0"/>
    <x v="0"/>
    <x v="0"/>
    <x v="1"/>
    <x v="0"/>
  </r>
  <r>
    <x v="4"/>
    <s v="SOUN"/>
    <n v="3673"/>
    <n v="11.26"/>
    <n v="-0.32"/>
    <n v="0.46"/>
    <n v="-1.04"/>
    <n v="-35.1875"/>
    <n v="24.478260869565215"/>
    <n v="-332.68"/>
    <n v="-19.82"/>
    <n v="3.03"/>
    <n v="-10.826923076923077"/>
    <s v="NO"/>
    <n v="-2.2269603820368622"/>
    <n v="3.5291167018030682"/>
    <n v="-2.3890306501086807"/>
    <n v="-2.7244145427673931"/>
    <n v="1.1683771158047813"/>
    <n v="3.0040839333220295E-2"/>
    <x v="0"/>
    <x v="1"/>
    <x v="1"/>
    <x v="1"/>
    <x v="0"/>
    <x v="0"/>
  </r>
  <r>
    <x v="4"/>
    <s v="SPSC"/>
    <n v="5387"/>
    <n v="152.66999999999999"/>
    <n v="3.75"/>
    <n v="24.23"/>
    <n v="2.14"/>
    <n v="40.711999999999996"/>
    <n v="6.3008666941807672"/>
    <n v="10.130000000000001"/>
    <n v="6.38"/>
    <n v="1.2"/>
    <n v="71.341121495327087"/>
    <s v="NO"/>
    <n v="0.50167943280458116"/>
    <n v="-0.12056280079479278"/>
    <n v="0.15681573756349657"/>
    <n v="0.86919973948415763"/>
    <n v="-0.99353402870760577"/>
    <n v="1.3742005420175938"/>
    <x v="0"/>
    <x v="0"/>
    <x v="0"/>
    <x v="0"/>
    <x v="0"/>
    <x v="0"/>
  </r>
  <r>
    <x v="4"/>
    <s v="U"/>
    <n v="8585"/>
    <n v="21.95"/>
    <n v="0.69"/>
    <n v="7.79"/>
    <n v="-1.68"/>
    <n v="31.811594202898551"/>
    <n v="2.8177150192554556"/>
    <n v="-19.420000000000002"/>
    <n v="-4.84"/>
    <n v="2.11"/>
    <n v="-13.06547619047619"/>
    <s v="NO"/>
    <n v="0.18170365396260466"/>
    <n v="-0.81991426722386107"/>
    <n v="-6.2634572391618015E-2"/>
    <n v="-0.66974500276249871"/>
    <n v="8.151468249800746E-2"/>
    <n v="-6.5789062530452859E-3"/>
    <x v="0"/>
    <x v="0"/>
    <x v="0"/>
    <x v="0"/>
    <x v="0"/>
    <x v="0"/>
  </r>
  <r>
    <x v="4"/>
    <s v="VERX"/>
    <n v="5933"/>
    <n v="37.93"/>
    <n v="0.5"/>
    <n v="1.1399999999999999"/>
    <n v="-0.34"/>
    <n v="75.86"/>
    <n v="33.271929824561404"/>
    <n v="-24.39"/>
    <n v="1.22"/>
    <n v="6.51"/>
    <n v="-111.55882352941175"/>
    <s v="NO"/>
    <n v="1.7652744790439774"/>
    <n v="5.2947203426781755"/>
    <n v="-9.9543812340075519E-2"/>
    <n v="0.16144975107125684"/>
    <n v="5.2795524070086657"/>
    <n v="-1.6177988052380023"/>
    <x v="0"/>
    <x v="1"/>
    <x v="0"/>
    <x v="0"/>
    <x v="1"/>
    <x v="0"/>
  </r>
  <r>
    <x v="4"/>
    <s v="WK"/>
    <n v="3777"/>
    <n v="72.02"/>
    <n v="0.96"/>
    <n v="-1.36"/>
    <n v="-1.1599999999999999"/>
    <n v="75.020833333333329"/>
    <n v="-52.955882352941167"/>
    <n v="81.47"/>
    <n v="-3.94"/>
    <n v="-17.079999999999998"/>
    <n v="-62.086206896551722"/>
    <s v="NO"/>
    <n v="1.7351058537176649"/>
    <n v="-12.018205570776272"/>
    <n v="0.68661557215564128"/>
    <n v="-0.54630023734164401"/>
    <n v="-22.589018029629155"/>
    <n v="-0.80849272998181643"/>
    <x v="0"/>
    <x v="1"/>
    <x v="0"/>
    <x v="1"/>
    <x v="1"/>
    <x v="0"/>
  </r>
  <r>
    <x v="4"/>
    <s v="YOU"/>
    <n v="2446"/>
    <n v="24.97"/>
    <n v="3.02"/>
    <n v="2.0299999999999998"/>
    <n v="1.56"/>
    <n v="8.2682119205298008"/>
    <n v="12.300492610837439"/>
    <n v="74.2"/>
    <n v="6.75"/>
    <n v="6.02"/>
    <n v="16.006410256410255"/>
    <s v="NO"/>
    <n v="-0.66469731405041232"/>
    <n v="1.0840494511048198"/>
    <n v="0.63262559742218327"/>
    <n v="0.91994925415717577"/>
    <n v="4.7006800240517963"/>
    <n v="0.46899841150288857"/>
    <x v="0"/>
    <x v="0"/>
    <x v="0"/>
    <x v="1"/>
    <x v="1"/>
    <x v="0"/>
  </r>
  <r>
    <x v="4"/>
    <s v="ZETA"/>
    <n v="3109"/>
    <n v="14.91"/>
    <n v="0.53"/>
    <n v="2.87"/>
    <n v="-0.27"/>
    <n v="28.132075471698112"/>
    <n v="5.1951219512195124"/>
    <n v="-11.93"/>
    <n v="-2.81"/>
    <n v="1.61"/>
    <n v="-55.222222222222221"/>
    <s v="NO"/>
    <n v="4.9422396386357266E-2"/>
    <n v="-0.34257558681645478"/>
    <n v="-7.0107882439425966E-3"/>
    <n v="-0.3913084763132374"/>
    <n v="-0.50917142256002157"/>
    <n v="-0.69620708843945034"/>
    <x v="0"/>
    <x v="0"/>
    <x v="0"/>
    <x v="0"/>
    <x v="0"/>
    <x v="0"/>
  </r>
  <r>
    <x v="4"/>
    <s v="APPN"/>
    <n v="2257"/>
    <n v="32.9"/>
    <n v="0.04"/>
    <n v="-0.44"/>
    <n v="-1.26"/>
    <n v="822.5"/>
    <n v="-74.772727272727266"/>
    <n v="-936.62"/>
    <n v="-5.41"/>
    <n v="-19.03"/>
    <n v="-26.111111111111111"/>
    <s v="NO"/>
    <n v="28.607501784272806"/>
    <n v="-16.39861845872068"/>
    <n v="-6.8741345483926706"/>
    <n v="-0.74792668752904012"/>
    <n v="-24.892693839355474"/>
    <n v="-0.21998810745206696"/>
    <x v="1"/>
    <x v="1"/>
    <x v="0"/>
    <x v="1"/>
    <x v="1"/>
    <x v="0"/>
  </r>
  <r>
    <x v="4"/>
    <s v="BB"/>
    <n v="2194"/>
    <n v="3.92"/>
    <n v="0.01"/>
    <n v="1.21"/>
    <n v="-0.01"/>
    <n v="392"/>
    <n v="3.2396694214876032"/>
    <n v="-1.1399999999999999"/>
    <n v="1.83"/>
    <n v="1.8"/>
    <n v="-392"/>
    <s v="NO"/>
    <n v="13.130727361658144"/>
    <n v="-0.73519374468917098"/>
    <n v="7.3120137116994333E-2"/>
    <n v="0.24511786985650288"/>
    <n v="-0.28471070263797049"/>
    <n v="-6.2054427043660114"/>
    <x v="1"/>
    <x v="0"/>
    <x v="0"/>
    <x v="0"/>
    <x v="0"/>
    <x v="1"/>
  </r>
  <r>
    <x v="4"/>
    <s v="CVLT"/>
    <n v="7706"/>
    <n v="181.33"/>
    <n v="4.6399999999999997"/>
    <n v="7.38"/>
    <n v="1.68"/>
    <n v="39.079741379310349"/>
    <n v="24.570460704607047"/>
    <n v="25.23"/>
    <n v="5.42"/>
    <n v="3.44"/>
    <n v="107.93452380952382"/>
    <s v="NO"/>
    <n v="0.44299860011751541"/>
    <n v="3.5476286977937126"/>
    <n v="0.26895447463023875"/>
    <n v="0.73752532303524587"/>
    <n v="1.6527397219523656"/>
    <n v="1.9728198353319188"/>
    <x v="0"/>
    <x v="1"/>
    <x v="0"/>
    <x v="0"/>
    <x v="0"/>
    <x v="0"/>
  </r>
  <r>
    <x v="4"/>
    <s v="DLB"/>
    <n v="7055"/>
    <n v="77.58"/>
    <n v="4.08"/>
    <n v="26.79"/>
    <n v="2.64"/>
    <n v="19.014705882352942"/>
    <n v="2.8958566629339306"/>
    <n v="10.31"/>
    <n v="5.64"/>
    <n v="1.25"/>
    <n v="29.386363636363633"/>
    <s v="YES"/>
    <n v="-0.27835338169007029"/>
    <n v="-0.8042248921417694"/>
    <n v="0.15815249072058357"/>
    <n v="0.76770071013812147"/>
    <n v="-0.93446541820180284"/>
    <n v="0.68787661714541093"/>
    <x v="0"/>
    <x v="0"/>
    <x v="0"/>
    <x v="0"/>
    <x v="0"/>
    <x v="0"/>
  </r>
  <r>
    <x v="4"/>
    <s v="FROG"/>
    <n v="3958"/>
    <n v="42.18"/>
    <n v="0.98"/>
    <n v="6.86"/>
    <n v="-0.63"/>
    <n v="43.04081632653061"/>
    <n v="6.14868804664723"/>
    <n v="-9.5299999999999994"/>
    <n v="-5.07"/>
    <n v="1.46"/>
    <n v="-66.952380952380949"/>
    <s v="NO"/>
    <n v="0.58540199948847538"/>
    <n v="-0.15111741633965092"/>
    <n v="1.0812587183883971E-2"/>
    <n v="-0.70129199837005063"/>
    <n v="-0.68637725407743055"/>
    <n v="-0.88809685231604596"/>
    <x v="0"/>
    <x v="0"/>
    <x v="0"/>
    <x v="0"/>
    <x v="0"/>
    <x v="0"/>
  </r>
  <r>
    <x v="4"/>
    <s v="GTLB"/>
    <n v="7772"/>
    <n v="53.36"/>
    <n v="-0.47"/>
    <n v="4.7300000000000004"/>
    <n v="-0.04"/>
    <n v="-113.53191489361703"/>
    <n v="11.281183932346721"/>
    <n v="-1.28"/>
    <n v="-6.22"/>
    <n v="1.8"/>
    <n v="-1334"/>
    <s v="NO"/>
    <n v="-5.0434965877981695"/>
    <n v="0.87939140414749184"/>
    <n v="7.2080440217037786E-2"/>
    <n v="-0.85902697640780945"/>
    <n v="-0.28471070263797049"/>
    <n v="-21.615307287614247"/>
    <x v="1"/>
    <x v="0"/>
    <x v="0"/>
    <x v="0"/>
    <x v="0"/>
    <x v="1"/>
  </r>
  <r>
    <x v="4"/>
    <s v="NBIS"/>
    <n v="6536"/>
    <n v="35.270000000000003"/>
    <n v="-2"/>
    <n v="13.8"/>
    <n v="-1.4"/>
    <n v="-17.635000000000002"/>
    <n v="2.5557971014492753"/>
    <n v="-12.02"/>
    <n v="-4.4800000000000004"/>
    <n v="1.0900000000000001"/>
    <n v="-25.192857142857147"/>
    <s v="NO"/>
    <n v="-1.5959357988709069"/>
    <n v="-0.87250246808242049"/>
    <n v="-7.6791648224860919E-3"/>
    <n v="-0.6203670965941569"/>
    <n v="-1.1234849718203721"/>
    <n v="-0.20496669630151079"/>
    <x v="0"/>
    <x v="0"/>
    <x v="0"/>
    <x v="0"/>
    <x v="0"/>
    <x v="0"/>
  </r>
  <r>
    <x v="4"/>
    <s v="OS"/>
    <n v="4027"/>
    <n v="27.7"/>
    <n v="0.36"/>
    <n v="2.2200000000000002"/>
    <n v="-1.25"/>
    <n v="76.944444444444443"/>
    <n v="12.477477477477477"/>
    <n v="-102.65"/>
    <n v="-33.71"/>
    <n v="2.13"/>
    <n v="-22.16"/>
    <s v="NO"/>
    <n v="1.8042610110777157"/>
    <n v="1.119584689754201"/>
    <n v="-0.68073437941578674"/>
    <n v="-4.6295787557625854"/>
    <n v="0.10514212670032866"/>
    <n v="-0.15535319537606943"/>
    <x v="0"/>
    <x v="0"/>
    <x v="1"/>
    <x v="1"/>
    <x v="0"/>
    <x v="0"/>
  </r>
  <r>
    <x v="4"/>
    <s v="PATH"/>
    <n v="6673"/>
    <n v="13.26"/>
    <n v="0.55000000000000004"/>
    <n v="3.33"/>
    <n v="-0.13"/>
    <n v="24.109090909090906"/>
    <n v="3.9819819819819817"/>
    <n v="-3.82"/>
    <n v="-2.96"/>
    <n v="1.55"/>
    <n v="-102"/>
    <s v="NO"/>
    <n v="-9.5206696717319475E-2"/>
    <n v="-0.58615131812254961"/>
    <n v="5.3217367889254664E-2"/>
    <n v="-0.41188260388337988"/>
    <n v="-0.58005375516698521"/>
    <n v="-1.461429191476429"/>
    <x v="0"/>
    <x v="0"/>
    <x v="0"/>
    <x v="0"/>
    <x v="0"/>
    <x v="0"/>
  </r>
  <r>
    <x v="4"/>
    <s v="PRGS"/>
    <n v="2625"/>
    <n v="62.52"/>
    <n v="4.72"/>
    <n v="10.039999999999999"/>
    <n v="1.27"/>
    <n v="13.245762711864408"/>
    <n v="6.2270916334661361"/>
    <n v="12.7"/>
    <n v="5.01"/>
    <n v="5.7"/>
    <n v="49.228346456692918"/>
    <s v="NO"/>
    <n v="-0.48575090110130015"/>
    <n v="-0.13537544799247106"/>
    <n v="0.17590160208412753"/>
    <n v="0.6812893743435231"/>
    <n v="4.3226409168146587"/>
    <n v="1.012465012394256"/>
    <x v="0"/>
    <x v="0"/>
    <x v="0"/>
    <x v="0"/>
    <x v="1"/>
    <x v="0"/>
  </r>
  <r>
    <x v="4"/>
    <s v="QLYS"/>
    <n v="4640"/>
    <n v="136.75"/>
    <n v="6.3"/>
    <n v="13.07"/>
    <n v="4.6500000000000004"/>
    <n v="21.706349206349206"/>
    <n v="10.462892119357306"/>
    <n v="41.09"/>
    <n v="13.1"/>
    <n v="2.04"/>
    <n v="29.408602150537632"/>
    <s v="NO"/>
    <n v="-0.18158693209279528"/>
    <n v="0.71509377005341546"/>
    <n v="0.38673728058245926"/>
    <n v="1.7909206546265402"/>
    <n v="-1.1813722101164531E-3"/>
    <n v="0.68824040959971444"/>
    <x v="0"/>
    <x v="0"/>
    <x v="0"/>
    <x v="0"/>
    <x v="0"/>
    <x v="0"/>
  </r>
  <r>
    <x v="4"/>
    <s v="S"/>
    <n v="6273"/>
    <n v="20.34"/>
    <n v="0.02"/>
    <n v="5.13"/>
    <n v="-0.92"/>
    <n v="1017"/>
    <n v="3.9649122807017543"/>
    <n v="-17.68"/>
    <n v="-8.7100000000000009"/>
    <n v="1.44"/>
    <n v="-22.10869565217391"/>
    <s v="NO"/>
    <n v="35.599912063479664"/>
    <n v="-0.58957859368673793"/>
    <n v="-4.971262520644374E-2"/>
    <n v="-1.2005574940721746"/>
    <n v="-0.71000469827975177"/>
    <n v="-0.15451392461966615"/>
    <x v="1"/>
    <x v="0"/>
    <x v="0"/>
    <x v="0"/>
    <x v="0"/>
    <x v="0"/>
  </r>
  <r>
    <x v="4"/>
    <s v="TDC"/>
    <n v="2145"/>
    <n v="23.55"/>
    <n v="2.87"/>
    <n v="1.4"/>
    <n v="1.1599999999999999"/>
    <n v="8.2055749128919864"/>
    <n v="16.821428571428573"/>
    <n v="85.08"/>
    <n v="7.16"/>
    <n v="12.81"/>
    <n v="20.301724137931036"/>
    <s v="NO"/>
    <n v="-0.66694915804046595"/>
    <n v="1.9917685195657455"/>
    <n v="0.71342489936166364"/>
    <n v="0.97618520284889854"/>
    <n v="12.722197330739835"/>
    <n v="0.53926402217887748"/>
    <x v="0"/>
    <x v="0"/>
    <x v="0"/>
    <x v="1"/>
    <x v="1"/>
    <x v="0"/>
  </r>
  <r>
    <x v="4"/>
    <s v="TENB"/>
    <n v="3762"/>
    <n v="33.49"/>
    <n v="2.0099999999999998"/>
    <n v="3.19"/>
    <n v="-0.38"/>
    <n v="16.661691542288558"/>
    <n v="10.498432601880879"/>
    <n v="-12.09"/>
    <n v="0.38"/>
    <n v="4.42"/>
    <n v="-88.131578947368425"/>
    <s v="NO"/>
    <n v="-0.36294588379077636"/>
    <n v="0.7222296317356347"/>
    <n v="-8.1990132724643686E-3"/>
    <n v="4.6234636678459035E-2"/>
    <n v="2.8104844878661028"/>
    <n v="-1.2345603056966823"/>
    <x v="0"/>
    <x v="0"/>
    <x v="0"/>
    <x v="0"/>
    <x v="0"/>
    <x v="0"/>
  </r>
  <r>
    <x v="4"/>
    <s v="VRNS"/>
    <n v="5068"/>
    <n v="45.88"/>
    <n v="0.91"/>
    <n v="4.05"/>
    <n v="-0.86"/>
    <n v="50.417582417582416"/>
    <n v="11.328395061728397"/>
    <n v="-20.260000000000002"/>
    <n v="-5.01"/>
    <n v="3.65"/>
    <n v="-53.348837209302332"/>
    <s v="NO"/>
    <n v="0.85060187117163844"/>
    <n v="0.8888705126234544"/>
    <n v="-6.8872753791357308E-2"/>
    <n v="-0.69306234734199357"/>
    <n v="1.9008278860767378"/>
    <n v="-0.66556100631484083"/>
    <x v="0"/>
    <x v="0"/>
    <x v="0"/>
    <x v="0"/>
    <x v="0"/>
    <x v="0"/>
  </r>
  <r>
    <x v="5"/>
    <s v="IONQ"/>
    <n v="7097"/>
    <n v="33.22"/>
    <n v="-0.61"/>
    <n v="1.73"/>
    <n v="-1.56"/>
    <n v="-54.459016393442624"/>
    <n v="19.202312138728324"/>
    <n v="-76.34"/>
    <n v="-27.36"/>
    <n v="1.32"/>
    <n v="-21.294871794871792"/>
    <s v="NO"/>
    <e v="#DIV/0!"/>
    <e v="#DIV/0!"/>
    <n v="-1"/>
    <n v="-1"/>
    <n v="0.99999999999995925"/>
    <e v="#DIV/0!"/>
    <x v="0"/>
    <x v="0"/>
    <x v="0"/>
    <x v="0"/>
    <x v="0"/>
    <x v="0"/>
  </r>
  <r>
    <x v="5"/>
    <s v="SNDK"/>
    <n v="5081"/>
    <n v="42"/>
    <m/>
    <m/>
    <m/>
    <s v=""/>
    <s v=""/>
    <n v="-5.97"/>
    <n v="-2.0299999999999998"/>
    <n v="1.19"/>
    <s v=""/>
    <s v="NO"/>
    <e v="#VALUE!"/>
    <e v="#VALUE!"/>
    <n v="1"/>
    <n v="1.0000000000000002"/>
    <n v="-0.99999999999995581"/>
    <e v="#VALUE!"/>
    <x v="1"/>
    <x v="1"/>
    <x v="0"/>
    <x v="0"/>
    <x v="0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8">
  <r>
    <x v="0"/>
    <s v="AAOI"/>
    <n v="773"/>
    <n v="20.29"/>
    <n v="-2.89"/>
    <n v="4.6399999999999997"/>
    <n v="-4.5"/>
    <n v="-7.0207612456747395"/>
    <n v="4.3728448275862073"/>
    <n v="-84.12"/>
    <n v="-9.4700000000000006"/>
    <n v="2.39"/>
    <n v="-4.5088888888888885"/>
    <s v="NO"/>
    <n v="-1.3630070592194803"/>
    <n v="1.5162862912391202"/>
    <n v="-3.9748195251604734"/>
    <n v="-2.116986949422154"/>
    <n v="0.66006727326415959"/>
    <n v="-0.46370273659739641"/>
    <x v="0"/>
    <x v="0"/>
    <x v="0"/>
    <x v="0"/>
    <x v="0"/>
    <x v="0"/>
  </r>
  <r>
    <x v="0"/>
    <s v="ADTN"/>
    <n v="636"/>
    <n v="8.56"/>
    <n v="0.51"/>
    <n v="1.7"/>
    <n v="-5.67"/>
    <n v="16.784313725490197"/>
    <n v="5.0352941176470596"/>
    <n v="-54.98"/>
    <n v="-3.75"/>
    <n v="8.77"/>
    <n v="-1.5097001763668432"/>
    <s v="NO"/>
    <n v="6.9511589407794616E-2"/>
    <n v="1.946298191599007"/>
    <n v="-2.5337913647526951"/>
    <n v="-0.86235118343003336"/>
    <n v="10.056319045612778"/>
    <n v="-0.32096659962055207"/>
    <x v="0"/>
    <x v="0"/>
    <x v="1"/>
    <x v="0"/>
    <x v="1"/>
    <x v="0"/>
  </r>
  <r>
    <x v="0"/>
    <s v="AVNW"/>
    <n v="261"/>
    <n v="20.81"/>
    <n v="0.63"/>
    <n v="19.68"/>
    <n v="-0.16"/>
    <n v="33.031746031746032"/>
    <n v="1.0574186991869918"/>
    <n v="-0.78"/>
    <n v="1.64"/>
    <n v="2.38"/>
    <n v="-130.0625"/>
    <s v="NO"/>
    <n v="1.0472337683638961"/>
    <n v="-0.63583721672751548"/>
    <n v="0.14650123284859445"/>
    <n v="0.31990174990869558"/>
    <n v="0.64533960590938089"/>
    <n v="-6.4389977751090104"/>
    <x v="0"/>
    <x v="0"/>
    <x v="1"/>
    <x v="0"/>
    <x v="0"/>
    <x v="1"/>
  </r>
  <r>
    <x v="0"/>
    <s v="CLFD"/>
    <n v="441"/>
    <n v="37.729999999999997"/>
    <n v="0.65"/>
    <n v="18.920000000000002"/>
    <n v="-0.63"/>
    <n v="58.046153846153842"/>
    <n v="1.9941860465116275"/>
    <n v="-3.2"/>
    <n v="-3.72"/>
    <n v="1.1299999999999999"/>
    <n v="-59.888888888888886"/>
    <s v="NO"/>
    <n v="2.5525264726260013"/>
    <n v="-2.7758812445198653E-2"/>
    <n v="2.6827651922485211E-2"/>
    <n v="-0.85577092591608872"/>
    <n v="-1.1956188134379191"/>
    <n v="-3.0993245741877642"/>
    <x v="0"/>
    <x v="0"/>
    <x v="1"/>
    <x v="0"/>
    <x v="0"/>
    <x v="1"/>
  </r>
  <r>
    <x v="0"/>
    <s v="COMM"/>
    <n v="1063"/>
    <n v="5.68"/>
    <n v="1.06"/>
    <n v="-11.77"/>
    <n v="0.03"/>
    <n v="5.3584905660377355"/>
    <n v="-0.48258283772302463"/>
    <n v="-4.1399999999999997"/>
    <n v="4.08"/>
    <n v="-2.95"/>
    <n v="189.33333333333334"/>
    <s v="NO"/>
    <n v="-0.61806048384378076"/>
    <n v="-1.6354895635252475"/>
    <n v="-1.965712744550761E-2"/>
    <n v="0.8550960277095303"/>
    <n v="-7.2045070941875062"/>
    <n v="8.7615553698658371"/>
    <x v="0"/>
    <x v="0"/>
    <x v="1"/>
    <x v="0"/>
    <x v="1"/>
    <x v="1"/>
  </r>
  <r>
    <x v="0"/>
    <s v="DGII"/>
    <n v="1036"/>
    <n v="34.08"/>
    <n v="2.57"/>
    <n v="16.010000000000002"/>
    <n v="0.95"/>
    <n v="13.260700389105059"/>
    <n v="2.1286695815115548"/>
    <n v="6.29"/>
    <n v="3.79"/>
    <n v="1.35"/>
    <n v="35.873684210526314"/>
    <s v="NO"/>
    <n v="-0.14252898685746332"/>
    <n v="5.9537711711574057E-2"/>
    <n v="0.49612611596743422"/>
    <n v="0.79148687174139831"/>
    <n v="-0.87161013163279411"/>
    <n v="1.4581678217071912"/>
    <x v="0"/>
    <x v="0"/>
    <x v="1"/>
    <x v="0"/>
    <x v="0"/>
    <x v="0"/>
  </r>
  <r>
    <x v="0"/>
    <s v="EXTR"/>
    <n v="1938"/>
    <n v="16.059999999999999"/>
    <n v="0.48"/>
    <n v="0.54"/>
    <n v="-0.41"/>
    <n v="33.458333333333329"/>
    <n v="29.740740740740737"/>
    <n v="-78.83"/>
    <n v="-1.0900000000000001"/>
    <n v="14.96"/>
    <n v="-39.170731707317074"/>
    <s v="NO"/>
    <n v="1.0729045240969326"/>
    <n v="17.983202768340842"/>
    <n v="-3.7132190114831523"/>
    <n v="-0.27890168386027103"/>
    <n v="19.172745138220609"/>
    <n v="-2.1133146879042619"/>
    <x v="0"/>
    <x v="1"/>
    <x v="0"/>
    <x v="0"/>
    <x v="1"/>
    <x v="0"/>
  </r>
  <r>
    <x v="0"/>
    <s v="GILT"/>
    <n v="375"/>
    <n v="6.68"/>
    <n v="0.44"/>
    <n v="5.34"/>
    <n v="0.44"/>
    <n v="15.181818181818182"/>
    <n v="1.2509363295880149"/>
    <n v="8.58"/>
    <n v="3.14"/>
    <n v="1.41"/>
    <n v="15.181818181818182"/>
    <s v="NO"/>
    <n v="-2.6921828820584394E-2"/>
    <n v="-0.51022022950990964"/>
    <n v="0.609370950810736"/>
    <n v="0.64891462560593005"/>
    <n v="-0.78324412750412387"/>
    <n v="0.47340917299362251"/>
    <x v="0"/>
    <x v="0"/>
    <x v="1"/>
    <x v="0"/>
    <x v="0"/>
    <x v="0"/>
  </r>
  <r>
    <x v="0"/>
    <s v="HLIT"/>
    <n v="1005"/>
    <n v="9.73"/>
    <n v="0.94"/>
    <n v="3.89"/>
    <n v="0.44"/>
    <n v="10.351063829787234"/>
    <n v="2.501285347043702"/>
    <n v="12.45"/>
    <n v="9.0500000000000007"/>
    <n v="1.73"/>
    <n v="22.113636363636363"/>
    <s v="NO"/>
    <n v="-0.31762226579060299"/>
    <n v="0.30141164205545595"/>
    <n v="0.80074977650662138"/>
    <n v="1.9452253558530335"/>
    <n v="-0.31195877215121504"/>
    <n v="0.80330536971095645"/>
    <x v="0"/>
    <x v="0"/>
    <x v="1"/>
    <x v="0"/>
    <x v="0"/>
    <x v="0"/>
  </r>
  <r>
    <x v="0"/>
    <s v="ITRN"/>
    <n v="697"/>
    <n v="37.4"/>
    <n v="3.05"/>
    <n v="9.31"/>
    <n v="2.7"/>
    <n v="12.262295081967213"/>
    <n v="4.0171858216970993"/>
    <n v="30.44"/>
    <n v="13.78"/>
    <n v="1.76"/>
    <n v="13.851851851851851"/>
    <s v="NO"/>
    <n v="-0.20261005037420701"/>
    <n v="1.2854194048266754"/>
    <n v="1.6903893305812931"/>
    <n v="2.982712623884979"/>
    <n v="-0.26777577008687975"/>
    <n v="0.41011397070905797"/>
    <x v="0"/>
    <x v="0"/>
    <x v="1"/>
    <x v="1"/>
    <x v="0"/>
    <x v="0"/>
  </r>
  <r>
    <x v="0"/>
    <s v="NTCT"/>
    <n v="1522"/>
    <n v="23.02"/>
    <n v="2.2799999999999998"/>
    <n v="21.19"/>
    <n v="-5.86"/>
    <n v="10.096491228070176"/>
    <n v="1.0863614912694666"/>
    <n v="-24.41"/>
    <n v="1.79"/>
    <n v="1.43"/>
    <n v="-3.9283276450511941"/>
    <s v="NO"/>
    <n v="-0.33294168821758491"/>
    <n v="-0.61704974844603722"/>
    <n v="-1.0220469974340343"/>
    <n v="0.35280303747841901"/>
    <n v="-0.75378879279456712"/>
    <n v="-0.43607290827819728"/>
    <x v="0"/>
    <x v="0"/>
    <x v="1"/>
    <x v="0"/>
    <x v="0"/>
    <x v="0"/>
  </r>
  <r>
    <x v="0"/>
    <s v="NTGR"/>
    <n v="825"/>
    <n v="29.79"/>
    <n v="4.5599999999999996"/>
    <n v="18.559999999999999"/>
    <n v="0.85"/>
    <n v="6.5328947368421053"/>
    <n v="1.6050646551724139"/>
    <n v="4.78"/>
    <n v="-4.63"/>
    <n v="1.52"/>
    <n v="35.047058823529412"/>
    <s v="NO"/>
    <n v="-0.54738833188707625"/>
    <n v="-0.28034694480637584"/>
    <n v="0.42145375762097775"/>
    <n v="-1.0553720705057441"/>
    <n v="-0.62123978660156132"/>
    <n v="1.4188274114241355"/>
    <x v="0"/>
    <x v="0"/>
    <x v="1"/>
    <x v="0"/>
    <x v="0"/>
    <x v="0"/>
  </r>
  <r>
    <x v="0"/>
    <s v="RBBN"/>
    <n v="538"/>
    <n v="3.54"/>
    <n v="0.01"/>
    <n v="2.17"/>
    <n v="-0.28999999999999998"/>
    <n v="354"/>
    <n v="1.631336405529954"/>
    <n v="-12.42"/>
    <n v="1.31"/>
    <n v="2.98"/>
    <n v="-12.206896551724139"/>
    <s v="NO"/>
    <n v="20.362149179628346"/>
    <n v="-0.26329331448851623"/>
    <n v="-0.42911880102740207"/>
    <n v="0.24751891725530403"/>
    <n v="1.5289996471960849"/>
    <n v="-0.83006310319375942"/>
    <x v="1"/>
    <x v="0"/>
    <x v="1"/>
    <x v="0"/>
    <x v="0"/>
    <x v="0"/>
  </r>
  <r>
    <x v="0"/>
    <s v="VSAT"/>
    <n v="1198"/>
    <n v="10.41"/>
    <n v="-2.5"/>
    <n v="36.869999999999997"/>
    <n v="-3.29"/>
    <n v="-4.1639999999999997"/>
    <n v="0.28234336859235154"/>
    <n v="-7.52"/>
    <n v="0.22"/>
    <n v="3.28"/>
    <n v="-3.1641337386018238"/>
    <s v="NO"/>
    <n v="-1.1910956594838431"/>
    <n v="-1.1389574114830308"/>
    <n v="-0.18680452559850316"/>
    <n v="8.4362275819803642E-3"/>
    <n v="1.9708296678394368"/>
    <n v="-0.39970371095079654"/>
    <x v="0"/>
    <x v="0"/>
    <x v="1"/>
    <x v="0"/>
    <x v="0"/>
    <x v="0"/>
  </r>
  <r>
    <x v="1"/>
    <s v="AEVA"/>
    <n v="496"/>
    <n v="13.54"/>
    <n v="-2.1"/>
    <n v="1.84"/>
    <n v="-2.85"/>
    <n v="-6.4476190476190469"/>
    <n v="7.3586956521739122"/>
    <n v="-92.9"/>
    <n v="-45.34"/>
    <n v="1.48"/>
    <n v="-4.7508771929824558"/>
    <s v="NO"/>
    <n v="-0.96007652723577097"/>
    <n v="2.4506203585932265"/>
    <n v="-4.636796958441475"/>
    <n v="-5.2790551071476814"/>
    <n v="-0.67647112559329858"/>
    <n v="-0.7221978704161971"/>
    <x v="0"/>
    <x v="0"/>
    <x v="0"/>
    <x v="1"/>
    <x v="0"/>
    <x v="0"/>
  </r>
  <r>
    <x v="1"/>
    <s v="AIOT"/>
    <n v="669"/>
    <n v="5.89"/>
    <n v="-0.49"/>
    <n v="3.46"/>
    <n v="-1.02"/>
    <n v="-12.020408163265305"/>
    <n v="1.7023121387283235"/>
    <n v="-4.04"/>
    <n v="-3.6"/>
    <n v="1.98"/>
    <n v="-5.7745098039215685"/>
    <s v="NO"/>
    <n v="-1.2830696404340289"/>
    <n v="-0.63013404536248563"/>
    <n v="-0.13961072968285423"/>
    <n v="-0.50149797161598075"/>
    <n v="0.34848512530563847"/>
    <n v="-0.76379733174942566"/>
    <x v="0"/>
    <x v="0"/>
    <x v="1"/>
    <x v="0"/>
    <x v="0"/>
    <x v="0"/>
  </r>
  <r>
    <x v="1"/>
    <s v="ARLO"/>
    <n v="1079"/>
    <n v="13.72"/>
    <n v="0.49"/>
    <n v="1"/>
    <n v="-0.31"/>
    <n v="28.000000000000004"/>
    <n v="13.72"/>
    <n v="-29.88"/>
    <n v="-6.93"/>
    <n v="2.96"/>
    <n v="-44.258064516129032"/>
    <s v="NO"/>
    <n v="1.0364719671652776"/>
    <n v="5.9153105334873164"/>
    <n v="-1.4473677874267519"/>
    <n v="-0.88264951117804502"/>
    <n v="2.357399377067555"/>
    <n v="-2.3277326041387529"/>
    <x v="0"/>
    <x v="1"/>
    <x v="1"/>
    <x v="0"/>
    <x v="0"/>
    <x v="0"/>
  </r>
  <r>
    <x v="1"/>
    <s v="DAKT"/>
    <n v="681"/>
    <n v="14.91"/>
    <n v="1.42"/>
    <n v="5.85"/>
    <n v="0.04"/>
    <n v="10.5"/>
    <n v="2.548717948717949"/>
    <n v="0.72"/>
    <n v="6.51"/>
    <n v="1.92"/>
    <n v="372.75"/>
    <s v="NO"/>
    <n v="2.2190004637788679E-2"/>
    <n v="-0.16913835430637492"/>
    <n v="0.10129188621733742"/>
    <n v="0.65569183768506112"/>
    <n v="0.22549037519776591"/>
    <n v="14.619080803425721"/>
    <x v="0"/>
    <x v="0"/>
    <x v="1"/>
    <x v="0"/>
    <x v="0"/>
    <x v="1"/>
  </r>
  <r>
    <x v="1"/>
    <s v="EVLV"/>
    <n v="662"/>
    <n v="4.43"/>
    <n v="-0.44"/>
    <n v="0.74"/>
    <n v="-0.34"/>
    <n v="-10.068181818181818"/>
    <n v="5.986486486486486"/>
    <n v="-41.27"/>
    <n v="-18.149999999999999"/>
    <n v="2.2799999999999998"/>
    <n v="-13.02941176470588"/>
    <s v="NO"/>
    <n v="-1.1699206136575064"/>
    <n v="1.70324539360172"/>
    <n v="-2.0238133326164962"/>
    <n v="-2.1668898336664415"/>
    <n v="0.96345887584500034"/>
    <n v="-1.0586296869995482"/>
    <x v="0"/>
    <x v="0"/>
    <x v="1"/>
    <x v="0"/>
    <x v="0"/>
    <x v="0"/>
  </r>
  <r>
    <x v="1"/>
    <s v="FARO"/>
    <n v="814"/>
    <n v="42.14"/>
    <n v="0.83"/>
    <n v="13.53"/>
    <n v="-0.05"/>
    <n v="50.7710843373494"/>
    <n v="3.1145602365114562"/>
    <n v="-0.34"/>
    <n v="1.99"/>
    <n v="1.9"/>
    <n v="-842.8"/>
    <s v="NO"/>
    <n v="2.3562605449118892"/>
    <n v="0.13904816026083464"/>
    <n v="4.7645505365614071E-2"/>
    <n v="0.13833299119240941"/>
    <n v="0.18449212516180838"/>
    <n v="-34.779721738840792"/>
    <x v="0"/>
    <x v="0"/>
    <x v="1"/>
    <x v="0"/>
    <x v="0"/>
    <x v="1"/>
  </r>
  <r>
    <x v="1"/>
    <s v="LASR"/>
    <n v="405"/>
    <n v="13.26"/>
    <n v="-0.21"/>
    <n v="4.42"/>
    <n v="-1.27"/>
    <n v="-63.142857142857146"/>
    <n v="3"/>
    <n v="-25.82"/>
    <n v="-13.29"/>
    <n v="1.25"/>
    <n v="-10.440944881889763"/>
    <s v="NO"/>
    <n v="-4.2460740907329901"/>
    <n v="7.6652823680149362E-2"/>
    <n v="-1.2418920268060001"/>
    <n v="-1.6106146137650508"/>
    <n v="-1.1479510010068097"/>
    <n v="-0.95343684060784939"/>
    <x v="1"/>
    <x v="0"/>
    <x v="1"/>
    <x v="0"/>
    <x v="0"/>
    <x v="0"/>
  </r>
  <r>
    <x v="1"/>
    <s v="MVIS"/>
    <n v="278"/>
    <n v="1.07"/>
    <n v="-0.33"/>
    <n v="0.22"/>
    <n v="-0.46"/>
    <n v="-3.2424242424242427"/>
    <n v="4.8636363636363642"/>
    <n v="-134.07"/>
    <n v="-37.479999999999997"/>
    <n v="2.48"/>
    <n v="-2.3260869565217392"/>
    <s v="NO"/>
    <n v="-0.77430673996171973"/>
    <n v="1.0916840571523929"/>
    <n v="-6.7204021468051067"/>
    <n v="-4.3794001218750607"/>
    <n v="1.3734413762045756"/>
    <n v="-0.62365668815521347"/>
    <x v="0"/>
    <x v="0"/>
    <x v="0"/>
    <x v="1"/>
    <x v="0"/>
    <x v="0"/>
  </r>
  <r>
    <x v="1"/>
    <s v="NSSC"/>
    <n v="889"/>
    <n v="27.58"/>
    <n v="1.39"/>
    <n v="4.53"/>
    <n v="1.22"/>
    <n v="19.841726618705035"/>
    <n v="6.0883002207505514"/>
    <n v="27.48"/>
    <n v="16.149999999999999"/>
    <n v="1.18"/>
    <n v="22.606557377049178"/>
    <s v="NO"/>
    <n v="0.56362685082152719"/>
    <n v="1.7586983361880208"/>
    <n v="1.4556099537570704"/>
    <n v="1.7590854837446104"/>
    <n v="-1.2914448761326609"/>
    <n v="0.38958240056234644"/>
    <x v="0"/>
    <x v="0"/>
    <x v="1"/>
    <x v="0"/>
    <x v="0"/>
    <x v="0"/>
  </r>
  <r>
    <x v="1"/>
    <s v="OUST"/>
    <n v="444"/>
    <n v="11.41"/>
    <n v="-0.8"/>
    <n v="3.44"/>
    <n v="-2.08"/>
    <n v="-14.262499999999999"/>
    <n v="3.316860465116279"/>
    <n v="-53.83"/>
    <n v="-21.46"/>
    <n v="1.53"/>
    <n v="-5.4855769230769234"/>
    <s v="NO"/>
    <n v="-1.4130189723386077"/>
    <n v="0.24923116300703807"/>
    <n v="-2.6594723359161616"/>
    <n v="-2.5457521747926979"/>
    <n v="-0.57397550050340485"/>
    <n v="-0.75205537269483069"/>
    <x v="0"/>
    <x v="0"/>
    <x v="1"/>
    <x v="0"/>
    <x v="0"/>
    <x v="0"/>
  </r>
  <r>
    <x v="1"/>
    <s v="RCAT"/>
    <n v="487"/>
    <n v="6.38"/>
    <n v="-0.4"/>
    <n v="0.59"/>
    <n v="-0.86"/>
    <n v="-15.95"/>
    <n v="10.813559322033898"/>
    <n v="-99.97"/>
    <n v="-29.49"/>
    <n v="1.1100000000000001"/>
    <n v="-7.4186046511627906"/>
    <s v="NO"/>
    <n v="-1.5108247330109013"/>
    <n v="4.3323149856791119"/>
    <n v="-4.9946081967638181"/>
    <n v="-3.4648653467696873"/>
    <n v="-1.4349387512585119"/>
    <n v="-0.83061179163970333"/>
    <x v="0"/>
    <x v="1"/>
    <x v="0"/>
    <x v="1"/>
    <x v="0"/>
    <x v="0"/>
  </r>
  <r>
    <x v="1"/>
    <s v="VPG"/>
    <n v="304"/>
    <n v="26.38"/>
    <n v="0.8"/>
    <n v="24.32"/>
    <n v="0.74"/>
    <n v="32.974999999999994"/>
    <n v="1.084703947368421"/>
    <n v="3.02"/>
    <n v="2.4500000000000002"/>
    <n v="1.4"/>
    <n v="35.648648648648646"/>
    <s v="NO"/>
    <n v="1.3248178393695202"/>
    <n v="-0.96651490619490676"/>
    <n v="0.21769441070692583"/>
    <n v="0.19098455521599789"/>
    <n v="-0.8404641257371287"/>
    <n v="0.91960065687756165"/>
    <x v="0"/>
    <x v="0"/>
    <x v="1"/>
    <x v="0"/>
    <x v="0"/>
    <x v="0"/>
  </r>
  <r>
    <x v="1"/>
    <s v="BELFA"/>
    <n v="795"/>
    <n v="72.650000000000006"/>
    <n v="4.9400000000000004"/>
    <n v="29.75"/>
    <n v="3.42"/>
    <n v="14.706477732793521"/>
    <n v="2.4420168067226893"/>
    <n v="12.84"/>
    <n v="7.04"/>
    <n v="2.5"/>
    <n v="21.242690058479536"/>
    <s v="NO"/>
    <n v="0.26599311836041689"/>
    <n v="-0.22725322794031635"/>
    <n v="0.71468258048421196"/>
    <n v="0.71635559623397838"/>
    <n v="1.414439626240533"/>
    <n v="0.33415612244637238"/>
    <x v="0"/>
    <x v="0"/>
    <x v="1"/>
    <x v="0"/>
    <x v="0"/>
    <x v="0"/>
  </r>
  <r>
    <x v="1"/>
    <s v="BELFB"/>
    <n v="890"/>
    <n v="80.28"/>
    <n v="4.9400000000000004"/>
    <n v="29.75"/>
    <n v="3.42"/>
    <n v="16.251012145748987"/>
    <n v="2.6984873949579833"/>
    <n v="12.84"/>
    <n v="7.04"/>
    <n v="2.5"/>
    <n v="23.473684210526315"/>
    <s v="NO"/>
    <n v="0.35551274096405761"/>
    <n v="-8.7566289755728804E-2"/>
    <n v="0.71468258048421196"/>
    <n v="0.71635559623397838"/>
    <n v="1.414439626240533"/>
    <n v="0.42482161509571648"/>
    <x v="0"/>
    <x v="0"/>
    <x v="1"/>
    <x v="0"/>
    <x v="0"/>
    <x v="0"/>
  </r>
  <r>
    <x v="1"/>
    <s v="KN"/>
    <n v="1393"/>
    <n v="17.37"/>
    <n v="1.1299999999999999"/>
    <n v="8.6199999999999992"/>
    <n v="0.27"/>
    <n v="15.371681415929206"/>
    <n v="2.0150812064965202"/>
    <n v="2.68"/>
    <n v="2.87"/>
    <n v="1.45"/>
    <n v="64.333333333333329"/>
    <s v="NO"/>
    <n v="0.30454763820106695"/>
    <n v="-0.45978408930707682"/>
    <n v="0.20048708099976931"/>
    <n v="0.23905772236796996"/>
    <n v="-0.73796850064723485"/>
    <n v="2.0853191174311507"/>
    <x v="0"/>
    <x v="0"/>
    <x v="1"/>
    <x v="0"/>
    <x v="0"/>
    <x v="0"/>
  </r>
  <r>
    <x v="1"/>
    <s v="ROG"/>
    <n v="1178"/>
    <n v="71"/>
    <n v="2.93"/>
    <n v="68.66"/>
    <n v="0.9"/>
    <n v="24.232081911262796"/>
    <n v="1.0340809787357996"/>
    <n v="1.34"/>
    <n v="1.78"/>
    <n v="1.19"/>
    <n v="78.888888888888886"/>
    <s v="NO"/>
    <n v="0.81808731838315185"/>
    <n v="-0.99408675191320717"/>
    <n v="0.13266995803626996"/>
    <n v="0.11429640761642337"/>
    <n v="-1.2709457511146822"/>
    <n v="2.6768431310726126"/>
    <x v="0"/>
    <x v="0"/>
    <x v="1"/>
    <x v="0"/>
    <x v="0"/>
    <x v="1"/>
  </r>
  <r>
    <x v="1"/>
    <s v="VSH"/>
    <n v="1644"/>
    <n v="14.84"/>
    <n v="-1.07"/>
    <n v="14.94"/>
    <n v="-0.23"/>
    <n v="-13.869158878504672"/>
    <n v="0.99330655957161984"/>
    <n v="-1.41"/>
    <n v="1.57"/>
    <n v="2.0299999999999998"/>
    <n v="-64.521739130434781"/>
    <s v="NO"/>
    <n v="-1.3902213263584338"/>
    <n v="-1.0162945762430438"/>
    <n v="-6.5069734186726999E-3"/>
    <n v="9.025982404043735E-2"/>
    <n v="0.45098075039553182"/>
    <n v="-3.1512291785724074"/>
    <x v="0"/>
    <x v="0"/>
    <x v="1"/>
    <x v="0"/>
    <x v="0"/>
    <x v="1"/>
  </r>
  <r>
    <x v="1"/>
    <s v="BHE"/>
    <n v="1251"/>
    <n v="37.159999999999997"/>
    <n v="3.91"/>
    <n v="30.6"/>
    <n v="1.44"/>
    <n v="9.5038363171355478"/>
    <n v="1.2143790849673202"/>
    <n v="4.84"/>
    <n v="3.16"/>
    <n v="1.93"/>
    <n v="25.805555555555554"/>
    <s v="NO"/>
    <n v="-3.5546615662460888E-2"/>
    <n v="-0.89588722504638829"/>
    <n v="0.30980423443346972"/>
    <n v="0.27225109968718875"/>
    <n v="0.24598950021574467"/>
    <n v="0.51958666147560117"/>
    <x v="0"/>
    <x v="0"/>
    <x v="1"/>
    <x v="0"/>
    <x v="0"/>
    <x v="0"/>
  </r>
  <r>
    <x v="1"/>
    <s v="CTS"/>
    <n v="1176"/>
    <n v="43.38"/>
    <n v="2.56"/>
    <n v="17.97"/>
    <n v="1.97"/>
    <n v="16.9453125"/>
    <n v="2.4140233722871454"/>
    <n v="11.39"/>
    <n v="6.48"/>
    <n v="1.42"/>
    <n v="22.020304568527919"/>
    <s v="NO"/>
    <n v="0.39575367387224319"/>
    <n v="-0.24249987736112513"/>
    <n v="0.64129838026251496"/>
    <n v="0.65225804003134891"/>
    <n v="-0.79946587570117122"/>
    <n v="0.3657576408009291"/>
    <x v="0"/>
    <x v="0"/>
    <x v="1"/>
    <x v="0"/>
    <x v="0"/>
    <x v="0"/>
  </r>
  <r>
    <x v="1"/>
    <s v="KE"/>
    <n v="451"/>
    <n v="18.53"/>
    <n v="4.9400000000000004"/>
    <n v="21.89"/>
    <n v="0.32"/>
    <n v="3.7510121457489878"/>
    <n v="0.84650525354042949"/>
    <n v="1.49"/>
    <n v="3.31"/>
    <n v="2"/>
    <n v="57.90625"/>
    <s v="NO"/>
    <n v="-0.3689743751270057"/>
    <n v="-1.0962500405405036"/>
    <n v="0.14026142702472139"/>
    <n v="0.28942008795575019"/>
    <n v="0.38948337534159599"/>
    <n v="1.8241285283924231"/>
    <x v="0"/>
    <x v="0"/>
    <x v="1"/>
    <x v="0"/>
    <x v="0"/>
    <x v="0"/>
  </r>
  <r>
    <x v="1"/>
    <s v="CLMB"/>
    <n v="476"/>
    <n v="109.81"/>
    <n v="5.16"/>
    <n v="21.21"/>
    <n v="4.26"/>
    <n v="21.281007751937985"/>
    <n v="5.1772748703441769"/>
    <n v="22.75"/>
    <n v="5.91"/>
    <n v="3.87"/>
    <n v="25.77699530516432"/>
    <s v="NO"/>
    <n v="0.64704610181834454"/>
    <n v="1.2625075539137713"/>
    <n v="1.216225631654569"/>
    <n v="0.58701588461081533"/>
    <n v="4.2228197537036207"/>
    <n v="0.51842599990706484"/>
    <x v="0"/>
    <x v="0"/>
    <x v="1"/>
    <x v="0"/>
    <x v="1"/>
    <x v="0"/>
  </r>
  <r>
    <x v="1"/>
    <s v="CNXN"/>
    <n v="1717"/>
    <n v="70.64"/>
    <n v="2.15"/>
    <n v="34.22"/>
    <n v="3.3"/>
    <n v="32.855813953488372"/>
    <n v="2.0642898889538284"/>
    <n v="10.11"/>
    <n v="5.27"/>
    <n v="1.42"/>
    <n v="21.406060606060606"/>
    <s v="NO"/>
    <n v="1.3179099389602802"/>
    <n v="-0.43298253583517249"/>
    <n v="0.57651784489439617"/>
    <n v="0.51376153466495311"/>
    <n v="-0.79946587570117122"/>
    <n v="0.34079534701235425"/>
    <x v="0"/>
    <x v="0"/>
    <x v="1"/>
    <x v="0"/>
    <x v="0"/>
    <x v="0"/>
  </r>
  <r>
    <x v="1"/>
    <s v="PLUS"/>
    <n v="1674"/>
    <n v="66.900000000000006"/>
    <n v="9.0500000000000007"/>
    <n v="36.409999999999997"/>
    <n v="3.91"/>
    <n v="7.3922651933701662"/>
    <n v="1.8374073056852516"/>
    <n v="11.39"/>
    <n v="5.12"/>
    <n v="1.83"/>
    <n v="17.10997442455243"/>
    <s v="NO"/>
    <n v="-0.15793110157269666"/>
    <n v="-0.55655434031484063"/>
    <n v="0.64129838026251496"/>
    <n v="0.49659254639639183"/>
    <n v="4.0998250035957522E-2"/>
    <n v="0.16620646709389583"/>
    <x v="0"/>
    <x v="0"/>
    <x v="1"/>
    <x v="0"/>
    <x v="0"/>
    <x v="0"/>
  </r>
  <r>
    <x v="1"/>
    <s v="SCSC"/>
    <n v="848"/>
    <n v="42.055"/>
    <n v="10.07"/>
    <n v="38.14"/>
    <n v="2.54"/>
    <n v="4.1762661370407148"/>
    <n v="1.1026481384373361"/>
    <n v="6.79"/>
    <n v="3.19"/>
    <n v="1.89"/>
    <n v="16.55708661417323"/>
    <s v="NO"/>
    <n v="-0.34432709210643309"/>
    <n v="-0.95674158627599126"/>
    <n v="0.40849333128333809"/>
    <n v="0.27568489734090101"/>
    <n v="0.16399300014382961"/>
    <n v="0.14373762930610576"/>
    <x v="0"/>
    <x v="0"/>
    <x v="1"/>
    <x v="0"/>
    <x v="0"/>
    <x v="0"/>
  </r>
  <r>
    <x v="2"/>
    <s v="ATEAY"/>
    <n v="1588"/>
    <n v="7.13"/>
    <n v="1.26"/>
    <n v="3.47"/>
    <n v="0.6"/>
    <n v="5.6587301587301582"/>
    <n v="2.0547550432276656"/>
    <n v="16.62"/>
    <n v="4.6500000000000004"/>
    <n v="3.83"/>
    <n v="11.883333333333333"/>
    <s v="NO"/>
    <n v="-1.4659922537640872E-2"/>
    <n v="-0.24430020687851528"/>
    <n v="0.67850590957397849"/>
    <n v="0.58453567542095186"/>
    <n v="0.9195715803775899"/>
    <n v="0.60377637208348589"/>
    <x v="0"/>
    <x v="0"/>
    <x v="1"/>
    <x v="0"/>
    <x v="0"/>
    <x v="0"/>
  </r>
  <r>
    <x v="2"/>
    <s v="BBAI"/>
    <n v="888"/>
    <n v="3.56"/>
    <n v="-0.17"/>
    <n v="0.68"/>
    <n v="-0.93"/>
    <n v="-20.941176470588236"/>
    <n v="5.2352941176470589"/>
    <n v="-150.02000000000001"/>
    <n v="-7.22"/>
    <n v="2"/>
    <n v="-3.8279569892473115"/>
    <s v="NO"/>
    <n v="-2.0626165686249629"/>
    <n v="1.0931428457785062"/>
    <n v="-3.4314986259188522"/>
    <n v="-1.4061882282251987"/>
    <n v="-0.47223111984804017"/>
    <n v="-0.48630931482925088"/>
    <x v="0"/>
    <x v="0"/>
    <x v="0"/>
    <x v="0"/>
    <x v="0"/>
    <x v="0"/>
  </r>
  <r>
    <x v="2"/>
    <s v="CINT"/>
    <n v="801"/>
    <n v="6.21"/>
    <n v="0.43"/>
    <n v="2.09"/>
    <n v="0.22"/>
    <n v="14.44186046511628"/>
    <n v="2.9712918660287082"/>
    <n v="10.32"/>
    <n v="6.39"/>
    <n v="1.88"/>
    <n v="28.227272727272727"/>
    <s v="NO"/>
    <n v="0.66156313098949671"/>
    <n v="0.14111112669655376"/>
    <n v="0.52312287684711323"/>
    <n v="0.87635198480126364"/>
    <n v="-0.56349687068250776"/>
    <n v="1.7377567158555409"/>
    <x v="0"/>
    <x v="0"/>
    <x v="1"/>
    <x v="0"/>
    <x v="0"/>
    <x v="0"/>
  </r>
  <r>
    <x v="2"/>
    <s v="DAVA"/>
    <n v="1137"/>
    <n v="21.41"/>
    <n v="0.73"/>
    <n v="13.78"/>
    <n v="0.12"/>
    <n v="29.328767123287673"/>
    <n v="1.553701015965167"/>
    <n v="0.86"/>
    <n v="1.4"/>
    <n v="1.5"/>
    <n v="178.41666666666669"/>
    <s v="NO"/>
    <n v="1.8077227718913991"/>
    <n v="-0.45499757989864797"/>
    <n v="0.28980168802232814"/>
    <n v="3.9476476865771583E-2"/>
    <n v="-0.85250508165832162"/>
    <n v="12.158244485986716"/>
    <x v="0"/>
    <x v="0"/>
    <x v="1"/>
    <x v="0"/>
    <x v="0"/>
    <x v="1"/>
  </r>
  <r>
    <x v="2"/>
    <s v="FORTY"/>
    <n v="1334"/>
    <n v="96.05"/>
    <n v="17.190000000000001"/>
    <n v="44.38"/>
    <n v="5.09"/>
    <n v="5.5875509016870266"/>
    <n v="2.1642631816133391"/>
    <n v="14.37"/>
    <n v="5.8"/>
    <n v="4.4400000000000004"/>
    <n v="18.870333988212181"/>
    <s v="NO"/>
    <n v="-2.0140093372690692E-2"/>
    <n v="-0.19825112668601388"/>
    <n v="0.62301196931438363"/>
    <n v="0.77740277644816935"/>
    <n v="1.3835058137861334"/>
    <n v="1.0885506491768724"/>
    <x v="0"/>
    <x v="0"/>
    <x v="1"/>
    <x v="0"/>
    <x v="0"/>
    <x v="0"/>
  </r>
  <r>
    <x v="2"/>
    <s v="GDYN"/>
    <n v="1127"/>
    <n v="15.03"/>
    <n v="0.31"/>
    <n v="6.12"/>
    <n v="0.13"/>
    <n v="48.483870967741936"/>
    <n v="2.4558823529411762"/>
    <n v="2.42"/>
    <n v="0.81"/>
    <n v="1.1399999999999999"/>
    <n v="115.61538461538461"/>
    <s v="NO"/>
    <n v="3.2824957014138261"/>
    <n v="-7.5622847143429678E-2"/>
    <n v="0.32827748660231387"/>
    <n v="-5.9472731487322648E-2"/>
    <n v="-1.1263023341617242"/>
    <n v="7.8009461815004357"/>
    <x v="1"/>
    <x v="0"/>
    <x v="1"/>
    <x v="0"/>
    <x v="0"/>
    <x v="1"/>
  </r>
  <r>
    <x v="2"/>
    <s v="HCKT"/>
    <n v="662"/>
    <n v="25.76"/>
    <n v="1.58"/>
    <n v="4.2"/>
    <n v="1.05"/>
    <n v="16.303797468354432"/>
    <n v="6.1333333333333337"/>
    <n v="28.82"/>
    <n v="14.96"/>
    <n v="1.66"/>
    <n v="24.533333333333335"/>
    <s v="NO"/>
    <n v="0.80491574923420184"/>
    <n v="1.4707757821864405"/>
    <n v="0.97940638564822557"/>
    <n v="2.3136311637606162"/>
    <n v="-0.73081741387903154"/>
    <n v="1.4814626509518356"/>
    <x v="0"/>
    <x v="0"/>
    <x v="1"/>
    <x v="0"/>
    <x v="0"/>
    <x v="0"/>
  </r>
  <r>
    <x v="2"/>
    <s v="UIS"/>
    <n v="337"/>
    <n v="5.73"/>
    <n v="1.1599999999999999"/>
    <n v="-3.77"/>
    <n v="-1.06"/>
    <n v="4.9396551724137936"/>
    <n v="-1.5198938992042441"/>
    <n v="37.35"/>
    <n v="4.3"/>
    <n v="-6.87"/>
    <n v="-5.4056603773584904"/>
    <s v="NO"/>
    <n v="-7.0022312255152597E-2"/>
    <n v="-1.7474697268493011"/>
    <n v="1.1897900791657114"/>
    <n v="0.52583699249962468"/>
    <n v="-7.2182912023624324"/>
    <n v="-0.59577402754619058"/>
    <x v="0"/>
    <x v="0"/>
    <x v="1"/>
    <x v="0"/>
    <x v="1"/>
    <x v="0"/>
  </r>
  <r>
    <x v="2"/>
    <s v="APLD"/>
    <n v="1180"/>
    <n v="5.61"/>
    <n v="-3.95"/>
    <n v="2.0299999999999998"/>
    <n v="-1.39"/>
    <n v="-1.420253164556962"/>
    <n v="2.7635467980295569"/>
    <n v="-79.239999999999995"/>
    <n v="-4.5999999999999996"/>
    <n v="3.76"/>
    <n v="-4.0359712230215834"/>
    <s v="NO"/>
    <n v="-0.55967878844930141"/>
    <n v="5.375260305698918E-2"/>
    <n v="-1.6857825852192447"/>
    <n v="-0.96678665892840721"/>
    <n v="0.86633322572415028"/>
    <n v="-0.5007418238247443"/>
    <x v="0"/>
    <x v="0"/>
    <x v="1"/>
    <x v="0"/>
    <x v="0"/>
    <x v="0"/>
  </r>
  <r>
    <x v="2"/>
    <s v="BASE"/>
    <n v="943"/>
    <n v="18.16"/>
    <n v="-0.37"/>
    <n v="2.4"/>
    <n v="-1.45"/>
    <n v="-49.081081081081081"/>
    <n v="7.5666666666666673"/>
    <n v="-57.86"/>
    <n v="-19.34"/>
    <n v="2.04"/>
    <n v="-12.524137931034483"/>
    <s v="NO"/>
    <n v="-4.2291393865585833"/>
    <n v="2.0735043335274881"/>
    <n v="-1.1584668328858512"/>
    <n v="-3.4388397625294402"/>
    <n v="-0.44180920290321762"/>
    <n v="-1.0896704761860132"/>
    <x v="1"/>
    <x v="0"/>
    <x v="1"/>
    <x v="1"/>
    <x v="0"/>
    <x v="0"/>
  </r>
  <r>
    <x v="2"/>
    <s v="BIGC"/>
    <n v="413"/>
    <n v="5.33"/>
    <n v="0.28999999999999998"/>
    <n v="0.42"/>
    <n v="-0.35"/>
    <n v="18.379310344827587"/>
    <n v="12.690476190476192"/>
    <n v="-91.78"/>
    <n v="-4.25"/>
    <n v="10.199999999999999"/>
    <n v="-15.22857142857143"/>
    <s v="NO"/>
    <n v="0.96471181350790303"/>
    <n v="4.2281087230390071"/>
    <n v="-1.9950688122660531"/>
    <n v="-0.90808797600708013"/>
    <n v="5.7642618538405745"/>
    <n v="-1.27731033175124"/>
    <x v="0"/>
    <x v="1"/>
    <x v="1"/>
    <x v="0"/>
    <x v="1"/>
    <x v="0"/>
  </r>
  <r>
    <x v="2"/>
    <s v="FSLY"/>
    <n v="872"/>
    <n v="8.17"/>
    <n v="-0.15"/>
    <n v="6.79"/>
    <n v="-1.1399999999999999"/>
    <n v="-54.466666666666669"/>
    <n v="1.2032400589101619"/>
    <n v="-16.260000000000002"/>
    <n v="-6.47"/>
    <n v="1.5"/>
    <n v="-7.166666666666667"/>
    <s v="NO"/>
    <n v="-4.6437816613143692"/>
    <n v="-0.60236931823401563"/>
    <n v="-0.13244553741956616"/>
    <n v="-1.2804053362509265"/>
    <n v="-0.85250508165832162"/>
    <n v="-0.71795671980916731"/>
    <x v="1"/>
    <x v="0"/>
    <x v="1"/>
    <x v="0"/>
    <x v="0"/>
    <x v="0"/>
  </r>
  <r>
    <x v="2"/>
    <s v="RXT"/>
    <n v="339"/>
    <n v="1.27"/>
    <n v="-0.32"/>
    <n v="-4.38"/>
    <n v="-3.82"/>
    <n v="-3.96875"/>
    <n v="-0.28995433789954339"/>
    <n v="148.13"/>
    <n v="-1.96"/>
    <n v="-3.04"/>
    <n v="-0.33246073298429324"/>
    <s v="NO"/>
    <n v="-0.75589041822718461"/>
    <n v="-1.2302699431128643"/>
    <n v="3.9220650578136693"/>
    <n v="-0.52403087917896862"/>
    <n v="-4.3053926548956767"/>
    <n v="-0.24378369412112946"/>
    <x v="0"/>
    <x v="0"/>
    <x v="0"/>
    <x v="0"/>
    <x v="1"/>
    <x v="0"/>
  </r>
  <r>
    <x v="2"/>
    <s v="VNET"/>
    <n v="1727"/>
    <n v="6.39"/>
    <n v="-1.61"/>
    <n v="3.24"/>
    <n v="0.02"/>
    <n v="-3.9689440993788816"/>
    <n v="1.9722222222222221"/>
    <n v="3.7"/>
    <n v="1.33"/>
    <n v="5.08"/>
    <n v="319.5"/>
    <s v="NO"/>
    <n v="-0.75590536215606818"/>
    <n v="-0.27900594244319032"/>
    <n v="0.35984737261666105"/>
    <n v="2.7736740281506189E-2"/>
    <n v="1.8702564849032934"/>
    <n v="21.946932694972986"/>
    <x v="0"/>
    <x v="0"/>
    <x v="1"/>
    <x v="0"/>
    <x v="0"/>
    <x v="1"/>
  </r>
  <r>
    <x v="3"/>
    <s v="ACLS"/>
    <n v="1869"/>
    <n v="62.86"/>
    <n v="3.95"/>
    <n v="31.29"/>
    <n v="6.15"/>
    <n v="15.913924050632911"/>
    <n v="2.0089485458612977"/>
    <n v="21.41"/>
    <n v="10.02"/>
    <n v="1.33"/>
    <n v="10.221138211382113"/>
    <s v="NO"/>
    <n v="-9.7125227876091614E-3"/>
    <n v="0.8676204638698366"/>
    <n v="1.6453909177286465"/>
    <n v="1.9340583954711472"/>
    <n v="-0.41331228952085058"/>
    <n v="0.23627210660322839"/>
    <x v="0"/>
    <x v="0"/>
    <x v="1"/>
    <x v="0"/>
    <x v="0"/>
    <x v="0"/>
  </r>
  <r>
    <x v="3"/>
    <s v="ACMR"/>
    <n v="1279"/>
    <n v="25.14"/>
    <n v="1.07"/>
    <n v="14.37"/>
    <n v="1.53"/>
    <n v="23.495327102803738"/>
    <n v="1.7494780793319418"/>
    <n v="12.98"/>
    <n v="5.64"/>
    <n v="2.0499999999999998"/>
    <n v="16.431372549019606"/>
    <s v="NO"/>
    <n v="0.33577666255653882"/>
    <n v="0.51650617201732818"/>
    <n v="0.9691613036404102"/>
    <n v="1.0598792732539748"/>
    <n v="0.44510554256091567"/>
    <n v="0.55867493839597315"/>
    <x v="0"/>
    <x v="0"/>
    <x v="1"/>
    <x v="0"/>
    <x v="0"/>
    <x v="0"/>
  </r>
  <r>
    <x v="3"/>
    <s v="COHU"/>
    <n v="737"/>
    <n v="18.149999999999999"/>
    <n v="-0.25"/>
    <n v="17.8"/>
    <n v="-1.84"/>
    <n v="-72.599999999999994"/>
    <n v="1.0196629213483144"/>
    <n v="-9.8699999999999992"/>
    <n v="-4.6399999999999997"/>
    <n v="1.18"/>
    <n v="-9.8641304347826075"/>
    <s v="NO"/>
    <n v="-4.0433463108119279"/>
    <n v="-0.47107648355883769"/>
    <n v="-0.86379797060824937"/>
    <n v="-0.99184706838815562"/>
    <n v="-0.59214933787121871"/>
    <n v="-0.80644981607786848"/>
    <x v="1"/>
    <x v="0"/>
    <x v="1"/>
    <x v="0"/>
    <x v="0"/>
    <x v="0"/>
  </r>
  <r>
    <x v="3"/>
    <s v="DQ"/>
    <n v="872"/>
    <n v="15.02"/>
    <n v="-8.94"/>
    <n v="64.67"/>
    <n v="-6.51"/>
    <n v="-1.680089485458613"/>
    <n v="0.23225606927477963"/>
    <n v="-9.33"/>
    <n v="-4.74"/>
    <n v="1.46"/>
    <n v="-2.3072196620583716"/>
    <s v="NO"/>
    <n v="-0.81148250674561395"/>
    <n v="-1.5365919657778242"/>
    <n v="-0.82048077112928774"/>
    <n v="-1.0118054958360363"/>
    <n v="-0.25832018095053172"/>
    <n v="-0.41413459892645899"/>
    <x v="0"/>
    <x v="0"/>
    <x v="1"/>
    <x v="0"/>
    <x v="0"/>
    <x v="0"/>
  </r>
  <r>
    <x v="3"/>
    <s v="ICHR"/>
    <n v="566"/>
    <n v="19.28"/>
    <n v="0.31"/>
    <n v="20.53"/>
    <n v="-0.49"/>
    <n v="62.193548387096776"/>
    <n v="0.93911349245007303"/>
    <n v="-2.35"/>
    <n v="-0.26"/>
    <n v="1.44"/>
    <n v="-39.34693877551021"/>
    <s v="NO"/>
    <n v="2.0992783328640829"/>
    <n v="-0.5800756157723308"/>
    <n v="-0.26056585934567095"/>
    <n v="-0.11766794617098333"/>
    <n v="-0.28216512073058081"/>
    <n v="-2.3370427665959594"/>
    <x v="0"/>
    <x v="0"/>
    <x v="1"/>
    <x v="0"/>
    <x v="0"/>
    <x v="0"/>
  </r>
  <r>
    <x v="3"/>
    <s v="KLIC"/>
    <n v="1647"/>
    <n v="34.6"/>
    <n v="0.64"/>
    <n v="18.170000000000002"/>
    <n v="0.06"/>
    <n v="54.0625"/>
    <n v="1.9042377545404512"/>
    <n v="0.31"/>
    <n v="1.2"/>
    <n v="1.29"/>
    <n v="576.66666666666674"/>
    <s v="NO"/>
    <n v="1.7287414726126631"/>
    <n v="0.72592628250228108"/>
    <n v="-4.7188543393748193E-2"/>
    <n v="0.17372509456807411"/>
    <n v="-0.46100216908094876"/>
    <n v="29.643156372390127"/>
    <x v="0"/>
    <x v="0"/>
    <x v="1"/>
    <x v="0"/>
    <x v="0"/>
    <x v="1"/>
  </r>
  <r>
    <x v="3"/>
    <s v="PDFS"/>
    <n v="748"/>
    <n v="19.41"/>
    <n v="-0.21"/>
    <n v="6.34"/>
    <n v="0.1"/>
    <n v="-92.428571428571431"/>
    <n v="3.0615141955835963"/>
    <n v="1.71"/>
    <n v="0.19"/>
    <n v="1.28"/>
    <n v="194.1"/>
    <s v="NO"/>
    <n v="-4.9469464679667219"/>
    <n v="2.291947662544326"/>
    <n v="6.5115307107263765E-2"/>
    <n v="-2.7855022655520412E-2"/>
    <n v="-0.47292463897097331"/>
    <n v="9.7822992811638727"/>
    <x v="1"/>
    <x v="0"/>
    <x v="1"/>
    <x v="0"/>
    <x v="0"/>
    <x v="1"/>
  </r>
  <r>
    <x v="3"/>
    <s v="PLAB"/>
    <n v="1207"/>
    <n v="20.93"/>
    <n v="2.84"/>
    <n v="18.100000000000001"/>
    <n v="2.35"/>
    <n v="7.369718309859155"/>
    <n v="1.156353591160221"/>
    <n v="14.29"/>
    <n v="8.2200000000000006"/>
    <n v="1.51"/>
    <n v="8.9063829787234035"/>
    <s v="YES"/>
    <n v="-0.39907721695823151"/>
    <n v="-0.28610727154864263"/>
    <n v="1.0742456208949285"/>
    <n v="1.5748067014092957"/>
    <n v="-0.19870783150040902"/>
    <n v="0.16801690284150519"/>
    <x v="0"/>
    <x v="0"/>
    <x v="1"/>
    <x v="0"/>
    <x v="0"/>
    <x v="0"/>
  </r>
  <r>
    <x v="3"/>
    <s v="SEDG"/>
    <n v="872"/>
    <n v="18.149999999999999"/>
    <n v="-7.56"/>
    <n v="11.35"/>
    <n v="-31.64"/>
    <n v="-2.4007936507936507"/>
    <n v="1.5991189427312775"/>
    <n v="-117.67"/>
    <n v="-24.41"/>
    <n v="4"/>
    <n v="-0.57364096080910232"/>
    <s v="NO"/>
    <n v="-0.84432543743302024"/>
    <n v="0.31304085098386897"/>
    <n v="-9.5111944591861715"/>
    <n v="-4.9376281748341597"/>
    <n v="2.7699871711157003"/>
    <n v="-0.32413627486466928"/>
    <x v="0"/>
    <x v="0"/>
    <x v="0"/>
    <x v="1"/>
    <x v="0"/>
    <x v="0"/>
  </r>
  <r>
    <x v="3"/>
    <s v="UCTT"/>
    <n v="874"/>
    <n v="22.66"/>
    <n v="0.56999999999999995"/>
    <n v="19.329999999999998"/>
    <n v="0.62"/>
    <n v="39.754385964912281"/>
    <n v="1.1722710812209003"/>
    <n v="4.29"/>
    <n v="2.9"/>
    <n v="2.17"/>
    <n v="36.548387096774192"/>
    <s v="NO"/>
    <n v="1.0767119435430823"/>
    <n v="-0.2645677941449881"/>
    <n v="0.27207526017341438"/>
    <n v="0.51301836118204514"/>
    <n v="0.58817518124121027"/>
    <n v="1.6030449419728836"/>
    <x v="0"/>
    <x v="0"/>
    <x v="1"/>
    <x v="0"/>
    <x v="0"/>
    <x v="0"/>
  </r>
  <r>
    <x v="3"/>
    <s v="VECO"/>
    <n v="1094"/>
    <n v="21.2"/>
    <n v="0.81"/>
    <n v="13.56"/>
    <n v="1.23"/>
    <n v="26.172839506172838"/>
    <n v="1.5634218289085544"/>
    <n v="10.220000000000001"/>
    <n v="3.72"/>
    <n v="1.62"/>
    <n v="17.235772357723576"/>
    <s v="NO"/>
    <n v="0.45779254439571454"/>
    <n v="0.26473567387183039"/>
    <n v="0.74776228408127232"/>
    <n v="0.6766774662546664"/>
    <n v="-6.7560662710139011E-2"/>
    <n v="0.6004351622651356"/>
    <x v="0"/>
    <x v="0"/>
    <x v="1"/>
    <x v="0"/>
    <x v="0"/>
    <x v="0"/>
  </r>
  <r>
    <x v="3"/>
    <s v="AOSL"/>
    <n v="590"/>
    <n v="24.79"/>
    <n v="1.07"/>
    <n v="30.88"/>
    <n v="-0.8"/>
    <n v="23.168224299065418"/>
    <n v="0.80278497409326421"/>
    <n v="-2.57"/>
    <n v="-0.98"/>
    <n v="1.26"/>
    <n v="-30.987499999999997"/>
    <s v="NO"/>
    <n v="0.32087038723920425"/>
    <n v="-0.76455476602944517"/>
    <n v="-0.27821360728154421"/>
    <n v="-0.26136862379572401"/>
    <n v="-0.4967695787510224"/>
    <n v="-1.9030644999323791"/>
    <x v="0"/>
    <x v="0"/>
    <x v="1"/>
    <x v="0"/>
    <x v="0"/>
    <x v="0"/>
  </r>
  <r>
    <x v="3"/>
    <s v="BZAI"/>
    <n v="256"/>
    <n v="2.83"/>
    <n v="-3.11"/>
    <n v="-16.309999999999999"/>
    <n v="-3.5"/>
    <n v="-0.909967845659164"/>
    <n v="-0.17351318209687311"/>
    <n v="74.78"/>
    <n v="-60.05"/>
    <n v="-0.28000000000000003"/>
    <n v="-0.80857142857142861"/>
    <s v="NO"/>
    <n v="-0.77638759144836877"/>
    <n v="-2.0856771285578493"/>
    <n v="5.9265741328993666"/>
    <n v="-12.050811717258822"/>
    <n v="-2.3328299418148011"/>
    <n v="-0.33633263396531188"/>
    <x v="0"/>
    <x v="0"/>
    <x v="0"/>
    <x v="1"/>
    <x v="0"/>
    <x v="0"/>
  </r>
  <r>
    <x v="3"/>
    <s v="CEVA"/>
    <n v="505"/>
    <n v="22.17"/>
    <n v="-0.01"/>
    <n v="11.28"/>
    <n v="-0.37"/>
    <n v="-2217"/>
    <n v="1.9654255319148939"/>
    <n v="-3.31"/>
    <n v="-1.54"/>
    <n v="1.1599999999999999"/>
    <n v="-59.918918918918926"/>
    <s v="NO"/>
    <n v="-101.76496907031607"/>
    <n v="0.80872531319823027"/>
    <n v="-0.33757421397493625"/>
    <n v="-0.37313581750385566"/>
    <n v="-0.61599427765126791"/>
    <n v="-3.4050322003638032"/>
    <x v="1"/>
    <x v="0"/>
    <x v="1"/>
    <x v="0"/>
    <x v="0"/>
    <x v="1"/>
  </r>
  <r>
    <x v="3"/>
    <s v="CSIQ"/>
    <n v="601"/>
    <n v="10.15"/>
    <n v="-41.37"/>
    <n v="42.05"/>
    <n v="0.54"/>
    <n v="-0.24534686971235198"/>
    <n v="0.24137931034482762"/>
    <n v="-1.98"/>
    <n v="0.44"/>
    <n v="4.8"/>
    <n v="18.796296296296294"/>
    <s v="NO"/>
    <n v="-0.74610040608671624"/>
    <n v="-1.5242464361668571"/>
    <n v="-0.2308855559989749"/>
    <n v="2.2041045964181206E-2"/>
    <n v="3.723784762317663"/>
    <n v="0.6814493896715057"/>
    <x v="0"/>
    <x v="0"/>
    <x v="1"/>
    <x v="0"/>
    <x v="1"/>
    <x v="0"/>
  </r>
  <r>
    <x v="3"/>
    <s v="DIOD"/>
    <n v="1822"/>
    <n v="48.55"/>
    <n v="1"/>
    <n v="38.75"/>
    <n v="0.95"/>
    <n v="48.55"/>
    <n v="1.2529032258064516"/>
    <n v="2.76"/>
    <n v="1.35"/>
    <n v="1.33"/>
    <n v="51.105263157894733"/>
    <s v="NO"/>
    <n v="1.477533467827284"/>
    <n v="-0.15545673142794519"/>
    <n v="0.14934319498302273"/>
    <n v="0.2036627357398951"/>
    <n v="-0.41331228952085058"/>
    <n v="2.3587616845308892"/>
    <x v="0"/>
    <x v="0"/>
    <x v="1"/>
    <x v="0"/>
    <x v="0"/>
    <x v="0"/>
  </r>
  <r>
    <x v="3"/>
    <s v="HIMX"/>
    <n v="1307"/>
    <n v="8.41"/>
    <n v="0.59"/>
    <n v="5.09"/>
    <n v="0.46"/>
    <n v="14.254237288135593"/>
    <n v="1.6522593320235757"/>
    <n v="9.06"/>
    <n v="2.6"/>
    <n v="1.84"/>
    <n v="18.282608695652172"/>
    <s v="NO"/>
    <n v="-8.5345466130131831E-2"/>
    <n v="0.38495019159092769"/>
    <n v="0.65471052223757664"/>
    <n v="0.45314307883840316"/>
    <n v="0.19473367487040075"/>
    <n v="0.65478142062229117"/>
    <x v="0"/>
    <x v="0"/>
    <x v="1"/>
    <x v="0"/>
    <x v="0"/>
    <x v="0"/>
  </r>
  <r>
    <x v="3"/>
    <s v="IMOS"/>
    <n v="613"/>
    <n v="18.16"/>
    <n v="0.04"/>
    <n v="1.05"/>
    <n v="1.17"/>
    <n v="454"/>
    <n v="17.295238095238094"/>
    <n v="5.69"/>
    <n v="1.74"/>
    <n v="1.81"/>
    <n v="15.521367521367523"/>
    <s v="NO"/>
    <n v="19.954138554490665"/>
    <n v="21.552960117254237"/>
    <n v="0.38437911067442637"/>
    <n v="0.28150060278662964"/>
    <n v="0.15896626520032711"/>
    <n v="0.51143224481795946"/>
    <x v="1"/>
    <x v="1"/>
    <x v="1"/>
    <x v="0"/>
    <x v="0"/>
    <x v="0"/>
  </r>
  <r>
    <x v="3"/>
    <s v="INDI"/>
    <n v="420"/>
    <n v="2.68"/>
    <n v="-0.43"/>
    <n v="2.21"/>
    <n v="-0.76"/>
    <n v="-6.2325581395348841"/>
    <n v="1.2126696832579187"/>
    <n v="-31.26"/>
    <n v="-11.68"/>
    <n v="2.25"/>
    <n v="-3.5263157894736845"/>
    <s v="NO"/>
    <n v="-1.0189412944895557"/>
    <n v="-0.20990058390025601"/>
    <n v="-2.5796403721915682"/>
    <n v="-2.3969203607189531"/>
    <n v="0.68355494036140663"/>
    <n v="-0.47742368309583139"/>
    <x v="0"/>
    <x v="0"/>
    <x v="1"/>
    <x v="0"/>
    <x v="0"/>
    <x v="0"/>
  </r>
  <r>
    <x v="3"/>
    <s v="JKS"/>
    <n v="928"/>
    <n v="19.37"/>
    <n v="-5.49"/>
    <n v="49.16"/>
    <n v="-5.04"/>
    <n v="-3.5282331511839709"/>
    <n v="0.39401952807160295"/>
    <n v="-9.06"/>
    <n v="-2.23"/>
    <n v="6.64"/>
    <n v="-3.8432539682539684"/>
    <s v="NO"/>
    <n v="-0.89570354671361463"/>
    <n v="-1.3176943662059935"/>
    <n v="-0.79882217138980682"/>
    <n v="-0.51084896689423209"/>
    <n v="5.9175192220821771"/>
    <n v="-0.49387745291941432"/>
    <x v="0"/>
    <x v="0"/>
    <x v="1"/>
    <x v="0"/>
    <x v="1"/>
    <x v="0"/>
  </r>
  <r>
    <x v="3"/>
    <s v="MXL"/>
    <n v="943"/>
    <n v="12.83"/>
    <n v="-1.06"/>
    <n v="5.71"/>
    <n v="-2.64"/>
    <n v="-12.10377358490566"/>
    <n v="2.2469352014010506"/>
    <n v="-39.36"/>
    <n v="-10.27"/>
    <n v="1.73"/>
    <n v="-4.8598484848484844"/>
    <s v="NO"/>
    <n v="-1.2864961820535816"/>
    <n v="1.1896629573677753"/>
    <n v="-3.2293983643759945"/>
    <n v="-2.1155065337038357"/>
    <n v="6.3586506080130736E-2"/>
    <n v="-0.54665371434785714"/>
    <x v="0"/>
    <x v="0"/>
    <x v="0"/>
    <x v="0"/>
    <x v="0"/>
    <x v="0"/>
  </r>
  <r>
    <x v="3"/>
    <s v="NVEC"/>
    <n v="293"/>
    <n v="70.650000000000006"/>
    <n v="2.85"/>
    <n v="13.02"/>
    <n v="3.1"/>
    <n v="24.789473684210527"/>
    <n v="5.4262672811059911"/>
    <n v="23.13"/>
    <n v="14.94"/>
    <n v="1.03"/>
    <n v="22.790322580645164"/>
    <s v="NO"/>
    <n v="0.39475171572933127"/>
    <n v="5.491921116691918"/>
    <n v="1.7833642197727468"/>
    <n v="2.9160130259068753"/>
    <n v="-0.77098638622158666"/>
    <n v="0.88879830990864328"/>
    <x v="0"/>
    <x v="1"/>
    <x v="1"/>
    <x v="1"/>
    <x v="0"/>
    <x v="0"/>
  </r>
  <r>
    <x v="3"/>
    <s v="NVTS"/>
    <n v="372"/>
    <n v="2.14"/>
    <n v="-0.36"/>
    <n v="1.85"/>
    <n v="-0.46"/>
    <n v="-5.9444444444444446"/>
    <n v="1.1567567567567567"/>
    <n v="-23.22"/>
    <n v="-17.95"/>
    <n v="1.1200000000000001"/>
    <n v="-4.6521739130434785"/>
    <s v="NO"/>
    <n v="-1.0058117767580343"/>
    <n v="-0.28556170964011257"/>
    <n v="-1.9346954021714706"/>
    <n v="-3.6483137617010697"/>
    <n v="-0.66368415721136576"/>
    <n v="-0.53587233857343652"/>
    <x v="0"/>
    <x v="0"/>
    <x v="1"/>
    <x v="1"/>
    <x v="0"/>
    <x v="0"/>
  </r>
  <r>
    <x v="3"/>
    <s v="PENG"/>
    <n v="929"/>
    <n v="19.420000000000002"/>
    <n v="2.6"/>
    <n v="11.23"/>
    <n v="-0.16"/>
    <n v="7.4692307692307693"/>
    <n v="1.7292965271593945"/>
    <n v="-0.53"/>
    <n v="2.78"/>
    <n v="3.01"/>
    <n v="-121.37500000000001"/>
    <s v="NO"/>
    <n v="-0.39454237317228519"/>
    <n v="0.48919658455510079"/>
    <n v="-0.11457085369435538"/>
    <n v="0.48906824824458828"/>
    <n v="1.5896626520032711"/>
    <n v="-6.5955099656461025"/>
    <x v="0"/>
    <x v="0"/>
    <x v="1"/>
    <x v="0"/>
    <x v="0"/>
    <x v="1"/>
  </r>
  <r>
    <x v="3"/>
    <s v="POET"/>
    <n v="332"/>
    <n v="4.3849999999999998"/>
    <n v="-0.5"/>
    <n v="0.27"/>
    <n v="-0.94"/>
    <n v="-8.77"/>
    <n v="16.24074074074074"/>
    <n v="-442.59"/>
    <n v="-47.92"/>
    <n v="3.37"/>
    <n v="-4.6648936170212769"/>
    <s v="NO"/>
    <n v="-1.1345740758095271"/>
    <n v="20.126018944190932"/>
    <n v="-35.575313819749603"/>
    <n v="-9.629854467830901"/>
    <n v="2.0188715680441547"/>
    <n v="-0.53653267896625456"/>
    <x v="0"/>
    <x v="1"/>
    <x v="0"/>
    <x v="1"/>
    <x v="0"/>
    <x v="0"/>
  </r>
  <r>
    <x v="3"/>
    <s v="SIMO"/>
    <n v="1813"/>
    <n v="57.42"/>
    <n v="2.21"/>
    <n v="22.96"/>
    <n v="2.8"/>
    <n v="25.981900452488688"/>
    <n v="2.500871080139373"/>
    <n v="12.34"/>
    <n v="5.34"/>
    <n v="1.28"/>
    <n v="20.50714285714286"/>
    <s v="NO"/>
    <n v="0.44909133465211298"/>
    <n v="1.5332878694117174"/>
    <n v="0.91782240055423325"/>
    <n v="1.0000039909103329"/>
    <n v="-0.47292463897097331"/>
    <n v="0.77026758009580532"/>
    <x v="0"/>
    <x v="0"/>
    <x v="1"/>
    <x v="0"/>
    <x v="0"/>
    <x v="0"/>
  </r>
  <r>
    <x v="3"/>
    <s v="SKYT"/>
    <n v="348"/>
    <n v="8.3800000000000008"/>
    <n v="0.15"/>
    <n v="1.21"/>
    <n v="-0.14000000000000001"/>
    <n v="55.866666666666674"/>
    <n v="6.9256198347107443"/>
    <n v="-4.05"/>
    <n v="1.3"/>
    <n v="5.45"/>
    <n v="-59.857142857142854"/>
    <s v="NO"/>
    <n v="1.81095845377069"/>
    <n v="7.5208383847642075"/>
    <n v="-0.39693482066832836"/>
    <n v="0.19368352201595479"/>
    <n v="4.4987453051692583"/>
    <n v="-3.4018251108771951"/>
    <x v="0"/>
    <x v="1"/>
    <x v="1"/>
    <x v="0"/>
    <x v="1"/>
    <x v="1"/>
  </r>
  <r>
    <x v="3"/>
    <s v="WOLF"/>
    <n v="639"/>
    <n v="3.87"/>
    <n v="-21.81"/>
    <n v="2.69"/>
    <n v="-7.71"/>
    <n v="-0.17744154057771666"/>
    <n v="1.4386617100371748"/>
    <n v="-128.47"/>
    <n v="-3.52"/>
    <n v="20.78"/>
    <n v="-0.50194552529182879"/>
    <s v="NO"/>
    <n v="-0.74300591860441123"/>
    <n v="9.5910830817859047E-2"/>
    <n v="-10.377538448765405"/>
    <n v="-0.76831268097189243"/>
    <n v="22.775891646576873"/>
    <n v="-0.32041422346037773"/>
    <x v="0"/>
    <x v="0"/>
    <x v="0"/>
    <x v="0"/>
    <x v="1"/>
    <x v="0"/>
  </r>
  <r>
    <x v="4"/>
    <s v="AMPL"/>
    <n v="1219"/>
    <n v="11.8"/>
    <n v="0.09"/>
    <n v="2.2999999999999998"/>
    <n v="-0.76"/>
    <n v="131.11111111111111"/>
    <n v="5.1304347826086962"/>
    <n v="-31.9"/>
    <n v="-15.26"/>
    <n v="1.5"/>
    <n v="-15.526315789473685"/>
    <s v="NO"/>
    <n v="5.1808481622287239"/>
    <n v="0.54539511040142052"/>
    <n v="-0.91493524089399181"/>
    <n v="-2.4949744677504007"/>
    <n v="-0.40587227482616306"/>
    <n v="-0.30283041365115715"/>
    <x v="1"/>
    <x v="0"/>
    <x v="1"/>
    <x v="0"/>
    <x v="0"/>
    <x v="0"/>
  </r>
  <r>
    <x v="4"/>
    <s v="API"/>
    <n v="307"/>
    <n v="3.54"/>
    <n v="-0.56000000000000005"/>
    <n v="6.14"/>
    <n v="-0.46"/>
    <n v="-6.3214285714285712"/>
    <n v="0.57654723127035834"/>
    <n v="-7.26"/>
    <n v="-4.8499999999999996"/>
    <n v="1.22"/>
    <n v="-7.695652173913043"/>
    <s v="NO"/>
    <n v="-0.79601234504093354"/>
    <n v="-0.91629381491758843"/>
    <n v="-0.13830479424491454"/>
    <n v="-0.70152053072600573"/>
    <n v="-0.70753661089833209"/>
    <n v="-3.392934903432495E-2"/>
    <x v="0"/>
    <x v="0"/>
    <x v="1"/>
    <x v="0"/>
    <x v="0"/>
    <x v="0"/>
  </r>
  <r>
    <x v="4"/>
    <s v="APPS"/>
    <n v="379"/>
    <n v="4.42"/>
    <n v="-0.38"/>
    <n v="1.56"/>
    <n v="-3.01"/>
    <n v="-11.631578947368421"/>
    <n v="2.833333333333333"/>
    <n v="-101.69"/>
    <n v="-3.4"/>
    <n v="5.14"/>
    <n v="-1.4684385382059801"/>
    <s v="NO"/>
    <n v="-1.0269476689673547"/>
    <n v="-0.19191948309425502"/>
    <n v="-3.1146527275676572"/>
    <n v="-0.45171186514623907"/>
    <n v="3.5157640941120341"/>
    <n v="0.17991004676229758"/>
    <x v="0"/>
    <x v="0"/>
    <x v="0"/>
    <x v="0"/>
    <x v="1"/>
    <x v="0"/>
  </r>
  <r>
    <x v="4"/>
    <s v="BITF"/>
    <n v="565"/>
    <n v="1.1599999999999999"/>
    <n v="-1.1599999999999999"/>
    <n v="1.27"/>
    <n v="-0.13"/>
    <n v="-1"/>
    <n v="0.91338582677165348"/>
    <n v="-11.98"/>
    <n v="-12.38"/>
    <n v="1.1000000000000001"/>
    <n v="-8.9230769230769216"/>
    <s v="NO"/>
    <n v="-0.56458653901059808"/>
    <n v="-0.80817668661485853"/>
    <n v="-0.28707491227184817"/>
    <n v="-1.9988027733574847"/>
    <n v="-0.83682132635783302"/>
    <n v="-7.6078499858700452E-2"/>
    <x v="0"/>
    <x v="0"/>
    <x v="1"/>
    <x v="0"/>
    <x v="0"/>
    <x v="0"/>
  </r>
  <r>
    <x v="4"/>
    <s v="BLND"/>
    <n v="851"/>
    <n v="3.63"/>
    <n v="-0.09"/>
    <n v="-0.22"/>
    <n v="-0.24"/>
    <n v="-40.333333333333336"/>
    <n v="-16.5"/>
    <n v="-52.75"/>
    <n v="-13.72"/>
    <n v="-3.16"/>
    <n v="-15.125"/>
    <s v="NO"/>
    <n v="-2.2751701254182684"/>
    <n v="-6.3974568188875089"/>
    <n v="-1.5721083258222899"/>
    <n v="-2.2296604367208555"/>
    <n v="-5.4264287251701191"/>
    <n v="-0.289049430539767"/>
    <x v="0"/>
    <x v="1"/>
    <x v="1"/>
    <x v="0"/>
    <x v="1"/>
    <x v="0"/>
  </r>
  <r>
    <x v="4"/>
    <s v="BTBT"/>
    <n v="410"/>
    <n v="2.2400000000000002"/>
    <n v="-0.76"/>
    <n v="2.54"/>
    <n v="0.19"/>
    <n v="-2.9473684210526319"/>
    <n v="0.88188976377952766"/>
    <n v="9.19"/>
    <n v="4.6399999999999997"/>
    <n v="1.18"/>
    <n v="11.789473684210527"/>
    <s v="NO"/>
    <n v="-0.64927644895317227"/>
    <n v="-0.81828616910596874"/>
    <n v="0.38018428235319107"/>
    <n v="0.9334341150339851"/>
    <n v="-0.75063151605149914"/>
    <n v="0.63518010894706767"/>
    <x v="0"/>
    <x v="0"/>
    <x v="1"/>
    <x v="0"/>
    <x v="0"/>
    <x v="0"/>
  </r>
  <r>
    <x v="4"/>
    <s v="CCSI"/>
    <n v="436"/>
    <n v="23.2"/>
    <n v="4.58"/>
    <n v="-4.07"/>
    <n v="4.62"/>
    <n v="5.0655021834061129"/>
    <n v="-5.7002457002456994"/>
    <n v="-69.98"/>
    <n v="14.95"/>
    <n v="-7.58"/>
    <n v="5.0216450216450212"/>
    <s v="NO"/>
    <n v="-0.30080140820752055"/>
    <n v="-2.9309941365847996"/>
    <n v="-2.1151822948062025"/>
    <n v="2.7096598682252924"/>
    <n v="-10.188415744595074"/>
    <n v="0.40277626403003886"/>
    <x v="0"/>
    <x v="1"/>
    <x v="1"/>
    <x v="1"/>
    <x v="1"/>
    <x v="0"/>
  </r>
  <r>
    <x v="4"/>
    <s v="CGNT"/>
    <n v="698"/>
    <n v="9.9"/>
    <n v="0.47"/>
    <n v="2.75"/>
    <n v="-0.17"/>
    <n v="21.063829787234045"/>
    <n v="3.6"/>
    <n v="-3.35"/>
    <n v="-0.66"/>
    <n v="2.5099999999999998"/>
    <n v="-58.235294117647058"/>
    <s v="NO"/>
    <n v="0.39495647168436454"/>
    <n v="5.4162169876856889E-2"/>
    <n v="-1.5065141387857235E-2"/>
    <n v="2.0340371880354736E-2"/>
    <n v="0.68227408029130354"/>
    <n v="-1.7694353279935022"/>
    <x v="0"/>
    <x v="0"/>
    <x v="1"/>
    <x v="0"/>
    <x v="0"/>
    <x v="0"/>
  </r>
  <r>
    <x v="4"/>
    <s v="CIFR"/>
    <n v="1121"/>
    <n v="3.43"/>
    <n v="-1.21"/>
    <n v="1.94"/>
    <n v="-0.14000000000000001"/>
    <n v="-2.834710743801653"/>
    <n v="1.7680412371134022"/>
    <n v="-7.61"/>
    <n v="-3.59"/>
    <n v="1.25"/>
    <n v="-24.5"/>
    <s v="NO"/>
    <n v="-0.64437703267550273"/>
    <n v="-0.53385275257450882"/>
    <n v="-0.14933647672572534"/>
    <n v="-0.48444541442910505"/>
    <n v="-0.6752154320334568"/>
    <n v="-0.61098223273207686"/>
    <x v="0"/>
    <x v="0"/>
    <x v="1"/>
    <x v="0"/>
    <x v="0"/>
    <x v="0"/>
  </r>
  <r>
    <x v="4"/>
    <s v="CRNC"/>
    <n v="432"/>
    <n v="10.17"/>
    <n v="0.56999999999999995"/>
    <n v="2.81"/>
    <n v="-15.18"/>
    <n v="17.842105263157897"/>
    <n v="3.6192170818505338"/>
    <n v="-149.38"/>
    <n v="-1.25"/>
    <n v="5.12"/>
    <n v="-0.66996047430830041"/>
    <s v="NO"/>
    <n v="0.25484556259593094"/>
    <n v="6.0330393268674919E-2"/>
    <n v="-4.617798263310128"/>
    <n v="-8.1305912734860708E-2"/>
    <n v="3.4942166415354512"/>
    <n v="0.20732938335959575"/>
    <x v="0"/>
    <x v="0"/>
    <x v="0"/>
    <x v="0"/>
    <x v="1"/>
    <x v="0"/>
  </r>
  <r>
    <x v="4"/>
    <s v="CXM"/>
    <n v="1995"/>
    <n v="8.49"/>
    <n v="0.23"/>
    <n v="2.4"/>
    <n v="0.44"/>
    <n v="36.913043478260867"/>
    <n v="3.5375000000000001"/>
    <n v="18.829999999999998"/>
    <n v="1.39"/>
    <n v="1.93"/>
    <n v="19.295454545454547"/>
    <s v="NO"/>
    <n v="1.0842294750065224"/>
    <n v="3.4101165558559729E-2"/>
    <n v="0.68402833696752163"/>
    <n v="0.37351814045864573"/>
    <n v="5.7397955570382145E-2"/>
    <n v="0.89293173047902863"/>
    <x v="0"/>
    <x v="0"/>
    <x v="1"/>
    <x v="0"/>
    <x v="0"/>
    <x v="0"/>
  </r>
  <r>
    <x v="4"/>
    <s v="DCBO"/>
    <n v="991"/>
    <n v="26.59"/>
    <n v="0.93"/>
    <n v="1.91"/>
    <n v="0.86"/>
    <n v="28.591397849462364"/>
    <n v="13.921465968586388"/>
    <n v="49.29"/>
    <n v="6.77"/>
    <n v="3.3"/>
    <n v="30.918604651162791"/>
    <s v="NO"/>
    <n v="0.72232598963727179"/>
    <n v="3.3671057437483554"/>
    <n v="1.6440999037260806"/>
    <n v="1.300394430678746"/>
    <n v="1.5333984570663519"/>
    <n v="1.2920648807544952"/>
    <x v="0"/>
    <x v="1"/>
    <x v="1"/>
    <x v="0"/>
    <x v="0"/>
    <x v="0"/>
  </r>
  <r>
    <x v="4"/>
    <s v="DGNX"/>
    <n v="1265"/>
    <n v="77"/>
    <m/>
    <m/>
    <m/>
    <s v=""/>
    <s v=""/>
    <n v="22.93"/>
    <n v="-395.93"/>
    <n v="-7.0000000000000007E-2"/>
    <s v=""/>
    <s v="NO"/>
    <e v="#VALUE!"/>
    <e v="#VALUE!"/>
    <n v="0.81325661745701905"/>
    <n v="-68.077501865164081"/>
    <n v="-2.097347302087968"/>
    <e v="#VALUE!"/>
    <x v="1"/>
    <x v="1"/>
    <x v="1"/>
    <x v="1"/>
    <x v="0"/>
    <x v="1"/>
  </r>
  <r>
    <x v="4"/>
    <s v="DJCO"/>
    <n v="539"/>
    <n v="413.01"/>
    <n v="2.35"/>
    <n v="210.32"/>
    <n v="55.48"/>
    <n v="175.74893617021274"/>
    <n v="1.9637219475085583"/>
    <n v="30.39"/>
    <n v="1.05"/>
    <n v="1.42"/>
    <n v="7.4443042537851483"/>
    <s v="NO"/>
    <n v="7.1221209811872717"/>
    <n v="-0.47104392735459394"/>
    <n v="1.0483890497622999"/>
    <n v="0.3149423154261487"/>
    <n v="-0.49206208513249716"/>
    <n v="0.48596916806843254"/>
    <x v="1"/>
    <x v="0"/>
    <x v="1"/>
    <x v="0"/>
    <x v="0"/>
    <x v="0"/>
  </r>
  <r>
    <x v="4"/>
    <s v="DMRC"/>
    <n v="278"/>
    <n v="13.49"/>
    <n v="-1.1299999999999999"/>
    <n v="2.3199999999999998"/>
    <n v="-1.88"/>
    <n v="-11.938053097345135"/>
    <n v="5.8146551724137936"/>
    <n v="-60.08"/>
    <n v="-31.53"/>
    <n v="1.33"/>
    <n v="-7.1755319148936172"/>
    <s v="NO"/>
    <n v="-1.0402760499150261"/>
    <n v="0.76501348151417281"/>
    <n v="-1.8031432760632693"/>
    <n v="-5.2979999773937152"/>
    <n v="-0.58902562172712281"/>
    <n v="-1.6068679971592816E-2"/>
    <x v="0"/>
    <x v="0"/>
    <x v="1"/>
    <x v="1"/>
    <x v="0"/>
    <x v="0"/>
  </r>
  <r>
    <x v="4"/>
    <s v="DOMO"/>
    <n v="308"/>
    <n v="8.6300000000000008"/>
    <n v="-0.48"/>
    <n v="-4.49"/>
    <n v="-2.13"/>
    <n v="-17.979166666666668"/>
    <n v="-1.9220489977728286"/>
    <n v="49.54"/>
    <n v="-17.079999999999998"/>
    <n v="-1.21"/>
    <n v="-4.0516431924882639"/>
    <s v="NO"/>
    <n v="-1.3030005342024686"/>
    <n v="-1.7182834107658504"/>
    <n v="1.6519796769266597"/>
    <n v="-2.8085274135125906"/>
    <n v="-3.3255520989532275"/>
    <n v="9.120409337677092E-2"/>
    <x v="0"/>
    <x v="0"/>
    <x v="1"/>
    <x v="1"/>
    <x v="1"/>
    <x v="0"/>
  </r>
  <r>
    <x v="4"/>
    <s v="ETWO"/>
    <n v="725"/>
    <n v="2.74"/>
    <n v="0.24"/>
    <n v="2.73"/>
    <n v="-2.14"/>
    <n v="11.416666666666668"/>
    <n v="1.0036630036630036"/>
    <n v="-58.96"/>
    <n v="-0.32"/>
    <n v="2.81"/>
    <n v="-1.280373831775701"/>
    <s v="NO"/>
    <n v="-2.459299160648179E-2"/>
    <n v="-0.77919987324748163"/>
    <n v="-1.767841892124675"/>
    <n v="7.8916196912851788E-2"/>
    <n v="1.0054858689400563"/>
    <n v="0.18636809454198547"/>
    <x v="0"/>
    <x v="0"/>
    <x v="1"/>
    <x v="0"/>
    <x v="0"/>
    <x v="0"/>
  </r>
  <r>
    <x v="4"/>
    <s v="EVCM"/>
    <n v="1853"/>
    <n v="11.13"/>
    <n v="0.51"/>
    <n v="4.09"/>
    <n v="-0.22"/>
    <n v="21.823529411764707"/>
    <n v="2.7212713936430322"/>
    <n v="-5.21"/>
    <n v="1.73"/>
    <n v="1.89"/>
    <n v="-50.590909090909093"/>
    <s v="NO"/>
    <n v="0.42799536257391246"/>
    <n v="-0.22788868399095713"/>
    <n v="-7.369065400016582E-2"/>
    <n v="0.43209396549114276"/>
    <n v="1.43030504172151E-2"/>
    <n v="-1.5069309767727355"/>
    <x v="0"/>
    <x v="0"/>
    <x v="1"/>
    <x v="0"/>
    <x v="0"/>
    <x v="0"/>
  </r>
  <r>
    <x v="4"/>
    <s v="EXFY"/>
    <n v="259"/>
    <n v="2.36"/>
    <n v="0.19"/>
    <n v="1.4"/>
    <n v="-0.12"/>
    <n v="12.421052631578947"/>
    <n v="1.6857142857142857"/>
    <n v="-8.7799999999999994"/>
    <n v="-0.28999999999999998"/>
    <n v="1.35"/>
    <n v="-19.666666666666668"/>
    <s v="NO"/>
    <n v="1.9087164647683667E-2"/>
    <n v="-0.56027773381498747"/>
    <n v="-0.18621381530443551"/>
    <n v="8.4084652062778001E-2"/>
    <n v="-0.56747816915053928"/>
    <n v="-0.44500798804626379"/>
    <x v="0"/>
    <x v="0"/>
    <x v="1"/>
    <x v="0"/>
    <x v="0"/>
    <x v="0"/>
  </r>
  <r>
    <x v="4"/>
    <s v="EXOD"/>
    <n v="1144"/>
    <n v="42.04"/>
    <n v="-0.48"/>
    <n v="9.1300000000000008"/>
    <n v="3.52"/>
    <n v="-87.583333333333329"/>
    <n v="4.6046002190580495"/>
    <n v="62.53"/>
    <n v="9.61"/>
    <n v="1.1200000000000001"/>
    <n v="11.943181818181818"/>
    <s v="NO"/>
    <n v="-4.3300448997681604"/>
    <n v="0.37661479919982971"/>
    <n v="2.0614126924287501"/>
    <n v="1.7896748515384271"/>
    <n v="-0.81527387378124949"/>
    <n v="0.64045836924457478"/>
    <x v="1"/>
    <x v="0"/>
    <x v="1"/>
    <x v="0"/>
    <x v="0"/>
    <x v="0"/>
  </r>
  <r>
    <x v="4"/>
    <s v="FIVN"/>
    <n v="1921"/>
    <n v="28.26"/>
    <n v="1.28"/>
    <n v="8.7100000000000009"/>
    <n v="-7.0000000000000007E-2"/>
    <n v="22.078125"/>
    <n v="3.2445464982778414"/>
    <n v="-0.9"/>
    <n v="-0.45"/>
    <n v="3.15"/>
    <n v="-403.71428571428572"/>
    <s v="NO"/>
    <n v="0.439067575313076"/>
    <n v="-5.9929897851176264E-2"/>
    <n v="6.2156635977818071E-2"/>
    <n v="5.6519557929838211E-2"/>
    <n v="1.3717925627419758"/>
    <n v="-13.633010780076631"/>
    <x v="0"/>
    <x v="0"/>
    <x v="1"/>
    <x v="0"/>
    <x v="0"/>
    <x v="1"/>
  </r>
  <r>
    <x v="4"/>
    <s v="FUFU"/>
    <n v="567"/>
    <n v="4"/>
    <n v="-0.32"/>
    <n v="1"/>
    <n v="0.33"/>
    <n v="-12.5"/>
    <n v="4"/>
    <n v="60.03"/>
    <n v="-1.83"/>
    <n v="2.3199999999999998"/>
    <n v="12.121212121212121"/>
    <s v="NO"/>
    <n v="-1.0647147909687729"/>
    <n v="0.18255259751395866"/>
    <n v="1.9826149604229595"/>
    <n v="-0.18122937896676747"/>
    <n v="0.47757328081376033"/>
    <n v="0.64657184063974193"/>
    <x v="0"/>
    <x v="0"/>
    <x v="1"/>
    <x v="0"/>
    <x v="0"/>
    <x v="0"/>
  </r>
  <r>
    <x v="4"/>
    <s v="GRRR"/>
    <n v="300"/>
    <n v="18.420000000000002"/>
    <n v="-2.94"/>
    <n v="6.19"/>
    <n v="-6.13"/>
    <n v="-6.2653061224489806"/>
    <n v="2.9757673667205169"/>
    <n v="-101.83"/>
    <n v="-30.88"/>
    <n v="2.1"/>
    <n v="-3.0048939641109302"/>
    <s v="NO"/>
    <n v="-0.79357161266669241"/>
    <n v="-0.14620156695261061"/>
    <n v="-3.1190654005599812"/>
    <n v="-5.1860167824786467"/>
    <n v="0.24055130247134207"/>
    <n v="0.12714893735374724"/>
    <x v="0"/>
    <x v="0"/>
    <x v="0"/>
    <x v="1"/>
    <x v="0"/>
    <x v="0"/>
  </r>
  <r>
    <x v="4"/>
    <s v="HIVE"/>
    <n v="269"/>
    <n v="1.96"/>
    <n v="-1.42"/>
    <n v="3.1"/>
    <n v="-7.0000000000000007E-2"/>
    <n v="-1.380281690140845"/>
    <n v="0.63225806451612898"/>
    <n v="-2.15"/>
    <n v="-9.0299999999999994"/>
    <n v="1.1000000000000001"/>
    <n v="-27.999999999999996"/>
    <s v="NO"/>
    <n v="-0.58112476657075818"/>
    <n v="-0.89841197065647915"/>
    <n v="2.2757769974922511E-2"/>
    <n v="-1.4216586149490578"/>
    <n v="-0.83682132635783302"/>
    <n v="-0.73117047888387232"/>
    <x v="0"/>
    <x v="0"/>
    <x v="1"/>
    <x v="0"/>
    <x v="0"/>
    <x v="0"/>
  </r>
  <r>
    <x v="4"/>
    <s v="HKD"/>
    <n v="647"/>
    <n v="2.25"/>
    <n v="0.02"/>
    <n v="0.09"/>
    <n v="0.23"/>
    <n v="112.5"/>
    <n v="25"/>
    <n v="15.52"/>
    <n v="-0.34"/>
    <n v="27.23"/>
    <n v="9.7826086956521738"/>
    <s v="NO"/>
    <n v="4.371461860750518"/>
    <n v="6.9230500484618043"/>
    <n v="0.5797001397918542"/>
    <n v="7.5470560146234308E-2"/>
    <n v="27.314925464948512"/>
    <n v="0.56626537087898998"/>
    <x v="1"/>
    <x v="1"/>
    <x v="1"/>
    <x v="0"/>
    <x v="1"/>
    <x v="0"/>
  </r>
  <r>
    <x v="4"/>
    <s v="HUT"/>
    <n v="1319"/>
    <n v="16.5"/>
    <n v="-2.11"/>
    <n v="9.82"/>
    <n v="3.4"/>
    <n v="-7.8199052132701423"/>
    <n v="1.680244399185336"/>
    <n v="46.1"/>
    <n v="26.01"/>
    <n v="1.56"/>
    <n v="4.8529411764705888"/>
    <s v="NO"/>
    <n v="-0.86118021490914054"/>
    <n v="-0.56203343649143322"/>
    <n v="1.5435539976866912"/>
    <n v="4.6150970001647558"/>
    <n v="-0.34122991709641254"/>
    <n v="0.3969830585241591"/>
    <x v="0"/>
    <x v="0"/>
    <x v="1"/>
    <x v="1"/>
    <x v="0"/>
    <x v="0"/>
  </r>
  <r>
    <x v="4"/>
    <s v="IIIV"/>
    <n v="622"/>
    <n v="24.8"/>
    <n v="1.23"/>
    <n v="16"/>
    <n v="-2.9"/>
    <n v="20.162601626016261"/>
    <n v="1.55"/>
    <n v="-1.37"/>
    <n v="0.95"/>
    <n v="1.94"/>
    <n v="-8.5517241379310356"/>
    <s v="NO"/>
    <n v="0.35576258778129233"/>
    <n v="-0.60383877176328993"/>
    <n v="4.7342662360729336E-2"/>
    <n v="0.29771413159306132"/>
    <n v="6.8171681858673908E-2"/>
    <n v="-6.3326431301480843E-2"/>
    <x v="0"/>
    <x v="0"/>
    <x v="1"/>
    <x v="0"/>
    <x v="0"/>
    <x v="0"/>
  </r>
  <r>
    <x v="4"/>
    <s v="IREN"/>
    <n v="1475"/>
    <n v="8.1199999999999992"/>
    <n v="-5.5"/>
    <n v="6"/>
    <n v="-0.31"/>
    <n v="-1.4763636363636363"/>
    <n v="1.3533333333333333"/>
    <n v="-6.14"/>
    <n v="-1.1399999999999999"/>
    <n v="1.44"/>
    <n v="-26.193548387096772"/>
    <s v="NO"/>
    <n v="-0.58530331403242286"/>
    <n v="-0.66696406535153174"/>
    <n v="-0.10300341030632011"/>
    <n v="-6.2354910518464597E-2"/>
    <n v="-0.47051463255591364"/>
    <n v="-0.66913783570875196"/>
    <x v="0"/>
    <x v="0"/>
    <x v="1"/>
    <x v="0"/>
    <x v="0"/>
    <x v="0"/>
  </r>
  <r>
    <x v="4"/>
    <s v="JAMF"/>
    <n v="1439"/>
    <n v="11.83"/>
    <n v="0.17"/>
    <n v="5.54"/>
    <n v="-0.53"/>
    <n v="69.588235294117638"/>
    <n v="2.1353790613718413"/>
    <n v="-9.5500000000000007"/>
    <n v="-2.14"/>
    <n v="2.21"/>
    <n v="-22.320754716981131"/>
    <s v="NO"/>
    <n v="2.5052543937250014"/>
    <n v="-0.41594610171495"/>
    <n v="-0.21048351676221921"/>
    <n v="-0.2346367488493383"/>
    <n v="0.35906229164255121"/>
    <n v="-0.53614804173190211"/>
    <x v="0"/>
    <x v="0"/>
    <x v="1"/>
    <x v="0"/>
    <x v="0"/>
    <x v="0"/>
  </r>
  <r>
    <x v="4"/>
    <s v="KARO"/>
    <n v="1377"/>
    <n v="44.58"/>
    <n v="1.1000000000000001"/>
    <n v="5.24"/>
    <n v="1.58"/>
    <n v="40.527272727272724"/>
    <n v="8.507633587786259"/>
    <n v="31.25"/>
    <n v="17.18"/>
    <n v="1.64"/>
    <n v="28.215189873417721"/>
    <s v="NO"/>
    <n v="1.2414101842660361"/>
    <n v="1.6293951074320618"/>
    <n v="1.075495469572292"/>
    <n v="3.0938483677031408"/>
    <n v="-0.25504010679007866"/>
    <n v="1.1992309719664875"/>
    <x v="0"/>
    <x v="0"/>
    <x v="1"/>
    <x v="1"/>
    <x v="0"/>
    <x v="0"/>
  </r>
  <r>
    <x v="4"/>
    <s v="KLTR"/>
    <n v="341"/>
    <n v="2.2999999999999998"/>
    <n v="0.08"/>
    <n v="0.16"/>
    <n v="-0.21"/>
    <n v="28.749999999999996"/>
    <n v="14.374999999999998"/>
    <n v="-114.48"/>
    <n v="-8.25"/>
    <n v="7.43"/>
    <n v="-10.952380952380953"/>
    <s v="NO"/>
    <n v="0.72922350409859293"/>
    <n v="3.5126793143512862"/>
    <n v="-3.5177819245092845"/>
    <n v="-1.2872787810509763"/>
    <n v="5.9829474141308454"/>
    <n v="-0.14576378334179294"/>
    <x v="0"/>
    <x v="1"/>
    <x v="0"/>
    <x v="0"/>
    <x v="1"/>
    <x v="0"/>
  </r>
  <r>
    <x v="4"/>
    <s v="LSPD"/>
    <n v="1427"/>
    <n v="10.78"/>
    <n v="-0.48"/>
    <n v="15.16"/>
    <n v="-0.8"/>
    <n v="-22.458333333333332"/>
    <n v="0.71108179419525064"/>
    <n v="-5.21"/>
    <n v="-2.76"/>
    <n v="1.07"/>
    <n v="-13.474999999999998"/>
    <s v="NO"/>
    <n v="-1.4977968642224098"/>
    <n v="-0.87311143975284478"/>
    <n v="-7.369065400016582E-2"/>
    <n v="-0.34145148861447994"/>
    <n v="-0.86914250522270831"/>
    <n v="-0.23238925735392041"/>
    <x v="0"/>
    <x v="0"/>
    <x v="1"/>
    <x v="0"/>
    <x v="0"/>
    <x v="0"/>
  </r>
  <r>
    <x v="4"/>
    <s v="MFH"/>
    <n v="399"/>
    <n v="5.98"/>
    <n v="-0.06"/>
    <n v="0.32"/>
    <n v="-7.0000000000000007E-2"/>
    <n v="-99.666666666666671"/>
    <n v="18.6875"/>
    <n v="-21.63"/>
    <n v="-4.87"/>
    <n v="1.48"/>
    <n v="-85.428571428571431"/>
    <s v="NO"/>
    <n v="-4.8555419761010254"/>
    <n v="4.8968886123137905"/>
    <n v="-0.59123415781420185"/>
    <n v="-0.70496616749262331"/>
    <n v="-0.42741972740274659"/>
    <n v="-2.7032388443133359"/>
    <x v="1"/>
    <x v="1"/>
    <x v="1"/>
    <x v="0"/>
    <x v="0"/>
    <x v="0"/>
  </r>
  <r>
    <x v="4"/>
    <s v="MGIC"/>
    <n v="682"/>
    <n v="15.2"/>
    <n v="1.44"/>
    <n v="5.65"/>
    <n v="0.75"/>
    <n v="10.555555555555555"/>
    <n v="2.6902654867256635"/>
    <n v="14.62"/>
    <n v="7.2"/>
    <n v="1.95"/>
    <n v="20.266666666666666"/>
    <s v="NO"/>
    <n v="-6.204220854054808E-2"/>
    <n v="-0.23784083811194998"/>
    <n v="0.5513329562697693"/>
    <n v="1.3744756211610218"/>
    <n v="7.8945408146965657E-2"/>
    <n v="0.9262826680475571"/>
    <x v="0"/>
    <x v="0"/>
    <x v="1"/>
    <x v="0"/>
    <x v="0"/>
    <x v="0"/>
  </r>
  <r>
    <x v="4"/>
    <s v="MITK"/>
    <n v="383"/>
    <n v="9.69"/>
    <n v="0.87"/>
    <n v="4.4400000000000004"/>
    <n v="0.1"/>
    <n v="11.137931034482758"/>
    <n v="2.182432432432432"/>
    <n v="2.15"/>
    <n v="1.33"/>
    <n v="1.97"/>
    <n v="96.899999999999991"/>
    <s v="NO"/>
    <n v="-3.6715040691924883E-2"/>
    <n v="-0.40084309563435883"/>
    <n v="0.15828986902488323"/>
    <n v="0.36318123015879333"/>
    <n v="0.10049286072354918"/>
    <n v="3.5578329337902068"/>
    <x v="0"/>
    <x v="0"/>
    <x v="1"/>
    <x v="0"/>
    <x v="0"/>
    <x v="1"/>
  </r>
  <r>
    <x v="4"/>
    <s v="MLNK"/>
    <n v="1299"/>
    <n v="17.45"/>
    <n v="0.92"/>
    <n v="5.62"/>
    <n v="-0.39"/>
    <n v="18.967391304347824"/>
    <n v="3.1049822064056936"/>
    <n v="-6.36"/>
    <n v="0.76"/>
    <n v="2.25"/>
    <n v="-44.743589743589737"/>
    <s v="NO"/>
    <n v="0.30378359222490947"/>
    <n v="-0.10472669564201213"/>
    <n v="-0.10993761072282976"/>
    <n v="0.26498058231019533"/>
    <n v="0.40215719679571821"/>
    <n v="-1.3061369604745139"/>
    <x v="0"/>
    <x v="0"/>
    <x v="1"/>
    <x v="0"/>
    <x v="0"/>
    <x v="0"/>
  </r>
  <r>
    <x v="4"/>
    <s v="MTLS"/>
    <n v="310"/>
    <n v="5.38"/>
    <n v="0.11"/>
    <n v="4.5599999999999996"/>
    <n v="0.17"/>
    <n v="48.909090909090907"/>
    <n v="1.1798245614035088"/>
    <n v="3.8"/>
    <n v="1.19"/>
    <n v="1.57"/>
    <n v="31.647058823529409"/>
    <s v="NO"/>
    <n v="1.6059305386576861"/>
    <n v="-0.72265622891867787"/>
    <n v="0.21029637214870536"/>
    <n v="0.33906177279247096"/>
    <n v="-0.33045619080812078"/>
    <n v="1.3170796320055527"/>
    <x v="0"/>
    <x v="0"/>
    <x v="1"/>
    <x v="0"/>
    <x v="0"/>
    <x v="0"/>
  </r>
  <r>
    <x v="4"/>
    <s v="NN"/>
    <n v="1826"/>
    <n v="12.95"/>
    <n v="-0.32"/>
    <n v="0.38"/>
    <n v="-0.84"/>
    <n v="-40.46875"/>
    <n v="34.078947368421048"/>
    <n v="-156.47999999999999"/>
    <n v="-23.19"/>
    <n v="3.23"/>
    <n v="-15.416666666666666"/>
    <s v="NO"/>
    <n v="-2.2810593167909641"/>
    <n v="9.8371748862775998"/>
    <n v="-4.8415838222065748"/>
    <n v="-3.8611694457142289"/>
    <n v="1.4579823730483097"/>
    <n v="-0.29906511771908328"/>
    <x v="0"/>
    <x v="1"/>
    <x v="0"/>
    <x v="1"/>
    <x v="0"/>
    <x v="0"/>
  </r>
  <r>
    <x v="4"/>
    <s v="OLO"/>
    <n v="1252"/>
    <n v="9.6999999999999993"/>
    <n v="0.17"/>
    <n v="4.12"/>
    <n v="-0.01"/>
    <n v="57.058823529411754"/>
    <n v="2.3543689320388346"/>
    <n v="-0.13"/>
    <n v="-2.37"/>
    <n v="1.1000000000000001"/>
    <n v="-969.99999999999989"/>
    <s v="NO"/>
    <n v="1.9603576281644322"/>
    <n v="-0.3456555938571278"/>
    <n v="8.6426337435601741E-2"/>
    <n v="-0.27426157166543924"/>
    <n v="-0.83682132635783302"/>
    <n v="-33.078978443167159"/>
    <x v="0"/>
    <x v="0"/>
    <x v="1"/>
    <x v="0"/>
    <x v="0"/>
    <x v="1"/>
  </r>
  <r>
    <x v="4"/>
    <s v="OOMA"/>
    <n v="352"/>
    <n v="13.39"/>
    <n v="0.76"/>
    <n v="3.14"/>
    <n v="-0.26"/>
    <n v="17.618421052631579"/>
    <n v="4.2643312101910826"/>
    <n v="-8.4499999999999993"/>
    <n v="-2.81"/>
    <n v="1.75"/>
    <n v="-51.5"/>
    <s v="NO"/>
    <n v="0.24511766753495945"/>
    <n v="0.26739659029962304"/>
    <n v="-0.1758125146796711"/>
    <n v="-0.35006558053102366"/>
    <n v="-0.13652911761886929"/>
    <n v="-1.5381487030459291"/>
    <x v="0"/>
    <x v="0"/>
    <x v="1"/>
    <x v="0"/>
    <x v="0"/>
    <x v="0"/>
  </r>
  <r>
    <x v="4"/>
    <s v="OPRA"/>
    <n v="1552"/>
    <n v="18.510000000000002"/>
    <n v="0.88"/>
    <n v="10.39"/>
    <n v="0.93"/>
    <n v="21.03409090909091"/>
    <n v="1.7815206929740135"/>
    <n v="9.1999999999999993"/>
    <n v="5.79"/>
    <n v="1.1200000000000001"/>
    <n v="19.903225806451612"/>
    <s v="NO"/>
    <n v="0.39366314532428426"/>
    <n v="-0.52952616981886058"/>
    <n v="0.3804994732812142"/>
    <n v="1.1315582291144899"/>
    <n v="-0.81527387378124949"/>
    <n v="0.91380229102780086"/>
    <x v="0"/>
    <x v="0"/>
    <x v="1"/>
    <x v="0"/>
    <x v="0"/>
    <x v="0"/>
  </r>
  <r>
    <x v="4"/>
    <s v="PD"/>
    <n v="1395"/>
    <n v="17"/>
    <n v="1.18"/>
    <n v="1.43"/>
    <n v="-0.59"/>
    <n v="14.40677966101695"/>
    <n v="11.888111888111888"/>
    <n v="-26.63"/>
    <n v="-4.03"/>
    <n v="7.14"/>
    <n v="-28.8135593220339"/>
    <s v="NO"/>
    <n v="0.10544526796063389"/>
    <n v="2.7144477439239383"/>
    <n v="-0.74882962182578416"/>
    <n v="-0.56024942329468952"/>
    <n v="5.6705093517703844"/>
    <n v="-0.75910769832835767"/>
    <x v="0"/>
    <x v="0"/>
    <x v="1"/>
    <x v="0"/>
    <x v="1"/>
    <x v="0"/>
  </r>
  <r>
    <x v="4"/>
    <s v="PGY"/>
    <n v="851"/>
    <n v="14.96"/>
    <n v="0.61"/>
    <n v="4.42"/>
    <n v="-5.66"/>
    <n v="24.524590163934427"/>
    <n v="3.384615384615385"/>
    <n v="-70.98"/>
    <n v="3.55"/>
    <n v="3.95"/>
    <n v="-2.6431095406360425"/>
    <s v="NO"/>
    <n v="0.54546290974047551"/>
    <n v="-1.4971137312351673E-2"/>
    <n v="-2.1467013876085193"/>
    <n v="0.74564691125333282"/>
    <n v="2.2336906658053164"/>
    <n v="0.13957243316588591"/>
    <x v="0"/>
    <x v="0"/>
    <x v="1"/>
    <x v="0"/>
    <x v="0"/>
    <x v="0"/>
  </r>
  <r>
    <x v="4"/>
    <s v="PRCH"/>
    <n v="1089"/>
    <n v="10.5"/>
    <n v="-0.45"/>
    <n v="-0.43"/>
    <n v="-0.33"/>
    <n v="-23.333333333333332"/>
    <n v="-24.418604651162791"/>
    <n v="83.21"/>
    <n v="-4.96"/>
    <n v="-18.829999999999998"/>
    <n v="-31.818181818181817"/>
    <s v="NO"/>
    <n v="-1.5358501007844447"/>
    <n v="-8.9391394125173438"/>
    <n v="2.7132275315806544"/>
    <n v="-0.72047153294240196"/>
    <n v="-22.30885781892329"/>
    <n v="-0.86228492923128586"/>
    <x v="0"/>
    <x v="1"/>
    <x v="0"/>
    <x v="0"/>
    <x v="1"/>
    <x v="0"/>
  </r>
  <r>
    <x v="4"/>
    <s v="PRO"/>
    <n v="793"/>
    <n v="18.63"/>
    <n v="0.68"/>
    <n v="-1.38"/>
    <n v="-0.27"/>
    <n v="27.397058823529409"/>
    <n v="-13.5"/>
    <n v="17.100000000000001"/>
    <n v="-1.88"/>
    <n v="-6.49"/>
    <n v="-68.999999999999986"/>
    <s v="NO"/>
    <n v="0.67038488622116077"/>
    <n v="-5.4345286116092453"/>
    <n v="0.62950030641951427"/>
    <n v="-0.18984347088331111"/>
    <n v="-9.0140795791712733"/>
    <n v="-2.139089933804907"/>
    <x v="0"/>
    <x v="1"/>
    <x v="1"/>
    <x v="0"/>
    <x v="1"/>
    <x v="0"/>
  </r>
  <r>
    <x v="4"/>
    <s v="QUBT"/>
    <n v="972"/>
    <n v="8.7899999999999991"/>
    <n v="-0.24"/>
    <n v="0.83"/>
    <n v="-0.73"/>
    <n v="-36.625"/>
    <n v="10.590361445783133"/>
    <n v="-77.89"/>
    <n v="-14.22"/>
    <n v="1.43"/>
    <n v="-12.041095890410958"/>
    <s v="NO"/>
    <n v="-2.1138968847505959"/>
    <n v="2.2979009082818709"/>
    <n v="-2.3644983188725255"/>
    <n v="-2.3158013558862924"/>
    <n v="-0.4812883588442054"/>
    <n v="-0.18314970875924641"/>
    <x v="0"/>
    <x v="0"/>
    <x v="1"/>
    <x v="0"/>
    <x v="0"/>
    <x v="0"/>
  </r>
  <r>
    <x v="4"/>
    <s v="RAMP"/>
    <n v="1774"/>
    <n v="29.71"/>
    <n v="1.81"/>
    <n v="14.57"/>
    <n v="-0.04"/>
    <n v="16.414364640883978"/>
    <n v="2.0391214824982842"/>
    <n v="-0.25"/>
    <n v="0.39"/>
    <n v="1.31"/>
    <n v="-742.75"/>
    <s v="NO"/>
    <n v="0.19275396071179773"/>
    <n v="-0.44684248100217011"/>
    <n v="8.2644046299323759E-2"/>
    <n v="0.20123630212777208"/>
    <n v="-0.61057307430370633"/>
    <n v="-25.275327318025575"/>
    <x v="0"/>
    <x v="0"/>
    <x v="1"/>
    <x v="0"/>
    <x v="0"/>
    <x v="1"/>
  </r>
  <r>
    <x v="4"/>
    <s v="RDVT"/>
    <n v="564"/>
    <n v="47.68"/>
    <n v="1.04"/>
    <n v="6.22"/>
    <n v="0.5"/>
    <n v="45.846153846153847"/>
    <n v="7.6655948553054669"/>
    <n v="8.11"/>
    <n v="5.17"/>
    <n v="1.1399999999999999"/>
    <n v="95.36"/>
    <s v="NO"/>
    <n v="1.4727252030798932"/>
    <n v="1.3591208250565319"/>
    <n v="0.34614366212668929"/>
    <n v="1.0247434893493481"/>
    <n v="-0.79372642120466619"/>
    <n v="3.5049501054834171"/>
    <x v="0"/>
    <x v="0"/>
    <x v="1"/>
    <x v="0"/>
    <x v="0"/>
    <x v="1"/>
  </r>
  <r>
    <x v="4"/>
    <s v="RMNI"/>
    <n v="306"/>
    <n v="3.57"/>
    <n v="-0.21"/>
    <n v="-0.7"/>
    <n v="-0.38"/>
    <n v="-17"/>
    <n v="-5.1000000000000005"/>
    <n v="68.47"/>
    <n v="7.86"/>
    <n v="-5.39"/>
    <n v="-9.3947368421052619"/>
    <s v="NO"/>
    <n v="-1.2604171504306672"/>
    <n v="-2.7383296312301075"/>
    <n v="2.2486361036745097"/>
    <n v="1.4881816344593983"/>
    <n v="-7.8289696874591792"/>
    <n v="-9.2275065129590231E-2"/>
    <x v="0"/>
    <x v="0"/>
    <x v="1"/>
    <x v="0"/>
    <x v="1"/>
    <x v="0"/>
  </r>
  <r>
    <x v="4"/>
    <s v="RSKD"/>
    <n v="623"/>
    <n v="4.9400000000000004"/>
    <n v="0.23"/>
    <n v="2.37"/>
    <n v="-0.2"/>
    <n v="21.478260869565219"/>
    <n v="2.0843881856540083"/>
    <n v="-7.99"/>
    <n v="-5.43"/>
    <n v="1.3"/>
    <n v="-24.7"/>
    <s v="NO"/>
    <n v="0.41297983627248835"/>
    <n v="-0.43231295256245722"/>
    <n v="-0.16131373199060556"/>
    <n v="-0.80144399695791246"/>
    <n v="-0.62134680059199809"/>
    <n v="-0.61785013251217935"/>
    <x v="0"/>
    <x v="0"/>
    <x v="1"/>
    <x v="0"/>
    <x v="0"/>
    <x v="0"/>
  </r>
  <r>
    <x v="4"/>
    <s v="RZLV"/>
    <n v="502"/>
    <n v="2.2599999999999998"/>
    <n v="-0.15"/>
    <n v="-0.18"/>
    <n v="-1.06"/>
    <n v="-15.066666666666666"/>
    <n v="-12.555555555555555"/>
    <n v="374.17"/>
    <n v="-772.93"/>
    <n v="-0.52"/>
    <n v="-2.132075471698113"/>
    <s v="NO"/>
    <n v="-1.176337618217409"/>
    <n v="-5.131384546354977"/>
    <n v="11.88402277334265"/>
    <n v="-133.02775491590344"/>
    <n v="-2.5821649850610968"/>
    <n v="0.15712108701430463"/>
    <x v="0"/>
    <x v="1"/>
    <x v="0"/>
    <x v="1"/>
    <x v="0"/>
    <x v="0"/>
  </r>
  <r>
    <x v="4"/>
    <s v="SEMR"/>
    <n v="1514"/>
    <n v="10.84"/>
    <n v="0.24"/>
    <n v="1.75"/>
    <n v="0.06"/>
    <n v="45.166666666666664"/>
    <n v="6.194285714285714"/>
    <n v="3.01"/>
    <n v="1.44"/>
    <n v="1.52"/>
    <n v="180.66666666666666"/>
    <s v="NO"/>
    <n v="1.4431747043577268"/>
    <n v="0.88686580055177422"/>
    <n v="0.18539628883487538"/>
    <n v="0.3821322323751894"/>
    <n v="-0.38432482224957953"/>
    <n v="6.4343382916898495"/>
    <x v="0"/>
    <x v="0"/>
    <x v="1"/>
    <x v="0"/>
    <x v="0"/>
    <x v="1"/>
  </r>
  <r>
    <x v="4"/>
    <s v="SMWB"/>
    <n v="617"/>
    <n v="8.17"/>
    <n v="0.34"/>
    <n v="0.33"/>
    <n v="-0.14000000000000001"/>
    <n v="24.02941176470588"/>
    <n v="24.757575757575758"/>
    <n v="-53.22"/>
    <n v="-2.5099999999999998"/>
    <n v="8.83"/>
    <n v="-58.357142857142854"/>
    <s v="NO"/>
    <n v="0.52392789172189991"/>
    <n v="6.8452376680756819"/>
    <n v="-1.5869222994393786"/>
    <n v="-0.2983810290317615"/>
    <n v="7.4912690944916909"/>
    <n v="-1.7736195526494472"/>
    <x v="0"/>
    <x v="1"/>
    <x v="1"/>
    <x v="0"/>
    <x v="1"/>
    <x v="0"/>
  </r>
  <r>
    <x v="4"/>
    <s v="SPNS"/>
    <n v="1624"/>
    <n v="28.39"/>
    <n v="1.29"/>
    <n v="8.58"/>
    <n v="1.29"/>
    <n v="22.007751937984494"/>
    <n v="3.3088578088578089"/>
    <n v="15.56"/>
    <n v="7.77"/>
    <n v="1.44"/>
    <n v="22.007751937984494"/>
    <s v="NO"/>
    <n v="0.43600709213996652"/>
    <n v="-3.9287506183015013E-2"/>
    <n v="0.5809609035039468"/>
    <n v="1.4726762690096196"/>
    <n v="-0.47051463255591364"/>
    <n v="0.98607066380767516"/>
    <x v="0"/>
    <x v="0"/>
    <x v="1"/>
    <x v="0"/>
    <x v="0"/>
    <x v="0"/>
  </r>
  <r>
    <x v="4"/>
    <s v="SPT"/>
    <n v="1201"/>
    <n v="24.38"/>
    <n v="0.41"/>
    <n v="3.24"/>
    <n v="-1.0900000000000001"/>
    <n v="59.463414634146339"/>
    <n v="7.5246913580246906"/>
    <n v="-39.880000000000003"/>
    <n v="-8.69"/>
    <n v="2.57"/>
    <n v="-22.366972477064216"/>
    <s v="NO"/>
    <n v="2.0649318843283524"/>
    <n v="1.3138941743779267"/>
    <n v="-1.1664576014564771"/>
    <n v="-1.3630827899165605"/>
    <n v="0.74691643802105412"/>
    <n v="-0.53773513645345938"/>
    <x v="0"/>
    <x v="0"/>
    <x v="1"/>
    <x v="0"/>
    <x v="0"/>
    <x v="0"/>
  </r>
  <r>
    <x v="4"/>
    <s v="TRAK"/>
    <n v="393"/>
    <n v="22.75"/>
    <n v="0.54"/>
    <n v="2.63"/>
    <n v="0.32"/>
    <n v="42.129629629629626"/>
    <n v="8.6501901140684421"/>
    <n v="13.55"/>
    <n v="6.44"/>
    <n v="1.1399999999999999"/>
    <n v="71.09375"/>
    <s v="NO"/>
    <n v="1.3110957457085468"/>
    <n v="1.6751523408616349"/>
    <n v="0.51760752697129075"/>
    <n v="1.2435414240295579"/>
    <n v="-0.79372642120466619"/>
    <n v="2.6716592402888426"/>
    <x v="0"/>
    <x v="0"/>
    <x v="1"/>
    <x v="0"/>
    <x v="0"/>
    <x v="0"/>
  </r>
  <r>
    <x v="4"/>
    <s v="TUYA"/>
    <n v="1391"/>
    <n v="2.71"/>
    <n v="0.12"/>
    <n v="1.78"/>
    <n v="0.01"/>
    <n v="22.583333333333332"/>
    <n v="1.5224719101123596"/>
    <n v="0.51"/>
    <n v="-2.61"/>
    <n v="1.1000000000000001"/>
    <n v="271"/>
    <s v="NO"/>
    <n v="0.46103878928044145"/>
    <n v="-0.61267462984505672"/>
    <n v="0.10659855682908427"/>
    <n v="-0.31560921286484889"/>
    <n v="-0.83682132635783302"/>
    <n v="9.5363396923695287"/>
    <x v="0"/>
    <x v="0"/>
    <x v="1"/>
    <x v="0"/>
    <x v="0"/>
    <x v="1"/>
  </r>
  <r>
    <x v="4"/>
    <s v="VRNT"/>
    <n v="1081"/>
    <n v="18.690000000000001"/>
    <n v="1.77"/>
    <n v="14.27"/>
    <n v="1.04"/>
    <n v="10.559322033898306"/>
    <n v="1.309740714786265"/>
    <n v="6.41"/>
    <n v="3.2"/>
    <n v="2.58"/>
    <n v="17.971153846153847"/>
    <s v="NO"/>
    <n v="-6.1878406607539529E-2"/>
    <n v="-0.68095625269422955"/>
    <n v="0.29256120436275135"/>
    <n v="0.68534826783752711"/>
    <n v="0.7576901643093461"/>
    <n v="0.84745590807144355"/>
    <x v="0"/>
    <x v="0"/>
    <x v="1"/>
    <x v="0"/>
    <x v="0"/>
    <x v="0"/>
  </r>
  <r>
    <x v="4"/>
    <s v="VYX"/>
    <n v="1209"/>
    <n v="11.11"/>
    <n v="-2.52"/>
    <n v="6.57"/>
    <n v="-1.5"/>
    <n v="-4.4087301587301582"/>
    <n v="1.6910197869101977"/>
    <n v="-26.92"/>
    <n v="0.97"/>
    <n v="4.7699999999999996"/>
    <n v="-7.4066666666666663"/>
    <s v="NO"/>
    <n v="-0.71283021341780017"/>
    <n v="-0.55857479489655681"/>
    <n v="-0.75797015873845597"/>
    <n v="0.30115976835967884"/>
    <n v="3.1171362214452394"/>
    <n v="-2.4005731525973791E-2"/>
    <x v="0"/>
    <x v="0"/>
    <x v="1"/>
    <x v="0"/>
    <x v="0"/>
    <x v="0"/>
  </r>
  <r>
    <x v="4"/>
    <s v="WEAV"/>
    <n v="759"/>
    <n v="11.02"/>
    <n v="0.41"/>
    <n v="0.94"/>
    <n v="-0.42"/>
    <n v="26.878048780487806"/>
    <n v="11.723404255319149"/>
    <n v="-42.2"/>
    <n v="-10.76"/>
    <n v="2.75"/>
    <n v="-26.238095238095237"/>
    <s v="NO"/>
    <n v="0.64781344399723606"/>
    <n v="2.6615805354005522"/>
    <n v="-1.2395818967578514"/>
    <n v="-1.7197061952614692"/>
    <n v="0.94084351121030574"/>
    <n v="-0.67066755224963515"/>
    <x v="0"/>
    <x v="0"/>
    <x v="1"/>
    <x v="0"/>
    <x v="0"/>
    <x v="0"/>
  </r>
  <r>
    <x v="4"/>
    <s v="WULF"/>
    <n v="1170"/>
    <n v="3.83"/>
    <n v="-0.83"/>
    <n v="0.61"/>
    <n v="-0.21"/>
    <n v="-4.6144578313253017"/>
    <n v="6.278688524590164"/>
    <n v="-31.02"/>
    <n v="-5.71"/>
    <n v="3.35"/>
    <n v="-18.238095238095241"/>
    <s v="NO"/>
    <n v="-0.72177718918079448"/>
    <n v="0.91395708282367805"/>
    <n v="-0.88719843922795338"/>
    <n v="-0.84968291169055721"/>
    <n v="1.5872670885078108"/>
    <n v="-0.39595156104553092"/>
    <x v="0"/>
    <x v="0"/>
    <x v="1"/>
    <x v="0"/>
    <x v="0"/>
    <x v="0"/>
  </r>
  <r>
    <x v="4"/>
    <s v="XNET"/>
    <n v="269"/>
    <n v="4.6900000000000004"/>
    <n v="0.35"/>
    <n v="5.17"/>
    <n v="0.02"/>
    <n v="13.400000000000002"/>
    <n v="0.90715667311411996"/>
    <n v="0.21"/>
    <n v="0.67"/>
    <n v="1.49"/>
    <n v="234.50000000000003"/>
    <s v="NO"/>
    <n v="6.166101126746433E-2"/>
    <n v="-0.81017609586962824"/>
    <n v="9.7142828988389329E-2"/>
    <n v="0.24947521686041671"/>
    <n v="-0.41664600111445482"/>
    <n v="8.2829479825008026"/>
    <x v="0"/>
    <x v="0"/>
    <x v="1"/>
    <x v="0"/>
    <x v="0"/>
    <x v="1"/>
  </r>
  <r>
    <x v="4"/>
    <s v="YEXT"/>
    <n v="807"/>
    <n v="6.79"/>
    <n v="0.38"/>
    <n v="1.21"/>
    <n v="-0.22"/>
    <n v="17.868421052631579"/>
    <n v="5.6115702479338845"/>
    <n v="-18.61"/>
    <n v="-0.37"/>
    <n v="3.98"/>
    <n v="-30.863636363636363"/>
    <s v="NO"/>
    <n v="0.25599002083839806"/>
    <n v="0.69982808076261271"/>
    <n v="-0.49604649755120622"/>
    <n v="7.030210499630811E-2"/>
    <n v="2.2660118446701909"/>
    <n v="-0.82950631664443253"/>
    <x v="0"/>
    <x v="0"/>
    <x v="1"/>
    <x v="0"/>
    <x v="0"/>
    <x v="0"/>
  </r>
  <r>
    <x v="4"/>
    <s v="ADEA"/>
    <n v="1421"/>
    <n v="14.02"/>
    <n v="1.69"/>
    <n v="3.61"/>
    <n v="0.66"/>
    <n v="8.2958579881656807"/>
    <n v="3.8836565096952911"/>
    <n v="20.43"/>
    <n v="8.58"/>
    <n v="2.79"/>
    <n v="21.242424242424242"/>
    <s v="NO"/>
    <n v="-0.16031512978688181"/>
    <n v="0.14520912133142219"/>
    <n v="0.73445888545122795"/>
    <n v="1.6122245580576273"/>
    <n v="0.98393841636347279"/>
    <n v="0.95978969424745175"/>
    <x v="0"/>
    <x v="0"/>
    <x v="1"/>
    <x v="0"/>
    <x v="0"/>
    <x v="0"/>
  </r>
  <r>
    <x v="4"/>
    <s v="AIP"/>
    <n v="300"/>
    <n v="8.35"/>
    <n v="-0.03"/>
    <n v="-0.03"/>
    <n v="-0.86"/>
    <n v="-278.33333333333331"/>
    <n v="-278.33333333333331"/>
    <n v="-483.48"/>
    <n v="-18.899999999999999"/>
    <n v="-89.34"/>
    <n v="-9.7093023255813957"/>
    <s v="NO"/>
    <n v="-12.625650470291797"/>
    <n v="-90.439690909673729"/>
    <n v="-15.148327168564053"/>
    <n v="-3.1220803592747806"/>
    <n v="-98.274401877668438"/>
    <n v="-0.10307708620355828"/>
    <x v="1"/>
    <x v="1"/>
    <x v="0"/>
    <x v="1"/>
    <x v="1"/>
    <x v="0"/>
  </r>
  <r>
    <x v="4"/>
    <s v="ATEN"/>
    <n v="1216"/>
    <n v="17.920000000000002"/>
    <n v="0.56999999999999995"/>
    <n v="2.73"/>
    <n v="0.67"/>
    <n v="31.438596491228076"/>
    <n v="6.5641025641025648"/>
    <n v="24.36"/>
    <n v="5.68"/>
    <n v="3.09"/>
    <n v="26.746268656716421"/>
    <s v="NO"/>
    <n v="0.84614898787066106"/>
    <n v="1.0055681592902526"/>
    <n v="0.8583289201643316"/>
    <n v="1.1126072268980938"/>
    <n v="1.3071502050122252"/>
    <n v="1.148788953460633"/>
    <x v="0"/>
    <x v="0"/>
    <x v="1"/>
    <x v="0"/>
    <x v="0"/>
    <x v="0"/>
  </r>
  <r>
    <x v="4"/>
    <s v="NABL"/>
    <n v="1349"/>
    <n v="8.19"/>
    <n v="0.3"/>
    <n v="4.05"/>
    <n v="0.16"/>
    <n v="27.3"/>
    <n v="2.0222222222222221"/>
    <n v="4.21"/>
    <n v="4.04"/>
    <n v="1.76"/>
    <n v="51.187499999999993"/>
    <s v="NO"/>
    <n v="0.66616385493864938"/>
    <n v="-0.45226673913615584"/>
    <n v="0.22321920019765512"/>
    <n v="0.83006501203546101"/>
    <n v="-0.12575539133057753"/>
    <n v="1.9880885903005041"/>
    <x v="0"/>
    <x v="0"/>
    <x v="1"/>
    <x v="0"/>
    <x v="0"/>
    <x v="0"/>
  </r>
  <r>
    <x v="4"/>
    <s v="OSPN"/>
    <n v="597"/>
    <n v="16.440000000000001"/>
    <n v="1.31"/>
    <n v="6.06"/>
    <n v="1.48"/>
    <n v="12.549618320610687"/>
    <n v="2.7128712871287131"/>
    <n v="28.92"/>
    <n v="10.81"/>
    <n v="1.44"/>
    <n v="11.108108108108109"/>
    <s v="NO"/>
    <n v="2.4678411023096057E-2"/>
    <n v="-0.23058491715988372"/>
    <n v="1.0020559833428946"/>
    <n v="1.9964130575354755"/>
    <n v="-0.47051463255591364"/>
    <n v="0.61178235649565138"/>
    <x v="0"/>
    <x v="0"/>
    <x v="1"/>
    <x v="0"/>
    <x v="0"/>
    <x v="0"/>
  </r>
  <r>
    <x v="4"/>
    <s v="RDWR"/>
    <n v="957"/>
    <n v="24.06"/>
    <n v="1.58"/>
    <n v="7.43"/>
    <n v="0.14000000000000001"/>
    <n v="15.22784810126582"/>
    <n v="3.2382234185733512"/>
    <n v="1.77"/>
    <n v="-0.48"/>
    <n v="1.96"/>
    <n v="171.85714285714283"/>
    <s v="NO"/>
    <n v="0.14115305263538977"/>
    <n v="-6.1959455119283705E-2"/>
    <n v="0.14631261376000299"/>
    <n v="5.1351102779912006E-2"/>
    <n v="8.9719134435257419E-2"/>
    <n v="6.1318236585186625"/>
    <x v="0"/>
    <x v="0"/>
    <x v="1"/>
    <x v="0"/>
    <x v="0"/>
    <x v="1"/>
  </r>
  <r>
    <x v="4"/>
    <s v="RPD"/>
    <n v="1576"/>
    <n v="24.56"/>
    <n v="2.46"/>
    <n v="0.28000000000000003"/>
    <n v="0.4"/>
    <n v="9.9837398373983728"/>
    <n v="87.714285714285708"/>
    <n v="-50.81"/>
    <n v="1.41"/>
    <n v="93.28"/>
    <n v="61.399999999999991"/>
    <s v="NO"/>
    <n v="-8.6910138589605473E-2"/>
    <n v="27.052834952993123"/>
    <n v="-1.5109612857857959"/>
    <n v="0.3769637772252632"/>
    <n v="98.475387599115521"/>
    <n v="2.3387807228219937"/>
    <x v="0"/>
    <x v="1"/>
    <x v="1"/>
    <x v="0"/>
    <x v="1"/>
    <x v="0"/>
  </r>
  <r>
    <x v="4"/>
    <s v="TCYSF"/>
    <n v="469"/>
    <n v="30.66"/>
    <n v="0.24"/>
    <n v="3.27"/>
    <n v="7.0000000000000007E-2"/>
    <n v="127.75"/>
    <n v="9.376146788990825"/>
    <n v="4.5599999999999996"/>
    <n v="2.7"/>
    <n v="2.16"/>
    <n v="437.99999999999994"/>
    <s v="NO"/>
    <n v="5.0346754122602713"/>
    <n v="1.908167060709868"/>
    <n v="0.23425088267846586"/>
    <n v="0.59920734867209025"/>
    <n v="0.30519366020109262"/>
    <n v="15.271036008755205"/>
    <x v="1"/>
    <x v="0"/>
    <x v="1"/>
    <x v="0"/>
    <x v="0"/>
    <x v="1"/>
  </r>
  <r>
    <x v="4"/>
    <s v="XPER"/>
    <n v="316"/>
    <n v="8.34"/>
    <n v="-1.6"/>
    <n v="9.68"/>
    <n v="-0.31"/>
    <n v="-5.2124999999999995"/>
    <n v="0.86157024793388426"/>
    <n v="-0.21"/>
    <n v="-7.97"/>
    <n v="1.56"/>
    <n v="-26.903225806451612"/>
    <s v="NO"/>
    <n v="-0.74778569217353819"/>
    <n v="-0.82480824742797143"/>
    <n v="8.390481001141642E-2"/>
    <n v="-1.2390398663183315"/>
    <n v="-0.34122991709641254"/>
    <n v="-0.69350780267040646"/>
    <x v="0"/>
    <x v="0"/>
    <x v="1"/>
    <x v="0"/>
    <x v="0"/>
    <x v="0"/>
  </r>
  <r>
    <x v="5"/>
    <s v="CAN"/>
    <n v="252"/>
    <n v="0.88249999999999995"/>
    <n v="-0.81"/>
    <n v="0.87"/>
    <n v="-0.92"/>
    <n v="-1.0895061728395061"/>
    <n v="1.014367816091954"/>
    <n v="-81.290000000000006"/>
    <n v="-29.15"/>
    <n v="1.74"/>
    <n v="-0.95923913043478248"/>
    <s v="NO"/>
    <n v="-0.49857619005021336"/>
    <n v="-0.38947637231340609"/>
    <n v="-1.4413051764264051"/>
    <n v="-10.186882173003379"/>
    <n v="-1.1278667329323766"/>
    <n v="0.29092550649634152"/>
    <x v="0"/>
    <x v="0"/>
    <x v="1"/>
    <x v="1"/>
    <x v="0"/>
    <x v="0"/>
  </r>
  <r>
    <x v="5"/>
    <s v="CMPO"/>
    <n v="1160"/>
    <n v="12.28"/>
    <n v="2.75"/>
    <n v="-1.43"/>
    <n v="-1.22"/>
    <n v="4.4654545454545449"/>
    <n v="-8.5874125874125866"/>
    <n v="47.63"/>
    <n v="19.93"/>
    <n v="-3.3"/>
    <n v="-10.065573770491802"/>
    <s v="NO"/>
    <n v="0.19445298596145055"/>
    <n v="-20.430213614317562"/>
    <n v="1.467022626749243"/>
    <n v="5.9204688917841803"/>
    <n v="-7.1912782891768341"/>
    <n v="-1.1576159059034123"/>
    <x v="0"/>
    <x v="1"/>
    <x v="1"/>
    <x v="1"/>
    <x v="1"/>
    <x v="0"/>
  </r>
  <r>
    <x v="5"/>
    <s v="CRSR"/>
    <n v="726"/>
    <n v="8.81"/>
    <n v="0.25"/>
    <n v="5.77"/>
    <n v="-0.95"/>
    <n v="35.24"/>
    <n v="1.5268630849220106"/>
    <n v="-12.7"/>
    <n v="-2.41"/>
    <n v="2.04"/>
    <n v="-9.2736842105263175"/>
    <s v="NO"/>
    <n v="4.033842490239878"/>
    <n v="0.68019847847205106"/>
    <n v="0.10602808466433102"/>
    <n v="-1.4111982391725042"/>
    <n v="-0.766949378394016"/>
    <n v="-1.0316503152461993"/>
    <x v="1"/>
    <x v="0"/>
    <x v="1"/>
    <x v="0"/>
    <x v="0"/>
    <x v="0"/>
  </r>
  <r>
    <x v="5"/>
    <s v="DBD"/>
    <n v="1656"/>
    <n v="48.74"/>
    <n v="2.89"/>
    <n v="24.74"/>
    <n v="-0.44"/>
    <n v="16.865051903114185"/>
    <n v="1.9700889248181086"/>
    <n v="-1.44"/>
    <n v="4.68"/>
    <n v="3.81"/>
    <n v="-110.77272727272728"/>
    <s v="NO"/>
    <n v="1.7414095128285378"/>
    <n v="1.605294890069036"/>
    <n v="0.36004430451972813"/>
    <n v="0.91563792727704341"/>
    <n v="1.3624630133823117"/>
    <n v="-17.177066995609202"/>
    <x v="0"/>
    <x v="0"/>
    <x v="1"/>
    <x v="0"/>
    <x v="0"/>
    <x v="1"/>
  </r>
  <r>
    <x v="5"/>
    <s v="KODK"/>
    <n v="514"/>
    <n v="6.23"/>
    <n v="-0.84"/>
    <n v="7.96"/>
    <n v="0.9"/>
    <n v="-7.4166666666666679"/>
    <n v="0.78266331658291466"/>
    <n v="10.199999999999999"/>
    <n v="4.8499999999999996"/>
    <n v="3.12"/>
    <n v="6.9222222222222225"/>
    <s v="NO"/>
    <n v="-1.2879439364484653"/>
    <n v="-0.87308761911466637"/>
    <n v="0.62263300781607112"/>
    <n v="0.97142948556990993"/>
    <n v="0.53235309794408225"/>
    <n v="1.5446267607125348"/>
    <x v="0"/>
    <x v="0"/>
    <x v="1"/>
    <x v="0"/>
    <x v="0"/>
    <x v="0"/>
  </r>
  <r>
    <x v="5"/>
    <s v="XRX"/>
    <n v="668"/>
    <n v="5.95"/>
    <n v="3.48"/>
    <n v="8.3699999999999992"/>
    <n v="-10.54"/>
    <n v="1.7097701149425288"/>
    <n v="0.71087216248506579"/>
    <n v="-66.8"/>
    <n v="0.44"/>
    <n v="7.8"/>
    <n v="-0.56451612903225812"/>
    <s v="NO"/>
    <n v="-0.1493423722913097"/>
    <n v="-1.0229293771130155"/>
    <n v="-1.1144228473229676"/>
    <n v="-0.47586917367444903"/>
    <n v="6.1626638287425077"/>
    <n v="0.35371395394073535"/>
    <x v="0"/>
    <x v="0"/>
    <x v="1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25"/>
        <item m="1" x="26"/>
        <item m="1" x="27"/>
        <item m="1" x="28"/>
        <item m="1" x="29"/>
        <item m="1" x="30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24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2"/>
    </i>
    <i>
      <x v="53"/>
    </i>
    <i>
      <x v="54"/>
    </i>
    <i>
      <x v="55"/>
    </i>
    <i>
      <x v="56"/>
    </i>
    <i>
      <x v="57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3"/>
    </i>
    <i>
      <x v="54"/>
    </i>
    <i>
      <x v="55"/>
    </i>
    <i>
      <x v="56"/>
    </i>
    <i>
      <x v="57"/>
    </i>
    <i>
      <x v="58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26"/>
        <item m="1" x="27"/>
        <item m="1" x="28"/>
        <item m="1" x="29"/>
        <item m="1" x="30"/>
        <item m="1" x="31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x="0"/>
        <item x="1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54"/>
    </i>
    <i>
      <x v="55"/>
    </i>
    <i>
      <x v="56"/>
    </i>
    <i>
      <x v="57"/>
    </i>
    <i>
      <x v="58"/>
    </i>
    <i>
      <x v="59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121" tableType="queryTable" totalsRowShown="0">
  <autoFilter ref="A1:Z121" xr:uid="{1B3BB95A-07C7-4768-8185-A2A759A39458}"/>
  <sortState xmlns:xlrd2="http://schemas.microsoft.com/office/spreadsheetml/2017/richdata2" ref="A2:Z121">
    <sortCondition ref="A1:A121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7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6"/>
    <tableColumn id="9" xr3:uid="{92CA53A2-ADA4-45CE-B0FD-3AD68E123166}" uniqueName="9" name="P/B" queryTableFieldId="46" dataDxfId="135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4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3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2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1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0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29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28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24" tableType="queryTable" totalsRowShown="0">
  <autoFilter ref="A1:Z124" xr:uid="{8A05384F-F989-4428-B033-1A9B3ACA4EBB}"/>
  <sortState xmlns:xlrd2="http://schemas.microsoft.com/office/spreadsheetml/2017/richdata2" ref="A2:Z124">
    <sortCondition ref="A1:A124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55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54"/>
    <tableColumn id="9" xr3:uid="{F1DC44A8-3710-4CCA-B495-699F6ACADE85}" uniqueName="9" name="P/B" queryTableFieldId="45" dataDxfId="53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52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51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50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49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48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47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46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159" tableType="queryTable" totalsRowShown="0">
  <autoFilter ref="A1:Z159" xr:uid="{DE7CBD96-9DC7-4F09-9B11-F8C87451A82B}"/>
  <sortState xmlns:xlrd2="http://schemas.microsoft.com/office/spreadsheetml/2017/richdata2" ref="A2:Z159">
    <sortCondition ref="A1:A159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9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"/>
    <tableColumn id="9" xr3:uid="{A85952D4-A3AB-4C1A-90DC-2E32ECE72481}" uniqueName="9" name="P/B" queryTableFieldId="45" dataDxfId="7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6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5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4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3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2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0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79"/>
    <tableColumn id="3" xr3:uid="{04B713EC-FD8B-48E2-A2D2-C366A9A339B7}" uniqueName="3" name="P/FCF Q3" queryTableFieldId="3" dataDxfId="78"/>
    <tableColumn id="4" xr3:uid="{9DCEA951-E29F-4D9E-B9F0-5DC32A557DF0}" uniqueName="4" name="P/FCF LB" queryTableFieldId="4" dataDxfId="77"/>
    <tableColumn id="5" xr3:uid="{C2B6F391-AB27-4C2B-B68A-D2B47E1AA772}" uniqueName="5" name="P/FCF UB" queryTableFieldId="5" dataDxfId="76"/>
    <tableColumn id="6" xr3:uid="{1FD6B89C-F582-4857-A32F-326E69C5DFFD}" uniqueName="6" name="P/B Q1" queryTableFieldId="6" dataDxfId="75"/>
    <tableColumn id="7" xr3:uid="{A3697E12-D8D4-4284-AE2B-01C3BA154C99}" uniqueName="7" name="P/B Q3" queryTableFieldId="7" dataDxfId="74"/>
    <tableColumn id="8" xr3:uid="{A270BB2A-00C0-4246-AFBA-EDE9D5F40C76}" uniqueName="8" name="P/B LB" queryTableFieldId="8" dataDxfId="73"/>
    <tableColumn id="9" xr3:uid="{F99BB669-75E9-428A-88A3-E037E705383F}" uniqueName="9" name="P/B UB" queryTableFieldId="9" dataDxfId="72"/>
    <tableColumn id="10" xr3:uid="{D3A49932-F6DE-43A8-B449-B1C4E41499CF}" uniqueName="10" name="ROE Q1" queryTableFieldId="10" dataDxfId="71"/>
    <tableColumn id="11" xr3:uid="{BD8F2597-7442-49AD-BA3A-A3F29A6E60DD}" uniqueName="11" name="ROE Q3" queryTableFieldId="11" dataDxfId="70"/>
    <tableColumn id="12" xr3:uid="{3B29ED46-D0C8-4AF8-BFC0-41462C6C29EB}" uniqueName="12" name="ROE LB" queryTableFieldId="12" dataDxfId="69"/>
    <tableColumn id="13" xr3:uid="{F62F045D-EA3F-4608-85C5-21D743180D21}" uniqueName="13" name="ROE UB" queryTableFieldId="13" dataDxfId="68"/>
    <tableColumn id="14" xr3:uid="{9D898AB4-6F4D-4D03-BA61-39B91E78C9C6}" uniqueName="14" name="ROA Q1" queryTableFieldId="14" dataDxfId="67"/>
    <tableColumn id="15" xr3:uid="{2D1DFB04-09CE-4BEC-AD50-26246811DCDA}" uniqueName="15" name="ROA Q3" queryTableFieldId="15" dataDxfId="66"/>
    <tableColumn id="16" xr3:uid="{753F114C-61F5-4444-9EB0-76DCEA7F1F1B}" uniqueName="16" name="ROA LB" queryTableFieldId="16" dataDxfId="65"/>
    <tableColumn id="17" xr3:uid="{AA60DB6D-6DE2-4BF0-A375-18A578568BBF}" uniqueName="17" name="ROA UB" queryTableFieldId="17" dataDxfId="64"/>
    <tableColumn id="18" xr3:uid="{5357CEC7-DB8C-48BE-BDAD-FCBB1FB43389}" uniqueName="18" name="P/E Q1" queryTableFieldId="18" dataDxfId="63"/>
    <tableColumn id="19" xr3:uid="{C18FE8DB-95D8-42EC-BC42-C15678D7CE64}" uniqueName="19" name="P/E Q3" queryTableFieldId="19" dataDxfId="62"/>
    <tableColumn id="20" xr3:uid="{B7040099-49E4-464B-9BD8-1326A00D0599}" uniqueName="20" name="P/E LB" queryTableFieldId="20" dataDxfId="61"/>
    <tableColumn id="21" xr3:uid="{E8713F96-91B8-41CB-AA45-CCA61FACA752}" uniqueName="21" name="P/E UB" queryTableFieldId="21" dataDxfId="60"/>
    <tableColumn id="22" xr3:uid="{91693169-B783-4EDC-94CF-D23F08159B62}" uniqueName="22" name="A/E Q1" queryTableFieldId="22" dataDxfId="59"/>
    <tableColumn id="23" xr3:uid="{F98A9AC1-1CAF-483B-A342-F3A466AEB043}" uniqueName="23" name="A/E Q3" queryTableFieldId="23" dataDxfId="58"/>
    <tableColumn id="24" xr3:uid="{04D140EC-A8E6-4894-B430-208F20D411DB}" uniqueName="24" name="A/E LB" queryTableFieldId="24" dataDxfId="57"/>
    <tableColumn id="25" xr3:uid="{3E6CFD0C-10B0-4D91-A289-A353306CC102}" uniqueName="25" name="A/E UB" queryTableFieldId="25" dataDxfId="5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103"/>
    <tableColumn id="3" xr3:uid="{BB549C0D-7552-41A2-B049-C1E0C569FC5B}" uniqueName="3" name="P/FCF Q3" queryTableFieldId="3" dataDxfId="102"/>
    <tableColumn id="4" xr3:uid="{F8874757-4F98-4408-A256-B3DBB97E40A5}" uniqueName="4" name="P/FCF LB" queryTableFieldId="4" dataDxfId="101"/>
    <tableColumn id="5" xr3:uid="{7F92E8F9-91DF-48EA-A8F2-F3E13D8104D3}" uniqueName="5" name="P/FCF UB" queryTableFieldId="5" dataDxfId="100"/>
    <tableColumn id="6" xr3:uid="{837AC52A-2B15-4BFB-A555-2456F010C7C9}" uniqueName="6" name="P/B Q1" queryTableFieldId="6" dataDxfId="99"/>
    <tableColumn id="7" xr3:uid="{C672A3A3-8D6C-4E08-B6E3-1D85CD510A41}" uniqueName="7" name="P/B Q3" queryTableFieldId="7" dataDxfId="98"/>
    <tableColumn id="8" xr3:uid="{47FBFC34-1D36-49FE-8583-28072989EA1C}" uniqueName="8" name="P/B LB" queryTableFieldId="8" dataDxfId="97"/>
    <tableColumn id="9" xr3:uid="{98DADD72-A76B-4DE4-AB34-515EBE2E4A04}" uniqueName="9" name="P/B UB" queryTableFieldId="9" dataDxfId="96"/>
    <tableColumn id="10" xr3:uid="{C06AFB5F-1921-4B19-AFA7-04514BD3BC35}" uniqueName="10" name="ROE Q1" queryTableFieldId="10" dataDxfId="95"/>
    <tableColumn id="11" xr3:uid="{38FF7E38-2AC1-4486-B824-BCBE4156ADA7}" uniqueName="11" name="ROE Q3" queryTableFieldId="11" dataDxfId="94"/>
    <tableColumn id="12" xr3:uid="{1BBD6DC1-3C0C-48AF-9986-81D1F4A26368}" uniqueName="12" name="ROE LB" queryTableFieldId="12" dataDxfId="93"/>
    <tableColumn id="13" xr3:uid="{5775303C-3550-4762-86D0-7A82C106A3F0}" uniqueName="13" name="ROE UB" queryTableFieldId="13" dataDxfId="92"/>
    <tableColumn id="14" xr3:uid="{9FE06177-2E94-4066-A65B-77414C97B4DC}" uniqueName="14" name="ROA Q1" queryTableFieldId="14" dataDxfId="91"/>
    <tableColumn id="15" xr3:uid="{386179E5-15F0-4AED-9E0C-1EB211C80CEE}" uniqueName="15" name="ROA Q3" queryTableFieldId="15" dataDxfId="90"/>
    <tableColumn id="16" xr3:uid="{C7DC1506-2223-42A0-AC4B-68B0E14D2B9D}" uniqueName="16" name="ROA LB" queryTableFieldId="16" dataDxfId="89"/>
    <tableColumn id="17" xr3:uid="{C45AE1E6-1326-44B3-972F-838B081A78FC}" uniqueName="17" name="ROA UB" queryTableFieldId="17" dataDxfId="88"/>
    <tableColumn id="18" xr3:uid="{17D85B47-F40C-47C3-996F-C47242CFB7D2}" uniqueName="18" name="P/E Q1" queryTableFieldId="18" dataDxfId="87"/>
    <tableColumn id="19" xr3:uid="{44248722-1EBA-4DF8-B99D-B6B2F31E253B}" uniqueName="19" name="P/E Q3" queryTableFieldId="19" dataDxfId="86"/>
    <tableColumn id="20" xr3:uid="{93299C7A-5544-43AE-ACC5-72F0CB129F08}" uniqueName="20" name="P/E LB" queryTableFieldId="20" dataDxfId="85"/>
    <tableColumn id="21" xr3:uid="{3E027012-2DA9-4754-8880-25FEEDEFA94A}" uniqueName="21" name="P/E UB" queryTableFieldId="21" dataDxfId="84"/>
    <tableColumn id="22" xr3:uid="{FF2638EF-6EA0-401C-B7D8-A2BC49ECD2B0}" uniqueName="22" name="A/E Q1" queryTableFieldId="22" dataDxfId="83"/>
    <tableColumn id="23" xr3:uid="{546FB46A-BFEC-4020-A8E1-97073EBE991F}" uniqueName="23" name="A/E Q3" queryTableFieldId="23" dataDxfId="82"/>
    <tableColumn id="24" xr3:uid="{41F03CE5-975A-469D-B609-D8C5D8D172FA}" uniqueName="24" name="A/E LB" queryTableFieldId="24" dataDxfId="81"/>
    <tableColumn id="25" xr3:uid="{1863137D-3C8C-4A15-9A63-5E253392AFAD}" uniqueName="25" name="A/E UB" queryTableFieldId="25" dataDxfId="8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127"/>
    <tableColumn id="3" xr3:uid="{6D66145B-6613-41BC-8233-7356853CCFEF}" uniqueName="3" name="P/FCF Q3" queryTableFieldId="3" dataDxfId="126"/>
    <tableColumn id="4" xr3:uid="{90A69125-3CA2-4D0A-8F1A-65993DFA9D46}" uniqueName="4" name="P/FCF LB" queryTableFieldId="4" dataDxfId="125"/>
    <tableColumn id="5" xr3:uid="{BED6E3D4-DC60-428F-B5E8-4C3C64096FD7}" uniqueName="5" name="P/FCF UB" queryTableFieldId="5" dataDxfId="124"/>
    <tableColumn id="6" xr3:uid="{FC33B186-B76E-4D86-8EBD-E25B773D256E}" uniqueName="6" name="P/B Q1" queryTableFieldId="6" dataDxfId="123"/>
    <tableColumn id="7" xr3:uid="{D82D1432-7C03-4449-BD2D-F895D50A5F32}" uniqueName="7" name="P/B Q3" queryTableFieldId="7" dataDxfId="122"/>
    <tableColumn id="8" xr3:uid="{D3389429-24FB-4947-AACF-CAA92D678F94}" uniqueName="8" name="P/B LB" queryTableFieldId="8" dataDxfId="121"/>
    <tableColumn id="9" xr3:uid="{452E932D-DD5B-4C62-A8B3-25C90C8C7751}" uniqueName="9" name="P/B UB" queryTableFieldId="9" dataDxfId="120"/>
    <tableColumn id="10" xr3:uid="{99E11285-9679-47B1-9540-1BD10239596C}" uniqueName="10" name="ROE Q1" queryTableFieldId="10" dataDxfId="119"/>
    <tableColumn id="11" xr3:uid="{B4F1825A-C678-4C01-BB96-B04FAB1938BD}" uniqueName="11" name="ROE Q3" queryTableFieldId="11" dataDxfId="118"/>
    <tableColumn id="12" xr3:uid="{9F07026D-928C-42B1-8DD2-9BD3176C8B6A}" uniqueName="12" name="ROE LB" queryTableFieldId="12" dataDxfId="117"/>
    <tableColumn id="13" xr3:uid="{47360B1B-7AC4-49FA-9F18-2F1F1B72CA28}" uniqueName="13" name="ROE UB" queryTableFieldId="13" dataDxfId="116"/>
    <tableColumn id="14" xr3:uid="{58B0248D-BCFF-4737-ADF5-EE087C03D561}" uniqueName="14" name="ROA Q1" queryTableFieldId="14" dataDxfId="115"/>
    <tableColumn id="15" xr3:uid="{CCD6E6AE-6BBB-4675-8C50-0F87AF280A3C}" uniqueName="15" name="ROA Q3" queryTableFieldId="15" dataDxfId="114"/>
    <tableColumn id="16" xr3:uid="{BB86731C-A605-4988-A848-B35835CAF73E}" uniqueName="16" name="ROA LB" queryTableFieldId="16" dataDxfId="113"/>
    <tableColumn id="17" xr3:uid="{9760AC7A-70E9-4457-8DC8-4BDA6646C74E}" uniqueName="17" name="ROA UB" queryTableFieldId="17" dataDxfId="112"/>
    <tableColumn id="18" xr3:uid="{931D5CA9-41B9-424B-87E6-FA364034B249}" uniqueName="18" name="P/E Q1" queryTableFieldId="18" dataDxfId="111"/>
    <tableColumn id="19" xr3:uid="{23E1DD3D-5F02-4A6D-9773-5EA3466661AF}" uniqueName="19" name="P/E Q3" queryTableFieldId="19" dataDxfId="110"/>
    <tableColumn id="20" xr3:uid="{478DC28A-5ACD-47E8-8720-6EEE2D43205B}" uniqueName="20" name="P/E LB" queryTableFieldId="20" dataDxfId="109"/>
    <tableColumn id="21" xr3:uid="{AC7D613F-0AC5-4542-BBED-886B4C332840}" uniqueName="21" name="P/E UB" queryTableFieldId="21" dataDxfId="108"/>
    <tableColumn id="22" xr3:uid="{1E3F527B-4B19-4D38-9A78-D4BBA95224B9}" uniqueName="22" name="A/E Q1" queryTableFieldId="22" dataDxfId="107"/>
    <tableColumn id="23" xr3:uid="{1256121C-1427-4F44-988A-E08E26F80A67}" uniqueName="23" name="A/E Q3" queryTableFieldId="23" dataDxfId="106"/>
    <tableColumn id="24" xr3:uid="{3F6A6F05-B80E-47C0-9039-80E1A481FF30}" uniqueName="24" name="A/E LB" queryTableFieldId="24" dataDxfId="105"/>
    <tableColumn id="25" xr3:uid="{08969B40-89DA-4EAE-925B-3C841EB86C63}" uniqueName="25" name="A/E UB" queryTableFieldId="25" dataDxfId="10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121"/>
  <sheetViews>
    <sheetView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168</v>
      </c>
      <c r="B2" t="s">
        <v>169</v>
      </c>
      <c r="C2" s="2">
        <v>108549</v>
      </c>
      <c r="D2">
        <f>RTD("tos.rtd", , "LAST", Main_L[[#This Row],[Symbol]])</f>
        <v>97.25</v>
      </c>
      <c r="E2">
        <v>2.93</v>
      </c>
      <c r="F2">
        <v>7.92</v>
      </c>
      <c r="G2">
        <v>2.23</v>
      </c>
      <c r="H2" s="1">
        <f>IF(ISNUMBER(Main_L[[#This Row],[Free CF]]),IF(Main_L[[#This Row],[Free CF]]&lt;&gt;0,Main_L[[#This Row],[Current Price]]/Main_L[[#This Row],[Free CF]],""),"")</f>
        <v>33.191126279863482</v>
      </c>
      <c r="I2" s="1">
        <f>IF(ISNUMBER(Main_L[[#This Row],[BVPS]]),IF(Main_L[[#This Row],[BVPS]]&lt;&gt;0,Main_L[[#This Row],[Current Price]]/Main_L[[#This Row],[BVPS]],""),"")</f>
        <v>12.279040404040405</v>
      </c>
      <c r="J2">
        <v>33.14</v>
      </c>
      <c r="K2">
        <v>15.34</v>
      </c>
      <c r="L2">
        <v>1.41</v>
      </c>
      <c r="M2" s="1">
        <f>IF(ISNUMBER(Main_L[[#This Row],[EPS]]),IF(Main_L[[#This Row],[EPS]]&lt;&gt;0,Main_L[[#This Row],[Current Price]]/Main_L[[#This Row],[EPS]],""),"")</f>
        <v>43.609865470852021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1.173136187200394</v>
      </c>
      <c r="P2" s="1">
        <f>(Main_L[[#This Row],[P/B]]-VLOOKUP(Main_L[[#This Row],[Industry]], Mean_PB_L, 2, FALSE))/(VLOOKUP(Main_L[[#This Row],[Industry]], Mean_PB_L, 3, FALSE))</f>
        <v>2.2478769009370598</v>
      </c>
      <c r="Q2" s="1">
        <f>(Main_L[[#This Row],[ROE]]-VLOOKUP(Main_L[[#This Row],[Industry]], Mean_ROE_L, 2, FALSE))/(VLOOKUP(Main_L[[#This Row],[Industry]], Mean_ROE_L, 3, FALSE))</f>
        <v>1.8707925567089978</v>
      </c>
      <c r="R2" s="1">
        <f>(Main_L[[#This Row],[ROA]]-VLOOKUP(Main_L[[#This Row],[Industry]], Mean_ROA_L, 2, FALSE))/(VLOOKUP(Main_L[[#This Row],[Industry]], Mean_ROA_L, 3, FALSE))</f>
        <v>1.8068200367295852</v>
      </c>
      <c r="S2" s="1">
        <f>(Main_L[[#This Row],[A/E]]-VLOOKUP(Main_L[[#This Row],[Industry]], Mean_AE_L, 2, FALSE))/(VLOOKUP(Main_L[[#This Row],[Industry]], Mean_AE_L, 3, FALSE))</f>
        <v>-1.1902852358157192</v>
      </c>
      <c r="T2" s="1">
        <f>(Main_L[[#This Row],[P/E]]-VLOOKUP(Main_L[[#This Row],[Industry]], Mean_PE_L, 2, FALSE))/(VLOOKUP(Main_L[[#This Row],[Industry]], Mean_PE_L, 3, FALSE))</f>
        <v>0.61674419245076384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168</v>
      </c>
      <c r="B3" t="s">
        <v>170</v>
      </c>
      <c r="C3" s="2">
        <v>10425</v>
      </c>
      <c r="D3">
        <f>RTD("tos.rtd", , "LAST", Main_L[[#This Row],[Symbol]])</f>
        <v>80.59</v>
      </c>
      <c r="E3">
        <v>1.42</v>
      </c>
      <c r="F3">
        <v>19.600000000000001</v>
      </c>
      <c r="G3">
        <v>0.55000000000000004</v>
      </c>
      <c r="H3" s="1">
        <f>IF(ISNUMBER(Main_L[[#This Row],[Free CF]]),IF(Main_L[[#This Row],[Free CF]]&lt;&gt;0,Main_L[[#This Row],[Current Price]]/Main_L[[#This Row],[Free CF]],""),"")</f>
        <v>56.753521126760567</v>
      </c>
      <c r="I3" s="1">
        <f>IF(ISNUMBER(Main_L[[#This Row],[BVPS]]),IF(Main_L[[#This Row],[BVPS]]&lt;&gt;0,Main_L[[#This Row],[Current Price]]/Main_L[[#This Row],[BVPS]],""),"")</f>
        <v>4.1117346938775512</v>
      </c>
      <c r="J3">
        <v>2.76</v>
      </c>
      <c r="K3">
        <v>2.06</v>
      </c>
      <c r="L3">
        <v>2</v>
      </c>
      <c r="M3" s="1">
        <f>IF(ISNUMBER(Main_L[[#This Row],[EPS]]),IF(Main_L[[#This Row],[EPS]]&lt;&gt;0,Main_L[[#This Row],[Current Price]]/Main_L[[#This Row],[EPS]],""),"")</f>
        <v>146.52727272727273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3.6814729725938293</v>
      </c>
      <c r="P3" s="1">
        <f>(Main_L[[#This Row],[P/B]]-VLOOKUP(Main_L[[#This Row],[Industry]], Mean_PB_L, 2, FALSE))/(VLOOKUP(Main_L[[#This Row],[Industry]], Mean_PB_L, 3, FALSE))</f>
        <v>-0.21522710852222299</v>
      </c>
      <c r="Q3" s="1">
        <f>(Main_L[[#This Row],[ROE]]-VLOOKUP(Main_L[[#This Row],[Industry]], Mean_ROE_L, 2, FALSE))/(VLOOKUP(Main_L[[#This Row],[Industry]], Mean_ROE_L, 3, FALSE))</f>
        <v>-0.95439381674459878</v>
      </c>
      <c r="R3" s="1">
        <f>(Main_L[[#This Row],[ROA]]-VLOOKUP(Main_L[[#This Row],[Industry]], Mean_ROA_L, 2, FALSE))/(VLOOKUP(Main_L[[#This Row],[Industry]], Mean_ROA_L, 3, FALSE))</f>
        <v>-0.95872614828916036</v>
      </c>
      <c r="S3" s="1">
        <f>(Main_L[[#This Row],[A/E]]-VLOOKUP(Main_L[[#This Row],[Industry]], Mean_AE_L, 2, FALSE))/(VLOOKUP(Main_L[[#This Row],[Industry]], Mean_AE_L, 3, FALSE))</f>
        <v>-0.47641658104441093</v>
      </c>
      <c r="T3" s="1">
        <f>(Main_L[[#This Row],[P/E]]-VLOOKUP(Main_L[[#This Row],[Industry]], Mean_PE_L, 2, FALSE))/(VLOOKUP(Main_L[[#This Row],[Industry]], Mean_PE_L, 3, FALSE))</f>
        <v>8.7931817875552039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" spans="1:26" x14ac:dyDescent="0.25">
      <c r="A4" t="s">
        <v>168</v>
      </c>
      <c r="B4" t="s">
        <v>171</v>
      </c>
      <c r="C4" s="2">
        <v>236987</v>
      </c>
      <c r="D4">
        <f>RTD("tos.rtd", , "LAST", Main_L[[#This Row],[Symbol]])</f>
        <v>61.78</v>
      </c>
      <c r="E4">
        <v>3.2</v>
      </c>
      <c r="F4">
        <v>11.45</v>
      </c>
      <c r="G4">
        <v>2.2799999999999998</v>
      </c>
      <c r="H4" s="1">
        <f>IF(ISNUMBER(Main_L[[#This Row],[Free CF]]),IF(Main_L[[#This Row],[Free CF]]&lt;&gt;0,Main_L[[#This Row],[Current Price]]/Main_L[[#This Row],[Free CF]],""),"")</f>
        <v>19.306249999999999</v>
      </c>
      <c r="I4" s="1">
        <f>IF(ISNUMBER(Main_L[[#This Row],[BVPS]]),IF(Main_L[[#This Row],[BVPS]]&lt;&gt;0,Main_L[[#This Row],[Current Price]]/Main_L[[#This Row],[BVPS]],""),"")</f>
        <v>5.3956331877729262</v>
      </c>
      <c r="J4">
        <v>20.02</v>
      </c>
      <c r="K4">
        <v>6.56</v>
      </c>
      <c r="L4">
        <v>2.67</v>
      </c>
      <c r="M4" s="1">
        <f>IF(ISNUMBER(Main_L[[#This Row],[EPS]]),IF(Main_L[[#This Row],[EPS]]&lt;&gt;0,Main_L[[#This Row],[Current Price]]/Main_L[[#This Row],[EPS]],""),"")</f>
        <v>27.096491228070178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-0.30497952046523846</v>
      </c>
      <c r="P4" s="1">
        <f>(Main_L[[#This Row],[P/B]]-VLOOKUP(Main_L[[#This Row],[Industry]], Mean_PB_L, 2, FALSE))/(VLOOKUP(Main_L[[#This Row],[Industry]], Mean_PB_L, 3, FALSE))</f>
        <v>0.17197224953748355</v>
      </c>
      <c r="Q4" s="1">
        <f>(Main_L[[#This Row],[ROE]]-VLOOKUP(Main_L[[#This Row],[Industry]], Mean_ROE_L, 2, FALSE))/(VLOOKUP(Main_L[[#This Row],[Industry]], Mean_ROE_L, 3, FALSE))</f>
        <v>0.65069890234062422</v>
      </c>
      <c r="R4" s="1">
        <f>(Main_L[[#This Row],[ROA]]-VLOOKUP(Main_L[[#This Row],[Industry]], Mean_ROA_L, 2, FALSE))/(VLOOKUP(Main_L[[#This Row],[Industry]], Mean_ROA_L, 3, FALSE))</f>
        <v>-2.1605829570458906E-2</v>
      </c>
      <c r="S4" s="1">
        <f>(Main_L[[#This Row],[A/E]]-VLOOKUP(Main_L[[#This Row],[Industry]], Mean_AE_L, 2, FALSE))/(VLOOKUP(Main_L[[#This Row],[Industry]], Mean_AE_L, 3, FALSE))</f>
        <v>0.33424782352639654</v>
      </c>
      <c r="T4" s="1">
        <f>(Main_L[[#This Row],[P/E]]-VLOOKUP(Main_L[[#This Row],[Industry]], Mean_PE_L, 2, FALSE))/(VLOOKUP(Main_L[[#This Row],[Industry]], Mean_PE_L, 3, FALSE))</f>
        <v>-0.69518716668563951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168</v>
      </c>
      <c r="B5" t="s">
        <v>172</v>
      </c>
      <c r="C5" s="2">
        <v>27861</v>
      </c>
      <c r="D5">
        <f>RTD("tos.rtd", , "LAST", Main_L[[#This Row],[Symbol]])</f>
        <v>8.4499999999999993</v>
      </c>
      <c r="E5">
        <v>1.25</v>
      </c>
      <c r="F5">
        <v>2.57</v>
      </c>
      <c r="G5">
        <v>0.05</v>
      </c>
      <c r="H5" s="1">
        <f>IF(ISNUMBER(Main_L[[#This Row],[Free CF]]),IF(Main_L[[#This Row],[Free CF]]&lt;&gt;0,Main_L[[#This Row],[Current Price]]/Main_L[[#This Row],[Free CF]],""),"")</f>
        <v>6.76</v>
      </c>
      <c r="I5" s="1">
        <f>IF(ISNUMBER(Main_L[[#This Row],[BVPS]]),IF(Main_L[[#This Row],[BVPS]]&lt;&gt;0,Main_L[[#This Row],[Current Price]]/Main_L[[#This Row],[BVPS]],""),"")</f>
        <v>3.2879377431906613</v>
      </c>
      <c r="J5">
        <v>2.06</v>
      </c>
      <c r="K5">
        <v>2.65</v>
      </c>
      <c r="L5">
        <v>3.23</v>
      </c>
      <c r="M5" s="1">
        <f>IF(ISNUMBER(Main_L[[#This Row],[EPS]]),IF(Main_L[[#This Row],[EPS]]&lt;&gt;0,Main_L[[#This Row],[Current Price]]/Main_L[[#This Row],[EPS]],""),"")</f>
        <v>168.99999999999997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-1.6405916514998169</v>
      </c>
      <c r="P5" s="1">
        <f>(Main_L[[#This Row],[P/B]]-VLOOKUP(Main_L[[#This Row],[Industry]], Mean_PB_L, 2, FALSE))/(VLOOKUP(Main_L[[#This Row],[Industry]], Mean_PB_L, 3, FALSE))</f>
        <v>-0.46366859513050984</v>
      </c>
      <c r="Q5" s="1">
        <f>(Main_L[[#This Row],[ROE]]-VLOOKUP(Main_L[[#This Row],[Industry]], Mean_ROE_L, 2, FALSE))/(VLOOKUP(Main_L[[#This Row],[Industry]], Mean_ROE_L, 3, FALSE))</f>
        <v>-1.0194902769624234</v>
      </c>
      <c r="R5" s="1">
        <f>(Main_L[[#This Row],[ROA]]-VLOOKUP(Main_L[[#This Row],[Industry]], Mean_ROA_L, 2, FALSE))/(VLOOKUP(Main_L[[#This Row],[Industry]], Mean_ROA_L, 3, FALSE))</f>
        <v>-0.83585926205715289</v>
      </c>
      <c r="S5" s="1">
        <f>(Main_L[[#This Row],[A/E]]-VLOOKUP(Main_L[[#This Row],[Industry]], Mean_AE_L, 2, FALSE))/(VLOOKUP(Main_L[[#This Row],[Industry]], Mean_AE_L, 3, FALSE))</f>
        <v>1.0118180721228924</v>
      </c>
      <c r="T5" s="1">
        <f>(Main_L[[#This Row],[P/E]]-VLOOKUP(Main_L[[#This Row],[Industry]], Mean_PE_L, 2, FALSE))/(VLOOKUP(Main_L[[#This Row],[Industry]], Mean_PE_L, 3, FALSE))</f>
        <v>10.578563454618065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" spans="1:26" x14ac:dyDescent="0.25">
      <c r="A6" t="s">
        <v>168</v>
      </c>
      <c r="B6" t="s">
        <v>173</v>
      </c>
      <c r="C6" s="2">
        <v>15492</v>
      </c>
      <c r="D6">
        <f>RTD("tos.rtd", , "LAST", Main_L[[#This Row],[Symbol]])</f>
        <v>283.23</v>
      </c>
      <c r="E6">
        <v>14.31</v>
      </c>
      <c r="F6">
        <v>57.22</v>
      </c>
      <c r="G6">
        <v>10.53</v>
      </c>
      <c r="H6" s="1">
        <f>IF(ISNUMBER(Main_L[[#This Row],[Free CF]]),IF(Main_L[[#This Row],[Free CF]]&lt;&gt;0,Main_L[[#This Row],[Current Price]]/Main_L[[#This Row],[Free CF]],""),"")</f>
        <v>19.79245283018868</v>
      </c>
      <c r="I6" s="1">
        <f>IF(ISNUMBER(Main_L[[#This Row],[BVPS]]),IF(Main_L[[#This Row],[BVPS]]&lt;&gt;0,Main_L[[#This Row],[Current Price]]/Main_L[[#This Row],[BVPS]],""),"")</f>
        <v>4.9498427123383433</v>
      </c>
      <c r="J6">
        <v>19.89</v>
      </c>
      <c r="K6">
        <v>8.08</v>
      </c>
      <c r="L6">
        <v>1.78</v>
      </c>
      <c r="M6" s="1">
        <f>IF(ISNUMBER(Main_L[[#This Row],[EPS]]),IF(Main_L[[#This Row],[EPS]]&lt;&gt;0,Main_L[[#This Row],[Current Price]]/Main_L[[#This Row],[EPS]],""),"")</f>
        <v>26.897435897435901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-0.25322075604213612</v>
      </c>
      <c r="P6" s="1">
        <f>(Main_L[[#This Row],[P/B]]-VLOOKUP(Main_L[[#This Row],[Industry]], Mean_PB_L, 2, FALSE))/(VLOOKUP(Main_L[[#This Row],[Industry]], Mean_PB_L, 3, FALSE))</f>
        <v>3.7530323841550868E-2</v>
      </c>
      <c r="Q6" s="1">
        <f>(Main_L[[#This Row],[ROE]]-VLOOKUP(Main_L[[#This Row],[Industry]], Mean_ROE_L, 2, FALSE))/(VLOOKUP(Main_L[[#This Row],[Industry]], Mean_ROE_L, 3, FALSE))</f>
        <v>0.63860955972874256</v>
      </c>
      <c r="R6" s="1">
        <f>(Main_L[[#This Row],[ROA]]-VLOOKUP(Main_L[[#This Row],[Industry]], Mean_ROA_L, 2, FALSE))/(VLOOKUP(Main_L[[#This Row],[Industry]], Mean_ROA_L, 3, FALSE))</f>
        <v>0.29493258919674703</v>
      </c>
      <c r="S6" s="1">
        <f>(Main_L[[#This Row],[A/E]]-VLOOKUP(Main_L[[#This Row],[Industry]], Mean_AE_L, 2, FALSE))/(VLOOKUP(Main_L[[#This Row],[Industry]], Mean_AE_L, 3, FALSE))</f>
        <v>-0.74260489299303423</v>
      </c>
      <c r="T6" s="1">
        <f>(Main_L[[#This Row],[P/E]]-VLOOKUP(Main_L[[#This Row],[Industry]], Mean_PE_L, 2, FALSE))/(VLOOKUP(Main_L[[#This Row],[Industry]], Mean_PE_L, 3, FALSE))</f>
        <v>-0.71100143496436652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168</v>
      </c>
      <c r="B7" t="s">
        <v>174</v>
      </c>
      <c r="C7" s="2">
        <v>12161</v>
      </c>
      <c r="D7">
        <f>RTD("tos.rtd", , "LAST", Main_L[[#This Row],[Symbol]])</f>
        <v>36.39</v>
      </c>
      <c r="E7">
        <v>2.0499999999999998</v>
      </c>
      <c r="F7">
        <v>14.49</v>
      </c>
      <c r="G7">
        <v>1.04</v>
      </c>
      <c r="H7" s="1">
        <f>IF(ISNUMBER(Main_L[[#This Row],[Free CF]]),IF(Main_L[[#This Row],[Free CF]]&lt;&gt;0,Main_L[[#This Row],[Current Price]]/Main_L[[#This Row],[Free CF]],""),"")</f>
        <v>17.751219512195124</v>
      </c>
      <c r="I7" s="1">
        <f>IF(ISNUMBER(Main_L[[#This Row],[BVPS]]),IF(Main_L[[#This Row],[BVPS]]&lt;&gt;0,Main_L[[#This Row],[Current Price]]/Main_L[[#This Row],[BVPS]],""),"")</f>
        <v>2.5113871635610767</v>
      </c>
      <c r="J7">
        <v>7.58</v>
      </c>
      <c r="K7">
        <v>2.91</v>
      </c>
      <c r="L7">
        <v>2.09</v>
      </c>
      <c r="M7" s="1">
        <f>IF(ISNUMBER(Main_L[[#This Row],[EPS]]),IF(Main_L[[#This Row],[EPS]]&lt;&gt;0,Main_L[[#This Row],[Current Price]]/Main_L[[#This Row],[EPS]],""),"")</f>
        <v>34.990384615384613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-0.47052042580673958</v>
      </c>
      <c r="P7" s="1">
        <f>(Main_L[[#This Row],[P/B]]-VLOOKUP(Main_L[[#This Row],[Industry]], Mean_PB_L, 2, FALSE))/(VLOOKUP(Main_L[[#This Row],[Industry]], Mean_PB_L, 3, FALSE))</f>
        <v>-0.69786147514643626</v>
      </c>
      <c r="Q7" s="1">
        <f>(Main_L[[#This Row],[ROE]]-VLOOKUP(Main_L[[#This Row],[Industry]], Mean_ROE_L, 2, FALSE))/(VLOOKUP(Main_L[[#This Row],[Industry]], Mean_ROE_L, 3, FALSE))</f>
        <v>-0.50615819067329082</v>
      </c>
      <c r="R7" s="1">
        <f>(Main_L[[#This Row],[ROA]]-VLOOKUP(Main_L[[#This Row],[Industry]], Mean_ROA_L, 2, FALSE))/(VLOOKUP(Main_L[[#This Row],[Industry]], Mean_ROA_L, 3, FALSE))</f>
        <v>-0.78171453253118339</v>
      </c>
      <c r="S7" s="1">
        <f>(Main_L[[#This Row],[A/E]]-VLOOKUP(Main_L[[#This Row],[Industry]], Mean_AE_L, 2, FALSE))/(VLOOKUP(Main_L[[#This Row],[Industry]], Mean_AE_L, 3, FALSE))</f>
        <v>-0.36752136251997425</v>
      </c>
      <c r="T7" s="1">
        <f>(Main_L[[#This Row],[P/E]]-VLOOKUP(Main_L[[#This Row],[Industry]], Mean_PE_L, 2, FALSE))/(VLOOKUP(Main_L[[#This Row],[Industry]], Mean_PE_L, 3, FALSE))</f>
        <v>-6.804421405594846E-2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168</v>
      </c>
      <c r="B8" t="s">
        <v>175</v>
      </c>
      <c r="C8" s="2">
        <v>69295</v>
      </c>
      <c r="D8">
        <f>RTD("tos.rtd", , "LAST", Main_L[[#This Row],[Symbol]])</f>
        <v>413.28</v>
      </c>
      <c r="E8">
        <v>13.6</v>
      </c>
      <c r="F8">
        <v>9.83</v>
      </c>
      <c r="G8">
        <v>11.91</v>
      </c>
      <c r="H8" s="1">
        <f>IF(ISNUMBER(Main_L[[#This Row],[Free CF]]),IF(Main_L[[#This Row],[Free CF]]&lt;&gt;0,Main_L[[#This Row],[Current Price]]/Main_L[[#This Row],[Free CF]],""),"")</f>
        <v>30.388235294117646</v>
      </c>
      <c r="I8" s="1">
        <f>IF(ISNUMBER(Main_L[[#This Row],[BVPS]]),IF(Main_L[[#This Row],[BVPS]]&lt;&gt;0,Main_L[[#This Row],[Current Price]]/Main_L[[#This Row],[BVPS]],""),"")</f>
        <v>42.042726347914545</v>
      </c>
      <c r="J8">
        <v>186.89</v>
      </c>
      <c r="K8">
        <v>13</v>
      </c>
      <c r="L8">
        <v>8.8000000000000007</v>
      </c>
      <c r="M8" s="1">
        <f>IF(ISNUMBER(Main_L[[#This Row],[EPS]]),IF(Main_L[[#This Row],[EPS]]&lt;&gt;0,Main_L[[#This Row],[Current Price]]/Main_L[[#This Row],[EPS]],""),"")</f>
        <v>34.700251889168761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0.87475418440835584</v>
      </c>
      <c r="P8" s="1">
        <f>(Main_L[[#This Row],[P/B]]-VLOOKUP(Main_L[[#This Row],[Industry]], Mean_PB_L, 2, FALSE))/(VLOOKUP(Main_L[[#This Row],[Industry]], Mean_PB_L, 3, FALSE))</f>
        <v>11.224038292008766</v>
      </c>
      <c r="Q8" s="1">
        <f>(Main_L[[#This Row],[ROE]]-VLOOKUP(Main_L[[#This Row],[Industry]], Mean_ROE_L, 2, FALSE))/(VLOOKUP(Main_L[[#This Row],[Industry]], Mean_ROE_L, 3, FALSE))</f>
        <v>16.168765068838372</v>
      </c>
      <c r="R8" s="1">
        <f>(Main_L[[#This Row],[ROA]]-VLOOKUP(Main_L[[#This Row],[Industry]], Mean_ROA_L, 2, FALSE))/(VLOOKUP(Main_L[[#This Row],[Industry]], Mean_ROA_L, 3, FALSE))</f>
        <v>1.3195174709958606</v>
      </c>
      <c r="S8" s="1">
        <f>(Main_L[[#This Row],[A/E]]-VLOOKUP(Main_L[[#This Row],[Industry]], Mean_AE_L, 2, FALSE))/(VLOOKUP(Main_L[[#This Row],[Industry]], Mean_AE_L, 3, FALSE))</f>
        <v>7.7512221519130398</v>
      </c>
      <c r="T8" s="1">
        <f>(Main_L[[#This Row],[P/E]]-VLOOKUP(Main_L[[#This Row],[Industry]], Mean_PE_L, 2, FALSE))/(VLOOKUP(Main_L[[#This Row],[Industry]], Mean_PE_L, 3, FALSE))</f>
        <v>-9.1094271314881542E-2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168</v>
      </c>
      <c r="B9" t="s">
        <v>176</v>
      </c>
      <c r="C9" s="2">
        <v>27272</v>
      </c>
      <c r="D9">
        <f>RTD("tos.rtd", , "LAST", Main_L[[#This Row],[Symbol]])</f>
        <v>5.18</v>
      </c>
      <c r="E9">
        <v>0.36</v>
      </c>
      <c r="F9">
        <v>4.17</v>
      </c>
      <c r="G9">
        <v>0.24</v>
      </c>
      <c r="H9" s="1">
        <f>IF(ISNUMBER(Main_L[[#This Row],[Free CF]]),IF(Main_L[[#This Row],[Free CF]]&lt;&gt;0,Main_L[[#This Row],[Current Price]]/Main_L[[#This Row],[Free CF]],""),"")</f>
        <v>14.388888888888889</v>
      </c>
      <c r="I9" s="1">
        <f>IF(ISNUMBER(Main_L[[#This Row],[BVPS]]),IF(Main_L[[#This Row],[BVPS]]&lt;&gt;0,Main_L[[#This Row],[Current Price]]/Main_L[[#This Row],[BVPS]],""),"")</f>
        <v>1.2422062350119905</v>
      </c>
      <c r="J9">
        <v>5.71</v>
      </c>
      <c r="K9">
        <v>2.71</v>
      </c>
      <c r="L9">
        <v>1.89</v>
      </c>
      <c r="M9" s="1">
        <f>IF(ISNUMBER(Main_L[[#This Row],[EPS]]),IF(Main_L[[#This Row],[EPS]]&lt;&gt;0,Main_L[[#This Row],[Current Price]]/Main_L[[#This Row],[EPS]],""),"")</f>
        <v>21.583333333333332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-0.82845762369749287</v>
      </c>
      <c r="P9" s="1">
        <f>(Main_L[[#This Row],[P/B]]-VLOOKUP(Main_L[[#This Row],[Industry]], Mean_PB_L, 2, FALSE))/(VLOOKUP(Main_L[[#This Row],[Industry]], Mean_PB_L, 3, FALSE))</f>
        <v>-1.0806222955169247</v>
      </c>
      <c r="Q9" s="1">
        <f>(Main_L[[#This Row],[ROE]]-VLOOKUP(Main_L[[#This Row],[Industry]], Mean_ROE_L, 2, FALSE))/(VLOOKUP(Main_L[[#This Row],[Industry]], Mean_ROE_L, 3, FALSE))</f>
        <v>-0.68005873439805142</v>
      </c>
      <c r="R9" s="1">
        <f>(Main_L[[#This Row],[ROA]]-VLOOKUP(Main_L[[#This Row],[Industry]], Mean_ROA_L, 2, FALSE))/(VLOOKUP(Main_L[[#This Row],[Industry]], Mean_ROA_L, 3, FALSE))</f>
        <v>-0.8233643244742368</v>
      </c>
      <c r="S9" s="1">
        <f>(Main_L[[#This Row],[A/E]]-VLOOKUP(Main_L[[#This Row],[Industry]], Mean_AE_L, 2, FALSE))/(VLOOKUP(Main_L[[#This Row],[Industry]], Mean_AE_L, 3, FALSE))</f>
        <v>-0.60951073701872271</v>
      </c>
      <c r="T9" s="1">
        <f>(Main_L[[#This Row],[P/E]]-VLOOKUP(Main_L[[#This Row],[Industry]], Mean_PE_L, 2, FALSE))/(VLOOKUP(Main_L[[#This Row],[Industry]], Mean_PE_L, 3, FALSE))</f>
        <v>-1.1331887903173008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168</v>
      </c>
      <c r="B10" t="s">
        <v>177</v>
      </c>
      <c r="C10" s="2">
        <v>21273</v>
      </c>
      <c r="D10">
        <f>RTD("tos.rtd", , "LAST", Main_L[[#This Row],[Symbol]])</f>
        <v>456.69</v>
      </c>
      <c r="E10">
        <v>12.76</v>
      </c>
      <c r="F10">
        <v>4.8</v>
      </c>
      <c r="G10">
        <v>7.36</v>
      </c>
      <c r="H10" s="1">
        <f>IF(ISNUMBER(Main_L[[#This Row],[Free CF]]),IF(Main_L[[#This Row],[Free CF]]&lt;&gt;0,Main_L[[#This Row],[Current Price]]/Main_L[[#This Row],[Free CF]],""),"")</f>
        <v>35.790752351097176</v>
      </c>
      <c r="I10" s="1">
        <f>IF(ISNUMBER(Main_L[[#This Row],[BVPS]]),IF(Main_L[[#This Row],[BVPS]]&lt;&gt;0,Main_L[[#This Row],[Current Price]]/Main_L[[#This Row],[BVPS]],""),"")</f>
        <v>95.143749999999997</v>
      </c>
      <c r="J10">
        <v>323.87</v>
      </c>
      <c r="K10">
        <v>29.66</v>
      </c>
      <c r="L10">
        <v>4.08</v>
      </c>
      <c r="M10" s="1">
        <f>IF(ISNUMBER(Main_L[[#This Row],[EPS]]),IF(Main_L[[#This Row],[EPS]]&lt;&gt;0,Main_L[[#This Row],[Current Price]]/Main_L[[#This Row],[EPS]],""),"")</f>
        <v>62.05027173913043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1.4498796059026742</v>
      </c>
      <c r="P10" s="1">
        <f>(Main_L[[#This Row],[P/B]]-VLOOKUP(Main_L[[#This Row],[Industry]], Mean_PB_L, 2, FALSE))/(VLOOKUP(Main_L[[#This Row],[Industry]], Mean_PB_L, 3, FALSE))</f>
        <v>27.238296715211085</v>
      </c>
      <c r="Q10" s="1">
        <f>(Main_L[[#This Row],[ROE]]-VLOOKUP(Main_L[[#This Row],[Industry]], Mean_ROE_L, 2, FALSE))/(VLOOKUP(Main_L[[#This Row],[Industry]], Mean_ROE_L, 3, FALSE))</f>
        <v>28.907212384035002</v>
      </c>
      <c r="R10" s="1">
        <f>(Main_L[[#This Row],[ROA]]-VLOOKUP(Main_L[[#This Row],[Industry]], Mean_ROA_L, 2, FALSE))/(VLOOKUP(Main_L[[#This Row],[Industry]], Mean_ROA_L, 3, FALSE))</f>
        <v>4.7889451398522089</v>
      </c>
      <c r="S10" s="1">
        <f>(Main_L[[#This Row],[A/E]]-VLOOKUP(Main_L[[#This Row],[Industry]], Mean_AE_L, 2, FALSE))/(VLOOKUP(Main_L[[#This Row],[Industry]], Mean_AE_L, 3, FALSE))</f>
        <v>2.0402729137425739</v>
      </c>
      <c r="T10" s="1">
        <f>(Main_L[[#This Row],[P/E]]-VLOOKUP(Main_L[[#This Row],[Industry]], Mean_PE_L, 2, FALSE))/(VLOOKUP(Main_L[[#This Row],[Industry]], Mean_PE_L, 3, FALSE))</f>
        <v>2.0817716848873711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189</v>
      </c>
      <c r="B11" t="s">
        <v>190</v>
      </c>
      <c r="C11" s="2">
        <v>25844</v>
      </c>
      <c r="D11">
        <f>RTD("tos.rtd", , "LAST", Main_L[[#This Row],[Symbol]])</f>
        <v>165.06</v>
      </c>
      <c r="E11">
        <v>5.55</v>
      </c>
      <c r="F11">
        <v>30.02</v>
      </c>
      <c r="G11">
        <v>3.5</v>
      </c>
      <c r="H11" s="1">
        <f>IF(ISNUMBER(Main_L[[#This Row],[Free CF]]),IF(Main_L[[#This Row],[Free CF]]&lt;&gt;0,Main_L[[#This Row],[Current Price]]/Main_L[[#This Row],[Free CF]],""),"")</f>
        <v>29.740540540540543</v>
      </c>
      <c r="I11" s="1">
        <f>IF(ISNUMBER(Main_L[[#This Row],[BVPS]]),IF(Main_L[[#This Row],[BVPS]]&lt;&gt;0,Main_L[[#This Row],[Current Price]]/Main_L[[#This Row],[BVPS]],""),"")</f>
        <v>5.4983344437041977</v>
      </c>
      <c r="J11">
        <v>12.22</v>
      </c>
      <c r="K11">
        <v>5.75</v>
      </c>
      <c r="L11">
        <v>1.81</v>
      </c>
      <c r="M11" s="1">
        <f>IF(ISNUMBER(Main_L[[#This Row],[EPS]]),IF(Main_L[[#This Row],[EPS]]&lt;&gt;0,Main_L[[#This Row],[Current Price]]/Main_L[[#This Row],[EPS]],""),"")</f>
        <v>47.160000000000004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7.1484980690622049E-2</v>
      </c>
      <c r="P11" s="1">
        <f>(Main_L[[#This Row],[P/B]]-VLOOKUP(Main_L[[#This Row],[Industry]], Mean_PB_L, 2, FALSE))/(VLOOKUP(Main_L[[#This Row],[Industry]], Mean_PB_L, 3, FALSE))</f>
        <v>-0.1106346209017911</v>
      </c>
      <c r="Q11" s="1">
        <f>(Main_L[[#This Row],[ROE]]-VLOOKUP(Main_L[[#This Row],[Industry]], Mean_ROE_L, 2, FALSE))/(VLOOKUP(Main_L[[#This Row],[Industry]], Mean_ROE_L, 3, FALSE))</f>
        <v>-0.533646400035797</v>
      </c>
      <c r="R11" s="1">
        <f>(Main_L[[#This Row],[ROA]]-VLOOKUP(Main_L[[#This Row],[Industry]], Mean_ROA_L, 2, FALSE))/(VLOOKUP(Main_L[[#This Row],[Industry]], Mean_ROA_L, 3, FALSE))</f>
        <v>0.35033065975724292</v>
      </c>
      <c r="S11" s="1">
        <f>(Main_L[[#This Row],[A/E]]-VLOOKUP(Main_L[[#This Row],[Industry]], Mean_AE_L, 2, FALSE))/(VLOOKUP(Main_L[[#This Row],[Industry]], Mean_AE_L, 3, FALSE))</f>
        <v>-0.72096266105951878</v>
      </c>
      <c r="T11" s="1">
        <f>(Main_L[[#This Row],[P/E]]-VLOOKUP(Main_L[[#This Row],[Industry]], Mean_PE_L, 2, FALSE))/(VLOOKUP(Main_L[[#This Row],[Industry]], Mean_PE_L, 3, FALSE))</f>
        <v>1.5911214680088801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189</v>
      </c>
      <c r="B12" t="s">
        <v>191</v>
      </c>
      <c r="C12" s="2">
        <v>22571</v>
      </c>
      <c r="D12">
        <f>RTD("tos.rtd", , "LAST", Main_L[[#This Row],[Symbol]])</f>
        <v>493.17</v>
      </c>
      <c r="E12">
        <v>22.56</v>
      </c>
      <c r="F12">
        <v>211.84</v>
      </c>
      <c r="G12">
        <v>17.489999999999998</v>
      </c>
      <c r="H12" s="1">
        <f>IF(ISNUMBER(Main_L[[#This Row],[Free CF]]),IF(Main_L[[#This Row],[Free CF]]&lt;&gt;0,Main_L[[#This Row],[Current Price]]/Main_L[[#This Row],[Free CF]],""),"")</f>
        <v>21.860372340425535</v>
      </c>
      <c r="I12" s="1">
        <f>IF(ISNUMBER(Main_L[[#This Row],[BVPS]]),IF(Main_L[[#This Row],[BVPS]]&lt;&gt;0,Main_L[[#This Row],[Current Price]]/Main_L[[#This Row],[BVPS]],""),"")</f>
        <v>2.3280305891238671</v>
      </c>
      <c r="J12">
        <v>8.6199999999999992</v>
      </c>
      <c r="K12">
        <v>4.55</v>
      </c>
      <c r="L12">
        <v>1.52</v>
      </c>
      <c r="M12" s="1">
        <f>IF(ISNUMBER(Main_L[[#This Row],[EPS]]),IF(Main_L[[#This Row],[EPS]]&lt;&gt;0,Main_L[[#This Row],[Current Price]]/Main_L[[#This Row],[EPS]],""),"")</f>
        <v>28.197255574614069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-0.54530500293161099</v>
      </c>
      <c r="P12" s="1">
        <f>(Main_L[[#This Row],[P/B]]-VLOOKUP(Main_L[[#This Row],[Industry]], Mean_PB_L, 2, FALSE))/(VLOOKUP(Main_L[[#This Row],[Industry]], Mean_PB_L, 3, FALSE))</f>
        <v>-0.99110223050271939</v>
      </c>
      <c r="Q12" s="1">
        <f>(Main_L[[#This Row],[ROE]]-VLOOKUP(Main_L[[#This Row],[Industry]], Mean_ROE_L, 2, FALSE))/(VLOOKUP(Main_L[[#This Row],[Industry]], Mean_ROE_L, 3, FALSE))</f>
        <v>-0.81892699008092062</v>
      </c>
      <c r="R12" s="1">
        <f>(Main_L[[#This Row],[ROA]]-VLOOKUP(Main_L[[#This Row],[Industry]], Mean_ROA_L, 2, FALSE))/(VLOOKUP(Main_L[[#This Row],[Industry]], Mean_ROA_L, 3, FALSE))</f>
        <v>-0.26955737091240906</v>
      </c>
      <c r="S12" s="1">
        <f>(Main_L[[#This Row],[A/E]]-VLOOKUP(Main_L[[#This Row],[Industry]], Mean_AE_L, 2, FALSE))/(VLOOKUP(Main_L[[#This Row],[Industry]], Mean_AE_L, 3, FALSE))</f>
        <v>-0.94231693331937094</v>
      </c>
      <c r="T12" s="1">
        <f>(Main_L[[#This Row],[P/E]]-VLOOKUP(Main_L[[#This Row],[Industry]], Mean_PE_L, 2, FALSE))/(VLOOKUP(Main_L[[#This Row],[Industry]], Mean_PE_L, 3, FALSE))</f>
        <v>-0.2113285654540967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189</v>
      </c>
      <c r="B13" t="s">
        <v>192</v>
      </c>
      <c r="C13" s="2">
        <v>15818</v>
      </c>
      <c r="D13">
        <f>RTD("tos.rtd", , "LAST", Main_L[[#This Row],[Symbol]])</f>
        <v>71.25</v>
      </c>
      <c r="E13">
        <v>2.0299999999999998</v>
      </c>
      <c r="F13">
        <v>23.37</v>
      </c>
      <c r="G13">
        <v>6.09</v>
      </c>
      <c r="H13" s="1">
        <f>IF(ISNUMBER(Main_L[[#This Row],[Free CF]]),IF(Main_L[[#This Row],[Free CF]]&lt;&gt;0,Main_L[[#This Row],[Current Price]]/Main_L[[#This Row],[Free CF]],""),"")</f>
        <v>35.098522167487687</v>
      </c>
      <c r="I13" s="1">
        <f>IF(ISNUMBER(Main_L[[#This Row],[BVPS]]),IF(Main_L[[#This Row],[BVPS]]&lt;&gt;0,Main_L[[#This Row],[Current Price]]/Main_L[[#This Row],[BVPS]],""),"")</f>
        <v>3.0487804878048781</v>
      </c>
      <c r="J13">
        <v>29.37</v>
      </c>
      <c r="K13">
        <v>3.15</v>
      </c>
      <c r="L13">
        <v>1.65</v>
      </c>
      <c r="M13" s="1">
        <f>IF(ISNUMBER(Main_L[[#This Row],[EPS]]),IF(Main_L[[#This Row],[EPS]]&lt;&gt;0,Main_L[[#This Row],[Current Price]]/Main_L[[#This Row],[EPS]],""),"")</f>
        <v>11.699507389162562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0.49086047065601673</v>
      </c>
      <c r="P13" s="1">
        <f>(Main_L[[#This Row],[P/B]]-VLOOKUP(Main_L[[#This Row],[Industry]], Mean_PB_L, 2, FALSE))/(VLOOKUP(Main_L[[#This Row],[Industry]], Mean_PB_L, 3, FALSE))</f>
        <v>-0.79093310807146089</v>
      </c>
      <c r="Q13" s="1">
        <f>(Main_L[[#This Row],[ROE]]-VLOOKUP(Main_L[[#This Row],[Industry]], Mean_ROE_L, 2, FALSE))/(VLOOKUP(Main_L[[#This Row],[Industry]], Mean_ROE_L, 3, FALSE))</f>
        <v>0.82539863309583272</v>
      </c>
      <c r="R13" s="1">
        <f>(Main_L[[#This Row],[ROA]]-VLOOKUP(Main_L[[#This Row],[Industry]], Mean_ROA_L, 2, FALSE))/(VLOOKUP(Main_L[[#This Row],[Industry]], Mean_ROA_L, 3, FALSE))</f>
        <v>-0.99276007336033623</v>
      </c>
      <c r="S13" s="1">
        <f>(Main_L[[#This Row],[A/E]]-VLOOKUP(Main_L[[#This Row],[Industry]], Mean_AE_L, 2, FALSE))/(VLOOKUP(Main_L[[#This Row],[Industry]], Mean_AE_L, 3, FALSE))</f>
        <v>-0.84308915609943735</v>
      </c>
      <c r="T13" s="1">
        <f>(Main_L[[#This Row],[P/E]]-VLOOKUP(Main_L[[#This Row],[Industry]], Mean_PE_L, 2, FALSE))/(VLOOKUP(Main_L[[#This Row],[Industry]], Mean_PE_L, 3, FALSE))</f>
        <v>-1.7794753538019878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189</v>
      </c>
      <c r="B14" t="s">
        <v>193</v>
      </c>
      <c r="C14" s="2">
        <v>13084</v>
      </c>
      <c r="D14">
        <f>RTD("tos.rtd", , "LAST", Main_L[[#This Row],[Symbol]])</f>
        <v>302.38</v>
      </c>
      <c r="E14">
        <v>19.440000000000001</v>
      </c>
      <c r="F14">
        <v>70.91</v>
      </c>
      <c r="G14">
        <v>10.57</v>
      </c>
      <c r="H14" s="1">
        <f>IF(ISNUMBER(Main_L[[#This Row],[Free CF]]),IF(Main_L[[#This Row],[Free CF]]&lt;&gt;0,Main_L[[#This Row],[Current Price]]/Main_L[[#This Row],[Free CF]],""),"")</f>
        <v>15.554526748971192</v>
      </c>
      <c r="I14" s="1">
        <f>IF(ISNUMBER(Main_L[[#This Row],[BVPS]]),IF(Main_L[[#This Row],[BVPS]]&lt;&gt;0,Main_L[[#This Row],[Current Price]]/Main_L[[#This Row],[BVPS]],""),"")</f>
        <v>4.2642786630940632</v>
      </c>
      <c r="J14">
        <v>16.16</v>
      </c>
      <c r="K14">
        <v>6.54</v>
      </c>
      <c r="L14">
        <v>2.1800000000000002</v>
      </c>
      <c r="M14" s="1">
        <f>IF(ISNUMBER(Main_L[[#This Row],[EPS]]),IF(Main_L[[#This Row],[EPS]]&lt;&gt;0,Main_L[[#This Row],[Current Price]]/Main_L[[#This Row],[EPS]],""),"")</f>
        <v>28.607379375591297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4" s="1">
        <f>(Main_L[[#This Row],[P/FCF]]-VLOOKUP(Main_L[[#This Row],[Industry]], Mean_PFCF_L, 2, FALSE))/(VLOOKUP(Main_L[[#This Row],[Industry]], Mean_PFCF_L, 3, FALSE))</f>
        <v>-1.0388709142557742</v>
      </c>
      <c r="P14" s="1">
        <f>(Main_L[[#This Row],[P/B]]-VLOOKUP(Main_L[[#This Row],[Industry]], Mean_PB_L, 2, FALSE))/(VLOOKUP(Main_L[[#This Row],[Industry]], Mean_PB_L, 3, FALSE))</f>
        <v>-0.45336080523841654</v>
      </c>
      <c r="Q14" s="1">
        <f>(Main_L[[#This Row],[ROE]]-VLOOKUP(Main_L[[#This Row],[Industry]], Mean_ROE_L, 2, FALSE))/(VLOOKUP(Main_L[[#This Row],[Industry]], Mean_ROE_L, 3, FALSE))</f>
        <v>-0.22142264315307864</v>
      </c>
      <c r="R14" s="1">
        <f>(Main_L[[#This Row],[ROA]]-VLOOKUP(Main_L[[#This Row],[Industry]], Mean_ROA_L, 2, FALSE))/(VLOOKUP(Main_L[[#This Row],[Industry]], Mean_ROA_L, 3, FALSE))</f>
        <v>0.75842361328143038</v>
      </c>
      <c r="S14" s="1">
        <f>(Main_L[[#This Row],[A/E]]-VLOOKUP(Main_L[[#This Row],[Industry]], Mean_AE_L, 2, FALSE))/(VLOOKUP(Main_L[[#This Row],[Industry]], Mean_AE_L, 3, FALSE))</f>
        <v>-0.43854514127970728</v>
      </c>
      <c r="T14" s="1">
        <f>(Main_L[[#This Row],[P/E]]-VLOOKUP(Main_L[[#This Row],[Industry]], Mean_PE_L, 2, FALSE))/(VLOOKUP(Main_L[[#This Row],[Industry]], Mean_PE_L, 3, FALSE))</f>
        <v>-0.17234540762564735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189</v>
      </c>
      <c r="B15" t="s">
        <v>194</v>
      </c>
      <c r="C15" s="2">
        <v>97961</v>
      </c>
      <c r="D15">
        <f>RTD("tos.rtd", , "LAST", Main_L[[#This Row],[Symbol]])</f>
        <v>85.78</v>
      </c>
      <c r="E15">
        <v>1.84</v>
      </c>
      <c r="F15">
        <v>8.52</v>
      </c>
      <c r="G15">
        <v>2.06</v>
      </c>
      <c r="H15" s="1">
        <f>IF(ISNUMBER(Main_L[[#This Row],[Free CF]]),IF(Main_L[[#This Row],[Free CF]]&lt;&gt;0,Main_L[[#This Row],[Current Price]]/Main_L[[#This Row],[Free CF]],""),"")</f>
        <v>46.619565217391305</v>
      </c>
      <c r="I15" s="1">
        <f>IF(ISNUMBER(Main_L[[#This Row],[BVPS]]),IF(Main_L[[#This Row],[BVPS]]&lt;&gt;0,Main_L[[#This Row],[Current Price]]/Main_L[[#This Row],[BVPS]],""),"")</f>
        <v>10.068075117370892</v>
      </c>
      <c r="J15">
        <v>27.53</v>
      </c>
      <c r="K15">
        <v>11.82</v>
      </c>
      <c r="L15">
        <v>2.2200000000000002</v>
      </c>
      <c r="M15" s="1">
        <f>IF(ISNUMBER(Main_L[[#This Row],[EPS]]),IF(Main_L[[#This Row],[EPS]]&lt;&gt;0,Main_L[[#This Row],[Current Price]]/Main_L[[#This Row],[EPS]],""),"")</f>
        <v>41.640776699029125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1.3926259880414684</v>
      </c>
      <c r="P15" s="1">
        <f>(Main_L[[#This Row],[P/B]]-VLOOKUP(Main_L[[#This Row],[Industry]], Mean_PB_L, 2, FALSE))/(VLOOKUP(Main_L[[#This Row],[Industry]], Mean_PB_L, 3, FALSE))</f>
        <v>1.1584893596360499</v>
      </c>
      <c r="Q15" s="1">
        <f>(Main_L[[#This Row],[ROE]]-VLOOKUP(Main_L[[#This Row],[Industry]], Mean_ROE_L, 2, FALSE))/(VLOOKUP(Main_L[[#This Row],[Industry]], Mean_ROE_L, 3, FALSE))</f>
        <v>0.67958855373943627</v>
      </c>
      <c r="R15" s="1">
        <f>(Main_L[[#This Row],[ROA]]-VLOOKUP(Main_L[[#This Row],[Industry]], Mean_ROA_L, 2, FALSE))/(VLOOKUP(Main_L[[#This Row],[Industry]], Mean_ROA_L, 3, FALSE))</f>
        <v>3.4859309482278986</v>
      </c>
      <c r="S15" s="1">
        <f>(Main_L[[#This Row],[A/E]]-VLOOKUP(Main_L[[#This Row],[Industry]], Mean_AE_L, 2, FALSE))/(VLOOKUP(Main_L[[#This Row],[Industry]], Mean_AE_L, 3, FALSE))</f>
        <v>-0.40801351751972764</v>
      </c>
      <c r="T15" s="1">
        <f>(Main_L[[#This Row],[P/E]]-VLOOKUP(Main_L[[#This Row],[Industry]], Mean_PE_L, 2, FALSE))/(VLOOKUP(Main_L[[#This Row],[Industry]], Mean_PE_L, 3, FALSE))</f>
        <v>1.0665073087732169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189</v>
      </c>
      <c r="B16" t="s">
        <v>195</v>
      </c>
      <c r="C16" s="2">
        <v>10789</v>
      </c>
      <c r="D16">
        <f>RTD("tos.rtd", , "LAST", Main_L[[#This Row],[Symbol]])</f>
        <v>78.900000000000006</v>
      </c>
      <c r="E16">
        <v>1.5</v>
      </c>
      <c r="F16">
        <v>33.36</v>
      </c>
      <c r="G16">
        <v>-0.39</v>
      </c>
      <c r="H16" s="1">
        <f>IF(ISNUMBER(Main_L[[#This Row],[Free CF]]),IF(Main_L[[#This Row],[Free CF]]&lt;&gt;0,Main_L[[#This Row],[Current Price]]/Main_L[[#This Row],[Free CF]],""),"")</f>
        <v>52.6</v>
      </c>
      <c r="I16" s="1">
        <f>IF(ISNUMBER(Main_L[[#This Row],[BVPS]]),IF(Main_L[[#This Row],[BVPS]]&lt;&gt;0,Main_L[[#This Row],[Current Price]]/Main_L[[#This Row],[BVPS]],""),"")</f>
        <v>2.3651079136690649</v>
      </c>
      <c r="J16">
        <v>0.79</v>
      </c>
      <c r="K16">
        <v>1.54</v>
      </c>
      <c r="L16">
        <v>2.75</v>
      </c>
      <c r="M16" s="1">
        <f>IF(ISNUMBER(Main_L[[#This Row],[EPS]]),IF(Main_L[[#This Row],[EPS]]&lt;&gt;0,Main_L[[#This Row],[Current Price]]/Main_L[[#This Row],[EPS]],""),"")</f>
        <v>-202.30769230769232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1.8607216146760899</v>
      </c>
      <c r="P16" s="1">
        <f>(Main_L[[#This Row],[P/B]]-VLOOKUP(Main_L[[#This Row],[Industry]], Mean_PB_L, 2, FALSE))/(VLOOKUP(Main_L[[#This Row],[Industry]], Mean_PB_L, 3, FALSE))</f>
        <v>-0.98080498935167215</v>
      </c>
      <c r="Q16" s="1">
        <f>(Main_L[[#This Row],[ROE]]-VLOOKUP(Main_L[[#This Row],[Industry]], Mean_ROE_L, 2, FALSE))/(VLOOKUP(Main_L[[#This Row],[Industry]], Mean_ROE_L, 3, FALSE))</f>
        <v>-1.4394122734290642</v>
      </c>
      <c r="R16" s="1">
        <f>(Main_L[[#This Row],[ROA]]-VLOOKUP(Main_L[[#This Row],[Industry]], Mean_ROA_L, 2, FALSE))/(VLOOKUP(Main_L[[#This Row],[Industry]], Mean_ROA_L, 3, FALSE))</f>
        <v>-1.8244431811754525</v>
      </c>
      <c r="S16" s="1">
        <f>(Main_L[[#This Row],[A/E]]-VLOOKUP(Main_L[[#This Row],[Industry]], Mean_AE_L, 2, FALSE))/(VLOOKUP(Main_L[[#This Row],[Industry]], Mean_AE_L, 3, FALSE))</f>
        <v>-3.4695026999979174E-3</v>
      </c>
      <c r="T16" s="1">
        <f>(Main_L[[#This Row],[P/E]]-VLOOKUP(Main_L[[#This Row],[Industry]], Mean_PE_L, 2, FALSE))/(VLOOKUP(Main_L[[#This Row],[Industry]], Mean_PE_L, 3, FALSE))</f>
        <v>-22.121324381652471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7" spans="1:26" x14ac:dyDescent="0.25">
      <c r="A17" t="s">
        <v>189</v>
      </c>
      <c r="B17" t="s">
        <v>196</v>
      </c>
      <c r="C17" s="2">
        <v>38282</v>
      </c>
      <c r="D17">
        <f>RTD("tos.rtd", , "LAST", Main_L[[#This Row],[Symbol]])</f>
        <v>47.62</v>
      </c>
      <c r="E17">
        <v>1.26</v>
      </c>
      <c r="F17">
        <v>13.23</v>
      </c>
      <c r="G17">
        <v>0.52</v>
      </c>
      <c r="H17" s="1">
        <f>IF(ISNUMBER(Main_L[[#This Row],[Free CF]]),IF(Main_L[[#This Row],[Free CF]]&lt;&gt;0,Main_L[[#This Row],[Current Price]]/Main_L[[#This Row],[Free CF]],""),"")</f>
        <v>37.793650793650791</v>
      </c>
      <c r="I17" s="1">
        <f>IF(ISNUMBER(Main_L[[#This Row],[BVPS]]),IF(Main_L[[#This Row],[BVPS]]&lt;&gt;0,Main_L[[#This Row],[Current Price]]/Main_L[[#This Row],[BVPS]],""),"")</f>
        <v>3.5993953136810277</v>
      </c>
      <c r="J17">
        <v>4.87</v>
      </c>
      <c r="K17">
        <v>3.59</v>
      </c>
      <c r="L17">
        <v>2.56</v>
      </c>
      <c r="M17" s="1">
        <f>IF(ISNUMBER(Main_L[[#This Row],[EPS]]),IF(Main_L[[#This Row],[EPS]]&lt;&gt;0,Main_L[[#This Row],[Current Price]]/Main_L[[#This Row],[EPS]],""),"")</f>
        <v>91.576923076923066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0.70181134111671217</v>
      </c>
      <c r="P17" s="1">
        <f>(Main_L[[#This Row],[P/B]]-VLOOKUP(Main_L[[#This Row],[Industry]], Mean_PB_L, 2, FALSE))/(VLOOKUP(Main_L[[#This Row],[Industry]], Mean_PB_L, 3, FALSE))</f>
        <v>-0.63801447888404494</v>
      </c>
      <c r="Q17" s="1">
        <f>(Main_L[[#This Row],[ROE]]-VLOOKUP(Main_L[[#This Row],[Industry]], Mean_ROE_L, 2, FALSE))/(VLOOKUP(Main_L[[#This Row],[Industry]], Mean_ROE_L, 3, FALSE))</f>
        <v>-1.1160942713779241</v>
      </c>
      <c r="R17" s="1">
        <f>(Main_L[[#This Row],[ROA]]-VLOOKUP(Main_L[[#This Row],[Industry]], Mean_ROA_L, 2, FALSE))/(VLOOKUP(Main_L[[#This Row],[Industry]], Mean_ROA_L, 3, FALSE))</f>
        <v>-0.76546779544813059</v>
      </c>
      <c r="S17" s="1">
        <f>(Main_L[[#This Row],[A/E]]-VLOOKUP(Main_L[[#This Row],[Industry]], Mean_AE_L, 2, FALSE))/(VLOOKUP(Main_L[[#This Row],[Industry]], Mean_AE_L, 3, FALSE))</f>
        <v>-0.14849471555990104</v>
      </c>
      <c r="T17" s="1">
        <f>(Main_L[[#This Row],[P/E]]-VLOOKUP(Main_L[[#This Row],[Industry]], Mean_PE_L, 2, FALSE))/(VLOOKUP(Main_L[[#This Row],[Industry]], Mean_PE_L, 3, FALSE))</f>
        <v>5.8130464536741897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8" spans="1:26" x14ac:dyDescent="0.25">
      <c r="A18" t="s">
        <v>189</v>
      </c>
      <c r="B18" t="s">
        <v>197</v>
      </c>
      <c r="C18" s="2">
        <v>11102</v>
      </c>
      <c r="D18">
        <f>RTD("tos.rtd", , "LAST", Main_L[[#This Row],[Symbol]])</f>
        <v>109.87</v>
      </c>
      <c r="E18">
        <v>2.8</v>
      </c>
      <c r="F18">
        <v>13.47</v>
      </c>
      <c r="G18">
        <v>3.58</v>
      </c>
      <c r="H18" s="1">
        <f>IF(ISNUMBER(Main_L[[#This Row],[Free CF]]),IF(Main_L[[#This Row],[Free CF]]&lt;&gt;0,Main_L[[#This Row],[Current Price]]/Main_L[[#This Row],[Free CF]],""),"")</f>
        <v>39.239285714285721</v>
      </c>
      <c r="I18" s="1">
        <f>IF(ISNUMBER(Main_L[[#This Row],[BVPS]]),IF(Main_L[[#This Row],[BVPS]]&lt;&gt;0,Main_L[[#This Row],[Current Price]]/Main_L[[#This Row],[BVPS]],""),"")</f>
        <v>8.1566443949517442</v>
      </c>
      <c r="J18">
        <v>25.85</v>
      </c>
      <c r="K18">
        <v>6.68</v>
      </c>
      <c r="L18">
        <v>3.75</v>
      </c>
      <c r="M18" s="1">
        <f>IF(ISNUMBER(Main_L[[#This Row],[EPS]]),IF(Main_L[[#This Row],[EPS]]&lt;&gt;0,Main_L[[#This Row],[Current Price]]/Main_L[[#This Row],[EPS]],""),"")</f>
        <v>30.689944134078214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0.81496287752796959</v>
      </c>
      <c r="P18" s="1">
        <f>(Main_L[[#This Row],[P/B]]-VLOOKUP(Main_L[[#This Row],[Industry]], Mean_PB_L, 2, FALSE))/(VLOOKUP(Main_L[[#This Row],[Industry]], Mean_PB_L, 3, FALSE))</f>
        <v>0.62764029396851206</v>
      </c>
      <c r="Q18" s="1">
        <f>(Main_L[[#This Row],[ROE]]-VLOOKUP(Main_L[[#This Row],[Industry]], Mean_ROE_L, 2, FALSE))/(VLOOKUP(Main_L[[#This Row],[Industry]], Mean_ROE_L, 3, FALSE))</f>
        <v>0.5464576117183787</v>
      </c>
      <c r="R18" s="1">
        <f>(Main_L[[#This Row],[ROA]]-VLOOKUP(Main_L[[#This Row],[Industry]], Mean_ROA_L, 2, FALSE))/(VLOOKUP(Main_L[[#This Row],[Industry]], Mean_ROA_L, 3, FALSE))</f>
        <v>0.83074388352622297</v>
      </c>
      <c r="S18" s="1">
        <f>(Main_L[[#This Row],[A/E]]-VLOOKUP(Main_L[[#This Row],[Industry]], Mean_AE_L, 2, FALSE))/(VLOOKUP(Main_L[[#This Row],[Industry]], Mean_AE_L, 3, FALSE))</f>
        <v>0.75982109129949238</v>
      </c>
      <c r="T18" s="1">
        <f>(Main_L[[#This Row],[P/E]]-VLOOKUP(Main_L[[#This Row],[Industry]], Mean_PE_L, 2, FALSE))/(VLOOKUP(Main_L[[#This Row],[Industry]], Mean_PE_L, 3, FALSE))</f>
        <v>2.5606894763576245E-2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189</v>
      </c>
      <c r="B19" t="s">
        <v>198</v>
      </c>
      <c r="C19" s="2">
        <v>14539</v>
      </c>
      <c r="D19">
        <f>RTD("tos.rtd", , "LAST", Main_L[[#This Row],[Symbol]])</f>
        <v>41.85</v>
      </c>
      <c r="E19">
        <v>3.36</v>
      </c>
      <c r="F19">
        <v>12.99</v>
      </c>
      <c r="G19">
        <v>2.48</v>
      </c>
      <c r="H19" s="1">
        <f>IF(ISNUMBER(Main_L[[#This Row],[Free CF]]),IF(Main_L[[#This Row],[Free CF]]&lt;&gt;0,Main_L[[#This Row],[Current Price]]/Main_L[[#This Row],[Free CF]],""),"")</f>
        <v>12.455357142857144</v>
      </c>
      <c r="I19" s="1">
        <f>IF(ISNUMBER(Main_L[[#This Row],[BVPS]]),IF(Main_L[[#This Row],[BVPS]]&lt;&gt;0,Main_L[[#This Row],[Current Price]]/Main_L[[#This Row],[BVPS]],""),"")</f>
        <v>3.2217090069284064</v>
      </c>
      <c r="J19">
        <v>17.68</v>
      </c>
      <c r="K19">
        <v>3.73</v>
      </c>
      <c r="L19">
        <v>3.66</v>
      </c>
      <c r="M19" s="1">
        <f>IF(ISNUMBER(Main_L[[#This Row],[EPS]]),IF(Main_L[[#This Row],[EPS]]&lt;&gt;0,Main_L[[#This Row],[Current Price]]/Main_L[[#This Row],[EPS]],""),"")</f>
        <v>16.875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-1.2814465448837737</v>
      </c>
      <c r="P19" s="1">
        <f>(Main_L[[#This Row],[P/B]]-VLOOKUP(Main_L[[#This Row],[Industry]], Mean_PB_L, 2, FALSE))/(VLOOKUP(Main_L[[#This Row],[Industry]], Mean_PB_L, 3, FALSE))</f>
        <v>-0.74290680937944586</v>
      </c>
      <c r="Q19" s="1">
        <f>(Main_L[[#This Row],[ROE]]-VLOOKUP(Main_L[[#This Row],[Industry]], Mean_ROE_L, 2, FALSE))/(VLOOKUP(Main_L[[#This Row],[Industry]], Mean_ROE_L, 3, FALSE))</f>
        <v>-0.10097083846735989</v>
      </c>
      <c r="R19" s="1">
        <f>(Main_L[[#This Row],[ROA]]-VLOOKUP(Main_L[[#This Row],[Industry]], Mean_ROA_L, 2, FALSE))/(VLOOKUP(Main_L[[#This Row],[Industry]], Mean_ROA_L, 3, FALSE))</f>
        <v>-0.69314752520333778</v>
      </c>
      <c r="S19" s="1">
        <f>(Main_L[[#This Row],[A/E]]-VLOOKUP(Main_L[[#This Row],[Industry]], Mean_AE_L, 2, FALSE))/(VLOOKUP(Main_L[[#This Row],[Industry]], Mean_AE_L, 3, FALSE))</f>
        <v>0.69112493783953832</v>
      </c>
      <c r="T19" s="1">
        <f>(Main_L[[#This Row],[P/E]]-VLOOKUP(Main_L[[#This Row],[Industry]], Mean_PE_L, 2, FALSE))/(VLOOKUP(Main_L[[#This Row],[Industry]], Mean_PE_L, 3, FALSE))</f>
        <v>-1.2875335430426273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189</v>
      </c>
      <c r="B20" t="s">
        <v>199</v>
      </c>
      <c r="C20" s="2">
        <v>16394</v>
      </c>
      <c r="D20">
        <f>RTD("tos.rtd", , "LAST", Main_L[[#This Row],[Symbol]])</f>
        <v>167.01</v>
      </c>
      <c r="E20">
        <v>10.96</v>
      </c>
      <c r="F20">
        <v>12.4</v>
      </c>
      <c r="G20">
        <v>4.18</v>
      </c>
      <c r="H20" s="1">
        <f>IF(ISNUMBER(Main_L[[#This Row],[Free CF]]),IF(Main_L[[#This Row],[Free CF]]&lt;&gt;0,Main_L[[#This Row],[Current Price]]/Main_L[[#This Row],[Free CF]],""),"")</f>
        <v>15.238138686131386</v>
      </c>
      <c r="I20" s="1">
        <f>IF(ISNUMBER(Main_L[[#This Row],[BVPS]]),IF(Main_L[[#This Row],[BVPS]]&lt;&gt;0,Main_L[[#This Row],[Current Price]]/Main_L[[#This Row],[BVPS]],""),"")</f>
        <v>13.468548387096773</v>
      </c>
      <c r="J20">
        <v>24.1</v>
      </c>
      <c r="K20">
        <v>4.6100000000000003</v>
      </c>
      <c r="L20">
        <v>12.81</v>
      </c>
      <c r="M20" s="1">
        <f>IF(ISNUMBER(Main_L[[#This Row],[EPS]]),IF(Main_L[[#This Row],[EPS]]&lt;&gt;0,Main_L[[#This Row],[Current Price]]/Main_L[[#This Row],[EPS]],""),"")</f>
        <v>39.954545454545453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-1.0636349780601972</v>
      </c>
      <c r="P20" s="1">
        <f>(Main_L[[#This Row],[P/B]]-VLOOKUP(Main_L[[#This Row],[Industry]], Mean_PB_L, 2, FALSE))/(VLOOKUP(Main_L[[#This Row],[Industry]], Mean_PB_L, 3, FALSE))</f>
        <v>2.1028804049870424</v>
      </c>
      <c r="Q20" s="1">
        <f>(Main_L[[#This Row],[ROE]]-VLOOKUP(Main_L[[#This Row],[Industry]], Mean_ROE_L, 2, FALSE))/(VLOOKUP(Main_L[[#This Row],[Industry]], Mean_ROE_L, 3, FALSE))</f>
        <v>0.40777954711311037</v>
      </c>
      <c r="R20" s="1">
        <f>(Main_L[[#This Row],[ROA]]-VLOOKUP(Main_L[[#This Row],[Industry]], Mean_ROA_L, 2, FALSE))/(VLOOKUP(Main_L[[#This Row],[Industry]], Mean_ROA_L, 3, FALSE))</f>
        <v>-0.23856296937892621</v>
      </c>
      <c r="S20" s="1">
        <f>(Main_L[[#This Row],[A/E]]-VLOOKUP(Main_L[[#This Row],[Industry]], Mean_AE_L, 2, FALSE))/(VLOOKUP(Main_L[[#This Row],[Industry]], Mean_AE_L, 3, FALSE))</f>
        <v>7.6752338729348741</v>
      </c>
      <c r="T20" s="1">
        <f>(Main_L[[#This Row],[P/E]]-VLOOKUP(Main_L[[#This Row],[Industry]], Mean_PE_L, 2, FALSE))/(VLOOKUP(Main_L[[#This Row],[Industry]], Mean_PE_L, 3, FALSE))</f>
        <v>0.90622736749124433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189</v>
      </c>
      <c r="B21" t="s">
        <v>200</v>
      </c>
      <c r="C21" s="2">
        <v>44390</v>
      </c>
      <c r="D21">
        <f>RTD("tos.rtd", , "LAST", Main_L[[#This Row],[Symbol]])</f>
        <v>162.38999999999999</v>
      </c>
      <c r="E21">
        <v>9.2100000000000009</v>
      </c>
      <c r="F21">
        <v>40.67</v>
      </c>
      <c r="G21">
        <v>4.58</v>
      </c>
      <c r="H21" s="1">
        <f>IF(ISNUMBER(Main_L[[#This Row],[Free CF]]),IF(Main_L[[#This Row],[Free CF]]&lt;&gt;0,Main_L[[#This Row],[Current Price]]/Main_L[[#This Row],[Free CF]],""),"")</f>
        <v>17.631921824104232</v>
      </c>
      <c r="I21" s="1">
        <f>IF(ISNUMBER(Main_L[[#This Row],[BVPS]]),IF(Main_L[[#This Row],[BVPS]]&lt;&gt;0,Main_L[[#This Row],[Current Price]]/Main_L[[#This Row],[BVPS]],""),"")</f>
        <v>3.9928694369313984</v>
      </c>
      <c r="J21">
        <v>11.22</v>
      </c>
      <c r="K21">
        <v>8.15</v>
      </c>
      <c r="L21">
        <v>1.96</v>
      </c>
      <c r="M21" s="1">
        <f>IF(ISNUMBER(Main_L[[#This Row],[EPS]]),IF(Main_L[[#This Row],[EPS]]&lt;&gt;0,Main_L[[#This Row],[Current Price]]/Main_L[[#This Row],[EPS]],""),"")</f>
        <v>35.456331877729255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1" s="1">
        <f>(Main_L[[#This Row],[P/FCF]]-VLOOKUP(Main_L[[#This Row],[Industry]], Mean_PFCF_L, 2, FALSE))/(VLOOKUP(Main_L[[#This Row],[Industry]], Mean_PFCF_L, 3, FALSE))</f>
        <v>-0.87627077148857846</v>
      </c>
      <c r="P21" s="1">
        <f>(Main_L[[#This Row],[P/B]]-VLOOKUP(Main_L[[#This Row],[Industry]], Mean_PB_L, 2, FALSE))/(VLOOKUP(Main_L[[#This Row],[Industry]], Mean_PB_L, 3, FALSE))</f>
        <v>-0.52873750209282977</v>
      </c>
      <c r="Q21" s="1">
        <f>(Main_L[[#This Row],[ROE]]-VLOOKUP(Main_L[[#This Row],[Industry]], Mean_ROE_L, 2, FALSE))/(VLOOKUP(Main_L[[#This Row],[Industry]], Mean_ROE_L, 3, FALSE))</f>
        <v>-0.61289100838166466</v>
      </c>
      <c r="R21" s="1">
        <f>(Main_L[[#This Row],[ROA]]-VLOOKUP(Main_L[[#This Row],[Industry]], Mean_ROA_L, 2, FALSE))/(VLOOKUP(Main_L[[#This Row],[Industry]], Mean_ROA_L, 3, FALSE))</f>
        <v>1.5901067210965469</v>
      </c>
      <c r="S21" s="1">
        <f>(Main_L[[#This Row],[A/E]]-VLOOKUP(Main_L[[#This Row],[Industry]], Mean_AE_L, 2, FALSE))/(VLOOKUP(Main_L[[#This Row],[Industry]], Mean_AE_L, 3, FALSE))</f>
        <v>-0.60646907195959532</v>
      </c>
      <c r="T21" s="1">
        <f>(Main_L[[#This Row],[P/E]]-VLOOKUP(Main_L[[#This Row],[Industry]], Mean_PE_L, 2, FALSE))/(VLOOKUP(Main_L[[#This Row],[Industry]], Mean_PE_L, 3, FALSE))</f>
        <v>0.47866239956382572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189</v>
      </c>
      <c r="B22" t="s">
        <v>201</v>
      </c>
      <c r="C22" s="2">
        <v>23128</v>
      </c>
      <c r="D22">
        <f>RTD("tos.rtd", , "LAST", Main_L[[#This Row],[Symbol]])</f>
        <v>190.68</v>
      </c>
      <c r="E22">
        <v>8.6300000000000008</v>
      </c>
      <c r="F22">
        <v>17.739999999999998</v>
      </c>
      <c r="G22">
        <v>7.97</v>
      </c>
      <c r="H22" s="1">
        <f>IF(ISNUMBER(Main_L[[#This Row],[Free CF]]),IF(Main_L[[#This Row],[Free CF]]&lt;&gt;0,Main_L[[#This Row],[Current Price]]/Main_L[[#This Row],[Free CF]],""),"")</f>
        <v>22.095017381228271</v>
      </c>
      <c r="I22" s="1">
        <f>IF(ISNUMBER(Main_L[[#This Row],[BVPS]]),IF(Main_L[[#This Row],[BVPS]]&lt;&gt;0,Main_L[[#This Row],[Current Price]]/Main_L[[#This Row],[BVPS]],""),"")</f>
        <v>10.748590755355131</v>
      </c>
      <c r="J22">
        <v>49.04</v>
      </c>
      <c r="K22">
        <v>7.5</v>
      </c>
      <c r="L22">
        <v>6.24</v>
      </c>
      <c r="M22" s="1">
        <f>IF(ISNUMBER(Main_L[[#This Row],[EPS]]),IF(Main_L[[#This Row],[EPS]]&lt;&gt;0,Main_L[[#This Row],[Current Price]]/Main_L[[#This Row],[EPS]],""),"")</f>
        <v>23.924717691342536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-0.52693906108894251</v>
      </c>
      <c r="P22" s="1">
        <f>(Main_L[[#This Row],[P/B]]-VLOOKUP(Main_L[[#This Row],[Industry]], Mean_PB_L, 2, FALSE))/(VLOOKUP(Main_L[[#This Row],[Industry]], Mean_PB_L, 3, FALSE))</f>
        <v>1.3474844858307753</v>
      </c>
      <c r="Q22" s="1">
        <f>(Main_L[[#This Row],[ROE]]-VLOOKUP(Main_L[[#This Row],[Industry]], Mean_ROE_L, 2, FALSE))/(VLOOKUP(Main_L[[#This Row],[Industry]], Mean_ROE_L, 3, FALSE))</f>
        <v>2.3841400792590486</v>
      </c>
      <c r="R22" s="1">
        <f>(Main_L[[#This Row],[ROA]]-VLOOKUP(Main_L[[#This Row],[Industry]], Mean_ROA_L, 2, FALSE))/(VLOOKUP(Main_L[[#This Row],[Industry]], Mean_ROA_L, 3, FALSE))</f>
        <v>1.2543340378171519</v>
      </c>
      <c r="S22" s="1">
        <f>(Main_L[[#This Row],[A/E]]-VLOOKUP(Main_L[[#This Row],[Industry]], Mean_AE_L, 2, FALSE))/(VLOOKUP(Main_L[[#This Row],[Industry]], Mean_AE_L, 3, FALSE))</f>
        <v>2.6604146703582234</v>
      </c>
      <c r="T22" s="1">
        <f>(Main_L[[#This Row],[P/E]]-VLOOKUP(Main_L[[#This Row],[Industry]], Mean_PE_L, 2, FALSE))/(VLOOKUP(Main_L[[#This Row],[Industry]], Mean_PE_L, 3, FALSE))</f>
        <v>-0.61744256867638481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105</v>
      </c>
      <c r="B23" t="s">
        <v>106</v>
      </c>
      <c r="C23" s="2">
        <v>191620</v>
      </c>
      <c r="D23">
        <f>RTD("tos.rtd", , "LAST", Main_L[[#This Row],[Symbol]])</f>
        <v>322.52999999999997</v>
      </c>
      <c r="E23">
        <v>15.55</v>
      </c>
      <c r="F23">
        <v>46.69</v>
      </c>
      <c r="G23">
        <v>12.12</v>
      </c>
      <c r="H23" s="1">
        <f>IF(ISNUMBER(Main_L[[#This Row],[Free CF]]),IF(Main_L[[#This Row],[Free CF]]&lt;&gt;0,Main_L[[#This Row],[Current Price]]/Main_L[[#This Row],[Free CF]],""),"")</f>
        <v>20.741479099678454</v>
      </c>
      <c r="I23" s="1">
        <f>IF(ISNUMBER(Main_L[[#This Row],[BVPS]]),IF(Main_L[[#This Row],[BVPS]]&lt;&gt;0,Main_L[[#This Row],[Current Price]]/Main_L[[#This Row],[BVPS]],""),"")</f>
        <v>6.9079031912615116</v>
      </c>
      <c r="J23">
        <v>26.96</v>
      </c>
      <c r="K23">
        <v>11.58</v>
      </c>
      <c r="L23">
        <v>2.0499999999999998</v>
      </c>
      <c r="M23" s="1">
        <f>IF(ISNUMBER(Main_L[[#This Row],[EPS]]),IF(Main_L[[#This Row],[EPS]]&lt;&gt;0,Main_L[[#This Row],[Current Price]]/Main_L[[#This Row],[EPS]],""),"")</f>
        <v>26.611386138613859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-0.20112206327300833</v>
      </c>
      <c r="P23" s="1">
        <f>(Main_L[[#This Row],[P/B]]-VLOOKUP(Main_L[[#This Row],[Industry]], Mean_PB_L, 2, FALSE))/(VLOOKUP(Main_L[[#This Row],[Industry]], Mean_PB_L, 3, FALSE))</f>
        <v>-9.8341808597146474E-2</v>
      </c>
      <c r="Q23" s="1">
        <f>(Main_L[[#This Row],[ROE]]-VLOOKUP(Main_L[[#This Row],[Industry]], Mean_ROE_L, 2, FALSE))/(VLOOKUP(Main_L[[#This Row],[Industry]], Mean_ROE_L, 3, FALSE))</f>
        <v>1.054131610050864</v>
      </c>
      <c r="R23" s="1">
        <f>(Main_L[[#This Row],[ROA]]-VLOOKUP(Main_L[[#This Row],[Industry]], Mean_ROA_L, 2, FALSE))/(VLOOKUP(Main_L[[#This Row],[Industry]], Mean_ROA_L, 3, FALSE))</f>
        <v>1.1308090448797314</v>
      </c>
      <c r="S23" s="1">
        <f>(Main_L[[#This Row],[A/E]]-VLOOKUP(Main_L[[#This Row],[Industry]], Mean_AE_L, 2, FALSE))/(VLOOKUP(Main_L[[#This Row],[Industry]], Mean_AE_L, 3, FALSE))</f>
        <v>0.47173228800009481</v>
      </c>
      <c r="T23" s="1">
        <f>(Main_L[[#This Row],[P/E]]-VLOOKUP(Main_L[[#This Row],[Industry]], Mean_PE_L, 2, FALSE))/(VLOOKUP(Main_L[[#This Row],[Industry]], Mean_PE_L, 3, FALSE))</f>
        <v>-3.1828873351473483E-2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105</v>
      </c>
      <c r="B24" t="s">
        <v>107</v>
      </c>
      <c r="C24" s="2">
        <v>38415</v>
      </c>
      <c r="D24">
        <f>RTD("tos.rtd", , "LAST", Main_L[[#This Row],[Symbol]])</f>
        <v>81.27</v>
      </c>
      <c r="E24">
        <v>4.3099999999999996</v>
      </c>
      <c r="F24">
        <v>30.22</v>
      </c>
      <c r="G24">
        <v>4.75</v>
      </c>
      <c r="H24" s="1">
        <f>IF(ISNUMBER(Main_L[[#This Row],[Free CF]]),IF(Main_L[[#This Row],[Free CF]]&lt;&gt;0,Main_L[[#This Row],[Current Price]]/Main_L[[#This Row],[Free CF]],""),"")</f>
        <v>18.856148491879352</v>
      </c>
      <c r="I24" s="1">
        <f>IF(ISNUMBER(Main_L[[#This Row],[BVPS]]),IF(Main_L[[#This Row],[BVPS]]&lt;&gt;0,Main_L[[#This Row],[Current Price]]/Main_L[[#This Row],[BVPS]],""),"")</f>
        <v>2.6892786234281933</v>
      </c>
      <c r="J24">
        <v>16.600000000000001</v>
      </c>
      <c r="K24">
        <v>10.09</v>
      </c>
      <c r="L24">
        <v>1.34</v>
      </c>
      <c r="M24" s="1">
        <f>IF(ISNUMBER(Main_L[[#This Row],[EPS]]),IF(Main_L[[#This Row],[EPS]]&lt;&gt;0,Main_L[[#This Row],[Current Price]]/Main_L[[#This Row],[EPS]],""),"")</f>
        <v>17.109473684210524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4" s="1">
        <f>(Main_L[[#This Row],[P/FCF]]-VLOOKUP(Main_L[[#This Row],[Industry]], Mean_PFCF_L, 2, FALSE))/(VLOOKUP(Main_L[[#This Row],[Industry]], Mean_PFCF_L, 3, FALSE))</f>
        <v>-0.64030864528599085</v>
      </c>
      <c r="P24" s="1">
        <f>(Main_L[[#This Row],[P/B]]-VLOOKUP(Main_L[[#This Row],[Industry]], Mean_PB_L, 2, FALSE))/(VLOOKUP(Main_L[[#This Row],[Industry]], Mean_PB_L, 3, FALSE))</f>
        <v>-0.71157536412827027</v>
      </c>
      <c r="Q24" s="1">
        <f>(Main_L[[#This Row],[ROE]]-VLOOKUP(Main_L[[#This Row],[Industry]], Mean_ROE_L, 2, FALSE))/(VLOOKUP(Main_L[[#This Row],[Industry]], Mean_ROE_L, 3, FALSE))</f>
        <v>0.5442743091641129</v>
      </c>
      <c r="R24" s="1">
        <f>(Main_L[[#This Row],[ROA]]-VLOOKUP(Main_L[[#This Row],[Industry]], Mean_ROA_L, 2, FALSE))/(VLOOKUP(Main_L[[#This Row],[Industry]], Mean_ROA_L, 3, FALSE))</f>
        <v>0.89341974348072928</v>
      </c>
      <c r="S24" s="1">
        <f>(Main_L[[#This Row],[A/E]]-VLOOKUP(Main_L[[#This Row],[Industry]], Mean_AE_L, 2, FALSE))/(VLOOKUP(Main_L[[#This Row],[Industry]], Mean_AE_L, 3, FALSE))</f>
        <v>-0.33118191452061441</v>
      </c>
      <c r="T24" s="1">
        <f>(Main_L[[#This Row],[P/E]]-VLOOKUP(Main_L[[#This Row],[Industry]], Mean_PE_L, 2, FALSE))/(VLOOKUP(Main_L[[#This Row],[Industry]], Mean_PE_L, 3, FALSE))</f>
        <v>-1.2516131401717934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105</v>
      </c>
      <c r="B25" t="s">
        <v>108</v>
      </c>
      <c r="C25" s="2">
        <v>10021</v>
      </c>
      <c r="D25">
        <f>RTD("tos.rtd", , "LAST", Main_L[[#This Row],[Symbol]])</f>
        <v>91.12</v>
      </c>
      <c r="E25">
        <v>4.88</v>
      </c>
      <c r="F25">
        <v>30.89</v>
      </c>
      <c r="G25">
        <v>4.3099999999999996</v>
      </c>
      <c r="H25" s="1">
        <f>IF(ISNUMBER(Main_L[[#This Row],[Free CF]]),IF(Main_L[[#This Row],[Free CF]]&lt;&gt;0,Main_L[[#This Row],[Current Price]]/Main_L[[#This Row],[Free CF]],""),"")</f>
        <v>18.672131147540984</v>
      </c>
      <c r="I25" s="1">
        <f>IF(ISNUMBER(Main_L[[#This Row],[BVPS]]),IF(Main_L[[#This Row],[BVPS]]&lt;&gt;0,Main_L[[#This Row],[Current Price]]/Main_L[[#This Row],[BVPS]],""),"")</f>
        <v>2.9498219488507607</v>
      </c>
      <c r="J25">
        <v>14.05</v>
      </c>
      <c r="K25">
        <v>7.65</v>
      </c>
      <c r="L25">
        <v>1.82</v>
      </c>
      <c r="M25" s="1">
        <f>IF(ISNUMBER(Main_L[[#This Row],[EPS]]),IF(Main_L[[#This Row],[EPS]]&lt;&gt;0,Main_L[[#This Row],[Current Price]]/Main_L[[#This Row],[EPS]],""),"")</f>
        <v>21.141531322505802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-0.68317537017591312</v>
      </c>
      <c r="P25" s="1">
        <f>(Main_L[[#This Row],[P/B]]-VLOOKUP(Main_L[[#This Row],[Industry]], Mean_PB_L, 2, FALSE))/(VLOOKUP(Main_L[[#This Row],[Industry]], Mean_PB_L, 3, FALSE))</f>
        <v>-0.67370190389266471</v>
      </c>
      <c r="Q25" s="1">
        <f>(Main_L[[#This Row],[ROE]]-VLOOKUP(Main_L[[#This Row],[Industry]], Mean_ROE_L, 2, FALSE))/(VLOOKUP(Main_L[[#This Row],[Industry]], Mean_ROE_L, 3, FALSE))</f>
        <v>0.41877854494970984</v>
      </c>
      <c r="R25" s="1">
        <f>(Main_L[[#This Row],[ROA]]-VLOOKUP(Main_L[[#This Row],[Industry]], Mean_ROA_L, 2, FALSE))/(VLOOKUP(Main_L[[#This Row],[Industry]], Mean_ROA_L, 3, FALSE))</f>
        <v>0.50467484723001454</v>
      </c>
      <c r="S25" s="1">
        <f>(Main_L[[#This Row],[A/E]]-VLOOKUP(Main_L[[#This Row],[Industry]], Mean_AE_L, 2, FALSE))/(VLOOKUP(Main_L[[#This Row],[Industry]], Mean_AE_L, 3, FALSE))</f>
        <v>0.2116333209863441</v>
      </c>
      <c r="T25" s="1">
        <f>(Main_L[[#This Row],[P/E]]-VLOOKUP(Main_L[[#This Row],[Industry]], Mean_PE_L, 2, FALSE))/(VLOOKUP(Main_L[[#This Row],[Industry]], Mean_PE_L, 3, FALSE))</f>
        <v>-0.7340078166428351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105</v>
      </c>
      <c r="B26" t="s">
        <v>109</v>
      </c>
      <c r="C26" s="2">
        <v>23786</v>
      </c>
      <c r="D26">
        <f>RTD("tos.rtd", , "LAST", Main_L[[#This Row],[Symbol]])</f>
        <v>107.56</v>
      </c>
      <c r="E26">
        <v>5.72</v>
      </c>
      <c r="F26">
        <v>31.7</v>
      </c>
      <c r="G26">
        <v>5.3</v>
      </c>
      <c r="H26" s="1">
        <f>IF(ISNUMBER(Main_L[[#This Row],[Free CF]]),IF(Main_L[[#This Row],[Free CF]]&lt;&gt;0,Main_L[[#This Row],[Current Price]]/Main_L[[#This Row],[Free CF]],""),"")</f>
        <v>18.804195804195807</v>
      </c>
      <c r="I26" s="1">
        <f>IF(ISNUMBER(Main_L[[#This Row],[BVPS]]),IF(Main_L[[#This Row],[BVPS]]&lt;&gt;0,Main_L[[#This Row],[Current Price]]/Main_L[[#This Row],[BVPS]],""),"")</f>
        <v>3.3930599369085175</v>
      </c>
      <c r="J26">
        <v>18.34</v>
      </c>
      <c r="K26">
        <v>9.01</v>
      </c>
      <c r="L26">
        <v>1.84</v>
      </c>
      <c r="M26" s="1">
        <f>IF(ISNUMBER(Main_L[[#This Row],[EPS]]),IF(Main_L[[#This Row],[EPS]]&lt;&gt;0,Main_L[[#This Row],[Current Price]]/Main_L[[#This Row],[EPS]],""),"")</f>
        <v>20.294339622641509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-0.65241099128076596</v>
      </c>
      <c r="P26" s="1">
        <f>(Main_L[[#This Row],[P/B]]-VLOOKUP(Main_L[[#This Row],[Industry]], Mean_PB_L, 2, FALSE))/(VLOOKUP(Main_L[[#This Row],[Industry]], Mean_PB_L, 3, FALSE))</f>
        <v>-0.60927132871523892</v>
      </c>
      <c r="Q26" s="1">
        <f>(Main_L[[#This Row],[ROE]]-VLOOKUP(Main_L[[#This Row],[Industry]], Mean_ROE_L, 2, FALSE))/(VLOOKUP(Main_L[[#This Row],[Industry]], Mean_ROE_L, 3, FALSE))</f>
        <v>0.62990671298099954</v>
      </c>
      <c r="R26" s="1">
        <f>(Main_L[[#This Row],[ROA]]-VLOOKUP(Main_L[[#This Row],[Industry]], Mean_ROA_L, 2, FALSE))/(VLOOKUP(Main_L[[#This Row],[Industry]], Mean_ROA_L, 3, FALSE))</f>
        <v>0.72135233038615054</v>
      </c>
      <c r="S26" s="1">
        <f>(Main_L[[#This Row],[A/E]]-VLOOKUP(Main_L[[#This Row],[Industry]], Mean_AE_L, 2, FALSE))/(VLOOKUP(Main_L[[#This Row],[Industry]], Mean_AE_L, 3, FALSE))</f>
        <v>0.23425062246580072</v>
      </c>
      <c r="T26" s="1">
        <f>(Main_L[[#This Row],[P/E]]-VLOOKUP(Main_L[[#This Row],[Industry]], Mean_PE_L, 2, FALSE))/(VLOOKUP(Main_L[[#This Row],[Industry]], Mean_PE_L, 3, FALSE))</f>
        <v>-0.84276393404910921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105</v>
      </c>
      <c r="B27" t="s">
        <v>110</v>
      </c>
      <c r="C27" s="2">
        <v>235481</v>
      </c>
      <c r="D27">
        <f>RTD("tos.rtd", , "LAST", Main_L[[#This Row],[Symbol]])</f>
        <v>258.58999999999997</v>
      </c>
      <c r="E27">
        <v>12.92</v>
      </c>
      <c r="F27">
        <v>28.92</v>
      </c>
      <c r="G27">
        <v>5.85</v>
      </c>
      <c r="H27" s="1">
        <f>IF(ISNUMBER(Main_L[[#This Row],[Free CF]]),IF(Main_L[[#This Row],[Free CF]]&lt;&gt;0,Main_L[[#This Row],[Current Price]]/Main_L[[#This Row],[Free CF]],""),"")</f>
        <v>20.014705882352938</v>
      </c>
      <c r="I27" s="1">
        <f>IF(ISNUMBER(Main_L[[#This Row],[BVPS]]),IF(Main_L[[#This Row],[BVPS]]&lt;&gt;0,Main_L[[#This Row],[Current Price]]/Main_L[[#This Row],[BVPS]],""),"")</f>
        <v>8.941562932226832</v>
      </c>
      <c r="J27">
        <v>21.85</v>
      </c>
      <c r="K27">
        <v>4.47</v>
      </c>
      <c r="L27">
        <v>5.42</v>
      </c>
      <c r="M27" s="1">
        <f>IF(ISNUMBER(Main_L[[#This Row],[EPS]]),IF(Main_L[[#This Row],[EPS]]&lt;&gt;0,Main_L[[#This Row],[Current Price]]/Main_L[[#This Row],[EPS]],""),"")</f>
        <v>44.203418803418799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-0.37042342818766738</v>
      </c>
      <c r="P27" s="1">
        <f>(Main_L[[#This Row],[P/B]]-VLOOKUP(Main_L[[#This Row],[Industry]], Mean_PB_L, 2, FALSE))/(VLOOKUP(Main_L[[#This Row],[Industry]], Mean_PB_L, 3, FALSE))</f>
        <v>0.19727785929218677</v>
      </c>
      <c r="Q27" s="1">
        <f>(Main_L[[#This Row],[ROE]]-VLOOKUP(Main_L[[#This Row],[Industry]], Mean_ROE_L, 2, FALSE))/(VLOOKUP(Main_L[[#This Row],[Industry]], Mean_ROE_L, 3, FALSE))</f>
        <v>0.80264794137023676</v>
      </c>
      <c r="R27" s="1">
        <f>(Main_L[[#This Row],[ROA]]-VLOOKUP(Main_L[[#This Row],[Industry]], Mean_ROA_L, 2, FALSE))/(VLOOKUP(Main_L[[#This Row],[Industry]], Mean_ROA_L, 3, FALSE))</f>
        <v>-1.9680913262450895E-3</v>
      </c>
      <c r="S27" s="1">
        <f>(Main_L[[#This Row],[A/E]]-VLOOKUP(Main_L[[#This Row],[Industry]], Mean_AE_L, 2, FALSE))/(VLOOKUP(Main_L[[#This Row],[Industry]], Mean_AE_L, 3, FALSE))</f>
        <v>4.282747587288533</v>
      </c>
      <c r="T27" s="1">
        <f>(Main_L[[#This Row],[P/E]]-VLOOKUP(Main_L[[#This Row],[Industry]], Mean_PE_L, 2, FALSE))/(VLOOKUP(Main_L[[#This Row],[Industry]], Mean_PE_L, 3, FALSE))</f>
        <v>2.2265043589205216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105</v>
      </c>
      <c r="B28" t="s">
        <v>111</v>
      </c>
      <c r="C28" s="2">
        <v>73394</v>
      </c>
      <c r="D28">
        <f>RTD("tos.rtd", , "LAST", Main_L[[#This Row],[Symbol]])</f>
        <v>18.38</v>
      </c>
      <c r="E28">
        <v>0.98</v>
      </c>
      <c r="F28">
        <v>2.76</v>
      </c>
      <c r="G28">
        <v>0.76</v>
      </c>
      <c r="H28" s="1">
        <f>IF(ISNUMBER(Main_L[[#This Row],[Free CF]]),IF(Main_L[[#This Row],[Free CF]]&lt;&gt;0,Main_L[[#This Row],[Current Price]]/Main_L[[#This Row],[Free CF]],""),"")</f>
        <v>18.755102040816325</v>
      </c>
      <c r="I28" s="1">
        <f>IF(ISNUMBER(Main_L[[#This Row],[BVPS]]),IF(Main_L[[#This Row],[BVPS]]&lt;&gt;0,Main_L[[#This Row],[Current Price]]/Main_L[[#This Row],[BVPS]],""),"")</f>
        <v>6.6594202898550723</v>
      </c>
      <c r="J28">
        <v>28.89</v>
      </c>
      <c r="K28">
        <v>14.99</v>
      </c>
      <c r="L28">
        <v>1.55</v>
      </c>
      <c r="M28" s="1">
        <f>IF(ISNUMBER(Main_L[[#This Row],[EPS]]),IF(Main_L[[#This Row],[EPS]]&lt;&gt;0,Main_L[[#This Row],[Current Price]]/Main_L[[#This Row],[EPS]],""),"")</f>
        <v>24.184210526315788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8" s="1">
        <f>(Main_L[[#This Row],[P/FCF]]-VLOOKUP(Main_L[[#This Row],[Industry]], Mean_PFCF_L, 2, FALSE))/(VLOOKUP(Main_L[[#This Row],[Industry]], Mean_PFCF_L, 3, FALSE))</f>
        <v>-0.66384735265292805</v>
      </c>
      <c r="P28" s="1">
        <f>(Main_L[[#This Row],[P/B]]-VLOOKUP(Main_L[[#This Row],[Industry]], Mean_PB_L, 2, FALSE))/(VLOOKUP(Main_L[[#This Row],[Industry]], Mean_PB_L, 3, FALSE))</f>
        <v>-0.13446212474948466</v>
      </c>
      <c r="Q28" s="1">
        <f>(Main_L[[#This Row],[ROE]]-VLOOKUP(Main_L[[#This Row],[Industry]], Mean_ROE_L, 2, FALSE))/(VLOOKUP(Main_L[[#This Row],[Industry]], Mean_ROE_L, 3, FALSE))</f>
        <v>1.1491146786523532</v>
      </c>
      <c r="R28" s="1">
        <f>(Main_L[[#This Row],[ROA]]-VLOOKUP(Main_L[[#This Row],[Industry]], Mean_ROA_L, 2, FALSE))/(VLOOKUP(Main_L[[#This Row],[Industry]], Mean_ROA_L, 3, FALSE))</f>
        <v>1.6740959695579845</v>
      </c>
      <c r="S28" s="1">
        <f>(Main_L[[#This Row],[A/E]]-VLOOKUP(Main_L[[#This Row],[Industry]], Mean_AE_L, 2, FALSE))/(VLOOKUP(Main_L[[#This Row],[Industry]], Mean_AE_L, 3, FALSE))</f>
        <v>-9.3700248986320095E-2</v>
      </c>
      <c r="T28" s="1">
        <f>(Main_L[[#This Row],[P/E]]-VLOOKUP(Main_L[[#This Row],[Industry]], Mean_PE_L, 2, FALSE))/(VLOOKUP(Main_L[[#This Row],[Industry]], Mean_PE_L, 3, FALSE))</f>
        <v>-0.34341147726392712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105</v>
      </c>
      <c r="B29" t="s">
        <v>112</v>
      </c>
      <c r="C29" s="2">
        <v>33700</v>
      </c>
      <c r="D29">
        <f>RTD("tos.rtd", , "LAST", Main_L[[#This Row],[Symbol]])</f>
        <v>448.7</v>
      </c>
      <c r="E29">
        <v>17.78</v>
      </c>
      <c r="F29">
        <v>17.559999999999999</v>
      </c>
      <c r="G29">
        <v>16</v>
      </c>
      <c r="H29" s="1">
        <f>IF(ISNUMBER(Main_L[[#This Row],[Free CF]]),IF(Main_L[[#This Row],[Free CF]]&lt;&gt;0,Main_L[[#This Row],[Current Price]]/Main_L[[#This Row],[Free CF]],""),"")</f>
        <v>25.236220472440941</v>
      </c>
      <c r="I29" s="1">
        <f>IF(ISNUMBER(Main_L[[#This Row],[BVPS]]),IF(Main_L[[#This Row],[BVPS]]&lt;&gt;0,Main_L[[#This Row],[Current Price]]/Main_L[[#This Row],[BVPS]],""),"")</f>
        <v>25.55239179954442</v>
      </c>
      <c r="J29">
        <v>122.93</v>
      </c>
      <c r="K29">
        <v>8.91</v>
      </c>
      <c r="L29">
        <v>6.28</v>
      </c>
      <c r="M29" s="1">
        <f>IF(ISNUMBER(Main_L[[#This Row],[EPS]]),IF(Main_L[[#This Row],[EPS]]&lt;&gt;0,Main_L[[#This Row],[Current Price]]/Main_L[[#This Row],[EPS]],""),"")</f>
        <v>28.043749999999999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0.84592511899299327</v>
      </c>
      <c r="P29" s="1">
        <f>(Main_L[[#This Row],[P/B]]-VLOOKUP(Main_L[[#This Row],[Industry]], Mean_PB_L, 2, FALSE))/(VLOOKUP(Main_L[[#This Row],[Industry]], Mean_PB_L, 3, FALSE))</f>
        <v>2.6118842038088497</v>
      </c>
      <c r="Q29" s="1">
        <f>(Main_L[[#This Row],[ROE]]-VLOOKUP(Main_L[[#This Row],[Industry]], Mean_ROE_L, 2, FALSE))/(VLOOKUP(Main_L[[#This Row],[Industry]], Mean_ROE_L, 3, FALSE))</f>
        <v>5.7772016067788083</v>
      </c>
      <c r="R29" s="1">
        <f>(Main_L[[#This Row],[ROA]]-VLOOKUP(Main_L[[#This Row],[Industry]], Mean_ROA_L, 2, FALSE))/(VLOOKUP(Main_L[[#This Row],[Industry]], Mean_ROA_L, 3, FALSE))</f>
        <v>0.705420162507023</v>
      </c>
      <c r="S29" s="1">
        <f>(Main_L[[#This Row],[A/E]]-VLOOKUP(Main_L[[#This Row],[Industry]], Mean_AE_L, 2, FALSE))/(VLOOKUP(Main_L[[#This Row],[Industry]], Mean_AE_L, 3, FALSE))</f>
        <v>5.2552915509051674</v>
      </c>
      <c r="T29" s="1">
        <f>(Main_L[[#This Row],[P/E]]-VLOOKUP(Main_L[[#This Row],[Industry]], Mean_PE_L, 2, FALSE))/(VLOOKUP(Main_L[[#This Row],[Industry]], Mean_PE_L, 3, FALSE))</f>
        <v>0.15204725799208005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105</v>
      </c>
      <c r="B30" t="s">
        <v>113</v>
      </c>
      <c r="C30" s="2">
        <v>30338</v>
      </c>
      <c r="D30">
        <f>RTD("tos.rtd", , "LAST", Main_L[[#This Row],[Symbol]])</f>
        <v>2.99</v>
      </c>
      <c r="E30">
        <v>0.17</v>
      </c>
      <c r="F30">
        <v>0.92</v>
      </c>
      <c r="G30">
        <v>0.15</v>
      </c>
      <c r="H30" s="1">
        <f>IF(ISNUMBER(Main_L[[#This Row],[Free CF]]),IF(Main_L[[#This Row],[Free CF]]&lt;&gt;0,Main_L[[#This Row],[Current Price]]/Main_L[[#This Row],[Free CF]],""),"")</f>
        <v>17.588235294117649</v>
      </c>
      <c r="I30" s="1">
        <f>IF(ISNUMBER(Main_L[[#This Row],[BVPS]]),IF(Main_L[[#This Row],[BVPS]]&lt;&gt;0,Main_L[[#This Row],[Current Price]]/Main_L[[#This Row],[BVPS]],""),"")</f>
        <v>3.25</v>
      </c>
      <c r="J30">
        <v>16.760000000000002</v>
      </c>
      <c r="K30">
        <v>7.69</v>
      </c>
      <c r="L30">
        <v>1.56</v>
      </c>
      <c r="M30" s="1">
        <f>IF(ISNUMBER(Main_L[[#This Row],[EPS]]),IF(Main_L[[#This Row],[EPS]]&lt;&gt;0,Main_L[[#This Row],[Current Price]]/Main_L[[#This Row],[EPS]],""),"")</f>
        <v>19.933333333333337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0" s="1">
        <f>(Main_L[[#This Row],[P/FCF]]-VLOOKUP(Main_L[[#This Row],[Industry]], Mean_PFCF_L, 2, FALSE))/(VLOOKUP(Main_L[[#This Row],[Industry]], Mean_PFCF_L, 3, FALSE))</f>
        <v>-0.9356682290696382</v>
      </c>
      <c r="P30" s="1">
        <f>(Main_L[[#This Row],[P/B]]-VLOOKUP(Main_L[[#This Row],[Industry]], Mean_PB_L, 2, FALSE))/(VLOOKUP(Main_L[[#This Row],[Industry]], Mean_PB_L, 3, FALSE))</f>
        <v>-0.63006700568384066</v>
      </c>
      <c r="Q30" s="1">
        <f>(Main_L[[#This Row],[ROE]]-VLOOKUP(Main_L[[#This Row],[Industry]], Mean_ROE_L, 2, FALSE))/(VLOOKUP(Main_L[[#This Row],[Industry]], Mean_ROE_L, 3, FALSE))</f>
        <v>0.55214855319325196</v>
      </c>
      <c r="R30" s="1">
        <f>(Main_L[[#This Row],[ROA]]-VLOOKUP(Main_L[[#This Row],[Industry]], Mean_ROA_L, 2, FALSE))/(VLOOKUP(Main_L[[#This Row],[Industry]], Mean_ROA_L, 3, FALSE))</f>
        <v>0.51104771438166552</v>
      </c>
      <c r="S30" s="1">
        <f>(Main_L[[#This Row],[A/E]]-VLOOKUP(Main_L[[#This Row],[Industry]], Mean_AE_L, 2, FALSE))/(VLOOKUP(Main_L[[#This Row],[Industry]], Mean_AE_L, 3, FALSE))</f>
        <v>-8.2391598246591785E-2</v>
      </c>
      <c r="T30" s="1">
        <f>(Main_L[[#This Row],[P/E]]-VLOOKUP(Main_L[[#This Row],[Industry]], Mean_PE_L, 2, FALSE))/(VLOOKUP(Main_L[[#This Row],[Industry]], Mean_PE_L, 3, FALSE))</f>
        <v>-0.889107214313413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105</v>
      </c>
      <c r="B31" t="s">
        <v>114</v>
      </c>
      <c r="C31" s="2">
        <v>12107</v>
      </c>
      <c r="D31">
        <f>RTD("tos.rtd", , "LAST", Main_L[[#This Row],[Symbol]])</f>
        <v>78.94</v>
      </c>
      <c r="E31">
        <v>4.63</v>
      </c>
      <c r="F31">
        <v>32.520000000000003</v>
      </c>
      <c r="G31">
        <v>3.27</v>
      </c>
      <c r="H31" s="1">
        <f>IF(ISNUMBER(Main_L[[#This Row],[Free CF]]),IF(Main_L[[#This Row],[Free CF]]&lt;&gt;0,Main_L[[#This Row],[Current Price]]/Main_L[[#This Row],[Free CF]],""),"")</f>
        <v>17.049676025917925</v>
      </c>
      <c r="I31" s="1">
        <f>IF(ISNUMBER(Main_L[[#This Row],[BVPS]]),IF(Main_L[[#This Row],[BVPS]]&lt;&gt;0,Main_L[[#This Row],[Current Price]]/Main_L[[#This Row],[BVPS]],""),"")</f>
        <v>2.4274292742927428</v>
      </c>
      <c r="J31">
        <v>10.66</v>
      </c>
      <c r="K31">
        <v>3.92</v>
      </c>
      <c r="L31">
        <v>2.13</v>
      </c>
      <c r="M31" s="1">
        <f>IF(ISNUMBER(Main_L[[#This Row],[EPS]]),IF(Main_L[[#This Row],[EPS]]&lt;&gt;0,Main_L[[#This Row],[Current Price]]/Main_L[[#This Row],[EPS]],""),"")</f>
        <v>24.140672782874617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-1.0611252726425782</v>
      </c>
      <c r="P31" s="1">
        <f>(Main_L[[#This Row],[P/B]]-VLOOKUP(Main_L[[#This Row],[Industry]], Mean_PB_L, 2, FALSE))/(VLOOKUP(Main_L[[#This Row],[Industry]], Mean_PB_L, 3, FALSE))</f>
        <v>-0.74963867239424231</v>
      </c>
      <c r="Q31" s="1">
        <f>(Main_L[[#This Row],[ROE]]-VLOOKUP(Main_L[[#This Row],[Industry]], Mean_ROE_L, 2, FALSE))/(VLOOKUP(Main_L[[#This Row],[Industry]], Mean_ROE_L, 3, FALSE))</f>
        <v>0.25194299958232702</v>
      </c>
      <c r="R31" s="1">
        <f>(Main_L[[#This Row],[ROA]]-VLOOKUP(Main_L[[#This Row],[Industry]], Mean_ROA_L, 2, FALSE))/(VLOOKUP(Main_L[[#This Row],[Industry]], Mean_ROA_L, 3, FALSE))</f>
        <v>-8.9595014661447175E-2</v>
      </c>
      <c r="S31" s="1">
        <f>(Main_L[[#This Row],[A/E]]-VLOOKUP(Main_L[[#This Row],[Industry]], Mean_AE_L, 2, FALSE))/(VLOOKUP(Main_L[[#This Row],[Industry]], Mean_AE_L, 3, FALSE))</f>
        <v>0.56220149391792129</v>
      </c>
      <c r="T31" s="1">
        <f>(Main_L[[#This Row],[P/E]]-VLOOKUP(Main_L[[#This Row],[Industry]], Mean_PE_L, 2, FALSE))/(VLOOKUP(Main_L[[#This Row],[Industry]], Mean_PE_L, 3, FALSE))</f>
        <v>-0.34900052628087408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105</v>
      </c>
      <c r="B32" t="s">
        <v>115</v>
      </c>
      <c r="C32" s="2">
        <v>24946</v>
      </c>
      <c r="D32">
        <f>RTD("tos.rtd", , "LAST", Main_L[[#This Row],[Symbol]])</f>
        <v>63.26</v>
      </c>
      <c r="H32" s="1" t="str">
        <f>IF(ISNUMBER(Main_L[[#This Row],[Free CF]]),IF(Main_L[[#This Row],[Free CF]]&lt;&gt;0,Main_L[[#This Row],[Current Price]]/Main_L[[#This Row],[Free CF]],""),"")</f>
        <v/>
      </c>
      <c r="I32" s="1" t="str">
        <f>IF(ISNUMBER(Main_L[[#This Row],[BVPS]]),IF(Main_L[[#This Row],[BVPS]]&lt;&gt;0,Main_L[[#This Row],[Current Price]]/Main_L[[#This Row],[BVPS]],""),"")</f>
        <v/>
      </c>
      <c r="J32">
        <v>-146.77000000000001</v>
      </c>
      <c r="K32">
        <v>1.78</v>
      </c>
      <c r="L32">
        <v>-43.12</v>
      </c>
      <c r="M32" s="1" t="str">
        <f>IF(ISNUMBER(Main_L[[#This Row],[EPS]]),IF(Main_L[[#This Row],[EPS]]&lt;&gt;0,Main_L[[#This Row],[Current Price]]/Main_L[[#This Row],[EPS]],""),"")</f>
        <v/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 t="e">
        <f>(Main_L[[#This Row],[P/FCF]]-VLOOKUP(Main_L[[#This Row],[Industry]], Mean_PFCF_L, 2, FALSE))/(VLOOKUP(Main_L[[#This Row],[Industry]], Mean_PFCF_L, 3, FALSE))</f>
        <v>#VALUE!</v>
      </c>
      <c r="P32" s="1" t="e">
        <f>(Main_L[[#This Row],[P/B]]-VLOOKUP(Main_L[[#This Row],[Industry]], Mean_PB_L, 2, FALSE))/(VLOOKUP(Main_L[[#This Row],[Industry]], Mean_PB_L, 3, FALSE))</f>
        <v>#VALUE!</v>
      </c>
      <c r="Q32" s="1">
        <f>(Main_L[[#This Row],[ROE]]-VLOOKUP(Main_L[[#This Row],[Industry]], Mean_ROE_L, 2, FALSE))/(VLOOKUP(Main_L[[#This Row],[Industry]], Mean_ROE_L, 3, FALSE))</f>
        <v>-7.495820984838641</v>
      </c>
      <c r="R32" s="1">
        <f>(Main_L[[#This Row],[ROA]]-VLOOKUP(Main_L[[#This Row],[Industry]], Mean_ROA_L, 2, FALSE))/(VLOOKUP(Main_L[[#This Row],[Industry]], Mean_ROA_L, 3, FALSE))</f>
        <v>-0.43054340727477897</v>
      </c>
      <c r="S32" s="1">
        <f>(Main_L[[#This Row],[A/E]]-VLOOKUP(Main_L[[#This Row],[Industry]], Mean_AE_L, 2, FALSE))/(VLOOKUP(Main_L[[#This Row],[Industry]], Mean_AE_L, 3, FALSE))</f>
        <v>-50.609443103352646</v>
      </c>
      <c r="T32" s="1" t="e">
        <f>(Main_L[[#This Row],[P/E]]-VLOOKUP(Main_L[[#This Row],[Industry]], Mean_PE_L, 2, FALSE))/(VLOOKUP(Main_L[[#This Row],[Industry]], Mean_PE_L, 3, FALSE))</f>
        <v>#VALUE!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3" spans="1:26" x14ac:dyDescent="0.25">
      <c r="A33" t="s">
        <v>105</v>
      </c>
      <c r="B33" t="s">
        <v>116</v>
      </c>
      <c r="C33" s="2">
        <v>26091</v>
      </c>
      <c r="D33">
        <f>RTD("tos.rtd", , "LAST", Main_L[[#This Row],[Symbol]])</f>
        <v>187.49</v>
      </c>
      <c r="E33">
        <v>9.7100000000000009</v>
      </c>
      <c r="F33">
        <v>1.4</v>
      </c>
      <c r="G33">
        <v>5.2</v>
      </c>
      <c r="H33" s="1">
        <f>IF(ISNUMBER(Main_L[[#This Row],[Free CF]]),IF(Main_L[[#This Row],[Free CF]]&lt;&gt;0,Main_L[[#This Row],[Current Price]]/Main_L[[#This Row],[Free CF]],""),"")</f>
        <v>19.308959835221419</v>
      </c>
      <c r="I33" s="1">
        <f>IF(ISNUMBER(Main_L[[#This Row],[BVPS]]),IF(Main_L[[#This Row],[BVPS]]&lt;&gt;0,Main_L[[#This Row],[Current Price]]/Main_L[[#This Row],[BVPS]],""),"")</f>
        <v>133.92142857142858</v>
      </c>
      <c r="J33">
        <v>245.7</v>
      </c>
      <c r="K33">
        <v>7.78</v>
      </c>
      <c r="L33">
        <v>39.25</v>
      </c>
      <c r="M33" s="1">
        <f>IF(ISNUMBER(Main_L[[#This Row],[EPS]]),IF(Main_L[[#This Row],[EPS]]&lt;&gt;0,Main_L[[#This Row],[Current Price]]/Main_L[[#This Row],[EPS]],""),"")</f>
        <v>36.055769230769229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-0.53482652700050637</v>
      </c>
      <c r="P33" s="1">
        <f>(Main_L[[#This Row],[P/B]]-VLOOKUP(Main_L[[#This Row],[Industry]], Mean_PB_L, 2, FALSE))/(VLOOKUP(Main_L[[#This Row],[Industry]], Mean_PB_L, 3, FALSE))</f>
        <v>18.36477443154417</v>
      </c>
      <c r="Q33" s="1">
        <f>(Main_L[[#This Row],[ROE]]-VLOOKUP(Main_L[[#This Row],[Industry]], Mean_ROE_L, 2, FALSE))/(VLOOKUP(Main_L[[#This Row],[Industry]], Mean_ROE_L, 3, FALSE))</f>
        <v>11.819207478387536</v>
      </c>
      <c r="R33" s="1">
        <f>(Main_L[[#This Row],[ROA]]-VLOOKUP(Main_L[[#This Row],[Industry]], Mean_ROA_L, 2, FALSE))/(VLOOKUP(Main_L[[#This Row],[Industry]], Mean_ROA_L, 3, FALSE))</f>
        <v>0.52538666547288049</v>
      </c>
      <c r="S33" s="1">
        <f>(Main_L[[#This Row],[A/E]]-VLOOKUP(Main_L[[#This Row],[Industry]], Mean_AE_L, 2, FALSE))/(VLOOKUP(Main_L[[#This Row],[Industry]], Mean_AE_L, 3, FALSE))</f>
        <v>42.539913039789383</v>
      </c>
      <c r="T33" s="1">
        <f>(Main_L[[#This Row],[P/E]]-VLOOKUP(Main_L[[#This Row],[Industry]], Mean_PE_L, 2, FALSE))/(VLOOKUP(Main_L[[#This Row],[Industry]], Mean_PE_L, 3, FALSE))</f>
        <v>1.1805702053515053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105</v>
      </c>
      <c r="B34" t="s">
        <v>117</v>
      </c>
      <c r="C34" s="2">
        <v>14153</v>
      </c>
      <c r="D34">
        <f>RTD("tos.rtd", , "LAST", Main_L[[#This Row],[Symbol]])</f>
        <v>195.9</v>
      </c>
      <c r="E34">
        <v>1.62</v>
      </c>
      <c r="F34">
        <v>34.58</v>
      </c>
      <c r="G34">
        <v>-1.73</v>
      </c>
      <c r="H34" s="1">
        <f>IF(ISNUMBER(Main_L[[#This Row],[Free CF]]),IF(Main_L[[#This Row],[Free CF]]&lt;&gt;0,Main_L[[#This Row],[Current Price]]/Main_L[[#This Row],[Free CF]],""),"")</f>
        <v>120.92592592592592</v>
      </c>
      <c r="I34" s="1">
        <f>IF(ISNUMBER(Main_L[[#This Row],[BVPS]]),IF(Main_L[[#This Row],[BVPS]]&lt;&gt;0,Main_L[[#This Row],[Current Price]]/Main_L[[#This Row],[BVPS]],""),"")</f>
        <v>5.6651243493348762</v>
      </c>
      <c r="J34">
        <v>-6.7</v>
      </c>
      <c r="K34">
        <v>-4.29</v>
      </c>
      <c r="L34">
        <v>1.23</v>
      </c>
      <c r="M34" s="1">
        <f>IF(ISNUMBER(Main_L[[#This Row],[EPS]]),IF(Main_L[[#This Row],[EPS]]&lt;&gt;0,Main_L[[#This Row],[Current Price]]/Main_L[[#This Row],[EPS]],""),"")</f>
        <v>-113.23699421965318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23.136781957627271</v>
      </c>
      <c r="P34" s="1">
        <f>(Main_L[[#This Row],[P/B]]-VLOOKUP(Main_L[[#This Row],[Industry]], Mean_PB_L, 2, FALSE))/(VLOOKUP(Main_L[[#This Row],[Industry]], Mean_PB_L, 3, FALSE))</f>
        <v>-0.27899635031308401</v>
      </c>
      <c r="Q34" s="1">
        <f>(Main_L[[#This Row],[ROE]]-VLOOKUP(Main_L[[#This Row],[Industry]], Mean_ROE_L, 2, FALSE))/(VLOOKUP(Main_L[[#This Row],[Industry]], Mean_ROE_L, 3, FALSE))</f>
        <v>-0.60241247757925587</v>
      </c>
      <c r="R34" s="1">
        <f>(Main_L[[#This Row],[ROA]]-VLOOKUP(Main_L[[#This Row],[Industry]], Mean_ROA_L, 2, FALSE))/(VLOOKUP(Main_L[[#This Row],[Industry]], Mean_ROA_L, 3, FALSE))</f>
        <v>-1.3976259975378278</v>
      </c>
      <c r="S34" s="1">
        <f>(Main_L[[#This Row],[A/E]]-VLOOKUP(Main_L[[#This Row],[Industry]], Mean_AE_L, 2, FALSE))/(VLOOKUP(Main_L[[#This Row],[Industry]], Mean_AE_L, 3, FALSE))</f>
        <v>-0.45557707265762587</v>
      </c>
      <c r="T34" s="1">
        <f>(Main_L[[#This Row],[P/E]]-VLOOKUP(Main_L[[#This Row],[Industry]], Mean_PE_L, 2, FALSE))/(VLOOKUP(Main_L[[#This Row],[Industry]], Mean_PE_L, 3, FALSE))</f>
        <v>-17.984515232008281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5" spans="1:26" x14ac:dyDescent="0.25">
      <c r="A35" t="s">
        <v>105</v>
      </c>
      <c r="B35" t="s">
        <v>118</v>
      </c>
      <c r="C35" s="2">
        <v>42178</v>
      </c>
      <c r="D35">
        <f>RTD("tos.rtd", , "LAST", Main_L[[#This Row],[Symbol]])</f>
        <v>150.36000000000001</v>
      </c>
      <c r="E35">
        <v>0.49</v>
      </c>
      <c r="F35">
        <v>3.03</v>
      </c>
      <c r="G35">
        <v>-0.23</v>
      </c>
      <c r="H35" s="1">
        <f>IF(ISNUMBER(Main_L[[#This Row],[Free CF]]),IF(Main_L[[#This Row],[Free CF]]&lt;&gt;0,Main_L[[#This Row],[Current Price]]/Main_L[[#This Row],[Free CF]],""),"")</f>
        <v>306.85714285714289</v>
      </c>
      <c r="I35" s="1">
        <f>IF(ISNUMBER(Main_L[[#This Row],[BVPS]]),IF(Main_L[[#This Row],[BVPS]]&lt;&gt;0,Main_L[[#This Row],[Current Price]]/Main_L[[#This Row],[BVPS]],""),"")</f>
        <v>49.623762376237629</v>
      </c>
      <c r="J35">
        <v>-8.7100000000000009</v>
      </c>
      <c r="K35">
        <v>-2.87</v>
      </c>
      <c r="L35">
        <v>3.16</v>
      </c>
      <c r="M35" s="1">
        <f>IF(ISNUMBER(Main_L[[#This Row],[EPS]]),IF(Main_L[[#This Row],[EPS]]&lt;&gt;0,Main_L[[#This Row],[Current Price]]/Main_L[[#This Row],[EPS]],""),"")</f>
        <v>-653.73913043478262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66.449342267069284</v>
      </c>
      <c r="P35" s="1">
        <f>(Main_L[[#This Row],[P/B]]-VLOOKUP(Main_L[[#This Row],[Industry]], Mean_PB_L, 2, FALSE))/(VLOOKUP(Main_L[[#This Row],[Industry]], Mean_PB_L, 3, FALSE))</f>
        <v>6.1109801598242672</v>
      </c>
      <c r="Q35" s="1">
        <f>(Main_L[[#This Row],[ROE]]-VLOOKUP(Main_L[[#This Row],[Industry]], Mean_ROE_L, 2, FALSE))/(VLOOKUP(Main_L[[#This Row],[Industry]], Mean_ROE_L, 3, FALSE))</f>
        <v>-0.70133266819531481</v>
      </c>
      <c r="R35" s="1">
        <f>(Main_L[[#This Row],[ROA]]-VLOOKUP(Main_L[[#This Row],[Industry]], Mean_ROA_L, 2, FALSE))/(VLOOKUP(Main_L[[#This Row],[Industry]], Mean_ROA_L, 3, FALSE))</f>
        <v>-1.171389213654215</v>
      </c>
      <c r="S35" s="1">
        <f>(Main_L[[#This Row],[A/E]]-VLOOKUP(Main_L[[#This Row],[Industry]], Mean_AE_L, 2, FALSE))/(VLOOKUP(Main_L[[#This Row],[Industry]], Mean_AE_L, 3, FALSE))</f>
        <v>1.7269925201099368</v>
      </c>
      <c r="T35" s="1">
        <f>(Main_L[[#This Row],[P/E]]-VLOOKUP(Main_L[[#This Row],[Industry]], Mean_PE_L, 2, FALSE))/(VLOOKUP(Main_L[[#This Row],[Industry]], Mean_PE_L, 3, FALSE))</f>
        <v>-87.37012629733232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6" spans="1:26" x14ac:dyDescent="0.25">
      <c r="A36" t="s">
        <v>105</v>
      </c>
      <c r="B36" t="s">
        <v>119</v>
      </c>
      <c r="C36" s="2">
        <v>20490</v>
      </c>
      <c r="D36">
        <f>RTD("tos.rtd", , "LAST", Main_L[[#This Row],[Symbol]])</f>
        <v>124.05</v>
      </c>
      <c r="E36">
        <v>4.3099999999999996</v>
      </c>
      <c r="F36">
        <v>36.93</v>
      </c>
      <c r="G36">
        <v>0.15</v>
      </c>
      <c r="H36" s="1">
        <f>IF(ISNUMBER(Main_L[[#This Row],[Free CF]]),IF(Main_L[[#This Row],[Free CF]]&lt;&gt;0,Main_L[[#This Row],[Current Price]]/Main_L[[#This Row],[Free CF]],""),"")</f>
        <v>28.78190255220418</v>
      </c>
      <c r="I36" s="1">
        <f>IF(ISNUMBER(Main_L[[#This Row],[BVPS]]),IF(Main_L[[#This Row],[BVPS]]&lt;&gt;0,Main_L[[#This Row],[Current Price]]/Main_L[[#This Row],[BVPS]],""),"")</f>
        <v>3.3590576766856213</v>
      </c>
      <c r="J36">
        <v>0.46</v>
      </c>
      <c r="K36">
        <v>-0.43</v>
      </c>
      <c r="L36">
        <v>1.47</v>
      </c>
      <c r="M36" s="1">
        <f>IF(ISNUMBER(Main_L[[#This Row],[EPS]]),IF(Main_L[[#This Row],[EPS]]&lt;&gt;0,Main_L[[#This Row],[Current Price]]/Main_L[[#This Row],[EPS]],""),"")</f>
        <v>827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1.6718895345040552</v>
      </c>
      <c r="P36" s="1">
        <f>(Main_L[[#This Row],[P/B]]-VLOOKUP(Main_L[[#This Row],[Industry]], Mean_PB_L, 2, FALSE))/(VLOOKUP(Main_L[[#This Row],[Industry]], Mean_PB_L, 3, FALSE))</f>
        <v>-0.61421401242584239</v>
      </c>
      <c r="Q36" s="1">
        <f>(Main_L[[#This Row],[ROE]]-VLOOKUP(Main_L[[#This Row],[Industry]], Mean_ROE_L, 2, FALSE))/(VLOOKUP(Main_L[[#This Row],[Industry]], Mean_ROE_L, 3, FALSE))</f>
        <v>-0.25004005727528505</v>
      </c>
      <c r="R36" s="1">
        <f>(Main_L[[#This Row],[ROA]]-VLOOKUP(Main_L[[#This Row],[Industry]], Mean_ROA_L, 2, FALSE))/(VLOOKUP(Main_L[[#This Row],[Industry]], Mean_ROA_L, 3, FALSE))</f>
        <v>-0.78264431740350016</v>
      </c>
      <c r="S36" s="1">
        <f>(Main_L[[#This Row],[A/E]]-VLOOKUP(Main_L[[#This Row],[Industry]], Mean_AE_L, 2, FALSE))/(VLOOKUP(Main_L[[#This Row],[Industry]], Mean_AE_L, 3, FALSE))</f>
        <v>-0.1841694549041466</v>
      </c>
      <c r="T36" s="1">
        <f>(Main_L[[#This Row],[P/E]]-VLOOKUP(Main_L[[#This Row],[Industry]], Mean_PE_L, 2, FALSE))/(VLOOKUP(Main_L[[#This Row],[Industry]], Mean_PE_L, 3, FALSE))</f>
        <v>102.71605932444071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7" spans="1:26" x14ac:dyDescent="0.25">
      <c r="A37" t="s">
        <v>105</v>
      </c>
      <c r="B37" t="s">
        <v>120</v>
      </c>
      <c r="C37" s="2">
        <v>122361</v>
      </c>
      <c r="D37">
        <f>RTD("tos.rtd", , "LAST", Main_L[[#This Row],[Symbol]])</f>
        <v>107.68</v>
      </c>
      <c r="E37">
        <v>1.24</v>
      </c>
      <c r="F37">
        <v>8.93</v>
      </c>
      <c r="G37">
        <v>1.55</v>
      </c>
      <c r="H37" s="1">
        <f>IF(ISNUMBER(Main_L[[#This Row],[Free CF]]),IF(Main_L[[#This Row],[Free CF]]&lt;&gt;0,Main_L[[#This Row],[Current Price]]/Main_L[[#This Row],[Free CF]],""),"")</f>
        <v>86.838709677419359</v>
      </c>
      <c r="I37" s="1">
        <f>IF(ISNUMBER(Main_L[[#This Row],[BVPS]]),IF(Main_L[[#This Row],[BVPS]]&lt;&gt;0,Main_L[[#This Row],[Current Price]]/Main_L[[#This Row],[BVPS]],""),"")</f>
        <v>12.058230683090706</v>
      </c>
      <c r="J37">
        <v>19.579999999999998</v>
      </c>
      <c r="K37">
        <v>6.18</v>
      </c>
      <c r="L37">
        <v>1.2</v>
      </c>
      <c r="M37" s="1">
        <f>IF(ISNUMBER(Main_L[[#This Row],[EPS]]),IF(Main_L[[#This Row],[EPS]]&lt;&gt;0,Main_L[[#This Row],[Current Price]]/Main_L[[#This Row],[EPS]],""),"")</f>
        <v>69.470967741935482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15.196186322787693</v>
      </c>
      <c r="P37" s="1">
        <f>(Main_L[[#This Row],[P/B]]-VLOOKUP(Main_L[[#This Row],[Industry]], Mean_PB_L, 2, FALSE))/(VLOOKUP(Main_L[[#This Row],[Industry]], Mean_PB_L, 3, FALSE))</f>
        <v>0.65032723961499128</v>
      </c>
      <c r="Q37" s="1">
        <f>(Main_L[[#This Row],[ROE]]-VLOOKUP(Main_L[[#This Row],[Industry]], Mean_ROE_L, 2, FALSE))/(VLOOKUP(Main_L[[#This Row],[Industry]], Mean_ROE_L, 3, FALSE))</f>
        <v>0.69093210420682682</v>
      </c>
      <c r="R37" s="1">
        <f>(Main_L[[#This Row],[ROA]]-VLOOKUP(Main_L[[#This Row],[Industry]], Mean_ROA_L, 2, FALSE))/(VLOOKUP(Main_L[[#This Row],[Industry]], Mean_ROA_L, 3, FALSE))</f>
        <v>0.27047197940683781</v>
      </c>
      <c r="S37" s="1">
        <f>(Main_L[[#This Row],[A/E]]-VLOOKUP(Main_L[[#This Row],[Industry]], Mean_AE_L, 2, FALSE))/(VLOOKUP(Main_L[[#This Row],[Industry]], Mean_AE_L, 3, FALSE))</f>
        <v>-0.4895030248768108</v>
      </c>
      <c r="T37" s="1">
        <f>(Main_L[[#This Row],[P/E]]-VLOOKUP(Main_L[[#This Row],[Industry]], Mean_PE_L, 2, FALSE))/(VLOOKUP(Main_L[[#This Row],[Industry]], Mean_PE_L, 3, FALSE))</f>
        <v>5.4701628123334665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8" spans="1:26" x14ac:dyDescent="0.25">
      <c r="A38" t="s">
        <v>105</v>
      </c>
      <c r="B38" t="s">
        <v>121</v>
      </c>
      <c r="C38" s="2">
        <v>56984</v>
      </c>
      <c r="D38">
        <f>RTD("tos.rtd", , "LAST", Main_L[[#This Row],[Symbol]])</f>
        <v>181.02</v>
      </c>
      <c r="E38">
        <v>2.66</v>
      </c>
      <c r="F38">
        <v>8.99</v>
      </c>
      <c r="G38">
        <v>-3.86</v>
      </c>
      <c r="H38" s="1">
        <f>IF(ISNUMBER(Main_L[[#This Row],[Free CF]]),IF(Main_L[[#This Row],[Free CF]]&lt;&gt;0,Main_L[[#This Row],[Current Price]]/Main_L[[#This Row],[Free CF]],""),"")</f>
        <v>68.05263157894737</v>
      </c>
      <c r="I38" s="1">
        <f>IF(ISNUMBER(Main_L[[#This Row],[BVPS]]),IF(Main_L[[#This Row],[BVPS]]&lt;&gt;0,Main_L[[#This Row],[Current Price]]/Main_L[[#This Row],[BVPS]],""),"")</f>
        <v>20.135706340378199</v>
      </c>
      <c r="J38">
        <v>-31.46</v>
      </c>
      <c r="K38">
        <v>-10.41</v>
      </c>
      <c r="L38">
        <v>3.01</v>
      </c>
      <c r="M38" s="1">
        <f>IF(ISNUMBER(Main_L[[#This Row],[EPS]]),IF(Main_L[[#This Row],[EPS]]&lt;&gt;0,Main_L[[#This Row],[Current Price]]/Main_L[[#This Row],[EPS]],""),"")</f>
        <v>-46.896373056994825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10.819981218300237</v>
      </c>
      <c r="P38" s="1">
        <f>(Main_L[[#This Row],[P/B]]-VLOOKUP(Main_L[[#This Row],[Industry]], Mean_PB_L, 2, FALSE))/(VLOOKUP(Main_L[[#This Row],[Industry]], Mean_PB_L, 3, FALSE))</f>
        <v>1.8244964593184079</v>
      </c>
      <c r="Q38" s="1">
        <f>(Main_L[[#This Row],[ROE]]-VLOOKUP(Main_L[[#This Row],[Industry]], Mean_ROE_L, 2, FALSE))/(VLOOKUP(Main_L[[#This Row],[Industry]], Mean_ROE_L, 3, FALSE))</f>
        <v>-1.8209517410885181</v>
      </c>
      <c r="R38" s="1">
        <f>(Main_L[[#This Row],[ROA]]-VLOOKUP(Main_L[[#This Row],[Industry]], Mean_ROA_L, 2, FALSE))/(VLOOKUP(Main_L[[#This Row],[Industry]], Mean_ROA_L, 3, FALSE))</f>
        <v>-2.3726746717404401</v>
      </c>
      <c r="S38" s="1">
        <f>(Main_L[[#This Row],[A/E]]-VLOOKUP(Main_L[[#This Row],[Industry]], Mean_AE_L, 2, FALSE))/(VLOOKUP(Main_L[[#This Row],[Industry]], Mean_AE_L, 3, FALSE))</f>
        <v>1.5573627590140118</v>
      </c>
      <c r="T38" s="1">
        <f>(Main_L[[#This Row],[P/E]]-VLOOKUP(Main_L[[#This Row],[Industry]], Mean_PE_L, 2, FALSE))/(VLOOKUP(Main_L[[#This Row],[Industry]], Mean_PE_L, 3, FALSE))</f>
        <v>-9.4682037701196116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9" spans="1:26" x14ac:dyDescent="0.25">
      <c r="A39" t="s">
        <v>105</v>
      </c>
      <c r="B39" t="s">
        <v>122</v>
      </c>
      <c r="C39" s="2">
        <v>15811</v>
      </c>
      <c r="D39">
        <f>RTD("tos.rtd", , "LAST", Main_L[[#This Row],[Symbol]])</f>
        <v>114.54</v>
      </c>
      <c r="E39">
        <v>4.1399999999999997</v>
      </c>
      <c r="F39">
        <v>52.23</v>
      </c>
      <c r="G39">
        <v>-0.21</v>
      </c>
      <c r="H39" s="1">
        <f>IF(ISNUMBER(Main_L[[#This Row],[Free CF]]),IF(Main_L[[#This Row],[Free CF]]&lt;&gt;0,Main_L[[#This Row],[Current Price]]/Main_L[[#This Row],[Free CF]],""),"")</f>
        <v>27.666666666666671</v>
      </c>
      <c r="I39" s="1">
        <f>IF(ISNUMBER(Main_L[[#This Row],[BVPS]]),IF(Main_L[[#This Row],[BVPS]]&lt;&gt;0,Main_L[[#This Row],[Current Price]]/Main_L[[#This Row],[BVPS]],""),"")</f>
        <v>2.1929925330269961</v>
      </c>
      <c r="J39">
        <v>-0.39</v>
      </c>
      <c r="K39">
        <v>0.15</v>
      </c>
      <c r="L39">
        <v>1.23</v>
      </c>
      <c r="M39" s="1">
        <f>IF(ISNUMBER(Main_L[[#This Row],[EPS]]),IF(Main_L[[#This Row],[EPS]]&lt;&gt;0,Main_L[[#This Row],[Current Price]]/Main_L[[#This Row],[EPS]],""),"")</f>
        <v>-545.42857142857144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1.4120960347956837</v>
      </c>
      <c r="P39" s="1">
        <f>(Main_L[[#This Row],[P/B]]-VLOOKUP(Main_L[[#This Row],[Industry]], Mean_PB_L, 2, FALSE))/(VLOOKUP(Main_L[[#This Row],[Industry]], Mean_PB_L, 3, FALSE))</f>
        <v>-0.78371719113461968</v>
      </c>
      <c r="Q39" s="1">
        <f>(Main_L[[#This Row],[ROE]]-VLOOKUP(Main_L[[#This Row],[Industry]], Mean_ROE_L, 2, FALSE))/(VLOOKUP(Main_L[[#This Row],[Industry]], Mean_ROE_L, 3, FALSE))</f>
        <v>-0.29187197868008607</v>
      </c>
      <c r="R39" s="1">
        <f>(Main_L[[#This Row],[ROA]]-VLOOKUP(Main_L[[#This Row],[Industry]], Mean_ROA_L, 2, FALSE))/(VLOOKUP(Main_L[[#This Row],[Industry]], Mean_ROA_L, 3, FALSE))</f>
        <v>-0.69023774370455981</v>
      </c>
      <c r="S39" s="1">
        <f>(Main_L[[#This Row],[A/E]]-VLOOKUP(Main_L[[#This Row],[Industry]], Mean_AE_L, 2, FALSE))/(VLOOKUP(Main_L[[#This Row],[Industry]], Mean_AE_L, 3, FALSE))</f>
        <v>-0.45557707265762587</v>
      </c>
      <c r="T39" s="1">
        <f>(Main_L[[#This Row],[P/E]]-VLOOKUP(Main_L[[#This Row],[Industry]], Mean_PE_L, 2, FALSE))/(VLOOKUP(Main_L[[#This Row],[Industry]], Mean_PE_L, 3, FALSE))</f>
        <v>-73.466028944270946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0" spans="1:26" x14ac:dyDescent="0.25">
      <c r="A40" t="s">
        <v>105</v>
      </c>
      <c r="B40" t="s">
        <v>123</v>
      </c>
      <c r="C40" s="2">
        <v>26985</v>
      </c>
      <c r="D40">
        <f>RTD("tos.rtd", , "LAST", Main_L[[#This Row],[Symbol]])</f>
        <v>275.95</v>
      </c>
      <c r="E40">
        <v>9.39</v>
      </c>
      <c r="F40">
        <v>-21.01</v>
      </c>
      <c r="G40">
        <v>8.18</v>
      </c>
      <c r="H40" s="1">
        <f>IF(ISNUMBER(Main_L[[#This Row],[Free CF]]),IF(Main_L[[#This Row],[Free CF]]&lt;&gt;0,Main_L[[#This Row],[Current Price]]/Main_L[[#This Row],[Free CF]],""),"")</f>
        <v>29.387646432374865</v>
      </c>
      <c r="I40" s="1">
        <f>IF(ISNUMBER(Main_L[[#This Row],[BVPS]]),IF(Main_L[[#This Row],[BVPS]]&lt;&gt;0,Main_L[[#This Row],[Current Price]]/Main_L[[#This Row],[BVPS]],""),"")</f>
        <v>-13.134221799143264</v>
      </c>
      <c r="J40">
        <v>-43.78</v>
      </c>
      <c r="K40">
        <v>42.14</v>
      </c>
      <c r="L40">
        <v>-0.73</v>
      </c>
      <c r="M40" s="1">
        <f>IF(ISNUMBER(Main_L[[#This Row],[EPS]]),IF(Main_L[[#This Row],[EPS]]&lt;&gt;0,Main_L[[#This Row],[Current Price]]/Main_L[[#This Row],[EPS]],""),"")</f>
        <v>33.734718826405867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1.8129971912762586</v>
      </c>
      <c r="P40" s="1">
        <f>(Main_L[[#This Row],[P/B]]-VLOOKUP(Main_L[[#This Row],[Industry]], Mean_PB_L, 2, FALSE))/(VLOOKUP(Main_L[[#This Row],[Industry]], Mean_PB_L, 3, FALSE))</f>
        <v>-3.0117329792595555</v>
      </c>
      <c r="Q40" s="1">
        <f>(Main_L[[#This Row],[ROE]]-VLOOKUP(Main_L[[#This Row],[Industry]], Mean_ROE_L, 2, FALSE))/(VLOOKUP(Main_L[[#This Row],[Industry]], Mean_ROE_L, 3, FALSE))</f>
        <v>-2.427268531332222</v>
      </c>
      <c r="R40" s="1">
        <f>(Main_L[[#This Row],[ROA]]-VLOOKUP(Main_L[[#This Row],[Industry]], Mean_ROA_L, 2, FALSE))/(VLOOKUP(Main_L[[#This Row],[Industry]], Mean_ROA_L, 3, FALSE))</f>
        <v>5.9996795487411427</v>
      </c>
      <c r="S40" s="1">
        <f>(Main_L[[#This Row],[A/E]]-VLOOKUP(Main_L[[#This Row],[Industry]], Mean_AE_L, 2, FALSE))/(VLOOKUP(Main_L[[#This Row],[Industry]], Mean_AE_L, 3, FALSE))</f>
        <v>-2.6720726176443734</v>
      </c>
      <c r="T40" s="1">
        <f>(Main_L[[#This Row],[P/E]]-VLOOKUP(Main_L[[#This Row],[Industry]], Mean_PE_L, 2, FALSE))/(VLOOKUP(Main_L[[#This Row],[Industry]], Mean_PE_L, 3, FALSE))</f>
        <v>0.88261115980932525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202</v>
      </c>
      <c r="B41" t="s">
        <v>203</v>
      </c>
      <c r="C41" s="2">
        <v>126586</v>
      </c>
      <c r="D41">
        <f>RTD("tos.rtd", , "LAST", Main_L[[#This Row],[Symbol]])</f>
        <v>173.03</v>
      </c>
      <c r="E41">
        <v>7.21</v>
      </c>
      <c r="F41">
        <v>22.92</v>
      </c>
      <c r="G41">
        <v>7.66</v>
      </c>
      <c r="H41" s="1">
        <f>IF(ISNUMBER(Main_L[[#This Row],[Free CF]]),IF(Main_L[[#This Row],[Free CF]]&lt;&gt;0,Main_L[[#This Row],[Current Price]]/Main_L[[#This Row],[Free CF]],""),"")</f>
        <v>23.998613037447988</v>
      </c>
      <c r="I41" s="1">
        <f>IF(ISNUMBER(Main_L[[#This Row],[BVPS]]),IF(Main_L[[#This Row],[BVPS]]&lt;&gt;0,Main_L[[#This Row],[Current Price]]/Main_L[[#This Row],[BVPS]],""),"")</f>
        <v>7.5493019197207678</v>
      </c>
      <c r="J41">
        <v>35.19</v>
      </c>
      <c r="K41">
        <v>15.56</v>
      </c>
      <c r="L41">
        <v>1.79</v>
      </c>
      <c r="M41" s="1">
        <f>IF(ISNUMBER(Main_L[[#This Row],[EPS]]),IF(Main_L[[#This Row],[EPS]]&lt;&gt;0,Main_L[[#This Row],[Current Price]]/Main_L[[#This Row],[EPS]],""),"")</f>
        <v>22.588772845953002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-0.40499266980534776</v>
      </c>
      <c r="P41" s="1">
        <f>(Main_L[[#This Row],[P/B]]-VLOOKUP(Main_L[[#This Row],[Industry]], Mean_PB_L, 2, FALSE))/(VLOOKUP(Main_L[[#This Row],[Industry]], Mean_PB_L, 3, FALSE))</f>
        <v>0.14213930272469205</v>
      </c>
      <c r="Q41" s="1">
        <f>(Main_L[[#This Row],[ROE]]-VLOOKUP(Main_L[[#This Row],[Industry]], Mean_ROE_L, 2, FALSE))/(VLOOKUP(Main_L[[#This Row],[Industry]], Mean_ROE_L, 3, FALSE))</f>
        <v>0.8866897435042147</v>
      </c>
      <c r="R41" s="1">
        <f>(Main_L[[#This Row],[ROA]]-VLOOKUP(Main_L[[#This Row],[Industry]], Mean_ROA_L, 2, FALSE))/(VLOOKUP(Main_L[[#This Row],[Industry]], Mean_ROA_L, 3, FALSE))</f>
        <v>1.4532951713435507</v>
      </c>
      <c r="S41" s="1">
        <f>(Main_L[[#This Row],[A/E]]-VLOOKUP(Main_L[[#This Row],[Industry]], Mean_AE_L, 2, FALSE))/(VLOOKUP(Main_L[[#This Row],[Industry]], Mean_AE_L, 3, FALSE))</f>
        <v>8.7796113935725853E-2</v>
      </c>
      <c r="T41" s="1">
        <f>(Main_L[[#This Row],[P/E]]-VLOOKUP(Main_L[[#This Row],[Industry]], Mean_PE_L, 2, FALSE))/(VLOOKUP(Main_L[[#This Row],[Industry]], Mean_PE_L, 3, FALSE))</f>
        <v>-0.44702910639914983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202</v>
      </c>
      <c r="B42" t="s">
        <v>204</v>
      </c>
      <c r="C42" s="2">
        <v>275394</v>
      </c>
      <c r="D42">
        <f>RTD("tos.rtd", , "LAST", Main_L[[#This Row],[Symbol]])</f>
        <v>763.9</v>
      </c>
      <c r="E42">
        <v>25.57</v>
      </c>
      <c r="F42">
        <v>48.29</v>
      </c>
      <c r="G42">
        <v>23.95</v>
      </c>
      <c r="H42" s="1">
        <f>IF(ISNUMBER(Main_L[[#This Row],[Free CF]]),IF(Main_L[[#This Row],[Free CF]]&lt;&gt;0,Main_L[[#This Row],[Current Price]]/Main_L[[#This Row],[Free CF]],""),"")</f>
        <v>29.874853343762219</v>
      </c>
      <c r="I42" s="1">
        <f>IF(ISNUMBER(Main_L[[#This Row],[BVPS]]),IF(Main_L[[#This Row],[BVPS]]&lt;&gt;0,Main_L[[#This Row],[Current Price]]/Main_L[[#This Row],[BVPS]],""),"")</f>
        <v>15.81901014702837</v>
      </c>
      <c r="J42">
        <v>55.62</v>
      </c>
      <c r="K42">
        <v>15.34</v>
      </c>
      <c r="L42">
        <v>2.6</v>
      </c>
      <c r="M42" s="1">
        <f>IF(ISNUMBER(Main_L[[#This Row],[EPS]]),IF(Main_L[[#This Row],[EPS]]&lt;&gt;0,Main_L[[#This Row],[Current Price]]/Main_L[[#This Row],[EPS]],""),"")</f>
        <v>31.895615866388308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-0.2215949928859193</v>
      </c>
      <c r="P42" s="1">
        <f>(Main_L[[#This Row],[P/B]]-VLOOKUP(Main_L[[#This Row],[Industry]], Mean_PB_L, 2, FALSE))/(VLOOKUP(Main_L[[#This Row],[Industry]], Mean_PB_L, 3, FALSE))</f>
        <v>1.7366168715485593</v>
      </c>
      <c r="Q42" s="1">
        <f>(Main_L[[#This Row],[ROE]]-VLOOKUP(Main_L[[#This Row],[Industry]], Mean_ROE_L, 2, FALSE))/(VLOOKUP(Main_L[[#This Row],[Industry]], Mean_ROE_L, 3, FALSE))</f>
        <v>1.8815397909337586</v>
      </c>
      <c r="R42" s="1">
        <f>(Main_L[[#This Row],[ROA]]-VLOOKUP(Main_L[[#This Row],[Industry]], Mean_ROA_L, 2, FALSE))/(VLOOKUP(Main_L[[#This Row],[Industry]], Mean_ROA_L, 3, FALSE))</f>
        <v>1.4134674194266994</v>
      </c>
      <c r="S42" s="1">
        <f>(Main_L[[#This Row],[A/E]]-VLOOKUP(Main_L[[#This Row],[Industry]], Mean_AE_L, 2, FALSE))/(VLOOKUP(Main_L[[#This Row],[Industry]], Mean_AE_L, 3, FALSE))</f>
        <v>1.7720952470710831</v>
      </c>
      <c r="T42" s="1">
        <f>(Main_L[[#This Row],[P/E]]-VLOOKUP(Main_L[[#This Row],[Industry]], Mean_PE_L, 2, FALSE))/(VLOOKUP(Main_L[[#This Row],[Industry]], Mean_PE_L, 3, FALSE))</f>
        <v>9.7194039642143348E-2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202</v>
      </c>
      <c r="B43" t="s">
        <v>205</v>
      </c>
      <c r="C43" s="2">
        <v>11862</v>
      </c>
      <c r="D43">
        <f>RTD("tos.rtd", , "LAST", Main_L[[#This Row],[Symbol]])</f>
        <v>83.14</v>
      </c>
      <c r="E43">
        <v>2.09</v>
      </c>
      <c r="F43">
        <v>24.43</v>
      </c>
      <c r="G43">
        <v>1.93</v>
      </c>
      <c r="H43" s="1">
        <f>IF(ISNUMBER(Main_L[[#This Row],[Free CF]]),IF(Main_L[[#This Row],[Free CF]]&lt;&gt;0,Main_L[[#This Row],[Current Price]]/Main_L[[#This Row],[Free CF]],""),"")</f>
        <v>39.779904306220097</v>
      </c>
      <c r="I43" s="1">
        <f>IF(ISNUMBER(Main_L[[#This Row],[BVPS]]),IF(Main_L[[#This Row],[BVPS]]&lt;&gt;0,Main_L[[#This Row],[Current Price]]/Main_L[[#This Row],[BVPS]],""),"")</f>
        <v>3.4031927957429389</v>
      </c>
      <c r="J43">
        <v>8.25</v>
      </c>
      <c r="K43">
        <v>4</v>
      </c>
      <c r="L43">
        <v>2.27</v>
      </c>
      <c r="M43" s="1">
        <f>IF(ISNUMBER(Main_L[[#This Row],[EPS]]),IF(Main_L[[#This Row],[EPS]]&lt;&gt;0,Main_L[[#This Row],[Current Price]]/Main_L[[#This Row],[EPS]],""),"")</f>
        <v>43.07772020725389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8.754201336131695E-2</v>
      </c>
      <c r="P43" s="1">
        <f>(Main_L[[#This Row],[P/B]]-VLOOKUP(Main_L[[#This Row],[Industry]], Mean_PB_L, 2, FALSE))/(VLOOKUP(Main_L[[#This Row],[Industry]], Mean_PB_L, 3, FALSE))</f>
        <v>-0.65726955359368244</v>
      </c>
      <c r="Q43" s="1">
        <f>(Main_L[[#This Row],[ROE]]-VLOOKUP(Main_L[[#This Row],[Industry]], Mean_ROE_L, 2, FALSE))/(VLOOKUP(Main_L[[#This Row],[Industry]], Mean_ROE_L, 3, FALSE))</f>
        <v>-0.42516832197556553</v>
      </c>
      <c r="R43" s="1">
        <f>(Main_L[[#This Row],[ROA]]-VLOOKUP(Main_L[[#This Row],[Industry]], Mean_ROA_L, 2, FALSE))/(VLOOKUP(Main_L[[#This Row],[Industry]], Mean_ROA_L, 3, FALSE))</f>
        <v>-0.63947215665097579</v>
      </c>
      <c r="S43" s="1">
        <f>(Main_L[[#This Row],[A/E]]-VLOOKUP(Main_L[[#This Row],[Industry]], Mean_AE_L, 2, FALSE))/(VLOOKUP(Main_L[[#This Row],[Industry]], Mean_AE_L, 3, FALSE))</f>
        <v>1.0858993039418634</v>
      </c>
      <c r="T43" s="1">
        <f>(Main_L[[#This Row],[P/E]]-VLOOKUP(Main_L[[#This Row],[Industry]], Mean_PE_L, 2, FALSE))/(VLOOKUP(Main_L[[#This Row],[Industry]], Mean_PE_L, 3, FALSE))</f>
        <v>0.7510741996905751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202</v>
      </c>
      <c r="B44" t="s">
        <v>206</v>
      </c>
      <c r="C44" s="2">
        <v>91822</v>
      </c>
      <c r="D44">
        <f>RTD("tos.rtd", , "LAST", Main_L[[#This Row],[Symbol]])</f>
        <v>795.9</v>
      </c>
      <c r="E44">
        <v>26.27</v>
      </c>
      <c r="F44">
        <v>30.28</v>
      </c>
      <c r="G44">
        <v>27.49</v>
      </c>
      <c r="H44" s="1">
        <f>IF(ISNUMBER(Main_L[[#This Row],[Free CF]]),IF(Main_L[[#This Row],[Free CF]]&lt;&gt;0,Main_L[[#This Row],[Current Price]]/Main_L[[#This Row],[Free CF]],""),"")</f>
        <v>30.296916634944804</v>
      </c>
      <c r="I44" s="1">
        <f>IF(ISNUMBER(Main_L[[#This Row],[BVPS]]),IF(Main_L[[#This Row],[BVPS]]&lt;&gt;0,Main_L[[#This Row],[Current Price]]/Main_L[[#This Row],[BVPS]],""),"")</f>
        <v>26.28467635402906</v>
      </c>
      <c r="J44">
        <v>104.1</v>
      </c>
      <c r="K44">
        <v>19.23</v>
      </c>
      <c r="L44">
        <v>3.79</v>
      </c>
      <c r="M44" s="1">
        <f>IF(ISNUMBER(Main_L[[#This Row],[EPS]]),IF(Main_L[[#This Row],[EPS]]&lt;&gt;0,Main_L[[#This Row],[Current Price]]/Main_L[[#This Row],[EPS]],""),"")</f>
        <v>28.952346307748272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-0.20842238198491861</v>
      </c>
      <c r="P44" s="1">
        <f>(Main_L[[#This Row],[P/B]]-VLOOKUP(Main_L[[#This Row],[Industry]], Mean_PB_L, 2, FALSE))/(VLOOKUP(Main_L[[#This Row],[Industry]], Mean_PB_L, 3, FALSE))</f>
        <v>3.7544958040551655</v>
      </c>
      <c r="Q44" s="1">
        <f>(Main_L[[#This Row],[ROE]]-VLOOKUP(Main_L[[#This Row],[Industry]], Mean_ROE_L, 2, FALSE))/(VLOOKUP(Main_L[[#This Row],[Industry]], Mean_ROE_L, 3, FALSE))</f>
        <v>4.2422999622203115</v>
      </c>
      <c r="R44" s="1">
        <f>(Main_L[[#This Row],[ROA]]-VLOOKUP(Main_L[[#This Row],[Industry]], Mean_ROA_L, 2, FALSE))/(VLOOKUP(Main_L[[#This Row],[Industry]], Mean_ROA_L, 3, FALSE))</f>
        <v>2.1176944874110166</v>
      </c>
      <c r="S44" s="1">
        <f>(Main_L[[#This Row],[A/E]]-VLOOKUP(Main_L[[#This Row],[Industry]], Mean_AE_L, 2, FALSE))/(VLOOKUP(Main_L[[#This Row],[Industry]], Mean_AE_L, 3, FALSE))</f>
        <v>4.2465594056279654</v>
      </c>
      <c r="T44" s="1">
        <f>(Main_L[[#This Row],[P/E]]-VLOOKUP(Main_L[[#This Row],[Industry]], Mean_PE_L, 2, FALSE))/(VLOOKUP(Main_L[[#This Row],[Industry]], Mean_PE_L, 3, FALSE))</f>
        <v>-7.4915387296028951E-2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202</v>
      </c>
      <c r="B45" t="s">
        <v>207</v>
      </c>
      <c r="C45" s="2">
        <v>96011</v>
      </c>
      <c r="D45">
        <f>RTD("tos.rtd", , "LAST", Main_L[[#This Row],[Symbol]])</f>
        <v>85.25</v>
      </c>
      <c r="E45">
        <v>2.93</v>
      </c>
      <c r="F45">
        <v>7.41</v>
      </c>
      <c r="G45">
        <v>3.59</v>
      </c>
      <c r="H45" s="1">
        <f>IF(ISNUMBER(Main_L[[#This Row],[Free CF]]),IF(Main_L[[#This Row],[Free CF]]&lt;&gt;0,Main_L[[#This Row],[Current Price]]/Main_L[[#This Row],[Free CF]],""),"")</f>
        <v>29.095563139931738</v>
      </c>
      <c r="I45" s="1">
        <f>IF(ISNUMBER(Main_L[[#This Row],[BVPS]]),IF(Main_L[[#This Row],[BVPS]]&lt;&gt;0,Main_L[[#This Row],[Current Price]]/Main_L[[#This Row],[BVPS]],""),"")</f>
        <v>11.504723346828611</v>
      </c>
      <c r="J45">
        <v>53.14</v>
      </c>
      <c r="K45">
        <v>17.29</v>
      </c>
      <c r="L45">
        <v>2.1</v>
      </c>
      <c r="M45" s="1">
        <f>IF(ISNUMBER(Main_L[[#This Row],[EPS]]),IF(Main_L[[#This Row],[EPS]]&lt;&gt;0,Main_L[[#This Row],[Current Price]]/Main_L[[#This Row],[EPS]],""),"")</f>
        <v>23.746518105849582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-0.24591666891999936</v>
      </c>
      <c r="P45" s="1">
        <f>(Main_L[[#This Row],[P/B]]-VLOOKUP(Main_L[[#This Row],[Industry]], Mean_PB_L, 2, FALSE))/(VLOOKUP(Main_L[[#This Row],[Industry]], Mean_PB_L, 3, FALSE))</f>
        <v>0.90478177660820913</v>
      </c>
      <c r="Q45" s="1">
        <f>(Main_L[[#This Row],[ROE]]-VLOOKUP(Main_L[[#This Row],[Industry]], Mean_ROE_L, 2, FALSE))/(VLOOKUP(Main_L[[#This Row],[Industry]], Mean_ROE_L, 3, FALSE))</f>
        <v>1.7607748316765257</v>
      </c>
      <c r="R45" s="1">
        <f>(Main_L[[#This Row],[ROA]]-VLOOKUP(Main_L[[#This Row],[Industry]], Mean_ROA_L, 2, FALSE))/(VLOOKUP(Main_L[[#This Row],[Industry]], Mean_ROA_L, 3, FALSE))</f>
        <v>1.7664861295987861</v>
      </c>
      <c r="S45" s="1">
        <f>(Main_L[[#This Row],[A/E]]-VLOOKUP(Main_L[[#This Row],[Industry]], Mean_AE_L, 2, FALSE))/(VLOOKUP(Main_L[[#This Row],[Industry]], Mean_AE_L, 3, FALSE))</f>
        <v>0.73240442414802309</v>
      </c>
      <c r="T45" s="1">
        <f>(Main_L[[#This Row],[P/E]]-VLOOKUP(Main_L[[#This Row],[Industry]], Mean_PE_L, 2, FALSE))/(VLOOKUP(Main_L[[#This Row],[Industry]], Mean_PE_L, 3, FALSE))</f>
        <v>-0.37932926808965606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202</v>
      </c>
      <c r="B46" t="s">
        <v>208</v>
      </c>
      <c r="C46" s="2">
        <v>12046</v>
      </c>
      <c r="D46">
        <f>RTD("tos.rtd", , "LAST", Main_L[[#This Row],[Symbol]])</f>
        <v>84.9</v>
      </c>
      <c r="E46">
        <v>3.77</v>
      </c>
      <c r="F46">
        <v>17.41</v>
      </c>
      <c r="G46">
        <v>3.53</v>
      </c>
      <c r="H46" s="1">
        <f>IF(ISNUMBER(Main_L[[#This Row],[Free CF]]),IF(Main_L[[#This Row],[Free CF]]&lt;&gt;0,Main_L[[#This Row],[Current Price]]/Main_L[[#This Row],[Free CF]],""),"")</f>
        <v>22.519893899204245</v>
      </c>
      <c r="I46" s="1">
        <f>IF(ISNUMBER(Main_L[[#This Row],[BVPS]]),IF(Main_L[[#This Row],[BVPS]]&lt;&gt;0,Main_L[[#This Row],[Current Price]]/Main_L[[#This Row],[BVPS]],""),"")</f>
        <v>4.8765077541642734</v>
      </c>
      <c r="J46">
        <v>21.55</v>
      </c>
      <c r="K46">
        <v>10.56</v>
      </c>
      <c r="L46">
        <v>1.32</v>
      </c>
      <c r="M46" s="1">
        <f>IF(ISNUMBER(Main_L[[#This Row],[EPS]]),IF(Main_L[[#This Row],[EPS]]&lt;&gt;0,Main_L[[#This Row],[Current Price]]/Main_L[[#This Row],[EPS]],""),"")</f>
        <v>24.050991501416433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6" s="1">
        <f>(Main_L[[#This Row],[P/FCF]]-VLOOKUP(Main_L[[#This Row],[Industry]], Mean_PFCF_L, 2, FALSE))/(VLOOKUP(Main_L[[#This Row],[Industry]], Mean_PFCF_L, 3, FALSE))</f>
        <v>-0.45114354870640194</v>
      </c>
      <c r="P46" s="1">
        <f>(Main_L[[#This Row],[P/B]]-VLOOKUP(Main_L[[#This Row],[Industry]], Mean_PB_L, 2, FALSE))/(VLOOKUP(Main_L[[#This Row],[Industry]], Mean_PB_L, 3, FALSE))</f>
        <v>-0.37320056488882786</v>
      </c>
      <c r="Q46" s="1">
        <f>(Main_L[[#This Row],[ROE]]-VLOOKUP(Main_L[[#This Row],[Industry]], Mean_ROE_L, 2, FALSE))/(VLOOKUP(Main_L[[#This Row],[Industry]], Mean_ROE_L, 3, FALSE))</f>
        <v>0.22248246758943369</v>
      </c>
      <c r="R46" s="1">
        <f>(Main_L[[#This Row],[ROA]]-VLOOKUP(Main_L[[#This Row],[Industry]], Mean_ROA_L, 2, FALSE))/(VLOOKUP(Main_L[[#This Row],[Industry]], Mean_ROA_L, 3, FALSE))</f>
        <v>0.54811899141512221</v>
      </c>
      <c r="S46" s="1">
        <f>(Main_L[[#This Row],[A/E]]-VLOOKUP(Main_L[[#This Row],[Industry]], Mean_AE_L, 2, FALSE))/(VLOOKUP(Main_L[[#This Row],[Industry]], Mean_AE_L, 3, FALSE))</f>
        <v>-0.88951325961195049</v>
      </c>
      <c r="T46" s="1">
        <f>(Main_L[[#This Row],[P/E]]-VLOOKUP(Main_L[[#This Row],[Industry]], Mean_PE_L, 2, FALSE))/(VLOOKUP(Main_L[[#This Row],[Industry]], Mean_PE_L, 3, FALSE))</f>
        <v>-0.36152500633758483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202</v>
      </c>
      <c r="B47" t="s">
        <v>209</v>
      </c>
      <c r="C47" s="2">
        <v>99126</v>
      </c>
      <c r="D47">
        <f>RTD("tos.rtd", , "LAST", Main_L[[#This Row],[Symbol]])</f>
        <v>226.68</v>
      </c>
      <c r="E47">
        <v>6.42</v>
      </c>
      <c r="F47">
        <v>70.709999999999994</v>
      </c>
      <c r="G47">
        <v>3.13</v>
      </c>
      <c r="H47" s="1">
        <f>IF(ISNUMBER(Main_L[[#This Row],[Free CF]]),IF(Main_L[[#This Row],[Free CF]]&lt;&gt;0,Main_L[[#This Row],[Current Price]]/Main_L[[#This Row],[Free CF]],""),"")</f>
        <v>35.308411214953274</v>
      </c>
      <c r="I47" s="1">
        <f>IF(ISNUMBER(Main_L[[#This Row],[BVPS]]),IF(Main_L[[#This Row],[BVPS]]&lt;&gt;0,Main_L[[#This Row],[Current Price]]/Main_L[[#This Row],[BVPS]],""),"")</f>
        <v>3.2057700466694956</v>
      </c>
      <c r="J47">
        <v>4.43</v>
      </c>
      <c r="K47">
        <v>2.62</v>
      </c>
      <c r="L47">
        <v>1.37</v>
      </c>
      <c r="M47" s="1">
        <f>IF(ISNUMBER(Main_L[[#This Row],[EPS]]),IF(Main_L[[#This Row],[EPS]]&lt;&gt;0,Main_L[[#This Row],[Current Price]]/Main_L[[#This Row],[EPS]],""),"")</f>
        <v>72.42172523961662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-5.2013451111166197E-2</v>
      </c>
      <c r="P47" s="1">
        <f>(Main_L[[#This Row],[P/B]]-VLOOKUP(Main_L[[#This Row],[Industry]], Mean_PB_L, 2, FALSE))/(VLOOKUP(Main_L[[#This Row],[Industry]], Mean_PB_L, 3, FALSE))</f>
        <v>-0.69533451747399022</v>
      </c>
      <c r="Q47" s="1">
        <f>(Main_L[[#This Row],[ROE]]-VLOOKUP(Main_L[[#This Row],[Industry]], Mean_ROE_L, 2, FALSE))/(VLOOKUP(Main_L[[#This Row],[Industry]], Mean_ROE_L, 3, FALSE))</f>
        <v>-0.61118531567017431</v>
      </c>
      <c r="R47" s="1">
        <f>(Main_L[[#This Row],[ROA]]-VLOOKUP(Main_L[[#This Row],[Industry]], Mean_ROA_L, 2, FALSE))/(VLOOKUP(Main_L[[#This Row],[Industry]], Mean_ROA_L, 3, FALSE))</f>
        <v>-0.889300782311222</v>
      </c>
      <c r="S47" s="1">
        <f>(Main_L[[#This Row],[A/E]]-VLOOKUP(Main_L[[#This Row],[Industry]], Mean_AE_L, 2, FALSE))/(VLOOKUP(Main_L[[#This Row],[Industry]], Mean_AE_L, 3, FALSE))</f>
        <v>-0.78554417731964432</v>
      </c>
      <c r="T47" s="1">
        <f>(Main_L[[#This Row],[P/E]]-VLOOKUP(Main_L[[#This Row],[Industry]], Mean_PE_L, 2, FALSE))/(VLOOKUP(Main_L[[#This Row],[Industry]], Mean_PE_L, 3, FALSE))</f>
        <v>2.4669822365080956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202</v>
      </c>
      <c r="B48" t="s">
        <v>210</v>
      </c>
      <c r="C48" s="2">
        <v>11724</v>
      </c>
      <c r="D48">
        <f>RTD("tos.rtd", , "LAST", Main_L[[#This Row],[Symbol]])</f>
        <v>87.76</v>
      </c>
      <c r="E48">
        <v>0.78</v>
      </c>
      <c r="F48">
        <v>5.95</v>
      </c>
      <c r="G48">
        <v>-0.64</v>
      </c>
      <c r="H48" s="1">
        <f>IF(ISNUMBER(Main_L[[#This Row],[Free CF]]),IF(Main_L[[#This Row],[Free CF]]&lt;&gt;0,Main_L[[#This Row],[Current Price]]/Main_L[[#This Row],[Free CF]],""),"")</f>
        <v>112.51282051282051</v>
      </c>
      <c r="I48" s="1">
        <f>IF(ISNUMBER(Main_L[[#This Row],[BVPS]]),IF(Main_L[[#This Row],[BVPS]]&lt;&gt;0,Main_L[[#This Row],[Current Price]]/Main_L[[#This Row],[BVPS]],""),"")</f>
        <v>14.749579831932774</v>
      </c>
      <c r="J48">
        <v>-14.87</v>
      </c>
      <c r="K48">
        <v>-11.6</v>
      </c>
      <c r="L48">
        <v>1.0900000000000001</v>
      </c>
      <c r="M48" s="1">
        <f>IF(ISNUMBER(Main_L[[#This Row],[EPS]]),IF(Main_L[[#This Row],[EPS]]&lt;&gt;0,Main_L[[#This Row],[Current Price]]/Main_L[[#This Row],[EPS]],""),"")</f>
        <v>-137.125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2.3575390135746472</v>
      </c>
      <c r="P48" s="1">
        <f>(Main_L[[#This Row],[P/B]]-VLOOKUP(Main_L[[#This Row],[Industry]], Mean_PB_L, 2, FALSE))/(VLOOKUP(Main_L[[#This Row],[Industry]], Mean_PB_L, 3, FALSE))</f>
        <v>1.5304206428582356</v>
      </c>
      <c r="Q48" s="1">
        <f>(Main_L[[#This Row],[ROE]]-VLOOKUP(Main_L[[#This Row],[Industry]], Mean_ROE_L, 2, FALSE))/(VLOOKUP(Main_L[[#This Row],[Industry]], Mean_ROE_L, 3, FALSE))</f>
        <v>-1.551009393760737</v>
      </c>
      <c r="R48" s="1">
        <f>(Main_L[[#This Row],[ROA]]-VLOOKUP(Main_L[[#This Row],[Industry]], Mean_ROA_L, 2, FALSE))/(VLOOKUP(Main_L[[#This Row],[Industry]], Mean_ROA_L, 3, FALSE))</f>
        <v>-3.463621838027672</v>
      </c>
      <c r="S48" s="1">
        <f>(Main_L[[#This Row],[A/E]]-VLOOKUP(Main_L[[#This Row],[Industry]], Mean_AE_L, 2, FALSE))/(VLOOKUP(Main_L[[#This Row],[Industry]], Mean_AE_L, 3, FALSE))</f>
        <v>-1.367771038156558</v>
      </c>
      <c r="T48" s="1">
        <f>(Main_L[[#This Row],[P/E]]-VLOOKUP(Main_L[[#This Row],[Industry]], Mean_PE_L, 2, FALSE))/(VLOOKUP(Main_L[[#This Row],[Industry]], Mean_PE_L, 3, FALSE))</f>
        <v>-9.7863863657293422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9" spans="1:26" x14ac:dyDescent="0.25">
      <c r="A49" t="s">
        <v>202</v>
      </c>
      <c r="B49" t="s">
        <v>211</v>
      </c>
      <c r="C49" s="2">
        <v>163048</v>
      </c>
      <c r="D49">
        <f>RTD("tos.rtd", , "LAST", Main_L[[#This Row],[Symbol]])</f>
        <v>112.46</v>
      </c>
      <c r="E49">
        <v>1.48</v>
      </c>
      <c r="F49">
        <v>35.49</v>
      </c>
      <c r="G49">
        <v>1</v>
      </c>
      <c r="H49" s="1">
        <f>IF(ISNUMBER(Main_L[[#This Row],[Free CF]]),IF(Main_L[[#This Row],[Free CF]]&lt;&gt;0,Main_L[[#This Row],[Current Price]]/Main_L[[#This Row],[Free CF]],""),"")</f>
        <v>75.986486486486484</v>
      </c>
      <c r="I49" s="1">
        <f>IF(ISNUMBER(Main_L[[#This Row],[BVPS]]),IF(Main_L[[#This Row],[BVPS]]&lt;&gt;0,Main_L[[#This Row],[Current Price]]/Main_L[[#This Row],[BVPS]],""),"")</f>
        <v>3.1687799380107067</v>
      </c>
      <c r="J49">
        <v>2.89</v>
      </c>
      <c r="K49">
        <v>1.9</v>
      </c>
      <c r="L49">
        <v>1.2</v>
      </c>
      <c r="M49" s="1">
        <f>IF(ISNUMBER(Main_L[[#This Row],[EPS]]),IF(Main_L[[#This Row],[EPS]]&lt;&gt;0,Main_L[[#This Row],[Current Price]]/Main_L[[#This Row],[EPS]],""),"")</f>
        <v>112.46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1.2175507800072445</v>
      </c>
      <c r="P49" s="1">
        <f>(Main_L[[#This Row],[P/B]]-VLOOKUP(Main_L[[#This Row],[Industry]], Mean_PB_L, 2, FALSE))/(VLOOKUP(Main_L[[#This Row],[Industry]], Mean_PB_L, 3, FALSE))</f>
        <v>-0.70246655852110218</v>
      </c>
      <c r="Q49" s="1">
        <f>(Main_L[[#This Row],[ROE]]-VLOOKUP(Main_L[[#This Row],[Industry]], Mean_ROE_L, 2, FALSE))/(VLOOKUP(Main_L[[#This Row],[Industry]], Mean_ROE_L, 3, FALSE))</f>
        <v>-0.68617645972506891</v>
      </c>
      <c r="R49" s="1">
        <f>(Main_L[[#This Row],[ROA]]-VLOOKUP(Main_L[[#This Row],[Industry]], Mean_ROA_L, 2, FALSE))/(VLOOKUP(Main_L[[#This Row],[Industry]], Mean_ROA_L, 3, FALSE))</f>
        <v>-1.0196461522209157</v>
      </c>
      <c r="S49" s="1">
        <f>(Main_L[[#This Row],[A/E]]-VLOOKUP(Main_L[[#This Row],[Industry]], Mean_AE_L, 2, FALSE))/(VLOOKUP(Main_L[[#This Row],[Industry]], Mean_AE_L, 3, FALSE))</f>
        <v>-1.139039057113485</v>
      </c>
      <c r="T49" s="1">
        <f>(Main_L[[#This Row],[P/E]]-VLOOKUP(Main_L[[#This Row],[Industry]], Mean_PE_L, 2, FALSE))/(VLOOKUP(Main_L[[#This Row],[Industry]], Mean_PE_L, 3, FALSE))</f>
        <v>4.8082440160736413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0" spans="1:26" x14ac:dyDescent="0.25">
      <c r="A50" t="s">
        <v>202</v>
      </c>
      <c r="B50" t="s">
        <v>212</v>
      </c>
      <c r="C50" s="2">
        <v>130896</v>
      </c>
      <c r="D50">
        <f>RTD("tos.rtd", , "LAST", Main_L[[#This Row],[Symbol]])</f>
        <v>126.68</v>
      </c>
      <c r="E50">
        <v>0.6</v>
      </c>
      <c r="F50">
        <v>6.09</v>
      </c>
      <c r="G50">
        <v>0.76</v>
      </c>
      <c r="H50" s="1">
        <f>IF(ISNUMBER(Main_L[[#This Row],[Free CF]]),IF(Main_L[[#This Row],[Free CF]]&lt;&gt;0,Main_L[[#This Row],[Current Price]]/Main_L[[#This Row],[Free CF]],""),"")</f>
        <v>211.13333333333335</v>
      </c>
      <c r="I50" s="1">
        <f>IF(ISNUMBER(Main_L[[#This Row],[BVPS]]),IF(Main_L[[#This Row],[BVPS]]&lt;&gt;0,Main_L[[#This Row],[Current Price]]/Main_L[[#This Row],[BVPS]],""),"")</f>
        <v>20.801313628899837</v>
      </c>
      <c r="J50">
        <v>14.11</v>
      </c>
      <c r="K50">
        <v>3.54</v>
      </c>
      <c r="L50">
        <v>1.32</v>
      </c>
      <c r="M50" s="1">
        <f>IF(ISNUMBER(Main_L[[#This Row],[EPS]]),IF(Main_L[[#This Row],[EPS]]&lt;&gt;0,Main_L[[#This Row],[Current Price]]/Main_L[[#This Row],[EPS]],""),"")</f>
        <v>166.68421052631581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5.4354888599160027</v>
      </c>
      <c r="P50" s="1">
        <f>(Main_L[[#This Row],[P/B]]-VLOOKUP(Main_L[[#This Row],[Industry]], Mean_PB_L, 2, FALSE))/(VLOOKUP(Main_L[[#This Row],[Industry]], Mean_PB_L, 3, FALSE))</f>
        <v>2.6972518691273697</v>
      </c>
      <c r="Q50" s="1">
        <f>(Main_L[[#This Row],[ROE]]-VLOOKUP(Main_L[[#This Row],[Industry]], Mean_ROE_L, 2, FALSE))/(VLOOKUP(Main_L[[#This Row],[Industry]], Mean_ROE_L, 3, FALSE))</f>
        <v>-0.13981241018226517</v>
      </c>
      <c r="R50" s="1">
        <f>(Main_L[[#This Row],[ROA]]-VLOOKUP(Main_L[[#This Row],[Industry]], Mean_ROA_L, 2, FALSE))/(VLOOKUP(Main_L[[#This Row],[Industry]], Mean_ROA_L, 3, FALSE))</f>
        <v>-0.72274836520439123</v>
      </c>
      <c r="S50" s="1">
        <f>(Main_L[[#This Row],[A/E]]-VLOOKUP(Main_L[[#This Row],[Industry]], Mean_AE_L, 2, FALSE))/(VLOOKUP(Main_L[[#This Row],[Industry]], Mean_AE_L, 3, FALSE))</f>
        <v>-0.88951325961195049</v>
      </c>
      <c r="T50" s="1">
        <f>(Main_L[[#This Row],[P/E]]-VLOOKUP(Main_L[[#This Row],[Industry]], Mean_PE_L, 2, FALSE))/(VLOOKUP(Main_L[[#This Row],[Industry]], Mean_PE_L, 3, FALSE))</f>
        <v>7.9790367735576631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1" spans="1:26" x14ac:dyDescent="0.25">
      <c r="A51" t="s">
        <v>202</v>
      </c>
      <c r="B51" t="s">
        <v>213</v>
      </c>
      <c r="C51" s="2">
        <v>19775</v>
      </c>
      <c r="D51">
        <f>RTD("tos.rtd", , "LAST", Main_L[[#This Row],[Symbol]])</f>
        <v>10.08</v>
      </c>
      <c r="E51">
        <v>-0.08</v>
      </c>
      <c r="F51">
        <v>2.16</v>
      </c>
      <c r="G51">
        <v>0.23</v>
      </c>
      <c r="H51" s="1">
        <f>IF(ISNUMBER(Main_L[[#This Row],[Free CF]]),IF(Main_L[[#This Row],[Free CF]]&lt;&gt;0,Main_L[[#This Row],[Current Price]]/Main_L[[#This Row],[Free CF]],""),"")</f>
        <v>-126</v>
      </c>
      <c r="I51" s="1">
        <f>IF(ISNUMBER(Main_L[[#This Row],[BVPS]]),IF(Main_L[[#This Row],[BVPS]]&lt;&gt;0,Main_L[[#This Row],[Current Price]]/Main_L[[#This Row],[BVPS]],""),"")</f>
        <v>4.6666666666666661</v>
      </c>
      <c r="J51">
        <v>11.06</v>
      </c>
      <c r="K51">
        <v>3.55</v>
      </c>
      <c r="L51">
        <v>2.4900000000000002</v>
      </c>
      <c r="M51" s="1">
        <f>IF(ISNUMBER(Main_L[[#This Row],[EPS]]),IF(Main_L[[#This Row],[EPS]]&lt;&gt;0,Main_L[[#This Row],[Current Price]]/Main_L[[#This Row],[EPS]],""),"")</f>
        <v>43.826086956521735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-5.086454920871633</v>
      </c>
      <c r="P51" s="1">
        <f>(Main_L[[#This Row],[P/B]]-VLOOKUP(Main_L[[#This Row],[Industry]], Mean_PB_L, 2, FALSE))/(VLOOKUP(Main_L[[#This Row],[Industry]], Mean_PB_L, 3, FALSE))</f>
        <v>-0.41365990128085361</v>
      </c>
      <c r="Q51" s="1">
        <f>(Main_L[[#This Row],[ROE]]-VLOOKUP(Main_L[[#This Row],[Industry]], Mean_ROE_L, 2, FALSE))/(VLOOKUP(Main_L[[#This Row],[Industry]], Mean_ROE_L, 3, FALSE))</f>
        <v>-0.28833383184942657</v>
      </c>
      <c r="R51" s="1">
        <f>(Main_L[[#This Row],[ROA]]-VLOOKUP(Main_L[[#This Row],[Industry]], Mean_ROA_L, 2, FALSE))/(VLOOKUP(Main_L[[#This Row],[Industry]], Mean_ROA_L, 3, FALSE))</f>
        <v>-0.7209380128445344</v>
      </c>
      <c r="S51" s="1">
        <f>(Main_L[[#This Row],[A/E]]-VLOOKUP(Main_L[[#This Row],[Industry]], Mean_AE_L, 2, FALSE))/(VLOOKUP(Main_L[[#This Row],[Industry]], Mean_AE_L, 3, FALSE))</f>
        <v>1.5433632660280101</v>
      </c>
      <c r="T51" s="1">
        <f>(Main_L[[#This Row],[P/E]]-VLOOKUP(Main_L[[#This Row],[Industry]], Mean_PE_L, 2, FALSE))/(VLOOKUP(Main_L[[#This Row],[Industry]], Mean_PE_L, 3, FALSE))</f>
        <v>0.79483538764496187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202</v>
      </c>
      <c r="B52" t="s">
        <v>214</v>
      </c>
      <c r="C52" s="2">
        <v>963006</v>
      </c>
      <c r="D52">
        <f>RTD("tos.rtd", , "LAST", Main_L[[#This Row],[Symbol]])</f>
        <v>232.42</v>
      </c>
      <c r="E52">
        <v>4.4400000000000004</v>
      </c>
      <c r="F52">
        <v>14.84</v>
      </c>
      <c r="G52">
        <v>2.16</v>
      </c>
      <c r="H52" s="1">
        <f>IF(ISNUMBER(Main_L[[#This Row],[Free CF]]),IF(Main_L[[#This Row],[Free CF]]&lt;&gt;0,Main_L[[#This Row],[Current Price]]/Main_L[[#This Row],[Free CF]],""),"")</f>
        <v>52.346846846846837</v>
      </c>
      <c r="I52" s="1">
        <f>IF(ISNUMBER(Main_L[[#This Row],[BVPS]]),IF(Main_L[[#This Row],[BVPS]]&lt;&gt;0,Main_L[[#This Row],[Current Price]]/Main_L[[#This Row],[BVPS]],""),"")</f>
        <v>15.661725067385444</v>
      </c>
      <c r="J52">
        <v>14.84</v>
      </c>
      <c r="K52">
        <v>6.98</v>
      </c>
      <c r="L52">
        <v>2.37</v>
      </c>
      <c r="M52" s="1">
        <f>IF(ISNUMBER(Main_L[[#This Row],[EPS]]),IF(Main_L[[#This Row],[EPS]]&lt;&gt;0,Main_L[[#This Row],[Current Price]]/Main_L[[#This Row],[EPS]],""),"")</f>
        <v>107.60185185185183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0.47975675404412227</v>
      </c>
      <c r="P52" s="1">
        <f>(Main_L[[#This Row],[P/B]]-VLOOKUP(Main_L[[#This Row],[Industry]], Mean_PB_L, 2, FALSE))/(VLOOKUP(Main_L[[#This Row],[Industry]], Mean_PB_L, 3, FALSE))</f>
        <v>1.7062908280524671</v>
      </c>
      <c r="Q52" s="1">
        <f>(Main_L[[#This Row],[ROE]]-VLOOKUP(Main_L[[#This Row],[Industry]], Mean_ROE_L, 2, FALSE))/(VLOOKUP(Main_L[[#This Row],[Industry]], Mean_ROE_L, 3, FALSE))</f>
        <v>-0.10426466007832158</v>
      </c>
      <c r="R52" s="1">
        <f>(Main_L[[#This Row],[ROA]]-VLOOKUP(Main_L[[#This Row],[Industry]], Mean_ROA_L, 2, FALSE))/(VLOOKUP(Main_L[[#This Row],[Industry]], Mean_ROA_L, 3, FALSE))</f>
        <v>-9.9987153413632471E-2</v>
      </c>
      <c r="S52" s="1">
        <f>(Main_L[[#This Row],[A/E]]-VLOOKUP(Main_L[[#This Row],[Industry]], Mean_AE_L, 2, FALSE))/(VLOOKUP(Main_L[[#This Row],[Industry]], Mean_AE_L, 3, FALSE))</f>
        <v>1.2938374685264755</v>
      </c>
      <c r="T52" s="1">
        <f>(Main_L[[#This Row],[P/E]]-VLOOKUP(Main_L[[#This Row],[Industry]], Mean_PE_L, 2, FALSE))/(VLOOKUP(Main_L[[#This Row],[Industry]], Mean_PE_L, 3, FALSE))</f>
        <v>4.524160931904869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3" spans="1:26" x14ac:dyDescent="0.25">
      <c r="A53" t="s">
        <v>202</v>
      </c>
      <c r="B53" t="s">
        <v>215</v>
      </c>
      <c r="C53" s="2">
        <v>13918</v>
      </c>
      <c r="D53">
        <f>RTD("tos.rtd", , "LAST", Main_L[[#This Row],[Symbol]])</f>
        <v>191.6</v>
      </c>
      <c r="E53">
        <v>-9.1199999999999992</v>
      </c>
      <c r="F53">
        <v>76.34</v>
      </c>
      <c r="G53">
        <v>11.77</v>
      </c>
      <c r="H53" s="1">
        <f>IF(ISNUMBER(Main_L[[#This Row],[Free CF]]),IF(Main_L[[#This Row],[Free CF]]&lt;&gt;0,Main_L[[#This Row],[Current Price]]/Main_L[[#This Row],[Free CF]],""),"")</f>
        <v>-21.008771929824562</v>
      </c>
      <c r="I53" s="1">
        <f>IF(ISNUMBER(Main_L[[#This Row],[BVPS]]),IF(Main_L[[#This Row],[BVPS]]&lt;&gt;0,Main_L[[#This Row],[Current Price]]/Main_L[[#This Row],[BVPS]],""),"")</f>
        <v>2.509824469478648</v>
      </c>
      <c r="J53">
        <v>16.77</v>
      </c>
      <c r="K53">
        <v>7.5</v>
      </c>
      <c r="L53">
        <v>1.48</v>
      </c>
      <c r="M53" s="1">
        <f>IF(ISNUMBER(Main_L[[#This Row],[EPS]]),IF(Main_L[[#This Row],[EPS]]&lt;&gt;0,Main_L[[#This Row],[Current Price]]/Main_L[[#This Row],[EPS]],""),"")</f>
        <v>16.278674596431607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-1.8096748163722105</v>
      </c>
      <c r="P53" s="1">
        <f>(Main_L[[#This Row],[P/B]]-VLOOKUP(Main_L[[#This Row],[Industry]], Mean_PB_L, 2, FALSE))/(VLOOKUP(Main_L[[#This Row],[Industry]], Mean_PB_L, 3, FALSE))</f>
        <v>-0.8295193739951332</v>
      </c>
      <c r="Q53" s="1">
        <f>(Main_L[[#This Row],[ROE]]-VLOOKUP(Main_L[[#This Row],[Industry]], Mean_ROE_L, 2, FALSE))/(VLOOKUP(Main_L[[#This Row],[Industry]], Mean_ROE_L, 3, FALSE))</f>
        <v>-1.0282252269265321E-2</v>
      </c>
      <c r="R53" s="1">
        <f>(Main_L[[#This Row],[ROA]]-VLOOKUP(Main_L[[#This Row],[Industry]], Mean_ROA_L, 2, FALSE))/(VLOOKUP(Main_L[[#This Row],[Industry]], Mean_ROA_L, 3, FALSE))</f>
        <v>-5.8488307010760091E-3</v>
      </c>
      <c r="S53" s="1">
        <f>(Main_L[[#This Row],[A/E]]-VLOOKUP(Main_L[[#This Row],[Industry]], Mean_AE_L, 2, FALSE))/(VLOOKUP(Main_L[[#This Row],[Industry]], Mean_AE_L, 3, FALSE))</f>
        <v>-0.55681219627657141</v>
      </c>
      <c r="T53" s="1">
        <f>(Main_L[[#This Row],[P/E]]-VLOOKUP(Main_L[[#This Row],[Industry]], Mean_PE_L, 2, FALSE))/(VLOOKUP(Main_L[[#This Row],[Industry]], Mean_PE_L, 3, FALSE))</f>
        <v>-0.81601583086026241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202</v>
      </c>
      <c r="B54" t="s">
        <v>216</v>
      </c>
      <c r="C54" s="2">
        <v>19512</v>
      </c>
      <c r="D54">
        <f>RTD("tos.rtd", , "LAST", Main_L[[#This Row],[Symbol]])</f>
        <v>39.700000000000003</v>
      </c>
      <c r="E54">
        <v>1.98</v>
      </c>
      <c r="F54">
        <v>19.489999999999998</v>
      </c>
      <c r="G54">
        <v>-0.48</v>
      </c>
      <c r="H54" s="1">
        <f>IF(ISNUMBER(Main_L[[#This Row],[Free CF]]),IF(Main_L[[#This Row],[Free CF]]&lt;&gt;0,Main_L[[#This Row],[Current Price]]/Main_L[[#This Row],[Free CF]],""),"")</f>
        <v>20.050505050505052</v>
      </c>
      <c r="I54" s="1">
        <f>IF(ISNUMBER(Main_L[[#This Row],[BVPS]]),IF(Main_L[[#This Row],[BVPS]]&lt;&gt;0,Main_L[[#This Row],[Current Price]]/Main_L[[#This Row],[BVPS]],""),"")</f>
        <v>2.0369420215495131</v>
      </c>
      <c r="J54">
        <v>-2.38</v>
      </c>
      <c r="K54">
        <v>2.61</v>
      </c>
      <c r="L54">
        <v>1.56</v>
      </c>
      <c r="M54" s="1">
        <f>IF(ISNUMBER(Main_L[[#This Row],[EPS]]),IF(Main_L[[#This Row],[EPS]]&lt;&gt;0,Main_L[[#This Row],[Current Price]]/Main_L[[#This Row],[EPS]],""),"")</f>
        <v>-82.708333333333343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-0.52821326584774109</v>
      </c>
      <c r="P54" s="1">
        <f>(Main_L[[#This Row],[P/B]]-VLOOKUP(Main_L[[#This Row],[Industry]], Mean_PB_L, 2, FALSE))/(VLOOKUP(Main_L[[#This Row],[Industry]], Mean_PB_L, 3, FALSE))</f>
        <v>-0.92069556004529185</v>
      </c>
      <c r="Q54" s="1">
        <f>(Main_L[[#This Row],[ROE]]-VLOOKUP(Main_L[[#This Row],[Industry]], Mean_ROE_L, 2, FALSE))/(VLOOKUP(Main_L[[#This Row],[Industry]], Mean_ROE_L, 3, FALSE))</f>
        <v>-0.94280199814668886</v>
      </c>
      <c r="R54" s="1">
        <f>(Main_L[[#This Row],[ROA]]-VLOOKUP(Main_L[[#This Row],[Industry]], Mean_ROA_L, 2, FALSE))/(VLOOKUP(Main_L[[#This Row],[Industry]], Mean_ROA_L, 3, FALSE))</f>
        <v>-0.89111113467107883</v>
      </c>
      <c r="S54" s="1">
        <f>(Main_L[[#This Row],[A/E]]-VLOOKUP(Main_L[[#This Row],[Industry]], Mean_AE_L, 2, FALSE))/(VLOOKUP(Main_L[[#This Row],[Industry]], Mean_AE_L, 3, FALSE))</f>
        <v>-0.39046166460888171</v>
      </c>
      <c r="T54" s="1">
        <f>(Main_L[[#This Row],[P/E]]-VLOOKUP(Main_L[[#This Row],[Industry]], Mean_PE_L, 2, FALSE))/(VLOOKUP(Main_L[[#This Row],[Industry]], Mean_PE_L, 3, FALSE))</f>
        <v>-6.6043396216951296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5" spans="1:26" x14ac:dyDescent="0.25">
      <c r="A55" t="s">
        <v>202</v>
      </c>
      <c r="B55" t="s">
        <v>217</v>
      </c>
      <c r="C55" s="2">
        <v>88592</v>
      </c>
      <c r="D55">
        <f>RTD("tos.rtd", , "LAST", Main_L[[#This Row],[Symbol]])</f>
        <v>22.56</v>
      </c>
      <c r="E55">
        <v>-2.98</v>
      </c>
      <c r="F55">
        <v>22.87</v>
      </c>
      <c r="G55">
        <v>-4.46</v>
      </c>
      <c r="H55" s="1">
        <f>IF(ISNUMBER(Main_L[[#This Row],[Free CF]]),IF(Main_L[[#This Row],[Free CF]]&lt;&gt;0,Main_L[[#This Row],[Current Price]]/Main_L[[#This Row],[Free CF]],""),"")</f>
        <v>-7.5704697986577179</v>
      </c>
      <c r="I55" s="1">
        <f>IF(ISNUMBER(Main_L[[#This Row],[BVPS]]),IF(Main_L[[#This Row],[BVPS]]&lt;&gt;0,Main_L[[#This Row],[Current Price]]/Main_L[[#This Row],[BVPS]],""),"")</f>
        <v>0.98644512461740264</v>
      </c>
      <c r="J55">
        <v>-18.13</v>
      </c>
      <c r="K55">
        <v>-1.0900000000000001</v>
      </c>
      <c r="L55">
        <v>1.93</v>
      </c>
      <c r="M55" s="1">
        <f>IF(ISNUMBER(Main_L[[#This Row],[EPS]]),IF(Main_L[[#This Row],[EPS]]&lt;&gt;0,Main_L[[#This Row],[Current Price]]/Main_L[[#This Row],[EPS]],""),"")</f>
        <v>-5.05829596412556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-1.3902649106967817</v>
      </c>
      <c r="P55" s="1">
        <f>(Main_L[[#This Row],[P/B]]-VLOOKUP(Main_L[[#This Row],[Industry]], Mean_PB_L, 2, FALSE))/(VLOOKUP(Main_L[[#This Row],[Industry]], Mean_PB_L, 3, FALSE))</f>
        <v>-1.1232412475395968</v>
      </c>
      <c r="Q55" s="1">
        <f>(Main_L[[#This Row],[ROE]]-VLOOKUP(Main_L[[#This Row],[Industry]], Mean_ROE_L, 2, FALSE))/(VLOOKUP(Main_L[[#This Row],[Industry]], Mean_ROE_L, 3, FALSE))</f>
        <v>-1.7097568805262933</v>
      </c>
      <c r="R55" s="1">
        <f>(Main_L[[#This Row],[ROA]]-VLOOKUP(Main_L[[#This Row],[Industry]], Mean_ROA_L, 2, FALSE))/(VLOOKUP(Main_L[[#This Row],[Industry]], Mean_ROA_L, 3, FALSE))</f>
        <v>-1.5609415078181159</v>
      </c>
      <c r="S55" s="1">
        <f>(Main_L[[#This Row],[A/E]]-VLOOKUP(Main_L[[#This Row],[Industry]], Mean_AE_L, 2, FALSE))/(VLOOKUP(Main_L[[#This Row],[Industry]], Mean_AE_L, 3, FALSE))</f>
        <v>0.37890954435418245</v>
      </c>
      <c r="T55" s="1">
        <f>(Main_L[[#This Row],[P/E]]-VLOOKUP(Main_L[[#This Row],[Industry]], Mean_PE_L, 2, FALSE))/(VLOOKUP(Main_L[[#This Row],[Industry]], Mean_PE_L, 3, FALSE))</f>
        <v>-2.0637077947152354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202</v>
      </c>
      <c r="B56" t="s">
        <v>218</v>
      </c>
      <c r="C56" s="2">
        <v>25858</v>
      </c>
      <c r="D56">
        <f>RTD("tos.rtd", , "LAST", Main_L[[#This Row],[Symbol]])</f>
        <v>62.3</v>
      </c>
      <c r="E56">
        <v>1.81</v>
      </c>
      <c r="F56">
        <v>11.22</v>
      </c>
      <c r="G56">
        <v>0.56999999999999995</v>
      </c>
      <c r="H56" s="1">
        <f>IF(ISNUMBER(Main_L[[#This Row],[Free CF]]),IF(Main_L[[#This Row],[Free CF]]&lt;&gt;0,Main_L[[#This Row],[Current Price]]/Main_L[[#This Row],[Free CF]],""),"")</f>
        <v>34.41988950276243</v>
      </c>
      <c r="I56" s="1">
        <f>IF(ISNUMBER(Main_L[[#This Row],[BVPS]]),IF(Main_L[[#This Row],[BVPS]]&lt;&gt;0,Main_L[[#This Row],[Current Price]]/Main_L[[#This Row],[BVPS]],""),"")</f>
        <v>5.5525846702317283</v>
      </c>
      <c r="J56">
        <v>4.71</v>
      </c>
      <c r="K56">
        <v>2.52</v>
      </c>
      <c r="L56">
        <v>2.59</v>
      </c>
      <c r="M56" s="1">
        <f>IF(ISNUMBER(Main_L[[#This Row],[EPS]]),IF(Main_L[[#This Row],[EPS]]&lt;&gt;0,Main_L[[#This Row],[Current Price]]/Main_L[[#This Row],[EPS]],""),"")</f>
        <v>109.2982456140351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-7.9744246554159764E-2</v>
      </c>
      <c r="P56" s="1">
        <f>(Main_L[[#This Row],[P/B]]-VLOOKUP(Main_L[[#This Row],[Industry]], Mean_PB_L, 2, FALSE))/(VLOOKUP(Main_L[[#This Row],[Industry]], Mean_PB_L, 3, FALSE))</f>
        <v>-0.24284657320753511</v>
      </c>
      <c r="Q56" s="1">
        <f>(Main_L[[#This Row],[ROE]]-VLOOKUP(Main_L[[#This Row],[Industry]], Mean_ROE_L, 2, FALSE))/(VLOOKUP(Main_L[[#This Row],[Industry]], Mean_ROE_L, 3, FALSE))</f>
        <v>-0.59755056220564795</v>
      </c>
      <c r="R56" s="1">
        <f>(Main_L[[#This Row],[ROA]]-VLOOKUP(Main_L[[#This Row],[Industry]], Mean_ROA_L, 2, FALSE))/(VLOOKUP(Main_L[[#This Row],[Industry]], Mean_ROA_L, 3, FALSE))</f>
        <v>-0.90740430590979049</v>
      </c>
      <c r="S56" s="1">
        <f>(Main_L[[#This Row],[A/E]]-VLOOKUP(Main_L[[#This Row],[Industry]], Mean_AE_L, 2, FALSE))/(VLOOKUP(Main_L[[#This Row],[Industry]], Mean_AE_L, 3, FALSE))</f>
        <v>1.7513014306126213</v>
      </c>
      <c r="T56" s="1">
        <f>(Main_L[[#This Row],[P/E]]-VLOOKUP(Main_L[[#This Row],[Industry]], Mean_PE_L, 2, FALSE))/(VLOOKUP(Main_L[[#This Row],[Industry]], Mean_PE_L, 3, FALSE))</f>
        <v>4.6233585597313045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7" spans="1:26" x14ac:dyDescent="0.25">
      <c r="A57" t="s">
        <v>202</v>
      </c>
      <c r="B57" t="s">
        <v>219</v>
      </c>
      <c r="C57" s="2">
        <v>30486</v>
      </c>
      <c r="D57">
        <f>RTD("tos.rtd", , "LAST", Main_L[[#This Row],[Symbol]])</f>
        <v>737.73</v>
      </c>
      <c r="E57">
        <v>13.22</v>
      </c>
      <c r="F57">
        <v>68.239999999999995</v>
      </c>
      <c r="G57">
        <v>37.619999999999997</v>
      </c>
      <c r="H57" s="1">
        <f>IF(ISNUMBER(Main_L[[#This Row],[Free CF]]),IF(Main_L[[#This Row],[Free CF]]&lt;&gt;0,Main_L[[#This Row],[Current Price]]/Main_L[[#This Row],[Free CF]],""),"")</f>
        <v>55.804084720121025</v>
      </c>
      <c r="I57" s="1">
        <f>IF(ISNUMBER(Main_L[[#This Row],[BVPS]]),IF(Main_L[[#This Row],[BVPS]]&lt;&gt;0,Main_L[[#This Row],[Current Price]]/Main_L[[#This Row],[BVPS]],""),"")</f>
        <v>10.810814771395076</v>
      </c>
      <c r="J57">
        <v>67.95</v>
      </c>
      <c r="K57">
        <v>11.89</v>
      </c>
      <c r="L57">
        <v>1.1599999999999999</v>
      </c>
      <c r="M57" s="1">
        <f>IF(ISNUMBER(Main_L[[#This Row],[EPS]]),IF(Main_L[[#This Row],[EPS]]&lt;&gt;0,Main_L[[#This Row],[Current Price]]/Main_L[[#This Row],[EPS]],""),"")</f>
        <v>19.610047846889955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0.5876572757152736</v>
      </c>
      <c r="P57" s="1">
        <f>(Main_L[[#This Row],[P/B]]-VLOOKUP(Main_L[[#This Row],[Industry]], Mean_PB_L, 2, FALSE))/(VLOOKUP(Main_L[[#This Row],[Industry]], Mean_PB_L, 3, FALSE))</f>
        <v>0.77098967319520684</v>
      </c>
      <c r="Q57" s="1">
        <f>(Main_L[[#This Row],[ROE]]-VLOOKUP(Main_L[[#This Row],[Industry]], Mean_ROE_L, 2, FALSE))/(VLOOKUP(Main_L[[#This Row],[Industry]], Mean_ROE_L, 3, FALSE))</f>
        <v>2.481955898853792</v>
      </c>
      <c r="R57" s="1">
        <f>(Main_L[[#This Row],[ROA]]-VLOOKUP(Main_L[[#This Row],[Industry]], Mean_ROA_L, 2, FALSE))/(VLOOKUP(Main_L[[#This Row],[Industry]], Mean_ROA_L, 3, FALSE))</f>
        <v>0.78889585527608408</v>
      </c>
      <c r="S57" s="1">
        <f>(Main_L[[#This Row],[A/E]]-VLOOKUP(Main_L[[#This Row],[Industry]], Mean_AE_L, 2, FALSE))/(VLOOKUP(Main_L[[#This Row],[Industry]], Mean_AE_L, 3, FALSE))</f>
        <v>-1.2222143229473299</v>
      </c>
      <c r="T57" s="1">
        <f>(Main_L[[#This Row],[P/E]]-VLOOKUP(Main_L[[#This Row],[Industry]], Mean_PE_L, 2, FALSE))/(VLOOKUP(Main_L[[#This Row],[Industry]], Mean_PE_L, 3, FALSE))</f>
        <v>-0.62121181117051671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202</v>
      </c>
      <c r="B58" t="s">
        <v>220</v>
      </c>
      <c r="C58" s="2">
        <v>48642</v>
      </c>
      <c r="D58">
        <f>RTD("tos.rtd", , "LAST", Main_L[[#This Row],[Symbol]])</f>
        <v>65.48</v>
      </c>
      <c r="E58">
        <v>1.61</v>
      </c>
      <c r="F58">
        <v>15.5</v>
      </c>
      <c r="G58">
        <v>-1.02</v>
      </c>
      <c r="H58" s="1">
        <f>IF(ISNUMBER(Main_L[[#This Row],[Free CF]]),IF(Main_L[[#This Row],[Free CF]]&lt;&gt;0,Main_L[[#This Row],[Current Price]]/Main_L[[#This Row],[Free CF]],""),"")</f>
        <v>40.670807453416153</v>
      </c>
      <c r="I58" s="1">
        <f>IF(ISNUMBER(Main_L[[#This Row],[BVPS]]),IF(Main_L[[#This Row],[BVPS]]&lt;&gt;0,Main_L[[#This Row],[Current Price]]/Main_L[[#This Row],[BVPS]],""),"")</f>
        <v>4.2245161290322581</v>
      </c>
      <c r="J58">
        <v>-6.26</v>
      </c>
      <c r="K58">
        <v>-0.03</v>
      </c>
      <c r="L58">
        <v>1.5</v>
      </c>
      <c r="M58" s="1">
        <f>IF(ISNUMBER(Main_L[[#This Row],[EPS]]),IF(Main_L[[#This Row],[EPS]]&lt;&gt;0,Main_L[[#This Row],[Current Price]]/Main_L[[#This Row],[EPS]],""),"")</f>
        <v>-64.196078431372555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0.11534713347874924</v>
      </c>
      <c r="P58" s="1">
        <f>(Main_L[[#This Row],[P/B]]-VLOOKUP(Main_L[[#This Row],[Industry]], Mean_PB_L, 2, FALSE))/(VLOOKUP(Main_L[[#This Row],[Industry]], Mean_PB_L, 3, FALSE))</f>
        <v>-0.49891068582165299</v>
      </c>
      <c r="Q58" s="1">
        <f>(Main_L[[#This Row],[ROE]]-VLOOKUP(Main_L[[#This Row],[Industry]], Mean_ROE_L, 2, FALSE))/(VLOOKUP(Main_L[[#This Row],[Industry]], Mean_ROE_L, 3, FALSE))</f>
        <v>-1.1317407247265532</v>
      </c>
      <c r="R58" s="1">
        <f>(Main_L[[#This Row],[ROA]]-VLOOKUP(Main_L[[#This Row],[Industry]], Mean_ROA_L, 2, FALSE))/(VLOOKUP(Main_L[[#This Row],[Industry]], Mean_ROA_L, 3, FALSE))</f>
        <v>-1.369044157673289</v>
      </c>
      <c r="S58" s="1">
        <f>(Main_L[[#This Row],[A/E]]-VLOOKUP(Main_L[[#This Row],[Industry]], Mean_AE_L, 2, FALSE))/(VLOOKUP(Main_L[[#This Row],[Industry]], Mean_AE_L, 3, FALSE))</f>
        <v>-0.51522456335964895</v>
      </c>
      <c r="T58" s="1">
        <f>(Main_L[[#This Row],[P/E]]-VLOOKUP(Main_L[[#This Row],[Industry]], Mean_PE_L, 2, FALSE))/(VLOOKUP(Main_L[[#This Row],[Industry]], Mean_PE_L, 3, FALSE))</f>
        <v>-5.5218245754069386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9" spans="1:26" x14ac:dyDescent="0.25">
      <c r="A59" t="s">
        <v>202</v>
      </c>
      <c r="B59" t="s">
        <v>221</v>
      </c>
      <c r="C59" s="2">
        <v>92334</v>
      </c>
      <c r="D59">
        <f>RTD("tos.rtd", , "LAST", Main_L[[#This Row],[Symbol]])</f>
        <v>96.93</v>
      </c>
      <c r="E59">
        <v>0.55000000000000004</v>
      </c>
      <c r="F59">
        <v>43.5</v>
      </c>
      <c r="G59">
        <v>4.1500000000000004</v>
      </c>
      <c r="H59" s="1">
        <f>IF(ISNUMBER(Main_L[[#This Row],[Free CF]]),IF(Main_L[[#This Row],[Free CF]]&lt;&gt;0,Main_L[[#This Row],[Current Price]]/Main_L[[#This Row],[Free CF]],""),"")</f>
        <v>176.23636363636362</v>
      </c>
      <c r="I59" s="1">
        <f>IF(ISNUMBER(Main_L[[#This Row],[BVPS]]),IF(Main_L[[#This Row],[BVPS]]&lt;&gt;0,Main_L[[#This Row],[Current Price]]/Main_L[[#This Row],[BVPS]],""),"")</f>
        <v>2.2282758620689656</v>
      </c>
      <c r="J59">
        <v>10.1</v>
      </c>
      <c r="K59">
        <v>5.52</v>
      </c>
      <c r="L59">
        <v>1.5</v>
      </c>
      <c r="M59" s="1">
        <f>IF(ISNUMBER(Main_L[[#This Row],[EPS]]),IF(Main_L[[#This Row],[EPS]]&lt;&gt;0,Main_L[[#This Row],[Current Price]]/Main_L[[#This Row],[EPS]],""),"")</f>
        <v>23.356626506024096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4.3463531472265666</v>
      </c>
      <c r="P59" s="1">
        <f>(Main_L[[#This Row],[P/B]]-VLOOKUP(Main_L[[#This Row],[Industry]], Mean_PB_L, 2, FALSE))/(VLOOKUP(Main_L[[#This Row],[Industry]], Mean_PB_L, 3, FALSE))</f>
        <v>-0.88380459503424269</v>
      </c>
      <c r="Q59" s="1">
        <f>(Main_L[[#This Row],[ROE]]-VLOOKUP(Main_L[[#This Row],[Industry]], Mean_ROE_L, 2, FALSE))/(VLOOKUP(Main_L[[#This Row],[Industry]], Mean_ROE_L, 3, FALSE))</f>
        <v>-0.3350815580135168</v>
      </c>
      <c r="R59" s="1">
        <f>(Main_L[[#This Row],[ROA]]-VLOOKUP(Main_L[[#This Row],[Industry]], Mean_ROA_L, 2, FALSE))/(VLOOKUP(Main_L[[#This Row],[Industry]], Mean_ROA_L, 3, FALSE))</f>
        <v>-0.36429859795273367</v>
      </c>
      <c r="S59" s="1">
        <f>(Main_L[[#This Row],[A/E]]-VLOOKUP(Main_L[[#This Row],[Industry]], Mean_AE_L, 2, FALSE))/(VLOOKUP(Main_L[[#This Row],[Industry]], Mean_AE_L, 3, FALSE))</f>
        <v>-0.51522456335964895</v>
      </c>
      <c r="T59" s="1">
        <f>(Main_L[[#This Row],[P/E]]-VLOOKUP(Main_L[[#This Row],[Industry]], Mean_PE_L, 2, FALSE))/(VLOOKUP(Main_L[[#This Row],[Industry]], Mean_PE_L, 3, FALSE))</f>
        <v>-0.40212840981861731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202</v>
      </c>
      <c r="B60" t="s">
        <v>222</v>
      </c>
      <c r="C60" s="2">
        <v>2856264</v>
      </c>
      <c r="D60">
        <f>RTD("tos.rtd", , "LAST", Main_L[[#This Row],[Symbol]])</f>
        <v>129.93</v>
      </c>
      <c r="E60">
        <v>2.48</v>
      </c>
      <c r="F60">
        <v>3.24</v>
      </c>
      <c r="G60">
        <v>2.94</v>
      </c>
      <c r="H60" s="1">
        <f>IF(ISNUMBER(Main_L[[#This Row],[Free CF]]),IF(Main_L[[#This Row],[Free CF]]&lt;&gt;0,Main_L[[#This Row],[Current Price]]/Main_L[[#This Row],[Free CF]],""),"")</f>
        <v>52.391129032258071</v>
      </c>
      <c r="I60" s="1">
        <f>IF(ISNUMBER(Main_L[[#This Row],[BVPS]]),IF(Main_L[[#This Row],[BVPS]]&lt;&gt;0,Main_L[[#This Row],[Current Price]]/Main_L[[#This Row],[BVPS]],""),"")</f>
        <v>40.101851851851855</v>
      </c>
      <c r="J60">
        <v>119.18</v>
      </c>
      <c r="K60">
        <v>57.42</v>
      </c>
      <c r="L60">
        <v>1.41</v>
      </c>
      <c r="M60" s="1">
        <f>IF(ISNUMBER(Main_L[[#This Row],[EPS]]),IF(Main_L[[#This Row],[EPS]]&lt;&gt;0,Main_L[[#This Row],[Current Price]]/Main_L[[#This Row],[EPS]],""),"")</f>
        <v>44.193877551020414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0.48113880268576975</v>
      </c>
      <c r="P60" s="1">
        <f>(Main_L[[#This Row],[P/B]]-VLOOKUP(Main_L[[#This Row],[Industry]], Mean_PB_L, 2, FALSE))/(VLOOKUP(Main_L[[#This Row],[Industry]], Mean_PB_L, 3, FALSE))</f>
        <v>6.4185772674170201</v>
      </c>
      <c r="Q60" s="1">
        <f>(Main_L[[#This Row],[ROE]]-VLOOKUP(Main_L[[#This Row],[Industry]], Mean_ROE_L, 2, FALSE))/(VLOOKUP(Main_L[[#This Row],[Industry]], Mean_ROE_L, 3, FALSE))</f>
        <v>4.9766288273812282</v>
      </c>
      <c r="R60" s="1">
        <f>(Main_L[[#This Row],[ROA]]-VLOOKUP(Main_L[[#This Row],[Industry]], Mean_ROA_L, 2, FALSE))/(VLOOKUP(Main_L[[#This Row],[Industry]], Mean_ROA_L, 3, FALSE))</f>
        <v>9.0314301497043523</v>
      </c>
      <c r="S60" s="1">
        <f>(Main_L[[#This Row],[A/E]]-VLOOKUP(Main_L[[#This Row],[Industry]], Mean_AE_L, 2, FALSE))/(VLOOKUP(Main_L[[#This Row],[Industry]], Mean_AE_L, 3, FALSE))</f>
        <v>-0.70236891148579994</v>
      </c>
      <c r="T60" s="1">
        <f>(Main_L[[#This Row],[P/E]]-VLOOKUP(Main_L[[#This Row],[Industry]], Mean_PE_L, 2, FALSE))/(VLOOKUP(Main_L[[#This Row],[Industry]], Mean_PE_L, 3, FALSE))</f>
        <v>0.81634216002556093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202</v>
      </c>
      <c r="B61" t="s">
        <v>223</v>
      </c>
      <c r="C61" s="2">
        <v>47209</v>
      </c>
      <c r="D61">
        <f>RTD("tos.rtd", , "LAST", Main_L[[#This Row],[Symbol]])</f>
        <v>212.4</v>
      </c>
      <c r="E61">
        <v>6.73</v>
      </c>
      <c r="F61">
        <v>36.82</v>
      </c>
      <c r="G61">
        <v>9.18</v>
      </c>
      <c r="H61" s="1">
        <f>IF(ISNUMBER(Main_L[[#This Row],[Free CF]]),IF(Main_L[[#This Row],[Free CF]]&lt;&gt;0,Main_L[[#This Row],[Current Price]]/Main_L[[#This Row],[Free CF]],""),"")</f>
        <v>31.560178306092123</v>
      </c>
      <c r="I61" s="1">
        <f>IF(ISNUMBER(Main_L[[#This Row],[BVPS]]),IF(Main_L[[#This Row],[BVPS]]&lt;&gt;0,Main_L[[#This Row],[Current Price]]/Main_L[[#This Row],[BVPS]],""),"")</f>
        <v>5.7686040195545898</v>
      </c>
      <c r="J61">
        <v>25.44</v>
      </c>
      <c r="K61">
        <v>8.76</v>
      </c>
      <c r="L61">
        <v>2.7</v>
      </c>
      <c r="M61" s="1">
        <f>IF(ISNUMBER(Main_L[[#This Row],[EPS]]),IF(Main_L[[#This Row],[EPS]]&lt;&gt;0,Main_L[[#This Row],[Current Price]]/Main_L[[#This Row],[EPS]],""),"")</f>
        <v>23.137254901960787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-0.1689959385869477</v>
      </c>
      <c r="P61" s="1">
        <f>(Main_L[[#This Row],[P/B]]-VLOOKUP(Main_L[[#This Row],[Industry]], Mean_PB_L, 2, FALSE))/(VLOOKUP(Main_L[[#This Row],[Industry]], Mean_PB_L, 3, FALSE))</f>
        <v>-0.20119600979468666</v>
      </c>
      <c r="Q61" s="1">
        <f>(Main_L[[#This Row],[ROE]]-VLOOKUP(Main_L[[#This Row],[Industry]], Mean_ROE_L, 2, FALSE))/(VLOOKUP(Main_L[[#This Row],[Industry]], Mean_ROE_L, 3, FALSE))</f>
        <v>0.41190814965017408</v>
      </c>
      <c r="R61" s="1">
        <f>(Main_L[[#This Row],[ROA]]-VLOOKUP(Main_L[[#This Row],[Industry]], Mean_ROA_L, 2, FALSE))/(VLOOKUP(Main_L[[#This Row],[Industry]], Mean_ROA_L, 3, FALSE))</f>
        <v>0.22225556664088789</v>
      </c>
      <c r="S61" s="1">
        <f>(Main_L[[#This Row],[A/E]]-VLOOKUP(Main_L[[#This Row],[Industry]], Mean_AE_L, 2, FALSE))/(VLOOKUP(Main_L[[#This Row],[Industry]], Mean_AE_L, 3, FALSE))</f>
        <v>1.9800334116556952</v>
      </c>
      <c r="T61" s="1">
        <f>(Main_L[[#This Row],[P/E]]-VLOOKUP(Main_L[[#This Row],[Industry]], Mean_PE_L, 2, FALSE))/(VLOOKUP(Main_L[[#This Row],[Industry]], Mean_PE_L, 3, FALSE))</f>
        <v>-0.41495629401665496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202</v>
      </c>
      <c r="B62" t="s">
        <v>224</v>
      </c>
      <c r="C62" s="2">
        <v>16214</v>
      </c>
      <c r="D62">
        <f>RTD("tos.rtd", , "LAST", Main_L[[#This Row],[Symbol]])</f>
        <v>45.77</v>
      </c>
      <c r="E62">
        <v>3.29</v>
      </c>
      <c r="F62">
        <v>19.059999999999999</v>
      </c>
      <c r="G62">
        <v>1.47</v>
      </c>
      <c r="H62" s="1">
        <f>IF(ISNUMBER(Main_L[[#This Row],[Free CF]]),IF(Main_L[[#This Row],[Free CF]]&lt;&gt;0,Main_L[[#This Row],[Current Price]]/Main_L[[#This Row],[Free CF]],""),"")</f>
        <v>13.911854103343465</v>
      </c>
      <c r="I62" s="1">
        <f>IF(ISNUMBER(Main_L[[#This Row],[BVPS]]),IF(Main_L[[#This Row],[BVPS]]&lt;&gt;0,Main_L[[#This Row],[Current Price]]/Main_L[[#This Row],[BVPS]],""),"")</f>
        <v>2.4013641133263381</v>
      </c>
      <c r="J62">
        <v>7.85</v>
      </c>
      <c r="K62">
        <v>6.3</v>
      </c>
      <c r="L62">
        <v>1.65</v>
      </c>
      <c r="M62" s="1">
        <f>IF(ISNUMBER(Main_L[[#This Row],[EPS]]),IF(Main_L[[#This Row],[EPS]]&lt;&gt;0,Main_L[[#This Row],[Current Price]]/Main_L[[#This Row],[EPS]],""),"")</f>
        <v>31.136054421768709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-0.71980078855659912</v>
      </c>
      <c r="P62" s="1">
        <f>(Main_L[[#This Row],[P/B]]-VLOOKUP(Main_L[[#This Row],[Industry]], Mean_PB_L, 2, FALSE))/(VLOOKUP(Main_L[[#This Row],[Industry]], Mean_PB_L, 3, FALSE))</f>
        <v>-0.85043155133416493</v>
      </c>
      <c r="Q62" s="1">
        <f>(Main_L[[#This Row],[ROE]]-VLOOKUP(Main_L[[#This Row],[Industry]], Mean_ROE_L, 2, FALSE))/(VLOOKUP(Main_L[[#This Row],[Industry]], Mean_ROE_L, 3, FALSE))</f>
        <v>-0.4446465412106031</v>
      </c>
      <c r="R62" s="1">
        <f>(Main_L[[#This Row],[ROA]]-VLOOKUP(Main_L[[#This Row],[Industry]], Mean_ROA_L, 2, FALSE))/(VLOOKUP(Main_L[[#This Row],[Industry]], Mean_ROA_L, 3, FALSE))</f>
        <v>-0.22309111388389882</v>
      </c>
      <c r="S62" s="1">
        <f>(Main_L[[#This Row],[A/E]]-VLOOKUP(Main_L[[#This Row],[Industry]], Mean_AE_L, 2, FALSE))/(VLOOKUP(Main_L[[#This Row],[Industry]], Mean_AE_L, 3, FALSE))</f>
        <v>-0.20331731648273119</v>
      </c>
      <c r="T62" s="1">
        <f>(Main_L[[#This Row],[P/E]]-VLOOKUP(Main_L[[#This Row],[Industry]], Mean_PE_L, 2, FALSE))/(VLOOKUP(Main_L[[#This Row],[Industry]], Mean_PE_L, 3, FALSE))</f>
        <v>5.2778235260905006E-2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202</v>
      </c>
      <c r="B63" t="s">
        <v>225</v>
      </c>
      <c r="C63" s="2">
        <v>158441</v>
      </c>
      <c r="D63">
        <f>RTD("tos.rtd", , "LAST", Main_L[[#This Row],[Symbol]])</f>
        <v>151.34</v>
      </c>
      <c r="E63">
        <v>10.53</v>
      </c>
      <c r="F63">
        <v>25.21</v>
      </c>
      <c r="G63">
        <v>9.7899999999999991</v>
      </c>
      <c r="H63" s="1">
        <f>IF(ISNUMBER(Main_L[[#This Row],[Free CF]]),IF(Main_L[[#This Row],[Free CF]]&lt;&gt;0,Main_L[[#This Row],[Current Price]]/Main_L[[#This Row],[Free CF]],""),"")</f>
        <v>14.37226970560304</v>
      </c>
      <c r="I63" s="1">
        <f>IF(ISNUMBER(Main_L[[#This Row],[BVPS]]),IF(Main_L[[#This Row],[BVPS]]&lt;&gt;0,Main_L[[#This Row],[Current Price]]/Main_L[[#This Row],[BVPS]],""),"")</f>
        <v>6.0031733439111461</v>
      </c>
      <c r="J63">
        <v>42.2</v>
      </c>
      <c r="K63">
        <v>13.43</v>
      </c>
      <c r="L63">
        <v>2</v>
      </c>
      <c r="M63" s="1">
        <f>IF(ISNUMBER(Main_L[[#This Row],[EPS]]),IF(Main_L[[#This Row],[EPS]]&lt;&gt;0,Main_L[[#This Row],[Current Price]]/Main_L[[#This Row],[EPS]],""),"")</f>
        <v>15.458631256384066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-0.7054312006108624</v>
      </c>
      <c r="P63" s="1">
        <f>(Main_L[[#This Row],[P/B]]-VLOOKUP(Main_L[[#This Row],[Industry]], Mean_PB_L, 2, FALSE))/(VLOOKUP(Main_L[[#This Row],[Industry]], Mean_PB_L, 3, FALSE))</f>
        <v>-0.15596883662965849</v>
      </c>
      <c r="Q63" s="1">
        <f>(Main_L[[#This Row],[ROE]]-VLOOKUP(Main_L[[#This Row],[Industry]], Mean_ROE_L, 2, FALSE))/(VLOOKUP(Main_L[[#This Row],[Industry]], Mean_ROE_L, 3, FALSE))</f>
        <v>1.2280455355982483</v>
      </c>
      <c r="R63" s="1">
        <f>(Main_L[[#This Row],[ROA]]-VLOOKUP(Main_L[[#This Row],[Industry]], Mean_ROA_L, 2, FALSE))/(VLOOKUP(Main_L[[#This Row],[Industry]], Mean_ROA_L, 3, FALSE))</f>
        <v>1.06769011869404</v>
      </c>
      <c r="S63" s="1">
        <f>(Main_L[[#This Row],[A/E]]-VLOOKUP(Main_L[[#This Row],[Industry]], Mean_AE_L, 2, FALSE))/(VLOOKUP(Main_L[[#This Row],[Industry]], Mean_AE_L, 3, FALSE))</f>
        <v>0.52446625956341097</v>
      </c>
      <c r="T63" s="1">
        <f>(Main_L[[#This Row],[P/E]]-VLOOKUP(Main_L[[#This Row],[Industry]], Mean_PE_L, 2, FALSE))/(VLOOKUP(Main_L[[#This Row],[Industry]], Mean_PE_L, 3, FALSE))</f>
        <v>-0.86396834982195092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t="s">
        <v>202</v>
      </c>
      <c r="B64" t="s">
        <v>226</v>
      </c>
      <c r="C64" s="2">
        <v>20583</v>
      </c>
      <c r="D64">
        <f>RTD("tos.rtd", , "LAST", Main_L[[#This Row],[Symbol]])</f>
        <v>26.13</v>
      </c>
      <c r="E64">
        <v>-0.05</v>
      </c>
      <c r="F64">
        <v>19.82</v>
      </c>
      <c r="G64">
        <v>1.18</v>
      </c>
      <c r="H64" s="1">
        <f>IF(ISNUMBER(Main_L[[#This Row],[Free CF]]),IF(Main_L[[#This Row],[Free CF]]&lt;&gt;0,Main_L[[#This Row],[Current Price]]/Main_L[[#This Row],[Free CF]],""),"")</f>
        <v>-522.59999999999991</v>
      </c>
      <c r="I64" s="1">
        <f>IF(ISNUMBER(Main_L[[#This Row],[BVPS]]),IF(Main_L[[#This Row],[BVPS]]&lt;&gt;0,Main_L[[#This Row],[Current Price]]/Main_L[[#This Row],[BVPS]],""),"")</f>
        <v>1.3183652875882945</v>
      </c>
      <c r="J64">
        <v>6.31</v>
      </c>
      <c r="K64">
        <v>2.79</v>
      </c>
      <c r="L64">
        <v>1.41</v>
      </c>
      <c r="M64" s="1">
        <f>IF(ISNUMBER(Main_L[[#This Row],[EPS]]),IF(Main_L[[#This Row],[EPS]]&lt;&gt;0,Main_L[[#This Row],[Current Price]]/Main_L[[#This Row],[EPS]],""),"")</f>
        <v>22.14406779661017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-17.464355563921984</v>
      </c>
      <c r="P64" s="1">
        <f>(Main_L[[#This Row],[P/B]]-VLOOKUP(Main_L[[#This Row],[Industry]], Mean_PB_L, 2, FALSE))/(VLOOKUP(Main_L[[#This Row],[Industry]], Mean_PB_L, 3, FALSE))</f>
        <v>-1.059243916563658</v>
      </c>
      <c r="Q64" s="1">
        <f>(Main_L[[#This Row],[ROE]]-VLOOKUP(Main_L[[#This Row],[Industry]], Mean_ROE_L, 2, FALSE))/(VLOOKUP(Main_L[[#This Row],[Industry]], Mean_ROE_L, 3, FALSE))</f>
        <v>-0.51963768526549781</v>
      </c>
      <c r="R64" s="1">
        <f>(Main_L[[#This Row],[ROA]]-VLOOKUP(Main_L[[#This Row],[Industry]], Mean_ROA_L, 2, FALSE))/(VLOOKUP(Main_L[[#This Row],[Industry]], Mean_ROA_L, 3, FALSE))</f>
        <v>-0.85852479219365541</v>
      </c>
      <c r="S64" s="1">
        <f>(Main_L[[#This Row],[A/E]]-VLOOKUP(Main_L[[#This Row],[Industry]], Mean_AE_L, 2, FALSE))/(VLOOKUP(Main_L[[#This Row],[Industry]], Mean_AE_L, 3, FALSE))</f>
        <v>-0.70236891148579994</v>
      </c>
      <c r="T64" s="1">
        <f>(Main_L[[#This Row],[P/E]]-VLOOKUP(Main_L[[#This Row],[Industry]], Mean_PE_L, 2, FALSE))/(VLOOKUP(Main_L[[#This Row],[Industry]], Mean_PE_L, 3, FALSE))</f>
        <v>-0.47303349698384084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202</v>
      </c>
      <c r="B65" t="s">
        <v>227</v>
      </c>
      <c r="C65" s="2">
        <v>10271</v>
      </c>
      <c r="D65">
        <f>RTD("tos.rtd", , "LAST", Main_L[[#This Row],[Symbol]])</f>
        <v>72.599999999999994</v>
      </c>
      <c r="E65">
        <v>7.64</v>
      </c>
      <c r="F65">
        <v>39.83</v>
      </c>
      <c r="G65">
        <v>3.25</v>
      </c>
      <c r="H65" s="1">
        <f>IF(ISNUMBER(Main_L[[#This Row],[Free CF]]),IF(Main_L[[#This Row],[Free CF]]&lt;&gt;0,Main_L[[#This Row],[Current Price]]/Main_L[[#This Row],[Free CF]],""),"")</f>
        <v>9.5026178010471209</v>
      </c>
      <c r="I65" s="1">
        <f>IF(ISNUMBER(Main_L[[#This Row],[BVPS]]),IF(Main_L[[#This Row],[BVPS]]&lt;&gt;0,Main_L[[#This Row],[Current Price]]/Main_L[[#This Row],[BVPS]],""),"")</f>
        <v>1.8227466733617876</v>
      </c>
      <c r="J65">
        <v>8.34</v>
      </c>
      <c r="K65">
        <v>5.25</v>
      </c>
      <c r="L65">
        <v>1.3</v>
      </c>
      <c r="M65" s="1">
        <f>IF(ISNUMBER(Main_L[[#This Row],[EPS]]),IF(Main_L[[#This Row],[EPS]]&lt;&gt;0,Main_L[[#This Row],[Current Price]]/Main_L[[#This Row],[EPS]],""),"")</f>
        <v>22.338461538461537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-0.85741321634670209</v>
      </c>
      <c r="P65" s="1">
        <f>(Main_L[[#This Row],[P/B]]-VLOOKUP(Main_L[[#This Row],[Industry]], Mean_PB_L, 2, FALSE))/(VLOOKUP(Main_L[[#This Row],[Industry]], Mean_PB_L, 3, FALSE))</f>
        <v>-0.96199443887441094</v>
      </c>
      <c r="Q65" s="1">
        <f>(Main_L[[#This Row],[ROE]]-VLOOKUP(Main_L[[#This Row],[Industry]], Mean_ROE_L, 2, FALSE))/(VLOOKUP(Main_L[[#This Row],[Industry]], Mean_ROE_L, 3, FALSE))</f>
        <v>-0.4207857226476821</v>
      </c>
      <c r="R65" s="1">
        <f>(Main_L[[#This Row],[ROA]]-VLOOKUP(Main_L[[#This Row],[Industry]], Mean_ROA_L, 2, FALSE))/(VLOOKUP(Main_L[[#This Row],[Industry]], Mean_ROA_L, 3, FALSE))</f>
        <v>-0.41317811166886875</v>
      </c>
      <c r="S65" s="1">
        <f>(Main_L[[#This Row],[A/E]]-VLOOKUP(Main_L[[#This Row],[Industry]], Mean_AE_L, 2, FALSE))/(VLOOKUP(Main_L[[#This Row],[Industry]], Mean_AE_L, 3, FALSE))</f>
        <v>-0.93110089252887285</v>
      </c>
      <c r="T65" s="1">
        <f>(Main_L[[#This Row],[P/E]]-VLOOKUP(Main_L[[#This Row],[Industry]], Mean_PE_L, 2, FALSE))/(VLOOKUP(Main_L[[#This Row],[Industry]], Mean_PE_L, 3, FALSE))</f>
        <v>-0.46166620804076997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202</v>
      </c>
      <c r="B66" t="s">
        <v>228</v>
      </c>
      <c r="C66" s="2">
        <v>905260</v>
      </c>
      <c r="D66">
        <f>RTD("tos.rtd", , "LAST", Main_L[[#This Row],[Symbol]])</f>
        <v>193.99</v>
      </c>
      <c r="E66">
        <v>1.04</v>
      </c>
      <c r="F66">
        <v>26.67</v>
      </c>
      <c r="G66">
        <v>7.59</v>
      </c>
      <c r="H66" s="1">
        <f>IF(ISNUMBER(Main_L[[#This Row],[Free CF]]),IF(Main_L[[#This Row],[Free CF]]&lt;&gt;0,Main_L[[#This Row],[Current Price]]/Main_L[[#This Row],[Free CF]],""),"")</f>
        <v>186.52884615384616</v>
      </c>
      <c r="I66" s="1">
        <f>IF(ISNUMBER(Main_L[[#This Row],[BVPS]]),IF(Main_L[[#This Row],[BVPS]]&lt;&gt;0,Main_L[[#This Row],[Current Price]]/Main_L[[#This Row],[BVPS]],""),"")</f>
        <v>7.2737157855268091</v>
      </c>
      <c r="J66">
        <v>31.66</v>
      </c>
      <c r="K66">
        <v>14.33</v>
      </c>
      <c r="L66">
        <v>1.55</v>
      </c>
      <c r="M66" s="1">
        <f>IF(ISNUMBER(Main_L[[#This Row],[EPS]]),IF(Main_L[[#This Row],[EPS]]&lt;&gt;0,Main_L[[#This Row],[Current Price]]/Main_L[[#This Row],[EPS]],""),"")</f>
        <v>25.558629776021082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4.6675819066106605</v>
      </c>
      <c r="P66" s="1">
        <f>(Main_L[[#This Row],[P/B]]-VLOOKUP(Main_L[[#This Row],[Industry]], Mean_PB_L, 2, FALSE))/(VLOOKUP(Main_L[[#This Row],[Industry]], Mean_PB_L, 3, FALSE))</f>
        <v>8.9003702631795731E-2</v>
      </c>
      <c r="Q66" s="1">
        <f>(Main_L[[#This Row],[ROE]]-VLOOKUP(Main_L[[#This Row],[Industry]], Mean_ROE_L, 2, FALSE))/(VLOOKUP(Main_L[[#This Row],[Industry]], Mean_ROE_L, 3, FALSE))</f>
        <v>0.71479445875500824</v>
      </c>
      <c r="R66" s="1">
        <f>(Main_L[[#This Row],[ROA]]-VLOOKUP(Main_L[[#This Row],[Industry]], Mean_ROA_L, 2, FALSE))/(VLOOKUP(Main_L[[#This Row],[Industry]], Mean_ROA_L, 3, FALSE))</f>
        <v>1.230621831081157</v>
      </c>
      <c r="S66" s="1">
        <f>(Main_L[[#This Row],[A/E]]-VLOOKUP(Main_L[[#This Row],[Industry]], Mean_AE_L, 2, FALSE))/(VLOOKUP(Main_L[[#This Row],[Industry]], Mean_AE_L, 3, FALSE))</f>
        <v>-0.41125548106734289</v>
      </c>
      <c r="T66" s="1">
        <f>(Main_L[[#This Row],[P/E]]-VLOOKUP(Main_L[[#This Row],[Industry]], Mean_PE_L, 2, FALSE))/(VLOOKUP(Main_L[[#This Row],[Industry]], Mean_PE_L, 3, FALSE))</f>
        <v>-0.27336496720336589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202</v>
      </c>
      <c r="B67" t="s">
        <v>229</v>
      </c>
      <c r="C67" s="2">
        <v>149707</v>
      </c>
      <c r="D67">
        <f>RTD("tos.rtd", , "LAST", Main_L[[#This Row],[Symbol]])</f>
        <v>188.2</v>
      </c>
      <c r="E67">
        <v>1.6</v>
      </c>
      <c r="F67">
        <v>18.05</v>
      </c>
      <c r="G67">
        <v>5.28</v>
      </c>
      <c r="H67" s="1">
        <f>IF(ISNUMBER(Main_L[[#This Row],[Free CF]]),IF(Main_L[[#This Row],[Free CF]]&lt;&gt;0,Main_L[[#This Row],[Current Price]]/Main_L[[#This Row],[Free CF]],""),"")</f>
        <v>117.62499999999999</v>
      </c>
      <c r="I67" s="1">
        <f>IF(ISNUMBER(Main_L[[#This Row],[BVPS]]),IF(Main_L[[#This Row],[BVPS]]&lt;&gt;0,Main_L[[#This Row],[Current Price]]/Main_L[[#This Row],[BVPS]],""),"")</f>
        <v>10.426592797783933</v>
      </c>
      <c r="J67">
        <v>29.19</v>
      </c>
      <c r="K67">
        <v>10.039999999999999</v>
      </c>
      <c r="L67">
        <v>2.06</v>
      </c>
      <c r="M67" s="1">
        <f>IF(ISNUMBER(Main_L[[#This Row],[EPS]]),IF(Main_L[[#This Row],[EPS]]&lt;&gt;0,Main_L[[#This Row],[Current Price]]/Main_L[[#This Row],[EPS]],""),"")</f>
        <v>35.643939393939391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2.51709032411864</v>
      </c>
      <c r="P67" s="1">
        <f>(Main_L[[#This Row],[P/B]]-VLOOKUP(Main_L[[#This Row],[Industry]], Mean_PB_L, 2, FALSE))/(VLOOKUP(Main_L[[#This Row],[Industry]], Mean_PB_L, 3, FALSE))</f>
        <v>0.69690806093841484</v>
      </c>
      <c r="Q67" s="1">
        <f>(Main_L[[#This Row],[ROE]]-VLOOKUP(Main_L[[#This Row],[Industry]], Mean_ROE_L, 2, FALSE))/(VLOOKUP(Main_L[[#This Row],[Industry]], Mean_ROE_L, 3, FALSE))</f>
        <v>0.59451645497865124</v>
      </c>
      <c r="R67" s="1">
        <f>(Main_L[[#This Row],[ROA]]-VLOOKUP(Main_L[[#This Row],[Industry]], Mean_ROA_L, 2, FALSE))/(VLOOKUP(Main_L[[#This Row],[Industry]], Mean_ROA_L, 3, FALSE))</f>
        <v>0.45398066870256537</v>
      </c>
      <c r="S67" s="1">
        <f>(Main_L[[#This Row],[A/E]]-VLOOKUP(Main_L[[#This Row],[Industry]], Mean_AE_L, 2, FALSE))/(VLOOKUP(Main_L[[#This Row],[Industry]], Mean_AE_L, 3, FALSE))</f>
        <v>0.64922915831417827</v>
      </c>
      <c r="T67" s="1">
        <f>(Main_L[[#This Row],[P/E]]-VLOOKUP(Main_L[[#This Row],[Industry]], Mean_PE_L, 2, FALSE))/(VLOOKUP(Main_L[[#This Row],[Industry]], Mean_PE_L, 3, FALSE))</f>
        <v>0.31637947320595511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202</v>
      </c>
      <c r="B68" t="s">
        <v>230</v>
      </c>
      <c r="C68" s="2">
        <v>18762</v>
      </c>
      <c r="D68">
        <f>RTD("tos.rtd", , "LAST", Main_L[[#This Row],[Symbol]])</f>
        <v>7.76</v>
      </c>
      <c r="E68">
        <v>0.05</v>
      </c>
      <c r="F68">
        <v>0.93</v>
      </c>
      <c r="G68">
        <v>0.11</v>
      </c>
      <c r="H68" s="1">
        <f>IF(ISNUMBER(Main_L[[#This Row],[Free CF]]),IF(Main_L[[#This Row],[Free CF]]&lt;&gt;0,Main_L[[#This Row],[Current Price]]/Main_L[[#This Row],[Free CF]],""),"")</f>
        <v>155.19999999999999</v>
      </c>
      <c r="I68" s="1">
        <f>IF(ISNUMBER(Main_L[[#This Row],[BVPS]]),IF(Main_L[[#This Row],[BVPS]]&lt;&gt;0,Main_L[[#This Row],[Current Price]]/Main_L[[#This Row],[BVPS]],""),"")</f>
        <v>8.344086021505376</v>
      </c>
      <c r="J68">
        <v>11.55</v>
      </c>
      <c r="K68">
        <v>5.45</v>
      </c>
      <c r="L68">
        <v>1.47</v>
      </c>
      <c r="M68" s="1">
        <f>IF(ISNUMBER(Main_L[[#This Row],[EPS]]),IF(Main_L[[#This Row],[EPS]]&lt;&gt;0,Main_L[[#This Row],[Current Price]]/Main_L[[#This Row],[EPS]],""),"")</f>
        <v>70.545454545454547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3.6898074614424354</v>
      </c>
      <c r="P68" s="1">
        <f>(Main_L[[#This Row],[P/B]]-VLOOKUP(Main_L[[#This Row],[Industry]], Mean_PB_L, 2, FALSE))/(VLOOKUP(Main_L[[#This Row],[Industry]], Mean_PB_L, 3, FALSE))</f>
        <v>0.29538115691353944</v>
      </c>
      <c r="Q68" s="1">
        <f>(Main_L[[#This Row],[ROE]]-VLOOKUP(Main_L[[#This Row],[Industry]], Mean_ROE_L, 2, FALSE))/(VLOOKUP(Main_L[[#This Row],[Industry]], Mean_ROE_L, 3, FALSE))</f>
        <v>-0.26447301328650552</v>
      </c>
      <c r="R68" s="1">
        <f>(Main_L[[#This Row],[ROA]]-VLOOKUP(Main_L[[#This Row],[Industry]], Mean_ROA_L, 2, FALSE))/(VLOOKUP(Main_L[[#This Row],[Industry]], Mean_ROA_L, 3, FALSE))</f>
        <v>-0.37697106447173157</v>
      </c>
      <c r="S68" s="1">
        <f>(Main_L[[#This Row],[A/E]]-VLOOKUP(Main_L[[#This Row],[Industry]], Mean_AE_L, 2, FALSE))/(VLOOKUP(Main_L[[#This Row],[Industry]], Mean_AE_L, 3, FALSE))</f>
        <v>-0.57760601273503265</v>
      </c>
      <c r="T68" s="1">
        <f>(Main_L[[#This Row],[P/E]]-VLOOKUP(Main_L[[#This Row],[Industry]], Mean_PE_L, 2, FALSE))/(VLOOKUP(Main_L[[#This Row],[Industry]], Mean_PE_L, 3, FALSE))</f>
        <v>2.3572661987754415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124</v>
      </c>
      <c r="B69" t="s">
        <v>125</v>
      </c>
      <c r="C69" s="2">
        <v>164074</v>
      </c>
      <c r="D69">
        <f>RTD("tos.rtd", , "LAST", Main_L[[#This Row],[Symbol]])</f>
        <v>397.4</v>
      </c>
      <c r="E69">
        <v>20.76</v>
      </c>
      <c r="F69">
        <v>30.1</v>
      </c>
      <c r="G69">
        <v>15.16</v>
      </c>
      <c r="H69" s="1">
        <f>IF(ISNUMBER(Main_L[[#This Row],[Free CF]]),IF(Main_L[[#This Row],[Free CF]]&lt;&gt;0,Main_L[[#This Row],[Current Price]]/Main_L[[#This Row],[Free CF]],""),"")</f>
        <v>19.142581888246625</v>
      </c>
      <c r="I69" s="1">
        <f>IF(ISNUMBER(Main_L[[#This Row],[BVPS]]),IF(Main_L[[#This Row],[BVPS]]&lt;&gt;0,Main_L[[#This Row],[Current Price]]/Main_L[[#This Row],[BVPS]],""),"")</f>
        <v>13.202657807308968</v>
      </c>
      <c r="J69">
        <v>47.28</v>
      </c>
      <c r="K69">
        <v>17.190000000000001</v>
      </c>
      <c r="L69">
        <v>2.29</v>
      </c>
      <c r="M69" s="1">
        <f>IF(ISNUMBER(Main_L[[#This Row],[EPS]]),IF(Main_L[[#This Row],[EPS]]&lt;&gt;0,Main_L[[#This Row],[Current Price]]/Main_L[[#This Row],[EPS]],""),"")</f>
        <v>26.213720316622691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-1.0193972453121132</v>
      </c>
      <c r="P69" s="1">
        <f>(Main_L[[#This Row],[P/B]]-VLOOKUP(Main_L[[#This Row],[Industry]], Mean_PB_L, 2, FALSE))/(VLOOKUP(Main_L[[#This Row],[Industry]], Mean_PB_L, 3, FALSE))</f>
        <v>0.13062335153428534</v>
      </c>
      <c r="Q69" s="1">
        <f>(Main_L[[#This Row],[ROE]]-VLOOKUP(Main_L[[#This Row],[Industry]], Mean_ROE_L, 2, FALSE))/(VLOOKUP(Main_L[[#This Row],[Industry]], Mean_ROE_L, 3, FALSE))</f>
        <v>1.7278872817253166</v>
      </c>
      <c r="R69" s="1">
        <f>(Main_L[[#This Row],[ROA]]-VLOOKUP(Main_L[[#This Row],[Industry]], Mean_ROA_L, 2, FALSE))/(VLOOKUP(Main_L[[#This Row],[Industry]], Mean_ROA_L, 3, FALSE))</f>
        <v>2.3922018630358939</v>
      </c>
      <c r="S69" s="1">
        <f>(Main_L[[#This Row],[A/E]]-VLOOKUP(Main_L[[#This Row],[Industry]], Mean_AE_L, 2, FALSE))/(VLOOKUP(Main_L[[#This Row],[Industry]], Mean_AE_L, 3, FALSE))</f>
        <v>0.70589003637284209</v>
      </c>
      <c r="T69" s="1">
        <f>(Main_L[[#This Row],[P/E]]-VLOOKUP(Main_L[[#This Row],[Industry]], Mean_PE_L, 2, FALSE))/(VLOOKUP(Main_L[[#This Row],[Industry]], Mean_PE_L, 3, FALSE))</f>
        <v>-0.58753846491253003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0" spans="1:26" x14ac:dyDescent="0.25">
      <c r="A70" t="s">
        <v>124</v>
      </c>
      <c r="B70" t="s">
        <v>126</v>
      </c>
      <c r="C70" s="2">
        <v>60356</v>
      </c>
      <c r="D70">
        <f>RTD("tos.rtd", , "LAST", Main_L[[#This Row],[Symbol]])</f>
        <v>297.01</v>
      </c>
      <c r="E70">
        <v>7</v>
      </c>
      <c r="F70">
        <v>12.25</v>
      </c>
      <c r="G70">
        <v>5.12</v>
      </c>
      <c r="H70" s="1">
        <f>IF(ISNUMBER(Main_L[[#This Row],[Free CF]]),IF(Main_L[[#This Row],[Free CF]]&lt;&gt;0,Main_L[[#This Row],[Current Price]]/Main_L[[#This Row],[Free CF]],""),"")</f>
        <v>42.43</v>
      </c>
      <c r="I70" s="1">
        <f>IF(ISNUMBER(Main_L[[#This Row],[BVPS]]),IF(Main_L[[#This Row],[BVPS]]&lt;&gt;0,Main_L[[#This Row],[Current Price]]/Main_L[[#This Row],[BVPS]],""),"")</f>
        <v>24.245714285714286</v>
      </c>
      <c r="J70">
        <v>49.69</v>
      </c>
      <c r="K70">
        <v>8.5299999999999994</v>
      </c>
      <c r="L70">
        <v>4.13</v>
      </c>
      <c r="M70" s="1">
        <f>IF(ISNUMBER(Main_L[[#This Row],[EPS]]),IF(Main_L[[#This Row],[EPS]]&lt;&gt;0,Main_L[[#This Row],[Current Price]]/Main_L[[#This Row],[EPS]],""),"")</f>
        <v>58.009765625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-3.5319785005052048E-2</v>
      </c>
      <c r="P70" s="1">
        <f>(Main_L[[#This Row],[P/B]]-VLOOKUP(Main_L[[#This Row],[Industry]], Mean_PB_L, 2, FALSE))/(VLOOKUP(Main_L[[#This Row],[Industry]], Mean_PB_L, 3, FALSE))</f>
        <v>1.5510858115159145</v>
      </c>
      <c r="Q70" s="1">
        <f>(Main_L[[#This Row],[ROE]]-VLOOKUP(Main_L[[#This Row],[Industry]], Mean_ROE_L, 2, FALSE))/(VLOOKUP(Main_L[[#This Row],[Industry]], Mean_ROE_L, 3, FALSE))</f>
        <v>1.8478174416165865</v>
      </c>
      <c r="R70" s="1">
        <f>(Main_L[[#This Row],[ROA]]-VLOOKUP(Main_L[[#This Row],[Industry]], Mean_ROA_L, 2, FALSE))/(VLOOKUP(Main_L[[#This Row],[Industry]], Mean_ROA_L, 3, FALSE))</f>
        <v>0.78768599400390604</v>
      </c>
      <c r="S70" s="1">
        <f>(Main_L[[#This Row],[A/E]]-VLOOKUP(Main_L[[#This Row],[Industry]], Mean_AE_L, 2, FALSE))/(VLOOKUP(Main_L[[#This Row],[Industry]], Mean_AE_L, 3, FALSE))</f>
        <v>3.8831801037233928</v>
      </c>
      <c r="T70" s="1">
        <f>(Main_L[[#This Row],[P/E]]-VLOOKUP(Main_L[[#This Row],[Industry]], Mean_PE_L, 2, FALSE))/(VLOOKUP(Main_L[[#This Row],[Industry]], Mean_PE_L, 3, FALSE))</f>
        <v>0.23451113724684072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124</v>
      </c>
      <c r="B71" t="s">
        <v>127</v>
      </c>
      <c r="C71" s="2">
        <v>28661</v>
      </c>
      <c r="D71">
        <f>RTD("tos.rtd", , "LAST", Main_L[[#This Row],[Symbol]])</f>
        <v>347.08</v>
      </c>
      <c r="E71">
        <v>9.91</v>
      </c>
      <c r="F71">
        <v>70.290000000000006</v>
      </c>
      <c r="G71">
        <v>6.74</v>
      </c>
      <c r="H71" s="1">
        <f>IF(ISNUMBER(Main_L[[#This Row],[Free CF]]),IF(Main_L[[#This Row],[Free CF]]&lt;&gt;0,Main_L[[#This Row],[Current Price]]/Main_L[[#This Row],[Free CF]],""),"")</f>
        <v>35.023208879919274</v>
      </c>
      <c r="I71" s="1">
        <f>IF(ISNUMBER(Main_L[[#This Row],[BVPS]]),IF(Main_L[[#This Row],[BVPS]]&lt;&gt;0,Main_L[[#This Row],[Current Price]]/Main_L[[#This Row],[BVPS]],""),"")</f>
        <v>4.9378289941670213</v>
      </c>
      <c r="J71">
        <v>10.23</v>
      </c>
      <c r="K71">
        <v>6.06</v>
      </c>
      <c r="L71">
        <v>1.29</v>
      </c>
      <c r="M71" s="1">
        <f>IF(ISNUMBER(Main_L[[#This Row],[EPS]]),IF(Main_L[[#This Row],[EPS]]&lt;&gt;0,Main_L[[#This Row],[Current Price]]/Main_L[[#This Row],[EPS]],""),"")</f>
        <v>51.495548961424326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71" s="1">
        <f>(Main_L[[#This Row],[P/FCF]]-VLOOKUP(Main_L[[#This Row],[Industry]], Mean_PFCF_L, 2, FALSE))/(VLOOKUP(Main_L[[#This Row],[Industry]], Mean_PFCF_L, 3, FALSE))</f>
        <v>-0.34831524716816664</v>
      </c>
      <c r="P71" s="1">
        <f>(Main_L[[#This Row],[P/B]]-VLOOKUP(Main_L[[#This Row],[Industry]], Mean_PB_L, 2, FALSE))/(VLOOKUP(Main_L[[#This Row],[Industry]], Mean_PB_L, 3, FALSE))</f>
        <v>-0.93247716689555127</v>
      </c>
      <c r="Q71" s="1">
        <f>(Main_L[[#This Row],[ROE]]-VLOOKUP(Main_L[[#This Row],[Industry]], Mean_ROE_L, 2, FALSE))/(VLOOKUP(Main_L[[#This Row],[Industry]], Mean_ROE_L, 3, FALSE))</f>
        <v>-0.11585231328362541</v>
      </c>
      <c r="R71" s="1">
        <f>(Main_L[[#This Row],[ROA]]-VLOOKUP(Main_L[[#This Row],[Industry]], Mean_ROA_L, 2, FALSE))/(VLOOKUP(Main_L[[#This Row],[Industry]], Mean_ROA_L, 3, FALSE))</f>
        <v>0.33004694128924</v>
      </c>
      <c r="S71" s="1">
        <f>(Main_L[[#This Row],[A/E]]-VLOOKUP(Main_L[[#This Row],[Industry]], Mean_AE_L, 2, FALSE))/(VLOOKUP(Main_L[[#This Row],[Industry]], Mean_AE_L, 3, FALSE))</f>
        <v>-1.0208980437089792</v>
      </c>
      <c r="T71" s="1">
        <f>(Main_L[[#This Row],[P/E]]-VLOOKUP(Main_L[[#This Row],[Industry]], Mean_PE_L, 2, FALSE))/(VLOOKUP(Main_L[[#This Row],[Industry]], Mean_PE_L, 3, FALSE))</f>
        <v>6.6093676372816837E-2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124</v>
      </c>
      <c r="B72" t="s">
        <v>128</v>
      </c>
      <c r="C72" s="2">
        <v>102680</v>
      </c>
      <c r="D72">
        <f>RTD("tos.rtd", , "LAST", Main_L[[#This Row],[Symbol]])</f>
        <v>370.1</v>
      </c>
      <c r="E72">
        <v>6.22</v>
      </c>
      <c r="F72">
        <v>3.2</v>
      </c>
      <c r="G72">
        <v>4.53</v>
      </c>
      <c r="H72" s="1">
        <f>IF(ISNUMBER(Main_L[[#This Row],[Free CF]]),IF(Main_L[[#This Row],[Free CF]]&lt;&gt;0,Main_L[[#This Row],[Current Price]]/Main_L[[#This Row],[Free CF]],""),"")</f>
        <v>59.501607717041807</v>
      </c>
      <c r="I72" s="1">
        <f>IF(ISNUMBER(Main_L[[#This Row],[BVPS]]),IF(Main_L[[#This Row],[BVPS]]&lt;&gt;0,Main_L[[#This Row],[Current Price]]/Main_L[[#This Row],[BVPS]],""),"")</f>
        <v>115.65625</v>
      </c>
      <c r="J72">
        <v>134.66999999999999</v>
      </c>
      <c r="K72">
        <v>20.87</v>
      </c>
      <c r="L72">
        <v>5.39</v>
      </c>
      <c r="M72" s="1">
        <f>IF(ISNUMBER(Main_L[[#This Row],[EPS]]),IF(Main_L[[#This Row],[EPS]]&lt;&gt;0,Main_L[[#This Row],[Current Price]]/Main_L[[#This Row],[EPS]],""),"")</f>
        <v>81.699779249448127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0.68609056134270052</v>
      </c>
      <c r="P72" s="1">
        <f>(Main_L[[#This Row],[P/B]]-VLOOKUP(Main_L[[#This Row],[Industry]], Mean_PB_L, 2, FALSE))/(VLOOKUP(Main_L[[#This Row],[Industry]], Mean_PB_L, 3, FALSE))</f>
        <v>13.309174225069269</v>
      </c>
      <c r="Q72" s="1">
        <f>(Main_L[[#This Row],[ROE]]-VLOOKUP(Main_L[[#This Row],[Industry]], Mean_ROE_L, 2, FALSE))/(VLOOKUP(Main_L[[#This Row],[Industry]], Mean_ROE_L, 3, FALSE))</f>
        <v>6.0767240754589578</v>
      </c>
      <c r="R72" s="1">
        <f>(Main_L[[#This Row],[ROA]]-VLOOKUP(Main_L[[#This Row],[Industry]], Mean_ROA_L, 2, FALSE))/(VLOOKUP(Main_L[[#This Row],[Industry]], Mean_ROA_L, 3, FALSE))</f>
        <v>3.0740284678901331</v>
      </c>
      <c r="S72" s="1">
        <f>(Main_L[[#This Row],[A/E]]-VLOOKUP(Main_L[[#This Row],[Industry]], Mean_AE_L, 2, FALSE))/(VLOOKUP(Main_L[[#This Row],[Industry]], Mean_AE_L, 3, FALSE))</f>
        <v>6.0589330846264868</v>
      </c>
      <c r="T72" s="1">
        <f>(Main_L[[#This Row],[P/E]]-VLOOKUP(Main_L[[#This Row],[Industry]], Mean_PE_L, 2, FALSE))/(VLOOKUP(Main_L[[#This Row],[Industry]], Mean_PE_L, 3, FALSE))</f>
        <v>0.84698876099701015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124</v>
      </c>
      <c r="B73" t="s">
        <v>129</v>
      </c>
      <c r="C73" s="2">
        <v>12916</v>
      </c>
      <c r="D73">
        <f>RTD("tos.rtd", , "LAST", Main_L[[#This Row],[Symbol]])</f>
        <v>7.32</v>
      </c>
      <c r="E73">
        <v>-0.4</v>
      </c>
      <c r="F73">
        <v>1.08</v>
      </c>
      <c r="G73">
        <v>-0.46</v>
      </c>
      <c r="H73" s="1">
        <f>IF(ISNUMBER(Main_L[[#This Row],[Free CF]]),IF(Main_L[[#This Row],[Free CF]]&lt;&gt;0,Main_L[[#This Row],[Current Price]]/Main_L[[#This Row],[Free CF]],""),"")</f>
        <v>-18.3</v>
      </c>
      <c r="I73" s="1">
        <f>IF(ISNUMBER(Main_L[[#This Row],[BVPS]]),IF(Main_L[[#This Row],[BVPS]]&lt;&gt;0,Main_L[[#This Row],[Current Price]]/Main_L[[#This Row],[BVPS]],""),"")</f>
        <v>6.7777777777777777</v>
      </c>
      <c r="J73">
        <v>-38.76</v>
      </c>
      <c r="K73">
        <v>-22.47</v>
      </c>
      <c r="L73">
        <v>1.1399999999999999</v>
      </c>
      <c r="M73" s="1">
        <f>IF(ISNUMBER(Main_L[[#This Row],[EPS]]),IF(Main_L[[#This Row],[EPS]]&lt;&gt;0,Main_L[[#This Row],[Current Price]]/Main_L[[#This Row],[EPS]],""),"")</f>
        <v>-15.913043478260869</v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>
        <f>(Main_L[[#This Row],[P/FCF]]-VLOOKUP(Main_L[[#This Row],[Industry]], Mean_PFCF_L, 2, FALSE))/(VLOOKUP(Main_L[[#This Row],[Industry]], Mean_PFCF_L, 3, FALSE))</f>
        <v>-2.6016422462436757</v>
      </c>
      <c r="P73" s="1">
        <f>(Main_L[[#This Row],[P/B]]-VLOOKUP(Main_L[[#This Row],[Industry]], Mean_PB_L, 2, FALSE))/(VLOOKUP(Main_L[[#This Row],[Industry]], Mean_PB_L, 3, FALSE))</f>
        <v>-0.69580553703304082</v>
      </c>
      <c r="Q73" s="1">
        <f>(Main_L[[#This Row],[ROE]]-VLOOKUP(Main_L[[#This Row],[Industry]], Mean_ROE_L, 2, FALSE))/(VLOOKUP(Main_L[[#This Row],[Industry]], Mean_ROE_L, 3, FALSE))</f>
        <v>-2.5537687170484853</v>
      </c>
      <c r="R73" s="1">
        <f>(Main_L[[#This Row],[ROA]]-VLOOKUP(Main_L[[#This Row],[Industry]], Mean_ROA_L, 2, FALSE))/(VLOOKUP(Main_L[[#This Row],[Industry]], Mean_ROA_L, 3, FALSE))</f>
        <v>-4.9559620360182191</v>
      </c>
      <c r="S73" s="1">
        <f>(Main_L[[#This Row],[A/E]]-VLOOKUP(Main_L[[#This Row],[Industry]], Mean_AE_L, 2, FALSE))/(VLOOKUP(Main_L[[#This Row],[Industry]], Mean_AE_L, 3, FALSE))</f>
        <v>-1.2799162557212524</v>
      </c>
      <c r="T73" s="1">
        <f>(Main_L[[#This Row],[P/E]]-VLOOKUP(Main_L[[#This Row],[Industry]], Mean_PE_L, 2, FALSE))/(VLOOKUP(Main_L[[#This Row],[Industry]], Mean_PE_L, 3, FALSE))</f>
        <v>-1.6766767235223758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4" spans="1:26" x14ac:dyDescent="0.25">
      <c r="A74" t="s">
        <v>124</v>
      </c>
      <c r="B74" t="s">
        <v>130</v>
      </c>
      <c r="C74" s="2">
        <v>13998</v>
      </c>
      <c r="D74">
        <f>RTD("tos.rtd", , "LAST", Main_L[[#This Row],[Symbol]])</f>
        <v>48.14</v>
      </c>
      <c r="E74">
        <v>1.34</v>
      </c>
      <c r="F74">
        <v>3.31</v>
      </c>
      <c r="G74">
        <v>0.72</v>
      </c>
      <c r="H74" s="1">
        <f>IF(ISNUMBER(Main_L[[#This Row],[Free CF]]),IF(Main_L[[#This Row],[Free CF]]&lt;&gt;0,Main_L[[#This Row],[Current Price]]/Main_L[[#This Row],[Free CF]],""),"")</f>
        <v>35.925373134328353</v>
      </c>
      <c r="I74" s="1">
        <f>IF(ISNUMBER(Main_L[[#This Row],[BVPS]]),IF(Main_L[[#This Row],[BVPS]]&lt;&gt;0,Main_L[[#This Row],[Current Price]]/Main_L[[#This Row],[BVPS]],""),"")</f>
        <v>14.543806646525679</v>
      </c>
      <c r="J74">
        <v>24.36</v>
      </c>
      <c r="K74">
        <v>5.83</v>
      </c>
      <c r="L74">
        <v>3.27</v>
      </c>
      <c r="M74" s="1">
        <f>IF(ISNUMBER(Main_L[[#This Row],[EPS]]),IF(Main_L[[#This Row],[EPS]]&lt;&gt;0,Main_L[[#This Row],[Current Price]]/Main_L[[#This Row],[EPS]],""),"")</f>
        <v>66.861111111111114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-0.31019167743629417</v>
      </c>
      <c r="P74" s="1">
        <f>(Main_L[[#This Row],[P/B]]-VLOOKUP(Main_L[[#This Row],[Industry]], Mean_PB_L, 2, FALSE))/(VLOOKUP(Main_L[[#This Row],[Industry]], Mean_PB_L, 3, FALSE))</f>
        <v>0.30313461081115323</v>
      </c>
      <c r="Q74" s="1">
        <f>(Main_L[[#This Row],[ROE]]-VLOOKUP(Main_L[[#This Row],[Industry]], Mean_ROE_L, 2, FALSE))/(VLOOKUP(Main_L[[#This Row],[Industry]], Mean_ROE_L, 3, FALSE))</f>
        <v>0.58730667396269975</v>
      </c>
      <c r="R74" s="1">
        <f>(Main_L[[#This Row],[ROA]]-VLOOKUP(Main_L[[#This Row],[Industry]], Mean_ROA_L, 2, FALSE))/(VLOOKUP(Main_L[[#This Row],[Industry]], Mean_ROA_L, 3, FALSE))</f>
        <v>0.28743277848585014</v>
      </c>
      <c r="S74" s="1">
        <f>(Main_L[[#This Row],[A/E]]-VLOOKUP(Main_L[[#This Row],[Industry]], Mean_AE_L, 2, FALSE))/(VLOOKUP(Main_L[[#This Row],[Industry]], Mean_AE_L, 3, FALSE))</f>
        <v>2.398142354853027</v>
      </c>
      <c r="T74" s="1">
        <f>(Main_L[[#This Row],[P/E]]-VLOOKUP(Main_L[[#This Row],[Industry]], Mean_PE_L, 2, FALSE))/(VLOOKUP(Main_L[[#This Row],[Industry]], Mean_PE_L, 3, FALSE))</f>
        <v>0.46335233321518687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5" spans="1:26" x14ac:dyDescent="0.25">
      <c r="A75" t="s">
        <v>124</v>
      </c>
      <c r="B75" t="s">
        <v>131</v>
      </c>
      <c r="C75" s="2">
        <v>84190</v>
      </c>
      <c r="D75">
        <f>RTD("tos.rtd", , "LAST", Main_L[[#This Row],[Symbol]])</f>
        <v>318.66000000000003</v>
      </c>
      <c r="E75">
        <v>5.1100000000000003</v>
      </c>
      <c r="F75">
        <v>17.489999999999998</v>
      </c>
      <c r="G75">
        <v>3.94</v>
      </c>
      <c r="H75" s="1">
        <f>IF(ISNUMBER(Main_L[[#This Row],[Free CF]]),IF(Main_L[[#This Row],[Free CF]]&lt;&gt;0,Main_L[[#This Row],[Current Price]]/Main_L[[#This Row],[Free CF]],""),"")</f>
        <v>62.360078277886501</v>
      </c>
      <c r="I75" s="1">
        <f>IF(ISNUMBER(Main_L[[#This Row],[BVPS]]),IF(Main_L[[#This Row],[BVPS]]&lt;&gt;0,Main_L[[#This Row],[Current Price]]/Main_L[[#This Row],[BVPS]],""),"")</f>
        <v>18.219554030874789</v>
      </c>
      <c r="J75">
        <v>25.92</v>
      </c>
      <c r="K75">
        <v>12.73</v>
      </c>
      <c r="L75">
        <v>1.89</v>
      </c>
      <c r="M75" s="1">
        <f>IF(ISNUMBER(Main_L[[#This Row],[EPS]]),IF(Main_L[[#This Row],[EPS]]&lt;&gt;0,Main_L[[#This Row],[Current Price]]/Main_L[[#This Row],[EPS]],""),"")</f>
        <v>80.878172588832498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0.80688353359834197</v>
      </c>
      <c r="P75" s="1">
        <f>(Main_L[[#This Row],[P/B]]-VLOOKUP(Main_L[[#This Row],[Industry]], Mean_PB_L, 2, FALSE))/(VLOOKUP(Main_L[[#This Row],[Industry]], Mean_PB_L, 3, FALSE))</f>
        <v>0.77594403472868412</v>
      </c>
      <c r="Q75" s="1">
        <f>(Main_L[[#This Row],[ROE]]-VLOOKUP(Main_L[[#This Row],[Industry]], Mean_ROE_L, 2, FALSE))/(VLOOKUP(Main_L[[#This Row],[Industry]], Mean_ROE_L, 3, FALSE))</f>
        <v>0.66493781480518155</v>
      </c>
      <c r="R75" s="1">
        <f>(Main_L[[#This Row],[ROA]]-VLOOKUP(Main_L[[#This Row],[Industry]], Mean_ROA_L, 2, FALSE))/(VLOOKUP(Main_L[[#This Row],[Industry]], Mean_ROA_L, 3, FALSE))</f>
        <v>1.5658576625875491</v>
      </c>
      <c r="S75" s="1">
        <f>(Main_L[[#This Row],[A/E]]-VLOOKUP(Main_L[[#This Row],[Industry]], Mean_AE_L, 2, FALSE))/(VLOOKUP(Main_L[[#This Row],[Industry]], Mean_AE_L, 3, FALSE))</f>
        <v>1.5174804340113359E-2</v>
      </c>
      <c r="T75" s="1">
        <f>(Main_L[[#This Row],[P/E]]-VLOOKUP(Main_L[[#This Row],[Industry]], Mean_PE_L, 2, FALSE))/(VLOOKUP(Main_L[[#This Row],[Industry]], Mean_PE_L, 3, FALSE))</f>
        <v>0.82574708072073322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124</v>
      </c>
      <c r="B76" t="s">
        <v>132</v>
      </c>
      <c r="C76" s="2">
        <v>266954</v>
      </c>
      <c r="D76">
        <f>RTD("tos.rtd", , "LAST", Main_L[[#This Row],[Symbol]])</f>
        <v>289.17</v>
      </c>
      <c r="E76">
        <v>12.93</v>
      </c>
      <c r="F76">
        <v>63.59</v>
      </c>
      <c r="G76">
        <v>6.36</v>
      </c>
      <c r="H76" s="1">
        <f>IF(ISNUMBER(Main_L[[#This Row],[Free CF]]),IF(Main_L[[#This Row],[Free CF]]&lt;&gt;0,Main_L[[#This Row],[Current Price]]/Main_L[[#This Row],[Free CF]],""),"")</f>
        <v>22.364269141531324</v>
      </c>
      <c r="I76" s="1">
        <f>IF(ISNUMBER(Main_L[[#This Row],[BVPS]]),IF(Main_L[[#This Row],[BVPS]]&lt;&gt;0,Main_L[[#This Row],[Current Price]]/Main_L[[#This Row],[BVPS]],""),"")</f>
        <v>4.5474131152696966</v>
      </c>
      <c r="J76">
        <v>10.26</v>
      </c>
      <c r="K76">
        <v>4.7300000000000004</v>
      </c>
      <c r="L76">
        <v>1.68</v>
      </c>
      <c r="M76" s="1">
        <f>IF(ISNUMBER(Main_L[[#This Row],[EPS]]),IF(Main_L[[#This Row],[EPS]]&lt;&gt;0,Main_L[[#This Row],[Current Price]]/Main_L[[#This Row],[EPS]],""),"")</f>
        <v>45.466981132075475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-0.88325549722730023</v>
      </c>
      <c r="P76" s="1">
        <f>(Main_L[[#This Row],[P/B]]-VLOOKUP(Main_L[[#This Row],[Industry]], Mean_PB_L, 2, FALSE))/(VLOOKUP(Main_L[[#This Row],[Industry]], Mean_PB_L, 3, FALSE))</f>
        <v>-0.98269615299227608</v>
      </c>
      <c r="Q76" s="1">
        <f>(Main_L[[#This Row],[ROE]]-VLOOKUP(Main_L[[#This Row],[Industry]], Mean_ROE_L, 2, FALSE))/(VLOOKUP(Main_L[[#This Row],[Industry]], Mean_ROE_L, 3, FALSE))</f>
        <v>-0.11435940672896233</v>
      </c>
      <c r="R76" s="1">
        <f>(Main_L[[#This Row],[ROA]]-VLOOKUP(Main_L[[#This Row],[Industry]], Mean_ROA_L, 2, FALSE))/(VLOOKUP(Main_L[[#This Row],[Industry]], Mean_ROA_L, 3, FALSE))</f>
        <v>8.3625912904419952E-2</v>
      </c>
      <c r="S76" s="1">
        <f>(Main_L[[#This Row],[A/E]]-VLOOKUP(Main_L[[#This Row],[Industry]], Mean_AE_L, 2, FALSE))/(VLOOKUP(Main_L[[#This Row],[Industry]], Mean_AE_L, 3, FALSE))</f>
        <v>-0.347450692477069</v>
      </c>
      <c r="T76" s="1">
        <f>(Main_L[[#This Row],[P/E]]-VLOOKUP(Main_L[[#This Row],[Industry]], Mean_PE_L, 2, FALSE))/(VLOOKUP(Main_L[[#This Row],[Industry]], Mean_PE_L, 3, FALSE))</f>
        <v>-8.9767901305879721E-2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124</v>
      </c>
      <c r="B77" t="s">
        <v>133</v>
      </c>
      <c r="C77" s="2">
        <v>36612</v>
      </c>
      <c r="D77">
        <f>RTD("tos.rtd", , "LAST", Main_L[[#This Row],[Symbol]])</f>
        <v>117.31</v>
      </c>
      <c r="E77">
        <v>2.31</v>
      </c>
      <c r="F77">
        <v>7.93</v>
      </c>
      <c r="G77">
        <v>0.52</v>
      </c>
      <c r="H77" s="1">
        <f>IF(ISNUMBER(Main_L[[#This Row],[Free CF]]),IF(Main_L[[#This Row],[Free CF]]&lt;&gt;0,Main_L[[#This Row],[Current Price]]/Main_L[[#This Row],[Free CF]],""),"")</f>
        <v>50.78354978354978</v>
      </c>
      <c r="I77" s="1">
        <f>IF(ISNUMBER(Main_L[[#This Row],[BVPS]]),IF(Main_L[[#This Row],[BVPS]]&lt;&gt;0,Main_L[[#This Row],[Current Price]]/Main_L[[#This Row],[BVPS]],""),"")</f>
        <v>14.793190416141236</v>
      </c>
      <c r="J77">
        <v>7.75</v>
      </c>
      <c r="K77">
        <v>0.7</v>
      </c>
      <c r="L77">
        <v>2.13</v>
      </c>
      <c r="M77" s="1">
        <f>IF(ISNUMBER(Main_L[[#This Row],[EPS]]),IF(Main_L[[#This Row],[EPS]]&lt;&gt;0,Main_L[[#This Row],[Current Price]]/Main_L[[#This Row],[EPS]],""),"")</f>
        <v>225.59615384615384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0.31768371311118121</v>
      </c>
      <c r="P77" s="1">
        <f>(Main_L[[#This Row],[P/B]]-VLOOKUP(Main_L[[#This Row],[Industry]], Mean_PB_L, 2, FALSE))/(VLOOKUP(Main_L[[#This Row],[Industry]], Mean_PB_L, 3, FALSE))</f>
        <v>0.33521271197456953</v>
      </c>
      <c r="Q77" s="1">
        <f>(Main_L[[#This Row],[ROE]]-VLOOKUP(Main_L[[#This Row],[Industry]], Mean_ROE_L, 2, FALSE))/(VLOOKUP(Main_L[[#This Row],[Industry]], Mean_ROE_L, 3, FALSE))</f>
        <v>-0.2392659218024426</v>
      </c>
      <c r="R77" s="1">
        <f>(Main_L[[#This Row],[ROA]]-VLOOKUP(Main_L[[#This Row],[Industry]], Mean_ROA_L, 2, FALSE))/(VLOOKUP(Main_L[[#This Row],[Industry]], Mean_ROA_L, 3, FALSE))</f>
        <v>-0.66304833099845639</v>
      </c>
      <c r="S77" s="1">
        <f>(Main_L[[#This Row],[A/E]]-VLOOKUP(Main_L[[#This Row],[Industry]], Mean_AE_L, 2, FALSE))/(VLOOKUP(Main_L[[#This Row],[Industry]], Mean_AE_L, 3, FALSE))</f>
        <v>0.4296039435597504</v>
      </c>
      <c r="T77" s="1">
        <f>(Main_L[[#This Row],[P/E]]-VLOOKUP(Main_L[[#This Row],[Industry]], Mean_PE_L, 2, FALSE))/(VLOOKUP(Main_L[[#This Row],[Industry]], Mean_PE_L, 3, FALSE))</f>
        <v>4.5672614031495185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8" spans="1:26" x14ac:dyDescent="0.25">
      <c r="A78" t="s">
        <v>124</v>
      </c>
      <c r="B78" t="s">
        <v>134</v>
      </c>
      <c r="C78" s="2">
        <v>16654</v>
      </c>
      <c r="D78">
        <f>RTD("tos.rtd", , "LAST", Main_L[[#This Row],[Symbol]])</f>
        <v>90.34</v>
      </c>
      <c r="E78">
        <v>4.5</v>
      </c>
      <c r="F78">
        <v>9.89</v>
      </c>
      <c r="G78">
        <v>5.08</v>
      </c>
      <c r="H78" s="1">
        <f>IF(ISNUMBER(Main_L[[#This Row],[Free CF]]),IF(Main_L[[#This Row],[Free CF]]&lt;&gt;0,Main_L[[#This Row],[Current Price]]/Main_L[[#This Row],[Free CF]],""),"")</f>
        <v>20.075555555555557</v>
      </c>
      <c r="I78" s="1">
        <f>IF(ISNUMBER(Main_L[[#This Row],[BVPS]]),IF(Main_L[[#This Row],[BVPS]]&lt;&gt;0,Main_L[[#This Row],[Current Price]]/Main_L[[#This Row],[BVPS]],""),"")</f>
        <v>9.1344792719919106</v>
      </c>
      <c r="J78">
        <v>68.180000000000007</v>
      </c>
      <c r="K78">
        <v>4.1900000000000004</v>
      </c>
      <c r="L78">
        <v>2</v>
      </c>
      <c r="M78" s="1">
        <f>IF(ISNUMBER(Main_L[[#This Row],[EPS]]),IF(Main_L[[#This Row],[EPS]]&lt;&gt;0,Main_L[[#This Row],[Current Price]]/Main_L[[#This Row],[EPS]],""),"")</f>
        <v>17.783464566929133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-0.97997173439231933</v>
      </c>
      <c r="P78" s="1">
        <f>(Main_L[[#This Row],[P/B]]-VLOOKUP(Main_L[[#This Row],[Industry]], Mean_PB_L, 2, FALSE))/(VLOOKUP(Main_L[[#This Row],[Industry]], Mean_PB_L, 3, FALSE))</f>
        <v>-0.39266428185065294</v>
      </c>
      <c r="Q78" s="1">
        <f>(Main_L[[#This Row],[ROE]]-VLOOKUP(Main_L[[#This Row],[Industry]], Mean_ROE_L, 2, FALSE))/(VLOOKUP(Main_L[[#This Row],[Industry]], Mean_ROE_L, 3, FALSE))</f>
        <v>2.767945514807284</v>
      </c>
      <c r="R78" s="1">
        <f>(Main_L[[#This Row],[ROA]]-VLOOKUP(Main_L[[#This Row],[Industry]], Mean_ROA_L, 2, FALSE))/(VLOOKUP(Main_L[[#This Row],[Industry]], Mean_ROA_L, 3, FALSE))</f>
        <v>-1.6424730199191263E-2</v>
      </c>
      <c r="S78" s="1">
        <f>(Main_L[[#This Row],[A/E]]-VLOOKUP(Main_L[[#This Row],[Industry]], Mean_AE_L, 2, FALSE))/(VLOOKUP(Main_L[[#This Row],[Industry]], Mean_AE_L, 3, FALSE))</f>
        <v>0.20512149314911385</v>
      </c>
      <c r="T78" s="1">
        <f>(Main_L[[#This Row],[P/E]]-VLOOKUP(Main_L[[#This Row],[Industry]], Mean_PE_L, 2, FALSE))/(VLOOKUP(Main_L[[#This Row],[Industry]], Mean_PE_L, 3, FALSE))</f>
        <v>-0.80549287773101563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124</v>
      </c>
      <c r="B79" t="s">
        <v>135</v>
      </c>
      <c r="C79" s="2">
        <v>14336</v>
      </c>
      <c r="D79">
        <f>RTD("tos.rtd", , "LAST", Main_L[[#This Row],[Symbol]])</f>
        <v>50.54</v>
      </c>
      <c r="E79">
        <v>1.37</v>
      </c>
      <c r="F79">
        <v>8.5299999999999994</v>
      </c>
      <c r="G79">
        <v>1.6</v>
      </c>
      <c r="H79" s="1">
        <f>IF(ISNUMBER(Main_L[[#This Row],[Free CF]]),IF(Main_L[[#This Row],[Free CF]]&lt;&gt;0,Main_L[[#This Row],[Current Price]]/Main_L[[#This Row],[Free CF]],""),"")</f>
        <v>36.890510948905103</v>
      </c>
      <c r="I79" s="1">
        <f>IF(ISNUMBER(Main_L[[#This Row],[BVPS]]),IF(Main_L[[#This Row],[BVPS]]&lt;&gt;0,Main_L[[#This Row],[Current Price]]/Main_L[[#This Row],[BVPS]],""),"")</f>
        <v>5.9249706916764362</v>
      </c>
      <c r="J79">
        <v>21.59</v>
      </c>
      <c r="K79">
        <v>3.07</v>
      </c>
      <c r="L79">
        <v>1.46</v>
      </c>
      <c r="M79" s="1">
        <f>IF(ISNUMBER(Main_L[[#This Row],[EPS]]),IF(Main_L[[#This Row],[EPS]]&lt;&gt;0,Main_L[[#This Row],[Current Price]]/Main_L[[#This Row],[EPS]],""),"")</f>
        <v>31.587499999999999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-0.26940697709479788</v>
      </c>
      <c r="P79" s="1">
        <f>(Main_L[[#This Row],[P/B]]-VLOOKUP(Main_L[[#This Row],[Industry]], Mean_PB_L, 2, FALSE))/(VLOOKUP(Main_L[[#This Row],[Industry]], Mean_PB_L, 3, FALSE))</f>
        <v>-0.80550165728581047</v>
      </c>
      <c r="Q79" s="1">
        <f>(Main_L[[#This Row],[ROE]]-VLOOKUP(Main_L[[#This Row],[Industry]], Mean_ROE_L, 2, FALSE))/(VLOOKUP(Main_L[[#This Row],[Industry]], Mean_ROE_L, 3, FALSE))</f>
        <v>0.44946163541547252</v>
      </c>
      <c r="R79" s="1">
        <f>(Main_L[[#This Row],[ROA]]-VLOOKUP(Main_L[[#This Row],[Industry]], Mean_ROA_L, 2, FALSE))/(VLOOKUP(Main_L[[#This Row],[Industry]], Mean_ROA_L, 3, FALSE))</f>
        <v>-0.22393717515482944</v>
      </c>
      <c r="S79" s="1">
        <f>(Main_L[[#This Row],[A/E]]-VLOOKUP(Main_L[[#This Row],[Industry]], Mean_AE_L, 2, FALSE))/(VLOOKUP(Main_L[[#This Row],[Industry]], Mean_AE_L, 3, FALSE))</f>
        <v>-0.72734407009506963</v>
      </c>
      <c r="T79" s="1">
        <f>(Main_L[[#This Row],[P/E]]-VLOOKUP(Main_L[[#This Row],[Industry]], Mean_PE_L, 2, FALSE))/(VLOOKUP(Main_L[[#This Row],[Industry]], Mean_PE_L, 3, FALSE))</f>
        <v>-0.44860566971838867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124</v>
      </c>
      <c r="B80" t="s">
        <v>136</v>
      </c>
      <c r="C80" s="2">
        <v>50997</v>
      </c>
      <c r="D80">
        <f>RTD("tos.rtd", , "LAST", Main_L[[#This Row],[Symbol]])</f>
        <v>2136.0300000000002</v>
      </c>
      <c r="E80">
        <v>27.68</v>
      </c>
      <c r="F80">
        <v>-46.16</v>
      </c>
      <c r="G80">
        <v>23.21</v>
      </c>
      <c r="H80" s="1">
        <f>IF(ISNUMBER(Main_L[[#This Row],[Free CF]]),IF(Main_L[[#This Row],[Free CF]]&lt;&gt;0,Main_L[[#This Row],[Current Price]]/Main_L[[#This Row],[Free CF]],""),"")</f>
        <v>77.168713872832384</v>
      </c>
      <c r="I80" s="1">
        <f>IF(ISNUMBER(Main_L[[#This Row],[BVPS]]),IF(Main_L[[#This Row],[BVPS]]&lt;&gt;0,Main_L[[#This Row],[Current Price]]/Main_L[[#This Row],[BVPS]],""),"")</f>
        <v>-46.274480069324099</v>
      </c>
      <c r="J80">
        <v>-62.06</v>
      </c>
      <c r="K80">
        <v>28.7</v>
      </c>
      <c r="L80">
        <v>-1.63</v>
      </c>
      <c r="M80" s="1">
        <f>IF(ISNUMBER(Main_L[[#This Row],[EPS]]),IF(Main_L[[#This Row],[EPS]]&lt;&gt;0,Main_L[[#This Row],[Current Price]]/Main_L[[#This Row],[EPS]],""),"")</f>
        <v>92.030590262817753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1.432665423069895</v>
      </c>
      <c r="P80" s="1">
        <f>(Main_L[[#This Row],[P/B]]-VLOOKUP(Main_L[[#This Row],[Industry]], Mean_PB_L, 2, FALSE))/(VLOOKUP(Main_L[[#This Row],[Industry]], Mean_PB_L, 3, FALSE))</f>
        <v>-7.5198891443602278</v>
      </c>
      <c r="Q80" s="1">
        <f>(Main_L[[#This Row],[ROE]]-VLOOKUP(Main_L[[#This Row],[Industry]], Mean_ROE_L, 2, FALSE))/(VLOOKUP(Main_L[[#This Row],[Industry]], Mean_ROE_L, 3, FALSE))</f>
        <v>-3.7132594745035012</v>
      </c>
      <c r="R80" s="1">
        <f>(Main_L[[#This Row],[ROA]]-VLOOKUP(Main_L[[#This Row],[Industry]], Mean_ROA_L, 2, FALSE))/(VLOOKUP(Main_L[[#This Row],[Industry]], Mean_ROA_L, 3, FALSE))</f>
        <v>4.5247627928924956</v>
      </c>
      <c r="S80" s="1">
        <f>(Main_L[[#This Row],[A/E]]-VLOOKUP(Main_L[[#This Row],[Industry]], Mean_AE_L, 2, FALSE))/(VLOOKUP(Main_L[[#This Row],[Industry]], Mean_AE_L, 3, FALSE))</f>
        <v>-6.0631192375478964</v>
      </c>
      <c r="T80" s="1">
        <f>(Main_L[[#This Row],[P/E]]-VLOOKUP(Main_L[[#This Row],[Industry]], Mean_PE_L, 2, FALSE))/(VLOOKUP(Main_L[[#This Row],[Industry]], Mean_PE_L, 3, FALSE))</f>
        <v>1.1140798096214328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1" spans="1:26" x14ac:dyDescent="0.25">
      <c r="A81" t="s">
        <v>124</v>
      </c>
      <c r="B81" t="s">
        <v>137</v>
      </c>
      <c r="C81" s="2">
        <v>17879</v>
      </c>
      <c r="D81">
        <f>RTD("tos.rtd", , "LAST", Main_L[[#This Row],[Symbol]])</f>
        <v>214.5</v>
      </c>
      <c r="E81">
        <v>2.4700000000000002</v>
      </c>
      <c r="F81">
        <v>15.13</v>
      </c>
      <c r="G81">
        <v>-0.2</v>
      </c>
      <c r="H81" s="1">
        <f>IF(ISNUMBER(Main_L[[#This Row],[Free CF]]),IF(Main_L[[#This Row],[Free CF]]&lt;&gt;0,Main_L[[#This Row],[Current Price]]/Main_L[[#This Row],[Free CF]],""),"")</f>
        <v>86.84210526315789</v>
      </c>
      <c r="I81" s="1">
        <f>IF(ISNUMBER(Main_L[[#This Row],[BVPS]]),IF(Main_L[[#This Row],[BVPS]]&lt;&gt;0,Main_L[[#This Row],[Current Price]]/Main_L[[#This Row],[BVPS]],""),"")</f>
        <v>14.17713152676801</v>
      </c>
      <c r="J81">
        <v>-1.34</v>
      </c>
      <c r="K81">
        <v>0</v>
      </c>
      <c r="L81">
        <v>2</v>
      </c>
      <c r="M81" s="1">
        <f>IF(ISNUMBER(Main_L[[#This Row],[EPS]]),IF(Main_L[[#This Row],[EPS]]&lt;&gt;0,Main_L[[#This Row],[Current Price]]/Main_L[[#This Row],[EPS]],""),"")</f>
        <v>-1072.5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1.8414426600424729</v>
      </c>
      <c r="P81" s="1">
        <f>(Main_L[[#This Row],[P/B]]-VLOOKUP(Main_L[[#This Row],[Industry]], Mean_PB_L, 2, FALSE))/(VLOOKUP(Main_L[[#This Row],[Industry]], Mean_PB_L, 3, FALSE))</f>
        <v>0.25596938588963303</v>
      </c>
      <c r="Q81" s="1">
        <f>(Main_L[[#This Row],[ROE]]-VLOOKUP(Main_L[[#This Row],[Industry]], Mean_ROE_L, 2, FALSE))/(VLOOKUP(Main_L[[#This Row],[Industry]], Mean_ROE_L, 3, FALSE))</f>
        <v>-0.69161660786536516</v>
      </c>
      <c r="R81" s="1">
        <f>(Main_L[[#This Row],[ROA]]-VLOOKUP(Main_L[[#This Row],[Industry]], Mean_ROA_L, 2, FALSE))/(VLOOKUP(Main_L[[#This Row],[Industry]], Mean_ROA_L, 3, FALSE))</f>
        <v>-0.79274360909573016</v>
      </c>
      <c r="S81" s="1">
        <f>(Main_L[[#This Row],[A/E]]-VLOOKUP(Main_L[[#This Row],[Industry]], Mean_AE_L, 2, FALSE))/(VLOOKUP(Main_L[[#This Row],[Industry]], Mean_AE_L, 3, FALSE))</f>
        <v>0.20512149314911385</v>
      </c>
      <c r="T81" s="1">
        <f>(Main_L[[#This Row],[P/E]]-VLOOKUP(Main_L[[#This Row],[Industry]], Mean_PE_L, 2, FALSE))/(VLOOKUP(Main_L[[#This Row],[Industry]], Mean_PE_L, 3, FALSE))</f>
        <v>-28.993498008420801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2" spans="1:26" x14ac:dyDescent="0.25">
      <c r="A82" t="s">
        <v>124</v>
      </c>
      <c r="B82" t="s">
        <v>138</v>
      </c>
      <c r="C82" s="2">
        <v>33884</v>
      </c>
      <c r="D82">
        <f>RTD("tos.rtd", , "LAST", Main_L[[#This Row],[Symbol]])</f>
        <v>672.24</v>
      </c>
      <c r="E82">
        <v>9.18</v>
      </c>
      <c r="F82">
        <v>36.86</v>
      </c>
      <c r="G82">
        <v>0.09</v>
      </c>
      <c r="H82" s="1">
        <f>IF(ISNUMBER(Main_L[[#This Row],[Free CF]]),IF(Main_L[[#This Row],[Free CF]]&lt;&gt;0,Main_L[[#This Row],[Current Price]]/Main_L[[#This Row],[Free CF]],""),"")</f>
        <v>73.22875816993465</v>
      </c>
      <c r="I82" s="1">
        <f>IF(ISNUMBER(Main_L[[#This Row],[BVPS]]),IF(Main_L[[#This Row],[BVPS]]&lt;&gt;0,Main_L[[#This Row],[Current Price]]/Main_L[[#This Row],[BVPS]],""),"")</f>
        <v>18.237655995659253</v>
      </c>
      <c r="J82">
        <v>0.28999999999999998</v>
      </c>
      <c r="K82">
        <v>-1.1299999999999999</v>
      </c>
      <c r="L82">
        <v>1.99</v>
      </c>
      <c r="M82" s="1">
        <f>IF(ISNUMBER(Main_L[[#This Row],[EPS]]),IF(Main_L[[#This Row],[EPS]]&lt;&gt;0,Main_L[[#This Row],[Current Price]]/Main_L[[#This Row],[EPS]],""),"")</f>
        <v>7469.3333333333339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1.266171156370872</v>
      </c>
      <c r="P82" s="1">
        <f>(Main_L[[#This Row],[P/B]]-VLOOKUP(Main_L[[#This Row],[Industry]], Mean_PB_L, 2, FALSE))/(VLOOKUP(Main_L[[#This Row],[Industry]], Mean_PB_L, 3, FALSE))</f>
        <v>0.77827248079599554</v>
      </c>
      <c r="Q82" s="1">
        <f>(Main_L[[#This Row],[ROE]]-VLOOKUP(Main_L[[#This Row],[Industry]], Mean_ROE_L, 2, FALSE))/(VLOOKUP(Main_L[[#This Row],[Industry]], Mean_ROE_L, 3, FALSE))</f>
        <v>-0.61050201839533613</v>
      </c>
      <c r="R82" s="1">
        <f>(Main_L[[#This Row],[ROA]]-VLOOKUP(Main_L[[#This Row],[Industry]], Mean_ROA_L, 2, FALSE))/(VLOOKUP(Main_L[[#This Row],[Industry]], Mean_ROA_L, 3, FALSE))</f>
        <v>-1.0021088437384722</v>
      </c>
      <c r="S82" s="1">
        <f>(Main_L[[#This Row],[A/E]]-VLOOKUP(Main_L[[#This Row],[Industry]], Mean_AE_L, 2, FALSE))/(VLOOKUP(Main_L[[#This Row],[Industry]], Mean_AE_L, 3, FALSE))</f>
        <v>0.18785361234829562</v>
      </c>
      <c r="T82" s="1">
        <f>(Main_L[[#This Row],[P/E]]-VLOOKUP(Main_L[[#This Row],[Industry]], Mean_PE_L, 2, FALSE))/(VLOOKUP(Main_L[[#This Row],[Industry]], Mean_PE_L, 3, FALSE))</f>
        <v>191.84562287207063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3" spans="1:26" x14ac:dyDescent="0.25">
      <c r="A83" t="s">
        <v>124</v>
      </c>
      <c r="B83" t="s">
        <v>139</v>
      </c>
      <c r="C83" s="2">
        <v>179238</v>
      </c>
      <c r="D83">
        <f>RTD("tos.rtd", , "LAST", Main_L[[#This Row],[Symbol]])</f>
        <v>656.8</v>
      </c>
      <c r="E83">
        <v>20.11</v>
      </c>
      <c r="F83">
        <v>64.16</v>
      </c>
      <c r="G83">
        <v>10.7</v>
      </c>
      <c r="H83" s="1">
        <f>IF(ISNUMBER(Main_L[[#This Row],[Free CF]]),IF(Main_L[[#This Row],[Free CF]]&lt;&gt;0,Main_L[[#This Row],[Current Price]]/Main_L[[#This Row],[Free CF]],""),"")</f>
        <v>32.660367976131276</v>
      </c>
      <c r="I83" s="1">
        <f>IF(ISNUMBER(Main_L[[#This Row],[BVPS]]),IF(Main_L[[#This Row],[BVPS]]&lt;&gt;0,Main_L[[#This Row],[Current Price]]/Main_L[[#This Row],[BVPS]],""),"")</f>
        <v>10.236907730673316</v>
      </c>
      <c r="J83">
        <v>17.420000000000002</v>
      </c>
      <c r="K83">
        <v>8.26</v>
      </c>
      <c r="L83">
        <v>1.77</v>
      </c>
      <c r="M83" s="1">
        <f>IF(ISNUMBER(Main_L[[#This Row],[EPS]]),IF(Main_L[[#This Row],[EPS]]&lt;&gt;0,Main_L[[#This Row],[Current Price]]/Main_L[[#This Row],[EPS]],""),"")</f>
        <v>61.383177570093459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3" s="1">
        <f>(Main_L[[#This Row],[P/FCF]]-VLOOKUP(Main_L[[#This Row],[Industry]], Mean_PFCF_L, 2, FALSE))/(VLOOKUP(Main_L[[#This Row],[Industry]], Mean_PFCF_L, 3, FALSE))</f>
        <v>-0.44816394935365172</v>
      </c>
      <c r="P83" s="1">
        <f>(Main_L[[#This Row],[P/B]]-VLOOKUP(Main_L[[#This Row],[Industry]], Mean_PB_L, 2, FALSE))/(VLOOKUP(Main_L[[#This Row],[Industry]], Mean_PB_L, 3, FALSE))</f>
        <v>-0.25085949769197602</v>
      </c>
      <c r="Q83" s="1">
        <f>(Main_L[[#This Row],[ROE]]-VLOOKUP(Main_L[[#This Row],[Industry]], Mean_ROE_L, 2, FALSE))/(VLOOKUP(Main_L[[#This Row],[Industry]], Mean_ROE_L, 3, FALSE))</f>
        <v>0.24194762431730021</v>
      </c>
      <c r="R83" s="1">
        <f>(Main_L[[#This Row],[ROA]]-VLOOKUP(Main_L[[#This Row],[Industry]], Mean_ROA_L, 2, FALSE))/(VLOOKUP(Main_L[[#This Row],[Industry]], Mean_ROA_L, 3, FALSE))</f>
        <v>0.73766067245210054</v>
      </c>
      <c r="S83" s="1">
        <f>(Main_L[[#This Row],[A/E]]-VLOOKUP(Main_L[[#This Row],[Industry]], Mean_AE_L, 2, FALSE))/(VLOOKUP(Main_L[[#This Row],[Industry]], Mean_AE_L, 3, FALSE))</f>
        <v>-0.19203976526970498</v>
      </c>
      <c r="T83" s="1">
        <f>(Main_L[[#This Row],[P/E]]-VLOOKUP(Main_L[[#This Row],[Industry]], Mean_PE_L, 2, FALSE))/(VLOOKUP(Main_L[[#This Row],[Industry]], Mean_PE_L, 3, FALSE))</f>
        <v>0.32172676172115594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4" spans="1:26" x14ac:dyDescent="0.25">
      <c r="A84" t="s">
        <v>124</v>
      </c>
      <c r="B84" t="s">
        <v>140</v>
      </c>
      <c r="C84" s="2">
        <v>23889</v>
      </c>
      <c r="D84">
        <f>RTD("tos.rtd", , "LAST", Main_L[[#This Row],[Symbol]])</f>
        <v>46.63</v>
      </c>
      <c r="E84">
        <v>0.2</v>
      </c>
      <c r="F84">
        <v>1.89</v>
      </c>
      <c r="G84">
        <v>-0.28000000000000003</v>
      </c>
      <c r="H84" s="1">
        <f>IF(ISNUMBER(Main_L[[#This Row],[Free CF]]),IF(Main_L[[#This Row],[Free CF]]&lt;&gt;0,Main_L[[#This Row],[Current Price]]/Main_L[[#This Row],[Free CF]],""),"")</f>
        <v>233.15</v>
      </c>
      <c r="I84" s="1">
        <f>IF(ISNUMBER(Main_L[[#This Row],[BVPS]]),IF(Main_L[[#This Row],[BVPS]]&lt;&gt;0,Main_L[[#This Row],[Current Price]]/Main_L[[#This Row],[BVPS]],""),"")</f>
        <v>24.671957671957674</v>
      </c>
      <c r="J84">
        <v>-15.61</v>
      </c>
      <c r="K84">
        <v>-6.15</v>
      </c>
      <c r="L84">
        <v>1.89</v>
      </c>
      <c r="M84" s="1">
        <f>IF(ISNUMBER(Main_L[[#This Row],[EPS]]),IF(Main_L[[#This Row],[EPS]]&lt;&gt;0,Main_L[[#This Row],[Current Price]]/Main_L[[#This Row],[EPS]],""),"")</f>
        <v>-166.53571428571428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8.0241075129931421</v>
      </c>
      <c r="P84" s="1">
        <f>(Main_L[[#This Row],[P/B]]-VLOOKUP(Main_L[[#This Row],[Industry]], Mean_PB_L, 2, FALSE))/(VLOOKUP(Main_L[[#This Row],[Industry]], Mean_PB_L, 3, FALSE))</f>
        <v>1.6059132707576711</v>
      </c>
      <c r="Q84" s="1">
        <f>(Main_L[[#This Row],[ROE]]-VLOOKUP(Main_L[[#This Row],[Industry]], Mean_ROE_L, 2, FALSE))/(VLOOKUP(Main_L[[#This Row],[Industry]], Mean_ROE_L, 3, FALSE))</f>
        <v>-1.4017424923667849</v>
      </c>
      <c r="R84" s="1">
        <f>(Main_L[[#This Row],[ROA]]-VLOOKUP(Main_L[[#This Row],[Industry]], Mean_ROA_L, 2, FALSE))/(VLOOKUP(Main_L[[#This Row],[Industry]], Mean_ROA_L, 3, FALSE))</f>
        <v>-1.9322092666646358</v>
      </c>
      <c r="S84" s="1">
        <f>(Main_L[[#This Row],[A/E]]-VLOOKUP(Main_L[[#This Row],[Industry]], Mean_AE_L, 2, FALSE))/(VLOOKUP(Main_L[[#This Row],[Industry]], Mean_AE_L, 3, FALSE))</f>
        <v>1.5174804340113359E-2</v>
      </c>
      <c r="T84" s="1">
        <f>(Main_L[[#This Row],[P/E]]-VLOOKUP(Main_L[[#This Row],[Industry]], Mean_PE_L, 2, FALSE))/(VLOOKUP(Main_L[[#This Row],[Industry]], Mean_PE_L, 3, FALSE))</f>
        <v>-5.5708498954553729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5" spans="1:26" x14ac:dyDescent="0.25">
      <c r="A85" t="s">
        <v>124</v>
      </c>
      <c r="B85" t="s">
        <v>141</v>
      </c>
      <c r="C85" s="2">
        <v>11166</v>
      </c>
      <c r="D85">
        <f>RTD("tos.rtd", , "LAST", Main_L[[#This Row],[Symbol]])</f>
        <v>195.54</v>
      </c>
      <c r="E85">
        <v>5.04</v>
      </c>
      <c r="F85">
        <v>4.04</v>
      </c>
      <c r="G85">
        <v>3.5</v>
      </c>
      <c r="H85" s="1">
        <f>IF(ISNUMBER(Main_L[[#This Row],[Free CF]]),IF(Main_L[[#This Row],[Free CF]]&lt;&gt;0,Main_L[[#This Row],[Current Price]]/Main_L[[#This Row],[Free CF]],""),"")</f>
        <v>38.797619047619044</v>
      </c>
      <c r="I85" s="1">
        <f>IF(ISNUMBER(Main_L[[#This Row],[BVPS]]),IF(Main_L[[#This Row],[BVPS]]&lt;&gt;0,Main_L[[#This Row],[Current Price]]/Main_L[[#This Row],[BVPS]],""),"")</f>
        <v>48.400990099009896</v>
      </c>
      <c r="J85">
        <v>89.6</v>
      </c>
      <c r="K85">
        <v>24.41</v>
      </c>
      <c r="L85">
        <v>2.89</v>
      </c>
      <c r="M85" s="1">
        <f>IF(ISNUMBER(Main_L[[#This Row],[EPS]]),IF(Main_L[[#This Row],[EPS]]&lt;&gt;0,Main_L[[#This Row],[Current Price]]/Main_L[[#This Row],[EPS]],""),"")</f>
        <v>55.868571428571428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-0.18881658767046602</v>
      </c>
      <c r="P85" s="1">
        <f>(Main_L[[#This Row],[P/B]]-VLOOKUP(Main_L[[#This Row],[Industry]], Mean_PB_L, 2, FALSE))/(VLOOKUP(Main_L[[#This Row],[Industry]], Mean_PB_L, 3, FALSE))</f>
        <v>4.6581660451799403</v>
      </c>
      <c r="Q85" s="1">
        <f>(Main_L[[#This Row],[ROE]]-VLOOKUP(Main_L[[#This Row],[Industry]], Mean_ROE_L, 2, FALSE))/(VLOOKUP(Main_L[[#This Row],[Industry]], Mean_ROE_L, 3, FALSE))</f>
        <v>3.8338807948367446</v>
      </c>
      <c r="R85" s="1">
        <f>(Main_L[[#This Row],[ROA]]-VLOOKUP(Main_L[[#This Row],[Industry]], Mean_ROA_L, 2, FALSE))/(VLOOKUP(Main_L[[#This Row],[Industry]], Mean_ROA_L, 3, FALSE))</f>
        <v>3.7299160171249173</v>
      </c>
      <c r="S85" s="1">
        <f>(Main_L[[#This Row],[A/E]]-VLOOKUP(Main_L[[#This Row],[Industry]], Mean_AE_L, 2, FALSE))/(VLOOKUP(Main_L[[#This Row],[Industry]], Mean_AE_L, 3, FALSE))</f>
        <v>1.7419628844219348</v>
      </c>
      <c r="T85" s="1">
        <f>(Main_L[[#This Row],[P/E]]-VLOOKUP(Main_L[[#This Row],[Industry]], Mean_PE_L, 2, FALSE))/(VLOOKUP(Main_L[[#This Row],[Industry]], Mean_PE_L, 3, FALSE))</f>
        <v>0.17915306298795453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124</v>
      </c>
      <c r="B86" t="s">
        <v>142</v>
      </c>
      <c r="C86" s="2">
        <v>107305</v>
      </c>
      <c r="D86">
        <f>RTD("tos.rtd", , "LAST", Main_L[[#This Row],[Symbol]])</f>
        <v>421.61</v>
      </c>
      <c r="E86">
        <v>-0.46</v>
      </c>
      <c r="F86">
        <v>121.05</v>
      </c>
      <c r="G86">
        <v>-25</v>
      </c>
      <c r="H86" s="1">
        <f>IF(ISNUMBER(Main_L[[#This Row],[Free CF]]),IF(Main_L[[#This Row],[Free CF]]&lt;&gt;0,Main_L[[#This Row],[Current Price]]/Main_L[[#This Row],[Free CF]],""),"")</f>
        <v>-916.54347826086951</v>
      </c>
      <c r="I86" s="1">
        <f>IF(ISNUMBER(Main_L[[#This Row],[BVPS]]),IF(Main_L[[#This Row],[BVPS]]&lt;&gt;0,Main_L[[#This Row],[Current Price]]/Main_L[[#This Row],[BVPS]],""),"")</f>
        <v>3.4829409334985546</v>
      </c>
      <c r="J86">
        <v>-29.68</v>
      </c>
      <c r="K86">
        <v>-18.82</v>
      </c>
      <c r="L86">
        <v>1.31</v>
      </c>
      <c r="M86" s="1">
        <f>IF(ISNUMBER(Main_L[[#This Row],[EPS]]),IF(Main_L[[#This Row],[EPS]]&lt;&gt;0,Main_L[[#This Row],[Current Price]]/Main_L[[#This Row],[EPS]],""),"")</f>
        <v>-16.8644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-40.55952819918253</v>
      </c>
      <c r="P86" s="1">
        <f>(Main_L[[#This Row],[P/B]]-VLOOKUP(Main_L[[#This Row],[Industry]], Mean_PB_L, 2, FALSE))/(VLOOKUP(Main_L[[#This Row],[Industry]], Mean_PB_L, 3, FALSE))</f>
        <v>-1.1196186415132257</v>
      </c>
      <c r="Q86" s="1">
        <f>(Main_L[[#This Row],[ROE]]-VLOOKUP(Main_L[[#This Row],[Industry]], Mean_ROE_L, 2, FALSE))/(VLOOKUP(Main_L[[#This Row],[Industry]], Mean_ROE_L, 3, FALSE))</f>
        <v>-2.1019156665037841</v>
      </c>
      <c r="R86" s="1">
        <f>(Main_L[[#This Row],[ROA]]-VLOOKUP(Main_L[[#This Row],[Industry]], Mean_ROA_L, 2, FALSE))/(VLOOKUP(Main_L[[#This Row],[Industry]], Mean_ROA_L, 3, FALSE))</f>
        <v>-4.2796938002252913</v>
      </c>
      <c r="S86" s="1">
        <f>(Main_L[[#This Row],[A/E]]-VLOOKUP(Main_L[[#This Row],[Industry]], Mean_AE_L, 2, FALSE))/(VLOOKUP(Main_L[[#This Row],[Industry]], Mean_AE_L, 3, FALSE))</f>
        <v>-0.98636228210734267</v>
      </c>
      <c r="T86" s="1">
        <f>(Main_L[[#This Row],[P/E]]-VLOOKUP(Main_L[[#This Row],[Industry]], Mean_PE_L, 2, FALSE))/(VLOOKUP(Main_L[[#This Row],[Industry]], Mean_PE_L, 3, FALSE))</f>
        <v>-1.7012729348632032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124</v>
      </c>
      <c r="B87" t="s">
        <v>143</v>
      </c>
      <c r="C87" s="2">
        <v>10148</v>
      </c>
      <c r="D87">
        <f>RTD("tos.rtd", , "LAST", Main_L[[#This Row],[Symbol]])</f>
        <v>166.82</v>
      </c>
      <c r="E87">
        <v>11.54</v>
      </c>
      <c r="F87">
        <v>56.75</v>
      </c>
      <c r="G87">
        <v>6.76</v>
      </c>
      <c r="H87" s="1">
        <f>IF(ISNUMBER(Main_L[[#This Row],[Free CF]]),IF(Main_L[[#This Row],[Free CF]]&lt;&gt;0,Main_L[[#This Row],[Current Price]]/Main_L[[#This Row],[Free CF]],""),"")</f>
        <v>14.45580589254766</v>
      </c>
      <c r="I87" s="1">
        <f>IF(ISNUMBER(Main_L[[#This Row],[BVPS]]),IF(Main_L[[#This Row],[BVPS]]&lt;&gt;0,Main_L[[#This Row],[Current Price]]/Main_L[[#This Row],[BVPS]],""),"")</f>
        <v>2.9395594713656386</v>
      </c>
      <c r="J87">
        <v>12.72</v>
      </c>
      <c r="K87">
        <v>6.55</v>
      </c>
      <c r="L87">
        <v>1.48</v>
      </c>
      <c r="M87" s="1">
        <f>IF(ISNUMBER(Main_L[[#This Row],[EPS]]),IF(Main_L[[#This Row],[EPS]]&lt;&gt;0,Main_L[[#This Row],[Current Price]]/Main_L[[#This Row],[EPS]],""),"")</f>
        <v>24.677514792899409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87" s="1">
        <f>(Main_L[[#This Row],[P/FCF]]-VLOOKUP(Main_L[[#This Row],[Industry]], Mean_PFCF_L, 2, FALSE))/(VLOOKUP(Main_L[[#This Row],[Industry]], Mean_PFCF_L, 3, FALSE))</f>
        <v>-1.2174505716509287</v>
      </c>
      <c r="P87" s="1">
        <f>(Main_L[[#This Row],[P/B]]-VLOOKUP(Main_L[[#This Row],[Industry]], Mean_PB_L, 2, FALSE))/(VLOOKUP(Main_L[[#This Row],[Industry]], Mean_PB_L, 3, FALSE))</f>
        <v>-1.1895135089277944</v>
      </c>
      <c r="Q87" s="1">
        <f>(Main_L[[#This Row],[ROE]]-VLOOKUP(Main_L[[#This Row],[Industry]], Mean_ROE_L, 2, FALSE))/(VLOOKUP(Main_L[[#This Row],[Industry]], Mean_ROE_L, 3, FALSE))</f>
        <v>8.0589307534127928E-3</v>
      </c>
      <c r="R87" s="1">
        <f>(Main_L[[#This Row],[ROA]]-VLOOKUP(Main_L[[#This Row],[Industry]], Mean_ROA_L, 2, FALSE))/(VLOOKUP(Main_L[[#This Row],[Industry]], Mean_ROA_L, 3, FALSE))</f>
        <v>0.4208336359573317</v>
      </c>
      <c r="S87" s="1">
        <f>(Main_L[[#This Row],[A/E]]-VLOOKUP(Main_L[[#This Row],[Industry]], Mean_AE_L, 2, FALSE))/(VLOOKUP(Main_L[[#This Row],[Industry]], Mean_AE_L, 3, FALSE))</f>
        <v>-0.69280830849343322</v>
      </c>
      <c r="T87" s="1">
        <f>(Main_L[[#This Row],[P/E]]-VLOOKUP(Main_L[[#This Row],[Industry]], Mean_PE_L, 2, FALSE))/(VLOOKUP(Main_L[[#This Row],[Industry]], Mean_PE_L, 3, FALSE))</f>
        <v>-0.6272552638843516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124</v>
      </c>
      <c r="B88" t="s">
        <v>144</v>
      </c>
      <c r="C88" s="2">
        <v>19653</v>
      </c>
      <c r="D88">
        <f>RTD("tos.rtd", , "LAST", Main_L[[#This Row],[Symbol]])</f>
        <v>82.4</v>
      </c>
      <c r="E88">
        <v>2.5</v>
      </c>
      <c r="F88">
        <v>-3.03</v>
      </c>
      <c r="G88">
        <v>-0.24</v>
      </c>
      <c r="H88" s="1">
        <f>IF(ISNUMBER(Main_L[[#This Row],[Free CF]]),IF(Main_L[[#This Row],[Free CF]]&lt;&gt;0,Main_L[[#This Row],[Current Price]]/Main_L[[#This Row],[Free CF]],""),"")</f>
        <v>32.96</v>
      </c>
      <c r="I88" s="1">
        <f>IF(ISNUMBER(Main_L[[#This Row],[BVPS]]),IF(Main_L[[#This Row],[BVPS]]&lt;&gt;0,Main_L[[#This Row],[Current Price]]/Main_L[[#This Row],[BVPS]],""),"")</f>
        <v>-27.194719471947199</v>
      </c>
      <c r="J88">
        <v>7.8</v>
      </c>
      <c r="K88">
        <v>1.91</v>
      </c>
      <c r="L88">
        <v>-3.7</v>
      </c>
      <c r="M88" s="1">
        <f>IF(ISNUMBER(Main_L[[#This Row],[EPS]]),IF(Main_L[[#This Row],[EPS]]&lt;&gt;0,Main_L[[#This Row],[Current Price]]/Main_L[[#This Row],[EPS]],""),"")</f>
        <v>-343.33333333333337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-0.43550212829386753</v>
      </c>
      <c r="P88" s="1">
        <f>(Main_L[[#This Row],[P/B]]-VLOOKUP(Main_L[[#This Row],[Industry]], Mean_PB_L, 2, FALSE))/(VLOOKUP(Main_L[[#This Row],[Industry]], Mean_PB_L, 3, FALSE))</f>
        <v>-5.0656697235858577</v>
      </c>
      <c r="Q88" s="1">
        <f>(Main_L[[#This Row],[ROE]]-VLOOKUP(Main_L[[#This Row],[Industry]], Mean_ROE_L, 2, FALSE))/(VLOOKUP(Main_L[[#This Row],[Industry]], Mean_ROE_L, 3, FALSE))</f>
        <v>-0.2367777442113374</v>
      </c>
      <c r="R88" s="1">
        <f>(Main_L[[#This Row],[ROA]]-VLOOKUP(Main_L[[#This Row],[Industry]], Mean_ROA_L, 2, FALSE))/(VLOOKUP(Main_L[[#This Row],[Industry]], Mean_ROA_L, 3, FALSE))</f>
        <v>-0.43886077885888308</v>
      </c>
      <c r="S88" s="1">
        <f>(Main_L[[#This Row],[A/E]]-VLOOKUP(Main_L[[#This Row],[Industry]], Mean_AE_L, 2, FALSE))/(VLOOKUP(Main_L[[#This Row],[Industry]], Mean_AE_L, 3, FALSE))</f>
        <v>-9.6375705633172668</v>
      </c>
      <c r="T88" s="1">
        <f>(Main_L[[#This Row],[P/E]]-VLOOKUP(Main_L[[#This Row],[Industry]], Mean_PE_L, 2, FALSE))/(VLOOKUP(Main_L[[#This Row],[Industry]], Mean_PE_L, 3, FALSE))</f>
        <v>-10.141745772324924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9" spans="1:26" x14ac:dyDescent="0.25">
      <c r="A89" t="s">
        <v>124</v>
      </c>
      <c r="B89" t="s">
        <v>145</v>
      </c>
      <c r="C89" s="2">
        <v>260699</v>
      </c>
      <c r="D89">
        <f>RTD("tos.rtd", , "LAST", Main_L[[#This Row],[Symbol]])</f>
        <v>128.1</v>
      </c>
      <c r="E89">
        <v>0.57999999999999996</v>
      </c>
      <c r="F89">
        <v>2.31</v>
      </c>
      <c r="G89">
        <v>0.23</v>
      </c>
      <c r="H89" s="1">
        <f>IF(ISNUMBER(Main_L[[#This Row],[Free CF]]),IF(Main_L[[#This Row],[Free CF]]&lt;&gt;0,Main_L[[#This Row],[Current Price]]/Main_L[[#This Row],[Free CF]],""),"")</f>
        <v>220.86206896551724</v>
      </c>
      <c r="I89" s="1">
        <f>IF(ISNUMBER(Main_L[[#This Row],[BVPS]]),IF(Main_L[[#This Row],[BVPS]]&lt;&gt;0,Main_L[[#This Row],[Current Price]]/Main_L[[#This Row],[BVPS]],""),"")</f>
        <v>55.454545454545453</v>
      </c>
      <c r="J89">
        <v>12.36</v>
      </c>
      <c r="K89">
        <v>4.3899999999999997</v>
      </c>
      <c r="L89">
        <v>1.24</v>
      </c>
      <c r="M89" s="1">
        <f>IF(ISNUMBER(Main_L[[#This Row],[EPS]]),IF(Main_L[[#This Row],[EPS]]&lt;&gt;0,Main_L[[#This Row],[Current Price]]/Main_L[[#This Row],[EPS]],""),"")</f>
        <v>556.95652173913038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7.5048453128293957</v>
      </c>
      <c r="P89" s="1">
        <f>(Main_L[[#This Row],[P/B]]-VLOOKUP(Main_L[[#This Row],[Industry]], Mean_PB_L, 2, FALSE))/(VLOOKUP(Main_L[[#This Row],[Industry]], Mean_PB_L, 3, FALSE))</f>
        <v>5.5654611053413534</v>
      </c>
      <c r="Q89" s="1">
        <f>(Main_L[[#This Row],[ROE]]-VLOOKUP(Main_L[[#This Row],[Industry]], Mean_ROE_L, 2, FALSE))/(VLOOKUP(Main_L[[#This Row],[Industry]], Mean_ROE_L, 3, FALSE))</f>
        <v>-9.8559479025445967E-3</v>
      </c>
      <c r="R89" s="1">
        <f>(Main_L[[#This Row],[ROA]]-VLOOKUP(Main_L[[#This Row],[Industry]], Mean_ROA_L, 2, FALSE))/(VLOOKUP(Main_L[[#This Row],[Industry]], Mean_ROA_L, 3, FALSE))</f>
        <v>2.0631063542886834E-2</v>
      </c>
      <c r="S89" s="1">
        <f>(Main_L[[#This Row],[A/E]]-VLOOKUP(Main_L[[#This Row],[Industry]], Mean_AE_L, 2, FALSE))/(VLOOKUP(Main_L[[#This Row],[Industry]], Mean_AE_L, 3, FALSE))</f>
        <v>-1.1072374477130702</v>
      </c>
      <c r="T89" s="1">
        <f>(Main_L[[#This Row],[P/E]]-VLOOKUP(Main_L[[#This Row],[Industry]], Mean_PE_L, 2, FALSE))/(VLOOKUP(Main_L[[#This Row],[Industry]], Mean_PE_L, 3, FALSE))</f>
        <v>13.134196566184912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0" spans="1:26" x14ac:dyDescent="0.25">
      <c r="A90" t="s">
        <v>124</v>
      </c>
      <c r="B90" t="s">
        <v>146</v>
      </c>
      <c r="C90" s="2">
        <v>19318</v>
      </c>
      <c r="D90">
        <f>RTD("tos.rtd", , "LAST", Main_L[[#This Row],[Symbol]])</f>
        <v>170.96</v>
      </c>
      <c r="E90">
        <v>6.79</v>
      </c>
      <c r="F90">
        <v>28.24</v>
      </c>
      <c r="G90">
        <v>3.64</v>
      </c>
      <c r="H90" s="1">
        <f>IF(ISNUMBER(Main_L[[#This Row],[Free CF]]),IF(Main_L[[#This Row],[Free CF]]&lt;&gt;0,Main_L[[#This Row],[Current Price]]/Main_L[[#This Row],[Free CF]],""),"")</f>
        <v>25.17820324005891</v>
      </c>
      <c r="I90" s="1">
        <f>IF(ISNUMBER(Main_L[[#This Row],[BVPS]]),IF(Main_L[[#This Row],[BVPS]]&lt;&gt;0,Main_L[[#This Row],[Current Price]]/Main_L[[#This Row],[BVPS]],""),"")</f>
        <v>6.0538243626062327</v>
      </c>
      <c r="J90">
        <v>13.92</v>
      </c>
      <c r="K90">
        <v>6.41</v>
      </c>
      <c r="L90">
        <v>1.82</v>
      </c>
      <c r="M90" s="1">
        <f>IF(ISNUMBER(Main_L[[#This Row],[EPS]]),IF(Main_L[[#This Row],[EPS]]&lt;&gt;0,Main_L[[#This Row],[Current Price]]/Main_L[[#This Row],[EPS]],""),"")</f>
        <v>46.967032967032971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90" s="1">
        <f>(Main_L[[#This Row],[P/FCF]]-VLOOKUP(Main_L[[#This Row],[Industry]], Mean_PFCF_L, 2, FALSE))/(VLOOKUP(Main_L[[#This Row],[Industry]], Mean_PFCF_L, 3, FALSE))</f>
        <v>-0.76434454248505423</v>
      </c>
      <c r="P90" s="1">
        <f>(Main_L[[#This Row],[P/B]]-VLOOKUP(Main_L[[#This Row],[Industry]], Mean_PB_L, 2, FALSE))/(VLOOKUP(Main_L[[#This Row],[Industry]], Mean_PB_L, 3, FALSE))</f>
        <v>-0.78892727837680821</v>
      </c>
      <c r="Q90" s="1">
        <f>(Main_L[[#This Row],[ROE]]-VLOOKUP(Main_L[[#This Row],[Industry]], Mean_ROE_L, 2, FALSE))/(VLOOKUP(Main_L[[#This Row],[Industry]], Mean_ROE_L, 3, FALSE))</f>
        <v>6.7775192939937196E-2</v>
      </c>
      <c r="R90" s="1">
        <f>(Main_L[[#This Row],[ROA]]-VLOOKUP(Main_L[[#This Row],[Industry]], Mean_ROA_L, 2, FALSE))/(VLOOKUP(Main_L[[#This Row],[Industry]], Mean_ROA_L, 3, FALSE))</f>
        <v>0.394894580337877</v>
      </c>
      <c r="S90" s="1">
        <f>(Main_L[[#This Row],[A/E]]-VLOOKUP(Main_L[[#This Row],[Industry]], Mean_AE_L, 2, FALSE))/(VLOOKUP(Main_L[[#This Row],[Industry]], Mean_AE_L, 3, FALSE))</f>
        <v>-0.10570036126561384</v>
      </c>
      <c r="T90" s="1">
        <f>(Main_L[[#This Row],[P/E]]-VLOOKUP(Main_L[[#This Row],[Industry]], Mean_PE_L, 2, FALSE))/(VLOOKUP(Main_L[[#This Row],[Industry]], Mean_PE_L, 3, FALSE))</f>
        <v>-5.0985813716504125E-2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124</v>
      </c>
      <c r="B91" t="s">
        <v>147</v>
      </c>
      <c r="C91" s="2">
        <v>61745</v>
      </c>
      <c r="D91">
        <f>RTD("tos.rtd", , "LAST", Main_L[[#This Row],[Symbol]])</f>
        <v>577.07000000000005</v>
      </c>
      <c r="E91">
        <v>21.24</v>
      </c>
      <c r="F91">
        <v>178.8</v>
      </c>
      <c r="G91">
        <v>13.87</v>
      </c>
      <c r="H91" s="1">
        <f>IF(ISNUMBER(Main_L[[#This Row],[Free CF]]),IF(Main_L[[#This Row],[Free CF]]&lt;&gt;0,Main_L[[#This Row],[Current Price]]/Main_L[[#This Row],[Free CF]],""),"")</f>
        <v>27.169020715630889</v>
      </c>
      <c r="I91" s="1">
        <f>IF(ISNUMBER(Main_L[[#This Row],[BVPS]]),IF(Main_L[[#This Row],[BVPS]]&lt;&gt;0,Main_L[[#This Row],[Current Price]]/Main_L[[#This Row],[BVPS]],""),"")</f>
        <v>3.2274608501118567</v>
      </c>
      <c r="J91">
        <v>8.09</v>
      </c>
      <c r="K91">
        <v>4.16</v>
      </c>
      <c r="L91">
        <v>1.63</v>
      </c>
      <c r="M91" s="1">
        <f>IF(ISNUMBER(Main_L[[#This Row],[EPS]]),IF(Main_L[[#This Row],[EPS]]&lt;&gt;0,Main_L[[#This Row],[Current Price]]/Main_L[[#This Row],[EPS]],""),"")</f>
        <v>41.605623648161504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-0.68021677031665728</v>
      </c>
      <c r="P91" s="1">
        <f>(Main_L[[#This Row],[P/B]]-VLOOKUP(Main_L[[#This Row],[Industry]], Mean_PB_L, 2, FALSE))/(VLOOKUP(Main_L[[#This Row],[Industry]], Mean_PB_L, 3, FALSE))</f>
        <v>-1.1524809082627827</v>
      </c>
      <c r="Q91" s="1">
        <f>(Main_L[[#This Row],[ROE]]-VLOOKUP(Main_L[[#This Row],[Industry]], Mean_ROE_L, 2, FALSE))/(VLOOKUP(Main_L[[#This Row],[Industry]], Mean_ROE_L, 3, FALSE))</f>
        <v>-0.22234631418292736</v>
      </c>
      <c r="R91" s="1">
        <f>(Main_L[[#This Row],[ROA]]-VLOOKUP(Main_L[[#This Row],[Industry]], Mean_ROA_L, 2, FALSE))/(VLOOKUP(Main_L[[#This Row],[Industry]], Mean_ROA_L, 3, FALSE))</f>
        <v>-2.1983099260503042E-2</v>
      </c>
      <c r="S91" s="1">
        <f>(Main_L[[#This Row],[A/E]]-VLOOKUP(Main_L[[#This Row],[Industry]], Mean_AE_L, 2, FALSE))/(VLOOKUP(Main_L[[#This Row],[Industry]], Mean_AE_L, 3, FALSE))</f>
        <v>-0.43379009648116018</v>
      </c>
      <c r="T91" s="1">
        <f>(Main_L[[#This Row],[P/E]]-VLOOKUP(Main_L[[#This Row],[Industry]], Mean_PE_L, 2, FALSE))/(VLOOKUP(Main_L[[#This Row],[Industry]], Mean_PE_L, 3, FALSE))</f>
        <v>-0.1895987875894099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124</v>
      </c>
      <c r="B92" t="s">
        <v>148</v>
      </c>
      <c r="C92" s="2">
        <v>10230</v>
      </c>
      <c r="D92">
        <f>RTD("tos.rtd", , "LAST", Main_L[[#This Row],[Symbol]])</f>
        <v>19.579999999999998</v>
      </c>
      <c r="H92" s="1" t="str">
        <f>IF(ISNUMBER(Main_L[[#This Row],[Free CF]]),IF(Main_L[[#This Row],[Free CF]]&lt;&gt;0,Main_L[[#This Row],[Current Price]]/Main_L[[#This Row],[Free CF]],""),"")</f>
        <v/>
      </c>
      <c r="I92" s="1" t="str">
        <f>IF(ISNUMBER(Main_L[[#This Row],[BVPS]]),IF(Main_L[[#This Row],[BVPS]]&lt;&gt;0,Main_L[[#This Row],[Current Price]]/Main_L[[#This Row],[BVPS]],""),"")</f>
        <v/>
      </c>
      <c r="J92">
        <v>29.12</v>
      </c>
      <c r="K92">
        <v>-1.57</v>
      </c>
      <c r="L92">
        <v>-1.33</v>
      </c>
      <c r="M92" s="1" t="str">
        <f>IF(ISNUMBER(Main_L[[#This Row],[EPS]]),IF(Main_L[[#This Row],[EPS]]&lt;&gt;0,Main_L[[#This Row],[Current Price]]/Main_L[[#This Row],[EPS]],""),"")</f>
        <v/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 t="e">
        <f>(Main_L[[#This Row],[P/FCF]]-VLOOKUP(Main_L[[#This Row],[Industry]], Mean_PFCF_L, 2, FALSE))/(VLOOKUP(Main_L[[#This Row],[Industry]], Mean_PFCF_L, 3, FALSE))</f>
        <v>#VALUE!</v>
      </c>
      <c r="P92" s="1" t="e">
        <f>(Main_L[[#This Row],[P/B]]-VLOOKUP(Main_L[[#This Row],[Industry]], Mean_PB_L, 2, FALSE))/(VLOOKUP(Main_L[[#This Row],[Industry]], Mean_PB_L, 3, FALSE))</f>
        <v>#VALUE!</v>
      </c>
      <c r="Q92" s="1">
        <f>(Main_L[[#This Row],[ROE]]-VLOOKUP(Main_L[[#This Row],[Industry]], Mean_ROE_L, 2, FALSE))/(VLOOKUP(Main_L[[#This Row],[Industry]], Mean_ROE_L, 3, FALSE))</f>
        <v>0.82418118063591339</v>
      </c>
      <c r="R92" s="1">
        <f>(Main_L[[#This Row],[ROA]]-VLOOKUP(Main_L[[#This Row],[Industry]], Mean_ROA_L, 2, FALSE))/(VLOOKUP(Main_L[[#This Row],[Industry]], Mean_ROA_L, 3, FALSE))</f>
        <v>-1.0836315899710443</v>
      </c>
      <c r="S92" s="1">
        <f>(Main_L[[#This Row],[A/E]]-VLOOKUP(Main_L[[#This Row],[Industry]], Mean_AE_L, 2, FALSE))/(VLOOKUP(Main_L[[#This Row],[Industry]], Mean_AE_L, 3, FALSE))</f>
        <v>-5.5450828135233508</v>
      </c>
      <c r="T92" s="1" t="e">
        <f>(Main_L[[#This Row],[P/E]]-VLOOKUP(Main_L[[#This Row],[Industry]], Mean_PE_L, 2, FALSE))/(VLOOKUP(Main_L[[#This Row],[Industry]], Mean_PE_L, 3, FALSE))</f>
        <v>#VALUE!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3" spans="1:26" x14ac:dyDescent="0.25">
      <c r="A93" t="s">
        <v>124</v>
      </c>
      <c r="B93" t="s">
        <v>149</v>
      </c>
      <c r="C93" s="2">
        <v>346862</v>
      </c>
      <c r="D93">
        <f>RTD("tos.rtd", , "LAST", Main_L[[#This Row],[Symbol]])</f>
        <v>289.73</v>
      </c>
      <c r="E93">
        <v>4.96</v>
      </c>
      <c r="F93">
        <v>42.38</v>
      </c>
      <c r="G93">
        <v>5.25</v>
      </c>
      <c r="H93" s="1">
        <f>IF(ISNUMBER(Main_L[[#This Row],[Free CF]]),IF(Main_L[[#This Row],[Free CF]]&lt;&gt;0,Main_L[[#This Row],[Current Price]]/Main_L[[#This Row],[Free CF]],""),"")</f>
        <v>58.413306451612904</v>
      </c>
      <c r="I93" s="1">
        <f>IF(ISNUMBER(Main_L[[#This Row],[BVPS]]),IF(Main_L[[#This Row],[BVPS]]&lt;&gt;0,Main_L[[#This Row],[Current Price]]/Main_L[[#This Row],[BVPS]],""),"")</f>
        <v>6.8364794714487962</v>
      </c>
      <c r="J93">
        <v>12.9</v>
      </c>
      <c r="K93">
        <v>7.63</v>
      </c>
      <c r="L93">
        <v>1.65</v>
      </c>
      <c r="M93" s="1">
        <f>IF(ISNUMBER(Main_L[[#This Row],[EPS]]),IF(Main_L[[#This Row],[EPS]]&lt;&gt;0,Main_L[[#This Row],[Current Price]]/Main_L[[#This Row],[EPS]],""),"")</f>
        <v>55.186666666666667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0.64010123181751344</v>
      </c>
      <c r="P93" s="1">
        <f>(Main_L[[#This Row],[P/B]]-VLOOKUP(Main_L[[#This Row],[Industry]], Mean_PB_L, 2, FALSE))/(VLOOKUP(Main_L[[#This Row],[Industry]], Mean_PB_L, 3, FALSE))</f>
        <v>-0.68825476951137876</v>
      </c>
      <c r="Q93" s="1">
        <f>(Main_L[[#This Row],[ROE]]-VLOOKUP(Main_L[[#This Row],[Industry]], Mean_ROE_L, 2, FALSE))/(VLOOKUP(Main_L[[#This Row],[Industry]], Mean_ROE_L, 3, FALSE))</f>
        <v>1.7016370081391445E-2</v>
      </c>
      <c r="R93" s="1">
        <f>(Main_L[[#This Row],[ROA]]-VLOOKUP(Main_L[[#This Row],[Industry]], Mean_ROA_L, 2, FALSE))/(VLOOKUP(Main_L[[#This Row],[Industry]], Mean_ROA_L, 3, FALSE))</f>
        <v>0.62093492216455415</v>
      </c>
      <c r="S93" s="1">
        <f>(Main_L[[#This Row],[A/E]]-VLOOKUP(Main_L[[#This Row],[Industry]], Mean_AE_L, 2, FALSE))/(VLOOKUP(Main_L[[#This Row],[Industry]], Mean_AE_L, 3, FALSE))</f>
        <v>-0.39925433487952372</v>
      </c>
      <c r="T93" s="1">
        <f>(Main_L[[#This Row],[P/E]]-VLOOKUP(Main_L[[#This Row],[Industry]], Mean_PE_L, 2, FALSE))/(VLOOKUP(Main_L[[#This Row],[Industry]], Mean_PE_L, 3, FALSE))</f>
        <v>0.16152321208046769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4" spans="1:26" x14ac:dyDescent="0.25">
      <c r="A94" t="s">
        <v>124</v>
      </c>
      <c r="B94" t="s">
        <v>150</v>
      </c>
      <c r="C94" s="2">
        <v>74301</v>
      </c>
      <c r="D94">
        <f>RTD("tos.rtd", , "LAST", Main_L[[#This Row],[Symbol]])</f>
        <v>515.71</v>
      </c>
      <c r="E94">
        <v>8.49</v>
      </c>
      <c r="F94">
        <v>60.18</v>
      </c>
      <c r="G94">
        <v>8.32</v>
      </c>
      <c r="H94" s="1">
        <f>IF(ISNUMBER(Main_L[[#This Row],[Free CF]]),IF(Main_L[[#This Row],[Free CF]]&lt;&gt;0,Main_L[[#This Row],[Current Price]]/Main_L[[#This Row],[Free CF]],""),"")</f>
        <v>60.743227326266201</v>
      </c>
      <c r="I94" s="1">
        <f>IF(ISNUMBER(Main_L[[#This Row],[BVPS]]),IF(Main_L[[#This Row],[BVPS]]&lt;&gt;0,Main_L[[#This Row],[Current Price]]/Main_L[[#This Row],[BVPS]],""),"")</f>
        <v>8.5694582917912943</v>
      </c>
      <c r="J94">
        <v>15.95</v>
      </c>
      <c r="K94">
        <v>6.65</v>
      </c>
      <c r="L94">
        <v>1.4</v>
      </c>
      <c r="M94" s="1">
        <f>IF(ISNUMBER(Main_L[[#This Row],[EPS]]),IF(Main_L[[#This Row],[EPS]]&lt;&gt;0,Main_L[[#This Row],[Current Price]]/Main_L[[#This Row],[EPS]],""),"")</f>
        <v>61.984375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0.7385588025985359</v>
      </c>
      <c r="P94" s="1">
        <f>(Main_L[[#This Row],[P/B]]-VLOOKUP(Main_L[[#This Row],[Industry]], Mean_PB_L, 2, FALSE))/(VLOOKUP(Main_L[[#This Row],[Industry]], Mean_PB_L, 3, FALSE))</f>
        <v>-0.46534262892299333</v>
      </c>
      <c r="Q94" s="1">
        <f>(Main_L[[#This Row],[ROE]]-VLOOKUP(Main_L[[#This Row],[Industry]], Mean_ROE_L, 2, FALSE))/(VLOOKUP(Main_L[[#This Row],[Industry]], Mean_ROE_L, 3, FALSE))</f>
        <v>0.16879520313880766</v>
      </c>
      <c r="R94" s="1">
        <f>(Main_L[[#This Row],[ROA]]-VLOOKUP(Main_L[[#This Row],[Industry]], Mean_ROA_L, 2, FALSE))/(VLOOKUP(Main_L[[#This Row],[Industry]], Mean_ROA_L, 3, FALSE))</f>
        <v>0.43936153282837093</v>
      </c>
      <c r="S94" s="1">
        <f>(Main_L[[#This Row],[A/E]]-VLOOKUP(Main_L[[#This Row],[Industry]], Mean_AE_L, 2, FALSE))/(VLOOKUP(Main_L[[#This Row],[Industry]], Mean_AE_L, 3, FALSE))</f>
        <v>-0.83095135489997896</v>
      </c>
      <c r="T94" s="1">
        <f>(Main_L[[#This Row],[P/E]]-VLOOKUP(Main_L[[#This Row],[Industry]], Mean_PE_L, 2, FALSE))/(VLOOKUP(Main_L[[#This Row],[Industry]], Mean_PE_L, 3, FALSE))</f>
        <v>0.33727001885520264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5" spans="1:26" x14ac:dyDescent="0.25">
      <c r="A95" t="s">
        <v>124</v>
      </c>
      <c r="B95" t="s">
        <v>151</v>
      </c>
      <c r="C95" s="2">
        <v>54000</v>
      </c>
      <c r="D95">
        <f>RTD("tos.rtd", , "LAST", Main_L[[#This Row],[Symbol]])</f>
        <v>229.52</v>
      </c>
      <c r="E95">
        <v>5.62</v>
      </c>
      <c r="F95">
        <v>5.2</v>
      </c>
      <c r="G95">
        <v>-1.65</v>
      </c>
      <c r="H95" s="1">
        <f>IF(ISNUMBER(Main_L[[#This Row],[Free CF]]),IF(Main_L[[#This Row],[Free CF]]&lt;&gt;0,Main_L[[#This Row],[Current Price]]/Main_L[[#This Row],[Free CF]],""),"")</f>
        <v>40.839857651245552</v>
      </c>
      <c r="I95" s="1">
        <f>IF(ISNUMBER(Main_L[[#This Row],[BVPS]]),IF(Main_L[[#This Row],[BVPS]]&lt;&gt;0,Main_L[[#This Row],[Current Price]]/Main_L[[#This Row],[BVPS]],""),"")</f>
        <v>44.138461538461542</v>
      </c>
      <c r="J95">
        <v>-34.33</v>
      </c>
      <c r="K95">
        <v>-1.93</v>
      </c>
      <c r="L95">
        <v>4.3</v>
      </c>
      <c r="M95" s="1">
        <f>IF(ISNUMBER(Main_L[[#This Row],[EPS]]),IF(Main_L[[#This Row],[EPS]]&lt;&gt;0,Main_L[[#This Row],[Current Price]]/Main_L[[#This Row],[EPS]],""),"")</f>
        <v>-139.10303030303032</v>
      </c>
      <c r="N9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5" s="1">
        <f>(Main_L[[#This Row],[P/FCF]]-VLOOKUP(Main_L[[#This Row],[Industry]], Mean_PFCF_L, 2, FALSE))/(VLOOKUP(Main_L[[#This Row],[Industry]], Mean_PFCF_L, 3, FALSE))</f>
        <v>-0.10251586645038846</v>
      </c>
      <c r="P95" s="1">
        <f>(Main_L[[#This Row],[P/B]]-VLOOKUP(Main_L[[#This Row],[Industry]], Mean_PB_L, 2, FALSE))/(VLOOKUP(Main_L[[#This Row],[Industry]], Mean_PB_L, 3, FALSE))</f>
        <v>4.109879271794461</v>
      </c>
      <c r="Q95" s="1">
        <f>(Main_L[[#This Row],[ROE]]-VLOOKUP(Main_L[[#This Row],[Industry]], Mean_ROE_L, 2, FALSE))/(VLOOKUP(Main_L[[#This Row],[Industry]], Mean_ROE_L, 3, FALSE))</f>
        <v>-2.3333161824765658</v>
      </c>
      <c r="R95" s="1">
        <f>(Main_L[[#This Row],[ROA]]-VLOOKUP(Main_L[[#This Row],[Industry]], Mean_ROA_L, 2, FALSE))/(VLOOKUP(Main_L[[#This Row],[Industry]], Mean_ROA_L, 3, FALSE))</f>
        <v>-1.1503320187067851</v>
      </c>
      <c r="S95" s="1">
        <f>(Main_L[[#This Row],[A/E]]-VLOOKUP(Main_L[[#This Row],[Industry]], Mean_AE_L, 2, FALSE))/(VLOOKUP(Main_L[[#This Row],[Industry]], Mean_AE_L, 3, FALSE))</f>
        <v>4.1767340773373025</v>
      </c>
      <c r="T95" s="1">
        <f>(Main_L[[#This Row],[P/E]]-VLOOKUP(Main_L[[#This Row],[Industry]], Mean_PE_L, 2, FALSE))/(VLOOKUP(Main_L[[#This Row],[Industry]], Mean_PE_L, 3, FALSE))</f>
        <v>-4.8616099023865633</v>
      </c>
      <c r="U9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6" spans="1:26" x14ac:dyDescent="0.25">
      <c r="A96" t="s">
        <v>124</v>
      </c>
      <c r="B96" t="s">
        <v>152</v>
      </c>
      <c r="C96" s="2">
        <v>10509</v>
      </c>
      <c r="D96">
        <f>RTD("tos.rtd", , "LAST", Main_L[[#This Row],[Symbol]])</f>
        <v>123.03</v>
      </c>
      <c r="E96">
        <v>0.37</v>
      </c>
      <c r="F96">
        <v>16.149999999999999</v>
      </c>
      <c r="G96">
        <v>-8.5299999999999994</v>
      </c>
      <c r="H96" s="1">
        <f>IF(ISNUMBER(Main_L[[#This Row],[Free CF]]),IF(Main_L[[#This Row],[Free CF]]&lt;&gt;0,Main_L[[#This Row],[Current Price]]/Main_L[[#This Row],[Free CF]],""),"")</f>
        <v>332.51351351351354</v>
      </c>
      <c r="I96" s="1">
        <f>IF(ISNUMBER(Main_L[[#This Row],[BVPS]]),IF(Main_L[[#This Row],[BVPS]]&lt;&gt;0,Main_L[[#This Row],[Current Price]]/Main_L[[#This Row],[BVPS]],""),"")</f>
        <v>7.6179566563467498</v>
      </c>
      <c r="J96">
        <v>-18.350000000000001</v>
      </c>
      <c r="K96">
        <v>-8.57</v>
      </c>
      <c r="L96">
        <v>1.22</v>
      </c>
      <c r="M96" s="1">
        <f>IF(ISNUMBER(Main_L[[#This Row],[EPS]]),IF(Main_L[[#This Row],[EPS]]&lt;&gt;0,Main_L[[#This Row],[Current Price]]/Main_L[[#This Row],[EPS]],""),"")</f>
        <v>-14.423212192262604</v>
      </c>
      <c r="N9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6" s="1">
        <f>(Main_L[[#This Row],[P/FCF]]-VLOOKUP(Main_L[[#This Row],[Industry]], Mean_PFCF_L, 2, FALSE))/(VLOOKUP(Main_L[[#This Row],[Industry]], Mean_PFCF_L, 3, FALSE))</f>
        <v>12.223001248499767</v>
      </c>
      <c r="P96" s="1">
        <f>(Main_L[[#This Row],[P/B]]-VLOOKUP(Main_L[[#This Row],[Industry]], Mean_PB_L, 2, FALSE))/(VLOOKUP(Main_L[[#This Row],[Industry]], Mean_PB_L, 3, FALSE))</f>
        <v>-0.58773377637416313</v>
      </c>
      <c r="Q96" s="1">
        <f>(Main_L[[#This Row],[ROE]]-VLOOKUP(Main_L[[#This Row],[Industry]], Mean_ROE_L, 2, FALSE))/(VLOOKUP(Main_L[[#This Row],[Industry]], Mean_ROE_L, 3, FALSE))</f>
        <v>-1.538094624359349</v>
      </c>
      <c r="R96" s="1">
        <f>(Main_L[[#This Row],[ROA]]-VLOOKUP(Main_L[[#This Row],[Industry]], Mean_ROA_L, 2, FALSE))/(VLOOKUP(Main_L[[#This Row],[Industry]], Mean_ROA_L, 3, FALSE))</f>
        <v>-2.3805843709437822</v>
      </c>
      <c r="S96" s="1">
        <f>(Main_L[[#This Row],[A/E]]-VLOOKUP(Main_L[[#This Row],[Industry]], Mean_AE_L, 2, FALSE))/(VLOOKUP(Main_L[[#This Row],[Industry]], Mean_AE_L, 3, FALSE))</f>
        <v>-1.1417732093147066</v>
      </c>
      <c r="T96" s="1">
        <f>(Main_L[[#This Row],[P/E]]-VLOOKUP(Main_L[[#This Row],[Industry]], Mean_PE_L, 2, FALSE))/(VLOOKUP(Main_L[[#This Row],[Industry]], Mean_PE_L, 3, FALSE))</f>
        <v>-1.6381588762850408</v>
      </c>
      <c r="U9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7" spans="1:26" x14ac:dyDescent="0.25">
      <c r="A97" t="s">
        <v>124</v>
      </c>
      <c r="B97" t="s">
        <v>153</v>
      </c>
      <c r="C97" s="2">
        <v>24050</v>
      </c>
      <c r="D97">
        <f>RTD("tos.rtd", , "LAST", Main_L[[#This Row],[Symbol]])</f>
        <v>567.79999999999995</v>
      </c>
      <c r="E97">
        <v>13.22</v>
      </c>
      <c r="F97">
        <v>81.48</v>
      </c>
      <c r="G97">
        <v>6.63</v>
      </c>
      <c r="H97" s="1">
        <f>IF(ISNUMBER(Main_L[[#This Row],[Free CF]]),IF(Main_L[[#This Row],[Free CF]]&lt;&gt;0,Main_L[[#This Row],[Current Price]]/Main_L[[#This Row],[Free CF]],""),"")</f>
        <v>42.950075642965196</v>
      </c>
      <c r="I97" s="1">
        <f>IF(ISNUMBER(Main_L[[#This Row],[BVPS]]),IF(Main_L[[#This Row],[BVPS]]&lt;&gt;0,Main_L[[#This Row],[Current Price]]/Main_L[[#This Row],[BVPS]],""),"")</f>
        <v>6.9685812469317616</v>
      </c>
      <c r="J97">
        <v>8.8699999999999992</v>
      </c>
      <c r="K97">
        <v>4.47</v>
      </c>
      <c r="L97">
        <v>1.48</v>
      </c>
      <c r="M97" s="1">
        <f>IF(ISNUMBER(Main_L[[#This Row],[EPS]]),IF(Main_L[[#This Row],[EPS]]&lt;&gt;0,Main_L[[#This Row],[Current Price]]/Main_L[[#This Row],[EPS]],""),"")</f>
        <v>85.641025641025635</v>
      </c>
      <c r="N9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7" s="1">
        <f>(Main_L[[#This Row],[P/FCF]]-VLOOKUP(Main_L[[#This Row],[Industry]], Mean_PFCF_L, 2, FALSE))/(VLOOKUP(Main_L[[#This Row],[Industry]], Mean_PFCF_L, 3, FALSE))</f>
        <v>-1.3342478828784936E-2</v>
      </c>
      <c r="P97" s="1">
        <f>(Main_L[[#This Row],[P/B]]-VLOOKUP(Main_L[[#This Row],[Industry]], Mean_PB_L, 2, FALSE))/(VLOOKUP(Main_L[[#This Row],[Industry]], Mean_PB_L, 3, FALSE))</f>
        <v>-0.67126258864755595</v>
      </c>
      <c r="Q97" s="1">
        <f>(Main_L[[#This Row],[ROE]]-VLOOKUP(Main_L[[#This Row],[Industry]], Mean_ROE_L, 2, FALSE))/(VLOOKUP(Main_L[[#This Row],[Industry]], Mean_ROE_L, 3, FALSE))</f>
        <v>-0.18353074376168649</v>
      </c>
      <c r="R97" s="1">
        <f>(Main_L[[#This Row],[ROA]]-VLOOKUP(Main_L[[#This Row],[Industry]], Mean_ROA_L, 2, FALSE))/(VLOOKUP(Main_L[[#This Row],[Industry]], Mean_ROA_L, 3, FALSE))</f>
        <v>3.5453381039718138E-2</v>
      </c>
      <c r="S97" s="1">
        <f>(Main_L[[#This Row],[A/E]]-VLOOKUP(Main_L[[#This Row],[Industry]], Mean_AE_L, 2, FALSE))/(VLOOKUP(Main_L[[#This Row],[Industry]], Mean_AE_L, 3, FALSE))</f>
        <v>-0.69280830849343322</v>
      </c>
      <c r="T97" s="1">
        <f>(Main_L[[#This Row],[P/E]]-VLOOKUP(Main_L[[#This Row],[Industry]], Mean_PE_L, 2, FALSE))/(VLOOKUP(Main_L[[#This Row],[Industry]], Mean_PE_L, 3, FALSE))</f>
        <v>0.94888508164902308</v>
      </c>
      <c r="U9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8" spans="1:26" x14ac:dyDescent="0.25">
      <c r="A98" t="s">
        <v>124</v>
      </c>
      <c r="B98" t="s">
        <v>154</v>
      </c>
      <c r="C98" s="2">
        <v>67026</v>
      </c>
      <c r="D98">
        <f>RTD("tos.rtd", , "LAST", Main_L[[#This Row],[Symbol]])</f>
        <v>270.02</v>
      </c>
      <c r="E98">
        <v>8.25</v>
      </c>
      <c r="F98">
        <v>33.92</v>
      </c>
      <c r="G98">
        <v>1.95</v>
      </c>
      <c r="H98" s="1">
        <f>IF(ISNUMBER(Main_L[[#This Row],[Free CF]]),IF(Main_L[[#This Row],[Free CF]]&lt;&gt;0,Main_L[[#This Row],[Current Price]]/Main_L[[#This Row],[Free CF]],""),"")</f>
        <v>32.729696969696967</v>
      </c>
      <c r="I98" s="1">
        <f>IF(ISNUMBER(Main_L[[#This Row],[BVPS]]),IF(Main_L[[#This Row],[BVPS]]&lt;&gt;0,Main_L[[#This Row],[Current Price]]/Main_L[[#This Row],[BVPS]],""),"")</f>
        <v>7.9604952830188669</v>
      </c>
      <c r="J98">
        <v>6.15</v>
      </c>
      <c r="K98">
        <v>1.81</v>
      </c>
      <c r="L98">
        <v>1.99</v>
      </c>
      <c r="M98" s="1">
        <f>IF(ISNUMBER(Main_L[[#This Row],[EPS]]),IF(Main_L[[#This Row],[EPS]]&lt;&gt;0,Main_L[[#This Row],[Current Price]]/Main_L[[#This Row],[EPS]],""),"")</f>
        <v>138.47179487179486</v>
      </c>
      <c r="N9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8" s="1">
        <f>(Main_L[[#This Row],[P/FCF]]-VLOOKUP(Main_L[[#This Row],[Industry]], Mean_PFCF_L, 2, FALSE))/(VLOOKUP(Main_L[[#This Row],[Industry]], Mean_PFCF_L, 3, FALSE))</f>
        <v>-0.44523425145471052</v>
      </c>
      <c r="P98" s="1">
        <f>(Main_L[[#This Row],[P/B]]-VLOOKUP(Main_L[[#This Row],[Industry]], Mean_PB_L, 2, FALSE))/(VLOOKUP(Main_L[[#This Row],[Industry]], Mean_PB_L, 3, FALSE))</f>
        <v>-0.54367321567406368</v>
      </c>
      <c r="Q98" s="1">
        <f>(Main_L[[#This Row],[ROE]]-VLOOKUP(Main_L[[#This Row],[Industry]], Mean_ROE_L, 2, FALSE))/(VLOOKUP(Main_L[[#This Row],[Industry]], Mean_ROE_L, 3, FALSE))</f>
        <v>-0.31888760471780847</v>
      </c>
      <c r="R98" s="1">
        <f>(Main_L[[#This Row],[ROA]]-VLOOKUP(Main_L[[#This Row],[Industry]], Mean_ROA_L, 2, FALSE))/(VLOOKUP(Main_L[[#This Row],[Industry]], Mean_ROA_L, 3, FALSE))</f>
        <v>-0.4573886757299222</v>
      </c>
      <c r="S98" s="1">
        <f>(Main_L[[#This Row],[A/E]]-VLOOKUP(Main_L[[#This Row],[Industry]], Mean_AE_L, 2, FALSE))/(VLOOKUP(Main_L[[#This Row],[Industry]], Mean_AE_L, 3, FALSE))</f>
        <v>0.18785361234829562</v>
      </c>
      <c r="T98" s="1">
        <f>(Main_L[[#This Row],[P/E]]-VLOOKUP(Main_L[[#This Row],[Industry]], Mean_PE_L, 2, FALSE))/(VLOOKUP(Main_L[[#This Row],[Industry]], Mean_PE_L, 3, FALSE))</f>
        <v>2.314762894651289</v>
      </c>
      <c r="U9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9" spans="1:26" x14ac:dyDescent="0.25">
      <c r="A99" t="s">
        <v>124</v>
      </c>
      <c r="B99" t="s">
        <v>155</v>
      </c>
      <c r="C99" s="2">
        <v>23977</v>
      </c>
      <c r="D99">
        <f>RTD("tos.rtd", , "LAST", Main_L[[#This Row],[Symbol]])</f>
        <v>83.18</v>
      </c>
      <c r="E99">
        <v>5.87</v>
      </c>
      <c r="F99">
        <v>29.22</v>
      </c>
      <c r="G99">
        <v>3.21</v>
      </c>
      <c r="H99" s="1">
        <f>IF(ISNUMBER(Main_L[[#This Row],[Free CF]]),IF(Main_L[[#This Row],[Free CF]]&lt;&gt;0,Main_L[[#This Row],[Current Price]]/Main_L[[#This Row],[Free CF]],""),"")</f>
        <v>14.170357751277685</v>
      </c>
      <c r="I99" s="1">
        <f>IF(ISNUMBER(Main_L[[#This Row],[BVPS]]),IF(Main_L[[#This Row],[BVPS]]&lt;&gt;0,Main_L[[#This Row],[Current Price]]/Main_L[[#This Row],[BVPS]],""),"")</f>
        <v>2.8466803559206029</v>
      </c>
      <c r="J99">
        <v>11.92</v>
      </c>
      <c r="K99">
        <v>4.87</v>
      </c>
      <c r="L99">
        <v>1.23</v>
      </c>
      <c r="M99" s="1">
        <f>IF(ISNUMBER(Main_L[[#This Row],[EPS]]),IF(Main_L[[#This Row],[EPS]]&lt;&gt;0,Main_L[[#This Row],[Current Price]]/Main_L[[#This Row],[EPS]],""),"")</f>
        <v>25.912772585669785</v>
      </c>
      <c r="N9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9" s="1">
        <f>(Main_L[[#This Row],[P/FCF]]-VLOOKUP(Main_L[[#This Row],[Industry]], Mean_PFCF_L, 2, FALSE))/(VLOOKUP(Main_L[[#This Row],[Industry]], Mean_PFCF_L, 3, FALSE))</f>
        <v>-1.2295130115728776</v>
      </c>
      <c r="P99" s="1">
        <f>(Main_L[[#This Row],[P/B]]-VLOOKUP(Main_L[[#This Row],[Industry]], Mean_PB_L, 2, FALSE))/(VLOOKUP(Main_L[[#This Row],[Industry]], Mean_PB_L, 3, FALSE))</f>
        <v>-1.2014604999681795</v>
      </c>
      <c r="Q99" s="1">
        <f>(Main_L[[#This Row],[ROE]]-VLOOKUP(Main_L[[#This Row],[Industry]], Mean_ROE_L, 2, FALSE))/(VLOOKUP(Main_L[[#This Row],[Industry]], Mean_ROE_L, 3, FALSE))</f>
        <v>-3.1751910704270199E-2</v>
      </c>
      <c r="R99" s="1">
        <f>(Main_L[[#This Row],[ROA]]-VLOOKUP(Main_L[[#This Row],[Industry]], Mean_ROA_L, 2, FALSE))/(VLOOKUP(Main_L[[#This Row],[Industry]], Mean_ROA_L, 3, FALSE))</f>
        <v>0.10956496852387465</v>
      </c>
      <c r="S99" s="1">
        <f>(Main_L[[#This Row],[A/E]]-VLOOKUP(Main_L[[#This Row],[Industry]], Mean_AE_L, 2, FALSE))/(VLOOKUP(Main_L[[#This Row],[Industry]], Mean_AE_L, 3, FALSE))</f>
        <v>-1.1245053285138884</v>
      </c>
      <c r="T99" s="1">
        <f>(Main_L[[#This Row],[P/E]]-VLOOKUP(Main_L[[#This Row],[Industry]], Mean_PE_L, 2, FALSE))/(VLOOKUP(Main_L[[#This Row],[Industry]], Mean_PE_L, 3, FALSE))</f>
        <v>-0.59531911688044703</v>
      </c>
      <c r="U9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0" spans="1:26" x14ac:dyDescent="0.25">
      <c r="A100" t="s">
        <v>124</v>
      </c>
      <c r="B100" t="s">
        <v>156</v>
      </c>
      <c r="C100" s="2">
        <v>23935</v>
      </c>
      <c r="D100">
        <f>RTD("tos.rtd", , "LAST", Main_L[[#This Row],[Symbol]])</f>
        <v>217.87</v>
      </c>
      <c r="E100">
        <v>9.93</v>
      </c>
      <c r="F100">
        <v>25.47</v>
      </c>
      <c r="G100">
        <v>7.58</v>
      </c>
      <c r="H100" s="1">
        <f>IF(ISNUMBER(Main_L[[#This Row],[Free CF]]),IF(Main_L[[#This Row],[Free CF]]&lt;&gt;0,Main_L[[#This Row],[Current Price]]/Main_L[[#This Row],[Free CF]],""),"")</f>
        <v>21.940584088620344</v>
      </c>
      <c r="I100" s="1">
        <f>IF(ISNUMBER(Main_L[[#This Row],[BVPS]]),IF(Main_L[[#This Row],[BVPS]]&lt;&gt;0,Main_L[[#This Row],[Current Price]]/Main_L[[#This Row],[BVPS]],""),"")</f>
        <v>8.5539850804868482</v>
      </c>
      <c r="J100">
        <v>30.92</v>
      </c>
      <c r="K100">
        <v>9.91</v>
      </c>
      <c r="L100">
        <v>2.02</v>
      </c>
      <c r="M100" s="1">
        <f>IF(ISNUMBER(Main_L[[#This Row],[EPS]]),IF(Main_L[[#This Row],[EPS]]&lt;&gt;0,Main_L[[#This Row],[Current Price]]/Main_L[[#This Row],[EPS]],""),"")</f>
        <v>28.74274406332454</v>
      </c>
      <c r="N10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0" s="1">
        <f>(Main_L[[#This Row],[P/FCF]]-VLOOKUP(Main_L[[#This Row],[Industry]], Mean_PFCF_L, 2, FALSE))/(VLOOKUP(Main_L[[#This Row],[Industry]], Mean_PFCF_L, 3, FALSE))</f>
        <v>-0.90115953917981995</v>
      </c>
      <c r="P100" s="1">
        <f>(Main_L[[#This Row],[P/B]]-VLOOKUP(Main_L[[#This Row],[Industry]], Mean_PB_L, 2, FALSE))/(VLOOKUP(Main_L[[#This Row],[Industry]], Mean_PB_L, 3, FALSE))</f>
        <v>-0.46733293983341101</v>
      </c>
      <c r="Q100" s="1">
        <f>(Main_L[[#This Row],[ROE]]-VLOOKUP(Main_L[[#This Row],[Industry]], Mean_ROE_L, 2, FALSE))/(VLOOKUP(Main_L[[#This Row],[Industry]], Mean_ROE_L, 3, FALSE))</f>
        <v>0.91375557391570006</v>
      </c>
      <c r="R100" s="1">
        <f>(Main_L[[#This Row],[ROA]]-VLOOKUP(Main_L[[#This Row],[Industry]], Mean_ROA_L, 2, FALSE))/(VLOOKUP(Main_L[[#This Row],[Industry]], Mean_ROA_L, 3, FALSE))</f>
        <v>1.043370970824246</v>
      </c>
      <c r="S100" s="1">
        <f>(Main_L[[#This Row],[A/E]]-VLOOKUP(Main_L[[#This Row],[Industry]], Mean_AE_L, 2, FALSE))/(VLOOKUP(Main_L[[#This Row],[Industry]], Mean_AE_L, 3, FALSE))</f>
        <v>0.23965725475075031</v>
      </c>
      <c r="T100" s="1">
        <f>(Main_L[[#This Row],[P/E]]-VLOOKUP(Main_L[[#This Row],[Industry]], Mean_PE_L, 2, FALSE))/(VLOOKUP(Main_L[[#This Row],[Industry]], Mean_PE_L, 3, FALSE))</f>
        <v>-0.52215351075660843</v>
      </c>
      <c r="U10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1" spans="1:26" x14ac:dyDescent="0.25">
      <c r="A101" t="s">
        <v>124</v>
      </c>
      <c r="B101" t="s">
        <v>157</v>
      </c>
      <c r="C101" s="2">
        <v>104731</v>
      </c>
      <c r="D101">
        <f>RTD("tos.rtd", , "LAST", Main_L[[#This Row],[Symbol]])</f>
        <v>440.2</v>
      </c>
      <c r="E101">
        <v>4.3600000000000003</v>
      </c>
      <c r="F101">
        <v>13.23</v>
      </c>
      <c r="G101">
        <v>-0.08</v>
      </c>
      <c r="H101" s="1">
        <f>IF(ISNUMBER(Main_L[[#This Row],[Free CF]]),IF(Main_L[[#This Row],[Free CF]]&lt;&gt;0,Main_L[[#This Row],[Current Price]]/Main_L[[#This Row],[Free CF]],""),"")</f>
        <v>100.96330275229357</v>
      </c>
      <c r="I101" s="1">
        <f>IF(ISNUMBER(Main_L[[#This Row],[BVPS]]),IF(Main_L[[#This Row],[BVPS]]&lt;&gt;0,Main_L[[#This Row],[Current Price]]/Main_L[[#This Row],[BVPS]],""),"")</f>
        <v>33.272864701436127</v>
      </c>
      <c r="J101">
        <v>-0.59</v>
      </c>
      <c r="K101">
        <v>-0.47</v>
      </c>
      <c r="L101">
        <v>2.65</v>
      </c>
      <c r="M101" s="1">
        <f>IF(ISNUMBER(Main_L[[#This Row],[EPS]]),IF(Main_L[[#This Row],[EPS]]&lt;&gt;0,Main_L[[#This Row],[Current Price]]/Main_L[[#This Row],[EPS]],""),"")</f>
        <v>-5502.5</v>
      </c>
      <c r="N10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1" s="1">
        <f>(Main_L[[#This Row],[P/FCF]]-VLOOKUP(Main_L[[#This Row],[Industry]], Mean_PFCF_L, 2, FALSE))/(VLOOKUP(Main_L[[#This Row],[Industry]], Mean_PFCF_L, 3, FALSE))</f>
        <v>2.4381748565838093</v>
      </c>
      <c r="P101" s="1">
        <f>(Main_L[[#This Row],[P/B]]-VLOOKUP(Main_L[[#This Row],[Industry]], Mean_PB_L, 2, FALSE))/(VLOOKUP(Main_L[[#This Row],[Industry]], Mean_PB_L, 3, FALSE))</f>
        <v>2.712243350754735</v>
      </c>
      <c r="Q101" s="1">
        <f>(Main_L[[#This Row],[ROE]]-VLOOKUP(Main_L[[#This Row],[Industry]], Mean_ROE_L, 2, FALSE))/(VLOOKUP(Main_L[[#This Row],[Industry]], Mean_ROE_L, 3, FALSE))</f>
        <v>-0.65429394399878738</v>
      </c>
      <c r="R101" s="1">
        <f>(Main_L[[#This Row],[ROA]]-VLOOKUP(Main_L[[#This Row],[Industry]], Mean_ROA_L, 2, FALSE))/(VLOOKUP(Main_L[[#This Row],[Industry]], Mean_ROA_L, 3, FALSE))</f>
        <v>-0.87982472438961401</v>
      </c>
      <c r="S101" s="1">
        <f>(Main_L[[#This Row],[A/E]]-VLOOKUP(Main_L[[#This Row],[Industry]], Mean_AE_L, 2, FALSE))/(VLOOKUP(Main_L[[#This Row],[Industry]], Mean_AE_L, 3, FALSE))</f>
        <v>1.3275337452022975</v>
      </c>
      <c r="T101" s="1">
        <f>(Main_L[[#This Row],[P/E]]-VLOOKUP(Main_L[[#This Row],[Industry]], Mean_PE_L, 2, FALSE))/(VLOOKUP(Main_L[[#This Row],[Industry]], Mean_PE_L, 3, FALSE))</f>
        <v>-143.5259721650902</v>
      </c>
      <c r="U10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2" spans="1:26" x14ac:dyDescent="0.25">
      <c r="A102" t="s">
        <v>124</v>
      </c>
      <c r="B102" t="s">
        <v>158</v>
      </c>
      <c r="C102" s="2">
        <v>17840</v>
      </c>
      <c r="D102">
        <f>RTD("tos.rtd", , "LAST", Main_L[[#This Row],[Symbol]])</f>
        <v>361.29</v>
      </c>
      <c r="E102">
        <v>5</v>
      </c>
      <c r="F102">
        <v>47.95</v>
      </c>
      <c r="G102">
        <v>-2.12</v>
      </c>
      <c r="H102" s="1">
        <f>IF(ISNUMBER(Main_L[[#This Row],[Free CF]]),IF(Main_L[[#This Row],[Free CF]]&lt;&gt;0,Main_L[[#This Row],[Current Price]]/Main_L[[#This Row],[Free CF]],""),"")</f>
        <v>72.25800000000001</v>
      </c>
      <c r="I102" s="1">
        <f>IF(ISNUMBER(Main_L[[#This Row],[BVPS]]),IF(Main_L[[#This Row],[BVPS]]&lt;&gt;0,Main_L[[#This Row],[Current Price]]/Main_L[[#This Row],[BVPS]],""),"")</f>
        <v>7.5347236704900942</v>
      </c>
      <c r="J102">
        <v>-5.91</v>
      </c>
      <c r="K102">
        <v>-1.19</v>
      </c>
      <c r="L102">
        <v>1.41</v>
      </c>
      <c r="M102" s="1">
        <f>IF(ISNUMBER(Main_L[[#This Row],[EPS]]),IF(Main_L[[#This Row],[EPS]]&lt;&gt;0,Main_L[[#This Row],[Current Price]]/Main_L[[#This Row],[EPS]],""),"")</f>
        <v>-170.41981132075472</v>
      </c>
      <c r="N10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2" s="1">
        <f>(Main_L[[#This Row],[P/FCF]]-VLOOKUP(Main_L[[#This Row],[Industry]], Mean_PFCF_L, 2, FALSE))/(VLOOKUP(Main_L[[#This Row],[Industry]], Mean_PFCF_L, 3, FALSE))</f>
        <v>1.2251489515967213</v>
      </c>
      <c r="P102" s="1">
        <f>(Main_L[[#This Row],[P/B]]-VLOOKUP(Main_L[[#This Row],[Industry]], Mean_PB_L, 2, FALSE))/(VLOOKUP(Main_L[[#This Row],[Industry]], Mean_PB_L, 3, FALSE))</f>
        <v>-0.5984399909147442</v>
      </c>
      <c r="Q102" s="1">
        <f>(Main_L[[#This Row],[ROE]]-VLOOKUP(Main_L[[#This Row],[Industry]], Mean_ROE_L, 2, FALSE))/(VLOOKUP(Main_L[[#This Row],[Industry]], Mean_ROE_L, 3, FALSE))</f>
        <v>-0.91903603969237901</v>
      </c>
      <c r="R102" s="1">
        <f>(Main_L[[#This Row],[ROA]]-VLOOKUP(Main_L[[#This Row],[Industry]], Mean_ROA_L, 2, FALSE))/(VLOOKUP(Main_L[[#This Row],[Industry]], Mean_ROA_L, 3, FALSE))</f>
        <v>-1.0132255818610956</v>
      </c>
      <c r="S102" s="1">
        <f>(Main_L[[#This Row],[A/E]]-VLOOKUP(Main_L[[#This Row],[Industry]], Mean_AE_L, 2, FALSE))/(VLOOKUP(Main_L[[#This Row],[Industry]], Mean_AE_L, 3, FALSE))</f>
        <v>-0.81368347409916075</v>
      </c>
      <c r="T102" s="1">
        <f>(Main_L[[#This Row],[P/E]]-VLOOKUP(Main_L[[#This Row],[Industry]], Mean_PE_L, 2, FALSE))/(VLOOKUP(Main_L[[#This Row],[Industry]], Mean_PE_L, 3, FALSE))</f>
        <v>-5.6712686862652522</v>
      </c>
      <c r="U10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3" spans="1:26" x14ac:dyDescent="0.25">
      <c r="A103" t="s">
        <v>124</v>
      </c>
      <c r="B103" t="s">
        <v>159</v>
      </c>
      <c r="C103" s="2">
        <v>82065</v>
      </c>
      <c r="D103">
        <f>RTD("tos.rtd", , "LAST", Main_L[[#This Row],[Symbol]])</f>
        <v>105.05</v>
      </c>
      <c r="E103">
        <v>2.46</v>
      </c>
      <c r="F103">
        <v>1.95</v>
      </c>
      <c r="G103">
        <v>2.2599999999999998</v>
      </c>
      <c r="H103" s="1">
        <f>IF(ISNUMBER(Main_L[[#This Row],[Free CF]]),IF(Main_L[[#This Row],[Free CF]]&lt;&gt;0,Main_L[[#This Row],[Current Price]]/Main_L[[#This Row],[Free CF]],""),"")</f>
        <v>42.703252032520325</v>
      </c>
      <c r="I103" s="1">
        <f>IF(ISNUMBER(Main_L[[#This Row],[BVPS]]),IF(Main_L[[#This Row],[BVPS]]&lt;&gt;0,Main_L[[#This Row],[Current Price]]/Main_L[[#This Row],[BVPS]],""),"")</f>
        <v>53.871794871794869</v>
      </c>
      <c r="J103">
        <v>338.74</v>
      </c>
      <c r="K103">
        <v>13.21</v>
      </c>
      <c r="L103">
        <v>6.54</v>
      </c>
      <c r="M103" s="1">
        <f>IF(ISNUMBER(Main_L[[#This Row],[EPS]]),IF(Main_L[[#This Row],[EPS]]&lt;&gt;0,Main_L[[#This Row],[Current Price]]/Main_L[[#This Row],[EPS]],""),"")</f>
        <v>46.482300884955755</v>
      </c>
      <c r="N10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3" s="1">
        <f>(Main_L[[#This Row],[P/FCF]]-VLOOKUP(Main_L[[#This Row],[Industry]], Mean_PFCF_L, 2, FALSE))/(VLOOKUP(Main_L[[#This Row],[Industry]], Mean_PFCF_L, 3, FALSE))</f>
        <v>-2.3772727066043026E-2</v>
      </c>
      <c r="P103" s="1">
        <f>(Main_L[[#This Row],[P/B]]-VLOOKUP(Main_L[[#This Row],[Industry]], Mean_PB_L, 2, FALSE))/(VLOOKUP(Main_L[[#This Row],[Industry]], Mean_PB_L, 3, FALSE))</f>
        <v>5.3618727427618733</v>
      </c>
      <c r="Q103" s="1">
        <f>(Main_L[[#This Row],[ROE]]-VLOOKUP(Main_L[[#This Row],[Industry]], Mean_ROE_L, 2, FALSE))/(VLOOKUP(Main_L[[#This Row],[Industry]], Mean_ROE_L, 3, FALSE))</f>
        <v>16.231972095795662</v>
      </c>
      <c r="R103" s="1">
        <f>(Main_L[[#This Row],[ROA]]-VLOOKUP(Main_L[[#This Row],[Industry]], Mean_ROA_L, 2, FALSE))/(VLOOKUP(Main_L[[#This Row],[Industry]], Mean_ROA_L, 3, FALSE))</f>
        <v>1.654791567568537</v>
      </c>
      <c r="S103" s="1">
        <f>(Main_L[[#This Row],[A/E]]-VLOOKUP(Main_L[[#This Row],[Industry]], Mean_AE_L, 2, FALSE))/(VLOOKUP(Main_L[[#This Row],[Industry]], Mean_AE_L, 3, FALSE))</f>
        <v>8.0447393767205817</v>
      </c>
      <c r="T103" s="1">
        <f>(Main_L[[#This Row],[P/E]]-VLOOKUP(Main_L[[#This Row],[Industry]], Mean_PE_L, 2, FALSE))/(VLOOKUP(Main_L[[#This Row],[Industry]], Mean_PE_L, 3, FALSE))</f>
        <v>-6.3517995356101684E-2</v>
      </c>
      <c r="U10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0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4" spans="1:26" x14ac:dyDescent="0.25">
      <c r="A104" t="s">
        <v>124</v>
      </c>
      <c r="B104" t="s">
        <v>160</v>
      </c>
      <c r="C104" s="2">
        <v>17158</v>
      </c>
      <c r="D104">
        <f>RTD("tos.rtd", , "LAST", Main_L[[#This Row],[Symbol]])</f>
        <v>29.1</v>
      </c>
      <c r="E104">
        <v>3.43</v>
      </c>
      <c r="F104">
        <v>3.49</v>
      </c>
      <c r="G104">
        <v>1.02</v>
      </c>
      <c r="H104" s="1">
        <f>IF(ISNUMBER(Main_L[[#This Row],[Free CF]]),IF(Main_L[[#This Row],[Free CF]]&lt;&gt;0,Main_L[[#This Row],[Current Price]]/Main_L[[#This Row],[Free CF]],""),"")</f>
        <v>8.4839650145772598</v>
      </c>
      <c r="I104" s="1">
        <f>IF(ISNUMBER(Main_L[[#This Row],[BVPS]]),IF(Main_L[[#This Row],[BVPS]]&lt;&gt;0,Main_L[[#This Row],[Current Price]]/Main_L[[#This Row],[BVPS]],""),"")</f>
        <v>8.3381088825214906</v>
      </c>
      <c r="J104">
        <v>28.06</v>
      </c>
      <c r="K104">
        <v>7.94</v>
      </c>
      <c r="L104">
        <v>7.14</v>
      </c>
      <c r="M104" s="1">
        <f>IF(ISNUMBER(Main_L[[#This Row],[EPS]]),IF(Main_L[[#This Row],[EPS]]&lt;&gt;0,Main_L[[#This Row],[Current Price]]/Main_L[[#This Row],[EPS]],""),"")</f>
        <v>28.529411764705884</v>
      </c>
      <c r="N10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4" s="1">
        <f>(Main_L[[#This Row],[P/FCF]]-VLOOKUP(Main_L[[#This Row],[Industry]], Mean_PFCF_L, 2, FALSE))/(VLOOKUP(Main_L[[#This Row],[Industry]], Mean_PFCF_L, 3, FALSE))</f>
        <v>-1.4698080453884295</v>
      </c>
      <c r="P104" s="1">
        <f>(Main_L[[#This Row],[P/B]]-VLOOKUP(Main_L[[#This Row],[Industry]], Mean_PB_L, 2, FALSE))/(VLOOKUP(Main_L[[#This Row],[Industry]], Mean_PB_L, 3, FALSE))</f>
        <v>-0.49510097994196206</v>
      </c>
      <c r="Q104" s="1">
        <f>(Main_L[[#This Row],[ROE]]-VLOOKUP(Main_L[[#This Row],[Industry]], Mean_ROE_L, 2, FALSE))/(VLOOKUP(Main_L[[#This Row],[Industry]], Mean_ROE_L, 3, FALSE))</f>
        <v>0.77143181570448338</v>
      </c>
      <c r="R104" s="1">
        <f>(Main_L[[#This Row],[ROA]]-VLOOKUP(Main_L[[#This Row],[Industry]], Mean_ROA_L, 2, FALSE))/(VLOOKUP(Main_L[[#This Row],[Industry]], Mean_ROA_L, 3, FALSE))</f>
        <v>0.67837140246477545</v>
      </c>
      <c r="S104" s="1">
        <f>(Main_L[[#This Row],[A/E]]-VLOOKUP(Main_L[[#This Row],[Industry]], Mean_AE_L, 2, FALSE))/(VLOOKUP(Main_L[[#This Row],[Industry]], Mean_AE_L, 3, FALSE))</f>
        <v>9.0808122247696748</v>
      </c>
      <c r="T104" s="1">
        <f>(Main_L[[#This Row],[P/E]]-VLOOKUP(Main_L[[#This Row],[Industry]], Mean_PE_L, 2, FALSE))/(VLOOKUP(Main_L[[#This Row],[Industry]], Mean_PE_L, 3, FALSE))</f>
        <v>-0.52766896808805863</v>
      </c>
      <c r="U10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5" spans="1:26" x14ac:dyDescent="0.25">
      <c r="A105" t="s">
        <v>124</v>
      </c>
      <c r="B105" t="s">
        <v>161</v>
      </c>
      <c r="C105" s="2">
        <v>14027</v>
      </c>
      <c r="D105">
        <f>RTD("tos.rtd", , "LAST", Main_L[[#This Row],[Symbol]])</f>
        <v>290.49</v>
      </c>
      <c r="E105">
        <v>5.93</v>
      </c>
      <c r="F105">
        <v>20.29</v>
      </c>
      <c r="G105">
        <v>0.62</v>
      </c>
      <c r="H105" s="1">
        <f>IF(ISNUMBER(Main_L[[#This Row],[Free CF]]),IF(Main_L[[#This Row],[Free CF]]&lt;&gt;0,Main_L[[#This Row],[Current Price]]/Main_L[[#This Row],[Free CF]],""),"")</f>
        <v>48.986509274873526</v>
      </c>
      <c r="I105" s="1">
        <f>IF(ISNUMBER(Main_L[[#This Row],[BVPS]]),IF(Main_L[[#This Row],[BVPS]]&lt;&gt;0,Main_L[[#This Row],[Current Price]]/Main_L[[#This Row],[BVPS]],""),"")</f>
        <v>14.316904879250863</v>
      </c>
      <c r="J105">
        <v>3.51</v>
      </c>
      <c r="K105">
        <v>-0.89</v>
      </c>
      <c r="L105">
        <v>1.64</v>
      </c>
      <c r="M105" s="1">
        <f>IF(ISNUMBER(Main_L[[#This Row],[EPS]]),IF(Main_L[[#This Row],[EPS]]&lt;&gt;0,Main_L[[#This Row],[Current Price]]/Main_L[[#This Row],[EPS]],""),"")</f>
        <v>468.53225806451616</v>
      </c>
      <c r="N10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5" s="1">
        <f>(Main_L[[#This Row],[P/FCF]]-VLOOKUP(Main_L[[#This Row],[Industry]], Mean_PFCF_L, 2, FALSE))/(VLOOKUP(Main_L[[#This Row],[Industry]], Mean_PFCF_L, 3, FALSE))</f>
        <v>0.24174454925194272</v>
      </c>
      <c r="P105" s="1">
        <f>(Main_L[[#This Row],[P/B]]-VLOOKUP(Main_L[[#This Row],[Industry]], Mean_PB_L, 2, FALSE))/(VLOOKUP(Main_L[[#This Row],[Industry]], Mean_PB_L, 3, FALSE))</f>
        <v>0.27394835760782749</v>
      </c>
      <c r="Q105" s="1">
        <f>(Main_L[[#This Row],[ROE]]-VLOOKUP(Main_L[[#This Row],[Industry]], Mean_ROE_L, 2, FALSE))/(VLOOKUP(Main_L[[#This Row],[Industry]], Mean_ROE_L, 3, FALSE))</f>
        <v>-0.45026338152816225</v>
      </c>
      <c r="R105" s="1">
        <f>(Main_L[[#This Row],[ROA]]-VLOOKUP(Main_L[[#This Row],[Industry]], Mean_ROA_L, 2, FALSE))/(VLOOKUP(Main_L[[#This Row],[Industry]], Mean_ROA_L, 3, FALSE))</f>
        <v>-0.95764189124797827</v>
      </c>
      <c r="S105" s="1">
        <f>(Main_L[[#This Row],[A/E]]-VLOOKUP(Main_L[[#This Row],[Industry]], Mean_AE_L, 2, FALSE))/(VLOOKUP(Main_L[[#This Row],[Industry]], Mean_AE_L, 3, FALSE))</f>
        <v>-0.41652221568034192</v>
      </c>
      <c r="T105" s="1">
        <f>(Main_L[[#This Row],[P/E]]-VLOOKUP(Main_L[[#This Row],[Industry]], Mean_PE_L, 2, FALSE))/(VLOOKUP(Main_L[[#This Row],[Industry]], Mean_PE_L, 3, FALSE))</f>
        <v>10.848090540420742</v>
      </c>
      <c r="U10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6" spans="1:26" x14ac:dyDescent="0.25">
      <c r="A106" t="s">
        <v>124</v>
      </c>
      <c r="B106" t="s">
        <v>162</v>
      </c>
      <c r="C106" s="2">
        <v>3220893</v>
      </c>
      <c r="D106">
        <f>RTD("tos.rtd", , "LAST", Main_L[[#This Row],[Symbol]])</f>
        <v>449.14</v>
      </c>
      <c r="E106">
        <v>9.33</v>
      </c>
      <c r="F106">
        <v>43.3</v>
      </c>
      <c r="G106">
        <v>12.94</v>
      </c>
      <c r="H106" s="1">
        <f>IF(ISNUMBER(Main_L[[#This Row],[Free CF]]),IF(Main_L[[#This Row],[Free CF]]&lt;&gt;0,Main_L[[#This Row],[Current Price]]/Main_L[[#This Row],[Free CF]],""),"")</f>
        <v>48.139335476956056</v>
      </c>
      <c r="I106" s="1">
        <f>IF(ISNUMBER(Main_L[[#This Row],[BVPS]]),IF(Main_L[[#This Row],[BVPS]]&lt;&gt;0,Main_L[[#This Row],[Current Price]]/Main_L[[#This Row],[BVPS]],""),"")</f>
        <v>10.372748267898384</v>
      </c>
      <c r="J106">
        <v>33.61</v>
      </c>
      <c r="K106">
        <v>14.58</v>
      </c>
      <c r="L106">
        <v>1.75</v>
      </c>
      <c r="M106" s="1">
        <f>IF(ISNUMBER(Main_L[[#This Row],[EPS]]),IF(Main_L[[#This Row],[EPS]]&lt;&gt;0,Main_L[[#This Row],[Current Price]]/Main_L[[#This Row],[EPS]],""),"")</f>
        <v>34.709428129829988</v>
      </c>
      <c r="N10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6" s="1">
        <f>(Main_L[[#This Row],[P/FCF]]-VLOOKUP(Main_L[[#This Row],[Industry]], Mean_PFCF_L, 2, FALSE))/(VLOOKUP(Main_L[[#This Row],[Industry]], Mean_PFCF_L, 3, FALSE))</f>
        <v>0.20594476090732827</v>
      </c>
      <c r="P106" s="1">
        <f>(Main_L[[#This Row],[P/B]]-VLOOKUP(Main_L[[#This Row],[Industry]], Mean_PB_L, 2, FALSE))/(VLOOKUP(Main_L[[#This Row],[Industry]], Mean_PB_L, 3, FALSE))</f>
        <v>-0.23338640190103513</v>
      </c>
      <c r="Q106" s="1">
        <f>(Main_L[[#This Row],[ROE]]-VLOOKUP(Main_L[[#This Row],[Industry]], Mean_ROE_L, 2, FALSE))/(VLOOKUP(Main_L[[#This Row],[Industry]], Mean_ROE_L, 3, FALSE))</f>
        <v>1.047619528317159</v>
      </c>
      <c r="R106" s="1">
        <f>(Main_L[[#This Row],[ROA]]-VLOOKUP(Main_L[[#This Row],[Industry]], Mean_ROA_L, 2, FALSE))/(VLOOKUP(Main_L[[#This Row],[Industry]], Mean_ROA_L, 3, FALSE))</f>
        <v>1.9086237547017726</v>
      </c>
      <c r="S106" s="1">
        <f>(Main_L[[#This Row],[A/E]]-VLOOKUP(Main_L[[#This Row],[Industry]], Mean_AE_L, 2, FALSE))/(VLOOKUP(Main_L[[#This Row],[Industry]], Mean_AE_L, 3, FALSE))</f>
        <v>-0.22657552687134144</v>
      </c>
      <c r="T106" s="1">
        <f>(Main_L[[#This Row],[P/E]]-VLOOKUP(Main_L[[#This Row],[Industry]], Mean_PE_L, 2, FALSE))/(VLOOKUP(Main_L[[#This Row],[Industry]], Mean_PE_L, 3, FALSE))</f>
        <v>-0.36789186546359581</v>
      </c>
      <c r="U10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7" spans="1:26" x14ac:dyDescent="0.25">
      <c r="A107" t="s">
        <v>124</v>
      </c>
      <c r="B107" t="s">
        <v>163</v>
      </c>
      <c r="C107" s="2">
        <v>203520</v>
      </c>
      <c r="D107">
        <f>RTD("tos.rtd", , "LAST", Main_L[[#This Row],[Symbol]])</f>
        <v>1036.72</v>
      </c>
      <c r="E107">
        <v>17.59</v>
      </c>
      <c r="F107">
        <v>48.99</v>
      </c>
      <c r="G107">
        <v>7.37</v>
      </c>
      <c r="H107" s="1">
        <f>IF(ISNUMBER(Main_L[[#This Row],[Free CF]]),IF(Main_L[[#This Row],[Free CF]]&lt;&gt;0,Main_L[[#This Row],[Current Price]]/Main_L[[#This Row],[Free CF]],""),"")</f>
        <v>58.938032973280272</v>
      </c>
      <c r="I107" s="1">
        <f>IF(ISNUMBER(Main_L[[#This Row],[BVPS]]),IF(Main_L[[#This Row],[BVPS]]&lt;&gt;0,Main_L[[#This Row],[Current Price]]/Main_L[[#This Row],[BVPS]],""),"")</f>
        <v>21.161869769340683</v>
      </c>
      <c r="J107">
        <v>16.86</v>
      </c>
      <c r="K107">
        <v>4.92</v>
      </c>
      <c r="L107">
        <v>2.0699999999999998</v>
      </c>
      <c r="M107" s="1">
        <f>IF(ISNUMBER(Main_L[[#This Row],[EPS]]),IF(Main_L[[#This Row],[EPS]]&lt;&gt;0,Main_L[[#This Row],[Current Price]]/Main_L[[#This Row],[EPS]],""),"")</f>
        <v>140.66757123473542</v>
      </c>
      <c r="N10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7" s="1">
        <f>(Main_L[[#This Row],[P/FCF]]-VLOOKUP(Main_L[[#This Row],[Industry]], Mean_PFCF_L, 2, FALSE))/(VLOOKUP(Main_L[[#This Row],[Industry]], Mean_PFCF_L, 3, FALSE))</f>
        <v>0.66227507437576438</v>
      </c>
      <c r="P107" s="1">
        <f>(Main_L[[#This Row],[P/B]]-VLOOKUP(Main_L[[#This Row],[Industry]], Mean_PB_L, 2, FALSE))/(VLOOKUP(Main_L[[#This Row],[Industry]], Mean_PB_L, 3, FALSE))</f>
        <v>1.1544125375455296</v>
      </c>
      <c r="Q107" s="1">
        <f>(Main_L[[#This Row],[ROE]]-VLOOKUP(Main_L[[#This Row],[Industry]], Mean_ROE_L, 2, FALSE))/(VLOOKUP(Main_L[[#This Row],[Industry]], Mean_ROE_L, 3, FALSE))</f>
        <v>0.21408003529692202</v>
      </c>
      <c r="R107" s="1">
        <f>(Main_L[[#This Row],[ROA]]-VLOOKUP(Main_L[[#This Row],[Industry]], Mean_ROA_L, 2, FALSE))/(VLOOKUP(Main_L[[#This Row],[Industry]], Mean_ROA_L, 3, FALSE))</f>
        <v>0.11882891695939418</v>
      </c>
      <c r="S107" s="1">
        <f>(Main_L[[#This Row],[A/E]]-VLOOKUP(Main_L[[#This Row],[Industry]], Mean_AE_L, 2, FALSE))/(VLOOKUP(Main_L[[#This Row],[Industry]], Mean_AE_L, 3, FALSE))</f>
        <v>0.32599665875484107</v>
      </c>
      <c r="T107" s="1">
        <f>(Main_L[[#This Row],[P/E]]-VLOOKUP(Main_L[[#This Row],[Industry]], Mean_PE_L, 2, FALSE))/(VLOOKUP(Main_L[[#This Row],[Industry]], Mean_PE_L, 3, FALSE))</f>
        <v>2.3715321270536176</v>
      </c>
      <c r="U10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8" spans="1:26" x14ac:dyDescent="0.25">
      <c r="A108" t="s">
        <v>124</v>
      </c>
      <c r="B108" t="s">
        <v>164</v>
      </c>
      <c r="C108" s="2">
        <v>418868</v>
      </c>
      <c r="D108">
        <f>RTD("tos.rtd", , "LAST", Main_L[[#This Row],[Symbol]])</f>
        <v>162.27000000000001</v>
      </c>
      <c r="E108">
        <v>2.09</v>
      </c>
      <c r="F108">
        <v>5.97</v>
      </c>
      <c r="G108">
        <v>4.26</v>
      </c>
      <c r="H108" s="1">
        <f>IF(ISNUMBER(Main_L[[#This Row],[Free CF]]),IF(Main_L[[#This Row],[Free CF]]&lt;&gt;0,Main_L[[#This Row],[Current Price]]/Main_L[[#This Row],[Free CF]],""),"")</f>
        <v>77.641148325358856</v>
      </c>
      <c r="I108" s="1">
        <f>IF(ISNUMBER(Main_L[[#This Row],[BVPS]]),IF(Main_L[[#This Row],[BVPS]]&lt;&gt;0,Main_L[[#This Row],[Current Price]]/Main_L[[#This Row],[BVPS]],""),"")</f>
        <v>27.180904522613069</v>
      </c>
      <c r="J108">
        <v>103.74</v>
      </c>
      <c r="K108">
        <v>7.35</v>
      </c>
      <c r="L108">
        <v>9.65</v>
      </c>
      <c r="M108" s="1">
        <f>IF(ISNUMBER(Main_L[[#This Row],[EPS]]),IF(Main_L[[#This Row],[EPS]]&lt;&gt;0,Main_L[[#This Row],[Current Price]]/Main_L[[#This Row],[EPS]],""),"")</f>
        <v>38.091549295774655</v>
      </c>
      <c r="N10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8" s="1">
        <f>(Main_L[[#This Row],[P/FCF]]-VLOOKUP(Main_L[[#This Row],[Industry]], Mean_PFCF_L, 2, FALSE))/(VLOOKUP(Main_L[[#This Row],[Industry]], Mean_PFCF_L, 3, FALSE))</f>
        <v>1.4526295124323461</v>
      </c>
      <c r="P108" s="1">
        <f>(Main_L[[#This Row],[P/B]]-VLOOKUP(Main_L[[#This Row],[Industry]], Mean_PB_L, 2, FALSE))/(VLOOKUP(Main_L[[#This Row],[Industry]], Mean_PB_L, 3, FALSE))</f>
        <v>1.928637764869809</v>
      </c>
      <c r="Q108" s="1">
        <f>(Main_L[[#This Row],[ROE]]-VLOOKUP(Main_L[[#This Row],[Industry]], Mean_ROE_L, 2, FALSE))/(VLOOKUP(Main_L[[#This Row],[Industry]], Mean_ROE_L, 3, FALSE))</f>
        <v>4.5375374176012908</v>
      </c>
      <c r="R108" s="1">
        <f>(Main_L[[#This Row],[ROA]]-VLOOKUP(Main_L[[#This Row],[Industry]], Mean_ROA_L, 2, FALSE))/(VLOOKUP(Main_L[[#This Row],[Industry]], Mean_ROA_L, 3, FALSE))</f>
        <v>0.56905681092564464</v>
      </c>
      <c r="S108" s="1">
        <f>(Main_L[[#This Row],[A/E]]-VLOOKUP(Main_L[[#This Row],[Industry]], Mean_AE_L, 2, FALSE))/(VLOOKUP(Main_L[[#This Row],[Industry]], Mean_AE_L, 3, FALSE))</f>
        <v>13.415050305775047</v>
      </c>
      <c r="T108" s="1">
        <f>(Main_L[[#This Row],[P/E]]-VLOOKUP(Main_L[[#This Row],[Industry]], Mean_PE_L, 2, FALSE))/(VLOOKUP(Main_L[[#This Row],[Industry]], Mean_PE_L, 3, FALSE))</f>
        <v>-0.28045107425969468</v>
      </c>
      <c r="U10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0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0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9" spans="1:26" x14ac:dyDescent="0.25">
      <c r="A109" t="s">
        <v>124</v>
      </c>
      <c r="B109" t="s">
        <v>165</v>
      </c>
      <c r="C109" s="2">
        <v>124567</v>
      </c>
      <c r="D109">
        <f>RTD("tos.rtd", , "LAST", Main_L[[#This Row],[Symbol]])</f>
        <v>192</v>
      </c>
      <c r="E109">
        <v>4.5</v>
      </c>
      <c r="F109">
        <v>9.65</v>
      </c>
      <c r="G109">
        <v>1.77</v>
      </c>
      <c r="H109" s="1">
        <f>IF(ISNUMBER(Main_L[[#This Row],[Free CF]]),IF(Main_L[[#This Row],[Free CF]]&lt;&gt;0,Main_L[[#This Row],[Current Price]]/Main_L[[#This Row],[Free CF]],""),"")</f>
        <v>42.666666666666664</v>
      </c>
      <c r="I109" s="1">
        <f>IF(ISNUMBER(Main_L[[#This Row],[BVPS]]),IF(Main_L[[#This Row],[BVPS]]&lt;&gt;0,Main_L[[#This Row],[Current Price]]/Main_L[[#This Row],[BVPS]],""),"")</f>
        <v>19.896373056994818</v>
      </c>
      <c r="J109">
        <v>23.38</v>
      </c>
      <c r="K109">
        <v>3.57</v>
      </c>
      <c r="L109">
        <v>3.29</v>
      </c>
      <c r="M109" s="1">
        <f>IF(ISNUMBER(Main_L[[#This Row],[EPS]]),IF(Main_L[[#This Row],[EPS]]&lt;&gt;0,Main_L[[#This Row],[Current Price]]/Main_L[[#This Row],[EPS]],""),"")</f>
        <v>108.47457627118644</v>
      </c>
      <c r="N10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9" s="1">
        <f>(Main_L[[#This Row],[P/FCF]]-VLOOKUP(Main_L[[#This Row],[Industry]], Mean_PFCF_L, 2, FALSE))/(VLOOKUP(Main_L[[#This Row],[Industry]], Mean_PFCF_L, 3, FALSE))</f>
        <v>-2.5318747914764947E-2</v>
      </c>
      <c r="P109" s="1">
        <f>(Main_L[[#This Row],[P/B]]-VLOOKUP(Main_L[[#This Row],[Industry]], Mean_PB_L, 2, FALSE))/(VLOOKUP(Main_L[[#This Row],[Industry]], Mean_PB_L, 3, FALSE))</f>
        <v>0.99163237096459644</v>
      </c>
      <c r="Q109" s="1">
        <f>(Main_L[[#This Row],[ROE]]-VLOOKUP(Main_L[[#This Row],[Industry]], Mean_ROE_L, 2, FALSE))/(VLOOKUP(Main_L[[#This Row],[Industry]], Mean_ROE_L, 3, FALSE))</f>
        <v>0.53853839317703811</v>
      </c>
      <c r="R109" s="1">
        <f>(Main_L[[#This Row],[ROA]]-VLOOKUP(Main_L[[#This Row],[Industry]], Mean_ROA_L, 2, FALSE))/(VLOOKUP(Main_L[[#This Row],[Industry]], Mean_ROA_L, 3, FALSE))</f>
        <v>-0.13129769079963388</v>
      </c>
      <c r="S109" s="1">
        <f>(Main_L[[#This Row],[A/E]]-VLOOKUP(Main_L[[#This Row],[Industry]], Mean_AE_L, 2, FALSE))/(VLOOKUP(Main_L[[#This Row],[Industry]], Mean_AE_L, 3, FALSE))</f>
        <v>2.4326781164546634</v>
      </c>
      <c r="T109" s="1">
        <f>(Main_L[[#This Row],[P/E]]-VLOOKUP(Main_L[[#This Row],[Industry]], Mean_PE_L, 2, FALSE))/(VLOOKUP(Main_L[[#This Row],[Industry]], Mean_PE_L, 3, FALSE))</f>
        <v>1.5392198553406469</v>
      </c>
      <c r="U10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0" spans="1:26" x14ac:dyDescent="0.25">
      <c r="A110" t="s">
        <v>124</v>
      </c>
      <c r="B110" t="s">
        <v>166</v>
      </c>
      <c r="C110" s="2">
        <v>14387</v>
      </c>
      <c r="D110">
        <f>RTD("tos.rtd", , "LAST", Main_L[[#This Row],[Symbol]])</f>
        <v>83.1</v>
      </c>
      <c r="E110">
        <v>0.14000000000000001</v>
      </c>
      <c r="F110">
        <v>-2.92</v>
      </c>
      <c r="G110">
        <v>-7.48</v>
      </c>
      <c r="H110" s="1">
        <f>IF(ISNUMBER(Main_L[[#This Row],[Free CF]]),IF(Main_L[[#This Row],[Free CF]]&lt;&gt;0,Main_L[[#This Row],[Current Price]]/Main_L[[#This Row],[Free CF]],""),"")</f>
        <v>593.57142857142844</v>
      </c>
      <c r="I110" s="1">
        <f>IF(ISNUMBER(Main_L[[#This Row],[BVPS]]),IF(Main_L[[#This Row],[BVPS]]&lt;&gt;0,Main_L[[#This Row],[Current Price]]/Main_L[[#This Row],[BVPS]],""),"")</f>
        <v>-28.458904109589039</v>
      </c>
      <c r="J110">
        <v>183.56</v>
      </c>
      <c r="K110">
        <v>-61.72</v>
      </c>
      <c r="L110">
        <v>-2.57</v>
      </c>
      <c r="M110" s="1">
        <f>IF(ISNUMBER(Main_L[[#This Row],[EPS]]),IF(Main_L[[#This Row],[EPS]]&lt;&gt;0,Main_L[[#This Row],[Current Price]]/Main_L[[#This Row],[EPS]],""),"")</f>
        <v>-11.109625668449196</v>
      </c>
      <c r="N1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0" s="1">
        <f>(Main_L[[#This Row],[P/FCF]]-VLOOKUP(Main_L[[#This Row],[Industry]], Mean_PFCF_L, 2, FALSE))/(VLOOKUP(Main_L[[#This Row],[Industry]], Mean_PFCF_L, 3, FALSE))</f>
        <v>23.254761352192372</v>
      </c>
      <c r="P110" s="1">
        <f>(Main_L[[#This Row],[P/B]]-VLOOKUP(Main_L[[#This Row],[Industry]], Mean_PB_L, 2, FALSE))/(VLOOKUP(Main_L[[#This Row],[Industry]], Mean_PB_L, 3, FALSE))</f>
        <v>-5.2282811186980043</v>
      </c>
      <c r="Q110" s="1">
        <f>(Main_L[[#This Row],[ROE]]-VLOOKUP(Main_L[[#This Row],[Industry]], Mean_ROE_L, 2, FALSE))/(VLOOKUP(Main_L[[#This Row],[Industry]], Mean_ROE_L, 3, FALSE))</f>
        <v>8.509664124041608</v>
      </c>
      <c r="R110" s="1">
        <f>(Main_L[[#This Row],[ROA]]-VLOOKUP(Main_L[[#This Row],[Industry]], Mean_ROA_L, 2, FALSE))/(VLOOKUP(Main_L[[#This Row],[Industry]], Mean_ROA_L, 3, FALSE))</f>
        <v>-12.228161557901069</v>
      </c>
      <c r="S110" s="1">
        <f>(Main_L[[#This Row],[A/E]]-VLOOKUP(Main_L[[#This Row],[Industry]], Mean_AE_L, 2, FALSE))/(VLOOKUP(Main_L[[#This Row],[Industry]], Mean_AE_L, 3, FALSE))</f>
        <v>-7.6863000328248097</v>
      </c>
      <c r="T110" s="1">
        <f>(Main_L[[#This Row],[P/E]]-VLOOKUP(Main_L[[#This Row],[Industry]], Mean_PE_L, 2, FALSE))/(VLOOKUP(Main_L[[#This Row],[Industry]], Mean_PE_L, 3, FALSE))</f>
        <v>-1.5524899681801769</v>
      </c>
      <c r="U1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1" spans="1:26" x14ac:dyDescent="0.25">
      <c r="A111" t="s">
        <v>124</v>
      </c>
      <c r="B111" t="s">
        <v>167</v>
      </c>
      <c r="C111" s="2">
        <v>36134</v>
      </c>
      <c r="D111">
        <f>RTD("tos.rtd", , "LAST", Main_L[[#This Row],[Symbol]])</f>
        <v>245</v>
      </c>
      <c r="E111">
        <v>4.57</v>
      </c>
      <c r="F111">
        <v>10.39</v>
      </c>
      <c r="G111">
        <v>-0.1</v>
      </c>
      <c r="H111" s="1">
        <f>IF(ISNUMBER(Main_L[[#This Row],[Free CF]]),IF(Main_L[[#This Row],[Free CF]]&lt;&gt;0,Main_L[[#This Row],[Current Price]]/Main_L[[#This Row],[Free CF]],""),"")</f>
        <v>53.610503282275708</v>
      </c>
      <c r="I111" s="1">
        <f>IF(ISNUMBER(Main_L[[#This Row],[BVPS]]),IF(Main_L[[#This Row],[BVPS]]&lt;&gt;0,Main_L[[#This Row],[Current Price]]/Main_L[[#This Row],[BVPS]],""),"")</f>
        <v>23.58036573628489</v>
      </c>
      <c r="J111">
        <v>-1.21</v>
      </c>
      <c r="K111">
        <v>-1.41</v>
      </c>
      <c r="L111">
        <v>3.11</v>
      </c>
      <c r="M111" s="1">
        <f>IF(ISNUMBER(Main_L[[#This Row],[EPS]]),IF(Main_L[[#This Row],[EPS]]&lt;&gt;0,Main_L[[#This Row],[Current Price]]/Main_L[[#This Row],[EPS]],""),"")</f>
        <v>-2450</v>
      </c>
      <c r="N1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1" s="1">
        <f>(Main_L[[#This Row],[P/FCF]]-VLOOKUP(Main_L[[#This Row],[Industry]], Mean_PFCF_L, 2, FALSE))/(VLOOKUP(Main_L[[#This Row],[Industry]], Mean_PFCF_L, 3, FALSE))</f>
        <v>0.43714484040670998</v>
      </c>
      <c r="P111" s="1">
        <f>(Main_L[[#This Row],[P/B]]-VLOOKUP(Main_L[[#This Row],[Industry]], Mean_PB_L, 2, FALSE))/(VLOOKUP(Main_L[[#This Row],[Industry]], Mean_PB_L, 3, FALSE))</f>
        <v>1.4655023827690059</v>
      </c>
      <c r="Q111" s="1">
        <f>(Main_L[[#This Row],[ROE]]-VLOOKUP(Main_L[[#This Row],[Industry]], Mean_ROE_L, 2, FALSE))/(VLOOKUP(Main_L[[#This Row],[Industry]], Mean_ROE_L, 3, FALSE))</f>
        <v>-0.68514734612849171</v>
      </c>
      <c r="R111" s="1">
        <f>(Main_L[[#This Row],[ROA]]-VLOOKUP(Main_L[[#This Row],[Industry]], Mean_ROA_L, 2, FALSE))/(VLOOKUP(Main_L[[#This Row],[Industry]], Mean_ROA_L, 3, FALSE))</f>
        <v>-1.0539869549773817</v>
      </c>
      <c r="S111" s="1">
        <f>(Main_L[[#This Row],[A/E]]-VLOOKUP(Main_L[[#This Row],[Industry]], Mean_AE_L, 2, FALSE))/(VLOOKUP(Main_L[[#This Row],[Industry]], Mean_AE_L, 3, FALSE))</f>
        <v>2.1218562620399353</v>
      </c>
      <c r="T111" s="1">
        <f>(Main_L[[#This Row],[P/E]]-VLOOKUP(Main_L[[#This Row],[Industry]], Mean_PE_L, 2, FALSE))/(VLOOKUP(Main_L[[#This Row],[Industry]], Mean_PE_L, 3, FALSE))</f>
        <v>-64.607151089868225</v>
      </c>
      <c r="U1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2" spans="1:26" x14ac:dyDescent="0.25">
      <c r="A112" t="s">
        <v>178</v>
      </c>
      <c r="B112" t="s">
        <v>179</v>
      </c>
      <c r="C112" s="2">
        <v>2931156</v>
      </c>
      <c r="D112">
        <f>RTD("tos.rtd", , "LAST", Main_L[[#This Row],[Symbol]])</f>
        <v>212.93</v>
      </c>
      <c r="E112">
        <v>6.51</v>
      </c>
      <c r="F112">
        <v>4.47</v>
      </c>
      <c r="G112">
        <v>6.4</v>
      </c>
      <c r="H112" s="1">
        <f>IF(ISNUMBER(Main_L[[#This Row],[Free CF]]),IF(Main_L[[#This Row],[Free CF]]&lt;&gt;0,Main_L[[#This Row],[Current Price]]/Main_L[[#This Row],[Free CF]],""),"")</f>
        <v>32.70814132104455</v>
      </c>
      <c r="I112" s="1">
        <f>IF(ISNUMBER(Main_L[[#This Row],[BVPS]]),IF(Main_L[[#This Row],[BVPS]]&lt;&gt;0,Main_L[[#This Row],[Current Price]]/Main_L[[#This Row],[BVPS]],""),"")</f>
        <v>47.635346756152131</v>
      </c>
      <c r="J112">
        <v>138.02000000000001</v>
      </c>
      <c r="K112">
        <v>23.81</v>
      </c>
      <c r="L112">
        <v>4.96</v>
      </c>
      <c r="M112" s="1">
        <f>IF(ISNUMBER(Main_L[[#This Row],[EPS]]),IF(Main_L[[#This Row],[EPS]]&lt;&gt;0,Main_L[[#This Row],[Current Price]]/Main_L[[#This Row],[EPS]],""),"")</f>
        <v>33.270312499999996</v>
      </c>
      <c r="N1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2" s="1">
        <f>(Main_L[[#This Row],[P/FCF]]-VLOOKUP(Main_L[[#This Row],[Industry]], Mean_PFCF_L, 2, FALSE))/(VLOOKUP(Main_L[[#This Row],[Industry]], Mean_PFCF_L, 3, FALSE))</f>
        <v>0.89913105691258011</v>
      </c>
      <c r="P112" s="1">
        <f>(Main_L[[#This Row],[P/B]]-VLOOKUP(Main_L[[#This Row],[Industry]], Mean_PB_L, 2, FALSE))/(VLOOKUP(Main_L[[#This Row],[Industry]], Mean_PB_L, 3, FALSE))</f>
        <v>1.8458726895778212</v>
      </c>
      <c r="Q112" s="1">
        <f>(Main_L[[#This Row],[ROE]]-VLOOKUP(Main_L[[#This Row],[Industry]], Mean_ROE_L, 2, FALSE))/(VLOOKUP(Main_L[[#This Row],[Industry]], Mean_ROE_L, 3, FALSE))</f>
        <v>1.3676852066296565</v>
      </c>
      <c r="R112" s="1">
        <f>(Main_L[[#This Row],[ROA]]-VLOOKUP(Main_L[[#This Row],[Industry]], Mean_ROA_L, 2, FALSE))/(VLOOKUP(Main_L[[#This Row],[Industry]], Mean_ROA_L, 3, FALSE))</f>
        <v>3.8091696214555664</v>
      </c>
      <c r="S112" s="1">
        <f>(Main_L[[#This Row],[A/E]]-VLOOKUP(Main_L[[#This Row],[Industry]], Mean_AE_L, 2, FALSE))/(VLOOKUP(Main_L[[#This Row],[Industry]], Mean_AE_L, 3, FALSE))</f>
        <v>0.58766562025400382</v>
      </c>
      <c r="T112" s="1">
        <f>(Main_L[[#This Row],[P/E]]-VLOOKUP(Main_L[[#This Row],[Industry]], Mean_PE_L, 2, FALSE))/(VLOOKUP(Main_L[[#This Row],[Industry]], Mean_PE_L, 3, FALSE))</f>
        <v>4.6231315305871235</v>
      </c>
      <c r="U1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3" spans="1:26" x14ac:dyDescent="0.25">
      <c r="A113" t="s">
        <v>178</v>
      </c>
      <c r="B113" t="s">
        <v>180</v>
      </c>
      <c r="C113" s="2">
        <v>66846</v>
      </c>
      <c r="D113">
        <f>RTD("tos.rtd", , "LAST", Main_L[[#This Row],[Symbol]])</f>
        <v>107.85</v>
      </c>
      <c r="E113">
        <v>2.65</v>
      </c>
      <c r="F113">
        <v>-2.13</v>
      </c>
      <c r="G113">
        <v>6.38</v>
      </c>
      <c r="H113" s="1">
        <f>IF(ISNUMBER(Main_L[[#This Row],[Free CF]]),IF(Main_L[[#This Row],[Free CF]]&lt;&gt;0,Main_L[[#This Row],[Current Price]]/Main_L[[#This Row],[Free CF]],""),"")</f>
        <v>40.698113207547166</v>
      </c>
      <c r="I113" s="1">
        <f>IF(ISNUMBER(Main_L[[#This Row],[BVPS]]),IF(Main_L[[#This Row],[BVPS]]&lt;&gt;0,Main_L[[#This Row],[Current Price]]/Main_L[[#This Row],[BVPS]],""),"")</f>
        <v>-50.633802816901408</v>
      </c>
      <c r="J113">
        <v>-260.07</v>
      </c>
      <c r="K113">
        <v>5.35</v>
      </c>
      <c r="L113">
        <v>-53.81</v>
      </c>
      <c r="M113" s="1">
        <f>IF(ISNUMBER(Main_L[[#This Row],[EPS]]),IF(Main_L[[#This Row],[EPS]]&lt;&gt;0,Main_L[[#This Row],[Current Price]]/Main_L[[#This Row],[EPS]],""),"")</f>
        <v>16.904388714733543</v>
      </c>
      <c r="N1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3" s="1">
        <f>(Main_L[[#This Row],[P/FCF]]-VLOOKUP(Main_L[[#This Row],[Industry]], Mean_PFCF_L, 2, FALSE))/(VLOOKUP(Main_L[[#This Row],[Industry]], Mean_PFCF_L, 3, FALSE))</f>
        <v>1.6809444115148444</v>
      </c>
      <c r="P113" s="1">
        <f>(Main_L[[#This Row],[P/B]]-VLOOKUP(Main_L[[#This Row],[Industry]], Mean_PB_L, 2, FALSE))/(VLOOKUP(Main_L[[#This Row],[Industry]], Mean_PB_L, 3, FALSE))</f>
        <v>-1.9039855973571129</v>
      </c>
      <c r="Q113" s="1">
        <f>(Main_L[[#This Row],[ROE]]-VLOOKUP(Main_L[[#This Row],[Industry]], Mean_ROE_L, 2, FALSE))/(VLOOKUP(Main_L[[#This Row],[Industry]], Mean_ROE_L, 3, FALSE))</f>
        <v>-2.6944184277303331</v>
      </c>
      <c r="R113" s="1">
        <f>(Main_L[[#This Row],[ROA]]-VLOOKUP(Main_L[[#This Row],[Industry]], Mean_ROA_L, 2, FALSE))/(VLOOKUP(Main_L[[#This Row],[Industry]], Mean_ROA_L, 3, FALSE))</f>
        <v>-0.57378931551117496</v>
      </c>
      <c r="S113" s="1">
        <f>(Main_L[[#This Row],[A/E]]-VLOOKUP(Main_L[[#This Row],[Industry]], Mean_AE_L, 2, FALSE))/(VLOOKUP(Main_L[[#This Row],[Industry]], Mean_AE_L, 3, FALSE))</f>
        <v>-11.632452381454199</v>
      </c>
      <c r="T113" s="1">
        <f>(Main_L[[#This Row],[P/E]]-VLOOKUP(Main_L[[#This Row],[Industry]], Mean_PE_L, 2, FALSE))/(VLOOKUP(Main_L[[#This Row],[Industry]], Mean_PE_L, 3, FALSE))</f>
        <v>0.36571137353936506</v>
      </c>
      <c r="U1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4" spans="1:26" x14ac:dyDescent="0.25">
      <c r="A114" t="s">
        <v>178</v>
      </c>
      <c r="B114" t="s">
        <v>181</v>
      </c>
      <c r="C114" s="2">
        <v>21753</v>
      </c>
      <c r="D114">
        <f>RTD("tos.rtd", , "LAST", Main_L[[#This Row],[Symbol]])</f>
        <v>17.920000000000002</v>
      </c>
      <c r="E114">
        <v>1.24</v>
      </c>
      <c r="F114">
        <v>19.21</v>
      </c>
      <c r="G114">
        <v>2.08</v>
      </c>
      <c r="H114" s="1">
        <f>IF(ISNUMBER(Main_L[[#This Row],[Free CF]]),IF(Main_L[[#This Row],[Free CF]]&lt;&gt;0,Main_L[[#This Row],[Current Price]]/Main_L[[#This Row],[Free CF]],""),"")</f>
        <v>14.451612903225808</v>
      </c>
      <c r="I114" s="1">
        <f>IF(ISNUMBER(Main_L[[#This Row],[BVPS]]),IF(Main_L[[#This Row],[BVPS]]&lt;&gt;0,Main_L[[#This Row],[Current Price]]/Main_L[[#This Row],[BVPS]],""),"")</f>
        <v>0.93284747527329526</v>
      </c>
      <c r="J114">
        <v>12.06</v>
      </c>
      <c r="K114">
        <v>2.4700000000000002</v>
      </c>
      <c r="L114">
        <v>2.79</v>
      </c>
      <c r="M114" s="1">
        <f>IF(ISNUMBER(Main_L[[#This Row],[EPS]]),IF(Main_L[[#This Row],[EPS]]&lt;&gt;0,Main_L[[#This Row],[Current Price]]/Main_L[[#This Row],[EPS]],""),"")</f>
        <v>8.6153846153846168</v>
      </c>
      <c r="N1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4" s="1">
        <f>(Main_L[[#This Row],[P/FCF]]-VLOOKUP(Main_L[[#This Row],[Industry]], Mean_PFCF_L, 2, FALSE))/(VLOOKUP(Main_L[[#This Row],[Industry]], Mean_PFCF_L, 3, FALSE))</f>
        <v>-0.88725792273302007</v>
      </c>
      <c r="P114" s="1">
        <f>(Main_L[[#This Row],[P/B]]-VLOOKUP(Main_L[[#This Row],[Industry]], Mean_PB_L, 2, FALSE))/(VLOOKUP(Main_L[[#This Row],[Industry]], Mean_PB_L, 3, FALSE))</f>
        <v>6.3749259082619206E-2</v>
      </c>
      <c r="Q114" s="1">
        <f>(Main_L[[#This Row],[ROE]]-VLOOKUP(Main_L[[#This Row],[Industry]], Mean_ROE_L, 2, FALSE))/(VLOOKUP(Main_L[[#This Row],[Industry]], Mean_ROE_L, 3, FALSE))</f>
        <v>8.239149469520865E-2</v>
      </c>
      <c r="R114" s="1">
        <f>(Main_L[[#This Row],[ROA]]-VLOOKUP(Main_L[[#This Row],[Industry]], Mean_ROA_L, 2, FALSE))/(VLOOKUP(Main_L[[#This Row],[Industry]], Mean_ROA_L, 3, FALSE))</f>
        <v>-1.2575878928927682</v>
      </c>
      <c r="S114" s="1">
        <f>(Main_L[[#This Row],[A/E]]-VLOOKUP(Main_L[[#This Row],[Industry]], Mean_AE_L, 2, FALSE))/(VLOOKUP(Main_L[[#This Row],[Industry]], Mean_AE_L, 3, FALSE))</f>
        <v>0.13645486538405663</v>
      </c>
      <c r="T114" s="1">
        <f>(Main_L[[#This Row],[P/E]]-VLOOKUP(Main_L[[#This Row],[Industry]], Mean_PE_L, 2, FALSE))/(VLOOKUP(Main_L[[#This Row],[Industry]], Mean_PE_L, 3, FALSE))</f>
        <v>-1.7905844517039067</v>
      </c>
      <c r="U1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5" spans="1:26" x14ac:dyDescent="0.25">
      <c r="A115" t="s">
        <v>178</v>
      </c>
      <c r="B115" t="s">
        <v>182</v>
      </c>
      <c r="C115" s="2">
        <v>24369</v>
      </c>
      <c r="D115">
        <f>RTD("tos.rtd", , "LAST", Main_L[[#This Row],[Symbol]])</f>
        <v>28.78</v>
      </c>
      <c r="E115">
        <v>3.38</v>
      </c>
      <c r="F115">
        <v>-1.1299999999999999</v>
      </c>
      <c r="G115">
        <v>2.78</v>
      </c>
      <c r="H115" s="1">
        <f>IF(ISNUMBER(Main_L[[#This Row],[Free CF]]),IF(Main_L[[#This Row],[Free CF]]&lt;&gt;0,Main_L[[#This Row],[Current Price]]/Main_L[[#This Row],[Free CF]],""),"")</f>
        <v>8.5147928994082847</v>
      </c>
      <c r="I115" s="1">
        <f>IF(ISNUMBER(Main_L[[#This Row],[BVPS]]),IF(Main_L[[#This Row],[BVPS]]&lt;&gt;0,Main_L[[#This Row],[Current Price]]/Main_L[[#This Row],[BVPS]],""),"")</f>
        <v>-25.46902654867257</v>
      </c>
      <c r="J115">
        <v>-200.44</v>
      </c>
      <c r="K115">
        <v>6.87</v>
      </c>
      <c r="L115">
        <v>-36.32</v>
      </c>
      <c r="M115" s="1">
        <f>IF(ISNUMBER(Main_L[[#This Row],[EPS]]),IF(Main_L[[#This Row],[EPS]]&lt;&gt;0,Main_L[[#This Row],[Current Price]]/Main_L[[#This Row],[EPS]],""),"")</f>
        <v>10.352517985611511</v>
      </c>
      <c r="N1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5" s="1">
        <f>(Main_L[[#This Row],[P/FCF]]-VLOOKUP(Main_L[[#This Row],[Industry]], Mean_PFCF_L, 2, FALSE))/(VLOOKUP(Main_L[[#This Row],[Industry]], Mean_PFCF_L, 3, FALSE))</f>
        <v>-1.4681717518161015</v>
      </c>
      <c r="P115" s="1">
        <f>(Main_L[[#This Row],[P/B]]-VLOOKUP(Main_L[[#This Row],[Industry]], Mean_PB_L, 2, FALSE))/(VLOOKUP(Main_L[[#This Row],[Industry]], Mean_PB_L, 3, FALSE))</f>
        <v>-0.94372141232790596</v>
      </c>
      <c r="Q115" s="1">
        <f>(Main_L[[#This Row],[ROE]]-VLOOKUP(Main_L[[#This Row],[Industry]], Mean_ROE_L, 2, FALSE))/(VLOOKUP(Main_L[[#This Row],[Industry]], Mean_ROE_L, 3, FALSE))</f>
        <v>-2.0859549151656211</v>
      </c>
      <c r="R115" s="1">
        <f>(Main_L[[#This Row],[ROA]]-VLOOKUP(Main_L[[#This Row],[Industry]], Mean_ROA_L, 2, FALSE))/(VLOOKUP(Main_L[[#This Row],[Industry]], Mean_ROA_L, 3, FALSE))</f>
        <v>-0.21289562189311159</v>
      </c>
      <c r="S115" s="1">
        <f>(Main_L[[#This Row],[A/E]]-VLOOKUP(Main_L[[#This Row],[Industry]], Mean_AE_L, 2, FALSE))/(VLOOKUP(Main_L[[#This Row],[Industry]], Mean_AE_L, 3, FALSE))</f>
        <v>-7.9957352834471118</v>
      </c>
      <c r="T115" s="1">
        <f>(Main_L[[#This Row],[P/E]]-VLOOKUP(Main_L[[#This Row],[Industry]], Mean_PE_L, 2, FALSE))/(VLOOKUP(Main_L[[#This Row],[Industry]], Mean_PE_L, 3, FALSE))</f>
        <v>-1.3386877715701322</v>
      </c>
      <c r="U1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6" spans="1:26" x14ac:dyDescent="0.25">
      <c r="A116" t="s">
        <v>178</v>
      </c>
      <c r="B116" t="s">
        <v>183</v>
      </c>
      <c r="C116" s="2">
        <v>11530</v>
      </c>
      <c r="D116">
        <f>RTD("tos.rtd", , "LAST", Main_L[[#This Row],[Symbol]])</f>
        <v>86.96</v>
      </c>
      <c r="E116">
        <v>5.2</v>
      </c>
      <c r="F116">
        <v>14.33</v>
      </c>
      <c r="G116">
        <v>4.13</v>
      </c>
      <c r="H116" s="1">
        <f>IF(ISNUMBER(Main_L[[#This Row],[Free CF]]),IF(Main_L[[#This Row],[Free CF]]&lt;&gt;0,Main_L[[#This Row],[Current Price]]/Main_L[[#This Row],[Free CF]],""),"")</f>
        <v>16.723076923076921</v>
      </c>
      <c r="I116" s="1">
        <f>IF(ISNUMBER(Main_L[[#This Row],[BVPS]]),IF(Main_L[[#This Row],[BVPS]]&lt;&gt;0,Main_L[[#This Row],[Current Price]]/Main_L[[#This Row],[BVPS]],""),"")</f>
        <v>6.068387997208653</v>
      </c>
      <c r="J116">
        <v>28.96</v>
      </c>
      <c r="K116">
        <v>11.63</v>
      </c>
      <c r="L116">
        <v>1.66</v>
      </c>
      <c r="M116" s="1">
        <f>IF(ISNUMBER(Main_L[[#This Row],[EPS]]),IF(Main_L[[#This Row],[EPS]]&lt;&gt;0,Main_L[[#This Row],[Current Price]]/Main_L[[#This Row],[EPS]],""),"")</f>
        <v>21.055690072639223</v>
      </c>
      <c r="N1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6" s="1">
        <f>(Main_L[[#This Row],[P/FCF]]-VLOOKUP(Main_L[[#This Row],[Industry]], Mean_PFCF_L, 2, FALSE))/(VLOOKUP(Main_L[[#This Row],[Industry]], Mean_PFCF_L, 3, FALSE))</f>
        <v>-0.66499670198728911</v>
      </c>
      <c r="P116" s="1">
        <f>(Main_L[[#This Row],[P/B]]-VLOOKUP(Main_L[[#This Row],[Industry]], Mean_PB_L, 2, FALSE))/(VLOOKUP(Main_L[[#This Row],[Industry]], Mean_PB_L, 3, FALSE))</f>
        <v>0.25971665340461181</v>
      </c>
      <c r="Q116" s="1">
        <f>(Main_L[[#This Row],[ROE]]-VLOOKUP(Main_L[[#This Row],[Industry]], Mean_ROE_L, 2, FALSE))/(VLOOKUP(Main_L[[#This Row],[Industry]], Mean_ROE_L, 3, FALSE))</f>
        <v>0.25483880917355228</v>
      </c>
      <c r="R116" s="1">
        <f>(Main_L[[#This Row],[ROA]]-VLOOKUP(Main_L[[#This Row],[Industry]], Mean_ROA_L, 2, FALSE))/(VLOOKUP(Main_L[[#This Row],[Industry]], Mean_ROA_L, 3, FALSE))</f>
        <v>0.91727147127924435</v>
      </c>
      <c r="S116" s="1">
        <f>(Main_L[[#This Row],[A/E]]-VLOOKUP(Main_L[[#This Row],[Industry]], Mean_AE_L, 2, FALSE))/(VLOOKUP(Main_L[[#This Row],[Industry]], Mean_AE_L, 3, FALSE))</f>
        <v>-9.8507417105823752E-2</v>
      </c>
      <c r="T116" s="1">
        <f>(Main_L[[#This Row],[P/E]]-VLOOKUP(Main_L[[#This Row],[Industry]], Mean_PE_L, 2, FALSE))/(VLOOKUP(Main_L[[#This Row],[Industry]], Mean_PE_L, 3, FALSE))</f>
        <v>1.4456280535277186</v>
      </c>
      <c r="U1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7" spans="1:26" x14ac:dyDescent="0.25">
      <c r="A117" t="s">
        <v>178</v>
      </c>
      <c r="B117" t="s">
        <v>184</v>
      </c>
      <c r="C117" s="2">
        <v>19197</v>
      </c>
      <c r="D117">
        <f>RTD("tos.rtd", , "LAST", Main_L[[#This Row],[Symbol]])</f>
        <v>99.53</v>
      </c>
      <c r="E117">
        <v>6.17</v>
      </c>
      <c r="F117">
        <v>4.9000000000000004</v>
      </c>
      <c r="G117">
        <v>5.4</v>
      </c>
      <c r="H117" s="1">
        <f>IF(ISNUMBER(Main_L[[#This Row],[Free CF]]),IF(Main_L[[#This Row],[Free CF]]&lt;&gt;0,Main_L[[#This Row],[Current Price]]/Main_L[[#This Row],[Free CF]],""),"")</f>
        <v>16.131280388978929</v>
      </c>
      <c r="I117" s="1">
        <f>IF(ISNUMBER(Main_L[[#This Row],[BVPS]]),IF(Main_L[[#This Row],[BVPS]]&lt;&gt;0,Main_L[[#This Row],[Current Price]]/Main_L[[#This Row],[BVPS]],""),"")</f>
        <v>20.312244897959182</v>
      </c>
      <c r="J117">
        <v>114.33</v>
      </c>
      <c r="K117">
        <v>9.52</v>
      </c>
      <c r="L117">
        <v>9.0299999999999994</v>
      </c>
      <c r="M117" s="1">
        <f>IF(ISNUMBER(Main_L[[#This Row],[EPS]]),IF(Main_L[[#This Row],[EPS]]&lt;&gt;0,Main_L[[#This Row],[Current Price]]/Main_L[[#This Row],[EPS]],""),"")</f>
        <v>18.43148148148148</v>
      </c>
      <c r="N1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7" s="1">
        <f>(Main_L[[#This Row],[P/FCF]]-VLOOKUP(Main_L[[#This Row],[Industry]], Mean_PFCF_L, 2, FALSE))/(VLOOKUP(Main_L[[#This Row],[Industry]], Mean_PFCF_L, 3, FALSE))</f>
        <v>-0.72290359329271847</v>
      </c>
      <c r="P117" s="1">
        <f>(Main_L[[#This Row],[P/B]]-VLOOKUP(Main_L[[#This Row],[Industry]], Mean_PB_L, 2, FALSE))/(VLOOKUP(Main_L[[#This Row],[Industry]], Mean_PB_L, 3, FALSE))</f>
        <v>0.80324883078941534</v>
      </c>
      <c r="Q117" s="1">
        <f>(Main_L[[#This Row],[ROE]]-VLOOKUP(Main_L[[#This Row],[Industry]], Mean_ROE_L, 2, FALSE))/(VLOOKUP(Main_L[[#This Row],[Industry]], Mean_ROE_L, 3, FALSE))</f>
        <v>1.1259528468668185</v>
      </c>
      <c r="R117" s="1">
        <f>(Main_L[[#This Row],[ROA]]-VLOOKUP(Main_L[[#This Row],[Industry]], Mean_ROA_L, 2, FALSE))/(VLOOKUP(Main_L[[#This Row],[Industry]], Mean_ROA_L, 3, FALSE))</f>
        <v>0.41629404132259057</v>
      </c>
      <c r="S117" s="1">
        <f>(Main_L[[#This Row],[A/E]]-VLOOKUP(Main_L[[#This Row],[Industry]], Mean_AE_L, 2, FALSE))/(VLOOKUP(Main_L[[#This Row],[Industry]], Mean_AE_L, 3, FALSE))</f>
        <v>1.4339456996644577</v>
      </c>
      <c r="T117" s="1">
        <f>(Main_L[[#This Row],[P/E]]-VLOOKUP(Main_L[[#This Row],[Industry]], Mean_PE_L, 2, FALSE))/(VLOOKUP(Main_L[[#This Row],[Industry]], Mean_PE_L, 3, FALSE))</f>
        <v>0.76296823554965398</v>
      </c>
      <c r="U1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8" spans="1:26" x14ac:dyDescent="0.25">
      <c r="A118" t="s">
        <v>178</v>
      </c>
      <c r="B118" t="s">
        <v>185</v>
      </c>
      <c r="C118" s="2">
        <v>15585</v>
      </c>
      <c r="D118">
        <f>RTD("tos.rtd", , "LAST", Main_L[[#This Row],[Symbol]])</f>
        <v>55.12</v>
      </c>
      <c r="E118">
        <v>1.62</v>
      </c>
      <c r="F118">
        <v>4.01</v>
      </c>
      <c r="G118">
        <v>0.31</v>
      </c>
      <c r="H118" s="1">
        <f>IF(ISNUMBER(Main_L[[#This Row],[Free CF]]),IF(Main_L[[#This Row],[Free CF]]&lt;&gt;0,Main_L[[#This Row],[Current Price]]/Main_L[[#This Row],[Free CF]],""),"")</f>
        <v>34.02469135802469</v>
      </c>
      <c r="I118" s="1">
        <f>IF(ISNUMBER(Main_L[[#This Row],[BVPS]]),IF(Main_L[[#This Row],[BVPS]]&lt;&gt;0,Main_L[[#This Row],[Current Price]]/Main_L[[#This Row],[BVPS]],""),"")</f>
        <v>13.74563591022444</v>
      </c>
      <c r="J118">
        <v>8.2899999999999991</v>
      </c>
      <c r="K118">
        <v>1.66</v>
      </c>
      <c r="L118">
        <v>3.03</v>
      </c>
      <c r="M118" s="1">
        <f>IF(ISNUMBER(Main_L[[#This Row],[EPS]]),IF(Main_L[[#This Row],[EPS]]&lt;&gt;0,Main_L[[#This Row],[Current Price]]/Main_L[[#This Row],[EPS]],""),"")</f>
        <v>177.80645161290323</v>
      </c>
      <c r="N1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8" s="1">
        <f>(Main_L[[#This Row],[P/FCF]]-VLOOKUP(Main_L[[#This Row],[Industry]], Mean_PFCF_L, 2, FALSE))/(VLOOKUP(Main_L[[#This Row],[Industry]], Mean_PFCF_L, 3, FALSE))</f>
        <v>1.0279545891520312</v>
      </c>
      <c r="P118" s="1">
        <f>(Main_L[[#This Row],[P/B]]-VLOOKUP(Main_L[[#This Row],[Industry]], Mean_PB_L, 2, FALSE))/(VLOOKUP(Main_L[[#This Row],[Industry]], Mean_PB_L, 3, FALSE))</f>
        <v>0.55267321029507999</v>
      </c>
      <c r="Q118" s="1">
        <f>(Main_L[[#This Row],[ROE]]-VLOOKUP(Main_L[[#This Row],[Industry]], Mean_ROE_L, 2, FALSE))/(VLOOKUP(Main_L[[#This Row],[Industry]], Mean_ROE_L, 3, FALSE))</f>
        <v>4.392247838850119E-2</v>
      </c>
      <c r="R118" s="1">
        <f>(Main_L[[#This Row],[ROA]]-VLOOKUP(Main_L[[#This Row],[Industry]], Mean_ROA_L, 2, FALSE))/(VLOOKUP(Main_L[[#This Row],[Industry]], Mean_ROA_L, 3, FALSE))</f>
        <v>-1.4499062427813414</v>
      </c>
      <c r="S118" s="1">
        <f>(Main_L[[#This Row],[A/E]]-VLOOKUP(Main_L[[#This Row],[Industry]], Mean_AE_L, 2, FALSE))/(VLOOKUP(Main_L[[#This Row],[Industry]], Mean_AE_L, 3, FALSE))</f>
        <v>0.18635835901022585</v>
      </c>
      <c r="T118" s="1">
        <f>(Main_L[[#This Row],[P/E]]-VLOOKUP(Main_L[[#This Row],[Industry]], Mean_PE_L, 2, FALSE))/(VLOOKUP(Main_L[[#This Row],[Industry]], Mean_PE_L, 3, FALSE))</f>
        <v>42.22266334773439</v>
      </c>
      <c r="U1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19" spans="1:26" x14ac:dyDescent="0.25">
      <c r="A119" t="s">
        <v>178</v>
      </c>
      <c r="B119" t="s">
        <v>186</v>
      </c>
      <c r="C119" s="2">
        <v>19384</v>
      </c>
      <c r="D119">
        <f>RTD("tos.rtd", , "LAST", Main_L[[#This Row],[Symbol]])</f>
        <v>38.89</v>
      </c>
      <c r="E119">
        <v>-3.72</v>
      </c>
      <c r="F119">
        <v>10.51</v>
      </c>
      <c r="G119">
        <v>2.2799999999999998</v>
      </c>
      <c r="H119" s="1">
        <f>IF(ISNUMBER(Main_L[[#This Row],[Free CF]]),IF(Main_L[[#This Row],[Free CF]]&lt;&gt;0,Main_L[[#This Row],[Current Price]]/Main_L[[#This Row],[Free CF]],""),"")</f>
        <v>-10.454301075268816</v>
      </c>
      <c r="I119" s="1">
        <f>IF(ISNUMBER(Main_L[[#This Row],[BVPS]]),IF(Main_L[[#This Row],[BVPS]]&lt;&gt;0,Main_L[[#This Row],[Current Price]]/Main_L[[#This Row],[BVPS]],""),"")</f>
        <v>3.7002854424357756</v>
      </c>
      <c r="J119">
        <v>31.02</v>
      </c>
      <c r="K119">
        <v>12.76</v>
      </c>
      <c r="L119">
        <v>1.56</v>
      </c>
      <c r="M119" s="1">
        <f>IF(ISNUMBER(Main_L[[#This Row],[EPS]]),IF(Main_L[[#This Row],[EPS]]&lt;&gt;0,Main_L[[#This Row],[Current Price]]/Main_L[[#This Row],[EPS]],""),"")</f>
        <v>17.057017543859651</v>
      </c>
      <c r="N1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9" s="1">
        <f>(Main_L[[#This Row],[P/FCF]]-VLOOKUP(Main_L[[#This Row],[Industry]], Mean_PFCF_L, 2, FALSE))/(VLOOKUP(Main_L[[#This Row],[Industry]], Mean_PFCF_L, 3, FALSE))</f>
        <v>-3.3242847901060828</v>
      </c>
      <c r="P119" s="1">
        <f>(Main_L[[#This Row],[P/B]]-VLOOKUP(Main_L[[#This Row],[Industry]], Mean_PB_L, 2, FALSE))/(VLOOKUP(Main_L[[#This Row],[Industry]], Mean_PB_L, 3, FALSE))</f>
        <v>0.16935208804602583</v>
      </c>
      <c r="Q119" s="1">
        <f>(Main_L[[#This Row],[ROE]]-VLOOKUP(Main_L[[#This Row],[Industry]], Mean_ROE_L, 2, FALSE))/(VLOOKUP(Main_L[[#This Row],[Industry]], Mean_ROE_L, 3, FALSE))</f>
        <v>0.27585901437032079</v>
      </c>
      <c r="R119" s="1">
        <f>(Main_L[[#This Row],[ROA]]-VLOOKUP(Main_L[[#This Row],[Industry]], Mean_ROA_L, 2, FALSE))/(VLOOKUP(Main_L[[#This Row],[Industry]], Mean_ROA_L, 3, FALSE))</f>
        <v>1.1855674408768833</v>
      </c>
      <c r="S119" s="1">
        <f>(Main_L[[#This Row],[A/E]]-VLOOKUP(Main_L[[#This Row],[Industry]], Mean_AE_L, 2, FALSE))/(VLOOKUP(Main_L[[#This Row],[Industry]], Mean_AE_L, 3, FALSE))</f>
        <v>-0.11930053945006093</v>
      </c>
      <c r="T119" s="1">
        <f>(Main_L[[#This Row],[P/E]]-VLOOKUP(Main_L[[#This Row],[Industry]], Mean_PE_L, 2, FALSE))/(VLOOKUP(Main_L[[#This Row],[Industry]], Mean_PE_L, 3, FALSE))</f>
        <v>0.40541613217041056</v>
      </c>
      <c r="U1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0" spans="1:26" x14ac:dyDescent="0.25">
      <c r="A120" t="s">
        <v>178</v>
      </c>
      <c r="B120" t="s">
        <v>187</v>
      </c>
      <c r="C120" s="2">
        <v>20256</v>
      </c>
      <c r="D120">
        <f>RTD("tos.rtd", , "LAST", Main_L[[#This Row],[Symbol]])</f>
        <v>105.47</v>
      </c>
      <c r="E120">
        <v>3.67</v>
      </c>
      <c r="F120">
        <v>-3.91</v>
      </c>
      <c r="G120">
        <v>6.85</v>
      </c>
      <c r="H120" s="1">
        <f>IF(ISNUMBER(Main_L[[#This Row],[Free CF]]),IF(Main_L[[#This Row],[Free CF]]&lt;&gt;0,Main_L[[#This Row],[Current Price]]/Main_L[[#This Row],[Free CF]],""),"")</f>
        <v>28.73841961852861</v>
      </c>
      <c r="I120" s="1">
        <f>IF(ISNUMBER(Main_L[[#This Row],[BVPS]]),IF(Main_L[[#This Row],[BVPS]]&lt;&gt;0,Main_L[[#This Row],[Current Price]]/Main_L[[#This Row],[BVPS]],""),"")</f>
        <v>-26.974424552429667</v>
      </c>
      <c r="J120">
        <v>-109.93</v>
      </c>
      <c r="K120">
        <v>14.08</v>
      </c>
      <c r="L120">
        <v>-9.1199999999999992</v>
      </c>
      <c r="M120" s="1">
        <f>IF(ISNUMBER(Main_L[[#This Row],[EPS]]),IF(Main_L[[#This Row],[EPS]]&lt;&gt;0,Main_L[[#This Row],[Current Price]]/Main_L[[#This Row],[EPS]],""),"")</f>
        <v>15.397080291970804</v>
      </c>
      <c r="N1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0" s="1">
        <f>(Main_L[[#This Row],[P/FCF]]-VLOOKUP(Main_L[[#This Row],[Industry]], Mean_PFCF_L, 2, FALSE))/(VLOOKUP(Main_L[[#This Row],[Industry]], Mean_PFCF_L, 3, FALSE))</f>
        <v>0.51069646851005401</v>
      </c>
      <c r="P120" s="1">
        <f>(Main_L[[#This Row],[P/B]]-VLOOKUP(Main_L[[#This Row],[Industry]], Mean_PB_L, 2, FALSE))/(VLOOKUP(Main_L[[#This Row],[Industry]], Mean_PB_L, 3, FALSE))</f>
        <v>-1.0011659837325595</v>
      </c>
      <c r="Q120" s="1">
        <f>(Main_L[[#This Row],[ROE]]-VLOOKUP(Main_L[[#This Row],[Industry]], Mean_ROE_L, 2, FALSE))/(VLOOKUP(Main_L[[#This Row],[Industry]], Mean_ROE_L, 3, FALSE))</f>
        <v>-1.1623924043114862</v>
      </c>
      <c r="R120" s="1">
        <f>(Main_L[[#This Row],[ROA]]-VLOOKUP(Main_L[[#This Row],[Industry]], Mean_ROA_L, 2, FALSE))/(VLOOKUP(Main_L[[#This Row],[Industry]], Mean_ROA_L, 3, FALSE))</f>
        <v>1.4989751221767804</v>
      </c>
      <c r="S120" s="1">
        <f>(Main_L[[#This Row],[A/E]]-VLOOKUP(Main_L[[#This Row],[Industry]], Mean_AE_L, 2, FALSE))/(VLOOKUP(Main_L[[#This Row],[Industry]], Mean_AE_L, 3, FALSE))</f>
        <v>-2.3400060058145939</v>
      </c>
      <c r="T120" s="1">
        <f>(Main_L[[#This Row],[P/E]]-VLOOKUP(Main_L[[#This Row],[Industry]], Mean_PE_L, 2, FALSE))/(VLOOKUP(Main_L[[#This Row],[Industry]], Mean_PE_L, 3, FALSE))</f>
        <v>-2.6398802834248589E-2</v>
      </c>
      <c r="U1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1" spans="1:26" x14ac:dyDescent="0.25">
      <c r="A121" t="s">
        <v>178</v>
      </c>
      <c r="B121" t="s">
        <v>188</v>
      </c>
      <c r="C121" s="2">
        <v>15455</v>
      </c>
      <c r="D121">
        <f>RTD("tos.rtd", , "LAST", Main_L[[#This Row],[Symbol]])</f>
        <v>49.01</v>
      </c>
      <c r="E121">
        <v>2.4900000000000002</v>
      </c>
      <c r="F121">
        <v>14.83</v>
      </c>
      <c r="G121">
        <v>3.03</v>
      </c>
      <c r="H121" s="1">
        <f>IF(ISNUMBER(Main_L[[#This Row],[Free CF]]),IF(Main_L[[#This Row],[Free CF]]&lt;&gt;0,Main_L[[#This Row],[Current Price]]/Main_L[[#This Row],[Free CF]],""),"")</f>
        <v>19.682730923694777</v>
      </c>
      <c r="I121" s="1">
        <f>IF(ISNUMBER(Main_L[[#This Row],[BVPS]]),IF(Main_L[[#This Row],[BVPS]]&lt;&gt;0,Main_L[[#This Row],[Current Price]]/Main_L[[#This Row],[BVPS]],""),"")</f>
        <v>3.3047875927174646</v>
      </c>
      <c r="J121">
        <v>13.56</v>
      </c>
      <c r="K121">
        <v>5.56</v>
      </c>
      <c r="L121">
        <v>3.16</v>
      </c>
      <c r="M121" s="1">
        <f>IF(ISNUMBER(Main_L[[#This Row],[EPS]]),IF(Main_L[[#This Row],[EPS]]&lt;&gt;0,Main_L[[#This Row],[Current Price]]/Main_L[[#This Row],[EPS]],""),"")</f>
        <v>16.174917491749174</v>
      </c>
      <c r="N1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1" s="1">
        <f>(Main_L[[#This Row],[P/FCF]]-VLOOKUP(Main_L[[#This Row],[Industry]], Mean_PFCF_L, 2, FALSE))/(VLOOKUP(Main_L[[#This Row],[Industry]], Mean_PFCF_L, 3, FALSE))</f>
        <v>-0.37539655626038076</v>
      </c>
      <c r="P121" s="1">
        <f>(Main_L[[#This Row],[P/B]]-VLOOKUP(Main_L[[#This Row],[Industry]], Mean_PB_L, 2, FALSE))/(VLOOKUP(Main_L[[#This Row],[Industry]], Mean_PB_L, 3, FALSE))</f>
        <v>0.15426026222200517</v>
      </c>
      <c r="Q121" s="1">
        <f>(Main_L[[#This Row],[ROE]]-VLOOKUP(Main_L[[#This Row],[Industry]], Mean_ROE_L, 2, FALSE))/(VLOOKUP(Main_L[[#This Row],[Industry]], Mean_ROE_L, 3, FALSE))</f>
        <v>9.7697469353049793E-2</v>
      </c>
      <c r="R121" s="1">
        <f>(Main_L[[#This Row],[ROA]]-VLOOKUP(Main_L[[#This Row],[Industry]], Mean_ROA_L, 2, FALSE))/(VLOOKUP(Main_L[[#This Row],[Industry]], Mean_ROA_L, 3, FALSE))</f>
        <v>-0.5239290025771004</v>
      </c>
      <c r="S121" s="1">
        <f>(Main_L[[#This Row],[A/E]]-VLOOKUP(Main_L[[#This Row],[Industry]], Mean_AE_L, 2, FALSE))/(VLOOKUP(Main_L[[#This Row],[Industry]], Mean_AE_L, 3, FALSE))</f>
        <v>0.21338941805773429</v>
      </c>
      <c r="T121" s="1">
        <f>(Main_L[[#This Row],[P/E]]-VLOOKUP(Main_L[[#This Row],[Industry]], Mean_PE_L, 2, FALSE))/(VLOOKUP(Main_L[[#This Row],[Industry]], Mean_PE_L, 3, FALSE))</f>
        <v>0.17594723132114021</v>
      </c>
      <c r="U1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24"/>
  <sheetViews>
    <sheetView topLeftCell="H1"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168</v>
      </c>
      <c r="B2" t="s">
        <v>302</v>
      </c>
      <c r="C2" s="2">
        <v>2731</v>
      </c>
      <c r="D2">
        <f>RTD("tos.rtd", , "LAST", Main_M[[#This Row],[Symbol]])</f>
        <v>44.9</v>
      </c>
      <c r="E2">
        <v>0.79</v>
      </c>
      <c r="F2">
        <v>11.68</v>
      </c>
      <c r="G2">
        <v>-0.52</v>
      </c>
      <c r="H2" s="1">
        <f>IF(ISNUMBER(Main_M[[#This Row],[Free CF]]),IF(Main_M[[#This Row],[Free CF]]&lt;&gt;0,Main_M[[#This Row],[Current Price]]/Main_M[[#This Row],[Free CF]],""),"")</f>
        <v>56.835443037974677</v>
      </c>
      <c r="I2" s="1">
        <f>IF(ISNUMBER(Main_M[[#This Row],[BVPS]]),IF(Main_M[[#This Row],[BVPS]]&lt;&gt;0,Main_M[[#This Row],[Current Price]]/Main_M[[#This Row],[BVPS]],""),"")</f>
        <v>3.8441780821917808</v>
      </c>
      <c r="J2">
        <v>-4.59</v>
      </c>
      <c r="K2">
        <v>-3.2</v>
      </c>
      <c r="L2">
        <v>1.2</v>
      </c>
      <c r="M2" s="1">
        <f>IF(ISNUMBER(Main_M[[#This Row],[EPS]]),IF(Main_M[[#This Row],[EPS]]&lt;&gt;0,Main_M[[#This Row],[Current Price]]/Main_M[[#This Row],[EPS]],""),"")</f>
        <v>-86.34615384615384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0.91565405507325304</v>
      </c>
      <c r="P2" s="1">
        <f>(Main_M[[#This Row],[P/B]]-VLOOKUP(Main_M[[#This Row],[Industry]], Mean_PB_M, 2, FALSE))/(VLOOKUP(Main_M[[#This Row],[Industry]], Mean_PB_M, 3, FALSE))</f>
        <v>-0.29726174941785805</v>
      </c>
      <c r="Q2" s="1">
        <f>(Main_M[[#This Row],[ROE]]-VLOOKUP(Main_M[[#This Row],[Industry]], Mean_ROE_M, 2, FALSE))/(VLOOKUP(Main_M[[#This Row],[Industry]], Mean_ROE_M, 3, FALSE))</f>
        <v>0.58389165581190194</v>
      </c>
      <c r="R2" s="1">
        <f>(Main_M[[#This Row],[ROA]]-VLOOKUP(Main_M[[#This Row],[Industry]], Mean_ROA_M, 2, FALSE))/(VLOOKUP(Main_M[[#This Row],[Industry]], Mean_ROA_M, 3, FALSE))</f>
        <v>-0.4083937009628606</v>
      </c>
      <c r="S2" s="1">
        <f>(Main_M[[#This Row],[A/E]]-VLOOKUP(Main_M[[#This Row],[Industry]], Mean_AE_M, 2, FALSE))/(VLOOKUP(Main_M[[#This Row],[Industry]], Mean_AE_M, 3, FALSE))</f>
        <v>-1.1664030239037593</v>
      </c>
      <c r="T2" s="1">
        <f>(Main_M[[#This Row],[P/E]]-VLOOKUP(Main_M[[#This Row],[Industry]], Mean_PE_M, 2, FALSE))/(VLOOKUP(Main_M[[#This Row],[Industry]], Mean_PE_M, 3, FALSE))</f>
        <v>-0.85580822048901273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168</v>
      </c>
      <c r="B3" t="s">
        <v>303</v>
      </c>
      <c r="C3" s="2">
        <v>4584</v>
      </c>
      <c r="D3">
        <f>RTD("tos.rtd", , "LAST", Main_M[[#This Row],[Symbol]])</f>
        <v>74.510000000000005</v>
      </c>
      <c r="E3">
        <v>-0.99</v>
      </c>
      <c r="F3">
        <v>12.62</v>
      </c>
      <c r="G3">
        <v>-7.68</v>
      </c>
      <c r="H3" s="1">
        <f>IF(ISNUMBER(Main_M[[#This Row],[Free CF]]),IF(Main_M[[#This Row],[Free CF]]&lt;&gt;0,Main_M[[#This Row],[Current Price]]/Main_M[[#This Row],[Free CF]],""),"")</f>
        <v>-75.26262626262627</v>
      </c>
      <c r="I3" s="1">
        <f>IF(ISNUMBER(Main_M[[#This Row],[BVPS]]),IF(Main_M[[#This Row],[BVPS]]&lt;&gt;0,Main_M[[#This Row],[Current Price]]/Main_M[[#This Row],[BVPS]],""),"")</f>
        <v>5.904120443740096</v>
      </c>
      <c r="J3">
        <v>-48.63</v>
      </c>
      <c r="K3">
        <v>-4.6900000000000004</v>
      </c>
      <c r="L3">
        <v>4.55</v>
      </c>
      <c r="M3" s="1">
        <f>IF(ISNUMBER(Main_M[[#This Row],[EPS]]),IF(Main_M[[#This Row],[EPS]]&lt;&gt;0,Main_M[[#This Row],[Current Price]]/Main_M[[#This Row],[EPS]],""),"")</f>
        <v>-9.7018229166666679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-1.3911989997807748</v>
      </c>
      <c r="P3" s="1">
        <f>(Main_M[[#This Row],[P/B]]-VLOOKUP(Main_M[[#This Row],[Industry]], Mean_PB_M, 2, FALSE))/(VLOOKUP(Main_M[[#This Row],[Industry]], Mean_PB_M, 3, FALSE))</f>
        <v>1.3460141004348354</v>
      </c>
      <c r="Q3" s="1">
        <f>(Main_M[[#This Row],[ROE]]-VLOOKUP(Main_M[[#This Row],[Industry]], Mean_ROE_M, 2, FALSE))/(VLOOKUP(Main_M[[#This Row],[Industry]], Mean_ROE_M, 3, FALSE))</f>
        <v>-1.4074290867247137</v>
      </c>
      <c r="R3" s="1">
        <f>(Main_M[[#This Row],[ROA]]-VLOOKUP(Main_M[[#This Row],[Industry]], Mean_ROA_M, 2, FALSE))/(VLOOKUP(Main_M[[#This Row],[Industry]], Mean_ROA_M, 3, FALSE))</f>
        <v>-0.9683691130192984</v>
      </c>
      <c r="S3" s="1">
        <f>(Main_M[[#This Row],[A/E]]-VLOOKUP(Main_M[[#This Row],[Industry]], Mean_AE_M, 2, FALSE))/(VLOOKUP(Main_M[[#This Row],[Industry]], Mean_AE_M, 3, FALSE))</f>
        <v>1.2757533073947362</v>
      </c>
      <c r="T3" s="1">
        <f>(Main_M[[#This Row],[P/E]]-VLOOKUP(Main_M[[#This Row],[Industry]], Mean_PE_M, 2, FALSE))/(VLOOKUP(Main_M[[#This Row],[Industry]], Mean_PE_M, 3, FALSE))</f>
        <v>-0.54713138516454407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168</v>
      </c>
      <c r="B4" t="s">
        <v>304</v>
      </c>
      <c r="C4" s="2">
        <v>2011</v>
      </c>
      <c r="D4">
        <f>RTD("tos.rtd", , "LAST", Main_M[[#This Row],[Symbol]])</f>
        <v>9.49</v>
      </c>
      <c r="E4">
        <v>0.3</v>
      </c>
      <c r="F4">
        <v>3.27</v>
      </c>
      <c r="G4">
        <v>0.02</v>
      </c>
      <c r="H4" s="1">
        <f>IF(ISNUMBER(Main_M[[#This Row],[Free CF]]),IF(Main_M[[#This Row],[Free CF]]&lt;&gt;0,Main_M[[#This Row],[Current Price]]/Main_M[[#This Row],[Free CF]],""),"")</f>
        <v>31.633333333333336</v>
      </c>
      <c r="I4" s="1">
        <f>IF(ISNUMBER(Main_M[[#This Row],[BVPS]]),IF(Main_M[[#This Row],[BVPS]]&lt;&gt;0,Main_M[[#This Row],[Current Price]]/Main_M[[#This Row],[BVPS]],""),"")</f>
        <v>2.9021406727828745</v>
      </c>
      <c r="J4">
        <v>0.71</v>
      </c>
      <c r="K4">
        <v>1.55</v>
      </c>
      <c r="L4">
        <v>2.65</v>
      </c>
      <c r="M4" s="1">
        <f>IF(ISNUMBER(Main_M[[#This Row],[EPS]]),IF(Main_M[[#This Row],[EPS]]&lt;&gt;0,Main_M[[#This Row],[Current Price]]/Main_M[[#This Row],[EPS]],""),"")</f>
        <v>474.5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0.47554494470752162</v>
      </c>
      <c r="P4" s="1">
        <f>(Main_M[[#This Row],[P/B]]-VLOOKUP(Main_M[[#This Row],[Industry]], Mean_PB_M, 2, FALSE))/(VLOOKUP(Main_M[[#This Row],[Industry]], Mean_PB_M, 3, FALSE))</f>
        <v>-1.0487523510169754</v>
      </c>
      <c r="Q4" s="1">
        <f>(Main_M[[#This Row],[ROE]]-VLOOKUP(Main_M[[#This Row],[Industry]], Mean_ROE_M, 2, FALSE))/(VLOOKUP(Main_M[[#This Row],[Industry]], Mean_ROE_M, 3, FALSE))</f>
        <v>0.82353743091281162</v>
      </c>
      <c r="R4" s="1">
        <f>(Main_M[[#This Row],[ROA]]-VLOOKUP(Main_M[[#This Row],[Industry]], Mean_ROA_M, 2, FALSE))/(VLOOKUP(Main_M[[#This Row],[Industry]], Mean_ROA_M, 3, FALSE))</f>
        <v>1.3767628139821593</v>
      </c>
      <c r="S4" s="1">
        <f>(Main_M[[#This Row],[A/E]]-VLOOKUP(Main_M[[#This Row],[Industry]], Mean_AE_M, 2, FALSE))/(VLOOKUP(Main_M[[#This Row],[Industry]], Mean_AE_M, 3, FALSE))</f>
        <v>-0.10935028349097767</v>
      </c>
      <c r="T4" s="1">
        <f>(Main_M[[#This Row],[P/E]]-VLOOKUP(Main_M[[#This Row],[Industry]], Mean_PE_M, 2, FALSE))/(VLOOKUP(Main_M[[#This Row],[Industry]], Mean_PE_M, 3, FALSE))</f>
        <v>1.4029396056535566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189</v>
      </c>
      <c r="B5" t="s">
        <v>307</v>
      </c>
      <c r="C5" s="2">
        <v>4135</v>
      </c>
      <c r="D5">
        <f>RTD("tos.rtd", , "LAST", Main_M[[#This Row],[Symbol]])</f>
        <v>120.14</v>
      </c>
      <c r="E5">
        <v>2.62</v>
      </c>
      <c r="F5">
        <v>32.46</v>
      </c>
      <c r="G5">
        <v>1.98</v>
      </c>
      <c r="H5" s="1">
        <f>IF(ISNUMBER(Main_M[[#This Row],[Free CF]]),IF(Main_M[[#This Row],[Free CF]]&lt;&gt;0,Main_M[[#This Row],[Current Price]]/Main_M[[#This Row],[Free CF]],""),"")</f>
        <v>45.854961832061065</v>
      </c>
      <c r="I5" s="1">
        <f>IF(ISNUMBER(Main_M[[#This Row],[BVPS]]),IF(Main_M[[#This Row],[BVPS]]&lt;&gt;0,Main_M[[#This Row],[Current Price]]/Main_M[[#This Row],[BVPS]],""),"")</f>
        <v>3.7011706715958104</v>
      </c>
      <c r="J5">
        <v>6.34</v>
      </c>
      <c r="K5">
        <v>2.58</v>
      </c>
      <c r="L5">
        <v>1.87</v>
      </c>
      <c r="M5" s="1">
        <f>IF(ISNUMBER(Main_M[[#This Row],[EPS]]),IF(Main_M[[#This Row],[EPS]]&lt;&gt;0,Main_M[[#This Row],[Current Price]]/Main_M[[#This Row],[EPS]],""),"")</f>
        <v>60.676767676767675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1.3976197396314687</v>
      </c>
      <c r="P5" s="1">
        <f>(Main_M[[#This Row],[P/B]]-VLOOKUP(Main_M[[#This Row],[Industry]], Mean_PB_M, 2, FALSE))/(VLOOKUP(Main_M[[#This Row],[Industry]], Mean_PB_M, 3, FALSE))</f>
        <v>0.63470083861672777</v>
      </c>
      <c r="Q5" s="1">
        <f>(Main_M[[#This Row],[ROE]]-VLOOKUP(Main_M[[#This Row],[Industry]], Mean_ROE_M, 2, FALSE))/(VLOOKUP(Main_M[[#This Row],[Industry]], Mean_ROE_M, 3, FALSE))</f>
        <v>-0.26084884389841928</v>
      </c>
      <c r="R5" s="1">
        <f>(Main_M[[#This Row],[ROA]]-VLOOKUP(Main_M[[#This Row],[Industry]], Mean_ROA_M, 2, FALSE))/(VLOOKUP(Main_M[[#This Row],[Industry]], Mean_ROA_M, 3, FALSE))</f>
        <v>-0.80197235458604998</v>
      </c>
      <c r="S5" s="1">
        <f>(Main_M[[#This Row],[A/E]]-VLOOKUP(Main_M[[#This Row],[Industry]], Mean_AE_M, 2, FALSE))/(VLOOKUP(Main_M[[#This Row],[Industry]], Mean_AE_M, 3, FALSE))</f>
        <v>-0.36131314438717127</v>
      </c>
      <c r="T5" s="1">
        <f>(Main_M[[#This Row],[P/E]]-VLOOKUP(Main_M[[#This Row],[Industry]], Mean_PE_M, 2, FALSE))/(VLOOKUP(Main_M[[#This Row],[Industry]], Mean_PE_M, 3, FALSE))</f>
        <v>2.051414011269844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189</v>
      </c>
      <c r="B6" t="s">
        <v>308</v>
      </c>
      <c r="C6" s="2">
        <v>6653</v>
      </c>
      <c r="D6">
        <f>RTD("tos.rtd", , "LAST", Main_M[[#This Row],[Symbol]])</f>
        <v>247.46</v>
      </c>
      <c r="E6">
        <v>5.23</v>
      </c>
      <c r="F6">
        <v>21.79</v>
      </c>
      <c r="G6">
        <v>4.54</v>
      </c>
      <c r="H6" s="1">
        <f>IF(ISNUMBER(Main_M[[#This Row],[Free CF]]),IF(Main_M[[#This Row],[Free CF]]&lt;&gt;0,Main_M[[#This Row],[Current Price]]/Main_M[[#This Row],[Free CF]],""),"")</f>
        <v>47.315487571701716</v>
      </c>
      <c r="I6" s="1">
        <f>IF(ISNUMBER(Main_M[[#This Row],[BVPS]]),IF(Main_M[[#This Row],[BVPS]]&lt;&gt;0,Main_M[[#This Row],[Current Price]]/Main_M[[#This Row],[BVPS]],""),"")</f>
        <v>11.356585589720057</v>
      </c>
      <c r="J6">
        <v>22.8</v>
      </c>
      <c r="K6">
        <v>12.99</v>
      </c>
      <c r="L6">
        <v>1.4</v>
      </c>
      <c r="M6" s="1">
        <f>IF(ISNUMBER(Main_M[[#This Row],[EPS]]),IF(Main_M[[#This Row],[EPS]]&lt;&gt;0,Main_M[[#This Row],[Current Price]]/Main_M[[#This Row],[EPS]],""),"")</f>
        <v>54.506607929515418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1.4908941365525308</v>
      </c>
      <c r="P6" s="1">
        <f>(Main_M[[#This Row],[P/B]]-VLOOKUP(Main_M[[#This Row],[Industry]], Mean_PB_M, 2, FALSE))/(VLOOKUP(Main_M[[#This Row],[Industry]], Mean_PB_M, 3, FALSE))</f>
        <v>5.8929081292788936</v>
      </c>
      <c r="Q6" s="1">
        <f>(Main_M[[#This Row],[ROE]]-VLOOKUP(Main_M[[#This Row],[Industry]], Mean_ROE_M, 2, FALSE))/(VLOOKUP(Main_M[[#This Row],[Industry]], Mean_ROE_M, 3, FALSE))</f>
        <v>1.2798228793522017</v>
      </c>
      <c r="R6" s="1">
        <f>(Main_M[[#This Row],[ROA]]-VLOOKUP(Main_M[[#This Row],[Industry]], Mean_ROA_M, 2, FALSE))/(VLOOKUP(Main_M[[#This Row],[Industry]], Mean_ROA_M, 3, FALSE))</f>
        <v>2.993636574534027</v>
      </c>
      <c r="S6" s="1">
        <f>(Main_M[[#This Row],[A/E]]-VLOOKUP(Main_M[[#This Row],[Industry]], Mean_AE_M, 2, FALSE))/(VLOOKUP(Main_M[[#This Row],[Industry]], Mean_AE_M, 3, FALSE))</f>
        <v>-0.97616844354258325</v>
      </c>
      <c r="T6" s="1">
        <f>(Main_M[[#This Row],[P/E]]-VLOOKUP(Main_M[[#This Row],[Industry]], Mean_PE_M, 2, FALSE))/(VLOOKUP(Main_M[[#This Row],[Industry]], Mean_PE_M, 3, FALSE))</f>
        <v>1.6691719815451211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189</v>
      </c>
      <c r="B7" t="s">
        <v>309</v>
      </c>
      <c r="C7" s="2">
        <v>4812</v>
      </c>
      <c r="D7">
        <f>RTD("tos.rtd", , "LAST", Main_M[[#This Row],[Symbol]])</f>
        <v>31.61</v>
      </c>
      <c r="E7">
        <v>0.95</v>
      </c>
      <c r="F7">
        <v>8.61</v>
      </c>
      <c r="G7">
        <v>0.69</v>
      </c>
      <c r="H7" s="1">
        <f>IF(ISNUMBER(Main_M[[#This Row],[Free CF]]),IF(Main_M[[#This Row],[Free CF]]&lt;&gt;0,Main_M[[#This Row],[Current Price]]/Main_M[[#This Row],[Free CF]],""),"")</f>
        <v>33.273684210526319</v>
      </c>
      <c r="I7" s="1">
        <f>IF(ISNUMBER(Main_M[[#This Row],[BVPS]]),IF(Main_M[[#This Row],[BVPS]]&lt;&gt;0,Main_M[[#This Row],[Current Price]]/Main_M[[#This Row],[BVPS]],""),"")</f>
        <v>3.6713124274099886</v>
      </c>
      <c r="J7">
        <v>8.02</v>
      </c>
      <c r="K7">
        <v>4.0199999999999996</v>
      </c>
      <c r="L7">
        <v>1.34</v>
      </c>
      <c r="M7" s="1">
        <f>IF(ISNUMBER(Main_M[[#This Row],[EPS]]),IF(Main_M[[#This Row],[EPS]]&lt;&gt;0,Main_M[[#This Row],[Current Price]]/Main_M[[#This Row],[EPS]],""),"")</f>
        <v>45.811594202898554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0.59413435707748541</v>
      </c>
      <c r="P7" s="1">
        <f>(Main_M[[#This Row],[P/B]]-VLOOKUP(Main_M[[#This Row],[Industry]], Mean_PB_M, 2, FALSE))/(VLOOKUP(Main_M[[#This Row],[Industry]], Mean_PB_M, 3, FALSE))</f>
        <v>0.61419236991275739</v>
      </c>
      <c r="Q7" s="1">
        <f>(Main_M[[#This Row],[ROE]]-VLOOKUP(Main_M[[#This Row],[Industry]], Mean_ROE_M, 2, FALSE))/(VLOOKUP(Main_M[[#This Row],[Industry]], Mean_ROE_M, 3, FALSE))</f>
        <v>-0.10359923909519674</v>
      </c>
      <c r="R7" s="1">
        <f>(Main_M[[#This Row],[ROA]]-VLOOKUP(Main_M[[#This Row],[Industry]], Mean_ROA_M, 2, FALSE))/(VLOOKUP(Main_M[[#This Row],[Industry]], Mean_ROA_M, 3, FALSE))</f>
        <v>-0.27693134998154384</v>
      </c>
      <c r="S7" s="1">
        <f>(Main_M[[#This Row],[A/E]]-VLOOKUP(Main_M[[#This Row],[Industry]], Mean_AE_M, 2, FALSE))/(VLOOKUP(Main_M[[#This Row],[Industry]], Mean_AE_M, 3, FALSE))</f>
        <v>-1.05466060939221</v>
      </c>
      <c r="T7" s="1">
        <f>(Main_M[[#This Row],[P/E]]-VLOOKUP(Main_M[[#This Row],[Industry]], Mean_PE_M, 2, FALSE))/(VLOOKUP(Main_M[[#This Row],[Industry]], Mean_PE_M, 3, FALSE))</f>
        <v>1.1305149886161376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189</v>
      </c>
      <c r="B8" t="s">
        <v>310</v>
      </c>
      <c r="C8" s="2">
        <v>2733</v>
      </c>
      <c r="D8">
        <f>RTD("tos.rtd", , "LAST", Main_M[[#This Row],[Symbol]])</f>
        <v>55.27</v>
      </c>
      <c r="E8">
        <v>2.95</v>
      </c>
      <c r="F8">
        <v>18.62</v>
      </c>
      <c r="G8">
        <v>3.19</v>
      </c>
      <c r="H8" s="1">
        <f>IF(ISNUMBER(Main_M[[#This Row],[Free CF]]),IF(Main_M[[#This Row],[Free CF]]&lt;&gt;0,Main_M[[#This Row],[Current Price]]/Main_M[[#This Row],[Free CF]],""),"")</f>
        <v>18.735593220338984</v>
      </c>
      <c r="I8" s="1">
        <f>IF(ISNUMBER(Main_M[[#This Row],[BVPS]]),IF(Main_M[[#This Row],[BVPS]]&lt;&gt;0,Main_M[[#This Row],[Current Price]]/Main_M[[#This Row],[BVPS]],""),"")</f>
        <v>2.9683136412459721</v>
      </c>
      <c r="J8">
        <v>18.149999999999999</v>
      </c>
      <c r="K8">
        <v>8.2100000000000009</v>
      </c>
      <c r="L8">
        <v>2.2400000000000002</v>
      </c>
      <c r="M8" s="1">
        <f>IF(ISNUMBER(Main_M[[#This Row],[EPS]]),IF(Main_M[[#This Row],[EPS]]&lt;&gt;0,Main_M[[#This Row],[Current Price]]/Main_M[[#This Row],[EPS]],""),"")</f>
        <v>17.32601880877743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-0.33432012522892662</v>
      </c>
      <c r="P8" s="1">
        <f>(Main_M[[#This Row],[P/B]]-VLOOKUP(Main_M[[#This Row],[Industry]], Mean_PB_M, 2, FALSE))/(VLOOKUP(Main_M[[#This Row],[Industry]], Mean_PB_M, 3, FALSE))</f>
        <v>0.13132979717580942</v>
      </c>
      <c r="Q8" s="1">
        <f>(Main_M[[#This Row],[ROE]]-VLOOKUP(Main_M[[#This Row],[Industry]], Mean_ROE_M, 2, FALSE))/(VLOOKUP(Main_M[[#This Row],[Industry]], Mean_ROE_M, 3, FALSE))</f>
        <v>0.84457843748613914</v>
      </c>
      <c r="R8" s="1">
        <f>(Main_M[[#This Row],[ROA]]-VLOOKUP(Main_M[[#This Row],[Industry]], Mean_ROA_M, 2, FALSE))/(VLOOKUP(Main_M[[#This Row],[Industry]], Mean_ROA_M, 3, FALSE))</f>
        <v>1.2507921286940689</v>
      </c>
      <c r="S8" s="1">
        <f>(Main_M[[#This Row],[A/E]]-VLOOKUP(Main_M[[#This Row],[Industry]], Mean_AE_M, 2, FALSE))/(VLOOKUP(Main_M[[#This Row],[Industry]], Mean_AE_M, 3, FALSE))</f>
        <v>0.12272187835219547</v>
      </c>
      <c r="T8" s="1">
        <f>(Main_M[[#This Row],[P/E]]-VLOOKUP(Main_M[[#This Row],[Industry]], Mean_PE_M, 2, FALSE))/(VLOOKUP(Main_M[[#This Row],[Industry]], Mean_PE_M, 3, FALSE))</f>
        <v>-0.63416933116575835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189</v>
      </c>
      <c r="B9" t="s">
        <v>311</v>
      </c>
      <c r="C9" s="2">
        <v>4846</v>
      </c>
      <c r="D9">
        <f>RTD("tos.rtd", , "LAST", Main_M[[#This Row],[Symbol]])</f>
        <v>115.1</v>
      </c>
      <c r="E9">
        <v>5.32</v>
      </c>
      <c r="F9">
        <v>32.659999999999997</v>
      </c>
      <c r="G9">
        <v>5.48</v>
      </c>
      <c r="H9" s="1">
        <f>IF(ISNUMBER(Main_M[[#This Row],[Free CF]]),IF(Main_M[[#This Row],[Free CF]]&lt;&gt;0,Main_M[[#This Row],[Current Price]]/Main_M[[#This Row],[Free CF]],""),"")</f>
        <v>21.63533834586466</v>
      </c>
      <c r="I9" s="1">
        <f>IF(ISNUMBER(Main_M[[#This Row],[BVPS]]),IF(Main_M[[#This Row],[BVPS]]&lt;&gt;0,Main_M[[#This Row],[Current Price]]/Main_M[[#This Row],[BVPS]],""),"")</f>
        <v>3.5241886099203921</v>
      </c>
      <c r="J9">
        <v>17.600000000000001</v>
      </c>
      <c r="K9">
        <v>5.62</v>
      </c>
      <c r="L9">
        <v>2.35</v>
      </c>
      <c r="M9" s="1">
        <f>IF(ISNUMBER(Main_M[[#This Row],[EPS]]),IF(Main_M[[#This Row],[EPS]]&lt;&gt;0,Main_M[[#This Row],[Current Price]]/Main_M[[#This Row],[EPS]],""),"")</f>
        <v>21.003649635036492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-0.14913203133422806</v>
      </c>
      <c r="P9" s="1">
        <f>(Main_M[[#This Row],[P/B]]-VLOOKUP(Main_M[[#This Row],[Industry]], Mean_PB_M, 2, FALSE))/(VLOOKUP(Main_M[[#This Row],[Industry]], Mean_PB_M, 3, FALSE))</f>
        <v>0.51313873166745139</v>
      </c>
      <c r="Q9" s="1">
        <f>(Main_M[[#This Row],[ROE]]-VLOOKUP(Main_M[[#This Row],[Industry]], Mean_ROE_M, 2, FALSE))/(VLOOKUP(Main_M[[#This Row],[Industry]], Mean_ROE_M, 3, FALSE))</f>
        <v>0.79309791210413205</v>
      </c>
      <c r="R9" s="1">
        <f>(Main_M[[#This Row],[ROA]]-VLOOKUP(Main_M[[#This Row],[Industry]], Mean_ROA_M, 2, FALSE))/(VLOOKUP(Main_M[[#This Row],[Industry]], Mean_ROA_M, 3, FALSE))</f>
        <v>0.30644754402346341</v>
      </c>
      <c r="S9" s="1">
        <f>(Main_M[[#This Row],[A/E]]-VLOOKUP(Main_M[[#This Row],[Industry]], Mean_AE_M, 2, FALSE))/(VLOOKUP(Main_M[[#This Row],[Industry]], Mean_AE_M, 3, FALSE))</f>
        <v>0.26662418240984487</v>
      </c>
      <c r="T9" s="1">
        <f>(Main_M[[#This Row],[P/E]]-VLOOKUP(Main_M[[#This Row],[Industry]], Mean_PE_M, 2, FALSE))/(VLOOKUP(Main_M[[#This Row],[Industry]], Mean_PE_M, 3, FALSE))</f>
        <v>-0.4063397239609382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189</v>
      </c>
      <c r="B10" t="s">
        <v>312</v>
      </c>
      <c r="C10" s="2">
        <v>3709</v>
      </c>
      <c r="D10">
        <f>RTD("tos.rtd", , "LAST", Main_M[[#This Row],[Symbol]])</f>
        <v>17.43</v>
      </c>
      <c r="E10">
        <v>0.4</v>
      </c>
      <c r="F10">
        <v>7.28</v>
      </c>
      <c r="G10">
        <v>-0.05</v>
      </c>
      <c r="H10" s="1">
        <f>IF(ISNUMBER(Main_M[[#This Row],[Free CF]]),IF(Main_M[[#This Row],[Free CF]]&lt;&gt;0,Main_M[[#This Row],[Current Price]]/Main_M[[#This Row],[Free CF]],""),"")</f>
        <v>43.574999999999996</v>
      </c>
      <c r="I10" s="1">
        <f>IF(ISNUMBER(Main_M[[#This Row],[BVPS]]),IF(Main_M[[#This Row],[BVPS]]&lt;&gt;0,Main_M[[#This Row],[Current Price]]/Main_M[[#This Row],[BVPS]],""),"")</f>
        <v>2.3942307692307692</v>
      </c>
      <c r="J10">
        <v>-0.63</v>
      </c>
      <c r="K10">
        <v>0.99</v>
      </c>
      <c r="L10">
        <v>1.75</v>
      </c>
      <c r="M10" s="1">
        <f>IF(ISNUMBER(Main_M[[#This Row],[EPS]]),IF(Main_M[[#This Row],[EPS]]&lt;&gt;0,Main_M[[#This Row],[Current Price]]/Main_M[[#This Row],[EPS]],""),"")</f>
        <v>-348.59999999999997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1.2520132233499688</v>
      </c>
      <c r="P10" s="1">
        <f>(Main_M[[#This Row],[P/B]]-VLOOKUP(Main_M[[#This Row],[Industry]], Mean_PB_M, 2, FALSE))/(VLOOKUP(Main_M[[#This Row],[Industry]], Mean_PB_M, 3, FALSE))</f>
        <v>-0.26298543921039208</v>
      </c>
      <c r="Q10" s="1">
        <f>(Main_M[[#This Row],[ROE]]-VLOOKUP(Main_M[[#This Row],[Industry]], Mean_ROE_M, 2, FALSE))/(VLOOKUP(Main_M[[#This Row],[Industry]], Mean_ROE_M, 3, FALSE))</f>
        <v>-0.91324750192131288</v>
      </c>
      <c r="R10" s="1">
        <f>(Main_M[[#This Row],[ROA]]-VLOOKUP(Main_M[[#This Row],[Industry]], Mean_ROA_M, 2, FALSE))/(VLOOKUP(Main_M[[#This Row],[Industry]], Mean_ROA_M, 3, FALSE))</f>
        <v>-1.3817051305035257</v>
      </c>
      <c r="S10" s="1">
        <f>(Main_M[[#This Row],[A/E]]-VLOOKUP(Main_M[[#This Row],[Industry]], Mean_AE_M, 2, FALSE))/(VLOOKUP(Main_M[[#This Row],[Industry]], Mean_AE_M, 3, FALSE))</f>
        <v>-0.51829747608642551</v>
      </c>
      <c r="T10" s="1">
        <f>(Main_M[[#This Row],[P/E]]-VLOOKUP(Main_M[[#This Row],[Industry]], Mean_PE_M, 2, FALSE))/(VLOOKUP(Main_M[[#This Row],[Industry]], Mean_PE_M, 3, FALSE))</f>
        <v>-23.303323759597411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" spans="1:26" x14ac:dyDescent="0.25">
      <c r="A11" t="s">
        <v>189</v>
      </c>
      <c r="B11" t="s">
        <v>313</v>
      </c>
      <c r="C11" s="2">
        <v>4277</v>
      </c>
      <c r="D11">
        <f>RTD("tos.rtd", , "LAST", Main_M[[#This Row],[Symbol]])</f>
        <v>132.9</v>
      </c>
      <c r="E11">
        <v>3.93</v>
      </c>
      <c r="F11">
        <v>20.75</v>
      </c>
      <c r="G11">
        <v>1.77</v>
      </c>
      <c r="H11" s="1">
        <f>IF(ISNUMBER(Main_M[[#This Row],[Free CF]]),IF(Main_M[[#This Row],[Free CF]]&lt;&gt;0,Main_M[[#This Row],[Current Price]]/Main_M[[#This Row],[Free CF]],""),"")</f>
        <v>33.81679389312977</v>
      </c>
      <c r="I11" s="1">
        <f>IF(ISNUMBER(Main_M[[#This Row],[BVPS]]),IF(Main_M[[#This Row],[BVPS]]&lt;&gt;0,Main_M[[#This Row],[Current Price]]/Main_M[[#This Row],[BVPS]],""),"")</f>
        <v>6.4048192771084338</v>
      </c>
      <c r="J11">
        <v>9.0299999999999994</v>
      </c>
      <c r="K11">
        <v>6.05</v>
      </c>
      <c r="L11">
        <v>1.86</v>
      </c>
      <c r="M11" s="1">
        <f>IF(ISNUMBER(Main_M[[#This Row],[EPS]]),IF(Main_M[[#This Row],[EPS]]&lt;&gt;0,Main_M[[#This Row],[Current Price]]/Main_M[[#This Row],[EPS]],""),"")</f>
        <v>75.084745762711862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0.62881928369801199</v>
      </c>
      <c r="P11" s="1">
        <f>(Main_M[[#This Row],[P/B]]-VLOOKUP(Main_M[[#This Row],[Industry]], Mean_PB_M, 2, FALSE))/(VLOOKUP(Main_M[[#This Row],[Industry]], Mean_PB_M, 3, FALSE))</f>
        <v>2.4917320983121081</v>
      </c>
      <c r="Q11" s="1">
        <f>(Main_M[[#This Row],[ROE]]-VLOOKUP(Main_M[[#This Row],[Industry]], Mean_ROE_M, 2, FALSE))/(VLOOKUP(Main_M[[#This Row],[Industry]], Mean_ROE_M, 3, FALSE))</f>
        <v>-9.0622743027831895E-3</v>
      </c>
      <c r="R11" s="1">
        <f>(Main_M[[#This Row],[ROA]]-VLOOKUP(Main_M[[#This Row],[Industry]], Mean_ROA_M, 2, FALSE))/(VLOOKUP(Main_M[[#This Row],[Industry]], Mean_ROA_M, 3, FALSE))</f>
        <v>0.46323062178730895</v>
      </c>
      <c r="S11" s="1">
        <f>(Main_M[[#This Row],[A/E]]-VLOOKUP(Main_M[[#This Row],[Industry]], Mean_AE_M, 2, FALSE))/(VLOOKUP(Main_M[[#This Row],[Industry]], Mean_AE_M, 3, FALSE))</f>
        <v>-0.37439517202877581</v>
      </c>
      <c r="T11" s="1">
        <f>(Main_M[[#This Row],[P/E]]-VLOOKUP(Main_M[[#This Row],[Industry]], Mean_PE_M, 2, FALSE))/(VLOOKUP(Main_M[[#This Row],[Industry]], Mean_PE_M, 3, FALSE))</f>
        <v>2.9439897327093423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2" spans="1:26" x14ac:dyDescent="0.25">
      <c r="A12" t="s">
        <v>189</v>
      </c>
      <c r="B12" t="s">
        <v>314</v>
      </c>
      <c r="C12" s="2">
        <v>3717</v>
      </c>
      <c r="D12">
        <f>RTD("tos.rtd", , "LAST", Main_M[[#This Row],[Symbol]])</f>
        <v>230.25</v>
      </c>
      <c r="E12">
        <v>1.42</v>
      </c>
      <c r="F12">
        <v>52.38</v>
      </c>
      <c r="G12">
        <v>8.23</v>
      </c>
      <c r="H12" s="1">
        <f>IF(ISNUMBER(Main_M[[#This Row],[Free CF]]),IF(Main_M[[#This Row],[Free CF]]&lt;&gt;0,Main_M[[#This Row],[Current Price]]/Main_M[[#This Row],[Free CF]],""),"")</f>
        <v>162.14788732394368</v>
      </c>
      <c r="I12" s="1">
        <f>IF(ISNUMBER(Main_M[[#This Row],[BVPS]]),IF(Main_M[[#This Row],[BVPS]]&lt;&gt;0,Main_M[[#This Row],[Current Price]]/Main_M[[#This Row],[BVPS]],""),"")</f>
        <v>4.3957617411225653</v>
      </c>
      <c r="J12">
        <v>16.73</v>
      </c>
      <c r="K12">
        <v>6.54</v>
      </c>
      <c r="L12">
        <v>2.37</v>
      </c>
      <c r="M12" s="1">
        <f>IF(ISNUMBER(Main_M[[#This Row],[EPS]]),IF(Main_M[[#This Row],[EPS]]&lt;&gt;0,Main_M[[#This Row],[Current Price]]/Main_M[[#This Row],[EPS]],""),"")</f>
        <v>27.976913730255163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8.8245018527191856</v>
      </c>
      <c r="P12" s="1">
        <f>(Main_M[[#This Row],[P/B]]-VLOOKUP(Main_M[[#This Row],[Industry]], Mean_PB_M, 2, FALSE))/(VLOOKUP(Main_M[[#This Row],[Industry]], Mean_PB_M, 3, FALSE))</f>
        <v>1.1117884772197721</v>
      </c>
      <c r="Q12" s="1">
        <f>(Main_M[[#This Row],[ROE]]-VLOOKUP(Main_M[[#This Row],[Industry]], Mean_ROE_M, 2, FALSE))/(VLOOKUP(Main_M[[#This Row],[Industry]], Mean_ROE_M, 3, FALSE))</f>
        <v>0.71166508104532034</v>
      </c>
      <c r="R12" s="1">
        <f>(Main_M[[#This Row],[ROA]]-VLOOKUP(Main_M[[#This Row],[Industry]], Mean_ROA_M, 2, FALSE))/(VLOOKUP(Main_M[[#This Row],[Industry]], Mean_ROA_M, 3, FALSE))</f>
        <v>0.64189040807634246</v>
      </c>
      <c r="S12" s="1">
        <f>(Main_M[[#This Row],[A/E]]-VLOOKUP(Main_M[[#This Row],[Industry]], Mean_AE_M, 2, FALSE))/(VLOOKUP(Main_M[[#This Row],[Industry]], Mean_AE_M, 3, FALSE))</f>
        <v>0.29278823769305384</v>
      </c>
      <c r="T12" s="1">
        <f>(Main_M[[#This Row],[P/E]]-VLOOKUP(Main_M[[#This Row],[Industry]], Mean_PE_M, 2, FALSE))/(VLOOKUP(Main_M[[#This Row],[Industry]], Mean_PE_M, 3, FALSE))</f>
        <v>2.5654702560989059E-2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189</v>
      </c>
      <c r="B13" t="s">
        <v>315</v>
      </c>
      <c r="C13" s="2">
        <v>2482</v>
      </c>
      <c r="D13">
        <f>RTD("tos.rtd", , "LAST", Main_M[[#This Row],[Symbol]])</f>
        <v>69.400000000000006</v>
      </c>
      <c r="E13">
        <v>-0.94</v>
      </c>
      <c r="F13">
        <v>22.51</v>
      </c>
      <c r="G13">
        <v>-2.63</v>
      </c>
      <c r="H13" s="1">
        <f>IF(ISNUMBER(Main_M[[#This Row],[Free CF]]),IF(Main_M[[#This Row],[Free CF]]&lt;&gt;0,Main_M[[#This Row],[Current Price]]/Main_M[[#This Row],[Free CF]],""),"")</f>
        <v>-73.82978723404257</v>
      </c>
      <c r="I13" s="1">
        <f>IF(ISNUMBER(Main_M[[#This Row],[BVPS]]),IF(Main_M[[#This Row],[BVPS]]&lt;&gt;0,Main_M[[#This Row],[Current Price]]/Main_M[[#This Row],[BVPS]],""),"")</f>
        <v>3.0830741892492224</v>
      </c>
      <c r="J13">
        <v>-14.93</v>
      </c>
      <c r="K13">
        <v>-4.59</v>
      </c>
      <c r="L13">
        <v>1.58</v>
      </c>
      <c r="M13" s="1">
        <f>IF(ISNUMBER(Main_M[[#This Row],[EPS]]),IF(Main_M[[#This Row],[EPS]]&lt;&gt;0,Main_M[[#This Row],[Current Price]]/Main_M[[#This Row],[EPS]],""),"")</f>
        <v>-26.387832699619775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-6.2458763568742643</v>
      </c>
      <c r="P13" s="1">
        <f>(Main_M[[#This Row],[P/B]]-VLOOKUP(Main_M[[#This Row],[Industry]], Mean_PB_M, 2, FALSE))/(VLOOKUP(Main_M[[#This Row],[Industry]], Mean_PB_M, 3, FALSE))</f>
        <v>0.210154362094223</v>
      </c>
      <c r="Q13" s="1">
        <f>(Main_M[[#This Row],[ROE]]-VLOOKUP(Main_M[[#This Row],[Industry]], Mean_ROE_M, 2, FALSE))/(VLOOKUP(Main_M[[#This Row],[Industry]], Mean_ROE_M, 3, FALSE))</f>
        <v>-2.2517411618535048</v>
      </c>
      <c r="R13" s="1">
        <f>(Main_M[[#This Row],[ROA]]-VLOOKUP(Main_M[[#This Row],[Industry]], Mean_ROA_M, 2, FALSE))/(VLOOKUP(Main_M[[#This Row],[Industry]], Mean_ROA_M, 3, FALSE))</f>
        <v>-3.4162390233459874</v>
      </c>
      <c r="S13" s="1">
        <f>(Main_M[[#This Row],[A/E]]-VLOOKUP(Main_M[[#This Row],[Industry]], Mean_AE_M, 2, FALSE))/(VLOOKUP(Main_M[[#This Row],[Industry]], Mean_AE_M, 3, FALSE))</f>
        <v>-0.74069194599370192</v>
      </c>
      <c r="T13" s="1">
        <f>(Main_M[[#This Row],[P/E]]-VLOOKUP(Main_M[[#This Row],[Industry]], Mean_PE_M, 2, FALSE))/(VLOOKUP(Main_M[[#This Row],[Industry]], Mean_PE_M, 3, FALSE))</f>
        <v>-3.3422469194479731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4" spans="1:26" x14ac:dyDescent="0.25">
      <c r="A14" t="s">
        <v>189</v>
      </c>
      <c r="B14" t="s">
        <v>316</v>
      </c>
      <c r="C14" s="2">
        <v>7512</v>
      </c>
      <c r="D14">
        <f>RTD("tos.rtd", , "LAST", Main_M[[#This Row],[Symbol]])</f>
        <v>12.125</v>
      </c>
      <c r="H14" s="1" t="str">
        <f>IF(ISNUMBER(Main_M[[#This Row],[Free CF]]),IF(Main_M[[#This Row],[Free CF]]&lt;&gt;0,Main_M[[#This Row],[Current Price]]/Main_M[[#This Row],[Free CF]],""),"")</f>
        <v/>
      </c>
      <c r="I14" s="1" t="str">
        <f>IF(ISNUMBER(Main_M[[#This Row],[BVPS]]),IF(Main_M[[#This Row],[BVPS]]&lt;&gt;0,Main_M[[#This Row],[Current Price]]/Main_M[[#This Row],[BVPS]],""),"")</f>
        <v/>
      </c>
      <c r="J14">
        <v>12.46</v>
      </c>
      <c r="K14">
        <v>7.03</v>
      </c>
      <c r="L14">
        <v>1.34</v>
      </c>
      <c r="M14" s="1" t="str">
        <f>IF(ISNUMBER(Main_M[[#This Row],[EPS]]),IF(Main_M[[#This Row],[EPS]]&lt;&gt;0,Main_M[[#This Row],[Current Price]]/Main_M[[#This Row],[EPS]],""),"")</f>
        <v/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 t="e">
        <f>(Main_M[[#This Row],[P/FCF]]-VLOOKUP(Main_M[[#This Row],[Industry]], Mean_PFCF_M, 2, FALSE))/(VLOOKUP(Main_M[[#This Row],[Industry]], Mean_PFCF_M, 3, FALSE))</f>
        <v>#VALUE!</v>
      </c>
      <c r="P14" s="1" t="e">
        <f>(Main_M[[#This Row],[P/B]]-VLOOKUP(Main_M[[#This Row],[Industry]], Mean_PB_M, 2, FALSE))/(VLOOKUP(Main_M[[#This Row],[Industry]], Mean_PB_M, 3, FALSE))</f>
        <v>#VALUE!</v>
      </c>
      <c r="Q14" s="1">
        <f>(Main_M[[#This Row],[ROE]]-VLOOKUP(Main_M[[#This Row],[Industry]], Mean_ROE_M, 2, FALSE))/(VLOOKUP(Main_M[[#This Row],[Industry]], Mean_ROE_M, 3, FALSE))</f>
        <v>0.31198900217046299</v>
      </c>
      <c r="R14" s="1">
        <f>(Main_M[[#This Row],[ROA]]-VLOOKUP(Main_M[[#This Row],[Industry]], Mean_ROA_M, 2, FALSE))/(VLOOKUP(Main_M[[#This Row],[Industry]], Mean_ROA_M, 3, FALSE))</f>
        <v>0.82055019436537591</v>
      </c>
      <c r="S14" s="1">
        <f>(Main_M[[#This Row],[A/E]]-VLOOKUP(Main_M[[#This Row],[Industry]], Mean_AE_M, 2, FALSE))/(VLOOKUP(Main_M[[#This Row],[Industry]], Mean_AE_M, 3, FALSE))</f>
        <v>-1.05466060939221</v>
      </c>
      <c r="T14" s="1" t="e">
        <f>(Main_M[[#This Row],[P/E]]-VLOOKUP(Main_M[[#This Row],[Industry]], Mean_PE_M, 2, FALSE))/(VLOOKUP(Main_M[[#This Row],[Industry]], Mean_PE_M, 3, FALSE))</f>
        <v>#VALUE!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t="s">
        <v>189</v>
      </c>
      <c r="B15" t="s">
        <v>317</v>
      </c>
      <c r="C15" s="2">
        <v>5051</v>
      </c>
      <c r="D15">
        <f>RTD("tos.rtd", , "LAST", Main_M[[#This Row],[Symbol]])</f>
        <v>37.200000000000003</v>
      </c>
      <c r="E15">
        <v>2.42</v>
      </c>
      <c r="F15">
        <v>7.39</v>
      </c>
      <c r="G15">
        <v>2.46</v>
      </c>
      <c r="H15" s="1">
        <f>IF(ISNUMBER(Main_M[[#This Row],[Free CF]]),IF(Main_M[[#This Row],[Free CF]]&lt;&gt;0,Main_M[[#This Row],[Current Price]]/Main_M[[#This Row],[Free CF]],""),"")</f>
        <v>15.371900826446282</v>
      </c>
      <c r="I15" s="1">
        <f>IF(ISNUMBER(Main_M[[#This Row],[BVPS]]),IF(Main_M[[#This Row],[BVPS]]&lt;&gt;0,Main_M[[#This Row],[Current Price]]/Main_M[[#This Row],[BVPS]],""),"")</f>
        <v>5.0338294993234109</v>
      </c>
      <c r="J15">
        <v>35.57</v>
      </c>
      <c r="K15">
        <v>7.83</v>
      </c>
      <c r="L15">
        <v>3.92</v>
      </c>
      <c r="M15" s="1">
        <f>IF(ISNUMBER(Main_M[[#This Row],[EPS]]),IF(Main_M[[#This Row],[EPS]]&lt;&gt;0,Main_M[[#This Row],[Current Price]]/Main_M[[#This Row],[EPS]],""),"")</f>
        <v>15.121951219512196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-0.54913755086738192</v>
      </c>
      <c r="P15" s="1">
        <f>(Main_M[[#This Row],[P/B]]-VLOOKUP(Main_M[[#This Row],[Industry]], Mean_PB_M, 2, FALSE))/(VLOOKUP(Main_M[[#This Row],[Industry]], Mean_PB_M, 3, FALSE))</f>
        <v>1.5500524477545301</v>
      </c>
      <c r="Q15" s="1">
        <f>(Main_M[[#This Row],[ROE]]-VLOOKUP(Main_M[[#This Row],[Industry]], Mean_ROE_M, 2, FALSE))/(VLOOKUP(Main_M[[#This Row],[Industry]], Mean_ROE_M, 3, FALSE))</f>
        <v>2.4751070777671735</v>
      </c>
      <c r="R15" s="1">
        <f>(Main_M[[#This Row],[ROA]]-VLOOKUP(Main_M[[#This Row],[Industry]], Mean_ROA_M, 2, FALSE))/(VLOOKUP(Main_M[[#This Row],[Industry]], Mean_ROA_M, 3, FALSE))</f>
        <v>1.1122396413678795</v>
      </c>
      <c r="S15" s="1">
        <f>(Main_M[[#This Row],[A/E]]-VLOOKUP(Main_M[[#This Row],[Industry]], Mean_AE_M, 2, FALSE))/(VLOOKUP(Main_M[[#This Row],[Industry]], Mean_AE_M, 3, FALSE))</f>
        <v>2.3205025221417515</v>
      </c>
      <c r="T15" s="1">
        <f>(Main_M[[#This Row],[P/E]]-VLOOKUP(Main_M[[#This Row],[Industry]], Mean_PE_M, 2, FALSE))/(VLOOKUP(Main_M[[#This Row],[Industry]], Mean_PE_M, 3, FALSE))</f>
        <v>-0.7707115445738314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189</v>
      </c>
      <c r="B16" t="s">
        <v>318</v>
      </c>
      <c r="C16" s="2">
        <v>4148</v>
      </c>
      <c r="D16">
        <f>RTD("tos.rtd", , "LAST", Main_M[[#This Row],[Symbol]])</f>
        <v>113.87</v>
      </c>
      <c r="E16">
        <v>5.43</v>
      </c>
      <c r="F16">
        <v>30.84</v>
      </c>
      <c r="G16">
        <v>5.17</v>
      </c>
      <c r="H16" s="1">
        <f>IF(ISNUMBER(Main_M[[#This Row],[Free CF]]),IF(Main_M[[#This Row],[Free CF]]&lt;&gt;0,Main_M[[#This Row],[Current Price]]/Main_M[[#This Row],[Free CF]],""),"")</f>
        <v>20.970534069981586</v>
      </c>
      <c r="I16" s="1">
        <f>IF(ISNUMBER(Main_M[[#This Row],[BVPS]]),IF(Main_M[[#This Row],[BVPS]]&lt;&gt;0,Main_M[[#This Row],[Current Price]]/Main_M[[#This Row],[BVPS]],""),"")</f>
        <v>3.692282749675746</v>
      </c>
      <c r="J16">
        <v>17.920000000000002</v>
      </c>
      <c r="K16">
        <v>5.91</v>
      </c>
      <c r="L16">
        <v>2.68</v>
      </c>
      <c r="M16" s="1">
        <f>IF(ISNUMBER(Main_M[[#This Row],[EPS]]),IF(Main_M[[#This Row],[EPS]]&lt;&gt;0,Main_M[[#This Row],[Current Price]]/Main_M[[#This Row],[EPS]],""),"")</f>
        <v>22.025145067698261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-0.19158880989041699</v>
      </c>
      <c r="P16" s="1">
        <f>(Main_M[[#This Row],[P/B]]-VLOOKUP(Main_M[[#This Row],[Industry]], Mean_PB_M, 2, FALSE))/(VLOOKUP(Main_M[[#This Row],[Industry]], Mean_PB_M, 3, FALSE))</f>
        <v>0.62859607011773055</v>
      </c>
      <c r="Q16" s="1">
        <f>(Main_M[[#This Row],[ROE]]-VLOOKUP(Main_M[[#This Row],[Industry]], Mean_ROE_M, 2, FALSE))/(VLOOKUP(Main_M[[#This Row],[Industry]], Mean_ROE_M, 3, FALSE))</f>
        <v>0.82305021778093646</v>
      </c>
      <c r="R16" s="1">
        <f>(Main_M[[#This Row],[ROA]]-VLOOKUP(Main_M[[#This Row],[Industry]], Mean_ROA_M, 2, FALSE))/(VLOOKUP(Main_M[[#This Row],[Industry]], Mean_ROA_M, 3, FALSE))</f>
        <v>0.41218496856187098</v>
      </c>
      <c r="S16" s="1">
        <f>(Main_M[[#This Row],[A/E]]-VLOOKUP(Main_M[[#This Row],[Industry]], Mean_AE_M, 2, FALSE))/(VLOOKUP(Main_M[[#This Row],[Industry]], Mean_AE_M, 3, FALSE))</f>
        <v>0.69833109458279352</v>
      </c>
      <c r="T16" s="1">
        <f>(Main_M[[#This Row],[P/E]]-VLOOKUP(Main_M[[#This Row],[Industry]], Mean_PE_M, 2, FALSE))/(VLOOKUP(Main_M[[#This Row],[Industry]], Mean_PE_M, 3, FALSE))</f>
        <v>-0.34305797704846147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189</v>
      </c>
      <c r="B17" t="s">
        <v>319</v>
      </c>
      <c r="C17" s="2">
        <v>4723</v>
      </c>
      <c r="D17">
        <f>RTD("tos.rtd", , "LAST", Main_M[[#This Row],[Symbol]])</f>
        <v>219.94</v>
      </c>
      <c r="E17">
        <v>11.81</v>
      </c>
      <c r="F17">
        <v>99.39</v>
      </c>
      <c r="G17">
        <v>3.81</v>
      </c>
      <c r="H17" s="1">
        <f>IF(ISNUMBER(Main_M[[#This Row],[Free CF]]),IF(Main_M[[#This Row],[Free CF]]&lt;&gt;0,Main_M[[#This Row],[Current Price]]/Main_M[[#This Row],[Free CF]],""),"")</f>
        <v>18.623200677392038</v>
      </c>
      <c r="I17" s="1">
        <f>IF(ISNUMBER(Main_M[[#This Row],[BVPS]]),IF(Main_M[[#This Row],[BVPS]]&lt;&gt;0,Main_M[[#This Row],[Current Price]]/Main_M[[#This Row],[BVPS]],""),"")</f>
        <v>2.2128986819599556</v>
      </c>
      <c r="J17">
        <v>3.87</v>
      </c>
      <c r="K17">
        <v>4.59</v>
      </c>
      <c r="L17">
        <v>1.58</v>
      </c>
      <c r="M17" s="1">
        <f>IF(ISNUMBER(Main_M[[#This Row],[EPS]]),IF(Main_M[[#This Row],[EPS]]&lt;&gt;0,Main_M[[#This Row],[Current Price]]/Main_M[[#This Row],[EPS]],""),"")</f>
        <v>57.727034120734906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-0.34149791496399851</v>
      </c>
      <c r="P17" s="1">
        <f>(Main_M[[#This Row],[P/B]]-VLOOKUP(Main_M[[#This Row],[Industry]], Mean_PB_M, 2, FALSE))/(VLOOKUP(Main_M[[#This Row],[Industry]], Mean_PB_M, 3, FALSE))</f>
        <v>-0.38753540985417856</v>
      </c>
      <c r="Q17" s="1">
        <f>(Main_M[[#This Row],[ROE]]-VLOOKUP(Main_M[[#This Row],[Industry]], Mean_ROE_M, 2, FALSE))/(VLOOKUP(Main_M[[#This Row],[Industry]], Mean_ROE_M, 3, FALSE))</f>
        <v>-0.4920432033412524</v>
      </c>
      <c r="R17" s="1">
        <f>(Main_M[[#This Row],[ROA]]-VLOOKUP(Main_M[[#This Row],[Industry]], Mean_ROA_M, 2, FALSE))/(VLOOKUP(Main_M[[#This Row],[Industry]], Mean_ROA_M, 3, FALSE))</f>
        <v>-6.9102618992259973E-2</v>
      </c>
      <c r="S17" s="1">
        <f>(Main_M[[#This Row],[A/E]]-VLOOKUP(Main_M[[#This Row],[Industry]], Mean_AE_M, 2, FALSE))/(VLOOKUP(Main_M[[#This Row],[Industry]], Mean_AE_M, 3, FALSE))</f>
        <v>-0.74069194599370192</v>
      </c>
      <c r="T17" s="1">
        <f>(Main_M[[#This Row],[P/E]]-VLOOKUP(Main_M[[#This Row],[Industry]], Mean_PE_M, 2, FALSE))/(VLOOKUP(Main_M[[#This Row],[Industry]], Mean_PE_M, 3, FALSE))</f>
        <v>1.8686777146760318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189</v>
      </c>
      <c r="B18" t="s">
        <v>320</v>
      </c>
      <c r="C18" s="2">
        <v>3090</v>
      </c>
      <c r="D18">
        <f>RTD("tos.rtd", , "LAST", Main_M[[#This Row],[Symbol]])</f>
        <v>3.23</v>
      </c>
      <c r="E18">
        <v>-0.72</v>
      </c>
      <c r="F18">
        <v>8.86</v>
      </c>
      <c r="G18">
        <v>-3.68</v>
      </c>
      <c r="H18" s="1">
        <f>IF(ISNUMBER(Main_M[[#This Row],[Free CF]]),IF(Main_M[[#This Row],[Free CF]]&lt;&gt;0,Main_M[[#This Row],[Current Price]]/Main_M[[#This Row],[Free CF]],""),"")</f>
        <v>-4.4861111111111116</v>
      </c>
      <c r="I18" s="1">
        <f>IF(ISNUMBER(Main_M[[#This Row],[BVPS]]),IF(Main_M[[#This Row],[BVPS]]&lt;&gt;0,Main_M[[#This Row],[Current Price]]/Main_M[[#This Row],[BVPS]],""),"")</f>
        <v>0.36455981941309257</v>
      </c>
      <c r="J18">
        <v>-21.7</v>
      </c>
      <c r="K18">
        <v>-0.11</v>
      </c>
      <c r="L18">
        <v>5.0999999999999996</v>
      </c>
      <c r="M18" s="1">
        <f>IF(ISNUMBER(Main_M[[#This Row],[EPS]]),IF(Main_M[[#This Row],[EPS]]&lt;&gt;0,Main_M[[#This Row],[Current Price]]/Main_M[[#This Row],[EPS]],""),"")</f>
        <v>-0.87771739130434778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-1.8173412101761492</v>
      </c>
      <c r="P18" s="1">
        <f>(Main_M[[#This Row],[P/B]]-VLOOKUP(Main_M[[#This Row],[Industry]], Mean_PB_M, 2, FALSE))/(VLOOKUP(Main_M[[#This Row],[Industry]], Mean_PB_M, 3, FALSE))</f>
        <v>-1.6570876139611634</v>
      </c>
      <c r="Q18" s="1">
        <f>(Main_M[[#This Row],[ROE]]-VLOOKUP(Main_M[[#This Row],[Industry]], Mean_ROE_M, 2, FALSE))/(VLOOKUP(Main_M[[#This Row],[Industry]], Mean_ROE_M, 3, FALSE))</f>
        <v>-2.8854196288283958</v>
      </c>
      <c r="R18" s="1">
        <f>(Main_M[[#This Row],[ROA]]-VLOOKUP(Main_M[[#This Row],[Industry]], Mean_ROA_M, 2, FALSE))/(VLOOKUP(Main_M[[#This Row],[Industry]], Mean_ROA_M, 3, FALSE))</f>
        <v>-1.7827781201319683</v>
      </c>
      <c r="S18" s="1">
        <f>(Main_M[[#This Row],[A/E]]-VLOOKUP(Main_M[[#This Row],[Industry]], Mean_AE_M, 2, FALSE))/(VLOOKUP(Main_M[[#This Row],[Industry]], Mean_AE_M, 3, FALSE))</f>
        <v>3.8641817838510826</v>
      </c>
      <c r="T18" s="1">
        <f>(Main_M[[#This Row],[P/E]]-VLOOKUP(Main_M[[#This Row],[Industry]], Mean_PE_M, 2, FALSE))/(VLOOKUP(Main_M[[#This Row],[Industry]], Mean_PE_M, 3, FALSE))</f>
        <v>-1.7618926574202152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189</v>
      </c>
      <c r="B19" t="s">
        <v>321</v>
      </c>
      <c r="C19" s="2">
        <v>7521</v>
      </c>
      <c r="D19">
        <f>RTD("tos.rtd", , "LAST", Main_M[[#This Row],[Symbol]])</f>
        <v>227.33</v>
      </c>
      <c r="E19">
        <v>7.54</v>
      </c>
      <c r="F19">
        <v>53.1</v>
      </c>
      <c r="G19">
        <v>8.9700000000000006</v>
      </c>
      <c r="H19" s="1">
        <f>IF(ISNUMBER(Main_M[[#This Row],[Free CF]]),IF(Main_M[[#This Row],[Free CF]]&lt;&gt;0,Main_M[[#This Row],[Current Price]]/Main_M[[#This Row],[Free CF]],""),"")</f>
        <v>30.149867374005307</v>
      </c>
      <c r="I19" s="1">
        <f>IF(ISNUMBER(Main_M[[#This Row],[BVPS]]),IF(Main_M[[#This Row],[BVPS]]&lt;&gt;0,Main_M[[#This Row],[Current Price]]/Main_M[[#This Row],[BVPS]],""),"")</f>
        <v>4.2811676082862524</v>
      </c>
      <c r="J19">
        <v>18.3</v>
      </c>
      <c r="K19">
        <v>7.99</v>
      </c>
      <c r="L19">
        <v>1.37</v>
      </c>
      <c r="M19" s="1">
        <f>IF(ISNUMBER(Main_M[[#This Row],[EPS]]),IF(Main_M[[#This Row],[EPS]]&lt;&gt;0,Main_M[[#This Row],[Current Price]]/Main_M[[#This Row],[EPS]],""),"")</f>
        <v>25.343366778149388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0.39463624238486322</v>
      </c>
      <c r="P19" s="1">
        <f>(Main_M[[#This Row],[P/B]]-VLOOKUP(Main_M[[#This Row],[Industry]], Mean_PB_M, 2, FALSE))/(VLOOKUP(Main_M[[#This Row],[Industry]], Mean_PB_M, 3, FALSE))</f>
        <v>1.0330782164185652</v>
      </c>
      <c r="Q19" s="1">
        <f>(Main_M[[#This Row],[ROE]]-VLOOKUP(Main_M[[#This Row],[Industry]], Mean_ROE_M, 2, FALSE))/(VLOOKUP(Main_M[[#This Row],[Industry]], Mean_ROE_M, 3, FALSE))</f>
        <v>0.85861858077214137</v>
      </c>
      <c r="R19" s="1">
        <f>(Main_M[[#This Row],[ROA]]-VLOOKUP(Main_M[[#This Row],[Industry]], Mean_ROA_M, 2, FALSE))/(VLOOKUP(Main_M[[#This Row],[Industry]], Mean_ROA_M, 3, FALSE))</f>
        <v>1.1705775307683801</v>
      </c>
      <c r="S19" s="1">
        <f>(Main_M[[#This Row],[A/E]]-VLOOKUP(Main_M[[#This Row],[Industry]], Mean_AE_M, 2, FALSE))/(VLOOKUP(Main_M[[#This Row],[Industry]], Mean_AE_M, 3, FALSE))</f>
        <v>-1.0154145264673964</v>
      </c>
      <c r="T19" s="1">
        <f>(Main_M[[#This Row],[P/E]]-VLOOKUP(Main_M[[#This Row],[Industry]], Mean_PE_M, 2, FALSE))/(VLOOKUP(Main_M[[#This Row],[Industry]], Mean_PE_M, 3, FALSE))</f>
        <v>-0.13749380146219434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189</v>
      </c>
      <c r="B20" t="s">
        <v>322</v>
      </c>
      <c r="C20" s="2">
        <v>2473</v>
      </c>
      <c r="D20">
        <f>RTD("tos.rtd", , "LAST", Main_M[[#This Row],[Symbol]])</f>
        <v>65.59</v>
      </c>
      <c r="E20">
        <v>3.37</v>
      </c>
      <c r="F20">
        <v>47.58</v>
      </c>
      <c r="G20">
        <v>-4.09</v>
      </c>
      <c r="H20" s="1">
        <f>IF(ISNUMBER(Main_M[[#This Row],[Free CF]]),IF(Main_M[[#This Row],[Free CF]]&lt;&gt;0,Main_M[[#This Row],[Current Price]]/Main_M[[#This Row],[Free CF]],""),"")</f>
        <v>19.462908011869438</v>
      </c>
      <c r="I20" s="1">
        <f>IF(ISNUMBER(Main_M[[#This Row],[BVPS]]),IF(Main_M[[#This Row],[BVPS]]&lt;&gt;0,Main_M[[#This Row],[Current Price]]/Main_M[[#This Row],[BVPS]],""),"")</f>
        <v>1.3785203867171081</v>
      </c>
      <c r="J20">
        <v>-8.18</v>
      </c>
      <c r="K20">
        <v>0.36</v>
      </c>
      <c r="L20">
        <v>1.1299999999999999</v>
      </c>
      <c r="M20" s="1">
        <f>IF(ISNUMBER(Main_M[[#This Row],[EPS]]),IF(Main_M[[#This Row],[EPS]]&lt;&gt;0,Main_M[[#This Row],[Current Price]]/Main_M[[#This Row],[EPS]],""),"")</f>
        <v>-16.036674816625919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-0.28787120159101631</v>
      </c>
      <c r="P20" s="1">
        <f>(Main_M[[#This Row],[P/B]]-VLOOKUP(Main_M[[#This Row],[Industry]], Mean_PB_M, 2, FALSE))/(VLOOKUP(Main_M[[#This Row],[Industry]], Mean_PB_M, 3, FALSE))</f>
        <v>-0.96063746665180139</v>
      </c>
      <c r="Q20" s="1">
        <f>(Main_M[[#This Row],[ROE]]-VLOOKUP(Main_M[[#This Row],[Industry]], Mean_ROE_M, 2, FALSE))/(VLOOKUP(Main_M[[#This Row],[Industry]], Mean_ROE_M, 3, FALSE))</f>
        <v>-1.6199347139834139</v>
      </c>
      <c r="R20" s="1">
        <f>(Main_M[[#This Row],[ROA]]-VLOOKUP(Main_M[[#This Row],[Industry]], Mean_ROA_M, 2, FALSE))/(VLOOKUP(Main_M[[#This Row],[Industry]], Mean_ROA_M, 3, FALSE))</f>
        <v>-1.6114105700179973</v>
      </c>
      <c r="S20" s="1">
        <f>(Main_M[[#This Row],[A/E]]-VLOOKUP(Main_M[[#This Row],[Industry]], Mean_AE_M, 2, FALSE))/(VLOOKUP(Main_M[[#This Row],[Industry]], Mean_AE_M, 3, FALSE))</f>
        <v>-1.3293831898659048</v>
      </c>
      <c r="T20" s="1">
        <f>(Main_M[[#This Row],[P/E]]-VLOOKUP(Main_M[[#This Row],[Industry]], Mean_PE_M, 2, FALSE))/(VLOOKUP(Main_M[[#This Row],[Industry]], Mean_PE_M, 3, FALSE))</f>
        <v>-2.7009916260240638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1" spans="1:26" x14ac:dyDescent="0.25">
      <c r="A21" t="s">
        <v>189</v>
      </c>
      <c r="B21" t="s">
        <v>323</v>
      </c>
      <c r="C21" s="2">
        <v>3409</v>
      </c>
      <c r="D21">
        <f>RTD("tos.rtd", , "LAST", Main_M[[#This Row],[Symbol]])</f>
        <v>133.35</v>
      </c>
      <c r="E21">
        <v>12.93</v>
      </c>
      <c r="F21">
        <v>49.84</v>
      </c>
      <c r="G21">
        <v>5.14</v>
      </c>
      <c r="H21" s="1">
        <f>IF(ISNUMBER(Main_M[[#This Row],[Free CF]]),IF(Main_M[[#This Row],[Free CF]]&lt;&gt;0,Main_M[[#This Row],[Current Price]]/Main_M[[#This Row],[Free CF]],""),"")</f>
        <v>10.31322505800464</v>
      </c>
      <c r="I21" s="1">
        <f>IF(ISNUMBER(Main_M[[#This Row],[BVPS]]),IF(Main_M[[#This Row],[BVPS]]&lt;&gt;0,Main_M[[#This Row],[Current Price]]/Main_M[[#This Row],[BVPS]],""),"")</f>
        <v>2.6755617977528088</v>
      </c>
      <c r="J21">
        <v>10.93</v>
      </c>
      <c r="K21">
        <v>3.91</v>
      </c>
      <c r="L21">
        <v>2.2799999999999998</v>
      </c>
      <c r="M21" s="1">
        <f>IF(ISNUMBER(Main_M[[#This Row],[EPS]]),IF(Main_M[[#This Row],[EPS]]&lt;&gt;0,Main_M[[#This Row],[Current Price]]/Main_M[[#This Row],[EPS]],""),"")</f>
        <v>25.943579766536967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-0.87220267646843952</v>
      </c>
      <c r="P21" s="1">
        <f>(Main_M[[#This Row],[P/B]]-VLOOKUP(Main_M[[#This Row],[Industry]], Mean_PB_M, 2, FALSE))/(VLOOKUP(Main_M[[#This Row],[Industry]], Mean_PB_M, 3, FALSE))</f>
        <v>-6.9750078216198344E-2</v>
      </c>
      <c r="Q21" s="1">
        <f>(Main_M[[#This Row],[ROE]]-VLOOKUP(Main_M[[#This Row],[Industry]], Mean_ROE_M, 2, FALSE))/(VLOOKUP(Main_M[[#This Row],[Industry]], Mean_ROE_M, 3, FALSE))</f>
        <v>0.16877954065324235</v>
      </c>
      <c r="R21" s="1">
        <f>(Main_M[[#This Row],[ROA]]-VLOOKUP(Main_M[[#This Row],[Industry]], Mean_ROA_M, 2, FALSE))/(VLOOKUP(Main_M[[#This Row],[Industry]], Mean_ROA_M, 3, FALSE))</f>
        <v>-0.31703864894438788</v>
      </c>
      <c r="S21" s="1">
        <f>(Main_M[[#This Row],[A/E]]-VLOOKUP(Main_M[[#This Row],[Industry]], Mean_AE_M, 2, FALSE))/(VLOOKUP(Main_M[[#This Row],[Industry]], Mean_AE_M, 3, FALSE))</f>
        <v>0.17504998891861295</v>
      </c>
      <c r="T21" s="1">
        <f>(Main_M[[#This Row],[P/E]]-VLOOKUP(Main_M[[#This Row],[Industry]], Mean_PE_M, 2, FALSE))/(VLOOKUP(Main_M[[#This Row],[Industry]], Mean_PE_M, 3, FALSE))</f>
        <v>-0.10031054521820815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189</v>
      </c>
      <c r="B22" t="s">
        <v>324</v>
      </c>
      <c r="C22" s="2">
        <v>4259</v>
      </c>
      <c r="D22">
        <f>RTD("tos.rtd", , "LAST", Main_M[[#This Row],[Symbol]])</f>
        <v>85.27</v>
      </c>
      <c r="E22">
        <v>4.8899999999999997</v>
      </c>
      <c r="F22">
        <v>41.51</v>
      </c>
      <c r="G22">
        <v>4.32</v>
      </c>
      <c r="H22" s="1">
        <f>IF(ISNUMBER(Main_M[[#This Row],[Free CF]]),IF(Main_M[[#This Row],[Free CF]]&lt;&gt;0,Main_M[[#This Row],[Current Price]]/Main_M[[#This Row],[Free CF]],""),"")</f>
        <v>17.437627811860942</v>
      </c>
      <c r="I22" s="1">
        <f>IF(ISNUMBER(Main_M[[#This Row],[BVPS]]),IF(Main_M[[#This Row],[BVPS]]&lt;&gt;0,Main_M[[#This Row],[Current Price]]/Main_M[[#This Row],[BVPS]],""),"")</f>
        <v>2.0542038063117323</v>
      </c>
      <c r="J22">
        <v>11.16</v>
      </c>
      <c r="K22">
        <v>4.6500000000000004</v>
      </c>
      <c r="L22">
        <v>2.2400000000000002</v>
      </c>
      <c r="M22" s="1">
        <f>IF(ISNUMBER(Main_M[[#This Row],[EPS]]),IF(Main_M[[#This Row],[EPS]]&lt;&gt;0,Main_M[[#This Row],[Current Price]]/Main_M[[#This Row],[EPS]],""),"")</f>
        <v>19.738425925925924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-0.41721283804751536</v>
      </c>
      <c r="P22" s="1">
        <f>(Main_M[[#This Row],[P/B]]-VLOOKUP(Main_M[[#This Row],[Industry]], Mean_PB_M, 2, FALSE))/(VLOOKUP(Main_M[[#This Row],[Industry]], Mean_PB_M, 3, FALSE))</f>
        <v>-0.49653675870969866</v>
      </c>
      <c r="Q22" s="1">
        <f>(Main_M[[#This Row],[ROE]]-VLOOKUP(Main_M[[#This Row],[Industry]], Mean_ROE_M, 2, FALSE))/(VLOOKUP(Main_M[[#This Row],[Industry]], Mean_ROE_M, 3, FALSE))</f>
        <v>0.19030776035844549</v>
      </c>
      <c r="R22" s="1">
        <f>(Main_M[[#This Row],[ROA]]-VLOOKUP(Main_M[[#This Row],[Industry]], Mean_ROA_M, 2, FALSE))/(VLOOKUP(Main_M[[#This Row],[Industry]], Mean_ROA_M, 3, FALSE))</f>
        <v>-4.722591046707203E-2</v>
      </c>
      <c r="S22" s="1">
        <f>(Main_M[[#This Row],[A/E]]-VLOOKUP(Main_M[[#This Row],[Industry]], Mean_AE_M, 2, FALSE))/(VLOOKUP(Main_M[[#This Row],[Industry]], Mean_AE_M, 3, FALSE))</f>
        <v>0.12272187835219547</v>
      </c>
      <c r="T22" s="1">
        <f>(Main_M[[#This Row],[P/E]]-VLOOKUP(Main_M[[#This Row],[Industry]], Mean_PE_M, 2, FALSE))/(VLOOKUP(Main_M[[#This Row],[Industry]], Mean_PE_M, 3, FALSE))</f>
        <v>-0.4847204626187398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189</v>
      </c>
      <c r="B23" t="s">
        <v>325</v>
      </c>
      <c r="C23" s="2">
        <v>2635</v>
      </c>
      <c r="D23">
        <f>RTD("tos.rtd", , "LAST", Main_M[[#This Row],[Symbol]])</f>
        <v>29.8</v>
      </c>
      <c r="E23">
        <v>0.5</v>
      </c>
      <c r="F23">
        <v>15.58</v>
      </c>
      <c r="G23">
        <v>0.75</v>
      </c>
      <c r="H23" s="1">
        <f>IF(ISNUMBER(Main_M[[#This Row],[Free CF]]),IF(Main_M[[#This Row],[Free CF]]&lt;&gt;0,Main_M[[#This Row],[Current Price]]/Main_M[[#This Row],[Free CF]],""),"")</f>
        <v>59.6</v>
      </c>
      <c r="I23" s="1">
        <f>IF(ISNUMBER(Main_M[[#This Row],[BVPS]]),IF(Main_M[[#This Row],[BVPS]]&lt;&gt;0,Main_M[[#This Row],[Current Price]]/Main_M[[#This Row],[BVPS]],""),"")</f>
        <v>1.9127086007702183</v>
      </c>
      <c r="J23">
        <v>5.0199999999999996</v>
      </c>
      <c r="K23">
        <v>3.51</v>
      </c>
      <c r="L23">
        <v>2.1800000000000002</v>
      </c>
      <c r="M23" s="1">
        <f>IF(ISNUMBER(Main_M[[#This Row],[EPS]]),IF(Main_M[[#This Row],[EPS]]&lt;&gt;0,Main_M[[#This Row],[Current Price]]/Main_M[[#This Row],[EPS]],""),"")</f>
        <v>39.733333333333334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2.2754270325634804</v>
      </c>
      <c r="P23" s="1">
        <f>(Main_M[[#This Row],[P/B]]-VLOOKUP(Main_M[[#This Row],[Industry]], Mean_PB_M, 2, FALSE))/(VLOOKUP(Main_M[[#This Row],[Industry]], Mean_PB_M, 3, FALSE))</f>
        <v>-0.59372432193513258</v>
      </c>
      <c r="Q23" s="1">
        <f>(Main_M[[#This Row],[ROE]]-VLOOKUP(Main_M[[#This Row],[Industry]], Mean_ROE_M, 2, FALSE))/(VLOOKUP(Main_M[[#This Row],[Industry]], Mean_ROE_M, 3, FALSE))</f>
        <v>-0.38440210481523701</v>
      </c>
      <c r="R23" s="1">
        <f>(Main_M[[#This Row],[ROA]]-VLOOKUP(Main_M[[#This Row],[Industry]], Mean_ROA_M, 2, FALSE))/(VLOOKUP(Main_M[[#This Row],[Industry]], Mean_ROA_M, 3, FALSE))</f>
        <v>-0.46288337244563976</v>
      </c>
      <c r="S23" s="1">
        <f>(Main_M[[#This Row],[A/E]]-VLOOKUP(Main_M[[#This Row],[Industry]], Mean_AE_M, 2, FALSE))/(VLOOKUP(Main_M[[#This Row],[Industry]], Mean_AE_M, 3, FALSE))</f>
        <v>4.422971250256838E-2</v>
      </c>
      <c r="T23" s="1">
        <f>(Main_M[[#This Row],[P/E]]-VLOOKUP(Main_M[[#This Row],[Industry]], Mean_PE_M, 2, FALSE))/(VLOOKUP(Main_M[[#This Row],[Industry]], Mean_PE_M, 3, FALSE))</f>
        <v>0.75396610379777795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189</v>
      </c>
      <c r="B24" t="s">
        <v>326</v>
      </c>
      <c r="C24" s="2">
        <v>5989</v>
      </c>
      <c r="D24">
        <f>RTD("tos.rtd", , "LAST", Main_M[[#This Row],[Symbol]])</f>
        <v>121.22</v>
      </c>
      <c r="E24">
        <v>18.77</v>
      </c>
      <c r="F24">
        <v>114.23</v>
      </c>
      <c r="G24">
        <v>7.28</v>
      </c>
      <c r="H24" s="1">
        <f>IF(ISNUMBER(Main_M[[#This Row],[Free CF]]),IF(Main_M[[#This Row],[Free CF]]&lt;&gt;0,Main_M[[#This Row],[Current Price]]/Main_M[[#This Row],[Free CF]],""),"")</f>
        <v>6.4581779435269047</v>
      </c>
      <c r="I24" s="1">
        <f>IF(ISNUMBER(Main_M[[#This Row],[BVPS]]),IF(Main_M[[#This Row],[BVPS]]&lt;&gt;0,Main_M[[#This Row],[Current Price]]/Main_M[[#This Row],[BVPS]],""),"")</f>
        <v>1.0611923312614899</v>
      </c>
      <c r="J24">
        <v>6.63</v>
      </c>
      <c r="K24">
        <v>2.81</v>
      </c>
      <c r="L24">
        <v>3.61</v>
      </c>
      <c r="M24" s="1">
        <f>IF(ISNUMBER(Main_M[[#This Row],[EPS]]),IF(Main_M[[#This Row],[EPS]]&lt;&gt;0,Main_M[[#This Row],[Current Price]]/Main_M[[#This Row],[EPS]],""),"")</f>
        <v>16.651098901098901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-1.1183997717648648</v>
      </c>
      <c r="P24" s="1">
        <f>(Main_M[[#This Row],[P/B]]-VLOOKUP(Main_M[[#This Row],[Industry]], Mean_PB_M, 2, FALSE))/(VLOOKUP(Main_M[[#This Row],[Industry]], Mean_PB_M, 3, FALSE))</f>
        <v>-1.1785977878850782</v>
      </c>
      <c r="Q24" s="1">
        <f>(Main_M[[#This Row],[ROE]]-VLOOKUP(Main_M[[#This Row],[Industry]], Mean_ROE_M, 2, FALSE))/(VLOOKUP(Main_M[[#This Row],[Industry]], Mean_ROE_M, 3, FALSE))</f>
        <v>-0.23370456687881536</v>
      </c>
      <c r="R24" s="1">
        <f>(Main_M[[#This Row],[ROA]]-VLOOKUP(Main_M[[#This Row],[Industry]], Mean_ROA_M, 2, FALSE))/(VLOOKUP(Main_M[[#This Row],[Industry]], Mean_ROA_M, 3, FALSE))</f>
        <v>-0.71811163857283022</v>
      </c>
      <c r="S24" s="1">
        <f>(Main_M[[#This Row],[A/E]]-VLOOKUP(Main_M[[#This Row],[Industry]], Mean_AE_M, 2, FALSE))/(VLOOKUP(Main_M[[#This Row],[Industry]], Mean_AE_M, 3, FALSE))</f>
        <v>1.914959665252012</v>
      </c>
      <c r="T24" s="1">
        <f>(Main_M[[#This Row],[P/E]]-VLOOKUP(Main_M[[#This Row],[Industry]], Mean_PE_M, 2, FALSE))/(VLOOKUP(Main_M[[#This Row],[Industry]], Mean_PE_M, 3, FALSE))</f>
        <v>-0.67598068872867234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189</v>
      </c>
      <c r="B25" t="s">
        <v>327</v>
      </c>
      <c r="C25" s="2">
        <v>4164</v>
      </c>
      <c r="D25">
        <f>RTD("tos.rtd", , "LAST", Main_M[[#This Row],[Symbol]])</f>
        <v>52.37</v>
      </c>
      <c r="E25">
        <v>8.49</v>
      </c>
      <c r="F25">
        <v>57.52</v>
      </c>
      <c r="G25">
        <v>3.56</v>
      </c>
      <c r="H25" s="1">
        <f>IF(ISNUMBER(Main_M[[#This Row],[Free CF]]),IF(Main_M[[#This Row],[Free CF]]&lt;&gt;0,Main_M[[#This Row],[Current Price]]/Main_M[[#This Row],[Free CF]],""),"")</f>
        <v>6.1684334511189629</v>
      </c>
      <c r="I25" s="1">
        <f>IF(ISNUMBER(Main_M[[#This Row],[BVPS]]),IF(Main_M[[#This Row],[BVPS]]&lt;&gt;0,Main_M[[#This Row],[Current Price]]/Main_M[[#This Row],[BVPS]],""),"")</f>
        <v>0.91046592489568834</v>
      </c>
      <c r="J25">
        <v>6.42</v>
      </c>
      <c r="K25">
        <v>3.61</v>
      </c>
      <c r="L25">
        <v>2.4</v>
      </c>
      <c r="M25" s="1">
        <f>IF(ISNUMBER(Main_M[[#This Row],[EPS]]),IF(Main_M[[#This Row],[EPS]]&lt;&gt;0,Main_M[[#This Row],[Current Price]]/Main_M[[#This Row],[EPS]],""),"")</f>
        <v>14.710674157303369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-1.136903891245292</v>
      </c>
      <c r="P25" s="1">
        <f>(Main_M[[#This Row],[P/B]]-VLOOKUP(Main_M[[#This Row],[Industry]], Mean_PB_M, 2, FALSE))/(VLOOKUP(Main_M[[#This Row],[Industry]], Mean_PB_M, 3, FALSE))</f>
        <v>-1.2821259045612359</v>
      </c>
      <c r="Q25" s="1">
        <f>(Main_M[[#This Row],[ROE]]-VLOOKUP(Main_M[[#This Row],[Industry]], Mean_ROE_M, 2, FALSE))/(VLOOKUP(Main_M[[#This Row],[Industry]], Mean_ROE_M, 3, FALSE))</f>
        <v>-0.25336076747921821</v>
      </c>
      <c r="R25" s="1">
        <f>(Main_M[[#This Row],[ROA]]-VLOOKUP(Main_M[[#This Row],[Industry]], Mean_ROA_M, 2, FALSE))/(VLOOKUP(Main_M[[#This Row],[Industry]], Mean_ROA_M, 3, FALSE))</f>
        <v>-0.42642219157032679</v>
      </c>
      <c r="S25" s="1">
        <f>(Main_M[[#This Row],[A/E]]-VLOOKUP(Main_M[[#This Row],[Industry]], Mean_AE_M, 2, FALSE))/(VLOOKUP(Main_M[[#This Row],[Industry]], Mean_AE_M, 3, FALSE))</f>
        <v>0.33203432061786714</v>
      </c>
      <c r="T25" s="1">
        <f>(Main_M[[#This Row],[P/E]]-VLOOKUP(Main_M[[#This Row],[Industry]], Mean_PE_M, 2, FALSE))/(VLOOKUP(Main_M[[#This Row],[Industry]], Mean_PE_M, 3, FALSE))</f>
        <v>-0.79619020079629499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189</v>
      </c>
      <c r="B26" t="s">
        <v>328</v>
      </c>
      <c r="C26" s="2">
        <v>4464</v>
      </c>
      <c r="D26">
        <f>RTD("tos.rtd", , "LAST", Main_M[[#This Row],[Symbol]])</f>
        <v>20.79</v>
      </c>
      <c r="E26">
        <v>0.85</v>
      </c>
      <c r="F26">
        <v>15.9</v>
      </c>
      <c r="G26">
        <v>1.18</v>
      </c>
      <c r="H26" s="1">
        <f>IF(ISNUMBER(Main_M[[#This Row],[Free CF]]),IF(Main_M[[#This Row],[Free CF]]&lt;&gt;0,Main_M[[#This Row],[Current Price]]/Main_M[[#This Row],[Free CF]],""),"")</f>
        <v>24.458823529411763</v>
      </c>
      <c r="I26" s="1">
        <f>IF(ISNUMBER(Main_M[[#This Row],[BVPS]]),IF(Main_M[[#This Row],[BVPS]]&lt;&gt;0,Main_M[[#This Row],[Current Price]]/Main_M[[#This Row],[BVPS]],""),"")</f>
        <v>1.3075471698113206</v>
      </c>
      <c r="J26">
        <v>7.3</v>
      </c>
      <c r="K26">
        <v>2.88</v>
      </c>
      <c r="L26">
        <v>5.03</v>
      </c>
      <c r="M26" s="1">
        <f>IF(ISNUMBER(Main_M[[#This Row],[EPS]]),IF(Main_M[[#This Row],[EPS]]&lt;&gt;0,Main_M[[#This Row],[Current Price]]/Main_M[[#This Row],[EPS]],""),"")</f>
        <v>17.618644067796609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3.1185829942018507E-2</v>
      </c>
      <c r="P26" s="1">
        <f>(Main_M[[#This Row],[P/B]]-VLOOKUP(Main_M[[#This Row],[Industry]], Mean_PB_M, 2, FALSE))/(VLOOKUP(Main_M[[#This Row],[Industry]], Mean_PB_M, 3, FALSE))</f>
        <v>-1.009386213854546</v>
      </c>
      <c r="Q26" s="1">
        <f>(Main_M[[#This Row],[ROE]]-VLOOKUP(Main_M[[#This Row],[Industry]], Mean_ROE_M, 2, FALSE))/(VLOOKUP(Main_M[[#This Row],[Industry]], Mean_ROE_M, 3, FALSE))</f>
        <v>-0.17099192686800638</v>
      </c>
      <c r="R26" s="1">
        <f>(Main_M[[#This Row],[ROA]]-VLOOKUP(Main_M[[#This Row],[Industry]], Mean_ROA_M, 2, FALSE))/(VLOOKUP(Main_M[[#This Row],[Industry]], Mean_ROA_M, 3, FALSE))</f>
        <v>-0.69258881196011124</v>
      </c>
      <c r="S26" s="1">
        <f>(Main_M[[#This Row],[A/E]]-VLOOKUP(Main_M[[#This Row],[Industry]], Mean_AE_M, 2, FALSE))/(VLOOKUP(Main_M[[#This Row],[Industry]], Mean_AE_M, 3, FALSE))</f>
        <v>3.7726075903598519</v>
      </c>
      <c r="T26" s="1">
        <f>(Main_M[[#This Row],[P/E]]-VLOOKUP(Main_M[[#This Row],[Industry]], Mean_PE_M, 2, FALSE))/(VLOOKUP(Main_M[[#This Row],[Industry]], Mean_PE_M, 3, FALSE))</f>
        <v>-0.61604116633079997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189</v>
      </c>
      <c r="B27" t="s">
        <v>329</v>
      </c>
      <c r="C27" s="2">
        <v>4256</v>
      </c>
      <c r="D27">
        <f>RTD("tos.rtd", , "LAST", Main_M[[#This Row],[Symbol]])</f>
        <v>138.44999999999999</v>
      </c>
      <c r="E27">
        <v>12.97</v>
      </c>
      <c r="F27">
        <v>49.85</v>
      </c>
      <c r="G27">
        <v>5.12</v>
      </c>
      <c r="H27" s="1">
        <f>IF(ISNUMBER(Main_M[[#This Row],[Free CF]]),IF(Main_M[[#This Row],[Free CF]]&lt;&gt;0,Main_M[[#This Row],[Current Price]]/Main_M[[#This Row],[Free CF]],""),"")</f>
        <v>10.674633770239012</v>
      </c>
      <c r="I27" s="1">
        <f>IF(ISNUMBER(Main_M[[#This Row],[BVPS]]),IF(Main_M[[#This Row],[BVPS]]&lt;&gt;0,Main_M[[#This Row],[Current Price]]/Main_M[[#This Row],[BVPS]],""),"")</f>
        <v>2.7773319959879634</v>
      </c>
      <c r="J27">
        <v>11.37</v>
      </c>
      <c r="K27">
        <v>3.39</v>
      </c>
      <c r="L27">
        <v>4.9800000000000004</v>
      </c>
      <c r="M27" s="1">
        <f>IF(ISNUMBER(Main_M[[#This Row],[EPS]]),IF(Main_M[[#This Row],[EPS]]&lt;&gt;0,Main_M[[#This Row],[Current Price]]/Main_M[[#This Row],[EPS]],""),"")</f>
        <v>27.041015624999996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-0.84912182362159216</v>
      </c>
      <c r="P27" s="1">
        <f>(Main_M[[#This Row],[P/B]]-VLOOKUP(Main_M[[#This Row],[Industry]], Mean_PB_M, 2, FALSE))/(VLOOKUP(Main_M[[#This Row],[Industry]], Mean_PB_M, 3, FALSE))</f>
        <v>1.5191978854769866E-4</v>
      </c>
      <c r="Q27" s="1">
        <f>(Main_M[[#This Row],[ROE]]-VLOOKUP(Main_M[[#This Row],[Industry]], Mean_ROE_M, 2, FALSE))/(VLOOKUP(Main_M[[#This Row],[Industry]], Mean_ROE_M, 3, FALSE))</f>
        <v>0.20996396095884823</v>
      </c>
      <c r="R27" s="1">
        <f>(Main_M[[#This Row],[ROA]]-VLOOKUP(Main_M[[#This Row],[Industry]], Mean_ROA_M, 2, FALSE))/(VLOOKUP(Main_M[[#This Row],[Industry]], Mean_ROA_M, 3, FALSE))</f>
        <v>-0.50663678949601521</v>
      </c>
      <c r="S27" s="1">
        <f>(Main_M[[#This Row],[A/E]]-VLOOKUP(Main_M[[#This Row],[Industry]], Mean_AE_M, 2, FALSE))/(VLOOKUP(Main_M[[#This Row],[Industry]], Mean_AE_M, 3, FALSE))</f>
        <v>3.7071974521518296</v>
      </c>
      <c r="T27" s="1">
        <f>(Main_M[[#This Row],[P/E]]-VLOOKUP(Main_M[[#This Row],[Industry]], Mean_PE_M, 2, FALSE))/(VLOOKUP(Main_M[[#This Row],[Industry]], Mean_PE_M, 3, FALSE))</f>
        <v>-3.2324281131867277E-2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189</v>
      </c>
      <c r="B28" t="s">
        <v>330</v>
      </c>
      <c r="C28" s="2">
        <v>9678</v>
      </c>
      <c r="D28">
        <f>RTD("tos.rtd", , "LAST", Main_M[[#This Row],[Symbol]])</f>
        <v>124.92</v>
      </c>
      <c r="E28">
        <v>-1.07</v>
      </c>
      <c r="F28">
        <v>96.74</v>
      </c>
      <c r="G28">
        <v>8</v>
      </c>
      <c r="H28" s="1">
        <f>IF(ISNUMBER(Main_M[[#This Row],[Free CF]]),IF(Main_M[[#This Row],[Free CF]]&lt;&gt;0,Main_M[[#This Row],[Current Price]]/Main_M[[#This Row],[Free CF]],""),"")</f>
        <v>-116.74766355140187</v>
      </c>
      <c r="I28" s="1">
        <f>IF(ISNUMBER(Main_M[[#This Row],[BVPS]]),IF(Main_M[[#This Row],[BVPS]]&lt;&gt;0,Main_M[[#This Row],[Current Price]]/Main_M[[#This Row],[BVPS]],""),"")</f>
        <v>1.291296258011164</v>
      </c>
      <c r="J28">
        <v>8.48</v>
      </c>
      <c r="K28">
        <v>2.73</v>
      </c>
      <c r="L28">
        <v>3.58</v>
      </c>
      <c r="M28" s="1">
        <f>IF(ISNUMBER(Main_M[[#This Row],[EPS]]),IF(Main_M[[#This Row],[EPS]]&lt;&gt;0,Main_M[[#This Row],[Current Price]]/Main_M[[#This Row],[EPS]],""),"")</f>
        <v>15.615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-8.986765423039822</v>
      </c>
      <c r="P28" s="1">
        <f>(Main_M[[#This Row],[P/B]]-VLOOKUP(Main_M[[#This Row],[Industry]], Mean_PB_M, 2, FALSE))/(VLOOKUP(Main_M[[#This Row],[Industry]], Mean_PB_M, 3, FALSE))</f>
        <v>-1.0205483342387967</v>
      </c>
      <c r="Q28" s="1">
        <f>(Main_M[[#This Row],[ROE]]-VLOOKUP(Main_M[[#This Row],[Industry]], Mean_ROE_M, 2, FALSE))/(VLOOKUP(Main_M[[#This Row],[Industry]], Mean_ROE_M, 3, FALSE))</f>
        <v>-6.0542799684790476E-2</v>
      </c>
      <c r="R28" s="1">
        <f>(Main_M[[#This Row],[ROA]]-VLOOKUP(Main_M[[#This Row],[Industry]], Mean_ROA_M, 2, FALSE))/(VLOOKUP(Main_M[[#This Row],[Industry]], Mean_ROA_M, 3, FALSE))</f>
        <v>-0.74728058327308067</v>
      </c>
      <c r="S28" s="1">
        <f>(Main_M[[#This Row],[A/E]]-VLOOKUP(Main_M[[#This Row],[Industry]], Mean_AE_M, 2, FALSE))/(VLOOKUP(Main_M[[#This Row],[Industry]], Mean_AE_M, 3, FALSE))</f>
        <v>1.8757135823271986</v>
      </c>
      <c r="T28" s="1">
        <f>(Main_M[[#This Row],[P/E]]-VLOOKUP(Main_M[[#This Row],[Industry]], Mean_PE_M, 2, FALSE))/(VLOOKUP(Main_M[[#This Row],[Industry]], Mean_PE_M, 3, FALSE))</f>
        <v>-0.7401671220099123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105</v>
      </c>
      <c r="B29" t="s">
        <v>231</v>
      </c>
      <c r="C29" s="2">
        <v>2387</v>
      </c>
      <c r="D29">
        <f>RTD("tos.rtd", , "LAST", Main_M[[#This Row],[Symbol]])</f>
        <v>56.81</v>
      </c>
      <c r="E29">
        <v>6.94</v>
      </c>
      <c r="F29">
        <v>40.85</v>
      </c>
      <c r="G29">
        <v>3.52</v>
      </c>
      <c r="H29" s="1">
        <f>IF(ISNUMBER(Main_M[[#This Row],[Free CF]]),IF(Main_M[[#This Row],[Free CF]]&lt;&gt;0,Main_M[[#This Row],[Current Price]]/Main_M[[#This Row],[Free CF]],""),"")</f>
        <v>8.1858789625360231</v>
      </c>
      <c r="I29" s="1">
        <f>IF(ISNUMBER(Main_M[[#This Row],[BVPS]]),IF(Main_M[[#This Row],[BVPS]]&lt;&gt;0,Main_M[[#This Row],[Current Price]]/Main_M[[#This Row],[BVPS]],""),"")</f>
        <v>1.3906976744186046</v>
      </c>
      <c r="J29">
        <v>8.65</v>
      </c>
      <c r="K29">
        <v>4.87</v>
      </c>
      <c r="L29">
        <v>2.06</v>
      </c>
      <c r="M29" s="1">
        <f>IF(ISNUMBER(Main_M[[#This Row],[EPS]]),IF(Main_M[[#This Row],[EPS]]&lt;&gt;0,Main_M[[#This Row],[Current Price]]/Main_M[[#This Row],[EPS]],""),"")</f>
        <v>16.139204545454547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-0.16687604625150659</v>
      </c>
      <c r="P29" s="1">
        <f>(Main_M[[#This Row],[P/B]]-VLOOKUP(Main_M[[#This Row],[Industry]], Mean_PB_M, 2, FALSE))/(VLOOKUP(Main_M[[#This Row],[Industry]], Mean_PB_M, 3, FALSE))</f>
        <v>-0.86310787209306983</v>
      </c>
      <c r="Q29" s="1">
        <f>(Main_M[[#This Row],[ROE]]-VLOOKUP(Main_M[[#This Row],[Industry]], Mean_ROE_M, 2, FALSE))/(VLOOKUP(Main_M[[#This Row],[Industry]], Mean_ROE_M, 3, FALSE))</f>
        <v>0.52588658768655416</v>
      </c>
      <c r="R29" s="1">
        <f>(Main_M[[#This Row],[ROA]]-VLOOKUP(Main_M[[#This Row],[Industry]], Mean_ROA_M, 2, FALSE))/(VLOOKUP(Main_M[[#This Row],[Industry]], Mean_ROA_M, 3, FALSE))</f>
        <v>0.56782741664373271</v>
      </c>
      <c r="S29" s="1">
        <f>(Main_M[[#This Row],[A/E]]-VLOOKUP(Main_M[[#This Row],[Industry]], Mean_AE_M, 2, FALSE))/(VLOOKUP(Main_M[[#This Row],[Industry]], Mean_AE_M, 3, FALSE))</f>
        <v>-0.56050647719363711</v>
      </c>
      <c r="T29" s="1">
        <f>(Main_M[[#This Row],[P/E]]-VLOOKUP(Main_M[[#This Row],[Industry]], Mean_PE_M, 2, FALSE))/(VLOOKUP(Main_M[[#This Row],[Industry]], Mean_PE_M, 3, FALSE))</f>
        <v>-5.2892489662022792E-2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105</v>
      </c>
      <c r="B30" t="s">
        <v>232</v>
      </c>
      <c r="C30" s="2">
        <v>2799</v>
      </c>
      <c r="D30">
        <f>RTD("tos.rtd", , "LAST", Main_M[[#This Row],[Symbol]])</f>
        <v>16.940000000000001</v>
      </c>
      <c r="E30">
        <v>4.8499999999999996</v>
      </c>
      <c r="F30">
        <v>16.52</v>
      </c>
      <c r="G30">
        <v>-0.42</v>
      </c>
      <c r="H30" s="1">
        <f>IF(ISNUMBER(Main_M[[#This Row],[Free CF]]),IF(Main_M[[#This Row],[Free CF]]&lt;&gt;0,Main_M[[#This Row],[Current Price]]/Main_M[[#This Row],[Free CF]],""),"")</f>
        <v>3.4927835051546396</v>
      </c>
      <c r="I30" s="1">
        <f>IF(ISNUMBER(Main_M[[#This Row],[BVPS]]),IF(Main_M[[#This Row],[BVPS]]&lt;&gt;0,Main_M[[#This Row],[Current Price]]/Main_M[[#This Row],[BVPS]],""),"")</f>
        <v>1.0254237288135595</v>
      </c>
      <c r="J30">
        <v>-1.87</v>
      </c>
      <c r="K30">
        <v>1.1299999999999999</v>
      </c>
      <c r="L30">
        <v>4.3600000000000003</v>
      </c>
      <c r="M30" s="1">
        <f>IF(ISNUMBER(Main_M[[#This Row],[EPS]]),IF(Main_M[[#This Row],[EPS]]&lt;&gt;0,Main_M[[#This Row],[Current Price]]/Main_M[[#This Row],[EPS]],""),"")</f>
        <v>-40.333333333333336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-0.38879359713368883</v>
      </c>
      <c r="P30" s="1">
        <f>(Main_M[[#This Row],[P/B]]-VLOOKUP(Main_M[[#This Row],[Industry]], Mean_PB_M, 2, FALSE))/(VLOOKUP(Main_M[[#This Row],[Industry]], Mean_PB_M, 3, FALSE))</f>
        <v>-1.1446954396211355</v>
      </c>
      <c r="Q30" s="1">
        <f>(Main_M[[#This Row],[ROE]]-VLOOKUP(Main_M[[#This Row],[Industry]], Mean_ROE_M, 2, FALSE))/(VLOOKUP(Main_M[[#This Row],[Industry]], Mean_ROE_M, 3, FALSE))</f>
        <v>0.36693197741276101</v>
      </c>
      <c r="R30" s="1">
        <f>(Main_M[[#This Row],[ROA]]-VLOOKUP(Main_M[[#This Row],[Industry]], Mean_ROA_M, 2, FALSE))/(VLOOKUP(Main_M[[#This Row],[Industry]], Mean_ROA_M, 3, FALSE))</f>
        <v>-0.58399606172782559</v>
      </c>
      <c r="S30" s="1">
        <f>(Main_M[[#This Row],[A/E]]-VLOOKUP(Main_M[[#This Row],[Industry]], Mean_AE_M, 2, FALSE))/(VLOOKUP(Main_M[[#This Row],[Industry]], Mean_AE_M, 3, FALSE))</f>
        <v>1.5528786007495854</v>
      </c>
      <c r="T30" s="1">
        <f>(Main_M[[#This Row],[P/E]]-VLOOKUP(Main_M[[#This Row],[Industry]], Mean_PE_M, 2, FALSE))/(VLOOKUP(Main_M[[#This Row],[Industry]], Mean_PE_M, 3, FALSE))</f>
        <v>-1.4287907605800156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105</v>
      </c>
      <c r="B31" t="s">
        <v>233</v>
      </c>
      <c r="C31" s="2">
        <v>9015</v>
      </c>
      <c r="D31">
        <f>RTD("tos.rtd", , "LAST", Main_M[[#This Row],[Symbol]])</f>
        <v>186.9</v>
      </c>
      <c r="E31">
        <v>9.1999999999999993</v>
      </c>
      <c r="F31">
        <v>63.82</v>
      </c>
      <c r="G31">
        <v>7.84</v>
      </c>
      <c r="H31" s="1">
        <f>IF(ISNUMBER(Main_M[[#This Row],[Free CF]]),IF(Main_M[[#This Row],[Free CF]]&lt;&gt;0,Main_M[[#This Row],[Current Price]]/Main_M[[#This Row],[Free CF]],""),"")</f>
        <v>20.315217391304351</v>
      </c>
      <c r="I31" s="1">
        <f>IF(ISNUMBER(Main_M[[#This Row],[BVPS]]),IF(Main_M[[#This Row],[BVPS]]&lt;&gt;0,Main_M[[#This Row],[Current Price]]/Main_M[[#This Row],[BVPS]],""),"")</f>
        <v>2.9285490441867754</v>
      </c>
      <c r="J31">
        <v>12.8</v>
      </c>
      <c r="K31">
        <v>8.3000000000000007</v>
      </c>
      <c r="L31">
        <v>1.31</v>
      </c>
      <c r="M31" s="1">
        <f>IF(ISNUMBER(Main_M[[#This Row],[EPS]]),IF(Main_M[[#This Row],[EPS]]&lt;&gt;0,Main_M[[#This Row],[Current Price]]/Main_M[[#This Row],[EPS]],""),"")</f>
        <v>23.839285714285715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0.40667143480384449</v>
      </c>
      <c r="P31" s="1">
        <f>(Main_M[[#This Row],[P/B]]-VLOOKUP(Main_M[[#This Row],[Industry]], Mean_PB_M, 2, FALSE))/(VLOOKUP(Main_M[[#This Row],[Industry]], Mean_PB_M, 3, FALSE))</f>
        <v>0.32241283542804738</v>
      </c>
      <c r="Q31" s="1">
        <f>(Main_M[[#This Row],[ROE]]-VLOOKUP(Main_M[[#This Row],[Industry]], Mean_ROE_M, 2, FALSE))/(VLOOKUP(Main_M[[#This Row],[Industry]], Mean_ROE_M, 3, FALSE))</f>
        <v>0.58859206607402947</v>
      </c>
      <c r="R31" s="1">
        <f>(Main_M[[#This Row],[ROA]]-VLOOKUP(Main_M[[#This Row],[Industry]], Mean_ROA_M, 2, FALSE))/(VLOOKUP(Main_M[[#This Row],[Industry]], Mean_ROA_M, 3, FALSE))</f>
        <v>1.6241788954711245</v>
      </c>
      <c r="S31" s="1">
        <f>(Main_M[[#This Row],[A/E]]-VLOOKUP(Main_M[[#This Row],[Industry]], Mean_AE_M, 2, FALSE))/(VLOOKUP(Main_M[[#This Row],[Industry]], Mean_AE_M, 3, FALSE))</f>
        <v>-1.2496537852186009</v>
      </c>
      <c r="T31" s="1">
        <f>(Main_M[[#This Row],[P/E]]-VLOOKUP(Main_M[[#This Row],[Industry]], Mean_PE_M, 2, FALSE))/(VLOOKUP(Main_M[[#This Row],[Industry]], Mean_PE_M, 3, FALSE))</f>
        <v>0.1347124731052429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105</v>
      </c>
      <c r="B32" t="s">
        <v>234</v>
      </c>
      <c r="C32" s="2">
        <v>5419</v>
      </c>
      <c r="D32">
        <f>RTD("tos.rtd", , "LAST", Main_M[[#This Row],[Symbol]])</f>
        <v>140.36000000000001</v>
      </c>
      <c r="E32">
        <v>3.11</v>
      </c>
      <c r="F32">
        <v>44.61</v>
      </c>
      <c r="G32">
        <v>3.72</v>
      </c>
      <c r="H32" s="1">
        <f>IF(ISNUMBER(Main_M[[#This Row],[Free CF]]),IF(Main_M[[#This Row],[Free CF]]&lt;&gt;0,Main_M[[#This Row],[Current Price]]/Main_M[[#This Row],[Free CF]],""),"")</f>
        <v>45.131832797427656</v>
      </c>
      <c r="I32" s="1">
        <f>IF(ISNUMBER(Main_M[[#This Row],[BVPS]]),IF(Main_M[[#This Row],[BVPS]]&lt;&gt;0,Main_M[[#This Row],[Current Price]]/Main_M[[#This Row],[BVPS]],""),"")</f>
        <v>3.1463797354853176</v>
      </c>
      <c r="J32">
        <v>8.83</v>
      </c>
      <c r="K32">
        <v>5.39</v>
      </c>
      <c r="L32">
        <v>1.61</v>
      </c>
      <c r="M32" s="1">
        <f>IF(ISNUMBER(Main_M[[#This Row],[EPS]]),IF(Main_M[[#This Row],[EPS]]&lt;&gt;0,Main_M[[#This Row],[Current Price]]/Main_M[[#This Row],[EPS]],""),"")</f>
        <v>37.731182795698928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1.5801490599925729</v>
      </c>
      <c r="P32" s="1">
        <f>(Main_M[[#This Row],[P/B]]-VLOOKUP(Main_M[[#This Row],[Industry]], Mean_PB_M, 2, FALSE))/(VLOOKUP(Main_M[[#This Row],[Industry]], Mean_PB_M, 3, FALSE))</f>
        <v>0.49033725279680229</v>
      </c>
      <c r="Q32" s="1">
        <f>(Main_M[[#This Row],[ROE]]-VLOOKUP(Main_M[[#This Row],[Industry]], Mean_ROE_M, 2, FALSE))/(VLOOKUP(Main_M[[#This Row],[Industry]], Mean_ROE_M, 3, FALSE))</f>
        <v>0.52860634337564949</v>
      </c>
      <c r="R32" s="1">
        <f>(Main_M[[#This Row],[ROA]]-VLOOKUP(Main_M[[#This Row],[Industry]], Mean_ROA_M, 2, FALSE))/(VLOOKUP(Main_M[[#This Row],[Industry]], Mean_ROA_M, 3, FALSE))</f>
        <v>0.72797399652427008</v>
      </c>
      <c r="S32" s="1">
        <f>(Main_M[[#This Row],[A/E]]-VLOOKUP(Main_M[[#This Row],[Industry]], Mean_AE_M, 2, FALSE))/(VLOOKUP(Main_M[[#This Row],[Industry]], Mean_AE_M, 3, FALSE))</f>
        <v>-0.97399486200861529</v>
      </c>
      <c r="T32" s="1">
        <f>(Main_M[[#This Row],[P/E]]-VLOOKUP(Main_M[[#This Row],[Industry]], Mean_PE_M, 2, FALSE))/(VLOOKUP(Main_M[[#This Row],[Industry]], Mean_PE_M, 3, FALSE))</f>
        <v>0.47317498766608851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105</v>
      </c>
      <c r="B33" t="s">
        <v>235</v>
      </c>
      <c r="C33" s="2">
        <v>7711</v>
      </c>
      <c r="D33">
        <f>RTD("tos.rtd", , "LAST", Main_M[[#This Row],[Symbol]])</f>
        <v>41.15</v>
      </c>
      <c r="E33">
        <v>-0.26</v>
      </c>
      <c r="F33">
        <v>4.72</v>
      </c>
      <c r="G33">
        <v>0.59</v>
      </c>
      <c r="H33" s="1">
        <f>IF(ISNUMBER(Main_M[[#This Row],[Free CF]]),IF(Main_M[[#This Row],[Free CF]]&lt;&gt;0,Main_M[[#This Row],[Current Price]]/Main_M[[#This Row],[Free CF]],""),"")</f>
        <v>-158.26923076923075</v>
      </c>
      <c r="I33" s="1">
        <f>IF(ISNUMBER(Main_M[[#This Row],[BVPS]]),IF(Main_M[[#This Row],[BVPS]]&lt;&gt;0,Main_M[[#This Row],[Current Price]]/Main_M[[#This Row],[BVPS]],""),"")</f>
        <v>8.7182203389830502</v>
      </c>
      <c r="J33">
        <v>11.05</v>
      </c>
      <c r="K33">
        <v>2.48</v>
      </c>
      <c r="L33">
        <v>9.07</v>
      </c>
      <c r="M33" s="1">
        <f>IF(ISNUMBER(Main_M[[#This Row],[EPS]]),IF(Main_M[[#This Row],[EPS]]&lt;&gt;0,Main_M[[#This Row],[Current Price]]/Main_M[[#This Row],[EPS]],""),"")</f>
        <v>69.745762711864401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-8.0378666576612474</v>
      </c>
      <c r="P33" s="1">
        <f>(Main_M[[#This Row],[P/B]]-VLOOKUP(Main_M[[#This Row],[Industry]], Mean_PB_M, 2, FALSE))/(VLOOKUP(Main_M[[#This Row],[Industry]], Mean_PB_M, 3, FALSE))</f>
        <v>4.785636879476133</v>
      </c>
      <c r="Q33" s="1">
        <f>(Main_M[[#This Row],[ROE]]-VLOOKUP(Main_M[[#This Row],[Industry]], Mean_ROE_M, 2, FALSE))/(VLOOKUP(Main_M[[#This Row],[Industry]], Mean_ROE_M, 3, FALSE))</f>
        <v>0.56214999687449174</v>
      </c>
      <c r="R33" s="1">
        <f>(Main_M[[#This Row],[ROA]]-VLOOKUP(Main_M[[#This Row],[Industry]], Mean_ROA_M, 2, FALSE))/(VLOOKUP(Main_M[[#This Row],[Industry]], Mean_ROA_M, 3, FALSE))</f>
        <v>-0.1682309024225839</v>
      </c>
      <c r="S33" s="1">
        <f>(Main_M[[#This Row],[A/E]]-VLOOKUP(Main_M[[#This Row],[Industry]], Mean_AE_M, 2, FALSE))/(VLOOKUP(Main_M[[#This Row],[Industry]], Mean_AE_M, 3, FALSE))</f>
        <v>5.880723695146358</v>
      </c>
      <c r="T33" s="1">
        <f>(Main_M[[#This Row],[P/E]]-VLOOKUP(Main_M[[#This Row],[Industry]], Mean_PE_M, 2, FALSE))/(VLOOKUP(Main_M[[#This Row],[Industry]], Mean_PE_M, 3, FALSE))</f>
        <v>1.2531789826231401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105</v>
      </c>
      <c r="B34" t="s">
        <v>236</v>
      </c>
      <c r="C34" s="2">
        <v>2635</v>
      </c>
      <c r="D34">
        <f>RTD("tos.rtd", , "LAST", Main_M[[#This Row],[Symbol]])</f>
        <v>31.51</v>
      </c>
      <c r="E34">
        <v>1.05</v>
      </c>
      <c r="F34">
        <v>-2.2000000000000002</v>
      </c>
      <c r="G34">
        <v>0.89</v>
      </c>
      <c r="H34" s="1">
        <f>IF(ISNUMBER(Main_M[[#This Row],[Free CF]]),IF(Main_M[[#This Row],[Free CF]]&lt;&gt;0,Main_M[[#This Row],[Current Price]]/Main_M[[#This Row],[Free CF]],""),"")</f>
        <v>30.009523809523809</v>
      </c>
      <c r="I34" s="1">
        <f>IF(ISNUMBER(Main_M[[#This Row],[BVPS]]),IF(Main_M[[#This Row],[BVPS]]&lt;&gt;0,Main_M[[#This Row],[Current Price]]/Main_M[[#This Row],[BVPS]],""),"")</f>
        <v>-14.322727272727272</v>
      </c>
      <c r="J34">
        <v>-32.71</v>
      </c>
      <c r="K34">
        <v>4.21</v>
      </c>
      <c r="L34">
        <v>-8.08</v>
      </c>
      <c r="M34" s="1">
        <f>IF(ISNUMBER(Main_M[[#This Row],[EPS]]),IF(Main_M[[#This Row],[EPS]]&lt;&gt;0,Main_M[[#This Row],[Current Price]]/Main_M[[#This Row],[EPS]],""),"")</f>
        <v>35.40449438202247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0.86507607570008305</v>
      </c>
      <c r="P34" s="1">
        <f>(Main_M[[#This Row],[P/B]]-VLOOKUP(Main_M[[#This Row],[Industry]], Mean_PB_M, 2, FALSE))/(VLOOKUP(Main_M[[#This Row],[Industry]], Mean_PB_M, 3, FALSE))</f>
        <v>-12.976496088360413</v>
      </c>
      <c r="Q34" s="1">
        <f>(Main_M[[#This Row],[ROE]]-VLOOKUP(Main_M[[#This Row],[Industry]], Mean_ROE_M, 2, FALSE))/(VLOOKUP(Main_M[[#This Row],[Industry]], Mean_ROE_M, 3, FALSE))</f>
        <v>-9.9052830652236884E-2</v>
      </c>
      <c r="R34" s="1">
        <f>(Main_M[[#This Row],[ROA]]-VLOOKUP(Main_M[[#This Row],[Industry]], Mean_ROA_M, 2, FALSE))/(VLOOKUP(Main_M[[#This Row],[Industry]], Mean_ROA_M, 3, FALSE))</f>
        <v>0.36456444987228126</v>
      </c>
      <c r="S34" s="1">
        <f>(Main_M[[#This Row],[A/E]]-VLOOKUP(Main_M[[#This Row],[Industry]], Mean_AE_M, 2, FALSE))/(VLOOKUP(Main_M[[#This Row],[Industry]], Mean_AE_M, 3, FALSE))</f>
        <v>-9.8777780816911473</v>
      </c>
      <c r="T34" s="1">
        <f>(Main_M[[#This Row],[P/E]]-VLOOKUP(Main_M[[#This Row],[Industry]], Mean_PE_M, 2, FALSE))/(VLOOKUP(Main_M[[#This Row],[Industry]], Mean_PE_M, 3, FALSE))</f>
        <v>0.41648749520358264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105</v>
      </c>
      <c r="B35" t="s">
        <v>237</v>
      </c>
      <c r="C35" s="2">
        <v>5091</v>
      </c>
      <c r="D35">
        <f>RTD("tos.rtd", , "LAST", Main_M[[#This Row],[Symbol]])</f>
        <v>27.34</v>
      </c>
      <c r="E35">
        <v>-1.02</v>
      </c>
      <c r="F35">
        <v>15.83</v>
      </c>
      <c r="G35">
        <v>-0.63</v>
      </c>
      <c r="H35" s="1">
        <f>IF(ISNUMBER(Main_M[[#This Row],[Free CF]]),IF(Main_M[[#This Row],[Free CF]]&lt;&gt;0,Main_M[[#This Row],[Current Price]]/Main_M[[#This Row],[Free CF]],""),"")</f>
        <v>-26.803921568627452</v>
      </c>
      <c r="I35" s="1">
        <f>IF(ISNUMBER(Main_M[[#This Row],[BVPS]]),IF(Main_M[[#This Row],[BVPS]]&lt;&gt;0,Main_M[[#This Row],[Current Price]]/Main_M[[#This Row],[BVPS]],""),"")</f>
        <v>1.7271004421983576</v>
      </c>
      <c r="J35">
        <v>-3.52</v>
      </c>
      <c r="K35">
        <v>0.97</v>
      </c>
      <c r="L35">
        <v>3.28</v>
      </c>
      <c r="M35" s="1">
        <f>IF(ISNUMBER(Main_M[[#This Row],[EPS]]),IF(Main_M[[#This Row],[EPS]]&lt;&gt;0,Main_M[[#This Row],[Current Price]]/Main_M[[#This Row],[EPS]],""),"")</f>
        <v>-43.396825396825399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-1.8214025544475376</v>
      </c>
      <c r="P35" s="1">
        <f>(Main_M[[#This Row],[P/B]]-VLOOKUP(Main_M[[#This Row],[Industry]], Mean_PB_M, 2, FALSE))/(VLOOKUP(Main_M[[#This Row],[Industry]], Mean_PB_M, 3, FALSE))</f>
        <v>-0.60377692821229978</v>
      </c>
      <c r="Q35" s="1">
        <f>(Main_M[[#This Row],[ROE]]-VLOOKUP(Main_M[[#This Row],[Industry]], Mean_ROE_M, 2, FALSE))/(VLOOKUP(Main_M[[#This Row],[Industry]], Mean_ROE_M, 3, FALSE))</f>
        <v>0.34200088359605396</v>
      </c>
      <c r="R35" s="1">
        <f>(Main_M[[#This Row],[ROA]]-VLOOKUP(Main_M[[#This Row],[Industry]], Mean_ROA_M, 2, FALSE))/(VLOOKUP(Main_M[[#This Row],[Industry]], Mean_ROA_M, 3, FALSE))</f>
        <v>-0.63327193246029867</v>
      </c>
      <c r="S35" s="1">
        <f>(Main_M[[#This Row],[A/E]]-VLOOKUP(Main_M[[#This Row],[Industry]], Mean_AE_M, 2, FALSE))/(VLOOKUP(Main_M[[#This Row],[Industry]], Mean_AE_M, 3, FALSE))</f>
        <v>0.56050647719363711</v>
      </c>
      <c r="T35" s="1">
        <f>(Main_M[[#This Row],[P/E]]-VLOOKUP(Main_M[[#This Row],[Industry]], Mean_PE_M, 2, FALSE))/(VLOOKUP(Main_M[[#This Row],[Industry]], Mean_PE_M, 3, FALSE))</f>
        <v>-1.5034297548851214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105</v>
      </c>
      <c r="B36" t="s">
        <v>238</v>
      </c>
      <c r="C36" s="2">
        <v>3722</v>
      </c>
      <c r="D36">
        <f>RTD("tos.rtd", , "LAST", Main_M[[#This Row],[Symbol]])</f>
        <v>13.95</v>
      </c>
      <c r="E36">
        <v>-1.72</v>
      </c>
      <c r="F36">
        <v>2.88</v>
      </c>
      <c r="G36">
        <v>-1.1000000000000001</v>
      </c>
      <c r="H36" s="1">
        <f>IF(ISNUMBER(Main_M[[#This Row],[Free CF]]),IF(Main_M[[#This Row],[Free CF]]&lt;&gt;0,Main_M[[#This Row],[Current Price]]/Main_M[[#This Row],[Free CF]],""),"")</f>
        <v>-8.1104651162790695</v>
      </c>
      <c r="I36" s="1">
        <f>IF(ISNUMBER(Main_M[[#This Row],[BVPS]]),IF(Main_M[[#This Row],[BVPS]]&lt;&gt;0,Main_M[[#This Row],[Current Price]]/Main_M[[#This Row],[BVPS]],""),"")</f>
        <v>4.84375</v>
      </c>
      <c r="J36">
        <v>-31.04</v>
      </c>
      <c r="K36">
        <v>-3.14</v>
      </c>
      <c r="L36">
        <v>3.4</v>
      </c>
      <c r="M36" s="1">
        <f>IF(ISNUMBER(Main_M[[#This Row],[EPS]]),IF(Main_M[[#This Row],[EPS]]&lt;&gt;0,Main_M[[#This Row],[Current Price]]/Main_M[[#This Row],[EPS]],""),"")</f>
        <v>-12.68181818181818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-0.93746441359783639</v>
      </c>
      <c r="P36" s="1">
        <f>(Main_M[[#This Row],[P/B]]-VLOOKUP(Main_M[[#This Row],[Industry]], Mean_PB_M, 2, FALSE))/(VLOOKUP(Main_M[[#This Row],[Industry]], Mean_PB_M, 3, FALSE))</f>
        <v>1.7988301517016547</v>
      </c>
      <c r="Q36" s="1">
        <f>(Main_M[[#This Row],[ROE]]-VLOOKUP(Main_M[[#This Row],[Industry]], Mean_ROE_M, 2, FALSE))/(VLOOKUP(Main_M[[#This Row],[Industry]], Mean_ROE_M, 3, FALSE))</f>
        <v>-7.3819541758963617E-2</v>
      </c>
      <c r="R36" s="1">
        <f>(Main_M[[#This Row],[ROA]]-VLOOKUP(Main_M[[#This Row],[Industry]], Mean_ROA_M, 2, FALSE))/(VLOOKUP(Main_M[[#This Row],[Industry]], Mean_ROA_M, 3, FALSE))</f>
        <v>-1.8990458619007007</v>
      </c>
      <c r="S36" s="1">
        <f>(Main_M[[#This Row],[A/E]]-VLOOKUP(Main_M[[#This Row],[Industry]], Mean_AE_M, 2, FALSE))/(VLOOKUP(Main_M[[#This Row],[Industry]], Mean_AE_M, 3, FALSE))</f>
        <v>0.67077004647763139</v>
      </c>
      <c r="T36" s="1">
        <f>(Main_M[[#This Row],[P/E]]-VLOOKUP(Main_M[[#This Row],[Industry]], Mean_PE_M, 2, FALSE))/(VLOOKUP(Main_M[[#This Row],[Industry]], Mean_PE_M, 3, FALSE))</f>
        <v>-0.75508858047092875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105</v>
      </c>
      <c r="B37" t="s">
        <v>239</v>
      </c>
      <c r="C37" s="2">
        <v>9266</v>
      </c>
      <c r="D37">
        <f>RTD("tos.rtd", , "LAST", Main_M[[#This Row],[Symbol]])</f>
        <v>184.89</v>
      </c>
      <c r="E37">
        <v>8.6</v>
      </c>
      <c r="F37">
        <v>-1.4</v>
      </c>
      <c r="G37">
        <v>2.36</v>
      </c>
      <c r="H37" s="1">
        <f>IF(ISNUMBER(Main_M[[#This Row],[Free CF]]),IF(Main_M[[#This Row],[Free CF]]&lt;&gt;0,Main_M[[#This Row],[Current Price]]/Main_M[[#This Row],[Free CF]],""),"")</f>
        <v>21.498837209302327</v>
      </c>
      <c r="I37" s="1">
        <f>IF(ISNUMBER(Main_M[[#This Row],[BVPS]]),IF(Main_M[[#This Row],[BVPS]]&lt;&gt;0,Main_M[[#This Row],[Current Price]]/Main_M[[#This Row],[BVPS]],""),"")</f>
        <v>-132.06428571428572</v>
      </c>
      <c r="J37">
        <v>-207.58</v>
      </c>
      <c r="K37">
        <v>3.37</v>
      </c>
      <c r="L37">
        <v>-24.28</v>
      </c>
      <c r="M37" s="1">
        <f>IF(ISNUMBER(Main_M[[#This Row],[EPS]]),IF(Main_M[[#This Row],[EPS]]&lt;&gt;0,Main_M[[#This Row],[Current Price]]/Main_M[[#This Row],[EPS]],""),"")</f>
        <v>78.343220338983045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0.46264004093406907</v>
      </c>
      <c r="P37" s="1">
        <f>(Main_M[[#This Row],[P/B]]-VLOOKUP(Main_M[[#This Row],[Industry]], Mean_PB_M, 2, FALSE))/(VLOOKUP(Main_M[[#This Row],[Industry]], Mean_PB_M, 3, FALSE))</f>
        <v>-103.74278105731526</v>
      </c>
      <c r="Q37" s="1">
        <f>(Main_M[[#This Row],[ROE]]-VLOOKUP(Main_M[[#This Row],[Industry]], Mean_ROE_M, 2, FALSE))/(VLOOKUP(Main_M[[#This Row],[Industry]], Mean_ROE_M, 3, FALSE))</f>
        <v>-2.7412954826083391</v>
      </c>
      <c r="R37" s="1">
        <f>(Main_M[[#This Row],[ROA]]-VLOOKUP(Main_M[[#This Row],[Industry]], Mean_ROA_M, 2, FALSE))/(VLOOKUP(Main_M[[#This Row],[Industry]], Mean_ROA_M, 3, FALSE))</f>
        <v>0.10586612852679764</v>
      </c>
      <c r="S37" s="1">
        <f>(Main_M[[#This Row],[A/E]]-VLOOKUP(Main_M[[#This Row],[Industry]], Mean_AE_M, 2, FALSE))/(VLOOKUP(Main_M[[#This Row],[Industry]], Mean_AE_M, 3, FALSE))</f>
        <v>-24.763359935030369</v>
      </c>
      <c r="T37" s="1">
        <f>(Main_M[[#This Row],[P/E]]-VLOOKUP(Main_M[[#This Row],[Industry]], Mean_PE_M, 2, FALSE))/(VLOOKUP(Main_M[[#This Row],[Industry]], Mean_PE_M, 3, FALSE))</f>
        <v>1.4626476470000342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202</v>
      </c>
      <c r="B38" t="s">
        <v>331</v>
      </c>
      <c r="C38" s="2">
        <v>4353</v>
      </c>
      <c r="D38">
        <f>RTD("tos.rtd", , "LAST", Main_M[[#This Row],[Symbol]])</f>
        <v>20.05</v>
      </c>
      <c r="E38">
        <v>0.91</v>
      </c>
      <c r="F38">
        <v>16.82</v>
      </c>
      <c r="G38">
        <v>1.28</v>
      </c>
      <c r="H38" s="1">
        <f>IF(ISNUMBER(Main_M[[#This Row],[Free CF]]),IF(Main_M[[#This Row],[Free CF]]&lt;&gt;0,Main_M[[#This Row],[Current Price]]/Main_M[[#This Row],[Free CF]],""),"")</f>
        <v>22.032967032967033</v>
      </c>
      <c r="I38" s="1">
        <f>IF(ISNUMBER(Main_M[[#This Row],[BVPS]]),IF(Main_M[[#This Row],[BVPS]]&lt;&gt;0,Main_M[[#This Row],[Current Price]]/Main_M[[#This Row],[BVPS]],""),"")</f>
        <v>1.1920332936979787</v>
      </c>
      <c r="J38">
        <v>7.73</v>
      </c>
      <c r="K38">
        <v>3.65</v>
      </c>
      <c r="L38">
        <v>1.67</v>
      </c>
      <c r="M38" s="1">
        <f>IF(ISNUMBER(Main_M[[#This Row],[EPS]]),IF(Main_M[[#This Row],[EPS]]&lt;&gt;0,Main_M[[#This Row],[Current Price]]/Main_M[[#This Row],[EPS]],""),"")</f>
        <v>15.6640625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-0.55260898851148033</v>
      </c>
      <c r="P38" s="1">
        <f>(Main_M[[#This Row],[P/B]]-VLOOKUP(Main_M[[#This Row],[Industry]], Mean_PB_M, 2, FALSE))/(VLOOKUP(Main_M[[#This Row],[Industry]], Mean_PB_M, 3, FALSE))</f>
        <v>-1.5083453050146547</v>
      </c>
      <c r="Q38" s="1">
        <f>(Main_M[[#This Row],[ROE]]-VLOOKUP(Main_M[[#This Row],[Industry]], Mean_ROE_M, 2, FALSE))/(VLOOKUP(Main_M[[#This Row],[Industry]], Mean_ROE_M, 3, FALSE))</f>
        <v>0.25585601572162542</v>
      </c>
      <c r="R38" s="1">
        <f>(Main_M[[#This Row],[ROA]]-VLOOKUP(Main_M[[#This Row],[Industry]], Mean_ROA_M, 2, FALSE))/(VLOOKUP(Main_M[[#This Row],[Industry]], Mean_ROA_M, 3, FALSE))</f>
        <v>0.2520369929900631</v>
      </c>
      <c r="S38" s="1">
        <f>(Main_M[[#This Row],[A/E]]-VLOOKUP(Main_M[[#This Row],[Industry]], Mean_AE_M, 2, FALSE))/(VLOOKUP(Main_M[[#This Row],[Industry]], Mean_AE_M, 3, FALSE))</f>
        <v>0.51313920716486394</v>
      </c>
      <c r="T38" s="1">
        <f>(Main_M[[#This Row],[P/E]]-VLOOKUP(Main_M[[#This Row],[Industry]], Mean_PE_M, 2, FALSE))/(VLOOKUP(Main_M[[#This Row],[Industry]], Mean_PE_M, 3, FALSE))</f>
        <v>0.19038068139963474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202</v>
      </c>
      <c r="B39" t="s">
        <v>332</v>
      </c>
      <c r="C39" s="2">
        <v>3173</v>
      </c>
      <c r="D39">
        <f>RTD("tos.rtd", , "LAST", Main_M[[#This Row],[Symbol]])</f>
        <v>68.61</v>
      </c>
      <c r="E39">
        <v>2.4700000000000002</v>
      </c>
      <c r="F39">
        <v>12.08</v>
      </c>
      <c r="G39">
        <v>2.42</v>
      </c>
      <c r="H39" s="1">
        <f>IF(ISNUMBER(Main_M[[#This Row],[Free CF]]),IF(Main_M[[#This Row],[Free CF]]&lt;&gt;0,Main_M[[#This Row],[Current Price]]/Main_M[[#This Row],[Free CF]],""),"")</f>
        <v>27.777327935222669</v>
      </c>
      <c r="I39" s="1">
        <f>IF(ISNUMBER(Main_M[[#This Row],[BVPS]]),IF(Main_M[[#This Row],[BVPS]]&lt;&gt;0,Main_M[[#This Row],[Current Price]]/Main_M[[#This Row],[BVPS]],""),"")</f>
        <v>5.6796357615894042</v>
      </c>
      <c r="J39">
        <v>23.12</v>
      </c>
      <c r="K39">
        <v>8.0399999999999991</v>
      </c>
      <c r="L39">
        <v>1.62</v>
      </c>
      <c r="M39" s="1">
        <f>IF(ISNUMBER(Main_M[[#This Row],[EPS]]),IF(Main_M[[#This Row],[EPS]]&lt;&gt;0,Main_M[[#This Row],[Current Price]]/Main_M[[#This Row],[EPS]],""),"")</f>
        <v>28.351239669421489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-0.37277557988056897</v>
      </c>
      <c r="P39" s="1">
        <f>(Main_M[[#This Row],[P/B]]-VLOOKUP(Main_M[[#This Row],[Industry]], Mean_PB_M, 2, FALSE))/(VLOOKUP(Main_M[[#This Row],[Industry]], Mean_PB_M, 3, FALSE))</f>
        <v>0.39287185314843975</v>
      </c>
      <c r="Q39" s="1">
        <f>(Main_M[[#This Row],[ROE]]-VLOOKUP(Main_M[[#This Row],[Industry]], Mean_ROE_M, 2, FALSE))/(VLOOKUP(Main_M[[#This Row],[Industry]], Mean_ROE_M, 3, FALSE))</f>
        <v>0.72907397223457082</v>
      </c>
      <c r="R39" s="1">
        <f>(Main_M[[#This Row],[ROA]]-VLOOKUP(Main_M[[#This Row],[Industry]], Mean_ROA_M, 2, FALSE))/(VLOOKUP(Main_M[[#This Row],[Industry]], Mean_ROA_M, 3, FALSE))</f>
        <v>1.0181197619895328</v>
      </c>
      <c r="S39" s="1">
        <f>(Main_M[[#This Row],[A/E]]-VLOOKUP(Main_M[[#This Row],[Industry]], Mean_AE_M, 2, FALSE))/(VLOOKUP(Main_M[[#This Row],[Industry]], Mean_AE_M, 3, FALSE))</f>
        <v>0.38919253876755411</v>
      </c>
      <c r="T39" s="1">
        <f>(Main_M[[#This Row],[P/E]]-VLOOKUP(Main_M[[#This Row],[Industry]], Mean_PE_M, 2, FALSE))/(VLOOKUP(Main_M[[#This Row],[Industry]], Mean_PE_M, 3, FALSE))</f>
        <v>0.48090785246808487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202</v>
      </c>
      <c r="B40" t="s">
        <v>333</v>
      </c>
      <c r="C40" s="2">
        <v>5738</v>
      </c>
      <c r="D40">
        <f>RTD("tos.rtd", , "LAST", Main_M[[#This Row],[Symbol]])</f>
        <v>45.63</v>
      </c>
      <c r="E40">
        <v>3.52</v>
      </c>
      <c r="F40">
        <v>6.18</v>
      </c>
      <c r="G40">
        <v>1.08</v>
      </c>
      <c r="H40" s="1">
        <f>IF(ISNUMBER(Main_M[[#This Row],[Free CF]]),IF(Main_M[[#This Row],[Free CF]]&lt;&gt;0,Main_M[[#This Row],[Current Price]]/Main_M[[#This Row],[Free CF]],""),"")</f>
        <v>12.963068181818182</v>
      </c>
      <c r="I40" s="1">
        <f>IF(ISNUMBER(Main_M[[#This Row],[BVPS]]),IF(Main_M[[#This Row],[BVPS]]&lt;&gt;0,Main_M[[#This Row],[Current Price]]/Main_M[[#This Row],[BVPS]],""),"")</f>
        <v>7.3834951456310689</v>
      </c>
      <c r="J40">
        <v>17.13</v>
      </c>
      <c r="K40">
        <v>3.01</v>
      </c>
      <c r="L40">
        <v>3.83</v>
      </c>
      <c r="M40" s="1">
        <f>IF(ISNUMBER(Main_M[[#This Row],[EPS]]),IF(Main_M[[#This Row],[EPS]]&lt;&gt;0,Main_M[[#This Row],[Current Price]]/Main_M[[#This Row],[EPS]],""),"")</f>
        <v>42.25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-0.83655194649993347</v>
      </c>
      <c r="P40" s="1">
        <f>(Main_M[[#This Row],[P/B]]-VLOOKUP(Main_M[[#This Row],[Industry]], Mean_PB_M, 2, FALSE))/(VLOOKUP(Main_M[[#This Row],[Industry]], Mean_PB_M, 3, FALSE))</f>
        <v>1.1147287286660483</v>
      </c>
      <c r="Q40" s="1">
        <f>(Main_M[[#This Row],[ROE]]-VLOOKUP(Main_M[[#This Row],[Industry]], Mean_ROE_M, 2, FALSE))/(VLOOKUP(Main_M[[#This Row],[Industry]], Mean_ROE_M, 3, FALSE))</f>
        <v>0.54489102489782337</v>
      </c>
      <c r="R40" s="1">
        <f>(Main_M[[#This Row],[ROA]]-VLOOKUP(Main_M[[#This Row],[Industry]], Mean_ROA_M, 2, FALSE))/(VLOOKUP(Main_M[[#This Row],[Industry]], Mean_ROA_M, 3, FALSE))</f>
        <v>0.14035294466212211</v>
      </c>
      <c r="S40" s="1">
        <f>(Main_M[[#This Row],[A/E]]-VLOOKUP(Main_M[[#This Row],[Industry]], Mean_AE_M, 2, FALSE))/(VLOOKUP(Main_M[[#This Row],[Industry]], Mean_AE_M, 3, FALSE))</f>
        <v>5.8676352819286652</v>
      </c>
      <c r="T40" s="1">
        <f>(Main_M[[#This Row],[P/E]]-VLOOKUP(Main_M[[#This Row],[Industry]], Mean_PE_M, 2, FALSE))/(VLOOKUP(Main_M[[#This Row],[Industry]], Mean_PE_M, 3, FALSE))</f>
        <v>0.79917940068399862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202</v>
      </c>
      <c r="B41" t="s">
        <v>334</v>
      </c>
      <c r="C41" s="2">
        <v>2286</v>
      </c>
      <c r="D41">
        <f>RTD("tos.rtd", , "LAST", Main_M[[#This Row],[Symbol]])</f>
        <v>32.39</v>
      </c>
      <c r="E41">
        <v>0.83</v>
      </c>
      <c r="F41">
        <v>12.49</v>
      </c>
      <c r="G41">
        <v>0.69</v>
      </c>
      <c r="H41" s="1">
        <f>IF(ISNUMBER(Main_M[[#This Row],[Free CF]]),IF(Main_M[[#This Row],[Free CF]]&lt;&gt;0,Main_M[[#This Row],[Current Price]]/Main_M[[#This Row],[Free CF]],""),"")</f>
        <v>39.024096385542173</v>
      </c>
      <c r="I41" s="1">
        <f>IF(ISNUMBER(Main_M[[#This Row],[BVPS]]),IF(Main_M[[#This Row],[BVPS]]&lt;&gt;0,Main_M[[#This Row],[Current Price]]/Main_M[[#This Row],[BVPS]],""),"")</f>
        <v>2.5932746196957566</v>
      </c>
      <c r="J41">
        <v>5.74</v>
      </c>
      <c r="K41">
        <v>2.5499999999999998</v>
      </c>
      <c r="L41">
        <v>1.2</v>
      </c>
      <c r="M41" s="1">
        <f>IF(ISNUMBER(Main_M[[#This Row],[EPS]]),IF(Main_M[[#This Row],[EPS]]&lt;&gt;0,Main_M[[#This Row],[Current Price]]/Main_M[[#This Row],[EPS]],""),"")</f>
        <v>46.94202898550725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-2.0683373120134251E-2</v>
      </c>
      <c r="P41" s="1">
        <f>(Main_M[[#This Row],[P/B]]-VLOOKUP(Main_M[[#This Row],[Industry]], Mean_PB_M, 2, FALSE))/(VLOOKUP(Main_M[[#This Row],[Industry]], Mean_PB_M, 3, FALSE))</f>
        <v>-0.91469556202261637</v>
      </c>
      <c r="Q41" s="1">
        <f>(Main_M[[#This Row],[ROE]]-VLOOKUP(Main_M[[#This Row],[Industry]], Mean_ROE_M, 2, FALSE))/(VLOOKUP(Main_M[[#This Row],[Industry]], Mean_ROE_M, 3, FALSE))</f>
        <v>0.19466668931091963</v>
      </c>
      <c r="R41" s="1">
        <f>(Main_M[[#This Row],[ROA]]-VLOOKUP(Main_M[[#This Row],[Industry]], Mean_ROA_M, 2, FALSE))/(VLOOKUP(Main_M[[#This Row],[Industry]], Mean_ROA_M, 3, FALSE))</f>
        <v>6.0080034926414581E-2</v>
      </c>
      <c r="S41" s="1">
        <f>(Main_M[[#This Row],[A/E]]-VLOOKUP(Main_M[[#This Row],[Industry]], Mean_AE_M, 2, FALSE))/(VLOOKUP(Main_M[[#This Row],[Industry]], Mean_AE_M, 3, FALSE))</f>
        <v>-0.65195947576985203</v>
      </c>
      <c r="T41" s="1">
        <f>(Main_M[[#This Row],[P/E]]-VLOOKUP(Main_M[[#This Row],[Industry]], Mean_PE_M, 2, FALSE))/(VLOOKUP(Main_M[[#This Row],[Industry]], Mean_PE_M, 3, FALSE))</f>
        <v>0.90662346720307196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202</v>
      </c>
      <c r="B42" t="s">
        <v>335</v>
      </c>
      <c r="C42" s="2">
        <v>5011</v>
      </c>
      <c r="D42">
        <f>RTD("tos.rtd", , "LAST", Main_M[[#This Row],[Symbol]])</f>
        <v>93.32</v>
      </c>
      <c r="E42">
        <v>6.09</v>
      </c>
      <c r="F42">
        <v>34.450000000000003</v>
      </c>
      <c r="G42">
        <v>2.81</v>
      </c>
      <c r="H42" s="1">
        <f>IF(ISNUMBER(Main_M[[#This Row],[Free CF]]),IF(Main_M[[#This Row],[Free CF]]&lt;&gt;0,Main_M[[#This Row],[Current Price]]/Main_M[[#This Row],[Free CF]],""),"")</f>
        <v>15.323481116584563</v>
      </c>
      <c r="I42" s="1">
        <f>IF(ISNUMBER(Main_M[[#This Row],[BVPS]]),IF(Main_M[[#This Row],[BVPS]]&lt;&gt;0,Main_M[[#This Row],[Current Price]]/Main_M[[#This Row],[BVPS]],""),"")</f>
        <v>2.7088534107402027</v>
      </c>
      <c r="J42">
        <v>7.93</v>
      </c>
      <c r="K42">
        <v>3.66</v>
      </c>
      <c r="L42">
        <v>3.7</v>
      </c>
      <c r="M42" s="1">
        <f>IF(ISNUMBER(Main_M[[#This Row],[EPS]]),IF(Main_M[[#This Row],[EPS]]&lt;&gt;0,Main_M[[#This Row],[Current Price]]/Main_M[[#This Row],[EPS]],""),"")</f>
        <v>33.209964412811388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-0.76265667580605156</v>
      </c>
      <c r="P42" s="1">
        <f>(Main_M[[#This Row],[P/B]]-VLOOKUP(Main_M[[#This Row],[Industry]], Mean_PB_M, 2, FALSE))/(VLOOKUP(Main_M[[#This Row],[Industry]], Mean_PB_M, 3, FALSE))</f>
        <v>-0.86572946437344189</v>
      </c>
      <c r="Q42" s="1">
        <f>(Main_M[[#This Row],[ROE]]-VLOOKUP(Main_M[[#This Row],[Industry]], Mean_ROE_M, 2, FALSE))/(VLOOKUP(Main_M[[#This Row],[Industry]], Mean_ROE_M, 3, FALSE))</f>
        <v>0.26200569676792745</v>
      </c>
      <c r="R42" s="1">
        <f>(Main_M[[#This Row],[ROA]]-VLOOKUP(Main_M[[#This Row],[Industry]], Mean_ROA_M, 2, FALSE))/(VLOOKUP(Main_M[[#This Row],[Industry]], Mean_ROA_M, 3, FALSE))</f>
        <v>0.25378205624518718</v>
      </c>
      <c r="S42" s="1">
        <f>(Main_M[[#This Row],[A/E]]-VLOOKUP(Main_M[[#This Row],[Industry]], Mean_AE_M, 2, FALSE))/(VLOOKUP(Main_M[[#This Row],[Industry]], Mean_AE_M, 3, FALSE))</f>
        <v>5.5453739440956591</v>
      </c>
      <c r="T42" s="1">
        <f>(Main_M[[#This Row],[P/E]]-VLOOKUP(Main_M[[#This Row],[Industry]], Mean_PE_M, 2, FALSE))/(VLOOKUP(Main_M[[#This Row],[Industry]], Mean_PE_M, 3, FALSE))</f>
        <v>0.59216913114712422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202</v>
      </c>
      <c r="B43" t="s">
        <v>336</v>
      </c>
      <c r="C43" s="2">
        <v>5877</v>
      </c>
      <c r="D43">
        <f>RTD("tos.rtd", , "LAST", Main_M[[#This Row],[Symbol]])</f>
        <v>202.49</v>
      </c>
      <c r="E43">
        <v>7.49</v>
      </c>
      <c r="F43">
        <v>31.69</v>
      </c>
      <c r="G43">
        <v>5.75</v>
      </c>
      <c r="H43" s="1">
        <f>IF(ISNUMBER(Main_M[[#This Row],[Free CF]]),IF(Main_M[[#This Row],[Free CF]]&lt;&gt;0,Main_M[[#This Row],[Current Price]]/Main_M[[#This Row],[Free CF]],""),"")</f>
        <v>27.034712950600802</v>
      </c>
      <c r="I43" s="1">
        <f>IF(ISNUMBER(Main_M[[#This Row],[BVPS]]),IF(Main_M[[#This Row],[BVPS]]&lt;&gt;0,Main_M[[#This Row],[Current Price]]/Main_M[[#This Row],[BVPS]],""),"")</f>
        <v>6.3897128431681915</v>
      </c>
      <c r="J43">
        <v>21.9</v>
      </c>
      <c r="K43">
        <v>9.2899999999999991</v>
      </c>
      <c r="L43">
        <v>1.5</v>
      </c>
      <c r="M43" s="1">
        <f>IF(ISNUMBER(Main_M[[#This Row],[EPS]]),IF(Main_M[[#This Row],[EPS]]&lt;&gt;0,Main_M[[#This Row],[Current Price]]/Main_M[[#This Row],[EPS]],""),"")</f>
        <v>35.215652173913043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-0.39602394227585341</v>
      </c>
      <c r="P43" s="1">
        <f>(Main_M[[#This Row],[P/B]]-VLOOKUP(Main_M[[#This Row],[Industry]], Mean_PB_M, 2, FALSE))/(VLOOKUP(Main_M[[#This Row],[Industry]], Mean_PB_M, 3, FALSE))</f>
        <v>0.69370302987927235</v>
      </c>
      <c r="Q43" s="1">
        <f>(Main_M[[#This Row],[ROE]]-VLOOKUP(Main_M[[#This Row],[Industry]], Mean_ROE_M, 2, FALSE))/(VLOOKUP(Main_M[[#This Row],[Industry]], Mean_ROE_M, 3, FALSE))</f>
        <v>0.69156091785212803</v>
      </c>
      <c r="R43" s="1">
        <f>(Main_M[[#This Row],[ROA]]-VLOOKUP(Main_M[[#This Row],[Industry]], Mean_ROA_M, 2, FALSE))/(VLOOKUP(Main_M[[#This Row],[Industry]], Mean_ROA_M, 3, FALSE))</f>
        <v>1.2362526688800424</v>
      </c>
      <c r="S43" s="1">
        <f>(Main_M[[#This Row],[A/E]]-VLOOKUP(Main_M[[#This Row],[Industry]], Mean_AE_M, 2, FALSE))/(VLOOKUP(Main_M[[#This Row],[Industry]], Mean_AE_M, 3, FALSE))</f>
        <v>9.1720534614009364E-2</v>
      </c>
      <c r="T43" s="1">
        <f>(Main_M[[#This Row],[P/E]]-VLOOKUP(Main_M[[#This Row],[Industry]], Mean_PE_M, 2, FALSE))/(VLOOKUP(Main_M[[#This Row],[Industry]], Mean_PE_M, 3, FALSE))</f>
        <v>0.63809792866434589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202</v>
      </c>
      <c r="B44" t="s">
        <v>337</v>
      </c>
      <c r="C44" s="2">
        <v>6114</v>
      </c>
      <c r="D44">
        <f>RTD("tos.rtd", , "LAST", Main_M[[#This Row],[Symbol]])</f>
        <v>99.19</v>
      </c>
      <c r="E44">
        <v>4.33</v>
      </c>
      <c r="F44">
        <v>39.11</v>
      </c>
      <c r="G44">
        <v>4.0599999999999996</v>
      </c>
      <c r="H44" s="1">
        <f>IF(ISNUMBER(Main_M[[#This Row],[Free CF]]),IF(Main_M[[#This Row],[Free CF]]&lt;&gt;0,Main_M[[#This Row],[Current Price]]/Main_M[[#This Row],[Free CF]],""),"")</f>
        <v>22.907621247113163</v>
      </c>
      <c r="I44" s="1">
        <f>IF(ISNUMBER(Main_M[[#This Row],[BVPS]]),IF(Main_M[[#This Row],[BVPS]]&lt;&gt;0,Main_M[[#This Row],[Current Price]]/Main_M[[#This Row],[BVPS]],""),"")</f>
        <v>2.5361800051137817</v>
      </c>
      <c r="J44">
        <v>11.01</v>
      </c>
      <c r="K44">
        <v>5.81</v>
      </c>
      <c r="L44">
        <v>1.1000000000000001</v>
      </c>
      <c r="M44" s="1">
        <f>IF(ISNUMBER(Main_M[[#This Row],[EPS]]),IF(Main_M[[#This Row],[EPS]]&lt;&gt;0,Main_M[[#This Row],[Current Price]]/Main_M[[#This Row],[EPS]],""),"")</f>
        <v>24.431034482758623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4" s="1">
        <f>(Main_M[[#This Row],[P/FCF]]-VLOOKUP(Main_M[[#This Row],[Industry]], Mean_PFCF_M, 2, FALSE))/(VLOOKUP(Main_M[[#This Row],[Industry]], Mean_PFCF_M, 3, FALSE))</f>
        <v>-0.52522699573983433</v>
      </c>
      <c r="P44" s="1">
        <f>(Main_M[[#This Row],[P/B]]-VLOOKUP(Main_M[[#This Row],[Industry]], Mean_PB_M, 2, FALSE))/(VLOOKUP(Main_M[[#This Row],[Industry]], Mean_PB_M, 3, FALSE))</f>
        <v>-0.9388842600319931</v>
      </c>
      <c r="Q44" s="1">
        <f>(Main_M[[#This Row],[ROE]]-VLOOKUP(Main_M[[#This Row],[Industry]], Mean_ROE_M, 2, FALSE))/(VLOOKUP(Main_M[[#This Row],[Industry]], Mean_ROE_M, 3, FALSE))</f>
        <v>0.35671078488097957</v>
      </c>
      <c r="R44" s="1">
        <f>(Main_M[[#This Row],[ROA]]-VLOOKUP(Main_M[[#This Row],[Industry]], Mean_ROA_M, 2, FALSE))/(VLOOKUP(Main_M[[#This Row],[Industry]], Mean_ROA_M, 3, FALSE))</f>
        <v>0.62897065609686365</v>
      </c>
      <c r="S44" s="1">
        <f>(Main_M[[#This Row],[A/E]]-VLOOKUP(Main_M[[#This Row],[Industry]], Mean_AE_M, 2, FALSE))/(VLOOKUP(Main_M[[#This Row],[Industry]], Mean_AE_M, 3, FALSE))</f>
        <v>-0.89985281256447214</v>
      </c>
      <c r="T44" s="1">
        <f>(Main_M[[#This Row],[P/E]]-VLOOKUP(Main_M[[#This Row],[Industry]], Mean_PE_M, 2, FALSE))/(VLOOKUP(Main_M[[#This Row],[Industry]], Mean_PE_M, 3, FALSE))</f>
        <v>0.39113799210591887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202</v>
      </c>
      <c r="B45" t="s">
        <v>338</v>
      </c>
      <c r="C45" s="2">
        <v>3441</v>
      </c>
      <c r="D45">
        <f>RTD("tos.rtd", , "LAST", Main_M[[#This Row],[Symbol]])</f>
        <v>26.3</v>
      </c>
      <c r="E45">
        <v>0.03</v>
      </c>
      <c r="F45">
        <v>5.07</v>
      </c>
      <c r="G45">
        <v>-0.35</v>
      </c>
      <c r="H45" s="1">
        <f>IF(ISNUMBER(Main_M[[#This Row],[Free CF]]),IF(Main_M[[#This Row],[Free CF]]&lt;&gt;0,Main_M[[#This Row],[Current Price]]/Main_M[[#This Row],[Free CF]],""),"")</f>
        <v>876.66666666666674</v>
      </c>
      <c r="I45" s="1">
        <f>IF(ISNUMBER(Main_M[[#This Row],[BVPS]]),IF(Main_M[[#This Row],[BVPS]]&lt;&gt;0,Main_M[[#This Row],[Current Price]]/Main_M[[#This Row],[BVPS]],""),"")</f>
        <v>5.1873767258382646</v>
      </c>
      <c r="J45">
        <v>-6.29</v>
      </c>
      <c r="K45">
        <v>1.28</v>
      </c>
      <c r="L45">
        <v>1.55</v>
      </c>
      <c r="M45" s="1">
        <f>IF(ISNUMBER(Main_M[[#This Row],[EPS]]),IF(Main_M[[#This Row],[EPS]]&lt;&gt;0,Main_M[[#This Row],[Current Price]]/Main_M[[#This Row],[EPS]],""),"")</f>
        <v>-75.142857142857153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26.202620000604544</v>
      </c>
      <c r="P45" s="1">
        <f>(Main_M[[#This Row],[P/B]]-VLOOKUP(Main_M[[#This Row],[Industry]], Mean_PB_M, 2, FALSE))/(VLOOKUP(Main_M[[#This Row],[Industry]], Mean_PB_M, 3, FALSE))</f>
        <v>0.18432144527984107</v>
      </c>
      <c r="Q45" s="1">
        <f>(Main_M[[#This Row],[ROE]]-VLOOKUP(Main_M[[#This Row],[Industry]], Mean_ROE_M, 2, FALSE))/(VLOOKUP(Main_M[[#This Row],[Industry]], Mean_ROE_M, 3, FALSE))</f>
        <v>-0.17523662562415085</v>
      </c>
      <c r="R45" s="1">
        <f>(Main_M[[#This Row],[ROA]]-VLOOKUP(Main_M[[#This Row],[Industry]], Mean_ROA_M, 2, FALSE))/(VLOOKUP(Main_M[[#This Row],[Industry]], Mean_ROA_M, 3, FALSE))</f>
        <v>-0.16154299847434317</v>
      </c>
      <c r="S45" s="1">
        <f>(Main_M[[#This Row],[A/E]]-VLOOKUP(Main_M[[#This Row],[Industry]], Mean_AE_M, 2, FALSE))/(VLOOKUP(Main_M[[#This Row],[Industry]], Mean_AE_M, 3, FALSE))</f>
        <v>0.21566720301131967</v>
      </c>
      <c r="T45" s="1">
        <f>(Main_M[[#This Row],[P/E]]-VLOOKUP(Main_M[[#This Row],[Industry]], Mean_PE_M, 2, FALSE))/(VLOOKUP(Main_M[[#This Row],[Industry]], Mean_PE_M, 3, FALSE))</f>
        <v>-1.8890320299531089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202</v>
      </c>
      <c r="B46" t="s">
        <v>339</v>
      </c>
      <c r="C46" s="2">
        <v>2166</v>
      </c>
      <c r="D46">
        <f>RTD("tos.rtd", , "LAST", Main_M[[#This Row],[Symbol]])</f>
        <v>60.66</v>
      </c>
      <c r="E46">
        <v>0.56999999999999995</v>
      </c>
      <c r="F46">
        <v>13.38</v>
      </c>
      <c r="G46">
        <v>-2.84</v>
      </c>
      <c r="H46" s="1">
        <f>IF(ISNUMBER(Main_M[[#This Row],[Free CF]]),IF(Main_M[[#This Row],[Free CF]]&lt;&gt;0,Main_M[[#This Row],[Current Price]]/Main_M[[#This Row],[Free CF]],""),"")</f>
        <v>106.42105263157895</v>
      </c>
      <c r="I46" s="1">
        <f>IF(ISNUMBER(Main_M[[#This Row],[BVPS]]),IF(Main_M[[#This Row],[BVPS]]&lt;&gt;0,Main_M[[#This Row],[Current Price]]/Main_M[[#This Row],[BVPS]],""),"")</f>
        <v>4.5336322869955152</v>
      </c>
      <c r="J46">
        <v>-20.89</v>
      </c>
      <c r="K46">
        <v>-11.75</v>
      </c>
      <c r="L46">
        <v>1.23</v>
      </c>
      <c r="M46" s="1">
        <f>IF(ISNUMBER(Main_M[[#This Row],[EPS]]),IF(Main_M[[#This Row],[EPS]]&lt;&gt;0,Main_M[[#This Row],[Current Price]]/Main_M[[#This Row],[EPS]],""),"")</f>
        <v>-21.359154929577464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2.0892509745483663</v>
      </c>
      <c r="P46" s="1">
        <f>(Main_M[[#This Row],[P/B]]-VLOOKUP(Main_M[[#This Row],[Industry]], Mean_PB_M, 2, FALSE))/(VLOOKUP(Main_M[[#This Row],[Industry]], Mean_PB_M, 3, FALSE))</f>
        <v>-9.2643850348392398E-2</v>
      </c>
      <c r="Q46" s="1">
        <f>(Main_M[[#This Row],[ROE]]-VLOOKUP(Main_M[[#This Row],[Industry]], Mean_ROE_M, 2, FALSE))/(VLOOKUP(Main_M[[#This Row],[Industry]], Mean_ROE_M, 3, FALSE))</f>
        <v>-0.6241633420042032</v>
      </c>
      <c r="R46" s="1">
        <f>(Main_M[[#This Row],[ROA]]-VLOOKUP(Main_M[[#This Row],[Industry]], Mean_ROA_M, 2, FALSE))/(VLOOKUP(Main_M[[#This Row],[Industry]], Mean_ROA_M, 3, FALSE))</f>
        <v>-2.4353604199010159</v>
      </c>
      <c r="S46" s="1">
        <f>(Main_M[[#This Row],[A/E]]-VLOOKUP(Main_M[[#This Row],[Industry]], Mean_AE_M, 2, FALSE))/(VLOOKUP(Main_M[[#This Row],[Industry]], Mean_AE_M, 3, FALSE))</f>
        <v>-0.57759147473146577</v>
      </c>
      <c r="T46" s="1">
        <f>(Main_M[[#This Row],[P/E]]-VLOOKUP(Main_M[[#This Row],[Industry]], Mean_PE_M, 2, FALSE))/(VLOOKUP(Main_M[[#This Row],[Industry]], Mean_PE_M, 3, FALSE))</f>
        <v>-0.65742419119187345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7" spans="1:26" x14ac:dyDescent="0.25">
      <c r="A47" t="s">
        <v>202</v>
      </c>
      <c r="B47" t="s">
        <v>340</v>
      </c>
      <c r="C47" s="2">
        <v>8223</v>
      </c>
      <c r="D47">
        <f>RTD("tos.rtd", , "LAST", Main_M[[#This Row],[Symbol]])</f>
        <v>59.07</v>
      </c>
      <c r="E47">
        <v>-0.15</v>
      </c>
      <c r="F47">
        <v>3.64</v>
      </c>
      <c r="G47">
        <v>0.03</v>
      </c>
      <c r="H47" s="1">
        <f>IF(ISNUMBER(Main_M[[#This Row],[Free CF]]),IF(Main_M[[#This Row],[Free CF]]&lt;&gt;0,Main_M[[#This Row],[Current Price]]/Main_M[[#This Row],[Free CF]],""),"")</f>
        <v>-393.8</v>
      </c>
      <c r="I47" s="1">
        <f>IF(ISNUMBER(Main_M[[#This Row],[BVPS]]),IF(Main_M[[#This Row],[BVPS]]&lt;&gt;0,Main_M[[#This Row],[Current Price]]/Main_M[[#This Row],[BVPS]],""),"")</f>
        <v>16.228021978021978</v>
      </c>
      <c r="J47">
        <v>0.89</v>
      </c>
      <c r="K47">
        <v>-0.36</v>
      </c>
      <c r="L47">
        <v>1.1599999999999999</v>
      </c>
      <c r="M47" s="1">
        <f>IF(ISNUMBER(Main_M[[#This Row],[EPS]]),IF(Main_M[[#This Row],[EPS]]&lt;&gt;0,Main_M[[#This Row],[Current Price]]/Main_M[[#This Row],[EPS]],""),"")</f>
        <v>1969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-13.570708156563361</v>
      </c>
      <c r="P47" s="1">
        <f>(Main_M[[#This Row],[P/B]]-VLOOKUP(Main_M[[#This Row],[Industry]], Mean_PB_M, 2, FALSE))/(VLOOKUP(Main_M[[#This Row],[Industry]], Mean_PB_M, 3, FALSE))</f>
        <v>4.8617999743676439</v>
      </c>
      <c r="Q47" s="1">
        <f>(Main_M[[#This Row],[ROE]]-VLOOKUP(Main_M[[#This Row],[Industry]], Mean_ROE_M, 2, FALSE))/(VLOOKUP(Main_M[[#This Row],[Industry]], Mean_ROE_M, 3, FALSE))</f>
        <v>4.553692393809404E-2</v>
      </c>
      <c r="R47" s="1">
        <f>(Main_M[[#This Row],[ROA]]-VLOOKUP(Main_M[[#This Row],[Industry]], Mean_ROA_M, 2, FALSE))/(VLOOKUP(Main_M[[#This Row],[Industry]], Mean_ROA_M, 3, FALSE))</f>
        <v>-0.44773337231469179</v>
      </c>
      <c r="S47" s="1">
        <f>(Main_M[[#This Row],[A/E]]-VLOOKUP(Main_M[[#This Row],[Industry]], Mean_AE_M, 2, FALSE))/(VLOOKUP(Main_M[[#This Row],[Industry]], Mean_AE_M, 3, FALSE))</f>
        <v>-0.75111681048770029</v>
      </c>
      <c r="T47" s="1">
        <f>(Main_M[[#This Row],[P/E]]-VLOOKUP(Main_M[[#This Row],[Industry]], Mean_PE_M, 2, FALSE))/(VLOOKUP(Main_M[[#This Row],[Industry]], Mean_PE_M, 3, FALSE))</f>
        <v>44.920359343319021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t="s">
        <v>202</v>
      </c>
      <c r="B48" t="s">
        <v>341</v>
      </c>
      <c r="C48" s="2">
        <v>5137</v>
      </c>
      <c r="D48">
        <f>RTD("tos.rtd", , "LAST", Main_M[[#This Row],[Symbol]])</f>
        <v>107.24</v>
      </c>
      <c r="E48">
        <v>8.56</v>
      </c>
      <c r="F48">
        <v>36.94</v>
      </c>
      <c r="G48">
        <v>5.5</v>
      </c>
      <c r="H48" s="1">
        <f>IF(ISNUMBER(Main_M[[#This Row],[Free CF]]),IF(Main_M[[#This Row],[Free CF]]&lt;&gt;0,Main_M[[#This Row],[Current Price]]/Main_M[[#This Row],[Free CF]],""),"")</f>
        <v>12.528037383177569</v>
      </c>
      <c r="I48" s="1">
        <f>IF(ISNUMBER(Main_M[[#This Row],[BVPS]]),IF(Main_M[[#This Row],[BVPS]]&lt;&gt;0,Main_M[[#This Row],[Current Price]]/Main_M[[#This Row],[BVPS]],""),"")</f>
        <v>2.9030860855441256</v>
      </c>
      <c r="J48">
        <v>16.21</v>
      </c>
      <c r="K48">
        <v>10.28</v>
      </c>
      <c r="L48">
        <v>1.2</v>
      </c>
      <c r="M48" s="1">
        <f>IF(ISNUMBER(Main_M[[#This Row],[EPS]]),IF(Main_M[[#This Row],[EPS]]&lt;&gt;0,Main_M[[#This Row],[Current Price]]/Main_M[[#This Row],[EPS]],""),"")</f>
        <v>19.498181818181816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48" s="1">
        <f>(Main_M[[#This Row],[P/FCF]]-VLOOKUP(Main_M[[#This Row],[Industry]], Mean_PFCF_M, 2, FALSE))/(VLOOKUP(Main_M[[#This Row],[Industry]], Mean_PFCF_M, 3, FALSE))</f>
        <v>-0.8501710544755916</v>
      </c>
      <c r="P48" s="1">
        <f>(Main_M[[#This Row],[P/B]]-VLOOKUP(Main_M[[#This Row],[Industry]], Mean_PB_M, 2, FALSE))/(VLOOKUP(Main_M[[#This Row],[Industry]], Mean_PB_M, 3, FALSE))</f>
        <v>-0.7834408711534987</v>
      </c>
      <c r="Q48" s="1">
        <f>(Main_M[[#This Row],[ROE]]-VLOOKUP(Main_M[[#This Row],[Industry]], Mean_ROE_M, 2, FALSE))/(VLOOKUP(Main_M[[#This Row],[Industry]], Mean_ROE_M, 3, FALSE))</f>
        <v>0.51660249208483378</v>
      </c>
      <c r="R48" s="1">
        <f>(Main_M[[#This Row],[ROA]]-VLOOKUP(Main_M[[#This Row],[Industry]], Mean_ROA_M, 2, FALSE))/(VLOOKUP(Main_M[[#This Row],[Industry]], Mean_ROA_M, 3, FALSE))</f>
        <v>1.409013931137326</v>
      </c>
      <c r="S48" s="1">
        <f>(Main_M[[#This Row],[A/E]]-VLOOKUP(Main_M[[#This Row],[Industry]], Mean_AE_M, 2, FALSE))/(VLOOKUP(Main_M[[#This Row],[Industry]], Mean_AE_M, 3, FALSE))</f>
        <v>-0.65195947576985203</v>
      </c>
      <c r="T48" s="1">
        <f>(Main_M[[#This Row],[P/E]]-VLOOKUP(Main_M[[#This Row],[Industry]], Mean_PE_M, 2, FALSE))/(VLOOKUP(Main_M[[#This Row],[Industry]], Mean_PE_M, 3, FALSE))</f>
        <v>0.27817923770379099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9" spans="1:26" x14ac:dyDescent="0.25">
      <c r="A49" t="s">
        <v>202</v>
      </c>
      <c r="B49" t="s">
        <v>342</v>
      </c>
      <c r="C49" s="2">
        <v>6680</v>
      </c>
      <c r="D49">
        <f>RTD("tos.rtd", , "LAST", Main_M[[#This Row],[Symbol]])</f>
        <v>55.88</v>
      </c>
      <c r="E49">
        <v>0.73</v>
      </c>
      <c r="F49">
        <v>5.14</v>
      </c>
      <c r="G49">
        <v>0.37</v>
      </c>
      <c r="H49" s="1">
        <f>IF(ISNUMBER(Main_M[[#This Row],[Free CF]]),IF(Main_M[[#This Row],[Free CF]]&lt;&gt;0,Main_M[[#This Row],[Current Price]]/Main_M[[#This Row],[Free CF]],""),"")</f>
        <v>76.547945205479451</v>
      </c>
      <c r="I49" s="1">
        <f>IF(ISNUMBER(Main_M[[#This Row],[BVPS]]),IF(Main_M[[#This Row],[BVPS]]&lt;&gt;0,Main_M[[#This Row],[Current Price]]/Main_M[[#This Row],[BVPS]],""),"")</f>
        <v>10.8715953307393</v>
      </c>
      <c r="J49">
        <v>7.39</v>
      </c>
      <c r="K49">
        <v>3.78</v>
      </c>
      <c r="L49">
        <v>1.1599999999999999</v>
      </c>
      <c r="M49" s="1">
        <f>IF(ISNUMBER(Main_M[[#This Row],[EPS]]),IF(Main_M[[#This Row],[EPS]]&lt;&gt;0,Main_M[[#This Row],[Current Price]]/Main_M[[#This Row],[EPS]],""),"")</f>
        <v>151.02702702702703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1.1540411529086134</v>
      </c>
      <c r="P49" s="1">
        <f>(Main_M[[#This Row],[P/B]]-VLOOKUP(Main_M[[#This Row],[Industry]], Mean_PB_M, 2, FALSE))/(VLOOKUP(Main_M[[#This Row],[Industry]], Mean_PB_M, 3, FALSE))</f>
        <v>2.5924968618214832</v>
      </c>
      <c r="Q49" s="1">
        <f>(Main_M[[#This Row],[ROE]]-VLOOKUP(Main_M[[#This Row],[Industry]], Mean_ROE_M, 2, FALSE))/(VLOOKUP(Main_M[[#This Row],[Industry]], Mean_ROE_M, 3, FALSE))</f>
        <v>0.2454015579429118</v>
      </c>
      <c r="R49" s="1">
        <f>(Main_M[[#This Row],[ROA]]-VLOOKUP(Main_M[[#This Row],[Industry]], Mean_ROA_M, 2, FALSE))/(VLOOKUP(Main_M[[#This Row],[Industry]], Mean_ROA_M, 3, FALSE))</f>
        <v>0.27472281530667608</v>
      </c>
      <c r="S49" s="1">
        <f>(Main_M[[#This Row],[A/E]]-VLOOKUP(Main_M[[#This Row],[Industry]], Mean_AE_M, 2, FALSE))/(VLOOKUP(Main_M[[#This Row],[Industry]], Mean_AE_M, 3, FALSE))</f>
        <v>-0.75111681048770029</v>
      </c>
      <c r="T49" s="1">
        <f>(Main_M[[#This Row],[P/E]]-VLOOKUP(Main_M[[#This Row],[Industry]], Mean_PE_M, 2, FALSE))/(VLOOKUP(Main_M[[#This Row],[Industry]], Mean_PE_M, 3, FALSE))</f>
        <v>3.2900945599336846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t="s">
        <v>202</v>
      </c>
      <c r="B50" t="s">
        <v>343</v>
      </c>
      <c r="C50" s="2">
        <v>8428</v>
      </c>
      <c r="D50">
        <f>RTD("tos.rtd", , "LAST", Main_M[[#This Row],[Symbol]])</f>
        <v>123.25</v>
      </c>
      <c r="E50">
        <v>2.39</v>
      </c>
      <c r="F50">
        <v>15.48</v>
      </c>
      <c r="G50">
        <v>-1.43</v>
      </c>
      <c r="H50" s="1">
        <f>IF(ISNUMBER(Main_M[[#This Row],[Free CF]]),IF(Main_M[[#This Row],[Free CF]]&lt;&gt;0,Main_M[[#This Row],[Current Price]]/Main_M[[#This Row],[Free CF]],""),"")</f>
        <v>51.56903765690376</v>
      </c>
      <c r="I50" s="1">
        <f>IF(ISNUMBER(Main_M[[#This Row],[BVPS]]),IF(Main_M[[#This Row],[BVPS]]&lt;&gt;0,Main_M[[#This Row],[Current Price]]/Main_M[[#This Row],[BVPS]],""),"")</f>
        <v>7.9618863049095605</v>
      </c>
      <c r="J50">
        <v>-9.49</v>
      </c>
      <c r="K50">
        <v>2.89</v>
      </c>
      <c r="L50">
        <v>1.6</v>
      </c>
      <c r="M50" s="1">
        <f>IF(ISNUMBER(Main_M[[#This Row],[EPS]]),IF(Main_M[[#This Row],[EPS]]&lt;&gt;0,Main_M[[#This Row],[Current Price]]/Main_M[[#This Row],[EPS]],""),"")</f>
        <v>-86.188811188811187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0.37204953281857345</v>
      </c>
      <c r="P50" s="1">
        <f>(Main_M[[#This Row],[P/B]]-VLOOKUP(Main_M[[#This Row],[Industry]], Mean_PB_M, 2, FALSE))/(VLOOKUP(Main_M[[#This Row],[Industry]], Mean_PB_M, 3, FALSE))</f>
        <v>1.3597698623266239</v>
      </c>
      <c r="Q50" s="1">
        <f>(Main_M[[#This Row],[ROE]]-VLOOKUP(Main_M[[#This Row],[Industry]], Mean_ROE_M, 2, FALSE))/(VLOOKUP(Main_M[[#This Row],[Industry]], Mean_ROE_M, 3, FALSE))</f>
        <v>-0.27363152236498423</v>
      </c>
      <c r="R50" s="1">
        <f>(Main_M[[#This Row],[ROA]]-VLOOKUP(Main_M[[#This Row],[Industry]], Mean_ROA_M, 2, FALSE))/(VLOOKUP(Main_M[[#This Row],[Industry]], Mean_ROA_M, 3, FALSE))</f>
        <v>0.11941218560063326</v>
      </c>
      <c r="S50" s="1">
        <f>(Main_M[[#This Row],[A/E]]-VLOOKUP(Main_M[[#This Row],[Industry]], Mean_AE_M, 2, FALSE))/(VLOOKUP(Main_M[[#This Row],[Industry]], Mean_AE_M, 3, FALSE))</f>
        <v>0.33961387140862997</v>
      </c>
      <c r="T50" s="1">
        <f>(Main_M[[#This Row],[P/E]]-VLOOKUP(Main_M[[#This Row],[Industry]], Mean_PE_M, 2, FALSE))/(VLOOKUP(Main_M[[#This Row],[Industry]], Mean_PE_M, 3, FALSE))</f>
        <v>-2.1419763798166693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202</v>
      </c>
      <c r="B51" t="s">
        <v>344</v>
      </c>
      <c r="C51" s="2">
        <v>6811</v>
      </c>
      <c r="D51">
        <f>RTD("tos.rtd", , "LAST", Main_M[[#This Row],[Symbol]])</f>
        <v>154.53</v>
      </c>
      <c r="E51">
        <v>3.44</v>
      </c>
      <c r="F51">
        <v>34.880000000000003</v>
      </c>
      <c r="G51">
        <v>4.8099999999999996</v>
      </c>
      <c r="H51" s="1">
        <f>IF(ISNUMBER(Main_M[[#This Row],[Free CF]]),IF(Main_M[[#This Row],[Free CF]]&lt;&gt;0,Main_M[[#This Row],[Current Price]]/Main_M[[#This Row],[Free CF]],""),"")</f>
        <v>44.92151162790698</v>
      </c>
      <c r="I51" s="1">
        <f>IF(ISNUMBER(Main_M[[#This Row],[BVPS]]),IF(Main_M[[#This Row],[BVPS]]&lt;&gt;0,Main_M[[#This Row],[Current Price]]/Main_M[[#This Row],[BVPS]],""),"")</f>
        <v>4.4303325688073389</v>
      </c>
      <c r="J51">
        <v>14.61</v>
      </c>
      <c r="K51">
        <v>8.65</v>
      </c>
      <c r="L51">
        <v>1.1200000000000001</v>
      </c>
      <c r="M51" s="1">
        <f>IF(ISNUMBER(Main_M[[#This Row],[EPS]]),IF(Main_M[[#This Row],[EPS]]&lt;&gt;0,Main_M[[#This Row],[Current Price]]/Main_M[[#This Row],[EPS]],""),"")</f>
        <v>32.126819126819129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0.16394156657157433</v>
      </c>
      <c r="P51" s="1">
        <f>(Main_M[[#This Row],[P/B]]-VLOOKUP(Main_M[[#This Row],[Industry]], Mean_PB_M, 2, FALSE))/(VLOOKUP(Main_M[[#This Row],[Industry]], Mean_PB_M, 3, FALSE))</f>
        <v>-0.136407797368649</v>
      </c>
      <c r="Q51" s="1">
        <f>(Main_M[[#This Row],[ROE]]-VLOOKUP(Main_M[[#This Row],[Industry]], Mean_ROE_M, 2, FALSE))/(VLOOKUP(Main_M[[#This Row],[Industry]], Mean_ROE_M, 3, FALSE))</f>
        <v>0.4674050437144171</v>
      </c>
      <c r="R51" s="1">
        <f>(Main_M[[#This Row],[ROA]]-VLOOKUP(Main_M[[#This Row],[Industry]], Mean_ROA_M, 2, FALSE))/(VLOOKUP(Main_M[[#This Row],[Industry]], Mean_ROA_M, 3, FALSE))</f>
        <v>1.1245686205521017</v>
      </c>
      <c r="S51" s="1">
        <f>(Main_M[[#This Row],[A/E]]-VLOOKUP(Main_M[[#This Row],[Industry]], Mean_AE_M, 2, FALSE))/(VLOOKUP(Main_M[[#This Row],[Industry]], Mean_AE_M, 3, FALSE))</f>
        <v>-0.850274145205548</v>
      </c>
      <c r="T51" s="1">
        <f>(Main_M[[#This Row],[P/E]]-VLOOKUP(Main_M[[#This Row],[Industry]], Mean_PE_M, 2, FALSE))/(VLOOKUP(Main_M[[#This Row],[Industry]], Mean_PE_M, 3, FALSE))</f>
        <v>0.56736588834588819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202</v>
      </c>
      <c r="B52" t="s">
        <v>345</v>
      </c>
      <c r="C52" s="2">
        <v>2831</v>
      </c>
      <c r="D52">
        <f>RTD("tos.rtd", , "LAST", Main_M[[#This Row],[Symbol]])</f>
        <v>121.82</v>
      </c>
      <c r="E52">
        <v>1.57</v>
      </c>
      <c r="F52">
        <v>5.55</v>
      </c>
      <c r="G52">
        <v>-0.08</v>
      </c>
      <c r="H52" s="1">
        <f>IF(ISNUMBER(Main_M[[#This Row],[Free CF]]),IF(Main_M[[#This Row],[Free CF]]&lt;&gt;0,Main_M[[#This Row],[Current Price]]/Main_M[[#This Row],[Free CF]],""),"")</f>
        <v>77.592356687898075</v>
      </c>
      <c r="I52" s="1">
        <f>IF(ISNUMBER(Main_M[[#This Row],[BVPS]]),IF(Main_M[[#This Row],[BVPS]]&lt;&gt;0,Main_M[[#This Row],[Current Price]]/Main_M[[#This Row],[BVPS]],""),"")</f>
        <v>21.949549549549548</v>
      </c>
      <c r="J52">
        <v>-0.78</v>
      </c>
      <c r="K52">
        <v>-0.54</v>
      </c>
      <c r="L52">
        <v>2.99</v>
      </c>
      <c r="M52" s="1">
        <f>IF(ISNUMBER(Main_M[[#This Row],[EPS]]),IF(Main_M[[#This Row],[EPS]]&lt;&gt;0,Main_M[[#This Row],[Current Price]]/Main_M[[#This Row],[EPS]],""),"")</f>
        <v>-1522.7499999999998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1.1867375799076296</v>
      </c>
      <c r="P52" s="1">
        <f>(Main_M[[#This Row],[P/B]]-VLOOKUP(Main_M[[#This Row],[Industry]], Mean_PB_M, 2, FALSE))/(VLOOKUP(Main_M[[#This Row],[Industry]], Mean_PB_M, 3, FALSE))</f>
        <v>7.2857817035252586</v>
      </c>
      <c r="Q52" s="1">
        <f>(Main_M[[#This Row],[ROE]]-VLOOKUP(Main_M[[#This Row],[Industry]], Mean_ROE_M, 2, FALSE))/(VLOOKUP(Main_M[[#This Row],[Industry]], Mean_ROE_M, 3, FALSE))</f>
        <v>-5.8129127985283788E-3</v>
      </c>
      <c r="R52" s="1">
        <f>(Main_M[[#This Row],[ROA]]-VLOOKUP(Main_M[[#This Row],[Industry]], Mean_ROA_M, 2, FALSE))/(VLOOKUP(Main_M[[#This Row],[Industry]], Mean_ROA_M, 3, FALSE))</f>
        <v>-0.47914451090692523</v>
      </c>
      <c r="S52" s="1">
        <f>(Main_M[[#This Row],[A/E]]-VLOOKUP(Main_M[[#This Row],[Industry]], Mean_AE_M, 2, FALSE))/(VLOOKUP(Main_M[[#This Row],[Industry]], Mean_AE_M, 3, FALSE))</f>
        <v>3.7853312528538541</v>
      </c>
      <c r="T52" s="1">
        <f>(Main_M[[#This Row],[P/E]]-VLOOKUP(Main_M[[#This Row],[Industry]], Mean_PE_M, 2, FALSE))/(VLOOKUP(Main_M[[#This Row],[Industry]], Mean_PE_M, 3, FALSE))</f>
        <v>-35.038187465917169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3" spans="1:26" x14ac:dyDescent="0.25">
      <c r="A53" t="s">
        <v>202</v>
      </c>
      <c r="B53" t="s">
        <v>346</v>
      </c>
      <c r="C53" s="2">
        <v>2861</v>
      </c>
      <c r="D53">
        <f>RTD("tos.rtd", , "LAST", Main_M[[#This Row],[Symbol]])</f>
        <v>55.35</v>
      </c>
      <c r="E53">
        <v>1.1200000000000001</v>
      </c>
      <c r="F53">
        <v>13.19</v>
      </c>
      <c r="G53">
        <v>0.56000000000000005</v>
      </c>
      <c r="H53" s="1">
        <f>IF(ISNUMBER(Main_M[[#This Row],[Free CF]]),IF(Main_M[[#This Row],[Free CF]]&lt;&gt;0,Main_M[[#This Row],[Current Price]]/Main_M[[#This Row],[Free CF]],""),"")</f>
        <v>49.419642857142854</v>
      </c>
      <c r="I53" s="1">
        <f>IF(ISNUMBER(Main_M[[#This Row],[BVPS]]),IF(Main_M[[#This Row],[BVPS]]&lt;&gt;0,Main_M[[#This Row],[Current Price]]/Main_M[[#This Row],[BVPS]],""),"")</f>
        <v>4.1963608794541321</v>
      </c>
      <c r="J53">
        <v>4.29</v>
      </c>
      <c r="K53">
        <v>1.36</v>
      </c>
      <c r="L53">
        <v>1.1100000000000001</v>
      </c>
      <c r="M53" s="1">
        <f>IF(ISNUMBER(Main_M[[#This Row],[EPS]]),IF(Main_M[[#This Row],[EPS]]&lt;&gt;0,Main_M[[#This Row],[Current Price]]/Main_M[[#This Row],[EPS]],""),"")</f>
        <v>98.839285714285708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0.30476041225116984</v>
      </c>
      <c r="P53" s="1">
        <f>(Main_M[[#This Row],[P/B]]-VLOOKUP(Main_M[[#This Row],[Industry]], Mean_PB_M, 2, FALSE))/(VLOOKUP(Main_M[[#This Row],[Industry]], Mean_PB_M, 3, FALSE))</f>
        <v>-0.23553221703493318</v>
      </c>
      <c r="Q53" s="1">
        <f>(Main_M[[#This Row],[ROE]]-VLOOKUP(Main_M[[#This Row],[Industry]], Mean_ROE_M, 2, FALSE))/(VLOOKUP(Main_M[[#This Row],[Industry]], Mean_ROE_M, 3, FALSE))</f>
        <v>0.15008150172522949</v>
      </c>
      <c r="R53" s="1">
        <f>(Main_M[[#This Row],[ROA]]-VLOOKUP(Main_M[[#This Row],[Industry]], Mean_ROA_M, 2, FALSE))/(VLOOKUP(Main_M[[#This Row],[Industry]], Mean_ROA_M, 3, FALSE))</f>
        <v>-0.14758249243335056</v>
      </c>
      <c r="S53" s="1">
        <f>(Main_M[[#This Row],[A/E]]-VLOOKUP(Main_M[[#This Row],[Industry]], Mean_AE_M, 2, FALSE))/(VLOOKUP(Main_M[[#This Row],[Industry]], Mean_AE_M, 3, FALSE))</f>
        <v>-0.87506347888501002</v>
      </c>
      <c r="T53" s="1">
        <f>(Main_M[[#This Row],[P/E]]-VLOOKUP(Main_M[[#This Row],[Industry]], Mean_PE_M, 2, FALSE))/(VLOOKUP(Main_M[[#This Row],[Industry]], Mean_PE_M, 3, FALSE))</f>
        <v>2.0950330702442348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202</v>
      </c>
      <c r="B54" t="s">
        <v>347</v>
      </c>
      <c r="C54" s="2">
        <v>6659</v>
      </c>
      <c r="D54">
        <f>RTD("tos.rtd", , "LAST", Main_M[[#This Row],[Symbol]])</f>
        <v>78.58</v>
      </c>
      <c r="E54">
        <v>5.07</v>
      </c>
      <c r="F54">
        <v>36.380000000000003</v>
      </c>
      <c r="G54">
        <v>0.57999999999999996</v>
      </c>
      <c r="H54" s="1">
        <f>IF(ISNUMBER(Main_M[[#This Row],[Free CF]]),IF(Main_M[[#This Row],[Free CF]]&lt;&gt;0,Main_M[[#This Row],[Current Price]]/Main_M[[#This Row],[Free CF]],""),"")</f>
        <v>15.499013806706113</v>
      </c>
      <c r="I54" s="1">
        <f>IF(ISNUMBER(Main_M[[#This Row],[BVPS]]),IF(Main_M[[#This Row],[BVPS]]&lt;&gt;0,Main_M[[#This Row],[Current Price]]/Main_M[[#This Row],[BVPS]],""),"")</f>
        <v>2.1599780098955468</v>
      </c>
      <c r="J54">
        <v>1.6</v>
      </c>
      <c r="K54">
        <v>0.96</v>
      </c>
      <c r="L54">
        <v>1.75</v>
      </c>
      <c r="M54" s="1">
        <f>IF(ISNUMBER(Main_M[[#This Row],[EPS]]),IF(Main_M[[#This Row],[EPS]]&lt;&gt;0,Main_M[[#This Row],[Current Price]]/Main_M[[#This Row],[EPS]],""),"")</f>
        <v>135.48275862068965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-0.75716143577363715</v>
      </c>
      <c r="P54" s="1">
        <f>(Main_M[[#This Row],[P/B]]-VLOOKUP(Main_M[[#This Row],[Industry]], Mean_PB_M, 2, FALSE))/(VLOOKUP(Main_M[[#This Row],[Industry]], Mean_PB_M, 3, FALSE))</f>
        <v>-1.0982659551267833</v>
      </c>
      <c r="Q54" s="1">
        <f>(Main_M[[#This Row],[ROE]]-VLOOKUP(Main_M[[#This Row],[Industry]], Mean_ROE_M, 2, FALSE))/(VLOOKUP(Main_M[[#This Row],[Industry]], Mean_ROE_M, 3, FALSE))</f>
        <v>6.7368291652466453E-2</v>
      </c>
      <c r="R54" s="1">
        <f>(Main_M[[#This Row],[ROA]]-VLOOKUP(Main_M[[#This Row],[Industry]], Mean_ROA_M, 2, FALSE))/(VLOOKUP(Main_M[[#This Row],[Industry]], Mean_ROA_M, 3, FALSE))</f>
        <v>-0.21738502263831366</v>
      </c>
      <c r="S54" s="1">
        <f>(Main_M[[#This Row],[A/E]]-VLOOKUP(Main_M[[#This Row],[Industry]], Mean_AE_M, 2, FALSE))/(VLOOKUP(Main_M[[#This Row],[Industry]], Mean_AE_M, 3, FALSE))</f>
        <v>0.71145387660056036</v>
      </c>
      <c r="T54" s="1">
        <f>(Main_M[[#This Row],[P/E]]-VLOOKUP(Main_M[[#This Row],[Industry]], Mean_PE_M, 2, FALSE))/(VLOOKUP(Main_M[[#This Row],[Industry]], Mean_PE_M, 3, FALSE))</f>
        <v>2.9341420682079145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5" spans="1:26" x14ac:dyDescent="0.25">
      <c r="A55" t="s">
        <v>202</v>
      </c>
      <c r="B55" t="s">
        <v>348</v>
      </c>
      <c r="C55" s="2">
        <v>2655</v>
      </c>
      <c r="D55">
        <f>RTD("tos.rtd", , "LAST", Main_M[[#This Row],[Symbol]])</f>
        <v>9.8650000000000002</v>
      </c>
      <c r="E55">
        <v>-0.33</v>
      </c>
      <c r="F55">
        <v>0.45</v>
      </c>
      <c r="G55">
        <v>-1.0900000000000001</v>
      </c>
      <c r="H55" s="1">
        <f>IF(ISNUMBER(Main_M[[#This Row],[Free CF]]),IF(Main_M[[#This Row],[Free CF]]&lt;&gt;0,Main_M[[#This Row],[Current Price]]/Main_M[[#This Row],[Free CF]],""),"")</f>
        <v>-29.893939393939394</v>
      </c>
      <c r="I55" s="1">
        <f>IF(ISNUMBER(Main_M[[#This Row],[BVPS]]),IF(Main_M[[#This Row],[BVPS]]&lt;&gt;0,Main_M[[#This Row],[Current Price]]/Main_M[[#This Row],[BVPS]],""),"")</f>
        <v>21.922222222222221</v>
      </c>
      <c r="J55">
        <v>-170.2</v>
      </c>
      <c r="K55">
        <v>-19.260000000000002</v>
      </c>
      <c r="L55">
        <v>2.25</v>
      </c>
      <c r="M55" s="1">
        <f>IF(ISNUMBER(Main_M[[#This Row],[EPS]]),IF(Main_M[[#This Row],[EPS]]&lt;&gt;0,Main_M[[#This Row],[Current Price]]/Main_M[[#This Row],[EPS]],""),"")</f>
        <v>-9.0504587155963296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-2.1782367548208943</v>
      </c>
      <c r="P55" s="1">
        <f>(Main_M[[#This Row],[P/B]]-VLOOKUP(Main_M[[#This Row],[Industry]], Mean_PB_M, 2, FALSE))/(VLOOKUP(Main_M[[#This Row],[Industry]], Mean_PB_M, 3, FALSE))</f>
        <v>7.2742042110951264</v>
      </c>
      <c r="Q55" s="1">
        <f>(Main_M[[#This Row],[ROE]]-VLOOKUP(Main_M[[#This Row],[Industry]], Mean_ROE_M, 2, FALSE))/(VLOOKUP(Main_M[[#This Row],[Industry]], Mean_ROE_M, 3, FALSE))</f>
        <v>-5.2152077271210251</v>
      </c>
      <c r="R55" s="1">
        <f>(Main_M[[#This Row],[ROA]]-VLOOKUP(Main_M[[#This Row],[Industry]], Mean_ROA_M, 2, FALSE))/(VLOOKUP(Main_M[[#This Row],[Industry]], Mean_ROA_M, 3, FALSE))</f>
        <v>-3.7459029244991981</v>
      </c>
      <c r="S55" s="1">
        <f>(Main_M[[#This Row],[A/E]]-VLOOKUP(Main_M[[#This Row],[Industry]], Mean_AE_M, 2, FALSE))/(VLOOKUP(Main_M[[#This Row],[Industry]], Mean_AE_M, 3, FALSE))</f>
        <v>1.9509205605736626</v>
      </c>
      <c r="T55" s="1">
        <f>(Main_M[[#This Row],[P/E]]-VLOOKUP(Main_M[[#This Row],[Industry]], Mean_PE_M, 2, FALSE))/(VLOOKUP(Main_M[[#This Row],[Industry]], Mean_PE_M, 3, FALSE))</f>
        <v>-0.37556395996504494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202</v>
      </c>
      <c r="B56" t="s">
        <v>349</v>
      </c>
      <c r="C56" s="2">
        <v>5464</v>
      </c>
      <c r="D56">
        <f>RTD("tos.rtd", , "LAST", Main_M[[#This Row],[Symbol]])</f>
        <v>56.67</v>
      </c>
      <c r="E56">
        <v>2.1800000000000002</v>
      </c>
      <c r="F56">
        <v>10.8</v>
      </c>
      <c r="G56">
        <v>1.91</v>
      </c>
      <c r="H56" s="1">
        <f>IF(ISNUMBER(Main_M[[#This Row],[Free CF]]),IF(Main_M[[#This Row],[Free CF]]&lt;&gt;0,Main_M[[#This Row],[Current Price]]/Main_M[[#This Row],[Free CF]],""),"")</f>
        <v>25.995412844036696</v>
      </c>
      <c r="I56" s="1">
        <f>IF(ISNUMBER(Main_M[[#This Row],[BVPS]]),IF(Main_M[[#This Row],[BVPS]]&lt;&gt;0,Main_M[[#This Row],[Current Price]]/Main_M[[#This Row],[BVPS]],""),"")</f>
        <v>5.2472222222222218</v>
      </c>
      <c r="J56">
        <v>19.260000000000002</v>
      </c>
      <c r="K56">
        <v>10.210000000000001</v>
      </c>
      <c r="L56">
        <v>1.19</v>
      </c>
      <c r="M56" s="1">
        <f>IF(ISNUMBER(Main_M[[#This Row],[EPS]]),IF(Main_M[[#This Row],[EPS]]&lt;&gt;0,Main_M[[#This Row],[Current Price]]/Main_M[[#This Row],[EPS]],""),"")</f>
        <v>29.670157068062828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-0.42856035214531379</v>
      </c>
      <c r="P56" s="1">
        <f>(Main_M[[#This Row],[P/B]]-VLOOKUP(Main_M[[#This Row],[Industry]], Mean_PB_M, 2, FALSE))/(VLOOKUP(Main_M[[#This Row],[Industry]], Mean_PB_M, 3, FALSE))</f>
        <v>0.20967558156487345</v>
      </c>
      <c r="Q56" s="1">
        <f>(Main_M[[#This Row],[ROE]]-VLOOKUP(Main_M[[#This Row],[Industry]], Mean_ROE_M, 2, FALSE))/(VLOOKUP(Main_M[[#This Row],[Industry]], Mean_ROE_M, 3, FALSE))</f>
        <v>0.61038512804094058</v>
      </c>
      <c r="R56" s="1">
        <f>(Main_M[[#This Row],[ROA]]-VLOOKUP(Main_M[[#This Row],[Industry]], Mean_ROA_M, 2, FALSE))/(VLOOKUP(Main_M[[#This Row],[Industry]], Mean_ROA_M, 3, FALSE))</f>
        <v>1.3967984883514577</v>
      </c>
      <c r="S56" s="1">
        <f>(Main_M[[#This Row],[A/E]]-VLOOKUP(Main_M[[#This Row],[Industry]], Mean_AE_M, 2, FALSE))/(VLOOKUP(Main_M[[#This Row],[Industry]], Mean_AE_M, 3, FALSE))</f>
        <v>-0.67674880944931404</v>
      </c>
      <c r="T56" s="1">
        <f>(Main_M[[#This Row],[P/E]]-VLOOKUP(Main_M[[#This Row],[Industry]], Mean_PE_M, 2, FALSE))/(VLOOKUP(Main_M[[#This Row],[Industry]], Mean_PE_M, 3, FALSE))</f>
        <v>0.51111010593891748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202</v>
      </c>
      <c r="B57" t="s">
        <v>350</v>
      </c>
      <c r="C57" s="2">
        <v>3943</v>
      </c>
      <c r="D57">
        <f>RTD("tos.rtd", , "LAST", Main_M[[#This Row],[Symbol]])</f>
        <v>204.43</v>
      </c>
      <c r="E57">
        <v>-0.57999999999999996</v>
      </c>
      <c r="F57">
        <v>29.65</v>
      </c>
      <c r="G57">
        <v>-4.05</v>
      </c>
      <c r="H57" s="1">
        <f>IF(ISNUMBER(Main_M[[#This Row],[Free CF]]),IF(Main_M[[#This Row],[Free CF]]&lt;&gt;0,Main_M[[#This Row],[Current Price]]/Main_M[[#This Row],[Free CF]],""),"")</f>
        <v>-352.46551724137936</v>
      </c>
      <c r="I57" s="1">
        <f>IF(ISNUMBER(Main_M[[#This Row],[BVPS]]),IF(Main_M[[#This Row],[BVPS]]&lt;&gt;0,Main_M[[#This Row],[Current Price]]/Main_M[[#This Row],[BVPS]],""),"")</f>
        <v>6.8947723440134911</v>
      </c>
      <c r="J57">
        <v>-13.3</v>
      </c>
      <c r="K57">
        <v>-7.22</v>
      </c>
      <c r="L57">
        <v>1.26</v>
      </c>
      <c r="M57" s="1">
        <f>IF(ISNUMBER(Main_M[[#This Row],[EPS]]),IF(Main_M[[#This Row],[EPS]]&lt;&gt;0,Main_M[[#This Row],[Current Price]]/Main_M[[#This Row],[EPS]],""),"")</f>
        <v>-50.476543209876546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-12.276687628438196</v>
      </c>
      <c r="P57" s="1">
        <f>(Main_M[[#This Row],[P/B]]-VLOOKUP(Main_M[[#This Row],[Industry]], Mean_PB_M, 2, FALSE))/(VLOOKUP(Main_M[[#This Row],[Industry]], Mean_PB_M, 3, FALSE))</f>
        <v>0.90767648135380774</v>
      </c>
      <c r="Q57" s="1">
        <f>(Main_M[[#This Row],[ROE]]-VLOOKUP(Main_M[[#This Row],[Industry]], Mean_ROE_M, 2, FALSE))/(VLOOKUP(Main_M[[#This Row],[Industry]], Mean_ROE_M, 3, FALSE))</f>
        <v>-0.39078294629703897</v>
      </c>
      <c r="R57" s="1">
        <f>(Main_M[[#This Row],[ROA]]-VLOOKUP(Main_M[[#This Row],[Industry]], Mean_ROA_M, 2, FALSE))/(VLOOKUP(Main_M[[#This Row],[Industry]], Mean_ROA_M, 3, FALSE))</f>
        <v>-1.6448467653298087</v>
      </c>
      <c r="S57" s="1">
        <f>(Main_M[[#This Row],[A/E]]-VLOOKUP(Main_M[[#This Row],[Industry]], Mean_AE_M, 2, FALSE))/(VLOOKUP(Main_M[[#This Row],[Industry]], Mean_AE_M, 3, FALSE))</f>
        <v>-0.50322347369307963</v>
      </c>
      <c r="T57" s="1">
        <f>(Main_M[[#This Row],[P/E]]-VLOOKUP(Main_M[[#This Row],[Industry]], Mean_PE_M, 2, FALSE))/(VLOOKUP(Main_M[[#This Row],[Industry]], Mean_PE_M, 3, FALSE))</f>
        <v>-1.324191300455996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202</v>
      </c>
      <c r="B58" t="s">
        <v>351</v>
      </c>
      <c r="C58" s="2">
        <v>3529</v>
      </c>
      <c r="D58">
        <f>RTD("tos.rtd", , "LAST", Main_M[[#This Row],[Symbol]])</f>
        <v>133.55000000000001</v>
      </c>
      <c r="E58">
        <v>-0.8</v>
      </c>
      <c r="F58">
        <v>33.270000000000003</v>
      </c>
      <c r="G58">
        <v>-5.93</v>
      </c>
      <c r="H58" s="1">
        <f>IF(ISNUMBER(Main_M[[#This Row],[Free CF]]),IF(Main_M[[#This Row],[Free CF]]&lt;&gt;0,Main_M[[#This Row],[Current Price]]/Main_M[[#This Row],[Free CF]],""),"")</f>
        <v>-166.9375</v>
      </c>
      <c r="I58" s="1">
        <f>IF(ISNUMBER(Main_M[[#This Row],[BVPS]]),IF(Main_M[[#This Row],[BVPS]]&lt;&gt;0,Main_M[[#This Row],[Current Price]]/Main_M[[#This Row],[BVPS]],""),"")</f>
        <v>4.0141268409978963</v>
      </c>
      <c r="J58">
        <v>-16.690000000000001</v>
      </c>
      <c r="K58">
        <v>-7.76</v>
      </c>
      <c r="L58">
        <v>1.1299999999999999</v>
      </c>
      <c r="M58" s="1">
        <f>IF(ISNUMBER(Main_M[[#This Row],[EPS]]),IF(Main_M[[#This Row],[EPS]]&lt;&gt;0,Main_M[[#This Row],[Current Price]]/Main_M[[#This Row],[EPS]],""),"")</f>
        <v>-22.521079258010122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-6.4685331087681917</v>
      </c>
      <c r="P58" s="1">
        <f>(Main_M[[#This Row],[P/B]]-VLOOKUP(Main_M[[#This Row],[Industry]], Mean_PB_M, 2, FALSE))/(VLOOKUP(Main_M[[#This Row],[Industry]], Mean_PB_M, 3, FALSE))</f>
        <v>-0.31273746932572749</v>
      </c>
      <c r="Q58" s="1">
        <f>(Main_M[[#This Row],[ROE]]-VLOOKUP(Main_M[[#This Row],[Industry]], Mean_ROE_M, 2, FALSE))/(VLOOKUP(Main_M[[#This Row],[Industry]], Mean_ROE_M, 3, FALSE))</f>
        <v>-0.4950200400318594</v>
      </c>
      <c r="R58" s="1">
        <f>(Main_M[[#This Row],[ROA]]-VLOOKUP(Main_M[[#This Row],[Industry]], Mean_ROA_M, 2, FALSE))/(VLOOKUP(Main_M[[#This Row],[Industry]], Mean_ROA_M, 3, FALSE))</f>
        <v>-1.7390801811065089</v>
      </c>
      <c r="S58" s="1">
        <f>(Main_M[[#This Row],[A/E]]-VLOOKUP(Main_M[[#This Row],[Industry]], Mean_AE_M, 2, FALSE))/(VLOOKUP(Main_M[[#This Row],[Industry]], Mean_AE_M, 3, FALSE))</f>
        <v>-0.82548481152608644</v>
      </c>
      <c r="T58" s="1">
        <f>(Main_M[[#This Row],[P/E]]-VLOOKUP(Main_M[[#This Row],[Industry]], Mean_PE_M, 2, FALSE))/(VLOOKUP(Main_M[[#This Row],[Industry]], Mean_PE_M, 3, FALSE))</f>
        <v>-0.68403141702527304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202</v>
      </c>
      <c r="B59" t="s">
        <v>352</v>
      </c>
      <c r="C59" s="2">
        <v>2977</v>
      </c>
      <c r="D59">
        <f>RTD("tos.rtd", , "LAST", Main_M[[#This Row],[Symbol]])</f>
        <v>39.54</v>
      </c>
      <c r="E59">
        <v>0.61</v>
      </c>
      <c r="F59">
        <v>6.29</v>
      </c>
      <c r="G59">
        <v>-2.2599999999999998</v>
      </c>
      <c r="H59" s="1">
        <f>IF(ISNUMBER(Main_M[[#This Row],[Free CF]]),IF(Main_M[[#This Row],[Free CF]]&lt;&gt;0,Main_M[[#This Row],[Current Price]]/Main_M[[#This Row],[Free CF]],""),"")</f>
        <v>64.819672131147541</v>
      </c>
      <c r="I59" s="1">
        <f>IF(ISNUMBER(Main_M[[#This Row],[BVPS]]),IF(Main_M[[#This Row],[BVPS]]&lt;&gt;0,Main_M[[#This Row],[Current Price]]/Main_M[[#This Row],[BVPS]],""),"")</f>
        <v>6.2861685214626393</v>
      </c>
      <c r="J59">
        <v>-137.68</v>
      </c>
      <c r="K59">
        <v>2.79</v>
      </c>
      <c r="L59">
        <v>2.62</v>
      </c>
      <c r="M59" s="1">
        <f>IF(ISNUMBER(Main_M[[#This Row],[EPS]]),IF(Main_M[[#This Row],[EPS]]&lt;&gt;0,Main_M[[#This Row],[Current Price]]/Main_M[[#This Row],[EPS]],""),"")</f>
        <v>-17.495575221238941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0.78687492498532052</v>
      </c>
      <c r="P59" s="1">
        <f>(Main_M[[#This Row],[P/B]]-VLOOKUP(Main_M[[#This Row],[Industry]], Mean_PB_M, 2, FALSE))/(VLOOKUP(Main_M[[#This Row],[Industry]], Mean_PB_M, 3, FALSE))</f>
        <v>0.64983545416028188</v>
      </c>
      <c r="Q59" s="1">
        <f>(Main_M[[#This Row],[ROE]]-VLOOKUP(Main_M[[#This Row],[Industry]], Mean_ROE_M, 2, FALSE))/(VLOOKUP(Main_M[[#This Row],[Industry]], Mean_ROE_M, 3, FALSE))</f>
        <v>-4.2152695889923057</v>
      </c>
      <c r="R59" s="1">
        <f>(Main_M[[#This Row],[ROA]]-VLOOKUP(Main_M[[#This Row],[Industry]], Mean_ROA_M, 2, FALSE))/(VLOOKUP(Main_M[[#This Row],[Industry]], Mean_ROA_M, 3, FALSE))</f>
        <v>0.10196155304939247</v>
      </c>
      <c r="S59" s="1">
        <f>(Main_M[[#This Row],[A/E]]-VLOOKUP(Main_M[[#This Row],[Industry]], Mean_AE_M, 2, FALSE))/(VLOOKUP(Main_M[[#This Row],[Industry]], Mean_AE_M, 3, FALSE))</f>
        <v>2.8681259067137583</v>
      </c>
      <c r="T59" s="1">
        <f>(Main_M[[#This Row],[P/E]]-VLOOKUP(Main_M[[#This Row],[Industry]], Mean_PE_M, 2, FALSE))/(VLOOKUP(Main_M[[#This Row],[Industry]], Mean_PE_M, 3, FALSE))</f>
        <v>-0.5689510132838328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202</v>
      </c>
      <c r="B60" t="s">
        <v>353</v>
      </c>
      <c r="C60" s="2">
        <v>2282</v>
      </c>
      <c r="D60">
        <f>RTD("tos.rtd", , "LAST", Main_M[[#This Row],[Symbol]])</f>
        <v>65.900000000000006</v>
      </c>
      <c r="E60">
        <v>0.72</v>
      </c>
      <c r="F60">
        <v>35.119999999999997</v>
      </c>
      <c r="G60">
        <v>4.2</v>
      </c>
      <c r="H60" s="1">
        <f>IF(ISNUMBER(Main_M[[#This Row],[Free CF]]),IF(Main_M[[#This Row],[Free CF]]&lt;&gt;0,Main_M[[#This Row],[Current Price]]/Main_M[[#This Row],[Free CF]],""),"")</f>
        <v>91.527777777777786</v>
      </c>
      <c r="I60" s="1">
        <f>IF(ISNUMBER(Main_M[[#This Row],[BVPS]]),IF(Main_M[[#This Row],[BVPS]]&lt;&gt;0,Main_M[[#This Row],[Current Price]]/Main_M[[#This Row],[BVPS]],""),"")</f>
        <v>1.8764236902050118</v>
      </c>
      <c r="J60">
        <v>13.01</v>
      </c>
      <c r="K60">
        <v>-1.47</v>
      </c>
      <c r="L60">
        <v>1.84</v>
      </c>
      <c r="M60" s="1">
        <f>IF(ISNUMBER(Main_M[[#This Row],[EPS]]),IF(Main_M[[#This Row],[EPS]]&lt;&gt;0,Main_M[[#This Row],[Current Price]]/Main_M[[#This Row],[EPS]],""),"")</f>
        <v>15.690476190476192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1.62300095505805</v>
      </c>
      <c r="P60" s="1">
        <f>(Main_M[[#This Row],[P/B]]-VLOOKUP(Main_M[[#This Row],[Industry]], Mean_PB_M, 2, FALSE))/(VLOOKUP(Main_M[[#This Row],[Industry]], Mean_PB_M, 3, FALSE))</f>
        <v>-1.2183965463999922</v>
      </c>
      <c r="Q60" s="1">
        <f>(Main_M[[#This Row],[ROE]]-VLOOKUP(Main_M[[#This Row],[Industry]], Mean_ROE_M, 2, FALSE))/(VLOOKUP(Main_M[[#This Row],[Industry]], Mean_ROE_M, 3, FALSE))</f>
        <v>0.41820759534400043</v>
      </c>
      <c r="R60" s="1">
        <f>(Main_M[[#This Row],[ROA]]-VLOOKUP(Main_M[[#This Row],[Industry]], Mean_ROA_M, 2, FALSE))/(VLOOKUP(Main_M[[#This Row],[Industry]], Mean_ROA_M, 3, FALSE))</f>
        <v>-0.64143539363346447</v>
      </c>
      <c r="S60" s="1">
        <f>(Main_M[[#This Row],[A/E]]-VLOOKUP(Main_M[[#This Row],[Industry]], Mean_AE_M, 2, FALSE))/(VLOOKUP(Main_M[[#This Row],[Industry]], Mean_AE_M, 3, FALSE))</f>
        <v>0.93455787971571902</v>
      </c>
      <c r="T60" s="1">
        <f>(Main_M[[#This Row],[P/E]]-VLOOKUP(Main_M[[#This Row],[Industry]], Mean_PE_M, 2, FALSE))/(VLOOKUP(Main_M[[#This Row],[Industry]], Mean_PE_M, 3, FALSE))</f>
        <v>0.19098553578678878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124</v>
      </c>
      <c r="B61" t="s">
        <v>240</v>
      </c>
      <c r="C61" s="2">
        <v>5772</v>
      </c>
      <c r="D61">
        <f>RTD("tos.rtd", , "LAST", Main_M[[#This Row],[Symbol]])</f>
        <v>49.16</v>
      </c>
      <c r="E61">
        <v>2.97</v>
      </c>
      <c r="F61">
        <v>13.53</v>
      </c>
      <c r="G61">
        <v>1.91</v>
      </c>
      <c r="H61" s="1">
        <f>IF(ISNUMBER(Main_M[[#This Row],[Free CF]]),IF(Main_M[[#This Row],[Free CF]]&lt;&gt;0,Main_M[[#This Row],[Current Price]]/Main_M[[#This Row],[Free CF]],""),"")</f>
        <v>16.55218855218855</v>
      </c>
      <c r="I61" s="1">
        <f>IF(ISNUMBER(Main_M[[#This Row],[BVPS]]),IF(Main_M[[#This Row],[BVPS]]&lt;&gt;0,Main_M[[#This Row],[Current Price]]/Main_M[[#This Row],[BVPS]],""),"")</f>
        <v>3.6334072431633406</v>
      </c>
      <c r="J61">
        <v>14.78</v>
      </c>
      <c r="K61">
        <v>6.14</v>
      </c>
      <c r="L61">
        <v>2.12</v>
      </c>
      <c r="M61" s="1">
        <f>IF(ISNUMBER(Main_M[[#This Row],[EPS]]),IF(Main_M[[#This Row],[EPS]]&lt;&gt;0,Main_M[[#This Row],[Current Price]]/Main_M[[#This Row],[EPS]],""),"")</f>
        <v>25.738219895287958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-0.36688259244671045</v>
      </c>
      <c r="P61" s="1">
        <f>(Main_M[[#This Row],[P/B]]-VLOOKUP(Main_M[[#This Row],[Industry]], Mean_PB_M, 2, FALSE))/(VLOOKUP(Main_M[[#This Row],[Industry]], Mean_PB_M, 3, FALSE))</f>
        <v>-0.65613858181475537</v>
      </c>
      <c r="Q61" s="1">
        <f>(Main_M[[#This Row],[ROE]]-VLOOKUP(Main_M[[#This Row],[Industry]], Mean_ROE_M, 2, FALSE))/(VLOOKUP(Main_M[[#This Row],[Industry]], Mean_ROE_M, 3, FALSE))</f>
        <v>0.19134852745491054</v>
      </c>
      <c r="R61" s="1">
        <f>(Main_M[[#This Row],[ROA]]-VLOOKUP(Main_M[[#This Row],[Industry]], Mean_ROA_M, 2, FALSE))/(VLOOKUP(Main_M[[#This Row],[Industry]], Mean_ROA_M, 3, FALSE))</f>
        <v>0.83628113537192972</v>
      </c>
      <c r="S61" s="1">
        <f>(Main_M[[#This Row],[A/E]]-VLOOKUP(Main_M[[#This Row],[Industry]], Mean_AE_M, 2, FALSE))/(VLOOKUP(Main_M[[#This Row],[Industry]], Mean_AE_M, 3, FALSE))</f>
        <v>9.3328404599168316E-2</v>
      </c>
      <c r="T61" s="1">
        <f>(Main_M[[#This Row],[P/E]]-VLOOKUP(Main_M[[#This Row],[Industry]], Mean_PE_M, 2, FALSE))/(VLOOKUP(Main_M[[#This Row],[Industry]], Mean_PE_M, 3, FALSE))</f>
        <v>0.62819784747428475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124</v>
      </c>
      <c r="B62" t="s">
        <v>241</v>
      </c>
      <c r="C62" s="2">
        <v>2194</v>
      </c>
      <c r="D62">
        <f>RTD("tos.rtd", , "LAST", Main_M[[#This Row],[Symbol]])</f>
        <v>84.67</v>
      </c>
      <c r="E62">
        <v>2.02</v>
      </c>
      <c r="F62">
        <v>9.27</v>
      </c>
      <c r="G62">
        <v>0.79</v>
      </c>
      <c r="H62" s="1">
        <f>IF(ISNUMBER(Main_M[[#This Row],[Free CF]]),IF(Main_M[[#This Row],[Free CF]]&lt;&gt;0,Main_M[[#This Row],[Current Price]]/Main_M[[#This Row],[Free CF]],""),"")</f>
        <v>41.915841584158414</v>
      </c>
      <c r="I62" s="1">
        <f>IF(ISNUMBER(Main_M[[#This Row],[BVPS]]),IF(Main_M[[#This Row],[BVPS]]&lt;&gt;0,Main_M[[#This Row],[Current Price]]/Main_M[[#This Row],[BVPS]],""),"")</f>
        <v>9.1337648327939593</v>
      </c>
      <c r="J62">
        <v>9.14</v>
      </c>
      <c r="K62">
        <v>3.8</v>
      </c>
      <c r="L62">
        <v>1.73</v>
      </c>
      <c r="M62" s="1">
        <f>IF(ISNUMBER(Main_M[[#This Row],[EPS]]),IF(Main_M[[#This Row],[EPS]]&lt;&gt;0,Main_M[[#This Row],[Current Price]]/Main_M[[#This Row],[EPS]],""),"")</f>
        <v>107.17721518987341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0.54495837505448341</v>
      </c>
      <c r="P62" s="1">
        <f>(Main_M[[#This Row],[P/B]]-VLOOKUP(Main_M[[#This Row],[Industry]], Mean_PB_M, 2, FALSE))/(VLOOKUP(Main_M[[#This Row],[Industry]], Mean_PB_M, 3, FALSE))</f>
        <v>0.44822996288116629</v>
      </c>
      <c r="Q62" s="1">
        <f>(Main_M[[#This Row],[ROE]]-VLOOKUP(Main_M[[#This Row],[Industry]], Mean_ROE_M, 2, FALSE))/(VLOOKUP(Main_M[[#This Row],[Industry]], Mean_ROE_M, 3, FALSE))</f>
        <v>0.1494635951995181</v>
      </c>
      <c r="R62" s="1">
        <f>(Main_M[[#This Row],[ROA]]-VLOOKUP(Main_M[[#This Row],[Industry]], Mean_ROA_M, 2, FALSE))/(VLOOKUP(Main_M[[#This Row],[Industry]], Mean_ROA_M, 3, FALSE))</f>
        <v>0.51532474527770722</v>
      </c>
      <c r="S62" s="1">
        <f>(Main_M[[#This Row],[A/E]]-VLOOKUP(Main_M[[#This Row],[Industry]], Mean_AE_M, 2, FALSE))/(VLOOKUP(Main_M[[#This Row],[Industry]], Mean_AE_M, 3, FALSE))</f>
        <v>-0.36740675734609468</v>
      </c>
      <c r="T62" s="1">
        <f>(Main_M[[#This Row],[P/E]]-VLOOKUP(Main_M[[#This Row],[Industry]], Mean_PE_M, 2, FALSE))/(VLOOKUP(Main_M[[#This Row],[Industry]], Mean_PE_M, 3, FALSE))</f>
        <v>1.9604312755903694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124</v>
      </c>
      <c r="B63" t="s">
        <v>242</v>
      </c>
      <c r="C63" s="2">
        <v>2959</v>
      </c>
      <c r="D63">
        <f>RTD("tos.rtd", , "LAST", Main_M[[#This Row],[Symbol]])</f>
        <v>23.99</v>
      </c>
      <c r="E63">
        <v>-0.28000000000000003</v>
      </c>
      <c r="F63">
        <v>6.5</v>
      </c>
      <c r="G63">
        <v>-2.23</v>
      </c>
      <c r="H63" s="1">
        <f>IF(ISNUMBER(Main_M[[#This Row],[Free CF]]),IF(Main_M[[#This Row],[Free CF]]&lt;&gt;0,Main_M[[#This Row],[Current Price]]/Main_M[[#This Row],[Free CF]],""),"")</f>
        <v>-85.678571428571416</v>
      </c>
      <c r="I63" s="1">
        <f>IF(ISNUMBER(Main_M[[#This Row],[BVPS]]),IF(Main_M[[#This Row],[BVPS]]&lt;&gt;0,Main_M[[#This Row],[Current Price]]/Main_M[[#This Row],[BVPS]],""),"")</f>
        <v>3.6907692307692304</v>
      </c>
      <c r="J63">
        <v>-32.07</v>
      </c>
      <c r="K63">
        <v>-18.739999999999998</v>
      </c>
      <c r="L63">
        <v>1.23</v>
      </c>
      <c r="M63" s="1">
        <f>IF(ISNUMBER(Main_M[[#This Row],[EPS]]),IF(Main_M[[#This Row],[EPS]]&lt;&gt;0,Main_M[[#This Row],[Current Price]]/Main_M[[#This Row],[EPS]],""),"")</f>
        <v>-10.757847533632287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-4.0421495175911568</v>
      </c>
      <c r="P63" s="1">
        <f>(Main_M[[#This Row],[P/B]]-VLOOKUP(Main_M[[#This Row],[Industry]], Mean_PB_M, 2, FALSE))/(VLOOKUP(Main_M[[#This Row],[Industry]], Mean_PB_M, 3, FALSE))</f>
        <v>-0.64462137157144173</v>
      </c>
      <c r="Q63" s="1">
        <f>(Main_M[[#This Row],[ROE]]-VLOOKUP(Main_M[[#This Row],[Industry]], Mean_ROE_M, 2, FALSE))/(VLOOKUP(Main_M[[#This Row],[Industry]], Mean_ROE_M, 3, FALSE))</f>
        <v>-0.15657861370912055</v>
      </c>
      <c r="R63" s="1">
        <f>(Main_M[[#This Row],[ROA]]-VLOOKUP(Main_M[[#This Row],[Industry]], Mean_ROA_M, 2, FALSE))/(VLOOKUP(Main_M[[#This Row],[Industry]], Mean_ROA_M, 3, FALSE))</f>
        <v>-2.5762808242623669</v>
      </c>
      <c r="S63" s="1">
        <f>(Main_M[[#This Row],[A/E]]-VLOOKUP(Main_M[[#This Row],[Industry]], Mean_AE_M, 2, FALSE))/(VLOOKUP(Main_M[[#This Row],[Industry]], Mean_AE_M, 3, FALSE))</f>
        <v>-0.95809286240412406</v>
      </c>
      <c r="T63" s="1">
        <f>(Main_M[[#This Row],[P/E]]-VLOOKUP(Main_M[[#This Row],[Industry]], Mean_PE_M, 2, FALSE))/(VLOOKUP(Main_M[[#This Row],[Industry]], Mean_PE_M, 3, FALSE))</f>
        <v>3.1170823163502007E-2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124</v>
      </c>
      <c r="B64" t="s">
        <v>243</v>
      </c>
      <c r="C64" s="2">
        <v>2885</v>
      </c>
      <c r="D64">
        <f>RTD("tos.rtd", , "LAST", Main_M[[#This Row],[Symbol]])</f>
        <v>31.19</v>
      </c>
      <c r="E64">
        <v>0.04</v>
      </c>
      <c r="F64">
        <v>3.24</v>
      </c>
      <c r="G64">
        <v>-0.37</v>
      </c>
      <c r="H64" s="1">
        <f>IF(ISNUMBER(Main_M[[#This Row],[Free CF]]),IF(Main_M[[#This Row],[Free CF]]&lt;&gt;0,Main_M[[#This Row],[Current Price]]/Main_M[[#This Row],[Free CF]],""),"")</f>
        <v>779.75</v>
      </c>
      <c r="I64" s="1">
        <f>IF(ISNUMBER(Main_M[[#This Row],[BVPS]]),IF(Main_M[[#This Row],[BVPS]]&lt;&gt;0,Main_M[[#This Row],[Current Price]]/Main_M[[#This Row],[BVPS]],""),"")</f>
        <v>9.6265432098765427</v>
      </c>
      <c r="J64">
        <v>-11.33</v>
      </c>
      <c r="K64">
        <v>-4.4000000000000004</v>
      </c>
      <c r="L64">
        <v>2.5099999999999998</v>
      </c>
      <c r="M64" s="1">
        <f>IF(ISNUMBER(Main_M[[#This Row],[EPS]]),IF(Main_M[[#This Row],[EPS]]&lt;&gt;0,Main_M[[#This Row],[Current Price]]/Main_M[[#This Row],[EPS]],""),"")</f>
        <v>-84.297297297297305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27.070609550668213</v>
      </c>
      <c r="P64" s="1">
        <f>(Main_M[[#This Row],[P/B]]-VLOOKUP(Main_M[[#This Row],[Industry]], Mean_PB_M, 2, FALSE))/(VLOOKUP(Main_M[[#This Row],[Industry]], Mean_PB_M, 3, FALSE))</f>
        <v>0.54717060997332334</v>
      </c>
      <c r="Q64" s="1">
        <f>(Main_M[[#This Row],[ROE]]-VLOOKUP(Main_M[[#This Row],[Industry]], Mean_ROE_M, 2, FALSE))/(VLOOKUP(Main_M[[#This Row],[Industry]], Mean_ROE_M, 3, FALSE))</f>
        <v>-2.554944386985958E-3</v>
      </c>
      <c r="R64" s="1">
        <f>(Main_M[[#This Row],[ROA]]-VLOOKUP(Main_M[[#This Row],[Industry]], Mean_ROA_M, 2, FALSE))/(VLOOKUP(Main_M[[#This Row],[Industry]], Mean_ROA_M, 3, FALSE))</f>
        <v>-0.60939422855674763</v>
      </c>
      <c r="S64" s="1">
        <f>(Main_M[[#This Row],[A/E]]-VLOOKUP(Main_M[[#This Row],[Industry]], Mean_AE_M, 2, FALSE))/(VLOOKUP(Main_M[[#This Row],[Industry]], Mean_AE_M, 3, FALSE))</f>
        <v>0.55406356654443079</v>
      </c>
      <c r="T64" s="1">
        <f>(Main_M[[#This Row],[P/E]]-VLOOKUP(Main_M[[#This Row],[Industry]], Mean_PE_M, 2, FALSE))/(VLOOKUP(Main_M[[#This Row],[Industry]], Mean_PE_M, 3, FALSE))</f>
        <v>-1.1718365679030205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124</v>
      </c>
      <c r="B65" t="s">
        <v>244</v>
      </c>
      <c r="C65" s="2">
        <v>2654</v>
      </c>
      <c r="D65">
        <f>RTD("tos.rtd", , "LAST", Main_M[[#This Row],[Symbol]])</f>
        <v>60.68</v>
      </c>
      <c r="E65">
        <v>3.89</v>
      </c>
      <c r="F65">
        <v>14.64</v>
      </c>
      <c r="G65">
        <v>2.29</v>
      </c>
      <c r="H65" s="1">
        <f>IF(ISNUMBER(Main_M[[#This Row],[Free CF]]),IF(Main_M[[#This Row],[Free CF]]&lt;&gt;0,Main_M[[#This Row],[Current Price]]/Main_M[[#This Row],[Free CF]],""),"")</f>
        <v>15.598971722365038</v>
      </c>
      <c r="I65" s="1">
        <f>IF(ISNUMBER(Main_M[[#This Row],[BVPS]]),IF(Main_M[[#This Row],[BVPS]]&lt;&gt;0,Main_M[[#This Row],[Current Price]]/Main_M[[#This Row],[BVPS]],""),"")</f>
        <v>4.1448087431693983</v>
      </c>
      <c r="J65">
        <v>16.38</v>
      </c>
      <c r="K65">
        <v>3.91</v>
      </c>
      <c r="L65">
        <v>2.81</v>
      </c>
      <c r="M65" s="1">
        <f>IF(ISNUMBER(Main_M[[#This Row],[EPS]]),IF(Main_M[[#This Row],[EPS]]&lt;&gt;0,Main_M[[#This Row],[Current Price]]/Main_M[[#This Row],[EPS]],""),"")</f>
        <v>26.497816593886462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-0.40115140046301329</v>
      </c>
      <c r="P65" s="1">
        <f>(Main_M[[#This Row],[P/B]]-VLOOKUP(Main_M[[#This Row],[Industry]], Mean_PB_M, 2, FALSE))/(VLOOKUP(Main_M[[#This Row],[Industry]], Mean_PB_M, 3, FALSE))</f>
        <v>-0.55345876125513804</v>
      </c>
      <c r="Q65" s="1">
        <f>(Main_M[[#This Row],[ROE]]-VLOOKUP(Main_M[[#This Row],[Industry]], Mean_ROE_M, 2, FALSE))/(VLOOKUP(Main_M[[#This Row],[Industry]], Mean_ROE_M, 3, FALSE))</f>
        <v>0.20323077774012827</v>
      </c>
      <c r="R65" s="1">
        <f>(Main_M[[#This Row],[ROA]]-VLOOKUP(Main_M[[#This Row],[Industry]], Mean_ROA_M, 2, FALSE))/(VLOOKUP(Main_M[[#This Row],[Industry]], Mean_ROA_M, 3, FALSE))</f>
        <v>0.53041243882914513</v>
      </c>
      <c r="S65" s="1">
        <f>(Main_M[[#This Row],[A/E]]-VLOOKUP(Main_M[[#This Row],[Industry]], Mean_AE_M, 2, FALSE))/(VLOOKUP(Main_M[[#This Row],[Industry]], Mean_AE_M, 3, FALSE))</f>
        <v>0.90847522957924876</v>
      </c>
      <c r="T65" s="1">
        <f>(Main_M[[#This Row],[P/E]]-VLOOKUP(Main_M[[#This Row],[Industry]], Mean_PE_M, 2, FALSE))/(VLOOKUP(Main_M[[#This Row],[Industry]], Mean_PE_M, 3, FALSE))</f>
        <v>0.6406238371380697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124</v>
      </c>
      <c r="B66" t="s">
        <v>245</v>
      </c>
      <c r="C66" s="2">
        <v>7729</v>
      </c>
      <c r="D66">
        <f>RTD("tos.rtd", , "LAST", Main_M[[#This Row],[Symbol]])</f>
        <v>216.7</v>
      </c>
      <c r="E66">
        <v>4.91</v>
      </c>
      <c r="F66">
        <v>12.99</v>
      </c>
      <c r="G66">
        <v>5.36</v>
      </c>
      <c r="H66" s="1">
        <f>IF(ISNUMBER(Main_M[[#This Row],[Free CF]]),IF(Main_M[[#This Row],[Free CF]]&lt;&gt;0,Main_M[[#This Row],[Current Price]]/Main_M[[#This Row],[Free CF]],""),"")</f>
        <v>44.134419551934826</v>
      </c>
      <c r="I66" s="1">
        <f>IF(ISNUMBER(Main_M[[#This Row],[BVPS]]),IF(Main_M[[#This Row],[BVPS]]&lt;&gt;0,Main_M[[#This Row],[Current Price]]/Main_M[[#This Row],[BVPS]],""),"")</f>
        <v>16.68206312548114</v>
      </c>
      <c r="J66">
        <v>49.12</v>
      </c>
      <c r="K66">
        <v>16.940000000000001</v>
      </c>
      <c r="L66">
        <v>1.22</v>
      </c>
      <c r="M66" s="1">
        <f>IF(ISNUMBER(Main_M[[#This Row],[EPS]]),IF(Main_M[[#This Row],[EPS]]&lt;&gt;0,Main_M[[#This Row],[Current Price]]/Main_M[[#This Row],[EPS]],""),"")</f>
        <v>40.429104477611936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0.62471779606785949</v>
      </c>
      <c r="P66" s="1">
        <f>(Main_M[[#This Row],[P/B]]-VLOOKUP(Main_M[[#This Row],[Industry]], Mean_PB_M, 2, FALSE))/(VLOOKUP(Main_M[[#This Row],[Industry]], Mean_PB_M, 3, FALSE))</f>
        <v>1.9637865543546071</v>
      </c>
      <c r="Q66" s="1">
        <f>(Main_M[[#This Row],[ROE]]-VLOOKUP(Main_M[[#This Row],[Industry]], Mean_ROE_M, 2, FALSE))/(VLOOKUP(Main_M[[#This Row],[Industry]], Mean_ROE_M, 3, FALSE))</f>
        <v>0.44637132420139558</v>
      </c>
      <c r="R66" s="1">
        <f>(Main_M[[#This Row],[ROA]]-VLOOKUP(Main_M[[#This Row],[Industry]], Mean_ROA_M, 2, FALSE))/(VLOOKUP(Main_M[[#This Row],[Industry]], Mean_ROA_M, 3, FALSE))</f>
        <v>2.3176183204221874</v>
      </c>
      <c r="S66" s="1">
        <f>(Main_M[[#This Row],[A/E]]-VLOOKUP(Main_M[[#This Row],[Industry]], Mean_AE_M, 2, FALSE))/(VLOOKUP(Main_M[[#This Row],[Industry]], Mean_AE_M, 3, FALSE))</f>
        <v>-0.96990658450528466</v>
      </c>
      <c r="T66" s="1">
        <f>(Main_M[[#This Row],[P/E]]-VLOOKUP(Main_M[[#This Row],[Industry]], Mean_PE_M, 2, FALSE))/(VLOOKUP(Main_M[[#This Row],[Industry]], Mean_PE_M, 3, FALSE))</f>
        <v>0.86852114049099582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124</v>
      </c>
      <c r="B67" t="s">
        <v>246</v>
      </c>
      <c r="C67" s="2">
        <v>3939</v>
      </c>
      <c r="D67">
        <f>RTD("tos.rtd", , "LAST", Main_M[[#This Row],[Symbol]])</f>
        <v>18.23</v>
      </c>
      <c r="E67">
        <v>0.01</v>
      </c>
      <c r="F67">
        <v>0.98</v>
      </c>
      <c r="G67">
        <v>-1.1100000000000001</v>
      </c>
      <c r="H67" s="1">
        <f>IF(ISNUMBER(Main_M[[#This Row],[Free CF]]),IF(Main_M[[#This Row],[Free CF]]&lt;&gt;0,Main_M[[#This Row],[Current Price]]/Main_M[[#This Row],[Free CF]],""),"")</f>
        <v>1823</v>
      </c>
      <c r="I67" s="1">
        <f>IF(ISNUMBER(Main_M[[#This Row],[BVPS]]),IF(Main_M[[#This Row],[BVPS]]&lt;&gt;0,Main_M[[#This Row],[Current Price]]/Main_M[[#This Row],[BVPS]],""),"")</f>
        <v>18.602040816326532</v>
      </c>
      <c r="J67">
        <v>-92.26</v>
      </c>
      <c r="K67">
        <v>-17.23</v>
      </c>
      <c r="L67">
        <v>3.92</v>
      </c>
      <c r="M67" s="1">
        <f>IF(ISNUMBER(Main_M[[#This Row],[EPS]]),IF(Main_M[[#This Row],[EPS]]&lt;&gt;0,Main_M[[#This Row],[Current Price]]/Main_M[[#This Row],[EPS]],""),"")</f>
        <v>-16.423423423423422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64.576172654948678</v>
      </c>
      <c r="P67" s="1">
        <f>(Main_M[[#This Row],[P/B]]-VLOOKUP(Main_M[[#This Row],[Industry]], Mean_PB_M, 2, FALSE))/(VLOOKUP(Main_M[[#This Row],[Industry]], Mean_PB_M, 3, FALSE))</f>
        <v>2.3492820305550839</v>
      </c>
      <c r="Q67" s="1">
        <f>(Main_M[[#This Row],[ROE]]-VLOOKUP(Main_M[[#This Row],[Industry]], Mean_ROE_M, 2, FALSE))/(VLOOKUP(Main_M[[#This Row],[Industry]], Mean_ROE_M, 3, FALSE))</f>
        <v>-0.60357401662615429</v>
      </c>
      <c r="R67" s="1">
        <f>(Main_M[[#This Row],[ROA]]-VLOOKUP(Main_M[[#This Row],[Industry]], Mean_ROA_M, 2, FALSE))/(VLOOKUP(Main_M[[#This Row],[Industry]], Mean_ROA_M, 3, FALSE))</f>
        <v>-2.3691679400562666</v>
      </c>
      <c r="S67" s="1">
        <f>(Main_M[[#This Row],[A/E]]-VLOOKUP(Main_M[[#This Row],[Industry]], Mean_AE_M, 2, FALSE))/(VLOOKUP(Main_M[[#This Row],[Industry]], Mean_AE_M, 3, FALSE))</f>
        <v>2.2197983828080736</v>
      </c>
      <c r="T67" s="1">
        <f>(Main_M[[#This Row],[P/E]]-VLOOKUP(Main_M[[#This Row],[Industry]], Mean_PE_M, 2, FALSE))/(VLOOKUP(Main_M[[#This Row],[Industry]], Mean_PE_M, 3, FALSE))</f>
        <v>-6.1510447800189612E-2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124</v>
      </c>
      <c r="B68" t="s">
        <v>247</v>
      </c>
      <c r="C68" s="2">
        <v>3489</v>
      </c>
      <c r="D68">
        <f>RTD("tos.rtd", , "LAST", Main_M[[#This Row],[Symbol]])</f>
        <v>19.989999999999998</v>
      </c>
      <c r="E68">
        <v>0.46</v>
      </c>
      <c r="F68">
        <v>1.39</v>
      </c>
      <c r="G68">
        <v>-0.16</v>
      </c>
      <c r="H68" s="1">
        <f>IF(ISNUMBER(Main_M[[#This Row],[Free CF]]),IF(Main_M[[#This Row],[Free CF]]&lt;&gt;0,Main_M[[#This Row],[Current Price]]/Main_M[[#This Row],[Free CF]],""),"")</f>
        <v>43.45652173913043</v>
      </c>
      <c r="I68" s="1">
        <f>IF(ISNUMBER(Main_M[[#This Row],[BVPS]]),IF(Main_M[[#This Row],[BVPS]]&lt;&gt;0,Main_M[[#This Row],[Current Price]]/Main_M[[#This Row],[BVPS]],""),"")</f>
        <v>14.381294964028777</v>
      </c>
      <c r="J68">
        <v>-11.76</v>
      </c>
      <c r="K68">
        <v>0.93</v>
      </c>
      <c r="L68">
        <v>1.93</v>
      </c>
      <c r="M68" s="1">
        <f>IF(ISNUMBER(Main_M[[#This Row],[EPS]]),IF(Main_M[[#This Row],[EPS]]&lt;&gt;0,Main_M[[#This Row],[Current Price]]/Main_M[[#This Row],[EPS]],""),"")</f>
        <v>-124.93749999999999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0.60034689820407894</v>
      </c>
      <c r="P68" s="1">
        <f>(Main_M[[#This Row],[P/B]]-VLOOKUP(Main_M[[#This Row],[Industry]], Mean_PB_M, 2, FALSE))/(VLOOKUP(Main_M[[#This Row],[Industry]], Mean_PB_M, 3, FALSE))</f>
        <v>1.5018355003111385</v>
      </c>
      <c r="Q68" s="1">
        <f>(Main_M[[#This Row],[ROE]]-VLOOKUP(Main_M[[#This Row],[Industry]], Mean_ROE_M, 2, FALSE))/(VLOOKUP(Main_M[[#This Row],[Industry]], Mean_ROE_M, 3, FALSE))</f>
        <v>-5.7482991511382149E-3</v>
      </c>
      <c r="R68" s="1">
        <f>(Main_M[[#This Row],[ROA]]-VLOOKUP(Main_M[[#This Row],[Industry]], Mean_ROA_M, 2, FALSE))/(VLOOKUP(Main_M[[#This Row],[Industry]], Mean_ROA_M, 3, FALSE))</f>
        <v>0.12167310443564808</v>
      </c>
      <c r="S68" s="1">
        <f>(Main_M[[#This Row],[A/E]]-VLOOKUP(Main_M[[#This Row],[Industry]], Mean_AE_M, 2, FALSE))/(VLOOKUP(Main_M[[#This Row],[Industry]], Mean_AE_M, 3, FALSE))</f>
        <v>-0.13113231532288303</v>
      </c>
      <c r="T68" s="1">
        <f>(Main_M[[#This Row],[P/E]]-VLOOKUP(Main_M[[#This Row],[Industry]], Mean_PE_M, 2, FALSE))/(VLOOKUP(Main_M[[#This Row],[Industry]], Mean_PE_M, 3, FALSE))</f>
        <v>-1.8366561223450661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124</v>
      </c>
      <c r="B69" t="s">
        <v>248</v>
      </c>
      <c r="C69" s="2">
        <v>4733</v>
      </c>
      <c r="D69">
        <f>RTD("tos.rtd", , "LAST", Main_M[[#This Row],[Symbol]])</f>
        <v>47.73</v>
      </c>
      <c r="E69">
        <v>2.72</v>
      </c>
      <c r="F69">
        <v>37.369999999999997</v>
      </c>
      <c r="G69">
        <v>0.39</v>
      </c>
      <c r="H69" s="1">
        <f>IF(ISNUMBER(Main_M[[#This Row],[Free CF]]),IF(Main_M[[#This Row],[Free CF]]&lt;&gt;0,Main_M[[#This Row],[Current Price]]/Main_M[[#This Row],[Free CF]],""),"")</f>
        <v>17.547794117647058</v>
      </c>
      <c r="I69" s="1">
        <f>IF(ISNUMBER(Main_M[[#This Row],[BVPS]]),IF(Main_M[[#This Row],[BVPS]]&lt;&gt;0,Main_M[[#This Row],[Current Price]]/Main_M[[#This Row],[BVPS]],""),"")</f>
        <v>1.2772277227722773</v>
      </c>
      <c r="J69">
        <v>2.11</v>
      </c>
      <c r="K69">
        <v>-0.49</v>
      </c>
      <c r="L69">
        <v>2.54</v>
      </c>
      <c r="M69" s="1">
        <f>IF(ISNUMBER(Main_M[[#This Row],[EPS]]),IF(Main_M[[#This Row],[EPS]]&lt;&gt;0,Main_M[[#This Row],[Current Price]]/Main_M[[#This Row],[EPS]],""),"")</f>
        <v>122.38461538461537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-0.33108987990199257</v>
      </c>
      <c r="P69" s="1">
        <f>(Main_M[[#This Row],[P/B]]-VLOOKUP(Main_M[[#This Row],[Industry]], Mean_PB_M, 2, FALSE))/(VLOOKUP(Main_M[[#This Row],[Industry]], Mean_PB_M, 3, FALSE))</f>
        <v>-1.1292151964847044</v>
      </c>
      <c r="Q69" s="1">
        <f>(Main_M[[#This Row],[ROE]]-VLOOKUP(Main_M[[#This Row],[Industry]], Mean_ROE_M, 2, FALSE))/(VLOOKUP(Main_M[[#This Row],[Industry]], Mean_ROE_M, 3, FALSE))</f>
        <v>9.7255958008842805E-2</v>
      </c>
      <c r="R69" s="1">
        <f>(Main_M[[#This Row],[ROA]]-VLOOKUP(Main_M[[#This Row],[Industry]], Mean_ROA_M, 2, FALSE))/(VLOOKUP(Main_M[[#This Row],[Industry]], Mean_ROA_M, 3, FALSE))</f>
        <v>-7.309530322836727E-2</v>
      </c>
      <c r="S69" s="1">
        <f>(Main_M[[#This Row],[A/E]]-VLOOKUP(Main_M[[#This Row],[Industry]], Mean_AE_M, 2, FALSE))/(VLOOKUP(Main_M[[#This Row],[Industry]], Mean_AE_M, 3, FALSE))</f>
        <v>0.58950473284791283</v>
      </c>
      <c r="T69" s="1">
        <f>(Main_M[[#This Row],[P/E]]-VLOOKUP(Main_M[[#This Row],[Industry]], Mean_PE_M, 2, FALSE))/(VLOOKUP(Main_M[[#This Row],[Industry]], Mean_PE_M, 3, FALSE))</f>
        <v>2.2092040756585614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124</v>
      </c>
      <c r="B70" t="s">
        <v>249</v>
      </c>
      <c r="C70" s="2">
        <v>3196</v>
      </c>
      <c r="D70">
        <f>RTD("tos.rtd", , "LAST", Main_M[[#This Row],[Symbol]])</f>
        <v>55.16</v>
      </c>
      <c r="E70">
        <v>2.64</v>
      </c>
      <c r="F70">
        <v>7.11</v>
      </c>
      <c r="G70">
        <v>1.45</v>
      </c>
      <c r="H70" s="1">
        <f>IF(ISNUMBER(Main_M[[#This Row],[Free CF]]),IF(Main_M[[#This Row],[Free CF]]&lt;&gt;0,Main_M[[#This Row],[Current Price]]/Main_M[[#This Row],[Free CF]],""),"")</f>
        <v>20.893939393939391</v>
      </c>
      <c r="I70" s="1">
        <f>IF(ISNUMBER(Main_M[[#This Row],[BVPS]]),IF(Main_M[[#This Row],[BVPS]]&lt;&gt;0,Main_M[[#This Row],[Current Price]]/Main_M[[#This Row],[BVPS]],""),"")</f>
        <v>7.7580872011251749</v>
      </c>
      <c r="J70">
        <v>43.34</v>
      </c>
      <c r="K70">
        <v>0.65</v>
      </c>
      <c r="L70">
        <v>4.09</v>
      </c>
      <c r="M70" s="1">
        <f>IF(ISNUMBER(Main_M[[#This Row],[EPS]]),IF(Main_M[[#This Row],[EPS]]&lt;&gt;0,Main_M[[#This Row],[Current Price]]/Main_M[[#This Row],[EPS]],""),"")</f>
        <v>38.04137931034483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-0.21079362989856856</v>
      </c>
      <c r="P70" s="1">
        <f>(Main_M[[#This Row],[P/B]]-VLOOKUP(Main_M[[#This Row],[Industry]], Mean_PB_M, 2, FALSE))/(VLOOKUP(Main_M[[#This Row],[Industry]], Mean_PB_M, 3, FALSE))</f>
        <v>0.17201972031058926</v>
      </c>
      <c r="Q70" s="1">
        <f>(Main_M[[#This Row],[ROE]]-VLOOKUP(Main_M[[#This Row],[Industry]], Mean_ROE_M, 2, FALSE))/(VLOOKUP(Main_M[[#This Row],[Industry]], Mean_ROE_M, 3, FALSE))</f>
        <v>0.40344669504604669</v>
      </c>
      <c r="R70" s="1">
        <f>(Main_M[[#This Row],[ROA]]-VLOOKUP(Main_M[[#This Row],[Industry]], Mean_ROA_M, 2, FALSE))/(VLOOKUP(Main_M[[#This Row],[Industry]], Mean_ROA_M, 3, FALSE))</f>
        <v>8.3268066304715477E-2</v>
      </c>
      <c r="S70" s="1">
        <f>(Main_M[[#This Row],[A/E]]-VLOOKUP(Main_M[[#This Row],[Industry]], Mean_AE_M, 2, FALSE))/(VLOOKUP(Main_M[[#This Row],[Industry]], Mean_AE_M, 3, FALSE))</f>
        <v>2.4206316585278036</v>
      </c>
      <c r="T70" s="1">
        <f>(Main_M[[#This Row],[P/E]]-VLOOKUP(Main_M[[#This Row],[Industry]], Mean_PE_M, 2, FALSE))/(VLOOKUP(Main_M[[#This Row],[Industry]], Mean_PE_M, 3, FALSE))</f>
        <v>0.82946113890967965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t="s">
        <v>124</v>
      </c>
      <c r="B71" t="s">
        <v>250</v>
      </c>
      <c r="C71" s="2">
        <v>3049</v>
      </c>
      <c r="D71">
        <f>RTD("tos.rtd", , "LAST", Main_M[[#This Row],[Symbol]])</f>
        <v>63.66</v>
      </c>
      <c r="E71">
        <v>3.33</v>
      </c>
      <c r="F71">
        <v>0.7</v>
      </c>
      <c r="G71">
        <v>-5.71</v>
      </c>
      <c r="H71" s="1">
        <f>IF(ISNUMBER(Main_M[[#This Row],[Free CF]]),IF(Main_M[[#This Row],[Free CF]]&lt;&gt;0,Main_M[[#This Row],[Current Price]]/Main_M[[#This Row],[Free CF]],""),"")</f>
        <v>19.117117117117115</v>
      </c>
      <c r="I71" s="1">
        <f>IF(ISNUMBER(Main_M[[#This Row],[BVPS]]),IF(Main_M[[#This Row],[BVPS]]&lt;&gt;0,Main_M[[#This Row],[Current Price]]/Main_M[[#This Row],[BVPS]],""),"")</f>
        <v>90.94285714285715</v>
      </c>
      <c r="J71">
        <v>-99.98</v>
      </c>
      <c r="K71">
        <v>5.5</v>
      </c>
      <c r="L71">
        <v>63.37</v>
      </c>
      <c r="M71" s="1">
        <f>IF(ISNUMBER(Main_M[[#This Row],[EPS]]),IF(Main_M[[#This Row],[EPS]]&lt;&gt;0,Main_M[[#This Row],[Current Price]]/Main_M[[#This Row],[EPS]],""),"")</f>
        <v>-11.148861646234675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-0.2746716265709378</v>
      </c>
      <c r="P71" s="1">
        <f>(Main_M[[#This Row],[P/B]]-VLOOKUP(Main_M[[#This Row],[Industry]], Mean_PB_M, 2, FALSE))/(VLOOKUP(Main_M[[#This Row],[Industry]], Mean_PB_M, 3, FALSE))</f>
        <v>16.87395988045661</v>
      </c>
      <c r="Q71" s="1">
        <f>(Main_M[[#This Row],[ROE]]-VLOOKUP(Main_M[[#This Row],[Industry]], Mean_ROE_M, 2, FALSE))/(VLOOKUP(Main_M[[#This Row],[Industry]], Mean_ROE_M, 3, FALSE))</f>
        <v>-0.66090587425232972</v>
      </c>
      <c r="R71" s="1">
        <f>(Main_M[[#This Row],[ROA]]-VLOOKUP(Main_M[[#This Row],[Industry]], Mean_ROA_M, 2, FALSE))/(VLOOKUP(Main_M[[#This Row],[Industry]], Mean_ROA_M, 3, FALSE))</f>
        <v>0.74849819107265514</v>
      </c>
      <c r="S71" s="1">
        <f>(Main_M[[#This Row],[A/E]]-VLOOKUP(Main_M[[#This Row],[Industry]], Mean_AE_M, 2, FALSE))/(VLOOKUP(Main_M[[#This Row],[Industry]], Mean_AE_M, 3, FALSE))</f>
        <v>72.452376274207751</v>
      </c>
      <c r="T71" s="1">
        <f>(Main_M[[#This Row],[P/E]]-VLOOKUP(Main_M[[#This Row],[Industry]], Mean_PE_M, 2, FALSE))/(VLOOKUP(Main_M[[#This Row],[Industry]], Mean_PE_M, 3, FALSE))</f>
        <v>2.4774353391376978E-2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124</v>
      </c>
      <c r="B72" t="s">
        <v>251</v>
      </c>
      <c r="C72" s="2">
        <v>4452</v>
      </c>
      <c r="D72">
        <f>RTD("tos.rtd", , "LAST", Main_M[[#This Row],[Symbol]])</f>
        <v>31.72</v>
      </c>
      <c r="E72">
        <v>1.99</v>
      </c>
      <c r="F72">
        <v>-2.06</v>
      </c>
      <c r="G72">
        <v>1.36</v>
      </c>
      <c r="H72" s="1">
        <f>IF(ISNUMBER(Main_M[[#This Row],[Free CF]]),IF(Main_M[[#This Row],[Free CF]]&lt;&gt;0,Main_M[[#This Row],[Current Price]]/Main_M[[#This Row],[Free CF]],""),"")</f>
        <v>15.939698492462311</v>
      </c>
      <c r="I72" s="1">
        <f>IF(ISNUMBER(Main_M[[#This Row],[BVPS]]),IF(Main_M[[#This Row],[BVPS]]&lt;&gt;0,Main_M[[#This Row],[Current Price]]/Main_M[[#This Row],[BVPS]],""),"")</f>
        <v>-15.398058252427184</v>
      </c>
      <c r="J72">
        <v>189.4</v>
      </c>
      <c r="K72">
        <v>3.42</v>
      </c>
      <c r="L72">
        <v>-5.62</v>
      </c>
      <c r="M72" s="1">
        <f>IF(ISNUMBER(Main_M[[#This Row],[EPS]]),IF(Main_M[[#This Row],[EPS]]&lt;&gt;0,Main_M[[#This Row],[Current Price]]/Main_M[[#This Row],[EPS]],""),"")</f>
        <v>23.323529411764703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-0.38890203609474017</v>
      </c>
      <c r="P72" s="1">
        <f>(Main_M[[#This Row],[P/B]]-VLOOKUP(Main_M[[#This Row],[Industry]], Mean_PB_M, 2, FALSE))/(VLOOKUP(Main_M[[#This Row],[Industry]], Mean_PB_M, 3, FALSE))</f>
        <v>-4.4772995718600264</v>
      </c>
      <c r="Q72" s="1">
        <f>(Main_M[[#This Row],[ROE]]-VLOOKUP(Main_M[[#This Row],[Industry]], Mean_ROE_M, 2, FALSE))/(VLOOKUP(Main_M[[#This Row],[Industry]], Mean_ROE_M, 3, FALSE))</f>
        <v>1.4881476179578583</v>
      </c>
      <c r="R72" s="1">
        <f>(Main_M[[#This Row],[ROA]]-VLOOKUP(Main_M[[#This Row],[Industry]], Mean_ROA_M, 2, FALSE))/(VLOOKUP(Main_M[[#This Row],[Industry]], Mean_ROA_M, 3, FALSE))</f>
        <v>0.46320362210001298</v>
      </c>
      <c r="S72" s="1">
        <f>(Main_M[[#This Row],[A/E]]-VLOOKUP(Main_M[[#This Row],[Industry]], Mean_AE_M, 2, FALSE))/(VLOOKUP(Main_M[[#This Row],[Industry]], Mean_AE_M, 3, FALSE))</f>
        <v>-9.0504925016991251</v>
      </c>
      <c r="T72" s="1">
        <f>(Main_M[[#This Row],[P/E]]-VLOOKUP(Main_M[[#This Row],[Industry]], Mean_PE_M, 2, FALSE))/(VLOOKUP(Main_M[[#This Row],[Industry]], Mean_PE_M, 3, FALSE))</f>
        <v>0.58869672925607719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124</v>
      </c>
      <c r="B73" t="s">
        <v>252</v>
      </c>
      <c r="C73" s="2">
        <v>3413</v>
      </c>
      <c r="D73">
        <f>RTD("tos.rtd", , "LAST", Main_M[[#This Row],[Symbol]])</f>
        <v>36.79</v>
      </c>
      <c r="E73">
        <v>0.19</v>
      </c>
      <c r="F73">
        <v>4.57</v>
      </c>
      <c r="G73">
        <v>-1.02</v>
      </c>
      <c r="H73" s="1">
        <f>IF(ISNUMBER(Main_M[[#This Row],[Free CF]]),IF(Main_M[[#This Row],[Free CF]]&lt;&gt;0,Main_M[[#This Row],[Current Price]]/Main_M[[#This Row],[Free CF]],""),"")</f>
        <v>193.63157894736841</v>
      </c>
      <c r="I73" s="1">
        <f>IF(ISNUMBER(Main_M[[#This Row],[BVPS]]),IF(Main_M[[#This Row],[BVPS]]&lt;&gt;0,Main_M[[#This Row],[Current Price]]/Main_M[[#This Row],[BVPS]],""),"")</f>
        <v>8.0503282275711161</v>
      </c>
      <c r="J73">
        <v>-22.64</v>
      </c>
      <c r="K73">
        <v>-9.08</v>
      </c>
      <c r="L73">
        <v>1.83</v>
      </c>
      <c r="M73" s="1">
        <f>IF(ISNUMBER(Main_M[[#This Row],[EPS]]),IF(Main_M[[#This Row],[EPS]]&lt;&gt;0,Main_M[[#This Row],[Current Price]]/Main_M[[#This Row],[EPS]],""),"")</f>
        <v>-36.068627450980394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5.9992446550336984</v>
      </c>
      <c r="P73" s="1">
        <f>(Main_M[[#This Row],[P/B]]-VLOOKUP(Main_M[[#This Row],[Industry]], Mean_PB_M, 2, FALSE))/(VLOOKUP(Main_M[[#This Row],[Industry]], Mean_PB_M, 3, FALSE))</f>
        <v>0.2306962321222914</v>
      </c>
      <c r="Q73" s="1">
        <f>(Main_M[[#This Row],[ROE]]-VLOOKUP(Main_M[[#This Row],[Industry]], Mean_ROE_M, 2, FALSE))/(VLOOKUP(Main_M[[#This Row],[Industry]], Mean_ROE_M, 3, FALSE))</f>
        <v>-8.6547601090618653E-2</v>
      </c>
      <c r="R73" s="1">
        <f>(Main_M[[#This Row],[ROA]]-VLOOKUP(Main_M[[#This Row],[Industry]], Mean_ROA_M, 2, FALSE))/(VLOOKUP(Main_M[[#This Row],[Industry]], Mean_ROA_M, 3, FALSE))</f>
        <v>-1.2513070087451925</v>
      </c>
      <c r="S73" s="1">
        <f>(Main_M[[#This Row],[A/E]]-VLOOKUP(Main_M[[#This Row],[Industry]], Mean_AE_M, 2, FALSE))/(VLOOKUP(Main_M[[#This Row],[Industry]], Mean_AE_M, 3, FALSE))</f>
        <v>-0.24926953633448873</v>
      </c>
      <c r="T73" s="1">
        <f>(Main_M[[#This Row],[P/E]]-VLOOKUP(Main_M[[#This Row],[Industry]], Mean_PE_M, 2, FALSE))/(VLOOKUP(Main_M[[#This Row],[Industry]], Mean_PE_M, 3, FALSE))</f>
        <v>-0.38287980424916596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124</v>
      </c>
      <c r="B74" t="s">
        <v>253</v>
      </c>
      <c r="C74" s="2">
        <v>2233</v>
      </c>
      <c r="D74">
        <f>RTD("tos.rtd", , "LAST", Main_M[[#This Row],[Symbol]])</f>
        <v>14.43</v>
      </c>
      <c r="E74">
        <v>-5.45</v>
      </c>
      <c r="F74">
        <v>1.44</v>
      </c>
      <c r="G74">
        <v>-4.3600000000000003</v>
      </c>
      <c r="H74" s="1">
        <f>IF(ISNUMBER(Main_M[[#This Row],[Free CF]]),IF(Main_M[[#This Row],[Free CF]]&lt;&gt;0,Main_M[[#This Row],[Current Price]]/Main_M[[#This Row],[Free CF]],""),"")</f>
        <v>-2.6477064220183486</v>
      </c>
      <c r="I74" s="1">
        <f>IF(ISNUMBER(Main_M[[#This Row],[BVPS]]),IF(Main_M[[#This Row],[BVPS]]&lt;&gt;0,Main_M[[#This Row],[Current Price]]/Main_M[[#This Row],[BVPS]],""),"")</f>
        <v>10.020833333333334</v>
      </c>
      <c r="J74">
        <v>-196.71</v>
      </c>
      <c r="K74">
        <v>-33.19</v>
      </c>
      <c r="L74">
        <v>5.63</v>
      </c>
      <c r="M74" s="1">
        <f>IF(ISNUMBER(Main_M[[#This Row],[EPS]]),IF(Main_M[[#This Row],[EPS]]&lt;&gt;0,Main_M[[#This Row],[Current Price]]/Main_M[[#This Row],[EPS]],""),"")</f>
        <v>-3.3096330275229353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-1.0571321707363577</v>
      </c>
      <c r="P74" s="1">
        <f>(Main_M[[#This Row],[P/B]]-VLOOKUP(Main_M[[#This Row],[Industry]], Mean_PB_M, 2, FALSE))/(VLOOKUP(Main_M[[#This Row],[Industry]], Mean_PB_M, 3, FALSE))</f>
        <v>0.62633666467690385</v>
      </c>
      <c r="Q74" s="1">
        <f>(Main_M[[#This Row],[ROE]]-VLOOKUP(Main_M[[#This Row],[Industry]], Mean_ROE_M, 2, FALSE))/(VLOOKUP(Main_M[[#This Row],[Industry]], Mean_ROE_M, 3, FALSE))</f>
        <v>-1.3792621680580228</v>
      </c>
      <c r="R74" s="1">
        <f>(Main_M[[#This Row],[ROA]]-VLOOKUP(Main_M[[#This Row],[Industry]], Mean_ROA_M, 2, FALSE))/(VLOOKUP(Main_M[[#This Row],[Industry]], Mean_ROA_M, 3, FALSE))</f>
        <v>-4.558255113519424</v>
      </c>
      <c r="S74" s="1">
        <f>(Main_M[[#This Row],[A/E]]-VLOOKUP(Main_M[[#This Row],[Industry]], Mean_AE_M, 2, FALSE))/(VLOOKUP(Main_M[[#This Row],[Industry]], Mean_AE_M, 3, FALSE))</f>
        <v>4.2399448621065341</v>
      </c>
      <c r="T74" s="1">
        <f>(Main_M[[#This Row],[P/E]]-VLOOKUP(Main_M[[#This Row],[Industry]], Mean_PE_M, 2, FALSE))/(VLOOKUP(Main_M[[#This Row],[Industry]], Mean_PE_M, 3, FALSE))</f>
        <v>0.15301368614240882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t="s">
        <v>124</v>
      </c>
      <c r="B75" t="s">
        <v>254</v>
      </c>
      <c r="C75" s="2">
        <v>5901</v>
      </c>
      <c r="D75">
        <f>RTD("tos.rtd", , "LAST", Main_M[[#This Row],[Symbol]])</f>
        <v>9.0500000000000007</v>
      </c>
      <c r="E75">
        <v>0.38</v>
      </c>
      <c r="F75">
        <v>3.18</v>
      </c>
      <c r="G75">
        <v>0.04</v>
      </c>
      <c r="H75" s="1">
        <f>IF(ISNUMBER(Main_M[[#This Row],[Free CF]]),IF(Main_M[[#This Row],[Free CF]]&lt;&gt;0,Main_M[[#This Row],[Current Price]]/Main_M[[#This Row],[Free CF]],""),"")</f>
        <v>23.815789473684212</v>
      </c>
      <c r="I75" s="1">
        <f>IF(ISNUMBER(Main_M[[#This Row],[BVPS]]),IF(Main_M[[#This Row],[BVPS]]&lt;&gt;0,Main_M[[#This Row],[Current Price]]/Main_M[[#This Row],[BVPS]],""),"")</f>
        <v>2.8459119496855347</v>
      </c>
      <c r="J75">
        <v>1.64</v>
      </c>
      <c r="K75">
        <v>1.78</v>
      </c>
      <c r="L75">
        <v>1.59</v>
      </c>
      <c r="M75" s="1">
        <f>IF(ISNUMBER(Main_M[[#This Row],[EPS]]),IF(Main_M[[#This Row],[EPS]]&lt;&gt;0,Main_M[[#This Row],[Current Price]]/Main_M[[#This Row],[EPS]],""),"")</f>
        <v>226.25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-0.10575108731805925</v>
      </c>
      <c r="P75" s="1">
        <f>(Main_M[[#This Row],[P/B]]-VLOOKUP(Main_M[[#This Row],[Industry]], Mean_PB_M, 2, FALSE))/(VLOOKUP(Main_M[[#This Row],[Industry]], Mean_PB_M, 3, FALSE))</f>
        <v>-0.81425285294005811</v>
      </c>
      <c r="Q75" s="1">
        <f>(Main_M[[#This Row],[ROE]]-VLOOKUP(Main_M[[#This Row],[Industry]], Mean_ROE_M, 2, FALSE))/(VLOOKUP(Main_M[[#This Row],[Industry]], Mean_ROE_M, 3, FALSE))</f>
        <v>9.3765546987560108E-2</v>
      </c>
      <c r="R75" s="1">
        <f>(Main_M[[#This Row],[ROA]]-VLOOKUP(Main_M[[#This Row],[Industry]], Mean_ROA_M, 2, FALSE))/(VLOOKUP(Main_M[[#This Row],[Industry]], Mean_ROA_M, 3, FALSE))</f>
        <v>0.23825982733312204</v>
      </c>
      <c r="S75" s="1">
        <f>(Main_M[[#This Row],[A/E]]-VLOOKUP(Main_M[[#This Row],[Industry]], Mean_AE_M, 2, FALSE))/(VLOOKUP(Main_M[[#This Row],[Industry]], Mean_AE_M, 3, FALSE))</f>
        <v>-0.53279886676234278</v>
      </c>
      <c r="T75" s="1">
        <f>(Main_M[[#This Row],[P/E]]-VLOOKUP(Main_M[[#This Row],[Industry]], Mean_PE_M, 2, FALSE))/(VLOOKUP(Main_M[[#This Row],[Industry]], Mean_PE_M, 3, FALSE))</f>
        <v>3.9083033450960039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76" spans="1:26" x14ac:dyDescent="0.25">
      <c r="A76" t="s">
        <v>124</v>
      </c>
      <c r="B76" t="s">
        <v>255</v>
      </c>
      <c r="C76" s="2">
        <v>6954</v>
      </c>
      <c r="D76">
        <f>RTD("tos.rtd", , "LAST", Main_M[[#This Row],[Symbol]])</f>
        <v>23.12</v>
      </c>
      <c r="E76">
        <v>0.02</v>
      </c>
      <c r="F76">
        <v>3.02</v>
      </c>
      <c r="G76">
        <v>-0.98</v>
      </c>
      <c r="H76" s="1">
        <f>IF(ISNUMBER(Main_M[[#This Row],[Free CF]]),IF(Main_M[[#This Row],[Free CF]]&lt;&gt;0,Main_M[[#This Row],[Current Price]]/Main_M[[#This Row],[Free CF]],""),"")</f>
        <v>1156</v>
      </c>
      <c r="I76" s="1">
        <f>IF(ISNUMBER(Main_M[[#This Row],[BVPS]]),IF(Main_M[[#This Row],[BVPS]]&lt;&gt;0,Main_M[[#This Row],[Current Price]]/Main_M[[#This Row],[BVPS]],""),"")</f>
        <v>7.6556291390728477</v>
      </c>
      <c r="J76">
        <v>-34.18</v>
      </c>
      <c r="K76">
        <v>-9.9499999999999993</v>
      </c>
      <c r="L76">
        <v>2.63</v>
      </c>
      <c r="M76" s="1">
        <f>IF(ISNUMBER(Main_M[[#This Row],[EPS]]),IF(Main_M[[#This Row],[EPS]]&lt;&gt;0,Main_M[[#This Row],[Current Price]]/Main_M[[#This Row],[EPS]],""),"")</f>
        <v>-23.591836734693878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40.597058741164759</v>
      </c>
      <c r="P76" s="1">
        <f>(Main_M[[#This Row],[P/B]]-VLOOKUP(Main_M[[#This Row],[Industry]], Mean_PB_M, 2, FALSE))/(VLOOKUP(Main_M[[#This Row],[Industry]], Mean_PB_M, 3, FALSE))</f>
        <v>0.15144806491596394</v>
      </c>
      <c r="Q76" s="1">
        <f>(Main_M[[#This Row],[ROE]]-VLOOKUP(Main_M[[#This Row],[Industry]], Mean_ROE_M, 2, FALSE))/(VLOOKUP(Main_M[[#This Row],[Industry]], Mean_ROE_M, 3, FALSE))</f>
        <v>-0.17224833127275138</v>
      </c>
      <c r="R76" s="1">
        <f>(Main_M[[#This Row],[ROA]]-VLOOKUP(Main_M[[#This Row],[Industry]], Mean_ROA_M, 2, FALSE))/(VLOOKUP(Main_M[[#This Row],[Industry]], Mean_ROA_M, 3, FALSE))</f>
        <v>-1.3706369486520187</v>
      </c>
      <c r="S76" s="1">
        <f>(Main_M[[#This Row],[A/E]]-VLOOKUP(Main_M[[#This Row],[Industry]], Mean_AE_M, 2, FALSE))/(VLOOKUP(Main_M[[#This Row],[Industry]], Mean_AE_M, 3, FALSE))</f>
        <v>0.69582823175835795</v>
      </c>
      <c r="T76" s="1">
        <f>(Main_M[[#This Row],[P/E]]-VLOOKUP(Main_M[[#This Row],[Industry]], Mean_PE_M, 2, FALSE))/(VLOOKUP(Main_M[[#This Row],[Industry]], Mean_PE_M, 3, FALSE))</f>
        <v>-0.1787761361265503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124</v>
      </c>
      <c r="B77" t="s">
        <v>256</v>
      </c>
      <c r="C77" s="2">
        <v>4569</v>
      </c>
      <c r="D77">
        <f>RTD("tos.rtd", , "LAST", Main_M[[#This Row],[Symbol]])</f>
        <v>20.12</v>
      </c>
      <c r="E77">
        <v>0.57999999999999996</v>
      </c>
      <c r="F77">
        <v>1.43</v>
      </c>
      <c r="G77">
        <v>-1.35</v>
      </c>
      <c r="H77" s="1">
        <f>IF(ISNUMBER(Main_M[[#This Row],[Free CF]]),IF(Main_M[[#This Row],[Free CF]]&lt;&gt;0,Main_M[[#This Row],[Current Price]]/Main_M[[#This Row],[Free CF]],""),"")</f>
        <v>34.689655172413801</v>
      </c>
      <c r="I77" s="1">
        <f>IF(ISNUMBER(Main_M[[#This Row],[BVPS]]),IF(Main_M[[#This Row],[BVPS]]&lt;&gt;0,Main_M[[#This Row],[Current Price]]/Main_M[[#This Row],[BVPS]],""),"")</f>
        <v>14.069930069930072</v>
      </c>
      <c r="J77">
        <v>-152.88</v>
      </c>
      <c r="K77">
        <v>5.81</v>
      </c>
      <c r="L77">
        <v>2.06</v>
      </c>
      <c r="M77" s="1">
        <f>IF(ISNUMBER(Main_M[[#This Row],[EPS]]),IF(Main_M[[#This Row],[EPS]]&lt;&gt;0,Main_M[[#This Row],[Current Price]]/Main_M[[#This Row],[EPS]],""),"")</f>
        <v>-14.903703703703703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0.2851719475740313</v>
      </c>
      <c r="P77" s="1">
        <f>(Main_M[[#This Row],[P/B]]-VLOOKUP(Main_M[[#This Row],[Industry]], Mean_PB_M, 2, FALSE))/(VLOOKUP(Main_M[[#This Row],[Industry]], Mean_PB_M, 3, FALSE))</f>
        <v>1.4393192748909147</v>
      </c>
      <c r="Q77" s="1">
        <f>(Main_M[[#This Row],[ROE]]-VLOOKUP(Main_M[[#This Row],[Industry]], Mean_ROE_M, 2, FALSE))/(VLOOKUP(Main_M[[#This Row],[Industry]], Mean_ROE_M, 3, FALSE))</f>
        <v>-1.0537627743073401</v>
      </c>
      <c r="R77" s="1">
        <f>(Main_M[[#This Row],[ROA]]-VLOOKUP(Main_M[[#This Row],[Industry]], Mean_ROA_M, 2, FALSE))/(VLOOKUP(Main_M[[#This Row],[Industry]], Mean_ROA_M, 3, FALSE))</f>
        <v>0.79101805471761621</v>
      </c>
      <c r="S77" s="1">
        <f>(Main_M[[#This Row],[A/E]]-VLOOKUP(Main_M[[#This Row],[Industry]], Mean_AE_M, 2, FALSE))/(VLOOKUP(Main_M[[#This Row],[Industry]], Mean_AE_M, 3, FALSE))</f>
        <v>2.244607199220474E-2</v>
      </c>
      <c r="T77" s="1">
        <f>(Main_M[[#This Row],[P/E]]-VLOOKUP(Main_M[[#This Row],[Industry]], Mean_PE_M, 2, FALSE))/(VLOOKUP(Main_M[[#This Row],[Industry]], Mean_PE_M, 3, FALSE))</f>
        <v>-3.6649858537585768E-2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t="s">
        <v>124</v>
      </c>
      <c r="B78" t="s">
        <v>257</v>
      </c>
      <c r="C78" s="2">
        <v>2255</v>
      </c>
      <c r="D78">
        <f>RTD("tos.rtd", , "LAST", Main_M[[#This Row],[Symbol]])</f>
        <v>10</v>
      </c>
      <c r="E78">
        <v>-1.66</v>
      </c>
      <c r="F78">
        <v>7.2</v>
      </c>
      <c r="G78">
        <v>0.27</v>
      </c>
      <c r="H78" s="1">
        <f>IF(ISNUMBER(Main_M[[#This Row],[Free CF]]),IF(Main_M[[#This Row],[Free CF]]&lt;&gt;0,Main_M[[#This Row],[Current Price]]/Main_M[[#This Row],[Free CF]],""),"")</f>
        <v>-6.024096385542169</v>
      </c>
      <c r="I78" s="1">
        <f>IF(ISNUMBER(Main_M[[#This Row],[BVPS]]),IF(Main_M[[#This Row],[BVPS]]&lt;&gt;0,Main_M[[#This Row],[Current Price]]/Main_M[[#This Row],[BVPS]],""),"")</f>
        <v>1.3888888888888888</v>
      </c>
      <c r="J78">
        <v>5.3</v>
      </c>
      <c r="K78">
        <v>8.0500000000000007</v>
      </c>
      <c r="L78">
        <v>1.37</v>
      </c>
      <c r="M78" s="1">
        <f>IF(ISNUMBER(Main_M[[#This Row],[EPS]]),IF(Main_M[[#This Row],[EPS]]&lt;&gt;0,Main_M[[#This Row],[Current Price]]/Main_M[[#This Row],[EPS]],""),"")</f>
        <v>37.037037037037038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-1.1785157382816265</v>
      </c>
      <c r="P78" s="1">
        <f>(Main_M[[#This Row],[P/B]]-VLOOKUP(Main_M[[#This Row],[Industry]], Mean_PB_M, 2, FALSE))/(VLOOKUP(Main_M[[#This Row],[Industry]], Mean_PB_M, 3, FALSE))</f>
        <v>-1.106795730565665</v>
      </c>
      <c r="Q78" s="1">
        <f>(Main_M[[#This Row],[ROE]]-VLOOKUP(Main_M[[#This Row],[Industry]], Mean_ROE_M, 2, FALSE))/(VLOOKUP(Main_M[[#This Row],[Industry]], Mean_ROE_M, 3, FALSE))</f>
        <v>0.12094619451499561</v>
      </c>
      <c r="R78" s="1">
        <f>(Main_M[[#This Row],[ROA]]-VLOOKUP(Main_M[[#This Row],[Industry]], Mean_ROA_M, 2, FALSE))/(VLOOKUP(Main_M[[#This Row],[Industry]], Mean_ROA_M, 3, FALSE))</f>
        <v>1.0982583597650772</v>
      </c>
      <c r="S78" s="1">
        <f>(Main_M[[#This Row],[A/E]]-VLOOKUP(Main_M[[#This Row],[Industry]], Mean_AE_M, 2, FALSE))/(VLOOKUP(Main_M[[#This Row],[Industry]], Mean_AE_M, 3, FALSE))</f>
        <v>-0.79270075298787568</v>
      </c>
      <c r="T78" s="1">
        <f>(Main_M[[#This Row],[P/E]]-VLOOKUP(Main_M[[#This Row],[Industry]], Mean_PE_M, 2, FALSE))/(VLOOKUP(Main_M[[#This Row],[Industry]], Mean_PE_M, 3, FALSE))</f>
        <v>0.81303143781954723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124</v>
      </c>
      <c r="B79" t="s">
        <v>258</v>
      </c>
      <c r="C79" s="2">
        <v>2625</v>
      </c>
      <c r="D79">
        <f>RTD("tos.rtd", , "LAST", Main_M[[#This Row],[Symbol]])</f>
        <v>10.24</v>
      </c>
      <c r="E79">
        <v>-0.2</v>
      </c>
      <c r="F79">
        <v>-2.8</v>
      </c>
      <c r="G79">
        <v>-4.3899999999999997</v>
      </c>
      <c r="H79" s="1">
        <f>IF(ISNUMBER(Main_M[[#This Row],[Free CF]]),IF(Main_M[[#This Row],[Free CF]]&lt;&gt;0,Main_M[[#This Row],[Current Price]]/Main_M[[#This Row],[Free CF]],""),"")</f>
        <v>-51.199999999999996</v>
      </c>
      <c r="I79" s="1">
        <f>IF(ISNUMBER(Main_M[[#This Row],[BVPS]]),IF(Main_M[[#This Row],[BVPS]]&lt;&gt;0,Main_M[[#This Row],[Current Price]]/Main_M[[#This Row],[BVPS]],""),"")</f>
        <v>-3.6571428571428575</v>
      </c>
      <c r="J79">
        <v>185.59</v>
      </c>
      <c r="K79">
        <v>-0.81</v>
      </c>
      <c r="L79">
        <v>-1.95</v>
      </c>
      <c r="M79" s="1">
        <f>IF(ISNUMBER(Main_M[[#This Row],[EPS]]),IF(Main_M[[#This Row],[EPS]]&lt;&gt;0,Main_M[[#This Row],[Current Price]]/Main_M[[#This Row],[EPS]],""),"")</f>
        <v>-2.3325740318906609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-2.8026208940975295</v>
      </c>
      <c r="P79" s="1">
        <f>(Main_M[[#This Row],[P/B]]-VLOOKUP(Main_M[[#This Row],[Industry]], Mean_PB_M, 2, FALSE))/(VLOOKUP(Main_M[[#This Row],[Industry]], Mean_PB_M, 3, FALSE))</f>
        <v>-2.1199441750159358</v>
      </c>
      <c r="Q79" s="1">
        <f>(Main_M[[#This Row],[ROE]]-VLOOKUP(Main_M[[#This Row],[Industry]], Mean_ROE_M, 2, FALSE))/(VLOOKUP(Main_M[[#This Row],[Industry]], Mean_ROE_M, 3, FALSE))</f>
        <v>1.4598530094661837</v>
      </c>
      <c r="R79" s="1">
        <f>(Main_M[[#This Row],[ROA]]-VLOOKUP(Main_M[[#This Row],[Industry]], Mean_ROA_M, 2, FALSE))/(VLOOKUP(Main_M[[#This Row],[Industry]], Mean_ROA_M, 3, FALSE))</f>
        <v>-0.11698677537800453</v>
      </c>
      <c r="S79" s="1">
        <f>(Main_M[[#This Row],[A/E]]-VLOOKUP(Main_M[[#This Row],[Industry]], Mean_AE_M, 2, FALSE))/(VLOOKUP(Main_M[[#This Row],[Industry]], Mean_AE_M, 3, FALSE))</f>
        <v>-4.7148564905731911</v>
      </c>
      <c r="T79" s="1">
        <f>(Main_M[[#This Row],[P/E]]-VLOOKUP(Main_M[[#This Row],[Industry]], Mean_PE_M, 2, FALSE))/(VLOOKUP(Main_M[[#This Row],[Industry]], Mean_PE_M, 3, FALSE))</f>
        <v>0.16899706917058063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124</v>
      </c>
      <c r="B80" t="s">
        <v>259</v>
      </c>
      <c r="C80" s="2">
        <v>6197</v>
      </c>
      <c r="D80">
        <f>RTD("tos.rtd", , "LAST", Main_M[[#This Row],[Symbol]])</f>
        <v>24.31</v>
      </c>
      <c r="E80">
        <v>0.37</v>
      </c>
      <c r="F80">
        <v>4.5999999999999996</v>
      </c>
      <c r="G80">
        <v>1.71</v>
      </c>
      <c r="H80" s="1">
        <f>IF(ISNUMBER(Main_M[[#This Row],[Free CF]]),IF(Main_M[[#This Row],[Free CF]]&lt;&gt;0,Main_M[[#This Row],[Current Price]]/Main_M[[#This Row],[Free CF]],""),"")</f>
        <v>65.702702702702695</v>
      </c>
      <c r="I80" s="1">
        <f>IF(ISNUMBER(Main_M[[#This Row],[BVPS]]),IF(Main_M[[#This Row],[BVPS]]&lt;&gt;0,Main_M[[#This Row],[Current Price]]/Main_M[[#This Row],[BVPS]],""),"")</f>
        <v>5.284782608695652</v>
      </c>
      <c r="J80">
        <v>55.82</v>
      </c>
      <c r="K80">
        <v>1.89</v>
      </c>
      <c r="L80">
        <v>1.1499999999999999</v>
      </c>
      <c r="M80" s="1">
        <f>IF(ISNUMBER(Main_M[[#This Row],[EPS]]),IF(Main_M[[#This Row],[EPS]]&lt;&gt;0,Main_M[[#This Row],[Current Price]]/Main_M[[#This Row],[EPS]],""),"")</f>
        <v>14.216374269005847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1.4001125765731204</v>
      </c>
      <c r="P80" s="1">
        <f>(Main_M[[#This Row],[P/B]]-VLOOKUP(Main_M[[#This Row],[Industry]], Mean_PB_M, 2, FALSE))/(VLOOKUP(Main_M[[#This Row],[Industry]], Mean_PB_M, 3, FALSE))</f>
        <v>-0.32457341001251838</v>
      </c>
      <c r="Q80" s="1">
        <f>(Main_M[[#This Row],[ROE]]-VLOOKUP(Main_M[[#This Row],[Industry]], Mean_ROE_M, 2, FALSE))/(VLOOKUP(Main_M[[#This Row],[Industry]], Mean_ROE_M, 3, FALSE))</f>
        <v>0.49612824727074478</v>
      </c>
      <c r="R80" s="1">
        <f>(Main_M[[#This Row],[ROA]]-VLOOKUP(Main_M[[#This Row],[Industry]], Mean_ROA_M, 2, FALSE))/(VLOOKUP(Main_M[[#This Row],[Industry]], Mean_ROA_M, 3, FALSE))</f>
        <v>0.25334752088455986</v>
      </c>
      <c r="S80" s="1">
        <f>(Main_M[[#This Row],[A/E]]-VLOOKUP(Main_M[[#This Row],[Industry]], Mean_AE_M, 2, FALSE))/(VLOOKUP(Main_M[[#This Row],[Industry]], Mean_AE_M, 3, FALSE))</f>
        <v>-1.0526026392134087</v>
      </c>
      <c r="T80" s="1">
        <f>(Main_M[[#This Row],[P/E]]-VLOOKUP(Main_M[[#This Row],[Industry]], Mean_PE_M, 2, FALSE))/(VLOOKUP(Main_M[[#This Row],[Industry]], Mean_PE_M, 3, FALSE))</f>
        <v>0.43971580835528457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1" spans="1:26" x14ac:dyDescent="0.25">
      <c r="A81" t="s">
        <v>124</v>
      </c>
      <c r="B81" t="s">
        <v>260</v>
      </c>
      <c r="C81" s="2">
        <v>8467</v>
      </c>
      <c r="D81">
        <f>RTD("tos.rtd", , "LAST", Main_M[[#This Row],[Symbol]])</f>
        <v>29.7</v>
      </c>
      <c r="E81">
        <v>2.74</v>
      </c>
      <c r="F81">
        <v>-2.54</v>
      </c>
      <c r="G81">
        <v>1.4</v>
      </c>
      <c r="H81" s="1">
        <f>IF(ISNUMBER(Main_M[[#This Row],[Free CF]]),IF(Main_M[[#This Row],[Free CF]]&lt;&gt;0,Main_M[[#This Row],[Current Price]]/Main_M[[#This Row],[Free CF]],""),"")</f>
        <v>10.839416058394159</v>
      </c>
      <c r="I81" s="1">
        <f>IF(ISNUMBER(Main_M[[#This Row],[BVPS]]),IF(Main_M[[#This Row],[BVPS]]&lt;&gt;0,Main_M[[#This Row],[Current Price]]/Main_M[[#This Row],[BVPS]],""),"")</f>
        <v>-11.69291338582677</v>
      </c>
      <c r="J81">
        <v>-98.52</v>
      </c>
      <c r="K81">
        <v>10.57</v>
      </c>
      <c r="L81">
        <v>-4.42</v>
      </c>
      <c r="M81" s="1">
        <f>IF(ISNUMBER(Main_M[[#This Row],[EPS]]),IF(Main_M[[#This Row],[EPS]]&lt;&gt;0,Main_M[[#This Row],[Current Price]]/Main_M[[#This Row],[EPS]],""),"")</f>
        <v>21.214285714285715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-0.57226073696279312</v>
      </c>
      <c r="P81" s="1">
        <f>(Main_M[[#This Row],[P/B]]-VLOOKUP(Main_M[[#This Row],[Industry]], Mean_PB_M, 2, FALSE))/(VLOOKUP(Main_M[[#This Row],[Industry]], Mean_PB_M, 3, FALSE))</f>
        <v>-3.7333760400647318</v>
      </c>
      <c r="Q81" s="1">
        <f>(Main_M[[#This Row],[ROE]]-VLOOKUP(Main_M[[#This Row],[Industry]], Mean_ROE_M, 2, FALSE))/(VLOOKUP(Main_M[[#This Row],[Industry]], Mean_ROE_M, 3, FALSE))</f>
        <v>-0.65006332086706842</v>
      </c>
      <c r="R81" s="1">
        <f>(Main_M[[#This Row],[ROA]]-VLOOKUP(Main_M[[#This Row],[Industry]], Mean_ROA_M, 2, FALSE))/(VLOOKUP(Main_M[[#This Row],[Industry]], Mean_ROA_M, 3, FALSE))</f>
        <v>1.4439037029434705</v>
      </c>
      <c r="S81" s="1">
        <f>(Main_M[[#This Row],[A/E]]-VLOOKUP(Main_M[[#This Row],[Industry]], Mean_AE_M, 2, FALSE))/(VLOOKUP(Main_M[[#This Row],[Industry]], Mean_AE_M, 3, FALSE))</f>
        <v>-7.632845849559855</v>
      </c>
      <c r="T81" s="1">
        <f>(Main_M[[#This Row],[P/E]]-VLOOKUP(Main_M[[#This Row],[Industry]], Mean_PE_M, 2, FALSE))/(VLOOKUP(Main_M[[#This Row],[Industry]], Mean_PE_M, 3, FALSE))</f>
        <v>0.55419231338429276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2" spans="1:26" x14ac:dyDescent="0.25">
      <c r="A82" t="s">
        <v>124</v>
      </c>
      <c r="B82" t="s">
        <v>261</v>
      </c>
      <c r="C82" s="2">
        <v>9176</v>
      </c>
      <c r="D82">
        <f>RTD("tos.rtd", , "LAST", Main_M[[#This Row],[Symbol]])</f>
        <v>114.01</v>
      </c>
      <c r="E82">
        <v>2.4900000000000002</v>
      </c>
      <c r="F82">
        <v>16.18</v>
      </c>
      <c r="G82">
        <v>1.64</v>
      </c>
      <c r="H82" s="1">
        <f>IF(ISNUMBER(Main_M[[#This Row],[Free CF]]),IF(Main_M[[#This Row],[Free CF]]&lt;&gt;0,Main_M[[#This Row],[Current Price]]/Main_M[[#This Row],[Free CF]],""),"")</f>
        <v>45.787148594377506</v>
      </c>
      <c r="I82" s="1">
        <f>IF(ISNUMBER(Main_M[[#This Row],[BVPS]]),IF(Main_M[[#This Row],[BVPS]]&lt;&gt;0,Main_M[[#This Row],[Current Price]]/Main_M[[#This Row],[BVPS]],""),"")</f>
        <v>7.0463535228677383</v>
      </c>
      <c r="J82">
        <v>10.92</v>
      </c>
      <c r="K82">
        <v>7.55</v>
      </c>
      <c r="L82">
        <v>1.19</v>
      </c>
      <c r="M82" s="1">
        <f>IF(ISNUMBER(Main_M[[#This Row],[EPS]]),IF(Main_M[[#This Row],[EPS]]&lt;&gt;0,Main_M[[#This Row],[Current Price]]/Main_M[[#This Row],[EPS]],""),"")</f>
        <v>69.518292682926841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0.68413455465459416</v>
      </c>
      <c r="P82" s="1">
        <f>(Main_M[[#This Row],[P/B]]-VLOOKUP(Main_M[[#This Row],[Industry]], Mean_PB_M, 2, FALSE))/(VLOOKUP(Main_M[[#This Row],[Industry]], Mean_PB_M, 3, FALSE))</f>
        <v>2.9116959233736032E-2</v>
      </c>
      <c r="Q82" s="1">
        <f>(Main_M[[#This Row],[ROE]]-VLOOKUP(Main_M[[#This Row],[Industry]], Mean_ROE_M, 2, FALSE))/(VLOOKUP(Main_M[[#This Row],[Industry]], Mean_ROE_M, 3, FALSE))</f>
        <v>0.16268259864182283</v>
      </c>
      <c r="R82" s="1">
        <f>(Main_M[[#This Row],[ROA]]-VLOOKUP(Main_M[[#This Row],[Industry]], Mean_ROA_M, 2, FALSE))/(VLOOKUP(Main_M[[#This Row],[Industry]], Mean_ROA_M, 3, FALSE))</f>
        <v>1.0296779345312688</v>
      </c>
      <c r="S82" s="1">
        <f>(Main_M[[#This Row],[A/E]]-VLOOKUP(Main_M[[#This Row],[Industry]], Mean_AE_M, 2, FALSE))/(VLOOKUP(Main_M[[#This Row],[Industry]], Mean_AE_M, 3, FALSE))</f>
        <v>-1.0053477508087665</v>
      </c>
      <c r="T82" s="1">
        <f>(Main_M[[#This Row],[P/E]]-VLOOKUP(Main_M[[#This Row],[Industry]], Mean_PE_M, 2, FALSE))/(VLOOKUP(Main_M[[#This Row],[Industry]], Mean_PE_M, 3, FALSE))</f>
        <v>1.3443814919565207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124</v>
      </c>
      <c r="B83" t="s">
        <v>262</v>
      </c>
      <c r="C83" s="2">
        <v>2200</v>
      </c>
      <c r="D83">
        <f>RTD("tos.rtd", , "LAST", Main_M[[#This Row],[Symbol]])</f>
        <v>14.69</v>
      </c>
      <c r="E83">
        <v>0.78</v>
      </c>
      <c r="F83">
        <v>6.49</v>
      </c>
      <c r="G83">
        <v>0.32</v>
      </c>
      <c r="H83" s="1">
        <f>IF(ISNUMBER(Main_M[[#This Row],[Free CF]]),IF(Main_M[[#This Row],[Free CF]]&lt;&gt;0,Main_M[[#This Row],[Current Price]]/Main_M[[#This Row],[Free CF]],""),"")</f>
        <v>18.833333333333332</v>
      </c>
      <c r="I83" s="1">
        <f>IF(ISNUMBER(Main_M[[#This Row],[BVPS]]),IF(Main_M[[#This Row],[BVPS]]&lt;&gt;0,Main_M[[#This Row],[Current Price]]/Main_M[[#This Row],[BVPS]],""),"")</f>
        <v>2.263482280431433</v>
      </c>
      <c r="J83">
        <v>5.21</v>
      </c>
      <c r="K83">
        <v>4.09</v>
      </c>
      <c r="L83">
        <v>1.18</v>
      </c>
      <c r="M83" s="1">
        <f>IF(ISNUMBER(Main_M[[#This Row],[EPS]]),IF(Main_M[[#This Row],[EPS]]&lt;&gt;0,Main_M[[#This Row],[Current Price]]/Main_M[[#This Row],[EPS]],""),"")</f>
        <v>45.90625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-0.28487385097608914</v>
      </c>
      <c r="P83" s="1">
        <f>(Main_M[[#This Row],[P/B]]-VLOOKUP(Main_M[[#This Row],[Industry]], Mean_PB_M, 2, FALSE))/(VLOOKUP(Main_M[[#This Row],[Industry]], Mean_PB_M, 3, FALSE))</f>
        <v>-0.9311937964588004</v>
      </c>
      <c r="Q83" s="1">
        <f>(Main_M[[#This Row],[ROE]]-VLOOKUP(Main_M[[#This Row],[Industry]], Mean_ROE_M, 2, FALSE))/(VLOOKUP(Main_M[[#This Row],[Industry]], Mean_ROE_M, 3, FALSE))</f>
        <v>0.12027781793645211</v>
      </c>
      <c r="R83" s="1">
        <f>(Main_M[[#This Row],[ROA]]-VLOOKUP(Main_M[[#This Row],[Industry]], Mean_ROA_M, 2, FALSE))/(VLOOKUP(Main_M[[#This Row],[Industry]], Mean_ROA_M, 3, FALSE))</f>
        <v>0.55510139191331598</v>
      </c>
      <c r="S83" s="1">
        <f>(Main_M[[#This Row],[A/E]]-VLOOKUP(Main_M[[#This Row],[Industry]], Mean_AE_M, 2, FALSE))/(VLOOKUP(Main_M[[#This Row],[Industry]], Mean_AE_M, 3, FALSE))</f>
        <v>-1.017161472909927</v>
      </c>
      <c r="T83" s="1">
        <f>(Main_M[[#This Row],[P/E]]-VLOOKUP(Main_M[[#This Row],[Industry]], Mean_PE_M, 2, FALSE))/(VLOOKUP(Main_M[[#This Row],[Industry]], Mean_PE_M, 3, FALSE))</f>
        <v>0.95811994176779458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124</v>
      </c>
      <c r="B84" t="s">
        <v>263</v>
      </c>
      <c r="C84" s="2">
        <v>8825</v>
      </c>
      <c r="D84">
        <f>RTD("tos.rtd", , "LAST", Main_M[[#This Row],[Symbol]])</f>
        <v>93.5</v>
      </c>
      <c r="E84">
        <v>2.31</v>
      </c>
      <c r="F84">
        <v>8.23</v>
      </c>
      <c r="G84">
        <v>-1.3</v>
      </c>
      <c r="H84" s="1">
        <f>IF(ISNUMBER(Main_M[[#This Row],[Free CF]]),IF(Main_M[[#This Row],[Free CF]]&lt;&gt;0,Main_M[[#This Row],[Current Price]]/Main_M[[#This Row],[Free CF]],""),"")</f>
        <v>40.476190476190474</v>
      </c>
      <c r="I84" s="1">
        <f>IF(ISNUMBER(Main_M[[#This Row],[BVPS]]),IF(Main_M[[#This Row],[BVPS]]&lt;&gt;0,Main_M[[#This Row],[Current Price]]/Main_M[[#This Row],[BVPS]],""),"")</f>
        <v>11.360874848116646</v>
      </c>
      <c r="J84">
        <v>-16.95</v>
      </c>
      <c r="K84">
        <v>-2.39</v>
      </c>
      <c r="L84">
        <v>2.71</v>
      </c>
      <c r="M84" s="1">
        <f>IF(ISNUMBER(Main_M[[#This Row],[EPS]]),IF(Main_M[[#This Row],[EPS]]&lt;&gt;0,Main_M[[#This Row],[Current Price]]/Main_M[[#This Row],[EPS]],""),"")</f>
        <v>-71.92307692307692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0.49320191641270161</v>
      </c>
      <c r="P84" s="1">
        <f>(Main_M[[#This Row],[P/B]]-VLOOKUP(Main_M[[#This Row],[Industry]], Mean_PB_M, 2, FALSE))/(VLOOKUP(Main_M[[#This Row],[Industry]], Mean_PB_M, 3, FALSE))</f>
        <v>0.89539184398075511</v>
      </c>
      <c r="Q84" s="1">
        <f>(Main_M[[#This Row],[ROE]]-VLOOKUP(Main_M[[#This Row],[Industry]], Mean_ROE_M, 2, FALSE))/(VLOOKUP(Main_M[[#This Row],[Industry]], Mean_ROE_M, 3, FALSE))</f>
        <v>-4.429134851381316E-2</v>
      </c>
      <c r="R84" s="1">
        <f>(Main_M[[#This Row],[ROA]]-VLOOKUP(Main_M[[#This Row],[Industry]], Mean_ROA_M, 2, FALSE))/(VLOOKUP(Main_M[[#This Row],[Industry]], Mean_ROA_M, 3, FALSE))</f>
        <v>-0.33370091911683852</v>
      </c>
      <c r="S84" s="1">
        <f>(Main_M[[#This Row],[A/E]]-VLOOKUP(Main_M[[#This Row],[Industry]], Mean_AE_M, 2, FALSE))/(VLOOKUP(Main_M[[#This Row],[Industry]], Mean_AE_M, 3, FALSE))</f>
        <v>0.7903380085676428</v>
      </c>
      <c r="T84" s="1">
        <f>(Main_M[[#This Row],[P/E]]-VLOOKUP(Main_M[[#This Row],[Industry]], Mean_PE_M, 2, FALSE))/(VLOOKUP(Main_M[[#This Row],[Industry]], Mean_PE_M, 3, FALSE))</f>
        <v>-0.969410813879658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124</v>
      </c>
      <c r="B85" t="s">
        <v>264</v>
      </c>
      <c r="C85" s="2">
        <v>4195</v>
      </c>
      <c r="D85">
        <f>RTD("tos.rtd", , "LAST", Main_M[[#This Row],[Symbol]])</f>
        <v>15.98</v>
      </c>
      <c r="E85">
        <v>0.53</v>
      </c>
      <c r="F85">
        <v>3.56</v>
      </c>
      <c r="G85">
        <v>-0.24</v>
      </c>
      <c r="H85" s="1">
        <f>IF(ISNUMBER(Main_M[[#This Row],[Free CF]]),IF(Main_M[[#This Row],[Free CF]]&lt;&gt;0,Main_M[[#This Row],[Current Price]]/Main_M[[#This Row],[Free CF]],""),"")</f>
        <v>30.150943396226413</v>
      </c>
      <c r="I85" s="1">
        <f>IF(ISNUMBER(Main_M[[#This Row],[BVPS]]),IF(Main_M[[#This Row],[BVPS]]&lt;&gt;0,Main_M[[#This Row],[Current Price]]/Main_M[[#This Row],[BVPS]],""),"")</f>
        <v>4.48876404494382</v>
      </c>
      <c r="J85">
        <v>-6.85</v>
      </c>
      <c r="K85">
        <v>-4.3499999999999996</v>
      </c>
      <c r="L85">
        <v>1.45</v>
      </c>
      <c r="M85" s="1">
        <f>IF(ISNUMBER(Main_M[[#This Row],[EPS]]),IF(Main_M[[#This Row],[EPS]]&lt;&gt;0,Main_M[[#This Row],[Current Price]]/Main_M[[#This Row],[EPS]],""),"")</f>
        <v>-66.583333333333343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0.1220021024420524</v>
      </c>
      <c r="P85" s="1">
        <f>(Main_M[[#This Row],[P/B]]-VLOOKUP(Main_M[[#This Row],[Industry]], Mean_PB_M, 2, FALSE))/(VLOOKUP(Main_M[[#This Row],[Industry]], Mean_PB_M, 3, FALSE))</f>
        <v>-0.48439899379980539</v>
      </c>
      <c r="Q85" s="1">
        <f>(Main_M[[#This Row],[ROE]]-VLOOKUP(Main_M[[#This Row],[Industry]], Mean_ROE_M, 2, FALSE))/(VLOOKUP(Main_M[[#This Row],[Industry]], Mean_ROE_M, 3, FALSE))</f>
        <v>3.0715356411623634E-2</v>
      </c>
      <c r="R85" s="1">
        <f>(Main_M[[#This Row],[ROA]]-VLOOKUP(Main_M[[#This Row],[Industry]], Mean_ROA_M, 2, FALSE))/(VLOOKUP(Main_M[[#This Row],[Industry]], Mean_ROA_M, 3, FALSE))</f>
        <v>-0.60253618603336667</v>
      </c>
      <c r="S85" s="1">
        <f>(Main_M[[#This Row],[A/E]]-VLOOKUP(Main_M[[#This Row],[Industry]], Mean_AE_M, 2, FALSE))/(VLOOKUP(Main_M[[#This Row],[Industry]], Mean_AE_M, 3, FALSE))</f>
        <v>-0.69819097617859116</v>
      </c>
      <c r="T85" s="1">
        <f>(Main_M[[#This Row],[P/E]]-VLOOKUP(Main_M[[#This Row],[Industry]], Mean_PE_M, 2, FALSE))/(VLOOKUP(Main_M[[#This Row],[Industry]], Mean_PE_M, 3, FALSE))</f>
        <v>-0.8820597251034199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124</v>
      </c>
      <c r="B86" t="s">
        <v>265</v>
      </c>
      <c r="C86" s="2">
        <v>5512</v>
      </c>
      <c r="D86">
        <f>RTD("tos.rtd", , "LAST", Main_M[[#This Row],[Symbol]])</f>
        <v>222.4</v>
      </c>
      <c r="E86">
        <v>4.75</v>
      </c>
      <c r="F86">
        <v>36.07</v>
      </c>
      <c r="G86">
        <v>12.66</v>
      </c>
      <c r="H86" s="1">
        <f>IF(ISNUMBER(Main_M[[#This Row],[Free CF]]),IF(Main_M[[#This Row],[Free CF]]&lt;&gt;0,Main_M[[#This Row],[Current Price]]/Main_M[[#This Row],[Free CF]],""),"")</f>
        <v>46.821052631578951</v>
      </c>
      <c r="I86" s="1">
        <f>IF(ISNUMBER(Main_M[[#This Row],[BVPS]]),IF(Main_M[[#This Row],[BVPS]]&lt;&gt;0,Main_M[[#This Row],[Current Price]]/Main_M[[#This Row],[BVPS]],""),"")</f>
        <v>6.1657887441086778</v>
      </c>
      <c r="J86">
        <v>50.29</v>
      </c>
      <c r="K86">
        <v>15.78</v>
      </c>
      <c r="L86">
        <v>1.99</v>
      </c>
      <c r="M86" s="1">
        <f>IF(ISNUMBER(Main_M[[#This Row],[EPS]]),IF(Main_M[[#This Row],[EPS]]&lt;&gt;0,Main_M[[#This Row],[Current Price]]/Main_M[[#This Row],[EPS]],""),"")</f>
        <v>17.567140600315955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0.72130412389593523</v>
      </c>
      <c r="P86" s="1">
        <f>(Main_M[[#This Row],[P/B]]-VLOOKUP(Main_M[[#This Row],[Industry]], Mean_PB_M, 2, FALSE))/(VLOOKUP(Main_M[[#This Row],[Industry]], Mean_PB_M, 3, FALSE))</f>
        <v>-0.14768391732417097</v>
      </c>
      <c r="Q86" s="1">
        <f>(Main_M[[#This Row],[ROE]]-VLOOKUP(Main_M[[#This Row],[Industry]], Mean_ROE_M, 2, FALSE))/(VLOOKUP(Main_M[[#This Row],[Industry]], Mean_ROE_M, 3, FALSE))</f>
        <v>0.45506021972246108</v>
      </c>
      <c r="R86" s="1">
        <f>(Main_M[[#This Row],[ROA]]-VLOOKUP(Main_M[[#This Row],[Industry]], Mean_ROA_M, 2, FALSE))/(VLOOKUP(Main_M[[#This Row],[Industry]], Mean_ROA_M, 3, FALSE))</f>
        <v>2.1585117338797519</v>
      </c>
      <c r="S86" s="1">
        <f>(Main_M[[#This Row],[A/E]]-VLOOKUP(Main_M[[#This Row],[Industry]], Mean_AE_M, 2, FALSE))/(VLOOKUP(Main_M[[#This Row],[Industry]], Mean_AE_M, 3, FALSE))</f>
        <v>-6.0249982715919435E-2</v>
      </c>
      <c r="T86" s="1">
        <f>(Main_M[[#This Row],[P/E]]-VLOOKUP(Main_M[[#This Row],[Industry]], Mean_PE_M, 2, FALSE))/(VLOOKUP(Main_M[[#This Row],[Industry]], Mean_PE_M, 3, FALSE))</f>
        <v>0.49452987992173497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124</v>
      </c>
      <c r="B87" t="s">
        <v>266</v>
      </c>
      <c r="C87" s="2">
        <v>5758</v>
      </c>
      <c r="D87">
        <f>RTD("tos.rtd", , "LAST", Main_M[[#This Row],[Symbol]])</f>
        <v>19.47</v>
      </c>
      <c r="E87">
        <v>1.35</v>
      </c>
      <c r="F87">
        <v>7.6</v>
      </c>
      <c r="G87">
        <v>0.03</v>
      </c>
      <c r="H87" s="1">
        <f>IF(ISNUMBER(Main_M[[#This Row],[Free CF]]),IF(Main_M[[#This Row],[Free CF]]&lt;&gt;0,Main_M[[#This Row],[Current Price]]/Main_M[[#This Row],[Free CF]],""),"")</f>
        <v>14.422222222222221</v>
      </c>
      <c r="I87" s="1">
        <f>IF(ISNUMBER(Main_M[[#This Row],[BVPS]]),IF(Main_M[[#This Row],[BVPS]]&lt;&gt;0,Main_M[[#This Row],[Current Price]]/Main_M[[#This Row],[BVPS]],""),"")</f>
        <v>2.5618421052631577</v>
      </c>
      <c r="J87">
        <v>0.44</v>
      </c>
      <c r="K87">
        <v>1.66</v>
      </c>
      <c r="L87">
        <v>2.29</v>
      </c>
      <c r="M87" s="1">
        <f>IF(ISNUMBER(Main_M[[#This Row],[EPS]]),IF(Main_M[[#This Row],[EPS]]&lt;&gt;0,Main_M[[#This Row],[Current Price]]/Main_M[[#This Row],[EPS]],""),"")</f>
        <v>649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-0.44345636344938943</v>
      </c>
      <c r="P87" s="1">
        <f>(Main_M[[#This Row],[P/B]]-VLOOKUP(Main_M[[#This Row],[Industry]], Mean_PB_M, 2, FALSE))/(VLOOKUP(Main_M[[#This Row],[Industry]], Mean_PB_M, 3, FALSE))</f>
        <v>-0.87128874480064633</v>
      </c>
      <c r="Q87" s="1">
        <f>(Main_M[[#This Row],[ROE]]-VLOOKUP(Main_M[[#This Row],[Industry]], Mean_ROE_M, 2, FALSE))/(VLOOKUP(Main_M[[#This Row],[Industry]], Mean_ROE_M, 3, FALSE))</f>
        <v>8.4853859273646817E-2</v>
      </c>
      <c r="R87" s="1">
        <f>(Main_M[[#This Row],[ROA]]-VLOOKUP(Main_M[[#This Row],[Industry]], Mean_ROA_M, 2, FALSE))/(VLOOKUP(Main_M[[#This Row],[Industry]], Mean_ROA_M, 3, FALSE))</f>
        <v>0.22180052527700805</v>
      </c>
      <c r="S87" s="1">
        <f>(Main_M[[#This Row],[A/E]]-VLOOKUP(Main_M[[#This Row],[Industry]], Mean_AE_M, 2, FALSE))/(VLOOKUP(Main_M[[#This Row],[Industry]], Mean_AE_M, 3, FALSE))</f>
        <v>0.29416168031889822</v>
      </c>
      <c r="T87" s="1">
        <f>(Main_M[[#This Row],[P/E]]-VLOOKUP(Main_M[[#This Row],[Industry]], Mean_PE_M, 2, FALSE))/(VLOOKUP(Main_M[[#This Row],[Industry]], Mean_PE_M, 3, FALSE))</f>
        <v>10.823929940179008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8" spans="1:26" x14ac:dyDescent="0.25">
      <c r="A88" t="s">
        <v>124</v>
      </c>
      <c r="B88" t="s">
        <v>267</v>
      </c>
      <c r="C88" s="2">
        <v>4241</v>
      </c>
      <c r="D88">
        <f>RTD("tos.rtd", , "LAST", Main_M[[#This Row],[Symbol]])</f>
        <v>56.61</v>
      </c>
      <c r="E88">
        <v>1.1399999999999999</v>
      </c>
      <c r="F88">
        <v>5.91</v>
      </c>
      <c r="G88">
        <v>-0.3</v>
      </c>
      <c r="H88" s="1">
        <f>IF(ISNUMBER(Main_M[[#This Row],[Free CF]]),IF(Main_M[[#This Row],[Free CF]]&lt;&gt;0,Main_M[[#This Row],[Current Price]]/Main_M[[#This Row],[Free CF]],""),"")</f>
        <v>49.65789473684211</v>
      </c>
      <c r="I88" s="1">
        <f>IF(ISNUMBER(Main_M[[#This Row],[BVPS]]),IF(Main_M[[#This Row],[BVPS]]&lt;&gt;0,Main_M[[#This Row],[Current Price]]/Main_M[[#This Row],[BVPS]],""),"")</f>
        <v>9.5786802030456855</v>
      </c>
      <c r="J88">
        <v>-5.29</v>
      </c>
      <c r="K88">
        <v>-2.06</v>
      </c>
      <c r="L88">
        <v>1.71</v>
      </c>
      <c r="M88" s="1">
        <f>IF(ISNUMBER(Main_M[[#This Row],[EPS]]),IF(Main_M[[#This Row],[EPS]]&lt;&gt;0,Main_M[[#This Row],[Current Price]]/Main_M[[#This Row],[EPS]],""),"")</f>
        <v>-188.70000000000002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0.82329057066883471</v>
      </c>
      <c r="P88" s="1">
        <f>(Main_M[[#This Row],[P/B]]-VLOOKUP(Main_M[[#This Row],[Industry]], Mean_PB_M, 2, FALSE))/(VLOOKUP(Main_M[[#This Row],[Industry]], Mean_PB_M, 3, FALSE))</f>
        <v>0.53756061674338962</v>
      </c>
      <c r="Q88" s="1">
        <f>(Main_M[[#This Row],[ROE]]-VLOOKUP(Main_M[[#This Row],[Industry]], Mean_ROE_M, 2, FALSE))/(VLOOKUP(Main_M[[#This Row],[Industry]], Mean_ROE_M, 3, FALSE))</f>
        <v>4.2300550439710899E-2</v>
      </c>
      <c r="R88" s="1">
        <f>(Main_M[[#This Row],[ROA]]-VLOOKUP(Main_M[[#This Row],[Industry]], Mean_ROA_M, 2, FALSE))/(VLOOKUP(Main_M[[#This Row],[Industry]], Mean_ROA_M, 3, FALSE))</f>
        <v>-0.28843783846252508</v>
      </c>
      <c r="S88" s="1">
        <f>(Main_M[[#This Row],[A/E]]-VLOOKUP(Main_M[[#This Row],[Industry]], Mean_AE_M, 2, FALSE))/(VLOOKUP(Main_M[[#This Row],[Industry]], Mean_AE_M, 3, FALSE))</f>
        <v>-0.39103420154841589</v>
      </c>
      <c r="T88" s="1">
        <f>(Main_M[[#This Row],[P/E]]-VLOOKUP(Main_M[[#This Row],[Industry]], Mean_PE_M, 2, FALSE))/(VLOOKUP(Main_M[[#This Row],[Industry]], Mean_PE_M, 3, FALSE))</f>
        <v>-2.8797256451575564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124</v>
      </c>
      <c r="B89" t="s">
        <v>268</v>
      </c>
      <c r="C89" s="2">
        <v>9267</v>
      </c>
      <c r="D89">
        <f>RTD("tos.rtd", , "LAST", Main_M[[#This Row],[Symbol]])</f>
        <v>37.5</v>
      </c>
      <c r="E89">
        <v>0.56000000000000005</v>
      </c>
      <c r="F89">
        <v>3.79</v>
      </c>
      <c r="G89">
        <v>-0.17</v>
      </c>
      <c r="H89" s="1">
        <f>IF(ISNUMBER(Main_M[[#This Row],[Free CF]]),IF(Main_M[[#This Row],[Free CF]]&lt;&gt;0,Main_M[[#This Row],[Current Price]]/Main_M[[#This Row],[Free CF]],""),"")</f>
        <v>66.964285714285708</v>
      </c>
      <c r="I89" s="1">
        <f>IF(ISNUMBER(Main_M[[#This Row],[BVPS]]),IF(Main_M[[#This Row],[BVPS]]&lt;&gt;0,Main_M[[#This Row],[Current Price]]/Main_M[[#This Row],[BVPS]],""),"")</f>
        <v>9.8944591029023741</v>
      </c>
      <c r="J89">
        <v>-4.74</v>
      </c>
      <c r="K89">
        <v>-4.45</v>
      </c>
      <c r="L89">
        <v>1.23</v>
      </c>
      <c r="M89" s="1">
        <f>IF(ISNUMBER(Main_M[[#This Row],[EPS]]),IF(Main_M[[#This Row],[EPS]]&lt;&gt;0,Main_M[[#This Row],[Current Price]]/Main_M[[#This Row],[EPS]],""),"")</f>
        <v>-220.58823529411762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1.4454673632994228</v>
      </c>
      <c r="P89" s="1">
        <f>(Main_M[[#This Row],[P/B]]-VLOOKUP(Main_M[[#This Row],[Industry]], Mean_PB_M, 2, FALSE))/(VLOOKUP(Main_M[[#This Row],[Industry]], Mean_PB_M, 3, FALSE))</f>
        <v>0.60096309165481265</v>
      </c>
      <c r="Q89" s="1">
        <f>(Main_M[[#This Row],[ROE]]-VLOOKUP(Main_M[[#This Row],[Industry]], Mean_ROE_M, 2, FALSE))/(VLOOKUP(Main_M[[#This Row],[Industry]], Mean_ROE_M, 3, FALSE))</f>
        <v>4.638507397525448E-2</v>
      </c>
      <c r="R89" s="1">
        <f>(Main_M[[#This Row],[ROA]]-VLOOKUP(Main_M[[#This Row],[Industry]], Mean_ROA_M, 2, FALSE))/(VLOOKUP(Main_M[[#This Row],[Industry]], Mean_ROA_M, 3, FALSE))</f>
        <v>-0.61625227108012837</v>
      </c>
      <c r="S89" s="1">
        <f>(Main_M[[#This Row],[A/E]]-VLOOKUP(Main_M[[#This Row],[Industry]], Mean_AE_M, 2, FALSE))/(VLOOKUP(Main_M[[#This Row],[Industry]], Mean_AE_M, 3, FALSE))</f>
        <v>-0.95809286240412406</v>
      </c>
      <c r="T89" s="1">
        <f>(Main_M[[#This Row],[P/E]]-VLOOKUP(Main_M[[#This Row],[Industry]], Mean_PE_M, 2, FALSE))/(VLOOKUP(Main_M[[#This Row],[Industry]], Mean_PE_M, 3, FALSE))</f>
        <v>-3.401374676666165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0" spans="1:26" x14ac:dyDescent="0.25">
      <c r="A90" t="s">
        <v>124</v>
      </c>
      <c r="B90" t="s">
        <v>269</v>
      </c>
      <c r="C90" s="2">
        <v>3427</v>
      </c>
      <c r="D90">
        <f>RTD("tos.rtd", , "LAST", Main_M[[#This Row],[Symbol]])</f>
        <v>59.62</v>
      </c>
      <c r="E90">
        <v>0.13</v>
      </c>
      <c r="F90">
        <v>1.58</v>
      </c>
      <c r="G90">
        <v>-0.02</v>
      </c>
      <c r="H90" s="1">
        <f>IF(ISNUMBER(Main_M[[#This Row],[Free CF]]),IF(Main_M[[#This Row],[Free CF]]&lt;&gt;0,Main_M[[#This Row],[Current Price]]/Main_M[[#This Row],[Free CF]],""),"")</f>
        <v>458.61538461538458</v>
      </c>
      <c r="I90" s="1">
        <f>IF(ISNUMBER(Main_M[[#This Row],[BVPS]]),IF(Main_M[[#This Row],[BVPS]]&lt;&gt;0,Main_M[[#This Row],[Current Price]]/Main_M[[#This Row],[BVPS]],""),"")</f>
        <v>37.734177215189867</v>
      </c>
      <c r="J90">
        <v>-1.5</v>
      </c>
      <c r="K90">
        <v>-1.28</v>
      </c>
      <c r="L90">
        <v>1.23</v>
      </c>
      <c r="M90" s="1">
        <f>IF(ISNUMBER(Main_M[[#This Row],[EPS]]),IF(Main_M[[#This Row],[EPS]]&lt;&gt;0,Main_M[[#This Row],[Current Price]]/Main_M[[#This Row],[EPS]],""),"")</f>
        <v>-2981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>
        <f>(Main_M[[#This Row],[P/FCF]]-VLOOKUP(Main_M[[#This Row],[Industry]], Mean_PFCF_M, 2, FALSE))/(VLOOKUP(Main_M[[#This Row],[Industry]], Mean_PFCF_M, 3, FALSE))</f>
        <v>15.525596771107672</v>
      </c>
      <c r="P90" s="1">
        <f>(Main_M[[#This Row],[P/B]]-VLOOKUP(Main_M[[#This Row],[Industry]], Mean_PB_M, 2, FALSE))/(VLOOKUP(Main_M[[#This Row],[Industry]], Mean_PB_M, 3, FALSE))</f>
        <v>6.1906558480627387</v>
      </c>
      <c r="Q90" s="1">
        <f>(Main_M[[#This Row],[ROE]]-VLOOKUP(Main_M[[#This Row],[Industry]], Mean_ROE_M, 2, FALSE))/(VLOOKUP(Main_M[[#This Row],[Industry]], Mean_ROE_M, 3, FALSE))</f>
        <v>7.0446630802820348E-2</v>
      </c>
      <c r="R90" s="1">
        <f>(Main_M[[#This Row],[ROA]]-VLOOKUP(Main_M[[#This Row],[Industry]], Mean_ROA_M, 2, FALSE))/(VLOOKUP(Main_M[[#This Row],[Industry]], Mean_ROA_M, 3, FALSE))</f>
        <v>-0.18145237509778425</v>
      </c>
      <c r="S90" s="1">
        <f>(Main_M[[#This Row],[A/E]]-VLOOKUP(Main_M[[#This Row],[Industry]], Mean_AE_M, 2, FALSE))/(VLOOKUP(Main_M[[#This Row],[Industry]], Mean_AE_M, 3, FALSE))</f>
        <v>-0.95809286240412406</v>
      </c>
      <c r="T90" s="1">
        <f>(Main_M[[#This Row],[P/E]]-VLOOKUP(Main_M[[#This Row],[Industry]], Mean_PE_M, 2, FALSE))/(VLOOKUP(Main_M[[#This Row],[Industry]], Mean_PE_M, 3, FALSE))</f>
        <v>-48.558032307369913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1" spans="1:26" x14ac:dyDescent="0.25">
      <c r="A91" t="s">
        <v>124</v>
      </c>
      <c r="B91" t="s">
        <v>270</v>
      </c>
      <c r="C91" s="2">
        <v>4691</v>
      </c>
      <c r="D91">
        <f>RTD("tos.rtd", , "LAST", Main_M[[#This Row],[Symbol]])</f>
        <v>16.37</v>
      </c>
      <c r="E91">
        <v>-6.03</v>
      </c>
      <c r="F91">
        <v>12.13</v>
      </c>
      <c r="G91">
        <v>1.72</v>
      </c>
      <c r="H91" s="1">
        <f>IF(ISNUMBER(Main_M[[#This Row],[Free CF]]),IF(Main_M[[#This Row],[Free CF]]&lt;&gt;0,Main_M[[#This Row],[Current Price]]/Main_M[[#This Row],[Free CF]],""),"")</f>
        <v>-2.714759535655058</v>
      </c>
      <c r="I91" s="1">
        <f>IF(ISNUMBER(Main_M[[#This Row],[BVPS]]),IF(Main_M[[#This Row],[BVPS]]&lt;&gt;0,Main_M[[#This Row],[Current Price]]/Main_M[[#This Row],[BVPS]],""),"")</f>
        <v>1.3495465787304204</v>
      </c>
      <c r="J91">
        <v>18.809999999999999</v>
      </c>
      <c r="K91">
        <v>4.92</v>
      </c>
      <c r="L91">
        <v>1.65</v>
      </c>
      <c r="M91" s="1">
        <f>IF(ISNUMBER(Main_M[[#This Row],[EPS]]),IF(Main_M[[#This Row],[EPS]]&lt;&gt;0,Main_M[[#This Row],[Current Price]]/Main_M[[#This Row],[EPS]],""),"")</f>
        <v>9.5174418604651176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-1.0595427768085743</v>
      </c>
      <c r="P91" s="1">
        <f>(Main_M[[#This Row],[P/B]]-VLOOKUP(Main_M[[#This Row],[Industry]], Mean_PB_M, 2, FALSE))/(VLOOKUP(Main_M[[#This Row],[Industry]], Mean_PB_M, 3, FALSE))</f>
        <v>-1.1146949278645086</v>
      </c>
      <c r="Q91" s="1">
        <f>(Main_M[[#This Row],[ROE]]-VLOOKUP(Main_M[[#This Row],[Industry]], Mean_ROE_M, 2, FALSE))/(VLOOKUP(Main_M[[#This Row],[Industry]], Mean_ROE_M, 3, FALSE))</f>
        <v>0.22127694536080264</v>
      </c>
      <c r="R91" s="1">
        <f>(Main_M[[#This Row],[ROA]]-VLOOKUP(Main_M[[#This Row],[Industry]], Mean_ROA_M, 2, FALSE))/(VLOOKUP(Main_M[[#This Row],[Industry]], Mean_ROA_M, 3, FALSE))</f>
        <v>0.66894489780143762</v>
      </c>
      <c r="S91" s="1">
        <f>(Main_M[[#This Row],[A/E]]-VLOOKUP(Main_M[[#This Row],[Industry]], Mean_AE_M, 2, FALSE))/(VLOOKUP(Main_M[[#This Row],[Industry]], Mean_AE_M, 3, FALSE))</f>
        <v>-0.46191653415537948</v>
      </c>
      <c r="T91" s="1">
        <f>(Main_M[[#This Row],[P/E]]-VLOOKUP(Main_M[[#This Row],[Industry]], Mean_PE_M, 2, FALSE))/(VLOOKUP(Main_M[[#This Row],[Industry]], Mean_PE_M, 3, FALSE))</f>
        <v>0.36284753648538109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124</v>
      </c>
      <c r="B92" t="s">
        <v>271</v>
      </c>
      <c r="C92" s="2">
        <v>2659</v>
      </c>
      <c r="D92">
        <f>RTD("tos.rtd", , "LAST", Main_M[[#This Row],[Symbol]])</f>
        <v>23.91</v>
      </c>
      <c r="E92">
        <v>0.46</v>
      </c>
      <c r="F92">
        <v>9.39</v>
      </c>
      <c r="G92">
        <v>-0.33</v>
      </c>
      <c r="H92" s="1">
        <f>IF(ISNUMBER(Main_M[[#This Row],[Free CF]]),IF(Main_M[[#This Row],[Free CF]]&lt;&gt;0,Main_M[[#This Row],[Current Price]]/Main_M[[#This Row],[Free CF]],""),"")</f>
        <v>51.978260869565219</v>
      </c>
      <c r="I92" s="1">
        <f>IF(ISNUMBER(Main_M[[#This Row],[BVPS]]),IF(Main_M[[#This Row],[BVPS]]&lt;&gt;0,Main_M[[#This Row],[Current Price]]/Main_M[[#This Row],[BVPS]],""),"")</f>
        <v>2.5463258785942489</v>
      </c>
      <c r="J92">
        <v>-3.07</v>
      </c>
      <c r="K92">
        <v>-0.23</v>
      </c>
      <c r="L92">
        <v>1.48</v>
      </c>
      <c r="M92" s="1">
        <f>IF(ISNUMBER(Main_M[[#This Row],[EPS]]),IF(Main_M[[#This Row],[EPS]]&lt;&gt;0,Main_M[[#This Row],[Current Price]]/Main_M[[#This Row],[EPS]],""),"")</f>
        <v>-72.454545454545453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0.90670934700804562</v>
      </c>
      <c r="P92" s="1">
        <f>(Main_M[[#This Row],[P/B]]-VLOOKUP(Main_M[[#This Row],[Industry]], Mean_PB_M, 2, FALSE))/(VLOOKUP(Main_M[[#This Row],[Industry]], Mean_PB_M, 3, FALSE))</f>
        <v>-0.87440411182656819</v>
      </c>
      <c r="Q92" s="1">
        <f>(Main_M[[#This Row],[ROE]]-VLOOKUP(Main_M[[#This Row],[Industry]], Mean_ROE_M, 2, FALSE))/(VLOOKUP(Main_M[[#This Row],[Industry]], Mean_ROE_M, 3, FALSE))</f>
        <v>5.8787172710450468E-2</v>
      </c>
      <c r="R92" s="1">
        <f>(Main_M[[#This Row],[ROA]]-VLOOKUP(Main_M[[#This Row],[Industry]], Mean_ROA_M, 2, FALSE))/(VLOOKUP(Main_M[[#This Row],[Industry]], Mean_ROA_M, 3, FALSE))</f>
        <v>-3.7433482106786993E-2</v>
      </c>
      <c r="S92" s="1">
        <f>(Main_M[[#This Row],[A/E]]-VLOOKUP(Main_M[[#This Row],[Industry]], Mean_AE_M, 2, FALSE))/(VLOOKUP(Main_M[[#This Row],[Industry]], Mean_AE_M, 3, FALSE))</f>
        <v>-0.66274980987510934</v>
      </c>
      <c r="T92" s="1">
        <f>(Main_M[[#This Row],[P/E]]-VLOOKUP(Main_M[[#This Row],[Industry]], Mean_PE_M, 2, FALSE))/(VLOOKUP(Main_M[[#This Row],[Industry]], Mean_PE_M, 3, FALSE))</f>
        <v>-0.97810493075883831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124</v>
      </c>
      <c r="B93" t="s">
        <v>272</v>
      </c>
      <c r="C93" s="2">
        <v>6968</v>
      </c>
      <c r="D93">
        <f>RTD("tos.rtd", , "LAST", Main_M[[#This Row],[Symbol]])</f>
        <v>28.19</v>
      </c>
      <c r="E93">
        <v>2.66</v>
      </c>
      <c r="F93">
        <v>16.059999999999999</v>
      </c>
      <c r="G93">
        <v>2.4500000000000002</v>
      </c>
      <c r="H93" s="1">
        <f>IF(ISNUMBER(Main_M[[#This Row],[Free CF]]),IF(Main_M[[#This Row],[Free CF]]&lt;&gt;0,Main_M[[#This Row],[Current Price]]/Main_M[[#This Row],[Free CF]],""),"")</f>
        <v>10.597744360902256</v>
      </c>
      <c r="I93" s="1">
        <f>IF(ISNUMBER(Main_M[[#This Row],[BVPS]]),IF(Main_M[[#This Row],[BVPS]]&lt;&gt;0,Main_M[[#This Row],[Current Price]]/Main_M[[#This Row],[BVPS]],""),"")</f>
        <v>1.7552926525529267</v>
      </c>
      <c r="J93">
        <v>15.87</v>
      </c>
      <c r="K93">
        <v>4.16</v>
      </c>
      <c r="L93">
        <v>3.33</v>
      </c>
      <c r="M93" s="1">
        <f>IF(ISNUMBER(Main_M[[#This Row],[EPS]]),IF(Main_M[[#This Row],[EPS]]&lt;&gt;0,Main_M[[#This Row],[Current Price]]/Main_M[[#This Row],[EPS]],""),"")</f>
        <v>11.506122448979591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-0.58094900257583049</v>
      </c>
      <c r="P93" s="1">
        <f>(Main_M[[#This Row],[P/B]]-VLOOKUP(Main_M[[#This Row],[Industry]], Mean_PB_M, 2, FALSE))/(VLOOKUP(Main_M[[#This Row],[Industry]], Mean_PB_M, 3, FALSE))</f>
        <v>-1.0332287333923167</v>
      </c>
      <c r="Q93" s="1">
        <f>(Main_M[[#This Row],[ROE]]-VLOOKUP(Main_M[[#This Row],[Industry]], Mean_ROE_M, 2, FALSE))/(VLOOKUP(Main_M[[#This Row],[Industry]], Mean_ROE_M, 3, FALSE))</f>
        <v>0.1994433104617151</v>
      </c>
      <c r="R93" s="1">
        <f>(Main_M[[#This Row],[ROA]]-VLOOKUP(Main_M[[#This Row],[Industry]], Mean_ROA_M, 2, FALSE))/(VLOOKUP(Main_M[[#This Row],[Industry]], Mean_ROA_M, 3, FALSE))</f>
        <v>0.56470265144604914</v>
      </c>
      <c r="S93" s="1">
        <f>(Main_M[[#This Row],[A/E]]-VLOOKUP(Main_M[[#This Row],[Industry]], Mean_AE_M, 2, FALSE))/(VLOOKUP(Main_M[[#This Row],[Industry]], Mean_AE_M, 3, FALSE))</f>
        <v>1.5227887788395993</v>
      </c>
      <c r="T93" s="1">
        <f>(Main_M[[#This Row],[P/E]]-VLOOKUP(Main_M[[#This Row],[Industry]], Mean_PE_M, 2, FALSE))/(VLOOKUP(Main_M[[#This Row],[Industry]], Mean_PE_M, 3, FALSE))</f>
        <v>0.39537970057067023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124</v>
      </c>
      <c r="B94" t="s">
        <v>273</v>
      </c>
      <c r="C94" s="2">
        <v>9617</v>
      </c>
      <c r="D94">
        <f>RTD("tos.rtd", , "LAST", Main_M[[#This Row],[Symbol]])</f>
        <v>72.400000000000006</v>
      </c>
      <c r="E94">
        <v>0.76</v>
      </c>
      <c r="F94">
        <v>7.92</v>
      </c>
      <c r="G94">
        <v>-0.86</v>
      </c>
      <c r="H94" s="1">
        <f>IF(ISNUMBER(Main_M[[#This Row],[Free CF]]),IF(Main_M[[#This Row],[Free CF]]&lt;&gt;0,Main_M[[#This Row],[Current Price]]/Main_M[[#This Row],[Free CF]],""),"")</f>
        <v>95.26315789473685</v>
      </c>
      <c r="I94" s="1">
        <f>IF(ISNUMBER(Main_M[[#This Row],[BVPS]]),IF(Main_M[[#This Row],[BVPS]]&lt;&gt;0,Main_M[[#This Row],[Current Price]]/Main_M[[#This Row],[BVPS]],""),"")</f>
        <v>9.1414141414141419</v>
      </c>
      <c r="J94">
        <v>-10.78</v>
      </c>
      <c r="K94">
        <v>-4.8899999999999997</v>
      </c>
      <c r="L94">
        <v>1.65</v>
      </c>
      <c r="M94" s="1">
        <f>IF(ISNUMBER(Main_M[[#This Row],[EPS]]),IF(Main_M[[#This Row],[EPS]]&lt;&gt;0,Main_M[[#This Row],[Current Price]]/Main_M[[#This Row],[EPS]],""),"")</f>
        <v>-84.186046511627922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2.4628315007006951</v>
      </c>
      <c r="P94" s="1">
        <f>(Main_M[[#This Row],[P/B]]-VLOOKUP(Main_M[[#This Row],[Industry]], Mean_PB_M, 2, FALSE))/(VLOOKUP(Main_M[[#This Row],[Industry]], Mean_PB_M, 3, FALSE))</f>
        <v>0.44976580045011394</v>
      </c>
      <c r="Q94" s="1">
        <f>(Main_M[[#This Row],[ROE]]-VLOOKUP(Main_M[[#This Row],[Industry]], Mean_ROE_M, 2, FALSE))/(VLOOKUP(Main_M[[#This Row],[Industry]], Mean_ROE_M, 3, FALSE))</f>
        <v>1.529579148557635E-3</v>
      </c>
      <c r="R94" s="1">
        <f>(Main_M[[#This Row],[ROA]]-VLOOKUP(Main_M[[#This Row],[Industry]], Mean_ROA_M, 2, FALSE))/(VLOOKUP(Main_M[[#This Row],[Industry]], Mean_ROA_M, 3, FALSE))</f>
        <v>-0.67660304528587956</v>
      </c>
      <c r="S94" s="1">
        <f>(Main_M[[#This Row],[A/E]]-VLOOKUP(Main_M[[#This Row],[Industry]], Mean_AE_M, 2, FALSE))/(VLOOKUP(Main_M[[#This Row],[Industry]], Mean_AE_M, 3, FALSE))</f>
        <v>-0.46191653415537948</v>
      </c>
      <c r="T94" s="1">
        <f>(Main_M[[#This Row],[P/E]]-VLOOKUP(Main_M[[#This Row],[Industry]], Mean_PE_M, 2, FALSE))/(VLOOKUP(Main_M[[#This Row],[Industry]], Mean_PE_M, 3, FALSE))</f>
        <v>-1.1700166533149683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5" spans="1:26" x14ac:dyDescent="0.25">
      <c r="A95" t="s">
        <v>124</v>
      </c>
      <c r="B95" t="s">
        <v>274</v>
      </c>
      <c r="C95" s="2">
        <v>7919</v>
      </c>
      <c r="D95">
        <f>RTD("tos.rtd", , "LAST", Main_M[[#This Row],[Symbol]])</f>
        <v>98.18</v>
      </c>
      <c r="E95">
        <v>4.21</v>
      </c>
      <c r="F95">
        <v>7.14</v>
      </c>
      <c r="G95">
        <v>2.14</v>
      </c>
      <c r="H95" s="1">
        <f>IF(ISNUMBER(Main_M[[#This Row],[Free CF]]),IF(Main_M[[#This Row],[Free CF]]&lt;&gt;0,Main_M[[#This Row],[Current Price]]/Main_M[[#This Row],[Free CF]],""),"")</f>
        <v>23.320665083135395</v>
      </c>
      <c r="I95" s="1">
        <f>IF(ISNUMBER(Main_M[[#This Row],[BVPS]]),IF(Main_M[[#This Row],[BVPS]]&lt;&gt;0,Main_M[[#This Row],[Current Price]]/Main_M[[#This Row],[BVPS]],""),"")</f>
        <v>13.750700280112046</v>
      </c>
      <c r="J95">
        <v>39.29</v>
      </c>
      <c r="K95">
        <v>12.16</v>
      </c>
      <c r="L95">
        <v>2.16</v>
      </c>
      <c r="M95" s="1">
        <f>IF(ISNUMBER(Main_M[[#This Row],[EPS]]),IF(Main_M[[#This Row],[EPS]]&lt;&gt;0,Main_M[[#This Row],[Current Price]]/Main_M[[#This Row],[EPS]],""),"")</f>
        <v>45.878504672897193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-0.12355115352864834</v>
      </c>
      <c r="P95" s="1">
        <f>(Main_M[[#This Row],[P/B]]-VLOOKUP(Main_M[[#This Row],[Industry]], Mean_PB_M, 2, FALSE))/(VLOOKUP(Main_M[[#This Row],[Industry]], Mean_PB_M, 3, FALSE))</f>
        <v>1.3752239260594954</v>
      </c>
      <c r="Q95" s="1">
        <f>(Main_M[[#This Row],[ROE]]-VLOOKUP(Main_M[[#This Row],[Industry]], Mean_ROE_M, 2, FALSE))/(VLOOKUP(Main_M[[#This Row],[Industry]], Mean_ROE_M, 3, FALSE))</f>
        <v>0.37336974901158931</v>
      </c>
      <c r="R95" s="1">
        <f>(Main_M[[#This Row],[ROA]]-VLOOKUP(Main_M[[#This Row],[Industry]], Mean_ROA_M, 2, FALSE))/(VLOOKUP(Main_M[[#This Row],[Industry]], Mean_ROA_M, 3, FALSE))</f>
        <v>1.6619894551869807</v>
      </c>
      <c r="S95" s="1">
        <f>(Main_M[[#This Row],[A/E]]-VLOOKUP(Main_M[[#This Row],[Industry]], Mean_AE_M, 2, FALSE))/(VLOOKUP(Main_M[[#This Row],[Industry]], Mean_AE_M, 3, FALSE))</f>
        <v>0.1405832930038107</v>
      </c>
      <c r="T95" s="1">
        <f>(Main_M[[#This Row],[P/E]]-VLOOKUP(Main_M[[#This Row],[Industry]], Mean_PE_M, 2, FALSE))/(VLOOKUP(Main_M[[#This Row],[Industry]], Mean_PE_M, 3, FALSE))</f>
        <v>0.95766606519298336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124</v>
      </c>
      <c r="B96" t="s">
        <v>275</v>
      </c>
      <c r="C96" s="2">
        <v>5294</v>
      </c>
      <c r="D96">
        <f>RTD("tos.rtd", , "LAST", Main_M[[#This Row],[Symbol]])</f>
        <v>17.95</v>
      </c>
      <c r="E96">
        <v>-1.07</v>
      </c>
      <c r="F96">
        <v>2.72</v>
      </c>
      <c r="G96">
        <v>-2.4</v>
      </c>
      <c r="H96" s="1">
        <f>IF(ISNUMBER(Main_M[[#This Row],[Free CF]]),IF(Main_M[[#This Row],[Free CF]]&lt;&gt;0,Main_M[[#This Row],[Current Price]]/Main_M[[#This Row],[Free CF]],""),"")</f>
        <v>-16.775700934579437</v>
      </c>
      <c r="I96" s="1">
        <f>IF(ISNUMBER(Main_M[[#This Row],[BVPS]]),IF(Main_M[[#This Row],[BVPS]]&lt;&gt;0,Main_M[[#This Row],[Current Price]]/Main_M[[#This Row],[BVPS]],""),"")</f>
        <v>6.5992647058823524</v>
      </c>
      <c r="J96">
        <v>-33.06</v>
      </c>
      <c r="K96">
        <v>-19.850000000000001</v>
      </c>
      <c r="L96">
        <v>1.1000000000000001</v>
      </c>
      <c r="M96" s="1">
        <f>IF(ISNUMBER(Main_M[[#This Row],[EPS]]),IF(Main_M[[#This Row],[EPS]]&lt;&gt;0,Main_M[[#This Row],[Current Price]]/Main_M[[#This Row],[EPS]],""),"")</f>
        <v>-7.479166666666667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-1.5650433998068469</v>
      </c>
      <c r="P96" s="1">
        <f>(Main_M[[#This Row],[P/B]]-VLOOKUP(Main_M[[#This Row],[Industry]], Mean_PB_M, 2, FALSE))/(VLOOKUP(Main_M[[#This Row],[Industry]], Mean_PB_M, 3, FALSE))</f>
        <v>-6.0650081930060412E-2</v>
      </c>
      <c r="Q96" s="1">
        <f>(Main_M[[#This Row],[ROE]]-VLOOKUP(Main_M[[#This Row],[Industry]], Mean_ROE_M, 2, FALSE))/(VLOOKUP(Main_M[[#This Row],[Industry]], Mean_ROE_M, 3, FALSE))</f>
        <v>-0.16393075607309901</v>
      </c>
      <c r="R96" s="1">
        <f>(Main_M[[#This Row],[ROA]]-VLOOKUP(Main_M[[#This Row],[Industry]], Mean_ROA_M, 2, FALSE))/(VLOOKUP(Main_M[[#This Row],[Industry]], Mean_ROA_M, 3, FALSE))</f>
        <v>-2.7285293682814218</v>
      </c>
      <c r="S96" s="1">
        <f>(Main_M[[#This Row],[A/E]]-VLOOKUP(Main_M[[#This Row],[Industry]], Mean_AE_M, 2, FALSE))/(VLOOKUP(Main_M[[#This Row],[Industry]], Mean_AE_M, 3, FALSE))</f>
        <v>-1.1116712497192116</v>
      </c>
      <c r="T96" s="1">
        <f>(Main_M[[#This Row],[P/E]]-VLOOKUP(Main_M[[#This Row],[Industry]], Mean_PE_M, 2, FALSE))/(VLOOKUP(Main_M[[#This Row],[Industry]], Mean_PE_M, 3, FALSE))</f>
        <v>8.480567260259661E-2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124</v>
      </c>
      <c r="B97" t="s">
        <v>276</v>
      </c>
      <c r="C97" s="2">
        <v>2007</v>
      </c>
      <c r="D97">
        <f>RTD("tos.rtd", , "LAST", Main_M[[#This Row],[Symbol]])</f>
        <v>10.73</v>
      </c>
      <c r="E97">
        <v>-0.23</v>
      </c>
      <c r="F97">
        <v>0.23</v>
      </c>
      <c r="G97">
        <v>-0.75</v>
      </c>
      <c r="H97" s="1">
        <f>IF(ISNUMBER(Main_M[[#This Row],[Free CF]]),IF(Main_M[[#This Row],[Free CF]]&lt;&gt;0,Main_M[[#This Row],[Current Price]]/Main_M[[#This Row],[Free CF]],""),"")</f>
        <v>-46.652173913043477</v>
      </c>
      <c r="I97" s="1">
        <f>IF(ISNUMBER(Main_M[[#This Row],[BVPS]]),IF(Main_M[[#This Row],[BVPS]]&lt;&gt;0,Main_M[[#This Row],[Current Price]]/Main_M[[#This Row],[BVPS]],""),"")</f>
        <v>46.652173913043477</v>
      </c>
      <c r="J97">
        <v>-753.98</v>
      </c>
      <c r="K97">
        <v>-37.24</v>
      </c>
      <c r="L97">
        <v>3.19</v>
      </c>
      <c r="M97" s="1">
        <f>IF(ISNUMBER(Main_M[[#This Row],[EPS]]),IF(Main_M[[#This Row],[EPS]]&lt;&gt;0,Main_M[[#This Row],[Current Price]]/Main_M[[#This Row],[EPS]],""),"")</f>
        <v>-14.306666666666667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-2.639123383154188</v>
      </c>
      <c r="P97" s="1">
        <f>(Main_M[[#This Row],[P/B]]-VLOOKUP(Main_M[[#This Row],[Industry]], Mean_PB_M, 2, FALSE))/(VLOOKUP(Main_M[[#This Row],[Industry]], Mean_PB_M, 3, FALSE))</f>
        <v>7.9812221656742874</v>
      </c>
      <c r="Q97" s="1">
        <f>(Main_M[[#This Row],[ROE]]-VLOOKUP(Main_M[[#This Row],[Industry]], Mean_ROE_M, 2, FALSE))/(VLOOKUP(Main_M[[#This Row],[Industry]], Mean_ROE_M, 3, FALSE))</f>
        <v>-5.5177756783350684</v>
      </c>
      <c r="R97" s="1">
        <f>(Main_M[[#This Row],[ROA]]-VLOOKUP(Main_M[[#This Row],[Industry]], Mean_ROA_M, 2, FALSE))/(VLOOKUP(Main_M[[#This Row],[Industry]], Mean_ROA_M, 3, FALSE))</f>
        <v>-5.1137565579132715</v>
      </c>
      <c r="S97" s="1">
        <f>(Main_M[[#This Row],[A/E]]-VLOOKUP(Main_M[[#This Row],[Industry]], Mean_AE_M, 2, FALSE))/(VLOOKUP(Main_M[[#This Row],[Industry]], Mean_AE_M, 3, FALSE))</f>
        <v>1.3573966694233508</v>
      </c>
      <c r="T97" s="1">
        <f>(Main_M[[#This Row],[P/E]]-VLOOKUP(Main_M[[#This Row],[Industry]], Mean_PE_M, 2, FALSE))/(VLOOKUP(Main_M[[#This Row],[Industry]], Mean_PE_M, 3, FALSE))</f>
        <v>-2.6883128291381418E-2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8" spans="1:26" x14ac:dyDescent="0.25">
      <c r="A98" t="s">
        <v>124</v>
      </c>
      <c r="B98" t="s">
        <v>277</v>
      </c>
      <c r="C98" s="2">
        <v>5004</v>
      </c>
      <c r="D98">
        <f>RTD("tos.rtd", , "LAST", Main_M[[#This Row],[Symbol]])</f>
        <v>92.73</v>
      </c>
      <c r="E98">
        <v>1.78</v>
      </c>
      <c r="F98">
        <v>8.5299999999999994</v>
      </c>
      <c r="G98">
        <v>-0.64</v>
      </c>
      <c r="H98" s="1">
        <f>IF(ISNUMBER(Main_M[[#This Row],[Free CF]]),IF(Main_M[[#This Row],[Free CF]]&lt;&gt;0,Main_M[[#This Row],[Current Price]]/Main_M[[#This Row],[Free CF]],""),"")</f>
        <v>52.09550561797753</v>
      </c>
      <c r="I98" s="1">
        <f>IF(ISNUMBER(Main_M[[#This Row],[BVPS]]),IF(Main_M[[#This Row],[BVPS]]&lt;&gt;0,Main_M[[#This Row],[Current Price]]/Main_M[[#This Row],[BVPS]],""),"")</f>
        <v>10.871043376318875</v>
      </c>
      <c r="J98">
        <v>-7.98</v>
      </c>
      <c r="K98">
        <v>-2.12</v>
      </c>
      <c r="L98">
        <v>2.5</v>
      </c>
      <c r="M98" s="1">
        <f>IF(ISNUMBER(Main_M[[#This Row],[EPS]]),IF(Main_M[[#This Row],[EPS]]&lt;&gt;0,Main_M[[#This Row],[Current Price]]/Main_M[[#This Row],[EPS]],""),"")</f>
        <v>-144.890625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0.91092437725987729</v>
      </c>
      <c r="P98" s="1">
        <f>(Main_M[[#This Row],[P/B]]-VLOOKUP(Main_M[[#This Row],[Industry]], Mean_PB_M, 2, FALSE))/(VLOOKUP(Main_M[[#This Row],[Industry]], Mean_PB_M, 3, FALSE))</f>
        <v>0.79704288014695202</v>
      </c>
      <c r="Q98" s="1">
        <f>(Main_M[[#This Row],[ROE]]-VLOOKUP(Main_M[[#This Row],[Industry]], Mean_ROE_M, 2, FALSE))/(VLOOKUP(Main_M[[#This Row],[Industry]], Mean_ROE_M, 3, FALSE))</f>
        <v>2.2323517147688619E-2</v>
      </c>
      <c r="R98" s="1">
        <f>(Main_M[[#This Row],[ROA]]-VLOOKUP(Main_M[[#This Row],[Industry]], Mean_ROA_M, 2, FALSE))/(VLOOKUP(Main_M[[#This Row],[Industry]], Mean_ROA_M, 3, FALSE))</f>
        <v>-0.29666748949058208</v>
      </c>
      <c r="S98" s="1">
        <f>(Main_M[[#This Row],[A/E]]-VLOOKUP(Main_M[[#This Row],[Industry]], Mean_AE_M, 2, FALSE))/(VLOOKUP(Main_M[[#This Row],[Industry]], Mean_AE_M, 3, FALSE))</f>
        <v>0.54224984444327051</v>
      </c>
      <c r="T98" s="1">
        <f>(Main_M[[#This Row],[P/E]]-VLOOKUP(Main_M[[#This Row],[Industry]], Mean_PE_M, 2, FALSE))/(VLOOKUP(Main_M[[#This Row],[Industry]], Mean_PE_M, 3, FALSE))</f>
        <v>-2.163062655532566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124</v>
      </c>
      <c r="B99" t="s">
        <v>278</v>
      </c>
      <c r="C99" s="2">
        <v>2801</v>
      </c>
      <c r="D99">
        <f>RTD("tos.rtd", , "LAST", Main_M[[#This Row],[Symbol]])</f>
        <v>9.06</v>
      </c>
      <c r="E99">
        <v>-2.95</v>
      </c>
      <c r="F99">
        <v>8.41</v>
      </c>
      <c r="G99">
        <v>-1.36</v>
      </c>
      <c r="H99" s="1">
        <f>IF(ISNUMBER(Main_M[[#This Row],[Free CF]]),IF(Main_M[[#This Row],[Free CF]]&lt;&gt;0,Main_M[[#This Row],[Current Price]]/Main_M[[#This Row],[Free CF]],""),"")</f>
        <v>-3.0711864406779661</v>
      </c>
      <c r="I99" s="1">
        <f>IF(ISNUMBER(Main_M[[#This Row],[BVPS]]),IF(Main_M[[#This Row],[BVPS]]&lt;&gt;0,Main_M[[#This Row],[Current Price]]/Main_M[[#This Row],[BVPS]],""),"")</f>
        <v>1.0772889417360285</v>
      </c>
      <c r="J99">
        <v>-14.71</v>
      </c>
      <c r="K99">
        <v>-7.42</v>
      </c>
      <c r="L99">
        <v>1.26</v>
      </c>
      <c r="M99" s="1">
        <f>IF(ISNUMBER(Main_M[[#This Row],[EPS]]),IF(Main_M[[#This Row],[EPS]]&lt;&gt;0,Main_M[[#This Row],[Current Price]]/Main_M[[#This Row],[EPS]],""),"")</f>
        <v>-6.6617647058823533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-1.0723565719472277</v>
      </c>
      <c r="P99" s="1">
        <f>(Main_M[[#This Row],[P/B]]-VLOOKUP(Main_M[[#This Row],[Industry]], Mean_PB_M, 2, FALSE))/(VLOOKUP(Main_M[[#This Row],[Industry]], Mean_PB_M, 3, FALSE))</f>
        <v>-1.1693591502264657</v>
      </c>
      <c r="Q99" s="1">
        <f>(Main_M[[#This Row],[ROE]]-VLOOKUP(Main_M[[#This Row],[Industry]], Mean_ROE_M, 2, FALSE))/(VLOOKUP(Main_M[[#This Row],[Industry]], Mean_ROE_M, 3, FALSE))</f>
        <v>-2.7656198114508375E-2</v>
      </c>
      <c r="R99" s="1">
        <f>(Main_M[[#This Row],[ROA]]-VLOOKUP(Main_M[[#This Row],[Industry]], Mean_ROA_M, 2, FALSE))/(VLOOKUP(Main_M[[#This Row],[Industry]], Mean_ROA_M, 3, FALSE))</f>
        <v>-1.0236199969689492</v>
      </c>
      <c r="S99" s="1">
        <f>(Main_M[[#This Row],[A/E]]-VLOOKUP(Main_M[[#This Row],[Industry]], Mean_AE_M, 2, FALSE))/(VLOOKUP(Main_M[[#This Row],[Industry]], Mean_AE_M, 3, FALSE))</f>
        <v>-0.92265169610064224</v>
      </c>
      <c r="T99" s="1">
        <f>(Main_M[[#This Row],[P/E]]-VLOOKUP(Main_M[[#This Row],[Industry]], Mean_PE_M, 2, FALSE))/(VLOOKUP(Main_M[[#This Row],[Industry]], Mean_PE_M, 3, FALSE))</f>
        <v>9.81772793178491E-2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124</v>
      </c>
      <c r="B100" t="s">
        <v>279</v>
      </c>
      <c r="C100" s="2">
        <v>2360</v>
      </c>
      <c r="D100">
        <f>RTD("tos.rtd", , "LAST", Main_M[[#This Row],[Symbol]])</f>
        <v>28.34</v>
      </c>
      <c r="E100">
        <v>4.34</v>
      </c>
      <c r="F100">
        <v>-6.07</v>
      </c>
      <c r="G100">
        <v>-0.63</v>
      </c>
      <c r="H100" s="1">
        <f>IF(ISNUMBER(Main_M[[#This Row],[Free CF]]),IF(Main_M[[#This Row],[Free CF]]&lt;&gt;0,Main_M[[#This Row],[Current Price]]/Main_M[[#This Row],[Free CF]],""),"")</f>
        <v>6.5299539170506913</v>
      </c>
      <c r="I100" s="1">
        <f>IF(ISNUMBER(Main_M[[#This Row],[BVPS]]),IF(Main_M[[#This Row],[BVPS]]&lt;&gt;0,Main_M[[#This Row],[Current Price]]/Main_M[[#This Row],[BVPS]],""),"")</f>
        <v>-4.6688632619439865</v>
      </c>
      <c r="J100">
        <v>17.809999999999999</v>
      </c>
      <c r="K100">
        <v>0.47</v>
      </c>
      <c r="L100">
        <v>-3.23</v>
      </c>
      <c r="M100" s="1">
        <f>IF(ISNUMBER(Main_M[[#This Row],[EPS]]),IF(Main_M[[#This Row],[EPS]]&lt;&gt;0,Main_M[[#This Row],[Current Price]]/Main_M[[#This Row],[EPS]],""),"")</f>
        <v>-44.984126984126981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-0.72718889827375899</v>
      </c>
      <c r="P100" s="1">
        <f>(Main_M[[#This Row],[P/B]]-VLOOKUP(Main_M[[#This Row],[Industry]], Mean_PB_M, 2, FALSE))/(VLOOKUP(Main_M[[#This Row],[Industry]], Mean_PB_M, 3, FALSE))</f>
        <v>-2.3230786390725582</v>
      </c>
      <c r="Q100" s="1">
        <f>(Main_M[[#This Row],[ROE]]-VLOOKUP(Main_M[[#This Row],[Industry]], Mean_ROE_M, 2, FALSE))/(VLOOKUP(Main_M[[#This Row],[Industry]], Mean_ROE_M, 3, FALSE))</f>
        <v>0.21385053893254158</v>
      </c>
      <c r="R100" s="1">
        <f>(Main_M[[#This Row],[ROA]]-VLOOKUP(Main_M[[#This Row],[Industry]], Mean_ROA_M, 2, FALSE))/(VLOOKUP(Main_M[[#This Row],[Industry]], Mean_ROA_M, 3, FALSE))</f>
        <v>5.8579113220544508E-2</v>
      </c>
      <c r="S100" s="1">
        <f>(Main_M[[#This Row],[A/E]]-VLOOKUP(Main_M[[#This Row],[Industry]], Mean_AE_M, 2, FALSE))/(VLOOKUP(Main_M[[#This Row],[Industry]], Mean_AE_M, 3, FALSE))</f>
        <v>-6.2270129195217461</v>
      </c>
      <c r="T100" s="1">
        <f>(Main_M[[#This Row],[P/E]]-VLOOKUP(Main_M[[#This Row],[Industry]], Mean_PE_M, 2, FALSE))/(VLOOKUP(Main_M[[#This Row],[Industry]], Mean_PE_M, 3, FALSE))</f>
        <v>-0.52872549479884934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124</v>
      </c>
      <c r="B101" t="s">
        <v>280</v>
      </c>
      <c r="C101" s="2">
        <v>3673</v>
      </c>
      <c r="D101">
        <f>RTD("tos.rtd", , "LAST", Main_M[[#This Row],[Symbol]])</f>
        <v>11.26</v>
      </c>
      <c r="E101">
        <v>-0.32</v>
      </c>
      <c r="F101">
        <v>0.46</v>
      </c>
      <c r="G101">
        <v>-1.04</v>
      </c>
      <c r="H101" s="1">
        <f>IF(ISNUMBER(Main_M[[#This Row],[Free CF]]),IF(Main_M[[#This Row],[Free CF]]&lt;&gt;0,Main_M[[#This Row],[Current Price]]/Main_M[[#This Row],[Free CF]],""),"")</f>
        <v>-35.1875</v>
      </c>
      <c r="I101" s="1">
        <f>IF(ISNUMBER(Main_M[[#This Row],[BVPS]]),IF(Main_M[[#This Row],[BVPS]]&lt;&gt;0,Main_M[[#This Row],[Current Price]]/Main_M[[#This Row],[BVPS]],""),"")</f>
        <v>24.478260869565215</v>
      </c>
      <c r="J101">
        <v>-332.68</v>
      </c>
      <c r="K101">
        <v>-19.82</v>
      </c>
      <c r="L101">
        <v>3.03</v>
      </c>
      <c r="M101" s="1">
        <f>IF(ISNUMBER(Main_M[[#This Row],[EPS]]),IF(Main_M[[#This Row],[EPS]]&lt;&gt;0,Main_M[[#This Row],[Current Price]]/Main_M[[#This Row],[EPS]],""),"")</f>
        <v>-10.826923076923077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-2.2269603820368622</v>
      </c>
      <c r="P101" s="1">
        <f>(Main_M[[#This Row],[P/B]]-VLOOKUP(Main_M[[#This Row],[Industry]], Mean_PB_M, 2, FALSE))/(VLOOKUP(Main_M[[#This Row],[Industry]], Mean_PB_M, 3, FALSE))</f>
        <v>3.5291167018030682</v>
      </c>
      <c r="Q101" s="1">
        <f>(Main_M[[#This Row],[ROE]]-VLOOKUP(Main_M[[#This Row],[Industry]], Mean_ROE_M, 2, FALSE))/(VLOOKUP(Main_M[[#This Row],[Industry]], Mean_ROE_M, 3, FALSE))</f>
        <v>-2.3890306501086807</v>
      </c>
      <c r="R101" s="1">
        <f>(Main_M[[#This Row],[ROA]]-VLOOKUP(Main_M[[#This Row],[Industry]], Mean_ROA_M, 2, FALSE))/(VLOOKUP(Main_M[[#This Row],[Industry]], Mean_ROA_M, 3, FALSE))</f>
        <v>-2.7244145427673931</v>
      </c>
      <c r="S101" s="1">
        <f>(Main_M[[#This Row],[A/E]]-VLOOKUP(Main_M[[#This Row],[Industry]], Mean_AE_M, 2, FALSE))/(VLOOKUP(Main_M[[#This Row],[Industry]], Mean_AE_M, 3, FALSE))</f>
        <v>1.1683771158047813</v>
      </c>
      <c r="T101" s="1">
        <f>(Main_M[[#This Row],[P/E]]-VLOOKUP(Main_M[[#This Row],[Industry]], Mean_PE_M, 2, FALSE))/(VLOOKUP(Main_M[[#This Row],[Industry]], Mean_PE_M, 3, FALSE))</f>
        <v>3.0040839333220295E-2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124</v>
      </c>
      <c r="B102" t="s">
        <v>281</v>
      </c>
      <c r="C102" s="2">
        <v>5387</v>
      </c>
      <c r="D102">
        <f>RTD("tos.rtd", , "LAST", Main_M[[#This Row],[Symbol]])</f>
        <v>152.66999999999999</v>
      </c>
      <c r="E102">
        <v>3.75</v>
      </c>
      <c r="F102">
        <v>24.23</v>
      </c>
      <c r="G102">
        <v>2.14</v>
      </c>
      <c r="H102" s="1">
        <f>IF(ISNUMBER(Main_M[[#This Row],[Free CF]]),IF(Main_M[[#This Row],[Free CF]]&lt;&gt;0,Main_M[[#This Row],[Current Price]]/Main_M[[#This Row],[Free CF]],""),"")</f>
        <v>40.711999999999996</v>
      </c>
      <c r="I102" s="1">
        <f>IF(ISNUMBER(Main_M[[#This Row],[BVPS]]),IF(Main_M[[#This Row],[BVPS]]&lt;&gt;0,Main_M[[#This Row],[Current Price]]/Main_M[[#This Row],[BVPS]],""),"")</f>
        <v>6.3008666941807672</v>
      </c>
      <c r="J102">
        <v>10.130000000000001</v>
      </c>
      <c r="K102">
        <v>6.38</v>
      </c>
      <c r="L102">
        <v>1.2</v>
      </c>
      <c r="M102" s="1">
        <f>IF(ISNUMBER(Main_M[[#This Row],[EPS]]),IF(Main_M[[#This Row],[EPS]]&lt;&gt;0,Main_M[[#This Row],[Current Price]]/Main_M[[#This Row],[EPS]],""),"")</f>
        <v>71.341121495327087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0.50167943280458116</v>
      </c>
      <c r="P102" s="1">
        <f>(Main_M[[#This Row],[P/B]]-VLOOKUP(Main_M[[#This Row],[Industry]], Mean_PB_M, 2, FALSE))/(VLOOKUP(Main_M[[#This Row],[Industry]], Mean_PB_M, 3, FALSE))</f>
        <v>-0.12056280079479278</v>
      </c>
      <c r="Q102" s="1">
        <f>(Main_M[[#This Row],[ROE]]-VLOOKUP(Main_M[[#This Row],[Industry]], Mean_ROE_M, 2, FALSE))/(VLOOKUP(Main_M[[#This Row],[Industry]], Mean_ROE_M, 3, FALSE))</f>
        <v>0.15681573756349657</v>
      </c>
      <c r="R102" s="1">
        <f>(Main_M[[#This Row],[ROA]]-VLOOKUP(Main_M[[#This Row],[Industry]], Mean_ROA_M, 2, FALSE))/(VLOOKUP(Main_M[[#This Row],[Industry]], Mean_ROA_M, 3, FALSE))</f>
        <v>0.86919973948415763</v>
      </c>
      <c r="S102" s="1">
        <f>(Main_M[[#This Row],[A/E]]-VLOOKUP(Main_M[[#This Row],[Industry]], Mean_AE_M, 2, FALSE))/(VLOOKUP(Main_M[[#This Row],[Industry]], Mean_AE_M, 3, FALSE))</f>
        <v>-0.99353402870760577</v>
      </c>
      <c r="T102" s="1">
        <f>(Main_M[[#This Row],[P/E]]-VLOOKUP(Main_M[[#This Row],[Industry]], Mean_PE_M, 2, FALSE))/(VLOOKUP(Main_M[[#This Row],[Industry]], Mean_PE_M, 3, FALSE))</f>
        <v>1.3742005420175938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124</v>
      </c>
      <c r="B103" t="s">
        <v>282</v>
      </c>
      <c r="C103" s="2">
        <v>8585</v>
      </c>
      <c r="D103">
        <f>RTD("tos.rtd", , "LAST", Main_M[[#This Row],[Symbol]])</f>
        <v>21.95</v>
      </c>
      <c r="E103">
        <v>0.69</v>
      </c>
      <c r="F103">
        <v>7.79</v>
      </c>
      <c r="G103">
        <v>-1.68</v>
      </c>
      <c r="H103" s="1">
        <f>IF(ISNUMBER(Main_M[[#This Row],[Free CF]]),IF(Main_M[[#This Row],[Free CF]]&lt;&gt;0,Main_M[[#This Row],[Current Price]]/Main_M[[#This Row],[Free CF]],""),"")</f>
        <v>31.811594202898551</v>
      </c>
      <c r="I103" s="1">
        <f>IF(ISNUMBER(Main_M[[#This Row],[BVPS]]),IF(Main_M[[#This Row],[BVPS]]&lt;&gt;0,Main_M[[#This Row],[Current Price]]/Main_M[[#This Row],[BVPS]],""),"")</f>
        <v>2.8177150192554556</v>
      </c>
      <c r="J103">
        <v>-19.420000000000002</v>
      </c>
      <c r="K103">
        <v>-4.84</v>
      </c>
      <c r="L103">
        <v>2.11</v>
      </c>
      <c r="M103" s="1">
        <f>IF(ISNUMBER(Main_M[[#This Row],[EPS]]),IF(Main_M[[#This Row],[EPS]]&lt;&gt;0,Main_M[[#This Row],[Current Price]]/Main_M[[#This Row],[EPS]],""),"")</f>
        <v>-13.06547619047619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0.18170365396260466</v>
      </c>
      <c r="P103" s="1">
        <f>(Main_M[[#This Row],[P/B]]-VLOOKUP(Main_M[[#This Row],[Industry]], Mean_PB_M, 2, FALSE))/(VLOOKUP(Main_M[[#This Row],[Industry]], Mean_PB_M, 3, FALSE))</f>
        <v>-0.81991426722386107</v>
      </c>
      <c r="Q103" s="1">
        <f>(Main_M[[#This Row],[ROE]]-VLOOKUP(Main_M[[#This Row],[Industry]], Mean_ROE_M, 2, FALSE))/(VLOOKUP(Main_M[[#This Row],[Industry]], Mean_ROE_M, 3, FALSE))</f>
        <v>-6.2634572391618015E-2</v>
      </c>
      <c r="R103" s="1">
        <f>(Main_M[[#This Row],[ROA]]-VLOOKUP(Main_M[[#This Row],[Industry]], Mean_ROA_M, 2, FALSE))/(VLOOKUP(Main_M[[#This Row],[Industry]], Mean_ROA_M, 3, FALSE))</f>
        <v>-0.66974500276249871</v>
      </c>
      <c r="S103" s="1">
        <f>(Main_M[[#This Row],[A/E]]-VLOOKUP(Main_M[[#This Row],[Industry]], Mean_AE_M, 2, FALSE))/(VLOOKUP(Main_M[[#This Row],[Industry]], Mean_AE_M, 3, FALSE))</f>
        <v>8.151468249800746E-2</v>
      </c>
      <c r="T103" s="1">
        <f>(Main_M[[#This Row],[P/E]]-VLOOKUP(Main_M[[#This Row],[Industry]], Mean_PE_M, 2, FALSE))/(VLOOKUP(Main_M[[#This Row],[Industry]], Mean_PE_M, 3, FALSE))</f>
        <v>-6.5789062530452859E-3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124</v>
      </c>
      <c r="B104" t="s">
        <v>283</v>
      </c>
      <c r="C104" s="2">
        <v>5933</v>
      </c>
      <c r="D104">
        <f>RTD("tos.rtd", , "LAST", Main_M[[#This Row],[Symbol]])</f>
        <v>37.93</v>
      </c>
      <c r="E104">
        <v>0.5</v>
      </c>
      <c r="F104">
        <v>1.1399999999999999</v>
      </c>
      <c r="G104">
        <v>-0.34</v>
      </c>
      <c r="H104" s="1">
        <f>IF(ISNUMBER(Main_M[[#This Row],[Free CF]]),IF(Main_M[[#This Row],[Free CF]]&lt;&gt;0,Main_M[[#This Row],[Current Price]]/Main_M[[#This Row],[Free CF]],""),"")</f>
        <v>75.86</v>
      </c>
      <c r="I104" s="1">
        <f>IF(ISNUMBER(Main_M[[#This Row],[BVPS]]),IF(Main_M[[#This Row],[BVPS]]&lt;&gt;0,Main_M[[#This Row],[Current Price]]/Main_M[[#This Row],[BVPS]],""),"")</f>
        <v>33.271929824561404</v>
      </c>
      <c r="J104">
        <v>-24.39</v>
      </c>
      <c r="K104">
        <v>1.22</v>
      </c>
      <c r="L104">
        <v>6.51</v>
      </c>
      <c r="M104" s="1">
        <f>IF(ISNUMBER(Main_M[[#This Row],[EPS]]),IF(Main_M[[#This Row],[EPS]]&lt;&gt;0,Main_M[[#This Row],[Current Price]]/Main_M[[#This Row],[EPS]],""),"")</f>
        <v>-111.55882352941175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1.7652744790439774</v>
      </c>
      <c r="P104" s="1">
        <f>(Main_M[[#This Row],[P/B]]-VLOOKUP(Main_M[[#This Row],[Industry]], Mean_PB_M, 2, FALSE))/(VLOOKUP(Main_M[[#This Row],[Industry]], Mean_PB_M, 3, FALSE))</f>
        <v>5.2947203426781755</v>
      </c>
      <c r="Q104" s="1">
        <f>(Main_M[[#This Row],[ROE]]-VLOOKUP(Main_M[[#This Row],[Industry]], Mean_ROE_M, 2, FALSE))/(VLOOKUP(Main_M[[#This Row],[Industry]], Mean_ROE_M, 3, FALSE))</f>
        <v>-9.9543812340075519E-2</v>
      </c>
      <c r="R104" s="1">
        <f>(Main_M[[#This Row],[ROA]]-VLOOKUP(Main_M[[#This Row],[Industry]], Mean_ROA_M, 2, FALSE))/(VLOOKUP(Main_M[[#This Row],[Industry]], Mean_ROA_M, 3, FALSE))</f>
        <v>0.16144975107125684</v>
      </c>
      <c r="S104" s="1">
        <f>(Main_M[[#This Row],[A/E]]-VLOOKUP(Main_M[[#This Row],[Industry]], Mean_AE_M, 2, FALSE))/(VLOOKUP(Main_M[[#This Row],[Industry]], Mean_AE_M, 3, FALSE))</f>
        <v>5.2795524070086657</v>
      </c>
      <c r="T104" s="1">
        <f>(Main_M[[#This Row],[P/E]]-VLOOKUP(Main_M[[#This Row],[Industry]], Mean_PE_M, 2, FALSE))/(VLOOKUP(Main_M[[#This Row],[Industry]], Mean_PE_M, 3, FALSE))</f>
        <v>-1.6177988052380023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124</v>
      </c>
      <c r="B105" t="s">
        <v>284</v>
      </c>
      <c r="C105" s="2">
        <v>3777</v>
      </c>
      <c r="D105">
        <f>RTD("tos.rtd", , "LAST", Main_M[[#This Row],[Symbol]])</f>
        <v>72.02</v>
      </c>
      <c r="E105">
        <v>0.96</v>
      </c>
      <c r="F105">
        <v>-1.36</v>
      </c>
      <c r="G105">
        <v>-1.1599999999999999</v>
      </c>
      <c r="H105" s="1">
        <f>IF(ISNUMBER(Main_M[[#This Row],[Free CF]]),IF(Main_M[[#This Row],[Free CF]]&lt;&gt;0,Main_M[[#This Row],[Current Price]]/Main_M[[#This Row],[Free CF]],""),"")</f>
        <v>75.020833333333329</v>
      </c>
      <c r="I105" s="1">
        <f>IF(ISNUMBER(Main_M[[#This Row],[BVPS]]),IF(Main_M[[#This Row],[BVPS]]&lt;&gt;0,Main_M[[#This Row],[Current Price]]/Main_M[[#This Row],[BVPS]],""),"")</f>
        <v>-52.955882352941167</v>
      </c>
      <c r="J105">
        <v>81.47</v>
      </c>
      <c r="K105">
        <v>-3.94</v>
      </c>
      <c r="L105">
        <v>-17.079999999999998</v>
      </c>
      <c r="M105" s="1">
        <f>IF(ISNUMBER(Main_M[[#This Row],[EPS]]),IF(Main_M[[#This Row],[EPS]]&lt;&gt;0,Main_M[[#This Row],[Current Price]]/Main_M[[#This Row],[EPS]],""),"")</f>
        <v>-62.086206896551722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1.7351058537176649</v>
      </c>
      <c r="P105" s="1">
        <f>(Main_M[[#This Row],[P/B]]-VLOOKUP(Main_M[[#This Row],[Industry]], Mean_PB_M, 2, FALSE))/(VLOOKUP(Main_M[[#This Row],[Industry]], Mean_PB_M, 3, FALSE))</f>
        <v>-12.018205570776272</v>
      </c>
      <c r="Q105" s="1">
        <f>(Main_M[[#This Row],[ROE]]-VLOOKUP(Main_M[[#This Row],[Industry]], Mean_ROE_M, 2, FALSE))/(VLOOKUP(Main_M[[#This Row],[Industry]], Mean_ROE_M, 3, FALSE))</f>
        <v>0.68661557215564128</v>
      </c>
      <c r="R105" s="1">
        <f>(Main_M[[#This Row],[ROA]]-VLOOKUP(Main_M[[#This Row],[Industry]], Mean_ROA_M, 2, FALSE))/(VLOOKUP(Main_M[[#This Row],[Industry]], Mean_ROA_M, 3, FALSE))</f>
        <v>-0.54630023734164401</v>
      </c>
      <c r="S105" s="1">
        <f>(Main_M[[#This Row],[A/E]]-VLOOKUP(Main_M[[#This Row],[Industry]], Mean_AE_M, 2, FALSE))/(VLOOKUP(Main_M[[#This Row],[Industry]], Mean_AE_M, 3, FALSE))</f>
        <v>-22.589018029629155</v>
      </c>
      <c r="T105" s="1">
        <f>(Main_M[[#This Row],[P/E]]-VLOOKUP(Main_M[[#This Row],[Industry]], Mean_PE_M, 2, FALSE))/(VLOOKUP(Main_M[[#This Row],[Industry]], Mean_PE_M, 3, FALSE))</f>
        <v>-0.80849272998181643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6" spans="1:26" x14ac:dyDescent="0.25">
      <c r="A106" t="s">
        <v>124</v>
      </c>
      <c r="B106" t="s">
        <v>285</v>
      </c>
      <c r="C106" s="2">
        <v>2446</v>
      </c>
      <c r="D106">
        <f>RTD("tos.rtd", , "LAST", Main_M[[#This Row],[Symbol]])</f>
        <v>24.97</v>
      </c>
      <c r="E106">
        <v>3.02</v>
      </c>
      <c r="F106">
        <v>2.0299999999999998</v>
      </c>
      <c r="G106">
        <v>1.56</v>
      </c>
      <c r="H106" s="1">
        <f>IF(ISNUMBER(Main_M[[#This Row],[Free CF]]),IF(Main_M[[#This Row],[Free CF]]&lt;&gt;0,Main_M[[#This Row],[Current Price]]/Main_M[[#This Row],[Free CF]],""),"")</f>
        <v>8.2682119205298008</v>
      </c>
      <c r="I106" s="1">
        <f>IF(ISNUMBER(Main_M[[#This Row],[BVPS]]),IF(Main_M[[#This Row],[BVPS]]&lt;&gt;0,Main_M[[#This Row],[Current Price]]/Main_M[[#This Row],[BVPS]],""),"")</f>
        <v>12.300492610837439</v>
      </c>
      <c r="J106">
        <v>74.2</v>
      </c>
      <c r="K106">
        <v>6.75</v>
      </c>
      <c r="L106">
        <v>6.02</v>
      </c>
      <c r="M106" s="1">
        <f>IF(ISNUMBER(Main_M[[#This Row],[EPS]]),IF(Main_M[[#This Row],[EPS]]&lt;&gt;0,Main_M[[#This Row],[Current Price]]/Main_M[[#This Row],[EPS]],""),"")</f>
        <v>16.006410256410255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-0.66469731405041232</v>
      </c>
      <c r="P106" s="1">
        <f>(Main_M[[#This Row],[P/B]]-VLOOKUP(Main_M[[#This Row],[Industry]], Mean_PB_M, 2, FALSE))/(VLOOKUP(Main_M[[#This Row],[Industry]], Mean_PB_M, 3, FALSE))</f>
        <v>1.0840494511048198</v>
      </c>
      <c r="Q106" s="1">
        <f>(Main_M[[#This Row],[ROE]]-VLOOKUP(Main_M[[#This Row],[Industry]], Mean_ROE_M, 2, FALSE))/(VLOOKUP(Main_M[[#This Row],[Industry]], Mean_ROE_M, 3, FALSE))</f>
        <v>0.63262559742218327</v>
      </c>
      <c r="R106" s="1">
        <f>(Main_M[[#This Row],[ROA]]-VLOOKUP(Main_M[[#This Row],[Industry]], Mean_ROA_M, 2, FALSE))/(VLOOKUP(Main_M[[#This Row],[Industry]], Mean_ROA_M, 3, FALSE))</f>
        <v>0.91994925415717577</v>
      </c>
      <c r="S106" s="1">
        <f>(Main_M[[#This Row],[A/E]]-VLOOKUP(Main_M[[#This Row],[Industry]], Mean_AE_M, 2, FALSE))/(VLOOKUP(Main_M[[#This Row],[Industry]], Mean_AE_M, 3, FALSE))</f>
        <v>4.7006800240517963</v>
      </c>
      <c r="T106" s="1">
        <f>(Main_M[[#This Row],[P/E]]-VLOOKUP(Main_M[[#This Row],[Industry]], Mean_PE_M, 2, FALSE))/(VLOOKUP(Main_M[[#This Row],[Industry]], Mean_PE_M, 3, FALSE))</f>
        <v>0.46899841150288857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7" spans="1:26" x14ac:dyDescent="0.25">
      <c r="A107" t="s">
        <v>124</v>
      </c>
      <c r="B107" t="s">
        <v>286</v>
      </c>
      <c r="C107" s="2">
        <v>3109</v>
      </c>
      <c r="D107">
        <f>RTD("tos.rtd", , "LAST", Main_M[[#This Row],[Symbol]])</f>
        <v>14.91</v>
      </c>
      <c r="E107">
        <v>0.53</v>
      </c>
      <c r="F107">
        <v>2.87</v>
      </c>
      <c r="G107">
        <v>-0.27</v>
      </c>
      <c r="H107" s="1">
        <f>IF(ISNUMBER(Main_M[[#This Row],[Free CF]]),IF(Main_M[[#This Row],[Free CF]]&lt;&gt;0,Main_M[[#This Row],[Current Price]]/Main_M[[#This Row],[Free CF]],""),"")</f>
        <v>28.132075471698112</v>
      </c>
      <c r="I107" s="1">
        <f>IF(ISNUMBER(Main_M[[#This Row],[BVPS]]),IF(Main_M[[#This Row],[BVPS]]&lt;&gt;0,Main_M[[#This Row],[Current Price]]/Main_M[[#This Row],[BVPS]],""),"")</f>
        <v>5.1951219512195124</v>
      </c>
      <c r="J107">
        <v>-11.93</v>
      </c>
      <c r="K107">
        <v>-2.81</v>
      </c>
      <c r="L107">
        <v>1.61</v>
      </c>
      <c r="M107" s="1">
        <f>IF(ISNUMBER(Main_M[[#This Row],[EPS]]),IF(Main_M[[#This Row],[EPS]]&lt;&gt;0,Main_M[[#This Row],[Current Price]]/Main_M[[#This Row],[EPS]],""),"")</f>
        <v>-55.222222222222221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4.9422396386357266E-2</v>
      </c>
      <c r="P107" s="1">
        <f>(Main_M[[#This Row],[P/B]]-VLOOKUP(Main_M[[#This Row],[Industry]], Mean_PB_M, 2, FALSE))/(VLOOKUP(Main_M[[#This Row],[Industry]], Mean_PB_M, 3, FALSE))</f>
        <v>-0.34257558681645478</v>
      </c>
      <c r="Q107" s="1">
        <f>(Main_M[[#This Row],[ROE]]-VLOOKUP(Main_M[[#This Row],[Industry]], Mean_ROE_M, 2, FALSE))/(VLOOKUP(Main_M[[#This Row],[Industry]], Mean_ROE_M, 3, FALSE))</f>
        <v>-7.0107882439425966E-3</v>
      </c>
      <c r="R107" s="1">
        <f>(Main_M[[#This Row],[ROA]]-VLOOKUP(Main_M[[#This Row],[Industry]], Mean_ROA_M, 2, FALSE))/(VLOOKUP(Main_M[[#This Row],[Industry]], Mean_ROA_M, 3, FALSE))</f>
        <v>-0.3913084763132374</v>
      </c>
      <c r="S107" s="1">
        <f>(Main_M[[#This Row],[A/E]]-VLOOKUP(Main_M[[#This Row],[Industry]], Mean_AE_M, 2, FALSE))/(VLOOKUP(Main_M[[#This Row],[Industry]], Mean_AE_M, 3, FALSE))</f>
        <v>-0.50917142256002157</v>
      </c>
      <c r="T107" s="1">
        <f>(Main_M[[#This Row],[P/E]]-VLOOKUP(Main_M[[#This Row],[Industry]], Mean_PE_M, 2, FALSE))/(VLOOKUP(Main_M[[#This Row],[Industry]], Mean_PE_M, 3, FALSE))</f>
        <v>-0.69620708843945034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124</v>
      </c>
      <c r="B108" t="s">
        <v>287</v>
      </c>
      <c r="C108" s="2">
        <v>2257</v>
      </c>
      <c r="D108">
        <f>RTD("tos.rtd", , "LAST", Main_M[[#This Row],[Symbol]])</f>
        <v>32.9</v>
      </c>
      <c r="E108">
        <v>0.04</v>
      </c>
      <c r="F108">
        <v>-0.44</v>
      </c>
      <c r="G108">
        <v>-1.26</v>
      </c>
      <c r="H108" s="1">
        <f>IF(ISNUMBER(Main_M[[#This Row],[Free CF]]),IF(Main_M[[#This Row],[Free CF]]&lt;&gt;0,Main_M[[#This Row],[Current Price]]/Main_M[[#This Row],[Free CF]],""),"")</f>
        <v>822.5</v>
      </c>
      <c r="I108" s="1">
        <f>IF(ISNUMBER(Main_M[[#This Row],[BVPS]]),IF(Main_M[[#This Row],[BVPS]]&lt;&gt;0,Main_M[[#This Row],[Current Price]]/Main_M[[#This Row],[BVPS]],""),"")</f>
        <v>-74.772727272727266</v>
      </c>
      <c r="J108">
        <v>-936.62</v>
      </c>
      <c r="K108">
        <v>-5.41</v>
      </c>
      <c r="L108">
        <v>-19.03</v>
      </c>
      <c r="M108" s="1">
        <f>IF(ISNUMBER(Main_M[[#This Row],[EPS]]),IF(Main_M[[#This Row],[EPS]]&lt;&gt;0,Main_M[[#This Row],[Current Price]]/Main_M[[#This Row],[EPS]],""),"")</f>
        <v>-26.111111111111111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28.607501784272806</v>
      </c>
      <c r="P108" s="1">
        <f>(Main_M[[#This Row],[P/B]]-VLOOKUP(Main_M[[#This Row],[Industry]], Mean_PB_M, 2, FALSE))/(VLOOKUP(Main_M[[#This Row],[Industry]], Mean_PB_M, 3, FALSE))</f>
        <v>-16.39861845872068</v>
      </c>
      <c r="Q108" s="1">
        <f>(Main_M[[#This Row],[ROE]]-VLOOKUP(Main_M[[#This Row],[Industry]], Mean_ROE_M, 2, FALSE))/(VLOOKUP(Main_M[[#This Row],[Industry]], Mean_ROE_M, 3, FALSE))</f>
        <v>-6.8741345483926706</v>
      </c>
      <c r="R108" s="1">
        <f>(Main_M[[#This Row],[ROA]]-VLOOKUP(Main_M[[#This Row],[Industry]], Mean_ROA_M, 2, FALSE))/(VLOOKUP(Main_M[[#This Row],[Industry]], Mean_ROA_M, 3, FALSE))</f>
        <v>-0.74792668752904012</v>
      </c>
      <c r="S108" s="1">
        <f>(Main_M[[#This Row],[A/E]]-VLOOKUP(Main_M[[#This Row],[Industry]], Mean_AE_M, 2, FALSE))/(VLOOKUP(Main_M[[#This Row],[Industry]], Mean_AE_M, 3, FALSE))</f>
        <v>-24.892693839355474</v>
      </c>
      <c r="T108" s="1">
        <f>(Main_M[[#This Row],[P/E]]-VLOOKUP(Main_M[[#This Row],[Industry]], Mean_PE_M, 2, FALSE))/(VLOOKUP(Main_M[[#This Row],[Industry]], Mean_PE_M, 3, FALSE))</f>
        <v>-0.21998810745206696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124</v>
      </c>
      <c r="B109" t="s">
        <v>288</v>
      </c>
      <c r="C109" s="2">
        <v>2194</v>
      </c>
      <c r="D109">
        <f>RTD("tos.rtd", , "LAST", Main_M[[#This Row],[Symbol]])</f>
        <v>3.92</v>
      </c>
      <c r="E109">
        <v>0.01</v>
      </c>
      <c r="F109">
        <v>1.21</v>
      </c>
      <c r="G109">
        <v>-0.01</v>
      </c>
      <c r="H109" s="1">
        <f>IF(ISNUMBER(Main_M[[#This Row],[Free CF]]),IF(Main_M[[#This Row],[Free CF]]&lt;&gt;0,Main_M[[#This Row],[Current Price]]/Main_M[[#This Row],[Free CF]],""),"")</f>
        <v>392</v>
      </c>
      <c r="I109" s="1">
        <f>IF(ISNUMBER(Main_M[[#This Row],[BVPS]]),IF(Main_M[[#This Row],[BVPS]]&lt;&gt;0,Main_M[[#This Row],[Current Price]]/Main_M[[#This Row],[BVPS]],""),"")</f>
        <v>3.2396694214876032</v>
      </c>
      <c r="J109">
        <v>-1.1399999999999999</v>
      </c>
      <c r="K109">
        <v>1.83</v>
      </c>
      <c r="L109">
        <v>1.8</v>
      </c>
      <c r="M109" s="1">
        <f>IF(ISNUMBER(Main_M[[#This Row],[EPS]]),IF(Main_M[[#This Row],[EPS]]&lt;&gt;0,Main_M[[#This Row],[Current Price]]/Main_M[[#This Row],[EPS]],""),"")</f>
        <v>-392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13.130727361658144</v>
      </c>
      <c r="P109" s="1">
        <f>(Main_M[[#This Row],[P/B]]-VLOOKUP(Main_M[[#This Row],[Industry]], Mean_PB_M, 2, FALSE))/(VLOOKUP(Main_M[[#This Row],[Industry]], Mean_PB_M, 3, FALSE))</f>
        <v>-0.73519374468917098</v>
      </c>
      <c r="Q109" s="1">
        <f>(Main_M[[#This Row],[ROE]]-VLOOKUP(Main_M[[#This Row],[Industry]], Mean_ROE_M, 2, FALSE))/(VLOOKUP(Main_M[[#This Row],[Industry]], Mean_ROE_M, 3, FALSE))</f>
        <v>7.3120137116994333E-2</v>
      </c>
      <c r="R109" s="1">
        <f>(Main_M[[#This Row],[ROA]]-VLOOKUP(Main_M[[#This Row],[Industry]], Mean_ROA_M, 2, FALSE))/(VLOOKUP(Main_M[[#This Row],[Industry]], Mean_ROA_M, 3, FALSE))</f>
        <v>0.24511786985650288</v>
      </c>
      <c r="S109" s="1">
        <f>(Main_M[[#This Row],[A/E]]-VLOOKUP(Main_M[[#This Row],[Industry]], Mean_AE_M, 2, FALSE))/(VLOOKUP(Main_M[[#This Row],[Industry]], Mean_AE_M, 3, FALSE))</f>
        <v>-0.28471070263797049</v>
      </c>
      <c r="T109" s="1">
        <f>(Main_M[[#This Row],[P/E]]-VLOOKUP(Main_M[[#This Row],[Industry]], Mean_PE_M, 2, FALSE))/(VLOOKUP(Main_M[[#This Row],[Industry]], Mean_PE_M, 3, FALSE))</f>
        <v>-6.2054427043660114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0" spans="1:26" x14ac:dyDescent="0.25">
      <c r="A110" t="s">
        <v>124</v>
      </c>
      <c r="B110" t="s">
        <v>289</v>
      </c>
      <c r="C110" s="2">
        <v>7706</v>
      </c>
      <c r="D110">
        <f>RTD("tos.rtd", , "LAST", Main_M[[#This Row],[Symbol]])</f>
        <v>181.33</v>
      </c>
      <c r="E110">
        <v>4.6399999999999997</v>
      </c>
      <c r="F110">
        <v>7.38</v>
      </c>
      <c r="G110">
        <v>1.68</v>
      </c>
      <c r="H110" s="1">
        <f>IF(ISNUMBER(Main_M[[#This Row],[Free CF]]),IF(Main_M[[#This Row],[Free CF]]&lt;&gt;0,Main_M[[#This Row],[Current Price]]/Main_M[[#This Row],[Free CF]],""),"")</f>
        <v>39.079741379310349</v>
      </c>
      <c r="I110" s="1">
        <f>IF(ISNUMBER(Main_M[[#This Row],[BVPS]]),IF(Main_M[[#This Row],[BVPS]]&lt;&gt;0,Main_M[[#This Row],[Current Price]]/Main_M[[#This Row],[BVPS]],""),"")</f>
        <v>24.570460704607047</v>
      </c>
      <c r="J110">
        <v>25.23</v>
      </c>
      <c r="K110">
        <v>5.42</v>
      </c>
      <c r="L110">
        <v>3.44</v>
      </c>
      <c r="M110" s="1">
        <f>IF(ISNUMBER(Main_M[[#This Row],[EPS]]),IF(Main_M[[#This Row],[EPS]]&lt;&gt;0,Main_M[[#This Row],[Current Price]]/Main_M[[#This Row],[EPS]],""),"")</f>
        <v>107.93452380952382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0.44299860011751541</v>
      </c>
      <c r="P110" s="1">
        <f>(Main_M[[#This Row],[P/B]]-VLOOKUP(Main_M[[#This Row],[Industry]], Mean_PB_M, 2, FALSE))/(VLOOKUP(Main_M[[#This Row],[Industry]], Mean_PB_M, 3, FALSE))</f>
        <v>3.5476286977937126</v>
      </c>
      <c r="Q110" s="1">
        <f>(Main_M[[#This Row],[ROE]]-VLOOKUP(Main_M[[#This Row],[Industry]], Mean_ROE_M, 2, FALSE))/(VLOOKUP(Main_M[[#This Row],[Industry]], Mean_ROE_M, 3, FALSE))</f>
        <v>0.26895447463023875</v>
      </c>
      <c r="R110" s="1">
        <f>(Main_M[[#This Row],[ROA]]-VLOOKUP(Main_M[[#This Row],[Industry]], Mean_ROA_M, 2, FALSE))/(VLOOKUP(Main_M[[#This Row],[Industry]], Mean_ROA_M, 3, FALSE))</f>
        <v>0.73752532303524587</v>
      </c>
      <c r="S110" s="1">
        <f>(Main_M[[#This Row],[A/E]]-VLOOKUP(Main_M[[#This Row],[Industry]], Mean_AE_M, 2, FALSE))/(VLOOKUP(Main_M[[#This Row],[Industry]], Mean_AE_M, 3, FALSE))</f>
        <v>1.6527397219523656</v>
      </c>
      <c r="T110" s="1">
        <f>(Main_M[[#This Row],[P/E]]-VLOOKUP(Main_M[[#This Row],[Industry]], Mean_PE_M, 2, FALSE))/(VLOOKUP(Main_M[[#This Row],[Industry]], Mean_PE_M, 3, FALSE))</f>
        <v>1.9728198353319188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1" spans="1:26" x14ac:dyDescent="0.25">
      <c r="A111" t="s">
        <v>124</v>
      </c>
      <c r="B111" t="s">
        <v>290</v>
      </c>
      <c r="C111" s="2">
        <v>7055</v>
      </c>
      <c r="D111">
        <f>RTD("tos.rtd", , "LAST", Main_M[[#This Row],[Symbol]])</f>
        <v>77.58</v>
      </c>
      <c r="E111">
        <v>4.08</v>
      </c>
      <c r="F111">
        <v>26.79</v>
      </c>
      <c r="G111">
        <v>2.64</v>
      </c>
      <c r="H111" s="1">
        <f>IF(ISNUMBER(Main_M[[#This Row],[Free CF]]),IF(Main_M[[#This Row],[Free CF]]&lt;&gt;0,Main_M[[#This Row],[Current Price]]/Main_M[[#This Row],[Free CF]],""),"")</f>
        <v>19.014705882352942</v>
      </c>
      <c r="I111" s="1">
        <f>IF(ISNUMBER(Main_M[[#This Row],[BVPS]]),IF(Main_M[[#This Row],[BVPS]]&lt;&gt;0,Main_M[[#This Row],[Current Price]]/Main_M[[#This Row],[BVPS]],""),"")</f>
        <v>2.8958566629339306</v>
      </c>
      <c r="J111">
        <v>10.31</v>
      </c>
      <c r="K111">
        <v>5.64</v>
      </c>
      <c r="L111">
        <v>1.25</v>
      </c>
      <c r="M111" s="1">
        <f>IF(ISNUMBER(Main_M[[#This Row],[EPS]]),IF(Main_M[[#This Row],[EPS]]&lt;&gt;0,Main_M[[#This Row],[Current Price]]/Main_M[[#This Row],[EPS]],""),"")</f>
        <v>29.386363636363633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11" s="1">
        <f>(Main_M[[#This Row],[P/FCF]]-VLOOKUP(Main_M[[#This Row],[Industry]], Mean_PFCF_M, 2, FALSE))/(VLOOKUP(Main_M[[#This Row],[Industry]], Mean_PFCF_M, 3, FALSE))</f>
        <v>-0.27835338169007029</v>
      </c>
      <c r="P111" s="1">
        <f>(Main_M[[#This Row],[P/B]]-VLOOKUP(Main_M[[#This Row],[Industry]], Mean_PB_M, 2, FALSE))/(VLOOKUP(Main_M[[#This Row],[Industry]], Mean_PB_M, 3, FALSE))</f>
        <v>-0.8042248921417694</v>
      </c>
      <c r="Q111" s="1">
        <f>(Main_M[[#This Row],[ROE]]-VLOOKUP(Main_M[[#This Row],[Industry]], Mean_ROE_M, 2, FALSE))/(VLOOKUP(Main_M[[#This Row],[Industry]], Mean_ROE_M, 3, FALSE))</f>
        <v>0.15815249072058357</v>
      </c>
      <c r="R111" s="1">
        <f>(Main_M[[#This Row],[ROA]]-VLOOKUP(Main_M[[#This Row],[Industry]], Mean_ROA_M, 2, FALSE))/(VLOOKUP(Main_M[[#This Row],[Industry]], Mean_ROA_M, 3, FALSE))</f>
        <v>0.76770071013812147</v>
      </c>
      <c r="S111" s="1">
        <f>(Main_M[[#This Row],[A/E]]-VLOOKUP(Main_M[[#This Row],[Industry]], Mean_AE_M, 2, FALSE))/(VLOOKUP(Main_M[[#This Row],[Industry]], Mean_AE_M, 3, FALSE))</f>
        <v>-0.93446541820180284</v>
      </c>
      <c r="T111" s="1">
        <f>(Main_M[[#This Row],[P/E]]-VLOOKUP(Main_M[[#This Row],[Industry]], Mean_PE_M, 2, FALSE))/(VLOOKUP(Main_M[[#This Row],[Industry]], Mean_PE_M, 3, FALSE))</f>
        <v>0.68787661714541093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2" spans="1:26" x14ac:dyDescent="0.25">
      <c r="A112" t="s">
        <v>124</v>
      </c>
      <c r="B112" t="s">
        <v>291</v>
      </c>
      <c r="C112" s="2">
        <v>3958</v>
      </c>
      <c r="D112">
        <f>RTD("tos.rtd", , "LAST", Main_M[[#This Row],[Symbol]])</f>
        <v>42.18</v>
      </c>
      <c r="E112">
        <v>0.98</v>
      </c>
      <c r="F112">
        <v>6.86</v>
      </c>
      <c r="G112">
        <v>-0.63</v>
      </c>
      <c r="H112" s="1">
        <f>IF(ISNUMBER(Main_M[[#This Row],[Free CF]]),IF(Main_M[[#This Row],[Free CF]]&lt;&gt;0,Main_M[[#This Row],[Current Price]]/Main_M[[#This Row],[Free CF]],""),"")</f>
        <v>43.04081632653061</v>
      </c>
      <c r="I112" s="1">
        <f>IF(ISNUMBER(Main_M[[#This Row],[BVPS]]),IF(Main_M[[#This Row],[BVPS]]&lt;&gt;0,Main_M[[#This Row],[Current Price]]/Main_M[[#This Row],[BVPS]],""),"")</f>
        <v>6.14868804664723</v>
      </c>
      <c r="J112">
        <v>-9.5299999999999994</v>
      </c>
      <c r="K112">
        <v>-5.07</v>
      </c>
      <c r="L112">
        <v>1.46</v>
      </c>
      <c r="M112" s="1">
        <f>IF(ISNUMBER(Main_M[[#This Row],[EPS]]),IF(Main_M[[#This Row],[EPS]]&lt;&gt;0,Main_M[[#This Row],[Current Price]]/Main_M[[#This Row],[EPS]],""),"")</f>
        <v>-66.952380952380949</v>
      </c>
      <c r="N1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2" s="1">
        <f>(Main_M[[#This Row],[P/FCF]]-VLOOKUP(Main_M[[#This Row],[Industry]], Mean_PFCF_M, 2, FALSE))/(VLOOKUP(Main_M[[#This Row],[Industry]], Mean_PFCF_M, 3, FALSE))</f>
        <v>0.58540199948847538</v>
      </c>
      <c r="P112" s="1">
        <f>(Main_M[[#This Row],[P/B]]-VLOOKUP(Main_M[[#This Row],[Industry]], Mean_PB_M, 2, FALSE))/(VLOOKUP(Main_M[[#This Row],[Industry]], Mean_PB_M, 3, FALSE))</f>
        <v>-0.15111741633965092</v>
      </c>
      <c r="Q112" s="1">
        <f>(Main_M[[#This Row],[ROE]]-VLOOKUP(Main_M[[#This Row],[Industry]], Mean_ROE_M, 2, FALSE))/(VLOOKUP(Main_M[[#This Row],[Industry]], Mean_ROE_M, 3, FALSE))</f>
        <v>1.0812587183883971E-2</v>
      </c>
      <c r="R112" s="1">
        <f>(Main_M[[#This Row],[ROA]]-VLOOKUP(Main_M[[#This Row],[Industry]], Mean_ROA_M, 2, FALSE))/(VLOOKUP(Main_M[[#This Row],[Industry]], Mean_ROA_M, 3, FALSE))</f>
        <v>-0.70129199837005063</v>
      </c>
      <c r="S112" s="1">
        <f>(Main_M[[#This Row],[A/E]]-VLOOKUP(Main_M[[#This Row],[Industry]], Mean_AE_M, 2, FALSE))/(VLOOKUP(Main_M[[#This Row],[Industry]], Mean_AE_M, 3, FALSE))</f>
        <v>-0.68637725407743055</v>
      </c>
      <c r="T112" s="1">
        <f>(Main_M[[#This Row],[P/E]]-VLOOKUP(Main_M[[#This Row],[Industry]], Mean_PE_M, 2, FALSE))/(VLOOKUP(Main_M[[#This Row],[Industry]], Mean_PE_M, 3, FALSE))</f>
        <v>-0.88809685231604596</v>
      </c>
      <c r="U1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3" spans="1:26" x14ac:dyDescent="0.25">
      <c r="A113" t="s">
        <v>124</v>
      </c>
      <c r="B113" t="s">
        <v>292</v>
      </c>
      <c r="C113" s="2">
        <v>7772</v>
      </c>
      <c r="D113">
        <f>RTD("tos.rtd", , "LAST", Main_M[[#This Row],[Symbol]])</f>
        <v>53.36</v>
      </c>
      <c r="E113">
        <v>-0.47</v>
      </c>
      <c r="F113">
        <v>4.7300000000000004</v>
      </c>
      <c r="G113">
        <v>-0.04</v>
      </c>
      <c r="H113" s="1">
        <f>IF(ISNUMBER(Main_M[[#This Row],[Free CF]]),IF(Main_M[[#This Row],[Free CF]]&lt;&gt;0,Main_M[[#This Row],[Current Price]]/Main_M[[#This Row],[Free CF]],""),"")</f>
        <v>-113.53191489361703</v>
      </c>
      <c r="I113" s="1">
        <f>IF(ISNUMBER(Main_M[[#This Row],[BVPS]]),IF(Main_M[[#This Row],[BVPS]]&lt;&gt;0,Main_M[[#This Row],[Current Price]]/Main_M[[#This Row],[BVPS]],""),"")</f>
        <v>11.281183932346721</v>
      </c>
      <c r="J113">
        <v>-1.28</v>
      </c>
      <c r="K113">
        <v>-6.22</v>
      </c>
      <c r="L113">
        <v>1.8</v>
      </c>
      <c r="M113" s="1">
        <f>IF(ISNUMBER(Main_M[[#This Row],[EPS]]),IF(Main_M[[#This Row],[EPS]]&lt;&gt;0,Main_M[[#This Row],[Current Price]]/Main_M[[#This Row],[EPS]],""),"")</f>
        <v>-1334</v>
      </c>
      <c r="N1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3" s="1">
        <f>(Main_M[[#This Row],[P/FCF]]-VLOOKUP(Main_M[[#This Row],[Industry]], Mean_PFCF_M, 2, FALSE))/(VLOOKUP(Main_M[[#This Row],[Industry]], Mean_PFCF_M, 3, FALSE))</f>
        <v>-5.0434965877981695</v>
      </c>
      <c r="P113" s="1">
        <f>(Main_M[[#This Row],[P/B]]-VLOOKUP(Main_M[[#This Row],[Industry]], Mean_PB_M, 2, FALSE))/(VLOOKUP(Main_M[[#This Row],[Industry]], Mean_PB_M, 3, FALSE))</f>
        <v>0.87939140414749184</v>
      </c>
      <c r="Q113" s="1">
        <f>(Main_M[[#This Row],[ROE]]-VLOOKUP(Main_M[[#This Row],[Industry]], Mean_ROE_M, 2, FALSE))/(VLOOKUP(Main_M[[#This Row],[Industry]], Mean_ROE_M, 3, FALSE))</f>
        <v>7.2080440217037786E-2</v>
      </c>
      <c r="R113" s="1">
        <f>(Main_M[[#This Row],[ROA]]-VLOOKUP(Main_M[[#This Row],[Industry]], Mean_ROA_M, 2, FALSE))/(VLOOKUP(Main_M[[#This Row],[Industry]], Mean_ROA_M, 3, FALSE))</f>
        <v>-0.85902697640780945</v>
      </c>
      <c r="S113" s="1">
        <f>(Main_M[[#This Row],[A/E]]-VLOOKUP(Main_M[[#This Row],[Industry]], Mean_AE_M, 2, FALSE))/(VLOOKUP(Main_M[[#This Row],[Industry]], Mean_AE_M, 3, FALSE))</f>
        <v>-0.28471070263797049</v>
      </c>
      <c r="T113" s="1">
        <f>(Main_M[[#This Row],[P/E]]-VLOOKUP(Main_M[[#This Row],[Industry]], Mean_PE_M, 2, FALSE))/(VLOOKUP(Main_M[[#This Row],[Industry]], Mean_PE_M, 3, FALSE))</f>
        <v>-21.615307287614247</v>
      </c>
      <c r="U1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4" spans="1:26" x14ac:dyDescent="0.25">
      <c r="A114" t="s">
        <v>124</v>
      </c>
      <c r="B114" t="s">
        <v>293</v>
      </c>
      <c r="C114" s="2">
        <v>6536</v>
      </c>
      <c r="D114">
        <f>RTD("tos.rtd", , "LAST", Main_M[[#This Row],[Symbol]])</f>
        <v>35.270000000000003</v>
      </c>
      <c r="E114">
        <v>-2</v>
      </c>
      <c r="F114">
        <v>13.8</v>
      </c>
      <c r="G114">
        <v>-1.4</v>
      </c>
      <c r="H114" s="1">
        <f>IF(ISNUMBER(Main_M[[#This Row],[Free CF]]),IF(Main_M[[#This Row],[Free CF]]&lt;&gt;0,Main_M[[#This Row],[Current Price]]/Main_M[[#This Row],[Free CF]],""),"")</f>
        <v>-17.635000000000002</v>
      </c>
      <c r="I114" s="1">
        <f>IF(ISNUMBER(Main_M[[#This Row],[BVPS]]),IF(Main_M[[#This Row],[BVPS]]&lt;&gt;0,Main_M[[#This Row],[Current Price]]/Main_M[[#This Row],[BVPS]],""),"")</f>
        <v>2.5557971014492753</v>
      </c>
      <c r="J114">
        <v>-12.02</v>
      </c>
      <c r="K114">
        <v>-4.4800000000000004</v>
      </c>
      <c r="L114">
        <v>1.0900000000000001</v>
      </c>
      <c r="M114" s="1">
        <f>IF(ISNUMBER(Main_M[[#This Row],[EPS]]),IF(Main_M[[#This Row],[EPS]]&lt;&gt;0,Main_M[[#This Row],[Current Price]]/Main_M[[#This Row],[EPS]],""),"")</f>
        <v>-25.192857142857147</v>
      </c>
      <c r="N1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4" s="1">
        <f>(Main_M[[#This Row],[P/FCF]]-VLOOKUP(Main_M[[#This Row],[Industry]], Mean_PFCF_M, 2, FALSE))/(VLOOKUP(Main_M[[#This Row],[Industry]], Mean_PFCF_M, 3, FALSE))</f>
        <v>-1.5959357988709069</v>
      </c>
      <c r="P114" s="1">
        <f>(Main_M[[#This Row],[P/B]]-VLOOKUP(Main_M[[#This Row],[Industry]], Mean_PB_M, 2, FALSE))/(VLOOKUP(Main_M[[#This Row],[Industry]], Mean_PB_M, 3, FALSE))</f>
        <v>-0.87250246808242049</v>
      </c>
      <c r="Q114" s="1">
        <f>(Main_M[[#This Row],[ROE]]-VLOOKUP(Main_M[[#This Row],[Industry]], Mean_ROE_M, 2, FALSE))/(VLOOKUP(Main_M[[#This Row],[Industry]], Mean_ROE_M, 3, FALSE))</f>
        <v>-7.6791648224860919E-3</v>
      </c>
      <c r="R114" s="1">
        <f>(Main_M[[#This Row],[ROA]]-VLOOKUP(Main_M[[#This Row],[Industry]], Mean_ROA_M, 2, FALSE))/(VLOOKUP(Main_M[[#This Row],[Industry]], Mean_ROA_M, 3, FALSE))</f>
        <v>-0.6203670965941569</v>
      </c>
      <c r="S114" s="1">
        <f>(Main_M[[#This Row],[A/E]]-VLOOKUP(Main_M[[#This Row],[Industry]], Mean_AE_M, 2, FALSE))/(VLOOKUP(Main_M[[#This Row],[Industry]], Mean_AE_M, 3, FALSE))</f>
        <v>-1.1234849718203721</v>
      </c>
      <c r="T114" s="1">
        <f>(Main_M[[#This Row],[P/E]]-VLOOKUP(Main_M[[#This Row],[Industry]], Mean_PE_M, 2, FALSE))/(VLOOKUP(Main_M[[#This Row],[Industry]], Mean_PE_M, 3, FALSE))</f>
        <v>-0.20496669630151079</v>
      </c>
      <c r="U1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5" spans="1:26" x14ac:dyDescent="0.25">
      <c r="A115" t="s">
        <v>124</v>
      </c>
      <c r="B115" t="s">
        <v>294</v>
      </c>
      <c r="C115" s="2">
        <v>4027</v>
      </c>
      <c r="D115">
        <f>RTD("tos.rtd", , "LAST", Main_M[[#This Row],[Symbol]])</f>
        <v>27.7</v>
      </c>
      <c r="E115">
        <v>0.36</v>
      </c>
      <c r="F115">
        <v>2.2200000000000002</v>
      </c>
      <c r="G115">
        <v>-1.25</v>
      </c>
      <c r="H115" s="1">
        <f>IF(ISNUMBER(Main_M[[#This Row],[Free CF]]),IF(Main_M[[#This Row],[Free CF]]&lt;&gt;0,Main_M[[#This Row],[Current Price]]/Main_M[[#This Row],[Free CF]],""),"")</f>
        <v>76.944444444444443</v>
      </c>
      <c r="I115" s="1">
        <f>IF(ISNUMBER(Main_M[[#This Row],[BVPS]]),IF(Main_M[[#This Row],[BVPS]]&lt;&gt;0,Main_M[[#This Row],[Current Price]]/Main_M[[#This Row],[BVPS]],""),"")</f>
        <v>12.477477477477477</v>
      </c>
      <c r="J115">
        <v>-102.65</v>
      </c>
      <c r="K115">
        <v>-33.71</v>
      </c>
      <c r="L115">
        <v>2.13</v>
      </c>
      <c r="M115" s="1">
        <f>IF(ISNUMBER(Main_M[[#This Row],[EPS]]),IF(Main_M[[#This Row],[EPS]]&lt;&gt;0,Main_M[[#This Row],[Current Price]]/Main_M[[#This Row],[EPS]],""),"")</f>
        <v>-22.16</v>
      </c>
      <c r="N1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5" s="1">
        <f>(Main_M[[#This Row],[P/FCF]]-VLOOKUP(Main_M[[#This Row],[Industry]], Mean_PFCF_M, 2, FALSE))/(VLOOKUP(Main_M[[#This Row],[Industry]], Mean_PFCF_M, 3, FALSE))</f>
        <v>1.8042610110777157</v>
      </c>
      <c r="P115" s="1">
        <f>(Main_M[[#This Row],[P/B]]-VLOOKUP(Main_M[[#This Row],[Industry]], Mean_PB_M, 2, FALSE))/(VLOOKUP(Main_M[[#This Row],[Industry]], Mean_PB_M, 3, FALSE))</f>
        <v>1.119584689754201</v>
      </c>
      <c r="Q115" s="1">
        <f>(Main_M[[#This Row],[ROE]]-VLOOKUP(Main_M[[#This Row],[Industry]], Mean_ROE_M, 2, FALSE))/(VLOOKUP(Main_M[[#This Row],[Industry]], Mean_ROE_M, 3, FALSE))</f>
        <v>-0.68073437941578674</v>
      </c>
      <c r="R115" s="1">
        <f>(Main_M[[#This Row],[ROA]]-VLOOKUP(Main_M[[#This Row],[Industry]], Mean_ROA_M, 2, FALSE))/(VLOOKUP(Main_M[[#This Row],[Industry]], Mean_ROA_M, 3, FALSE))</f>
        <v>-4.6295787557625854</v>
      </c>
      <c r="S115" s="1">
        <f>(Main_M[[#This Row],[A/E]]-VLOOKUP(Main_M[[#This Row],[Industry]], Mean_AE_M, 2, FALSE))/(VLOOKUP(Main_M[[#This Row],[Industry]], Mean_AE_M, 3, FALSE))</f>
        <v>0.10514212670032866</v>
      </c>
      <c r="T115" s="1">
        <f>(Main_M[[#This Row],[P/E]]-VLOOKUP(Main_M[[#This Row],[Industry]], Mean_PE_M, 2, FALSE))/(VLOOKUP(Main_M[[#This Row],[Industry]], Mean_PE_M, 3, FALSE))</f>
        <v>-0.15535319537606943</v>
      </c>
      <c r="U1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6" spans="1:26" x14ac:dyDescent="0.25">
      <c r="A116" t="s">
        <v>124</v>
      </c>
      <c r="B116" t="s">
        <v>295</v>
      </c>
      <c r="C116" s="2">
        <v>6673</v>
      </c>
      <c r="D116">
        <f>RTD("tos.rtd", , "LAST", Main_M[[#This Row],[Symbol]])</f>
        <v>13.26</v>
      </c>
      <c r="E116">
        <v>0.55000000000000004</v>
      </c>
      <c r="F116">
        <v>3.33</v>
      </c>
      <c r="G116">
        <v>-0.13</v>
      </c>
      <c r="H116" s="1">
        <f>IF(ISNUMBER(Main_M[[#This Row],[Free CF]]),IF(Main_M[[#This Row],[Free CF]]&lt;&gt;0,Main_M[[#This Row],[Current Price]]/Main_M[[#This Row],[Free CF]],""),"")</f>
        <v>24.109090909090906</v>
      </c>
      <c r="I116" s="1">
        <f>IF(ISNUMBER(Main_M[[#This Row],[BVPS]]),IF(Main_M[[#This Row],[BVPS]]&lt;&gt;0,Main_M[[#This Row],[Current Price]]/Main_M[[#This Row],[BVPS]],""),"")</f>
        <v>3.9819819819819817</v>
      </c>
      <c r="J116">
        <v>-3.82</v>
      </c>
      <c r="K116">
        <v>-2.96</v>
      </c>
      <c r="L116">
        <v>1.55</v>
      </c>
      <c r="M116" s="1">
        <f>IF(ISNUMBER(Main_M[[#This Row],[EPS]]),IF(Main_M[[#This Row],[EPS]]&lt;&gt;0,Main_M[[#This Row],[Current Price]]/Main_M[[#This Row],[EPS]],""),"")</f>
        <v>-102</v>
      </c>
      <c r="N1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6" s="1">
        <f>(Main_M[[#This Row],[P/FCF]]-VLOOKUP(Main_M[[#This Row],[Industry]], Mean_PFCF_M, 2, FALSE))/(VLOOKUP(Main_M[[#This Row],[Industry]], Mean_PFCF_M, 3, FALSE))</f>
        <v>-9.5206696717319475E-2</v>
      </c>
      <c r="P116" s="1">
        <f>(Main_M[[#This Row],[P/B]]-VLOOKUP(Main_M[[#This Row],[Industry]], Mean_PB_M, 2, FALSE))/(VLOOKUP(Main_M[[#This Row],[Industry]], Mean_PB_M, 3, FALSE))</f>
        <v>-0.58615131812254961</v>
      </c>
      <c r="Q116" s="1">
        <f>(Main_M[[#This Row],[ROE]]-VLOOKUP(Main_M[[#This Row],[Industry]], Mean_ROE_M, 2, FALSE))/(VLOOKUP(Main_M[[#This Row],[Industry]], Mean_ROE_M, 3, FALSE))</f>
        <v>5.3217367889254664E-2</v>
      </c>
      <c r="R116" s="1">
        <f>(Main_M[[#This Row],[ROA]]-VLOOKUP(Main_M[[#This Row],[Industry]], Mean_ROA_M, 2, FALSE))/(VLOOKUP(Main_M[[#This Row],[Industry]], Mean_ROA_M, 3, FALSE))</f>
        <v>-0.41188260388337988</v>
      </c>
      <c r="S116" s="1">
        <f>(Main_M[[#This Row],[A/E]]-VLOOKUP(Main_M[[#This Row],[Industry]], Mean_AE_M, 2, FALSE))/(VLOOKUP(Main_M[[#This Row],[Industry]], Mean_AE_M, 3, FALSE))</f>
        <v>-0.58005375516698521</v>
      </c>
      <c r="T116" s="1">
        <f>(Main_M[[#This Row],[P/E]]-VLOOKUP(Main_M[[#This Row],[Industry]], Mean_PE_M, 2, FALSE))/(VLOOKUP(Main_M[[#This Row],[Industry]], Mean_PE_M, 3, FALSE))</f>
        <v>-1.461429191476429</v>
      </c>
      <c r="U1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7" spans="1:26" x14ac:dyDescent="0.25">
      <c r="A117" t="s">
        <v>124</v>
      </c>
      <c r="B117" t="s">
        <v>296</v>
      </c>
      <c r="C117" s="2">
        <v>2625</v>
      </c>
      <c r="D117">
        <f>RTD("tos.rtd", , "LAST", Main_M[[#This Row],[Symbol]])</f>
        <v>62.52</v>
      </c>
      <c r="E117">
        <v>4.72</v>
      </c>
      <c r="F117">
        <v>10.039999999999999</v>
      </c>
      <c r="G117">
        <v>1.27</v>
      </c>
      <c r="H117" s="1">
        <f>IF(ISNUMBER(Main_M[[#This Row],[Free CF]]),IF(Main_M[[#This Row],[Free CF]]&lt;&gt;0,Main_M[[#This Row],[Current Price]]/Main_M[[#This Row],[Free CF]],""),"")</f>
        <v>13.245762711864408</v>
      </c>
      <c r="I117" s="1">
        <f>IF(ISNUMBER(Main_M[[#This Row],[BVPS]]),IF(Main_M[[#This Row],[BVPS]]&lt;&gt;0,Main_M[[#This Row],[Current Price]]/Main_M[[#This Row],[BVPS]],""),"")</f>
        <v>6.2270916334661361</v>
      </c>
      <c r="J117">
        <v>12.7</v>
      </c>
      <c r="K117">
        <v>5.01</v>
      </c>
      <c r="L117">
        <v>5.7</v>
      </c>
      <c r="M117" s="1">
        <f>IF(ISNUMBER(Main_M[[#This Row],[EPS]]),IF(Main_M[[#This Row],[EPS]]&lt;&gt;0,Main_M[[#This Row],[Current Price]]/Main_M[[#This Row],[EPS]],""),"")</f>
        <v>49.228346456692918</v>
      </c>
      <c r="N1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7" s="1">
        <f>(Main_M[[#This Row],[P/FCF]]-VLOOKUP(Main_M[[#This Row],[Industry]], Mean_PFCF_M, 2, FALSE))/(VLOOKUP(Main_M[[#This Row],[Industry]], Mean_PFCF_M, 3, FALSE))</f>
        <v>-0.48575090110130015</v>
      </c>
      <c r="P117" s="1">
        <f>(Main_M[[#This Row],[P/B]]-VLOOKUP(Main_M[[#This Row],[Industry]], Mean_PB_M, 2, FALSE))/(VLOOKUP(Main_M[[#This Row],[Industry]], Mean_PB_M, 3, FALSE))</f>
        <v>-0.13537544799247106</v>
      </c>
      <c r="Q117" s="1">
        <f>(Main_M[[#This Row],[ROE]]-VLOOKUP(Main_M[[#This Row],[Industry]], Mean_ROE_M, 2, FALSE))/(VLOOKUP(Main_M[[#This Row],[Industry]], Mean_ROE_M, 3, FALSE))</f>
        <v>0.17590160208412753</v>
      </c>
      <c r="R117" s="1">
        <f>(Main_M[[#This Row],[ROA]]-VLOOKUP(Main_M[[#This Row],[Industry]], Mean_ROA_M, 2, FALSE))/(VLOOKUP(Main_M[[#This Row],[Industry]], Mean_ROA_M, 3, FALSE))</f>
        <v>0.6812893743435231</v>
      </c>
      <c r="S117" s="1">
        <f>(Main_M[[#This Row],[A/E]]-VLOOKUP(Main_M[[#This Row],[Industry]], Mean_AE_M, 2, FALSE))/(VLOOKUP(Main_M[[#This Row],[Industry]], Mean_AE_M, 3, FALSE))</f>
        <v>4.3226409168146587</v>
      </c>
      <c r="T117" s="1">
        <f>(Main_M[[#This Row],[P/E]]-VLOOKUP(Main_M[[#This Row],[Industry]], Mean_PE_M, 2, FALSE))/(VLOOKUP(Main_M[[#This Row],[Industry]], Mean_PE_M, 3, FALSE))</f>
        <v>1.012465012394256</v>
      </c>
      <c r="U1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8" spans="1:26" x14ac:dyDescent="0.25">
      <c r="A118" t="s">
        <v>124</v>
      </c>
      <c r="B118" t="s">
        <v>297</v>
      </c>
      <c r="C118" s="2">
        <v>4640</v>
      </c>
      <c r="D118">
        <f>RTD("tos.rtd", , "LAST", Main_M[[#This Row],[Symbol]])</f>
        <v>136.75</v>
      </c>
      <c r="E118">
        <v>6.3</v>
      </c>
      <c r="F118">
        <v>13.07</v>
      </c>
      <c r="G118">
        <v>4.6500000000000004</v>
      </c>
      <c r="H118" s="1">
        <f>IF(ISNUMBER(Main_M[[#This Row],[Free CF]]),IF(Main_M[[#This Row],[Free CF]]&lt;&gt;0,Main_M[[#This Row],[Current Price]]/Main_M[[#This Row],[Free CF]],""),"")</f>
        <v>21.706349206349206</v>
      </c>
      <c r="I118" s="1">
        <f>IF(ISNUMBER(Main_M[[#This Row],[BVPS]]),IF(Main_M[[#This Row],[BVPS]]&lt;&gt;0,Main_M[[#This Row],[Current Price]]/Main_M[[#This Row],[BVPS]],""),"")</f>
        <v>10.462892119357306</v>
      </c>
      <c r="J118">
        <v>41.09</v>
      </c>
      <c r="K118">
        <v>13.1</v>
      </c>
      <c r="L118">
        <v>2.04</v>
      </c>
      <c r="M118" s="1">
        <f>IF(ISNUMBER(Main_M[[#This Row],[EPS]]),IF(Main_M[[#This Row],[EPS]]&lt;&gt;0,Main_M[[#This Row],[Current Price]]/Main_M[[#This Row],[EPS]],""),"")</f>
        <v>29.408602150537632</v>
      </c>
      <c r="N1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8" s="1">
        <f>(Main_M[[#This Row],[P/FCF]]-VLOOKUP(Main_M[[#This Row],[Industry]], Mean_PFCF_M, 2, FALSE))/(VLOOKUP(Main_M[[#This Row],[Industry]], Mean_PFCF_M, 3, FALSE))</f>
        <v>-0.18158693209279528</v>
      </c>
      <c r="P118" s="1">
        <f>(Main_M[[#This Row],[P/B]]-VLOOKUP(Main_M[[#This Row],[Industry]], Mean_PB_M, 2, FALSE))/(VLOOKUP(Main_M[[#This Row],[Industry]], Mean_PB_M, 3, FALSE))</f>
        <v>0.71509377005341546</v>
      </c>
      <c r="Q118" s="1">
        <f>(Main_M[[#This Row],[ROE]]-VLOOKUP(Main_M[[#This Row],[Industry]], Mean_ROE_M, 2, FALSE))/(VLOOKUP(Main_M[[#This Row],[Industry]], Mean_ROE_M, 3, FALSE))</f>
        <v>0.38673728058245926</v>
      </c>
      <c r="R118" s="1">
        <f>(Main_M[[#This Row],[ROA]]-VLOOKUP(Main_M[[#This Row],[Industry]], Mean_ROA_M, 2, FALSE))/(VLOOKUP(Main_M[[#This Row],[Industry]], Mean_ROA_M, 3, FALSE))</f>
        <v>1.7909206546265402</v>
      </c>
      <c r="S118" s="1">
        <f>(Main_M[[#This Row],[A/E]]-VLOOKUP(Main_M[[#This Row],[Industry]], Mean_AE_M, 2, FALSE))/(VLOOKUP(Main_M[[#This Row],[Industry]], Mean_AE_M, 3, FALSE))</f>
        <v>-1.1813722101164531E-3</v>
      </c>
      <c r="T118" s="1">
        <f>(Main_M[[#This Row],[P/E]]-VLOOKUP(Main_M[[#This Row],[Industry]], Mean_PE_M, 2, FALSE))/(VLOOKUP(Main_M[[#This Row],[Industry]], Mean_PE_M, 3, FALSE))</f>
        <v>0.68824040959971444</v>
      </c>
      <c r="U1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9" spans="1:26" x14ac:dyDescent="0.25">
      <c r="A119" t="s">
        <v>124</v>
      </c>
      <c r="B119" t="s">
        <v>298</v>
      </c>
      <c r="C119" s="2">
        <v>6273</v>
      </c>
      <c r="D119">
        <f>RTD("tos.rtd", , "LAST", Main_M[[#This Row],[Symbol]])</f>
        <v>20.34</v>
      </c>
      <c r="E119">
        <v>0.02</v>
      </c>
      <c r="F119">
        <v>5.13</v>
      </c>
      <c r="G119">
        <v>-0.92</v>
      </c>
      <c r="H119" s="1">
        <f>IF(ISNUMBER(Main_M[[#This Row],[Free CF]]),IF(Main_M[[#This Row],[Free CF]]&lt;&gt;0,Main_M[[#This Row],[Current Price]]/Main_M[[#This Row],[Free CF]],""),"")</f>
        <v>1017</v>
      </c>
      <c r="I119" s="1">
        <f>IF(ISNUMBER(Main_M[[#This Row],[BVPS]]),IF(Main_M[[#This Row],[BVPS]]&lt;&gt;0,Main_M[[#This Row],[Current Price]]/Main_M[[#This Row],[BVPS]],""),"")</f>
        <v>3.9649122807017543</v>
      </c>
      <c r="J119">
        <v>-17.68</v>
      </c>
      <c r="K119">
        <v>-8.7100000000000009</v>
      </c>
      <c r="L119">
        <v>1.44</v>
      </c>
      <c r="M119" s="1">
        <f>IF(ISNUMBER(Main_M[[#This Row],[EPS]]),IF(Main_M[[#This Row],[EPS]]&lt;&gt;0,Main_M[[#This Row],[Current Price]]/Main_M[[#This Row],[EPS]],""),"")</f>
        <v>-22.10869565217391</v>
      </c>
      <c r="N1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9" s="1">
        <f>(Main_M[[#This Row],[P/FCF]]-VLOOKUP(Main_M[[#This Row],[Industry]], Mean_PFCF_M, 2, FALSE))/(VLOOKUP(Main_M[[#This Row],[Industry]], Mean_PFCF_M, 3, FALSE))</f>
        <v>35.599912063479664</v>
      </c>
      <c r="P119" s="1">
        <f>(Main_M[[#This Row],[P/B]]-VLOOKUP(Main_M[[#This Row],[Industry]], Mean_PB_M, 2, FALSE))/(VLOOKUP(Main_M[[#This Row],[Industry]], Mean_PB_M, 3, FALSE))</f>
        <v>-0.58957859368673793</v>
      </c>
      <c r="Q119" s="1">
        <f>(Main_M[[#This Row],[ROE]]-VLOOKUP(Main_M[[#This Row],[Industry]], Mean_ROE_M, 2, FALSE))/(VLOOKUP(Main_M[[#This Row],[Industry]], Mean_ROE_M, 3, FALSE))</f>
        <v>-4.971262520644374E-2</v>
      </c>
      <c r="R119" s="1">
        <f>(Main_M[[#This Row],[ROA]]-VLOOKUP(Main_M[[#This Row],[Industry]], Mean_ROA_M, 2, FALSE))/(VLOOKUP(Main_M[[#This Row],[Industry]], Mean_ROA_M, 3, FALSE))</f>
        <v>-1.2005574940721746</v>
      </c>
      <c r="S119" s="1">
        <f>(Main_M[[#This Row],[A/E]]-VLOOKUP(Main_M[[#This Row],[Industry]], Mean_AE_M, 2, FALSE))/(VLOOKUP(Main_M[[#This Row],[Industry]], Mean_AE_M, 3, FALSE))</f>
        <v>-0.71000469827975177</v>
      </c>
      <c r="T119" s="1">
        <f>(Main_M[[#This Row],[P/E]]-VLOOKUP(Main_M[[#This Row],[Industry]], Mean_PE_M, 2, FALSE))/(VLOOKUP(Main_M[[#This Row],[Industry]], Mean_PE_M, 3, FALSE))</f>
        <v>-0.15451392461966615</v>
      </c>
      <c r="U1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0" spans="1:26" x14ac:dyDescent="0.25">
      <c r="A120" t="s">
        <v>124</v>
      </c>
      <c r="B120" t="s">
        <v>299</v>
      </c>
      <c r="C120" s="2">
        <v>2145</v>
      </c>
      <c r="D120">
        <f>RTD("tos.rtd", , "LAST", Main_M[[#This Row],[Symbol]])</f>
        <v>23.55</v>
      </c>
      <c r="E120">
        <v>2.87</v>
      </c>
      <c r="F120">
        <v>1.4</v>
      </c>
      <c r="G120">
        <v>1.1599999999999999</v>
      </c>
      <c r="H120" s="1">
        <f>IF(ISNUMBER(Main_M[[#This Row],[Free CF]]),IF(Main_M[[#This Row],[Free CF]]&lt;&gt;0,Main_M[[#This Row],[Current Price]]/Main_M[[#This Row],[Free CF]],""),"")</f>
        <v>8.2055749128919864</v>
      </c>
      <c r="I120" s="1">
        <f>IF(ISNUMBER(Main_M[[#This Row],[BVPS]]),IF(Main_M[[#This Row],[BVPS]]&lt;&gt;0,Main_M[[#This Row],[Current Price]]/Main_M[[#This Row],[BVPS]],""),"")</f>
        <v>16.821428571428573</v>
      </c>
      <c r="J120">
        <v>85.08</v>
      </c>
      <c r="K120">
        <v>7.16</v>
      </c>
      <c r="L120">
        <v>12.81</v>
      </c>
      <c r="M120" s="1">
        <f>IF(ISNUMBER(Main_M[[#This Row],[EPS]]),IF(Main_M[[#This Row],[EPS]]&lt;&gt;0,Main_M[[#This Row],[Current Price]]/Main_M[[#This Row],[EPS]],""),"")</f>
        <v>20.301724137931036</v>
      </c>
      <c r="N1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0" s="1">
        <f>(Main_M[[#This Row],[P/FCF]]-VLOOKUP(Main_M[[#This Row],[Industry]], Mean_PFCF_M, 2, FALSE))/(VLOOKUP(Main_M[[#This Row],[Industry]], Mean_PFCF_M, 3, FALSE))</f>
        <v>-0.66694915804046595</v>
      </c>
      <c r="P120" s="1">
        <f>(Main_M[[#This Row],[P/B]]-VLOOKUP(Main_M[[#This Row],[Industry]], Mean_PB_M, 2, FALSE))/(VLOOKUP(Main_M[[#This Row],[Industry]], Mean_PB_M, 3, FALSE))</f>
        <v>1.9917685195657455</v>
      </c>
      <c r="Q120" s="1">
        <f>(Main_M[[#This Row],[ROE]]-VLOOKUP(Main_M[[#This Row],[Industry]], Mean_ROE_M, 2, FALSE))/(VLOOKUP(Main_M[[#This Row],[Industry]], Mean_ROE_M, 3, FALSE))</f>
        <v>0.71342489936166364</v>
      </c>
      <c r="R120" s="1">
        <f>(Main_M[[#This Row],[ROA]]-VLOOKUP(Main_M[[#This Row],[Industry]], Mean_ROA_M, 2, FALSE))/(VLOOKUP(Main_M[[#This Row],[Industry]], Mean_ROA_M, 3, FALSE))</f>
        <v>0.97618520284889854</v>
      </c>
      <c r="S120" s="1">
        <f>(Main_M[[#This Row],[A/E]]-VLOOKUP(Main_M[[#This Row],[Industry]], Mean_AE_M, 2, FALSE))/(VLOOKUP(Main_M[[#This Row],[Industry]], Mean_AE_M, 3, FALSE))</f>
        <v>12.722197330739835</v>
      </c>
      <c r="T120" s="1">
        <f>(Main_M[[#This Row],[P/E]]-VLOOKUP(Main_M[[#This Row],[Industry]], Mean_PE_M, 2, FALSE))/(VLOOKUP(Main_M[[#This Row],[Industry]], Mean_PE_M, 3, FALSE))</f>
        <v>0.53926402217887748</v>
      </c>
      <c r="U1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1" spans="1:26" x14ac:dyDescent="0.25">
      <c r="A121" t="s">
        <v>124</v>
      </c>
      <c r="B121" t="s">
        <v>300</v>
      </c>
      <c r="C121" s="2">
        <v>3762</v>
      </c>
      <c r="D121">
        <f>RTD("tos.rtd", , "LAST", Main_M[[#This Row],[Symbol]])</f>
        <v>33.49</v>
      </c>
      <c r="E121">
        <v>2.0099999999999998</v>
      </c>
      <c r="F121">
        <v>3.19</v>
      </c>
      <c r="G121">
        <v>-0.38</v>
      </c>
      <c r="H121" s="1">
        <f>IF(ISNUMBER(Main_M[[#This Row],[Free CF]]),IF(Main_M[[#This Row],[Free CF]]&lt;&gt;0,Main_M[[#This Row],[Current Price]]/Main_M[[#This Row],[Free CF]],""),"")</f>
        <v>16.661691542288558</v>
      </c>
      <c r="I121" s="1">
        <f>IF(ISNUMBER(Main_M[[#This Row],[BVPS]]),IF(Main_M[[#This Row],[BVPS]]&lt;&gt;0,Main_M[[#This Row],[Current Price]]/Main_M[[#This Row],[BVPS]],""),"")</f>
        <v>10.498432601880879</v>
      </c>
      <c r="J121">
        <v>-12.09</v>
      </c>
      <c r="K121">
        <v>0.38</v>
      </c>
      <c r="L121">
        <v>4.42</v>
      </c>
      <c r="M121" s="1">
        <f>IF(ISNUMBER(Main_M[[#This Row],[EPS]]),IF(Main_M[[#This Row],[EPS]]&lt;&gt;0,Main_M[[#This Row],[Current Price]]/Main_M[[#This Row],[EPS]],""),"")</f>
        <v>-88.131578947368425</v>
      </c>
      <c r="N1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1" s="1">
        <f>(Main_M[[#This Row],[P/FCF]]-VLOOKUP(Main_M[[#This Row],[Industry]], Mean_PFCF_M, 2, FALSE))/(VLOOKUP(Main_M[[#This Row],[Industry]], Mean_PFCF_M, 3, FALSE))</f>
        <v>-0.36294588379077636</v>
      </c>
      <c r="P121" s="1">
        <f>(Main_M[[#This Row],[P/B]]-VLOOKUP(Main_M[[#This Row],[Industry]], Mean_PB_M, 2, FALSE))/(VLOOKUP(Main_M[[#This Row],[Industry]], Mean_PB_M, 3, FALSE))</f>
        <v>0.7222296317356347</v>
      </c>
      <c r="Q121" s="1">
        <f>(Main_M[[#This Row],[ROE]]-VLOOKUP(Main_M[[#This Row],[Industry]], Mean_ROE_M, 2, FALSE))/(VLOOKUP(Main_M[[#This Row],[Industry]], Mean_ROE_M, 3, FALSE))</f>
        <v>-8.1990132724643686E-3</v>
      </c>
      <c r="R121" s="1">
        <f>(Main_M[[#This Row],[ROA]]-VLOOKUP(Main_M[[#This Row],[Industry]], Mean_ROA_M, 2, FALSE))/(VLOOKUP(Main_M[[#This Row],[Industry]], Mean_ROA_M, 3, FALSE))</f>
        <v>4.6234636678459035E-2</v>
      </c>
      <c r="S121" s="1">
        <f>(Main_M[[#This Row],[A/E]]-VLOOKUP(Main_M[[#This Row],[Industry]], Mean_AE_M, 2, FALSE))/(VLOOKUP(Main_M[[#This Row],[Industry]], Mean_AE_M, 3, FALSE))</f>
        <v>2.8104844878661028</v>
      </c>
      <c r="T121" s="1">
        <f>(Main_M[[#This Row],[P/E]]-VLOOKUP(Main_M[[#This Row],[Industry]], Mean_PE_M, 2, FALSE))/(VLOOKUP(Main_M[[#This Row],[Industry]], Mean_PE_M, 3, FALSE))</f>
        <v>-1.2345603056966823</v>
      </c>
      <c r="U1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2" spans="1:26" x14ac:dyDescent="0.25">
      <c r="A122" t="s">
        <v>124</v>
      </c>
      <c r="B122" t="s">
        <v>301</v>
      </c>
      <c r="C122" s="2">
        <v>5068</v>
      </c>
      <c r="D122">
        <f>RTD("tos.rtd", , "LAST", Main_M[[#This Row],[Symbol]])</f>
        <v>45.88</v>
      </c>
      <c r="E122">
        <v>0.91</v>
      </c>
      <c r="F122">
        <v>4.05</v>
      </c>
      <c r="G122">
        <v>-0.86</v>
      </c>
      <c r="H122" s="1">
        <f>IF(ISNUMBER(Main_M[[#This Row],[Free CF]]),IF(Main_M[[#This Row],[Free CF]]&lt;&gt;0,Main_M[[#This Row],[Current Price]]/Main_M[[#This Row],[Free CF]],""),"")</f>
        <v>50.417582417582416</v>
      </c>
      <c r="I122" s="1">
        <f>IF(ISNUMBER(Main_M[[#This Row],[BVPS]]),IF(Main_M[[#This Row],[BVPS]]&lt;&gt;0,Main_M[[#This Row],[Current Price]]/Main_M[[#This Row],[BVPS]],""),"")</f>
        <v>11.328395061728397</v>
      </c>
      <c r="J122">
        <v>-20.260000000000002</v>
      </c>
      <c r="K122">
        <v>-5.01</v>
      </c>
      <c r="L122">
        <v>3.65</v>
      </c>
      <c r="M122" s="1">
        <f>IF(ISNUMBER(Main_M[[#This Row],[EPS]]),IF(Main_M[[#This Row],[EPS]]&lt;&gt;0,Main_M[[#This Row],[Current Price]]/Main_M[[#This Row],[EPS]],""),"")</f>
        <v>-53.348837209302332</v>
      </c>
      <c r="N1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2" s="1">
        <f>(Main_M[[#This Row],[P/FCF]]-VLOOKUP(Main_M[[#This Row],[Industry]], Mean_PFCF_M, 2, FALSE))/(VLOOKUP(Main_M[[#This Row],[Industry]], Mean_PFCF_M, 3, FALSE))</f>
        <v>0.85060187117163844</v>
      </c>
      <c r="P122" s="1">
        <f>(Main_M[[#This Row],[P/B]]-VLOOKUP(Main_M[[#This Row],[Industry]], Mean_PB_M, 2, FALSE))/(VLOOKUP(Main_M[[#This Row],[Industry]], Mean_PB_M, 3, FALSE))</f>
        <v>0.8888705126234544</v>
      </c>
      <c r="Q122" s="1">
        <f>(Main_M[[#This Row],[ROE]]-VLOOKUP(Main_M[[#This Row],[Industry]], Mean_ROE_M, 2, FALSE))/(VLOOKUP(Main_M[[#This Row],[Industry]], Mean_ROE_M, 3, FALSE))</f>
        <v>-6.8872753791357308E-2</v>
      </c>
      <c r="R122" s="1">
        <f>(Main_M[[#This Row],[ROA]]-VLOOKUP(Main_M[[#This Row],[Industry]], Mean_ROA_M, 2, FALSE))/(VLOOKUP(Main_M[[#This Row],[Industry]], Mean_ROA_M, 3, FALSE))</f>
        <v>-0.69306234734199357</v>
      </c>
      <c r="S122" s="1">
        <f>(Main_M[[#This Row],[A/E]]-VLOOKUP(Main_M[[#This Row],[Industry]], Mean_AE_M, 2, FALSE))/(VLOOKUP(Main_M[[#This Row],[Industry]], Mean_AE_M, 3, FALSE))</f>
        <v>1.9008278860767378</v>
      </c>
      <c r="T122" s="1">
        <f>(Main_M[[#This Row],[P/E]]-VLOOKUP(Main_M[[#This Row],[Industry]], Mean_PE_M, 2, FALSE))/(VLOOKUP(Main_M[[#This Row],[Industry]], Mean_PE_M, 3, FALSE))</f>
        <v>-0.66556100631484083</v>
      </c>
      <c r="U1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3" spans="1:26" x14ac:dyDescent="0.25">
      <c r="A123" t="s">
        <v>178</v>
      </c>
      <c r="B123" t="s">
        <v>305</v>
      </c>
      <c r="C123" s="2">
        <v>7097</v>
      </c>
      <c r="D123">
        <f>RTD("tos.rtd", , "LAST", Main_M[[#This Row],[Symbol]])</f>
        <v>33.22</v>
      </c>
      <c r="E123">
        <v>-0.61</v>
      </c>
      <c r="F123">
        <v>1.73</v>
      </c>
      <c r="G123">
        <v>-1.56</v>
      </c>
      <c r="H123" s="1">
        <f>IF(ISNUMBER(Main_M[[#This Row],[Free CF]]),IF(Main_M[[#This Row],[Free CF]]&lt;&gt;0,Main_M[[#This Row],[Current Price]]/Main_M[[#This Row],[Free CF]],""),"")</f>
        <v>-54.459016393442624</v>
      </c>
      <c r="I123" s="1">
        <f>IF(ISNUMBER(Main_M[[#This Row],[BVPS]]),IF(Main_M[[#This Row],[BVPS]]&lt;&gt;0,Main_M[[#This Row],[Current Price]]/Main_M[[#This Row],[BVPS]],""),"")</f>
        <v>19.202312138728324</v>
      </c>
      <c r="J123">
        <v>-76.34</v>
      </c>
      <c r="K123">
        <v>-27.36</v>
      </c>
      <c r="L123">
        <v>1.32</v>
      </c>
      <c r="M123" s="1">
        <f>IF(ISNUMBER(Main_M[[#This Row],[EPS]]),IF(Main_M[[#This Row],[EPS]]&lt;&gt;0,Main_M[[#This Row],[Current Price]]/Main_M[[#This Row],[EPS]],""),"")</f>
        <v>-21.294871794871792</v>
      </c>
      <c r="N1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3" s="1" t="e">
        <f>(Main_M[[#This Row],[P/FCF]]-VLOOKUP(Main_M[[#This Row],[Industry]], Mean_PFCF_M, 2, FALSE))/(VLOOKUP(Main_M[[#This Row],[Industry]], Mean_PFCF_M, 3, FALSE))</f>
        <v>#DIV/0!</v>
      </c>
      <c r="P123" s="1" t="e">
        <f>(Main_M[[#This Row],[P/B]]-VLOOKUP(Main_M[[#This Row],[Industry]], Mean_PB_M, 2, FALSE))/(VLOOKUP(Main_M[[#This Row],[Industry]], Mean_PB_M, 3, FALSE))</f>
        <v>#DIV/0!</v>
      </c>
      <c r="Q123" s="1">
        <f>(Main_M[[#This Row],[ROE]]-VLOOKUP(Main_M[[#This Row],[Industry]], Mean_ROE_M, 2, FALSE))/(VLOOKUP(Main_M[[#This Row],[Industry]], Mean_ROE_M, 3, FALSE))</f>
        <v>-1</v>
      </c>
      <c r="R123" s="1">
        <f>(Main_M[[#This Row],[ROA]]-VLOOKUP(Main_M[[#This Row],[Industry]], Mean_ROA_M, 2, FALSE))/(VLOOKUP(Main_M[[#This Row],[Industry]], Mean_ROA_M, 3, FALSE))</f>
        <v>-1</v>
      </c>
      <c r="S123" s="1">
        <f>(Main_M[[#This Row],[A/E]]-VLOOKUP(Main_M[[#This Row],[Industry]], Mean_AE_M, 2, FALSE))/(VLOOKUP(Main_M[[#This Row],[Industry]], Mean_AE_M, 3, FALSE))</f>
        <v>0.99999999999995925</v>
      </c>
      <c r="T123" s="1" t="e">
        <f>(Main_M[[#This Row],[P/E]]-VLOOKUP(Main_M[[#This Row],[Industry]], Mean_PE_M, 2, FALSE))/(VLOOKUP(Main_M[[#This Row],[Industry]], Mean_PE_M, 3, FALSE))</f>
        <v>#DIV/0!</v>
      </c>
      <c r="U1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4" spans="1:26" x14ac:dyDescent="0.25">
      <c r="A124" t="s">
        <v>178</v>
      </c>
      <c r="B124" t="s">
        <v>306</v>
      </c>
      <c r="C124" s="2">
        <v>5081</v>
      </c>
      <c r="D124">
        <f>RTD("tos.rtd", , "LAST", Main_M[[#This Row],[Symbol]])</f>
        <v>42</v>
      </c>
      <c r="H124" s="1" t="str">
        <f>IF(ISNUMBER(Main_M[[#This Row],[Free CF]]),IF(Main_M[[#This Row],[Free CF]]&lt;&gt;0,Main_M[[#This Row],[Current Price]]/Main_M[[#This Row],[Free CF]],""),"")</f>
        <v/>
      </c>
      <c r="I124" s="1" t="str">
        <f>IF(ISNUMBER(Main_M[[#This Row],[BVPS]]),IF(Main_M[[#This Row],[BVPS]]&lt;&gt;0,Main_M[[#This Row],[Current Price]]/Main_M[[#This Row],[BVPS]],""),"")</f>
        <v/>
      </c>
      <c r="J124">
        <v>-5.97</v>
      </c>
      <c r="K124">
        <v>-2.0299999999999998</v>
      </c>
      <c r="L124">
        <v>1.19</v>
      </c>
      <c r="M124" s="1" t="str">
        <f>IF(ISNUMBER(Main_M[[#This Row],[EPS]]),IF(Main_M[[#This Row],[EPS]]&lt;&gt;0,Main_M[[#This Row],[Current Price]]/Main_M[[#This Row],[EPS]],""),"")</f>
        <v/>
      </c>
      <c r="N1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4" s="1" t="e">
        <f>(Main_M[[#This Row],[P/FCF]]-VLOOKUP(Main_M[[#This Row],[Industry]], Mean_PFCF_M, 2, FALSE))/(VLOOKUP(Main_M[[#This Row],[Industry]], Mean_PFCF_M, 3, FALSE))</f>
        <v>#VALUE!</v>
      </c>
      <c r="P124" s="1" t="e">
        <f>(Main_M[[#This Row],[P/B]]-VLOOKUP(Main_M[[#This Row],[Industry]], Mean_PB_M, 2, FALSE))/(VLOOKUP(Main_M[[#This Row],[Industry]], Mean_PB_M, 3, FALSE))</f>
        <v>#VALUE!</v>
      </c>
      <c r="Q124" s="1">
        <f>(Main_M[[#This Row],[ROE]]-VLOOKUP(Main_M[[#This Row],[Industry]], Mean_ROE_M, 2, FALSE))/(VLOOKUP(Main_M[[#This Row],[Industry]], Mean_ROE_M, 3, FALSE))</f>
        <v>1</v>
      </c>
      <c r="R124" s="1">
        <f>(Main_M[[#This Row],[ROA]]-VLOOKUP(Main_M[[#This Row],[Industry]], Mean_ROA_M, 2, FALSE))/(VLOOKUP(Main_M[[#This Row],[Industry]], Mean_ROA_M, 3, FALSE))</f>
        <v>1.0000000000000002</v>
      </c>
      <c r="S124" s="1">
        <f>(Main_M[[#This Row],[A/E]]-VLOOKUP(Main_M[[#This Row],[Industry]], Mean_AE_M, 2, FALSE))/(VLOOKUP(Main_M[[#This Row],[Industry]], Mean_AE_M, 3, FALSE))</f>
        <v>-0.99999999999995581</v>
      </c>
      <c r="T124" s="1" t="e">
        <f>(Main_M[[#This Row],[P/E]]-VLOOKUP(Main_M[[#This Row],[Industry]], Mean_PE_M, 2, FALSE))/(VLOOKUP(Main_M[[#This Row],[Industry]], Mean_PE_M, 3, FALSE))</f>
        <v>#VALUE!</v>
      </c>
      <c r="U1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159"/>
  <sheetViews>
    <sheetView workbookViewId="0">
      <selection activeCell="B24" sqref="B24"/>
    </sheetView>
  </sheetViews>
  <sheetFormatPr defaultRowHeight="15" x14ac:dyDescent="0.25"/>
  <cols>
    <col min="1" max="1" width="45.5703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1" width="7.710937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168</v>
      </c>
      <c r="B2" t="s">
        <v>440</v>
      </c>
      <c r="C2" s="2">
        <v>773</v>
      </c>
      <c r="D2">
        <f>RTD("tos.rtd", , "LAST", Main_S[[#This Row],[Symbol]])</f>
        <v>20.29</v>
      </c>
      <c r="E2">
        <v>-2.89</v>
      </c>
      <c r="F2">
        <v>4.6399999999999997</v>
      </c>
      <c r="G2">
        <v>-4.5</v>
      </c>
      <c r="H2" s="1">
        <f>IF(ISNUMBER(Main_S[[#This Row],[Free CF]]),IF(Main_S[[#This Row],[Free CF]]&lt;&gt;0,Main_S[[#This Row],[Current Price]]/Main_S[[#This Row],[Free CF]],""),"")</f>
        <v>-7.0207612456747395</v>
      </c>
      <c r="I2" s="1">
        <f>IF(ISNUMBER(Main_S[[#This Row],[BVPS]]),IF(Main_S[[#This Row],[BVPS]]&lt;&gt;0,Main_S[[#This Row],[Current Price]]/Main_S[[#This Row],[BVPS]],""),"")</f>
        <v>4.3728448275862073</v>
      </c>
      <c r="J2">
        <v>-84.12</v>
      </c>
      <c r="K2">
        <v>-9.4700000000000006</v>
      </c>
      <c r="L2">
        <v>2.39</v>
      </c>
      <c r="M2" s="1">
        <f>IF(ISNUMBER(Main_S[[#This Row],[EPS]]),IF(Main_S[[#This Row],[EPS]]&lt;&gt;0,Main_S[[#This Row],[Current Price]]/Main_S[[#This Row],[EPS]],""),"")</f>
        <v>-4.5088888888888885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-1.3630070592194803</v>
      </c>
      <c r="P2" s="1">
        <f>(Main_S[[#This Row],[P/B]]-VLOOKUP(Main_S[[#This Row],[Industry]], Mean_PB_S, 2, FALSE))/(VLOOKUP(Main_S[[#This Row],[Industry]], Mean_PB_S, 3, FALSE))</f>
        <v>1.5162862912391202</v>
      </c>
      <c r="Q2" s="1">
        <f>(Main_S[[#This Row],[ROE]]-VLOOKUP(Main_S[[#This Row],[Industry]], Mean_ROE_S, 2, FALSE))/(VLOOKUP(Main_S[[#This Row],[Industry]], Mean_ROE_S, 3, FALSE))</f>
        <v>-3.9748195251604734</v>
      </c>
      <c r="R2" s="1">
        <f>(Main_S[[#This Row],[ROA]]-VLOOKUP(Main_S[[#This Row],[Industry]], Mean_ROA_S, 2, FALSE))/(VLOOKUP(Main_S[[#This Row],[Industry]], Mean_ROA_S, 3, FALSE))</f>
        <v>-2.116986949422154</v>
      </c>
      <c r="S2" s="1">
        <f>(Main_S[[#This Row],[A/E]]-VLOOKUP(Main_S[[#This Row],[Industry]], Mean_AE_S, 2, FALSE))/(VLOOKUP(Main_S[[#This Row],[Industry]], Mean_AE_S, 3, FALSE))</f>
        <v>0.66006727326415959</v>
      </c>
      <c r="T2" s="1">
        <f>(Main_S[[#This Row],[P/E]]-VLOOKUP(Main_S[[#This Row],[Industry]], Mean_PE_S, 2, FALSE))/(VLOOKUP(Main_S[[#This Row],[Industry]], Mean_PE_S, 3, FALSE))</f>
        <v>-0.46370273659739641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168</v>
      </c>
      <c r="B3" t="s">
        <v>441</v>
      </c>
      <c r="C3" s="2">
        <v>636</v>
      </c>
      <c r="D3">
        <f>RTD("tos.rtd", , "LAST", Main_S[[#This Row],[Symbol]])</f>
        <v>8.56</v>
      </c>
      <c r="E3">
        <v>0.51</v>
      </c>
      <c r="F3">
        <v>1.7</v>
      </c>
      <c r="G3">
        <v>-5.67</v>
      </c>
      <c r="H3" s="1">
        <f>IF(ISNUMBER(Main_S[[#This Row],[Free CF]]),IF(Main_S[[#This Row],[Free CF]]&lt;&gt;0,Main_S[[#This Row],[Current Price]]/Main_S[[#This Row],[Free CF]],""),"")</f>
        <v>16.784313725490197</v>
      </c>
      <c r="I3" s="1">
        <f>IF(ISNUMBER(Main_S[[#This Row],[BVPS]]),IF(Main_S[[#This Row],[BVPS]]&lt;&gt;0,Main_S[[#This Row],[Current Price]]/Main_S[[#This Row],[BVPS]],""),"")</f>
        <v>5.0352941176470596</v>
      </c>
      <c r="J3">
        <v>-54.98</v>
      </c>
      <c r="K3">
        <v>-3.75</v>
      </c>
      <c r="L3">
        <v>8.77</v>
      </c>
      <c r="M3" s="1">
        <f>IF(ISNUMBER(Main_S[[#This Row],[EPS]]),IF(Main_S[[#This Row],[EPS]]&lt;&gt;0,Main_S[[#This Row],[Current Price]]/Main_S[[#This Row],[EPS]],""),"")</f>
        <v>-1.5097001763668432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6.9511589407794616E-2</v>
      </c>
      <c r="P3" s="1">
        <f>(Main_S[[#This Row],[P/B]]-VLOOKUP(Main_S[[#This Row],[Industry]], Mean_PB_S, 2, FALSE))/(VLOOKUP(Main_S[[#This Row],[Industry]], Mean_PB_S, 3, FALSE))</f>
        <v>1.946298191599007</v>
      </c>
      <c r="Q3" s="1">
        <f>(Main_S[[#This Row],[ROE]]-VLOOKUP(Main_S[[#This Row],[Industry]], Mean_ROE_S, 2, FALSE))/(VLOOKUP(Main_S[[#This Row],[Industry]], Mean_ROE_S, 3, FALSE))</f>
        <v>-2.5337913647526951</v>
      </c>
      <c r="R3" s="1">
        <f>(Main_S[[#This Row],[ROA]]-VLOOKUP(Main_S[[#This Row],[Industry]], Mean_ROA_S, 2, FALSE))/(VLOOKUP(Main_S[[#This Row],[Industry]], Mean_ROA_S, 3, FALSE))</f>
        <v>-0.86235118343003336</v>
      </c>
      <c r="S3" s="1">
        <f>(Main_S[[#This Row],[A/E]]-VLOOKUP(Main_S[[#This Row],[Industry]], Mean_AE_S, 2, FALSE))/(VLOOKUP(Main_S[[#This Row],[Industry]], Mean_AE_S, 3, FALSE))</f>
        <v>10.056319045612778</v>
      </c>
      <c r="T3" s="1">
        <f>(Main_S[[#This Row],[P/E]]-VLOOKUP(Main_S[[#This Row],[Industry]], Mean_PE_S, 2, FALSE))/(VLOOKUP(Main_S[[#This Row],[Industry]], Mean_PE_S, 3, FALSE))</f>
        <v>-0.32096659962055207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168</v>
      </c>
      <c r="B4" t="s">
        <v>442</v>
      </c>
      <c r="C4" s="2">
        <v>261</v>
      </c>
      <c r="D4">
        <f>RTD("tos.rtd", , "LAST", Main_S[[#This Row],[Symbol]])</f>
        <v>20.81</v>
      </c>
      <c r="E4">
        <v>0.63</v>
      </c>
      <c r="F4">
        <v>19.68</v>
      </c>
      <c r="G4">
        <v>-0.16</v>
      </c>
      <c r="H4" s="1">
        <f>IF(ISNUMBER(Main_S[[#This Row],[Free CF]]),IF(Main_S[[#This Row],[Free CF]]&lt;&gt;0,Main_S[[#This Row],[Current Price]]/Main_S[[#This Row],[Free CF]],""),"")</f>
        <v>33.031746031746032</v>
      </c>
      <c r="I4" s="1">
        <f>IF(ISNUMBER(Main_S[[#This Row],[BVPS]]),IF(Main_S[[#This Row],[BVPS]]&lt;&gt;0,Main_S[[#This Row],[Current Price]]/Main_S[[#This Row],[BVPS]],""),"")</f>
        <v>1.0574186991869918</v>
      </c>
      <c r="J4">
        <v>-0.78</v>
      </c>
      <c r="K4">
        <v>1.64</v>
      </c>
      <c r="L4">
        <v>2.38</v>
      </c>
      <c r="M4" s="1">
        <f>IF(ISNUMBER(Main_S[[#This Row],[EPS]]),IF(Main_S[[#This Row],[EPS]]&lt;&gt;0,Main_S[[#This Row],[Current Price]]/Main_S[[#This Row],[EPS]],""),"")</f>
        <v>-130.0625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1.0472337683638961</v>
      </c>
      <c r="P4" s="1">
        <f>(Main_S[[#This Row],[P/B]]-VLOOKUP(Main_S[[#This Row],[Industry]], Mean_PB_S, 2, FALSE))/(VLOOKUP(Main_S[[#This Row],[Industry]], Mean_PB_S, 3, FALSE))</f>
        <v>-0.63583721672751548</v>
      </c>
      <c r="Q4" s="1">
        <f>(Main_S[[#This Row],[ROE]]-VLOOKUP(Main_S[[#This Row],[Industry]], Mean_ROE_S, 2, FALSE))/(VLOOKUP(Main_S[[#This Row],[Industry]], Mean_ROE_S, 3, FALSE))</f>
        <v>0.14650123284859445</v>
      </c>
      <c r="R4" s="1">
        <f>(Main_S[[#This Row],[ROA]]-VLOOKUP(Main_S[[#This Row],[Industry]], Mean_ROA_S, 2, FALSE))/(VLOOKUP(Main_S[[#This Row],[Industry]], Mean_ROA_S, 3, FALSE))</f>
        <v>0.31990174990869558</v>
      </c>
      <c r="S4" s="1">
        <f>(Main_S[[#This Row],[A/E]]-VLOOKUP(Main_S[[#This Row],[Industry]], Mean_AE_S, 2, FALSE))/(VLOOKUP(Main_S[[#This Row],[Industry]], Mean_AE_S, 3, FALSE))</f>
        <v>0.64533960590938089</v>
      </c>
      <c r="T4" s="1">
        <f>(Main_S[[#This Row],[P/E]]-VLOOKUP(Main_S[[#This Row],[Industry]], Mean_PE_S, 2, FALSE))/(VLOOKUP(Main_S[[#This Row],[Industry]], Mean_PE_S, 3, FALSE))</f>
        <v>-6.4389977751090104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" spans="1:26" x14ac:dyDescent="0.25">
      <c r="A5" t="s">
        <v>168</v>
      </c>
      <c r="B5" t="s">
        <v>443</v>
      </c>
      <c r="C5" s="2">
        <v>441</v>
      </c>
      <c r="D5">
        <f>RTD("tos.rtd", , "LAST", Main_S[[#This Row],[Symbol]])</f>
        <v>37.729999999999997</v>
      </c>
      <c r="E5">
        <v>0.65</v>
      </c>
      <c r="F5">
        <v>18.920000000000002</v>
      </c>
      <c r="G5">
        <v>-0.63</v>
      </c>
      <c r="H5" s="1">
        <f>IF(ISNUMBER(Main_S[[#This Row],[Free CF]]),IF(Main_S[[#This Row],[Free CF]]&lt;&gt;0,Main_S[[#This Row],[Current Price]]/Main_S[[#This Row],[Free CF]],""),"")</f>
        <v>58.046153846153842</v>
      </c>
      <c r="I5" s="1">
        <f>IF(ISNUMBER(Main_S[[#This Row],[BVPS]]),IF(Main_S[[#This Row],[BVPS]]&lt;&gt;0,Main_S[[#This Row],[Current Price]]/Main_S[[#This Row],[BVPS]],""),"")</f>
        <v>1.9941860465116275</v>
      </c>
      <c r="J5">
        <v>-3.2</v>
      </c>
      <c r="K5">
        <v>-3.72</v>
      </c>
      <c r="L5">
        <v>1.1299999999999999</v>
      </c>
      <c r="M5" s="1">
        <f>IF(ISNUMBER(Main_S[[#This Row],[EPS]]),IF(Main_S[[#This Row],[EPS]]&lt;&gt;0,Main_S[[#This Row],[Current Price]]/Main_S[[#This Row],[EPS]],""),"")</f>
        <v>-59.888888888888886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2.5525264726260013</v>
      </c>
      <c r="P5" s="1">
        <f>(Main_S[[#This Row],[P/B]]-VLOOKUP(Main_S[[#This Row],[Industry]], Mean_PB_S, 2, FALSE))/(VLOOKUP(Main_S[[#This Row],[Industry]], Mean_PB_S, 3, FALSE))</f>
        <v>-2.7758812445198653E-2</v>
      </c>
      <c r="Q5" s="1">
        <f>(Main_S[[#This Row],[ROE]]-VLOOKUP(Main_S[[#This Row],[Industry]], Mean_ROE_S, 2, FALSE))/(VLOOKUP(Main_S[[#This Row],[Industry]], Mean_ROE_S, 3, FALSE))</f>
        <v>2.6827651922485211E-2</v>
      </c>
      <c r="R5" s="1">
        <f>(Main_S[[#This Row],[ROA]]-VLOOKUP(Main_S[[#This Row],[Industry]], Mean_ROA_S, 2, FALSE))/(VLOOKUP(Main_S[[#This Row],[Industry]], Mean_ROA_S, 3, FALSE))</f>
        <v>-0.85577092591608872</v>
      </c>
      <c r="S5" s="1">
        <f>(Main_S[[#This Row],[A/E]]-VLOOKUP(Main_S[[#This Row],[Industry]], Mean_AE_S, 2, FALSE))/(VLOOKUP(Main_S[[#This Row],[Industry]], Mean_AE_S, 3, FALSE))</f>
        <v>-1.1956188134379191</v>
      </c>
      <c r="T5" s="1">
        <f>(Main_S[[#This Row],[P/E]]-VLOOKUP(Main_S[[#This Row],[Industry]], Mean_PE_S, 2, FALSE))/(VLOOKUP(Main_S[[#This Row],[Industry]], Mean_PE_S, 3, FALSE))</f>
        <v>-3.0993245741877642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" spans="1:26" x14ac:dyDescent="0.25">
      <c r="A6" t="s">
        <v>168</v>
      </c>
      <c r="B6" t="s">
        <v>444</v>
      </c>
      <c r="C6" s="2">
        <v>1063</v>
      </c>
      <c r="D6">
        <f>RTD("tos.rtd", , "LAST", Main_S[[#This Row],[Symbol]])</f>
        <v>5.68</v>
      </c>
      <c r="E6">
        <v>1.06</v>
      </c>
      <c r="F6">
        <v>-11.77</v>
      </c>
      <c r="G6">
        <v>0.03</v>
      </c>
      <c r="H6" s="1">
        <f>IF(ISNUMBER(Main_S[[#This Row],[Free CF]]),IF(Main_S[[#This Row],[Free CF]]&lt;&gt;0,Main_S[[#This Row],[Current Price]]/Main_S[[#This Row],[Free CF]],""),"")</f>
        <v>5.3584905660377355</v>
      </c>
      <c r="I6" s="1">
        <f>IF(ISNUMBER(Main_S[[#This Row],[BVPS]]),IF(Main_S[[#This Row],[BVPS]]&lt;&gt;0,Main_S[[#This Row],[Current Price]]/Main_S[[#This Row],[BVPS]],""),"")</f>
        <v>-0.48258283772302463</v>
      </c>
      <c r="J6">
        <v>-4.1399999999999997</v>
      </c>
      <c r="K6">
        <v>4.08</v>
      </c>
      <c r="L6">
        <v>-2.95</v>
      </c>
      <c r="M6" s="1">
        <f>IF(ISNUMBER(Main_S[[#This Row],[EPS]]),IF(Main_S[[#This Row],[EPS]]&lt;&gt;0,Main_S[[#This Row],[Current Price]]/Main_S[[#This Row],[EPS]],""),"")</f>
        <v>189.33333333333334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-0.61806048384378076</v>
      </c>
      <c r="P6" s="1">
        <f>(Main_S[[#This Row],[P/B]]-VLOOKUP(Main_S[[#This Row],[Industry]], Mean_PB_S, 2, FALSE))/(VLOOKUP(Main_S[[#This Row],[Industry]], Mean_PB_S, 3, FALSE))</f>
        <v>-1.6354895635252475</v>
      </c>
      <c r="Q6" s="1">
        <f>(Main_S[[#This Row],[ROE]]-VLOOKUP(Main_S[[#This Row],[Industry]], Mean_ROE_S, 2, FALSE))/(VLOOKUP(Main_S[[#This Row],[Industry]], Mean_ROE_S, 3, FALSE))</f>
        <v>-1.965712744550761E-2</v>
      </c>
      <c r="R6" s="1">
        <f>(Main_S[[#This Row],[ROA]]-VLOOKUP(Main_S[[#This Row],[Industry]], Mean_ROA_S, 2, FALSE))/(VLOOKUP(Main_S[[#This Row],[Industry]], Mean_ROA_S, 3, FALSE))</f>
        <v>0.8550960277095303</v>
      </c>
      <c r="S6" s="1">
        <f>(Main_S[[#This Row],[A/E]]-VLOOKUP(Main_S[[#This Row],[Industry]], Mean_AE_S, 2, FALSE))/(VLOOKUP(Main_S[[#This Row],[Industry]], Mean_AE_S, 3, FALSE))</f>
        <v>-7.2045070941875062</v>
      </c>
      <c r="T6" s="1">
        <f>(Main_S[[#This Row],[P/E]]-VLOOKUP(Main_S[[#This Row],[Industry]], Mean_PE_S, 2, FALSE))/(VLOOKUP(Main_S[[#This Row],[Industry]], Mean_PE_S, 3, FALSE))</f>
        <v>8.7615553698658371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" spans="1:26" x14ac:dyDescent="0.25">
      <c r="A7" t="s">
        <v>168</v>
      </c>
      <c r="B7" t="s">
        <v>445</v>
      </c>
      <c r="C7" s="2">
        <v>1036</v>
      </c>
      <c r="D7">
        <f>RTD("tos.rtd", , "LAST", Main_S[[#This Row],[Symbol]])</f>
        <v>34.08</v>
      </c>
      <c r="E7">
        <v>2.57</v>
      </c>
      <c r="F7">
        <v>16.010000000000002</v>
      </c>
      <c r="G7">
        <v>0.95</v>
      </c>
      <c r="H7" s="1">
        <f>IF(ISNUMBER(Main_S[[#This Row],[Free CF]]),IF(Main_S[[#This Row],[Free CF]]&lt;&gt;0,Main_S[[#This Row],[Current Price]]/Main_S[[#This Row],[Free CF]],""),"")</f>
        <v>13.260700389105059</v>
      </c>
      <c r="I7" s="1">
        <f>IF(ISNUMBER(Main_S[[#This Row],[BVPS]]),IF(Main_S[[#This Row],[BVPS]]&lt;&gt;0,Main_S[[#This Row],[Current Price]]/Main_S[[#This Row],[BVPS]],""),"")</f>
        <v>2.1286695815115548</v>
      </c>
      <c r="J7">
        <v>6.29</v>
      </c>
      <c r="K7">
        <v>3.79</v>
      </c>
      <c r="L7">
        <v>1.35</v>
      </c>
      <c r="M7" s="1">
        <f>IF(ISNUMBER(Main_S[[#This Row],[EPS]]),IF(Main_S[[#This Row],[EPS]]&lt;&gt;0,Main_S[[#This Row],[Current Price]]/Main_S[[#This Row],[EPS]],""),"")</f>
        <v>35.873684210526314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-0.14252898685746332</v>
      </c>
      <c r="P7" s="1">
        <f>(Main_S[[#This Row],[P/B]]-VLOOKUP(Main_S[[#This Row],[Industry]], Mean_PB_S, 2, FALSE))/(VLOOKUP(Main_S[[#This Row],[Industry]], Mean_PB_S, 3, FALSE))</f>
        <v>5.9537711711574057E-2</v>
      </c>
      <c r="Q7" s="1">
        <f>(Main_S[[#This Row],[ROE]]-VLOOKUP(Main_S[[#This Row],[Industry]], Mean_ROE_S, 2, FALSE))/(VLOOKUP(Main_S[[#This Row],[Industry]], Mean_ROE_S, 3, FALSE))</f>
        <v>0.49612611596743422</v>
      </c>
      <c r="R7" s="1">
        <f>(Main_S[[#This Row],[ROA]]-VLOOKUP(Main_S[[#This Row],[Industry]], Mean_ROA_S, 2, FALSE))/(VLOOKUP(Main_S[[#This Row],[Industry]], Mean_ROA_S, 3, FALSE))</f>
        <v>0.79148687174139831</v>
      </c>
      <c r="S7" s="1">
        <f>(Main_S[[#This Row],[A/E]]-VLOOKUP(Main_S[[#This Row],[Industry]], Mean_AE_S, 2, FALSE))/(VLOOKUP(Main_S[[#This Row],[Industry]], Mean_AE_S, 3, FALSE))</f>
        <v>-0.87161013163279411</v>
      </c>
      <c r="T7" s="1">
        <f>(Main_S[[#This Row],[P/E]]-VLOOKUP(Main_S[[#This Row],[Industry]], Mean_PE_S, 2, FALSE))/(VLOOKUP(Main_S[[#This Row],[Industry]], Mean_PE_S, 3, FALSE))</f>
        <v>1.4581678217071912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168</v>
      </c>
      <c r="B8" t="s">
        <v>446</v>
      </c>
      <c r="C8" s="2">
        <v>1938</v>
      </c>
      <c r="D8">
        <f>RTD("tos.rtd", , "LAST", Main_S[[#This Row],[Symbol]])</f>
        <v>16.059999999999999</v>
      </c>
      <c r="E8">
        <v>0.48</v>
      </c>
      <c r="F8">
        <v>0.54</v>
      </c>
      <c r="G8">
        <v>-0.41</v>
      </c>
      <c r="H8" s="1">
        <f>IF(ISNUMBER(Main_S[[#This Row],[Free CF]]),IF(Main_S[[#This Row],[Free CF]]&lt;&gt;0,Main_S[[#This Row],[Current Price]]/Main_S[[#This Row],[Free CF]],""),"")</f>
        <v>33.458333333333329</v>
      </c>
      <c r="I8" s="1">
        <f>IF(ISNUMBER(Main_S[[#This Row],[BVPS]]),IF(Main_S[[#This Row],[BVPS]]&lt;&gt;0,Main_S[[#This Row],[Current Price]]/Main_S[[#This Row],[BVPS]],""),"")</f>
        <v>29.740740740740737</v>
      </c>
      <c r="J8">
        <v>-78.83</v>
      </c>
      <c r="K8">
        <v>-1.0900000000000001</v>
      </c>
      <c r="L8">
        <v>14.96</v>
      </c>
      <c r="M8" s="1">
        <f>IF(ISNUMBER(Main_S[[#This Row],[EPS]]),IF(Main_S[[#This Row],[EPS]]&lt;&gt;0,Main_S[[#This Row],[Current Price]]/Main_S[[#This Row],[EPS]],""),"")</f>
        <v>-39.170731707317074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1.0729045240969326</v>
      </c>
      <c r="P8" s="1">
        <f>(Main_S[[#This Row],[P/B]]-VLOOKUP(Main_S[[#This Row],[Industry]], Mean_PB_S, 2, FALSE))/(VLOOKUP(Main_S[[#This Row],[Industry]], Mean_PB_S, 3, FALSE))</f>
        <v>17.983202768340842</v>
      </c>
      <c r="Q8" s="1">
        <f>(Main_S[[#This Row],[ROE]]-VLOOKUP(Main_S[[#This Row],[Industry]], Mean_ROE_S, 2, FALSE))/(VLOOKUP(Main_S[[#This Row],[Industry]], Mean_ROE_S, 3, FALSE))</f>
        <v>-3.7132190114831523</v>
      </c>
      <c r="R8" s="1">
        <f>(Main_S[[#This Row],[ROA]]-VLOOKUP(Main_S[[#This Row],[Industry]], Mean_ROA_S, 2, FALSE))/(VLOOKUP(Main_S[[#This Row],[Industry]], Mean_ROA_S, 3, FALSE))</f>
        <v>-0.27890168386027103</v>
      </c>
      <c r="S8" s="1">
        <f>(Main_S[[#This Row],[A/E]]-VLOOKUP(Main_S[[#This Row],[Industry]], Mean_AE_S, 2, FALSE))/(VLOOKUP(Main_S[[#This Row],[Industry]], Mean_AE_S, 3, FALSE))</f>
        <v>19.172745138220609</v>
      </c>
      <c r="T8" s="1">
        <f>(Main_S[[#This Row],[P/E]]-VLOOKUP(Main_S[[#This Row],[Industry]], Mean_PE_S, 2, FALSE))/(VLOOKUP(Main_S[[#This Row],[Industry]], Mean_PE_S, 3, FALSE))</f>
        <v>-2.1133146879042619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168</v>
      </c>
      <c r="B9" t="s">
        <v>447</v>
      </c>
      <c r="C9" s="2">
        <v>375</v>
      </c>
      <c r="D9">
        <f>RTD("tos.rtd", , "LAST", Main_S[[#This Row],[Symbol]])</f>
        <v>6.68</v>
      </c>
      <c r="E9">
        <v>0.44</v>
      </c>
      <c r="F9">
        <v>5.34</v>
      </c>
      <c r="G9">
        <v>0.44</v>
      </c>
      <c r="H9" s="1">
        <f>IF(ISNUMBER(Main_S[[#This Row],[Free CF]]),IF(Main_S[[#This Row],[Free CF]]&lt;&gt;0,Main_S[[#This Row],[Current Price]]/Main_S[[#This Row],[Free CF]],""),"")</f>
        <v>15.181818181818182</v>
      </c>
      <c r="I9" s="1">
        <f>IF(ISNUMBER(Main_S[[#This Row],[BVPS]]),IF(Main_S[[#This Row],[BVPS]]&lt;&gt;0,Main_S[[#This Row],[Current Price]]/Main_S[[#This Row],[BVPS]],""),"")</f>
        <v>1.2509363295880149</v>
      </c>
      <c r="J9">
        <v>8.58</v>
      </c>
      <c r="K9">
        <v>3.14</v>
      </c>
      <c r="L9">
        <v>1.41</v>
      </c>
      <c r="M9" s="1">
        <f>IF(ISNUMBER(Main_S[[#This Row],[EPS]]),IF(Main_S[[#This Row],[EPS]]&lt;&gt;0,Main_S[[#This Row],[Current Price]]/Main_S[[#This Row],[EPS]],""),"")</f>
        <v>15.181818181818182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-2.6921828820584394E-2</v>
      </c>
      <c r="P9" s="1">
        <f>(Main_S[[#This Row],[P/B]]-VLOOKUP(Main_S[[#This Row],[Industry]], Mean_PB_S, 2, FALSE))/(VLOOKUP(Main_S[[#This Row],[Industry]], Mean_PB_S, 3, FALSE))</f>
        <v>-0.51022022950990964</v>
      </c>
      <c r="Q9" s="1">
        <f>(Main_S[[#This Row],[ROE]]-VLOOKUP(Main_S[[#This Row],[Industry]], Mean_ROE_S, 2, FALSE))/(VLOOKUP(Main_S[[#This Row],[Industry]], Mean_ROE_S, 3, FALSE))</f>
        <v>0.609370950810736</v>
      </c>
      <c r="R9" s="1">
        <f>(Main_S[[#This Row],[ROA]]-VLOOKUP(Main_S[[#This Row],[Industry]], Mean_ROA_S, 2, FALSE))/(VLOOKUP(Main_S[[#This Row],[Industry]], Mean_ROA_S, 3, FALSE))</f>
        <v>0.64891462560593005</v>
      </c>
      <c r="S9" s="1">
        <f>(Main_S[[#This Row],[A/E]]-VLOOKUP(Main_S[[#This Row],[Industry]], Mean_AE_S, 2, FALSE))/(VLOOKUP(Main_S[[#This Row],[Industry]], Mean_AE_S, 3, FALSE))</f>
        <v>-0.78324412750412387</v>
      </c>
      <c r="T9" s="1">
        <f>(Main_S[[#This Row],[P/E]]-VLOOKUP(Main_S[[#This Row],[Industry]], Mean_PE_S, 2, FALSE))/(VLOOKUP(Main_S[[#This Row],[Industry]], Mean_PE_S, 3, FALSE))</f>
        <v>0.47340917299362251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168</v>
      </c>
      <c r="B10" t="s">
        <v>448</v>
      </c>
      <c r="C10" s="2">
        <v>1005</v>
      </c>
      <c r="D10">
        <f>RTD("tos.rtd", , "LAST", Main_S[[#This Row],[Symbol]])</f>
        <v>9.73</v>
      </c>
      <c r="E10">
        <v>0.94</v>
      </c>
      <c r="F10">
        <v>3.89</v>
      </c>
      <c r="G10">
        <v>0.44</v>
      </c>
      <c r="H10" s="1">
        <f>IF(ISNUMBER(Main_S[[#This Row],[Free CF]]),IF(Main_S[[#This Row],[Free CF]]&lt;&gt;0,Main_S[[#This Row],[Current Price]]/Main_S[[#This Row],[Free CF]],""),"")</f>
        <v>10.351063829787234</v>
      </c>
      <c r="I10" s="1">
        <f>IF(ISNUMBER(Main_S[[#This Row],[BVPS]]),IF(Main_S[[#This Row],[BVPS]]&lt;&gt;0,Main_S[[#This Row],[Current Price]]/Main_S[[#This Row],[BVPS]],""),"")</f>
        <v>2.501285347043702</v>
      </c>
      <c r="J10">
        <v>12.45</v>
      </c>
      <c r="K10">
        <v>9.0500000000000007</v>
      </c>
      <c r="L10">
        <v>1.73</v>
      </c>
      <c r="M10" s="1">
        <f>IF(ISNUMBER(Main_S[[#This Row],[EPS]]),IF(Main_S[[#This Row],[EPS]]&lt;&gt;0,Main_S[[#This Row],[Current Price]]/Main_S[[#This Row],[EPS]],""),"")</f>
        <v>22.113636363636363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-0.31762226579060299</v>
      </c>
      <c r="P10" s="1">
        <f>(Main_S[[#This Row],[P/B]]-VLOOKUP(Main_S[[#This Row],[Industry]], Mean_PB_S, 2, FALSE))/(VLOOKUP(Main_S[[#This Row],[Industry]], Mean_PB_S, 3, FALSE))</f>
        <v>0.30141164205545595</v>
      </c>
      <c r="Q10" s="1">
        <f>(Main_S[[#This Row],[ROE]]-VLOOKUP(Main_S[[#This Row],[Industry]], Mean_ROE_S, 2, FALSE))/(VLOOKUP(Main_S[[#This Row],[Industry]], Mean_ROE_S, 3, FALSE))</f>
        <v>0.80074977650662138</v>
      </c>
      <c r="R10" s="1">
        <f>(Main_S[[#This Row],[ROA]]-VLOOKUP(Main_S[[#This Row],[Industry]], Mean_ROA_S, 2, FALSE))/(VLOOKUP(Main_S[[#This Row],[Industry]], Mean_ROA_S, 3, FALSE))</f>
        <v>1.9452253558530335</v>
      </c>
      <c r="S10" s="1">
        <f>(Main_S[[#This Row],[A/E]]-VLOOKUP(Main_S[[#This Row],[Industry]], Mean_AE_S, 2, FALSE))/(VLOOKUP(Main_S[[#This Row],[Industry]], Mean_AE_S, 3, FALSE))</f>
        <v>-0.31195877215121504</v>
      </c>
      <c r="T10" s="1">
        <f>(Main_S[[#This Row],[P/E]]-VLOOKUP(Main_S[[#This Row],[Industry]], Mean_PE_S, 2, FALSE))/(VLOOKUP(Main_S[[#This Row],[Industry]], Mean_PE_S, 3, FALSE))</f>
        <v>0.80330536971095645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168</v>
      </c>
      <c r="B11" t="s">
        <v>449</v>
      </c>
      <c r="C11" s="2">
        <v>697</v>
      </c>
      <c r="D11">
        <f>RTD("tos.rtd", , "LAST", Main_S[[#This Row],[Symbol]])</f>
        <v>37.4</v>
      </c>
      <c r="E11">
        <v>3.05</v>
      </c>
      <c r="F11">
        <v>9.31</v>
      </c>
      <c r="G11">
        <v>2.7</v>
      </c>
      <c r="H11" s="1">
        <f>IF(ISNUMBER(Main_S[[#This Row],[Free CF]]),IF(Main_S[[#This Row],[Free CF]]&lt;&gt;0,Main_S[[#This Row],[Current Price]]/Main_S[[#This Row],[Free CF]],""),"")</f>
        <v>12.262295081967213</v>
      </c>
      <c r="I11" s="1">
        <f>IF(ISNUMBER(Main_S[[#This Row],[BVPS]]),IF(Main_S[[#This Row],[BVPS]]&lt;&gt;0,Main_S[[#This Row],[Current Price]]/Main_S[[#This Row],[BVPS]],""),"")</f>
        <v>4.0171858216970993</v>
      </c>
      <c r="J11">
        <v>30.44</v>
      </c>
      <c r="K11">
        <v>13.78</v>
      </c>
      <c r="L11">
        <v>1.76</v>
      </c>
      <c r="M11" s="1">
        <f>IF(ISNUMBER(Main_S[[#This Row],[EPS]]),IF(Main_S[[#This Row],[EPS]]&lt;&gt;0,Main_S[[#This Row],[Current Price]]/Main_S[[#This Row],[EPS]],""),"")</f>
        <v>13.851851851851851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-0.20261005037420701</v>
      </c>
      <c r="P11" s="1">
        <f>(Main_S[[#This Row],[P/B]]-VLOOKUP(Main_S[[#This Row],[Industry]], Mean_PB_S, 2, FALSE))/(VLOOKUP(Main_S[[#This Row],[Industry]], Mean_PB_S, 3, FALSE))</f>
        <v>1.2854194048266754</v>
      </c>
      <c r="Q11" s="1">
        <f>(Main_S[[#This Row],[ROE]]-VLOOKUP(Main_S[[#This Row],[Industry]], Mean_ROE_S, 2, FALSE))/(VLOOKUP(Main_S[[#This Row],[Industry]], Mean_ROE_S, 3, FALSE))</f>
        <v>1.6903893305812931</v>
      </c>
      <c r="R11" s="1">
        <f>(Main_S[[#This Row],[ROA]]-VLOOKUP(Main_S[[#This Row],[Industry]], Mean_ROA_S, 2, FALSE))/(VLOOKUP(Main_S[[#This Row],[Industry]], Mean_ROA_S, 3, FALSE))</f>
        <v>2.982712623884979</v>
      </c>
      <c r="S11" s="1">
        <f>(Main_S[[#This Row],[A/E]]-VLOOKUP(Main_S[[#This Row],[Industry]], Mean_AE_S, 2, FALSE))/(VLOOKUP(Main_S[[#This Row],[Industry]], Mean_AE_S, 3, FALSE))</f>
        <v>-0.26777577008687975</v>
      </c>
      <c r="T11" s="1">
        <f>(Main_S[[#This Row],[P/E]]-VLOOKUP(Main_S[[#This Row],[Industry]], Mean_PE_S, 2, FALSE))/(VLOOKUP(Main_S[[#This Row],[Industry]], Mean_PE_S, 3, FALSE))</f>
        <v>0.41011397070905797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168</v>
      </c>
      <c r="B12" t="s">
        <v>450</v>
      </c>
      <c r="C12" s="2">
        <v>1522</v>
      </c>
      <c r="D12">
        <f>RTD("tos.rtd", , "LAST", Main_S[[#This Row],[Symbol]])</f>
        <v>23.02</v>
      </c>
      <c r="E12">
        <v>2.2799999999999998</v>
      </c>
      <c r="F12">
        <v>21.19</v>
      </c>
      <c r="G12">
        <v>-5.86</v>
      </c>
      <c r="H12" s="1">
        <f>IF(ISNUMBER(Main_S[[#This Row],[Free CF]]),IF(Main_S[[#This Row],[Free CF]]&lt;&gt;0,Main_S[[#This Row],[Current Price]]/Main_S[[#This Row],[Free CF]],""),"")</f>
        <v>10.096491228070176</v>
      </c>
      <c r="I12" s="1">
        <f>IF(ISNUMBER(Main_S[[#This Row],[BVPS]]),IF(Main_S[[#This Row],[BVPS]]&lt;&gt;0,Main_S[[#This Row],[Current Price]]/Main_S[[#This Row],[BVPS]],""),"")</f>
        <v>1.0863614912694666</v>
      </c>
      <c r="J12">
        <v>-24.41</v>
      </c>
      <c r="K12">
        <v>1.79</v>
      </c>
      <c r="L12">
        <v>1.43</v>
      </c>
      <c r="M12" s="1">
        <f>IF(ISNUMBER(Main_S[[#This Row],[EPS]]),IF(Main_S[[#This Row],[EPS]]&lt;&gt;0,Main_S[[#This Row],[Current Price]]/Main_S[[#This Row],[EPS]],""),"")</f>
        <v>-3.9283276450511941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-0.33294168821758491</v>
      </c>
      <c r="P12" s="1">
        <f>(Main_S[[#This Row],[P/B]]-VLOOKUP(Main_S[[#This Row],[Industry]], Mean_PB_S, 2, FALSE))/(VLOOKUP(Main_S[[#This Row],[Industry]], Mean_PB_S, 3, FALSE))</f>
        <v>-0.61704974844603722</v>
      </c>
      <c r="Q12" s="1">
        <f>(Main_S[[#This Row],[ROE]]-VLOOKUP(Main_S[[#This Row],[Industry]], Mean_ROE_S, 2, FALSE))/(VLOOKUP(Main_S[[#This Row],[Industry]], Mean_ROE_S, 3, FALSE))</f>
        <v>-1.0220469974340343</v>
      </c>
      <c r="R12" s="1">
        <f>(Main_S[[#This Row],[ROA]]-VLOOKUP(Main_S[[#This Row],[Industry]], Mean_ROA_S, 2, FALSE))/(VLOOKUP(Main_S[[#This Row],[Industry]], Mean_ROA_S, 3, FALSE))</f>
        <v>0.35280303747841901</v>
      </c>
      <c r="S12" s="1">
        <f>(Main_S[[#This Row],[A/E]]-VLOOKUP(Main_S[[#This Row],[Industry]], Mean_AE_S, 2, FALSE))/(VLOOKUP(Main_S[[#This Row],[Industry]], Mean_AE_S, 3, FALSE))</f>
        <v>-0.75378879279456712</v>
      </c>
      <c r="T12" s="1">
        <f>(Main_S[[#This Row],[P/E]]-VLOOKUP(Main_S[[#This Row],[Industry]], Mean_PE_S, 2, FALSE))/(VLOOKUP(Main_S[[#This Row],[Industry]], Mean_PE_S, 3, FALSE))</f>
        <v>-0.43607290827819728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168</v>
      </c>
      <c r="B13" t="s">
        <v>451</v>
      </c>
      <c r="C13" s="2">
        <v>825</v>
      </c>
      <c r="D13">
        <f>RTD("tos.rtd", , "LAST", Main_S[[#This Row],[Symbol]])</f>
        <v>29.79</v>
      </c>
      <c r="E13">
        <v>4.5599999999999996</v>
      </c>
      <c r="F13">
        <v>18.559999999999999</v>
      </c>
      <c r="G13">
        <v>0.85</v>
      </c>
      <c r="H13" s="1">
        <f>IF(ISNUMBER(Main_S[[#This Row],[Free CF]]),IF(Main_S[[#This Row],[Free CF]]&lt;&gt;0,Main_S[[#This Row],[Current Price]]/Main_S[[#This Row],[Free CF]],""),"")</f>
        <v>6.5328947368421053</v>
      </c>
      <c r="I13" s="1">
        <f>IF(ISNUMBER(Main_S[[#This Row],[BVPS]]),IF(Main_S[[#This Row],[BVPS]]&lt;&gt;0,Main_S[[#This Row],[Current Price]]/Main_S[[#This Row],[BVPS]],""),"")</f>
        <v>1.6050646551724139</v>
      </c>
      <c r="J13">
        <v>4.78</v>
      </c>
      <c r="K13">
        <v>-4.63</v>
      </c>
      <c r="L13">
        <v>1.52</v>
      </c>
      <c r="M13" s="1">
        <f>IF(ISNUMBER(Main_S[[#This Row],[EPS]]),IF(Main_S[[#This Row],[EPS]]&lt;&gt;0,Main_S[[#This Row],[Current Price]]/Main_S[[#This Row],[EPS]],""),"")</f>
        <v>35.047058823529412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-0.54738833188707625</v>
      </c>
      <c r="P13" s="1">
        <f>(Main_S[[#This Row],[P/B]]-VLOOKUP(Main_S[[#This Row],[Industry]], Mean_PB_S, 2, FALSE))/(VLOOKUP(Main_S[[#This Row],[Industry]], Mean_PB_S, 3, FALSE))</f>
        <v>-0.28034694480637584</v>
      </c>
      <c r="Q13" s="1">
        <f>(Main_S[[#This Row],[ROE]]-VLOOKUP(Main_S[[#This Row],[Industry]], Mean_ROE_S, 2, FALSE))/(VLOOKUP(Main_S[[#This Row],[Industry]], Mean_ROE_S, 3, FALSE))</f>
        <v>0.42145375762097775</v>
      </c>
      <c r="R13" s="1">
        <f>(Main_S[[#This Row],[ROA]]-VLOOKUP(Main_S[[#This Row],[Industry]], Mean_ROA_S, 2, FALSE))/(VLOOKUP(Main_S[[#This Row],[Industry]], Mean_ROA_S, 3, FALSE))</f>
        <v>-1.0553720705057441</v>
      </c>
      <c r="S13" s="1">
        <f>(Main_S[[#This Row],[A/E]]-VLOOKUP(Main_S[[#This Row],[Industry]], Mean_AE_S, 2, FALSE))/(VLOOKUP(Main_S[[#This Row],[Industry]], Mean_AE_S, 3, FALSE))</f>
        <v>-0.62123978660156132</v>
      </c>
      <c r="T13" s="1">
        <f>(Main_S[[#This Row],[P/E]]-VLOOKUP(Main_S[[#This Row],[Industry]], Mean_PE_S, 2, FALSE))/(VLOOKUP(Main_S[[#This Row],[Industry]], Mean_PE_S, 3, FALSE))</f>
        <v>1.4188274114241355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t="s">
        <v>168</v>
      </c>
      <c r="B14" t="s">
        <v>452</v>
      </c>
      <c r="C14" s="2">
        <v>538</v>
      </c>
      <c r="D14">
        <f>RTD("tos.rtd", , "LAST", Main_S[[#This Row],[Symbol]])</f>
        <v>3.54</v>
      </c>
      <c r="E14">
        <v>0.01</v>
      </c>
      <c r="F14">
        <v>2.17</v>
      </c>
      <c r="G14">
        <v>-0.28999999999999998</v>
      </c>
      <c r="H14" s="1">
        <f>IF(ISNUMBER(Main_S[[#This Row],[Free CF]]),IF(Main_S[[#This Row],[Free CF]]&lt;&gt;0,Main_S[[#This Row],[Current Price]]/Main_S[[#This Row],[Free CF]],""),"")</f>
        <v>354</v>
      </c>
      <c r="I14" s="1">
        <f>IF(ISNUMBER(Main_S[[#This Row],[BVPS]]),IF(Main_S[[#This Row],[BVPS]]&lt;&gt;0,Main_S[[#This Row],[Current Price]]/Main_S[[#This Row],[BVPS]],""),"")</f>
        <v>1.631336405529954</v>
      </c>
      <c r="J14">
        <v>-12.42</v>
      </c>
      <c r="K14">
        <v>1.31</v>
      </c>
      <c r="L14">
        <v>2.98</v>
      </c>
      <c r="M14" s="1">
        <f>IF(ISNUMBER(Main_S[[#This Row],[EPS]]),IF(Main_S[[#This Row],[EPS]]&lt;&gt;0,Main_S[[#This Row],[Current Price]]/Main_S[[#This Row],[EPS]],""),"")</f>
        <v>-12.206896551724139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20.362149179628346</v>
      </c>
      <c r="P14" s="1">
        <f>(Main_S[[#This Row],[P/B]]-VLOOKUP(Main_S[[#This Row],[Industry]], Mean_PB_S, 2, FALSE))/(VLOOKUP(Main_S[[#This Row],[Industry]], Mean_PB_S, 3, FALSE))</f>
        <v>-0.26329331448851623</v>
      </c>
      <c r="Q14" s="1">
        <f>(Main_S[[#This Row],[ROE]]-VLOOKUP(Main_S[[#This Row],[Industry]], Mean_ROE_S, 2, FALSE))/(VLOOKUP(Main_S[[#This Row],[Industry]], Mean_ROE_S, 3, FALSE))</f>
        <v>-0.42911880102740207</v>
      </c>
      <c r="R14" s="1">
        <f>(Main_S[[#This Row],[ROA]]-VLOOKUP(Main_S[[#This Row],[Industry]], Mean_ROA_S, 2, FALSE))/(VLOOKUP(Main_S[[#This Row],[Industry]], Mean_ROA_S, 3, FALSE))</f>
        <v>0.24751891725530403</v>
      </c>
      <c r="S14" s="1">
        <f>(Main_S[[#This Row],[A/E]]-VLOOKUP(Main_S[[#This Row],[Industry]], Mean_AE_S, 2, FALSE))/(VLOOKUP(Main_S[[#This Row],[Industry]], Mean_AE_S, 3, FALSE))</f>
        <v>1.5289996471960849</v>
      </c>
      <c r="T14" s="1">
        <f>(Main_S[[#This Row],[P/E]]-VLOOKUP(Main_S[[#This Row],[Industry]], Mean_PE_S, 2, FALSE))/(VLOOKUP(Main_S[[#This Row],[Industry]], Mean_PE_S, 3, FALSE))</f>
        <v>-0.83006310319375942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t="s">
        <v>168</v>
      </c>
      <c r="B15" t="s">
        <v>453</v>
      </c>
      <c r="C15" s="2">
        <v>1198</v>
      </c>
      <c r="D15">
        <f>RTD("tos.rtd", , "LAST", Main_S[[#This Row],[Symbol]])</f>
        <v>10.41</v>
      </c>
      <c r="E15">
        <v>-2.5</v>
      </c>
      <c r="F15">
        <v>36.869999999999997</v>
      </c>
      <c r="G15">
        <v>-3.29</v>
      </c>
      <c r="H15" s="1">
        <f>IF(ISNUMBER(Main_S[[#This Row],[Free CF]]),IF(Main_S[[#This Row],[Free CF]]&lt;&gt;0,Main_S[[#This Row],[Current Price]]/Main_S[[#This Row],[Free CF]],""),"")</f>
        <v>-4.1639999999999997</v>
      </c>
      <c r="I15" s="1">
        <f>IF(ISNUMBER(Main_S[[#This Row],[BVPS]]),IF(Main_S[[#This Row],[BVPS]]&lt;&gt;0,Main_S[[#This Row],[Current Price]]/Main_S[[#This Row],[BVPS]],""),"")</f>
        <v>0.28234336859235154</v>
      </c>
      <c r="J15">
        <v>-7.52</v>
      </c>
      <c r="K15">
        <v>0.22</v>
      </c>
      <c r="L15">
        <v>3.28</v>
      </c>
      <c r="M15" s="1">
        <f>IF(ISNUMBER(Main_S[[#This Row],[EPS]]),IF(Main_S[[#This Row],[EPS]]&lt;&gt;0,Main_S[[#This Row],[Current Price]]/Main_S[[#This Row],[EPS]],""),"")</f>
        <v>-3.1641337386018238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-1.1910956594838431</v>
      </c>
      <c r="P15" s="1">
        <f>(Main_S[[#This Row],[P/B]]-VLOOKUP(Main_S[[#This Row],[Industry]], Mean_PB_S, 2, FALSE))/(VLOOKUP(Main_S[[#This Row],[Industry]], Mean_PB_S, 3, FALSE))</f>
        <v>-1.1389574114830308</v>
      </c>
      <c r="Q15" s="1">
        <f>(Main_S[[#This Row],[ROE]]-VLOOKUP(Main_S[[#This Row],[Industry]], Mean_ROE_S, 2, FALSE))/(VLOOKUP(Main_S[[#This Row],[Industry]], Mean_ROE_S, 3, FALSE))</f>
        <v>-0.18680452559850316</v>
      </c>
      <c r="R15" s="1">
        <f>(Main_S[[#This Row],[ROA]]-VLOOKUP(Main_S[[#This Row],[Industry]], Mean_ROA_S, 2, FALSE))/(VLOOKUP(Main_S[[#This Row],[Industry]], Mean_ROA_S, 3, FALSE))</f>
        <v>8.4362275819803642E-3</v>
      </c>
      <c r="S15" s="1">
        <f>(Main_S[[#This Row],[A/E]]-VLOOKUP(Main_S[[#This Row],[Industry]], Mean_AE_S, 2, FALSE))/(VLOOKUP(Main_S[[#This Row],[Industry]], Mean_AE_S, 3, FALSE))</f>
        <v>1.9708296678394368</v>
      </c>
      <c r="T15" s="1">
        <f>(Main_S[[#This Row],[P/E]]-VLOOKUP(Main_S[[#This Row],[Industry]], Mean_PE_S, 2, FALSE))/(VLOOKUP(Main_S[[#This Row],[Industry]], Mean_PE_S, 3, FALSE))</f>
        <v>-0.39970371095079654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189</v>
      </c>
      <c r="B16" t="s">
        <v>460</v>
      </c>
      <c r="C16" s="2">
        <v>496</v>
      </c>
      <c r="D16">
        <f>RTD("tos.rtd", , "LAST", Main_S[[#This Row],[Symbol]])</f>
        <v>13.54</v>
      </c>
      <c r="E16">
        <v>-2.1</v>
      </c>
      <c r="F16">
        <v>1.84</v>
      </c>
      <c r="G16">
        <v>-2.85</v>
      </c>
      <c r="H16" s="1">
        <f>IF(ISNUMBER(Main_S[[#This Row],[Free CF]]),IF(Main_S[[#This Row],[Free CF]]&lt;&gt;0,Main_S[[#This Row],[Current Price]]/Main_S[[#This Row],[Free CF]],""),"")</f>
        <v>-6.4476190476190469</v>
      </c>
      <c r="I16" s="1">
        <f>IF(ISNUMBER(Main_S[[#This Row],[BVPS]]),IF(Main_S[[#This Row],[BVPS]]&lt;&gt;0,Main_S[[#This Row],[Current Price]]/Main_S[[#This Row],[BVPS]],""),"")</f>
        <v>7.3586956521739122</v>
      </c>
      <c r="J16">
        <v>-92.9</v>
      </c>
      <c r="K16">
        <v>-45.34</v>
      </c>
      <c r="L16">
        <v>1.48</v>
      </c>
      <c r="M16" s="1">
        <f>IF(ISNUMBER(Main_S[[#This Row],[EPS]]),IF(Main_S[[#This Row],[EPS]]&lt;&gt;0,Main_S[[#This Row],[Current Price]]/Main_S[[#This Row],[EPS]],""),"")</f>
        <v>-4.7508771929824558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-0.96007652723577097</v>
      </c>
      <c r="P16" s="1">
        <f>(Main_S[[#This Row],[P/B]]-VLOOKUP(Main_S[[#This Row],[Industry]], Mean_PB_S, 2, FALSE))/(VLOOKUP(Main_S[[#This Row],[Industry]], Mean_PB_S, 3, FALSE))</f>
        <v>2.4506203585932265</v>
      </c>
      <c r="Q16" s="1">
        <f>(Main_S[[#This Row],[ROE]]-VLOOKUP(Main_S[[#This Row],[Industry]], Mean_ROE_S, 2, FALSE))/(VLOOKUP(Main_S[[#This Row],[Industry]], Mean_ROE_S, 3, FALSE))</f>
        <v>-4.636796958441475</v>
      </c>
      <c r="R16" s="1">
        <f>(Main_S[[#This Row],[ROA]]-VLOOKUP(Main_S[[#This Row],[Industry]], Mean_ROA_S, 2, FALSE))/(VLOOKUP(Main_S[[#This Row],[Industry]], Mean_ROA_S, 3, FALSE))</f>
        <v>-5.2790551071476814</v>
      </c>
      <c r="S16" s="1">
        <f>(Main_S[[#This Row],[A/E]]-VLOOKUP(Main_S[[#This Row],[Industry]], Mean_AE_S, 2, FALSE))/(VLOOKUP(Main_S[[#This Row],[Industry]], Mean_AE_S, 3, FALSE))</f>
        <v>-0.67647112559329858</v>
      </c>
      <c r="T16" s="1">
        <f>(Main_S[[#This Row],[P/E]]-VLOOKUP(Main_S[[#This Row],[Industry]], Mean_PE_S, 2, FALSE))/(VLOOKUP(Main_S[[#This Row],[Industry]], Mean_PE_S, 3, FALSE))</f>
        <v>-0.7221978704161971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189</v>
      </c>
      <c r="B17" t="s">
        <v>461</v>
      </c>
      <c r="C17" s="2">
        <v>669</v>
      </c>
      <c r="D17">
        <f>RTD("tos.rtd", , "LAST", Main_S[[#This Row],[Symbol]])</f>
        <v>5.89</v>
      </c>
      <c r="E17">
        <v>-0.49</v>
      </c>
      <c r="F17">
        <v>3.46</v>
      </c>
      <c r="G17">
        <v>-1.02</v>
      </c>
      <c r="H17" s="1">
        <f>IF(ISNUMBER(Main_S[[#This Row],[Free CF]]),IF(Main_S[[#This Row],[Free CF]]&lt;&gt;0,Main_S[[#This Row],[Current Price]]/Main_S[[#This Row],[Free CF]],""),"")</f>
        <v>-12.020408163265305</v>
      </c>
      <c r="I17" s="1">
        <f>IF(ISNUMBER(Main_S[[#This Row],[BVPS]]),IF(Main_S[[#This Row],[BVPS]]&lt;&gt;0,Main_S[[#This Row],[Current Price]]/Main_S[[#This Row],[BVPS]],""),"")</f>
        <v>1.7023121387283235</v>
      </c>
      <c r="J17">
        <v>-4.04</v>
      </c>
      <c r="K17">
        <v>-3.6</v>
      </c>
      <c r="L17">
        <v>1.98</v>
      </c>
      <c r="M17" s="1">
        <f>IF(ISNUMBER(Main_S[[#This Row],[EPS]]),IF(Main_S[[#This Row],[EPS]]&lt;&gt;0,Main_S[[#This Row],[Current Price]]/Main_S[[#This Row],[EPS]],""),"")</f>
        <v>-5.7745098039215685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-1.2830696404340289</v>
      </c>
      <c r="P17" s="1">
        <f>(Main_S[[#This Row],[P/B]]-VLOOKUP(Main_S[[#This Row],[Industry]], Mean_PB_S, 2, FALSE))/(VLOOKUP(Main_S[[#This Row],[Industry]], Mean_PB_S, 3, FALSE))</f>
        <v>-0.63013404536248563</v>
      </c>
      <c r="Q17" s="1">
        <f>(Main_S[[#This Row],[ROE]]-VLOOKUP(Main_S[[#This Row],[Industry]], Mean_ROE_S, 2, FALSE))/(VLOOKUP(Main_S[[#This Row],[Industry]], Mean_ROE_S, 3, FALSE))</f>
        <v>-0.13961072968285423</v>
      </c>
      <c r="R17" s="1">
        <f>(Main_S[[#This Row],[ROA]]-VLOOKUP(Main_S[[#This Row],[Industry]], Mean_ROA_S, 2, FALSE))/(VLOOKUP(Main_S[[#This Row],[Industry]], Mean_ROA_S, 3, FALSE))</f>
        <v>-0.50149797161598075</v>
      </c>
      <c r="S17" s="1">
        <f>(Main_S[[#This Row],[A/E]]-VLOOKUP(Main_S[[#This Row],[Industry]], Mean_AE_S, 2, FALSE))/(VLOOKUP(Main_S[[#This Row],[Industry]], Mean_AE_S, 3, FALSE))</f>
        <v>0.34848512530563847</v>
      </c>
      <c r="T17" s="1">
        <f>(Main_S[[#This Row],[P/E]]-VLOOKUP(Main_S[[#This Row],[Industry]], Mean_PE_S, 2, FALSE))/(VLOOKUP(Main_S[[#This Row],[Industry]], Mean_PE_S, 3, FALSE))</f>
        <v>-0.76379733174942566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189</v>
      </c>
      <c r="B18" t="s">
        <v>462</v>
      </c>
      <c r="C18" s="2">
        <v>1079</v>
      </c>
      <c r="D18">
        <f>RTD("tos.rtd", , "LAST", Main_S[[#This Row],[Symbol]])</f>
        <v>13.72</v>
      </c>
      <c r="E18">
        <v>0.49</v>
      </c>
      <c r="F18">
        <v>1</v>
      </c>
      <c r="G18">
        <v>-0.31</v>
      </c>
      <c r="H18" s="1">
        <f>IF(ISNUMBER(Main_S[[#This Row],[Free CF]]),IF(Main_S[[#This Row],[Free CF]]&lt;&gt;0,Main_S[[#This Row],[Current Price]]/Main_S[[#This Row],[Free CF]],""),"")</f>
        <v>28.000000000000004</v>
      </c>
      <c r="I18" s="1">
        <f>IF(ISNUMBER(Main_S[[#This Row],[BVPS]]),IF(Main_S[[#This Row],[BVPS]]&lt;&gt;0,Main_S[[#This Row],[Current Price]]/Main_S[[#This Row],[BVPS]],""),"")</f>
        <v>13.72</v>
      </c>
      <c r="J18">
        <v>-29.88</v>
      </c>
      <c r="K18">
        <v>-6.93</v>
      </c>
      <c r="L18">
        <v>2.96</v>
      </c>
      <c r="M18" s="1">
        <f>IF(ISNUMBER(Main_S[[#This Row],[EPS]]),IF(Main_S[[#This Row],[EPS]]&lt;&gt;0,Main_S[[#This Row],[Current Price]]/Main_S[[#This Row],[EPS]],""),"")</f>
        <v>-44.258064516129032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1.0364719671652776</v>
      </c>
      <c r="P18" s="1">
        <f>(Main_S[[#This Row],[P/B]]-VLOOKUP(Main_S[[#This Row],[Industry]], Mean_PB_S, 2, FALSE))/(VLOOKUP(Main_S[[#This Row],[Industry]], Mean_PB_S, 3, FALSE))</f>
        <v>5.9153105334873164</v>
      </c>
      <c r="Q18" s="1">
        <f>(Main_S[[#This Row],[ROE]]-VLOOKUP(Main_S[[#This Row],[Industry]], Mean_ROE_S, 2, FALSE))/(VLOOKUP(Main_S[[#This Row],[Industry]], Mean_ROE_S, 3, FALSE))</f>
        <v>-1.4473677874267519</v>
      </c>
      <c r="R18" s="1">
        <f>(Main_S[[#This Row],[ROA]]-VLOOKUP(Main_S[[#This Row],[Industry]], Mean_ROA_S, 2, FALSE))/(VLOOKUP(Main_S[[#This Row],[Industry]], Mean_ROA_S, 3, FALSE))</f>
        <v>-0.88264951117804502</v>
      </c>
      <c r="S18" s="1">
        <f>(Main_S[[#This Row],[A/E]]-VLOOKUP(Main_S[[#This Row],[Industry]], Mean_AE_S, 2, FALSE))/(VLOOKUP(Main_S[[#This Row],[Industry]], Mean_AE_S, 3, FALSE))</f>
        <v>2.357399377067555</v>
      </c>
      <c r="T18" s="1">
        <f>(Main_S[[#This Row],[P/E]]-VLOOKUP(Main_S[[#This Row],[Industry]], Mean_PE_S, 2, FALSE))/(VLOOKUP(Main_S[[#This Row],[Industry]], Mean_PE_S, 3, FALSE))</f>
        <v>-2.3277326041387529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189</v>
      </c>
      <c r="B19" t="s">
        <v>463</v>
      </c>
      <c r="C19" s="2">
        <v>681</v>
      </c>
      <c r="D19">
        <f>RTD("tos.rtd", , "LAST", Main_S[[#This Row],[Symbol]])</f>
        <v>14.91</v>
      </c>
      <c r="E19">
        <v>1.42</v>
      </c>
      <c r="F19">
        <v>5.85</v>
      </c>
      <c r="G19">
        <v>0.04</v>
      </c>
      <c r="H19" s="1">
        <f>IF(ISNUMBER(Main_S[[#This Row],[Free CF]]),IF(Main_S[[#This Row],[Free CF]]&lt;&gt;0,Main_S[[#This Row],[Current Price]]/Main_S[[#This Row],[Free CF]],""),"")</f>
        <v>10.5</v>
      </c>
      <c r="I19" s="1">
        <f>IF(ISNUMBER(Main_S[[#This Row],[BVPS]]),IF(Main_S[[#This Row],[BVPS]]&lt;&gt;0,Main_S[[#This Row],[Current Price]]/Main_S[[#This Row],[BVPS]],""),"")</f>
        <v>2.548717948717949</v>
      </c>
      <c r="J19">
        <v>0.72</v>
      </c>
      <c r="K19">
        <v>6.51</v>
      </c>
      <c r="L19">
        <v>1.92</v>
      </c>
      <c r="M19" s="1">
        <f>IF(ISNUMBER(Main_S[[#This Row],[EPS]]),IF(Main_S[[#This Row],[EPS]]&lt;&gt;0,Main_S[[#This Row],[Current Price]]/Main_S[[#This Row],[EPS]],""),"")</f>
        <v>372.75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2.2190004637788679E-2</v>
      </c>
      <c r="P19" s="1">
        <f>(Main_S[[#This Row],[P/B]]-VLOOKUP(Main_S[[#This Row],[Industry]], Mean_PB_S, 2, FALSE))/(VLOOKUP(Main_S[[#This Row],[Industry]], Mean_PB_S, 3, FALSE))</f>
        <v>-0.16913835430637492</v>
      </c>
      <c r="Q19" s="1">
        <f>(Main_S[[#This Row],[ROE]]-VLOOKUP(Main_S[[#This Row],[Industry]], Mean_ROE_S, 2, FALSE))/(VLOOKUP(Main_S[[#This Row],[Industry]], Mean_ROE_S, 3, FALSE))</f>
        <v>0.10129188621733742</v>
      </c>
      <c r="R19" s="1">
        <f>(Main_S[[#This Row],[ROA]]-VLOOKUP(Main_S[[#This Row],[Industry]], Mean_ROA_S, 2, FALSE))/(VLOOKUP(Main_S[[#This Row],[Industry]], Mean_ROA_S, 3, FALSE))</f>
        <v>0.65569183768506112</v>
      </c>
      <c r="S19" s="1">
        <f>(Main_S[[#This Row],[A/E]]-VLOOKUP(Main_S[[#This Row],[Industry]], Mean_AE_S, 2, FALSE))/(VLOOKUP(Main_S[[#This Row],[Industry]], Mean_AE_S, 3, FALSE))</f>
        <v>0.22549037519776591</v>
      </c>
      <c r="T19" s="1">
        <f>(Main_S[[#This Row],[P/E]]-VLOOKUP(Main_S[[#This Row],[Industry]], Mean_PE_S, 2, FALSE))/(VLOOKUP(Main_S[[#This Row],[Industry]], Mean_PE_S, 3, FALSE))</f>
        <v>14.619080803425721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t="s">
        <v>189</v>
      </c>
      <c r="B20" t="s">
        <v>464</v>
      </c>
      <c r="C20" s="2">
        <v>662</v>
      </c>
      <c r="D20">
        <f>RTD("tos.rtd", , "LAST", Main_S[[#This Row],[Symbol]])</f>
        <v>4.43</v>
      </c>
      <c r="E20">
        <v>-0.44</v>
      </c>
      <c r="F20">
        <v>0.74</v>
      </c>
      <c r="G20">
        <v>-0.34</v>
      </c>
      <c r="H20" s="1">
        <f>IF(ISNUMBER(Main_S[[#This Row],[Free CF]]),IF(Main_S[[#This Row],[Free CF]]&lt;&gt;0,Main_S[[#This Row],[Current Price]]/Main_S[[#This Row],[Free CF]],""),"")</f>
        <v>-10.068181818181818</v>
      </c>
      <c r="I20" s="1">
        <f>IF(ISNUMBER(Main_S[[#This Row],[BVPS]]),IF(Main_S[[#This Row],[BVPS]]&lt;&gt;0,Main_S[[#This Row],[Current Price]]/Main_S[[#This Row],[BVPS]],""),"")</f>
        <v>5.986486486486486</v>
      </c>
      <c r="J20">
        <v>-41.27</v>
      </c>
      <c r="K20">
        <v>-18.149999999999999</v>
      </c>
      <c r="L20">
        <v>2.2799999999999998</v>
      </c>
      <c r="M20" s="1">
        <f>IF(ISNUMBER(Main_S[[#This Row],[EPS]]),IF(Main_S[[#This Row],[EPS]]&lt;&gt;0,Main_S[[#This Row],[Current Price]]/Main_S[[#This Row],[EPS]],""),"")</f>
        <v>-13.02941176470588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-1.1699206136575064</v>
      </c>
      <c r="P20" s="1">
        <f>(Main_S[[#This Row],[P/B]]-VLOOKUP(Main_S[[#This Row],[Industry]], Mean_PB_S, 2, FALSE))/(VLOOKUP(Main_S[[#This Row],[Industry]], Mean_PB_S, 3, FALSE))</f>
        <v>1.70324539360172</v>
      </c>
      <c r="Q20" s="1">
        <f>(Main_S[[#This Row],[ROE]]-VLOOKUP(Main_S[[#This Row],[Industry]], Mean_ROE_S, 2, FALSE))/(VLOOKUP(Main_S[[#This Row],[Industry]], Mean_ROE_S, 3, FALSE))</f>
        <v>-2.0238133326164962</v>
      </c>
      <c r="R20" s="1">
        <f>(Main_S[[#This Row],[ROA]]-VLOOKUP(Main_S[[#This Row],[Industry]], Mean_ROA_S, 2, FALSE))/(VLOOKUP(Main_S[[#This Row],[Industry]], Mean_ROA_S, 3, FALSE))</f>
        <v>-2.1668898336664415</v>
      </c>
      <c r="S20" s="1">
        <f>(Main_S[[#This Row],[A/E]]-VLOOKUP(Main_S[[#This Row],[Industry]], Mean_AE_S, 2, FALSE))/(VLOOKUP(Main_S[[#This Row],[Industry]], Mean_AE_S, 3, FALSE))</f>
        <v>0.96345887584500034</v>
      </c>
      <c r="T20" s="1">
        <f>(Main_S[[#This Row],[P/E]]-VLOOKUP(Main_S[[#This Row],[Industry]], Mean_PE_S, 2, FALSE))/(VLOOKUP(Main_S[[#This Row],[Industry]], Mean_PE_S, 3, FALSE))</f>
        <v>-1.0586296869995482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189</v>
      </c>
      <c r="B21" t="s">
        <v>465</v>
      </c>
      <c r="C21" s="2">
        <v>814</v>
      </c>
      <c r="D21">
        <f>RTD("tos.rtd", , "LAST", Main_S[[#This Row],[Symbol]])</f>
        <v>42.14</v>
      </c>
      <c r="E21">
        <v>0.83</v>
      </c>
      <c r="F21">
        <v>13.53</v>
      </c>
      <c r="G21">
        <v>-0.05</v>
      </c>
      <c r="H21" s="1">
        <f>IF(ISNUMBER(Main_S[[#This Row],[Free CF]]),IF(Main_S[[#This Row],[Free CF]]&lt;&gt;0,Main_S[[#This Row],[Current Price]]/Main_S[[#This Row],[Free CF]],""),"")</f>
        <v>50.7710843373494</v>
      </c>
      <c r="I21" s="1">
        <f>IF(ISNUMBER(Main_S[[#This Row],[BVPS]]),IF(Main_S[[#This Row],[BVPS]]&lt;&gt;0,Main_S[[#This Row],[Current Price]]/Main_S[[#This Row],[BVPS]],""),"")</f>
        <v>3.1145602365114562</v>
      </c>
      <c r="J21">
        <v>-0.34</v>
      </c>
      <c r="K21">
        <v>1.99</v>
      </c>
      <c r="L21">
        <v>1.9</v>
      </c>
      <c r="M21" s="1">
        <f>IF(ISNUMBER(Main_S[[#This Row],[EPS]]),IF(Main_S[[#This Row],[EPS]]&lt;&gt;0,Main_S[[#This Row],[Current Price]]/Main_S[[#This Row],[EPS]],""),"")</f>
        <v>-842.8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2.3562605449118892</v>
      </c>
      <c r="P21" s="1">
        <f>(Main_S[[#This Row],[P/B]]-VLOOKUP(Main_S[[#This Row],[Industry]], Mean_PB_S, 2, FALSE))/(VLOOKUP(Main_S[[#This Row],[Industry]], Mean_PB_S, 3, FALSE))</f>
        <v>0.13904816026083464</v>
      </c>
      <c r="Q21" s="1">
        <f>(Main_S[[#This Row],[ROE]]-VLOOKUP(Main_S[[#This Row],[Industry]], Mean_ROE_S, 2, FALSE))/(VLOOKUP(Main_S[[#This Row],[Industry]], Mean_ROE_S, 3, FALSE))</f>
        <v>4.7645505365614071E-2</v>
      </c>
      <c r="R21" s="1">
        <f>(Main_S[[#This Row],[ROA]]-VLOOKUP(Main_S[[#This Row],[Industry]], Mean_ROA_S, 2, FALSE))/(VLOOKUP(Main_S[[#This Row],[Industry]], Mean_ROA_S, 3, FALSE))</f>
        <v>0.13833299119240941</v>
      </c>
      <c r="S21" s="1">
        <f>(Main_S[[#This Row],[A/E]]-VLOOKUP(Main_S[[#This Row],[Industry]], Mean_AE_S, 2, FALSE))/(VLOOKUP(Main_S[[#This Row],[Industry]], Mean_AE_S, 3, FALSE))</f>
        <v>0.18449212516180838</v>
      </c>
      <c r="T21" s="1">
        <f>(Main_S[[#This Row],[P/E]]-VLOOKUP(Main_S[[#This Row],[Industry]], Mean_PE_S, 2, FALSE))/(VLOOKUP(Main_S[[#This Row],[Industry]], Mean_PE_S, 3, FALSE))</f>
        <v>-34.779721738840792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" spans="1:26" x14ac:dyDescent="0.25">
      <c r="A22" t="s">
        <v>189</v>
      </c>
      <c r="B22" t="s">
        <v>466</v>
      </c>
      <c r="C22" s="2">
        <v>405</v>
      </c>
      <c r="D22">
        <f>RTD("tos.rtd", , "LAST", Main_S[[#This Row],[Symbol]])</f>
        <v>13.26</v>
      </c>
      <c r="E22">
        <v>-0.21</v>
      </c>
      <c r="F22">
        <v>4.42</v>
      </c>
      <c r="G22">
        <v>-1.27</v>
      </c>
      <c r="H22" s="1">
        <f>IF(ISNUMBER(Main_S[[#This Row],[Free CF]]),IF(Main_S[[#This Row],[Free CF]]&lt;&gt;0,Main_S[[#This Row],[Current Price]]/Main_S[[#This Row],[Free CF]],""),"")</f>
        <v>-63.142857142857146</v>
      </c>
      <c r="I22" s="1">
        <f>IF(ISNUMBER(Main_S[[#This Row],[BVPS]]),IF(Main_S[[#This Row],[BVPS]]&lt;&gt;0,Main_S[[#This Row],[Current Price]]/Main_S[[#This Row],[BVPS]],""),"")</f>
        <v>3</v>
      </c>
      <c r="J22">
        <v>-25.82</v>
      </c>
      <c r="K22">
        <v>-13.29</v>
      </c>
      <c r="L22">
        <v>1.25</v>
      </c>
      <c r="M22" s="1">
        <f>IF(ISNUMBER(Main_S[[#This Row],[EPS]]),IF(Main_S[[#This Row],[EPS]]&lt;&gt;0,Main_S[[#This Row],[Current Price]]/Main_S[[#This Row],[EPS]],""),"")</f>
        <v>-10.440944881889763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-4.2460740907329901</v>
      </c>
      <c r="P22" s="1">
        <f>(Main_S[[#This Row],[P/B]]-VLOOKUP(Main_S[[#This Row],[Industry]], Mean_PB_S, 2, FALSE))/(VLOOKUP(Main_S[[#This Row],[Industry]], Mean_PB_S, 3, FALSE))</f>
        <v>7.6652823680149362E-2</v>
      </c>
      <c r="Q22" s="1">
        <f>(Main_S[[#This Row],[ROE]]-VLOOKUP(Main_S[[#This Row],[Industry]], Mean_ROE_S, 2, FALSE))/(VLOOKUP(Main_S[[#This Row],[Industry]], Mean_ROE_S, 3, FALSE))</f>
        <v>-1.2418920268060001</v>
      </c>
      <c r="R22" s="1">
        <f>(Main_S[[#This Row],[ROA]]-VLOOKUP(Main_S[[#This Row],[Industry]], Mean_ROA_S, 2, FALSE))/(VLOOKUP(Main_S[[#This Row],[Industry]], Mean_ROA_S, 3, FALSE))</f>
        <v>-1.6106146137650508</v>
      </c>
      <c r="S22" s="1">
        <f>(Main_S[[#This Row],[A/E]]-VLOOKUP(Main_S[[#This Row],[Industry]], Mean_AE_S, 2, FALSE))/(VLOOKUP(Main_S[[#This Row],[Industry]], Mean_AE_S, 3, FALSE))</f>
        <v>-1.1479510010068097</v>
      </c>
      <c r="T22" s="1">
        <f>(Main_S[[#This Row],[P/E]]-VLOOKUP(Main_S[[#This Row],[Industry]], Mean_PE_S, 2, FALSE))/(VLOOKUP(Main_S[[#This Row],[Industry]], Mean_PE_S, 3, FALSE))</f>
        <v>-0.95343684060784939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189</v>
      </c>
      <c r="B23" t="s">
        <v>467</v>
      </c>
      <c r="C23" s="2">
        <v>278</v>
      </c>
      <c r="D23">
        <f>RTD("tos.rtd", , "LAST", Main_S[[#This Row],[Symbol]])</f>
        <v>1.07</v>
      </c>
      <c r="E23">
        <v>-0.33</v>
      </c>
      <c r="F23">
        <v>0.22</v>
      </c>
      <c r="G23">
        <v>-0.46</v>
      </c>
      <c r="H23" s="1">
        <f>IF(ISNUMBER(Main_S[[#This Row],[Free CF]]),IF(Main_S[[#This Row],[Free CF]]&lt;&gt;0,Main_S[[#This Row],[Current Price]]/Main_S[[#This Row],[Free CF]],""),"")</f>
        <v>-3.2424242424242427</v>
      </c>
      <c r="I23" s="1">
        <f>IF(ISNUMBER(Main_S[[#This Row],[BVPS]]),IF(Main_S[[#This Row],[BVPS]]&lt;&gt;0,Main_S[[#This Row],[Current Price]]/Main_S[[#This Row],[BVPS]],""),"")</f>
        <v>4.8636363636363642</v>
      </c>
      <c r="J23">
        <v>-134.07</v>
      </c>
      <c r="K23">
        <v>-37.479999999999997</v>
      </c>
      <c r="L23">
        <v>2.48</v>
      </c>
      <c r="M23" s="1">
        <f>IF(ISNUMBER(Main_S[[#This Row],[EPS]]),IF(Main_S[[#This Row],[EPS]]&lt;&gt;0,Main_S[[#This Row],[Current Price]]/Main_S[[#This Row],[EPS]],""),"")</f>
        <v>-2.3260869565217392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-0.77430673996171973</v>
      </c>
      <c r="P23" s="1">
        <f>(Main_S[[#This Row],[P/B]]-VLOOKUP(Main_S[[#This Row],[Industry]], Mean_PB_S, 2, FALSE))/(VLOOKUP(Main_S[[#This Row],[Industry]], Mean_PB_S, 3, FALSE))</f>
        <v>1.0916840571523929</v>
      </c>
      <c r="Q23" s="1">
        <f>(Main_S[[#This Row],[ROE]]-VLOOKUP(Main_S[[#This Row],[Industry]], Mean_ROE_S, 2, FALSE))/(VLOOKUP(Main_S[[#This Row],[Industry]], Mean_ROE_S, 3, FALSE))</f>
        <v>-6.7204021468051067</v>
      </c>
      <c r="R23" s="1">
        <f>(Main_S[[#This Row],[ROA]]-VLOOKUP(Main_S[[#This Row],[Industry]], Mean_ROA_S, 2, FALSE))/(VLOOKUP(Main_S[[#This Row],[Industry]], Mean_ROA_S, 3, FALSE))</f>
        <v>-4.3794001218750607</v>
      </c>
      <c r="S23" s="1">
        <f>(Main_S[[#This Row],[A/E]]-VLOOKUP(Main_S[[#This Row],[Industry]], Mean_AE_S, 2, FALSE))/(VLOOKUP(Main_S[[#This Row],[Industry]], Mean_AE_S, 3, FALSE))</f>
        <v>1.3734413762045756</v>
      </c>
      <c r="T23" s="1">
        <f>(Main_S[[#This Row],[P/E]]-VLOOKUP(Main_S[[#This Row],[Industry]], Mean_PE_S, 2, FALSE))/(VLOOKUP(Main_S[[#This Row],[Industry]], Mean_PE_S, 3, FALSE))</f>
        <v>-0.62365668815521347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189</v>
      </c>
      <c r="B24" t="s">
        <v>468</v>
      </c>
      <c r="C24" s="2">
        <v>889</v>
      </c>
      <c r="D24">
        <f>RTD("tos.rtd", , "LAST", Main_S[[#This Row],[Symbol]])</f>
        <v>27.58</v>
      </c>
      <c r="E24">
        <v>1.39</v>
      </c>
      <c r="F24">
        <v>4.53</v>
      </c>
      <c r="G24">
        <v>1.22</v>
      </c>
      <c r="H24" s="1">
        <f>IF(ISNUMBER(Main_S[[#This Row],[Free CF]]),IF(Main_S[[#This Row],[Free CF]]&lt;&gt;0,Main_S[[#This Row],[Current Price]]/Main_S[[#This Row],[Free CF]],""),"")</f>
        <v>19.841726618705035</v>
      </c>
      <c r="I24" s="1">
        <f>IF(ISNUMBER(Main_S[[#This Row],[BVPS]]),IF(Main_S[[#This Row],[BVPS]]&lt;&gt;0,Main_S[[#This Row],[Current Price]]/Main_S[[#This Row],[BVPS]],""),"")</f>
        <v>6.0883002207505514</v>
      </c>
      <c r="J24">
        <v>27.48</v>
      </c>
      <c r="K24">
        <v>16.149999999999999</v>
      </c>
      <c r="L24">
        <v>1.18</v>
      </c>
      <c r="M24" s="1">
        <f>IF(ISNUMBER(Main_S[[#This Row],[EPS]]),IF(Main_S[[#This Row],[EPS]]&lt;&gt;0,Main_S[[#This Row],[Current Price]]/Main_S[[#This Row],[EPS]],""),"")</f>
        <v>22.606557377049178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0.56362685082152719</v>
      </c>
      <c r="P24" s="1">
        <f>(Main_S[[#This Row],[P/B]]-VLOOKUP(Main_S[[#This Row],[Industry]], Mean_PB_S, 2, FALSE))/(VLOOKUP(Main_S[[#This Row],[Industry]], Mean_PB_S, 3, FALSE))</f>
        <v>1.7586983361880208</v>
      </c>
      <c r="Q24" s="1">
        <f>(Main_S[[#This Row],[ROE]]-VLOOKUP(Main_S[[#This Row],[Industry]], Mean_ROE_S, 2, FALSE))/(VLOOKUP(Main_S[[#This Row],[Industry]], Mean_ROE_S, 3, FALSE))</f>
        <v>1.4556099537570704</v>
      </c>
      <c r="R24" s="1">
        <f>(Main_S[[#This Row],[ROA]]-VLOOKUP(Main_S[[#This Row],[Industry]], Mean_ROA_S, 2, FALSE))/(VLOOKUP(Main_S[[#This Row],[Industry]], Mean_ROA_S, 3, FALSE))</f>
        <v>1.7590854837446104</v>
      </c>
      <c r="S24" s="1">
        <f>(Main_S[[#This Row],[A/E]]-VLOOKUP(Main_S[[#This Row],[Industry]], Mean_AE_S, 2, FALSE))/(VLOOKUP(Main_S[[#This Row],[Industry]], Mean_AE_S, 3, FALSE))</f>
        <v>-1.2914448761326609</v>
      </c>
      <c r="T24" s="1">
        <f>(Main_S[[#This Row],[P/E]]-VLOOKUP(Main_S[[#This Row],[Industry]], Mean_PE_S, 2, FALSE))/(VLOOKUP(Main_S[[#This Row],[Industry]], Mean_PE_S, 3, FALSE))</f>
        <v>0.38958240056234644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189</v>
      </c>
      <c r="B25" t="s">
        <v>469</v>
      </c>
      <c r="C25" s="2">
        <v>444</v>
      </c>
      <c r="D25">
        <f>RTD("tos.rtd", , "LAST", Main_S[[#This Row],[Symbol]])</f>
        <v>11.41</v>
      </c>
      <c r="E25">
        <v>-0.8</v>
      </c>
      <c r="F25">
        <v>3.44</v>
      </c>
      <c r="G25">
        <v>-2.08</v>
      </c>
      <c r="H25" s="1">
        <f>IF(ISNUMBER(Main_S[[#This Row],[Free CF]]),IF(Main_S[[#This Row],[Free CF]]&lt;&gt;0,Main_S[[#This Row],[Current Price]]/Main_S[[#This Row],[Free CF]],""),"")</f>
        <v>-14.262499999999999</v>
      </c>
      <c r="I25" s="1">
        <f>IF(ISNUMBER(Main_S[[#This Row],[BVPS]]),IF(Main_S[[#This Row],[BVPS]]&lt;&gt;0,Main_S[[#This Row],[Current Price]]/Main_S[[#This Row],[BVPS]],""),"")</f>
        <v>3.316860465116279</v>
      </c>
      <c r="J25">
        <v>-53.83</v>
      </c>
      <c r="K25">
        <v>-21.46</v>
      </c>
      <c r="L25">
        <v>1.53</v>
      </c>
      <c r="M25" s="1">
        <f>IF(ISNUMBER(Main_S[[#This Row],[EPS]]),IF(Main_S[[#This Row],[EPS]]&lt;&gt;0,Main_S[[#This Row],[Current Price]]/Main_S[[#This Row],[EPS]],""),"")</f>
        <v>-5.4855769230769234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-1.4130189723386077</v>
      </c>
      <c r="P25" s="1">
        <f>(Main_S[[#This Row],[P/B]]-VLOOKUP(Main_S[[#This Row],[Industry]], Mean_PB_S, 2, FALSE))/(VLOOKUP(Main_S[[#This Row],[Industry]], Mean_PB_S, 3, FALSE))</f>
        <v>0.24923116300703807</v>
      </c>
      <c r="Q25" s="1">
        <f>(Main_S[[#This Row],[ROE]]-VLOOKUP(Main_S[[#This Row],[Industry]], Mean_ROE_S, 2, FALSE))/(VLOOKUP(Main_S[[#This Row],[Industry]], Mean_ROE_S, 3, FALSE))</f>
        <v>-2.6594723359161616</v>
      </c>
      <c r="R25" s="1">
        <f>(Main_S[[#This Row],[ROA]]-VLOOKUP(Main_S[[#This Row],[Industry]], Mean_ROA_S, 2, FALSE))/(VLOOKUP(Main_S[[#This Row],[Industry]], Mean_ROA_S, 3, FALSE))</f>
        <v>-2.5457521747926979</v>
      </c>
      <c r="S25" s="1">
        <f>(Main_S[[#This Row],[A/E]]-VLOOKUP(Main_S[[#This Row],[Industry]], Mean_AE_S, 2, FALSE))/(VLOOKUP(Main_S[[#This Row],[Industry]], Mean_AE_S, 3, FALSE))</f>
        <v>-0.57397550050340485</v>
      </c>
      <c r="T25" s="1">
        <f>(Main_S[[#This Row],[P/E]]-VLOOKUP(Main_S[[#This Row],[Industry]], Mean_PE_S, 2, FALSE))/(VLOOKUP(Main_S[[#This Row],[Industry]], Mean_PE_S, 3, FALSE))</f>
        <v>-0.75205537269483069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189</v>
      </c>
      <c r="B26" t="s">
        <v>470</v>
      </c>
      <c r="C26" s="2">
        <v>487</v>
      </c>
      <c r="D26">
        <f>RTD("tos.rtd", , "LAST", Main_S[[#This Row],[Symbol]])</f>
        <v>6.38</v>
      </c>
      <c r="E26">
        <v>-0.4</v>
      </c>
      <c r="F26">
        <v>0.59</v>
      </c>
      <c r="G26">
        <v>-0.86</v>
      </c>
      <c r="H26" s="1">
        <f>IF(ISNUMBER(Main_S[[#This Row],[Free CF]]),IF(Main_S[[#This Row],[Free CF]]&lt;&gt;0,Main_S[[#This Row],[Current Price]]/Main_S[[#This Row],[Free CF]],""),"")</f>
        <v>-15.95</v>
      </c>
      <c r="I26" s="1">
        <f>IF(ISNUMBER(Main_S[[#This Row],[BVPS]]),IF(Main_S[[#This Row],[BVPS]]&lt;&gt;0,Main_S[[#This Row],[Current Price]]/Main_S[[#This Row],[BVPS]],""),"")</f>
        <v>10.813559322033898</v>
      </c>
      <c r="J26">
        <v>-99.97</v>
      </c>
      <c r="K26">
        <v>-29.49</v>
      </c>
      <c r="L26">
        <v>1.1100000000000001</v>
      </c>
      <c r="M26" s="1">
        <f>IF(ISNUMBER(Main_S[[#This Row],[EPS]]),IF(Main_S[[#This Row],[EPS]]&lt;&gt;0,Main_S[[#This Row],[Current Price]]/Main_S[[#This Row],[EPS]],""),"")</f>
        <v>-7.4186046511627906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-1.5108247330109013</v>
      </c>
      <c r="P26" s="1">
        <f>(Main_S[[#This Row],[P/B]]-VLOOKUP(Main_S[[#This Row],[Industry]], Mean_PB_S, 2, FALSE))/(VLOOKUP(Main_S[[#This Row],[Industry]], Mean_PB_S, 3, FALSE))</f>
        <v>4.3323149856791119</v>
      </c>
      <c r="Q26" s="1">
        <f>(Main_S[[#This Row],[ROE]]-VLOOKUP(Main_S[[#This Row],[Industry]], Mean_ROE_S, 2, FALSE))/(VLOOKUP(Main_S[[#This Row],[Industry]], Mean_ROE_S, 3, FALSE))</f>
        <v>-4.9946081967638181</v>
      </c>
      <c r="R26" s="1">
        <f>(Main_S[[#This Row],[ROA]]-VLOOKUP(Main_S[[#This Row],[Industry]], Mean_ROA_S, 2, FALSE))/(VLOOKUP(Main_S[[#This Row],[Industry]], Mean_ROA_S, 3, FALSE))</f>
        <v>-3.4648653467696873</v>
      </c>
      <c r="S26" s="1">
        <f>(Main_S[[#This Row],[A/E]]-VLOOKUP(Main_S[[#This Row],[Industry]], Mean_AE_S, 2, FALSE))/(VLOOKUP(Main_S[[#This Row],[Industry]], Mean_AE_S, 3, FALSE))</f>
        <v>-1.4349387512585119</v>
      </c>
      <c r="T26" s="1">
        <f>(Main_S[[#This Row],[P/E]]-VLOOKUP(Main_S[[#This Row],[Industry]], Mean_PE_S, 2, FALSE))/(VLOOKUP(Main_S[[#This Row],[Industry]], Mean_PE_S, 3, FALSE))</f>
        <v>-0.83061179163970333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189</v>
      </c>
      <c r="B27" t="s">
        <v>471</v>
      </c>
      <c r="C27" s="2">
        <v>304</v>
      </c>
      <c r="D27">
        <f>RTD("tos.rtd", , "LAST", Main_S[[#This Row],[Symbol]])</f>
        <v>26.38</v>
      </c>
      <c r="E27">
        <v>0.8</v>
      </c>
      <c r="F27">
        <v>24.32</v>
      </c>
      <c r="G27">
        <v>0.74</v>
      </c>
      <c r="H27" s="1">
        <f>IF(ISNUMBER(Main_S[[#This Row],[Free CF]]),IF(Main_S[[#This Row],[Free CF]]&lt;&gt;0,Main_S[[#This Row],[Current Price]]/Main_S[[#This Row],[Free CF]],""),"")</f>
        <v>32.974999999999994</v>
      </c>
      <c r="I27" s="1">
        <f>IF(ISNUMBER(Main_S[[#This Row],[BVPS]]),IF(Main_S[[#This Row],[BVPS]]&lt;&gt;0,Main_S[[#This Row],[Current Price]]/Main_S[[#This Row],[BVPS]],""),"")</f>
        <v>1.084703947368421</v>
      </c>
      <c r="J27">
        <v>3.02</v>
      </c>
      <c r="K27">
        <v>2.4500000000000002</v>
      </c>
      <c r="L27">
        <v>1.4</v>
      </c>
      <c r="M27" s="1">
        <f>IF(ISNUMBER(Main_S[[#This Row],[EPS]]),IF(Main_S[[#This Row],[EPS]]&lt;&gt;0,Main_S[[#This Row],[Current Price]]/Main_S[[#This Row],[EPS]],""),"")</f>
        <v>35.648648648648646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1.3248178393695202</v>
      </c>
      <c r="P27" s="1">
        <f>(Main_S[[#This Row],[P/B]]-VLOOKUP(Main_S[[#This Row],[Industry]], Mean_PB_S, 2, FALSE))/(VLOOKUP(Main_S[[#This Row],[Industry]], Mean_PB_S, 3, FALSE))</f>
        <v>-0.96651490619490676</v>
      </c>
      <c r="Q27" s="1">
        <f>(Main_S[[#This Row],[ROE]]-VLOOKUP(Main_S[[#This Row],[Industry]], Mean_ROE_S, 2, FALSE))/(VLOOKUP(Main_S[[#This Row],[Industry]], Mean_ROE_S, 3, FALSE))</f>
        <v>0.21769441070692583</v>
      </c>
      <c r="R27" s="1">
        <f>(Main_S[[#This Row],[ROA]]-VLOOKUP(Main_S[[#This Row],[Industry]], Mean_ROA_S, 2, FALSE))/(VLOOKUP(Main_S[[#This Row],[Industry]], Mean_ROA_S, 3, FALSE))</f>
        <v>0.19098455521599789</v>
      </c>
      <c r="S27" s="1">
        <f>(Main_S[[#This Row],[A/E]]-VLOOKUP(Main_S[[#This Row],[Industry]], Mean_AE_S, 2, FALSE))/(VLOOKUP(Main_S[[#This Row],[Industry]], Mean_AE_S, 3, FALSE))</f>
        <v>-0.8404641257371287</v>
      </c>
      <c r="T27" s="1">
        <f>(Main_S[[#This Row],[P/E]]-VLOOKUP(Main_S[[#This Row],[Industry]], Mean_PE_S, 2, FALSE))/(VLOOKUP(Main_S[[#This Row],[Industry]], Mean_PE_S, 3, FALSE))</f>
        <v>0.91960065687756165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189</v>
      </c>
      <c r="B28" t="s">
        <v>472</v>
      </c>
      <c r="C28" s="2">
        <v>795</v>
      </c>
      <c r="D28">
        <f>RTD("tos.rtd", , "LAST", Main_S[[#This Row],[Symbol]])</f>
        <v>72.650000000000006</v>
      </c>
      <c r="E28">
        <v>4.9400000000000004</v>
      </c>
      <c r="F28">
        <v>29.75</v>
      </c>
      <c r="G28">
        <v>3.42</v>
      </c>
      <c r="H28" s="1">
        <f>IF(ISNUMBER(Main_S[[#This Row],[Free CF]]),IF(Main_S[[#This Row],[Free CF]]&lt;&gt;0,Main_S[[#This Row],[Current Price]]/Main_S[[#This Row],[Free CF]],""),"")</f>
        <v>14.706477732793521</v>
      </c>
      <c r="I28" s="1">
        <f>IF(ISNUMBER(Main_S[[#This Row],[BVPS]]),IF(Main_S[[#This Row],[BVPS]]&lt;&gt;0,Main_S[[#This Row],[Current Price]]/Main_S[[#This Row],[BVPS]],""),"")</f>
        <v>2.4420168067226893</v>
      </c>
      <c r="J28">
        <v>12.84</v>
      </c>
      <c r="K28">
        <v>7.04</v>
      </c>
      <c r="L28">
        <v>2.5</v>
      </c>
      <c r="M28" s="1">
        <f>IF(ISNUMBER(Main_S[[#This Row],[EPS]]),IF(Main_S[[#This Row],[EPS]]&lt;&gt;0,Main_S[[#This Row],[Current Price]]/Main_S[[#This Row],[EPS]],""),"")</f>
        <v>21.242690058479536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0.26599311836041689</v>
      </c>
      <c r="P28" s="1">
        <f>(Main_S[[#This Row],[P/B]]-VLOOKUP(Main_S[[#This Row],[Industry]], Mean_PB_S, 2, FALSE))/(VLOOKUP(Main_S[[#This Row],[Industry]], Mean_PB_S, 3, FALSE))</f>
        <v>-0.22725322794031635</v>
      </c>
      <c r="Q28" s="1">
        <f>(Main_S[[#This Row],[ROE]]-VLOOKUP(Main_S[[#This Row],[Industry]], Mean_ROE_S, 2, FALSE))/(VLOOKUP(Main_S[[#This Row],[Industry]], Mean_ROE_S, 3, FALSE))</f>
        <v>0.71468258048421196</v>
      </c>
      <c r="R28" s="1">
        <f>(Main_S[[#This Row],[ROA]]-VLOOKUP(Main_S[[#This Row],[Industry]], Mean_ROA_S, 2, FALSE))/(VLOOKUP(Main_S[[#This Row],[Industry]], Mean_ROA_S, 3, FALSE))</f>
        <v>0.71635559623397838</v>
      </c>
      <c r="S28" s="1">
        <f>(Main_S[[#This Row],[A/E]]-VLOOKUP(Main_S[[#This Row],[Industry]], Mean_AE_S, 2, FALSE))/(VLOOKUP(Main_S[[#This Row],[Industry]], Mean_AE_S, 3, FALSE))</f>
        <v>1.414439626240533</v>
      </c>
      <c r="T28" s="1">
        <f>(Main_S[[#This Row],[P/E]]-VLOOKUP(Main_S[[#This Row],[Industry]], Mean_PE_S, 2, FALSE))/(VLOOKUP(Main_S[[#This Row],[Industry]], Mean_PE_S, 3, FALSE))</f>
        <v>0.33415612244637238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t="s">
        <v>189</v>
      </c>
      <c r="B29" t="s">
        <v>473</v>
      </c>
      <c r="C29" s="2">
        <v>890</v>
      </c>
      <c r="D29">
        <f>RTD("tos.rtd", , "LAST", Main_S[[#This Row],[Symbol]])</f>
        <v>80.28</v>
      </c>
      <c r="E29">
        <v>4.9400000000000004</v>
      </c>
      <c r="F29">
        <v>29.75</v>
      </c>
      <c r="G29">
        <v>3.42</v>
      </c>
      <c r="H29" s="1">
        <f>IF(ISNUMBER(Main_S[[#This Row],[Free CF]]),IF(Main_S[[#This Row],[Free CF]]&lt;&gt;0,Main_S[[#This Row],[Current Price]]/Main_S[[#This Row],[Free CF]],""),"")</f>
        <v>16.251012145748987</v>
      </c>
      <c r="I29" s="1">
        <f>IF(ISNUMBER(Main_S[[#This Row],[BVPS]]),IF(Main_S[[#This Row],[BVPS]]&lt;&gt;0,Main_S[[#This Row],[Current Price]]/Main_S[[#This Row],[BVPS]],""),"")</f>
        <v>2.6984873949579833</v>
      </c>
      <c r="J29">
        <v>12.84</v>
      </c>
      <c r="K29">
        <v>7.04</v>
      </c>
      <c r="L29">
        <v>2.5</v>
      </c>
      <c r="M29" s="1">
        <f>IF(ISNUMBER(Main_S[[#This Row],[EPS]]),IF(Main_S[[#This Row],[EPS]]&lt;&gt;0,Main_S[[#This Row],[Current Price]]/Main_S[[#This Row],[EPS]],""),"")</f>
        <v>23.473684210526315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0.35551274096405761</v>
      </c>
      <c r="P29" s="1">
        <f>(Main_S[[#This Row],[P/B]]-VLOOKUP(Main_S[[#This Row],[Industry]], Mean_PB_S, 2, FALSE))/(VLOOKUP(Main_S[[#This Row],[Industry]], Mean_PB_S, 3, FALSE))</f>
        <v>-8.7566289755728804E-2</v>
      </c>
      <c r="Q29" s="1">
        <f>(Main_S[[#This Row],[ROE]]-VLOOKUP(Main_S[[#This Row],[Industry]], Mean_ROE_S, 2, FALSE))/(VLOOKUP(Main_S[[#This Row],[Industry]], Mean_ROE_S, 3, FALSE))</f>
        <v>0.71468258048421196</v>
      </c>
      <c r="R29" s="1">
        <f>(Main_S[[#This Row],[ROA]]-VLOOKUP(Main_S[[#This Row],[Industry]], Mean_ROA_S, 2, FALSE))/(VLOOKUP(Main_S[[#This Row],[Industry]], Mean_ROA_S, 3, FALSE))</f>
        <v>0.71635559623397838</v>
      </c>
      <c r="S29" s="1">
        <f>(Main_S[[#This Row],[A/E]]-VLOOKUP(Main_S[[#This Row],[Industry]], Mean_AE_S, 2, FALSE))/(VLOOKUP(Main_S[[#This Row],[Industry]], Mean_AE_S, 3, FALSE))</f>
        <v>1.414439626240533</v>
      </c>
      <c r="T29" s="1">
        <f>(Main_S[[#This Row],[P/E]]-VLOOKUP(Main_S[[#This Row],[Industry]], Mean_PE_S, 2, FALSE))/(VLOOKUP(Main_S[[#This Row],[Industry]], Mean_PE_S, 3, FALSE))</f>
        <v>0.42482161509571648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189</v>
      </c>
      <c r="B30" t="s">
        <v>474</v>
      </c>
      <c r="C30" s="2">
        <v>1393</v>
      </c>
      <c r="D30">
        <f>RTD("tos.rtd", , "LAST", Main_S[[#This Row],[Symbol]])</f>
        <v>17.37</v>
      </c>
      <c r="E30">
        <v>1.1299999999999999</v>
      </c>
      <c r="F30">
        <v>8.6199999999999992</v>
      </c>
      <c r="G30">
        <v>0.27</v>
      </c>
      <c r="H30" s="1">
        <f>IF(ISNUMBER(Main_S[[#This Row],[Free CF]]),IF(Main_S[[#This Row],[Free CF]]&lt;&gt;0,Main_S[[#This Row],[Current Price]]/Main_S[[#This Row],[Free CF]],""),"")</f>
        <v>15.371681415929206</v>
      </c>
      <c r="I30" s="1">
        <f>IF(ISNUMBER(Main_S[[#This Row],[BVPS]]),IF(Main_S[[#This Row],[BVPS]]&lt;&gt;0,Main_S[[#This Row],[Current Price]]/Main_S[[#This Row],[BVPS]],""),"")</f>
        <v>2.0150812064965202</v>
      </c>
      <c r="J30">
        <v>2.68</v>
      </c>
      <c r="K30">
        <v>2.87</v>
      </c>
      <c r="L30">
        <v>1.45</v>
      </c>
      <c r="M30" s="1">
        <f>IF(ISNUMBER(Main_S[[#This Row],[EPS]]),IF(Main_S[[#This Row],[EPS]]&lt;&gt;0,Main_S[[#This Row],[Current Price]]/Main_S[[#This Row],[EPS]],""),"")</f>
        <v>64.333333333333329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0.30454763820106695</v>
      </c>
      <c r="P30" s="1">
        <f>(Main_S[[#This Row],[P/B]]-VLOOKUP(Main_S[[#This Row],[Industry]], Mean_PB_S, 2, FALSE))/(VLOOKUP(Main_S[[#This Row],[Industry]], Mean_PB_S, 3, FALSE))</f>
        <v>-0.45978408930707682</v>
      </c>
      <c r="Q30" s="1">
        <f>(Main_S[[#This Row],[ROE]]-VLOOKUP(Main_S[[#This Row],[Industry]], Mean_ROE_S, 2, FALSE))/(VLOOKUP(Main_S[[#This Row],[Industry]], Mean_ROE_S, 3, FALSE))</f>
        <v>0.20048708099976931</v>
      </c>
      <c r="R30" s="1">
        <f>(Main_S[[#This Row],[ROA]]-VLOOKUP(Main_S[[#This Row],[Industry]], Mean_ROA_S, 2, FALSE))/(VLOOKUP(Main_S[[#This Row],[Industry]], Mean_ROA_S, 3, FALSE))</f>
        <v>0.23905772236796996</v>
      </c>
      <c r="S30" s="1">
        <f>(Main_S[[#This Row],[A/E]]-VLOOKUP(Main_S[[#This Row],[Industry]], Mean_AE_S, 2, FALSE))/(VLOOKUP(Main_S[[#This Row],[Industry]], Mean_AE_S, 3, FALSE))</f>
        <v>-0.73796850064723485</v>
      </c>
      <c r="T30" s="1">
        <f>(Main_S[[#This Row],[P/E]]-VLOOKUP(Main_S[[#This Row],[Industry]], Mean_PE_S, 2, FALSE))/(VLOOKUP(Main_S[[#This Row],[Industry]], Mean_PE_S, 3, FALSE))</f>
        <v>2.0853191174311507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189</v>
      </c>
      <c r="B31" t="s">
        <v>475</v>
      </c>
      <c r="C31" s="2">
        <v>1178</v>
      </c>
      <c r="D31">
        <f>RTD("tos.rtd", , "LAST", Main_S[[#This Row],[Symbol]])</f>
        <v>71</v>
      </c>
      <c r="E31">
        <v>2.93</v>
      </c>
      <c r="F31">
        <v>68.66</v>
      </c>
      <c r="G31">
        <v>0.9</v>
      </c>
      <c r="H31" s="1">
        <f>IF(ISNUMBER(Main_S[[#This Row],[Free CF]]),IF(Main_S[[#This Row],[Free CF]]&lt;&gt;0,Main_S[[#This Row],[Current Price]]/Main_S[[#This Row],[Free CF]],""),"")</f>
        <v>24.232081911262796</v>
      </c>
      <c r="I31" s="1">
        <f>IF(ISNUMBER(Main_S[[#This Row],[BVPS]]),IF(Main_S[[#This Row],[BVPS]]&lt;&gt;0,Main_S[[#This Row],[Current Price]]/Main_S[[#This Row],[BVPS]],""),"")</f>
        <v>1.0340809787357996</v>
      </c>
      <c r="J31">
        <v>1.34</v>
      </c>
      <c r="K31">
        <v>1.78</v>
      </c>
      <c r="L31">
        <v>1.19</v>
      </c>
      <c r="M31" s="1">
        <f>IF(ISNUMBER(Main_S[[#This Row],[EPS]]),IF(Main_S[[#This Row],[EPS]]&lt;&gt;0,Main_S[[#This Row],[Current Price]]/Main_S[[#This Row],[EPS]],""),"")</f>
        <v>78.888888888888886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0.81808731838315185</v>
      </c>
      <c r="P31" s="1">
        <f>(Main_S[[#This Row],[P/B]]-VLOOKUP(Main_S[[#This Row],[Industry]], Mean_PB_S, 2, FALSE))/(VLOOKUP(Main_S[[#This Row],[Industry]], Mean_PB_S, 3, FALSE))</f>
        <v>-0.99408675191320717</v>
      </c>
      <c r="Q31" s="1">
        <f>(Main_S[[#This Row],[ROE]]-VLOOKUP(Main_S[[#This Row],[Industry]], Mean_ROE_S, 2, FALSE))/(VLOOKUP(Main_S[[#This Row],[Industry]], Mean_ROE_S, 3, FALSE))</f>
        <v>0.13266995803626996</v>
      </c>
      <c r="R31" s="1">
        <f>(Main_S[[#This Row],[ROA]]-VLOOKUP(Main_S[[#This Row],[Industry]], Mean_ROA_S, 2, FALSE))/(VLOOKUP(Main_S[[#This Row],[Industry]], Mean_ROA_S, 3, FALSE))</f>
        <v>0.11429640761642337</v>
      </c>
      <c r="S31" s="1">
        <f>(Main_S[[#This Row],[A/E]]-VLOOKUP(Main_S[[#This Row],[Industry]], Mean_AE_S, 2, FALSE))/(VLOOKUP(Main_S[[#This Row],[Industry]], Mean_AE_S, 3, FALSE))</f>
        <v>-1.2709457511146822</v>
      </c>
      <c r="T31" s="1">
        <f>(Main_S[[#This Row],[P/E]]-VLOOKUP(Main_S[[#This Row],[Industry]], Mean_PE_S, 2, FALSE))/(VLOOKUP(Main_S[[#This Row],[Industry]], Mean_PE_S, 3, FALSE))</f>
        <v>2.6768431310726126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2" spans="1:26" x14ac:dyDescent="0.25">
      <c r="A32" t="s">
        <v>189</v>
      </c>
      <c r="B32" t="s">
        <v>476</v>
      </c>
      <c r="C32" s="2">
        <v>1644</v>
      </c>
      <c r="D32">
        <f>RTD("tos.rtd", , "LAST", Main_S[[#This Row],[Symbol]])</f>
        <v>14.84</v>
      </c>
      <c r="E32">
        <v>-1.07</v>
      </c>
      <c r="F32">
        <v>14.94</v>
      </c>
      <c r="G32">
        <v>-0.23</v>
      </c>
      <c r="H32" s="1">
        <f>IF(ISNUMBER(Main_S[[#This Row],[Free CF]]),IF(Main_S[[#This Row],[Free CF]]&lt;&gt;0,Main_S[[#This Row],[Current Price]]/Main_S[[#This Row],[Free CF]],""),"")</f>
        <v>-13.869158878504672</v>
      </c>
      <c r="I32" s="1">
        <f>IF(ISNUMBER(Main_S[[#This Row],[BVPS]]),IF(Main_S[[#This Row],[BVPS]]&lt;&gt;0,Main_S[[#This Row],[Current Price]]/Main_S[[#This Row],[BVPS]],""),"")</f>
        <v>0.99330655957161984</v>
      </c>
      <c r="J32">
        <v>-1.41</v>
      </c>
      <c r="K32">
        <v>1.57</v>
      </c>
      <c r="L32">
        <v>2.0299999999999998</v>
      </c>
      <c r="M32" s="1">
        <f>IF(ISNUMBER(Main_S[[#This Row],[EPS]]),IF(Main_S[[#This Row],[EPS]]&lt;&gt;0,Main_S[[#This Row],[Current Price]]/Main_S[[#This Row],[EPS]],""),"")</f>
        <v>-64.521739130434781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-1.3902213263584338</v>
      </c>
      <c r="P32" s="1">
        <f>(Main_S[[#This Row],[P/B]]-VLOOKUP(Main_S[[#This Row],[Industry]], Mean_PB_S, 2, FALSE))/(VLOOKUP(Main_S[[#This Row],[Industry]], Mean_PB_S, 3, FALSE))</f>
        <v>-1.0162945762430438</v>
      </c>
      <c r="Q32" s="1">
        <f>(Main_S[[#This Row],[ROE]]-VLOOKUP(Main_S[[#This Row],[Industry]], Mean_ROE_S, 2, FALSE))/(VLOOKUP(Main_S[[#This Row],[Industry]], Mean_ROE_S, 3, FALSE))</f>
        <v>-6.5069734186726999E-3</v>
      </c>
      <c r="R32" s="1">
        <f>(Main_S[[#This Row],[ROA]]-VLOOKUP(Main_S[[#This Row],[Industry]], Mean_ROA_S, 2, FALSE))/(VLOOKUP(Main_S[[#This Row],[Industry]], Mean_ROA_S, 3, FALSE))</f>
        <v>9.025982404043735E-2</v>
      </c>
      <c r="S32" s="1">
        <f>(Main_S[[#This Row],[A/E]]-VLOOKUP(Main_S[[#This Row],[Industry]], Mean_AE_S, 2, FALSE))/(VLOOKUP(Main_S[[#This Row],[Industry]], Mean_AE_S, 3, FALSE))</f>
        <v>0.45098075039553182</v>
      </c>
      <c r="T32" s="1">
        <f>(Main_S[[#This Row],[P/E]]-VLOOKUP(Main_S[[#This Row],[Industry]], Mean_PE_S, 2, FALSE))/(VLOOKUP(Main_S[[#This Row],[Industry]], Mean_PE_S, 3, FALSE))</f>
        <v>-3.1512291785724074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3" spans="1:26" x14ac:dyDescent="0.25">
      <c r="A33" t="s">
        <v>189</v>
      </c>
      <c r="B33" t="s">
        <v>477</v>
      </c>
      <c r="C33" s="2">
        <v>1251</v>
      </c>
      <c r="D33">
        <f>RTD("tos.rtd", , "LAST", Main_S[[#This Row],[Symbol]])</f>
        <v>37.159999999999997</v>
      </c>
      <c r="E33">
        <v>3.91</v>
      </c>
      <c r="F33">
        <v>30.6</v>
      </c>
      <c r="G33">
        <v>1.44</v>
      </c>
      <c r="H33" s="1">
        <f>IF(ISNUMBER(Main_S[[#This Row],[Free CF]]),IF(Main_S[[#This Row],[Free CF]]&lt;&gt;0,Main_S[[#This Row],[Current Price]]/Main_S[[#This Row],[Free CF]],""),"")</f>
        <v>9.5038363171355478</v>
      </c>
      <c r="I33" s="1">
        <f>IF(ISNUMBER(Main_S[[#This Row],[BVPS]]),IF(Main_S[[#This Row],[BVPS]]&lt;&gt;0,Main_S[[#This Row],[Current Price]]/Main_S[[#This Row],[BVPS]],""),"")</f>
        <v>1.2143790849673202</v>
      </c>
      <c r="J33">
        <v>4.84</v>
      </c>
      <c r="K33">
        <v>3.16</v>
      </c>
      <c r="L33">
        <v>1.93</v>
      </c>
      <c r="M33" s="1">
        <f>IF(ISNUMBER(Main_S[[#This Row],[EPS]]),IF(Main_S[[#This Row],[EPS]]&lt;&gt;0,Main_S[[#This Row],[Current Price]]/Main_S[[#This Row],[EPS]],""),"")</f>
        <v>25.805555555555554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-3.5546615662460888E-2</v>
      </c>
      <c r="P33" s="1">
        <f>(Main_S[[#This Row],[P/B]]-VLOOKUP(Main_S[[#This Row],[Industry]], Mean_PB_S, 2, FALSE))/(VLOOKUP(Main_S[[#This Row],[Industry]], Mean_PB_S, 3, FALSE))</f>
        <v>-0.89588722504638829</v>
      </c>
      <c r="Q33" s="1">
        <f>(Main_S[[#This Row],[ROE]]-VLOOKUP(Main_S[[#This Row],[Industry]], Mean_ROE_S, 2, FALSE))/(VLOOKUP(Main_S[[#This Row],[Industry]], Mean_ROE_S, 3, FALSE))</f>
        <v>0.30980423443346972</v>
      </c>
      <c r="R33" s="1">
        <f>(Main_S[[#This Row],[ROA]]-VLOOKUP(Main_S[[#This Row],[Industry]], Mean_ROA_S, 2, FALSE))/(VLOOKUP(Main_S[[#This Row],[Industry]], Mean_ROA_S, 3, FALSE))</f>
        <v>0.27225109968718875</v>
      </c>
      <c r="S33" s="1">
        <f>(Main_S[[#This Row],[A/E]]-VLOOKUP(Main_S[[#This Row],[Industry]], Mean_AE_S, 2, FALSE))/(VLOOKUP(Main_S[[#This Row],[Industry]], Mean_AE_S, 3, FALSE))</f>
        <v>0.24598950021574467</v>
      </c>
      <c r="T33" s="1">
        <f>(Main_S[[#This Row],[P/E]]-VLOOKUP(Main_S[[#This Row],[Industry]], Mean_PE_S, 2, FALSE))/(VLOOKUP(Main_S[[#This Row],[Industry]], Mean_PE_S, 3, FALSE))</f>
        <v>0.51958666147560117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189</v>
      </c>
      <c r="B34" t="s">
        <v>478</v>
      </c>
      <c r="C34" s="2">
        <v>1176</v>
      </c>
      <c r="D34">
        <f>RTD("tos.rtd", , "LAST", Main_S[[#This Row],[Symbol]])</f>
        <v>43.38</v>
      </c>
      <c r="E34">
        <v>2.56</v>
      </c>
      <c r="F34">
        <v>17.97</v>
      </c>
      <c r="G34">
        <v>1.97</v>
      </c>
      <c r="H34" s="1">
        <f>IF(ISNUMBER(Main_S[[#This Row],[Free CF]]),IF(Main_S[[#This Row],[Free CF]]&lt;&gt;0,Main_S[[#This Row],[Current Price]]/Main_S[[#This Row],[Free CF]],""),"")</f>
        <v>16.9453125</v>
      </c>
      <c r="I34" s="1">
        <f>IF(ISNUMBER(Main_S[[#This Row],[BVPS]]),IF(Main_S[[#This Row],[BVPS]]&lt;&gt;0,Main_S[[#This Row],[Current Price]]/Main_S[[#This Row],[BVPS]],""),"")</f>
        <v>2.4140233722871454</v>
      </c>
      <c r="J34">
        <v>11.39</v>
      </c>
      <c r="K34">
        <v>6.48</v>
      </c>
      <c r="L34">
        <v>1.42</v>
      </c>
      <c r="M34" s="1">
        <f>IF(ISNUMBER(Main_S[[#This Row],[EPS]]),IF(Main_S[[#This Row],[EPS]]&lt;&gt;0,Main_S[[#This Row],[Current Price]]/Main_S[[#This Row],[EPS]],""),"")</f>
        <v>22.020304568527919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0.39575367387224319</v>
      </c>
      <c r="P34" s="1">
        <f>(Main_S[[#This Row],[P/B]]-VLOOKUP(Main_S[[#This Row],[Industry]], Mean_PB_S, 2, FALSE))/(VLOOKUP(Main_S[[#This Row],[Industry]], Mean_PB_S, 3, FALSE))</f>
        <v>-0.24249987736112513</v>
      </c>
      <c r="Q34" s="1">
        <f>(Main_S[[#This Row],[ROE]]-VLOOKUP(Main_S[[#This Row],[Industry]], Mean_ROE_S, 2, FALSE))/(VLOOKUP(Main_S[[#This Row],[Industry]], Mean_ROE_S, 3, FALSE))</f>
        <v>0.64129838026251496</v>
      </c>
      <c r="R34" s="1">
        <f>(Main_S[[#This Row],[ROA]]-VLOOKUP(Main_S[[#This Row],[Industry]], Mean_ROA_S, 2, FALSE))/(VLOOKUP(Main_S[[#This Row],[Industry]], Mean_ROA_S, 3, FALSE))</f>
        <v>0.65225804003134891</v>
      </c>
      <c r="S34" s="1">
        <f>(Main_S[[#This Row],[A/E]]-VLOOKUP(Main_S[[#This Row],[Industry]], Mean_AE_S, 2, FALSE))/(VLOOKUP(Main_S[[#This Row],[Industry]], Mean_AE_S, 3, FALSE))</f>
        <v>-0.79946587570117122</v>
      </c>
      <c r="T34" s="1">
        <f>(Main_S[[#This Row],[P/E]]-VLOOKUP(Main_S[[#This Row],[Industry]], Mean_PE_S, 2, FALSE))/(VLOOKUP(Main_S[[#This Row],[Industry]], Mean_PE_S, 3, FALSE))</f>
        <v>0.3657576408009291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189</v>
      </c>
      <c r="B35" t="s">
        <v>479</v>
      </c>
      <c r="C35" s="2">
        <v>451</v>
      </c>
      <c r="D35">
        <f>RTD("tos.rtd", , "LAST", Main_S[[#This Row],[Symbol]])</f>
        <v>18.53</v>
      </c>
      <c r="E35">
        <v>4.9400000000000004</v>
      </c>
      <c r="F35">
        <v>21.89</v>
      </c>
      <c r="G35">
        <v>0.32</v>
      </c>
      <c r="H35" s="1">
        <f>IF(ISNUMBER(Main_S[[#This Row],[Free CF]]),IF(Main_S[[#This Row],[Free CF]]&lt;&gt;0,Main_S[[#This Row],[Current Price]]/Main_S[[#This Row],[Free CF]],""),"")</f>
        <v>3.7510121457489878</v>
      </c>
      <c r="I35" s="1">
        <f>IF(ISNUMBER(Main_S[[#This Row],[BVPS]]),IF(Main_S[[#This Row],[BVPS]]&lt;&gt;0,Main_S[[#This Row],[Current Price]]/Main_S[[#This Row],[BVPS]],""),"")</f>
        <v>0.84650525354042949</v>
      </c>
      <c r="J35">
        <v>1.49</v>
      </c>
      <c r="K35">
        <v>3.31</v>
      </c>
      <c r="L35">
        <v>2</v>
      </c>
      <c r="M35" s="1">
        <f>IF(ISNUMBER(Main_S[[#This Row],[EPS]]),IF(Main_S[[#This Row],[EPS]]&lt;&gt;0,Main_S[[#This Row],[Current Price]]/Main_S[[#This Row],[EPS]],""),"")</f>
        <v>57.90625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-0.3689743751270057</v>
      </c>
      <c r="P35" s="1">
        <f>(Main_S[[#This Row],[P/B]]-VLOOKUP(Main_S[[#This Row],[Industry]], Mean_PB_S, 2, FALSE))/(VLOOKUP(Main_S[[#This Row],[Industry]], Mean_PB_S, 3, FALSE))</f>
        <v>-1.0962500405405036</v>
      </c>
      <c r="Q35" s="1">
        <f>(Main_S[[#This Row],[ROE]]-VLOOKUP(Main_S[[#This Row],[Industry]], Mean_ROE_S, 2, FALSE))/(VLOOKUP(Main_S[[#This Row],[Industry]], Mean_ROE_S, 3, FALSE))</f>
        <v>0.14026142702472139</v>
      </c>
      <c r="R35" s="1">
        <f>(Main_S[[#This Row],[ROA]]-VLOOKUP(Main_S[[#This Row],[Industry]], Mean_ROA_S, 2, FALSE))/(VLOOKUP(Main_S[[#This Row],[Industry]], Mean_ROA_S, 3, FALSE))</f>
        <v>0.28942008795575019</v>
      </c>
      <c r="S35" s="1">
        <f>(Main_S[[#This Row],[A/E]]-VLOOKUP(Main_S[[#This Row],[Industry]], Mean_AE_S, 2, FALSE))/(VLOOKUP(Main_S[[#This Row],[Industry]], Mean_AE_S, 3, FALSE))</f>
        <v>0.38948337534159599</v>
      </c>
      <c r="T35" s="1">
        <f>(Main_S[[#This Row],[P/E]]-VLOOKUP(Main_S[[#This Row],[Industry]], Mean_PE_S, 2, FALSE))/(VLOOKUP(Main_S[[#This Row],[Industry]], Mean_PE_S, 3, FALSE))</f>
        <v>1.8241285283924231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t="s">
        <v>189</v>
      </c>
      <c r="B36" t="s">
        <v>480</v>
      </c>
      <c r="C36" s="2">
        <v>476</v>
      </c>
      <c r="D36">
        <f>RTD("tos.rtd", , "LAST", Main_S[[#This Row],[Symbol]])</f>
        <v>109.81</v>
      </c>
      <c r="E36">
        <v>5.16</v>
      </c>
      <c r="F36">
        <v>21.21</v>
      </c>
      <c r="G36">
        <v>4.26</v>
      </c>
      <c r="H36" s="1">
        <f>IF(ISNUMBER(Main_S[[#This Row],[Free CF]]),IF(Main_S[[#This Row],[Free CF]]&lt;&gt;0,Main_S[[#This Row],[Current Price]]/Main_S[[#This Row],[Free CF]],""),"")</f>
        <v>21.281007751937985</v>
      </c>
      <c r="I36" s="1">
        <f>IF(ISNUMBER(Main_S[[#This Row],[BVPS]]),IF(Main_S[[#This Row],[BVPS]]&lt;&gt;0,Main_S[[#This Row],[Current Price]]/Main_S[[#This Row],[BVPS]],""),"")</f>
        <v>5.1772748703441769</v>
      </c>
      <c r="J36">
        <v>22.75</v>
      </c>
      <c r="K36">
        <v>5.91</v>
      </c>
      <c r="L36">
        <v>3.87</v>
      </c>
      <c r="M36" s="1">
        <f>IF(ISNUMBER(Main_S[[#This Row],[EPS]]),IF(Main_S[[#This Row],[EPS]]&lt;&gt;0,Main_S[[#This Row],[Current Price]]/Main_S[[#This Row],[EPS]],""),"")</f>
        <v>25.77699530516432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0.64704610181834454</v>
      </c>
      <c r="P36" s="1">
        <f>(Main_S[[#This Row],[P/B]]-VLOOKUP(Main_S[[#This Row],[Industry]], Mean_PB_S, 2, FALSE))/(VLOOKUP(Main_S[[#This Row],[Industry]], Mean_PB_S, 3, FALSE))</f>
        <v>1.2625075539137713</v>
      </c>
      <c r="Q36" s="1">
        <f>(Main_S[[#This Row],[ROE]]-VLOOKUP(Main_S[[#This Row],[Industry]], Mean_ROE_S, 2, FALSE))/(VLOOKUP(Main_S[[#This Row],[Industry]], Mean_ROE_S, 3, FALSE))</f>
        <v>1.216225631654569</v>
      </c>
      <c r="R36" s="1">
        <f>(Main_S[[#This Row],[ROA]]-VLOOKUP(Main_S[[#This Row],[Industry]], Mean_ROA_S, 2, FALSE))/(VLOOKUP(Main_S[[#This Row],[Industry]], Mean_ROA_S, 3, FALSE))</f>
        <v>0.58701588461081533</v>
      </c>
      <c r="S36" s="1">
        <f>(Main_S[[#This Row],[A/E]]-VLOOKUP(Main_S[[#This Row],[Industry]], Mean_AE_S, 2, FALSE))/(VLOOKUP(Main_S[[#This Row],[Industry]], Mean_AE_S, 3, FALSE))</f>
        <v>4.2228197537036207</v>
      </c>
      <c r="T36" s="1">
        <f>(Main_S[[#This Row],[P/E]]-VLOOKUP(Main_S[[#This Row],[Industry]], Mean_PE_S, 2, FALSE))/(VLOOKUP(Main_S[[#This Row],[Industry]], Mean_PE_S, 3, FALSE))</f>
        <v>0.51842599990706484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189</v>
      </c>
      <c r="B37" t="s">
        <v>481</v>
      </c>
      <c r="C37" s="2">
        <v>1717</v>
      </c>
      <c r="D37">
        <f>RTD("tos.rtd", , "LAST", Main_S[[#This Row],[Symbol]])</f>
        <v>70.64</v>
      </c>
      <c r="E37">
        <v>2.15</v>
      </c>
      <c r="F37">
        <v>34.22</v>
      </c>
      <c r="G37">
        <v>3.3</v>
      </c>
      <c r="H37" s="1">
        <f>IF(ISNUMBER(Main_S[[#This Row],[Free CF]]),IF(Main_S[[#This Row],[Free CF]]&lt;&gt;0,Main_S[[#This Row],[Current Price]]/Main_S[[#This Row],[Free CF]],""),"")</f>
        <v>32.855813953488372</v>
      </c>
      <c r="I37" s="1">
        <f>IF(ISNUMBER(Main_S[[#This Row],[BVPS]]),IF(Main_S[[#This Row],[BVPS]]&lt;&gt;0,Main_S[[#This Row],[Current Price]]/Main_S[[#This Row],[BVPS]],""),"")</f>
        <v>2.0642898889538284</v>
      </c>
      <c r="J37">
        <v>10.11</v>
      </c>
      <c r="K37">
        <v>5.27</v>
      </c>
      <c r="L37">
        <v>1.42</v>
      </c>
      <c r="M37" s="1">
        <f>IF(ISNUMBER(Main_S[[#This Row],[EPS]]),IF(Main_S[[#This Row],[EPS]]&lt;&gt;0,Main_S[[#This Row],[Current Price]]/Main_S[[#This Row],[EPS]],""),"")</f>
        <v>21.406060606060606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1.3179099389602802</v>
      </c>
      <c r="P37" s="1">
        <f>(Main_S[[#This Row],[P/B]]-VLOOKUP(Main_S[[#This Row],[Industry]], Mean_PB_S, 2, FALSE))/(VLOOKUP(Main_S[[#This Row],[Industry]], Mean_PB_S, 3, FALSE))</f>
        <v>-0.43298253583517249</v>
      </c>
      <c r="Q37" s="1">
        <f>(Main_S[[#This Row],[ROE]]-VLOOKUP(Main_S[[#This Row],[Industry]], Mean_ROE_S, 2, FALSE))/(VLOOKUP(Main_S[[#This Row],[Industry]], Mean_ROE_S, 3, FALSE))</f>
        <v>0.57651784489439617</v>
      </c>
      <c r="R37" s="1">
        <f>(Main_S[[#This Row],[ROA]]-VLOOKUP(Main_S[[#This Row],[Industry]], Mean_ROA_S, 2, FALSE))/(VLOOKUP(Main_S[[#This Row],[Industry]], Mean_ROA_S, 3, FALSE))</f>
        <v>0.51376153466495311</v>
      </c>
      <c r="S37" s="1">
        <f>(Main_S[[#This Row],[A/E]]-VLOOKUP(Main_S[[#This Row],[Industry]], Mean_AE_S, 2, FALSE))/(VLOOKUP(Main_S[[#This Row],[Industry]], Mean_AE_S, 3, FALSE))</f>
        <v>-0.79946587570117122</v>
      </c>
      <c r="T37" s="1">
        <f>(Main_S[[#This Row],[P/E]]-VLOOKUP(Main_S[[#This Row],[Industry]], Mean_PE_S, 2, FALSE))/(VLOOKUP(Main_S[[#This Row],[Industry]], Mean_PE_S, 3, FALSE))</f>
        <v>0.34079534701235425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189</v>
      </c>
      <c r="B38" t="s">
        <v>482</v>
      </c>
      <c r="C38" s="2">
        <v>1674</v>
      </c>
      <c r="D38">
        <f>RTD("tos.rtd", , "LAST", Main_S[[#This Row],[Symbol]])</f>
        <v>66.900000000000006</v>
      </c>
      <c r="E38">
        <v>9.0500000000000007</v>
      </c>
      <c r="F38">
        <v>36.409999999999997</v>
      </c>
      <c r="G38">
        <v>3.91</v>
      </c>
      <c r="H38" s="1">
        <f>IF(ISNUMBER(Main_S[[#This Row],[Free CF]]),IF(Main_S[[#This Row],[Free CF]]&lt;&gt;0,Main_S[[#This Row],[Current Price]]/Main_S[[#This Row],[Free CF]],""),"")</f>
        <v>7.3922651933701662</v>
      </c>
      <c r="I38" s="1">
        <f>IF(ISNUMBER(Main_S[[#This Row],[BVPS]]),IF(Main_S[[#This Row],[BVPS]]&lt;&gt;0,Main_S[[#This Row],[Current Price]]/Main_S[[#This Row],[BVPS]],""),"")</f>
        <v>1.8374073056852516</v>
      </c>
      <c r="J38">
        <v>11.39</v>
      </c>
      <c r="K38">
        <v>5.12</v>
      </c>
      <c r="L38">
        <v>1.83</v>
      </c>
      <c r="M38" s="1">
        <f>IF(ISNUMBER(Main_S[[#This Row],[EPS]]),IF(Main_S[[#This Row],[EPS]]&lt;&gt;0,Main_S[[#This Row],[Current Price]]/Main_S[[#This Row],[EPS]],""),"")</f>
        <v>17.10997442455243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-0.15793110157269666</v>
      </c>
      <c r="P38" s="1">
        <f>(Main_S[[#This Row],[P/B]]-VLOOKUP(Main_S[[#This Row],[Industry]], Mean_PB_S, 2, FALSE))/(VLOOKUP(Main_S[[#This Row],[Industry]], Mean_PB_S, 3, FALSE))</f>
        <v>-0.55655434031484063</v>
      </c>
      <c r="Q38" s="1">
        <f>(Main_S[[#This Row],[ROE]]-VLOOKUP(Main_S[[#This Row],[Industry]], Mean_ROE_S, 2, FALSE))/(VLOOKUP(Main_S[[#This Row],[Industry]], Mean_ROE_S, 3, FALSE))</f>
        <v>0.64129838026251496</v>
      </c>
      <c r="R38" s="1">
        <f>(Main_S[[#This Row],[ROA]]-VLOOKUP(Main_S[[#This Row],[Industry]], Mean_ROA_S, 2, FALSE))/(VLOOKUP(Main_S[[#This Row],[Industry]], Mean_ROA_S, 3, FALSE))</f>
        <v>0.49659254639639183</v>
      </c>
      <c r="S38" s="1">
        <f>(Main_S[[#This Row],[A/E]]-VLOOKUP(Main_S[[#This Row],[Industry]], Mean_AE_S, 2, FALSE))/(VLOOKUP(Main_S[[#This Row],[Industry]], Mean_AE_S, 3, FALSE))</f>
        <v>4.0998250035957522E-2</v>
      </c>
      <c r="T38" s="1">
        <f>(Main_S[[#This Row],[P/E]]-VLOOKUP(Main_S[[#This Row],[Industry]], Mean_PE_S, 2, FALSE))/(VLOOKUP(Main_S[[#This Row],[Industry]], Mean_PE_S, 3, FALSE))</f>
        <v>0.16620646709389583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189</v>
      </c>
      <c r="B39" t="s">
        <v>483</v>
      </c>
      <c r="C39" s="2">
        <v>848</v>
      </c>
      <c r="D39">
        <f>RTD("tos.rtd", , "LAST", Main_S[[#This Row],[Symbol]])</f>
        <v>42.055</v>
      </c>
      <c r="E39">
        <v>10.07</v>
      </c>
      <c r="F39">
        <v>38.14</v>
      </c>
      <c r="G39">
        <v>2.54</v>
      </c>
      <c r="H39" s="1">
        <f>IF(ISNUMBER(Main_S[[#This Row],[Free CF]]),IF(Main_S[[#This Row],[Free CF]]&lt;&gt;0,Main_S[[#This Row],[Current Price]]/Main_S[[#This Row],[Free CF]],""),"")</f>
        <v>4.1762661370407148</v>
      </c>
      <c r="I39" s="1">
        <f>IF(ISNUMBER(Main_S[[#This Row],[BVPS]]),IF(Main_S[[#This Row],[BVPS]]&lt;&gt;0,Main_S[[#This Row],[Current Price]]/Main_S[[#This Row],[BVPS]],""),"")</f>
        <v>1.1026481384373361</v>
      </c>
      <c r="J39">
        <v>6.79</v>
      </c>
      <c r="K39">
        <v>3.19</v>
      </c>
      <c r="L39">
        <v>1.89</v>
      </c>
      <c r="M39" s="1">
        <f>IF(ISNUMBER(Main_S[[#This Row],[EPS]]),IF(Main_S[[#This Row],[EPS]]&lt;&gt;0,Main_S[[#This Row],[Current Price]]/Main_S[[#This Row],[EPS]],""),"")</f>
        <v>16.55708661417323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-0.34432709210643309</v>
      </c>
      <c r="P39" s="1">
        <f>(Main_S[[#This Row],[P/B]]-VLOOKUP(Main_S[[#This Row],[Industry]], Mean_PB_S, 2, FALSE))/(VLOOKUP(Main_S[[#This Row],[Industry]], Mean_PB_S, 3, FALSE))</f>
        <v>-0.95674158627599126</v>
      </c>
      <c r="Q39" s="1">
        <f>(Main_S[[#This Row],[ROE]]-VLOOKUP(Main_S[[#This Row],[Industry]], Mean_ROE_S, 2, FALSE))/(VLOOKUP(Main_S[[#This Row],[Industry]], Mean_ROE_S, 3, FALSE))</f>
        <v>0.40849333128333809</v>
      </c>
      <c r="R39" s="1">
        <f>(Main_S[[#This Row],[ROA]]-VLOOKUP(Main_S[[#This Row],[Industry]], Mean_ROA_S, 2, FALSE))/(VLOOKUP(Main_S[[#This Row],[Industry]], Mean_ROA_S, 3, FALSE))</f>
        <v>0.27568489734090101</v>
      </c>
      <c r="S39" s="1">
        <f>(Main_S[[#This Row],[A/E]]-VLOOKUP(Main_S[[#This Row],[Industry]], Mean_AE_S, 2, FALSE))/(VLOOKUP(Main_S[[#This Row],[Industry]], Mean_AE_S, 3, FALSE))</f>
        <v>0.16399300014382961</v>
      </c>
      <c r="T39" s="1">
        <f>(Main_S[[#This Row],[P/E]]-VLOOKUP(Main_S[[#This Row],[Industry]], Mean_PE_S, 2, FALSE))/(VLOOKUP(Main_S[[#This Row],[Industry]], Mean_PE_S, 3, FALSE))</f>
        <v>0.14373762930610576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105</v>
      </c>
      <c r="B40" t="s">
        <v>354</v>
      </c>
      <c r="C40" s="2">
        <v>1588</v>
      </c>
      <c r="D40">
        <f>RTD("tos.rtd", , "LAST", Main_S[[#This Row],[Symbol]])</f>
        <v>7.13</v>
      </c>
      <c r="E40">
        <v>1.26</v>
      </c>
      <c r="F40">
        <v>3.47</v>
      </c>
      <c r="G40">
        <v>0.6</v>
      </c>
      <c r="H40" s="1">
        <f>IF(ISNUMBER(Main_S[[#This Row],[Free CF]]),IF(Main_S[[#This Row],[Free CF]]&lt;&gt;0,Main_S[[#This Row],[Current Price]]/Main_S[[#This Row],[Free CF]],""),"")</f>
        <v>5.6587301587301582</v>
      </c>
      <c r="I40" s="1">
        <f>IF(ISNUMBER(Main_S[[#This Row],[BVPS]]),IF(Main_S[[#This Row],[BVPS]]&lt;&gt;0,Main_S[[#This Row],[Current Price]]/Main_S[[#This Row],[BVPS]],""),"")</f>
        <v>2.0547550432276656</v>
      </c>
      <c r="J40">
        <v>16.62</v>
      </c>
      <c r="K40">
        <v>4.6500000000000004</v>
      </c>
      <c r="L40">
        <v>3.83</v>
      </c>
      <c r="M40" s="1">
        <f>IF(ISNUMBER(Main_S[[#This Row],[EPS]]),IF(Main_S[[#This Row],[EPS]]&lt;&gt;0,Main_S[[#This Row],[Current Price]]/Main_S[[#This Row],[EPS]],""),"")</f>
        <v>11.883333333333333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-1.4659922537640872E-2</v>
      </c>
      <c r="P40" s="1">
        <f>(Main_S[[#This Row],[P/B]]-VLOOKUP(Main_S[[#This Row],[Industry]], Mean_PB_S, 2, FALSE))/(VLOOKUP(Main_S[[#This Row],[Industry]], Mean_PB_S, 3, FALSE))</f>
        <v>-0.24430020687851528</v>
      </c>
      <c r="Q40" s="1">
        <f>(Main_S[[#This Row],[ROE]]-VLOOKUP(Main_S[[#This Row],[Industry]], Mean_ROE_S, 2, FALSE))/(VLOOKUP(Main_S[[#This Row],[Industry]], Mean_ROE_S, 3, FALSE))</f>
        <v>0.67850590957397849</v>
      </c>
      <c r="R40" s="1">
        <f>(Main_S[[#This Row],[ROA]]-VLOOKUP(Main_S[[#This Row],[Industry]], Mean_ROA_S, 2, FALSE))/(VLOOKUP(Main_S[[#This Row],[Industry]], Mean_ROA_S, 3, FALSE))</f>
        <v>0.58453567542095186</v>
      </c>
      <c r="S40" s="1">
        <f>(Main_S[[#This Row],[A/E]]-VLOOKUP(Main_S[[#This Row],[Industry]], Mean_AE_S, 2, FALSE))/(VLOOKUP(Main_S[[#This Row],[Industry]], Mean_AE_S, 3, FALSE))</f>
        <v>0.9195715803775899</v>
      </c>
      <c r="T40" s="1">
        <f>(Main_S[[#This Row],[P/E]]-VLOOKUP(Main_S[[#This Row],[Industry]], Mean_PE_S, 2, FALSE))/(VLOOKUP(Main_S[[#This Row],[Industry]], Mean_PE_S, 3, FALSE))</f>
        <v>0.60377637208348589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t="s">
        <v>105</v>
      </c>
      <c r="B41" t="s">
        <v>355</v>
      </c>
      <c r="C41" s="2">
        <v>888</v>
      </c>
      <c r="D41">
        <f>RTD("tos.rtd", , "LAST", Main_S[[#This Row],[Symbol]])</f>
        <v>3.56</v>
      </c>
      <c r="E41">
        <v>-0.17</v>
      </c>
      <c r="F41">
        <v>0.68</v>
      </c>
      <c r="G41">
        <v>-0.93</v>
      </c>
      <c r="H41" s="1">
        <f>IF(ISNUMBER(Main_S[[#This Row],[Free CF]]),IF(Main_S[[#This Row],[Free CF]]&lt;&gt;0,Main_S[[#This Row],[Current Price]]/Main_S[[#This Row],[Free CF]],""),"")</f>
        <v>-20.941176470588236</v>
      </c>
      <c r="I41" s="1">
        <f>IF(ISNUMBER(Main_S[[#This Row],[BVPS]]),IF(Main_S[[#This Row],[BVPS]]&lt;&gt;0,Main_S[[#This Row],[Current Price]]/Main_S[[#This Row],[BVPS]],""),"")</f>
        <v>5.2352941176470589</v>
      </c>
      <c r="J41">
        <v>-150.02000000000001</v>
      </c>
      <c r="K41">
        <v>-7.22</v>
      </c>
      <c r="L41">
        <v>2</v>
      </c>
      <c r="M41" s="1">
        <f>IF(ISNUMBER(Main_S[[#This Row],[EPS]]),IF(Main_S[[#This Row],[EPS]]&lt;&gt;0,Main_S[[#This Row],[Current Price]]/Main_S[[#This Row],[EPS]],""),"")</f>
        <v>-3.8279569892473115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-2.0626165686249629</v>
      </c>
      <c r="P41" s="1">
        <f>(Main_S[[#This Row],[P/B]]-VLOOKUP(Main_S[[#This Row],[Industry]], Mean_PB_S, 2, FALSE))/(VLOOKUP(Main_S[[#This Row],[Industry]], Mean_PB_S, 3, FALSE))</f>
        <v>1.0931428457785062</v>
      </c>
      <c r="Q41" s="1">
        <f>(Main_S[[#This Row],[ROE]]-VLOOKUP(Main_S[[#This Row],[Industry]], Mean_ROE_S, 2, FALSE))/(VLOOKUP(Main_S[[#This Row],[Industry]], Mean_ROE_S, 3, FALSE))</f>
        <v>-3.4314986259188522</v>
      </c>
      <c r="R41" s="1">
        <f>(Main_S[[#This Row],[ROA]]-VLOOKUP(Main_S[[#This Row],[Industry]], Mean_ROA_S, 2, FALSE))/(VLOOKUP(Main_S[[#This Row],[Industry]], Mean_ROA_S, 3, FALSE))</f>
        <v>-1.4061882282251987</v>
      </c>
      <c r="S41" s="1">
        <f>(Main_S[[#This Row],[A/E]]-VLOOKUP(Main_S[[#This Row],[Industry]], Mean_AE_S, 2, FALSE))/(VLOOKUP(Main_S[[#This Row],[Industry]], Mean_AE_S, 3, FALSE))</f>
        <v>-0.47223111984804017</v>
      </c>
      <c r="T41" s="1">
        <f>(Main_S[[#This Row],[P/E]]-VLOOKUP(Main_S[[#This Row],[Industry]], Mean_PE_S, 2, FALSE))/(VLOOKUP(Main_S[[#This Row],[Industry]], Mean_PE_S, 3, FALSE))</f>
        <v>-0.48630931482925088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t="s">
        <v>105</v>
      </c>
      <c r="B42" t="s">
        <v>356</v>
      </c>
      <c r="C42" s="2">
        <v>801</v>
      </c>
      <c r="D42">
        <f>RTD("tos.rtd", , "LAST", Main_S[[#This Row],[Symbol]])</f>
        <v>6.21</v>
      </c>
      <c r="E42">
        <v>0.43</v>
      </c>
      <c r="F42">
        <v>2.09</v>
      </c>
      <c r="G42">
        <v>0.22</v>
      </c>
      <c r="H42" s="1">
        <f>IF(ISNUMBER(Main_S[[#This Row],[Free CF]]),IF(Main_S[[#This Row],[Free CF]]&lt;&gt;0,Main_S[[#This Row],[Current Price]]/Main_S[[#This Row],[Free CF]],""),"")</f>
        <v>14.44186046511628</v>
      </c>
      <c r="I42" s="1">
        <f>IF(ISNUMBER(Main_S[[#This Row],[BVPS]]),IF(Main_S[[#This Row],[BVPS]]&lt;&gt;0,Main_S[[#This Row],[Current Price]]/Main_S[[#This Row],[BVPS]],""),"")</f>
        <v>2.9712918660287082</v>
      </c>
      <c r="J42">
        <v>10.32</v>
      </c>
      <c r="K42">
        <v>6.39</v>
      </c>
      <c r="L42">
        <v>1.88</v>
      </c>
      <c r="M42" s="1">
        <f>IF(ISNUMBER(Main_S[[#This Row],[EPS]]),IF(Main_S[[#This Row],[EPS]]&lt;&gt;0,Main_S[[#This Row],[Current Price]]/Main_S[[#This Row],[EPS]],""),"")</f>
        <v>28.227272727272727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0.66156313098949671</v>
      </c>
      <c r="P42" s="1">
        <f>(Main_S[[#This Row],[P/B]]-VLOOKUP(Main_S[[#This Row],[Industry]], Mean_PB_S, 2, FALSE))/(VLOOKUP(Main_S[[#This Row],[Industry]], Mean_PB_S, 3, FALSE))</f>
        <v>0.14111112669655376</v>
      </c>
      <c r="Q42" s="1">
        <f>(Main_S[[#This Row],[ROE]]-VLOOKUP(Main_S[[#This Row],[Industry]], Mean_ROE_S, 2, FALSE))/(VLOOKUP(Main_S[[#This Row],[Industry]], Mean_ROE_S, 3, FALSE))</f>
        <v>0.52312287684711323</v>
      </c>
      <c r="R42" s="1">
        <f>(Main_S[[#This Row],[ROA]]-VLOOKUP(Main_S[[#This Row],[Industry]], Mean_ROA_S, 2, FALSE))/(VLOOKUP(Main_S[[#This Row],[Industry]], Mean_ROA_S, 3, FALSE))</f>
        <v>0.87635198480126364</v>
      </c>
      <c r="S42" s="1">
        <f>(Main_S[[#This Row],[A/E]]-VLOOKUP(Main_S[[#This Row],[Industry]], Mean_AE_S, 2, FALSE))/(VLOOKUP(Main_S[[#This Row],[Industry]], Mean_AE_S, 3, FALSE))</f>
        <v>-0.56349687068250776</v>
      </c>
      <c r="T42" s="1">
        <f>(Main_S[[#This Row],[P/E]]-VLOOKUP(Main_S[[#This Row],[Industry]], Mean_PE_S, 2, FALSE))/(VLOOKUP(Main_S[[#This Row],[Industry]], Mean_PE_S, 3, FALSE))</f>
        <v>1.7377567158555409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105</v>
      </c>
      <c r="B43" t="s">
        <v>357</v>
      </c>
      <c r="C43" s="2">
        <v>1137</v>
      </c>
      <c r="D43">
        <f>RTD("tos.rtd", , "LAST", Main_S[[#This Row],[Symbol]])</f>
        <v>21.41</v>
      </c>
      <c r="E43">
        <v>0.73</v>
      </c>
      <c r="F43">
        <v>13.78</v>
      </c>
      <c r="G43">
        <v>0.12</v>
      </c>
      <c r="H43" s="1">
        <f>IF(ISNUMBER(Main_S[[#This Row],[Free CF]]),IF(Main_S[[#This Row],[Free CF]]&lt;&gt;0,Main_S[[#This Row],[Current Price]]/Main_S[[#This Row],[Free CF]],""),"")</f>
        <v>29.328767123287673</v>
      </c>
      <c r="I43" s="1">
        <f>IF(ISNUMBER(Main_S[[#This Row],[BVPS]]),IF(Main_S[[#This Row],[BVPS]]&lt;&gt;0,Main_S[[#This Row],[Current Price]]/Main_S[[#This Row],[BVPS]],""),"")</f>
        <v>1.553701015965167</v>
      </c>
      <c r="J43">
        <v>0.86</v>
      </c>
      <c r="K43">
        <v>1.4</v>
      </c>
      <c r="L43">
        <v>1.5</v>
      </c>
      <c r="M43" s="1">
        <f>IF(ISNUMBER(Main_S[[#This Row],[EPS]]),IF(Main_S[[#This Row],[EPS]]&lt;&gt;0,Main_S[[#This Row],[Current Price]]/Main_S[[#This Row],[EPS]],""),"")</f>
        <v>178.41666666666669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1.8077227718913991</v>
      </c>
      <c r="P43" s="1">
        <f>(Main_S[[#This Row],[P/B]]-VLOOKUP(Main_S[[#This Row],[Industry]], Mean_PB_S, 2, FALSE))/(VLOOKUP(Main_S[[#This Row],[Industry]], Mean_PB_S, 3, FALSE))</f>
        <v>-0.45499757989864797</v>
      </c>
      <c r="Q43" s="1">
        <f>(Main_S[[#This Row],[ROE]]-VLOOKUP(Main_S[[#This Row],[Industry]], Mean_ROE_S, 2, FALSE))/(VLOOKUP(Main_S[[#This Row],[Industry]], Mean_ROE_S, 3, FALSE))</f>
        <v>0.28980168802232814</v>
      </c>
      <c r="R43" s="1">
        <f>(Main_S[[#This Row],[ROA]]-VLOOKUP(Main_S[[#This Row],[Industry]], Mean_ROA_S, 2, FALSE))/(VLOOKUP(Main_S[[#This Row],[Industry]], Mean_ROA_S, 3, FALSE))</f>
        <v>3.9476476865771583E-2</v>
      </c>
      <c r="S43" s="1">
        <f>(Main_S[[#This Row],[A/E]]-VLOOKUP(Main_S[[#This Row],[Industry]], Mean_AE_S, 2, FALSE))/(VLOOKUP(Main_S[[#This Row],[Industry]], Mean_AE_S, 3, FALSE))</f>
        <v>-0.85250508165832162</v>
      </c>
      <c r="T43" s="1">
        <f>(Main_S[[#This Row],[P/E]]-VLOOKUP(Main_S[[#This Row],[Industry]], Mean_PE_S, 2, FALSE))/(VLOOKUP(Main_S[[#This Row],[Industry]], Mean_PE_S, 3, FALSE))</f>
        <v>12.158244485986716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t="s">
        <v>105</v>
      </c>
      <c r="B44" t="s">
        <v>358</v>
      </c>
      <c r="C44" s="2">
        <v>1334</v>
      </c>
      <c r="D44">
        <f>RTD("tos.rtd", , "LAST", Main_S[[#This Row],[Symbol]])</f>
        <v>96.05</v>
      </c>
      <c r="E44">
        <v>17.190000000000001</v>
      </c>
      <c r="F44">
        <v>44.38</v>
      </c>
      <c r="G44">
        <v>5.09</v>
      </c>
      <c r="H44" s="1">
        <f>IF(ISNUMBER(Main_S[[#This Row],[Free CF]]),IF(Main_S[[#This Row],[Free CF]]&lt;&gt;0,Main_S[[#This Row],[Current Price]]/Main_S[[#This Row],[Free CF]],""),"")</f>
        <v>5.5875509016870266</v>
      </c>
      <c r="I44" s="1">
        <f>IF(ISNUMBER(Main_S[[#This Row],[BVPS]]),IF(Main_S[[#This Row],[BVPS]]&lt;&gt;0,Main_S[[#This Row],[Current Price]]/Main_S[[#This Row],[BVPS]],""),"")</f>
        <v>2.1642631816133391</v>
      </c>
      <c r="J44">
        <v>14.37</v>
      </c>
      <c r="K44">
        <v>5.8</v>
      </c>
      <c r="L44">
        <v>4.4400000000000004</v>
      </c>
      <c r="M44" s="1">
        <f>IF(ISNUMBER(Main_S[[#This Row],[EPS]]),IF(Main_S[[#This Row],[EPS]]&lt;&gt;0,Main_S[[#This Row],[Current Price]]/Main_S[[#This Row],[EPS]],""),"")</f>
        <v>18.870333988212181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-2.0140093372690692E-2</v>
      </c>
      <c r="P44" s="1">
        <f>(Main_S[[#This Row],[P/B]]-VLOOKUP(Main_S[[#This Row],[Industry]], Mean_PB_S, 2, FALSE))/(VLOOKUP(Main_S[[#This Row],[Industry]], Mean_PB_S, 3, FALSE))</f>
        <v>-0.19825112668601388</v>
      </c>
      <c r="Q44" s="1">
        <f>(Main_S[[#This Row],[ROE]]-VLOOKUP(Main_S[[#This Row],[Industry]], Mean_ROE_S, 2, FALSE))/(VLOOKUP(Main_S[[#This Row],[Industry]], Mean_ROE_S, 3, FALSE))</f>
        <v>0.62301196931438363</v>
      </c>
      <c r="R44" s="1">
        <f>(Main_S[[#This Row],[ROA]]-VLOOKUP(Main_S[[#This Row],[Industry]], Mean_ROA_S, 2, FALSE))/(VLOOKUP(Main_S[[#This Row],[Industry]], Mean_ROA_S, 3, FALSE))</f>
        <v>0.77740277644816935</v>
      </c>
      <c r="S44" s="1">
        <f>(Main_S[[#This Row],[A/E]]-VLOOKUP(Main_S[[#This Row],[Industry]], Mean_AE_S, 2, FALSE))/(VLOOKUP(Main_S[[#This Row],[Industry]], Mean_AE_S, 3, FALSE))</f>
        <v>1.3835058137861334</v>
      </c>
      <c r="T44" s="1">
        <f>(Main_S[[#This Row],[P/E]]-VLOOKUP(Main_S[[#This Row],[Industry]], Mean_PE_S, 2, FALSE))/(VLOOKUP(Main_S[[#This Row],[Industry]], Mean_PE_S, 3, FALSE))</f>
        <v>1.0885506491768724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105</v>
      </c>
      <c r="B45" t="s">
        <v>359</v>
      </c>
      <c r="C45" s="2">
        <v>1127</v>
      </c>
      <c r="D45">
        <f>RTD("tos.rtd", , "LAST", Main_S[[#This Row],[Symbol]])</f>
        <v>15.03</v>
      </c>
      <c r="E45">
        <v>0.31</v>
      </c>
      <c r="F45">
        <v>6.12</v>
      </c>
      <c r="G45">
        <v>0.13</v>
      </c>
      <c r="H45" s="1">
        <f>IF(ISNUMBER(Main_S[[#This Row],[Free CF]]),IF(Main_S[[#This Row],[Free CF]]&lt;&gt;0,Main_S[[#This Row],[Current Price]]/Main_S[[#This Row],[Free CF]],""),"")</f>
        <v>48.483870967741936</v>
      </c>
      <c r="I45" s="1">
        <f>IF(ISNUMBER(Main_S[[#This Row],[BVPS]]),IF(Main_S[[#This Row],[BVPS]]&lt;&gt;0,Main_S[[#This Row],[Current Price]]/Main_S[[#This Row],[BVPS]],""),"")</f>
        <v>2.4558823529411762</v>
      </c>
      <c r="J45">
        <v>2.42</v>
      </c>
      <c r="K45">
        <v>0.81</v>
      </c>
      <c r="L45">
        <v>1.1399999999999999</v>
      </c>
      <c r="M45" s="1">
        <f>IF(ISNUMBER(Main_S[[#This Row],[EPS]]),IF(Main_S[[#This Row],[EPS]]&lt;&gt;0,Main_S[[#This Row],[Current Price]]/Main_S[[#This Row],[EPS]],""),"")</f>
        <v>115.61538461538461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3.2824957014138261</v>
      </c>
      <c r="P45" s="1">
        <f>(Main_S[[#This Row],[P/B]]-VLOOKUP(Main_S[[#This Row],[Industry]], Mean_PB_S, 2, FALSE))/(VLOOKUP(Main_S[[#This Row],[Industry]], Mean_PB_S, 3, FALSE))</f>
        <v>-7.5622847143429678E-2</v>
      </c>
      <c r="Q45" s="1">
        <f>(Main_S[[#This Row],[ROE]]-VLOOKUP(Main_S[[#This Row],[Industry]], Mean_ROE_S, 2, FALSE))/(VLOOKUP(Main_S[[#This Row],[Industry]], Mean_ROE_S, 3, FALSE))</f>
        <v>0.32827748660231387</v>
      </c>
      <c r="R45" s="1">
        <f>(Main_S[[#This Row],[ROA]]-VLOOKUP(Main_S[[#This Row],[Industry]], Mean_ROA_S, 2, FALSE))/(VLOOKUP(Main_S[[#This Row],[Industry]], Mean_ROA_S, 3, FALSE))</f>
        <v>-5.9472731487322648E-2</v>
      </c>
      <c r="S45" s="1">
        <f>(Main_S[[#This Row],[A/E]]-VLOOKUP(Main_S[[#This Row],[Industry]], Mean_AE_S, 2, FALSE))/(VLOOKUP(Main_S[[#This Row],[Industry]], Mean_AE_S, 3, FALSE))</f>
        <v>-1.1263023341617242</v>
      </c>
      <c r="T45" s="1">
        <f>(Main_S[[#This Row],[P/E]]-VLOOKUP(Main_S[[#This Row],[Industry]], Mean_PE_S, 2, FALSE))/(VLOOKUP(Main_S[[#This Row],[Industry]], Mean_PE_S, 3, FALSE))</f>
        <v>7.8009461815004357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6" spans="1:26" x14ac:dyDescent="0.25">
      <c r="A46" t="s">
        <v>105</v>
      </c>
      <c r="B46" t="s">
        <v>360</v>
      </c>
      <c r="C46" s="2">
        <v>662</v>
      </c>
      <c r="D46">
        <f>RTD("tos.rtd", , "LAST", Main_S[[#This Row],[Symbol]])</f>
        <v>25.76</v>
      </c>
      <c r="E46">
        <v>1.58</v>
      </c>
      <c r="F46">
        <v>4.2</v>
      </c>
      <c r="G46">
        <v>1.05</v>
      </c>
      <c r="H46" s="1">
        <f>IF(ISNUMBER(Main_S[[#This Row],[Free CF]]),IF(Main_S[[#This Row],[Free CF]]&lt;&gt;0,Main_S[[#This Row],[Current Price]]/Main_S[[#This Row],[Free CF]],""),"")</f>
        <v>16.303797468354432</v>
      </c>
      <c r="I46" s="1">
        <f>IF(ISNUMBER(Main_S[[#This Row],[BVPS]]),IF(Main_S[[#This Row],[BVPS]]&lt;&gt;0,Main_S[[#This Row],[Current Price]]/Main_S[[#This Row],[BVPS]],""),"")</f>
        <v>6.1333333333333337</v>
      </c>
      <c r="J46">
        <v>28.82</v>
      </c>
      <c r="K46">
        <v>14.96</v>
      </c>
      <c r="L46">
        <v>1.66</v>
      </c>
      <c r="M46" s="1">
        <f>IF(ISNUMBER(Main_S[[#This Row],[EPS]]),IF(Main_S[[#This Row],[EPS]]&lt;&gt;0,Main_S[[#This Row],[Current Price]]/Main_S[[#This Row],[EPS]],""),"")</f>
        <v>24.533333333333335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0.80491574923420184</v>
      </c>
      <c r="P46" s="1">
        <f>(Main_S[[#This Row],[P/B]]-VLOOKUP(Main_S[[#This Row],[Industry]], Mean_PB_S, 2, FALSE))/(VLOOKUP(Main_S[[#This Row],[Industry]], Mean_PB_S, 3, FALSE))</f>
        <v>1.4707757821864405</v>
      </c>
      <c r="Q46" s="1">
        <f>(Main_S[[#This Row],[ROE]]-VLOOKUP(Main_S[[#This Row],[Industry]], Mean_ROE_S, 2, FALSE))/(VLOOKUP(Main_S[[#This Row],[Industry]], Mean_ROE_S, 3, FALSE))</f>
        <v>0.97940638564822557</v>
      </c>
      <c r="R46" s="1">
        <f>(Main_S[[#This Row],[ROA]]-VLOOKUP(Main_S[[#This Row],[Industry]], Mean_ROA_S, 2, FALSE))/(VLOOKUP(Main_S[[#This Row],[Industry]], Mean_ROA_S, 3, FALSE))</f>
        <v>2.3136311637606162</v>
      </c>
      <c r="S46" s="1">
        <f>(Main_S[[#This Row],[A/E]]-VLOOKUP(Main_S[[#This Row],[Industry]], Mean_AE_S, 2, FALSE))/(VLOOKUP(Main_S[[#This Row],[Industry]], Mean_AE_S, 3, FALSE))</f>
        <v>-0.73081741387903154</v>
      </c>
      <c r="T46" s="1">
        <f>(Main_S[[#This Row],[P/E]]-VLOOKUP(Main_S[[#This Row],[Industry]], Mean_PE_S, 2, FALSE))/(VLOOKUP(Main_S[[#This Row],[Industry]], Mean_PE_S, 3, FALSE))</f>
        <v>1.4814626509518356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105</v>
      </c>
      <c r="B47" t="s">
        <v>361</v>
      </c>
      <c r="C47" s="2">
        <v>337</v>
      </c>
      <c r="D47">
        <f>RTD("tos.rtd", , "LAST", Main_S[[#This Row],[Symbol]])</f>
        <v>5.73</v>
      </c>
      <c r="E47">
        <v>1.1599999999999999</v>
      </c>
      <c r="F47">
        <v>-3.77</v>
      </c>
      <c r="G47">
        <v>-1.06</v>
      </c>
      <c r="H47" s="1">
        <f>IF(ISNUMBER(Main_S[[#This Row],[Free CF]]),IF(Main_S[[#This Row],[Free CF]]&lt;&gt;0,Main_S[[#This Row],[Current Price]]/Main_S[[#This Row],[Free CF]],""),"")</f>
        <v>4.9396551724137936</v>
      </c>
      <c r="I47" s="1">
        <f>IF(ISNUMBER(Main_S[[#This Row],[BVPS]]),IF(Main_S[[#This Row],[BVPS]]&lt;&gt;0,Main_S[[#This Row],[Current Price]]/Main_S[[#This Row],[BVPS]],""),"")</f>
        <v>-1.5198938992042441</v>
      </c>
      <c r="J47">
        <v>37.35</v>
      </c>
      <c r="K47">
        <v>4.3</v>
      </c>
      <c r="L47">
        <v>-6.87</v>
      </c>
      <c r="M47" s="1">
        <f>IF(ISNUMBER(Main_S[[#This Row],[EPS]]),IF(Main_S[[#This Row],[EPS]]&lt;&gt;0,Main_S[[#This Row],[Current Price]]/Main_S[[#This Row],[EPS]],""),"")</f>
        <v>-5.4056603773584904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-7.0022312255152597E-2</v>
      </c>
      <c r="P47" s="1">
        <f>(Main_S[[#This Row],[P/B]]-VLOOKUP(Main_S[[#This Row],[Industry]], Mean_PB_S, 2, FALSE))/(VLOOKUP(Main_S[[#This Row],[Industry]], Mean_PB_S, 3, FALSE))</f>
        <v>-1.7474697268493011</v>
      </c>
      <c r="Q47" s="1">
        <f>(Main_S[[#This Row],[ROE]]-VLOOKUP(Main_S[[#This Row],[Industry]], Mean_ROE_S, 2, FALSE))/(VLOOKUP(Main_S[[#This Row],[Industry]], Mean_ROE_S, 3, FALSE))</f>
        <v>1.1897900791657114</v>
      </c>
      <c r="R47" s="1">
        <f>(Main_S[[#This Row],[ROA]]-VLOOKUP(Main_S[[#This Row],[Industry]], Mean_ROA_S, 2, FALSE))/(VLOOKUP(Main_S[[#This Row],[Industry]], Mean_ROA_S, 3, FALSE))</f>
        <v>0.52583699249962468</v>
      </c>
      <c r="S47" s="1">
        <f>(Main_S[[#This Row],[A/E]]-VLOOKUP(Main_S[[#This Row],[Industry]], Mean_AE_S, 2, FALSE))/(VLOOKUP(Main_S[[#This Row],[Industry]], Mean_AE_S, 3, FALSE))</f>
        <v>-7.2182912023624324</v>
      </c>
      <c r="T47" s="1">
        <f>(Main_S[[#This Row],[P/E]]-VLOOKUP(Main_S[[#This Row],[Industry]], Mean_PE_S, 2, FALSE))/(VLOOKUP(Main_S[[#This Row],[Industry]], Mean_PE_S, 3, FALSE))</f>
        <v>-0.59577402754619058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105</v>
      </c>
      <c r="B48" t="s">
        <v>362</v>
      </c>
      <c r="C48" s="2">
        <v>1180</v>
      </c>
      <c r="D48">
        <f>RTD("tos.rtd", , "LAST", Main_S[[#This Row],[Symbol]])</f>
        <v>5.61</v>
      </c>
      <c r="E48">
        <v>-3.95</v>
      </c>
      <c r="F48">
        <v>2.0299999999999998</v>
      </c>
      <c r="G48">
        <v>-1.39</v>
      </c>
      <c r="H48" s="1">
        <f>IF(ISNUMBER(Main_S[[#This Row],[Free CF]]),IF(Main_S[[#This Row],[Free CF]]&lt;&gt;0,Main_S[[#This Row],[Current Price]]/Main_S[[#This Row],[Free CF]],""),"")</f>
        <v>-1.420253164556962</v>
      </c>
      <c r="I48" s="1">
        <f>IF(ISNUMBER(Main_S[[#This Row],[BVPS]]),IF(Main_S[[#This Row],[BVPS]]&lt;&gt;0,Main_S[[#This Row],[Current Price]]/Main_S[[#This Row],[BVPS]],""),"")</f>
        <v>2.7635467980295569</v>
      </c>
      <c r="J48">
        <v>-79.239999999999995</v>
      </c>
      <c r="K48">
        <v>-4.5999999999999996</v>
      </c>
      <c r="L48">
        <v>3.76</v>
      </c>
      <c r="M48" s="1">
        <f>IF(ISNUMBER(Main_S[[#This Row],[EPS]]),IF(Main_S[[#This Row],[EPS]]&lt;&gt;0,Main_S[[#This Row],[Current Price]]/Main_S[[#This Row],[EPS]],""),"")</f>
        <v>-4.0359712230215834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-0.55967878844930141</v>
      </c>
      <c r="P48" s="1">
        <f>(Main_S[[#This Row],[P/B]]-VLOOKUP(Main_S[[#This Row],[Industry]], Mean_PB_S, 2, FALSE))/(VLOOKUP(Main_S[[#This Row],[Industry]], Mean_PB_S, 3, FALSE))</f>
        <v>5.375260305698918E-2</v>
      </c>
      <c r="Q48" s="1">
        <f>(Main_S[[#This Row],[ROE]]-VLOOKUP(Main_S[[#This Row],[Industry]], Mean_ROE_S, 2, FALSE))/(VLOOKUP(Main_S[[#This Row],[Industry]], Mean_ROE_S, 3, FALSE))</f>
        <v>-1.6857825852192447</v>
      </c>
      <c r="R48" s="1">
        <f>(Main_S[[#This Row],[ROA]]-VLOOKUP(Main_S[[#This Row],[Industry]], Mean_ROA_S, 2, FALSE))/(VLOOKUP(Main_S[[#This Row],[Industry]], Mean_ROA_S, 3, FALSE))</f>
        <v>-0.96678665892840721</v>
      </c>
      <c r="S48" s="1">
        <f>(Main_S[[#This Row],[A/E]]-VLOOKUP(Main_S[[#This Row],[Industry]], Mean_AE_S, 2, FALSE))/(VLOOKUP(Main_S[[#This Row],[Industry]], Mean_AE_S, 3, FALSE))</f>
        <v>0.86633322572415028</v>
      </c>
      <c r="T48" s="1">
        <f>(Main_S[[#This Row],[P/E]]-VLOOKUP(Main_S[[#This Row],[Industry]], Mean_PE_S, 2, FALSE))/(VLOOKUP(Main_S[[#This Row],[Industry]], Mean_PE_S, 3, FALSE))</f>
        <v>-0.5007418238247443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t="s">
        <v>105</v>
      </c>
      <c r="B49" t="s">
        <v>363</v>
      </c>
      <c r="C49" s="2">
        <v>943</v>
      </c>
      <c r="D49">
        <f>RTD("tos.rtd", , "LAST", Main_S[[#This Row],[Symbol]])</f>
        <v>18.16</v>
      </c>
      <c r="E49">
        <v>-0.37</v>
      </c>
      <c r="F49">
        <v>2.4</v>
      </c>
      <c r="G49">
        <v>-1.45</v>
      </c>
      <c r="H49" s="1">
        <f>IF(ISNUMBER(Main_S[[#This Row],[Free CF]]),IF(Main_S[[#This Row],[Free CF]]&lt;&gt;0,Main_S[[#This Row],[Current Price]]/Main_S[[#This Row],[Free CF]],""),"")</f>
        <v>-49.081081081081081</v>
      </c>
      <c r="I49" s="1">
        <f>IF(ISNUMBER(Main_S[[#This Row],[BVPS]]),IF(Main_S[[#This Row],[BVPS]]&lt;&gt;0,Main_S[[#This Row],[Current Price]]/Main_S[[#This Row],[BVPS]],""),"")</f>
        <v>7.5666666666666673</v>
      </c>
      <c r="J49">
        <v>-57.86</v>
      </c>
      <c r="K49">
        <v>-19.34</v>
      </c>
      <c r="L49">
        <v>2.04</v>
      </c>
      <c r="M49" s="1">
        <f>IF(ISNUMBER(Main_S[[#This Row],[EPS]]),IF(Main_S[[#This Row],[EPS]]&lt;&gt;0,Main_S[[#This Row],[Current Price]]/Main_S[[#This Row],[EPS]],""),"")</f>
        <v>-12.524137931034483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-4.2291393865585833</v>
      </c>
      <c r="P49" s="1">
        <f>(Main_S[[#This Row],[P/B]]-VLOOKUP(Main_S[[#This Row],[Industry]], Mean_PB_S, 2, FALSE))/(VLOOKUP(Main_S[[#This Row],[Industry]], Mean_PB_S, 3, FALSE))</f>
        <v>2.0735043335274881</v>
      </c>
      <c r="Q49" s="1">
        <f>(Main_S[[#This Row],[ROE]]-VLOOKUP(Main_S[[#This Row],[Industry]], Mean_ROE_S, 2, FALSE))/(VLOOKUP(Main_S[[#This Row],[Industry]], Mean_ROE_S, 3, FALSE))</f>
        <v>-1.1584668328858512</v>
      </c>
      <c r="R49" s="1">
        <f>(Main_S[[#This Row],[ROA]]-VLOOKUP(Main_S[[#This Row],[Industry]], Mean_ROA_S, 2, FALSE))/(VLOOKUP(Main_S[[#This Row],[Industry]], Mean_ROA_S, 3, FALSE))</f>
        <v>-3.4388397625294402</v>
      </c>
      <c r="S49" s="1">
        <f>(Main_S[[#This Row],[A/E]]-VLOOKUP(Main_S[[#This Row],[Industry]], Mean_AE_S, 2, FALSE))/(VLOOKUP(Main_S[[#This Row],[Industry]], Mean_AE_S, 3, FALSE))</f>
        <v>-0.44180920290321762</v>
      </c>
      <c r="T49" s="1">
        <f>(Main_S[[#This Row],[P/E]]-VLOOKUP(Main_S[[#This Row],[Industry]], Mean_PE_S, 2, FALSE))/(VLOOKUP(Main_S[[#This Row],[Industry]], Mean_PE_S, 3, FALSE))</f>
        <v>-1.0896704761860132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t="s">
        <v>105</v>
      </c>
      <c r="B50" t="s">
        <v>364</v>
      </c>
      <c r="C50" s="2">
        <v>413</v>
      </c>
      <c r="D50">
        <f>RTD("tos.rtd", , "LAST", Main_S[[#This Row],[Symbol]])</f>
        <v>5.33</v>
      </c>
      <c r="E50">
        <v>0.28999999999999998</v>
      </c>
      <c r="F50">
        <v>0.42</v>
      </c>
      <c r="G50">
        <v>-0.35</v>
      </c>
      <c r="H50" s="1">
        <f>IF(ISNUMBER(Main_S[[#This Row],[Free CF]]),IF(Main_S[[#This Row],[Free CF]]&lt;&gt;0,Main_S[[#This Row],[Current Price]]/Main_S[[#This Row],[Free CF]],""),"")</f>
        <v>18.379310344827587</v>
      </c>
      <c r="I50" s="1">
        <f>IF(ISNUMBER(Main_S[[#This Row],[BVPS]]),IF(Main_S[[#This Row],[BVPS]]&lt;&gt;0,Main_S[[#This Row],[Current Price]]/Main_S[[#This Row],[BVPS]],""),"")</f>
        <v>12.690476190476192</v>
      </c>
      <c r="J50">
        <v>-91.78</v>
      </c>
      <c r="K50">
        <v>-4.25</v>
      </c>
      <c r="L50">
        <v>10.199999999999999</v>
      </c>
      <c r="M50" s="1">
        <f>IF(ISNUMBER(Main_S[[#This Row],[EPS]]),IF(Main_S[[#This Row],[EPS]]&lt;&gt;0,Main_S[[#This Row],[Current Price]]/Main_S[[#This Row],[EPS]],""),"")</f>
        <v>-15.22857142857143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0.96471181350790303</v>
      </c>
      <c r="P50" s="1">
        <f>(Main_S[[#This Row],[P/B]]-VLOOKUP(Main_S[[#This Row],[Industry]], Mean_PB_S, 2, FALSE))/(VLOOKUP(Main_S[[#This Row],[Industry]], Mean_PB_S, 3, FALSE))</f>
        <v>4.2281087230390071</v>
      </c>
      <c r="Q50" s="1">
        <f>(Main_S[[#This Row],[ROE]]-VLOOKUP(Main_S[[#This Row],[Industry]], Mean_ROE_S, 2, FALSE))/(VLOOKUP(Main_S[[#This Row],[Industry]], Mean_ROE_S, 3, FALSE))</f>
        <v>-1.9950688122660531</v>
      </c>
      <c r="R50" s="1">
        <f>(Main_S[[#This Row],[ROA]]-VLOOKUP(Main_S[[#This Row],[Industry]], Mean_ROA_S, 2, FALSE))/(VLOOKUP(Main_S[[#This Row],[Industry]], Mean_ROA_S, 3, FALSE))</f>
        <v>-0.90808797600708013</v>
      </c>
      <c r="S50" s="1">
        <f>(Main_S[[#This Row],[A/E]]-VLOOKUP(Main_S[[#This Row],[Industry]], Mean_AE_S, 2, FALSE))/(VLOOKUP(Main_S[[#This Row],[Industry]], Mean_AE_S, 3, FALSE))</f>
        <v>5.7642618538405745</v>
      </c>
      <c r="T50" s="1">
        <f>(Main_S[[#This Row],[P/E]]-VLOOKUP(Main_S[[#This Row],[Industry]], Mean_PE_S, 2, FALSE))/(VLOOKUP(Main_S[[#This Row],[Industry]], Mean_PE_S, 3, FALSE))</f>
        <v>-1.27731033175124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t="s">
        <v>105</v>
      </c>
      <c r="B51" t="s">
        <v>365</v>
      </c>
      <c r="C51" s="2">
        <v>872</v>
      </c>
      <c r="D51">
        <f>RTD("tos.rtd", , "LAST", Main_S[[#This Row],[Symbol]])</f>
        <v>8.17</v>
      </c>
      <c r="E51">
        <v>-0.15</v>
      </c>
      <c r="F51">
        <v>6.79</v>
      </c>
      <c r="G51">
        <v>-1.1399999999999999</v>
      </c>
      <c r="H51" s="1">
        <f>IF(ISNUMBER(Main_S[[#This Row],[Free CF]]),IF(Main_S[[#This Row],[Free CF]]&lt;&gt;0,Main_S[[#This Row],[Current Price]]/Main_S[[#This Row],[Free CF]],""),"")</f>
        <v>-54.466666666666669</v>
      </c>
      <c r="I51" s="1">
        <f>IF(ISNUMBER(Main_S[[#This Row],[BVPS]]),IF(Main_S[[#This Row],[BVPS]]&lt;&gt;0,Main_S[[#This Row],[Current Price]]/Main_S[[#This Row],[BVPS]],""),"")</f>
        <v>1.2032400589101619</v>
      </c>
      <c r="J51">
        <v>-16.260000000000002</v>
      </c>
      <c r="K51">
        <v>-6.47</v>
      </c>
      <c r="L51">
        <v>1.5</v>
      </c>
      <c r="M51" s="1">
        <f>IF(ISNUMBER(Main_S[[#This Row],[EPS]]),IF(Main_S[[#This Row],[EPS]]&lt;&gt;0,Main_S[[#This Row],[Current Price]]/Main_S[[#This Row],[EPS]],""),"")</f>
        <v>-7.166666666666667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-4.6437816613143692</v>
      </c>
      <c r="P51" s="1">
        <f>(Main_S[[#This Row],[P/B]]-VLOOKUP(Main_S[[#This Row],[Industry]], Mean_PB_S, 2, FALSE))/(VLOOKUP(Main_S[[#This Row],[Industry]], Mean_PB_S, 3, FALSE))</f>
        <v>-0.60236931823401563</v>
      </c>
      <c r="Q51" s="1">
        <f>(Main_S[[#This Row],[ROE]]-VLOOKUP(Main_S[[#This Row],[Industry]], Mean_ROE_S, 2, FALSE))/(VLOOKUP(Main_S[[#This Row],[Industry]], Mean_ROE_S, 3, FALSE))</f>
        <v>-0.13244553741956616</v>
      </c>
      <c r="R51" s="1">
        <f>(Main_S[[#This Row],[ROA]]-VLOOKUP(Main_S[[#This Row],[Industry]], Mean_ROA_S, 2, FALSE))/(VLOOKUP(Main_S[[#This Row],[Industry]], Mean_ROA_S, 3, FALSE))</f>
        <v>-1.2804053362509265</v>
      </c>
      <c r="S51" s="1">
        <f>(Main_S[[#This Row],[A/E]]-VLOOKUP(Main_S[[#This Row],[Industry]], Mean_AE_S, 2, FALSE))/(VLOOKUP(Main_S[[#This Row],[Industry]], Mean_AE_S, 3, FALSE))</f>
        <v>-0.85250508165832162</v>
      </c>
      <c r="T51" s="1">
        <f>(Main_S[[#This Row],[P/E]]-VLOOKUP(Main_S[[#This Row],[Industry]], Mean_PE_S, 2, FALSE))/(VLOOKUP(Main_S[[#This Row],[Industry]], Mean_PE_S, 3, FALSE))</f>
        <v>-0.71795671980916731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t="s">
        <v>105</v>
      </c>
      <c r="B52" t="s">
        <v>366</v>
      </c>
      <c r="C52" s="2">
        <v>339</v>
      </c>
      <c r="D52">
        <f>RTD("tos.rtd", , "LAST", Main_S[[#This Row],[Symbol]])</f>
        <v>1.27</v>
      </c>
      <c r="E52">
        <v>-0.32</v>
      </c>
      <c r="F52">
        <v>-4.38</v>
      </c>
      <c r="G52">
        <v>-3.82</v>
      </c>
      <c r="H52" s="1">
        <f>IF(ISNUMBER(Main_S[[#This Row],[Free CF]]),IF(Main_S[[#This Row],[Free CF]]&lt;&gt;0,Main_S[[#This Row],[Current Price]]/Main_S[[#This Row],[Free CF]],""),"")</f>
        <v>-3.96875</v>
      </c>
      <c r="I52" s="1">
        <f>IF(ISNUMBER(Main_S[[#This Row],[BVPS]]),IF(Main_S[[#This Row],[BVPS]]&lt;&gt;0,Main_S[[#This Row],[Current Price]]/Main_S[[#This Row],[BVPS]],""),"")</f>
        <v>-0.28995433789954339</v>
      </c>
      <c r="J52">
        <v>148.13</v>
      </c>
      <c r="K52">
        <v>-1.96</v>
      </c>
      <c r="L52">
        <v>-3.04</v>
      </c>
      <c r="M52" s="1">
        <f>IF(ISNUMBER(Main_S[[#This Row],[EPS]]),IF(Main_S[[#This Row],[EPS]]&lt;&gt;0,Main_S[[#This Row],[Current Price]]/Main_S[[#This Row],[EPS]],""),"")</f>
        <v>-0.33246073298429324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-0.75589041822718461</v>
      </c>
      <c r="P52" s="1">
        <f>(Main_S[[#This Row],[P/B]]-VLOOKUP(Main_S[[#This Row],[Industry]], Mean_PB_S, 2, FALSE))/(VLOOKUP(Main_S[[#This Row],[Industry]], Mean_PB_S, 3, FALSE))</f>
        <v>-1.2302699431128643</v>
      </c>
      <c r="Q52" s="1">
        <f>(Main_S[[#This Row],[ROE]]-VLOOKUP(Main_S[[#This Row],[Industry]], Mean_ROE_S, 2, FALSE))/(VLOOKUP(Main_S[[#This Row],[Industry]], Mean_ROE_S, 3, FALSE))</f>
        <v>3.9220650578136693</v>
      </c>
      <c r="R52" s="1">
        <f>(Main_S[[#This Row],[ROA]]-VLOOKUP(Main_S[[#This Row],[Industry]], Mean_ROA_S, 2, FALSE))/(VLOOKUP(Main_S[[#This Row],[Industry]], Mean_ROA_S, 3, FALSE))</f>
        <v>-0.52403087917896862</v>
      </c>
      <c r="S52" s="1">
        <f>(Main_S[[#This Row],[A/E]]-VLOOKUP(Main_S[[#This Row],[Industry]], Mean_AE_S, 2, FALSE))/(VLOOKUP(Main_S[[#This Row],[Industry]], Mean_AE_S, 3, FALSE))</f>
        <v>-4.3053926548956767</v>
      </c>
      <c r="T52" s="1">
        <f>(Main_S[[#This Row],[P/E]]-VLOOKUP(Main_S[[#This Row],[Industry]], Mean_PE_S, 2, FALSE))/(VLOOKUP(Main_S[[#This Row],[Industry]], Mean_PE_S, 3, FALSE))</f>
        <v>-0.24378369412112946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t="s">
        <v>105</v>
      </c>
      <c r="B53" t="s">
        <v>367</v>
      </c>
      <c r="C53" s="2">
        <v>1727</v>
      </c>
      <c r="D53">
        <f>RTD("tos.rtd", , "LAST", Main_S[[#This Row],[Symbol]])</f>
        <v>6.39</v>
      </c>
      <c r="E53">
        <v>-1.61</v>
      </c>
      <c r="F53">
        <v>3.24</v>
      </c>
      <c r="G53">
        <v>0.02</v>
      </c>
      <c r="H53" s="1">
        <f>IF(ISNUMBER(Main_S[[#This Row],[Free CF]]),IF(Main_S[[#This Row],[Free CF]]&lt;&gt;0,Main_S[[#This Row],[Current Price]]/Main_S[[#This Row],[Free CF]],""),"")</f>
        <v>-3.9689440993788816</v>
      </c>
      <c r="I53" s="1">
        <f>IF(ISNUMBER(Main_S[[#This Row],[BVPS]]),IF(Main_S[[#This Row],[BVPS]]&lt;&gt;0,Main_S[[#This Row],[Current Price]]/Main_S[[#This Row],[BVPS]],""),"")</f>
        <v>1.9722222222222221</v>
      </c>
      <c r="J53">
        <v>3.7</v>
      </c>
      <c r="K53">
        <v>1.33</v>
      </c>
      <c r="L53">
        <v>5.08</v>
      </c>
      <c r="M53" s="1">
        <f>IF(ISNUMBER(Main_S[[#This Row],[EPS]]),IF(Main_S[[#This Row],[EPS]]&lt;&gt;0,Main_S[[#This Row],[Current Price]]/Main_S[[#This Row],[EPS]],""),"")</f>
        <v>319.5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-0.75590536215606818</v>
      </c>
      <c r="P53" s="1">
        <f>(Main_S[[#This Row],[P/B]]-VLOOKUP(Main_S[[#This Row],[Industry]], Mean_PB_S, 2, FALSE))/(VLOOKUP(Main_S[[#This Row],[Industry]], Mean_PB_S, 3, FALSE))</f>
        <v>-0.27900594244319032</v>
      </c>
      <c r="Q53" s="1">
        <f>(Main_S[[#This Row],[ROE]]-VLOOKUP(Main_S[[#This Row],[Industry]], Mean_ROE_S, 2, FALSE))/(VLOOKUP(Main_S[[#This Row],[Industry]], Mean_ROE_S, 3, FALSE))</f>
        <v>0.35984737261666105</v>
      </c>
      <c r="R53" s="1">
        <f>(Main_S[[#This Row],[ROA]]-VLOOKUP(Main_S[[#This Row],[Industry]], Mean_ROA_S, 2, FALSE))/(VLOOKUP(Main_S[[#This Row],[Industry]], Mean_ROA_S, 3, FALSE))</f>
        <v>2.7736740281506189E-2</v>
      </c>
      <c r="S53" s="1">
        <f>(Main_S[[#This Row],[A/E]]-VLOOKUP(Main_S[[#This Row],[Industry]], Mean_AE_S, 2, FALSE))/(VLOOKUP(Main_S[[#This Row],[Industry]], Mean_AE_S, 3, FALSE))</f>
        <v>1.8702564849032934</v>
      </c>
      <c r="T53" s="1">
        <f>(Main_S[[#This Row],[P/E]]-VLOOKUP(Main_S[[#This Row],[Industry]], Mean_PE_S, 2, FALSE))/(VLOOKUP(Main_S[[#This Row],[Industry]], Mean_PE_S, 3, FALSE))</f>
        <v>21.946932694972986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4" spans="1:26" x14ac:dyDescent="0.25">
      <c r="A54" t="s">
        <v>202</v>
      </c>
      <c r="B54" t="s">
        <v>484</v>
      </c>
      <c r="C54" s="2">
        <v>1869</v>
      </c>
      <c r="D54">
        <f>RTD("tos.rtd", , "LAST", Main_S[[#This Row],[Symbol]])</f>
        <v>62.86</v>
      </c>
      <c r="E54">
        <v>3.95</v>
      </c>
      <c r="F54">
        <v>31.29</v>
      </c>
      <c r="G54">
        <v>6.15</v>
      </c>
      <c r="H54" s="1">
        <f>IF(ISNUMBER(Main_S[[#This Row],[Free CF]]),IF(Main_S[[#This Row],[Free CF]]&lt;&gt;0,Main_S[[#This Row],[Current Price]]/Main_S[[#This Row],[Free CF]],""),"")</f>
        <v>15.913924050632911</v>
      </c>
      <c r="I54" s="1">
        <f>IF(ISNUMBER(Main_S[[#This Row],[BVPS]]),IF(Main_S[[#This Row],[BVPS]]&lt;&gt;0,Main_S[[#This Row],[Current Price]]/Main_S[[#This Row],[BVPS]],""),"")</f>
        <v>2.0089485458612977</v>
      </c>
      <c r="J54">
        <v>21.41</v>
      </c>
      <c r="K54">
        <v>10.02</v>
      </c>
      <c r="L54">
        <v>1.33</v>
      </c>
      <c r="M54" s="1">
        <f>IF(ISNUMBER(Main_S[[#This Row],[EPS]]),IF(Main_S[[#This Row],[EPS]]&lt;&gt;0,Main_S[[#This Row],[Current Price]]/Main_S[[#This Row],[EPS]],""),"")</f>
        <v>10.221138211382113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-9.7125227876091614E-3</v>
      </c>
      <c r="P54" s="1">
        <f>(Main_S[[#This Row],[P/B]]-VLOOKUP(Main_S[[#This Row],[Industry]], Mean_PB_S, 2, FALSE))/(VLOOKUP(Main_S[[#This Row],[Industry]], Mean_PB_S, 3, FALSE))</f>
        <v>0.8676204638698366</v>
      </c>
      <c r="Q54" s="1">
        <f>(Main_S[[#This Row],[ROE]]-VLOOKUP(Main_S[[#This Row],[Industry]], Mean_ROE_S, 2, FALSE))/(VLOOKUP(Main_S[[#This Row],[Industry]], Mean_ROE_S, 3, FALSE))</f>
        <v>1.6453909177286465</v>
      </c>
      <c r="R54" s="1">
        <f>(Main_S[[#This Row],[ROA]]-VLOOKUP(Main_S[[#This Row],[Industry]], Mean_ROA_S, 2, FALSE))/(VLOOKUP(Main_S[[#This Row],[Industry]], Mean_ROA_S, 3, FALSE))</f>
        <v>1.9340583954711472</v>
      </c>
      <c r="S54" s="1">
        <f>(Main_S[[#This Row],[A/E]]-VLOOKUP(Main_S[[#This Row],[Industry]], Mean_AE_S, 2, FALSE))/(VLOOKUP(Main_S[[#This Row],[Industry]], Mean_AE_S, 3, FALSE))</f>
        <v>-0.41331228952085058</v>
      </c>
      <c r="T54" s="1">
        <f>(Main_S[[#This Row],[P/E]]-VLOOKUP(Main_S[[#This Row],[Industry]], Mean_PE_S, 2, FALSE))/(VLOOKUP(Main_S[[#This Row],[Industry]], Mean_PE_S, 3, FALSE))</f>
        <v>0.23627210660322839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5" spans="1:26" x14ac:dyDescent="0.25">
      <c r="A55" t="s">
        <v>202</v>
      </c>
      <c r="B55" t="s">
        <v>485</v>
      </c>
      <c r="C55" s="2">
        <v>1279</v>
      </c>
      <c r="D55">
        <f>RTD("tos.rtd", , "LAST", Main_S[[#This Row],[Symbol]])</f>
        <v>25.14</v>
      </c>
      <c r="E55">
        <v>1.07</v>
      </c>
      <c r="F55">
        <v>14.37</v>
      </c>
      <c r="G55">
        <v>1.53</v>
      </c>
      <c r="H55" s="1">
        <f>IF(ISNUMBER(Main_S[[#This Row],[Free CF]]),IF(Main_S[[#This Row],[Free CF]]&lt;&gt;0,Main_S[[#This Row],[Current Price]]/Main_S[[#This Row],[Free CF]],""),"")</f>
        <v>23.495327102803738</v>
      </c>
      <c r="I55" s="1">
        <f>IF(ISNUMBER(Main_S[[#This Row],[BVPS]]),IF(Main_S[[#This Row],[BVPS]]&lt;&gt;0,Main_S[[#This Row],[Current Price]]/Main_S[[#This Row],[BVPS]],""),"")</f>
        <v>1.7494780793319418</v>
      </c>
      <c r="J55">
        <v>12.98</v>
      </c>
      <c r="K55">
        <v>5.64</v>
      </c>
      <c r="L55">
        <v>2.0499999999999998</v>
      </c>
      <c r="M55" s="1">
        <f>IF(ISNUMBER(Main_S[[#This Row],[EPS]]),IF(Main_S[[#This Row],[EPS]]&lt;&gt;0,Main_S[[#This Row],[Current Price]]/Main_S[[#This Row],[EPS]],""),"")</f>
        <v>16.431372549019606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0.33577666255653882</v>
      </c>
      <c r="P55" s="1">
        <f>(Main_S[[#This Row],[P/B]]-VLOOKUP(Main_S[[#This Row],[Industry]], Mean_PB_S, 2, FALSE))/(VLOOKUP(Main_S[[#This Row],[Industry]], Mean_PB_S, 3, FALSE))</f>
        <v>0.51650617201732818</v>
      </c>
      <c r="Q55" s="1">
        <f>(Main_S[[#This Row],[ROE]]-VLOOKUP(Main_S[[#This Row],[Industry]], Mean_ROE_S, 2, FALSE))/(VLOOKUP(Main_S[[#This Row],[Industry]], Mean_ROE_S, 3, FALSE))</f>
        <v>0.9691613036404102</v>
      </c>
      <c r="R55" s="1">
        <f>(Main_S[[#This Row],[ROA]]-VLOOKUP(Main_S[[#This Row],[Industry]], Mean_ROA_S, 2, FALSE))/(VLOOKUP(Main_S[[#This Row],[Industry]], Mean_ROA_S, 3, FALSE))</f>
        <v>1.0598792732539748</v>
      </c>
      <c r="S55" s="1">
        <f>(Main_S[[#This Row],[A/E]]-VLOOKUP(Main_S[[#This Row],[Industry]], Mean_AE_S, 2, FALSE))/(VLOOKUP(Main_S[[#This Row],[Industry]], Mean_AE_S, 3, FALSE))</f>
        <v>0.44510554256091567</v>
      </c>
      <c r="T55" s="1">
        <f>(Main_S[[#This Row],[P/E]]-VLOOKUP(Main_S[[#This Row],[Industry]], Mean_PE_S, 2, FALSE))/(VLOOKUP(Main_S[[#This Row],[Industry]], Mean_PE_S, 3, FALSE))</f>
        <v>0.55867493839597315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t="s">
        <v>202</v>
      </c>
      <c r="B56" t="s">
        <v>486</v>
      </c>
      <c r="C56" s="2">
        <v>737</v>
      </c>
      <c r="D56">
        <f>RTD("tos.rtd", , "LAST", Main_S[[#This Row],[Symbol]])</f>
        <v>18.149999999999999</v>
      </c>
      <c r="E56">
        <v>-0.25</v>
      </c>
      <c r="F56">
        <v>17.8</v>
      </c>
      <c r="G56">
        <v>-1.84</v>
      </c>
      <c r="H56" s="1">
        <f>IF(ISNUMBER(Main_S[[#This Row],[Free CF]]),IF(Main_S[[#This Row],[Free CF]]&lt;&gt;0,Main_S[[#This Row],[Current Price]]/Main_S[[#This Row],[Free CF]],""),"")</f>
        <v>-72.599999999999994</v>
      </c>
      <c r="I56" s="1">
        <f>IF(ISNUMBER(Main_S[[#This Row],[BVPS]]),IF(Main_S[[#This Row],[BVPS]]&lt;&gt;0,Main_S[[#This Row],[Current Price]]/Main_S[[#This Row],[BVPS]],""),"")</f>
        <v>1.0196629213483144</v>
      </c>
      <c r="J56">
        <v>-9.8699999999999992</v>
      </c>
      <c r="K56">
        <v>-4.6399999999999997</v>
      </c>
      <c r="L56">
        <v>1.18</v>
      </c>
      <c r="M56" s="1">
        <f>IF(ISNUMBER(Main_S[[#This Row],[EPS]]),IF(Main_S[[#This Row],[EPS]]&lt;&gt;0,Main_S[[#This Row],[Current Price]]/Main_S[[#This Row],[EPS]],""),"")</f>
        <v>-9.8641304347826075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-4.0433463108119279</v>
      </c>
      <c r="P56" s="1">
        <f>(Main_S[[#This Row],[P/B]]-VLOOKUP(Main_S[[#This Row],[Industry]], Mean_PB_S, 2, FALSE))/(VLOOKUP(Main_S[[#This Row],[Industry]], Mean_PB_S, 3, FALSE))</f>
        <v>-0.47107648355883769</v>
      </c>
      <c r="Q56" s="1">
        <f>(Main_S[[#This Row],[ROE]]-VLOOKUP(Main_S[[#This Row],[Industry]], Mean_ROE_S, 2, FALSE))/(VLOOKUP(Main_S[[#This Row],[Industry]], Mean_ROE_S, 3, FALSE))</f>
        <v>-0.86379797060824937</v>
      </c>
      <c r="R56" s="1">
        <f>(Main_S[[#This Row],[ROA]]-VLOOKUP(Main_S[[#This Row],[Industry]], Mean_ROA_S, 2, FALSE))/(VLOOKUP(Main_S[[#This Row],[Industry]], Mean_ROA_S, 3, FALSE))</f>
        <v>-0.99184706838815562</v>
      </c>
      <c r="S56" s="1">
        <f>(Main_S[[#This Row],[A/E]]-VLOOKUP(Main_S[[#This Row],[Industry]], Mean_AE_S, 2, FALSE))/(VLOOKUP(Main_S[[#This Row],[Industry]], Mean_AE_S, 3, FALSE))</f>
        <v>-0.59214933787121871</v>
      </c>
      <c r="T56" s="1">
        <f>(Main_S[[#This Row],[P/E]]-VLOOKUP(Main_S[[#This Row],[Industry]], Mean_PE_S, 2, FALSE))/(VLOOKUP(Main_S[[#This Row],[Industry]], Mean_PE_S, 3, FALSE))</f>
        <v>-0.80644981607786848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t="s">
        <v>202</v>
      </c>
      <c r="B57" t="s">
        <v>487</v>
      </c>
      <c r="C57" s="2">
        <v>872</v>
      </c>
      <c r="D57">
        <f>RTD("tos.rtd", , "LAST", Main_S[[#This Row],[Symbol]])</f>
        <v>15.02</v>
      </c>
      <c r="E57">
        <v>-8.94</v>
      </c>
      <c r="F57">
        <v>64.67</v>
      </c>
      <c r="G57">
        <v>-6.51</v>
      </c>
      <c r="H57" s="1">
        <f>IF(ISNUMBER(Main_S[[#This Row],[Free CF]]),IF(Main_S[[#This Row],[Free CF]]&lt;&gt;0,Main_S[[#This Row],[Current Price]]/Main_S[[#This Row],[Free CF]],""),"")</f>
        <v>-1.680089485458613</v>
      </c>
      <c r="I57" s="1">
        <f>IF(ISNUMBER(Main_S[[#This Row],[BVPS]]),IF(Main_S[[#This Row],[BVPS]]&lt;&gt;0,Main_S[[#This Row],[Current Price]]/Main_S[[#This Row],[BVPS]],""),"")</f>
        <v>0.23225606927477963</v>
      </c>
      <c r="J57">
        <v>-9.33</v>
      </c>
      <c r="K57">
        <v>-4.74</v>
      </c>
      <c r="L57">
        <v>1.46</v>
      </c>
      <c r="M57" s="1">
        <f>IF(ISNUMBER(Main_S[[#This Row],[EPS]]),IF(Main_S[[#This Row],[EPS]]&lt;&gt;0,Main_S[[#This Row],[Current Price]]/Main_S[[#This Row],[EPS]],""),"")</f>
        <v>-2.3072196620583716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-0.81148250674561395</v>
      </c>
      <c r="P57" s="1">
        <f>(Main_S[[#This Row],[P/B]]-VLOOKUP(Main_S[[#This Row],[Industry]], Mean_PB_S, 2, FALSE))/(VLOOKUP(Main_S[[#This Row],[Industry]], Mean_PB_S, 3, FALSE))</f>
        <v>-1.5365919657778242</v>
      </c>
      <c r="Q57" s="1">
        <f>(Main_S[[#This Row],[ROE]]-VLOOKUP(Main_S[[#This Row],[Industry]], Mean_ROE_S, 2, FALSE))/(VLOOKUP(Main_S[[#This Row],[Industry]], Mean_ROE_S, 3, FALSE))</f>
        <v>-0.82048077112928774</v>
      </c>
      <c r="R57" s="1">
        <f>(Main_S[[#This Row],[ROA]]-VLOOKUP(Main_S[[#This Row],[Industry]], Mean_ROA_S, 2, FALSE))/(VLOOKUP(Main_S[[#This Row],[Industry]], Mean_ROA_S, 3, FALSE))</f>
        <v>-1.0118054958360363</v>
      </c>
      <c r="S57" s="1">
        <f>(Main_S[[#This Row],[A/E]]-VLOOKUP(Main_S[[#This Row],[Industry]], Mean_AE_S, 2, FALSE))/(VLOOKUP(Main_S[[#This Row],[Industry]], Mean_AE_S, 3, FALSE))</f>
        <v>-0.25832018095053172</v>
      </c>
      <c r="T57" s="1">
        <f>(Main_S[[#This Row],[P/E]]-VLOOKUP(Main_S[[#This Row],[Industry]], Mean_PE_S, 2, FALSE))/(VLOOKUP(Main_S[[#This Row],[Industry]], Mean_PE_S, 3, FALSE))</f>
        <v>-0.41413459892645899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t="s">
        <v>202</v>
      </c>
      <c r="B58" t="s">
        <v>488</v>
      </c>
      <c r="C58" s="2">
        <v>566</v>
      </c>
      <c r="D58">
        <f>RTD("tos.rtd", , "LAST", Main_S[[#This Row],[Symbol]])</f>
        <v>19.28</v>
      </c>
      <c r="E58">
        <v>0.31</v>
      </c>
      <c r="F58">
        <v>20.53</v>
      </c>
      <c r="G58">
        <v>-0.49</v>
      </c>
      <c r="H58" s="1">
        <f>IF(ISNUMBER(Main_S[[#This Row],[Free CF]]),IF(Main_S[[#This Row],[Free CF]]&lt;&gt;0,Main_S[[#This Row],[Current Price]]/Main_S[[#This Row],[Free CF]],""),"")</f>
        <v>62.193548387096776</v>
      </c>
      <c r="I58" s="1">
        <f>IF(ISNUMBER(Main_S[[#This Row],[BVPS]]),IF(Main_S[[#This Row],[BVPS]]&lt;&gt;0,Main_S[[#This Row],[Current Price]]/Main_S[[#This Row],[BVPS]],""),"")</f>
        <v>0.93911349245007303</v>
      </c>
      <c r="J58">
        <v>-2.35</v>
      </c>
      <c r="K58">
        <v>-0.26</v>
      </c>
      <c r="L58">
        <v>1.44</v>
      </c>
      <c r="M58" s="1">
        <f>IF(ISNUMBER(Main_S[[#This Row],[EPS]]),IF(Main_S[[#This Row],[EPS]]&lt;&gt;0,Main_S[[#This Row],[Current Price]]/Main_S[[#This Row],[EPS]],""),"")</f>
        <v>-39.34693877551021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2.0992783328640829</v>
      </c>
      <c r="P58" s="1">
        <f>(Main_S[[#This Row],[P/B]]-VLOOKUP(Main_S[[#This Row],[Industry]], Mean_PB_S, 2, FALSE))/(VLOOKUP(Main_S[[#This Row],[Industry]], Mean_PB_S, 3, FALSE))</f>
        <v>-0.5800756157723308</v>
      </c>
      <c r="Q58" s="1">
        <f>(Main_S[[#This Row],[ROE]]-VLOOKUP(Main_S[[#This Row],[Industry]], Mean_ROE_S, 2, FALSE))/(VLOOKUP(Main_S[[#This Row],[Industry]], Mean_ROE_S, 3, FALSE))</f>
        <v>-0.26056585934567095</v>
      </c>
      <c r="R58" s="1">
        <f>(Main_S[[#This Row],[ROA]]-VLOOKUP(Main_S[[#This Row],[Industry]], Mean_ROA_S, 2, FALSE))/(VLOOKUP(Main_S[[#This Row],[Industry]], Mean_ROA_S, 3, FALSE))</f>
        <v>-0.11766794617098333</v>
      </c>
      <c r="S58" s="1">
        <f>(Main_S[[#This Row],[A/E]]-VLOOKUP(Main_S[[#This Row],[Industry]], Mean_AE_S, 2, FALSE))/(VLOOKUP(Main_S[[#This Row],[Industry]], Mean_AE_S, 3, FALSE))</f>
        <v>-0.28216512073058081</v>
      </c>
      <c r="T58" s="1">
        <f>(Main_S[[#This Row],[P/E]]-VLOOKUP(Main_S[[#This Row],[Industry]], Mean_PE_S, 2, FALSE))/(VLOOKUP(Main_S[[#This Row],[Industry]], Mean_PE_S, 3, FALSE))</f>
        <v>-2.3370427665959594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9" spans="1:26" x14ac:dyDescent="0.25">
      <c r="A59" t="s">
        <v>202</v>
      </c>
      <c r="B59" t="s">
        <v>489</v>
      </c>
      <c r="C59" s="2">
        <v>1647</v>
      </c>
      <c r="D59">
        <f>RTD("tos.rtd", , "LAST", Main_S[[#This Row],[Symbol]])</f>
        <v>34.6</v>
      </c>
      <c r="E59">
        <v>0.64</v>
      </c>
      <c r="F59">
        <v>18.170000000000002</v>
      </c>
      <c r="G59">
        <v>0.06</v>
      </c>
      <c r="H59" s="1">
        <f>IF(ISNUMBER(Main_S[[#This Row],[Free CF]]),IF(Main_S[[#This Row],[Free CF]]&lt;&gt;0,Main_S[[#This Row],[Current Price]]/Main_S[[#This Row],[Free CF]],""),"")</f>
        <v>54.0625</v>
      </c>
      <c r="I59" s="1">
        <f>IF(ISNUMBER(Main_S[[#This Row],[BVPS]]),IF(Main_S[[#This Row],[BVPS]]&lt;&gt;0,Main_S[[#This Row],[Current Price]]/Main_S[[#This Row],[BVPS]],""),"")</f>
        <v>1.9042377545404512</v>
      </c>
      <c r="J59">
        <v>0.31</v>
      </c>
      <c r="K59">
        <v>1.2</v>
      </c>
      <c r="L59">
        <v>1.29</v>
      </c>
      <c r="M59" s="1">
        <f>IF(ISNUMBER(Main_S[[#This Row],[EPS]]),IF(Main_S[[#This Row],[EPS]]&lt;&gt;0,Main_S[[#This Row],[Current Price]]/Main_S[[#This Row],[EPS]],""),"")</f>
        <v>576.66666666666674</v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>
        <f>(Main_S[[#This Row],[P/FCF]]-VLOOKUP(Main_S[[#This Row],[Industry]], Mean_PFCF_S, 2, FALSE))/(VLOOKUP(Main_S[[#This Row],[Industry]], Mean_PFCF_S, 3, FALSE))</f>
        <v>1.7287414726126631</v>
      </c>
      <c r="P59" s="1">
        <f>(Main_S[[#This Row],[P/B]]-VLOOKUP(Main_S[[#This Row],[Industry]], Mean_PB_S, 2, FALSE))/(VLOOKUP(Main_S[[#This Row],[Industry]], Mean_PB_S, 3, FALSE))</f>
        <v>0.72592628250228108</v>
      </c>
      <c r="Q59" s="1">
        <f>(Main_S[[#This Row],[ROE]]-VLOOKUP(Main_S[[#This Row],[Industry]], Mean_ROE_S, 2, FALSE))/(VLOOKUP(Main_S[[#This Row],[Industry]], Mean_ROE_S, 3, FALSE))</f>
        <v>-4.7188543393748193E-2</v>
      </c>
      <c r="R59" s="1">
        <f>(Main_S[[#This Row],[ROA]]-VLOOKUP(Main_S[[#This Row],[Industry]], Mean_ROA_S, 2, FALSE))/(VLOOKUP(Main_S[[#This Row],[Industry]], Mean_ROA_S, 3, FALSE))</f>
        <v>0.17372509456807411</v>
      </c>
      <c r="S59" s="1">
        <f>(Main_S[[#This Row],[A/E]]-VLOOKUP(Main_S[[#This Row],[Industry]], Mean_AE_S, 2, FALSE))/(VLOOKUP(Main_S[[#This Row],[Industry]], Mean_AE_S, 3, FALSE))</f>
        <v>-0.46100216908094876</v>
      </c>
      <c r="T59" s="1">
        <f>(Main_S[[#This Row],[P/E]]-VLOOKUP(Main_S[[#This Row],[Industry]], Mean_PE_S, 2, FALSE))/(VLOOKUP(Main_S[[#This Row],[Industry]], Mean_PE_S, 3, FALSE))</f>
        <v>29.643156372390127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t="s">
        <v>202</v>
      </c>
      <c r="B60" t="s">
        <v>490</v>
      </c>
      <c r="C60" s="2">
        <v>748</v>
      </c>
      <c r="D60">
        <f>RTD("tos.rtd", , "LAST", Main_S[[#This Row],[Symbol]])</f>
        <v>19.41</v>
      </c>
      <c r="E60">
        <v>-0.21</v>
      </c>
      <c r="F60">
        <v>6.34</v>
      </c>
      <c r="G60">
        <v>0.1</v>
      </c>
      <c r="H60" s="1">
        <f>IF(ISNUMBER(Main_S[[#This Row],[Free CF]]),IF(Main_S[[#This Row],[Free CF]]&lt;&gt;0,Main_S[[#This Row],[Current Price]]/Main_S[[#This Row],[Free CF]],""),"")</f>
        <v>-92.428571428571431</v>
      </c>
      <c r="I60" s="1">
        <f>IF(ISNUMBER(Main_S[[#This Row],[BVPS]]),IF(Main_S[[#This Row],[BVPS]]&lt;&gt;0,Main_S[[#This Row],[Current Price]]/Main_S[[#This Row],[BVPS]],""),"")</f>
        <v>3.0615141955835963</v>
      </c>
      <c r="J60">
        <v>1.71</v>
      </c>
      <c r="K60">
        <v>0.19</v>
      </c>
      <c r="L60">
        <v>1.28</v>
      </c>
      <c r="M60" s="1">
        <f>IF(ISNUMBER(Main_S[[#This Row],[EPS]]),IF(Main_S[[#This Row],[EPS]]&lt;&gt;0,Main_S[[#This Row],[Current Price]]/Main_S[[#This Row],[EPS]],""),"")</f>
        <v>194.1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-4.9469464679667219</v>
      </c>
      <c r="P60" s="1">
        <f>(Main_S[[#This Row],[P/B]]-VLOOKUP(Main_S[[#This Row],[Industry]], Mean_PB_S, 2, FALSE))/(VLOOKUP(Main_S[[#This Row],[Industry]], Mean_PB_S, 3, FALSE))</f>
        <v>2.291947662544326</v>
      </c>
      <c r="Q60" s="1">
        <f>(Main_S[[#This Row],[ROE]]-VLOOKUP(Main_S[[#This Row],[Industry]], Mean_ROE_S, 2, FALSE))/(VLOOKUP(Main_S[[#This Row],[Industry]], Mean_ROE_S, 3, FALSE))</f>
        <v>6.5115307107263765E-2</v>
      </c>
      <c r="R60" s="1">
        <f>(Main_S[[#This Row],[ROA]]-VLOOKUP(Main_S[[#This Row],[Industry]], Mean_ROA_S, 2, FALSE))/(VLOOKUP(Main_S[[#This Row],[Industry]], Mean_ROA_S, 3, FALSE))</f>
        <v>-2.7855022655520412E-2</v>
      </c>
      <c r="S60" s="1">
        <f>(Main_S[[#This Row],[A/E]]-VLOOKUP(Main_S[[#This Row],[Industry]], Mean_AE_S, 2, FALSE))/(VLOOKUP(Main_S[[#This Row],[Industry]], Mean_AE_S, 3, FALSE))</f>
        <v>-0.47292463897097331</v>
      </c>
      <c r="T60" s="1">
        <f>(Main_S[[#This Row],[P/E]]-VLOOKUP(Main_S[[#This Row],[Industry]], Mean_PE_S, 2, FALSE))/(VLOOKUP(Main_S[[#This Row],[Industry]], Mean_PE_S, 3, FALSE))</f>
        <v>9.7822992811638727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1" spans="1:26" x14ac:dyDescent="0.25">
      <c r="A61" t="s">
        <v>202</v>
      </c>
      <c r="B61" t="s">
        <v>491</v>
      </c>
      <c r="C61" s="2">
        <v>1207</v>
      </c>
      <c r="D61">
        <f>RTD("tos.rtd", , "LAST", Main_S[[#This Row],[Symbol]])</f>
        <v>20.93</v>
      </c>
      <c r="E61">
        <v>2.84</v>
      </c>
      <c r="F61">
        <v>18.100000000000001</v>
      </c>
      <c r="G61">
        <v>2.35</v>
      </c>
      <c r="H61" s="1">
        <f>IF(ISNUMBER(Main_S[[#This Row],[Free CF]]),IF(Main_S[[#This Row],[Free CF]]&lt;&gt;0,Main_S[[#This Row],[Current Price]]/Main_S[[#This Row],[Free CF]],""),"")</f>
        <v>7.369718309859155</v>
      </c>
      <c r="I61" s="1">
        <f>IF(ISNUMBER(Main_S[[#This Row],[BVPS]]),IF(Main_S[[#This Row],[BVPS]]&lt;&gt;0,Main_S[[#This Row],[Current Price]]/Main_S[[#This Row],[BVPS]],""),"")</f>
        <v>1.156353591160221</v>
      </c>
      <c r="J61">
        <v>14.29</v>
      </c>
      <c r="K61">
        <v>8.2200000000000006</v>
      </c>
      <c r="L61">
        <v>1.51</v>
      </c>
      <c r="M61" s="1">
        <f>IF(ISNUMBER(Main_S[[#This Row],[EPS]]),IF(Main_S[[#This Row],[EPS]]&lt;&gt;0,Main_S[[#This Row],[Current Price]]/Main_S[[#This Row],[EPS]],""),"")</f>
        <v>8.9063829787234035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YES</v>
      </c>
      <c r="O61" s="1">
        <f>(Main_S[[#This Row],[P/FCF]]-VLOOKUP(Main_S[[#This Row],[Industry]], Mean_PFCF_S, 2, FALSE))/(VLOOKUP(Main_S[[#This Row],[Industry]], Mean_PFCF_S, 3, FALSE))</f>
        <v>-0.39907721695823151</v>
      </c>
      <c r="P61" s="1">
        <f>(Main_S[[#This Row],[P/B]]-VLOOKUP(Main_S[[#This Row],[Industry]], Mean_PB_S, 2, FALSE))/(VLOOKUP(Main_S[[#This Row],[Industry]], Mean_PB_S, 3, FALSE))</f>
        <v>-0.28610727154864263</v>
      </c>
      <c r="Q61" s="1">
        <f>(Main_S[[#This Row],[ROE]]-VLOOKUP(Main_S[[#This Row],[Industry]], Mean_ROE_S, 2, FALSE))/(VLOOKUP(Main_S[[#This Row],[Industry]], Mean_ROE_S, 3, FALSE))</f>
        <v>1.0742456208949285</v>
      </c>
      <c r="R61" s="1">
        <f>(Main_S[[#This Row],[ROA]]-VLOOKUP(Main_S[[#This Row],[Industry]], Mean_ROA_S, 2, FALSE))/(VLOOKUP(Main_S[[#This Row],[Industry]], Mean_ROA_S, 3, FALSE))</f>
        <v>1.5748067014092957</v>
      </c>
      <c r="S61" s="1">
        <f>(Main_S[[#This Row],[A/E]]-VLOOKUP(Main_S[[#This Row],[Industry]], Mean_AE_S, 2, FALSE))/(VLOOKUP(Main_S[[#This Row],[Industry]], Mean_AE_S, 3, FALSE))</f>
        <v>-0.19870783150040902</v>
      </c>
      <c r="T61" s="1">
        <f>(Main_S[[#This Row],[P/E]]-VLOOKUP(Main_S[[#This Row],[Industry]], Mean_PE_S, 2, FALSE))/(VLOOKUP(Main_S[[#This Row],[Industry]], Mean_PE_S, 3, FALSE))</f>
        <v>0.16801690284150519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2" spans="1:26" x14ac:dyDescent="0.25">
      <c r="A62" t="s">
        <v>202</v>
      </c>
      <c r="B62" t="s">
        <v>492</v>
      </c>
      <c r="C62" s="2">
        <v>872</v>
      </c>
      <c r="D62">
        <f>RTD("tos.rtd", , "LAST", Main_S[[#This Row],[Symbol]])</f>
        <v>18.149999999999999</v>
      </c>
      <c r="E62">
        <v>-7.56</v>
      </c>
      <c r="F62">
        <v>11.35</v>
      </c>
      <c r="G62">
        <v>-31.64</v>
      </c>
      <c r="H62" s="1">
        <f>IF(ISNUMBER(Main_S[[#This Row],[Free CF]]),IF(Main_S[[#This Row],[Free CF]]&lt;&gt;0,Main_S[[#This Row],[Current Price]]/Main_S[[#This Row],[Free CF]],""),"")</f>
        <v>-2.4007936507936507</v>
      </c>
      <c r="I62" s="1">
        <f>IF(ISNUMBER(Main_S[[#This Row],[BVPS]]),IF(Main_S[[#This Row],[BVPS]]&lt;&gt;0,Main_S[[#This Row],[Current Price]]/Main_S[[#This Row],[BVPS]],""),"")</f>
        <v>1.5991189427312775</v>
      </c>
      <c r="J62">
        <v>-117.67</v>
      </c>
      <c r="K62">
        <v>-24.41</v>
      </c>
      <c r="L62">
        <v>4</v>
      </c>
      <c r="M62" s="1">
        <f>IF(ISNUMBER(Main_S[[#This Row],[EPS]]),IF(Main_S[[#This Row],[EPS]]&lt;&gt;0,Main_S[[#This Row],[Current Price]]/Main_S[[#This Row],[EPS]],""),"")</f>
        <v>-0.57364096080910232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-0.84432543743302024</v>
      </c>
      <c r="P62" s="1">
        <f>(Main_S[[#This Row],[P/B]]-VLOOKUP(Main_S[[#This Row],[Industry]], Mean_PB_S, 2, FALSE))/(VLOOKUP(Main_S[[#This Row],[Industry]], Mean_PB_S, 3, FALSE))</f>
        <v>0.31304085098386897</v>
      </c>
      <c r="Q62" s="1">
        <f>(Main_S[[#This Row],[ROE]]-VLOOKUP(Main_S[[#This Row],[Industry]], Mean_ROE_S, 2, FALSE))/(VLOOKUP(Main_S[[#This Row],[Industry]], Mean_ROE_S, 3, FALSE))</f>
        <v>-9.5111944591861715</v>
      </c>
      <c r="R62" s="1">
        <f>(Main_S[[#This Row],[ROA]]-VLOOKUP(Main_S[[#This Row],[Industry]], Mean_ROA_S, 2, FALSE))/(VLOOKUP(Main_S[[#This Row],[Industry]], Mean_ROA_S, 3, FALSE))</f>
        <v>-4.9376281748341597</v>
      </c>
      <c r="S62" s="1">
        <f>(Main_S[[#This Row],[A/E]]-VLOOKUP(Main_S[[#This Row],[Industry]], Mean_AE_S, 2, FALSE))/(VLOOKUP(Main_S[[#This Row],[Industry]], Mean_AE_S, 3, FALSE))</f>
        <v>2.7699871711157003</v>
      </c>
      <c r="T62" s="1">
        <f>(Main_S[[#This Row],[P/E]]-VLOOKUP(Main_S[[#This Row],[Industry]], Mean_PE_S, 2, FALSE))/(VLOOKUP(Main_S[[#This Row],[Industry]], Mean_PE_S, 3, FALSE))</f>
        <v>-0.32413627486466928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3" spans="1:26" x14ac:dyDescent="0.25">
      <c r="A63" t="s">
        <v>202</v>
      </c>
      <c r="B63" t="s">
        <v>493</v>
      </c>
      <c r="C63" s="2">
        <v>874</v>
      </c>
      <c r="D63">
        <f>RTD("tos.rtd", , "LAST", Main_S[[#This Row],[Symbol]])</f>
        <v>22.66</v>
      </c>
      <c r="E63">
        <v>0.56999999999999995</v>
      </c>
      <c r="F63">
        <v>19.329999999999998</v>
      </c>
      <c r="G63">
        <v>0.62</v>
      </c>
      <c r="H63" s="1">
        <f>IF(ISNUMBER(Main_S[[#This Row],[Free CF]]),IF(Main_S[[#This Row],[Free CF]]&lt;&gt;0,Main_S[[#This Row],[Current Price]]/Main_S[[#This Row],[Free CF]],""),"")</f>
        <v>39.754385964912281</v>
      </c>
      <c r="I63" s="1">
        <f>IF(ISNUMBER(Main_S[[#This Row],[BVPS]]),IF(Main_S[[#This Row],[BVPS]]&lt;&gt;0,Main_S[[#This Row],[Current Price]]/Main_S[[#This Row],[BVPS]],""),"")</f>
        <v>1.1722710812209003</v>
      </c>
      <c r="J63">
        <v>4.29</v>
      </c>
      <c r="K63">
        <v>2.9</v>
      </c>
      <c r="L63">
        <v>2.17</v>
      </c>
      <c r="M63" s="1">
        <f>IF(ISNUMBER(Main_S[[#This Row],[EPS]]),IF(Main_S[[#This Row],[EPS]]&lt;&gt;0,Main_S[[#This Row],[Current Price]]/Main_S[[#This Row],[EPS]],""),"")</f>
        <v>36.548387096774192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1.0767119435430823</v>
      </c>
      <c r="P63" s="1">
        <f>(Main_S[[#This Row],[P/B]]-VLOOKUP(Main_S[[#This Row],[Industry]], Mean_PB_S, 2, FALSE))/(VLOOKUP(Main_S[[#This Row],[Industry]], Mean_PB_S, 3, FALSE))</f>
        <v>-0.2645677941449881</v>
      </c>
      <c r="Q63" s="1">
        <f>(Main_S[[#This Row],[ROE]]-VLOOKUP(Main_S[[#This Row],[Industry]], Mean_ROE_S, 2, FALSE))/(VLOOKUP(Main_S[[#This Row],[Industry]], Mean_ROE_S, 3, FALSE))</f>
        <v>0.27207526017341438</v>
      </c>
      <c r="R63" s="1">
        <f>(Main_S[[#This Row],[ROA]]-VLOOKUP(Main_S[[#This Row],[Industry]], Mean_ROA_S, 2, FALSE))/(VLOOKUP(Main_S[[#This Row],[Industry]], Mean_ROA_S, 3, FALSE))</f>
        <v>0.51301836118204514</v>
      </c>
      <c r="S63" s="1">
        <f>(Main_S[[#This Row],[A/E]]-VLOOKUP(Main_S[[#This Row],[Industry]], Mean_AE_S, 2, FALSE))/(VLOOKUP(Main_S[[#This Row],[Industry]], Mean_AE_S, 3, FALSE))</f>
        <v>0.58817518124121027</v>
      </c>
      <c r="T63" s="1">
        <f>(Main_S[[#This Row],[P/E]]-VLOOKUP(Main_S[[#This Row],[Industry]], Mean_PE_S, 2, FALSE))/(VLOOKUP(Main_S[[#This Row],[Industry]], Mean_PE_S, 3, FALSE))</f>
        <v>1.6030449419728836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t="s">
        <v>202</v>
      </c>
      <c r="B64" t="s">
        <v>494</v>
      </c>
      <c r="C64" s="2">
        <v>1094</v>
      </c>
      <c r="D64">
        <f>RTD("tos.rtd", , "LAST", Main_S[[#This Row],[Symbol]])</f>
        <v>21.2</v>
      </c>
      <c r="E64">
        <v>0.81</v>
      </c>
      <c r="F64">
        <v>13.56</v>
      </c>
      <c r="G64">
        <v>1.23</v>
      </c>
      <c r="H64" s="1">
        <f>IF(ISNUMBER(Main_S[[#This Row],[Free CF]]),IF(Main_S[[#This Row],[Free CF]]&lt;&gt;0,Main_S[[#This Row],[Current Price]]/Main_S[[#This Row],[Free CF]],""),"")</f>
        <v>26.172839506172838</v>
      </c>
      <c r="I64" s="1">
        <f>IF(ISNUMBER(Main_S[[#This Row],[BVPS]]),IF(Main_S[[#This Row],[BVPS]]&lt;&gt;0,Main_S[[#This Row],[Current Price]]/Main_S[[#This Row],[BVPS]],""),"")</f>
        <v>1.5634218289085544</v>
      </c>
      <c r="J64">
        <v>10.220000000000001</v>
      </c>
      <c r="K64">
        <v>3.72</v>
      </c>
      <c r="L64">
        <v>1.62</v>
      </c>
      <c r="M64" s="1">
        <f>IF(ISNUMBER(Main_S[[#This Row],[EPS]]),IF(Main_S[[#This Row],[EPS]]&lt;&gt;0,Main_S[[#This Row],[Current Price]]/Main_S[[#This Row],[EPS]],""),"")</f>
        <v>17.235772357723576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0.45779254439571454</v>
      </c>
      <c r="P64" s="1">
        <f>(Main_S[[#This Row],[P/B]]-VLOOKUP(Main_S[[#This Row],[Industry]], Mean_PB_S, 2, FALSE))/(VLOOKUP(Main_S[[#This Row],[Industry]], Mean_PB_S, 3, FALSE))</f>
        <v>0.26473567387183039</v>
      </c>
      <c r="Q64" s="1">
        <f>(Main_S[[#This Row],[ROE]]-VLOOKUP(Main_S[[#This Row],[Industry]], Mean_ROE_S, 2, FALSE))/(VLOOKUP(Main_S[[#This Row],[Industry]], Mean_ROE_S, 3, FALSE))</f>
        <v>0.74776228408127232</v>
      </c>
      <c r="R64" s="1">
        <f>(Main_S[[#This Row],[ROA]]-VLOOKUP(Main_S[[#This Row],[Industry]], Mean_ROA_S, 2, FALSE))/(VLOOKUP(Main_S[[#This Row],[Industry]], Mean_ROA_S, 3, FALSE))</f>
        <v>0.6766774662546664</v>
      </c>
      <c r="S64" s="1">
        <f>(Main_S[[#This Row],[A/E]]-VLOOKUP(Main_S[[#This Row],[Industry]], Mean_AE_S, 2, FALSE))/(VLOOKUP(Main_S[[#This Row],[Industry]], Mean_AE_S, 3, FALSE))</f>
        <v>-6.7560662710139011E-2</v>
      </c>
      <c r="T64" s="1">
        <f>(Main_S[[#This Row],[P/E]]-VLOOKUP(Main_S[[#This Row],[Industry]], Mean_PE_S, 2, FALSE))/(VLOOKUP(Main_S[[#This Row],[Industry]], Mean_PE_S, 3, FALSE))</f>
        <v>0.6004351622651356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t="s">
        <v>202</v>
      </c>
      <c r="B65" t="s">
        <v>495</v>
      </c>
      <c r="C65" s="2">
        <v>590</v>
      </c>
      <c r="D65">
        <f>RTD("tos.rtd", , "LAST", Main_S[[#This Row],[Symbol]])</f>
        <v>24.79</v>
      </c>
      <c r="E65">
        <v>1.07</v>
      </c>
      <c r="F65">
        <v>30.88</v>
      </c>
      <c r="G65">
        <v>-0.8</v>
      </c>
      <c r="H65" s="1">
        <f>IF(ISNUMBER(Main_S[[#This Row],[Free CF]]),IF(Main_S[[#This Row],[Free CF]]&lt;&gt;0,Main_S[[#This Row],[Current Price]]/Main_S[[#This Row],[Free CF]],""),"")</f>
        <v>23.168224299065418</v>
      </c>
      <c r="I65" s="1">
        <f>IF(ISNUMBER(Main_S[[#This Row],[BVPS]]),IF(Main_S[[#This Row],[BVPS]]&lt;&gt;0,Main_S[[#This Row],[Current Price]]/Main_S[[#This Row],[BVPS]],""),"")</f>
        <v>0.80278497409326421</v>
      </c>
      <c r="J65">
        <v>-2.57</v>
      </c>
      <c r="K65">
        <v>-0.98</v>
      </c>
      <c r="L65">
        <v>1.26</v>
      </c>
      <c r="M65" s="1">
        <f>IF(ISNUMBER(Main_S[[#This Row],[EPS]]),IF(Main_S[[#This Row],[EPS]]&lt;&gt;0,Main_S[[#This Row],[Current Price]]/Main_S[[#This Row],[EPS]],""),"")</f>
        <v>-30.987499999999997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0.32087038723920425</v>
      </c>
      <c r="P65" s="1">
        <f>(Main_S[[#This Row],[P/B]]-VLOOKUP(Main_S[[#This Row],[Industry]], Mean_PB_S, 2, FALSE))/(VLOOKUP(Main_S[[#This Row],[Industry]], Mean_PB_S, 3, FALSE))</f>
        <v>-0.76455476602944517</v>
      </c>
      <c r="Q65" s="1">
        <f>(Main_S[[#This Row],[ROE]]-VLOOKUP(Main_S[[#This Row],[Industry]], Mean_ROE_S, 2, FALSE))/(VLOOKUP(Main_S[[#This Row],[Industry]], Mean_ROE_S, 3, FALSE))</f>
        <v>-0.27821360728154421</v>
      </c>
      <c r="R65" s="1">
        <f>(Main_S[[#This Row],[ROA]]-VLOOKUP(Main_S[[#This Row],[Industry]], Mean_ROA_S, 2, FALSE))/(VLOOKUP(Main_S[[#This Row],[Industry]], Mean_ROA_S, 3, FALSE))</f>
        <v>-0.26136862379572401</v>
      </c>
      <c r="S65" s="1">
        <f>(Main_S[[#This Row],[A/E]]-VLOOKUP(Main_S[[#This Row],[Industry]], Mean_AE_S, 2, FALSE))/(VLOOKUP(Main_S[[#This Row],[Industry]], Mean_AE_S, 3, FALSE))</f>
        <v>-0.4967695787510224</v>
      </c>
      <c r="T65" s="1">
        <f>(Main_S[[#This Row],[P/E]]-VLOOKUP(Main_S[[#This Row],[Industry]], Mean_PE_S, 2, FALSE))/(VLOOKUP(Main_S[[#This Row],[Industry]], Mean_PE_S, 3, FALSE))</f>
        <v>-1.9030644999323791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t="s">
        <v>202</v>
      </c>
      <c r="B66" t="s">
        <v>496</v>
      </c>
      <c r="C66" s="2">
        <v>256</v>
      </c>
      <c r="D66">
        <f>RTD("tos.rtd", , "LAST", Main_S[[#This Row],[Symbol]])</f>
        <v>2.83</v>
      </c>
      <c r="E66">
        <v>-3.11</v>
      </c>
      <c r="F66">
        <v>-16.309999999999999</v>
      </c>
      <c r="G66">
        <v>-3.5</v>
      </c>
      <c r="H66" s="1">
        <f>IF(ISNUMBER(Main_S[[#This Row],[Free CF]]),IF(Main_S[[#This Row],[Free CF]]&lt;&gt;0,Main_S[[#This Row],[Current Price]]/Main_S[[#This Row],[Free CF]],""),"")</f>
        <v>-0.909967845659164</v>
      </c>
      <c r="I66" s="1">
        <f>IF(ISNUMBER(Main_S[[#This Row],[BVPS]]),IF(Main_S[[#This Row],[BVPS]]&lt;&gt;0,Main_S[[#This Row],[Current Price]]/Main_S[[#This Row],[BVPS]],""),"")</f>
        <v>-0.17351318209687311</v>
      </c>
      <c r="J66">
        <v>74.78</v>
      </c>
      <c r="K66">
        <v>-60.05</v>
      </c>
      <c r="L66">
        <v>-0.28000000000000003</v>
      </c>
      <c r="M66" s="1">
        <f>IF(ISNUMBER(Main_S[[#This Row],[EPS]]),IF(Main_S[[#This Row],[EPS]]&lt;&gt;0,Main_S[[#This Row],[Current Price]]/Main_S[[#This Row],[EPS]],""),"")</f>
        <v>-0.80857142857142861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-0.77638759144836877</v>
      </c>
      <c r="P66" s="1">
        <f>(Main_S[[#This Row],[P/B]]-VLOOKUP(Main_S[[#This Row],[Industry]], Mean_PB_S, 2, FALSE))/(VLOOKUP(Main_S[[#This Row],[Industry]], Mean_PB_S, 3, FALSE))</f>
        <v>-2.0856771285578493</v>
      </c>
      <c r="Q66" s="1">
        <f>(Main_S[[#This Row],[ROE]]-VLOOKUP(Main_S[[#This Row],[Industry]], Mean_ROE_S, 2, FALSE))/(VLOOKUP(Main_S[[#This Row],[Industry]], Mean_ROE_S, 3, FALSE))</f>
        <v>5.9265741328993666</v>
      </c>
      <c r="R66" s="1">
        <f>(Main_S[[#This Row],[ROA]]-VLOOKUP(Main_S[[#This Row],[Industry]], Mean_ROA_S, 2, FALSE))/(VLOOKUP(Main_S[[#This Row],[Industry]], Mean_ROA_S, 3, FALSE))</f>
        <v>-12.050811717258822</v>
      </c>
      <c r="S66" s="1">
        <f>(Main_S[[#This Row],[A/E]]-VLOOKUP(Main_S[[#This Row],[Industry]], Mean_AE_S, 2, FALSE))/(VLOOKUP(Main_S[[#This Row],[Industry]], Mean_AE_S, 3, FALSE))</f>
        <v>-2.3328299418148011</v>
      </c>
      <c r="T66" s="1">
        <f>(Main_S[[#This Row],[P/E]]-VLOOKUP(Main_S[[#This Row],[Industry]], Mean_PE_S, 2, FALSE))/(VLOOKUP(Main_S[[#This Row],[Industry]], Mean_PE_S, 3, FALSE))</f>
        <v>-0.33633263396531188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7" spans="1:26" x14ac:dyDescent="0.25">
      <c r="A67" t="s">
        <v>202</v>
      </c>
      <c r="B67" t="s">
        <v>497</v>
      </c>
      <c r="C67" s="2">
        <v>505</v>
      </c>
      <c r="D67">
        <f>RTD("tos.rtd", , "LAST", Main_S[[#This Row],[Symbol]])</f>
        <v>22.17</v>
      </c>
      <c r="E67">
        <v>-0.01</v>
      </c>
      <c r="F67">
        <v>11.28</v>
      </c>
      <c r="G67">
        <v>-0.37</v>
      </c>
      <c r="H67" s="1">
        <f>IF(ISNUMBER(Main_S[[#This Row],[Free CF]]),IF(Main_S[[#This Row],[Free CF]]&lt;&gt;0,Main_S[[#This Row],[Current Price]]/Main_S[[#This Row],[Free CF]],""),"")</f>
        <v>-2217</v>
      </c>
      <c r="I67" s="1">
        <f>IF(ISNUMBER(Main_S[[#This Row],[BVPS]]),IF(Main_S[[#This Row],[BVPS]]&lt;&gt;0,Main_S[[#This Row],[Current Price]]/Main_S[[#This Row],[BVPS]],""),"")</f>
        <v>1.9654255319148939</v>
      </c>
      <c r="J67">
        <v>-3.31</v>
      </c>
      <c r="K67">
        <v>-1.54</v>
      </c>
      <c r="L67">
        <v>1.1599999999999999</v>
      </c>
      <c r="M67" s="1">
        <f>IF(ISNUMBER(Main_S[[#This Row],[EPS]]),IF(Main_S[[#This Row],[EPS]]&lt;&gt;0,Main_S[[#This Row],[Current Price]]/Main_S[[#This Row],[EPS]],""),"")</f>
        <v>-59.918918918918926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-101.76496907031607</v>
      </c>
      <c r="P67" s="1">
        <f>(Main_S[[#This Row],[P/B]]-VLOOKUP(Main_S[[#This Row],[Industry]], Mean_PB_S, 2, FALSE))/(VLOOKUP(Main_S[[#This Row],[Industry]], Mean_PB_S, 3, FALSE))</f>
        <v>0.80872531319823027</v>
      </c>
      <c r="Q67" s="1">
        <f>(Main_S[[#This Row],[ROE]]-VLOOKUP(Main_S[[#This Row],[Industry]], Mean_ROE_S, 2, FALSE))/(VLOOKUP(Main_S[[#This Row],[Industry]], Mean_ROE_S, 3, FALSE))</f>
        <v>-0.33757421397493625</v>
      </c>
      <c r="R67" s="1">
        <f>(Main_S[[#This Row],[ROA]]-VLOOKUP(Main_S[[#This Row],[Industry]], Mean_ROA_S, 2, FALSE))/(VLOOKUP(Main_S[[#This Row],[Industry]], Mean_ROA_S, 3, FALSE))</f>
        <v>-0.37313581750385566</v>
      </c>
      <c r="S67" s="1">
        <f>(Main_S[[#This Row],[A/E]]-VLOOKUP(Main_S[[#This Row],[Industry]], Mean_AE_S, 2, FALSE))/(VLOOKUP(Main_S[[#This Row],[Industry]], Mean_AE_S, 3, FALSE))</f>
        <v>-0.61599427765126791</v>
      </c>
      <c r="T67" s="1">
        <f>(Main_S[[#This Row],[P/E]]-VLOOKUP(Main_S[[#This Row],[Industry]], Mean_PE_S, 2, FALSE))/(VLOOKUP(Main_S[[#This Row],[Industry]], Mean_PE_S, 3, FALSE))</f>
        <v>-3.4050322003638032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t="s">
        <v>202</v>
      </c>
      <c r="B68" t="s">
        <v>498</v>
      </c>
      <c r="C68" s="2">
        <v>601</v>
      </c>
      <c r="D68">
        <f>RTD("tos.rtd", , "LAST", Main_S[[#This Row],[Symbol]])</f>
        <v>10.15</v>
      </c>
      <c r="E68">
        <v>-41.37</v>
      </c>
      <c r="F68">
        <v>42.05</v>
      </c>
      <c r="G68">
        <v>0.54</v>
      </c>
      <c r="H68" s="1">
        <f>IF(ISNUMBER(Main_S[[#This Row],[Free CF]]),IF(Main_S[[#This Row],[Free CF]]&lt;&gt;0,Main_S[[#This Row],[Current Price]]/Main_S[[#This Row],[Free CF]],""),"")</f>
        <v>-0.24534686971235198</v>
      </c>
      <c r="I68" s="1">
        <f>IF(ISNUMBER(Main_S[[#This Row],[BVPS]]),IF(Main_S[[#This Row],[BVPS]]&lt;&gt;0,Main_S[[#This Row],[Current Price]]/Main_S[[#This Row],[BVPS]],""),"")</f>
        <v>0.24137931034482762</v>
      </c>
      <c r="J68">
        <v>-1.98</v>
      </c>
      <c r="K68">
        <v>0.44</v>
      </c>
      <c r="L68">
        <v>4.8</v>
      </c>
      <c r="M68" s="1">
        <f>IF(ISNUMBER(Main_S[[#This Row],[EPS]]),IF(Main_S[[#This Row],[EPS]]&lt;&gt;0,Main_S[[#This Row],[Current Price]]/Main_S[[#This Row],[EPS]],""),"")</f>
        <v>18.796296296296294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-0.74610040608671624</v>
      </c>
      <c r="P68" s="1">
        <f>(Main_S[[#This Row],[P/B]]-VLOOKUP(Main_S[[#This Row],[Industry]], Mean_PB_S, 2, FALSE))/(VLOOKUP(Main_S[[#This Row],[Industry]], Mean_PB_S, 3, FALSE))</f>
        <v>-1.5242464361668571</v>
      </c>
      <c r="Q68" s="1">
        <f>(Main_S[[#This Row],[ROE]]-VLOOKUP(Main_S[[#This Row],[Industry]], Mean_ROE_S, 2, FALSE))/(VLOOKUP(Main_S[[#This Row],[Industry]], Mean_ROE_S, 3, FALSE))</f>
        <v>-0.2308855559989749</v>
      </c>
      <c r="R68" s="1">
        <f>(Main_S[[#This Row],[ROA]]-VLOOKUP(Main_S[[#This Row],[Industry]], Mean_ROA_S, 2, FALSE))/(VLOOKUP(Main_S[[#This Row],[Industry]], Mean_ROA_S, 3, FALSE))</f>
        <v>2.2041045964181206E-2</v>
      </c>
      <c r="S68" s="1">
        <f>(Main_S[[#This Row],[A/E]]-VLOOKUP(Main_S[[#This Row],[Industry]], Mean_AE_S, 2, FALSE))/(VLOOKUP(Main_S[[#This Row],[Industry]], Mean_AE_S, 3, FALSE))</f>
        <v>3.723784762317663</v>
      </c>
      <c r="T68" s="1">
        <f>(Main_S[[#This Row],[P/E]]-VLOOKUP(Main_S[[#This Row],[Industry]], Mean_PE_S, 2, FALSE))/(VLOOKUP(Main_S[[#This Row],[Industry]], Mean_PE_S, 3, FALSE))</f>
        <v>0.6814493896715057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t="s">
        <v>202</v>
      </c>
      <c r="B69" t="s">
        <v>499</v>
      </c>
      <c r="C69" s="2">
        <v>1822</v>
      </c>
      <c r="D69">
        <f>RTD("tos.rtd", , "LAST", Main_S[[#This Row],[Symbol]])</f>
        <v>48.55</v>
      </c>
      <c r="E69">
        <v>1</v>
      </c>
      <c r="F69">
        <v>38.75</v>
      </c>
      <c r="G69">
        <v>0.95</v>
      </c>
      <c r="H69" s="1">
        <f>IF(ISNUMBER(Main_S[[#This Row],[Free CF]]),IF(Main_S[[#This Row],[Free CF]]&lt;&gt;0,Main_S[[#This Row],[Current Price]]/Main_S[[#This Row],[Free CF]],""),"")</f>
        <v>48.55</v>
      </c>
      <c r="I69" s="1">
        <f>IF(ISNUMBER(Main_S[[#This Row],[BVPS]]),IF(Main_S[[#This Row],[BVPS]]&lt;&gt;0,Main_S[[#This Row],[Current Price]]/Main_S[[#This Row],[BVPS]],""),"")</f>
        <v>1.2529032258064516</v>
      </c>
      <c r="J69">
        <v>2.76</v>
      </c>
      <c r="K69">
        <v>1.35</v>
      </c>
      <c r="L69">
        <v>1.33</v>
      </c>
      <c r="M69" s="1">
        <f>IF(ISNUMBER(Main_S[[#This Row],[EPS]]),IF(Main_S[[#This Row],[EPS]]&lt;&gt;0,Main_S[[#This Row],[Current Price]]/Main_S[[#This Row],[EPS]],""),"")</f>
        <v>51.105263157894733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1.477533467827284</v>
      </c>
      <c r="P69" s="1">
        <f>(Main_S[[#This Row],[P/B]]-VLOOKUP(Main_S[[#This Row],[Industry]], Mean_PB_S, 2, FALSE))/(VLOOKUP(Main_S[[#This Row],[Industry]], Mean_PB_S, 3, FALSE))</f>
        <v>-0.15545673142794519</v>
      </c>
      <c r="Q69" s="1">
        <f>(Main_S[[#This Row],[ROE]]-VLOOKUP(Main_S[[#This Row],[Industry]], Mean_ROE_S, 2, FALSE))/(VLOOKUP(Main_S[[#This Row],[Industry]], Mean_ROE_S, 3, FALSE))</f>
        <v>0.14934319498302273</v>
      </c>
      <c r="R69" s="1">
        <f>(Main_S[[#This Row],[ROA]]-VLOOKUP(Main_S[[#This Row],[Industry]], Mean_ROA_S, 2, FALSE))/(VLOOKUP(Main_S[[#This Row],[Industry]], Mean_ROA_S, 3, FALSE))</f>
        <v>0.2036627357398951</v>
      </c>
      <c r="S69" s="1">
        <f>(Main_S[[#This Row],[A/E]]-VLOOKUP(Main_S[[#This Row],[Industry]], Mean_AE_S, 2, FALSE))/(VLOOKUP(Main_S[[#This Row],[Industry]], Mean_AE_S, 3, FALSE))</f>
        <v>-0.41331228952085058</v>
      </c>
      <c r="T69" s="1">
        <f>(Main_S[[#This Row],[P/E]]-VLOOKUP(Main_S[[#This Row],[Industry]], Mean_PE_S, 2, FALSE))/(VLOOKUP(Main_S[[#This Row],[Industry]], Mean_PE_S, 3, FALSE))</f>
        <v>2.3587616845308892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t="s">
        <v>202</v>
      </c>
      <c r="B70" t="s">
        <v>500</v>
      </c>
      <c r="C70" s="2">
        <v>1307</v>
      </c>
      <c r="D70">
        <f>RTD("tos.rtd", , "LAST", Main_S[[#This Row],[Symbol]])</f>
        <v>8.41</v>
      </c>
      <c r="E70">
        <v>0.59</v>
      </c>
      <c r="F70">
        <v>5.09</v>
      </c>
      <c r="G70">
        <v>0.46</v>
      </c>
      <c r="H70" s="1">
        <f>IF(ISNUMBER(Main_S[[#This Row],[Free CF]]),IF(Main_S[[#This Row],[Free CF]]&lt;&gt;0,Main_S[[#This Row],[Current Price]]/Main_S[[#This Row],[Free CF]],""),"")</f>
        <v>14.254237288135593</v>
      </c>
      <c r="I70" s="1">
        <f>IF(ISNUMBER(Main_S[[#This Row],[BVPS]]),IF(Main_S[[#This Row],[BVPS]]&lt;&gt;0,Main_S[[#This Row],[Current Price]]/Main_S[[#This Row],[BVPS]],""),"")</f>
        <v>1.6522593320235757</v>
      </c>
      <c r="J70">
        <v>9.06</v>
      </c>
      <c r="K70">
        <v>2.6</v>
      </c>
      <c r="L70">
        <v>1.84</v>
      </c>
      <c r="M70" s="1">
        <f>IF(ISNUMBER(Main_S[[#This Row],[EPS]]),IF(Main_S[[#This Row],[EPS]]&lt;&gt;0,Main_S[[#This Row],[Current Price]]/Main_S[[#This Row],[EPS]],""),"")</f>
        <v>18.282608695652172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-8.5345466130131831E-2</v>
      </c>
      <c r="P70" s="1">
        <f>(Main_S[[#This Row],[P/B]]-VLOOKUP(Main_S[[#This Row],[Industry]], Mean_PB_S, 2, FALSE))/(VLOOKUP(Main_S[[#This Row],[Industry]], Mean_PB_S, 3, FALSE))</f>
        <v>0.38495019159092769</v>
      </c>
      <c r="Q70" s="1">
        <f>(Main_S[[#This Row],[ROE]]-VLOOKUP(Main_S[[#This Row],[Industry]], Mean_ROE_S, 2, FALSE))/(VLOOKUP(Main_S[[#This Row],[Industry]], Mean_ROE_S, 3, FALSE))</f>
        <v>0.65471052223757664</v>
      </c>
      <c r="R70" s="1">
        <f>(Main_S[[#This Row],[ROA]]-VLOOKUP(Main_S[[#This Row],[Industry]], Mean_ROA_S, 2, FALSE))/(VLOOKUP(Main_S[[#This Row],[Industry]], Mean_ROA_S, 3, FALSE))</f>
        <v>0.45314307883840316</v>
      </c>
      <c r="S70" s="1">
        <f>(Main_S[[#This Row],[A/E]]-VLOOKUP(Main_S[[#This Row],[Industry]], Mean_AE_S, 2, FALSE))/(VLOOKUP(Main_S[[#This Row],[Industry]], Mean_AE_S, 3, FALSE))</f>
        <v>0.19473367487040075</v>
      </c>
      <c r="T70" s="1">
        <f>(Main_S[[#This Row],[P/E]]-VLOOKUP(Main_S[[#This Row],[Industry]], Mean_PE_S, 2, FALSE))/(VLOOKUP(Main_S[[#This Row],[Industry]], Mean_PE_S, 3, FALSE))</f>
        <v>0.65478142062229117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1" spans="1:26" x14ac:dyDescent="0.25">
      <c r="A71" t="s">
        <v>202</v>
      </c>
      <c r="B71" t="s">
        <v>501</v>
      </c>
      <c r="C71" s="2">
        <v>613</v>
      </c>
      <c r="D71">
        <f>RTD("tos.rtd", , "LAST", Main_S[[#This Row],[Symbol]])</f>
        <v>18.16</v>
      </c>
      <c r="E71">
        <v>0.04</v>
      </c>
      <c r="F71">
        <v>1.05</v>
      </c>
      <c r="G71">
        <v>1.17</v>
      </c>
      <c r="H71" s="1">
        <f>IF(ISNUMBER(Main_S[[#This Row],[Free CF]]),IF(Main_S[[#This Row],[Free CF]]&lt;&gt;0,Main_S[[#This Row],[Current Price]]/Main_S[[#This Row],[Free CF]],""),"")</f>
        <v>454</v>
      </c>
      <c r="I71" s="1">
        <f>IF(ISNUMBER(Main_S[[#This Row],[BVPS]]),IF(Main_S[[#This Row],[BVPS]]&lt;&gt;0,Main_S[[#This Row],[Current Price]]/Main_S[[#This Row],[BVPS]],""),"")</f>
        <v>17.295238095238094</v>
      </c>
      <c r="J71">
        <v>5.69</v>
      </c>
      <c r="K71">
        <v>1.74</v>
      </c>
      <c r="L71">
        <v>1.81</v>
      </c>
      <c r="M71" s="1">
        <f>IF(ISNUMBER(Main_S[[#This Row],[EPS]]),IF(Main_S[[#This Row],[EPS]]&lt;&gt;0,Main_S[[#This Row],[Current Price]]/Main_S[[#This Row],[EPS]],""),"")</f>
        <v>15.521367521367523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19.954138554490665</v>
      </c>
      <c r="P71" s="1">
        <f>(Main_S[[#This Row],[P/B]]-VLOOKUP(Main_S[[#This Row],[Industry]], Mean_PB_S, 2, FALSE))/(VLOOKUP(Main_S[[#This Row],[Industry]], Mean_PB_S, 3, FALSE))</f>
        <v>21.552960117254237</v>
      </c>
      <c r="Q71" s="1">
        <f>(Main_S[[#This Row],[ROE]]-VLOOKUP(Main_S[[#This Row],[Industry]], Mean_ROE_S, 2, FALSE))/(VLOOKUP(Main_S[[#This Row],[Industry]], Mean_ROE_S, 3, FALSE))</f>
        <v>0.38437911067442637</v>
      </c>
      <c r="R71" s="1">
        <f>(Main_S[[#This Row],[ROA]]-VLOOKUP(Main_S[[#This Row],[Industry]], Mean_ROA_S, 2, FALSE))/(VLOOKUP(Main_S[[#This Row],[Industry]], Mean_ROA_S, 3, FALSE))</f>
        <v>0.28150060278662964</v>
      </c>
      <c r="S71" s="1">
        <f>(Main_S[[#This Row],[A/E]]-VLOOKUP(Main_S[[#This Row],[Industry]], Mean_AE_S, 2, FALSE))/(VLOOKUP(Main_S[[#This Row],[Industry]], Mean_AE_S, 3, FALSE))</f>
        <v>0.15896626520032711</v>
      </c>
      <c r="T71" s="1">
        <f>(Main_S[[#This Row],[P/E]]-VLOOKUP(Main_S[[#This Row],[Industry]], Mean_PE_S, 2, FALSE))/(VLOOKUP(Main_S[[#This Row],[Industry]], Mean_PE_S, 3, FALSE))</f>
        <v>0.51143224481795946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t="s">
        <v>202</v>
      </c>
      <c r="B72" t="s">
        <v>502</v>
      </c>
      <c r="C72" s="2">
        <v>420</v>
      </c>
      <c r="D72">
        <f>RTD("tos.rtd", , "LAST", Main_S[[#This Row],[Symbol]])</f>
        <v>2.68</v>
      </c>
      <c r="E72">
        <v>-0.43</v>
      </c>
      <c r="F72">
        <v>2.21</v>
      </c>
      <c r="G72">
        <v>-0.76</v>
      </c>
      <c r="H72" s="1">
        <f>IF(ISNUMBER(Main_S[[#This Row],[Free CF]]),IF(Main_S[[#This Row],[Free CF]]&lt;&gt;0,Main_S[[#This Row],[Current Price]]/Main_S[[#This Row],[Free CF]],""),"")</f>
        <v>-6.2325581395348841</v>
      </c>
      <c r="I72" s="1">
        <f>IF(ISNUMBER(Main_S[[#This Row],[BVPS]]),IF(Main_S[[#This Row],[BVPS]]&lt;&gt;0,Main_S[[#This Row],[Current Price]]/Main_S[[#This Row],[BVPS]],""),"")</f>
        <v>1.2126696832579187</v>
      </c>
      <c r="J72">
        <v>-31.26</v>
      </c>
      <c r="K72">
        <v>-11.68</v>
      </c>
      <c r="L72">
        <v>2.25</v>
      </c>
      <c r="M72" s="1">
        <f>IF(ISNUMBER(Main_S[[#This Row],[EPS]]),IF(Main_S[[#This Row],[EPS]]&lt;&gt;0,Main_S[[#This Row],[Current Price]]/Main_S[[#This Row],[EPS]],""),"")</f>
        <v>-3.5263157894736845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-1.0189412944895557</v>
      </c>
      <c r="P72" s="1">
        <f>(Main_S[[#This Row],[P/B]]-VLOOKUP(Main_S[[#This Row],[Industry]], Mean_PB_S, 2, FALSE))/(VLOOKUP(Main_S[[#This Row],[Industry]], Mean_PB_S, 3, FALSE))</f>
        <v>-0.20990058390025601</v>
      </c>
      <c r="Q72" s="1">
        <f>(Main_S[[#This Row],[ROE]]-VLOOKUP(Main_S[[#This Row],[Industry]], Mean_ROE_S, 2, FALSE))/(VLOOKUP(Main_S[[#This Row],[Industry]], Mean_ROE_S, 3, FALSE))</f>
        <v>-2.5796403721915682</v>
      </c>
      <c r="R72" s="1">
        <f>(Main_S[[#This Row],[ROA]]-VLOOKUP(Main_S[[#This Row],[Industry]], Mean_ROA_S, 2, FALSE))/(VLOOKUP(Main_S[[#This Row],[Industry]], Mean_ROA_S, 3, FALSE))</f>
        <v>-2.3969203607189531</v>
      </c>
      <c r="S72" s="1">
        <f>(Main_S[[#This Row],[A/E]]-VLOOKUP(Main_S[[#This Row],[Industry]], Mean_AE_S, 2, FALSE))/(VLOOKUP(Main_S[[#This Row],[Industry]], Mean_AE_S, 3, FALSE))</f>
        <v>0.68355494036140663</v>
      </c>
      <c r="T72" s="1">
        <f>(Main_S[[#This Row],[P/E]]-VLOOKUP(Main_S[[#This Row],[Industry]], Mean_PE_S, 2, FALSE))/(VLOOKUP(Main_S[[#This Row],[Industry]], Mean_PE_S, 3, FALSE))</f>
        <v>-0.47742368309583139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t="s">
        <v>202</v>
      </c>
      <c r="B73" t="s">
        <v>503</v>
      </c>
      <c r="C73" s="2">
        <v>928</v>
      </c>
      <c r="D73">
        <f>RTD("tos.rtd", , "LAST", Main_S[[#This Row],[Symbol]])</f>
        <v>19.37</v>
      </c>
      <c r="E73">
        <v>-5.49</v>
      </c>
      <c r="F73">
        <v>49.16</v>
      </c>
      <c r="G73">
        <v>-5.04</v>
      </c>
      <c r="H73" s="1">
        <f>IF(ISNUMBER(Main_S[[#This Row],[Free CF]]),IF(Main_S[[#This Row],[Free CF]]&lt;&gt;0,Main_S[[#This Row],[Current Price]]/Main_S[[#This Row],[Free CF]],""),"")</f>
        <v>-3.5282331511839709</v>
      </c>
      <c r="I73" s="1">
        <f>IF(ISNUMBER(Main_S[[#This Row],[BVPS]]),IF(Main_S[[#This Row],[BVPS]]&lt;&gt;0,Main_S[[#This Row],[Current Price]]/Main_S[[#This Row],[BVPS]],""),"")</f>
        <v>0.39401952807160295</v>
      </c>
      <c r="J73">
        <v>-9.06</v>
      </c>
      <c r="K73">
        <v>-2.23</v>
      </c>
      <c r="L73">
        <v>6.64</v>
      </c>
      <c r="M73" s="1">
        <f>IF(ISNUMBER(Main_S[[#This Row],[EPS]]),IF(Main_S[[#This Row],[EPS]]&lt;&gt;0,Main_S[[#This Row],[Current Price]]/Main_S[[#This Row],[EPS]],""),"")</f>
        <v>-3.8432539682539684</v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>
        <f>(Main_S[[#This Row],[P/FCF]]-VLOOKUP(Main_S[[#This Row],[Industry]], Mean_PFCF_S, 2, FALSE))/(VLOOKUP(Main_S[[#This Row],[Industry]], Mean_PFCF_S, 3, FALSE))</f>
        <v>-0.89570354671361463</v>
      </c>
      <c r="P73" s="1">
        <f>(Main_S[[#This Row],[P/B]]-VLOOKUP(Main_S[[#This Row],[Industry]], Mean_PB_S, 2, FALSE))/(VLOOKUP(Main_S[[#This Row],[Industry]], Mean_PB_S, 3, FALSE))</f>
        <v>-1.3176943662059935</v>
      </c>
      <c r="Q73" s="1">
        <f>(Main_S[[#This Row],[ROE]]-VLOOKUP(Main_S[[#This Row],[Industry]], Mean_ROE_S, 2, FALSE))/(VLOOKUP(Main_S[[#This Row],[Industry]], Mean_ROE_S, 3, FALSE))</f>
        <v>-0.79882217138980682</v>
      </c>
      <c r="R73" s="1">
        <f>(Main_S[[#This Row],[ROA]]-VLOOKUP(Main_S[[#This Row],[Industry]], Mean_ROA_S, 2, FALSE))/(VLOOKUP(Main_S[[#This Row],[Industry]], Mean_ROA_S, 3, FALSE))</f>
        <v>-0.51084896689423209</v>
      </c>
      <c r="S73" s="1">
        <f>(Main_S[[#This Row],[A/E]]-VLOOKUP(Main_S[[#This Row],[Industry]], Mean_AE_S, 2, FALSE))/(VLOOKUP(Main_S[[#This Row],[Industry]], Mean_AE_S, 3, FALSE))</f>
        <v>5.9175192220821771</v>
      </c>
      <c r="T73" s="1">
        <f>(Main_S[[#This Row],[P/E]]-VLOOKUP(Main_S[[#This Row],[Industry]], Mean_PE_S, 2, FALSE))/(VLOOKUP(Main_S[[#This Row],[Industry]], Mean_PE_S, 3, FALSE))</f>
        <v>-0.49387745291941432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4" spans="1:26" x14ac:dyDescent="0.25">
      <c r="A74" t="s">
        <v>202</v>
      </c>
      <c r="B74" t="s">
        <v>504</v>
      </c>
      <c r="C74" s="2">
        <v>943</v>
      </c>
      <c r="D74">
        <f>RTD("tos.rtd", , "LAST", Main_S[[#This Row],[Symbol]])</f>
        <v>12.83</v>
      </c>
      <c r="E74">
        <v>-1.06</v>
      </c>
      <c r="F74">
        <v>5.71</v>
      </c>
      <c r="G74">
        <v>-2.64</v>
      </c>
      <c r="H74" s="1">
        <f>IF(ISNUMBER(Main_S[[#This Row],[Free CF]]),IF(Main_S[[#This Row],[Free CF]]&lt;&gt;0,Main_S[[#This Row],[Current Price]]/Main_S[[#This Row],[Free CF]],""),"")</f>
        <v>-12.10377358490566</v>
      </c>
      <c r="I74" s="1">
        <f>IF(ISNUMBER(Main_S[[#This Row],[BVPS]]),IF(Main_S[[#This Row],[BVPS]]&lt;&gt;0,Main_S[[#This Row],[Current Price]]/Main_S[[#This Row],[BVPS]],""),"")</f>
        <v>2.2469352014010506</v>
      </c>
      <c r="J74">
        <v>-39.36</v>
      </c>
      <c r="K74">
        <v>-10.27</v>
      </c>
      <c r="L74">
        <v>1.73</v>
      </c>
      <c r="M74" s="1">
        <f>IF(ISNUMBER(Main_S[[#This Row],[EPS]]),IF(Main_S[[#This Row],[EPS]]&lt;&gt;0,Main_S[[#This Row],[Current Price]]/Main_S[[#This Row],[EPS]],""),"")</f>
        <v>-4.8598484848484844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-1.2864961820535816</v>
      </c>
      <c r="P74" s="1">
        <f>(Main_S[[#This Row],[P/B]]-VLOOKUP(Main_S[[#This Row],[Industry]], Mean_PB_S, 2, FALSE))/(VLOOKUP(Main_S[[#This Row],[Industry]], Mean_PB_S, 3, FALSE))</f>
        <v>1.1896629573677753</v>
      </c>
      <c r="Q74" s="1">
        <f>(Main_S[[#This Row],[ROE]]-VLOOKUP(Main_S[[#This Row],[Industry]], Mean_ROE_S, 2, FALSE))/(VLOOKUP(Main_S[[#This Row],[Industry]], Mean_ROE_S, 3, FALSE))</f>
        <v>-3.2293983643759945</v>
      </c>
      <c r="R74" s="1">
        <f>(Main_S[[#This Row],[ROA]]-VLOOKUP(Main_S[[#This Row],[Industry]], Mean_ROA_S, 2, FALSE))/(VLOOKUP(Main_S[[#This Row],[Industry]], Mean_ROA_S, 3, FALSE))</f>
        <v>-2.1155065337038357</v>
      </c>
      <c r="S74" s="1">
        <f>(Main_S[[#This Row],[A/E]]-VLOOKUP(Main_S[[#This Row],[Industry]], Mean_AE_S, 2, FALSE))/(VLOOKUP(Main_S[[#This Row],[Industry]], Mean_AE_S, 3, FALSE))</f>
        <v>6.3586506080130736E-2</v>
      </c>
      <c r="T74" s="1">
        <f>(Main_S[[#This Row],[P/E]]-VLOOKUP(Main_S[[#This Row],[Industry]], Mean_PE_S, 2, FALSE))/(VLOOKUP(Main_S[[#This Row],[Industry]], Mean_PE_S, 3, FALSE))</f>
        <v>-0.54665371434785714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t="s">
        <v>202</v>
      </c>
      <c r="B75" t="s">
        <v>505</v>
      </c>
      <c r="C75" s="2">
        <v>293</v>
      </c>
      <c r="D75">
        <f>RTD("tos.rtd", , "LAST", Main_S[[#This Row],[Symbol]])</f>
        <v>70.650000000000006</v>
      </c>
      <c r="E75">
        <v>2.85</v>
      </c>
      <c r="F75">
        <v>13.02</v>
      </c>
      <c r="G75">
        <v>3.1</v>
      </c>
      <c r="H75" s="1">
        <f>IF(ISNUMBER(Main_S[[#This Row],[Free CF]]),IF(Main_S[[#This Row],[Free CF]]&lt;&gt;0,Main_S[[#This Row],[Current Price]]/Main_S[[#This Row],[Free CF]],""),"")</f>
        <v>24.789473684210527</v>
      </c>
      <c r="I75" s="1">
        <f>IF(ISNUMBER(Main_S[[#This Row],[BVPS]]),IF(Main_S[[#This Row],[BVPS]]&lt;&gt;0,Main_S[[#This Row],[Current Price]]/Main_S[[#This Row],[BVPS]],""),"")</f>
        <v>5.4262672811059911</v>
      </c>
      <c r="J75">
        <v>23.13</v>
      </c>
      <c r="K75">
        <v>14.94</v>
      </c>
      <c r="L75">
        <v>1.03</v>
      </c>
      <c r="M75" s="1">
        <f>IF(ISNUMBER(Main_S[[#This Row],[EPS]]),IF(Main_S[[#This Row],[EPS]]&lt;&gt;0,Main_S[[#This Row],[Current Price]]/Main_S[[#This Row],[EPS]],""),"")</f>
        <v>22.790322580645164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0.39475171572933127</v>
      </c>
      <c r="P75" s="1">
        <f>(Main_S[[#This Row],[P/B]]-VLOOKUP(Main_S[[#This Row],[Industry]], Mean_PB_S, 2, FALSE))/(VLOOKUP(Main_S[[#This Row],[Industry]], Mean_PB_S, 3, FALSE))</f>
        <v>5.491921116691918</v>
      </c>
      <c r="Q75" s="1">
        <f>(Main_S[[#This Row],[ROE]]-VLOOKUP(Main_S[[#This Row],[Industry]], Mean_ROE_S, 2, FALSE))/(VLOOKUP(Main_S[[#This Row],[Industry]], Mean_ROE_S, 3, FALSE))</f>
        <v>1.7833642197727468</v>
      </c>
      <c r="R75" s="1">
        <f>(Main_S[[#This Row],[ROA]]-VLOOKUP(Main_S[[#This Row],[Industry]], Mean_ROA_S, 2, FALSE))/(VLOOKUP(Main_S[[#This Row],[Industry]], Mean_ROA_S, 3, FALSE))</f>
        <v>2.9160130259068753</v>
      </c>
      <c r="S75" s="1">
        <f>(Main_S[[#This Row],[A/E]]-VLOOKUP(Main_S[[#This Row],[Industry]], Mean_AE_S, 2, FALSE))/(VLOOKUP(Main_S[[#This Row],[Industry]], Mean_AE_S, 3, FALSE))</f>
        <v>-0.77098638622158666</v>
      </c>
      <c r="T75" s="1">
        <f>(Main_S[[#This Row],[P/E]]-VLOOKUP(Main_S[[#This Row],[Industry]], Mean_PE_S, 2, FALSE))/(VLOOKUP(Main_S[[#This Row],[Industry]], Mean_PE_S, 3, FALSE))</f>
        <v>0.88879830990864328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t="s">
        <v>202</v>
      </c>
      <c r="B76" t="s">
        <v>506</v>
      </c>
      <c r="C76" s="2">
        <v>372</v>
      </c>
      <c r="D76">
        <f>RTD("tos.rtd", , "LAST", Main_S[[#This Row],[Symbol]])</f>
        <v>2.14</v>
      </c>
      <c r="E76">
        <v>-0.36</v>
      </c>
      <c r="F76">
        <v>1.85</v>
      </c>
      <c r="G76">
        <v>-0.46</v>
      </c>
      <c r="H76" s="1">
        <f>IF(ISNUMBER(Main_S[[#This Row],[Free CF]]),IF(Main_S[[#This Row],[Free CF]]&lt;&gt;0,Main_S[[#This Row],[Current Price]]/Main_S[[#This Row],[Free CF]],""),"")</f>
        <v>-5.9444444444444446</v>
      </c>
      <c r="I76" s="1">
        <f>IF(ISNUMBER(Main_S[[#This Row],[BVPS]]),IF(Main_S[[#This Row],[BVPS]]&lt;&gt;0,Main_S[[#This Row],[Current Price]]/Main_S[[#This Row],[BVPS]],""),"")</f>
        <v>1.1567567567567567</v>
      </c>
      <c r="J76">
        <v>-23.22</v>
      </c>
      <c r="K76">
        <v>-17.95</v>
      </c>
      <c r="L76">
        <v>1.1200000000000001</v>
      </c>
      <c r="M76" s="1">
        <f>IF(ISNUMBER(Main_S[[#This Row],[EPS]]),IF(Main_S[[#This Row],[EPS]]&lt;&gt;0,Main_S[[#This Row],[Current Price]]/Main_S[[#This Row],[EPS]],""),"")</f>
        <v>-4.6521739130434785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-1.0058117767580343</v>
      </c>
      <c r="P76" s="1">
        <f>(Main_S[[#This Row],[P/B]]-VLOOKUP(Main_S[[#This Row],[Industry]], Mean_PB_S, 2, FALSE))/(VLOOKUP(Main_S[[#This Row],[Industry]], Mean_PB_S, 3, FALSE))</f>
        <v>-0.28556170964011257</v>
      </c>
      <c r="Q76" s="1">
        <f>(Main_S[[#This Row],[ROE]]-VLOOKUP(Main_S[[#This Row],[Industry]], Mean_ROE_S, 2, FALSE))/(VLOOKUP(Main_S[[#This Row],[Industry]], Mean_ROE_S, 3, FALSE))</f>
        <v>-1.9346954021714706</v>
      </c>
      <c r="R76" s="1">
        <f>(Main_S[[#This Row],[ROA]]-VLOOKUP(Main_S[[#This Row],[Industry]], Mean_ROA_S, 2, FALSE))/(VLOOKUP(Main_S[[#This Row],[Industry]], Mean_ROA_S, 3, FALSE))</f>
        <v>-3.6483137617010697</v>
      </c>
      <c r="S76" s="1">
        <f>(Main_S[[#This Row],[A/E]]-VLOOKUP(Main_S[[#This Row],[Industry]], Mean_AE_S, 2, FALSE))/(VLOOKUP(Main_S[[#This Row],[Industry]], Mean_AE_S, 3, FALSE))</f>
        <v>-0.66368415721136576</v>
      </c>
      <c r="T76" s="1">
        <f>(Main_S[[#This Row],[P/E]]-VLOOKUP(Main_S[[#This Row],[Industry]], Mean_PE_S, 2, FALSE))/(VLOOKUP(Main_S[[#This Row],[Industry]], Mean_PE_S, 3, FALSE))</f>
        <v>-0.53587233857343652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t="s">
        <v>202</v>
      </c>
      <c r="B77" t="s">
        <v>507</v>
      </c>
      <c r="C77" s="2">
        <v>929</v>
      </c>
      <c r="D77">
        <f>RTD("tos.rtd", , "LAST", Main_S[[#This Row],[Symbol]])</f>
        <v>19.420000000000002</v>
      </c>
      <c r="E77">
        <v>2.6</v>
      </c>
      <c r="F77">
        <v>11.23</v>
      </c>
      <c r="G77">
        <v>-0.16</v>
      </c>
      <c r="H77" s="1">
        <f>IF(ISNUMBER(Main_S[[#This Row],[Free CF]]),IF(Main_S[[#This Row],[Free CF]]&lt;&gt;0,Main_S[[#This Row],[Current Price]]/Main_S[[#This Row],[Free CF]],""),"")</f>
        <v>7.4692307692307693</v>
      </c>
      <c r="I77" s="1">
        <f>IF(ISNUMBER(Main_S[[#This Row],[BVPS]]),IF(Main_S[[#This Row],[BVPS]]&lt;&gt;0,Main_S[[#This Row],[Current Price]]/Main_S[[#This Row],[BVPS]],""),"")</f>
        <v>1.7292965271593945</v>
      </c>
      <c r="J77">
        <v>-0.53</v>
      </c>
      <c r="K77">
        <v>2.78</v>
      </c>
      <c r="L77">
        <v>3.01</v>
      </c>
      <c r="M77" s="1">
        <f>IF(ISNUMBER(Main_S[[#This Row],[EPS]]),IF(Main_S[[#This Row],[EPS]]&lt;&gt;0,Main_S[[#This Row],[Current Price]]/Main_S[[#This Row],[EPS]],""),"")</f>
        <v>-121.37500000000001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-0.39454237317228519</v>
      </c>
      <c r="P77" s="1">
        <f>(Main_S[[#This Row],[P/B]]-VLOOKUP(Main_S[[#This Row],[Industry]], Mean_PB_S, 2, FALSE))/(VLOOKUP(Main_S[[#This Row],[Industry]], Mean_PB_S, 3, FALSE))</f>
        <v>0.48919658455510079</v>
      </c>
      <c r="Q77" s="1">
        <f>(Main_S[[#This Row],[ROE]]-VLOOKUP(Main_S[[#This Row],[Industry]], Mean_ROE_S, 2, FALSE))/(VLOOKUP(Main_S[[#This Row],[Industry]], Mean_ROE_S, 3, FALSE))</f>
        <v>-0.11457085369435538</v>
      </c>
      <c r="R77" s="1">
        <f>(Main_S[[#This Row],[ROA]]-VLOOKUP(Main_S[[#This Row],[Industry]], Mean_ROA_S, 2, FALSE))/(VLOOKUP(Main_S[[#This Row],[Industry]], Mean_ROA_S, 3, FALSE))</f>
        <v>0.48906824824458828</v>
      </c>
      <c r="S77" s="1">
        <f>(Main_S[[#This Row],[A/E]]-VLOOKUP(Main_S[[#This Row],[Industry]], Mean_AE_S, 2, FALSE))/(VLOOKUP(Main_S[[#This Row],[Industry]], Mean_AE_S, 3, FALSE))</f>
        <v>1.5896626520032711</v>
      </c>
      <c r="T77" s="1">
        <f>(Main_S[[#This Row],[P/E]]-VLOOKUP(Main_S[[#This Row],[Industry]], Mean_PE_S, 2, FALSE))/(VLOOKUP(Main_S[[#This Row],[Industry]], Mean_PE_S, 3, FALSE))</f>
        <v>-6.5955099656461025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8" spans="1:26" x14ac:dyDescent="0.25">
      <c r="A78" t="s">
        <v>202</v>
      </c>
      <c r="B78" t="s">
        <v>508</v>
      </c>
      <c r="C78" s="2">
        <v>332</v>
      </c>
      <c r="D78">
        <f>RTD("tos.rtd", , "LAST", Main_S[[#This Row],[Symbol]])</f>
        <v>4.3849999999999998</v>
      </c>
      <c r="E78">
        <v>-0.5</v>
      </c>
      <c r="F78">
        <v>0.27</v>
      </c>
      <c r="G78">
        <v>-0.94</v>
      </c>
      <c r="H78" s="1">
        <f>IF(ISNUMBER(Main_S[[#This Row],[Free CF]]),IF(Main_S[[#This Row],[Free CF]]&lt;&gt;0,Main_S[[#This Row],[Current Price]]/Main_S[[#This Row],[Free CF]],""),"")</f>
        <v>-8.77</v>
      </c>
      <c r="I78" s="1">
        <f>IF(ISNUMBER(Main_S[[#This Row],[BVPS]]),IF(Main_S[[#This Row],[BVPS]]&lt;&gt;0,Main_S[[#This Row],[Current Price]]/Main_S[[#This Row],[BVPS]],""),"")</f>
        <v>16.24074074074074</v>
      </c>
      <c r="J78">
        <v>-442.59</v>
      </c>
      <c r="K78">
        <v>-47.92</v>
      </c>
      <c r="L78">
        <v>3.37</v>
      </c>
      <c r="M78" s="1">
        <f>IF(ISNUMBER(Main_S[[#This Row],[EPS]]),IF(Main_S[[#This Row],[EPS]]&lt;&gt;0,Main_S[[#This Row],[Current Price]]/Main_S[[#This Row],[EPS]],""),"")</f>
        <v>-4.6648936170212769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-1.1345740758095271</v>
      </c>
      <c r="P78" s="1">
        <f>(Main_S[[#This Row],[P/B]]-VLOOKUP(Main_S[[#This Row],[Industry]], Mean_PB_S, 2, FALSE))/(VLOOKUP(Main_S[[#This Row],[Industry]], Mean_PB_S, 3, FALSE))</f>
        <v>20.126018944190932</v>
      </c>
      <c r="Q78" s="1">
        <f>(Main_S[[#This Row],[ROE]]-VLOOKUP(Main_S[[#This Row],[Industry]], Mean_ROE_S, 2, FALSE))/(VLOOKUP(Main_S[[#This Row],[Industry]], Mean_ROE_S, 3, FALSE))</f>
        <v>-35.575313819749603</v>
      </c>
      <c r="R78" s="1">
        <f>(Main_S[[#This Row],[ROA]]-VLOOKUP(Main_S[[#This Row],[Industry]], Mean_ROA_S, 2, FALSE))/(VLOOKUP(Main_S[[#This Row],[Industry]], Mean_ROA_S, 3, FALSE))</f>
        <v>-9.629854467830901</v>
      </c>
      <c r="S78" s="1">
        <f>(Main_S[[#This Row],[A/E]]-VLOOKUP(Main_S[[#This Row],[Industry]], Mean_AE_S, 2, FALSE))/(VLOOKUP(Main_S[[#This Row],[Industry]], Mean_AE_S, 3, FALSE))</f>
        <v>2.0188715680441547</v>
      </c>
      <c r="T78" s="1">
        <f>(Main_S[[#This Row],[P/E]]-VLOOKUP(Main_S[[#This Row],[Industry]], Mean_PE_S, 2, FALSE))/(VLOOKUP(Main_S[[#This Row],[Industry]], Mean_PE_S, 3, FALSE))</f>
        <v>-0.53653267896625456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9" spans="1:26" x14ac:dyDescent="0.25">
      <c r="A79" t="s">
        <v>202</v>
      </c>
      <c r="B79" t="s">
        <v>509</v>
      </c>
      <c r="C79" s="2">
        <v>1813</v>
      </c>
      <c r="D79">
        <f>RTD("tos.rtd", , "LAST", Main_S[[#This Row],[Symbol]])</f>
        <v>57.42</v>
      </c>
      <c r="E79">
        <v>2.21</v>
      </c>
      <c r="F79">
        <v>22.96</v>
      </c>
      <c r="G79">
        <v>2.8</v>
      </c>
      <c r="H79" s="1">
        <f>IF(ISNUMBER(Main_S[[#This Row],[Free CF]]),IF(Main_S[[#This Row],[Free CF]]&lt;&gt;0,Main_S[[#This Row],[Current Price]]/Main_S[[#This Row],[Free CF]],""),"")</f>
        <v>25.981900452488688</v>
      </c>
      <c r="I79" s="1">
        <f>IF(ISNUMBER(Main_S[[#This Row],[BVPS]]),IF(Main_S[[#This Row],[BVPS]]&lt;&gt;0,Main_S[[#This Row],[Current Price]]/Main_S[[#This Row],[BVPS]],""),"")</f>
        <v>2.500871080139373</v>
      </c>
      <c r="J79">
        <v>12.34</v>
      </c>
      <c r="K79">
        <v>5.34</v>
      </c>
      <c r="L79">
        <v>1.28</v>
      </c>
      <c r="M79" s="1">
        <f>IF(ISNUMBER(Main_S[[#This Row],[EPS]]),IF(Main_S[[#This Row],[EPS]]&lt;&gt;0,Main_S[[#This Row],[Current Price]]/Main_S[[#This Row],[EPS]],""),"")</f>
        <v>20.50714285714286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0.44909133465211298</v>
      </c>
      <c r="P79" s="1">
        <f>(Main_S[[#This Row],[P/B]]-VLOOKUP(Main_S[[#This Row],[Industry]], Mean_PB_S, 2, FALSE))/(VLOOKUP(Main_S[[#This Row],[Industry]], Mean_PB_S, 3, FALSE))</f>
        <v>1.5332878694117174</v>
      </c>
      <c r="Q79" s="1">
        <f>(Main_S[[#This Row],[ROE]]-VLOOKUP(Main_S[[#This Row],[Industry]], Mean_ROE_S, 2, FALSE))/(VLOOKUP(Main_S[[#This Row],[Industry]], Mean_ROE_S, 3, FALSE))</f>
        <v>0.91782240055423325</v>
      </c>
      <c r="R79" s="1">
        <f>(Main_S[[#This Row],[ROA]]-VLOOKUP(Main_S[[#This Row],[Industry]], Mean_ROA_S, 2, FALSE))/(VLOOKUP(Main_S[[#This Row],[Industry]], Mean_ROA_S, 3, FALSE))</f>
        <v>1.0000039909103329</v>
      </c>
      <c r="S79" s="1">
        <f>(Main_S[[#This Row],[A/E]]-VLOOKUP(Main_S[[#This Row],[Industry]], Mean_AE_S, 2, FALSE))/(VLOOKUP(Main_S[[#This Row],[Industry]], Mean_AE_S, 3, FALSE))</f>
        <v>-0.47292463897097331</v>
      </c>
      <c r="T79" s="1">
        <f>(Main_S[[#This Row],[P/E]]-VLOOKUP(Main_S[[#This Row],[Industry]], Mean_PE_S, 2, FALSE))/(VLOOKUP(Main_S[[#This Row],[Industry]], Mean_PE_S, 3, FALSE))</f>
        <v>0.77026758009580532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t="s">
        <v>202</v>
      </c>
      <c r="B80" t="s">
        <v>510</v>
      </c>
      <c r="C80" s="2">
        <v>348</v>
      </c>
      <c r="D80">
        <f>RTD("tos.rtd", , "LAST", Main_S[[#This Row],[Symbol]])</f>
        <v>8.3800000000000008</v>
      </c>
      <c r="E80">
        <v>0.15</v>
      </c>
      <c r="F80">
        <v>1.21</v>
      </c>
      <c r="G80">
        <v>-0.14000000000000001</v>
      </c>
      <c r="H80" s="1">
        <f>IF(ISNUMBER(Main_S[[#This Row],[Free CF]]),IF(Main_S[[#This Row],[Free CF]]&lt;&gt;0,Main_S[[#This Row],[Current Price]]/Main_S[[#This Row],[Free CF]],""),"")</f>
        <v>55.866666666666674</v>
      </c>
      <c r="I80" s="1">
        <f>IF(ISNUMBER(Main_S[[#This Row],[BVPS]]),IF(Main_S[[#This Row],[BVPS]]&lt;&gt;0,Main_S[[#This Row],[Current Price]]/Main_S[[#This Row],[BVPS]],""),"")</f>
        <v>6.9256198347107443</v>
      </c>
      <c r="J80">
        <v>-4.05</v>
      </c>
      <c r="K80">
        <v>1.3</v>
      </c>
      <c r="L80">
        <v>5.45</v>
      </c>
      <c r="M80" s="1">
        <f>IF(ISNUMBER(Main_S[[#This Row],[EPS]]),IF(Main_S[[#This Row],[EPS]]&lt;&gt;0,Main_S[[#This Row],[Current Price]]/Main_S[[#This Row],[EPS]],""),"")</f>
        <v>-59.857142857142854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1.81095845377069</v>
      </c>
      <c r="P80" s="1">
        <f>(Main_S[[#This Row],[P/B]]-VLOOKUP(Main_S[[#This Row],[Industry]], Mean_PB_S, 2, FALSE))/(VLOOKUP(Main_S[[#This Row],[Industry]], Mean_PB_S, 3, FALSE))</f>
        <v>7.5208383847642075</v>
      </c>
      <c r="Q80" s="1">
        <f>(Main_S[[#This Row],[ROE]]-VLOOKUP(Main_S[[#This Row],[Industry]], Mean_ROE_S, 2, FALSE))/(VLOOKUP(Main_S[[#This Row],[Industry]], Mean_ROE_S, 3, FALSE))</f>
        <v>-0.39693482066832836</v>
      </c>
      <c r="R80" s="1">
        <f>(Main_S[[#This Row],[ROA]]-VLOOKUP(Main_S[[#This Row],[Industry]], Mean_ROA_S, 2, FALSE))/(VLOOKUP(Main_S[[#This Row],[Industry]], Mean_ROA_S, 3, FALSE))</f>
        <v>0.19368352201595479</v>
      </c>
      <c r="S80" s="1">
        <f>(Main_S[[#This Row],[A/E]]-VLOOKUP(Main_S[[#This Row],[Industry]], Mean_AE_S, 2, FALSE))/(VLOOKUP(Main_S[[#This Row],[Industry]], Mean_AE_S, 3, FALSE))</f>
        <v>4.4987453051692583</v>
      </c>
      <c r="T80" s="1">
        <f>(Main_S[[#This Row],[P/E]]-VLOOKUP(Main_S[[#This Row],[Industry]], Mean_PE_S, 2, FALSE))/(VLOOKUP(Main_S[[#This Row],[Industry]], Mean_PE_S, 3, FALSE))</f>
        <v>-3.4018251108771951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1" spans="1:26" x14ac:dyDescent="0.25">
      <c r="A81" t="s">
        <v>202</v>
      </c>
      <c r="B81" t="s">
        <v>511</v>
      </c>
      <c r="C81" s="2">
        <v>639</v>
      </c>
      <c r="D81">
        <f>RTD("tos.rtd", , "LAST", Main_S[[#This Row],[Symbol]])</f>
        <v>3.87</v>
      </c>
      <c r="E81">
        <v>-21.81</v>
      </c>
      <c r="F81">
        <v>2.69</v>
      </c>
      <c r="G81">
        <v>-7.71</v>
      </c>
      <c r="H81" s="1">
        <f>IF(ISNUMBER(Main_S[[#This Row],[Free CF]]),IF(Main_S[[#This Row],[Free CF]]&lt;&gt;0,Main_S[[#This Row],[Current Price]]/Main_S[[#This Row],[Free CF]],""),"")</f>
        <v>-0.17744154057771666</v>
      </c>
      <c r="I81" s="1">
        <f>IF(ISNUMBER(Main_S[[#This Row],[BVPS]]),IF(Main_S[[#This Row],[BVPS]]&lt;&gt;0,Main_S[[#This Row],[Current Price]]/Main_S[[#This Row],[BVPS]],""),"")</f>
        <v>1.4386617100371748</v>
      </c>
      <c r="J81">
        <v>-128.47</v>
      </c>
      <c r="K81">
        <v>-3.52</v>
      </c>
      <c r="L81">
        <v>20.78</v>
      </c>
      <c r="M81" s="1">
        <f>IF(ISNUMBER(Main_S[[#This Row],[EPS]]),IF(Main_S[[#This Row],[EPS]]&lt;&gt;0,Main_S[[#This Row],[Current Price]]/Main_S[[#This Row],[EPS]],""),"")</f>
        <v>-0.50194552529182879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-0.74300591860441123</v>
      </c>
      <c r="P81" s="1">
        <f>(Main_S[[#This Row],[P/B]]-VLOOKUP(Main_S[[#This Row],[Industry]], Mean_PB_S, 2, FALSE))/(VLOOKUP(Main_S[[#This Row],[Industry]], Mean_PB_S, 3, FALSE))</f>
        <v>9.5910830817859047E-2</v>
      </c>
      <c r="Q81" s="1">
        <f>(Main_S[[#This Row],[ROE]]-VLOOKUP(Main_S[[#This Row],[Industry]], Mean_ROE_S, 2, FALSE))/(VLOOKUP(Main_S[[#This Row],[Industry]], Mean_ROE_S, 3, FALSE))</f>
        <v>-10.377538448765405</v>
      </c>
      <c r="R81" s="1">
        <f>(Main_S[[#This Row],[ROA]]-VLOOKUP(Main_S[[#This Row],[Industry]], Mean_ROA_S, 2, FALSE))/(VLOOKUP(Main_S[[#This Row],[Industry]], Mean_ROA_S, 3, FALSE))</f>
        <v>-0.76831268097189243</v>
      </c>
      <c r="S81" s="1">
        <f>(Main_S[[#This Row],[A/E]]-VLOOKUP(Main_S[[#This Row],[Industry]], Mean_AE_S, 2, FALSE))/(VLOOKUP(Main_S[[#This Row],[Industry]], Mean_AE_S, 3, FALSE))</f>
        <v>22.775891646576873</v>
      </c>
      <c r="T81" s="1">
        <f>(Main_S[[#This Row],[P/E]]-VLOOKUP(Main_S[[#This Row],[Industry]], Mean_PE_S, 2, FALSE))/(VLOOKUP(Main_S[[#This Row],[Industry]], Mean_PE_S, 3, FALSE))</f>
        <v>-0.32041422346037773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t="s">
        <v>124</v>
      </c>
      <c r="B82" t="s">
        <v>368</v>
      </c>
      <c r="C82" s="2">
        <v>1219</v>
      </c>
      <c r="D82">
        <f>RTD("tos.rtd", , "LAST", Main_S[[#This Row],[Symbol]])</f>
        <v>11.8</v>
      </c>
      <c r="E82">
        <v>0.09</v>
      </c>
      <c r="F82">
        <v>2.2999999999999998</v>
      </c>
      <c r="G82">
        <v>-0.76</v>
      </c>
      <c r="H82" s="1">
        <f>IF(ISNUMBER(Main_S[[#This Row],[Free CF]]),IF(Main_S[[#This Row],[Free CF]]&lt;&gt;0,Main_S[[#This Row],[Current Price]]/Main_S[[#This Row],[Free CF]],""),"")</f>
        <v>131.11111111111111</v>
      </c>
      <c r="I82" s="1">
        <f>IF(ISNUMBER(Main_S[[#This Row],[BVPS]]),IF(Main_S[[#This Row],[BVPS]]&lt;&gt;0,Main_S[[#This Row],[Current Price]]/Main_S[[#This Row],[BVPS]],""),"")</f>
        <v>5.1304347826086962</v>
      </c>
      <c r="J82">
        <v>-31.9</v>
      </c>
      <c r="K82">
        <v>-15.26</v>
      </c>
      <c r="L82">
        <v>1.5</v>
      </c>
      <c r="M82" s="1">
        <f>IF(ISNUMBER(Main_S[[#This Row],[EPS]]),IF(Main_S[[#This Row],[EPS]]&lt;&gt;0,Main_S[[#This Row],[Current Price]]/Main_S[[#This Row],[EPS]],""),"")</f>
        <v>-15.526315789473685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>
        <f>(Main_S[[#This Row],[P/FCF]]-VLOOKUP(Main_S[[#This Row],[Industry]], Mean_PFCF_S, 2, FALSE))/(VLOOKUP(Main_S[[#This Row],[Industry]], Mean_PFCF_S, 3, FALSE))</f>
        <v>5.1808481622287239</v>
      </c>
      <c r="P82" s="1">
        <f>(Main_S[[#This Row],[P/B]]-VLOOKUP(Main_S[[#This Row],[Industry]], Mean_PB_S, 2, FALSE))/(VLOOKUP(Main_S[[#This Row],[Industry]], Mean_PB_S, 3, FALSE))</f>
        <v>0.54539511040142052</v>
      </c>
      <c r="Q82" s="1">
        <f>(Main_S[[#This Row],[ROE]]-VLOOKUP(Main_S[[#This Row],[Industry]], Mean_ROE_S, 2, FALSE))/(VLOOKUP(Main_S[[#This Row],[Industry]], Mean_ROE_S, 3, FALSE))</f>
        <v>-0.91493524089399181</v>
      </c>
      <c r="R82" s="1">
        <f>(Main_S[[#This Row],[ROA]]-VLOOKUP(Main_S[[#This Row],[Industry]], Mean_ROA_S, 2, FALSE))/(VLOOKUP(Main_S[[#This Row],[Industry]], Mean_ROA_S, 3, FALSE))</f>
        <v>-2.4949744677504007</v>
      </c>
      <c r="S82" s="1">
        <f>(Main_S[[#This Row],[A/E]]-VLOOKUP(Main_S[[#This Row],[Industry]], Mean_AE_S, 2, FALSE))/(VLOOKUP(Main_S[[#This Row],[Industry]], Mean_AE_S, 3, FALSE))</f>
        <v>-0.40587227482616306</v>
      </c>
      <c r="T82" s="1">
        <f>(Main_S[[#This Row],[P/E]]-VLOOKUP(Main_S[[#This Row],[Industry]], Mean_PE_S, 2, FALSE))/(VLOOKUP(Main_S[[#This Row],[Industry]], Mean_PE_S, 3, FALSE))</f>
        <v>-0.30283041365115715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3" spans="1:26" x14ac:dyDescent="0.25">
      <c r="A83" t="s">
        <v>124</v>
      </c>
      <c r="B83" t="s">
        <v>369</v>
      </c>
      <c r="C83" s="2">
        <v>307</v>
      </c>
      <c r="D83">
        <f>RTD("tos.rtd", , "LAST", Main_S[[#This Row],[Symbol]])</f>
        <v>3.54</v>
      </c>
      <c r="E83">
        <v>-0.56000000000000005</v>
      </c>
      <c r="F83">
        <v>6.14</v>
      </c>
      <c r="G83">
        <v>-0.46</v>
      </c>
      <c r="H83" s="1">
        <f>IF(ISNUMBER(Main_S[[#This Row],[Free CF]]),IF(Main_S[[#This Row],[Free CF]]&lt;&gt;0,Main_S[[#This Row],[Current Price]]/Main_S[[#This Row],[Free CF]],""),"")</f>
        <v>-6.3214285714285712</v>
      </c>
      <c r="I83" s="1">
        <f>IF(ISNUMBER(Main_S[[#This Row],[BVPS]]),IF(Main_S[[#This Row],[BVPS]]&lt;&gt;0,Main_S[[#This Row],[Current Price]]/Main_S[[#This Row],[BVPS]],""),"")</f>
        <v>0.57654723127035834</v>
      </c>
      <c r="J83">
        <v>-7.26</v>
      </c>
      <c r="K83">
        <v>-4.8499999999999996</v>
      </c>
      <c r="L83">
        <v>1.22</v>
      </c>
      <c r="M83" s="1">
        <f>IF(ISNUMBER(Main_S[[#This Row],[EPS]]),IF(Main_S[[#This Row],[EPS]]&lt;&gt;0,Main_S[[#This Row],[Current Price]]/Main_S[[#This Row],[EPS]],""),"")</f>
        <v>-7.695652173913043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-0.79601234504093354</v>
      </c>
      <c r="P83" s="1">
        <f>(Main_S[[#This Row],[P/B]]-VLOOKUP(Main_S[[#This Row],[Industry]], Mean_PB_S, 2, FALSE))/(VLOOKUP(Main_S[[#This Row],[Industry]], Mean_PB_S, 3, FALSE))</f>
        <v>-0.91629381491758843</v>
      </c>
      <c r="Q83" s="1">
        <f>(Main_S[[#This Row],[ROE]]-VLOOKUP(Main_S[[#This Row],[Industry]], Mean_ROE_S, 2, FALSE))/(VLOOKUP(Main_S[[#This Row],[Industry]], Mean_ROE_S, 3, FALSE))</f>
        <v>-0.13830479424491454</v>
      </c>
      <c r="R83" s="1">
        <f>(Main_S[[#This Row],[ROA]]-VLOOKUP(Main_S[[#This Row],[Industry]], Mean_ROA_S, 2, FALSE))/(VLOOKUP(Main_S[[#This Row],[Industry]], Mean_ROA_S, 3, FALSE))</f>
        <v>-0.70152053072600573</v>
      </c>
      <c r="S83" s="1">
        <f>(Main_S[[#This Row],[A/E]]-VLOOKUP(Main_S[[#This Row],[Industry]], Mean_AE_S, 2, FALSE))/(VLOOKUP(Main_S[[#This Row],[Industry]], Mean_AE_S, 3, FALSE))</f>
        <v>-0.70753661089833209</v>
      </c>
      <c r="T83" s="1">
        <f>(Main_S[[#This Row],[P/E]]-VLOOKUP(Main_S[[#This Row],[Industry]], Mean_PE_S, 2, FALSE))/(VLOOKUP(Main_S[[#This Row],[Industry]], Mean_PE_S, 3, FALSE))</f>
        <v>-3.392934903432495E-2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t="s">
        <v>124</v>
      </c>
      <c r="B84" t="s">
        <v>370</v>
      </c>
      <c r="C84" s="2">
        <v>379</v>
      </c>
      <c r="D84">
        <f>RTD("tos.rtd", , "LAST", Main_S[[#This Row],[Symbol]])</f>
        <v>4.42</v>
      </c>
      <c r="E84">
        <v>-0.38</v>
      </c>
      <c r="F84">
        <v>1.56</v>
      </c>
      <c r="G84">
        <v>-3.01</v>
      </c>
      <c r="H84" s="1">
        <f>IF(ISNUMBER(Main_S[[#This Row],[Free CF]]),IF(Main_S[[#This Row],[Free CF]]&lt;&gt;0,Main_S[[#This Row],[Current Price]]/Main_S[[#This Row],[Free CF]],""),"")</f>
        <v>-11.631578947368421</v>
      </c>
      <c r="I84" s="1">
        <f>IF(ISNUMBER(Main_S[[#This Row],[BVPS]]),IF(Main_S[[#This Row],[BVPS]]&lt;&gt;0,Main_S[[#This Row],[Current Price]]/Main_S[[#This Row],[BVPS]],""),"")</f>
        <v>2.833333333333333</v>
      </c>
      <c r="J84">
        <v>-101.69</v>
      </c>
      <c r="K84">
        <v>-3.4</v>
      </c>
      <c r="L84">
        <v>5.14</v>
      </c>
      <c r="M84" s="1">
        <f>IF(ISNUMBER(Main_S[[#This Row],[EPS]]),IF(Main_S[[#This Row],[EPS]]&lt;&gt;0,Main_S[[#This Row],[Current Price]]/Main_S[[#This Row],[EPS]],""),"")</f>
        <v>-1.4684385382059801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-1.0269476689673547</v>
      </c>
      <c r="P84" s="1">
        <f>(Main_S[[#This Row],[P/B]]-VLOOKUP(Main_S[[#This Row],[Industry]], Mean_PB_S, 2, FALSE))/(VLOOKUP(Main_S[[#This Row],[Industry]], Mean_PB_S, 3, FALSE))</f>
        <v>-0.19191948309425502</v>
      </c>
      <c r="Q84" s="1">
        <f>(Main_S[[#This Row],[ROE]]-VLOOKUP(Main_S[[#This Row],[Industry]], Mean_ROE_S, 2, FALSE))/(VLOOKUP(Main_S[[#This Row],[Industry]], Mean_ROE_S, 3, FALSE))</f>
        <v>-3.1146527275676572</v>
      </c>
      <c r="R84" s="1">
        <f>(Main_S[[#This Row],[ROA]]-VLOOKUP(Main_S[[#This Row],[Industry]], Mean_ROA_S, 2, FALSE))/(VLOOKUP(Main_S[[#This Row],[Industry]], Mean_ROA_S, 3, FALSE))</f>
        <v>-0.45171186514623907</v>
      </c>
      <c r="S84" s="1">
        <f>(Main_S[[#This Row],[A/E]]-VLOOKUP(Main_S[[#This Row],[Industry]], Mean_AE_S, 2, FALSE))/(VLOOKUP(Main_S[[#This Row],[Industry]], Mean_AE_S, 3, FALSE))</f>
        <v>3.5157640941120341</v>
      </c>
      <c r="T84" s="1">
        <f>(Main_S[[#This Row],[P/E]]-VLOOKUP(Main_S[[#This Row],[Industry]], Mean_PE_S, 2, FALSE))/(VLOOKUP(Main_S[[#This Row],[Industry]], Mean_PE_S, 3, FALSE))</f>
        <v>0.17991004676229758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5" spans="1:26" x14ac:dyDescent="0.25">
      <c r="A85" t="s">
        <v>124</v>
      </c>
      <c r="B85" t="s">
        <v>371</v>
      </c>
      <c r="C85" s="2">
        <v>565</v>
      </c>
      <c r="D85">
        <f>RTD("tos.rtd", , "LAST", Main_S[[#This Row],[Symbol]])</f>
        <v>1.1599999999999999</v>
      </c>
      <c r="E85">
        <v>-1.1599999999999999</v>
      </c>
      <c r="F85">
        <v>1.27</v>
      </c>
      <c r="G85">
        <v>-0.13</v>
      </c>
      <c r="H85" s="1">
        <f>IF(ISNUMBER(Main_S[[#This Row],[Free CF]]),IF(Main_S[[#This Row],[Free CF]]&lt;&gt;0,Main_S[[#This Row],[Current Price]]/Main_S[[#This Row],[Free CF]],""),"")</f>
        <v>-1</v>
      </c>
      <c r="I85" s="1">
        <f>IF(ISNUMBER(Main_S[[#This Row],[BVPS]]),IF(Main_S[[#This Row],[BVPS]]&lt;&gt;0,Main_S[[#This Row],[Current Price]]/Main_S[[#This Row],[BVPS]],""),"")</f>
        <v>0.91338582677165348</v>
      </c>
      <c r="J85">
        <v>-11.98</v>
      </c>
      <c r="K85">
        <v>-12.38</v>
      </c>
      <c r="L85">
        <v>1.1000000000000001</v>
      </c>
      <c r="M85" s="1">
        <f>IF(ISNUMBER(Main_S[[#This Row],[EPS]]),IF(Main_S[[#This Row],[EPS]]&lt;&gt;0,Main_S[[#This Row],[Current Price]]/Main_S[[#This Row],[EPS]],""),"")</f>
        <v>-8.9230769230769216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-0.56458653901059808</v>
      </c>
      <c r="P85" s="1">
        <f>(Main_S[[#This Row],[P/B]]-VLOOKUP(Main_S[[#This Row],[Industry]], Mean_PB_S, 2, FALSE))/(VLOOKUP(Main_S[[#This Row],[Industry]], Mean_PB_S, 3, FALSE))</f>
        <v>-0.80817668661485853</v>
      </c>
      <c r="Q85" s="1">
        <f>(Main_S[[#This Row],[ROE]]-VLOOKUP(Main_S[[#This Row],[Industry]], Mean_ROE_S, 2, FALSE))/(VLOOKUP(Main_S[[#This Row],[Industry]], Mean_ROE_S, 3, FALSE))</f>
        <v>-0.28707491227184817</v>
      </c>
      <c r="R85" s="1">
        <f>(Main_S[[#This Row],[ROA]]-VLOOKUP(Main_S[[#This Row],[Industry]], Mean_ROA_S, 2, FALSE))/(VLOOKUP(Main_S[[#This Row],[Industry]], Mean_ROA_S, 3, FALSE))</f>
        <v>-1.9988027733574847</v>
      </c>
      <c r="S85" s="1">
        <f>(Main_S[[#This Row],[A/E]]-VLOOKUP(Main_S[[#This Row],[Industry]], Mean_AE_S, 2, FALSE))/(VLOOKUP(Main_S[[#This Row],[Industry]], Mean_AE_S, 3, FALSE))</f>
        <v>-0.83682132635783302</v>
      </c>
      <c r="T85" s="1">
        <f>(Main_S[[#This Row],[P/E]]-VLOOKUP(Main_S[[#This Row],[Industry]], Mean_PE_S, 2, FALSE))/(VLOOKUP(Main_S[[#This Row],[Industry]], Mean_PE_S, 3, FALSE))</f>
        <v>-7.6078499858700452E-2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t="s">
        <v>124</v>
      </c>
      <c r="B86" t="s">
        <v>372</v>
      </c>
      <c r="C86" s="2">
        <v>851</v>
      </c>
      <c r="D86">
        <f>RTD("tos.rtd", , "LAST", Main_S[[#This Row],[Symbol]])</f>
        <v>3.63</v>
      </c>
      <c r="E86">
        <v>-0.09</v>
      </c>
      <c r="F86">
        <v>-0.22</v>
      </c>
      <c r="G86">
        <v>-0.24</v>
      </c>
      <c r="H86" s="1">
        <f>IF(ISNUMBER(Main_S[[#This Row],[Free CF]]),IF(Main_S[[#This Row],[Free CF]]&lt;&gt;0,Main_S[[#This Row],[Current Price]]/Main_S[[#This Row],[Free CF]],""),"")</f>
        <v>-40.333333333333336</v>
      </c>
      <c r="I86" s="1">
        <f>IF(ISNUMBER(Main_S[[#This Row],[BVPS]]),IF(Main_S[[#This Row],[BVPS]]&lt;&gt;0,Main_S[[#This Row],[Current Price]]/Main_S[[#This Row],[BVPS]],""),"")</f>
        <v>-16.5</v>
      </c>
      <c r="J86">
        <v>-52.75</v>
      </c>
      <c r="K86">
        <v>-13.72</v>
      </c>
      <c r="L86">
        <v>-3.16</v>
      </c>
      <c r="M86" s="1">
        <f>IF(ISNUMBER(Main_S[[#This Row],[EPS]]),IF(Main_S[[#This Row],[EPS]]&lt;&gt;0,Main_S[[#This Row],[Current Price]]/Main_S[[#This Row],[EPS]],""),"")</f>
        <v>-15.125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-2.2751701254182684</v>
      </c>
      <c r="P86" s="1">
        <f>(Main_S[[#This Row],[P/B]]-VLOOKUP(Main_S[[#This Row],[Industry]], Mean_PB_S, 2, FALSE))/(VLOOKUP(Main_S[[#This Row],[Industry]], Mean_PB_S, 3, FALSE))</f>
        <v>-6.3974568188875089</v>
      </c>
      <c r="Q86" s="1">
        <f>(Main_S[[#This Row],[ROE]]-VLOOKUP(Main_S[[#This Row],[Industry]], Mean_ROE_S, 2, FALSE))/(VLOOKUP(Main_S[[#This Row],[Industry]], Mean_ROE_S, 3, FALSE))</f>
        <v>-1.5721083258222899</v>
      </c>
      <c r="R86" s="1">
        <f>(Main_S[[#This Row],[ROA]]-VLOOKUP(Main_S[[#This Row],[Industry]], Mean_ROA_S, 2, FALSE))/(VLOOKUP(Main_S[[#This Row],[Industry]], Mean_ROA_S, 3, FALSE))</f>
        <v>-2.2296604367208555</v>
      </c>
      <c r="S86" s="1">
        <f>(Main_S[[#This Row],[A/E]]-VLOOKUP(Main_S[[#This Row],[Industry]], Mean_AE_S, 2, FALSE))/(VLOOKUP(Main_S[[#This Row],[Industry]], Mean_AE_S, 3, FALSE))</f>
        <v>-5.4264287251701191</v>
      </c>
      <c r="T86" s="1">
        <f>(Main_S[[#This Row],[P/E]]-VLOOKUP(Main_S[[#This Row],[Industry]], Mean_PE_S, 2, FALSE))/(VLOOKUP(Main_S[[#This Row],[Industry]], Mean_PE_S, 3, FALSE))</f>
        <v>-0.289049430539767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t="s">
        <v>124</v>
      </c>
      <c r="B87" t="s">
        <v>373</v>
      </c>
      <c r="C87" s="2">
        <v>410</v>
      </c>
      <c r="D87">
        <f>RTD("tos.rtd", , "LAST", Main_S[[#This Row],[Symbol]])</f>
        <v>2.2400000000000002</v>
      </c>
      <c r="E87">
        <v>-0.76</v>
      </c>
      <c r="F87">
        <v>2.54</v>
      </c>
      <c r="G87">
        <v>0.19</v>
      </c>
      <c r="H87" s="1">
        <f>IF(ISNUMBER(Main_S[[#This Row],[Free CF]]),IF(Main_S[[#This Row],[Free CF]]&lt;&gt;0,Main_S[[#This Row],[Current Price]]/Main_S[[#This Row],[Free CF]],""),"")</f>
        <v>-2.9473684210526319</v>
      </c>
      <c r="I87" s="1">
        <f>IF(ISNUMBER(Main_S[[#This Row],[BVPS]]),IF(Main_S[[#This Row],[BVPS]]&lt;&gt;0,Main_S[[#This Row],[Current Price]]/Main_S[[#This Row],[BVPS]],""),"")</f>
        <v>0.88188976377952766</v>
      </c>
      <c r="J87">
        <v>9.19</v>
      </c>
      <c r="K87">
        <v>4.6399999999999997</v>
      </c>
      <c r="L87">
        <v>1.18</v>
      </c>
      <c r="M87" s="1">
        <f>IF(ISNUMBER(Main_S[[#This Row],[EPS]]),IF(Main_S[[#This Row],[EPS]]&lt;&gt;0,Main_S[[#This Row],[Current Price]]/Main_S[[#This Row],[EPS]],""),"")</f>
        <v>11.789473684210527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-0.64927644895317227</v>
      </c>
      <c r="P87" s="1">
        <f>(Main_S[[#This Row],[P/B]]-VLOOKUP(Main_S[[#This Row],[Industry]], Mean_PB_S, 2, FALSE))/(VLOOKUP(Main_S[[#This Row],[Industry]], Mean_PB_S, 3, FALSE))</f>
        <v>-0.81828616910596874</v>
      </c>
      <c r="Q87" s="1">
        <f>(Main_S[[#This Row],[ROE]]-VLOOKUP(Main_S[[#This Row],[Industry]], Mean_ROE_S, 2, FALSE))/(VLOOKUP(Main_S[[#This Row],[Industry]], Mean_ROE_S, 3, FALSE))</f>
        <v>0.38018428235319107</v>
      </c>
      <c r="R87" s="1">
        <f>(Main_S[[#This Row],[ROA]]-VLOOKUP(Main_S[[#This Row],[Industry]], Mean_ROA_S, 2, FALSE))/(VLOOKUP(Main_S[[#This Row],[Industry]], Mean_ROA_S, 3, FALSE))</f>
        <v>0.9334341150339851</v>
      </c>
      <c r="S87" s="1">
        <f>(Main_S[[#This Row],[A/E]]-VLOOKUP(Main_S[[#This Row],[Industry]], Mean_AE_S, 2, FALSE))/(VLOOKUP(Main_S[[#This Row],[Industry]], Mean_AE_S, 3, FALSE))</f>
        <v>-0.75063151605149914</v>
      </c>
      <c r="T87" s="1">
        <f>(Main_S[[#This Row],[P/E]]-VLOOKUP(Main_S[[#This Row],[Industry]], Mean_PE_S, 2, FALSE))/(VLOOKUP(Main_S[[#This Row],[Industry]], Mean_PE_S, 3, FALSE))</f>
        <v>0.63518010894706767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t="s">
        <v>124</v>
      </c>
      <c r="B88" t="s">
        <v>374</v>
      </c>
      <c r="C88" s="2">
        <v>436</v>
      </c>
      <c r="D88">
        <f>RTD("tos.rtd", , "LAST", Main_S[[#This Row],[Symbol]])</f>
        <v>23.2</v>
      </c>
      <c r="E88">
        <v>4.58</v>
      </c>
      <c r="F88">
        <v>-4.07</v>
      </c>
      <c r="G88">
        <v>4.62</v>
      </c>
      <c r="H88" s="1">
        <f>IF(ISNUMBER(Main_S[[#This Row],[Free CF]]),IF(Main_S[[#This Row],[Free CF]]&lt;&gt;0,Main_S[[#This Row],[Current Price]]/Main_S[[#This Row],[Free CF]],""),"")</f>
        <v>5.0655021834061129</v>
      </c>
      <c r="I88" s="1">
        <f>IF(ISNUMBER(Main_S[[#This Row],[BVPS]]),IF(Main_S[[#This Row],[BVPS]]&lt;&gt;0,Main_S[[#This Row],[Current Price]]/Main_S[[#This Row],[BVPS]],""),"")</f>
        <v>-5.7002457002456994</v>
      </c>
      <c r="J88">
        <v>-69.98</v>
      </c>
      <c r="K88">
        <v>14.95</v>
      </c>
      <c r="L88">
        <v>-7.58</v>
      </c>
      <c r="M88" s="1">
        <f>IF(ISNUMBER(Main_S[[#This Row],[EPS]]),IF(Main_S[[#This Row],[EPS]]&lt;&gt;0,Main_S[[#This Row],[Current Price]]/Main_S[[#This Row],[EPS]],""),"")</f>
        <v>5.0216450216450212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-0.30080140820752055</v>
      </c>
      <c r="P88" s="1">
        <f>(Main_S[[#This Row],[P/B]]-VLOOKUP(Main_S[[#This Row],[Industry]], Mean_PB_S, 2, FALSE))/(VLOOKUP(Main_S[[#This Row],[Industry]], Mean_PB_S, 3, FALSE))</f>
        <v>-2.9309941365847996</v>
      </c>
      <c r="Q88" s="1">
        <f>(Main_S[[#This Row],[ROE]]-VLOOKUP(Main_S[[#This Row],[Industry]], Mean_ROE_S, 2, FALSE))/(VLOOKUP(Main_S[[#This Row],[Industry]], Mean_ROE_S, 3, FALSE))</f>
        <v>-2.1151822948062025</v>
      </c>
      <c r="R88" s="1">
        <f>(Main_S[[#This Row],[ROA]]-VLOOKUP(Main_S[[#This Row],[Industry]], Mean_ROA_S, 2, FALSE))/(VLOOKUP(Main_S[[#This Row],[Industry]], Mean_ROA_S, 3, FALSE))</f>
        <v>2.7096598682252924</v>
      </c>
      <c r="S88" s="1">
        <f>(Main_S[[#This Row],[A/E]]-VLOOKUP(Main_S[[#This Row],[Industry]], Mean_AE_S, 2, FALSE))/(VLOOKUP(Main_S[[#This Row],[Industry]], Mean_AE_S, 3, FALSE))</f>
        <v>-10.188415744595074</v>
      </c>
      <c r="T88" s="1">
        <f>(Main_S[[#This Row],[P/E]]-VLOOKUP(Main_S[[#This Row],[Industry]], Mean_PE_S, 2, FALSE))/(VLOOKUP(Main_S[[#This Row],[Industry]], Mean_PE_S, 3, FALSE))</f>
        <v>0.40277626403003886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t="s">
        <v>124</v>
      </c>
      <c r="B89" t="s">
        <v>375</v>
      </c>
      <c r="C89" s="2">
        <v>698</v>
      </c>
      <c r="D89">
        <f>RTD("tos.rtd", , "LAST", Main_S[[#This Row],[Symbol]])</f>
        <v>9.9</v>
      </c>
      <c r="E89">
        <v>0.47</v>
      </c>
      <c r="F89">
        <v>2.75</v>
      </c>
      <c r="G89">
        <v>-0.17</v>
      </c>
      <c r="H89" s="1">
        <f>IF(ISNUMBER(Main_S[[#This Row],[Free CF]]),IF(Main_S[[#This Row],[Free CF]]&lt;&gt;0,Main_S[[#This Row],[Current Price]]/Main_S[[#This Row],[Free CF]],""),"")</f>
        <v>21.063829787234045</v>
      </c>
      <c r="I89" s="1">
        <f>IF(ISNUMBER(Main_S[[#This Row],[BVPS]]),IF(Main_S[[#This Row],[BVPS]]&lt;&gt;0,Main_S[[#This Row],[Current Price]]/Main_S[[#This Row],[BVPS]],""),"")</f>
        <v>3.6</v>
      </c>
      <c r="J89">
        <v>-3.35</v>
      </c>
      <c r="K89">
        <v>-0.66</v>
      </c>
      <c r="L89">
        <v>2.5099999999999998</v>
      </c>
      <c r="M89" s="1">
        <f>IF(ISNUMBER(Main_S[[#This Row],[EPS]]),IF(Main_S[[#This Row],[EPS]]&lt;&gt;0,Main_S[[#This Row],[Current Price]]/Main_S[[#This Row],[EPS]],""),"")</f>
        <v>-58.235294117647058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0.39495647168436454</v>
      </c>
      <c r="P89" s="1">
        <f>(Main_S[[#This Row],[P/B]]-VLOOKUP(Main_S[[#This Row],[Industry]], Mean_PB_S, 2, FALSE))/(VLOOKUP(Main_S[[#This Row],[Industry]], Mean_PB_S, 3, FALSE))</f>
        <v>5.4162169876856889E-2</v>
      </c>
      <c r="Q89" s="1">
        <f>(Main_S[[#This Row],[ROE]]-VLOOKUP(Main_S[[#This Row],[Industry]], Mean_ROE_S, 2, FALSE))/(VLOOKUP(Main_S[[#This Row],[Industry]], Mean_ROE_S, 3, FALSE))</f>
        <v>-1.5065141387857235E-2</v>
      </c>
      <c r="R89" s="1">
        <f>(Main_S[[#This Row],[ROA]]-VLOOKUP(Main_S[[#This Row],[Industry]], Mean_ROA_S, 2, FALSE))/(VLOOKUP(Main_S[[#This Row],[Industry]], Mean_ROA_S, 3, FALSE))</f>
        <v>2.0340371880354736E-2</v>
      </c>
      <c r="S89" s="1">
        <f>(Main_S[[#This Row],[A/E]]-VLOOKUP(Main_S[[#This Row],[Industry]], Mean_AE_S, 2, FALSE))/(VLOOKUP(Main_S[[#This Row],[Industry]], Mean_AE_S, 3, FALSE))</f>
        <v>0.68227408029130354</v>
      </c>
      <c r="T89" s="1">
        <f>(Main_S[[#This Row],[P/E]]-VLOOKUP(Main_S[[#This Row],[Industry]], Mean_PE_S, 2, FALSE))/(VLOOKUP(Main_S[[#This Row],[Industry]], Mean_PE_S, 3, FALSE))</f>
        <v>-1.7694353279935022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t="s">
        <v>124</v>
      </c>
      <c r="B90" t="s">
        <v>376</v>
      </c>
      <c r="C90" s="2">
        <v>1121</v>
      </c>
      <c r="D90">
        <f>RTD("tos.rtd", , "LAST", Main_S[[#This Row],[Symbol]])</f>
        <v>3.43</v>
      </c>
      <c r="E90">
        <v>-1.21</v>
      </c>
      <c r="F90">
        <v>1.94</v>
      </c>
      <c r="G90">
        <v>-0.14000000000000001</v>
      </c>
      <c r="H90" s="1">
        <f>IF(ISNUMBER(Main_S[[#This Row],[Free CF]]),IF(Main_S[[#This Row],[Free CF]]&lt;&gt;0,Main_S[[#This Row],[Current Price]]/Main_S[[#This Row],[Free CF]],""),"")</f>
        <v>-2.834710743801653</v>
      </c>
      <c r="I90" s="1">
        <f>IF(ISNUMBER(Main_S[[#This Row],[BVPS]]),IF(Main_S[[#This Row],[BVPS]]&lt;&gt;0,Main_S[[#This Row],[Current Price]]/Main_S[[#This Row],[BVPS]],""),"")</f>
        <v>1.7680412371134022</v>
      </c>
      <c r="J90">
        <v>-7.61</v>
      </c>
      <c r="K90">
        <v>-3.59</v>
      </c>
      <c r="L90">
        <v>1.25</v>
      </c>
      <c r="M90" s="1">
        <f>IF(ISNUMBER(Main_S[[#This Row],[EPS]]),IF(Main_S[[#This Row],[EPS]]&lt;&gt;0,Main_S[[#This Row],[Current Price]]/Main_S[[#This Row],[EPS]],""),"")</f>
        <v>-24.5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-0.64437703267550273</v>
      </c>
      <c r="P90" s="1">
        <f>(Main_S[[#This Row],[P/B]]-VLOOKUP(Main_S[[#This Row],[Industry]], Mean_PB_S, 2, FALSE))/(VLOOKUP(Main_S[[#This Row],[Industry]], Mean_PB_S, 3, FALSE))</f>
        <v>-0.53385275257450882</v>
      </c>
      <c r="Q90" s="1">
        <f>(Main_S[[#This Row],[ROE]]-VLOOKUP(Main_S[[#This Row],[Industry]], Mean_ROE_S, 2, FALSE))/(VLOOKUP(Main_S[[#This Row],[Industry]], Mean_ROE_S, 3, FALSE))</f>
        <v>-0.14933647672572534</v>
      </c>
      <c r="R90" s="1">
        <f>(Main_S[[#This Row],[ROA]]-VLOOKUP(Main_S[[#This Row],[Industry]], Mean_ROA_S, 2, FALSE))/(VLOOKUP(Main_S[[#This Row],[Industry]], Mean_ROA_S, 3, FALSE))</f>
        <v>-0.48444541442910505</v>
      </c>
      <c r="S90" s="1">
        <f>(Main_S[[#This Row],[A/E]]-VLOOKUP(Main_S[[#This Row],[Industry]], Mean_AE_S, 2, FALSE))/(VLOOKUP(Main_S[[#This Row],[Industry]], Mean_AE_S, 3, FALSE))</f>
        <v>-0.6752154320334568</v>
      </c>
      <c r="T90" s="1">
        <f>(Main_S[[#This Row],[P/E]]-VLOOKUP(Main_S[[#This Row],[Industry]], Mean_PE_S, 2, FALSE))/(VLOOKUP(Main_S[[#This Row],[Industry]], Mean_PE_S, 3, FALSE))</f>
        <v>-0.61098223273207686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t="s">
        <v>124</v>
      </c>
      <c r="B91" t="s">
        <v>377</v>
      </c>
      <c r="C91" s="2">
        <v>432</v>
      </c>
      <c r="D91">
        <f>RTD("tos.rtd", , "LAST", Main_S[[#This Row],[Symbol]])</f>
        <v>10.17</v>
      </c>
      <c r="E91">
        <v>0.56999999999999995</v>
      </c>
      <c r="F91">
        <v>2.81</v>
      </c>
      <c r="G91">
        <v>-15.18</v>
      </c>
      <c r="H91" s="1">
        <f>IF(ISNUMBER(Main_S[[#This Row],[Free CF]]),IF(Main_S[[#This Row],[Free CF]]&lt;&gt;0,Main_S[[#This Row],[Current Price]]/Main_S[[#This Row],[Free CF]],""),"")</f>
        <v>17.842105263157897</v>
      </c>
      <c r="I91" s="1">
        <f>IF(ISNUMBER(Main_S[[#This Row],[BVPS]]),IF(Main_S[[#This Row],[BVPS]]&lt;&gt;0,Main_S[[#This Row],[Current Price]]/Main_S[[#This Row],[BVPS]],""),"")</f>
        <v>3.6192170818505338</v>
      </c>
      <c r="J91">
        <v>-149.38</v>
      </c>
      <c r="K91">
        <v>-1.25</v>
      </c>
      <c r="L91">
        <v>5.12</v>
      </c>
      <c r="M91" s="1">
        <f>IF(ISNUMBER(Main_S[[#This Row],[EPS]]),IF(Main_S[[#This Row],[EPS]]&lt;&gt;0,Main_S[[#This Row],[Current Price]]/Main_S[[#This Row],[EPS]],""),"")</f>
        <v>-0.66996047430830041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0.25484556259593094</v>
      </c>
      <c r="P91" s="1">
        <f>(Main_S[[#This Row],[P/B]]-VLOOKUP(Main_S[[#This Row],[Industry]], Mean_PB_S, 2, FALSE))/(VLOOKUP(Main_S[[#This Row],[Industry]], Mean_PB_S, 3, FALSE))</f>
        <v>6.0330393268674919E-2</v>
      </c>
      <c r="Q91" s="1">
        <f>(Main_S[[#This Row],[ROE]]-VLOOKUP(Main_S[[#This Row],[Industry]], Mean_ROE_S, 2, FALSE))/(VLOOKUP(Main_S[[#This Row],[Industry]], Mean_ROE_S, 3, FALSE))</f>
        <v>-4.617798263310128</v>
      </c>
      <c r="R91" s="1">
        <f>(Main_S[[#This Row],[ROA]]-VLOOKUP(Main_S[[#This Row],[Industry]], Mean_ROA_S, 2, FALSE))/(VLOOKUP(Main_S[[#This Row],[Industry]], Mean_ROA_S, 3, FALSE))</f>
        <v>-8.1305912734860708E-2</v>
      </c>
      <c r="S91" s="1">
        <f>(Main_S[[#This Row],[A/E]]-VLOOKUP(Main_S[[#This Row],[Industry]], Mean_AE_S, 2, FALSE))/(VLOOKUP(Main_S[[#This Row],[Industry]], Mean_AE_S, 3, FALSE))</f>
        <v>3.4942166415354512</v>
      </c>
      <c r="T91" s="1">
        <f>(Main_S[[#This Row],[P/E]]-VLOOKUP(Main_S[[#This Row],[Industry]], Mean_PE_S, 2, FALSE))/(VLOOKUP(Main_S[[#This Row],[Industry]], Mean_PE_S, 3, FALSE))</f>
        <v>0.20732938335959575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t="s">
        <v>124</v>
      </c>
      <c r="B92" t="s">
        <v>378</v>
      </c>
      <c r="C92" s="2">
        <v>1995</v>
      </c>
      <c r="D92">
        <f>RTD("tos.rtd", , "LAST", Main_S[[#This Row],[Symbol]])</f>
        <v>8.49</v>
      </c>
      <c r="E92">
        <v>0.23</v>
      </c>
      <c r="F92">
        <v>2.4</v>
      </c>
      <c r="G92">
        <v>0.44</v>
      </c>
      <c r="H92" s="1">
        <f>IF(ISNUMBER(Main_S[[#This Row],[Free CF]]),IF(Main_S[[#This Row],[Free CF]]&lt;&gt;0,Main_S[[#This Row],[Current Price]]/Main_S[[#This Row],[Free CF]],""),"")</f>
        <v>36.913043478260867</v>
      </c>
      <c r="I92" s="1">
        <f>IF(ISNUMBER(Main_S[[#This Row],[BVPS]]),IF(Main_S[[#This Row],[BVPS]]&lt;&gt;0,Main_S[[#This Row],[Current Price]]/Main_S[[#This Row],[BVPS]],""),"")</f>
        <v>3.5375000000000001</v>
      </c>
      <c r="J92">
        <v>18.829999999999998</v>
      </c>
      <c r="K92">
        <v>1.39</v>
      </c>
      <c r="L92">
        <v>1.93</v>
      </c>
      <c r="M92" s="1">
        <f>IF(ISNUMBER(Main_S[[#This Row],[EPS]]),IF(Main_S[[#This Row],[EPS]]&lt;&gt;0,Main_S[[#This Row],[Current Price]]/Main_S[[#This Row],[EPS]],""),"")</f>
        <v>19.295454545454547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1.0842294750065224</v>
      </c>
      <c r="P92" s="1">
        <f>(Main_S[[#This Row],[P/B]]-VLOOKUP(Main_S[[#This Row],[Industry]], Mean_PB_S, 2, FALSE))/(VLOOKUP(Main_S[[#This Row],[Industry]], Mean_PB_S, 3, FALSE))</f>
        <v>3.4101165558559729E-2</v>
      </c>
      <c r="Q92" s="1">
        <f>(Main_S[[#This Row],[ROE]]-VLOOKUP(Main_S[[#This Row],[Industry]], Mean_ROE_S, 2, FALSE))/(VLOOKUP(Main_S[[#This Row],[Industry]], Mean_ROE_S, 3, FALSE))</f>
        <v>0.68402833696752163</v>
      </c>
      <c r="R92" s="1">
        <f>(Main_S[[#This Row],[ROA]]-VLOOKUP(Main_S[[#This Row],[Industry]], Mean_ROA_S, 2, FALSE))/(VLOOKUP(Main_S[[#This Row],[Industry]], Mean_ROA_S, 3, FALSE))</f>
        <v>0.37351814045864573</v>
      </c>
      <c r="S92" s="1">
        <f>(Main_S[[#This Row],[A/E]]-VLOOKUP(Main_S[[#This Row],[Industry]], Mean_AE_S, 2, FALSE))/(VLOOKUP(Main_S[[#This Row],[Industry]], Mean_AE_S, 3, FALSE))</f>
        <v>5.7397955570382145E-2</v>
      </c>
      <c r="T92" s="1">
        <f>(Main_S[[#This Row],[P/E]]-VLOOKUP(Main_S[[#This Row],[Industry]], Mean_PE_S, 2, FALSE))/(VLOOKUP(Main_S[[#This Row],[Industry]], Mean_PE_S, 3, FALSE))</f>
        <v>0.89293173047902863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3" spans="1:26" x14ac:dyDescent="0.25">
      <c r="A93" t="s">
        <v>124</v>
      </c>
      <c r="B93" t="s">
        <v>379</v>
      </c>
      <c r="C93" s="2">
        <v>991</v>
      </c>
      <c r="D93">
        <f>RTD("tos.rtd", , "LAST", Main_S[[#This Row],[Symbol]])</f>
        <v>26.59</v>
      </c>
      <c r="E93">
        <v>0.93</v>
      </c>
      <c r="F93">
        <v>1.91</v>
      </c>
      <c r="G93">
        <v>0.86</v>
      </c>
      <c r="H93" s="1">
        <f>IF(ISNUMBER(Main_S[[#This Row],[Free CF]]),IF(Main_S[[#This Row],[Free CF]]&lt;&gt;0,Main_S[[#This Row],[Current Price]]/Main_S[[#This Row],[Free CF]],""),"")</f>
        <v>28.591397849462364</v>
      </c>
      <c r="I93" s="1">
        <f>IF(ISNUMBER(Main_S[[#This Row],[BVPS]]),IF(Main_S[[#This Row],[BVPS]]&lt;&gt;0,Main_S[[#This Row],[Current Price]]/Main_S[[#This Row],[BVPS]],""),"")</f>
        <v>13.921465968586388</v>
      </c>
      <c r="J93">
        <v>49.29</v>
      </c>
      <c r="K93">
        <v>6.77</v>
      </c>
      <c r="L93">
        <v>3.3</v>
      </c>
      <c r="M93" s="1">
        <f>IF(ISNUMBER(Main_S[[#This Row],[EPS]]),IF(Main_S[[#This Row],[EPS]]&lt;&gt;0,Main_S[[#This Row],[Current Price]]/Main_S[[#This Row],[EPS]],""),"")</f>
        <v>30.918604651162791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0.72232598963727179</v>
      </c>
      <c r="P93" s="1">
        <f>(Main_S[[#This Row],[P/B]]-VLOOKUP(Main_S[[#This Row],[Industry]], Mean_PB_S, 2, FALSE))/(VLOOKUP(Main_S[[#This Row],[Industry]], Mean_PB_S, 3, FALSE))</f>
        <v>3.3671057437483554</v>
      </c>
      <c r="Q93" s="1">
        <f>(Main_S[[#This Row],[ROE]]-VLOOKUP(Main_S[[#This Row],[Industry]], Mean_ROE_S, 2, FALSE))/(VLOOKUP(Main_S[[#This Row],[Industry]], Mean_ROE_S, 3, FALSE))</f>
        <v>1.6440999037260806</v>
      </c>
      <c r="R93" s="1">
        <f>(Main_S[[#This Row],[ROA]]-VLOOKUP(Main_S[[#This Row],[Industry]], Mean_ROA_S, 2, FALSE))/(VLOOKUP(Main_S[[#This Row],[Industry]], Mean_ROA_S, 3, FALSE))</f>
        <v>1.300394430678746</v>
      </c>
      <c r="S93" s="1">
        <f>(Main_S[[#This Row],[A/E]]-VLOOKUP(Main_S[[#This Row],[Industry]], Mean_AE_S, 2, FALSE))/(VLOOKUP(Main_S[[#This Row],[Industry]], Mean_AE_S, 3, FALSE))</f>
        <v>1.5333984570663519</v>
      </c>
      <c r="T93" s="1">
        <f>(Main_S[[#This Row],[P/E]]-VLOOKUP(Main_S[[#This Row],[Industry]], Mean_PE_S, 2, FALSE))/(VLOOKUP(Main_S[[#This Row],[Industry]], Mean_PE_S, 3, FALSE))</f>
        <v>1.2920648807544952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t="s">
        <v>124</v>
      </c>
      <c r="B94" t="s">
        <v>380</v>
      </c>
      <c r="C94" s="2">
        <v>1265</v>
      </c>
      <c r="D94">
        <f>RTD("tos.rtd", , "LAST", Main_S[[#This Row],[Symbol]])</f>
        <v>77</v>
      </c>
      <c r="H94" s="1" t="str">
        <f>IF(ISNUMBER(Main_S[[#This Row],[Free CF]]),IF(Main_S[[#This Row],[Free CF]]&lt;&gt;0,Main_S[[#This Row],[Current Price]]/Main_S[[#This Row],[Free CF]],""),"")</f>
        <v/>
      </c>
      <c r="I94" s="1" t="str">
        <f>IF(ISNUMBER(Main_S[[#This Row],[BVPS]]),IF(Main_S[[#This Row],[BVPS]]&lt;&gt;0,Main_S[[#This Row],[Current Price]]/Main_S[[#This Row],[BVPS]],""),"")</f>
        <v/>
      </c>
      <c r="J94">
        <v>22.93</v>
      </c>
      <c r="K94">
        <v>-395.93</v>
      </c>
      <c r="L94">
        <v>-7.0000000000000007E-2</v>
      </c>
      <c r="M94" s="1" t="str">
        <f>IF(ISNUMBER(Main_S[[#This Row],[EPS]]),IF(Main_S[[#This Row],[EPS]]&lt;&gt;0,Main_S[[#This Row],[Current Price]]/Main_S[[#This Row],[EPS]],""),"")</f>
        <v/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 t="e">
        <f>(Main_S[[#This Row],[P/FCF]]-VLOOKUP(Main_S[[#This Row],[Industry]], Mean_PFCF_S, 2, FALSE))/(VLOOKUP(Main_S[[#This Row],[Industry]], Mean_PFCF_S, 3, FALSE))</f>
        <v>#VALUE!</v>
      </c>
      <c r="P94" s="1" t="e">
        <f>(Main_S[[#This Row],[P/B]]-VLOOKUP(Main_S[[#This Row],[Industry]], Mean_PB_S, 2, FALSE))/(VLOOKUP(Main_S[[#This Row],[Industry]], Mean_PB_S, 3, FALSE))</f>
        <v>#VALUE!</v>
      </c>
      <c r="Q94" s="1">
        <f>(Main_S[[#This Row],[ROE]]-VLOOKUP(Main_S[[#This Row],[Industry]], Mean_ROE_S, 2, FALSE))/(VLOOKUP(Main_S[[#This Row],[Industry]], Mean_ROE_S, 3, FALSE))</f>
        <v>0.81325661745701905</v>
      </c>
      <c r="R94" s="1">
        <f>(Main_S[[#This Row],[ROA]]-VLOOKUP(Main_S[[#This Row],[Industry]], Mean_ROA_S, 2, FALSE))/(VLOOKUP(Main_S[[#This Row],[Industry]], Mean_ROA_S, 3, FALSE))</f>
        <v>-68.077501865164081</v>
      </c>
      <c r="S94" s="1">
        <f>(Main_S[[#This Row],[A/E]]-VLOOKUP(Main_S[[#This Row],[Industry]], Mean_AE_S, 2, FALSE))/(VLOOKUP(Main_S[[#This Row],[Industry]], Mean_AE_S, 3, FALSE))</f>
        <v>-2.097347302087968</v>
      </c>
      <c r="T94" s="1" t="e">
        <f>(Main_S[[#This Row],[P/E]]-VLOOKUP(Main_S[[#This Row],[Industry]], Mean_PE_S, 2, FALSE))/(VLOOKUP(Main_S[[#This Row],[Industry]], Mean_PE_S, 3, FALSE))</f>
        <v>#VALUE!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5" spans="1:26" x14ac:dyDescent="0.25">
      <c r="A95" t="s">
        <v>124</v>
      </c>
      <c r="B95" t="s">
        <v>381</v>
      </c>
      <c r="C95" s="2">
        <v>539</v>
      </c>
      <c r="D95">
        <f>RTD("tos.rtd", , "LAST", Main_S[[#This Row],[Symbol]])</f>
        <v>413.01</v>
      </c>
      <c r="E95">
        <v>2.35</v>
      </c>
      <c r="F95">
        <v>210.32</v>
      </c>
      <c r="G95">
        <v>55.48</v>
      </c>
      <c r="H95" s="1">
        <f>IF(ISNUMBER(Main_S[[#This Row],[Free CF]]),IF(Main_S[[#This Row],[Free CF]]&lt;&gt;0,Main_S[[#This Row],[Current Price]]/Main_S[[#This Row],[Free CF]],""),"")</f>
        <v>175.74893617021274</v>
      </c>
      <c r="I95" s="1">
        <f>IF(ISNUMBER(Main_S[[#This Row],[BVPS]]),IF(Main_S[[#This Row],[BVPS]]&lt;&gt;0,Main_S[[#This Row],[Current Price]]/Main_S[[#This Row],[BVPS]],""),"")</f>
        <v>1.9637219475085583</v>
      </c>
      <c r="J95">
        <v>30.39</v>
      </c>
      <c r="K95">
        <v>1.05</v>
      </c>
      <c r="L95">
        <v>1.42</v>
      </c>
      <c r="M95" s="1">
        <f>IF(ISNUMBER(Main_S[[#This Row],[EPS]]),IF(Main_S[[#This Row],[EPS]]&lt;&gt;0,Main_S[[#This Row],[Current Price]]/Main_S[[#This Row],[EPS]],""),"")</f>
        <v>7.4443042537851483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7.1221209811872717</v>
      </c>
      <c r="P95" s="1">
        <f>(Main_S[[#This Row],[P/B]]-VLOOKUP(Main_S[[#This Row],[Industry]], Mean_PB_S, 2, FALSE))/(VLOOKUP(Main_S[[#This Row],[Industry]], Mean_PB_S, 3, FALSE))</f>
        <v>-0.47104392735459394</v>
      </c>
      <c r="Q95" s="1">
        <f>(Main_S[[#This Row],[ROE]]-VLOOKUP(Main_S[[#This Row],[Industry]], Mean_ROE_S, 2, FALSE))/(VLOOKUP(Main_S[[#This Row],[Industry]], Mean_ROE_S, 3, FALSE))</f>
        <v>1.0483890497622999</v>
      </c>
      <c r="R95" s="1">
        <f>(Main_S[[#This Row],[ROA]]-VLOOKUP(Main_S[[#This Row],[Industry]], Mean_ROA_S, 2, FALSE))/(VLOOKUP(Main_S[[#This Row],[Industry]], Mean_ROA_S, 3, FALSE))</f>
        <v>0.3149423154261487</v>
      </c>
      <c r="S95" s="1">
        <f>(Main_S[[#This Row],[A/E]]-VLOOKUP(Main_S[[#This Row],[Industry]], Mean_AE_S, 2, FALSE))/(VLOOKUP(Main_S[[#This Row],[Industry]], Mean_AE_S, 3, FALSE))</f>
        <v>-0.49206208513249716</v>
      </c>
      <c r="T95" s="1">
        <f>(Main_S[[#This Row],[P/E]]-VLOOKUP(Main_S[[#This Row],[Industry]], Mean_PE_S, 2, FALSE))/(VLOOKUP(Main_S[[#This Row],[Industry]], Mean_PE_S, 3, FALSE))</f>
        <v>0.48596916806843254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t="s">
        <v>124</v>
      </c>
      <c r="B96" t="s">
        <v>382</v>
      </c>
      <c r="C96" s="2">
        <v>278</v>
      </c>
      <c r="D96">
        <f>RTD("tos.rtd", , "LAST", Main_S[[#This Row],[Symbol]])</f>
        <v>13.49</v>
      </c>
      <c r="E96">
        <v>-1.1299999999999999</v>
      </c>
      <c r="F96">
        <v>2.3199999999999998</v>
      </c>
      <c r="G96">
        <v>-1.88</v>
      </c>
      <c r="H96" s="1">
        <f>IF(ISNUMBER(Main_S[[#This Row],[Free CF]]),IF(Main_S[[#This Row],[Free CF]]&lt;&gt;0,Main_S[[#This Row],[Current Price]]/Main_S[[#This Row],[Free CF]],""),"")</f>
        <v>-11.938053097345135</v>
      </c>
      <c r="I96" s="1">
        <f>IF(ISNUMBER(Main_S[[#This Row],[BVPS]]),IF(Main_S[[#This Row],[BVPS]]&lt;&gt;0,Main_S[[#This Row],[Current Price]]/Main_S[[#This Row],[BVPS]],""),"")</f>
        <v>5.8146551724137936</v>
      </c>
      <c r="J96">
        <v>-60.08</v>
      </c>
      <c r="K96">
        <v>-31.53</v>
      </c>
      <c r="L96">
        <v>1.33</v>
      </c>
      <c r="M96" s="1">
        <f>IF(ISNUMBER(Main_S[[#This Row],[EPS]]),IF(Main_S[[#This Row],[EPS]]&lt;&gt;0,Main_S[[#This Row],[Current Price]]/Main_S[[#This Row],[EPS]],""),"")</f>
        <v>-7.1755319148936172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-1.0402760499150261</v>
      </c>
      <c r="P96" s="1">
        <f>(Main_S[[#This Row],[P/B]]-VLOOKUP(Main_S[[#This Row],[Industry]], Mean_PB_S, 2, FALSE))/(VLOOKUP(Main_S[[#This Row],[Industry]], Mean_PB_S, 3, FALSE))</f>
        <v>0.76501348151417281</v>
      </c>
      <c r="Q96" s="1">
        <f>(Main_S[[#This Row],[ROE]]-VLOOKUP(Main_S[[#This Row],[Industry]], Mean_ROE_S, 2, FALSE))/(VLOOKUP(Main_S[[#This Row],[Industry]], Mean_ROE_S, 3, FALSE))</f>
        <v>-1.8031432760632693</v>
      </c>
      <c r="R96" s="1">
        <f>(Main_S[[#This Row],[ROA]]-VLOOKUP(Main_S[[#This Row],[Industry]], Mean_ROA_S, 2, FALSE))/(VLOOKUP(Main_S[[#This Row],[Industry]], Mean_ROA_S, 3, FALSE))</f>
        <v>-5.2979999773937152</v>
      </c>
      <c r="S96" s="1">
        <f>(Main_S[[#This Row],[A/E]]-VLOOKUP(Main_S[[#This Row],[Industry]], Mean_AE_S, 2, FALSE))/(VLOOKUP(Main_S[[#This Row],[Industry]], Mean_AE_S, 3, FALSE))</f>
        <v>-0.58902562172712281</v>
      </c>
      <c r="T96" s="1">
        <f>(Main_S[[#This Row],[P/E]]-VLOOKUP(Main_S[[#This Row],[Industry]], Mean_PE_S, 2, FALSE))/(VLOOKUP(Main_S[[#This Row],[Industry]], Mean_PE_S, 3, FALSE))</f>
        <v>-1.6068679971592816E-2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t="s">
        <v>124</v>
      </c>
      <c r="B97" t="s">
        <v>383</v>
      </c>
      <c r="C97" s="2">
        <v>308</v>
      </c>
      <c r="D97">
        <f>RTD("tos.rtd", , "LAST", Main_S[[#This Row],[Symbol]])</f>
        <v>8.6300000000000008</v>
      </c>
      <c r="E97">
        <v>-0.48</v>
      </c>
      <c r="F97">
        <v>-4.49</v>
      </c>
      <c r="G97">
        <v>-2.13</v>
      </c>
      <c r="H97" s="1">
        <f>IF(ISNUMBER(Main_S[[#This Row],[Free CF]]),IF(Main_S[[#This Row],[Free CF]]&lt;&gt;0,Main_S[[#This Row],[Current Price]]/Main_S[[#This Row],[Free CF]],""),"")</f>
        <v>-17.979166666666668</v>
      </c>
      <c r="I97" s="1">
        <f>IF(ISNUMBER(Main_S[[#This Row],[BVPS]]),IF(Main_S[[#This Row],[BVPS]]&lt;&gt;0,Main_S[[#This Row],[Current Price]]/Main_S[[#This Row],[BVPS]],""),"")</f>
        <v>-1.9220489977728286</v>
      </c>
      <c r="J97">
        <v>49.54</v>
      </c>
      <c r="K97">
        <v>-17.079999999999998</v>
      </c>
      <c r="L97">
        <v>-1.21</v>
      </c>
      <c r="M97" s="1">
        <f>IF(ISNUMBER(Main_S[[#This Row],[EPS]]),IF(Main_S[[#This Row],[EPS]]&lt;&gt;0,Main_S[[#This Row],[Current Price]]/Main_S[[#This Row],[EPS]],""),"")</f>
        <v>-4.0516431924882639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-1.3030005342024686</v>
      </c>
      <c r="P97" s="1">
        <f>(Main_S[[#This Row],[P/B]]-VLOOKUP(Main_S[[#This Row],[Industry]], Mean_PB_S, 2, FALSE))/(VLOOKUP(Main_S[[#This Row],[Industry]], Mean_PB_S, 3, FALSE))</f>
        <v>-1.7182834107658504</v>
      </c>
      <c r="Q97" s="1">
        <f>(Main_S[[#This Row],[ROE]]-VLOOKUP(Main_S[[#This Row],[Industry]], Mean_ROE_S, 2, FALSE))/(VLOOKUP(Main_S[[#This Row],[Industry]], Mean_ROE_S, 3, FALSE))</f>
        <v>1.6519796769266597</v>
      </c>
      <c r="R97" s="1">
        <f>(Main_S[[#This Row],[ROA]]-VLOOKUP(Main_S[[#This Row],[Industry]], Mean_ROA_S, 2, FALSE))/(VLOOKUP(Main_S[[#This Row],[Industry]], Mean_ROA_S, 3, FALSE))</f>
        <v>-2.8085274135125906</v>
      </c>
      <c r="S97" s="1">
        <f>(Main_S[[#This Row],[A/E]]-VLOOKUP(Main_S[[#This Row],[Industry]], Mean_AE_S, 2, FALSE))/(VLOOKUP(Main_S[[#This Row],[Industry]], Mean_AE_S, 3, FALSE))</f>
        <v>-3.3255520989532275</v>
      </c>
      <c r="T97" s="1">
        <f>(Main_S[[#This Row],[P/E]]-VLOOKUP(Main_S[[#This Row],[Industry]], Mean_PE_S, 2, FALSE))/(VLOOKUP(Main_S[[#This Row],[Industry]], Mean_PE_S, 3, FALSE))</f>
        <v>9.120409337677092E-2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t="s">
        <v>124</v>
      </c>
      <c r="B98" t="s">
        <v>384</v>
      </c>
      <c r="C98" s="2">
        <v>725</v>
      </c>
      <c r="D98">
        <f>RTD("tos.rtd", , "LAST", Main_S[[#This Row],[Symbol]])</f>
        <v>2.74</v>
      </c>
      <c r="E98">
        <v>0.24</v>
      </c>
      <c r="F98">
        <v>2.73</v>
      </c>
      <c r="G98">
        <v>-2.14</v>
      </c>
      <c r="H98" s="1">
        <f>IF(ISNUMBER(Main_S[[#This Row],[Free CF]]),IF(Main_S[[#This Row],[Free CF]]&lt;&gt;0,Main_S[[#This Row],[Current Price]]/Main_S[[#This Row],[Free CF]],""),"")</f>
        <v>11.416666666666668</v>
      </c>
      <c r="I98" s="1">
        <f>IF(ISNUMBER(Main_S[[#This Row],[BVPS]]),IF(Main_S[[#This Row],[BVPS]]&lt;&gt;0,Main_S[[#This Row],[Current Price]]/Main_S[[#This Row],[BVPS]],""),"")</f>
        <v>1.0036630036630036</v>
      </c>
      <c r="J98">
        <v>-58.96</v>
      </c>
      <c r="K98">
        <v>-0.32</v>
      </c>
      <c r="L98">
        <v>2.81</v>
      </c>
      <c r="M98" s="1">
        <f>IF(ISNUMBER(Main_S[[#This Row],[EPS]]),IF(Main_S[[#This Row],[EPS]]&lt;&gt;0,Main_S[[#This Row],[Current Price]]/Main_S[[#This Row],[EPS]],""),"")</f>
        <v>-1.280373831775701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-2.459299160648179E-2</v>
      </c>
      <c r="P98" s="1">
        <f>(Main_S[[#This Row],[P/B]]-VLOOKUP(Main_S[[#This Row],[Industry]], Mean_PB_S, 2, FALSE))/(VLOOKUP(Main_S[[#This Row],[Industry]], Mean_PB_S, 3, FALSE))</f>
        <v>-0.77919987324748163</v>
      </c>
      <c r="Q98" s="1">
        <f>(Main_S[[#This Row],[ROE]]-VLOOKUP(Main_S[[#This Row],[Industry]], Mean_ROE_S, 2, FALSE))/(VLOOKUP(Main_S[[#This Row],[Industry]], Mean_ROE_S, 3, FALSE))</f>
        <v>-1.767841892124675</v>
      </c>
      <c r="R98" s="1">
        <f>(Main_S[[#This Row],[ROA]]-VLOOKUP(Main_S[[#This Row],[Industry]], Mean_ROA_S, 2, FALSE))/(VLOOKUP(Main_S[[#This Row],[Industry]], Mean_ROA_S, 3, FALSE))</f>
        <v>7.8916196912851788E-2</v>
      </c>
      <c r="S98" s="1">
        <f>(Main_S[[#This Row],[A/E]]-VLOOKUP(Main_S[[#This Row],[Industry]], Mean_AE_S, 2, FALSE))/(VLOOKUP(Main_S[[#This Row],[Industry]], Mean_AE_S, 3, FALSE))</f>
        <v>1.0054858689400563</v>
      </c>
      <c r="T98" s="1">
        <f>(Main_S[[#This Row],[P/E]]-VLOOKUP(Main_S[[#This Row],[Industry]], Mean_PE_S, 2, FALSE))/(VLOOKUP(Main_S[[#This Row],[Industry]], Mean_PE_S, 3, FALSE))</f>
        <v>0.18636809454198547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t="s">
        <v>124</v>
      </c>
      <c r="B99" t="s">
        <v>385</v>
      </c>
      <c r="C99" s="2">
        <v>1853</v>
      </c>
      <c r="D99">
        <f>RTD("tos.rtd", , "LAST", Main_S[[#This Row],[Symbol]])</f>
        <v>11.13</v>
      </c>
      <c r="E99">
        <v>0.51</v>
      </c>
      <c r="F99">
        <v>4.09</v>
      </c>
      <c r="G99">
        <v>-0.22</v>
      </c>
      <c r="H99" s="1">
        <f>IF(ISNUMBER(Main_S[[#This Row],[Free CF]]),IF(Main_S[[#This Row],[Free CF]]&lt;&gt;0,Main_S[[#This Row],[Current Price]]/Main_S[[#This Row],[Free CF]],""),"")</f>
        <v>21.823529411764707</v>
      </c>
      <c r="I99" s="1">
        <f>IF(ISNUMBER(Main_S[[#This Row],[BVPS]]),IF(Main_S[[#This Row],[BVPS]]&lt;&gt;0,Main_S[[#This Row],[Current Price]]/Main_S[[#This Row],[BVPS]],""),"")</f>
        <v>2.7212713936430322</v>
      </c>
      <c r="J99">
        <v>-5.21</v>
      </c>
      <c r="K99">
        <v>1.73</v>
      </c>
      <c r="L99">
        <v>1.89</v>
      </c>
      <c r="M99" s="1">
        <f>IF(ISNUMBER(Main_S[[#This Row],[EPS]]),IF(Main_S[[#This Row],[EPS]]&lt;&gt;0,Main_S[[#This Row],[Current Price]]/Main_S[[#This Row],[EPS]],""),"")</f>
        <v>-50.590909090909093</v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>
        <f>(Main_S[[#This Row],[P/FCF]]-VLOOKUP(Main_S[[#This Row],[Industry]], Mean_PFCF_S, 2, FALSE))/(VLOOKUP(Main_S[[#This Row],[Industry]], Mean_PFCF_S, 3, FALSE))</f>
        <v>0.42799536257391246</v>
      </c>
      <c r="P99" s="1">
        <f>(Main_S[[#This Row],[P/B]]-VLOOKUP(Main_S[[#This Row],[Industry]], Mean_PB_S, 2, FALSE))/(VLOOKUP(Main_S[[#This Row],[Industry]], Mean_PB_S, 3, FALSE))</f>
        <v>-0.22788868399095713</v>
      </c>
      <c r="Q99" s="1">
        <f>(Main_S[[#This Row],[ROE]]-VLOOKUP(Main_S[[#This Row],[Industry]], Mean_ROE_S, 2, FALSE))/(VLOOKUP(Main_S[[#This Row],[Industry]], Mean_ROE_S, 3, FALSE))</f>
        <v>-7.369065400016582E-2</v>
      </c>
      <c r="R99" s="1">
        <f>(Main_S[[#This Row],[ROA]]-VLOOKUP(Main_S[[#This Row],[Industry]], Mean_ROA_S, 2, FALSE))/(VLOOKUP(Main_S[[#This Row],[Industry]], Mean_ROA_S, 3, FALSE))</f>
        <v>0.43209396549114276</v>
      </c>
      <c r="S99" s="1">
        <f>(Main_S[[#This Row],[A/E]]-VLOOKUP(Main_S[[#This Row],[Industry]], Mean_AE_S, 2, FALSE))/(VLOOKUP(Main_S[[#This Row],[Industry]], Mean_AE_S, 3, FALSE))</f>
        <v>1.43030504172151E-2</v>
      </c>
      <c r="T99" s="1">
        <f>(Main_S[[#This Row],[P/E]]-VLOOKUP(Main_S[[#This Row],[Industry]], Mean_PE_S, 2, FALSE))/(VLOOKUP(Main_S[[#This Row],[Industry]], Mean_PE_S, 3, FALSE))</f>
        <v>-1.5069309767727355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0" spans="1:26" x14ac:dyDescent="0.25">
      <c r="A100" t="s">
        <v>124</v>
      </c>
      <c r="B100" t="s">
        <v>386</v>
      </c>
      <c r="C100" s="2">
        <v>259</v>
      </c>
      <c r="D100">
        <f>RTD("tos.rtd", , "LAST", Main_S[[#This Row],[Symbol]])</f>
        <v>2.36</v>
      </c>
      <c r="E100">
        <v>0.19</v>
      </c>
      <c r="F100">
        <v>1.4</v>
      </c>
      <c r="G100">
        <v>-0.12</v>
      </c>
      <c r="H100" s="1">
        <f>IF(ISNUMBER(Main_S[[#This Row],[Free CF]]),IF(Main_S[[#This Row],[Free CF]]&lt;&gt;0,Main_S[[#This Row],[Current Price]]/Main_S[[#This Row],[Free CF]],""),"")</f>
        <v>12.421052631578947</v>
      </c>
      <c r="I100" s="1">
        <f>IF(ISNUMBER(Main_S[[#This Row],[BVPS]]),IF(Main_S[[#This Row],[BVPS]]&lt;&gt;0,Main_S[[#This Row],[Current Price]]/Main_S[[#This Row],[BVPS]],""),"")</f>
        <v>1.6857142857142857</v>
      </c>
      <c r="J100">
        <v>-8.7799999999999994</v>
      </c>
      <c r="K100">
        <v>-0.28999999999999998</v>
      </c>
      <c r="L100">
        <v>1.35</v>
      </c>
      <c r="M100" s="1">
        <f>IF(ISNUMBER(Main_S[[#This Row],[EPS]]),IF(Main_S[[#This Row],[EPS]]&lt;&gt;0,Main_S[[#This Row],[Current Price]]/Main_S[[#This Row],[EPS]],""),"")</f>
        <v>-19.666666666666668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1.9087164647683667E-2</v>
      </c>
      <c r="P100" s="1">
        <f>(Main_S[[#This Row],[P/B]]-VLOOKUP(Main_S[[#This Row],[Industry]], Mean_PB_S, 2, FALSE))/(VLOOKUP(Main_S[[#This Row],[Industry]], Mean_PB_S, 3, FALSE))</f>
        <v>-0.56027773381498747</v>
      </c>
      <c r="Q100" s="1">
        <f>(Main_S[[#This Row],[ROE]]-VLOOKUP(Main_S[[#This Row],[Industry]], Mean_ROE_S, 2, FALSE))/(VLOOKUP(Main_S[[#This Row],[Industry]], Mean_ROE_S, 3, FALSE))</f>
        <v>-0.18621381530443551</v>
      </c>
      <c r="R100" s="1">
        <f>(Main_S[[#This Row],[ROA]]-VLOOKUP(Main_S[[#This Row],[Industry]], Mean_ROA_S, 2, FALSE))/(VLOOKUP(Main_S[[#This Row],[Industry]], Mean_ROA_S, 3, FALSE))</f>
        <v>8.4084652062778001E-2</v>
      </c>
      <c r="S100" s="1">
        <f>(Main_S[[#This Row],[A/E]]-VLOOKUP(Main_S[[#This Row],[Industry]], Mean_AE_S, 2, FALSE))/(VLOOKUP(Main_S[[#This Row],[Industry]], Mean_AE_S, 3, FALSE))</f>
        <v>-0.56747816915053928</v>
      </c>
      <c r="T100" s="1">
        <f>(Main_S[[#This Row],[P/E]]-VLOOKUP(Main_S[[#This Row],[Industry]], Mean_PE_S, 2, FALSE))/(VLOOKUP(Main_S[[#This Row],[Industry]], Mean_PE_S, 3, FALSE))</f>
        <v>-0.44500798804626379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t="s">
        <v>124</v>
      </c>
      <c r="B101" t="s">
        <v>387</v>
      </c>
      <c r="C101" s="2">
        <v>1144</v>
      </c>
      <c r="D101">
        <f>RTD("tos.rtd", , "LAST", Main_S[[#This Row],[Symbol]])</f>
        <v>42.04</v>
      </c>
      <c r="E101">
        <v>-0.48</v>
      </c>
      <c r="F101">
        <v>9.1300000000000008</v>
      </c>
      <c r="G101">
        <v>3.52</v>
      </c>
      <c r="H101" s="1">
        <f>IF(ISNUMBER(Main_S[[#This Row],[Free CF]]),IF(Main_S[[#This Row],[Free CF]]&lt;&gt;0,Main_S[[#This Row],[Current Price]]/Main_S[[#This Row],[Free CF]],""),"")</f>
        <v>-87.583333333333329</v>
      </c>
      <c r="I101" s="1">
        <f>IF(ISNUMBER(Main_S[[#This Row],[BVPS]]),IF(Main_S[[#This Row],[BVPS]]&lt;&gt;0,Main_S[[#This Row],[Current Price]]/Main_S[[#This Row],[BVPS]],""),"")</f>
        <v>4.6046002190580495</v>
      </c>
      <c r="J101">
        <v>62.53</v>
      </c>
      <c r="K101">
        <v>9.61</v>
      </c>
      <c r="L101">
        <v>1.1200000000000001</v>
      </c>
      <c r="M101" s="1">
        <f>IF(ISNUMBER(Main_S[[#This Row],[EPS]]),IF(Main_S[[#This Row],[EPS]]&lt;&gt;0,Main_S[[#This Row],[Current Price]]/Main_S[[#This Row],[EPS]],""),"")</f>
        <v>11.943181818181818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-4.3300448997681604</v>
      </c>
      <c r="P101" s="1">
        <f>(Main_S[[#This Row],[P/B]]-VLOOKUP(Main_S[[#This Row],[Industry]], Mean_PB_S, 2, FALSE))/(VLOOKUP(Main_S[[#This Row],[Industry]], Mean_PB_S, 3, FALSE))</f>
        <v>0.37661479919982971</v>
      </c>
      <c r="Q101" s="1">
        <f>(Main_S[[#This Row],[ROE]]-VLOOKUP(Main_S[[#This Row],[Industry]], Mean_ROE_S, 2, FALSE))/(VLOOKUP(Main_S[[#This Row],[Industry]], Mean_ROE_S, 3, FALSE))</f>
        <v>2.0614126924287501</v>
      </c>
      <c r="R101" s="1">
        <f>(Main_S[[#This Row],[ROA]]-VLOOKUP(Main_S[[#This Row],[Industry]], Mean_ROA_S, 2, FALSE))/(VLOOKUP(Main_S[[#This Row],[Industry]], Mean_ROA_S, 3, FALSE))</f>
        <v>1.7896748515384271</v>
      </c>
      <c r="S101" s="1">
        <f>(Main_S[[#This Row],[A/E]]-VLOOKUP(Main_S[[#This Row],[Industry]], Mean_AE_S, 2, FALSE))/(VLOOKUP(Main_S[[#This Row],[Industry]], Mean_AE_S, 3, FALSE))</f>
        <v>-0.81527387378124949</v>
      </c>
      <c r="T101" s="1">
        <f>(Main_S[[#This Row],[P/E]]-VLOOKUP(Main_S[[#This Row],[Industry]], Mean_PE_S, 2, FALSE))/(VLOOKUP(Main_S[[#This Row],[Industry]], Mean_PE_S, 3, FALSE))</f>
        <v>0.64045836924457478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2" spans="1:26" x14ac:dyDescent="0.25">
      <c r="A102" t="s">
        <v>124</v>
      </c>
      <c r="B102" t="s">
        <v>388</v>
      </c>
      <c r="C102" s="2">
        <v>1921</v>
      </c>
      <c r="D102">
        <f>RTD("tos.rtd", , "LAST", Main_S[[#This Row],[Symbol]])</f>
        <v>28.26</v>
      </c>
      <c r="E102">
        <v>1.28</v>
      </c>
      <c r="F102">
        <v>8.7100000000000009</v>
      </c>
      <c r="G102">
        <v>-7.0000000000000007E-2</v>
      </c>
      <c r="H102" s="1">
        <f>IF(ISNUMBER(Main_S[[#This Row],[Free CF]]),IF(Main_S[[#This Row],[Free CF]]&lt;&gt;0,Main_S[[#This Row],[Current Price]]/Main_S[[#This Row],[Free CF]],""),"")</f>
        <v>22.078125</v>
      </c>
      <c r="I102" s="1">
        <f>IF(ISNUMBER(Main_S[[#This Row],[BVPS]]),IF(Main_S[[#This Row],[BVPS]]&lt;&gt;0,Main_S[[#This Row],[Current Price]]/Main_S[[#This Row],[BVPS]],""),"")</f>
        <v>3.2445464982778414</v>
      </c>
      <c r="J102">
        <v>-0.9</v>
      </c>
      <c r="K102">
        <v>-0.45</v>
      </c>
      <c r="L102">
        <v>3.15</v>
      </c>
      <c r="M102" s="1">
        <f>IF(ISNUMBER(Main_S[[#This Row],[EPS]]),IF(Main_S[[#This Row],[EPS]]&lt;&gt;0,Main_S[[#This Row],[Current Price]]/Main_S[[#This Row],[EPS]],""),"")</f>
        <v>-403.71428571428572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0.439067575313076</v>
      </c>
      <c r="P102" s="1">
        <f>(Main_S[[#This Row],[P/B]]-VLOOKUP(Main_S[[#This Row],[Industry]], Mean_PB_S, 2, FALSE))/(VLOOKUP(Main_S[[#This Row],[Industry]], Mean_PB_S, 3, FALSE))</f>
        <v>-5.9929897851176264E-2</v>
      </c>
      <c r="Q102" s="1">
        <f>(Main_S[[#This Row],[ROE]]-VLOOKUP(Main_S[[#This Row],[Industry]], Mean_ROE_S, 2, FALSE))/(VLOOKUP(Main_S[[#This Row],[Industry]], Mean_ROE_S, 3, FALSE))</f>
        <v>6.2156635977818071E-2</v>
      </c>
      <c r="R102" s="1">
        <f>(Main_S[[#This Row],[ROA]]-VLOOKUP(Main_S[[#This Row],[Industry]], Mean_ROA_S, 2, FALSE))/(VLOOKUP(Main_S[[#This Row],[Industry]], Mean_ROA_S, 3, FALSE))</f>
        <v>5.6519557929838211E-2</v>
      </c>
      <c r="S102" s="1">
        <f>(Main_S[[#This Row],[A/E]]-VLOOKUP(Main_S[[#This Row],[Industry]], Mean_AE_S, 2, FALSE))/(VLOOKUP(Main_S[[#This Row],[Industry]], Mean_AE_S, 3, FALSE))</f>
        <v>1.3717925627419758</v>
      </c>
      <c r="T102" s="1">
        <f>(Main_S[[#This Row],[P/E]]-VLOOKUP(Main_S[[#This Row],[Industry]], Mean_PE_S, 2, FALSE))/(VLOOKUP(Main_S[[#This Row],[Industry]], Mean_PE_S, 3, FALSE))</f>
        <v>-13.633010780076631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3" spans="1:26" x14ac:dyDescent="0.25">
      <c r="A103" t="s">
        <v>124</v>
      </c>
      <c r="B103" t="s">
        <v>389</v>
      </c>
      <c r="C103" s="2">
        <v>567</v>
      </c>
      <c r="D103">
        <f>RTD("tos.rtd", , "LAST", Main_S[[#This Row],[Symbol]])</f>
        <v>4</v>
      </c>
      <c r="E103">
        <v>-0.32</v>
      </c>
      <c r="F103">
        <v>1</v>
      </c>
      <c r="G103">
        <v>0.33</v>
      </c>
      <c r="H103" s="1">
        <f>IF(ISNUMBER(Main_S[[#This Row],[Free CF]]),IF(Main_S[[#This Row],[Free CF]]&lt;&gt;0,Main_S[[#This Row],[Current Price]]/Main_S[[#This Row],[Free CF]],""),"")</f>
        <v>-12.5</v>
      </c>
      <c r="I103" s="1">
        <f>IF(ISNUMBER(Main_S[[#This Row],[BVPS]]),IF(Main_S[[#This Row],[BVPS]]&lt;&gt;0,Main_S[[#This Row],[Current Price]]/Main_S[[#This Row],[BVPS]],""),"")</f>
        <v>4</v>
      </c>
      <c r="J103">
        <v>60.03</v>
      </c>
      <c r="K103">
        <v>-1.83</v>
      </c>
      <c r="L103">
        <v>2.3199999999999998</v>
      </c>
      <c r="M103" s="1">
        <f>IF(ISNUMBER(Main_S[[#This Row],[EPS]]),IF(Main_S[[#This Row],[EPS]]&lt;&gt;0,Main_S[[#This Row],[Current Price]]/Main_S[[#This Row],[EPS]],""),"")</f>
        <v>12.121212121212121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-1.0647147909687729</v>
      </c>
      <c r="P103" s="1">
        <f>(Main_S[[#This Row],[P/B]]-VLOOKUP(Main_S[[#This Row],[Industry]], Mean_PB_S, 2, FALSE))/(VLOOKUP(Main_S[[#This Row],[Industry]], Mean_PB_S, 3, FALSE))</f>
        <v>0.18255259751395866</v>
      </c>
      <c r="Q103" s="1">
        <f>(Main_S[[#This Row],[ROE]]-VLOOKUP(Main_S[[#This Row],[Industry]], Mean_ROE_S, 2, FALSE))/(VLOOKUP(Main_S[[#This Row],[Industry]], Mean_ROE_S, 3, FALSE))</f>
        <v>1.9826149604229595</v>
      </c>
      <c r="R103" s="1">
        <f>(Main_S[[#This Row],[ROA]]-VLOOKUP(Main_S[[#This Row],[Industry]], Mean_ROA_S, 2, FALSE))/(VLOOKUP(Main_S[[#This Row],[Industry]], Mean_ROA_S, 3, FALSE))</f>
        <v>-0.18122937896676747</v>
      </c>
      <c r="S103" s="1">
        <f>(Main_S[[#This Row],[A/E]]-VLOOKUP(Main_S[[#This Row],[Industry]], Mean_AE_S, 2, FALSE))/(VLOOKUP(Main_S[[#This Row],[Industry]], Mean_AE_S, 3, FALSE))</f>
        <v>0.47757328081376033</v>
      </c>
      <c r="T103" s="1">
        <f>(Main_S[[#This Row],[P/E]]-VLOOKUP(Main_S[[#This Row],[Industry]], Mean_PE_S, 2, FALSE))/(VLOOKUP(Main_S[[#This Row],[Industry]], Mean_PE_S, 3, FALSE))</f>
        <v>0.64657184063974193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t="s">
        <v>124</v>
      </c>
      <c r="B104" t="s">
        <v>390</v>
      </c>
      <c r="C104" s="2">
        <v>300</v>
      </c>
      <c r="D104">
        <f>RTD("tos.rtd", , "LAST", Main_S[[#This Row],[Symbol]])</f>
        <v>18.420000000000002</v>
      </c>
      <c r="E104">
        <v>-2.94</v>
      </c>
      <c r="F104">
        <v>6.19</v>
      </c>
      <c r="G104">
        <v>-6.13</v>
      </c>
      <c r="H104" s="1">
        <f>IF(ISNUMBER(Main_S[[#This Row],[Free CF]]),IF(Main_S[[#This Row],[Free CF]]&lt;&gt;0,Main_S[[#This Row],[Current Price]]/Main_S[[#This Row],[Free CF]],""),"")</f>
        <v>-6.2653061224489806</v>
      </c>
      <c r="I104" s="1">
        <f>IF(ISNUMBER(Main_S[[#This Row],[BVPS]]),IF(Main_S[[#This Row],[BVPS]]&lt;&gt;0,Main_S[[#This Row],[Current Price]]/Main_S[[#This Row],[BVPS]],""),"")</f>
        <v>2.9757673667205169</v>
      </c>
      <c r="J104">
        <v>-101.83</v>
      </c>
      <c r="K104">
        <v>-30.88</v>
      </c>
      <c r="L104">
        <v>2.1</v>
      </c>
      <c r="M104" s="1">
        <f>IF(ISNUMBER(Main_S[[#This Row],[EPS]]),IF(Main_S[[#This Row],[EPS]]&lt;&gt;0,Main_S[[#This Row],[Current Price]]/Main_S[[#This Row],[EPS]],""),"")</f>
        <v>-3.0048939641109302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-0.79357161266669241</v>
      </c>
      <c r="P104" s="1">
        <f>(Main_S[[#This Row],[P/B]]-VLOOKUP(Main_S[[#This Row],[Industry]], Mean_PB_S, 2, FALSE))/(VLOOKUP(Main_S[[#This Row],[Industry]], Mean_PB_S, 3, FALSE))</f>
        <v>-0.14620156695261061</v>
      </c>
      <c r="Q104" s="1">
        <f>(Main_S[[#This Row],[ROE]]-VLOOKUP(Main_S[[#This Row],[Industry]], Mean_ROE_S, 2, FALSE))/(VLOOKUP(Main_S[[#This Row],[Industry]], Mean_ROE_S, 3, FALSE))</f>
        <v>-3.1190654005599812</v>
      </c>
      <c r="R104" s="1">
        <f>(Main_S[[#This Row],[ROA]]-VLOOKUP(Main_S[[#This Row],[Industry]], Mean_ROA_S, 2, FALSE))/(VLOOKUP(Main_S[[#This Row],[Industry]], Mean_ROA_S, 3, FALSE))</f>
        <v>-5.1860167824786467</v>
      </c>
      <c r="S104" s="1">
        <f>(Main_S[[#This Row],[A/E]]-VLOOKUP(Main_S[[#This Row],[Industry]], Mean_AE_S, 2, FALSE))/(VLOOKUP(Main_S[[#This Row],[Industry]], Mean_AE_S, 3, FALSE))</f>
        <v>0.24055130247134207</v>
      </c>
      <c r="T104" s="1">
        <f>(Main_S[[#This Row],[P/E]]-VLOOKUP(Main_S[[#This Row],[Industry]], Mean_PE_S, 2, FALSE))/(VLOOKUP(Main_S[[#This Row],[Industry]], Mean_PE_S, 3, FALSE))</f>
        <v>0.12714893735374724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t="s">
        <v>124</v>
      </c>
      <c r="B105" t="s">
        <v>391</v>
      </c>
      <c r="C105" s="2">
        <v>269</v>
      </c>
      <c r="D105">
        <f>RTD("tos.rtd", , "LAST", Main_S[[#This Row],[Symbol]])</f>
        <v>1.96</v>
      </c>
      <c r="E105">
        <v>-1.42</v>
      </c>
      <c r="F105">
        <v>3.1</v>
      </c>
      <c r="G105">
        <v>-7.0000000000000007E-2</v>
      </c>
      <c r="H105" s="1">
        <f>IF(ISNUMBER(Main_S[[#This Row],[Free CF]]),IF(Main_S[[#This Row],[Free CF]]&lt;&gt;0,Main_S[[#This Row],[Current Price]]/Main_S[[#This Row],[Free CF]],""),"")</f>
        <v>-1.380281690140845</v>
      </c>
      <c r="I105" s="1">
        <f>IF(ISNUMBER(Main_S[[#This Row],[BVPS]]),IF(Main_S[[#This Row],[BVPS]]&lt;&gt;0,Main_S[[#This Row],[Current Price]]/Main_S[[#This Row],[BVPS]],""),"")</f>
        <v>0.63225806451612898</v>
      </c>
      <c r="J105">
        <v>-2.15</v>
      </c>
      <c r="K105">
        <v>-9.0299999999999994</v>
      </c>
      <c r="L105">
        <v>1.1000000000000001</v>
      </c>
      <c r="M105" s="1">
        <f>IF(ISNUMBER(Main_S[[#This Row],[EPS]]),IF(Main_S[[#This Row],[EPS]]&lt;&gt;0,Main_S[[#This Row],[Current Price]]/Main_S[[#This Row],[EPS]],""),"")</f>
        <v>-27.999999999999996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-0.58112476657075818</v>
      </c>
      <c r="P105" s="1">
        <f>(Main_S[[#This Row],[P/B]]-VLOOKUP(Main_S[[#This Row],[Industry]], Mean_PB_S, 2, FALSE))/(VLOOKUP(Main_S[[#This Row],[Industry]], Mean_PB_S, 3, FALSE))</f>
        <v>-0.89841197065647915</v>
      </c>
      <c r="Q105" s="1">
        <f>(Main_S[[#This Row],[ROE]]-VLOOKUP(Main_S[[#This Row],[Industry]], Mean_ROE_S, 2, FALSE))/(VLOOKUP(Main_S[[#This Row],[Industry]], Mean_ROE_S, 3, FALSE))</f>
        <v>2.2757769974922511E-2</v>
      </c>
      <c r="R105" s="1">
        <f>(Main_S[[#This Row],[ROA]]-VLOOKUP(Main_S[[#This Row],[Industry]], Mean_ROA_S, 2, FALSE))/(VLOOKUP(Main_S[[#This Row],[Industry]], Mean_ROA_S, 3, FALSE))</f>
        <v>-1.4216586149490578</v>
      </c>
      <c r="S105" s="1">
        <f>(Main_S[[#This Row],[A/E]]-VLOOKUP(Main_S[[#This Row],[Industry]], Mean_AE_S, 2, FALSE))/(VLOOKUP(Main_S[[#This Row],[Industry]], Mean_AE_S, 3, FALSE))</f>
        <v>-0.83682132635783302</v>
      </c>
      <c r="T105" s="1">
        <f>(Main_S[[#This Row],[P/E]]-VLOOKUP(Main_S[[#This Row],[Industry]], Mean_PE_S, 2, FALSE))/(VLOOKUP(Main_S[[#This Row],[Industry]], Mean_PE_S, 3, FALSE))</f>
        <v>-0.73117047888387232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t="s">
        <v>124</v>
      </c>
      <c r="B106" t="s">
        <v>392</v>
      </c>
      <c r="C106" s="2">
        <v>647</v>
      </c>
      <c r="D106">
        <f>RTD("tos.rtd", , "LAST", Main_S[[#This Row],[Symbol]])</f>
        <v>2.25</v>
      </c>
      <c r="E106">
        <v>0.02</v>
      </c>
      <c r="F106">
        <v>0.09</v>
      </c>
      <c r="G106">
        <v>0.23</v>
      </c>
      <c r="H106" s="1">
        <f>IF(ISNUMBER(Main_S[[#This Row],[Free CF]]),IF(Main_S[[#This Row],[Free CF]]&lt;&gt;0,Main_S[[#This Row],[Current Price]]/Main_S[[#This Row],[Free CF]],""),"")</f>
        <v>112.5</v>
      </c>
      <c r="I106" s="1">
        <f>IF(ISNUMBER(Main_S[[#This Row],[BVPS]]),IF(Main_S[[#This Row],[BVPS]]&lt;&gt;0,Main_S[[#This Row],[Current Price]]/Main_S[[#This Row],[BVPS]],""),"")</f>
        <v>25</v>
      </c>
      <c r="J106">
        <v>15.52</v>
      </c>
      <c r="K106">
        <v>-0.34</v>
      </c>
      <c r="L106">
        <v>27.23</v>
      </c>
      <c r="M106" s="1">
        <f>IF(ISNUMBER(Main_S[[#This Row],[EPS]]),IF(Main_S[[#This Row],[EPS]]&lt;&gt;0,Main_S[[#This Row],[Current Price]]/Main_S[[#This Row],[EPS]],""),"")</f>
        <v>9.7826086956521738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4.371461860750518</v>
      </c>
      <c r="P106" s="1">
        <f>(Main_S[[#This Row],[P/B]]-VLOOKUP(Main_S[[#This Row],[Industry]], Mean_PB_S, 2, FALSE))/(VLOOKUP(Main_S[[#This Row],[Industry]], Mean_PB_S, 3, FALSE))</f>
        <v>6.9230500484618043</v>
      </c>
      <c r="Q106" s="1">
        <f>(Main_S[[#This Row],[ROE]]-VLOOKUP(Main_S[[#This Row],[Industry]], Mean_ROE_S, 2, FALSE))/(VLOOKUP(Main_S[[#This Row],[Industry]], Mean_ROE_S, 3, FALSE))</f>
        <v>0.5797001397918542</v>
      </c>
      <c r="R106" s="1">
        <f>(Main_S[[#This Row],[ROA]]-VLOOKUP(Main_S[[#This Row],[Industry]], Mean_ROA_S, 2, FALSE))/(VLOOKUP(Main_S[[#This Row],[Industry]], Mean_ROA_S, 3, FALSE))</f>
        <v>7.5470560146234308E-2</v>
      </c>
      <c r="S106" s="1">
        <f>(Main_S[[#This Row],[A/E]]-VLOOKUP(Main_S[[#This Row],[Industry]], Mean_AE_S, 2, FALSE))/(VLOOKUP(Main_S[[#This Row],[Industry]], Mean_AE_S, 3, FALSE))</f>
        <v>27.314925464948512</v>
      </c>
      <c r="T106" s="1">
        <f>(Main_S[[#This Row],[P/E]]-VLOOKUP(Main_S[[#This Row],[Industry]], Mean_PE_S, 2, FALSE))/(VLOOKUP(Main_S[[#This Row],[Industry]], Mean_PE_S, 3, FALSE))</f>
        <v>0.56626537087898998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t="s">
        <v>124</v>
      </c>
      <c r="B107" t="s">
        <v>393</v>
      </c>
      <c r="C107" s="2">
        <v>1319</v>
      </c>
      <c r="D107">
        <f>RTD("tos.rtd", , "LAST", Main_S[[#This Row],[Symbol]])</f>
        <v>16.5</v>
      </c>
      <c r="E107">
        <v>-2.11</v>
      </c>
      <c r="F107">
        <v>9.82</v>
      </c>
      <c r="G107">
        <v>3.4</v>
      </c>
      <c r="H107" s="1">
        <f>IF(ISNUMBER(Main_S[[#This Row],[Free CF]]),IF(Main_S[[#This Row],[Free CF]]&lt;&gt;0,Main_S[[#This Row],[Current Price]]/Main_S[[#This Row],[Free CF]],""),"")</f>
        <v>-7.8199052132701423</v>
      </c>
      <c r="I107" s="1">
        <f>IF(ISNUMBER(Main_S[[#This Row],[BVPS]]),IF(Main_S[[#This Row],[BVPS]]&lt;&gt;0,Main_S[[#This Row],[Current Price]]/Main_S[[#This Row],[BVPS]],""),"")</f>
        <v>1.680244399185336</v>
      </c>
      <c r="J107">
        <v>46.1</v>
      </c>
      <c r="K107">
        <v>26.01</v>
      </c>
      <c r="L107">
        <v>1.56</v>
      </c>
      <c r="M107" s="1">
        <f>IF(ISNUMBER(Main_S[[#This Row],[EPS]]),IF(Main_S[[#This Row],[EPS]]&lt;&gt;0,Main_S[[#This Row],[Current Price]]/Main_S[[#This Row],[EPS]],""),"")</f>
        <v>4.8529411764705888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-0.86118021490914054</v>
      </c>
      <c r="P107" s="1">
        <f>(Main_S[[#This Row],[P/B]]-VLOOKUP(Main_S[[#This Row],[Industry]], Mean_PB_S, 2, FALSE))/(VLOOKUP(Main_S[[#This Row],[Industry]], Mean_PB_S, 3, FALSE))</f>
        <v>-0.56203343649143322</v>
      </c>
      <c r="Q107" s="1">
        <f>(Main_S[[#This Row],[ROE]]-VLOOKUP(Main_S[[#This Row],[Industry]], Mean_ROE_S, 2, FALSE))/(VLOOKUP(Main_S[[#This Row],[Industry]], Mean_ROE_S, 3, FALSE))</f>
        <v>1.5435539976866912</v>
      </c>
      <c r="R107" s="1">
        <f>(Main_S[[#This Row],[ROA]]-VLOOKUP(Main_S[[#This Row],[Industry]], Mean_ROA_S, 2, FALSE))/(VLOOKUP(Main_S[[#This Row],[Industry]], Mean_ROA_S, 3, FALSE))</f>
        <v>4.6150970001647558</v>
      </c>
      <c r="S107" s="1">
        <f>(Main_S[[#This Row],[A/E]]-VLOOKUP(Main_S[[#This Row],[Industry]], Mean_AE_S, 2, FALSE))/(VLOOKUP(Main_S[[#This Row],[Industry]], Mean_AE_S, 3, FALSE))</f>
        <v>-0.34122991709641254</v>
      </c>
      <c r="T107" s="1">
        <f>(Main_S[[#This Row],[P/E]]-VLOOKUP(Main_S[[#This Row],[Industry]], Mean_PE_S, 2, FALSE))/(VLOOKUP(Main_S[[#This Row],[Industry]], Mean_PE_S, 3, FALSE))</f>
        <v>0.3969830585241591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t="s">
        <v>124</v>
      </c>
      <c r="B108" t="s">
        <v>394</v>
      </c>
      <c r="C108" s="2">
        <v>622</v>
      </c>
      <c r="D108">
        <f>RTD("tos.rtd", , "LAST", Main_S[[#This Row],[Symbol]])</f>
        <v>24.8</v>
      </c>
      <c r="E108">
        <v>1.23</v>
      </c>
      <c r="F108">
        <v>16</v>
      </c>
      <c r="G108">
        <v>-2.9</v>
      </c>
      <c r="H108" s="1">
        <f>IF(ISNUMBER(Main_S[[#This Row],[Free CF]]),IF(Main_S[[#This Row],[Free CF]]&lt;&gt;0,Main_S[[#This Row],[Current Price]]/Main_S[[#This Row],[Free CF]],""),"")</f>
        <v>20.162601626016261</v>
      </c>
      <c r="I108" s="1">
        <f>IF(ISNUMBER(Main_S[[#This Row],[BVPS]]),IF(Main_S[[#This Row],[BVPS]]&lt;&gt;0,Main_S[[#This Row],[Current Price]]/Main_S[[#This Row],[BVPS]],""),"")</f>
        <v>1.55</v>
      </c>
      <c r="J108">
        <v>-1.37</v>
      </c>
      <c r="K108">
        <v>0.95</v>
      </c>
      <c r="L108">
        <v>1.94</v>
      </c>
      <c r="M108" s="1">
        <f>IF(ISNUMBER(Main_S[[#This Row],[EPS]]),IF(Main_S[[#This Row],[EPS]]&lt;&gt;0,Main_S[[#This Row],[Current Price]]/Main_S[[#This Row],[EPS]],""),"")</f>
        <v>-8.5517241379310356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0.35576258778129233</v>
      </c>
      <c r="P108" s="1">
        <f>(Main_S[[#This Row],[P/B]]-VLOOKUP(Main_S[[#This Row],[Industry]], Mean_PB_S, 2, FALSE))/(VLOOKUP(Main_S[[#This Row],[Industry]], Mean_PB_S, 3, FALSE))</f>
        <v>-0.60383877176328993</v>
      </c>
      <c r="Q108" s="1">
        <f>(Main_S[[#This Row],[ROE]]-VLOOKUP(Main_S[[#This Row],[Industry]], Mean_ROE_S, 2, FALSE))/(VLOOKUP(Main_S[[#This Row],[Industry]], Mean_ROE_S, 3, FALSE))</f>
        <v>4.7342662360729336E-2</v>
      </c>
      <c r="R108" s="1">
        <f>(Main_S[[#This Row],[ROA]]-VLOOKUP(Main_S[[#This Row],[Industry]], Mean_ROA_S, 2, FALSE))/(VLOOKUP(Main_S[[#This Row],[Industry]], Mean_ROA_S, 3, FALSE))</f>
        <v>0.29771413159306132</v>
      </c>
      <c r="S108" s="1">
        <f>(Main_S[[#This Row],[A/E]]-VLOOKUP(Main_S[[#This Row],[Industry]], Mean_AE_S, 2, FALSE))/(VLOOKUP(Main_S[[#This Row],[Industry]], Mean_AE_S, 3, FALSE))</f>
        <v>6.8171681858673908E-2</v>
      </c>
      <c r="T108" s="1">
        <f>(Main_S[[#This Row],[P/E]]-VLOOKUP(Main_S[[#This Row],[Industry]], Mean_PE_S, 2, FALSE))/(VLOOKUP(Main_S[[#This Row],[Industry]], Mean_PE_S, 3, FALSE))</f>
        <v>-6.3326431301480843E-2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t="s">
        <v>124</v>
      </c>
      <c r="B109" t="s">
        <v>395</v>
      </c>
      <c r="C109" s="2">
        <v>1475</v>
      </c>
      <c r="D109">
        <f>RTD("tos.rtd", , "LAST", Main_S[[#This Row],[Symbol]])</f>
        <v>8.1199999999999992</v>
      </c>
      <c r="E109">
        <v>-5.5</v>
      </c>
      <c r="F109">
        <v>6</v>
      </c>
      <c r="G109">
        <v>-0.31</v>
      </c>
      <c r="H109" s="1">
        <f>IF(ISNUMBER(Main_S[[#This Row],[Free CF]]),IF(Main_S[[#This Row],[Free CF]]&lt;&gt;0,Main_S[[#This Row],[Current Price]]/Main_S[[#This Row],[Free CF]],""),"")</f>
        <v>-1.4763636363636363</v>
      </c>
      <c r="I109" s="1">
        <f>IF(ISNUMBER(Main_S[[#This Row],[BVPS]]),IF(Main_S[[#This Row],[BVPS]]&lt;&gt;0,Main_S[[#This Row],[Current Price]]/Main_S[[#This Row],[BVPS]],""),"")</f>
        <v>1.3533333333333333</v>
      </c>
      <c r="J109">
        <v>-6.14</v>
      </c>
      <c r="K109">
        <v>-1.1399999999999999</v>
      </c>
      <c r="L109">
        <v>1.44</v>
      </c>
      <c r="M109" s="1">
        <f>IF(ISNUMBER(Main_S[[#This Row],[EPS]]),IF(Main_S[[#This Row],[EPS]]&lt;&gt;0,Main_S[[#This Row],[Current Price]]/Main_S[[#This Row],[EPS]],""),"")</f>
        <v>-26.193548387096772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-0.58530331403242286</v>
      </c>
      <c r="P109" s="1">
        <f>(Main_S[[#This Row],[P/B]]-VLOOKUP(Main_S[[#This Row],[Industry]], Mean_PB_S, 2, FALSE))/(VLOOKUP(Main_S[[#This Row],[Industry]], Mean_PB_S, 3, FALSE))</f>
        <v>-0.66696406535153174</v>
      </c>
      <c r="Q109" s="1">
        <f>(Main_S[[#This Row],[ROE]]-VLOOKUP(Main_S[[#This Row],[Industry]], Mean_ROE_S, 2, FALSE))/(VLOOKUP(Main_S[[#This Row],[Industry]], Mean_ROE_S, 3, FALSE))</f>
        <v>-0.10300341030632011</v>
      </c>
      <c r="R109" s="1">
        <f>(Main_S[[#This Row],[ROA]]-VLOOKUP(Main_S[[#This Row],[Industry]], Mean_ROA_S, 2, FALSE))/(VLOOKUP(Main_S[[#This Row],[Industry]], Mean_ROA_S, 3, FALSE))</f>
        <v>-6.2354910518464597E-2</v>
      </c>
      <c r="S109" s="1">
        <f>(Main_S[[#This Row],[A/E]]-VLOOKUP(Main_S[[#This Row],[Industry]], Mean_AE_S, 2, FALSE))/(VLOOKUP(Main_S[[#This Row],[Industry]], Mean_AE_S, 3, FALSE))</f>
        <v>-0.47051463255591364</v>
      </c>
      <c r="T109" s="1">
        <f>(Main_S[[#This Row],[P/E]]-VLOOKUP(Main_S[[#This Row],[Industry]], Mean_PE_S, 2, FALSE))/(VLOOKUP(Main_S[[#This Row],[Industry]], Mean_PE_S, 3, FALSE))</f>
        <v>-0.66913783570875196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t="s">
        <v>124</v>
      </c>
      <c r="B110" t="s">
        <v>396</v>
      </c>
      <c r="C110" s="2">
        <v>1439</v>
      </c>
      <c r="D110">
        <f>RTD("tos.rtd", , "LAST", Main_S[[#This Row],[Symbol]])</f>
        <v>11.83</v>
      </c>
      <c r="E110">
        <v>0.17</v>
      </c>
      <c r="F110">
        <v>5.54</v>
      </c>
      <c r="G110">
        <v>-0.53</v>
      </c>
      <c r="H110" s="1">
        <f>IF(ISNUMBER(Main_S[[#This Row],[Free CF]]),IF(Main_S[[#This Row],[Free CF]]&lt;&gt;0,Main_S[[#This Row],[Current Price]]/Main_S[[#This Row],[Free CF]],""),"")</f>
        <v>69.588235294117638</v>
      </c>
      <c r="I110" s="1">
        <f>IF(ISNUMBER(Main_S[[#This Row],[BVPS]]),IF(Main_S[[#This Row],[BVPS]]&lt;&gt;0,Main_S[[#This Row],[Current Price]]/Main_S[[#This Row],[BVPS]],""),"")</f>
        <v>2.1353790613718413</v>
      </c>
      <c r="J110">
        <v>-9.5500000000000007</v>
      </c>
      <c r="K110">
        <v>-2.14</v>
      </c>
      <c r="L110">
        <v>2.21</v>
      </c>
      <c r="M110" s="1">
        <f>IF(ISNUMBER(Main_S[[#This Row],[EPS]]),IF(Main_S[[#This Row],[EPS]]&lt;&gt;0,Main_S[[#This Row],[Current Price]]/Main_S[[#This Row],[EPS]],""),"")</f>
        <v>-22.320754716981131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2.5052543937250014</v>
      </c>
      <c r="P110" s="1">
        <f>(Main_S[[#This Row],[P/B]]-VLOOKUP(Main_S[[#This Row],[Industry]], Mean_PB_S, 2, FALSE))/(VLOOKUP(Main_S[[#This Row],[Industry]], Mean_PB_S, 3, FALSE))</f>
        <v>-0.41594610171495</v>
      </c>
      <c r="Q110" s="1">
        <f>(Main_S[[#This Row],[ROE]]-VLOOKUP(Main_S[[#This Row],[Industry]], Mean_ROE_S, 2, FALSE))/(VLOOKUP(Main_S[[#This Row],[Industry]], Mean_ROE_S, 3, FALSE))</f>
        <v>-0.21048351676221921</v>
      </c>
      <c r="R110" s="1">
        <f>(Main_S[[#This Row],[ROA]]-VLOOKUP(Main_S[[#This Row],[Industry]], Mean_ROA_S, 2, FALSE))/(VLOOKUP(Main_S[[#This Row],[Industry]], Mean_ROA_S, 3, FALSE))</f>
        <v>-0.2346367488493383</v>
      </c>
      <c r="S110" s="1">
        <f>(Main_S[[#This Row],[A/E]]-VLOOKUP(Main_S[[#This Row],[Industry]], Mean_AE_S, 2, FALSE))/(VLOOKUP(Main_S[[#This Row],[Industry]], Mean_AE_S, 3, FALSE))</f>
        <v>0.35906229164255121</v>
      </c>
      <c r="T110" s="1">
        <f>(Main_S[[#This Row],[P/E]]-VLOOKUP(Main_S[[#This Row],[Industry]], Mean_PE_S, 2, FALSE))/(VLOOKUP(Main_S[[#This Row],[Industry]], Mean_PE_S, 3, FALSE))</f>
        <v>-0.53614804173190211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t="s">
        <v>124</v>
      </c>
      <c r="B111" t="s">
        <v>397</v>
      </c>
      <c r="C111" s="2">
        <v>1377</v>
      </c>
      <c r="D111">
        <f>RTD("tos.rtd", , "LAST", Main_S[[#This Row],[Symbol]])</f>
        <v>44.58</v>
      </c>
      <c r="E111">
        <v>1.1000000000000001</v>
      </c>
      <c r="F111">
        <v>5.24</v>
      </c>
      <c r="G111">
        <v>1.58</v>
      </c>
      <c r="H111" s="1">
        <f>IF(ISNUMBER(Main_S[[#This Row],[Free CF]]),IF(Main_S[[#This Row],[Free CF]]&lt;&gt;0,Main_S[[#This Row],[Current Price]]/Main_S[[#This Row],[Free CF]],""),"")</f>
        <v>40.527272727272724</v>
      </c>
      <c r="I111" s="1">
        <f>IF(ISNUMBER(Main_S[[#This Row],[BVPS]]),IF(Main_S[[#This Row],[BVPS]]&lt;&gt;0,Main_S[[#This Row],[Current Price]]/Main_S[[#This Row],[BVPS]],""),"")</f>
        <v>8.507633587786259</v>
      </c>
      <c r="J111">
        <v>31.25</v>
      </c>
      <c r="K111">
        <v>17.18</v>
      </c>
      <c r="L111">
        <v>1.64</v>
      </c>
      <c r="M111" s="1">
        <f>IF(ISNUMBER(Main_S[[#This Row],[EPS]]),IF(Main_S[[#This Row],[EPS]]&lt;&gt;0,Main_S[[#This Row],[Current Price]]/Main_S[[#This Row],[EPS]],""),"")</f>
        <v>28.215189873417721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1.2414101842660361</v>
      </c>
      <c r="P111" s="1">
        <f>(Main_S[[#This Row],[P/B]]-VLOOKUP(Main_S[[#This Row],[Industry]], Mean_PB_S, 2, FALSE))/(VLOOKUP(Main_S[[#This Row],[Industry]], Mean_PB_S, 3, FALSE))</f>
        <v>1.6293951074320618</v>
      </c>
      <c r="Q111" s="1">
        <f>(Main_S[[#This Row],[ROE]]-VLOOKUP(Main_S[[#This Row],[Industry]], Mean_ROE_S, 2, FALSE))/(VLOOKUP(Main_S[[#This Row],[Industry]], Mean_ROE_S, 3, FALSE))</f>
        <v>1.075495469572292</v>
      </c>
      <c r="R111" s="1">
        <f>(Main_S[[#This Row],[ROA]]-VLOOKUP(Main_S[[#This Row],[Industry]], Mean_ROA_S, 2, FALSE))/(VLOOKUP(Main_S[[#This Row],[Industry]], Mean_ROA_S, 3, FALSE))</f>
        <v>3.0938483677031408</v>
      </c>
      <c r="S111" s="1">
        <f>(Main_S[[#This Row],[A/E]]-VLOOKUP(Main_S[[#This Row],[Industry]], Mean_AE_S, 2, FALSE))/(VLOOKUP(Main_S[[#This Row],[Industry]], Mean_AE_S, 3, FALSE))</f>
        <v>-0.25504010679007866</v>
      </c>
      <c r="T111" s="1">
        <f>(Main_S[[#This Row],[P/E]]-VLOOKUP(Main_S[[#This Row],[Industry]], Mean_PE_S, 2, FALSE))/(VLOOKUP(Main_S[[#This Row],[Industry]], Mean_PE_S, 3, FALSE))</f>
        <v>1.1992309719664875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t="s">
        <v>124</v>
      </c>
      <c r="B112" t="s">
        <v>398</v>
      </c>
      <c r="C112" s="2">
        <v>341</v>
      </c>
      <c r="D112">
        <f>RTD("tos.rtd", , "LAST", Main_S[[#This Row],[Symbol]])</f>
        <v>2.2999999999999998</v>
      </c>
      <c r="E112">
        <v>0.08</v>
      </c>
      <c r="F112">
        <v>0.16</v>
      </c>
      <c r="G112">
        <v>-0.21</v>
      </c>
      <c r="H112" s="1">
        <f>IF(ISNUMBER(Main_S[[#This Row],[Free CF]]),IF(Main_S[[#This Row],[Free CF]]&lt;&gt;0,Main_S[[#This Row],[Current Price]]/Main_S[[#This Row],[Free CF]],""),"")</f>
        <v>28.749999999999996</v>
      </c>
      <c r="I112" s="1">
        <f>IF(ISNUMBER(Main_S[[#This Row],[BVPS]]),IF(Main_S[[#This Row],[BVPS]]&lt;&gt;0,Main_S[[#This Row],[Current Price]]/Main_S[[#This Row],[BVPS]],""),"")</f>
        <v>14.374999999999998</v>
      </c>
      <c r="J112">
        <v>-114.48</v>
      </c>
      <c r="K112">
        <v>-8.25</v>
      </c>
      <c r="L112">
        <v>7.43</v>
      </c>
      <c r="M112" s="1">
        <f>IF(ISNUMBER(Main_S[[#This Row],[EPS]]),IF(Main_S[[#This Row],[EPS]]&lt;&gt;0,Main_S[[#This Row],[Current Price]]/Main_S[[#This Row],[EPS]],""),"")</f>
        <v>-10.952380952380953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0.72922350409859293</v>
      </c>
      <c r="P112" s="1">
        <f>(Main_S[[#This Row],[P/B]]-VLOOKUP(Main_S[[#This Row],[Industry]], Mean_PB_S, 2, FALSE))/(VLOOKUP(Main_S[[#This Row],[Industry]], Mean_PB_S, 3, FALSE))</f>
        <v>3.5126793143512862</v>
      </c>
      <c r="Q112" s="1">
        <f>(Main_S[[#This Row],[ROE]]-VLOOKUP(Main_S[[#This Row],[Industry]], Mean_ROE_S, 2, FALSE))/(VLOOKUP(Main_S[[#This Row],[Industry]], Mean_ROE_S, 3, FALSE))</f>
        <v>-3.5177819245092845</v>
      </c>
      <c r="R112" s="1">
        <f>(Main_S[[#This Row],[ROA]]-VLOOKUP(Main_S[[#This Row],[Industry]], Mean_ROA_S, 2, FALSE))/(VLOOKUP(Main_S[[#This Row],[Industry]], Mean_ROA_S, 3, FALSE))</f>
        <v>-1.2872787810509763</v>
      </c>
      <c r="S112" s="1">
        <f>(Main_S[[#This Row],[A/E]]-VLOOKUP(Main_S[[#This Row],[Industry]], Mean_AE_S, 2, FALSE))/(VLOOKUP(Main_S[[#This Row],[Industry]], Mean_AE_S, 3, FALSE))</f>
        <v>5.9829474141308454</v>
      </c>
      <c r="T112" s="1">
        <f>(Main_S[[#This Row],[P/E]]-VLOOKUP(Main_S[[#This Row],[Industry]], Mean_PE_S, 2, FALSE))/(VLOOKUP(Main_S[[#This Row],[Industry]], Mean_PE_S, 3, FALSE))</f>
        <v>-0.14576378334179294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t="s">
        <v>124</v>
      </c>
      <c r="B113" t="s">
        <v>399</v>
      </c>
      <c r="C113" s="2">
        <v>1427</v>
      </c>
      <c r="D113">
        <f>RTD("tos.rtd", , "LAST", Main_S[[#This Row],[Symbol]])</f>
        <v>10.78</v>
      </c>
      <c r="E113">
        <v>-0.48</v>
      </c>
      <c r="F113">
        <v>15.16</v>
      </c>
      <c r="G113">
        <v>-0.8</v>
      </c>
      <c r="H113" s="1">
        <f>IF(ISNUMBER(Main_S[[#This Row],[Free CF]]),IF(Main_S[[#This Row],[Free CF]]&lt;&gt;0,Main_S[[#This Row],[Current Price]]/Main_S[[#This Row],[Free CF]],""),"")</f>
        <v>-22.458333333333332</v>
      </c>
      <c r="I113" s="1">
        <f>IF(ISNUMBER(Main_S[[#This Row],[BVPS]]),IF(Main_S[[#This Row],[BVPS]]&lt;&gt;0,Main_S[[#This Row],[Current Price]]/Main_S[[#This Row],[BVPS]],""),"")</f>
        <v>0.71108179419525064</v>
      </c>
      <c r="J113">
        <v>-5.21</v>
      </c>
      <c r="K113">
        <v>-2.76</v>
      </c>
      <c r="L113">
        <v>1.07</v>
      </c>
      <c r="M113" s="1">
        <f>IF(ISNUMBER(Main_S[[#This Row],[EPS]]),IF(Main_S[[#This Row],[EPS]]&lt;&gt;0,Main_S[[#This Row],[Current Price]]/Main_S[[#This Row],[EPS]],""),"")</f>
        <v>-13.474999999999998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-1.4977968642224098</v>
      </c>
      <c r="P113" s="1">
        <f>(Main_S[[#This Row],[P/B]]-VLOOKUP(Main_S[[#This Row],[Industry]], Mean_PB_S, 2, FALSE))/(VLOOKUP(Main_S[[#This Row],[Industry]], Mean_PB_S, 3, FALSE))</f>
        <v>-0.87311143975284478</v>
      </c>
      <c r="Q113" s="1">
        <f>(Main_S[[#This Row],[ROE]]-VLOOKUP(Main_S[[#This Row],[Industry]], Mean_ROE_S, 2, FALSE))/(VLOOKUP(Main_S[[#This Row],[Industry]], Mean_ROE_S, 3, FALSE))</f>
        <v>-7.369065400016582E-2</v>
      </c>
      <c r="R113" s="1">
        <f>(Main_S[[#This Row],[ROA]]-VLOOKUP(Main_S[[#This Row],[Industry]], Mean_ROA_S, 2, FALSE))/(VLOOKUP(Main_S[[#This Row],[Industry]], Mean_ROA_S, 3, FALSE))</f>
        <v>-0.34145148861447994</v>
      </c>
      <c r="S113" s="1">
        <f>(Main_S[[#This Row],[A/E]]-VLOOKUP(Main_S[[#This Row],[Industry]], Mean_AE_S, 2, FALSE))/(VLOOKUP(Main_S[[#This Row],[Industry]], Mean_AE_S, 3, FALSE))</f>
        <v>-0.86914250522270831</v>
      </c>
      <c r="T113" s="1">
        <f>(Main_S[[#This Row],[P/E]]-VLOOKUP(Main_S[[#This Row],[Industry]], Mean_PE_S, 2, FALSE))/(VLOOKUP(Main_S[[#This Row],[Industry]], Mean_PE_S, 3, FALSE))</f>
        <v>-0.23238925735392041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t="s">
        <v>124</v>
      </c>
      <c r="B114" t="s">
        <v>400</v>
      </c>
      <c r="C114" s="2">
        <v>399</v>
      </c>
      <c r="D114">
        <f>RTD("tos.rtd", , "LAST", Main_S[[#This Row],[Symbol]])</f>
        <v>5.98</v>
      </c>
      <c r="E114">
        <v>-0.06</v>
      </c>
      <c r="F114">
        <v>0.32</v>
      </c>
      <c r="G114">
        <v>-7.0000000000000007E-2</v>
      </c>
      <c r="H114" s="1">
        <f>IF(ISNUMBER(Main_S[[#This Row],[Free CF]]),IF(Main_S[[#This Row],[Free CF]]&lt;&gt;0,Main_S[[#This Row],[Current Price]]/Main_S[[#This Row],[Free CF]],""),"")</f>
        <v>-99.666666666666671</v>
      </c>
      <c r="I114" s="1">
        <f>IF(ISNUMBER(Main_S[[#This Row],[BVPS]]),IF(Main_S[[#This Row],[BVPS]]&lt;&gt;0,Main_S[[#This Row],[Current Price]]/Main_S[[#This Row],[BVPS]],""),"")</f>
        <v>18.6875</v>
      </c>
      <c r="J114">
        <v>-21.63</v>
      </c>
      <c r="K114">
        <v>-4.87</v>
      </c>
      <c r="L114">
        <v>1.48</v>
      </c>
      <c r="M114" s="1">
        <f>IF(ISNUMBER(Main_S[[#This Row],[EPS]]),IF(Main_S[[#This Row],[EPS]]&lt;&gt;0,Main_S[[#This Row],[Current Price]]/Main_S[[#This Row],[EPS]],""),"")</f>
        <v>-85.428571428571431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-4.8555419761010254</v>
      </c>
      <c r="P114" s="1">
        <f>(Main_S[[#This Row],[P/B]]-VLOOKUP(Main_S[[#This Row],[Industry]], Mean_PB_S, 2, FALSE))/(VLOOKUP(Main_S[[#This Row],[Industry]], Mean_PB_S, 3, FALSE))</f>
        <v>4.8968886123137905</v>
      </c>
      <c r="Q114" s="1">
        <f>(Main_S[[#This Row],[ROE]]-VLOOKUP(Main_S[[#This Row],[Industry]], Mean_ROE_S, 2, FALSE))/(VLOOKUP(Main_S[[#This Row],[Industry]], Mean_ROE_S, 3, FALSE))</f>
        <v>-0.59123415781420185</v>
      </c>
      <c r="R114" s="1">
        <f>(Main_S[[#This Row],[ROA]]-VLOOKUP(Main_S[[#This Row],[Industry]], Mean_ROA_S, 2, FALSE))/(VLOOKUP(Main_S[[#This Row],[Industry]], Mean_ROA_S, 3, FALSE))</f>
        <v>-0.70496616749262331</v>
      </c>
      <c r="S114" s="1">
        <f>(Main_S[[#This Row],[A/E]]-VLOOKUP(Main_S[[#This Row],[Industry]], Mean_AE_S, 2, FALSE))/(VLOOKUP(Main_S[[#This Row],[Industry]], Mean_AE_S, 3, FALSE))</f>
        <v>-0.42741972740274659</v>
      </c>
      <c r="T114" s="1">
        <f>(Main_S[[#This Row],[P/E]]-VLOOKUP(Main_S[[#This Row],[Industry]], Mean_PE_S, 2, FALSE))/(VLOOKUP(Main_S[[#This Row],[Industry]], Mean_PE_S, 3, FALSE))</f>
        <v>-2.7032388443133359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t="s">
        <v>124</v>
      </c>
      <c r="B115" t="s">
        <v>401</v>
      </c>
      <c r="C115" s="2">
        <v>682</v>
      </c>
      <c r="D115">
        <f>RTD("tos.rtd", , "LAST", Main_S[[#This Row],[Symbol]])</f>
        <v>15.2</v>
      </c>
      <c r="E115">
        <v>1.44</v>
      </c>
      <c r="F115">
        <v>5.65</v>
      </c>
      <c r="G115">
        <v>0.75</v>
      </c>
      <c r="H115" s="1">
        <f>IF(ISNUMBER(Main_S[[#This Row],[Free CF]]),IF(Main_S[[#This Row],[Free CF]]&lt;&gt;0,Main_S[[#This Row],[Current Price]]/Main_S[[#This Row],[Free CF]],""),"")</f>
        <v>10.555555555555555</v>
      </c>
      <c r="I115" s="1">
        <f>IF(ISNUMBER(Main_S[[#This Row],[BVPS]]),IF(Main_S[[#This Row],[BVPS]]&lt;&gt;0,Main_S[[#This Row],[Current Price]]/Main_S[[#This Row],[BVPS]],""),"")</f>
        <v>2.6902654867256635</v>
      </c>
      <c r="J115">
        <v>14.62</v>
      </c>
      <c r="K115">
        <v>7.2</v>
      </c>
      <c r="L115">
        <v>1.95</v>
      </c>
      <c r="M115" s="1">
        <f>IF(ISNUMBER(Main_S[[#This Row],[EPS]]),IF(Main_S[[#This Row],[EPS]]&lt;&gt;0,Main_S[[#This Row],[Current Price]]/Main_S[[#This Row],[EPS]],""),"")</f>
        <v>20.266666666666666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-6.204220854054808E-2</v>
      </c>
      <c r="P115" s="1">
        <f>(Main_S[[#This Row],[P/B]]-VLOOKUP(Main_S[[#This Row],[Industry]], Mean_PB_S, 2, FALSE))/(VLOOKUP(Main_S[[#This Row],[Industry]], Mean_PB_S, 3, FALSE))</f>
        <v>-0.23784083811194998</v>
      </c>
      <c r="Q115" s="1">
        <f>(Main_S[[#This Row],[ROE]]-VLOOKUP(Main_S[[#This Row],[Industry]], Mean_ROE_S, 2, FALSE))/(VLOOKUP(Main_S[[#This Row],[Industry]], Mean_ROE_S, 3, FALSE))</f>
        <v>0.5513329562697693</v>
      </c>
      <c r="R115" s="1">
        <f>(Main_S[[#This Row],[ROA]]-VLOOKUP(Main_S[[#This Row],[Industry]], Mean_ROA_S, 2, FALSE))/(VLOOKUP(Main_S[[#This Row],[Industry]], Mean_ROA_S, 3, FALSE))</f>
        <v>1.3744756211610218</v>
      </c>
      <c r="S115" s="1">
        <f>(Main_S[[#This Row],[A/E]]-VLOOKUP(Main_S[[#This Row],[Industry]], Mean_AE_S, 2, FALSE))/(VLOOKUP(Main_S[[#This Row],[Industry]], Mean_AE_S, 3, FALSE))</f>
        <v>7.8945408146965657E-2</v>
      </c>
      <c r="T115" s="1">
        <f>(Main_S[[#This Row],[P/E]]-VLOOKUP(Main_S[[#This Row],[Industry]], Mean_PE_S, 2, FALSE))/(VLOOKUP(Main_S[[#This Row],[Industry]], Mean_PE_S, 3, FALSE))</f>
        <v>0.9262826680475571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6" spans="1:26" x14ac:dyDescent="0.25">
      <c r="A116" t="s">
        <v>124</v>
      </c>
      <c r="B116" t="s">
        <v>402</v>
      </c>
      <c r="C116" s="2">
        <v>383</v>
      </c>
      <c r="D116">
        <f>RTD("tos.rtd", , "LAST", Main_S[[#This Row],[Symbol]])</f>
        <v>9.69</v>
      </c>
      <c r="E116">
        <v>0.87</v>
      </c>
      <c r="F116">
        <v>4.4400000000000004</v>
      </c>
      <c r="G116">
        <v>0.1</v>
      </c>
      <c r="H116" s="1">
        <f>IF(ISNUMBER(Main_S[[#This Row],[Free CF]]),IF(Main_S[[#This Row],[Free CF]]&lt;&gt;0,Main_S[[#This Row],[Current Price]]/Main_S[[#This Row],[Free CF]],""),"")</f>
        <v>11.137931034482758</v>
      </c>
      <c r="I116" s="1">
        <f>IF(ISNUMBER(Main_S[[#This Row],[BVPS]]),IF(Main_S[[#This Row],[BVPS]]&lt;&gt;0,Main_S[[#This Row],[Current Price]]/Main_S[[#This Row],[BVPS]],""),"")</f>
        <v>2.182432432432432</v>
      </c>
      <c r="J116">
        <v>2.15</v>
      </c>
      <c r="K116">
        <v>1.33</v>
      </c>
      <c r="L116">
        <v>1.97</v>
      </c>
      <c r="M116" s="1">
        <f>IF(ISNUMBER(Main_S[[#This Row],[EPS]]),IF(Main_S[[#This Row],[EPS]]&lt;&gt;0,Main_S[[#This Row],[Current Price]]/Main_S[[#This Row],[EPS]],""),"")</f>
        <v>96.899999999999991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-3.6715040691924883E-2</v>
      </c>
      <c r="P116" s="1">
        <f>(Main_S[[#This Row],[P/B]]-VLOOKUP(Main_S[[#This Row],[Industry]], Mean_PB_S, 2, FALSE))/(VLOOKUP(Main_S[[#This Row],[Industry]], Mean_PB_S, 3, FALSE))</f>
        <v>-0.40084309563435883</v>
      </c>
      <c r="Q116" s="1">
        <f>(Main_S[[#This Row],[ROE]]-VLOOKUP(Main_S[[#This Row],[Industry]], Mean_ROE_S, 2, FALSE))/(VLOOKUP(Main_S[[#This Row],[Industry]], Mean_ROE_S, 3, FALSE))</f>
        <v>0.15828986902488323</v>
      </c>
      <c r="R116" s="1">
        <f>(Main_S[[#This Row],[ROA]]-VLOOKUP(Main_S[[#This Row],[Industry]], Mean_ROA_S, 2, FALSE))/(VLOOKUP(Main_S[[#This Row],[Industry]], Mean_ROA_S, 3, FALSE))</f>
        <v>0.36318123015879333</v>
      </c>
      <c r="S116" s="1">
        <f>(Main_S[[#This Row],[A/E]]-VLOOKUP(Main_S[[#This Row],[Industry]], Mean_AE_S, 2, FALSE))/(VLOOKUP(Main_S[[#This Row],[Industry]], Mean_AE_S, 3, FALSE))</f>
        <v>0.10049286072354918</v>
      </c>
      <c r="T116" s="1">
        <f>(Main_S[[#This Row],[P/E]]-VLOOKUP(Main_S[[#This Row],[Industry]], Mean_PE_S, 2, FALSE))/(VLOOKUP(Main_S[[#This Row],[Industry]], Mean_PE_S, 3, FALSE))</f>
        <v>3.5578329337902068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7" spans="1:26" x14ac:dyDescent="0.25">
      <c r="A117" t="s">
        <v>124</v>
      </c>
      <c r="B117" t="s">
        <v>403</v>
      </c>
      <c r="C117" s="2">
        <v>1299</v>
      </c>
      <c r="D117">
        <f>RTD("tos.rtd", , "LAST", Main_S[[#This Row],[Symbol]])</f>
        <v>17.45</v>
      </c>
      <c r="E117">
        <v>0.92</v>
      </c>
      <c r="F117">
        <v>5.62</v>
      </c>
      <c r="G117">
        <v>-0.39</v>
      </c>
      <c r="H117" s="1">
        <f>IF(ISNUMBER(Main_S[[#This Row],[Free CF]]),IF(Main_S[[#This Row],[Free CF]]&lt;&gt;0,Main_S[[#This Row],[Current Price]]/Main_S[[#This Row],[Free CF]],""),"")</f>
        <v>18.967391304347824</v>
      </c>
      <c r="I117" s="1">
        <f>IF(ISNUMBER(Main_S[[#This Row],[BVPS]]),IF(Main_S[[#This Row],[BVPS]]&lt;&gt;0,Main_S[[#This Row],[Current Price]]/Main_S[[#This Row],[BVPS]],""),"")</f>
        <v>3.1049822064056936</v>
      </c>
      <c r="J117">
        <v>-6.36</v>
      </c>
      <c r="K117">
        <v>0.76</v>
      </c>
      <c r="L117">
        <v>2.25</v>
      </c>
      <c r="M117" s="1">
        <f>IF(ISNUMBER(Main_S[[#This Row],[EPS]]),IF(Main_S[[#This Row],[EPS]]&lt;&gt;0,Main_S[[#This Row],[Current Price]]/Main_S[[#This Row],[EPS]],""),"")</f>
        <v>-44.743589743589737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0.30378359222490947</v>
      </c>
      <c r="P117" s="1">
        <f>(Main_S[[#This Row],[P/B]]-VLOOKUP(Main_S[[#This Row],[Industry]], Mean_PB_S, 2, FALSE))/(VLOOKUP(Main_S[[#This Row],[Industry]], Mean_PB_S, 3, FALSE))</f>
        <v>-0.10472669564201213</v>
      </c>
      <c r="Q117" s="1">
        <f>(Main_S[[#This Row],[ROE]]-VLOOKUP(Main_S[[#This Row],[Industry]], Mean_ROE_S, 2, FALSE))/(VLOOKUP(Main_S[[#This Row],[Industry]], Mean_ROE_S, 3, FALSE))</f>
        <v>-0.10993761072282976</v>
      </c>
      <c r="R117" s="1">
        <f>(Main_S[[#This Row],[ROA]]-VLOOKUP(Main_S[[#This Row],[Industry]], Mean_ROA_S, 2, FALSE))/(VLOOKUP(Main_S[[#This Row],[Industry]], Mean_ROA_S, 3, FALSE))</f>
        <v>0.26498058231019533</v>
      </c>
      <c r="S117" s="1">
        <f>(Main_S[[#This Row],[A/E]]-VLOOKUP(Main_S[[#This Row],[Industry]], Mean_AE_S, 2, FALSE))/(VLOOKUP(Main_S[[#This Row],[Industry]], Mean_AE_S, 3, FALSE))</f>
        <v>0.40215719679571821</v>
      </c>
      <c r="T117" s="1">
        <f>(Main_S[[#This Row],[P/E]]-VLOOKUP(Main_S[[#This Row],[Industry]], Mean_PE_S, 2, FALSE))/(VLOOKUP(Main_S[[#This Row],[Industry]], Mean_PE_S, 3, FALSE))</f>
        <v>-1.3061369604745139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t="s">
        <v>124</v>
      </c>
      <c r="B118" t="s">
        <v>404</v>
      </c>
      <c r="C118" s="2">
        <v>310</v>
      </c>
      <c r="D118">
        <f>RTD("tos.rtd", , "LAST", Main_S[[#This Row],[Symbol]])</f>
        <v>5.38</v>
      </c>
      <c r="E118">
        <v>0.11</v>
      </c>
      <c r="F118">
        <v>4.5599999999999996</v>
      </c>
      <c r="G118">
        <v>0.17</v>
      </c>
      <c r="H118" s="1">
        <f>IF(ISNUMBER(Main_S[[#This Row],[Free CF]]),IF(Main_S[[#This Row],[Free CF]]&lt;&gt;0,Main_S[[#This Row],[Current Price]]/Main_S[[#This Row],[Free CF]],""),"")</f>
        <v>48.909090909090907</v>
      </c>
      <c r="I118" s="1">
        <f>IF(ISNUMBER(Main_S[[#This Row],[BVPS]]),IF(Main_S[[#This Row],[BVPS]]&lt;&gt;0,Main_S[[#This Row],[Current Price]]/Main_S[[#This Row],[BVPS]],""),"")</f>
        <v>1.1798245614035088</v>
      </c>
      <c r="J118">
        <v>3.8</v>
      </c>
      <c r="K118">
        <v>1.19</v>
      </c>
      <c r="L118">
        <v>1.57</v>
      </c>
      <c r="M118" s="1">
        <f>IF(ISNUMBER(Main_S[[#This Row],[EPS]]),IF(Main_S[[#This Row],[EPS]]&lt;&gt;0,Main_S[[#This Row],[Current Price]]/Main_S[[#This Row],[EPS]],""),"")</f>
        <v>31.647058823529409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1.6059305386576861</v>
      </c>
      <c r="P118" s="1">
        <f>(Main_S[[#This Row],[P/B]]-VLOOKUP(Main_S[[#This Row],[Industry]], Mean_PB_S, 2, FALSE))/(VLOOKUP(Main_S[[#This Row],[Industry]], Mean_PB_S, 3, FALSE))</f>
        <v>-0.72265622891867787</v>
      </c>
      <c r="Q118" s="1">
        <f>(Main_S[[#This Row],[ROE]]-VLOOKUP(Main_S[[#This Row],[Industry]], Mean_ROE_S, 2, FALSE))/(VLOOKUP(Main_S[[#This Row],[Industry]], Mean_ROE_S, 3, FALSE))</f>
        <v>0.21029637214870536</v>
      </c>
      <c r="R118" s="1">
        <f>(Main_S[[#This Row],[ROA]]-VLOOKUP(Main_S[[#This Row],[Industry]], Mean_ROA_S, 2, FALSE))/(VLOOKUP(Main_S[[#This Row],[Industry]], Mean_ROA_S, 3, FALSE))</f>
        <v>0.33906177279247096</v>
      </c>
      <c r="S118" s="1">
        <f>(Main_S[[#This Row],[A/E]]-VLOOKUP(Main_S[[#This Row],[Industry]], Mean_AE_S, 2, FALSE))/(VLOOKUP(Main_S[[#This Row],[Industry]], Mean_AE_S, 3, FALSE))</f>
        <v>-0.33045619080812078</v>
      </c>
      <c r="T118" s="1">
        <f>(Main_S[[#This Row],[P/E]]-VLOOKUP(Main_S[[#This Row],[Industry]], Mean_PE_S, 2, FALSE))/(VLOOKUP(Main_S[[#This Row],[Industry]], Mean_PE_S, 3, FALSE))</f>
        <v>1.3170796320055527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t="s">
        <v>124</v>
      </c>
      <c r="B119" t="s">
        <v>405</v>
      </c>
      <c r="C119" s="2">
        <v>1826</v>
      </c>
      <c r="D119">
        <f>RTD("tos.rtd", , "LAST", Main_S[[#This Row],[Symbol]])</f>
        <v>12.95</v>
      </c>
      <c r="E119">
        <v>-0.32</v>
      </c>
      <c r="F119">
        <v>0.38</v>
      </c>
      <c r="G119">
        <v>-0.84</v>
      </c>
      <c r="H119" s="1">
        <f>IF(ISNUMBER(Main_S[[#This Row],[Free CF]]),IF(Main_S[[#This Row],[Free CF]]&lt;&gt;0,Main_S[[#This Row],[Current Price]]/Main_S[[#This Row],[Free CF]],""),"")</f>
        <v>-40.46875</v>
      </c>
      <c r="I119" s="1">
        <f>IF(ISNUMBER(Main_S[[#This Row],[BVPS]]),IF(Main_S[[#This Row],[BVPS]]&lt;&gt;0,Main_S[[#This Row],[Current Price]]/Main_S[[#This Row],[BVPS]],""),"")</f>
        <v>34.078947368421048</v>
      </c>
      <c r="J119">
        <v>-156.47999999999999</v>
      </c>
      <c r="K119">
        <v>-23.19</v>
      </c>
      <c r="L119">
        <v>3.23</v>
      </c>
      <c r="M119" s="1">
        <f>IF(ISNUMBER(Main_S[[#This Row],[EPS]]),IF(Main_S[[#This Row],[EPS]]&lt;&gt;0,Main_S[[#This Row],[Current Price]]/Main_S[[#This Row],[EPS]],""),"")</f>
        <v>-15.416666666666666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-2.2810593167909641</v>
      </c>
      <c r="P119" s="1">
        <f>(Main_S[[#This Row],[P/B]]-VLOOKUP(Main_S[[#This Row],[Industry]], Mean_PB_S, 2, FALSE))/(VLOOKUP(Main_S[[#This Row],[Industry]], Mean_PB_S, 3, FALSE))</f>
        <v>9.8371748862775998</v>
      </c>
      <c r="Q119" s="1">
        <f>(Main_S[[#This Row],[ROE]]-VLOOKUP(Main_S[[#This Row],[Industry]], Mean_ROE_S, 2, FALSE))/(VLOOKUP(Main_S[[#This Row],[Industry]], Mean_ROE_S, 3, FALSE))</f>
        <v>-4.8415838222065748</v>
      </c>
      <c r="R119" s="1">
        <f>(Main_S[[#This Row],[ROA]]-VLOOKUP(Main_S[[#This Row],[Industry]], Mean_ROA_S, 2, FALSE))/(VLOOKUP(Main_S[[#This Row],[Industry]], Mean_ROA_S, 3, FALSE))</f>
        <v>-3.8611694457142289</v>
      </c>
      <c r="S119" s="1">
        <f>(Main_S[[#This Row],[A/E]]-VLOOKUP(Main_S[[#This Row],[Industry]], Mean_AE_S, 2, FALSE))/(VLOOKUP(Main_S[[#This Row],[Industry]], Mean_AE_S, 3, FALSE))</f>
        <v>1.4579823730483097</v>
      </c>
      <c r="T119" s="1">
        <f>(Main_S[[#This Row],[P/E]]-VLOOKUP(Main_S[[#This Row],[Industry]], Mean_PE_S, 2, FALSE))/(VLOOKUP(Main_S[[#This Row],[Industry]], Mean_PE_S, 3, FALSE))</f>
        <v>-0.29906511771908328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t="s">
        <v>124</v>
      </c>
      <c r="B120" t="s">
        <v>406</v>
      </c>
      <c r="C120" s="2">
        <v>1252</v>
      </c>
      <c r="D120">
        <f>RTD("tos.rtd", , "LAST", Main_S[[#This Row],[Symbol]])</f>
        <v>9.6999999999999993</v>
      </c>
      <c r="E120">
        <v>0.17</v>
      </c>
      <c r="F120">
        <v>4.12</v>
      </c>
      <c r="G120">
        <v>-0.01</v>
      </c>
      <c r="H120" s="1">
        <f>IF(ISNUMBER(Main_S[[#This Row],[Free CF]]),IF(Main_S[[#This Row],[Free CF]]&lt;&gt;0,Main_S[[#This Row],[Current Price]]/Main_S[[#This Row],[Free CF]],""),"")</f>
        <v>57.058823529411754</v>
      </c>
      <c r="I120" s="1">
        <f>IF(ISNUMBER(Main_S[[#This Row],[BVPS]]),IF(Main_S[[#This Row],[BVPS]]&lt;&gt;0,Main_S[[#This Row],[Current Price]]/Main_S[[#This Row],[BVPS]],""),"")</f>
        <v>2.3543689320388346</v>
      </c>
      <c r="J120">
        <v>-0.13</v>
      </c>
      <c r="K120">
        <v>-2.37</v>
      </c>
      <c r="L120">
        <v>1.1000000000000001</v>
      </c>
      <c r="M120" s="1">
        <f>IF(ISNUMBER(Main_S[[#This Row],[EPS]]),IF(Main_S[[#This Row],[EPS]]&lt;&gt;0,Main_S[[#This Row],[Current Price]]/Main_S[[#This Row],[EPS]],""),"")</f>
        <v>-969.99999999999989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1.9603576281644322</v>
      </c>
      <c r="P120" s="1">
        <f>(Main_S[[#This Row],[P/B]]-VLOOKUP(Main_S[[#This Row],[Industry]], Mean_PB_S, 2, FALSE))/(VLOOKUP(Main_S[[#This Row],[Industry]], Mean_PB_S, 3, FALSE))</f>
        <v>-0.3456555938571278</v>
      </c>
      <c r="Q120" s="1">
        <f>(Main_S[[#This Row],[ROE]]-VLOOKUP(Main_S[[#This Row],[Industry]], Mean_ROE_S, 2, FALSE))/(VLOOKUP(Main_S[[#This Row],[Industry]], Mean_ROE_S, 3, FALSE))</f>
        <v>8.6426337435601741E-2</v>
      </c>
      <c r="R120" s="1">
        <f>(Main_S[[#This Row],[ROA]]-VLOOKUP(Main_S[[#This Row],[Industry]], Mean_ROA_S, 2, FALSE))/(VLOOKUP(Main_S[[#This Row],[Industry]], Mean_ROA_S, 3, FALSE))</f>
        <v>-0.27426157166543924</v>
      </c>
      <c r="S120" s="1">
        <f>(Main_S[[#This Row],[A/E]]-VLOOKUP(Main_S[[#This Row],[Industry]], Mean_AE_S, 2, FALSE))/(VLOOKUP(Main_S[[#This Row],[Industry]], Mean_AE_S, 3, FALSE))</f>
        <v>-0.83682132635783302</v>
      </c>
      <c r="T120" s="1">
        <f>(Main_S[[#This Row],[P/E]]-VLOOKUP(Main_S[[#This Row],[Industry]], Mean_PE_S, 2, FALSE))/(VLOOKUP(Main_S[[#This Row],[Industry]], Mean_PE_S, 3, FALSE))</f>
        <v>-33.078978443167159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1" spans="1:26" x14ac:dyDescent="0.25">
      <c r="A121" t="s">
        <v>124</v>
      </c>
      <c r="B121" t="s">
        <v>407</v>
      </c>
      <c r="C121" s="2">
        <v>352</v>
      </c>
      <c r="D121">
        <f>RTD("tos.rtd", , "LAST", Main_S[[#This Row],[Symbol]])</f>
        <v>13.39</v>
      </c>
      <c r="E121">
        <v>0.76</v>
      </c>
      <c r="F121">
        <v>3.14</v>
      </c>
      <c r="G121">
        <v>-0.26</v>
      </c>
      <c r="H121" s="1">
        <f>IF(ISNUMBER(Main_S[[#This Row],[Free CF]]),IF(Main_S[[#This Row],[Free CF]]&lt;&gt;0,Main_S[[#This Row],[Current Price]]/Main_S[[#This Row],[Free CF]],""),"")</f>
        <v>17.618421052631579</v>
      </c>
      <c r="I121" s="1">
        <f>IF(ISNUMBER(Main_S[[#This Row],[BVPS]]),IF(Main_S[[#This Row],[BVPS]]&lt;&gt;0,Main_S[[#This Row],[Current Price]]/Main_S[[#This Row],[BVPS]],""),"")</f>
        <v>4.2643312101910826</v>
      </c>
      <c r="J121">
        <v>-8.4499999999999993</v>
      </c>
      <c r="K121">
        <v>-2.81</v>
      </c>
      <c r="L121">
        <v>1.75</v>
      </c>
      <c r="M121" s="1">
        <f>IF(ISNUMBER(Main_S[[#This Row],[EPS]]),IF(Main_S[[#This Row],[EPS]]&lt;&gt;0,Main_S[[#This Row],[Current Price]]/Main_S[[#This Row],[EPS]],""),"")</f>
        <v>-51.5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0.24511766753495945</v>
      </c>
      <c r="P121" s="1">
        <f>(Main_S[[#This Row],[P/B]]-VLOOKUP(Main_S[[#This Row],[Industry]], Mean_PB_S, 2, FALSE))/(VLOOKUP(Main_S[[#This Row],[Industry]], Mean_PB_S, 3, FALSE))</f>
        <v>0.26739659029962304</v>
      </c>
      <c r="Q121" s="1">
        <f>(Main_S[[#This Row],[ROE]]-VLOOKUP(Main_S[[#This Row],[Industry]], Mean_ROE_S, 2, FALSE))/(VLOOKUP(Main_S[[#This Row],[Industry]], Mean_ROE_S, 3, FALSE))</f>
        <v>-0.1758125146796711</v>
      </c>
      <c r="R121" s="1">
        <f>(Main_S[[#This Row],[ROA]]-VLOOKUP(Main_S[[#This Row],[Industry]], Mean_ROA_S, 2, FALSE))/(VLOOKUP(Main_S[[#This Row],[Industry]], Mean_ROA_S, 3, FALSE))</f>
        <v>-0.35006558053102366</v>
      </c>
      <c r="S121" s="1">
        <f>(Main_S[[#This Row],[A/E]]-VLOOKUP(Main_S[[#This Row],[Industry]], Mean_AE_S, 2, FALSE))/(VLOOKUP(Main_S[[#This Row],[Industry]], Mean_AE_S, 3, FALSE))</f>
        <v>-0.13652911761886929</v>
      </c>
      <c r="T121" s="1">
        <f>(Main_S[[#This Row],[P/E]]-VLOOKUP(Main_S[[#This Row],[Industry]], Mean_PE_S, 2, FALSE))/(VLOOKUP(Main_S[[#This Row],[Industry]], Mean_PE_S, 3, FALSE))</f>
        <v>-1.5381487030459291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t="s">
        <v>124</v>
      </c>
      <c r="B122" t="s">
        <v>408</v>
      </c>
      <c r="C122" s="2">
        <v>1552</v>
      </c>
      <c r="D122">
        <f>RTD("tos.rtd", , "LAST", Main_S[[#This Row],[Symbol]])</f>
        <v>18.510000000000002</v>
      </c>
      <c r="E122">
        <v>0.88</v>
      </c>
      <c r="F122">
        <v>10.39</v>
      </c>
      <c r="G122">
        <v>0.93</v>
      </c>
      <c r="H122" s="1">
        <f>IF(ISNUMBER(Main_S[[#This Row],[Free CF]]),IF(Main_S[[#This Row],[Free CF]]&lt;&gt;0,Main_S[[#This Row],[Current Price]]/Main_S[[#This Row],[Free CF]],""),"")</f>
        <v>21.03409090909091</v>
      </c>
      <c r="I122" s="1">
        <f>IF(ISNUMBER(Main_S[[#This Row],[BVPS]]),IF(Main_S[[#This Row],[BVPS]]&lt;&gt;0,Main_S[[#This Row],[Current Price]]/Main_S[[#This Row],[BVPS]],""),"")</f>
        <v>1.7815206929740135</v>
      </c>
      <c r="J122">
        <v>9.1999999999999993</v>
      </c>
      <c r="K122">
        <v>5.79</v>
      </c>
      <c r="L122">
        <v>1.1200000000000001</v>
      </c>
      <c r="M122" s="1">
        <f>IF(ISNUMBER(Main_S[[#This Row],[EPS]]),IF(Main_S[[#This Row],[EPS]]&lt;&gt;0,Main_S[[#This Row],[Current Price]]/Main_S[[#This Row],[EPS]],""),"")</f>
        <v>19.903225806451612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0.39366314532428426</v>
      </c>
      <c r="P122" s="1">
        <f>(Main_S[[#This Row],[P/B]]-VLOOKUP(Main_S[[#This Row],[Industry]], Mean_PB_S, 2, FALSE))/(VLOOKUP(Main_S[[#This Row],[Industry]], Mean_PB_S, 3, FALSE))</f>
        <v>-0.52952616981886058</v>
      </c>
      <c r="Q122" s="1">
        <f>(Main_S[[#This Row],[ROE]]-VLOOKUP(Main_S[[#This Row],[Industry]], Mean_ROE_S, 2, FALSE))/(VLOOKUP(Main_S[[#This Row],[Industry]], Mean_ROE_S, 3, FALSE))</f>
        <v>0.3804994732812142</v>
      </c>
      <c r="R122" s="1">
        <f>(Main_S[[#This Row],[ROA]]-VLOOKUP(Main_S[[#This Row],[Industry]], Mean_ROA_S, 2, FALSE))/(VLOOKUP(Main_S[[#This Row],[Industry]], Mean_ROA_S, 3, FALSE))</f>
        <v>1.1315582291144899</v>
      </c>
      <c r="S122" s="1">
        <f>(Main_S[[#This Row],[A/E]]-VLOOKUP(Main_S[[#This Row],[Industry]], Mean_AE_S, 2, FALSE))/(VLOOKUP(Main_S[[#This Row],[Industry]], Mean_AE_S, 3, FALSE))</f>
        <v>-0.81527387378124949</v>
      </c>
      <c r="T122" s="1">
        <f>(Main_S[[#This Row],[P/E]]-VLOOKUP(Main_S[[#This Row],[Industry]], Mean_PE_S, 2, FALSE))/(VLOOKUP(Main_S[[#This Row],[Industry]], Mean_PE_S, 3, FALSE))</f>
        <v>0.91380229102780086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t="s">
        <v>124</v>
      </c>
      <c r="B123" t="s">
        <v>409</v>
      </c>
      <c r="C123" s="2">
        <v>1395</v>
      </c>
      <c r="D123">
        <f>RTD("tos.rtd", , "LAST", Main_S[[#This Row],[Symbol]])</f>
        <v>17</v>
      </c>
      <c r="E123">
        <v>1.18</v>
      </c>
      <c r="F123">
        <v>1.43</v>
      </c>
      <c r="G123">
        <v>-0.59</v>
      </c>
      <c r="H123" s="1">
        <f>IF(ISNUMBER(Main_S[[#This Row],[Free CF]]),IF(Main_S[[#This Row],[Free CF]]&lt;&gt;0,Main_S[[#This Row],[Current Price]]/Main_S[[#This Row],[Free CF]],""),"")</f>
        <v>14.40677966101695</v>
      </c>
      <c r="I123" s="1">
        <f>IF(ISNUMBER(Main_S[[#This Row],[BVPS]]),IF(Main_S[[#This Row],[BVPS]]&lt;&gt;0,Main_S[[#This Row],[Current Price]]/Main_S[[#This Row],[BVPS]],""),"")</f>
        <v>11.888111888111888</v>
      </c>
      <c r="J123">
        <v>-26.63</v>
      </c>
      <c r="K123">
        <v>-4.03</v>
      </c>
      <c r="L123">
        <v>7.14</v>
      </c>
      <c r="M123" s="1">
        <f>IF(ISNUMBER(Main_S[[#This Row],[EPS]]),IF(Main_S[[#This Row],[EPS]]&lt;&gt;0,Main_S[[#This Row],[Current Price]]/Main_S[[#This Row],[EPS]],""),"")</f>
        <v>-28.8135593220339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0.10544526796063389</v>
      </c>
      <c r="P123" s="1">
        <f>(Main_S[[#This Row],[P/B]]-VLOOKUP(Main_S[[#This Row],[Industry]], Mean_PB_S, 2, FALSE))/(VLOOKUP(Main_S[[#This Row],[Industry]], Mean_PB_S, 3, FALSE))</f>
        <v>2.7144477439239383</v>
      </c>
      <c r="Q123" s="1">
        <f>(Main_S[[#This Row],[ROE]]-VLOOKUP(Main_S[[#This Row],[Industry]], Mean_ROE_S, 2, FALSE))/(VLOOKUP(Main_S[[#This Row],[Industry]], Mean_ROE_S, 3, FALSE))</f>
        <v>-0.74882962182578416</v>
      </c>
      <c r="R123" s="1">
        <f>(Main_S[[#This Row],[ROA]]-VLOOKUP(Main_S[[#This Row],[Industry]], Mean_ROA_S, 2, FALSE))/(VLOOKUP(Main_S[[#This Row],[Industry]], Mean_ROA_S, 3, FALSE))</f>
        <v>-0.56024942329468952</v>
      </c>
      <c r="S123" s="1">
        <f>(Main_S[[#This Row],[A/E]]-VLOOKUP(Main_S[[#This Row],[Industry]], Mean_AE_S, 2, FALSE))/(VLOOKUP(Main_S[[#This Row],[Industry]], Mean_AE_S, 3, FALSE))</f>
        <v>5.6705093517703844</v>
      </c>
      <c r="T123" s="1">
        <f>(Main_S[[#This Row],[P/E]]-VLOOKUP(Main_S[[#This Row],[Industry]], Mean_PE_S, 2, FALSE))/(VLOOKUP(Main_S[[#This Row],[Industry]], Mean_PE_S, 3, FALSE))</f>
        <v>-0.75910769832835767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4" spans="1:26" x14ac:dyDescent="0.25">
      <c r="A124" t="s">
        <v>124</v>
      </c>
      <c r="B124" t="s">
        <v>410</v>
      </c>
      <c r="C124" s="2">
        <v>851</v>
      </c>
      <c r="D124">
        <f>RTD("tos.rtd", , "LAST", Main_S[[#This Row],[Symbol]])</f>
        <v>14.96</v>
      </c>
      <c r="E124">
        <v>0.61</v>
      </c>
      <c r="F124">
        <v>4.42</v>
      </c>
      <c r="G124">
        <v>-5.66</v>
      </c>
      <c r="H124" s="1">
        <f>IF(ISNUMBER(Main_S[[#This Row],[Free CF]]),IF(Main_S[[#This Row],[Free CF]]&lt;&gt;0,Main_S[[#This Row],[Current Price]]/Main_S[[#This Row],[Free CF]],""),"")</f>
        <v>24.524590163934427</v>
      </c>
      <c r="I124" s="1">
        <f>IF(ISNUMBER(Main_S[[#This Row],[BVPS]]),IF(Main_S[[#This Row],[BVPS]]&lt;&gt;0,Main_S[[#This Row],[Current Price]]/Main_S[[#This Row],[BVPS]],""),"")</f>
        <v>3.384615384615385</v>
      </c>
      <c r="J124">
        <v>-70.98</v>
      </c>
      <c r="K124">
        <v>3.55</v>
      </c>
      <c r="L124">
        <v>3.95</v>
      </c>
      <c r="M124" s="1">
        <f>IF(ISNUMBER(Main_S[[#This Row],[EPS]]),IF(Main_S[[#This Row],[EPS]]&lt;&gt;0,Main_S[[#This Row],[Current Price]]/Main_S[[#This Row],[EPS]],""),"")</f>
        <v>-2.6431095406360425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0.54546290974047551</v>
      </c>
      <c r="P124" s="1">
        <f>(Main_S[[#This Row],[P/B]]-VLOOKUP(Main_S[[#This Row],[Industry]], Mean_PB_S, 2, FALSE))/(VLOOKUP(Main_S[[#This Row],[Industry]], Mean_PB_S, 3, FALSE))</f>
        <v>-1.4971137312351673E-2</v>
      </c>
      <c r="Q124" s="1">
        <f>(Main_S[[#This Row],[ROE]]-VLOOKUP(Main_S[[#This Row],[Industry]], Mean_ROE_S, 2, FALSE))/(VLOOKUP(Main_S[[#This Row],[Industry]], Mean_ROE_S, 3, FALSE))</f>
        <v>-2.1467013876085193</v>
      </c>
      <c r="R124" s="1">
        <f>(Main_S[[#This Row],[ROA]]-VLOOKUP(Main_S[[#This Row],[Industry]], Mean_ROA_S, 2, FALSE))/(VLOOKUP(Main_S[[#This Row],[Industry]], Mean_ROA_S, 3, FALSE))</f>
        <v>0.74564691125333282</v>
      </c>
      <c r="S124" s="1">
        <f>(Main_S[[#This Row],[A/E]]-VLOOKUP(Main_S[[#This Row],[Industry]], Mean_AE_S, 2, FALSE))/(VLOOKUP(Main_S[[#This Row],[Industry]], Mean_AE_S, 3, FALSE))</f>
        <v>2.2336906658053164</v>
      </c>
      <c r="T124" s="1">
        <f>(Main_S[[#This Row],[P/E]]-VLOOKUP(Main_S[[#This Row],[Industry]], Mean_PE_S, 2, FALSE))/(VLOOKUP(Main_S[[#This Row],[Industry]], Mean_PE_S, 3, FALSE))</f>
        <v>0.13957243316588591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t="s">
        <v>124</v>
      </c>
      <c r="B125" t="s">
        <v>411</v>
      </c>
      <c r="C125" s="2">
        <v>1089</v>
      </c>
      <c r="D125">
        <f>RTD("tos.rtd", , "LAST", Main_S[[#This Row],[Symbol]])</f>
        <v>10.5</v>
      </c>
      <c r="E125">
        <v>-0.45</v>
      </c>
      <c r="F125">
        <v>-0.43</v>
      </c>
      <c r="G125">
        <v>-0.33</v>
      </c>
      <c r="H125" s="1">
        <f>IF(ISNUMBER(Main_S[[#This Row],[Free CF]]),IF(Main_S[[#This Row],[Free CF]]&lt;&gt;0,Main_S[[#This Row],[Current Price]]/Main_S[[#This Row],[Free CF]],""),"")</f>
        <v>-23.333333333333332</v>
      </c>
      <c r="I125" s="1">
        <f>IF(ISNUMBER(Main_S[[#This Row],[BVPS]]),IF(Main_S[[#This Row],[BVPS]]&lt;&gt;0,Main_S[[#This Row],[Current Price]]/Main_S[[#This Row],[BVPS]],""),"")</f>
        <v>-24.418604651162791</v>
      </c>
      <c r="J125">
        <v>83.21</v>
      </c>
      <c r="K125">
        <v>-4.96</v>
      </c>
      <c r="L125">
        <v>-18.829999999999998</v>
      </c>
      <c r="M125" s="1">
        <f>IF(ISNUMBER(Main_S[[#This Row],[EPS]]),IF(Main_S[[#This Row],[EPS]]&lt;&gt;0,Main_S[[#This Row],[Current Price]]/Main_S[[#This Row],[EPS]],""),"")</f>
        <v>-31.818181818181817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-1.5358501007844447</v>
      </c>
      <c r="P125" s="1">
        <f>(Main_S[[#This Row],[P/B]]-VLOOKUP(Main_S[[#This Row],[Industry]], Mean_PB_S, 2, FALSE))/(VLOOKUP(Main_S[[#This Row],[Industry]], Mean_PB_S, 3, FALSE))</f>
        <v>-8.9391394125173438</v>
      </c>
      <c r="Q125" s="1">
        <f>(Main_S[[#This Row],[ROE]]-VLOOKUP(Main_S[[#This Row],[Industry]], Mean_ROE_S, 2, FALSE))/(VLOOKUP(Main_S[[#This Row],[Industry]], Mean_ROE_S, 3, FALSE))</f>
        <v>2.7132275315806544</v>
      </c>
      <c r="R125" s="1">
        <f>(Main_S[[#This Row],[ROA]]-VLOOKUP(Main_S[[#This Row],[Industry]], Mean_ROA_S, 2, FALSE))/(VLOOKUP(Main_S[[#This Row],[Industry]], Mean_ROA_S, 3, FALSE))</f>
        <v>-0.72047153294240196</v>
      </c>
      <c r="S125" s="1">
        <f>(Main_S[[#This Row],[A/E]]-VLOOKUP(Main_S[[#This Row],[Industry]], Mean_AE_S, 2, FALSE))/(VLOOKUP(Main_S[[#This Row],[Industry]], Mean_AE_S, 3, FALSE))</f>
        <v>-22.30885781892329</v>
      </c>
      <c r="T125" s="1">
        <f>(Main_S[[#This Row],[P/E]]-VLOOKUP(Main_S[[#This Row],[Industry]], Mean_PE_S, 2, FALSE))/(VLOOKUP(Main_S[[#This Row],[Industry]], Mean_PE_S, 3, FALSE))</f>
        <v>-0.86228492923128586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t="s">
        <v>124</v>
      </c>
      <c r="B126" t="s">
        <v>412</v>
      </c>
      <c r="C126" s="2">
        <v>793</v>
      </c>
      <c r="D126">
        <f>RTD("tos.rtd", , "LAST", Main_S[[#This Row],[Symbol]])</f>
        <v>18.63</v>
      </c>
      <c r="E126">
        <v>0.68</v>
      </c>
      <c r="F126">
        <v>-1.38</v>
      </c>
      <c r="G126">
        <v>-0.27</v>
      </c>
      <c r="H126" s="1">
        <f>IF(ISNUMBER(Main_S[[#This Row],[Free CF]]),IF(Main_S[[#This Row],[Free CF]]&lt;&gt;0,Main_S[[#This Row],[Current Price]]/Main_S[[#This Row],[Free CF]],""),"")</f>
        <v>27.397058823529409</v>
      </c>
      <c r="I126" s="1">
        <f>IF(ISNUMBER(Main_S[[#This Row],[BVPS]]),IF(Main_S[[#This Row],[BVPS]]&lt;&gt;0,Main_S[[#This Row],[Current Price]]/Main_S[[#This Row],[BVPS]],""),"")</f>
        <v>-13.5</v>
      </c>
      <c r="J126">
        <v>17.100000000000001</v>
      </c>
      <c r="K126">
        <v>-1.88</v>
      </c>
      <c r="L126">
        <v>-6.49</v>
      </c>
      <c r="M126" s="1">
        <f>IF(ISNUMBER(Main_S[[#This Row],[EPS]]),IF(Main_S[[#This Row],[EPS]]&lt;&gt;0,Main_S[[#This Row],[Current Price]]/Main_S[[#This Row],[EPS]],""),"")</f>
        <v>-68.999999999999986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0.67038488622116077</v>
      </c>
      <c r="P126" s="1">
        <f>(Main_S[[#This Row],[P/B]]-VLOOKUP(Main_S[[#This Row],[Industry]], Mean_PB_S, 2, FALSE))/(VLOOKUP(Main_S[[#This Row],[Industry]], Mean_PB_S, 3, FALSE))</f>
        <v>-5.4345286116092453</v>
      </c>
      <c r="Q126" s="1">
        <f>(Main_S[[#This Row],[ROE]]-VLOOKUP(Main_S[[#This Row],[Industry]], Mean_ROE_S, 2, FALSE))/(VLOOKUP(Main_S[[#This Row],[Industry]], Mean_ROE_S, 3, FALSE))</f>
        <v>0.62950030641951427</v>
      </c>
      <c r="R126" s="1">
        <f>(Main_S[[#This Row],[ROA]]-VLOOKUP(Main_S[[#This Row],[Industry]], Mean_ROA_S, 2, FALSE))/(VLOOKUP(Main_S[[#This Row],[Industry]], Mean_ROA_S, 3, FALSE))</f>
        <v>-0.18984347088331111</v>
      </c>
      <c r="S126" s="1">
        <f>(Main_S[[#This Row],[A/E]]-VLOOKUP(Main_S[[#This Row],[Industry]], Mean_AE_S, 2, FALSE))/(VLOOKUP(Main_S[[#This Row],[Industry]], Mean_AE_S, 3, FALSE))</f>
        <v>-9.0140795791712733</v>
      </c>
      <c r="T126" s="1">
        <f>(Main_S[[#This Row],[P/E]]-VLOOKUP(Main_S[[#This Row],[Industry]], Mean_PE_S, 2, FALSE))/(VLOOKUP(Main_S[[#This Row],[Industry]], Mean_PE_S, 3, FALSE))</f>
        <v>-2.139089933804907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t="s">
        <v>124</v>
      </c>
      <c r="B127" t="s">
        <v>413</v>
      </c>
      <c r="C127" s="2">
        <v>972</v>
      </c>
      <c r="D127">
        <f>RTD("tos.rtd", , "LAST", Main_S[[#This Row],[Symbol]])</f>
        <v>8.7899999999999991</v>
      </c>
      <c r="E127">
        <v>-0.24</v>
      </c>
      <c r="F127">
        <v>0.83</v>
      </c>
      <c r="G127">
        <v>-0.73</v>
      </c>
      <c r="H127" s="1">
        <f>IF(ISNUMBER(Main_S[[#This Row],[Free CF]]),IF(Main_S[[#This Row],[Free CF]]&lt;&gt;0,Main_S[[#This Row],[Current Price]]/Main_S[[#This Row],[Free CF]],""),"")</f>
        <v>-36.625</v>
      </c>
      <c r="I127" s="1">
        <f>IF(ISNUMBER(Main_S[[#This Row],[BVPS]]),IF(Main_S[[#This Row],[BVPS]]&lt;&gt;0,Main_S[[#This Row],[Current Price]]/Main_S[[#This Row],[BVPS]],""),"")</f>
        <v>10.590361445783133</v>
      </c>
      <c r="J127">
        <v>-77.89</v>
      </c>
      <c r="K127">
        <v>-14.22</v>
      </c>
      <c r="L127">
        <v>1.43</v>
      </c>
      <c r="M127" s="1">
        <f>IF(ISNUMBER(Main_S[[#This Row],[EPS]]),IF(Main_S[[#This Row],[EPS]]&lt;&gt;0,Main_S[[#This Row],[Current Price]]/Main_S[[#This Row],[EPS]],""),"")</f>
        <v>-12.041095890410958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-2.1138968847505959</v>
      </c>
      <c r="P127" s="1">
        <f>(Main_S[[#This Row],[P/B]]-VLOOKUP(Main_S[[#This Row],[Industry]], Mean_PB_S, 2, FALSE))/(VLOOKUP(Main_S[[#This Row],[Industry]], Mean_PB_S, 3, FALSE))</f>
        <v>2.2979009082818709</v>
      </c>
      <c r="Q127" s="1">
        <f>(Main_S[[#This Row],[ROE]]-VLOOKUP(Main_S[[#This Row],[Industry]], Mean_ROE_S, 2, FALSE))/(VLOOKUP(Main_S[[#This Row],[Industry]], Mean_ROE_S, 3, FALSE))</f>
        <v>-2.3644983188725255</v>
      </c>
      <c r="R127" s="1">
        <f>(Main_S[[#This Row],[ROA]]-VLOOKUP(Main_S[[#This Row],[Industry]], Mean_ROA_S, 2, FALSE))/(VLOOKUP(Main_S[[#This Row],[Industry]], Mean_ROA_S, 3, FALSE))</f>
        <v>-2.3158013558862924</v>
      </c>
      <c r="S127" s="1">
        <f>(Main_S[[#This Row],[A/E]]-VLOOKUP(Main_S[[#This Row],[Industry]], Mean_AE_S, 2, FALSE))/(VLOOKUP(Main_S[[#This Row],[Industry]], Mean_AE_S, 3, FALSE))</f>
        <v>-0.4812883588442054</v>
      </c>
      <c r="T127" s="1">
        <f>(Main_S[[#This Row],[P/E]]-VLOOKUP(Main_S[[#This Row],[Industry]], Mean_PE_S, 2, FALSE))/(VLOOKUP(Main_S[[#This Row],[Industry]], Mean_PE_S, 3, FALSE))</f>
        <v>-0.18314970875924641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8" spans="1:26" x14ac:dyDescent="0.25">
      <c r="A128" t="s">
        <v>124</v>
      </c>
      <c r="B128" t="s">
        <v>414</v>
      </c>
      <c r="C128" s="2">
        <v>1774</v>
      </c>
      <c r="D128">
        <f>RTD("tos.rtd", , "LAST", Main_S[[#This Row],[Symbol]])</f>
        <v>29.71</v>
      </c>
      <c r="E128">
        <v>1.81</v>
      </c>
      <c r="F128">
        <v>14.57</v>
      </c>
      <c r="G128">
        <v>-0.04</v>
      </c>
      <c r="H128" s="1">
        <f>IF(ISNUMBER(Main_S[[#This Row],[Free CF]]),IF(Main_S[[#This Row],[Free CF]]&lt;&gt;0,Main_S[[#This Row],[Current Price]]/Main_S[[#This Row],[Free CF]],""),"")</f>
        <v>16.414364640883978</v>
      </c>
      <c r="I128" s="1">
        <f>IF(ISNUMBER(Main_S[[#This Row],[BVPS]]),IF(Main_S[[#This Row],[BVPS]]&lt;&gt;0,Main_S[[#This Row],[Current Price]]/Main_S[[#This Row],[BVPS]],""),"")</f>
        <v>2.0391214824982842</v>
      </c>
      <c r="J128">
        <v>-0.25</v>
      </c>
      <c r="K128">
        <v>0.39</v>
      </c>
      <c r="L128">
        <v>1.31</v>
      </c>
      <c r="M128" s="1">
        <f>IF(ISNUMBER(Main_S[[#This Row],[EPS]]),IF(Main_S[[#This Row],[EPS]]&lt;&gt;0,Main_S[[#This Row],[Current Price]]/Main_S[[#This Row],[EPS]],""),"")</f>
        <v>-742.75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0.19275396071179773</v>
      </c>
      <c r="P128" s="1">
        <f>(Main_S[[#This Row],[P/B]]-VLOOKUP(Main_S[[#This Row],[Industry]], Mean_PB_S, 2, FALSE))/(VLOOKUP(Main_S[[#This Row],[Industry]], Mean_PB_S, 3, FALSE))</f>
        <v>-0.44684248100217011</v>
      </c>
      <c r="Q128" s="1">
        <f>(Main_S[[#This Row],[ROE]]-VLOOKUP(Main_S[[#This Row],[Industry]], Mean_ROE_S, 2, FALSE))/(VLOOKUP(Main_S[[#This Row],[Industry]], Mean_ROE_S, 3, FALSE))</f>
        <v>8.2644046299323759E-2</v>
      </c>
      <c r="R128" s="1">
        <f>(Main_S[[#This Row],[ROA]]-VLOOKUP(Main_S[[#This Row],[Industry]], Mean_ROA_S, 2, FALSE))/(VLOOKUP(Main_S[[#This Row],[Industry]], Mean_ROA_S, 3, FALSE))</f>
        <v>0.20123630212777208</v>
      </c>
      <c r="S128" s="1">
        <f>(Main_S[[#This Row],[A/E]]-VLOOKUP(Main_S[[#This Row],[Industry]], Mean_AE_S, 2, FALSE))/(VLOOKUP(Main_S[[#This Row],[Industry]], Mean_AE_S, 3, FALSE))</f>
        <v>-0.61057307430370633</v>
      </c>
      <c r="T128" s="1">
        <f>(Main_S[[#This Row],[P/E]]-VLOOKUP(Main_S[[#This Row],[Industry]], Mean_PE_S, 2, FALSE))/(VLOOKUP(Main_S[[#This Row],[Industry]], Mean_PE_S, 3, FALSE))</f>
        <v>-25.275327318025575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9" spans="1:26" x14ac:dyDescent="0.25">
      <c r="A129" t="s">
        <v>124</v>
      </c>
      <c r="B129" t="s">
        <v>415</v>
      </c>
      <c r="C129" s="2">
        <v>564</v>
      </c>
      <c r="D129">
        <f>RTD("tos.rtd", , "LAST", Main_S[[#This Row],[Symbol]])</f>
        <v>47.68</v>
      </c>
      <c r="E129">
        <v>1.04</v>
      </c>
      <c r="F129">
        <v>6.22</v>
      </c>
      <c r="G129">
        <v>0.5</v>
      </c>
      <c r="H129" s="1">
        <f>IF(ISNUMBER(Main_S[[#This Row],[Free CF]]),IF(Main_S[[#This Row],[Free CF]]&lt;&gt;0,Main_S[[#This Row],[Current Price]]/Main_S[[#This Row],[Free CF]],""),"")</f>
        <v>45.846153846153847</v>
      </c>
      <c r="I129" s="1">
        <f>IF(ISNUMBER(Main_S[[#This Row],[BVPS]]),IF(Main_S[[#This Row],[BVPS]]&lt;&gt;0,Main_S[[#This Row],[Current Price]]/Main_S[[#This Row],[BVPS]],""),"")</f>
        <v>7.6655948553054669</v>
      </c>
      <c r="J129">
        <v>8.11</v>
      </c>
      <c r="K129">
        <v>5.17</v>
      </c>
      <c r="L129">
        <v>1.1399999999999999</v>
      </c>
      <c r="M129" s="1">
        <f>IF(ISNUMBER(Main_S[[#This Row],[EPS]]),IF(Main_S[[#This Row],[EPS]]&lt;&gt;0,Main_S[[#This Row],[Current Price]]/Main_S[[#This Row],[EPS]],""),"")</f>
        <v>95.36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1.4727252030798932</v>
      </c>
      <c r="P129" s="1">
        <f>(Main_S[[#This Row],[P/B]]-VLOOKUP(Main_S[[#This Row],[Industry]], Mean_PB_S, 2, FALSE))/(VLOOKUP(Main_S[[#This Row],[Industry]], Mean_PB_S, 3, FALSE))</f>
        <v>1.3591208250565319</v>
      </c>
      <c r="Q129" s="1">
        <f>(Main_S[[#This Row],[ROE]]-VLOOKUP(Main_S[[#This Row],[Industry]], Mean_ROE_S, 2, FALSE))/(VLOOKUP(Main_S[[#This Row],[Industry]], Mean_ROE_S, 3, FALSE))</f>
        <v>0.34614366212668929</v>
      </c>
      <c r="R129" s="1">
        <f>(Main_S[[#This Row],[ROA]]-VLOOKUP(Main_S[[#This Row],[Industry]], Mean_ROA_S, 2, FALSE))/(VLOOKUP(Main_S[[#This Row],[Industry]], Mean_ROA_S, 3, FALSE))</f>
        <v>1.0247434893493481</v>
      </c>
      <c r="S129" s="1">
        <f>(Main_S[[#This Row],[A/E]]-VLOOKUP(Main_S[[#This Row],[Industry]], Mean_AE_S, 2, FALSE))/(VLOOKUP(Main_S[[#This Row],[Industry]], Mean_AE_S, 3, FALSE))</f>
        <v>-0.79372642120466619</v>
      </c>
      <c r="T129" s="1">
        <f>(Main_S[[#This Row],[P/E]]-VLOOKUP(Main_S[[#This Row],[Industry]], Mean_PE_S, 2, FALSE))/(VLOOKUP(Main_S[[#This Row],[Industry]], Mean_PE_S, 3, FALSE))</f>
        <v>3.5049501054834171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0" spans="1:26" x14ac:dyDescent="0.25">
      <c r="A130" t="s">
        <v>124</v>
      </c>
      <c r="B130" t="s">
        <v>416</v>
      </c>
      <c r="C130" s="2">
        <v>306</v>
      </c>
      <c r="D130">
        <f>RTD("tos.rtd", , "LAST", Main_S[[#This Row],[Symbol]])</f>
        <v>3.57</v>
      </c>
      <c r="E130">
        <v>-0.21</v>
      </c>
      <c r="F130">
        <v>-0.7</v>
      </c>
      <c r="G130">
        <v>-0.38</v>
      </c>
      <c r="H130" s="1">
        <f>IF(ISNUMBER(Main_S[[#This Row],[Free CF]]),IF(Main_S[[#This Row],[Free CF]]&lt;&gt;0,Main_S[[#This Row],[Current Price]]/Main_S[[#This Row],[Free CF]],""),"")</f>
        <v>-17</v>
      </c>
      <c r="I130" s="1">
        <f>IF(ISNUMBER(Main_S[[#This Row],[BVPS]]),IF(Main_S[[#This Row],[BVPS]]&lt;&gt;0,Main_S[[#This Row],[Current Price]]/Main_S[[#This Row],[BVPS]],""),"")</f>
        <v>-5.1000000000000005</v>
      </c>
      <c r="J130">
        <v>68.47</v>
      </c>
      <c r="K130">
        <v>7.86</v>
      </c>
      <c r="L130">
        <v>-5.39</v>
      </c>
      <c r="M130" s="1">
        <f>IF(ISNUMBER(Main_S[[#This Row],[EPS]]),IF(Main_S[[#This Row],[EPS]]&lt;&gt;0,Main_S[[#This Row],[Current Price]]/Main_S[[#This Row],[EPS]],""),"")</f>
        <v>-9.3947368421052619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>
        <f>(Main_S[[#This Row],[P/FCF]]-VLOOKUP(Main_S[[#This Row],[Industry]], Mean_PFCF_S, 2, FALSE))/(VLOOKUP(Main_S[[#This Row],[Industry]], Mean_PFCF_S, 3, FALSE))</f>
        <v>-1.2604171504306672</v>
      </c>
      <c r="P130" s="1">
        <f>(Main_S[[#This Row],[P/B]]-VLOOKUP(Main_S[[#This Row],[Industry]], Mean_PB_S, 2, FALSE))/(VLOOKUP(Main_S[[#This Row],[Industry]], Mean_PB_S, 3, FALSE))</f>
        <v>-2.7383296312301075</v>
      </c>
      <c r="Q130" s="1">
        <f>(Main_S[[#This Row],[ROE]]-VLOOKUP(Main_S[[#This Row],[Industry]], Mean_ROE_S, 2, FALSE))/(VLOOKUP(Main_S[[#This Row],[Industry]], Mean_ROE_S, 3, FALSE))</f>
        <v>2.2486361036745097</v>
      </c>
      <c r="R130" s="1">
        <f>(Main_S[[#This Row],[ROA]]-VLOOKUP(Main_S[[#This Row],[Industry]], Mean_ROA_S, 2, FALSE))/(VLOOKUP(Main_S[[#This Row],[Industry]], Mean_ROA_S, 3, FALSE))</f>
        <v>1.4881816344593983</v>
      </c>
      <c r="S130" s="1">
        <f>(Main_S[[#This Row],[A/E]]-VLOOKUP(Main_S[[#This Row],[Industry]], Mean_AE_S, 2, FALSE))/(VLOOKUP(Main_S[[#This Row],[Industry]], Mean_AE_S, 3, FALSE))</f>
        <v>-7.8289696874591792</v>
      </c>
      <c r="T130" s="1">
        <f>(Main_S[[#This Row],[P/E]]-VLOOKUP(Main_S[[#This Row],[Industry]], Mean_PE_S, 2, FALSE))/(VLOOKUP(Main_S[[#This Row],[Industry]], Mean_PE_S, 3, FALSE))</f>
        <v>-9.2275065129590231E-2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1" spans="1:26" x14ac:dyDescent="0.25">
      <c r="A131" t="s">
        <v>124</v>
      </c>
      <c r="B131" t="s">
        <v>417</v>
      </c>
      <c r="C131" s="2">
        <v>623</v>
      </c>
      <c r="D131">
        <f>RTD("tos.rtd", , "LAST", Main_S[[#This Row],[Symbol]])</f>
        <v>4.9400000000000004</v>
      </c>
      <c r="E131">
        <v>0.23</v>
      </c>
      <c r="F131">
        <v>2.37</v>
      </c>
      <c r="G131">
        <v>-0.2</v>
      </c>
      <c r="H131" s="1">
        <f>IF(ISNUMBER(Main_S[[#This Row],[Free CF]]),IF(Main_S[[#This Row],[Free CF]]&lt;&gt;0,Main_S[[#This Row],[Current Price]]/Main_S[[#This Row],[Free CF]],""),"")</f>
        <v>21.478260869565219</v>
      </c>
      <c r="I131" s="1">
        <f>IF(ISNUMBER(Main_S[[#This Row],[BVPS]]),IF(Main_S[[#This Row],[BVPS]]&lt;&gt;0,Main_S[[#This Row],[Current Price]]/Main_S[[#This Row],[BVPS]],""),"")</f>
        <v>2.0843881856540083</v>
      </c>
      <c r="J131">
        <v>-7.99</v>
      </c>
      <c r="K131">
        <v>-5.43</v>
      </c>
      <c r="L131">
        <v>1.3</v>
      </c>
      <c r="M131" s="1">
        <f>IF(ISNUMBER(Main_S[[#This Row],[EPS]]),IF(Main_S[[#This Row],[EPS]]&lt;&gt;0,Main_S[[#This Row],[Current Price]]/Main_S[[#This Row],[EPS]],""),"")</f>
        <v>-24.7</v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>
        <f>(Main_S[[#This Row],[P/FCF]]-VLOOKUP(Main_S[[#This Row],[Industry]], Mean_PFCF_S, 2, FALSE))/(VLOOKUP(Main_S[[#This Row],[Industry]], Mean_PFCF_S, 3, FALSE))</f>
        <v>0.41297983627248835</v>
      </c>
      <c r="P131" s="1">
        <f>(Main_S[[#This Row],[P/B]]-VLOOKUP(Main_S[[#This Row],[Industry]], Mean_PB_S, 2, FALSE))/(VLOOKUP(Main_S[[#This Row],[Industry]], Mean_PB_S, 3, FALSE))</f>
        <v>-0.43231295256245722</v>
      </c>
      <c r="Q131" s="1">
        <f>(Main_S[[#This Row],[ROE]]-VLOOKUP(Main_S[[#This Row],[Industry]], Mean_ROE_S, 2, FALSE))/(VLOOKUP(Main_S[[#This Row],[Industry]], Mean_ROE_S, 3, FALSE))</f>
        <v>-0.16131373199060556</v>
      </c>
      <c r="R131" s="1">
        <f>(Main_S[[#This Row],[ROA]]-VLOOKUP(Main_S[[#This Row],[Industry]], Mean_ROA_S, 2, FALSE))/(VLOOKUP(Main_S[[#This Row],[Industry]], Mean_ROA_S, 3, FALSE))</f>
        <v>-0.80144399695791246</v>
      </c>
      <c r="S131" s="1">
        <f>(Main_S[[#This Row],[A/E]]-VLOOKUP(Main_S[[#This Row],[Industry]], Mean_AE_S, 2, FALSE))/(VLOOKUP(Main_S[[#This Row],[Industry]], Mean_AE_S, 3, FALSE))</f>
        <v>-0.62134680059199809</v>
      </c>
      <c r="T131" s="1">
        <f>(Main_S[[#This Row],[P/E]]-VLOOKUP(Main_S[[#This Row],[Industry]], Mean_PE_S, 2, FALSE))/(VLOOKUP(Main_S[[#This Row],[Industry]], Mean_PE_S, 3, FALSE))</f>
        <v>-0.61785013251217935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2" spans="1:26" x14ac:dyDescent="0.25">
      <c r="A132" t="s">
        <v>124</v>
      </c>
      <c r="B132" t="s">
        <v>418</v>
      </c>
      <c r="C132" s="2">
        <v>502</v>
      </c>
      <c r="D132">
        <f>RTD("tos.rtd", , "LAST", Main_S[[#This Row],[Symbol]])</f>
        <v>2.2599999999999998</v>
      </c>
      <c r="E132">
        <v>-0.15</v>
      </c>
      <c r="F132">
        <v>-0.18</v>
      </c>
      <c r="G132">
        <v>-1.06</v>
      </c>
      <c r="H132" s="1">
        <f>IF(ISNUMBER(Main_S[[#This Row],[Free CF]]),IF(Main_S[[#This Row],[Free CF]]&lt;&gt;0,Main_S[[#This Row],[Current Price]]/Main_S[[#This Row],[Free CF]],""),"")</f>
        <v>-15.066666666666666</v>
      </c>
      <c r="I132" s="1">
        <f>IF(ISNUMBER(Main_S[[#This Row],[BVPS]]),IF(Main_S[[#This Row],[BVPS]]&lt;&gt;0,Main_S[[#This Row],[Current Price]]/Main_S[[#This Row],[BVPS]],""),"")</f>
        <v>-12.555555555555555</v>
      </c>
      <c r="J132">
        <v>374.17</v>
      </c>
      <c r="K132">
        <v>-772.93</v>
      </c>
      <c r="L132">
        <v>-0.52</v>
      </c>
      <c r="M132" s="1">
        <f>IF(ISNUMBER(Main_S[[#This Row],[EPS]]),IF(Main_S[[#This Row],[EPS]]&lt;&gt;0,Main_S[[#This Row],[Current Price]]/Main_S[[#This Row],[EPS]],""),"")</f>
        <v>-2.132075471698113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-1.176337618217409</v>
      </c>
      <c r="P132" s="1">
        <f>(Main_S[[#This Row],[P/B]]-VLOOKUP(Main_S[[#This Row],[Industry]], Mean_PB_S, 2, FALSE))/(VLOOKUP(Main_S[[#This Row],[Industry]], Mean_PB_S, 3, FALSE))</f>
        <v>-5.131384546354977</v>
      </c>
      <c r="Q132" s="1">
        <f>(Main_S[[#This Row],[ROE]]-VLOOKUP(Main_S[[#This Row],[Industry]], Mean_ROE_S, 2, FALSE))/(VLOOKUP(Main_S[[#This Row],[Industry]], Mean_ROE_S, 3, FALSE))</f>
        <v>11.88402277334265</v>
      </c>
      <c r="R132" s="1">
        <f>(Main_S[[#This Row],[ROA]]-VLOOKUP(Main_S[[#This Row],[Industry]], Mean_ROA_S, 2, FALSE))/(VLOOKUP(Main_S[[#This Row],[Industry]], Mean_ROA_S, 3, FALSE))</f>
        <v>-133.02775491590344</v>
      </c>
      <c r="S132" s="1">
        <f>(Main_S[[#This Row],[A/E]]-VLOOKUP(Main_S[[#This Row],[Industry]], Mean_AE_S, 2, FALSE))/(VLOOKUP(Main_S[[#This Row],[Industry]], Mean_AE_S, 3, FALSE))</f>
        <v>-2.5821649850610968</v>
      </c>
      <c r="T132" s="1">
        <f>(Main_S[[#This Row],[P/E]]-VLOOKUP(Main_S[[#This Row],[Industry]], Mean_PE_S, 2, FALSE))/(VLOOKUP(Main_S[[#This Row],[Industry]], Mean_PE_S, 3, FALSE))</f>
        <v>0.15712108701430463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t="s">
        <v>124</v>
      </c>
      <c r="B133" t="s">
        <v>419</v>
      </c>
      <c r="C133" s="2">
        <v>1514</v>
      </c>
      <c r="D133">
        <f>RTD("tos.rtd", , "LAST", Main_S[[#This Row],[Symbol]])</f>
        <v>10.84</v>
      </c>
      <c r="E133">
        <v>0.24</v>
      </c>
      <c r="F133">
        <v>1.75</v>
      </c>
      <c r="G133">
        <v>0.06</v>
      </c>
      <c r="H133" s="1">
        <f>IF(ISNUMBER(Main_S[[#This Row],[Free CF]]),IF(Main_S[[#This Row],[Free CF]]&lt;&gt;0,Main_S[[#This Row],[Current Price]]/Main_S[[#This Row],[Free CF]],""),"")</f>
        <v>45.166666666666664</v>
      </c>
      <c r="I133" s="1">
        <f>IF(ISNUMBER(Main_S[[#This Row],[BVPS]]),IF(Main_S[[#This Row],[BVPS]]&lt;&gt;0,Main_S[[#This Row],[Current Price]]/Main_S[[#This Row],[BVPS]],""),"")</f>
        <v>6.194285714285714</v>
      </c>
      <c r="J133">
        <v>3.01</v>
      </c>
      <c r="K133">
        <v>1.44</v>
      </c>
      <c r="L133">
        <v>1.52</v>
      </c>
      <c r="M133" s="1">
        <f>IF(ISNUMBER(Main_S[[#This Row],[EPS]]),IF(Main_S[[#This Row],[EPS]]&lt;&gt;0,Main_S[[#This Row],[Current Price]]/Main_S[[#This Row],[EPS]],""),"")</f>
        <v>180.66666666666666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1.4431747043577268</v>
      </c>
      <c r="P133" s="1">
        <f>(Main_S[[#This Row],[P/B]]-VLOOKUP(Main_S[[#This Row],[Industry]], Mean_PB_S, 2, FALSE))/(VLOOKUP(Main_S[[#This Row],[Industry]], Mean_PB_S, 3, FALSE))</f>
        <v>0.88686580055177422</v>
      </c>
      <c r="Q133" s="1">
        <f>(Main_S[[#This Row],[ROE]]-VLOOKUP(Main_S[[#This Row],[Industry]], Mean_ROE_S, 2, FALSE))/(VLOOKUP(Main_S[[#This Row],[Industry]], Mean_ROE_S, 3, FALSE))</f>
        <v>0.18539628883487538</v>
      </c>
      <c r="R133" s="1">
        <f>(Main_S[[#This Row],[ROA]]-VLOOKUP(Main_S[[#This Row],[Industry]], Mean_ROA_S, 2, FALSE))/(VLOOKUP(Main_S[[#This Row],[Industry]], Mean_ROA_S, 3, FALSE))</f>
        <v>0.3821322323751894</v>
      </c>
      <c r="S133" s="1">
        <f>(Main_S[[#This Row],[A/E]]-VLOOKUP(Main_S[[#This Row],[Industry]], Mean_AE_S, 2, FALSE))/(VLOOKUP(Main_S[[#This Row],[Industry]], Mean_AE_S, 3, FALSE))</f>
        <v>-0.38432482224957953</v>
      </c>
      <c r="T133" s="1">
        <f>(Main_S[[#This Row],[P/E]]-VLOOKUP(Main_S[[#This Row],[Industry]], Mean_PE_S, 2, FALSE))/(VLOOKUP(Main_S[[#This Row],[Industry]], Mean_PE_S, 3, FALSE))</f>
        <v>6.4343382916898495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4" spans="1:26" x14ac:dyDescent="0.25">
      <c r="A134" t="s">
        <v>124</v>
      </c>
      <c r="B134" t="s">
        <v>420</v>
      </c>
      <c r="C134" s="2">
        <v>617</v>
      </c>
      <c r="D134">
        <f>RTD("tos.rtd", , "LAST", Main_S[[#This Row],[Symbol]])</f>
        <v>8.17</v>
      </c>
      <c r="E134">
        <v>0.34</v>
      </c>
      <c r="F134">
        <v>0.33</v>
      </c>
      <c r="G134">
        <v>-0.14000000000000001</v>
      </c>
      <c r="H134" s="1">
        <f>IF(ISNUMBER(Main_S[[#This Row],[Free CF]]),IF(Main_S[[#This Row],[Free CF]]&lt;&gt;0,Main_S[[#This Row],[Current Price]]/Main_S[[#This Row],[Free CF]],""),"")</f>
        <v>24.02941176470588</v>
      </c>
      <c r="I134" s="1">
        <f>IF(ISNUMBER(Main_S[[#This Row],[BVPS]]),IF(Main_S[[#This Row],[BVPS]]&lt;&gt;0,Main_S[[#This Row],[Current Price]]/Main_S[[#This Row],[BVPS]],""),"")</f>
        <v>24.757575757575758</v>
      </c>
      <c r="J134">
        <v>-53.22</v>
      </c>
      <c r="K134">
        <v>-2.5099999999999998</v>
      </c>
      <c r="L134">
        <v>8.83</v>
      </c>
      <c r="M134" s="1">
        <f>IF(ISNUMBER(Main_S[[#This Row],[EPS]]),IF(Main_S[[#This Row],[EPS]]&lt;&gt;0,Main_S[[#This Row],[Current Price]]/Main_S[[#This Row],[EPS]],""),"")</f>
        <v>-58.357142857142854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0.52392789172189991</v>
      </c>
      <c r="P134" s="1">
        <f>(Main_S[[#This Row],[P/B]]-VLOOKUP(Main_S[[#This Row],[Industry]], Mean_PB_S, 2, FALSE))/(VLOOKUP(Main_S[[#This Row],[Industry]], Mean_PB_S, 3, FALSE))</f>
        <v>6.8452376680756819</v>
      </c>
      <c r="Q134" s="1">
        <f>(Main_S[[#This Row],[ROE]]-VLOOKUP(Main_S[[#This Row],[Industry]], Mean_ROE_S, 2, FALSE))/(VLOOKUP(Main_S[[#This Row],[Industry]], Mean_ROE_S, 3, FALSE))</f>
        <v>-1.5869222994393786</v>
      </c>
      <c r="R134" s="1">
        <f>(Main_S[[#This Row],[ROA]]-VLOOKUP(Main_S[[#This Row],[Industry]], Mean_ROA_S, 2, FALSE))/(VLOOKUP(Main_S[[#This Row],[Industry]], Mean_ROA_S, 3, FALSE))</f>
        <v>-0.2983810290317615</v>
      </c>
      <c r="S134" s="1">
        <f>(Main_S[[#This Row],[A/E]]-VLOOKUP(Main_S[[#This Row],[Industry]], Mean_AE_S, 2, FALSE))/(VLOOKUP(Main_S[[#This Row],[Industry]], Mean_AE_S, 3, FALSE))</f>
        <v>7.4912690944916909</v>
      </c>
      <c r="T134" s="1">
        <f>(Main_S[[#This Row],[P/E]]-VLOOKUP(Main_S[[#This Row],[Industry]], Mean_PE_S, 2, FALSE))/(VLOOKUP(Main_S[[#This Row],[Industry]], Mean_PE_S, 3, FALSE))</f>
        <v>-1.7736195526494472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t="s">
        <v>124</v>
      </c>
      <c r="B135" t="s">
        <v>421</v>
      </c>
      <c r="C135" s="2">
        <v>1624</v>
      </c>
      <c r="D135">
        <f>RTD("tos.rtd", , "LAST", Main_S[[#This Row],[Symbol]])</f>
        <v>28.39</v>
      </c>
      <c r="E135">
        <v>1.29</v>
      </c>
      <c r="F135">
        <v>8.58</v>
      </c>
      <c r="G135">
        <v>1.29</v>
      </c>
      <c r="H135" s="1">
        <f>IF(ISNUMBER(Main_S[[#This Row],[Free CF]]),IF(Main_S[[#This Row],[Free CF]]&lt;&gt;0,Main_S[[#This Row],[Current Price]]/Main_S[[#This Row],[Free CF]],""),"")</f>
        <v>22.007751937984494</v>
      </c>
      <c r="I135" s="1">
        <f>IF(ISNUMBER(Main_S[[#This Row],[BVPS]]),IF(Main_S[[#This Row],[BVPS]]&lt;&gt;0,Main_S[[#This Row],[Current Price]]/Main_S[[#This Row],[BVPS]],""),"")</f>
        <v>3.3088578088578089</v>
      </c>
      <c r="J135">
        <v>15.56</v>
      </c>
      <c r="K135">
        <v>7.77</v>
      </c>
      <c r="L135">
        <v>1.44</v>
      </c>
      <c r="M135" s="1">
        <f>IF(ISNUMBER(Main_S[[#This Row],[EPS]]),IF(Main_S[[#This Row],[EPS]]&lt;&gt;0,Main_S[[#This Row],[Current Price]]/Main_S[[#This Row],[EPS]],""),"")</f>
        <v>22.007751937984494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0.43600709213996652</v>
      </c>
      <c r="P135" s="1">
        <f>(Main_S[[#This Row],[P/B]]-VLOOKUP(Main_S[[#This Row],[Industry]], Mean_PB_S, 2, FALSE))/(VLOOKUP(Main_S[[#This Row],[Industry]], Mean_PB_S, 3, FALSE))</f>
        <v>-3.9287506183015013E-2</v>
      </c>
      <c r="Q135" s="1">
        <f>(Main_S[[#This Row],[ROE]]-VLOOKUP(Main_S[[#This Row],[Industry]], Mean_ROE_S, 2, FALSE))/(VLOOKUP(Main_S[[#This Row],[Industry]], Mean_ROE_S, 3, FALSE))</f>
        <v>0.5809609035039468</v>
      </c>
      <c r="R135" s="1">
        <f>(Main_S[[#This Row],[ROA]]-VLOOKUP(Main_S[[#This Row],[Industry]], Mean_ROA_S, 2, FALSE))/(VLOOKUP(Main_S[[#This Row],[Industry]], Mean_ROA_S, 3, FALSE))</f>
        <v>1.4726762690096196</v>
      </c>
      <c r="S135" s="1">
        <f>(Main_S[[#This Row],[A/E]]-VLOOKUP(Main_S[[#This Row],[Industry]], Mean_AE_S, 2, FALSE))/(VLOOKUP(Main_S[[#This Row],[Industry]], Mean_AE_S, 3, FALSE))</f>
        <v>-0.47051463255591364</v>
      </c>
      <c r="T135" s="1">
        <f>(Main_S[[#This Row],[P/E]]-VLOOKUP(Main_S[[#This Row],[Industry]], Mean_PE_S, 2, FALSE))/(VLOOKUP(Main_S[[#This Row],[Industry]], Mean_PE_S, 3, FALSE))</f>
        <v>0.98607066380767516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t="s">
        <v>124</v>
      </c>
      <c r="B136" t="s">
        <v>422</v>
      </c>
      <c r="C136" s="2">
        <v>1201</v>
      </c>
      <c r="D136">
        <f>RTD("tos.rtd", , "LAST", Main_S[[#This Row],[Symbol]])</f>
        <v>24.38</v>
      </c>
      <c r="E136">
        <v>0.41</v>
      </c>
      <c r="F136">
        <v>3.24</v>
      </c>
      <c r="G136">
        <v>-1.0900000000000001</v>
      </c>
      <c r="H136" s="1">
        <f>IF(ISNUMBER(Main_S[[#This Row],[Free CF]]),IF(Main_S[[#This Row],[Free CF]]&lt;&gt;0,Main_S[[#This Row],[Current Price]]/Main_S[[#This Row],[Free CF]],""),"")</f>
        <v>59.463414634146339</v>
      </c>
      <c r="I136" s="1">
        <f>IF(ISNUMBER(Main_S[[#This Row],[BVPS]]),IF(Main_S[[#This Row],[BVPS]]&lt;&gt;0,Main_S[[#This Row],[Current Price]]/Main_S[[#This Row],[BVPS]],""),"")</f>
        <v>7.5246913580246906</v>
      </c>
      <c r="J136">
        <v>-39.880000000000003</v>
      </c>
      <c r="K136">
        <v>-8.69</v>
      </c>
      <c r="L136">
        <v>2.57</v>
      </c>
      <c r="M136" s="1">
        <f>IF(ISNUMBER(Main_S[[#This Row],[EPS]]),IF(Main_S[[#This Row],[EPS]]&lt;&gt;0,Main_S[[#This Row],[Current Price]]/Main_S[[#This Row],[EPS]],""),"")</f>
        <v>-22.366972477064216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2.0649318843283524</v>
      </c>
      <c r="P136" s="1">
        <f>(Main_S[[#This Row],[P/B]]-VLOOKUP(Main_S[[#This Row],[Industry]], Mean_PB_S, 2, FALSE))/(VLOOKUP(Main_S[[#This Row],[Industry]], Mean_PB_S, 3, FALSE))</f>
        <v>1.3138941743779267</v>
      </c>
      <c r="Q136" s="1">
        <f>(Main_S[[#This Row],[ROE]]-VLOOKUP(Main_S[[#This Row],[Industry]], Mean_ROE_S, 2, FALSE))/(VLOOKUP(Main_S[[#This Row],[Industry]], Mean_ROE_S, 3, FALSE))</f>
        <v>-1.1664576014564771</v>
      </c>
      <c r="R136" s="1">
        <f>(Main_S[[#This Row],[ROA]]-VLOOKUP(Main_S[[#This Row],[Industry]], Mean_ROA_S, 2, FALSE))/(VLOOKUP(Main_S[[#This Row],[Industry]], Mean_ROA_S, 3, FALSE))</f>
        <v>-1.3630827899165605</v>
      </c>
      <c r="S136" s="1">
        <f>(Main_S[[#This Row],[A/E]]-VLOOKUP(Main_S[[#This Row],[Industry]], Mean_AE_S, 2, FALSE))/(VLOOKUP(Main_S[[#This Row],[Industry]], Mean_AE_S, 3, FALSE))</f>
        <v>0.74691643802105412</v>
      </c>
      <c r="T136" s="1">
        <f>(Main_S[[#This Row],[P/E]]-VLOOKUP(Main_S[[#This Row],[Industry]], Mean_PE_S, 2, FALSE))/(VLOOKUP(Main_S[[#This Row],[Industry]], Mean_PE_S, 3, FALSE))</f>
        <v>-0.53773513645345938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t="s">
        <v>124</v>
      </c>
      <c r="B137" t="s">
        <v>423</v>
      </c>
      <c r="C137" s="2">
        <v>393</v>
      </c>
      <c r="D137">
        <f>RTD("tos.rtd", , "LAST", Main_S[[#This Row],[Symbol]])</f>
        <v>22.75</v>
      </c>
      <c r="E137">
        <v>0.54</v>
      </c>
      <c r="F137">
        <v>2.63</v>
      </c>
      <c r="G137">
        <v>0.32</v>
      </c>
      <c r="H137" s="1">
        <f>IF(ISNUMBER(Main_S[[#This Row],[Free CF]]),IF(Main_S[[#This Row],[Free CF]]&lt;&gt;0,Main_S[[#This Row],[Current Price]]/Main_S[[#This Row],[Free CF]],""),"")</f>
        <v>42.129629629629626</v>
      </c>
      <c r="I137" s="1">
        <f>IF(ISNUMBER(Main_S[[#This Row],[BVPS]]),IF(Main_S[[#This Row],[BVPS]]&lt;&gt;0,Main_S[[#This Row],[Current Price]]/Main_S[[#This Row],[BVPS]],""),"")</f>
        <v>8.6501901140684421</v>
      </c>
      <c r="J137">
        <v>13.55</v>
      </c>
      <c r="K137">
        <v>6.44</v>
      </c>
      <c r="L137">
        <v>1.1399999999999999</v>
      </c>
      <c r="M137" s="1">
        <f>IF(ISNUMBER(Main_S[[#This Row],[EPS]]),IF(Main_S[[#This Row],[EPS]]&lt;&gt;0,Main_S[[#This Row],[Current Price]]/Main_S[[#This Row],[EPS]],""),"")</f>
        <v>71.09375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1.3110957457085468</v>
      </c>
      <c r="P137" s="1">
        <f>(Main_S[[#This Row],[P/B]]-VLOOKUP(Main_S[[#This Row],[Industry]], Mean_PB_S, 2, FALSE))/(VLOOKUP(Main_S[[#This Row],[Industry]], Mean_PB_S, 3, FALSE))</f>
        <v>1.6751523408616349</v>
      </c>
      <c r="Q137" s="1">
        <f>(Main_S[[#This Row],[ROE]]-VLOOKUP(Main_S[[#This Row],[Industry]], Mean_ROE_S, 2, FALSE))/(VLOOKUP(Main_S[[#This Row],[Industry]], Mean_ROE_S, 3, FALSE))</f>
        <v>0.51760752697129075</v>
      </c>
      <c r="R137" s="1">
        <f>(Main_S[[#This Row],[ROA]]-VLOOKUP(Main_S[[#This Row],[Industry]], Mean_ROA_S, 2, FALSE))/(VLOOKUP(Main_S[[#This Row],[Industry]], Mean_ROA_S, 3, FALSE))</f>
        <v>1.2435414240295579</v>
      </c>
      <c r="S137" s="1">
        <f>(Main_S[[#This Row],[A/E]]-VLOOKUP(Main_S[[#This Row],[Industry]], Mean_AE_S, 2, FALSE))/(VLOOKUP(Main_S[[#This Row],[Industry]], Mean_AE_S, 3, FALSE))</f>
        <v>-0.79372642120466619</v>
      </c>
      <c r="T137" s="1">
        <f>(Main_S[[#This Row],[P/E]]-VLOOKUP(Main_S[[#This Row],[Industry]], Mean_PE_S, 2, FALSE))/(VLOOKUP(Main_S[[#This Row],[Industry]], Mean_PE_S, 3, FALSE))</f>
        <v>2.6716592402888426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t="s">
        <v>124</v>
      </c>
      <c r="B138" t="s">
        <v>424</v>
      </c>
      <c r="C138" s="2">
        <v>1391</v>
      </c>
      <c r="D138">
        <f>RTD("tos.rtd", , "LAST", Main_S[[#This Row],[Symbol]])</f>
        <v>2.71</v>
      </c>
      <c r="E138">
        <v>0.12</v>
      </c>
      <c r="F138">
        <v>1.78</v>
      </c>
      <c r="G138">
        <v>0.01</v>
      </c>
      <c r="H138" s="1">
        <f>IF(ISNUMBER(Main_S[[#This Row],[Free CF]]),IF(Main_S[[#This Row],[Free CF]]&lt;&gt;0,Main_S[[#This Row],[Current Price]]/Main_S[[#This Row],[Free CF]],""),"")</f>
        <v>22.583333333333332</v>
      </c>
      <c r="I138" s="1">
        <f>IF(ISNUMBER(Main_S[[#This Row],[BVPS]]),IF(Main_S[[#This Row],[BVPS]]&lt;&gt;0,Main_S[[#This Row],[Current Price]]/Main_S[[#This Row],[BVPS]],""),"")</f>
        <v>1.5224719101123596</v>
      </c>
      <c r="J138">
        <v>0.51</v>
      </c>
      <c r="K138">
        <v>-2.61</v>
      </c>
      <c r="L138">
        <v>1.1000000000000001</v>
      </c>
      <c r="M138" s="1">
        <f>IF(ISNUMBER(Main_S[[#This Row],[EPS]]),IF(Main_S[[#This Row],[EPS]]&lt;&gt;0,Main_S[[#This Row],[Current Price]]/Main_S[[#This Row],[EPS]],""),"")</f>
        <v>271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0.46103878928044145</v>
      </c>
      <c r="P138" s="1">
        <f>(Main_S[[#This Row],[P/B]]-VLOOKUP(Main_S[[#This Row],[Industry]], Mean_PB_S, 2, FALSE))/(VLOOKUP(Main_S[[#This Row],[Industry]], Mean_PB_S, 3, FALSE))</f>
        <v>-0.61267462984505672</v>
      </c>
      <c r="Q138" s="1">
        <f>(Main_S[[#This Row],[ROE]]-VLOOKUP(Main_S[[#This Row],[Industry]], Mean_ROE_S, 2, FALSE))/(VLOOKUP(Main_S[[#This Row],[Industry]], Mean_ROE_S, 3, FALSE))</f>
        <v>0.10659855682908427</v>
      </c>
      <c r="R138" s="1">
        <f>(Main_S[[#This Row],[ROA]]-VLOOKUP(Main_S[[#This Row],[Industry]], Mean_ROA_S, 2, FALSE))/(VLOOKUP(Main_S[[#This Row],[Industry]], Mean_ROA_S, 3, FALSE))</f>
        <v>-0.31560921286484889</v>
      </c>
      <c r="S138" s="1">
        <f>(Main_S[[#This Row],[A/E]]-VLOOKUP(Main_S[[#This Row],[Industry]], Mean_AE_S, 2, FALSE))/(VLOOKUP(Main_S[[#This Row],[Industry]], Mean_AE_S, 3, FALSE))</f>
        <v>-0.83682132635783302</v>
      </c>
      <c r="T138" s="1">
        <f>(Main_S[[#This Row],[P/E]]-VLOOKUP(Main_S[[#This Row],[Industry]], Mean_PE_S, 2, FALSE))/(VLOOKUP(Main_S[[#This Row],[Industry]], Mean_PE_S, 3, FALSE))</f>
        <v>9.5363396923695287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9" spans="1:26" x14ac:dyDescent="0.25">
      <c r="A139" t="s">
        <v>124</v>
      </c>
      <c r="B139" t="s">
        <v>425</v>
      </c>
      <c r="C139" s="2">
        <v>1081</v>
      </c>
      <c r="D139">
        <f>RTD("tos.rtd", , "LAST", Main_S[[#This Row],[Symbol]])</f>
        <v>18.690000000000001</v>
      </c>
      <c r="E139">
        <v>1.77</v>
      </c>
      <c r="F139">
        <v>14.27</v>
      </c>
      <c r="G139">
        <v>1.04</v>
      </c>
      <c r="H139" s="1">
        <f>IF(ISNUMBER(Main_S[[#This Row],[Free CF]]),IF(Main_S[[#This Row],[Free CF]]&lt;&gt;0,Main_S[[#This Row],[Current Price]]/Main_S[[#This Row],[Free CF]],""),"")</f>
        <v>10.559322033898306</v>
      </c>
      <c r="I139" s="1">
        <f>IF(ISNUMBER(Main_S[[#This Row],[BVPS]]),IF(Main_S[[#This Row],[BVPS]]&lt;&gt;0,Main_S[[#This Row],[Current Price]]/Main_S[[#This Row],[BVPS]],""),"")</f>
        <v>1.309740714786265</v>
      </c>
      <c r="J139">
        <v>6.41</v>
      </c>
      <c r="K139">
        <v>3.2</v>
      </c>
      <c r="L139">
        <v>2.58</v>
      </c>
      <c r="M139" s="1">
        <f>IF(ISNUMBER(Main_S[[#This Row],[EPS]]),IF(Main_S[[#This Row],[EPS]]&lt;&gt;0,Main_S[[#This Row],[Current Price]]/Main_S[[#This Row],[EPS]],""),"")</f>
        <v>17.971153846153847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-6.1878406607539529E-2</v>
      </c>
      <c r="P139" s="1">
        <f>(Main_S[[#This Row],[P/B]]-VLOOKUP(Main_S[[#This Row],[Industry]], Mean_PB_S, 2, FALSE))/(VLOOKUP(Main_S[[#This Row],[Industry]], Mean_PB_S, 3, FALSE))</f>
        <v>-0.68095625269422955</v>
      </c>
      <c r="Q139" s="1">
        <f>(Main_S[[#This Row],[ROE]]-VLOOKUP(Main_S[[#This Row],[Industry]], Mean_ROE_S, 2, FALSE))/(VLOOKUP(Main_S[[#This Row],[Industry]], Mean_ROE_S, 3, FALSE))</f>
        <v>0.29256120436275135</v>
      </c>
      <c r="R139" s="1">
        <f>(Main_S[[#This Row],[ROA]]-VLOOKUP(Main_S[[#This Row],[Industry]], Mean_ROA_S, 2, FALSE))/(VLOOKUP(Main_S[[#This Row],[Industry]], Mean_ROA_S, 3, FALSE))</f>
        <v>0.68534826783752711</v>
      </c>
      <c r="S139" s="1">
        <f>(Main_S[[#This Row],[A/E]]-VLOOKUP(Main_S[[#This Row],[Industry]], Mean_AE_S, 2, FALSE))/(VLOOKUP(Main_S[[#This Row],[Industry]], Mean_AE_S, 3, FALSE))</f>
        <v>0.7576901643093461</v>
      </c>
      <c r="T139" s="1">
        <f>(Main_S[[#This Row],[P/E]]-VLOOKUP(Main_S[[#This Row],[Industry]], Mean_PE_S, 2, FALSE))/(VLOOKUP(Main_S[[#This Row],[Industry]], Mean_PE_S, 3, FALSE))</f>
        <v>0.84745590807144355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t="s">
        <v>124</v>
      </c>
      <c r="B140" t="s">
        <v>426</v>
      </c>
      <c r="C140" s="2">
        <v>1209</v>
      </c>
      <c r="D140">
        <f>RTD("tos.rtd", , "LAST", Main_S[[#This Row],[Symbol]])</f>
        <v>11.11</v>
      </c>
      <c r="E140">
        <v>-2.52</v>
      </c>
      <c r="F140">
        <v>6.57</v>
      </c>
      <c r="G140">
        <v>-1.5</v>
      </c>
      <c r="H140" s="1">
        <f>IF(ISNUMBER(Main_S[[#This Row],[Free CF]]),IF(Main_S[[#This Row],[Free CF]]&lt;&gt;0,Main_S[[#This Row],[Current Price]]/Main_S[[#This Row],[Free CF]],""),"")</f>
        <v>-4.4087301587301582</v>
      </c>
      <c r="I140" s="1">
        <f>IF(ISNUMBER(Main_S[[#This Row],[BVPS]]),IF(Main_S[[#This Row],[BVPS]]&lt;&gt;0,Main_S[[#This Row],[Current Price]]/Main_S[[#This Row],[BVPS]],""),"")</f>
        <v>1.6910197869101977</v>
      </c>
      <c r="J140">
        <v>-26.92</v>
      </c>
      <c r="K140">
        <v>0.97</v>
      </c>
      <c r="L140">
        <v>4.7699999999999996</v>
      </c>
      <c r="M140" s="1">
        <f>IF(ISNUMBER(Main_S[[#This Row],[EPS]]),IF(Main_S[[#This Row],[EPS]]&lt;&gt;0,Main_S[[#This Row],[Current Price]]/Main_S[[#This Row],[EPS]],""),"")</f>
        <v>-7.4066666666666663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-0.71283021341780017</v>
      </c>
      <c r="P140" s="1">
        <f>(Main_S[[#This Row],[P/B]]-VLOOKUP(Main_S[[#This Row],[Industry]], Mean_PB_S, 2, FALSE))/(VLOOKUP(Main_S[[#This Row],[Industry]], Mean_PB_S, 3, FALSE))</f>
        <v>-0.55857479489655681</v>
      </c>
      <c r="Q140" s="1">
        <f>(Main_S[[#This Row],[ROE]]-VLOOKUP(Main_S[[#This Row],[Industry]], Mean_ROE_S, 2, FALSE))/(VLOOKUP(Main_S[[#This Row],[Industry]], Mean_ROE_S, 3, FALSE))</f>
        <v>-0.75797015873845597</v>
      </c>
      <c r="R140" s="1">
        <f>(Main_S[[#This Row],[ROA]]-VLOOKUP(Main_S[[#This Row],[Industry]], Mean_ROA_S, 2, FALSE))/(VLOOKUP(Main_S[[#This Row],[Industry]], Mean_ROA_S, 3, FALSE))</f>
        <v>0.30115976835967884</v>
      </c>
      <c r="S140" s="1">
        <f>(Main_S[[#This Row],[A/E]]-VLOOKUP(Main_S[[#This Row],[Industry]], Mean_AE_S, 2, FALSE))/(VLOOKUP(Main_S[[#This Row],[Industry]], Mean_AE_S, 3, FALSE))</f>
        <v>3.1171362214452394</v>
      </c>
      <c r="T140" s="1">
        <f>(Main_S[[#This Row],[P/E]]-VLOOKUP(Main_S[[#This Row],[Industry]], Mean_PE_S, 2, FALSE))/(VLOOKUP(Main_S[[#This Row],[Industry]], Mean_PE_S, 3, FALSE))</f>
        <v>-2.4005731525973791E-2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1" spans="1:26" x14ac:dyDescent="0.25">
      <c r="A141" t="s">
        <v>124</v>
      </c>
      <c r="B141" t="s">
        <v>427</v>
      </c>
      <c r="C141" s="2">
        <v>759</v>
      </c>
      <c r="D141">
        <f>RTD("tos.rtd", , "LAST", Main_S[[#This Row],[Symbol]])</f>
        <v>11.02</v>
      </c>
      <c r="E141">
        <v>0.41</v>
      </c>
      <c r="F141">
        <v>0.94</v>
      </c>
      <c r="G141">
        <v>-0.42</v>
      </c>
      <c r="H141" s="1">
        <f>IF(ISNUMBER(Main_S[[#This Row],[Free CF]]),IF(Main_S[[#This Row],[Free CF]]&lt;&gt;0,Main_S[[#This Row],[Current Price]]/Main_S[[#This Row],[Free CF]],""),"")</f>
        <v>26.878048780487806</v>
      </c>
      <c r="I141" s="1">
        <f>IF(ISNUMBER(Main_S[[#This Row],[BVPS]]),IF(Main_S[[#This Row],[BVPS]]&lt;&gt;0,Main_S[[#This Row],[Current Price]]/Main_S[[#This Row],[BVPS]],""),"")</f>
        <v>11.723404255319149</v>
      </c>
      <c r="J141">
        <v>-42.2</v>
      </c>
      <c r="K141">
        <v>-10.76</v>
      </c>
      <c r="L141">
        <v>2.75</v>
      </c>
      <c r="M141" s="1">
        <f>IF(ISNUMBER(Main_S[[#This Row],[EPS]]),IF(Main_S[[#This Row],[EPS]]&lt;&gt;0,Main_S[[#This Row],[Current Price]]/Main_S[[#This Row],[EPS]],""),"")</f>
        <v>-26.238095238095237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0.64781344399723606</v>
      </c>
      <c r="P141" s="1">
        <f>(Main_S[[#This Row],[P/B]]-VLOOKUP(Main_S[[#This Row],[Industry]], Mean_PB_S, 2, FALSE))/(VLOOKUP(Main_S[[#This Row],[Industry]], Mean_PB_S, 3, FALSE))</f>
        <v>2.6615805354005522</v>
      </c>
      <c r="Q141" s="1">
        <f>(Main_S[[#This Row],[ROE]]-VLOOKUP(Main_S[[#This Row],[Industry]], Mean_ROE_S, 2, FALSE))/(VLOOKUP(Main_S[[#This Row],[Industry]], Mean_ROE_S, 3, FALSE))</f>
        <v>-1.2395818967578514</v>
      </c>
      <c r="R141" s="1">
        <f>(Main_S[[#This Row],[ROA]]-VLOOKUP(Main_S[[#This Row],[Industry]], Mean_ROA_S, 2, FALSE))/(VLOOKUP(Main_S[[#This Row],[Industry]], Mean_ROA_S, 3, FALSE))</f>
        <v>-1.7197061952614692</v>
      </c>
      <c r="S141" s="1">
        <f>(Main_S[[#This Row],[A/E]]-VLOOKUP(Main_S[[#This Row],[Industry]], Mean_AE_S, 2, FALSE))/(VLOOKUP(Main_S[[#This Row],[Industry]], Mean_AE_S, 3, FALSE))</f>
        <v>0.94084351121030574</v>
      </c>
      <c r="T141" s="1">
        <f>(Main_S[[#This Row],[P/E]]-VLOOKUP(Main_S[[#This Row],[Industry]], Mean_PE_S, 2, FALSE))/(VLOOKUP(Main_S[[#This Row],[Industry]], Mean_PE_S, 3, FALSE))</f>
        <v>-0.67066755224963515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2" spans="1:26" x14ac:dyDescent="0.25">
      <c r="A142" t="s">
        <v>124</v>
      </c>
      <c r="B142" t="s">
        <v>428</v>
      </c>
      <c r="C142" s="2">
        <v>1170</v>
      </c>
      <c r="D142">
        <f>RTD("tos.rtd", , "LAST", Main_S[[#This Row],[Symbol]])</f>
        <v>3.83</v>
      </c>
      <c r="E142">
        <v>-0.83</v>
      </c>
      <c r="F142">
        <v>0.61</v>
      </c>
      <c r="G142">
        <v>-0.21</v>
      </c>
      <c r="H142" s="1">
        <f>IF(ISNUMBER(Main_S[[#This Row],[Free CF]]),IF(Main_S[[#This Row],[Free CF]]&lt;&gt;0,Main_S[[#This Row],[Current Price]]/Main_S[[#This Row],[Free CF]],""),"")</f>
        <v>-4.6144578313253017</v>
      </c>
      <c r="I142" s="1">
        <f>IF(ISNUMBER(Main_S[[#This Row],[BVPS]]),IF(Main_S[[#This Row],[BVPS]]&lt;&gt;0,Main_S[[#This Row],[Current Price]]/Main_S[[#This Row],[BVPS]],""),"")</f>
        <v>6.278688524590164</v>
      </c>
      <c r="J142">
        <v>-31.02</v>
      </c>
      <c r="K142">
        <v>-5.71</v>
      </c>
      <c r="L142">
        <v>3.35</v>
      </c>
      <c r="M142" s="1">
        <f>IF(ISNUMBER(Main_S[[#This Row],[EPS]]),IF(Main_S[[#This Row],[EPS]]&lt;&gt;0,Main_S[[#This Row],[Current Price]]/Main_S[[#This Row],[EPS]],""),"")</f>
        <v>-18.238095238095241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-0.72177718918079448</v>
      </c>
      <c r="P142" s="1">
        <f>(Main_S[[#This Row],[P/B]]-VLOOKUP(Main_S[[#This Row],[Industry]], Mean_PB_S, 2, FALSE))/(VLOOKUP(Main_S[[#This Row],[Industry]], Mean_PB_S, 3, FALSE))</f>
        <v>0.91395708282367805</v>
      </c>
      <c r="Q142" s="1">
        <f>(Main_S[[#This Row],[ROE]]-VLOOKUP(Main_S[[#This Row],[Industry]], Mean_ROE_S, 2, FALSE))/(VLOOKUP(Main_S[[#This Row],[Industry]], Mean_ROE_S, 3, FALSE))</f>
        <v>-0.88719843922795338</v>
      </c>
      <c r="R142" s="1">
        <f>(Main_S[[#This Row],[ROA]]-VLOOKUP(Main_S[[#This Row],[Industry]], Mean_ROA_S, 2, FALSE))/(VLOOKUP(Main_S[[#This Row],[Industry]], Mean_ROA_S, 3, FALSE))</f>
        <v>-0.84968291169055721</v>
      </c>
      <c r="S142" s="1">
        <f>(Main_S[[#This Row],[A/E]]-VLOOKUP(Main_S[[#This Row],[Industry]], Mean_AE_S, 2, FALSE))/(VLOOKUP(Main_S[[#This Row],[Industry]], Mean_AE_S, 3, FALSE))</f>
        <v>1.5872670885078108</v>
      </c>
      <c r="T142" s="1">
        <f>(Main_S[[#This Row],[P/E]]-VLOOKUP(Main_S[[#This Row],[Industry]], Mean_PE_S, 2, FALSE))/(VLOOKUP(Main_S[[#This Row],[Industry]], Mean_PE_S, 3, FALSE))</f>
        <v>-0.39595156104553092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t="s">
        <v>124</v>
      </c>
      <c r="B143" t="s">
        <v>429</v>
      </c>
      <c r="C143" s="2">
        <v>269</v>
      </c>
      <c r="D143">
        <f>RTD("tos.rtd", , "LAST", Main_S[[#This Row],[Symbol]])</f>
        <v>4.6900000000000004</v>
      </c>
      <c r="E143">
        <v>0.35</v>
      </c>
      <c r="F143">
        <v>5.17</v>
      </c>
      <c r="G143">
        <v>0.02</v>
      </c>
      <c r="H143" s="1">
        <f>IF(ISNUMBER(Main_S[[#This Row],[Free CF]]),IF(Main_S[[#This Row],[Free CF]]&lt;&gt;0,Main_S[[#This Row],[Current Price]]/Main_S[[#This Row],[Free CF]],""),"")</f>
        <v>13.400000000000002</v>
      </c>
      <c r="I143" s="1">
        <f>IF(ISNUMBER(Main_S[[#This Row],[BVPS]]),IF(Main_S[[#This Row],[BVPS]]&lt;&gt;0,Main_S[[#This Row],[Current Price]]/Main_S[[#This Row],[BVPS]],""),"")</f>
        <v>0.90715667311411996</v>
      </c>
      <c r="J143">
        <v>0.21</v>
      </c>
      <c r="K143">
        <v>0.67</v>
      </c>
      <c r="L143">
        <v>1.49</v>
      </c>
      <c r="M143" s="1">
        <f>IF(ISNUMBER(Main_S[[#This Row],[EPS]]),IF(Main_S[[#This Row],[EPS]]&lt;&gt;0,Main_S[[#This Row],[Current Price]]/Main_S[[#This Row],[EPS]],""),"")</f>
        <v>234.50000000000003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6.166101126746433E-2</v>
      </c>
      <c r="P143" s="1">
        <f>(Main_S[[#This Row],[P/B]]-VLOOKUP(Main_S[[#This Row],[Industry]], Mean_PB_S, 2, FALSE))/(VLOOKUP(Main_S[[#This Row],[Industry]], Mean_PB_S, 3, FALSE))</f>
        <v>-0.81017609586962824</v>
      </c>
      <c r="Q143" s="1">
        <f>(Main_S[[#This Row],[ROE]]-VLOOKUP(Main_S[[#This Row],[Industry]], Mean_ROE_S, 2, FALSE))/(VLOOKUP(Main_S[[#This Row],[Industry]], Mean_ROE_S, 3, FALSE))</f>
        <v>9.7142828988389329E-2</v>
      </c>
      <c r="R143" s="1">
        <f>(Main_S[[#This Row],[ROA]]-VLOOKUP(Main_S[[#This Row],[Industry]], Mean_ROA_S, 2, FALSE))/(VLOOKUP(Main_S[[#This Row],[Industry]], Mean_ROA_S, 3, FALSE))</f>
        <v>0.24947521686041671</v>
      </c>
      <c r="S143" s="1">
        <f>(Main_S[[#This Row],[A/E]]-VLOOKUP(Main_S[[#This Row],[Industry]], Mean_AE_S, 2, FALSE))/(VLOOKUP(Main_S[[#This Row],[Industry]], Mean_AE_S, 3, FALSE))</f>
        <v>-0.41664600111445482</v>
      </c>
      <c r="T143" s="1">
        <f>(Main_S[[#This Row],[P/E]]-VLOOKUP(Main_S[[#This Row],[Industry]], Mean_PE_S, 2, FALSE))/(VLOOKUP(Main_S[[#This Row],[Industry]], Mean_PE_S, 3, FALSE))</f>
        <v>8.2829479825008026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4" spans="1:26" x14ac:dyDescent="0.25">
      <c r="A144" t="s">
        <v>124</v>
      </c>
      <c r="B144" t="s">
        <v>430</v>
      </c>
      <c r="C144" s="2">
        <v>807</v>
      </c>
      <c r="D144">
        <f>RTD("tos.rtd", , "LAST", Main_S[[#This Row],[Symbol]])</f>
        <v>6.79</v>
      </c>
      <c r="E144">
        <v>0.38</v>
      </c>
      <c r="F144">
        <v>1.21</v>
      </c>
      <c r="G144">
        <v>-0.22</v>
      </c>
      <c r="H144" s="1">
        <f>IF(ISNUMBER(Main_S[[#This Row],[Free CF]]),IF(Main_S[[#This Row],[Free CF]]&lt;&gt;0,Main_S[[#This Row],[Current Price]]/Main_S[[#This Row],[Free CF]],""),"")</f>
        <v>17.868421052631579</v>
      </c>
      <c r="I144" s="1">
        <f>IF(ISNUMBER(Main_S[[#This Row],[BVPS]]),IF(Main_S[[#This Row],[BVPS]]&lt;&gt;0,Main_S[[#This Row],[Current Price]]/Main_S[[#This Row],[BVPS]],""),"")</f>
        <v>5.6115702479338845</v>
      </c>
      <c r="J144">
        <v>-18.61</v>
      </c>
      <c r="K144">
        <v>-0.37</v>
      </c>
      <c r="L144">
        <v>3.98</v>
      </c>
      <c r="M144" s="1">
        <f>IF(ISNUMBER(Main_S[[#This Row],[EPS]]),IF(Main_S[[#This Row],[EPS]]&lt;&gt;0,Main_S[[#This Row],[Current Price]]/Main_S[[#This Row],[EPS]],""),"")</f>
        <v>-30.863636363636363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0.25599002083839806</v>
      </c>
      <c r="P144" s="1">
        <f>(Main_S[[#This Row],[P/B]]-VLOOKUP(Main_S[[#This Row],[Industry]], Mean_PB_S, 2, FALSE))/(VLOOKUP(Main_S[[#This Row],[Industry]], Mean_PB_S, 3, FALSE))</f>
        <v>0.69982808076261271</v>
      </c>
      <c r="Q144" s="1">
        <f>(Main_S[[#This Row],[ROE]]-VLOOKUP(Main_S[[#This Row],[Industry]], Mean_ROE_S, 2, FALSE))/(VLOOKUP(Main_S[[#This Row],[Industry]], Mean_ROE_S, 3, FALSE))</f>
        <v>-0.49604649755120622</v>
      </c>
      <c r="R144" s="1">
        <f>(Main_S[[#This Row],[ROA]]-VLOOKUP(Main_S[[#This Row],[Industry]], Mean_ROA_S, 2, FALSE))/(VLOOKUP(Main_S[[#This Row],[Industry]], Mean_ROA_S, 3, FALSE))</f>
        <v>7.030210499630811E-2</v>
      </c>
      <c r="S144" s="1">
        <f>(Main_S[[#This Row],[A/E]]-VLOOKUP(Main_S[[#This Row],[Industry]], Mean_AE_S, 2, FALSE))/(VLOOKUP(Main_S[[#This Row],[Industry]], Mean_AE_S, 3, FALSE))</f>
        <v>2.2660118446701909</v>
      </c>
      <c r="T144" s="1">
        <f>(Main_S[[#This Row],[P/E]]-VLOOKUP(Main_S[[#This Row],[Industry]], Mean_PE_S, 2, FALSE))/(VLOOKUP(Main_S[[#This Row],[Industry]], Mean_PE_S, 3, FALSE))</f>
        <v>-0.82950631664443253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t="s">
        <v>124</v>
      </c>
      <c r="B145" t="s">
        <v>431</v>
      </c>
      <c r="C145" s="2">
        <v>1421</v>
      </c>
      <c r="D145">
        <f>RTD("tos.rtd", , "LAST", Main_S[[#This Row],[Symbol]])</f>
        <v>14.02</v>
      </c>
      <c r="E145">
        <v>1.69</v>
      </c>
      <c r="F145">
        <v>3.61</v>
      </c>
      <c r="G145">
        <v>0.66</v>
      </c>
      <c r="H145" s="1">
        <f>IF(ISNUMBER(Main_S[[#This Row],[Free CF]]),IF(Main_S[[#This Row],[Free CF]]&lt;&gt;0,Main_S[[#This Row],[Current Price]]/Main_S[[#This Row],[Free CF]],""),"")</f>
        <v>8.2958579881656807</v>
      </c>
      <c r="I145" s="1">
        <f>IF(ISNUMBER(Main_S[[#This Row],[BVPS]]),IF(Main_S[[#This Row],[BVPS]]&lt;&gt;0,Main_S[[#This Row],[Current Price]]/Main_S[[#This Row],[BVPS]],""),"")</f>
        <v>3.8836565096952911</v>
      </c>
      <c r="J145">
        <v>20.43</v>
      </c>
      <c r="K145">
        <v>8.58</v>
      </c>
      <c r="L145">
        <v>2.79</v>
      </c>
      <c r="M145" s="1">
        <f>IF(ISNUMBER(Main_S[[#This Row],[EPS]]),IF(Main_S[[#This Row],[EPS]]&lt;&gt;0,Main_S[[#This Row],[Current Price]]/Main_S[[#This Row],[EPS]],""),"")</f>
        <v>21.242424242424242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-0.16031512978688181</v>
      </c>
      <c r="P145" s="1">
        <f>(Main_S[[#This Row],[P/B]]-VLOOKUP(Main_S[[#This Row],[Industry]], Mean_PB_S, 2, FALSE))/(VLOOKUP(Main_S[[#This Row],[Industry]], Mean_PB_S, 3, FALSE))</f>
        <v>0.14520912133142219</v>
      </c>
      <c r="Q145" s="1">
        <f>(Main_S[[#This Row],[ROE]]-VLOOKUP(Main_S[[#This Row],[Industry]], Mean_ROE_S, 2, FALSE))/(VLOOKUP(Main_S[[#This Row],[Industry]], Mean_ROE_S, 3, FALSE))</f>
        <v>0.73445888545122795</v>
      </c>
      <c r="R145" s="1">
        <f>(Main_S[[#This Row],[ROA]]-VLOOKUP(Main_S[[#This Row],[Industry]], Mean_ROA_S, 2, FALSE))/(VLOOKUP(Main_S[[#This Row],[Industry]], Mean_ROA_S, 3, FALSE))</f>
        <v>1.6122245580576273</v>
      </c>
      <c r="S145" s="1">
        <f>(Main_S[[#This Row],[A/E]]-VLOOKUP(Main_S[[#This Row],[Industry]], Mean_AE_S, 2, FALSE))/(VLOOKUP(Main_S[[#This Row],[Industry]], Mean_AE_S, 3, FALSE))</f>
        <v>0.98393841636347279</v>
      </c>
      <c r="T145" s="1">
        <f>(Main_S[[#This Row],[P/E]]-VLOOKUP(Main_S[[#This Row],[Industry]], Mean_PE_S, 2, FALSE))/(VLOOKUP(Main_S[[#This Row],[Industry]], Mean_PE_S, 3, FALSE))</f>
        <v>0.95978969424745175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6" spans="1:26" x14ac:dyDescent="0.25">
      <c r="A146" t="s">
        <v>124</v>
      </c>
      <c r="B146" t="s">
        <v>432</v>
      </c>
      <c r="C146" s="2">
        <v>300</v>
      </c>
      <c r="D146">
        <f>RTD("tos.rtd", , "LAST", Main_S[[#This Row],[Symbol]])</f>
        <v>8.35</v>
      </c>
      <c r="E146">
        <v>-0.03</v>
      </c>
      <c r="F146">
        <v>-0.03</v>
      </c>
      <c r="G146">
        <v>-0.86</v>
      </c>
      <c r="H146" s="1">
        <f>IF(ISNUMBER(Main_S[[#This Row],[Free CF]]),IF(Main_S[[#This Row],[Free CF]]&lt;&gt;0,Main_S[[#This Row],[Current Price]]/Main_S[[#This Row],[Free CF]],""),"")</f>
        <v>-278.33333333333331</v>
      </c>
      <c r="I146" s="1">
        <f>IF(ISNUMBER(Main_S[[#This Row],[BVPS]]),IF(Main_S[[#This Row],[BVPS]]&lt;&gt;0,Main_S[[#This Row],[Current Price]]/Main_S[[#This Row],[BVPS]],""),"")</f>
        <v>-278.33333333333331</v>
      </c>
      <c r="J146">
        <v>-483.48</v>
      </c>
      <c r="K146">
        <v>-18.899999999999999</v>
      </c>
      <c r="L146">
        <v>-89.34</v>
      </c>
      <c r="M146" s="1">
        <f>IF(ISNUMBER(Main_S[[#This Row],[EPS]]),IF(Main_S[[#This Row],[EPS]]&lt;&gt;0,Main_S[[#This Row],[Current Price]]/Main_S[[#This Row],[EPS]],""),"")</f>
        <v>-9.7093023255813957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-12.625650470291797</v>
      </c>
      <c r="P146" s="1">
        <f>(Main_S[[#This Row],[P/B]]-VLOOKUP(Main_S[[#This Row],[Industry]], Mean_PB_S, 2, FALSE))/(VLOOKUP(Main_S[[#This Row],[Industry]], Mean_PB_S, 3, FALSE))</f>
        <v>-90.439690909673729</v>
      </c>
      <c r="Q146" s="1">
        <f>(Main_S[[#This Row],[ROE]]-VLOOKUP(Main_S[[#This Row],[Industry]], Mean_ROE_S, 2, FALSE))/(VLOOKUP(Main_S[[#This Row],[Industry]], Mean_ROE_S, 3, FALSE))</f>
        <v>-15.148327168564053</v>
      </c>
      <c r="R146" s="1">
        <f>(Main_S[[#This Row],[ROA]]-VLOOKUP(Main_S[[#This Row],[Industry]], Mean_ROA_S, 2, FALSE))/(VLOOKUP(Main_S[[#This Row],[Industry]], Mean_ROA_S, 3, FALSE))</f>
        <v>-3.1220803592747806</v>
      </c>
      <c r="S146" s="1">
        <f>(Main_S[[#This Row],[A/E]]-VLOOKUP(Main_S[[#This Row],[Industry]], Mean_AE_S, 2, FALSE))/(VLOOKUP(Main_S[[#This Row],[Industry]], Mean_AE_S, 3, FALSE))</f>
        <v>-98.274401877668438</v>
      </c>
      <c r="T146" s="1">
        <f>(Main_S[[#This Row],[P/E]]-VLOOKUP(Main_S[[#This Row],[Industry]], Mean_PE_S, 2, FALSE))/(VLOOKUP(Main_S[[#This Row],[Industry]], Mean_PE_S, 3, FALSE))</f>
        <v>-0.10307708620355828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t="s">
        <v>124</v>
      </c>
      <c r="B147" t="s">
        <v>433</v>
      </c>
      <c r="C147" s="2">
        <v>1216</v>
      </c>
      <c r="D147">
        <f>RTD("tos.rtd", , "LAST", Main_S[[#This Row],[Symbol]])</f>
        <v>17.920000000000002</v>
      </c>
      <c r="E147">
        <v>0.56999999999999995</v>
      </c>
      <c r="F147">
        <v>2.73</v>
      </c>
      <c r="G147">
        <v>0.67</v>
      </c>
      <c r="H147" s="1">
        <f>IF(ISNUMBER(Main_S[[#This Row],[Free CF]]),IF(Main_S[[#This Row],[Free CF]]&lt;&gt;0,Main_S[[#This Row],[Current Price]]/Main_S[[#This Row],[Free CF]],""),"")</f>
        <v>31.438596491228076</v>
      </c>
      <c r="I147" s="1">
        <f>IF(ISNUMBER(Main_S[[#This Row],[BVPS]]),IF(Main_S[[#This Row],[BVPS]]&lt;&gt;0,Main_S[[#This Row],[Current Price]]/Main_S[[#This Row],[BVPS]],""),"")</f>
        <v>6.5641025641025648</v>
      </c>
      <c r="J147">
        <v>24.36</v>
      </c>
      <c r="K147">
        <v>5.68</v>
      </c>
      <c r="L147">
        <v>3.09</v>
      </c>
      <c r="M147" s="1">
        <f>IF(ISNUMBER(Main_S[[#This Row],[EPS]]),IF(Main_S[[#This Row],[EPS]]&lt;&gt;0,Main_S[[#This Row],[Current Price]]/Main_S[[#This Row],[EPS]],""),"")</f>
        <v>26.746268656716421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0.84614898787066106</v>
      </c>
      <c r="P147" s="1">
        <f>(Main_S[[#This Row],[P/B]]-VLOOKUP(Main_S[[#This Row],[Industry]], Mean_PB_S, 2, FALSE))/(VLOOKUP(Main_S[[#This Row],[Industry]], Mean_PB_S, 3, FALSE))</f>
        <v>1.0055681592902526</v>
      </c>
      <c r="Q147" s="1">
        <f>(Main_S[[#This Row],[ROE]]-VLOOKUP(Main_S[[#This Row],[Industry]], Mean_ROE_S, 2, FALSE))/(VLOOKUP(Main_S[[#This Row],[Industry]], Mean_ROE_S, 3, FALSE))</f>
        <v>0.8583289201643316</v>
      </c>
      <c r="R147" s="1">
        <f>(Main_S[[#This Row],[ROA]]-VLOOKUP(Main_S[[#This Row],[Industry]], Mean_ROA_S, 2, FALSE))/(VLOOKUP(Main_S[[#This Row],[Industry]], Mean_ROA_S, 3, FALSE))</f>
        <v>1.1126072268980938</v>
      </c>
      <c r="S147" s="1">
        <f>(Main_S[[#This Row],[A/E]]-VLOOKUP(Main_S[[#This Row],[Industry]], Mean_AE_S, 2, FALSE))/(VLOOKUP(Main_S[[#This Row],[Industry]], Mean_AE_S, 3, FALSE))</f>
        <v>1.3071502050122252</v>
      </c>
      <c r="T147" s="1">
        <f>(Main_S[[#This Row],[P/E]]-VLOOKUP(Main_S[[#This Row],[Industry]], Mean_PE_S, 2, FALSE))/(VLOOKUP(Main_S[[#This Row],[Industry]], Mean_PE_S, 3, FALSE))</f>
        <v>1.148788953460633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t="s">
        <v>124</v>
      </c>
      <c r="B148" t="s">
        <v>434</v>
      </c>
      <c r="C148" s="2">
        <v>1349</v>
      </c>
      <c r="D148">
        <f>RTD("tos.rtd", , "LAST", Main_S[[#This Row],[Symbol]])</f>
        <v>8.19</v>
      </c>
      <c r="E148">
        <v>0.3</v>
      </c>
      <c r="F148">
        <v>4.05</v>
      </c>
      <c r="G148">
        <v>0.16</v>
      </c>
      <c r="H148" s="1">
        <f>IF(ISNUMBER(Main_S[[#This Row],[Free CF]]),IF(Main_S[[#This Row],[Free CF]]&lt;&gt;0,Main_S[[#This Row],[Current Price]]/Main_S[[#This Row],[Free CF]],""),"")</f>
        <v>27.3</v>
      </c>
      <c r="I148" s="1">
        <f>IF(ISNUMBER(Main_S[[#This Row],[BVPS]]),IF(Main_S[[#This Row],[BVPS]]&lt;&gt;0,Main_S[[#This Row],[Current Price]]/Main_S[[#This Row],[BVPS]],""),"")</f>
        <v>2.0222222222222221</v>
      </c>
      <c r="J148">
        <v>4.21</v>
      </c>
      <c r="K148">
        <v>4.04</v>
      </c>
      <c r="L148">
        <v>1.76</v>
      </c>
      <c r="M148" s="1">
        <f>IF(ISNUMBER(Main_S[[#This Row],[EPS]]),IF(Main_S[[#This Row],[EPS]]&lt;&gt;0,Main_S[[#This Row],[Current Price]]/Main_S[[#This Row],[EPS]],""),"")</f>
        <v>51.187499999999993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0.66616385493864938</v>
      </c>
      <c r="P148" s="1">
        <f>(Main_S[[#This Row],[P/B]]-VLOOKUP(Main_S[[#This Row],[Industry]], Mean_PB_S, 2, FALSE))/(VLOOKUP(Main_S[[#This Row],[Industry]], Mean_PB_S, 3, FALSE))</f>
        <v>-0.45226673913615584</v>
      </c>
      <c r="Q148" s="1">
        <f>(Main_S[[#This Row],[ROE]]-VLOOKUP(Main_S[[#This Row],[Industry]], Mean_ROE_S, 2, FALSE))/(VLOOKUP(Main_S[[#This Row],[Industry]], Mean_ROE_S, 3, FALSE))</f>
        <v>0.22321920019765512</v>
      </c>
      <c r="R148" s="1">
        <f>(Main_S[[#This Row],[ROA]]-VLOOKUP(Main_S[[#This Row],[Industry]], Mean_ROA_S, 2, FALSE))/(VLOOKUP(Main_S[[#This Row],[Industry]], Mean_ROA_S, 3, FALSE))</f>
        <v>0.83006501203546101</v>
      </c>
      <c r="S148" s="1">
        <f>(Main_S[[#This Row],[A/E]]-VLOOKUP(Main_S[[#This Row],[Industry]], Mean_AE_S, 2, FALSE))/(VLOOKUP(Main_S[[#This Row],[Industry]], Mean_AE_S, 3, FALSE))</f>
        <v>-0.12575539133057753</v>
      </c>
      <c r="T148" s="1">
        <f>(Main_S[[#This Row],[P/E]]-VLOOKUP(Main_S[[#This Row],[Industry]], Mean_PE_S, 2, FALSE))/(VLOOKUP(Main_S[[#This Row],[Industry]], Mean_PE_S, 3, FALSE))</f>
        <v>1.9880885903005041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t="s">
        <v>124</v>
      </c>
      <c r="B149" t="s">
        <v>435</v>
      </c>
      <c r="C149" s="2">
        <v>597</v>
      </c>
      <c r="D149">
        <f>RTD("tos.rtd", , "LAST", Main_S[[#This Row],[Symbol]])</f>
        <v>16.440000000000001</v>
      </c>
      <c r="E149">
        <v>1.31</v>
      </c>
      <c r="F149">
        <v>6.06</v>
      </c>
      <c r="G149">
        <v>1.48</v>
      </c>
      <c r="H149" s="1">
        <f>IF(ISNUMBER(Main_S[[#This Row],[Free CF]]),IF(Main_S[[#This Row],[Free CF]]&lt;&gt;0,Main_S[[#This Row],[Current Price]]/Main_S[[#This Row],[Free CF]],""),"")</f>
        <v>12.549618320610687</v>
      </c>
      <c r="I149" s="1">
        <f>IF(ISNUMBER(Main_S[[#This Row],[BVPS]]),IF(Main_S[[#This Row],[BVPS]]&lt;&gt;0,Main_S[[#This Row],[Current Price]]/Main_S[[#This Row],[BVPS]],""),"")</f>
        <v>2.7128712871287131</v>
      </c>
      <c r="J149">
        <v>28.92</v>
      </c>
      <c r="K149">
        <v>10.81</v>
      </c>
      <c r="L149">
        <v>1.44</v>
      </c>
      <c r="M149" s="1">
        <f>IF(ISNUMBER(Main_S[[#This Row],[EPS]]),IF(Main_S[[#This Row],[EPS]]&lt;&gt;0,Main_S[[#This Row],[Current Price]]/Main_S[[#This Row],[EPS]],""),"")</f>
        <v>11.108108108108109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2.4678411023096057E-2</v>
      </c>
      <c r="P149" s="1">
        <f>(Main_S[[#This Row],[P/B]]-VLOOKUP(Main_S[[#This Row],[Industry]], Mean_PB_S, 2, FALSE))/(VLOOKUP(Main_S[[#This Row],[Industry]], Mean_PB_S, 3, FALSE))</f>
        <v>-0.23058491715988372</v>
      </c>
      <c r="Q149" s="1">
        <f>(Main_S[[#This Row],[ROE]]-VLOOKUP(Main_S[[#This Row],[Industry]], Mean_ROE_S, 2, FALSE))/(VLOOKUP(Main_S[[#This Row],[Industry]], Mean_ROE_S, 3, FALSE))</f>
        <v>1.0020559833428946</v>
      </c>
      <c r="R149" s="1">
        <f>(Main_S[[#This Row],[ROA]]-VLOOKUP(Main_S[[#This Row],[Industry]], Mean_ROA_S, 2, FALSE))/(VLOOKUP(Main_S[[#This Row],[Industry]], Mean_ROA_S, 3, FALSE))</f>
        <v>1.9964130575354755</v>
      </c>
      <c r="S149" s="1">
        <f>(Main_S[[#This Row],[A/E]]-VLOOKUP(Main_S[[#This Row],[Industry]], Mean_AE_S, 2, FALSE))/(VLOOKUP(Main_S[[#This Row],[Industry]], Mean_AE_S, 3, FALSE))</f>
        <v>-0.47051463255591364</v>
      </c>
      <c r="T149" s="1">
        <f>(Main_S[[#This Row],[P/E]]-VLOOKUP(Main_S[[#This Row],[Industry]], Mean_PE_S, 2, FALSE))/(VLOOKUP(Main_S[[#This Row],[Industry]], Mean_PE_S, 3, FALSE))</f>
        <v>0.61178235649565138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t="s">
        <v>124</v>
      </c>
      <c r="B150" t="s">
        <v>436</v>
      </c>
      <c r="C150" s="2">
        <v>957</v>
      </c>
      <c r="D150">
        <f>RTD("tos.rtd", , "LAST", Main_S[[#This Row],[Symbol]])</f>
        <v>24.06</v>
      </c>
      <c r="E150">
        <v>1.58</v>
      </c>
      <c r="F150">
        <v>7.43</v>
      </c>
      <c r="G150">
        <v>0.14000000000000001</v>
      </c>
      <c r="H150" s="1">
        <f>IF(ISNUMBER(Main_S[[#This Row],[Free CF]]),IF(Main_S[[#This Row],[Free CF]]&lt;&gt;0,Main_S[[#This Row],[Current Price]]/Main_S[[#This Row],[Free CF]],""),"")</f>
        <v>15.22784810126582</v>
      </c>
      <c r="I150" s="1">
        <f>IF(ISNUMBER(Main_S[[#This Row],[BVPS]]),IF(Main_S[[#This Row],[BVPS]]&lt;&gt;0,Main_S[[#This Row],[Current Price]]/Main_S[[#This Row],[BVPS]],""),"")</f>
        <v>3.2382234185733512</v>
      </c>
      <c r="J150">
        <v>1.77</v>
      </c>
      <c r="K150">
        <v>-0.48</v>
      </c>
      <c r="L150">
        <v>1.96</v>
      </c>
      <c r="M150" s="1">
        <f>IF(ISNUMBER(Main_S[[#This Row],[EPS]]),IF(Main_S[[#This Row],[EPS]]&lt;&gt;0,Main_S[[#This Row],[Current Price]]/Main_S[[#This Row],[EPS]],""),"")</f>
        <v>171.85714285714283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0.14115305263538977</v>
      </c>
      <c r="P150" s="1">
        <f>(Main_S[[#This Row],[P/B]]-VLOOKUP(Main_S[[#This Row],[Industry]], Mean_PB_S, 2, FALSE))/(VLOOKUP(Main_S[[#This Row],[Industry]], Mean_PB_S, 3, FALSE))</f>
        <v>-6.1959455119283705E-2</v>
      </c>
      <c r="Q150" s="1">
        <f>(Main_S[[#This Row],[ROE]]-VLOOKUP(Main_S[[#This Row],[Industry]], Mean_ROE_S, 2, FALSE))/(VLOOKUP(Main_S[[#This Row],[Industry]], Mean_ROE_S, 3, FALSE))</f>
        <v>0.14631261376000299</v>
      </c>
      <c r="R150" s="1">
        <f>(Main_S[[#This Row],[ROA]]-VLOOKUP(Main_S[[#This Row],[Industry]], Mean_ROA_S, 2, FALSE))/(VLOOKUP(Main_S[[#This Row],[Industry]], Mean_ROA_S, 3, FALSE))</f>
        <v>5.1351102779912006E-2</v>
      </c>
      <c r="S150" s="1">
        <f>(Main_S[[#This Row],[A/E]]-VLOOKUP(Main_S[[#This Row],[Industry]], Mean_AE_S, 2, FALSE))/(VLOOKUP(Main_S[[#This Row],[Industry]], Mean_AE_S, 3, FALSE))</f>
        <v>8.9719134435257419E-2</v>
      </c>
      <c r="T150" s="1">
        <f>(Main_S[[#This Row],[P/E]]-VLOOKUP(Main_S[[#This Row],[Industry]], Mean_PE_S, 2, FALSE))/(VLOOKUP(Main_S[[#This Row],[Industry]], Mean_PE_S, 3, FALSE))</f>
        <v>6.1318236585186625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1" spans="1:26" x14ac:dyDescent="0.25">
      <c r="A151" t="s">
        <v>124</v>
      </c>
      <c r="B151" t="s">
        <v>437</v>
      </c>
      <c r="C151" s="2">
        <v>1576</v>
      </c>
      <c r="D151">
        <f>RTD("tos.rtd", , "LAST", Main_S[[#This Row],[Symbol]])</f>
        <v>24.56</v>
      </c>
      <c r="E151">
        <v>2.46</v>
      </c>
      <c r="F151">
        <v>0.28000000000000003</v>
      </c>
      <c r="G151">
        <v>0.4</v>
      </c>
      <c r="H151" s="1">
        <f>IF(ISNUMBER(Main_S[[#This Row],[Free CF]]),IF(Main_S[[#This Row],[Free CF]]&lt;&gt;0,Main_S[[#This Row],[Current Price]]/Main_S[[#This Row],[Free CF]],""),"")</f>
        <v>9.9837398373983728</v>
      </c>
      <c r="I151" s="1">
        <f>IF(ISNUMBER(Main_S[[#This Row],[BVPS]]),IF(Main_S[[#This Row],[BVPS]]&lt;&gt;0,Main_S[[#This Row],[Current Price]]/Main_S[[#This Row],[BVPS]],""),"")</f>
        <v>87.714285714285708</v>
      </c>
      <c r="J151">
        <v>-50.81</v>
      </c>
      <c r="K151">
        <v>1.41</v>
      </c>
      <c r="L151">
        <v>93.28</v>
      </c>
      <c r="M151" s="1">
        <f>IF(ISNUMBER(Main_S[[#This Row],[EPS]]),IF(Main_S[[#This Row],[EPS]]&lt;&gt;0,Main_S[[#This Row],[Current Price]]/Main_S[[#This Row],[EPS]],""),"")</f>
        <v>61.399999999999991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-8.6910138589605473E-2</v>
      </c>
      <c r="P151" s="1">
        <f>(Main_S[[#This Row],[P/B]]-VLOOKUP(Main_S[[#This Row],[Industry]], Mean_PB_S, 2, FALSE))/(VLOOKUP(Main_S[[#This Row],[Industry]], Mean_PB_S, 3, FALSE))</f>
        <v>27.052834952993123</v>
      </c>
      <c r="Q151" s="1">
        <f>(Main_S[[#This Row],[ROE]]-VLOOKUP(Main_S[[#This Row],[Industry]], Mean_ROE_S, 2, FALSE))/(VLOOKUP(Main_S[[#This Row],[Industry]], Mean_ROE_S, 3, FALSE))</f>
        <v>-1.5109612857857959</v>
      </c>
      <c r="R151" s="1">
        <f>(Main_S[[#This Row],[ROA]]-VLOOKUP(Main_S[[#This Row],[Industry]], Mean_ROA_S, 2, FALSE))/(VLOOKUP(Main_S[[#This Row],[Industry]], Mean_ROA_S, 3, FALSE))</f>
        <v>0.3769637772252632</v>
      </c>
      <c r="S151" s="1">
        <f>(Main_S[[#This Row],[A/E]]-VLOOKUP(Main_S[[#This Row],[Industry]], Mean_AE_S, 2, FALSE))/(VLOOKUP(Main_S[[#This Row],[Industry]], Mean_AE_S, 3, FALSE))</f>
        <v>98.475387599115521</v>
      </c>
      <c r="T151" s="1">
        <f>(Main_S[[#This Row],[P/E]]-VLOOKUP(Main_S[[#This Row],[Industry]], Mean_PE_S, 2, FALSE))/(VLOOKUP(Main_S[[#This Row],[Industry]], Mean_PE_S, 3, FALSE))</f>
        <v>2.3387807228219937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t="s">
        <v>124</v>
      </c>
      <c r="B152" t="s">
        <v>438</v>
      </c>
      <c r="C152" s="2">
        <v>469</v>
      </c>
      <c r="D152">
        <f>RTD("tos.rtd", , "LAST", Main_S[[#This Row],[Symbol]])</f>
        <v>30.66</v>
      </c>
      <c r="E152">
        <v>0.24</v>
      </c>
      <c r="F152">
        <v>3.27</v>
      </c>
      <c r="G152">
        <v>7.0000000000000007E-2</v>
      </c>
      <c r="H152" s="1">
        <f>IF(ISNUMBER(Main_S[[#This Row],[Free CF]]),IF(Main_S[[#This Row],[Free CF]]&lt;&gt;0,Main_S[[#This Row],[Current Price]]/Main_S[[#This Row],[Free CF]],""),"")</f>
        <v>127.75</v>
      </c>
      <c r="I152" s="1">
        <f>IF(ISNUMBER(Main_S[[#This Row],[BVPS]]),IF(Main_S[[#This Row],[BVPS]]&lt;&gt;0,Main_S[[#This Row],[Current Price]]/Main_S[[#This Row],[BVPS]],""),"")</f>
        <v>9.376146788990825</v>
      </c>
      <c r="J152">
        <v>4.5599999999999996</v>
      </c>
      <c r="K152">
        <v>2.7</v>
      </c>
      <c r="L152">
        <v>2.16</v>
      </c>
      <c r="M152" s="1">
        <f>IF(ISNUMBER(Main_S[[#This Row],[EPS]]),IF(Main_S[[#This Row],[EPS]]&lt;&gt;0,Main_S[[#This Row],[Current Price]]/Main_S[[#This Row],[EPS]],""),"")</f>
        <v>437.99999999999994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5.0346754122602713</v>
      </c>
      <c r="P152" s="1">
        <f>(Main_S[[#This Row],[P/B]]-VLOOKUP(Main_S[[#This Row],[Industry]], Mean_PB_S, 2, FALSE))/(VLOOKUP(Main_S[[#This Row],[Industry]], Mean_PB_S, 3, FALSE))</f>
        <v>1.908167060709868</v>
      </c>
      <c r="Q152" s="1">
        <f>(Main_S[[#This Row],[ROE]]-VLOOKUP(Main_S[[#This Row],[Industry]], Mean_ROE_S, 2, FALSE))/(VLOOKUP(Main_S[[#This Row],[Industry]], Mean_ROE_S, 3, FALSE))</f>
        <v>0.23425088267846586</v>
      </c>
      <c r="R152" s="1">
        <f>(Main_S[[#This Row],[ROA]]-VLOOKUP(Main_S[[#This Row],[Industry]], Mean_ROA_S, 2, FALSE))/(VLOOKUP(Main_S[[#This Row],[Industry]], Mean_ROA_S, 3, FALSE))</f>
        <v>0.59920734867209025</v>
      </c>
      <c r="S152" s="1">
        <f>(Main_S[[#This Row],[A/E]]-VLOOKUP(Main_S[[#This Row],[Industry]], Mean_AE_S, 2, FALSE))/(VLOOKUP(Main_S[[#This Row],[Industry]], Mean_AE_S, 3, FALSE))</f>
        <v>0.30519366020109262</v>
      </c>
      <c r="T152" s="1">
        <f>(Main_S[[#This Row],[P/E]]-VLOOKUP(Main_S[[#This Row],[Industry]], Mean_PE_S, 2, FALSE))/(VLOOKUP(Main_S[[#This Row],[Industry]], Mean_PE_S, 3, FALSE))</f>
        <v>15.271036008755205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3" spans="1:26" x14ac:dyDescent="0.25">
      <c r="A153" t="s">
        <v>124</v>
      </c>
      <c r="B153" t="s">
        <v>439</v>
      </c>
      <c r="C153" s="2">
        <v>316</v>
      </c>
      <c r="D153">
        <f>RTD("tos.rtd", , "LAST", Main_S[[#This Row],[Symbol]])</f>
        <v>8.34</v>
      </c>
      <c r="E153">
        <v>-1.6</v>
      </c>
      <c r="F153">
        <v>9.68</v>
      </c>
      <c r="G153">
        <v>-0.31</v>
      </c>
      <c r="H153" s="1">
        <f>IF(ISNUMBER(Main_S[[#This Row],[Free CF]]),IF(Main_S[[#This Row],[Free CF]]&lt;&gt;0,Main_S[[#This Row],[Current Price]]/Main_S[[#This Row],[Free CF]],""),"")</f>
        <v>-5.2124999999999995</v>
      </c>
      <c r="I153" s="1">
        <f>IF(ISNUMBER(Main_S[[#This Row],[BVPS]]),IF(Main_S[[#This Row],[BVPS]]&lt;&gt;0,Main_S[[#This Row],[Current Price]]/Main_S[[#This Row],[BVPS]],""),"")</f>
        <v>0.86157024793388426</v>
      </c>
      <c r="J153">
        <v>-0.21</v>
      </c>
      <c r="K153">
        <v>-7.97</v>
      </c>
      <c r="L153">
        <v>1.56</v>
      </c>
      <c r="M153" s="1">
        <f>IF(ISNUMBER(Main_S[[#This Row],[EPS]]),IF(Main_S[[#This Row],[EPS]]&lt;&gt;0,Main_S[[#This Row],[Current Price]]/Main_S[[#This Row],[EPS]],""),"")</f>
        <v>-26.903225806451612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-0.74778569217353819</v>
      </c>
      <c r="P153" s="1">
        <f>(Main_S[[#This Row],[P/B]]-VLOOKUP(Main_S[[#This Row],[Industry]], Mean_PB_S, 2, FALSE))/(VLOOKUP(Main_S[[#This Row],[Industry]], Mean_PB_S, 3, FALSE))</f>
        <v>-0.82480824742797143</v>
      </c>
      <c r="Q153" s="1">
        <f>(Main_S[[#This Row],[ROE]]-VLOOKUP(Main_S[[#This Row],[Industry]], Mean_ROE_S, 2, FALSE))/(VLOOKUP(Main_S[[#This Row],[Industry]], Mean_ROE_S, 3, FALSE))</f>
        <v>8.390481001141642E-2</v>
      </c>
      <c r="R153" s="1">
        <f>(Main_S[[#This Row],[ROA]]-VLOOKUP(Main_S[[#This Row],[Industry]], Mean_ROA_S, 2, FALSE))/(VLOOKUP(Main_S[[#This Row],[Industry]], Mean_ROA_S, 3, FALSE))</f>
        <v>-1.2390398663183315</v>
      </c>
      <c r="S153" s="1">
        <f>(Main_S[[#This Row],[A/E]]-VLOOKUP(Main_S[[#This Row],[Industry]], Mean_AE_S, 2, FALSE))/(VLOOKUP(Main_S[[#This Row],[Industry]], Mean_AE_S, 3, FALSE))</f>
        <v>-0.34122991709641254</v>
      </c>
      <c r="T153" s="1">
        <f>(Main_S[[#This Row],[P/E]]-VLOOKUP(Main_S[[#This Row],[Industry]], Mean_PE_S, 2, FALSE))/(VLOOKUP(Main_S[[#This Row],[Industry]], Mean_PE_S, 3, FALSE))</f>
        <v>-0.69350780267040646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4" spans="1:26" x14ac:dyDescent="0.25">
      <c r="A154" t="s">
        <v>178</v>
      </c>
      <c r="B154" t="s">
        <v>454</v>
      </c>
      <c r="C154" s="2">
        <v>252</v>
      </c>
      <c r="D154">
        <f>RTD("tos.rtd", , "LAST", Main_S[[#This Row],[Symbol]])</f>
        <v>0.88249999999999995</v>
      </c>
      <c r="E154">
        <v>-0.81</v>
      </c>
      <c r="F154">
        <v>0.87</v>
      </c>
      <c r="G154">
        <v>-0.92</v>
      </c>
      <c r="H154" s="1">
        <f>IF(ISNUMBER(Main_S[[#This Row],[Free CF]]),IF(Main_S[[#This Row],[Free CF]]&lt;&gt;0,Main_S[[#This Row],[Current Price]]/Main_S[[#This Row],[Free CF]],""),"")</f>
        <v>-1.0895061728395061</v>
      </c>
      <c r="I154" s="1">
        <f>IF(ISNUMBER(Main_S[[#This Row],[BVPS]]),IF(Main_S[[#This Row],[BVPS]]&lt;&gt;0,Main_S[[#This Row],[Current Price]]/Main_S[[#This Row],[BVPS]],""),"")</f>
        <v>1.014367816091954</v>
      </c>
      <c r="J154">
        <v>-81.290000000000006</v>
      </c>
      <c r="K154">
        <v>-29.15</v>
      </c>
      <c r="L154">
        <v>1.74</v>
      </c>
      <c r="M154" s="1">
        <f>IF(ISNUMBER(Main_S[[#This Row],[EPS]]),IF(Main_S[[#This Row],[EPS]]&lt;&gt;0,Main_S[[#This Row],[Current Price]]/Main_S[[#This Row],[EPS]],""),"")</f>
        <v>-0.95923913043478248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-0.49857619005021336</v>
      </c>
      <c r="P154" s="1">
        <f>(Main_S[[#This Row],[P/B]]-VLOOKUP(Main_S[[#This Row],[Industry]], Mean_PB_S, 2, FALSE))/(VLOOKUP(Main_S[[#This Row],[Industry]], Mean_PB_S, 3, FALSE))</f>
        <v>-0.38947637231340609</v>
      </c>
      <c r="Q154" s="1">
        <f>(Main_S[[#This Row],[ROE]]-VLOOKUP(Main_S[[#This Row],[Industry]], Mean_ROE_S, 2, FALSE))/(VLOOKUP(Main_S[[#This Row],[Industry]], Mean_ROE_S, 3, FALSE))</f>
        <v>-1.4413051764264051</v>
      </c>
      <c r="R154" s="1">
        <f>(Main_S[[#This Row],[ROA]]-VLOOKUP(Main_S[[#This Row],[Industry]], Mean_ROA_S, 2, FALSE))/(VLOOKUP(Main_S[[#This Row],[Industry]], Mean_ROA_S, 3, FALSE))</f>
        <v>-10.186882173003379</v>
      </c>
      <c r="S154" s="1">
        <f>(Main_S[[#This Row],[A/E]]-VLOOKUP(Main_S[[#This Row],[Industry]], Mean_AE_S, 2, FALSE))/(VLOOKUP(Main_S[[#This Row],[Industry]], Mean_AE_S, 3, FALSE))</f>
        <v>-1.1278667329323766</v>
      </c>
      <c r="T154" s="1">
        <f>(Main_S[[#This Row],[P/E]]-VLOOKUP(Main_S[[#This Row],[Industry]], Mean_PE_S, 2, FALSE))/(VLOOKUP(Main_S[[#This Row],[Industry]], Mean_PE_S, 3, FALSE))</f>
        <v>0.29092550649634152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t="s">
        <v>178</v>
      </c>
      <c r="B155" t="s">
        <v>455</v>
      </c>
      <c r="C155" s="2">
        <v>1160</v>
      </c>
      <c r="D155">
        <f>RTD("tos.rtd", , "LAST", Main_S[[#This Row],[Symbol]])</f>
        <v>12.28</v>
      </c>
      <c r="E155">
        <v>2.75</v>
      </c>
      <c r="F155">
        <v>-1.43</v>
      </c>
      <c r="G155">
        <v>-1.22</v>
      </c>
      <c r="H155" s="1">
        <f>IF(ISNUMBER(Main_S[[#This Row],[Free CF]]),IF(Main_S[[#This Row],[Free CF]]&lt;&gt;0,Main_S[[#This Row],[Current Price]]/Main_S[[#This Row],[Free CF]],""),"")</f>
        <v>4.4654545454545449</v>
      </c>
      <c r="I155" s="1">
        <f>IF(ISNUMBER(Main_S[[#This Row],[BVPS]]),IF(Main_S[[#This Row],[BVPS]]&lt;&gt;0,Main_S[[#This Row],[Current Price]]/Main_S[[#This Row],[BVPS]],""),"")</f>
        <v>-8.5874125874125866</v>
      </c>
      <c r="J155">
        <v>47.63</v>
      </c>
      <c r="K155">
        <v>19.93</v>
      </c>
      <c r="L155">
        <v>-3.3</v>
      </c>
      <c r="M155" s="1">
        <f>IF(ISNUMBER(Main_S[[#This Row],[EPS]]),IF(Main_S[[#This Row],[EPS]]&lt;&gt;0,Main_S[[#This Row],[Current Price]]/Main_S[[#This Row],[EPS]],""),"")</f>
        <v>-10.065573770491802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0.19445298596145055</v>
      </c>
      <c r="P155" s="1">
        <f>(Main_S[[#This Row],[P/B]]-VLOOKUP(Main_S[[#This Row],[Industry]], Mean_PB_S, 2, FALSE))/(VLOOKUP(Main_S[[#This Row],[Industry]], Mean_PB_S, 3, FALSE))</f>
        <v>-20.430213614317562</v>
      </c>
      <c r="Q155" s="1">
        <f>(Main_S[[#This Row],[ROE]]-VLOOKUP(Main_S[[#This Row],[Industry]], Mean_ROE_S, 2, FALSE))/(VLOOKUP(Main_S[[#This Row],[Industry]], Mean_ROE_S, 3, FALSE))</f>
        <v>1.467022626749243</v>
      </c>
      <c r="R155" s="1">
        <f>(Main_S[[#This Row],[ROA]]-VLOOKUP(Main_S[[#This Row],[Industry]], Mean_ROA_S, 2, FALSE))/(VLOOKUP(Main_S[[#This Row],[Industry]], Mean_ROA_S, 3, FALSE))</f>
        <v>5.9204688917841803</v>
      </c>
      <c r="S155" s="1">
        <f>(Main_S[[#This Row],[A/E]]-VLOOKUP(Main_S[[#This Row],[Industry]], Mean_AE_S, 2, FALSE))/(VLOOKUP(Main_S[[#This Row],[Industry]], Mean_AE_S, 3, FALSE))</f>
        <v>-7.1912782891768341</v>
      </c>
      <c r="T155" s="1">
        <f>(Main_S[[#This Row],[P/E]]-VLOOKUP(Main_S[[#This Row],[Industry]], Mean_PE_S, 2, FALSE))/(VLOOKUP(Main_S[[#This Row],[Industry]], Mean_PE_S, 3, FALSE))</f>
        <v>-1.1576159059034123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t="s">
        <v>178</v>
      </c>
      <c r="B156" t="s">
        <v>456</v>
      </c>
      <c r="C156" s="2">
        <v>726</v>
      </c>
      <c r="D156">
        <f>RTD("tos.rtd", , "LAST", Main_S[[#This Row],[Symbol]])</f>
        <v>8.81</v>
      </c>
      <c r="E156">
        <v>0.25</v>
      </c>
      <c r="F156">
        <v>5.77</v>
      </c>
      <c r="G156">
        <v>-0.95</v>
      </c>
      <c r="H156" s="1">
        <f>IF(ISNUMBER(Main_S[[#This Row],[Free CF]]),IF(Main_S[[#This Row],[Free CF]]&lt;&gt;0,Main_S[[#This Row],[Current Price]]/Main_S[[#This Row],[Free CF]],""),"")</f>
        <v>35.24</v>
      </c>
      <c r="I156" s="1">
        <f>IF(ISNUMBER(Main_S[[#This Row],[BVPS]]),IF(Main_S[[#This Row],[BVPS]]&lt;&gt;0,Main_S[[#This Row],[Current Price]]/Main_S[[#This Row],[BVPS]],""),"")</f>
        <v>1.5268630849220106</v>
      </c>
      <c r="J156">
        <v>-12.7</v>
      </c>
      <c r="K156">
        <v>-2.41</v>
      </c>
      <c r="L156">
        <v>2.04</v>
      </c>
      <c r="M156" s="1">
        <f>IF(ISNUMBER(Main_S[[#This Row],[EPS]]),IF(Main_S[[#This Row],[EPS]]&lt;&gt;0,Main_S[[#This Row],[Current Price]]/Main_S[[#This Row],[EPS]],""),"")</f>
        <v>-9.2736842105263175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4.033842490239878</v>
      </c>
      <c r="P156" s="1">
        <f>(Main_S[[#This Row],[P/B]]-VLOOKUP(Main_S[[#This Row],[Industry]], Mean_PB_S, 2, FALSE))/(VLOOKUP(Main_S[[#This Row],[Industry]], Mean_PB_S, 3, FALSE))</f>
        <v>0.68019847847205106</v>
      </c>
      <c r="Q156" s="1">
        <f>(Main_S[[#This Row],[ROE]]-VLOOKUP(Main_S[[#This Row],[Industry]], Mean_ROE_S, 2, FALSE))/(VLOOKUP(Main_S[[#This Row],[Industry]], Mean_ROE_S, 3, FALSE))</f>
        <v>0.10602808466433102</v>
      </c>
      <c r="R156" s="1">
        <f>(Main_S[[#This Row],[ROA]]-VLOOKUP(Main_S[[#This Row],[Industry]], Mean_ROA_S, 2, FALSE))/(VLOOKUP(Main_S[[#This Row],[Industry]], Mean_ROA_S, 3, FALSE))</f>
        <v>-1.4111982391725042</v>
      </c>
      <c r="S156" s="1">
        <f>(Main_S[[#This Row],[A/E]]-VLOOKUP(Main_S[[#This Row],[Industry]], Mean_AE_S, 2, FALSE))/(VLOOKUP(Main_S[[#This Row],[Industry]], Mean_AE_S, 3, FALSE))</f>
        <v>-0.766949378394016</v>
      </c>
      <c r="T156" s="1">
        <f>(Main_S[[#This Row],[P/E]]-VLOOKUP(Main_S[[#This Row],[Industry]], Mean_PE_S, 2, FALSE))/(VLOOKUP(Main_S[[#This Row],[Industry]], Mean_PE_S, 3, FALSE))</f>
        <v>-1.0316503152461993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t="s">
        <v>178</v>
      </c>
      <c r="B157" t="s">
        <v>457</v>
      </c>
      <c r="C157" s="2">
        <v>1656</v>
      </c>
      <c r="D157">
        <f>RTD("tos.rtd", , "LAST", Main_S[[#This Row],[Symbol]])</f>
        <v>48.74</v>
      </c>
      <c r="E157">
        <v>2.89</v>
      </c>
      <c r="F157">
        <v>24.74</v>
      </c>
      <c r="G157">
        <v>-0.44</v>
      </c>
      <c r="H157" s="1">
        <f>IF(ISNUMBER(Main_S[[#This Row],[Free CF]]),IF(Main_S[[#This Row],[Free CF]]&lt;&gt;0,Main_S[[#This Row],[Current Price]]/Main_S[[#This Row],[Free CF]],""),"")</f>
        <v>16.865051903114185</v>
      </c>
      <c r="I157" s="1">
        <f>IF(ISNUMBER(Main_S[[#This Row],[BVPS]]),IF(Main_S[[#This Row],[BVPS]]&lt;&gt;0,Main_S[[#This Row],[Current Price]]/Main_S[[#This Row],[BVPS]],""),"")</f>
        <v>1.9700889248181086</v>
      </c>
      <c r="J157">
        <v>-1.44</v>
      </c>
      <c r="K157">
        <v>4.68</v>
      </c>
      <c r="L157">
        <v>3.81</v>
      </c>
      <c r="M157" s="1">
        <f>IF(ISNUMBER(Main_S[[#This Row],[EPS]]),IF(Main_S[[#This Row],[EPS]]&lt;&gt;0,Main_S[[#This Row],[Current Price]]/Main_S[[#This Row],[EPS]],""),"")</f>
        <v>-110.77272727272728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1.7414095128285378</v>
      </c>
      <c r="P157" s="1">
        <f>(Main_S[[#This Row],[P/B]]-VLOOKUP(Main_S[[#This Row],[Industry]], Mean_PB_S, 2, FALSE))/(VLOOKUP(Main_S[[#This Row],[Industry]], Mean_PB_S, 3, FALSE))</f>
        <v>1.605294890069036</v>
      </c>
      <c r="Q157" s="1">
        <f>(Main_S[[#This Row],[ROE]]-VLOOKUP(Main_S[[#This Row],[Industry]], Mean_ROE_S, 2, FALSE))/(VLOOKUP(Main_S[[#This Row],[Industry]], Mean_ROE_S, 3, FALSE))</f>
        <v>0.36004430451972813</v>
      </c>
      <c r="R157" s="1">
        <f>(Main_S[[#This Row],[ROA]]-VLOOKUP(Main_S[[#This Row],[Industry]], Mean_ROA_S, 2, FALSE))/(VLOOKUP(Main_S[[#This Row],[Industry]], Mean_ROA_S, 3, FALSE))</f>
        <v>0.91563792727704341</v>
      </c>
      <c r="S157" s="1">
        <f>(Main_S[[#This Row],[A/E]]-VLOOKUP(Main_S[[#This Row],[Industry]], Mean_AE_S, 2, FALSE))/(VLOOKUP(Main_S[[#This Row],[Industry]], Mean_AE_S, 3, FALSE))</f>
        <v>1.3624630133823117</v>
      </c>
      <c r="T157" s="1">
        <f>(Main_S[[#This Row],[P/E]]-VLOOKUP(Main_S[[#This Row],[Industry]], Mean_PE_S, 2, FALSE))/(VLOOKUP(Main_S[[#This Row],[Industry]], Mean_PE_S, 3, FALSE))</f>
        <v>-17.177066995609202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8" spans="1:26" x14ac:dyDescent="0.25">
      <c r="A158" t="s">
        <v>178</v>
      </c>
      <c r="B158" t="s">
        <v>458</v>
      </c>
      <c r="C158" s="2">
        <v>514</v>
      </c>
      <c r="D158">
        <f>RTD("tos.rtd", , "LAST", Main_S[[#This Row],[Symbol]])</f>
        <v>6.23</v>
      </c>
      <c r="E158">
        <v>-0.84</v>
      </c>
      <c r="F158">
        <v>7.96</v>
      </c>
      <c r="G158">
        <v>0.9</v>
      </c>
      <c r="H158" s="1">
        <f>IF(ISNUMBER(Main_S[[#This Row],[Free CF]]),IF(Main_S[[#This Row],[Free CF]]&lt;&gt;0,Main_S[[#This Row],[Current Price]]/Main_S[[#This Row],[Free CF]],""),"")</f>
        <v>-7.4166666666666679</v>
      </c>
      <c r="I158" s="1">
        <f>IF(ISNUMBER(Main_S[[#This Row],[BVPS]]),IF(Main_S[[#This Row],[BVPS]]&lt;&gt;0,Main_S[[#This Row],[Current Price]]/Main_S[[#This Row],[BVPS]],""),"")</f>
        <v>0.78266331658291466</v>
      </c>
      <c r="J158">
        <v>10.199999999999999</v>
      </c>
      <c r="K158">
        <v>4.8499999999999996</v>
      </c>
      <c r="L158">
        <v>3.12</v>
      </c>
      <c r="M158" s="1">
        <f>IF(ISNUMBER(Main_S[[#This Row],[EPS]]),IF(Main_S[[#This Row],[EPS]]&lt;&gt;0,Main_S[[#This Row],[Current Price]]/Main_S[[#This Row],[EPS]],""),"")</f>
        <v>6.9222222222222225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-1.2879439364484653</v>
      </c>
      <c r="P158" s="1">
        <f>(Main_S[[#This Row],[P/B]]-VLOOKUP(Main_S[[#This Row],[Industry]], Mean_PB_S, 2, FALSE))/(VLOOKUP(Main_S[[#This Row],[Industry]], Mean_PB_S, 3, FALSE))</f>
        <v>-0.87308761911466637</v>
      </c>
      <c r="Q158" s="1">
        <f>(Main_S[[#This Row],[ROE]]-VLOOKUP(Main_S[[#This Row],[Industry]], Mean_ROE_S, 2, FALSE))/(VLOOKUP(Main_S[[#This Row],[Industry]], Mean_ROE_S, 3, FALSE))</f>
        <v>0.62263300781607112</v>
      </c>
      <c r="R158" s="1">
        <f>(Main_S[[#This Row],[ROA]]-VLOOKUP(Main_S[[#This Row],[Industry]], Mean_ROA_S, 2, FALSE))/(VLOOKUP(Main_S[[#This Row],[Industry]], Mean_ROA_S, 3, FALSE))</f>
        <v>0.97142948556990993</v>
      </c>
      <c r="S158" s="1">
        <f>(Main_S[[#This Row],[A/E]]-VLOOKUP(Main_S[[#This Row],[Industry]], Mean_AE_S, 2, FALSE))/(VLOOKUP(Main_S[[#This Row],[Industry]], Mean_AE_S, 3, FALSE))</f>
        <v>0.53235309794408225</v>
      </c>
      <c r="T158" s="1">
        <f>(Main_S[[#This Row],[P/E]]-VLOOKUP(Main_S[[#This Row],[Industry]], Mean_PE_S, 2, FALSE))/(VLOOKUP(Main_S[[#This Row],[Industry]], Mean_PE_S, 3, FALSE))</f>
        <v>1.5446267607125348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t="s">
        <v>178</v>
      </c>
      <c r="B159" t="s">
        <v>459</v>
      </c>
      <c r="C159" s="2">
        <v>668</v>
      </c>
      <c r="D159">
        <f>RTD("tos.rtd", , "LAST", Main_S[[#This Row],[Symbol]])</f>
        <v>5.95</v>
      </c>
      <c r="E159">
        <v>3.48</v>
      </c>
      <c r="F159">
        <v>8.3699999999999992</v>
      </c>
      <c r="G159">
        <v>-10.54</v>
      </c>
      <c r="H159" s="1">
        <f>IF(ISNUMBER(Main_S[[#This Row],[Free CF]]),IF(Main_S[[#This Row],[Free CF]]&lt;&gt;0,Main_S[[#This Row],[Current Price]]/Main_S[[#This Row],[Free CF]],""),"")</f>
        <v>1.7097701149425288</v>
      </c>
      <c r="I159" s="1">
        <f>IF(ISNUMBER(Main_S[[#This Row],[BVPS]]),IF(Main_S[[#This Row],[BVPS]]&lt;&gt;0,Main_S[[#This Row],[Current Price]]/Main_S[[#This Row],[BVPS]],""),"")</f>
        <v>0.71087216248506579</v>
      </c>
      <c r="J159">
        <v>-66.8</v>
      </c>
      <c r="K159">
        <v>0.44</v>
      </c>
      <c r="L159">
        <v>7.8</v>
      </c>
      <c r="M159" s="1">
        <f>IF(ISNUMBER(Main_S[[#This Row],[EPS]]),IF(Main_S[[#This Row],[EPS]]&lt;&gt;0,Main_S[[#This Row],[Current Price]]/Main_S[[#This Row],[EPS]],""),"")</f>
        <v>-0.56451612903225812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-0.1493423722913097</v>
      </c>
      <c r="P159" s="1">
        <f>(Main_S[[#This Row],[P/B]]-VLOOKUP(Main_S[[#This Row],[Industry]], Mean_PB_S, 2, FALSE))/(VLOOKUP(Main_S[[#This Row],[Industry]], Mean_PB_S, 3, FALSE))</f>
        <v>-1.0229293771130155</v>
      </c>
      <c r="Q159" s="1">
        <f>(Main_S[[#This Row],[ROE]]-VLOOKUP(Main_S[[#This Row],[Industry]], Mean_ROE_S, 2, FALSE))/(VLOOKUP(Main_S[[#This Row],[Industry]], Mean_ROE_S, 3, FALSE))</f>
        <v>-1.1144228473229676</v>
      </c>
      <c r="R159" s="1">
        <f>(Main_S[[#This Row],[ROA]]-VLOOKUP(Main_S[[#This Row],[Industry]], Mean_ROA_S, 2, FALSE))/(VLOOKUP(Main_S[[#This Row],[Industry]], Mean_ROA_S, 3, FALSE))</f>
        <v>-0.47586917367444903</v>
      </c>
      <c r="S159" s="1">
        <f>(Main_S[[#This Row],[A/E]]-VLOOKUP(Main_S[[#This Row],[Industry]], Mean_AE_S, 2, FALSE))/(VLOOKUP(Main_S[[#This Row],[Industry]], Mean_AE_S, 3, FALSE))</f>
        <v>6.1626638287425077</v>
      </c>
      <c r="T159" s="1">
        <f>(Main_S[[#This Row],[P/E]]-VLOOKUP(Main_S[[#This Row],[Industry]], Mean_PE_S, 2, FALSE))/(VLOOKUP(Main_S[[#This Row],[Industry]], Mean_PE_S, 3, FALSE))</f>
        <v>0.35371395394073535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45.5703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18.804195804195807</v>
      </c>
      <c r="C3" s="1" cm="1">
        <f t="array" ref="C3">_xlfn.QUARTILE.INC(IF(Quartile_L[[#This Row],[Industry]]=Main_L[Industry],Main_L[P/FCF]),3)</f>
        <v>29.387646432374865</v>
      </c>
      <c r="D3" s="1">
        <f>Quartile_L[[#This Row],[P/FCF Q1]]-1.5*(Quartile_L[[#This Row],[P/FCF Q3]]-Quartile_L[[#This Row],[P/FCF Q1]])</f>
        <v>2.9290198619272196</v>
      </c>
      <c r="E3" s="1">
        <f>Quartile_L[[#This Row],[P/FCF Q3]]+1.5*(Quartile_L[[#This Row],[P/FCF Q3]]-Quartile_L[[#This Row],[P/FCF Q1]])</f>
        <v>45.262822374643449</v>
      </c>
      <c r="F3" s="1" cm="1">
        <f t="array" ref="F3">_xlfn.QUARTILE.INC(IF(Quartile_L[[#This Row],[Industry]]=Main_L[Industry],Main_L[P/B]),1)</f>
        <v>2.9498219488507607</v>
      </c>
      <c r="G3" s="1" cm="1">
        <f t="array" ref="G3">_xlfn.QUARTILE.INC(IF(Quartile_L[[#This Row],[Industry]]=Main_L[Industry],Main_L[P/B]),3)</f>
        <v>12.058230683090706</v>
      </c>
      <c r="H3" s="1">
        <f>Quartile_L[[#This Row],[P/B Q1]]-1.5*(Quartile_L[[#This Row],[P/B Q3]]-Quartile_L[[#This Row],[P/B Q1]])</f>
        <v>-10.712791152509155</v>
      </c>
      <c r="I3" s="1">
        <f>Quartile_L[[#This Row],[P/B Q3]]+1.5*(Quartile_L[[#This Row],[P/B Q3]]-Quartile_L[[#This Row],[P/B Q1]])</f>
        <v>25.720843784450622</v>
      </c>
      <c r="J3" s="1" cm="1">
        <f t="array" ref="J3">_xlfn.QUARTILE.INC(IF(Quartile_L[[#This Row],[Industry]]=Main_L[Industry],Main_L[ROE]),1)</f>
        <v>-5.1225000000000005</v>
      </c>
      <c r="K3" s="1" cm="1">
        <f t="array" ref="K3">_xlfn.QUARTILE.INC(IF(Quartile_L[[#This Row],[Industry]]=Main_L[Industry],Main_L[ROE]),3)</f>
        <v>21.282499999999999</v>
      </c>
      <c r="L3" s="1">
        <f>Quartile_L[[#This Row],[ROE Q1]]-1.5*(Quartile_L[[#This Row],[ROE Q3]]-Quartile_L[[#This Row],[ROE Q1]])</f>
        <v>-44.730000000000004</v>
      </c>
      <c r="M3" s="1">
        <f>Quartile_L[[#This Row],[ROE Q3]]+1.5*(Quartile_L[[#This Row],[ROE Q3]]-Quartile_L[[#This Row],[ROE Q1]])</f>
        <v>60.89</v>
      </c>
      <c r="N3" s="1" cm="1">
        <f t="array" ref="N3">_xlfn.QUARTILE.INC(IF(Quartile_L[[#This Row],[Industry]]=Main_L[Industry],Main_L[ROA]),1)</f>
        <v>0.5575</v>
      </c>
      <c r="O3" s="1" cm="1">
        <f t="array" ref="O3">_xlfn.QUARTILE.INC(IF(Quartile_L[[#This Row],[Industry]]=Main_L[Industry],Main_L[ROA]),3)</f>
        <v>8.9849999999999994</v>
      </c>
      <c r="P3" s="1">
        <f>Quartile_L[[#This Row],[ROA Q1]]-1.5*(Quartile_L[[#This Row],[ROA Q3]]-Quartile_L[[#This Row],[ROA Q1]])</f>
        <v>-12.08375</v>
      </c>
      <c r="Q3" s="1">
        <f>Quartile_L[[#This Row],[ROA Q3]]+1.5*(Quartile_L[[#This Row],[ROA Q3]]-Quartile_L[[#This Row],[ROA Q1]])</f>
        <v>21.626249999999999</v>
      </c>
      <c r="R3" s="1" cm="1">
        <f t="array" ref="R3">_xlfn.QUARTILE.INC(IF(Quartile_L[[#This Row],[Industry]]=Main_L[Industry],Main_L[P/E]),1)</f>
        <v>17.109473684210524</v>
      </c>
      <c r="S3" s="1" cm="1">
        <f t="array" ref="S3">_xlfn.QUARTILE.INC(IF(Quartile_L[[#This Row],[Industry]]=Main_L[Industry],Main_L[P/E]),3)</f>
        <v>33.734718826405867</v>
      </c>
      <c r="T3" s="1">
        <f>Quartile_L[[#This Row],[P/E Q1]]-1.5*(Quartile_L[[#This Row],[P/E Q3]]-Quartile_L[[#This Row],[P/E Q1]])</f>
        <v>-7.8283940290824923</v>
      </c>
      <c r="U3" s="1">
        <f>Quartile_L[[#This Row],[P/E Q3]]+1.5*(Quartile_L[[#This Row],[P/E Q3]]-Quartile_L[[#This Row],[P/E Q1]])</f>
        <v>58.672586539698884</v>
      </c>
      <c r="V3" s="1" cm="1">
        <f t="array" ref="V3">_xlfn.QUARTILE.INC(IF(Quartile_L[[#This Row],[Industry]]=Main_L[Industry],Main_L[A/E]),1)</f>
        <v>1.2575000000000001</v>
      </c>
      <c r="W3" s="1" cm="1">
        <f t="array" ref="W3">_xlfn.QUARTILE.INC(IF(Quartile_L[[#This Row],[Industry]]=Main_L[Industry],Main_L[A/E]),3)</f>
        <v>2.79</v>
      </c>
      <c r="X3" s="1">
        <f>Quartile_L[[#This Row],[A/E Q1]]-1.5*(Quartile_L[[#This Row],[A/E Q3]]-Quartile_L[[#This Row],[A/E Q1]])</f>
        <v>-1.04125</v>
      </c>
      <c r="Y3" s="1">
        <f>Quartile_L[[#This Row],[A/E Q3]]+1.5*(Quartile_L[[#This Row],[A/E Q3]]-Quartile_L[[#This Row],[A/E Q1]])</f>
        <v>5.0887500000000001</v>
      </c>
    </row>
    <row r="4" spans="1:25" x14ac:dyDescent="0.25">
      <c r="A4" t="s">
        <v>124</v>
      </c>
      <c r="B4" s="1" cm="1">
        <f t="array" ref="B4">_xlfn.QUARTILE.INC(IF(Quartile_L[[#This Row],[Industry]]=Main_L[Industry],Main_L[P/FCF]),1)</f>
        <v>28.541857530755987</v>
      </c>
      <c r="C4" s="1" cm="1">
        <f t="array" ref="C4">_xlfn.QUARTILE.INC(IF(Quartile_L[[#This Row],[Industry]]=Main_L[Industry],Main_L[P/FCF]),3)</f>
        <v>61.955865539981424</v>
      </c>
      <c r="D4" s="1">
        <f>Quartile_L[[#This Row],[P/FCF Q1]]-1.5*(Quartile_L[[#This Row],[P/FCF Q3]]-Quartile_L[[#This Row],[P/FCF Q1]])</f>
        <v>-21.579154483082174</v>
      </c>
      <c r="E4" s="1">
        <f>Quartile_L[[#This Row],[P/FCF Q3]]+1.5*(Quartile_L[[#This Row],[P/FCF Q3]]-Quartile_L[[#This Row],[P/FCF Q1]])</f>
        <v>112.07687755381959</v>
      </c>
      <c r="F4" s="1" cm="1">
        <f t="array" ref="F4">_xlfn.QUARTILE.INC(IF(Quartile_L[[#This Row],[Industry]]=Main_L[Industry],Main_L[P/B]),1)</f>
        <v>6.2348127163991194</v>
      </c>
      <c r="G4" s="1" cm="1">
        <f t="array" ref="G4">_xlfn.QUARTILE.INC(IF(Quartile_L[[#This Row],[Industry]]=Main_L[Industry],Main_L[P/B]),3)</f>
        <v>20.845495591254217</v>
      </c>
      <c r="H4" s="1">
        <f>Quartile_L[[#This Row],[P/B Q1]]-1.5*(Quartile_L[[#This Row],[P/B Q3]]-Quartile_L[[#This Row],[P/B Q1]])</f>
        <v>-15.681211595883525</v>
      </c>
      <c r="I4" s="1">
        <f>Quartile_L[[#This Row],[P/B Q3]]+1.5*(Quartile_L[[#This Row],[P/B Q3]]-Quartile_L[[#This Row],[P/B Q1]])</f>
        <v>42.761519903536865</v>
      </c>
      <c r="J4" s="1" cm="1">
        <f t="array" ref="J4">_xlfn.QUARTILE.INC(IF(Quartile_L[[#This Row],[Industry]]=Main_L[Industry],Main_L[ROE]),1)</f>
        <v>1.9</v>
      </c>
      <c r="K4" s="1" cm="1">
        <f t="array" ref="K4">_xlfn.QUARTILE.INC(IF(Quartile_L[[#This Row],[Industry]]=Main_L[Industry],Main_L[ROE]),3)</f>
        <v>28.59</v>
      </c>
      <c r="L4" s="1">
        <f>Quartile_L[[#This Row],[ROE Q1]]-1.5*(Quartile_L[[#This Row],[ROE Q3]]-Quartile_L[[#This Row],[ROE Q1]])</f>
        <v>-38.135000000000005</v>
      </c>
      <c r="M4" s="1">
        <f>Quartile_L[[#This Row],[ROE Q3]]+1.5*(Quartile_L[[#This Row],[ROE Q3]]-Quartile_L[[#This Row],[ROE Q1]])</f>
        <v>68.625</v>
      </c>
      <c r="N4" s="1" cm="1">
        <f t="array" ref="N4">_xlfn.QUARTILE.INC(IF(Quartile_L[[#This Row],[Industry]]=Main_L[Industry],Main_L[ROA]),1)</f>
        <v>-0.67999999999999994</v>
      </c>
      <c r="O4" s="1" cm="1">
        <f t="array" ref="O4">_xlfn.QUARTILE.INC(IF(Quartile_L[[#This Row],[Industry]]=Main_L[Industry],Main_L[ROA]),3)</f>
        <v>7.7850000000000001</v>
      </c>
      <c r="P4" s="1">
        <f>Quartile_L[[#This Row],[ROA Q1]]-1.5*(Quartile_L[[#This Row],[ROA Q3]]-Quartile_L[[#This Row],[ROA Q1]])</f>
        <v>-13.3775</v>
      </c>
      <c r="Q4" s="1">
        <f>Quartile_L[[#This Row],[ROA Q3]]+1.5*(Quartile_L[[#This Row],[ROA Q3]]-Quartile_L[[#This Row],[ROA Q1]])</f>
        <v>20.482500000000002</v>
      </c>
      <c r="R4" s="1" cm="1">
        <f t="array" ref="R4">_xlfn.QUARTILE.INC(IF(Quartile_L[[#This Row],[Industry]]=Main_L[Industry],Main_L[P/E]),1)</f>
        <v>-3.8863531096046131</v>
      </c>
      <c r="S4" s="1" cm="1">
        <f t="array" ref="S4">_xlfn.QUARTILE.INC(IF(Quartile_L[[#This Row],[Industry]]=Main_L[Industry],Main_L[P/E]),3)</f>
        <v>77.373907219402156</v>
      </c>
      <c r="T4" s="1">
        <f>Quartile_L[[#This Row],[P/E Q1]]-1.5*(Quartile_L[[#This Row],[P/E Q3]]-Quartile_L[[#This Row],[P/E Q1]])</f>
        <v>-125.77674360311477</v>
      </c>
      <c r="U4" s="1">
        <f>Quartile_L[[#This Row],[P/E Q3]]+1.5*(Quartile_L[[#This Row],[P/E Q3]]-Quartile_L[[#This Row],[P/E Q1]])</f>
        <v>199.26429771291231</v>
      </c>
      <c r="V4" s="1" cm="1">
        <f t="array" ref="V4">_xlfn.QUARTILE.INC(IF(Quartile_L[[#This Row],[Industry]]=Main_L[Industry],Main_L[A/E]),1)</f>
        <v>1.4049999999999998</v>
      </c>
      <c r="W4" s="1" cm="1">
        <f t="array" ref="W4">_xlfn.QUARTILE.INC(IF(Quartile_L[[#This Row],[Industry]]=Main_L[Industry],Main_L[A/E]),3)</f>
        <v>2.4699999999999998</v>
      </c>
      <c r="X4" s="1">
        <f>Quartile_L[[#This Row],[A/E Q1]]-1.5*(Quartile_L[[#This Row],[A/E Q3]]-Quartile_L[[#This Row],[A/E Q1]])</f>
        <v>-0.19250000000000012</v>
      </c>
      <c r="Y4" s="1">
        <f>Quartile_L[[#This Row],[A/E Q3]]+1.5*(Quartile_L[[#This Row],[A/E Q3]]-Quartile_L[[#This Row],[A/E Q1]])</f>
        <v>4.0674999999999999</v>
      </c>
    </row>
    <row r="5" spans="1:25" x14ac:dyDescent="0.25">
      <c r="A5" t="s">
        <v>168</v>
      </c>
      <c r="B5" s="1" cm="1">
        <f t="array" ref="B5">_xlfn.QUARTILE.INC(IF(Quartile_L[[#This Row],[Industry]]=Main_L[Industry],Main_L[P/FCF]),1)</f>
        <v>17.751219512195124</v>
      </c>
      <c r="C5" s="1" cm="1">
        <f t="array" ref="C5">_xlfn.QUARTILE.INC(IF(Quartile_L[[#This Row],[Industry]]=Main_L[Industry],Main_L[P/FCF]),3)</f>
        <v>33.191126279863482</v>
      </c>
      <c r="D5" s="1">
        <f>Quartile_L[[#This Row],[P/FCF Q1]]-1.5*(Quartile_L[[#This Row],[P/FCF Q3]]-Quartile_L[[#This Row],[P/FCF Q1]])</f>
        <v>-5.4086406393074107</v>
      </c>
      <c r="E5" s="1">
        <f>Quartile_L[[#This Row],[P/FCF Q3]]+1.5*(Quartile_L[[#This Row],[P/FCF Q3]]-Quartile_L[[#This Row],[P/FCF Q1]])</f>
        <v>56.350986431366017</v>
      </c>
      <c r="F5" s="1" cm="1">
        <f t="array" ref="F5">_xlfn.QUARTILE.INC(IF(Quartile_L[[#This Row],[Industry]]=Main_L[Industry],Main_L[P/B]),1)</f>
        <v>3.2879377431906613</v>
      </c>
      <c r="G5" s="1" cm="1">
        <f t="array" ref="G5">_xlfn.QUARTILE.INC(IF(Quartile_L[[#This Row],[Industry]]=Main_L[Industry],Main_L[P/B]),3)</f>
        <v>12.279040404040405</v>
      </c>
      <c r="H5" s="1">
        <f>Quartile_L[[#This Row],[P/B Q1]]-1.5*(Quartile_L[[#This Row],[P/B Q3]]-Quartile_L[[#This Row],[P/B Q1]])</f>
        <v>-10.198716248083954</v>
      </c>
      <c r="I5" s="1">
        <f>Quartile_L[[#This Row],[P/B Q3]]+1.5*(Quartile_L[[#This Row],[P/B Q3]]-Quartile_L[[#This Row],[P/B Q1]])</f>
        <v>25.765694395315023</v>
      </c>
      <c r="J5" s="1" cm="1">
        <f t="array" ref="J5">_xlfn.QUARTILE.INC(IF(Quartile_L[[#This Row],[Industry]]=Main_L[Industry],Main_L[ROE]),1)</f>
        <v>5.71</v>
      </c>
      <c r="K5" s="1" cm="1">
        <f t="array" ref="K5">_xlfn.QUARTILE.INC(IF(Quartile_L[[#This Row],[Industry]]=Main_L[Industry],Main_L[ROE]),3)</f>
        <v>33.14</v>
      </c>
      <c r="L5" s="1">
        <f>Quartile_L[[#This Row],[ROE Q1]]-1.5*(Quartile_L[[#This Row],[ROE Q3]]-Quartile_L[[#This Row],[ROE Q1]])</f>
        <v>-35.434999999999995</v>
      </c>
      <c r="M5" s="1">
        <f>Quartile_L[[#This Row],[ROE Q3]]+1.5*(Quartile_L[[#This Row],[ROE Q3]]-Quartile_L[[#This Row],[ROE Q1]])</f>
        <v>74.284999999999997</v>
      </c>
      <c r="N5" s="1" cm="1">
        <f t="array" ref="N5">_xlfn.QUARTILE.INC(IF(Quartile_L[[#This Row],[Industry]]=Main_L[Industry],Main_L[ROA]),1)</f>
        <v>2.71</v>
      </c>
      <c r="O5" s="1" cm="1">
        <f t="array" ref="O5">_xlfn.QUARTILE.INC(IF(Quartile_L[[#This Row],[Industry]]=Main_L[Industry],Main_L[ROA]),3)</f>
        <v>13</v>
      </c>
      <c r="P5" s="1">
        <f>Quartile_L[[#This Row],[ROA Q1]]-1.5*(Quartile_L[[#This Row],[ROA Q3]]-Quartile_L[[#This Row],[ROA Q1]])</f>
        <v>-12.724999999999998</v>
      </c>
      <c r="Q5" s="1">
        <f>Quartile_L[[#This Row],[ROA Q3]]+1.5*(Quartile_L[[#This Row],[ROA Q3]]-Quartile_L[[#This Row],[ROA Q1]])</f>
        <v>28.434999999999999</v>
      </c>
      <c r="R5" s="1" cm="1">
        <f t="array" ref="R5">_xlfn.QUARTILE.INC(IF(Quartile_L[[#This Row],[Industry]]=Main_L[Industry],Main_L[P/E]),1)</f>
        <v>27.096491228070178</v>
      </c>
      <c r="S5" s="1" cm="1">
        <f t="array" ref="S5">_xlfn.QUARTILE.INC(IF(Quartile_L[[#This Row],[Industry]]=Main_L[Industry],Main_L[P/E]),3)</f>
        <v>62.05027173913043</v>
      </c>
      <c r="T5" s="1">
        <f>Quartile_L[[#This Row],[P/E Q1]]-1.5*(Quartile_L[[#This Row],[P/E Q3]]-Quartile_L[[#This Row],[P/E Q1]])</f>
        <v>-25.334179538520203</v>
      </c>
      <c r="U5" s="1">
        <f>Quartile_L[[#This Row],[P/E Q3]]+1.5*(Quartile_L[[#This Row],[P/E Q3]]-Quartile_L[[#This Row],[P/E Q1]])</f>
        <v>114.4809425057208</v>
      </c>
      <c r="V5" s="1" cm="1">
        <f t="array" ref="V5">_xlfn.QUARTILE.INC(IF(Quartile_L[[#This Row],[Industry]]=Main_L[Industry],Main_L[A/E]),1)</f>
        <v>1.89</v>
      </c>
      <c r="W5" s="1" cm="1">
        <f t="array" ref="W5">_xlfn.QUARTILE.INC(IF(Quartile_L[[#This Row],[Industry]]=Main_L[Industry],Main_L[A/E]),3)</f>
        <v>3.23</v>
      </c>
      <c r="X5" s="1">
        <f>Quartile_L[[#This Row],[A/E Q1]]-1.5*(Quartile_L[[#This Row],[A/E Q3]]-Quartile_L[[#This Row],[A/E Q1]])</f>
        <v>-0.12000000000000033</v>
      </c>
      <c r="Y5" s="1">
        <f>Quartile_L[[#This Row],[A/E Q3]]+1.5*(Quartile_L[[#This Row],[A/E Q3]]-Quartile_L[[#This Row],[A/E Q1]])</f>
        <v>5.24</v>
      </c>
    </row>
    <row r="6" spans="1:25" x14ac:dyDescent="0.25">
      <c r="A6" t="s">
        <v>178</v>
      </c>
      <c r="B6" s="1" cm="1">
        <f t="array" ref="B6">_xlfn.QUARTILE.INC(IF(Quartile_L[[#This Row],[Industry]]=Main_L[Industry],Main_L[P/FCF]),1)</f>
        <v>14.871529774664088</v>
      </c>
      <c r="C6" s="1" cm="1">
        <f t="array" ref="C6">_xlfn.QUARTILE.INC(IF(Quartile_L[[#This Row],[Industry]]=Main_L[Industry],Main_L[P/FCF]),3)</f>
        <v>31.715710895415565</v>
      </c>
      <c r="D6" s="1">
        <f>Quartile_L[[#This Row],[P/FCF Q1]]-1.5*(Quartile_L[[#This Row],[P/FCF Q3]]-Quartile_L[[#This Row],[P/FCF Q1]])</f>
        <v>-10.39474190646313</v>
      </c>
      <c r="E6" s="1">
        <f>Quartile_L[[#This Row],[P/FCF Q3]]+1.5*(Quartile_L[[#This Row],[P/FCF Q3]]-Quartile_L[[#This Row],[P/FCF Q1]])</f>
        <v>56.981982576542784</v>
      </c>
      <c r="F6" s="1" cm="1">
        <f t="array" ref="F6">_xlfn.QUARTILE.INC(IF(Quartile_L[[#This Row],[Industry]]=Main_L[Industry],Main_L[P/B]),1)</f>
        <v>-18.868558042686104</v>
      </c>
      <c r="G6" s="1" cm="1">
        <f t="array" ref="G6">_xlfn.QUARTILE.INC(IF(Quartile_L[[#This Row],[Industry]]=Main_L[Industry],Main_L[P/B]),3)</f>
        <v>11.826323931970492</v>
      </c>
      <c r="H6" s="1">
        <f>Quartile_L[[#This Row],[P/B Q1]]-1.5*(Quartile_L[[#This Row],[P/B Q3]]-Quartile_L[[#This Row],[P/B Q1]])</f>
        <v>-64.910881004670998</v>
      </c>
      <c r="I6" s="1">
        <f>Quartile_L[[#This Row],[P/B Q3]]+1.5*(Quartile_L[[#This Row],[P/B Q3]]-Quartile_L[[#This Row],[P/B Q1]])</f>
        <v>57.868646893955386</v>
      </c>
      <c r="J6" s="1" cm="1">
        <f t="array" ref="J6">_xlfn.QUARTILE.INC(IF(Quartile_L[[#This Row],[Industry]]=Main_L[Industry],Main_L[ROE]),1)</f>
        <v>-80.375</v>
      </c>
      <c r="K6" s="1" cm="1">
        <f t="array" ref="K6">_xlfn.QUARTILE.INC(IF(Quartile_L[[#This Row],[Industry]]=Main_L[Industry],Main_L[ROE]),3)</f>
        <v>30.504999999999999</v>
      </c>
      <c r="L6" s="1">
        <f>Quartile_L[[#This Row],[ROE Q1]]-1.5*(Quartile_L[[#This Row],[ROE Q3]]-Quartile_L[[#This Row],[ROE Q1]])</f>
        <v>-246.69499999999999</v>
      </c>
      <c r="M6" s="1">
        <f>Quartile_L[[#This Row],[ROE Q3]]+1.5*(Quartile_L[[#This Row],[ROE Q3]]-Quartile_L[[#This Row],[ROE Q1]])</f>
        <v>196.82499999999999</v>
      </c>
      <c r="N6" s="1" cm="1">
        <f t="array" ref="N6">_xlfn.QUARTILE.INC(IF(Quartile_L[[#This Row],[Industry]]=Main_L[Industry],Main_L[ROA]),1)</f>
        <v>5.4024999999999999</v>
      </c>
      <c r="O6" s="1" cm="1">
        <f t="array" ref="O6">_xlfn.QUARTILE.INC(IF(Quartile_L[[#This Row],[Industry]]=Main_L[Industry],Main_L[ROA]),3)</f>
        <v>12.477499999999999</v>
      </c>
      <c r="P6" s="1">
        <f>Quartile_L[[#This Row],[ROA Q1]]-1.5*(Quartile_L[[#This Row],[ROA Q3]]-Quartile_L[[#This Row],[ROA Q1]])</f>
        <v>-5.2099999999999991</v>
      </c>
      <c r="Q6" s="1">
        <f>Quartile_L[[#This Row],[ROA Q3]]+1.5*(Quartile_L[[#This Row],[ROA Q3]]-Quartile_L[[#This Row],[ROA Q1]])</f>
        <v>23.089999999999996</v>
      </c>
      <c r="R6" s="1" cm="1">
        <f t="array" ref="R6">_xlfn.QUARTILE.INC(IF(Quartile_L[[#This Row],[Industry]]=Main_L[Industry],Main_L[P/E]),1)</f>
        <v>15.591539591915396</v>
      </c>
      <c r="S6" s="1" cm="1">
        <f t="array" ref="S6">_xlfn.QUARTILE.INC(IF(Quartile_L[[#This Row],[Industry]]=Main_L[Industry],Main_L[P/E]),3)</f>
        <v>20.399637924849788</v>
      </c>
      <c r="T6" s="1">
        <f>Quartile_L[[#This Row],[P/E Q1]]-1.5*(Quartile_L[[#This Row],[P/E Q3]]-Quartile_L[[#This Row],[P/E Q1]])</f>
        <v>8.3793920925138075</v>
      </c>
      <c r="U6" s="1">
        <f>Quartile_L[[#This Row],[P/E Q3]]+1.5*(Quartile_L[[#This Row],[P/E Q3]]-Quartile_L[[#This Row],[P/E Q1]])</f>
        <v>27.611785424251376</v>
      </c>
      <c r="V6" s="1" cm="1">
        <f t="array" ref="V6">_xlfn.QUARTILE.INC(IF(Quartile_L[[#This Row],[Industry]]=Main_L[Industry],Main_L[A/E]),1)</f>
        <v>-6.4499999999999993</v>
      </c>
      <c r="W6" s="1" cm="1">
        <f t="array" ref="W6">_xlfn.QUARTILE.INC(IF(Quartile_L[[#This Row],[Industry]]=Main_L[Industry],Main_L[A/E]),3)</f>
        <v>3.1274999999999999</v>
      </c>
      <c r="X6" s="1">
        <f>Quartile_L[[#This Row],[A/E Q1]]-1.5*(Quartile_L[[#This Row],[A/E Q3]]-Quartile_L[[#This Row],[A/E Q1]])</f>
        <v>-20.816249999999997</v>
      </c>
      <c r="Y6" s="1">
        <f>Quartile_L[[#This Row],[A/E Q3]]+1.5*(Quartile_L[[#This Row],[A/E Q3]]-Quartile_L[[#This Row],[A/E Q1]])</f>
        <v>17.493749999999999</v>
      </c>
    </row>
    <row r="7" spans="1:25" x14ac:dyDescent="0.25">
      <c r="A7" t="s">
        <v>189</v>
      </c>
      <c r="B7" s="1" cm="1">
        <f t="array" ref="B7">_xlfn.QUARTILE.INC(IF(Quartile_L[[#This Row],[Industry]]=Main_L[Industry],Main_L[P/FCF]),1)</f>
        <v>17.112573055320972</v>
      </c>
      <c r="C7" s="1" cm="1">
        <f t="array" ref="C7">_xlfn.QUARTILE.INC(IF(Quartile_L[[#This Row],[Industry]]=Main_L[Industry],Main_L[P/FCF]),3)</f>
        <v>38.155059523809527</v>
      </c>
      <c r="D7" s="1">
        <f>Quartile_L[[#This Row],[P/FCF Q1]]-1.5*(Quartile_L[[#This Row],[P/FCF Q3]]-Quartile_L[[#This Row],[P/FCF Q1]])</f>
        <v>-14.45115664741186</v>
      </c>
      <c r="E7" s="1">
        <f>Quartile_L[[#This Row],[P/FCF Q3]]+1.5*(Quartile_L[[#This Row],[P/FCF Q3]]-Quartile_L[[#This Row],[P/FCF Q1]])</f>
        <v>69.718789226542356</v>
      </c>
      <c r="F7" s="1" cm="1">
        <f t="array" ref="F7">_xlfn.QUARTILE.INC(IF(Quartile_L[[#This Row],[Industry]]=Main_L[Industry],Main_L[P/B]),1)</f>
        <v>3.1784768771475242</v>
      </c>
      <c r="G7" s="1" cm="1">
        <f t="array" ref="G7">_xlfn.QUARTILE.INC(IF(Quartile_L[[#This Row],[Industry]]=Main_L[Industry],Main_L[P/B]),3)</f>
        <v>8.6345020755565312</v>
      </c>
      <c r="H7" s="1">
        <f>Quartile_L[[#This Row],[P/B Q1]]-1.5*(Quartile_L[[#This Row],[P/B Q3]]-Quartile_L[[#This Row],[P/B Q1]])</f>
        <v>-5.0055609204659852</v>
      </c>
      <c r="I7" s="1">
        <f>Quartile_L[[#This Row],[P/B Q3]]+1.5*(Quartile_L[[#This Row],[P/B Q3]]-Quartile_L[[#This Row],[P/B Q1]])</f>
        <v>16.818539873170039</v>
      </c>
      <c r="J7" s="1" cm="1">
        <f t="array" ref="J7">_xlfn.QUARTILE.INC(IF(Quartile_L[[#This Row],[Industry]]=Main_L[Industry],Main_L[ROE]),1)</f>
        <v>10.57</v>
      </c>
      <c r="K7" s="1" cm="1">
        <f t="array" ref="K7">_xlfn.QUARTILE.INC(IF(Quartile_L[[#This Row],[Industry]]=Main_L[Industry],Main_L[ROE]),3)</f>
        <v>26.270000000000003</v>
      </c>
      <c r="L7" s="1">
        <f>Quartile_L[[#This Row],[ROE Q1]]-1.5*(Quartile_L[[#This Row],[ROE Q3]]-Quartile_L[[#This Row],[ROE Q1]])</f>
        <v>-12.980000000000004</v>
      </c>
      <c r="M7" s="1">
        <f>Quartile_L[[#This Row],[ROE Q3]]+1.5*(Quartile_L[[#This Row],[ROE Q3]]-Quartile_L[[#This Row],[ROE Q1]])</f>
        <v>49.820000000000007</v>
      </c>
      <c r="N7" s="1" cm="1">
        <f t="array" ref="N7">_xlfn.QUARTILE.INC(IF(Quartile_L[[#This Row],[Industry]]=Main_L[Industry],Main_L[ROA]),1)</f>
        <v>3.6949999999999998</v>
      </c>
      <c r="O7" s="1" cm="1">
        <f t="array" ref="O7">_xlfn.QUARTILE.INC(IF(Quartile_L[[#This Row],[Industry]]=Main_L[Industry],Main_L[ROA]),3)</f>
        <v>6.8849999999999998</v>
      </c>
      <c r="P7" s="1">
        <f>Quartile_L[[#This Row],[ROA Q1]]-1.5*(Quartile_L[[#This Row],[ROA Q3]]-Quartile_L[[#This Row],[ROA Q1]])</f>
        <v>-1.0900000000000003</v>
      </c>
      <c r="Q7" s="1">
        <f>Quartile_L[[#This Row],[ROA Q3]]+1.5*(Quartile_L[[#This Row],[ROA Q3]]-Quartile_L[[#This Row],[ROA Q1]])</f>
        <v>11.67</v>
      </c>
      <c r="R7" s="1" cm="1">
        <f t="array" ref="R7">_xlfn.QUARTILE.INC(IF(Quartile_L[[#This Row],[Industry]]=Main_L[Industry],Main_L[P/E]),1)</f>
        <v>22.162288268506902</v>
      </c>
      <c r="S7" s="1" cm="1">
        <f t="array" ref="S7">_xlfn.QUARTILE.INC(IF(Quartile_L[[#This Row],[Industry]]=Main_L[Industry],Main_L[P/E]),3)</f>
        <v>40.376103265666373</v>
      </c>
      <c r="T7" s="1">
        <f>Quartile_L[[#This Row],[P/E Q1]]-1.5*(Quartile_L[[#This Row],[P/E Q3]]-Quartile_L[[#This Row],[P/E Q1]])</f>
        <v>-5.158434227232302</v>
      </c>
      <c r="U7" s="1">
        <f>Quartile_L[[#This Row],[P/E Q3]]+1.5*(Quartile_L[[#This Row],[P/E Q3]]-Quartile_L[[#This Row],[P/E Q1]])</f>
        <v>67.696825761405577</v>
      </c>
      <c r="V7" s="1" cm="1">
        <f t="array" ref="V7">_xlfn.QUARTILE.INC(IF(Quartile_L[[#This Row],[Industry]]=Main_L[Industry],Main_L[A/E]),1)</f>
        <v>1.9224999999999999</v>
      </c>
      <c r="W7" s="1" cm="1">
        <f t="array" ref="W7">_xlfn.QUARTILE.INC(IF(Quartile_L[[#This Row],[Industry]]=Main_L[Industry],Main_L[A/E]),3)</f>
        <v>3.6825000000000001</v>
      </c>
      <c r="X7" s="1">
        <f>Quartile_L[[#This Row],[A/E Q1]]-1.5*(Quartile_L[[#This Row],[A/E Q3]]-Quartile_L[[#This Row],[A/E Q1]])</f>
        <v>-0.71750000000000069</v>
      </c>
      <c r="Y7" s="1">
        <f>Quartile_L[[#This Row],[A/E Q3]]+1.5*(Quartile_L[[#This Row],[A/E Q3]]-Quartile_L[[#This Row],[A/E Q1]])</f>
        <v>6.3225000000000007</v>
      </c>
    </row>
    <row r="8" spans="1:25" x14ac:dyDescent="0.25">
      <c r="A8" t="s">
        <v>202</v>
      </c>
      <c r="B8" s="1" cm="1">
        <f t="array" ref="B8">_xlfn.QUARTILE.INC(IF(Quartile_L[[#This Row],[Industry]]=Main_L[Industry],Main_L[P/FCF]),1)</f>
        <v>18.630946214279547</v>
      </c>
      <c r="C8" s="1" cm="1">
        <f t="array" ref="C8">_xlfn.QUARTILE.INC(IF(Quartile_L[[#This Row],[Industry]]=Main_L[Industry],Main_L[P/FCF]),3)</f>
        <v>60.849685161712387</v>
      </c>
      <c r="D8" s="1">
        <f>Quartile_L[[#This Row],[P/FCF Q1]]-1.5*(Quartile_L[[#This Row],[P/FCF Q3]]-Quartile_L[[#This Row],[P/FCF Q1]])</f>
        <v>-44.697162206869713</v>
      </c>
      <c r="E8" s="1">
        <f>Quartile_L[[#This Row],[P/FCF Q3]]+1.5*(Quartile_L[[#This Row],[P/FCF Q3]]-Quartile_L[[#This Row],[P/FCF Q1]])</f>
        <v>124.17779358286165</v>
      </c>
      <c r="F8" s="1" cm="1">
        <f t="array" ref="F8">_xlfn.QUARTILE.INC(IF(Quartile_L[[#This Row],[Industry]]=Main_L[Industry],Main_L[P/B]),1)</f>
        <v>3.0040410708776921</v>
      </c>
      <c r="G8" s="1" cm="1">
        <f t="array" ref="G8">_xlfn.QUARTILE.INC(IF(Quartile_L[[#This Row],[Industry]]=Main_L[Industry],Main_L[P/B]),3)</f>
        <v>10.984291915253459</v>
      </c>
      <c r="H8" s="1">
        <f>Quartile_L[[#This Row],[P/B Q1]]-1.5*(Quartile_L[[#This Row],[P/B Q3]]-Quartile_L[[#This Row],[P/B Q1]])</f>
        <v>-8.9663351956859589</v>
      </c>
      <c r="I8" s="1">
        <f>Quartile_L[[#This Row],[P/B Q3]]+1.5*(Quartile_L[[#This Row],[P/B Q3]]-Quartile_L[[#This Row],[P/B Q1]])</f>
        <v>22.954668181817112</v>
      </c>
      <c r="J8" s="1" cm="1">
        <f t="array" ref="J8">_xlfn.QUARTILE.INC(IF(Quartile_L[[#This Row],[Industry]]=Main_L[Industry],Main_L[ROE]),1)</f>
        <v>5.91</v>
      </c>
      <c r="K8" s="1" cm="1">
        <f t="array" ref="K8">_xlfn.QUARTILE.INC(IF(Quartile_L[[#This Row],[Industry]]=Main_L[Industry],Main_L[ROE]),3)</f>
        <v>32.542499999999997</v>
      </c>
      <c r="L8" s="1">
        <f>Quartile_L[[#This Row],[ROE Q1]]-1.5*(Quartile_L[[#This Row],[ROE Q3]]-Quartile_L[[#This Row],[ROE Q1]])</f>
        <v>-34.038749999999993</v>
      </c>
      <c r="M8" s="1">
        <f>Quartile_L[[#This Row],[ROE Q3]]+1.5*(Quartile_L[[#This Row],[ROE Q3]]-Quartile_L[[#This Row],[ROE Q1]])</f>
        <v>72.491249999999994</v>
      </c>
      <c r="N8" s="1" cm="1">
        <f t="array" ref="N8">_xlfn.QUARTILE.INC(IF(Quartile_L[[#This Row],[Industry]]=Main_L[Industry],Main_L[ROA]),1)</f>
        <v>2.7475000000000001</v>
      </c>
      <c r="O8" s="1" cm="1">
        <f t="array" ref="O8">_xlfn.QUARTILE.INC(IF(Quartile_L[[#This Row],[Industry]]=Main_L[Industry],Main_L[ROA]),3)</f>
        <v>12.275</v>
      </c>
      <c r="P8" s="1">
        <f>Quartile_L[[#This Row],[ROA Q1]]-1.5*(Quartile_L[[#This Row],[ROA Q3]]-Quartile_L[[#This Row],[ROA Q1]])</f>
        <v>-11.543749999999999</v>
      </c>
      <c r="Q8" s="1">
        <f>Quartile_L[[#This Row],[ROA Q3]]+1.5*(Quartile_L[[#This Row],[ROA Q3]]-Quartile_L[[#This Row],[ROA Q1]])</f>
        <v>26.56625</v>
      </c>
      <c r="R8" s="1" cm="1">
        <f t="array" ref="R8">_xlfn.QUARTILE.INC(IF(Quartile_L[[#This Row],[Industry]]=Main_L[Industry],Main_L[P/E]),1)</f>
        <v>21.510562809180115</v>
      </c>
      <c r="S8" s="1" cm="1">
        <f t="array" ref="S8">_xlfn.QUARTILE.INC(IF(Quartile_L[[#This Row],[Industry]]=Main_L[Industry],Main_L[P/E]),3)</f>
        <v>43.918034605146403</v>
      </c>
      <c r="T8" s="1">
        <f>Quartile_L[[#This Row],[P/E Q1]]-1.5*(Quartile_L[[#This Row],[P/E Q3]]-Quartile_L[[#This Row],[P/E Q1]])</f>
        <v>-12.100644884769316</v>
      </c>
      <c r="U8" s="1">
        <f>Quartile_L[[#This Row],[P/E Q3]]+1.5*(Quartile_L[[#This Row],[P/E Q3]]-Quartile_L[[#This Row],[P/E Q1]])</f>
        <v>77.529242299095841</v>
      </c>
      <c r="V8" s="1" cm="1">
        <f t="array" ref="V8">_xlfn.QUARTILE.INC(IF(Quartile_L[[#This Row],[Industry]]=Main_L[Industry],Main_L[A/E]),1)</f>
        <v>1.4</v>
      </c>
      <c r="W8" s="1" cm="1">
        <f t="array" ref="W8">_xlfn.QUARTILE.INC(IF(Quartile_L[[#This Row],[Industry]]=Main_L[Industry],Main_L[A/E]),3)</f>
        <v>2.1425000000000001</v>
      </c>
      <c r="X8" s="1">
        <f>Quartile_L[[#This Row],[A/E Q1]]-1.5*(Quartile_L[[#This Row],[A/E Q3]]-Quartile_L[[#This Row],[A/E Q1]])</f>
        <v>0.28624999999999967</v>
      </c>
      <c r="Y8" s="1">
        <f>Quartile_L[[#This Row],[A/E Q3]]+1.5*(Quartile_L[[#This Row],[A/E Q3]]-Quartile_L[[#This Row],[A/E Q1]])</f>
        <v>3.2562500000000005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105</v>
      </c>
      <c r="B13" s="1" cm="1">
        <f t="array" ref="B13">_xlfn.QUARTILE.INC(IF(Quartile_M[[#This Row],[Industry]]=Main_M[Industry],Main_M[P/FCF]),1)</f>
        <v>-8.1104651162790695</v>
      </c>
      <c r="C13" s="1" cm="1">
        <f t="array" ref="C13">_xlfn.QUARTILE.INC(IF(Quartile_M[[#This Row],[Industry]]=Main_M[Industry],Main_M[P/FCF]),3)</f>
        <v>21.498837209302327</v>
      </c>
      <c r="D13" s="1">
        <f>Quartile_M[[#This Row],[P/FCF Q1]]-1.5*(Quartile_M[[#This Row],[P/FCF Q3]]-Quartile_M[[#This Row],[P/FCF Q1]])</f>
        <v>-52.52441860465116</v>
      </c>
      <c r="E13" s="1">
        <f>Quartile_M[[#This Row],[P/FCF Q3]]+1.5*(Quartile_M[[#This Row],[P/FCF Q3]]-Quartile_M[[#This Row],[P/FCF Q1]])</f>
        <v>65.912790697674424</v>
      </c>
      <c r="F13" s="1" cm="1">
        <f t="array" ref="F13">_xlfn.QUARTILE.INC(IF(Quartile_M[[#This Row],[Industry]]=Main_M[Industry],Main_M[P/B]),1)</f>
        <v>1.0254237288135595</v>
      </c>
      <c r="G13" s="1" cm="1">
        <f t="array" ref="G13">_xlfn.QUARTILE.INC(IF(Quartile_M[[#This Row],[Industry]]=Main_M[Industry],Main_M[P/B]),3)</f>
        <v>3.1463797354853176</v>
      </c>
      <c r="H13" s="1">
        <f>Quartile_M[[#This Row],[P/B Q1]]-1.5*(Quartile_M[[#This Row],[P/B Q3]]-Quartile_M[[#This Row],[P/B Q1]])</f>
        <v>-2.1560102811940771</v>
      </c>
      <c r="I13" s="1">
        <f>Quartile_M[[#This Row],[P/B Q3]]+1.5*(Quartile_M[[#This Row],[P/B Q3]]-Quartile_M[[#This Row],[P/B Q1]])</f>
        <v>6.3278137454929544</v>
      </c>
      <c r="J13" s="1" cm="1">
        <f t="array" ref="J13">_xlfn.QUARTILE.INC(IF(Quartile_M[[#This Row],[Industry]]=Main_M[Industry],Main_M[ROE]),1)</f>
        <v>-31.04</v>
      </c>
      <c r="K13" s="1" cm="1">
        <f t="array" ref="K13">_xlfn.QUARTILE.INC(IF(Quartile_M[[#This Row],[Industry]]=Main_M[Industry],Main_M[ROE]),3)</f>
        <v>8.83</v>
      </c>
      <c r="L13" s="1">
        <f>Quartile_M[[#This Row],[ROE Q1]]-1.5*(Quartile_M[[#This Row],[ROE Q3]]-Quartile_M[[#This Row],[ROE Q1]])</f>
        <v>-90.844999999999999</v>
      </c>
      <c r="M13" s="1">
        <f>Quartile_M[[#This Row],[ROE Q3]]+1.5*(Quartile_M[[#This Row],[ROE Q3]]-Quartile_M[[#This Row],[ROE Q1]])</f>
        <v>68.634999999999991</v>
      </c>
      <c r="N13" s="1" cm="1">
        <f t="array" ref="N13">_xlfn.QUARTILE.INC(IF(Quartile_M[[#This Row],[Industry]]=Main_M[Industry],Main_M[ROA]),1)</f>
        <v>1.1299999999999999</v>
      </c>
      <c r="O13" s="1" cm="1">
        <f t="array" ref="O13">_xlfn.QUARTILE.INC(IF(Quartile_M[[#This Row],[Industry]]=Main_M[Industry],Main_M[ROA]),3)</f>
        <v>4.87</v>
      </c>
      <c r="P13" s="1">
        <f>Quartile_M[[#This Row],[ROA Q1]]-1.5*(Quartile_M[[#This Row],[ROA Q3]]-Quartile_M[[#This Row],[ROA Q1]])</f>
        <v>-4.4800000000000004</v>
      </c>
      <c r="Q13" s="1">
        <f>Quartile_M[[#This Row],[ROA Q3]]+1.5*(Quartile_M[[#This Row],[ROA Q3]]-Quartile_M[[#This Row],[ROA Q1]])</f>
        <v>10.48</v>
      </c>
      <c r="R13" s="1" cm="1">
        <f t="array" ref="R13">_xlfn.QUARTILE.INC(IF(Quartile_M[[#This Row],[Industry]]=Main_M[Industry],Main_M[P/E]),1)</f>
        <v>-12.68181818181818</v>
      </c>
      <c r="S13" s="1" cm="1">
        <f t="array" ref="S13">_xlfn.QUARTILE.INC(IF(Quartile_M[[#This Row],[Industry]]=Main_M[Industry],Main_M[P/E]),3)</f>
        <v>37.731182795698928</v>
      </c>
      <c r="T13" s="1">
        <f>Quartile_M[[#This Row],[P/E Q1]]-1.5*(Quartile_M[[#This Row],[P/E Q3]]-Quartile_M[[#This Row],[P/E Q1]])</f>
        <v>-88.301319648093852</v>
      </c>
      <c r="U13" s="1">
        <f>Quartile_M[[#This Row],[P/E Q3]]+1.5*(Quartile_M[[#This Row],[P/E Q3]]-Quartile_M[[#This Row],[P/E Q1]])</f>
        <v>113.35068426197459</v>
      </c>
      <c r="V13" s="1" cm="1">
        <f t="array" ref="V13">_xlfn.QUARTILE.INC(IF(Quartile_M[[#This Row],[Industry]]=Main_M[Industry],Main_M[A/E]),1)</f>
        <v>1.31</v>
      </c>
      <c r="W13" s="1" cm="1">
        <f t="array" ref="W13">_xlfn.QUARTILE.INC(IF(Quartile_M[[#This Row],[Industry]]=Main_M[Industry],Main_M[A/E]),3)</f>
        <v>3.4</v>
      </c>
      <c r="X13" s="1">
        <f>Quartile_M[[#This Row],[A/E Q1]]-1.5*(Quartile_M[[#This Row],[A/E Q3]]-Quartile_M[[#This Row],[A/E Q1]])</f>
        <v>-1.8249999999999997</v>
      </c>
      <c r="Y13" s="1">
        <f>Quartile_M[[#This Row],[A/E Q3]]+1.5*(Quartile_M[[#This Row],[A/E Q3]]-Quartile_M[[#This Row],[A/E Q1]])</f>
        <v>6.5350000000000001</v>
      </c>
    </row>
    <row r="14" spans="1:25" x14ac:dyDescent="0.25">
      <c r="A14" t="s">
        <v>124</v>
      </c>
      <c r="B14" s="1" cm="1">
        <f t="array" ref="B14">_xlfn.QUARTILE.INC(IF(Quartile_M[[#This Row],[Industry]]=Main_M[Industry],Main_M[P/FCF]),1)</f>
        <v>11.441002721761722</v>
      </c>
      <c r="C14" s="1" cm="1">
        <f t="array" ref="C14">_xlfn.QUARTILE.INC(IF(Quartile_M[[#This Row],[Industry]]=Main_M[Industry],Main_M[P/FCF]),3)</f>
        <v>51.58809125656952</v>
      </c>
      <c r="D14" s="1">
        <f>Quartile_M[[#This Row],[P/FCF Q1]]-1.5*(Quartile_M[[#This Row],[P/FCF Q3]]-Quartile_M[[#This Row],[P/FCF Q1]])</f>
        <v>-48.779630080449977</v>
      </c>
      <c r="E14" s="1">
        <f>Quartile_M[[#This Row],[P/FCF Q3]]+1.5*(Quartile_M[[#This Row],[P/FCF Q3]]-Quartile_M[[#This Row],[P/FCF Q1]])</f>
        <v>111.80872405878122</v>
      </c>
      <c r="F14" s="1" cm="1">
        <f t="array" ref="F14">_xlfn.QUARTILE.INC(IF(Quartile_M[[#This Row],[Industry]]=Main_M[Industry],Main_M[P/B]),1)</f>
        <v>2.8247642518629754</v>
      </c>
      <c r="G14" s="1" cm="1">
        <f t="array" ref="G14">_xlfn.QUARTILE.INC(IF(Quartile_M[[#This Row],[Industry]]=Main_M[Industry],Main_M[P/B]),3)</f>
        <v>11.316592279382977</v>
      </c>
      <c r="H14" s="1">
        <f>Quartile_M[[#This Row],[P/B Q1]]-1.5*(Quartile_M[[#This Row],[P/B Q3]]-Quartile_M[[#This Row],[P/B Q1]])</f>
        <v>-9.9129777894170292</v>
      </c>
      <c r="I14" s="1">
        <f>Quartile_M[[#This Row],[P/B Q3]]+1.5*(Quartile_M[[#This Row],[P/B Q3]]-Quartile_M[[#This Row],[P/B Q1]])</f>
        <v>24.054334320662981</v>
      </c>
      <c r="J14" s="1" cm="1">
        <f t="array" ref="J14">_xlfn.QUARTILE.INC(IF(Quartile_M[[#This Row],[Industry]]=Main_M[Industry],Main_M[ROE]),1)</f>
        <v>-18.984999999999999</v>
      </c>
      <c r="K14" s="1" cm="1">
        <f t="array" ref="K14">_xlfn.QUARTILE.INC(IF(Quartile_M[[#This Row],[Industry]]=Main_M[Industry],Main_M[ROE]),3)</f>
        <v>15.5975</v>
      </c>
      <c r="L14" s="1">
        <f>Quartile_M[[#This Row],[ROE Q1]]-1.5*(Quartile_M[[#This Row],[ROE Q3]]-Quartile_M[[#This Row],[ROE Q1]])</f>
        <v>-70.858749999999986</v>
      </c>
      <c r="M14" s="1">
        <f>Quartile_M[[#This Row],[ROE Q3]]+1.5*(Quartile_M[[#This Row],[ROE Q3]]-Quartile_M[[#This Row],[ROE Q1]])</f>
        <v>67.471249999999998</v>
      </c>
      <c r="N14" s="1" cm="1">
        <f t="array" ref="N14">_xlfn.QUARTILE.INC(IF(Quartile_M[[#This Row],[Industry]]=Main_M[Industry],Main_M[ROA]),1)</f>
        <v>-4.8774999999999995</v>
      </c>
      <c r="O14" s="1" cm="1">
        <f t="array" ref="O14">_xlfn.QUARTILE.INC(IF(Quartile_M[[#This Row],[Industry]]=Main_M[Industry],Main_M[ROA]),3)</f>
        <v>4.9874999999999998</v>
      </c>
      <c r="P14" s="1">
        <f>Quartile_M[[#This Row],[ROA Q1]]-1.5*(Quartile_M[[#This Row],[ROA Q3]]-Quartile_M[[#This Row],[ROA Q1]])</f>
        <v>-19.674999999999997</v>
      </c>
      <c r="Q14" s="1">
        <f>Quartile_M[[#This Row],[ROA Q3]]+1.5*(Quartile_M[[#This Row],[ROA Q3]]-Quartile_M[[#This Row],[ROA Q1]])</f>
        <v>19.784999999999997</v>
      </c>
      <c r="R14" s="1" cm="1">
        <f t="array" ref="R14">_xlfn.QUARTILE.INC(IF(Quartile_M[[#This Row],[Industry]]=Main_M[Industry],Main_M[P/E]),1)</f>
        <v>-65.459051724137936</v>
      </c>
      <c r="S14" s="1" cm="1">
        <f t="array" ref="S14">_xlfn.QUARTILE.INC(IF(Quartile_M[[#This Row],[Industry]]=Main_M[Industry],Main_M[P/E]),3)</f>
        <v>26.307917419236837</v>
      </c>
      <c r="T14" s="1">
        <f>Quartile_M[[#This Row],[P/E Q1]]-1.5*(Quartile_M[[#This Row],[P/E Q3]]-Quartile_M[[#This Row],[P/E Q1]])</f>
        <v>-203.10950543920009</v>
      </c>
      <c r="U14" s="1">
        <f>Quartile_M[[#This Row],[P/E Q3]]+1.5*(Quartile_M[[#This Row],[P/E Q3]]-Quartile_M[[#This Row],[P/E Q1]])</f>
        <v>163.958371134299</v>
      </c>
      <c r="V14" s="1" cm="1">
        <f t="array" ref="V14">_xlfn.QUARTILE.INC(IF(Quartile_M[[#This Row],[Industry]]=Main_M[Industry],Main_M[A/E]),1)</f>
        <v>1.2349999999999999</v>
      </c>
      <c r="W14" s="1" cm="1">
        <f t="array" ref="W14">_xlfn.QUARTILE.INC(IF(Quartile_M[[#This Row],[Industry]]=Main_M[Industry],Main_M[A/E]),3)</f>
        <v>2.69</v>
      </c>
      <c r="X14" s="1">
        <f>Quartile_M[[#This Row],[A/E Q1]]-1.5*(Quartile_M[[#This Row],[A/E Q3]]-Quartile_M[[#This Row],[A/E Q1]])</f>
        <v>-0.94750000000000023</v>
      </c>
      <c r="Y14" s="1">
        <f>Quartile_M[[#This Row],[A/E Q3]]+1.5*(Quartile_M[[#This Row],[A/E Q3]]-Quartile_M[[#This Row],[A/E Q1]])</f>
        <v>4.8725000000000005</v>
      </c>
    </row>
    <row r="15" spans="1:25" x14ac:dyDescent="0.25">
      <c r="A15" t="s">
        <v>168</v>
      </c>
      <c r="B15" s="1" cm="1">
        <f t="array" ref="B15">_xlfn.QUARTILE.INC(IF(Quartile_M[[#This Row],[Industry]]=Main_M[Industry],Main_M[P/FCF]),1)</f>
        <v>-21.814646464646465</v>
      </c>
      <c r="C15" s="1" cm="1">
        <f t="array" ref="C15">_xlfn.QUARTILE.INC(IF(Quartile_M[[#This Row],[Industry]]=Main_M[Industry],Main_M[P/FCF]),3)</f>
        <v>44.234388185654005</v>
      </c>
      <c r="D15" s="1">
        <f>Quartile_M[[#This Row],[P/FCF Q1]]-1.5*(Quartile_M[[#This Row],[P/FCF Q3]]-Quartile_M[[#This Row],[P/FCF Q1]])</f>
        <v>-120.88819844009717</v>
      </c>
      <c r="E15" s="1">
        <f>Quartile_M[[#This Row],[P/FCF Q3]]+1.5*(Quartile_M[[#This Row],[P/FCF Q3]]-Quartile_M[[#This Row],[P/FCF Q1]])</f>
        <v>143.30794016110471</v>
      </c>
      <c r="F15" s="1" cm="1">
        <f t="array" ref="F15">_xlfn.QUARTILE.INC(IF(Quartile_M[[#This Row],[Industry]]=Main_M[Industry],Main_M[P/B]),1)</f>
        <v>3.3731593774873279</v>
      </c>
      <c r="G15" s="1" cm="1">
        <f t="array" ref="G15">_xlfn.QUARTILE.INC(IF(Quartile_M[[#This Row],[Industry]]=Main_M[Industry],Main_M[P/B]),3)</f>
        <v>4.874149262965938</v>
      </c>
      <c r="H15" s="1">
        <f>Quartile_M[[#This Row],[P/B Q1]]-1.5*(Quartile_M[[#This Row],[P/B Q3]]-Quartile_M[[#This Row],[P/B Q1]])</f>
        <v>1.1216745492694127</v>
      </c>
      <c r="I15" s="1">
        <f>Quartile_M[[#This Row],[P/B Q3]]+1.5*(Quartile_M[[#This Row],[P/B Q3]]-Quartile_M[[#This Row],[P/B Q1]])</f>
        <v>7.1256340911838532</v>
      </c>
      <c r="J15" s="1" cm="1">
        <f t="array" ref="J15">_xlfn.QUARTILE.INC(IF(Quartile_M[[#This Row],[Industry]]=Main_M[Industry],Main_M[ROE]),1)</f>
        <v>-26.61</v>
      </c>
      <c r="K15" s="1" cm="1">
        <f t="array" ref="K15">_xlfn.QUARTILE.INC(IF(Quartile_M[[#This Row],[Industry]]=Main_M[Industry],Main_M[ROE]),3)</f>
        <v>-1.94</v>
      </c>
      <c r="L15" s="1">
        <f>Quartile_M[[#This Row],[ROE Q1]]-1.5*(Quartile_M[[#This Row],[ROE Q3]]-Quartile_M[[#This Row],[ROE Q1]])</f>
        <v>-63.614999999999995</v>
      </c>
      <c r="M15" s="1">
        <f>Quartile_M[[#This Row],[ROE Q3]]+1.5*(Quartile_M[[#This Row],[ROE Q3]]-Quartile_M[[#This Row],[ROE Q1]])</f>
        <v>35.064999999999998</v>
      </c>
      <c r="N15" s="1" cm="1">
        <f t="array" ref="N15">_xlfn.QUARTILE.INC(IF(Quartile_M[[#This Row],[Industry]]=Main_M[Industry],Main_M[ROA]),1)</f>
        <v>-3.9450000000000003</v>
      </c>
      <c r="O15" s="1" cm="1">
        <f t="array" ref="O15">_xlfn.QUARTILE.INC(IF(Quartile_M[[#This Row],[Industry]]=Main_M[Industry],Main_M[ROA]),3)</f>
        <v>-0.82500000000000018</v>
      </c>
      <c r="P15" s="1">
        <f>Quartile_M[[#This Row],[ROA Q1]]-1.5*(Quartile_M[[#This Row],[ROA Q3]]-Quartile_M[[#This Row],[ROA Q1]])</f>
        <v>-8.625</v>
      </c>
      <c r="Q15" s="1">
        <f>Quartile_M[[#This Row],[ROA Q3]]+1.5*(Quartile_M[[#This Row],[ROA Q3]]-Quartile_M[[#This Row],[ROA Q1]])</f>
        <v>3.8549999999999995</v>
      </c>
      <c r="R15" s="1" cm="1">
        <f t="array" ref="R15">_xlfn.QUARTILE.INC(IF(Quartile_M[[#This Row],[Industry]]=Main_M[Industry],Main_M[P/E]),1)</f>
        <v>-48.023988381410255</v>
      </c>
      <c r="S15" s="1" cm="1">
        <f t="array" ref="S15">_xlfn.QUARTILE.INC(IF(Quartile_M[[#This Row],[Industry]]=Main_M[Industry],Main_M[P/E]),3)</f>
        <v>232.39908854166669</v>
      </c>
      <c r="T15" s="1">
        <f>Quartile_M[[#This Row],[P/E Q1]]-1.5*(Quartile_M[[#This Row],[P/E Q3]]-Quartile_M[[#This Row],[P/E Q1]])</f>
        <v>-468.65860376602575</v>
      </c>
      <c r="U15" s="1">
        <f>Quartile_M[[#This Row],[P/E Q3]]+1.5*(Quartile_M[[#This Row],[P/E Q3]]-Quartile_M[[#This Row],[P/E Q1]])</f>
        <v>653.03370392628221</v>
      </c>
      <c r="V15" s="1" cm="1">
        <f t="array" ref="V15">_xlfn.QUARTILE.INC(IF(Quartile_M[[#This Row],[Industry]]=Main_M[Industry],Main_M[A/E]),1)</f>
        <v>1.9249999999999998</v>
      </c>
      <c r="W15" s="1" cm="1">
        <f t="array" ref="W15">_xlfn.QUARTILE.INC(IF(Quartile_M[[#This Row],[Industry]]=Main_M[Industry],Main_M[A/E]),3)</f>
        <v>3.5999999999999996</v>
      </c>
      <c r="X15" s="1">
        <f>Quartile_M[[#This Row],[A/E Q1]]-1.5*(Quartile_M[[#This Row],[A/E Q3]]-Quartile_M[[#This Row],[A/E Q1]])</f>
        <v>-0.58749999999999991</v>
      </c>
      <c r="Y15" s="1">
        <f>Quartile_M[[#This Row],[A/E Q3]]+1.5*(Quartile_M[[#This Row],[A/E Q3]]-Quartile_M[[#This Row],[A/E Q1]])</f>
        <v>6.1124999999999989</v>
      </c>
    </row>
    <row r="16" spans="1:25" x14ac:dyDescent="0.25">
      <c r="A16" t="s">
        <v>178</v>
      </c>
      <c r="B16" s="1" cm="1">
        <f t="array" ref="B16">_xlfn.QUARTILE.INC(IF(Quartile_M[[#This Row],[Industry]]=Main_M[Industry],Main_M[P/FCF]),1)</f>
        <v>-54.459016393442624</v>
      </c>
      <c r="C16" s="1" cm="1">
        <f t="array" ref="C16">_xlfn.QUARTILE.INC(IF(Quartile_M[[#This Row],[Industry]]=Main_M[Industry],Main_M[P/FCF]),3)</f>
        <v>-54.459016393442624</v>
      </c>
      <c r="D16" s="1">
        <f>Quartile_M[[#This Row],[P/FCF Q1]]-1.5*(Quartile_M[[#This Row],[P/FCF Q3]]-Quartile_M[[#This Row],[P/FCF Q1]])</f>
        <v>-54.459016393442624</v>
      </c>
      <c r="E16" s="1">
        <f>Quartile_M[[#This Row],[P/FCF Q3]]+1.5*(Quartile_M[[#This Row],[P/FCF Q3]]-Quartile_M[[#This Row],[P/FCF Q1]])</f>
        <v>-54.459016393442624</v>
      </c>
      <c r="F16" s="1" cm="1">
        <f t="array" ref="F16">_xlfn.QUARTILE.INC(IF(Quartile_M[[#This Row],[Industry]]=Main_M[Industry],Main_M[P/B]),1)</f>
        <v>19.202312138728324</v>
      </c>
      <c r="G16" s="1" cm="1">
        <f t="array" ref="G16">_xlfn.QUARTILE.INC(IF(Quartile_M[[#This Row],[Industry]]=Main_M[Industry],Main_M[P/B]),3)</f>
        <v>19.202312138728324</v>
      </c>
      <c r="H16" s="1">
        <f>Quartile_M[[#This Row],[P/B Q1]]-1.5*(Quartile_M[[#This Row],[P/B Q3]]-Quartile_M[[#This Row],[P/B Q1]])</f>
        <v>19.202312138728324</v>
      </c>
      <c r="I16" s="1">
        <f>Quartile_M[[#This Row],[P/B Q3]]+1.5*(Quartile_M[[#This Row],[P/B Q3]]-Quartile_M[[#This Row],[P/B Q1]])</f>
        <v>19.202312138728324</v>
      </c>
      <c r="J16" s="1" cm="1">
        <f t="array" ref="J16">_xlfn.QUARTILE.INC(IF(Quartile_M[[#This Row],[Industry]]=Main_M[Industry],Main_M[ROE]),1)</f>
        <v>-58.747500000000002</v>
      </c>
      <c r="K16" s="1" cm="1">
        <f t="array" ref="K16">_xlfn.QUARTILE.INC(IF(Quartile_M[[#This Row],[Industry]]=Main_M[Industry],Main_M[ROE]),3)</f>
        <v>-23.5625</v>
      </c>
      <c r="L16" s="1">
        <f>Quartile_M[[#This Row],[ROE Q1]]-1.5*(Quartile_M[[#This Row],[ROE Q3]]-Quartile_M[[#This Row],[ROE Q1]])</f>
        <v>-111.52500000000001</v>
      </c>
      <c r="M16" s="1">
        <f>Quartile_M[[#This Row],[ROE Q3]]+1.5*(Quartile_M[[#This Row],[ROE Q3]]-Quartile_M[[#This Row],[ROE Q1]])</f>
        <v>29.215000000000003</v>
      </c>
      <c r="N16" s="1" cm="1">
        <f t="array" ref="N16">_xlfn.QUARTILE.INC(IF(Quartile_M[[#This Row],[Industry]]=Main_M[Industry],Main_M[ROA]),1)</f>
        <v>-21.0275</v>
      </c>
      <c r="O16" s="1" cm="1">
        <f t="array" ref="O16">_xlfn.QUARTILE.INC(IF(Quartile_M[[#This Row],[Industry]]=Main_M[Industry],Main_M[ROA]),3)</f>
        <v>-8.3625000000000007</v>
      </c>
      <c r="P16" s="1">
        <f>Quartile_M[[#This Row],[ROA Q1]]-1.5*(Quartile_M[[#This Row],[ROA Q3]]-Quartile_M[[#This Row],[ROA Q1]])</f>
        <v>-40.024999999999999</v>
      </c>
      <c r="Q16" s="1">
        <f>Quartile_M[[#This Row],[ROA Q3]]+1.5*(Quartile_M[[#This Row],[ROA Q3]]-Quartile_M[[#This Row],[ROA Q1]])</f>
        <v>10.634999999999998</v>
      </c>
      <c r="R16" s="1" cm="1">
        <f t="array" ref="R16">_xlfn.QUARTILE.INC(IF(Quartile_M[[#This Row],[Industry]]=Main_M[Industry],Main_M[P/E]),1)</f>
        <v>-21.294871794871792</v>
      </c>
      <c r="S16" s="1" cm="1">
        <f t="array" ref="S16">_xlfn.QUARTILE.INC(IF(Quartile_M[[#This Row],[Industry]]=Main_M[Industry],Main_M[P/E]),3)</f>
        <v>-21.294871794871792</v>
      </c>
      <c r="T16" s="1">
        <f>Quartile_M[[#This Row],[P/E Q1]]-1.5*(Quartile_M[[#This Row],[P/E Q3]]-Quartile_M[[#This Row],[P/E Q1]])</f>
        <v>-21.294871794871792</v>
      </c>
      <c r="U16" s="1">
        <f>Quartile_M[[#This Row],[P/E Q3]]+1.5*(Quartile_M[[#This Row],[P/E Q3]]-Quartile_M[[#This Row],[P/E Q1]])</f>
        <v>-21.294871794871792</v>
      </c>
      <c r="V16" s="1" cm="1">
        <f t="array" ref="V16">_xlfn.QUARTILE.INC(IF(Quartile_M[[#This Row],[Industry]]=Main_M[Industry],Main_M[A/E]),1)</f>
        <v>1.2224999999999999</v>
      </c>
      <c r="W16" s="1" cm="1">
        <f t="array" ref="W16">_xlfn.QUARTILE.INC(IF(Quartile_M[[#This Row],[Industry]]=Main_M[Industry],Main_M[A/E]),3)</f>
        <v>1.2875000000000001</v>
      </c>
      <c r="X16" s="1">
        <f>Quartile_M[[#This Row],[A/E Q1]]-1.5*(Quartile_M[[#This Row],[A/E Q3]]-Quartile_M[[#This Row],[A/E Q1]])</f>
        <v>1.1249999999999996</v>
      </c>
      <c r="Y16" s="1">
        <f>Quartile_M[[#This Row],[A/E Q3]]+1.5*(Quartile_M[[#This Row],[A/E Q3]]-Quartile_M[[#This Row],[A/E Q1]])</f>
        <v>1.3850000000000002</v>
      </c>
    </row>
    <row r="17" spans="1:25" x14ac:dyDescent="0.25">
      <c r="A17" t="s">
        <v>189</v>
      </c>
      <c r="B17" s="1" cm="1">
        <f t="array" ref="B17">_xlfn.QUARTILE.INC(IF(Quartile_M[[#This Row],[Industry]]=Main_M[Industry],Main_M[P/FCF]),1)</f>
        <v>10.493929414121826</v>
      </c>
      <c r="C17" s="1" cm="1">
        <f t="array" ref="C17">_xlfn.QUARTILE.INC(IF(Quartile_M[[#This Row],[Industry]]=Main_M[Industry],Main_M[P/FCF]),3)</f>
        <v>33.545239051828048</v>
      </c>
      <c r="D17" s="1">
        <f>Quartile_M[[#This Row],[P/FCF Q1]]-1.5*(Quartile_M[[#This Row],[P/FCF Q3]]-Quartile_M[[#This Row],[P/FCF Q1]])</f>
        <v>-24.083035042437505</v>
      </c>
      <c r="E17" s="1">
        <f>Quartile_M[[#This Row],[P/FCF Q3]]+1.5*(Quartile_M[[#This Row],[P/FCF Q3]]-Quartile_M[[#This Row],[P/FCF Q1]])</f>
        <v>68.122203508387372</v>
      </c>
      <c r="F17" s="1" cm="1">
        <f t="array" ref="F17">_xlfn.QUARTILE.INC(IF(Quartile_M[[#This Row],[Industry]]=Main_M[Industry],Main_M[P/B]),1)</f>
        <v>1.6456144937436632</v>
      </c>
      <c r="G17" s="1" cm="1">
        <f t="array" ref="G17">_xlfn.QUARTILE.INC(IF(Quartile_M[[#This Row],[Industry]]=Main_M[Industry],Main_M[P/B]),3)</f>
        <v>3.6967267106357782</v>
      </c>
      <c r="H17" s="1">
        <f>Quartile_M[[#This Row],[P/B Q1]]-1.5*(Quartile_M[[#This Row],[P/B Q3]]-Quartile_M[[#This Row],[P/B Q1]])</f>
        <v>-1.4310538315945089</v>
      </c>
      <c r="I17" s="1">
        <f>Quartile_M[[#This Row],[P/B Q3]]+1.5*(Quartile_M[[#This Row],[P/B Q3]]-Quartile_M[[#This Row],[P/B Q1]])</f>
        <v>6.7733950359739499</v>
      </c>
      <c r="J17" s="1" cm="1">
        <f t="array" ref="J17">_xlfn.QUARTILE.INC(IF(Quartile_M[[#This Row],[Industry]]=Main_M[Industry],Main_M[ROE]),1)</f>
        <v>6.01</v>
      </c>
      <c r="K17" s="1" cm="1">
        <f t="array" ref="K17">_xlfn.QUARTILE.INC(IF(Quartile_M[[#This Row],[Industry]]=Main_M[Industry],Main_M[ROE]),3)</f>
        <v>16.947500000000002</v>
      </c>
      <c r="L17" s="1">
        <f>Quartile_M[[#This Row],[ROE Q1]]-1.5*(Quartile_M[[#This Row],[ROE Q3]]-Quartile_M[[#This Row],[ROE Q1]])</f>
        <v>-10.396250000000004</v>
      </c>
      <c r="M17" s="1">
        <f>Quartile_M[[#This Row],[ROE Q3]]+1.5*(Quartile_M[[#This Row],[ROE Q3]]-Quartile_M[[#This Row],[ROE Q1]])</f>
        <v>33.353750000000005</v>
      </c>
      <c r="N17" s="1" cm="1">
        <f t="array" ref="N17">_xlfn.QUARTILE.INC(IF(Quartile_M[[#This Row],[Industry]]=Main_M[Industry],Main_M[ROA]),1)</f>
        <v>2.79</v>
      </c>
      <c r="O17" s="1" cm="1">
        <f t="array" ref="O17">_xlfn.QUARTILE.INC(IF(Quartile_M[[#This Row],[Industry]]=Main_M[Industry],Main_M[ROA]),3)</f>
        <v>6.1724999999999994</v>
      </c>
      <c r="P17" s="1">
        <f>Quartile_M[[#This Row],[ROA Q1]]-1.5*(Quartile_M[[#This Row],[ROA Q3]]-Quartile_M[[#This Row],[ROA Q1]])</f>
        <v>-2.2837499999999986</v>
      </c>
      <c r="Q17" s="1">
        <f>Quartile_M[[#This Row],[ROA Q3]]+1.5*(Quartile_M[[#This Row],[ROA Q3]]-Quartile_M[[#This Row],[ROA Q1]])</f>
        <v>11.246249999999998</v>
      </c>
      <c r="R17" s="1" cm="1">
        <f t="array" ref="R17">_xlfn.QUARTILE.INC(IF(Quartile_M[[#This Row],[Industry]]=Main_M[Industry],Main_M[P/E]),1)</f>
        <v>15.368475609756098</v>
      </c>
      <c r="S17" s="1" cm="1">
        <f t="array" ref="S17">_xlfn.QUARTILE.INC(IF(Quartile_M[[#This Row],[Industry]]=Main_M[Industry],Main_M[P/E]),3)</f>
        <v>33.855123531794248</v>
      </c>
      <c r="T17" s="1">
        <f>Quartile_M[[#This Row],[P/E Q1]]-1.5*(Quartile_M[[#This Row],[P/E Q3]]-Quartile_M[[#This Row],[P/E Q1]])</f>
        <v>-12.36149627330113</v>
      </c>
      <c r="U17" s="1">
        <f>Quartile_M[[#This Row],[P/E Q3]]+1.5*(Quartile_M[[#This Row],[P/E Q3]]-Quartile_M[[#This Row],[P/E Q1]])</f>
        <v>61.58509541485148</v>
      </c>
      <c r="V17" s="1" cm="1">
        <f t="array" ref="V17">_xlfn.QUARTILE.INC(IF(Quartile_M[[#This Row],[Industry]]=Main_M[Industry],Main_M[A/E]),1)</f>
        <v>1.58</v>
      </c>
      <c r="W17" s="1" cm="1">
        <f t="array" ref="W17">_xlfn.QUARTILE.INC(IF(Quartile_M[[#This Row],[Industry]]=Main_M[Industry],Main_M[A/E]),3)</f>
        <v>2.9050000000000002</v>
      </c>
      <c r="X17" s="1">
        <f>Quartile_M[[#This Row],[A/E Q1]]-1.5*(Quartile_M[[#This Row],[A/E Q3]]-Quartile_M[[#This Row],[A/E Q1]])</f>
        <v>-0.4075000000000002</v>
      </c>
      <c r="Y17" s="1">
        <f>Quartile_M[[#This Row],[A/E Q3]]+1.5*(Quartile_M[[#This Row],[A/E Q3]]-Quartile_M[[#This Row],[A/E Q1]])</f>
        <v>4.8925000000000001</v>
      </c>
    </row>
    <row r="18" spans="1:25" x14ac:dyDescent="0.25">
      <c r="A18" t="s">
        <v>202</v>
      </c>
      <c r="B18" s="1" cm="1">
        <f t="array" ref="B18">_xlfn.QUARTILE.INC(IF(Quartile_M[[#This Row],[Industry]]=Main_M[Industry],Main_M[P/FCF]),1)</f>
        <v>14.143274649201373</v>
      </c>
      <c r="C18" s="1" cm="1">
        <f t="array" ref="C18">_xlfn.QUARTILE.INC(IF(Quartile_M[[#This Row],[Industry]]=Main_M[Industry],Main_M[P/FCF]),3)</f>
        <v>58.194354894025651</v>
      </c>
      <c r="D18" s="1">
        <f>Quartile_M[[#This Row],[P/FCF Q1]]-1.5*(Quartile_M[[#This Row],[P/FCF Q3]]-Quartile_M[[#This Row],[P/FCF Q1]])</f>
        <v>-51.933345718035042</v>
      </c>
      <c r="E18" s="1">
        <f>Quartile_M[[#This Row],[P/FCF Q3]]+1.5*(Quartile_M[[#This Row],[P/FCF Q3]]-Quartile_M[[#This Row],[P/FCF Q1]])</f>
        <v>124.27097526126207</v>
      </c>
      <c r="F18" s="1" cm="1">
        <f t="array" ref="F18">_xlfn.QUARTILE.INC(IF(Quartile_M[[#This Row],[Industry]]=Main_M[Industry],Main_M[P/B]),1)</f>
        <v>2.8059697481421644</v>
      </c>
      <c r="G18" s="1" cm="1">
        <f t="array" ref="G18">_xlfn.QUARTILE.INC(IF(Quartile_M[[#This Row],[Industry]]=Main_M[Industry],Main_M[P/B]),3)</f>
        <v>7.1391337448222796</v>
      </c>
      <c r="H18" s="1">
        <f>Quartile_M[[#This Row],[P/B Q1]]-1.5*(Quartile_M[[#This Row],[P/B Q3]]-Quartile_M[[#This Row],[P/B Q1]])</f>
        <v>-3.6937762468780084</v>
      </c>
      <c r="I18" s="1">
        <f>Quartile_M[[#This Row],[P/B Q3]]+1.5*(Quartile_M[[#This Row],[P/B Q3]]-Quartile_M[[#This Row],[P/B Q1]])</f>
        <v>13.638879739842451</v>
      </c>
      <c r="J18" s="1" cm="1">
        <f t="array" ref="J18">_xlfn.QUARTILE.INC(IF(Quartile_M[[#This Row],[Industry]]=Main_M[Industry],Main_M[ROE]),1)</f>
        <v>-7.8900000000000006</v>
      </c>
      <c r="K18" s="1" cm="1">
        <f t="array" ref="K18">_xlfn.QUARTILE.INC(IF(Quartile_M[[#This Row],[Industry]]=Main_M[Industry],Main_M[ROE]),3)</f>
        <v>13.809999999999999</v>
      </c>
      <c r="L18" s="1">
        <f>Quartile_M[[#This Row],[ROE Q1]]-1.5*(Quartile_M[[#This Row],[ROE Q3]]-Quartile_M[[#This Row],[ROE Q1]])</f>
        <v>-40.44</v>
      </c>
      <c r="M18" s="1">
        <f>Quartile_M[[#This Row],[ROE Q3]]+1.5*(Quartile_M[[#This Row],[ROE Q3]]-Quartile_M[[#This Row],[ROE Q1]])</f>
        <v>46.36</v>
      </c>
      <c r="N18" s="1" cm="1">
        <f t="array" ref="N18">_xlfn.QUARTILE.INC(IF(Quartile_M[[#This Row],[Industry]]=Main_M[Industry],Main_M[ROA]),1)</f>
        <v>-0.45</v>
      </c>
      <c r="O18" s="1" cm="1">
        <f t="array" ref="O18">_xlfn.QUARTILE.INC(IF(Quartile_M[[#This Row],[Industry]]=Main_M[Industry],Main_M[ROA]),3)</f>
        <v>4.7949999999999999</v>
      </c>
      <c r="P18" s="1">
        <f>Quartile_M[[#This Row],[ROA Q1]]-1.5*(Quartile_M[[#This Row],[ROA Q3]]-Quartile_M[[#This Row],[ROA Q1]])</f>
        <v>-8.317499999999999</v>
      </c>
      <c r="Q18" s="1">
        <f>Quartile_M[[#This Row],[ROA Q3]]+1.5*(Quartile_M[[#This Row],[ROA Q3]]-Quartile_M[[#This Row],[ROA Q1]])</f>
        <v>12.6625</v>
      </c>
      <c r="R18" s="1" cm="1">
        <f t="array" ref="R18">_xlfn.QUARTILE.INC(IF(Quartile_M[[#This Row],[Industry]]=Main_M[Industry],Main_M[P/E]),1)</f>
        <v>-19.427365075408204</v>
      </c>
      <c r="S18" s="1" cm="1">
        <f t="array" ref="S18">_xlfn.QUARTILE.INC(IF(Quartile_M[[#This Row],[Industry]]=Main_M[Industry],Main_M[P/E]),3)</f>
        <v>38.732826086956521</v>
      </c>
      <c r="T18" s="1">
        <f>Quartile_M[[#This Row],[P/E Q1]]-1.5*(Quartile_M[[#This Row],[P/E Q3]]-Quartile_M[[#This Row],[P/E Q1]])</f>
        <v>-106.66765181895529</v>
      </c>
      <c r="U18" s="1">
        <f>Quartile_M[[#This Row],[P/E Q3]]+1.5*(Quartile_M[[#This Row],[P/E Q3]]-Quartile_M[[#This Row],[P/E Q1]])</f>
        <v>125.97311283050361</v>
      </c>
      <c r="V18" s="1" cm="1">
        <f t="array" ref="V18">_xlfn.QUARTILE.INC(IF(Quartile_M[[#This Row],[Industry]]=Main_M[Industry],Main_M[A/E]),1)</f>
        <v>1.1749999999999998</v>
      </c>
      <c r="W18" s="1" cm="1">
        <f t="array" ref="W18">_xlfn.QUARTILE.INC(IF(Quartile_M[[#This Row],[Industry]]=Main_M[Industry],Main_M[A/E]),3)</f>
        <v>1.7949999999999999</v>
      </c>
      <c r="X18" s="1">
        <f>Quartile_M[[#This Row],[A/E Q1]]-1.5*(Quartile_M[[#This Row],[A/E Q3]]-Quartile_M[[#This Row],[A/E Q1]])</f>
        <v>0.24499999999999966</v>
      </c>
      <c r="Y18" s="1">
        <f>Quartile_M[[#This Row],[A/E Q3]]+1.5*(Quartile_M[[#This Row],[A/E Q3]]-Quartile_M[[#This Row],[A/E Q1]])</f>
        <v>2.7250000000000001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105</v>
      </c>
      <c r="B23" s="1" cm="1">
        <f t="array" ref="B23">_xlfn.QUARTILE.INC(IF(Quartile_S[[#This Row],[Industry]]=Main_S[Industry],Main_S[P/FCF]),1)</f>
        <v>-3.9688955745341614</v>
      </c>
      <c r="C23" s="1" cm="1">
        <f t="array" ref="C23">_xlfn.QUARTILE.INC(IF(Quartile_S[[#This Row],[Industry]]=Main_S[Industry],Main_S[P/FCF]),3)</f>
        <v>15.838313217544894</v>
      </c>
      <c r="D23" s="1">
        <f>Quartile_S[[#This Row],[P/FCF Q1]]-1.5*(Quartile_S[[#This Row],[P/FCF Q3]]-Quartile_S[[#This Row],[P/FCF Q1]])</f>
        <v>-33.679708762652744</v>
      </c>
      <c r="E23" s="1">
        <f>Quartile_S[[#This Row],[P/FCF Q3]]+1.5*(Quartile_S[[#This Row],[P/FCF Q3]]-Quartile_S[[#This Row],[P/FCF Q1]])</f>
        <v>45.549126405663479</v>
      </c>
      <c r="F23" s="1" cm="1">
        <f t="array" ref="F23">_xlfn.QUARTILE.INC(IF(Quartile_S[[#This Row],[Industry]]=Main_S[Industry],Main_S[P/B]),1)</f>
        <v>1.6583313175294307</v>
      </c>
      <c r="G23" s="1" cm="1">
        <f t="array" ref="G23">_xlfn.QUARTILE.INC(IF(Quartile_S[[#This Row],[Industry]]=Main_S[Industry],Main_S[P/B]),3)</f>
        <v>4.6692935547424712</v>
      </c>
      <c r="H23" s="1">
        <f>Quartile_S[[#This Row],[P/B Q1]]-1.5*(Quartile_S[[#This Row],[P/B Q3]]-Quartile_S[[#This Row],[P/B Q1]])</f>
        <v>-2.8581120382901304</v>
      </c>
      <c r="I23" s="1">
        <f>Quartile_S[[#This Row],[P/B Q3]]+1.5*(Quartile_S[[#This Row],[P/B Q3]]-Quartile_S[[#This Row],[P/B Q1]])</f>
        <v>9.1857369105620315</v>
      </c>
      <c r="J23" s="1" cm="1">
        <f t="array" ref="J23">_xlfn.QUARTILE.INC(IF(Quartile_S[[#This Row],[Industry]]=Main_S[Industry],Main_S[ROE]),1)</f>
        <v>-47.46</v>
      </c>
      <c r="K23" s="1" cm="1">
        <f t="array" ref="K23">_xlfn.QUARTILE.INC(IF(Quartile_S[[#This Row],[Industry]]=Main_S[Industry],Main_S[ROE]),3)</f>
        <v>16.057500000000001</v>
      </c>
      <c r="L23" s="1">
        <f>Quartile_S[[#This Row],[ROE Q1]]-1.5*(Quartile_S[[#This Row],[ROE Q3]]-Quartile_S[[#This Row],[ROE Q1]])</f>
        <v>-142.73625000000001</v>
      </c>
      <c r="M23" s="1">
        <f>Quartile_S[[#This Row],[ROE Q3]]+1.5*(Quartile_S[[#This Row],[ROE Q3]]-Quartile_S[[#This Row],[ROE Q1]])</f>
        <v>111.33375000000001</v>
      </c>
      <c r="N23" s="1" cm="1">
        <f t="array" ref="N23">_xlfn.QUARTILE.INC(IF(Quartile_S[[#This Row],[Industry]]=Main_S[Industry],Main_S[ROA]),1)</f>
        <v>-4.5124999999999993</v>
      </c>
      <c r="O23" s="1" cm="1">
        <f t="array" ref="O23">_xlfn.QUARTILE.INC(IF(Quartile_S[[#This Row],[Industry]]=Main_S[Industry],Main_S[ROA]),3)</f>
        <v>4.5625</v>
      </c>
      <c r="P23" s="1">
        <f>Quartile_S[[#This Row],[ROA Q1]]-1.5*(Quartile_S[[#This Row],[ROA Q3]]-Quartile_S[[#This Row],[ROA Q1]])</f>
        <v>-18.125</v>
      </c>
      <c r="Q23" s="1">
        <f>Quartile_S[[#This Row],[ROA Q3]]+1.5*(Quartile_S[[#This Row],[ROA Q3]]-Quartile_S[[#This Row],[ROA Q1]])</f>
        <v>18.174999999999997</v>
      </c>
      <c r="R23" s="1" cm="1">
        <f t="array" ref="R23">_xlfn.QUARTILE.INC(IF(Quartile_S[[#This Row],[Industry]]=Main_S[Industry],Main_S[P/E]),1)</f>
        <v>-5.0632380887742636</v>
      </c>
      <c r="S23" s="1" cm="1">
        <f t="array" ref="S23">_xlfn.QUARTILE.INC(IF(Quartile_S[[#This Row],[Industry]]=Main_S[Industry],Main_S[P/E]),3)</f>
        <v>27.30378787878788</v>
      </c>
      <c r="T23" s="1">
        <f>Quartile_S[[#This Row],[P/E Q1]]-1.5*(Quartile_S[[#This Row],[P/E Q3]]-Quartile_S[[#This Row],[P/E Q1]])</f>
        <v>-53.613777040117476</v>
      </c>
      <c r="U23" s="1">
        <f>Quartile_S[[#This Row],[P/E Q3]]+1.5*(Quartile_S[[#This Row],[P/E Q3]]-Quartile_S[[#This Row],[P/E Q1]])</f>
        <v>75.8543268301311</v>
      </c>
      <c r="V23" s="1" cm="1">
        <f t="array" ref="V23">_xlfn.QUARTILE.INC(IF(Quartile_S[[#This Row],[Industry]]=Main_S[Industry],Main_S[A/E]),1)</f>
        <v>1.5</v>
      </c>
      <c r="W23" s="1" cm="1">
        <f t="array" ref="W23">_xlfn.QUARTILE.INC(IF(Quartile_S[[#This Row],[Industry]]=Main_S[Industry],Main_S[A/E]),3)</f>
        <v>3.8125</v>
      </c>
      <c r="X23" s="1">
        <f>Quartile_S[[#This Row],[A/E Q1]]-1.5*(Quartile_S[[#This Row],[A/E Q3]]-Quartile_S[[#This Row],[A/E Q1]])</f>
        <v>-1.96875</v>
      </c>
      <c r="Y23" s="1">
        <f>Quartile_S[[#This Row],[A/E Q3]]+1.5*(Quartile_S[[#This Row],[A/E Q3]]-Quartile_S[[#This Row],[A/E Q1]])</f>
        <v>7.28125</v>
      </c>
    </row>
    <row r="24" spans="1:25" x14ac:dyDescent="0.25">
      <c r="A24" t="s">
        <v>124</v>
      </c>
      <c r="B24" s="1" cm="1">
        <f t="array" ref="B24">_xlfn.QUARTILE.INC(IF(Quartile_S[[#This Row],[Industry]]=Main_S[Industry],Main_S[P/FCF]),1)</f>
        <v>-4.913478915662651</v>
      </c>
      <c r="C24" s="1" cm="1">
        <f t="array" ref="C24">_xlfn.QUARTILE.INC(IF(Quartile_S[[#This Row],[Industry]]=Main_S[Industry],Main_S[P/FCF]),3)</f>
        <v>27.089024390243903</v>
      </c>
      <c r="D24" s="1">
        <f>Quartile_S[[#This Row],[P/FCF Q1]]-1.5*(Quartile_S[[#This Row],[P/FCF Q3]]-Quartile_S[[#This Row],[P/FCF Q1]])</f>
        <v>-52.917233874522488</v>
      </c>
      <c r="E24" s="1">
        <f>Quartile_S[[#This Row],[P/FCF Q3]]+1.5*(Quartile_S[[#This Row],[P/FCF Q3]]-Quartile_S[[#This Row],[P/FCF Q1]])</f>
        <v>75.092779349103736</v>
      </c>
      <c r="F24" s="1" cm="1">
        <f t="array" ref="F24">_xlfn.QUARTILE.INC(IF(Quartile_S[[#This Row],[Industry]]=Main_S[Industry],Main_S[P/B]),1)</f>
        <v>1.331537024059799</v>
      </c>
      <c r="G24" s="1" cm="1">
        <f t="array" ref="G24">_xlfn.QUARTILE.INC(IF(Quartile_S[[#This Row],[Industry]]=Main_S[Industry],Main_S[P/B]),3)</f>
        <v>6.0044704433497538</v>
      </c>
      <c r="H24" s="1">
        <f>Quartile_S[[#This Row],[P/B Q1]]-1.5*(Quartile_S[[#This Row],[P/B Q3]]-Quartile_S[[#This Row],[P/B Q1]])</f>
        <v>-5.6778631048751329</v>
      </c>
      <c r="I24" s="1">
        <f>Quartile_S[[#This Row],[P/B Q3]]+1.5*(Quartile_S[[#This Row],[P/B Q3]]-Quartile_S[[#This Row],[P/B Q1]])</f>
        <v>13.013870572284684</v>
      </c>
      <c r="J24" s="1" cm="1">
        <f t="array" ref="J24">_xlfn.QUARTILE.INC(IF(Quartile_S[[#This Row],[Industry]]=Main_S[Industry],Main_S[ROE]),1)</f>
        <v>-27.945</v>
      </c>
      <c r="K24" s="1" cm="1">
        <f t="array" ref="K24">_xlfn.QUARTILE.INC(IF(Quartile_S[[#This Row],[Industry]]=Main_S[Industry],Main_S[ROE]),3)</f>
        <v>14.844999999999999</v>
      </c>
      <c r="L24" s="1">
        <f>Quartile_S[[#This Row],[ROE Q1]]-1.5*(Quartile_S[[#This Row],[ROE Q3]]-Quartile_S[[#This Row],[ROE Q1]])</f>
        <v>-92.13</v>
      </c>
      <c r="M24" s="1">
        <f>Quartile_S[[#This Row],[ROE Q3]]+1.5*(Quartile_S[[#This Row],[ROE Q3]]-Quartile_S[[#This Row],[ROE Q1]])</f>
        <v>79.03</v>
      </c>
      <c r="N24" s="1" cm="1">
        <f t="array" ref="N24">_xlfn.QUARTILE.INC(IF(Quartile_S[[#This Row],[Industry]]=Main_S[Industry],Main_S[ROA]),1)</f>
        <v>-5.0774999999999997</v>
      </c>
      <c r="O24" s="1" cm="1">
        <f t="array" ref="O24">_xlfn.QUARTILE.INC(IF(Quartile_S[[#This Row],[Industry]]=Main_S[Industry],Main_S[ROA]),3)</f>
        <v>2.8250000000000002</v>
      </c>
      <c r="P24" s="1">
        <f>Quartile_S[[#This Row],[ROA Q1]]-1.5*(Quartile_S[[#This Row],[ROA Q3]]-Quartile_S[[#This Row],[ROA Q1]])</f>
        <v>-16.931249999999999</v>
      </c>
      <c r="Q24" s="1">
        <f>Quartile_S[[#This Row],[ROA Q3]]+1.5*(Quartile_S[[#This Row],[ROA Q3]]-Quartile_S[[#This Row],[ROA Q1]])</f>
        <v>14.678750000000001</v>
      </c>
      <c r="R24" s="1" cm="1">
        <f t="array" ref="R24">_xlfn.QUARTILE.INC(IF(Quartile_S[[#This Row],[Industry]]=Main_S[Industry],Main_S[P/E]),1)</f>
        <v>-24.6</v>
      </c>
      <c r="S24" s="1" cm="1">
        <f t="array" ref="S24">_xlfn.QUARTILE.INC(IF(Quartile_S[[#This Row],[Industry]]=Main_S[Industry],Main_S[P/E]),3)</f>
        <v>19.599340175953081</v>
      </c>
      <c r="T24" s="1">
        <f>Quartile_S[[#This Row],[P/E Q1]]-1.5*(Quartile_S[[#This Row],[P/E Q3]]-Quartile_S[[#This Row],[P/E Q1]])</f>
        <v>-90.899010263929625</v>
      </c>
      <c r="U24" s="1">
        <f>Quartile_S[[#This Row],[P/E Q3]]+1.5*(Quartile_S[[#This Row],[P/E Q3]]-Quartile_S[[#This Row],[P/E Q1]])</f>
        <v>85.898350439882705</v>
      </c>
      <c r="V24" s="1" cm="1">
        <f t="array" ref="V24">_xlfn.QUARTILE.INC(IF(Quartile_S[[#This Row],[Industry]]=Main_S[Industry],Main_S[A/E]),1)</f>
        <v>1.17</v>
      </c>
      <c r="W24" s="1" cm="1">
        <f t="array" ref="W24">_xlfn.QUARTILE.INC(IF(Quartile_S[[#This Row],[Industry]]=Main_S[Industry],Main_S[A/E]),3)</f>
        <v>2.6225000000000001</v>
      </c>
      <c r="X24" s="1">
        <f>Quartile_S[[#This Row],[A/E Q1]]-1.5*(Quartile_S[[#This Row],[A/E Q3]]-Quartile_S[[#This Row],[A/E Q1]])</f>
        <v>-1.00875</v>
      </c>
      <c r="Y24" s="1">
        <f>Quartile_S[[#This Row],[A/E Q3]]+1.5*(Quartile_S[[#This Row],[A/E Q3]]-Quartile_S[[#This Row],[A/E Q1]])</f>
        <v>4.8012499999999996</v>
      </c>
    </row>
    <row r="25" spans="1:25" x14ac:dyDescent="0.25">
      <c r="A25" t="s">
        <v>168</v>
      </c>
      <c r="B25" s="1" cm="1">
        <f t="array" ref="B25">_xlfn.QUARTILE.INC(IF(Quartile_S[[#This Row],[Industry]]=Main_S[Industry],Main_S[P/FCF]),1)</f>
        <v>7.4237938596491233</v>
      </c>
      <c r="C25" s="1" cm="1">
        <f t="array" ref="C25">_xlfn.QUARTILE.INC(IF(Quartile_S[[#This Row],[Industry]]=Main_S[Industry],Main_S[P/FCF]),3)</f>
        <v>28.969887955182074</v>
      </c>
      <c r="D25" s="1">
        <f>Quartile_S[[#This Row],[P/FCF Q1]]-1.5*(Quartile_S[[#This Row],[P/FCF Q3]]-Quartile_S[[#This Row],[P/FCF Q1]])</f>
        <v>-24.895347283650302</v>
      </c>
      <c r="E25" s="1">
        <f>Quartile_S[[#This Row],[P/FCF Q3]]+1.5*(Quartile_S[[#This Row],[P/FCF Q3]]-Quartile_S[[#This Row],[P/FCF Q1]])</f>
        <v>61.2890290984815</v>
      </c>
      <c r="F25" s="1" cm="1">
        <f t="array" ref="F25">_xlfn.QUARTILE.INC(IF(Quartile_S[[#This Row],[Industry]]=Main_S[Industry],Main_S[P/B]),1)</f>
        <v>1.1275052008491038</v>
      </c>
      <c r="G25" s="1" cm="1">
        <f t="array" ref="G25">_xlfn.QUARTILE.INC(IF(Quartile_S[[#This Row],[Industry]]=Main_S[Industry],Main_S[P/B]),3)</f>
        <v>3.6382107030337498</v>
      </c>
      <c r="H25" s="1">
        <f>Quartile_S[[#This Row],[P/B Q1]]-1.5*(Quartile_S[[#This Row],[P/B Q3]]-Quartile_S[[#This Row],[P/B Q1]])</f>
        <v>-2.6385530524278655</v>
      </c>
      <c r="I25" s="1">
        <f>Quartile_S[[#This Row],[P/B Q3]]+1.5*(Quartile_S[[#This Row],[P/B Q3]]-Quartile_S[[#This Row],[P/B Q1]])</f>
        <v>7.4042689563107196</v>
      </c>
      <c r="J25" s="1" cm="1">
        <f t="array" ref="J25">_xlfn.QUARTILE.INC(IF(Quartile_S[[#This Row],[Industry]]=Main_S[Industry],Main_S[ROE]),1)</f>
        <v>-21.412500000000001</v>
      </c>
      <c r="K25" s="1" cm="1">
        <f t="array" ref="K25">_xlfn.QUARTILE.INC(IF(Quartile_S[[#This Row],[Industry]]=Main_S[Industry],Main_S[ROE]),3)</f>
        <v>5.9124999999999996</v>
      </c>
      <c r="L25" s="1">
        <f>Quartile_S[[#This Row],[ROE Q1]]-1.5*(Quartile_S[[#This Row],[ROE Q3]]-Quartile_S[[#This Row],[ROE Q1]])</f>
        <v>-62.400000000000006</v>
      </c>
      <c r="M25" s="1">
        <f>Quartile_S[[#This Row],[ROE Q3]]+1.5*(Quartile_S[[#This Row],[ROE Q3]]-Quartile_S[[#This Row],[ROE Q1]])</f>
        <v>46.900000000000006</v>
      </c>
      <c r="N25" s="1" cm="1">
        <f t="array" ref="N25">_xlfn.QUARTILE.INC(IF(Quartile_S[[#This Row],[Industry]]=Main_S[Industry],Main_S[ROA]),1)</f>
        <v>-3.0625</v>
      </c>
      <c r="O25" s="1" cm="1">
        <f t="array" ref="O25">_xlfn.QUARTILE.INC(IF(Quartile_S[[#This Row],[Industry]]=Main_S[Industry],Main_S[ROA]),3)</f>
        <v>3.6274999999999999</v>
      </c>
      <c r="P25" s="1">
        <f>Quartile_S[[#This Row],[ROA Q1]]-1.5*(Quartile_S[[#This Row],[ROA Q3]]-Quartile_S[[#This Row],[ROA Q1]])</f>
        <v>-13.0975</v>
      </c>
      <c r="Q25" s="1">
        <f>Quartile_S[[#This Row],[ROA Q3]]+1.5*(Quartile_S[[#This Row],[ROA Q3]]-Quartile_S[[#This Row],[ROA Q1]])</f>
        <v>13.6625</v>
      </c>
      <c r="R25" s="1" cm="1">
        <f t="array" ref="R25">_xlfn.QUARTILE.INC(IF(Quartile_S[[#This Row],[Industry]]=Main_S[Industry],Main_S[P/E]),1)</f>
        <v>-10.282394636015326</v>
      </c>
      <c r="S25" s="1" cm="1">
        <f t="array" ref="S25">_xlfn.QUARTILE.INC(IF(Quartile_S[[#This Row],[Industry]]=Main_S[Industry],Main_S[P/E]),3)</f>
        <v>20.38068181818182</v>
      </c>
      <c r="T25" s="1">
        <f>Quartile_S[[#This Row],[P/E Q1]]-1.5*(Quartile_S[[#This Row],[P/E Q3]]-Quartile_S[[#This Row],[P/E Q1]])</f>
        <v>-56.277009317311041</v>
      </c>
      <c r="U25" s="1">
        <f>Quartile_S[[#This Row],[P/E Q3]]+1.5*(Quartile_S[[#This Row],[P/E Q3]]-Quartile_S[[#This Row],[P/E Q1]])</f>
        <v>66.375296499477543</v>
      </c>
      <c r="V25" s="1" cm="1">
        <f t="array" ref="V25">_xlfn.QUARTILE.INC(IF(Quartile_S[[#This Row],[Industry]]=Main_S[Industry],Main_S[A/E]),1)</f>
        <v>1.415</v>
      </c>
      <c r="W25" s="1" cm="1">
        <f t="array" ref="W25">_xlfn.QUARTILE.INC(IF(Quartile_S[[#This Row],[Industry]]=Main_S[Industry],Main_S[A/E]),3)</f>
        <v>2.8325</v>
      </c>
      <c r="X25" s="1">
        <f>Quartile_S[[#This Row],[A/E Q1]]-1.5*(Quartile_S[[#This Row],[A/E Q3]]-Quartile_S[[#This Row],[A/E Q1]])</f>
        <v>-0.71124999999999972</v>
      </c>
      <c r="Y25" s="1">
        <f>Quartile_S[[#This Row],[A/E Q3]]+1.5*(Quartile_S[[#This Row],[A/E Q3]]-Quartile_S[[#This Row],[A/E Q1]])</f>
        <v>4.9587500000000002</v>
      </c>
    </row>
    <row r="26" spans="1:25" x14ac:dyDescent="0.25">
      <c r="A26" t="s">
        <v>178</v>
      </c>
      <c r="B26" s="1" cm="1">
        <f t="array" ref="B26">_xlfn.QUARTILE.INC(IF(Quartile_S[[#This Row],[Industry]]=Main_S[Industry],Main_S[P/FCF]),1)</f>
        <v>-0.38968710089399738</v>
      </c>
      <c r="C26" s="1" cm="1">
        <f t="array" ref="C26">_xlfn.QUARTILE.INC(IF(Quartile_S[[#This Row],[Industry]]=Main_S[Industry],Main_S[P/FCF]),3)</f>
        <v>13.765152563699274</v>
      </c>
      <c r="D26" s="1">
        <f>Quartile_S[[#This Row],[P/FCF Q1]]-1.5*(Quartile_S[[#This Row],[P/FCF Q3]]-Quartile_S[[#This Row],[P/FCF Q1]])</f>
        <v>-21.621946597783907</v>
      </c>
      <c r="E26" s="1">
        <f>Quartile_S[[#This Row],[P/FCF Q3]]+1.5*(Quartile_S[[#This Row],[P/FCF Q3]]-Quartile_S[[#This Row],[P/FCF Q1]])</f>
        <v>34.997412060589184</v>
      </c>
      <c r="F26" s="1" cm="1">
        <f t="array" ref="F26">_xlfn.QUARTILE.INC(IF(Quartile_S[[#This Row],[Industry]]=Main_S[Industry],Main_S[P/B]),1)</f>
        <v>0.72881995100952801</v>
      </c>
      <c r="G26" s="1" cm="1">
        <f t="array" ref="G26">_xlfn.QUARTILE.INC(IF(Quartile_S[[#This Row],[Industry]]=Main_S[Industry],Main_S[P/B]),3)</f>
        <v>1.3987392677144965</v>
      </c>
      <c r="H26" s="1">
        <f>Quartile_S[[#This Row],[P/B Q1]]-1.5*(Quartile_S[[#This Row],[P/B Q3]]-Quartile_S[[#This Row],[P/B Q1]])</f>
        <v>-0.27605902404792471</v>
      </c>
      <c r="I26" s="1">
        <f>Quartile_S[[#This Row],[P/B Q3]]+1.5*(Quartile_S[[#This Row],[P/B Q3]]-Quartile_S[[#This Row],[P/B Q1]])</f>
        <v>2.403618242771949</v>
      </c>
      <c r="J26" s="1" cm="1">
        <f t="array" ref="J26">_xlfn.QUARTILE.INC(IF(Quartile_S[[#This Row],[Industry]]=Main_S[Industry],Main_S[ROE]),1)</f>
        <v>-53.274999999999999</v>
      </c>
      <c r="K26" s="1" cm="1">
        <f t="array" ref="K26">_xlfn.QUARTILE.INC(IF(Quartile_S[[#This Row],[Industry]]=Main_S[Industry],Main_S[ROE]),3)</f>
        <v>7.2899999999999991</v>
      </c>
      <c r="L26" s="1">
        <f>Quartile_S[[#This Row],[ROE Q1]]-1.5*(Quartile_S[[#This Row],[ROE Q3]]-Quartile_S[[#This Row],[ROE Q1]])</f>
        <v>-144.1225</v>
      </c>
      <c r="M26" s="1">
        <f>Quartile_S[[#This Row],[ROE Q3]]+1.5*(Quartile_S[[#This Row],[ROE Q3]]-Quartile_S[[#This Row],[ROE Q1]])</f>
        <v>98.137499999999989</v>
      </c>
      <c r="N26" s="1" cm="1">
        <f t="array" ref="N26">_xlfn.QUARTILE.INC(IF(Quartile_S[[#This Row],[Industry]]=Main_S[Industry],Main_S[ROA]),1)</f>
        <v>-1.6975000000000002</v>
      </c>
      <c r="O26" s="1" cm="1">
        <f t="array" ref="O26">_xlfn.QUARTILE.INC(IF(Quartile_S[[#This Row],[Industry]]=Main_S[Industry],Main_S[ROA]),3)</f>
        <v>4.8074999999999992</v>
      </c>
      <c r="P26" s="1">
        <f>Quartile_S[[#This Row],[ROA Q1]]-1.5*(Quartile_S[[#This Row],[ROA Q3]]-Quartile_S[[#This Row],[ROA Q1]])</f>
        <v>-11.454999999999998</v>
      </c>
      <c r="Q26" s="1">
        <f>Quartile_S[[#This Row],[ROA Q3]]+1.5*(Quartile_S[[#This Row],[ROA Q3]]-Quartile_S[[#This Row],[ROA Q1]])</f>
        <v>14.564999999999998</v>
      </c>
      <c r="R26" s="1" cm="1">
        <f t="array" ref="R26">_xlfn.QUARTILE.INC(IF(Quartile_S[[#This Row],[Industry]]=Main_S[Industry],Main_S[P/E]),1)</f>
        <v>-9.8676013805004317</v>
      </c>
      <c r="S26" s="1" cm="1">
        <f t="array" ref="S26">_xlfn.QUARTILE.INC(IF(Quartile_S[[#This Row],[Industry]]=Main_S[Industry],Main_S[P/E]),3)</f>
        <v>-0.66319687938288918</v>
      </c>
      <c r="T26" s="1">
        <f>Quartile_S[[#This Row],[P/E Q1]]-1.5*(Quartile_S[[#This Row],[P/E Q3]]-Quartile_S[[#This Row],[P/E Q1]])</f>
        <v>-23.674208132176744</v>
      </c>
      <c r="U26" s="1">
        <f>Quartile_S[[#This Row],[P/E Q3]]+1.5*(Quartile_S[[#This Row],[P/E Q3]]-Quartile_S[[#This Row],[P/E Q1]])</f>
        <v>13.143409872293423</v>
      </c>
      <c r="V26" s="1" cm="1">
        <f t="array" ref="V26">_xlfn.QUARTILE.INC(IF(Quartile_S[[#This Row],[Industry]]=Main_S[Industry],Main_S[A/E]),1)</f>
        <v>1.8149999999999999</v>
      </c>
      <c r="W26" s="1" cm="1">
        <f t="array" ref="W26">_xlfn.QUARTILE.INC(IF(Quartile_S[[#This Row],[Industry]]=Main_S[Industry],Main_S[A/E]),3)</f>
        <v>3.6375000000000002</v>
      </c>
      <c r="X26" s="1">
        <f>Quartile_S[[#This Row],[A/E Q1]]-1.5*(Quartile_S[[#This Row],[A/E Q3]]-Quartile_S[[#This Row],[A/E Q1]])</f>
        <v>-0.91875000000000062</v>
      </c>
      <c r="Y26" s="1">
        <f>Quartile_S[[#This Row],[A/E Q3]]+1.5*(Quartile_S[[#This Row],[A/E Q3]]-Quartile_S[[#This Row],[A/E Q1]])</f>
        <v>6.3712500000000007</v>
      </c>
    </row>
    <row r="27" spans="1:25" x14ac:dyDescent="0.25">
      <c r="A27" t="s">
        <v>189</v>
      </c>
      <c r="B27" s="1" cm="1">
        <f t="array" ref="B27">_xlfn.QUARTILE.INC(IF(Quartile_S[[#This Row],[Industry]]=Main_S[Industry],Main_S[P/FCF]),1)</f>
        <v>-7.3527597402597396</v>
      </c>
      <c r="C27" s="1" cm="1">
        <f t="array" ref="C27">_xlfn.QUARTILE.INC(IF(Quartile_S[[#This Row],[Industry]]=Main_S[Industry],Main_S[P/FCF]),3)</f>
        <v>20.201546902013273</v>
      </c>
      <c r="D27" s="1">
        <f>Quartile_S[[#This Row],[P/FCF Q1]]-1.5*(Quartile_S[[#This Row],[P/FCF Q3]]-Quartile_S[[#This Row],[P/FCF Q1]])</f>
        <v>-48.684219703669257</v>
      </c>
      <c r="E27" s="1">
        <f>Quartile_S[[#This Row],[P/FCF Q3]]+1.5*(Quartile_S[[#This Row],[P/FCF Q3]]-Quartile_S[[#This Row],[P/FCF Q1]])</f>
        <v>61.533006865422792</v>
      </c>
      <c r="F27" s="1" cm="1">
        <f t="array" ref="F27">_xlfn.QUARTILE.INC(IF(Quartile_S[[#This Row],[Industry]]=Main_S[Industry],Main_S[P/B]),1)</f>
        <v>1.5803288752880726</v>
      </c>
      <c r="G27" s="1" cm="1">
        <f t="array" ref="G27">_xlfn.QUARTILE.INC(IF(Quartile_S[[#This Row],[Industry]]=Main_S[Industry],Main_S[P/B]),3)</f>
        <v>4.9420459903133178</v>
      </c>
      <c r="H27" s="1">
        <f>Quartile_S[[#This Row],[P/B Q1]]-1.5*(Quartile_S[[#This Row],[P/B Q3]]-Quartile_S[[#This Row],[P/B Q1]])</f>
        <v>-3.4622467972497946</v>
      </c>
      <c r="I27" s="1">
        <f>Quartile_S[[#This Row],[P/B Q3]]+1.5*(Quartile_S[[#This Row],[P/B Q3]]-Quartile_S[[#This Row],[P/B Q1]])</f>
        <v>9.9846216628511861</v>
      </c>
      <c r="J27" s="1" cm="1">
        <f t="array" ref="J27">_xlfn.QUARTILE.INC(IF(Quartile_S[[#This Row],[Industry]]=Main_S[Industry],Main_S[ROE]),1)</f>
        <v>-26.835000000000001</v>
      </c>
      <c r="K27" s="1" cm="1">
        <f t="array" ref="K27">_xlfn.QUARTILE.INC(IF(Quartile_S[[#This Row],[Industry]]=Main_S[Industry],Main_S[ROE]),3)</f>
        <v>10.43</v>
      </c>
      <c r="L27" s="1">
        <f>Quartile_S[[#This Row],[ROE Q1]]-1.5*(Quartile_S[[#This Row],[ROE Q3]]-Quartile_S[[#This Row],[ROE Q1]])</f>
        <v>-82.732500000000002</v>
      </c>
      <c r="M27" s="1">
        <f>Quartile_S[[#This Row],[ROE Q3]]+1.5*(Quartile_S[[#This Row],[ROE Q3]]-Quartile_S[[#This Row],[ROE Q1]])</f>
        <v>66.327500000000001</v>
      </c>
      <c r="N27" s="1" cm="1">
        <f t="array" ref="N27">_xlfn.QUARTILE.INC(IF(Quartile_S[[#This Row],[Industry]]=Main_S[Industry],Main_S[ROA]),1)</f>
        <v>-8.52</v>
      </c>
      <c r="O27" s="1" cm="1">
        <f t="array" ref="O27">_xlfn.QUARTILE.INC(IF(Quartile_S[[#This Row],[Industry]]=Main_S[Industry],Main_S[ROA]),3)</f>
        <v>5.43</v>
      </c>
      <c r="P27" s="1">
        <f>Quartile_S[[#This Row],[ROA Q1]]-1.5*(Quartile_S[[#This Row],[ROA Q3]]-Quartile_S[[#This Row],[ROA Q1]])</f>
        <v>-29.444999999999997</v>
      </c>
      <c r="Q27" s="1">
        <f>Quartile_S[[#This Row],[ROA Q3]]+1.5*(Quartile_S[[#This Row],[ROA Q3]]-Quartile_S[[#This Row],[ROA Q1]])</f>
        <v>26.354999999999997</v>
      </c>
      <c r="R27" s="1" cm="1">
        <f t="array" ref="R27">_xlfn.QUARTILE.INC(IF(Quartile_S[[#This Row],[Industry]]=Main_S[Industry],Main_S[P/E]),1)</f>
        <v>-6.1855335157318745</v>
      </c>
      <c r="S27" s="1" cm="1">
        <f t="array" ref="S27">_xlfn.QUARTILE.INC(IF(Quartile_S[[#This Row],[Industry]]=Main_S[Industry],Main_S[P/E]),3)</f>
        <v>25.784135367762129</v>
      </c>
      <c r="T27" s="1">
        <f>Quartile_S[[#This Row],[P/E Q1]]-1.5*(Quartile_S[[#This Row],[P/E Q3]]-Quartile_S[[#This Row],[P/E Q1]])</f>
        <v>-54.140036840972883</v>
      </c>
      <c r="U27" s="1">
        <f>Quartile_S[[#This Row],[P/E Q3]]+1.5*(Quartile_S[[#This Row],[P/E Q3]]-Quartile_S[[#This Row],[P/E Q1]])</f>
        <v>73.738638693003139</v>
      </c>
      <c r="V27" s="1" cm="1">
        <f t="array" ref="V27">_xlfn.QUARTILE.INC(IF(Quartile_S[[#This Row],[Industry]]=Main_S[Industry],Main_S[A/E]),1)</f>
        <v>1.42</v>
      </c>
      <c r="W27" s="1" cm="1">
        <f t="array" ref="W27">_xlfn.QUARTILE.INC(IF(Quartile_S[[#This Row],[Industry]]=Main_S[Industry],Main_S[A/E]),3)</f>
        <v>2.0924999999999998</v>
      </c>
      <c r="X27" s="1">
        <f>Quartile_S[[#This Row],[A/E Q1]]-1.5*(Quartile_S[[#This Row],[A/E Q3]]-Quartile_S[[#This Row],[A/E Q1]])</f>
        <v>0.41125000000000012</v>
      </c>
      <c r="Y27" s="1">
        <f>Quartile_S[[#This Row],[A/E Q3]]+1.5*(Quartile_S[[#This Row],[A/E Q3]]-Quartile_S[[#This Row],[A/E Q1]])</f>
        <v>3.1012499999999994</v>
      </c>
    </row>
    <row r="28" spans="1:25" x14ac:dyDescent="0.25">
      <c r="A28" t="s">
        <v>202</v>
      </c>
      <c r="B28" s="1" cm="1">
        <f t="array" ref="B28">_xlfn.QUARTILE.INC(IF(Quartile_S[[#This Row],[Industry]]=Main_S[Industry],Main_S[P/FCF]),1)</f>
        <v>-4.132285974499089</v>
      </c>
      <c r="C28" s="1" cm="1">
        <f t="array" ref="C28">_xlfn.QUARTILE.INC(IF(Quartile_S[[#This Row],[Industry]]=Main_S[Industry],Main_S[P/FCF]),3)</f>
        <v>26.029635215909725</v>
      </c>
      <c r="D28" s="1">
        <f>Quartile_S[[#This Row],[P/FCF Q1]]-1.5*(Quartile_S[[#This Row],[P/FCF Q3]]-Quartile_S[[#This Row],[P/FCF Q1]])</f>
        <v>-49.375167760112312</v>
      </c>
      <c r="E28" s="1">
        <f>Quartile_S[[#This Row],[P/FCF Q3]]+1.5*(Quartile_S[[#This Row],[P/FCF Q3]]-Quartile_S[[#This Row],[P/FCF Q1]])</f>
        <v>71.272517001522942</v>
      </c>
      <c r="F28" s="1" cm="1">
        <f t="array" ref="F28">_xlfn.QUARTILE.INC(IF(Quartile_S[[#This Row],[Industry]]=Main_S[Industry],Main_S[P/B]),1)</f>
        <v>1.1221809237072442</v>
      </c>
      <c r="G28" s="1" cm="1">
        <f t="array" ref="G28">_xlfn.QUARTILE.INC(IF(Quartile_S[[#This Row],[Industry]]=Main_S[Industry],Main_S[P/B]),3)</f>
        <v>2.068445209746236</v>
      </c>
      <c r="H28" s="1">
        <f>Quartile_S[[#This Row],[P/B Q1]]-1.5*(Quartile_S[[#This Row],[P/B Q3]]-Quartile_S[[#This Row],[P/B Q1]])</f>
        <v>-0.29721550535124353</v>
      </c>
      <c r="I28" s="1">
        <f>Quartile_S[[#This Row],[P/B Q3]]+1.5*(Quartile_S[[#This Row],[P/B Q3]]-Quartile_S[[#This Row],[P/B Q1]])</f>
        <v>3.4878416388047238</v>
      </c>
      <c r="J28" s="1" cm="1">
        <f t="array" ref="J28">_xlfn.QUARTILE.INC(IF(Quartile_S[[#This Row],[Industry]]=Main_S[Industry],Main_S[ROE]),1)</f>
        <v>-9.4649999999999999</v>
      </c>
      <c r="K28" s="1" cm="1">
        <f t="array" ref="K28">_xlfn.QUARTILE.INC(IF(Quartile_S[[#This Row],[Industry]]=Main_S[Industry],Main_S[ROE]),3)</f>
        <v>9.3500000000000014</v>
      </c>
      <c r="L28" s="1">
        <f>Quartile_S[[#This Row],[ROE Q1]]-1.5*(Quartile_S[[#This Row],[ROE Q3]]-Quartile_S[[#This Row],[ROE Q1]])</f>
        <v>-37.6875</v>
      </c>
      <c r="M28" s="1">
        <f>Quartile_S[[#This Row],[ROE Q3]]+1.5*(Quartile_S[[#This Row],[ROE Q3]]-Quartile_S[[#This Row],[ROE Q1]])</f>
        <v>37.572500000000005</v>
      </c>
      <c r="N28" s="1" cm="1">
        <f t="array" ref="N28">_xlfn.QUARTILE.INC(IF(Quartile_S[[#This Row],[Industry]]=Main_S[Industry],Main_S[ROA]),1)</f>
        <v>-4.665</v>
      </c>
      <c r="O28" s="1" cm="1">
        <f t="array" ref="O28">_xlfn.QUARTILE.INC(IF(Quartile_S[[#This Row],[Industry]]=Main_S[Industry],Main_S[ROA]),3)</f>
        <v>2.8099999999999996</v>
      </c>
      <c r="P28" s="1">
        <f>Quartile_S[[#This Row],[ROA Q1]]-1.5*(Quartile_S[[#This Row],[ROA Q3]]-Quartile_S[[#This Row],[ROA Q1]])</f>
        <v>-15.877499999999998</v>
      </c>
      <c r="Q28" s="1">
        <f>Quartile_S[[#This Row],[ROA Q3]]+1.5*(Quartile_S[[#This Row],[ROA Q3]]-Quartile_S[[#This Row],[ROA Q1]])</f>
        <v>14.022499999999997</v>
      </c>
      <c r="R28" s="1" cm="1">
        <f t="array" ref="R28">_xlfn.QUARTILE.INC(IF(Quartile_S[[#This Row],[Industry]]=Main_S[Industry],Main_S[P/E]),1)</f>
        <v>-4.7136323339780786</v>
      </c>
      <c r="S28" s="1" cm="1">
        <f t="array" ref="S28">_xlfn.QUARTILE.INC(IF(Quartile_S[[#This Row],[Industry]]=Main_S[Industry],Main_S[P/E]),3)</f>
        <v>18.411030595813202</v>
      </c>
      <c r="T28" s="1">
        <f>Quartile_S[[#This Row],[P/E Q1]]-1.5*(Quartile_S[[#This Row],[P/E Q3]]-Quartile_S[[#This Row],[P/E Q1]])</f>
        <v>-39.400626728664996</v>
      </c>
      <c r="U28" s="1">
        <f>Quartile_S[[#This Row],[P/E Q3]]+1.5*(Quartile_S[[#This Row],[P/E Q3]]-Quartile_S[[#This Row],[P/E Q1]])</f>
        <v>53.098024990500122</v>
      </c>
      <c r="V28" s="1" cm="1">
        <f t="array" ref="V28">_xlfn.QUARTILE.INC(IF(Quartile_S[[#This Row],[Industry]]=Main_S[Industry],Main_S[A/E]),1)</f>
        <v>1.28</v>
      </c>
      <c r="W28" s="1" cm="1">
        <f t="array" ref="W28">_xlfn.QUARTILE.INC(IF(Quartile_S[[#This Row],[Industry]]=Main_S[Industry],Main_S[A/E]),3)</f>
        <v>2.44</v>
      </c>
      <c r="X28" s="1">
        <f>Quartile_S[[#This Row],[A/E Q1]]-1.5*(Quartile_S[[#This Row],[A/E Q3]]-Quartile_S[[#This Row],[A/E Q1]])</f>
        <v>-0.45999999999999974</v>
      </c>
      <c r="Y28" s="1">
        <f>Quartile_S[[#This Row],[A/E Q3]]+1.5*(Quartile_S[[#This Row],[A/E Q3]]-Quartile_S[[#This Row],[A/E Q1]])</f>
        <v>4.18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45.5703125" bestFit="1" customWidth="1"/>
    <col min="2" max="2" width="14.85546875" bestFit="1" customWidth="1"/>
    <col min="3" max="3" width="15.4257812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168</v>
      </c>
      <c r="B5" s="1">
        <v>22.171115644543875</v>
      </c>
      <c r="C5" s="1">
        <v>9.3936328582771615</v>
      </c>
      <c r="E5" s="6" t="s">
        <v>168</v>
      </c>
      <c r="F5" s="1">
        <v>4.8253974485418505</v>
      </c>
      <c r="G5" s="1">
        <v>3.3158590456583261</v>
      </c>
      <c r="I5" s="6" t="s">
        <v>168</v>
      </c>
      <c r="J5" s="1">
        <v>13.022857142857143</v>
      </c>
      <c r="K5" s="1">
        <v>10.75327287624658</v>
      </c>
    </row>
    <row r="6" spans="1:11" x14ac:dyDescent="0.25">
      <c r="A6" s="6" t="s">
        <v>189</v>
      </c>
      <c r="B6" s="1">
        <v>28.827241546422815</v>
      </c>
      <c r="C6" s="1">
        <v>12.776096255385035</v>
      </c>
      <c r="E6" s="6" t="s">
        <v>189</v>
      </c>
      <c r="F6" s="1">
        <v>5.8966970424759539</v>
      </c>
      <c r="G6" s="1">
        <v>3.6007046937448046</v>
      </c>
      <c r="I6" s="6" t="s">
        <v>189</v>
      </c>
      <c r="J6" s="1">
        <v>18.954166666666669</v>
      </c>
      <c r="K6" s="1">
        <v>12.619155055135648</v>
      </c>
    </row>
    <row r="7" spans="1:11" x14ac:dyDescent="0.25">
      <c r="A7" s="6" t="s">
        <v>105</v>
      </c>
      <c r="B7" s="1">
        <v>21.604851518877503</v>
      </c>
      <c r="C7" s="1">
        <v>4.292778251917019</v>
      </c>
      <c r="E7" s="6" t="s">
        <v>105</v>
      </c>
      <c r="F7" s="1">
        <v>7.5844271127774601</v>
      </c>
      <c r="G7" s="1">
        <v>6.879311364785889</v>
      </c>
      <c r="I7" s="6" t="s">
        <v>105</v>
      </c>
      <c r="J7" s="1">
        <v>5.5406666666666666</v>
      </c>
      <c r="K7" s="1">
        <v>20.319410905721544</v>
      </c>
    </row>
    <row r="8" spans="1:11" x14ac:dyDescent="0.25">
      <c r="A8" s="6" t="s">
        <v>202</v>
      </c>
      <c r="B8" s="1">
        <v>36.974972880422008</v>
      </c>
      <c r="C8" s="1">
        <v>32.040974591492898</v>
      </c>
      <c r="E8" s="6" t="s">
        <v>202</v>
      </c>
      <c r="F8" s="1">
        <v>6.8121008551531439</v>
      </c>
      <c r="G8" s="1">
        <v>5.1864688403284207</v>
      </c>
      <c r="I8" s="6" t="s">
        <v>202</v>
      </c>
      <c r="J8" s="1">
        <v>16.981153846153852</v>
      </c>
      <c r="K8" s="1">
        <v>20.535758180628594</v>
      </c>
    </row>
    <row r="9" spans="1:11" x14ac:dyDescent="0.25">
      <c r="A9" s="6" t="s">
        <v>124</v>
      </c>
      <c r="B9" s="1">
        <v>43.265814896901752</v>
      </c>
      <c r="C9" s="1">
        <v>23.664212474175574</v>
      </c>
      <c r="E9" s="6" t="s">
        <v>124</v>
      </c>
      <c r="F9" s="1">
        <v>12.187156807437166</v>
      </c>
      <c r="G9" s="1">
        <v>7.7742684439180021</v>
      </c>
      <c r="I9" s="6" t="s">
        <v>124</v>
      </c>
      <c r="J9" s="1">
        <v>12.558055555555558</v>
      </c>
      <c r="K9" s="1">
        <v>20.095028658220205</v>
      </c>
    </row>
    <row r="10" spans="1:11" x14ac:dyDescent="0.25">
      <c r="A10" s="6" t="s">
        <v>178</v>
      </c>
      <c r="B10" s="1">
        <v>23.519206615947748</v>
      </c>
      <c r="C10" s="1">
        <v>10.219794583283107</v>
      </c>
      <c r="E10" s="6" t="s">
        <v>178</v>
      </c>
      <c r="F10" s="1">
        <v>-0.73777178460327097</v>
      </c>
      <c r="G10" s="1">
        <v>26.206096885164413</v>
      </c>
      <c r="I10" s="6" t="s">
        <v>178</v>
      </c>
      <c r="J10" s="1">
        <v>3.985555555555556</v>
      </c>
      <c r="K10" s="1">
        <v>98.000946266532566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168</v>
      </c>
      <c r="B25" s="1">
        <v>6.6637499999999994</v>
      </c>
      <c r="C25" s="1">
        <v>4.8019447557734365</v>
      </c>
      <c r="E25" s="6" t="s">
        <v>168</v>
      </c>
      <c r="F25" s="1">
        <v>2.3937499999999998</v>
      </c>
      <c r="G25" s="1">
        <v>0.82648256938667497</v>
      </c>
      <c r="I25" s="6" t="s">
        <v>168</v>
      </c>
      <c r="J25" s="1">
        <v>35.846862024767894</v>
      </c>
      <c r="K25" s="1">
        <v>12.587071821845921</v>
      </c>
    </row>
    <row r="26" spans="1:11" x14ac:dyDescent="0.25">
      <c r="A26" s="6" t="s">
        <v>189</v>
      </c>
      <c r="B26" s="1">
        <v>5.0718181818181813</v>
      </c>
      <c r="C26" s="1">
        <v>1.9358334741576886</v>
      </c>
      <c r="E26" s="6" t="s">
        <v>189</v>
      </c>
      <c r="F26" s="1">
        <v>2.7545454545454549</v>
      </c>
      <c r="G26" s="1">
        <v>1.3101170220901055</v>
      </c>
      <c r="I26" s="6" t="s">
        <v>189</v>
      </c>
      <c r="J26" s="1">
        <v>30.420545819609252</v>
      </c>
      <c r="K26" s="1">
        <v>10.520538197085861</v>
      </c>
    </row>
    <row r="27" spans="1:11" x14ac:dyDescent="0.25">
      <c r="A27" s="6" t="s">
        <v>105</v>
      </c>
      <c r="B27" s="1">
        <v>4.4823529411764698</v>
      </c>
      <c r="C27" s="1">
        <v>6.276609734385711</v>
      </c>
      <c r="E27" s="6" t="s">
        <v>105</v>
      </c>
      <c r="F27" s="1">
        <v>1.6328571428571428</v>
      </c>
      <c r="G27" s="1">
        <v>0.88427879064910053</v>
      </c>
      <c r="I27" s="6" t="s">
        <v>105</v>
      </c>
      <c r="J27" s="1">
        <v>26.859327661008116</v>
      </c>
      <c r="K27" s="1">
        <v>7.7898303108733353</v>
      </c>
    </row>
    <row r="28" spans="1:11" x14ac:dyDescent="0.25">
      <c r="A28" s="6" t="s">
        <v>202</v>
      </c>
      <c r="B28" s="1">
        <v>7.5323076923076924</v>
      </c>
      <c r="C28" s="1">
        <v>5.5237865410856779</v>
      </c>
      <c r="E28" s="6" t="s">
        <v>202</v>
      </c>
      <c r="F28" s="1">
        <v>1.7477777777777774</v>
      </c>
      <c r="G28" s="1">
        <v>0.48091219906535754</v>
      </c>
      <c r="I28" s="6" t="s">
        <v>202</v>
      </c>
      <c r="J28" s="1">
        <v>30.233485771313742</v>
      </c>
      <c r="K28" s="1">
        <v>17.101152510939226</v>
      </c>
    </row>
    <row r="29" spans="1:11" x14ac:dyDescent="0.25">
      <c r="A29" s="6" t="s">
        <v>124</v>
      </c>
      <c r="B29" s="1">
        <v>4.2786486486486481</v>
      </c>
      <c r="C29" s="1">
        <v>5.3972666566548968</v>
      </c>
      <c r="E29" s="6" t="s">
        <v>124</v>
      </c>
      <c r="F29" s="1">
        <v>1.8812121212121209</v>
      </c>
      <c r="G29" s="1">
        <v>0.57910985808554838</v>
      </c>
      <c r="I29" s="6" t="s">
        <v>124</v>
      </c>
      <c r="J29" s="1">
        <v>48.939112557797323</v>
      </c>
      <c r="K29" s="1">
        <v>38.678986310382044</v>
      </c>
    </row>
    <row r="30" spans="1:11" x14ac:dyDescent="0.25">
      <c r="A30" s="6" t="s">
        <v>178</v>
      </c>
      <c r="B30" s="1">
        <v>7.7666666666666657</v>
      </c>
      <c r="C30" s="1">
        <v>4.2117665863361653</v>
      </c>
      <c r="E30" s="6" t="s">
        <v>178</v>
      </c>
      <c r="F30" s="1">
        <v>2.13375</v>
      </c>
      <c r="G30" s="1">
        <v>4.8092825283507716</v>
      </c>
      <c r="I30" s="6" t="s">
        <v>178</v>
      </c>
      <c r="J30" s="1">
        <v>15.49855977467875</v>
      </c>
      <c r="K30" s="1">
        <v>3.8440941184003665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45.5703125" bestFit="1" customWidth="1"/>
    <col min="2" max="2" width="16.28515625" bestFit="1" customWidth="1"/>
    <col min="3" max="3" width="16.8554687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168</v>
      </c>
      <c r="B5" s="1">
        <v>4.4020500362272479</v>
      </c>
      <c r="C5" s="1">
        <v>57.263322005986986</v>
      </c>
      <c r="E5" s="6" t="s">
        <v>168</v>
      </c>
      <c r="F5" s="1">
        <v>4.2168130662382497</v>
      </c>
      <c r="G5" s="1">
        <v>1.2535584708635332</v>
      </c>
      <c r="I5" s="6" t="s">
        <v>168</v>
      </c>
      <c r="J5" s="1">
        <v>-17.503333333333334</v>
      </c>
      <c r="K5" s="1">
        <v>22.115975121064764</v>
      </c>
    </row>
    <row r="6" spans="1:11" x14ac:dyDescent="0.25">
      <c r="A6" s="6" t="s">
        <v>189</v>
      </c>
      <c r="B6" s="1">
        <v>23.970504024318409</v>
      </c>
      <c r="C6" s="1">
        <v>15.65837773120839</v>
      </c>
      <c r="E6" s="6" t="s">
        <v>189</v>
      </c>
      <c r="F6" s="1">
        <v>2.7771108162300502</v>
      </c>
      <c r="G6" s="1">
        <v>1.4558982738697239</v>
      </c>
      <c r="I6" s="6" t="s">
        <v>189</v>
      </c>
      <c r="J6" s="1">
        <v>9.1268181818181819</v>
      </c>
      <c r="K6" s="1">
        <v>10.683651651158689</v>
      </c>
    </row>
    <row r="7" spans="1:11" x14ac:dyDescent="0.25">
      <c r="A7" s="6" t="s">
        <v>105</v>
      </c>
      <c r="B7" s="1">
        <v>11.714960873792785</v>
      </c>
      <c r="C7" s="1">
        <v>21.147923806499584</v>
      </c>
      <c r="E7" s="6" t="s">
        <v>105</v>
      </c>
      <c r="F7" s="1">
        <v>2.5103167708504359</v>
      </c>
      <c r="G7" s="1">
        <v>1.2971948613059361</v>
      </c>
      <c r="I7" s="6" t="s">
        <v>105</v>
      </c>
      <c r="J7" s="1">
        <v>-26.154444444444447</v>
      </c>
      <c r="K7" s="1">
        <v>66.182415105039823</v>
      </c>
    </row>
    <row r="8" spans="1:11" x14ac:dyDescent="0.25">
      <c r="A8" s="6" t="s">
        <v>202</v>
      </c>
      <c r="B8" s="1">
        <v>39.68477874029815</v>
      </c>
      <c r="C8" s="1">
        <v>31.94267931630722</v>
      </c>
      <c r="E8" s="6" t="s">
        <v>202</v>
      </c>
      <c r="F8" s="1">
        <v>4.7523073445360726</v>
      </c>
      <c r="G8" s="1">
        <v>2.3603839512090392</v>
      </c>
      <c r="I8" s="6" t="s">
        <v>202</v>
      </c>
      <c r="J8" s="1">
        <v>-0.59095238095238167</v>
      </c>
      <c r="K8" s="1">
        <v>32.522011872512252</v>
      </c>
    </row>
    <row r="9" spans="1:11" x14ac:dyDescent="0.25">
      <c r="A9" s="6" t="s">
        <v>124</v>
      </c>
      <c r="B9" s="1">
        <v>26.757348344239446</v>
      </c>
      <c r="C9" s="1">
        <v>27.815873530530592</v>
      </c>
      <c r="E9" s="6" t="s">
        <v>124</v>
      </c>
      <c r="F9" s="1">
        <v>6.9013351877499609</v>
      </c>
      <c r="G9" s="1">
        <v>4.9805453225264529</v>
      </c>
      <c r="I9" s="6" t="s">
        <v>124</v>
      </c>
      <c r="J9" s="1">
        <v>-10.985964912280702</v>
      </c>
      <c r="K9" s="1">
        <v>134.65462867673338</v>
      </c>
    </row>
    <row r="10" spans="1:11" x14ac:dyDescent="0.25">
      <c r="A10" s="6" t="s">
        <v>178</v>
      </c>
      <c r="B10" s="1">
        <v>-54.459016393442624</v>
      </c>
      <c r="C10" s="1">
        <v>0</v>
      </c>
      <c r="E10" s="6" t="s">
        <v>178</v>
      </c>
      <c r="F10" s="1">
        <v>19.202312138728324</v>
      </c>
      <c r="G10" s="1">
        <v>0</v>
      </c>
      <c r="I10" s="6" t="s">
        <v>178</v>
      </c>
      <c r="J10" s="1">
        <v>-41.155000000000001</v>
      </c>
      <c r="K10" s="1">
        <v>35.185000000000002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168</v>
      </c>
      <c r="B25" s="1">
        <v>-2.1133333333333337</v>
      </c>
      <c r="C25" s="1">
        <v>2.6608311149380048</v>
      </c>
      <c r="E25" s="6" t="s">
        <v>168</v>
      </c>
      <c r="F25" s="1">
        <v>2.8000000000000003</v>
      </c>
      <c r="G25" s="1">
        <v>1.371738556236817</v>
      </c>
      <c r="I25" s="6" t="s">
        <v>168</v>
      </c>
      <c r="J25" s="1">
        <v>126.15067441239317</v>
      </c>
      <c r="K25" s="1">
        <v>248.29958765425897</v>
      </c>
    </row>
    <row r="26" spans="1:11" x14ac:dyDescent="0.25">
      <c r="A26" s="6" t="s">
        <v>189</v>
      </c>
      <c r="B26" s="1">
        <v>4.77952380952381</v>
      </c>
      <c r="C26" s="1">
        <v>2.7426429314500833</v>
      </c>
      <c r="E26" s="6" t="s">
        <v>189</v>
      </c>
      <c r="F26" s="1">
        <v>2.1461904761904758</v>
      </c>
      <c r="G26" s="1">
        <v>0.7644074966022244</v>
      </c>
      <c r="I26" s="6" t="s">
        <v>189</v>
      </c>
      <c r="J26" s="1">
        <v>27.562794923949269</v>
      </c>
      <c r="K26" s="1">
        <v>16.142023292665606</v>
      </c>
    </row>
    <row r="27" spans="1:11" x14ac:dyDescent="0.25">
      <c r="A27" s="6" t="s">
        <v>105</v>
      </c>
      <c r="B27" s="1">
        <v>3.0262500000000001</v>
      </c>
      <c r="C27" s="1">
        <v>3.2470253213518374</v>
      </c>
      <c r="E27" s="6" t="s">
        <v>105</v>
      </c>
      <c r="F27" s="1">
        <v>2.67</v>
      </c>
      <c r="G27" s="1">
        <v>1.0883014288330237</v>
      </c>
      <c r="I27" s="6" t="s">
        <v>105</v>
      </c>
      <c r="J27" s="1">
        <v>18.310130397370244</v>
      </c>
      <c r="K27" s="1">
        <v>41.044123008534399</v>
      </c>
    </row>
    <row r="28" spans="1:11" x14ac:dyDescent="0.25">
      <c r="A28" s="6" t="s">
        <v>202</v>
      </c>
      <c r="B28" s="1">
        <v>2.205714285714286</v>
      </c>
      <c r="C28" s="1">
        <v>5.7304513006257656</v>
      </c>
      <c r="E28" s="6" t="s">
        <v>202</v>
      </c>
      <c r="F28" s="1">
        <v>1.4630000000000001</v>
      </c>
      <c r="G28" s="1">
        <v>0.40339930589925449</v>
      </c>
      <c r="I28" s="6" t="s">
        <v>202</v>
      </c>
      <c r="J28" s="1">
        <v>7.3502327619089316</v>
      </c>
      <c r="K28" s="1">
        <v>43.669503002981791</v>
      </c>
    </row>
    <row r="29" spans="1:11" x14ac:dyDescent="0.25">
      <c r="A29" s="6" t="s">
        <v>124</v>
      </c>
      <c r="B29" s="1">
        <v>4.2916666666666693E-2</v>
      </c>
      <c r="C29" s="1">
        <v>7.2907101158292917</v>
      </c>
      <c r="E29" s="6" t="s">
        <v>124</v>
      </c>
      <c r="F29" s="1">
        <v>2.0410000000000004</v>
      </c>
      <c r="G29" s="1">
        <v>0.84647327187572785</v>
      </c>
      <c r="I29" s="6" t="s">
        <v>124</v>
      </c>
      <c r="J29" s="1">
        <v>-12.663309795250001</v>
      </c>
      <c r="K29" s="1">
        <v>61.129674106547967</v>
      </c>
    </row>
    <row r="30" spans="1:11" x14ac:dyDescent="0.25">
      <c r="A30" s="6" t="s">
        <v>178</v>
      </c>
      <c r="B30" s="1">
        <v>-14.695</v>
      </c>
      <c r="C30" s="1">
        <v>12.664999999999999</v>
      </c>
      <c r="E30" s="6" t="s">
        <v>178</v>
      </c>
      <c r="F30" s="1">
        <v>1.2549999999999999</v>
      </c>
      <c r="G30" s="1">
        <v>6.5000000000002819E-2</v>
      </c>
      <c r="I30" s="6" t="s">
        <v>178</v>
      </c>
      <c r="J30" s="1">
        <v>-21.294871794871792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45.5703125" bestFit="1" customWidth="1"/>
    <col min="2" max="2" width="16.28515625" bestFit="1" customWidth="1"/>
    <col min="3" max="3" width="16.85546875" bestFit="1" customWidth="1"/>
    <col min="5" max="5" width="45.5703125" bestFit="1" customWidth="1"/>
    <col min="6" max="6" width="14" bestFit="1" customWidth="1"/>
    <col min="7" max="7" width="14.5703125" bestFit="1" customWidth="1"/>
    <col min="9" max="9" width="45.5703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168</v>
      </c>
      <c r="B5" s="1">
        <v>15.62919536189818</v>
      </c>
      <c r="C5" s="1">
        <v>16.617637050642504</v>
      </c>
      <c r="E5" s="6" t="s">
        <v>168</v>
      </c>
      <c r="F5" s="1">
        <v>2.0369495272010321</v>
      </c>
      <c r="G5" s="1">
        <v>1.5405371095693707</v>
      </c>
      <c r="I5" s="6" t="s">
        <v>168</v>
      </c>
      <c r="J5" s="1">
        <v>-3.7424999999999997</v>
      </c>
      <c r="K5" s="1">
        <v>20.221672830983429</v>
      </c>
    </row>
    <row r="6" spans="1:11" x14ac:dyDescent="0.25">
      <c r="A6" s="6" t="s">
        <v>189</v>
      </c>
      <c r="B6" s="1">
        <v>10.11714287002242</v>
      </c>
      <c r="C6" s="1">
        <v>17.25358494633165</v>
      </c>
      <c r="E6" s="6" t="s">
        <v>189</v>
      </c>
      <c r="F6" s="1">
        <v>2.859262469099539</v>
      </c>
      <c r="G6" s="1">
        <v>1.8360384411632258</v>
      </c>
      <c r="I6" s="6" t="s">
        <v>189</v>
      </c>
      <c r="J6" s="1">
        <v>-1.2814285714285703</v>
      </c>
      <c r="K6" s="1">
        <v>19.759021637075602</v>
      </c>
    </row>
    <row r="7" spans="1:11" x14ac:dyDescent="0.25">
      <c r="A7" s="6" t="s">
        <v>105</v>
      </c>
      <c r="B7" s="1">
        <v>5.8491407181720794</v>
      </c>
      <c r="C7" s="1">
        <v>12.988510611363896</v>
      </c>
      <c r="E7" s="6" t="s">
        <v>105</v>
      </c>
      <c r="F7" s="1">
        <v>2.6357191091908669</v>
      </c>
      <c r="G7" s="1">
        <v>2.3780743921027505</v>
      </c>
      <c r="I7" s="6" t="s">
        <v>105</v>
      </c>
      <c r="J7" s="1">
        <v>-10.89</v>
      </c>
      <c r="K7" s="1">
        <v>40.544967423014825</v>
      </c>
    </row>
    <row r="8" spans="1:11" x14ac:dyDescent="0.25">
      <c r="A8" s="6" t="s">
        <v>202</v>
      </c>
      <c r="B8" s="1">
        <v>16.127055323708536</v>
      </c>
      <c r="C8" s="1">
        <v>21.943966334630289</v>
      </c>
      <c r="E8" s="6" t="s">
        <v>202</v>
      </c>
      <c r="F8" s="1">
        <v>1.3677844242217008</v>
      </c>
      <c r="G8" s="1">
        <v>0.73899146958777417</v>
      </c>
      <c r="I8" s="6" t="s">
        <v>202</v>
      </c>
      <c r="J8" s="1">
        <v>0.89826086956521745</v>
      </c>
      <c r="K8" s="1">
        <v>12.466179866089139</v>
      </c>
    </row>
    <row r="9" spans="1:11" x14ac:dyDescent="0.25">
      <c r="A9" s="6" t="s">
        <v>124</v>
      </c>
      <c r="B9" s="1">
        <v>11.98216042225277</v>
      </c>
      <c r="C9" s="1">
        <v>22.994101922803861</v>
      </c>
      <c r="E9" s="6" t="s">
        <v>124</v>
      </c>
      <c r="F9" s="1">
        <v>3.4312579189160508</v>
      </c>
      <c r="G9" s="1">
        <v>3.1154970612809878</v>
      </c>
      <c r="I9" s="6" t="s">
        <v>124</v>
      </c>
      <c r="J9" s="1">
        <v>-2.8720312499999987</v>
      </c>
      <c r="K9" s="1">
        <v>31.726801474644805</v>
      </c>
    </row>
    <row r="10" spans="1:11" x14ac:dyDescent="0.25">
      <c r="A10" s="6" t="s">
        <v>178</v>
      </c>
      <c r="B10" s="1">
        <v>2.906820744801017</v>
      </c>
      <c r="C10" s="1">
        <v>8.0154788724227668</v>
      </c>
      <c r="E10" s="6" t="s">
        <v>178</v>
      </c>
      <c r="F10" s="1">
        <v>1.2009710609800108</v>
      </c>
      <c r="G10" s="1">
        <v>0.47911313279332851</v>
      </c>
      <c r="I10" s="6" t="s">
        <v>178</v>
      </c>
      <c r="J10" s="1">
        <v>-17.400000000000002</v>
      </c>
      <c r="K10" s="1">
        <v>44.32787798515362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168</v>
      </c>
      <c r="B25" s="1">
        <v>0.18153846153846157</v>
      </c>
      <c r="C25" s="1">
        <v>4.5590920927372345</v>
      </c>
      <c r="E25" s="6" t="s">
        <v>168</v>
      </c>
      <c r="F25" s="1">
        <v>1.9418181818181817</v>
      </c>
      <c r="G25" s="1">
        <v>0.67899415155893605</v>
      </c>
      <c r="I25" s="6" t="s">
        <v>168</v>
      </c>
      <c r="J25" s="1">
        <v>5.2344882475829229</v>
      </c>
      <c r="K25" s="1">
        <v>21.012119117449515</v>
      </c>
    </row>
    <row r="26" spans="1:11" x14ac:dyDescent="0.25">
      <c r="A26" s="6" t="s">
        <v>189</v>
      </c>
      <c r="B26" s="1">
        <v>0.78142857142857158</v>
      </c>
      <c r="C26" s="1">
        <v>8.7366825379378117</v>
      </c>
      <c r="E26" s="6" t="s">
        <v>189</v>
      </c>
      <c r="F26" s="1">
        <v>1.81</v>
      </c>
      <c r="G26" s="1">
        <v>0.48782569944958665</v>
      </c>
      <c r="I26" s="6" t="s">
        <v>189</v>
      </c>
      <c r="J26" s="1">
        <v>13.020153200584044</v>
      </c>
      <c r="K26" s="1">
        <v>24.606871775079025</v>
      </c>
    </row>
    <row r="27" spans="1:11" x14ac:dyDescent="0.25">
      <c r="A27" s="6" t="s">
        <v>105</v>
      </c>
      <c r="B27" s="1">
        <v>1.1646153846153848</v>
      </c>
      <c r="C27" s="1">
        <v>5.9626550815305235</v>
      </c>
      <c r="E27" s="6" t="s">
        <v>105</v>
      </c>
      <c r="F27" s="1">
        <v>2.6209090909090906</v>
      </c>
      <c r="G27" s="1">
        <v>1.314841535875259</v>
      </c>
      <c r="I27" s="6" t="s">
        <v>105</v>
      </c>
      <c r="J27" s="1">
        <v>3.1811680030243026</v>
      </c>
      <c r="K27" s="1">
        <v>14.412894794607427</v>
      </c>
    </row>
    <row r="28" spans="1:11" x14ac:dyDescent="0.25">
      <c r="A28" s="6" t="s">
        <v>202</v>
      </c>
      <c r="B28" s="1">
        <v>0.32956521739130451</v>
      </c>
      <c r="C28" s="1">
        <v>5.0104147864925519</v>
      </c>
      <c r="E28" s="6" t="s">
        <v>202</v>
      </c>
      <c r="F28" s="1">
        <v>1.6766666666666667</v>
      </c>
      <c r="G28" s="1">
        <v>0.83875238035760902</v>
      </c>
      <c r="I28" s="6" t="s">
        <v>202</v>
      </c>
      <c r="J28" s="1">
        <v>5.6699835540416164</v>
      </c>
      <c r="K28" s="1">
        <v>19.262344263867121</v>
      </c>
    </row>
    <row r="29" spans="1:11" x14ac:dyDescent="0.25">
      <c r="A29" s="6" t="s">
        <v>124</v>
      </c>
      <c r="B29" s="1">
        <v>-0.77806451612903216</v>
      </c>
      <c r="C29" s="1">
        <v>5.804442358453727</v>
      </c>
      <c r="E29" s="6" t="s">
        <v>124</v>
      </c>
      <c r="F29" s="1">
        <v>1.8767241379310342</v>
      </c>
      <c r="G29" s="1">
        <v>0.9281839664766135</v>
      </c>
      <c r="I29" s="6" t="s">
        <v>124</v>
      </c>
      <c r="J29" s="1">
        <v>-6.7075961416272012</v>
      </c>
      <c r="K29" s="1">
        <v>29.120984056790054</v>
      </c>
    </row>
    <row r="30" spans="1:11" x14ac:dyDescent="0.25">
      <c r="A30" s="6" t="s">
        <v>178</v>
      </c>
      <c r="B30" s="1">
        <v>1.8899999999999997</v>
      </c>
      <c r="C30" s="1">
        <v>3.0470559561649013</v>
      </c>
      <c r="E30" s="6" t="s">
        <v>178</v>
      </c>
      <c r="F30" s="1">
        <v>2.6774999999999998</v>
      </c>
      <c r="G30" s="1">
        <v>0.83121522483650501</v>
      </c>
      <c r="I30" s="6" t="s">
        <v>178</v>
      </c>
      <c r="J30" s="1">
        <v>-2.7881582036525878</v>
      </c>
      <c r="K30" s="1">
        <v>6.2865545728311876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8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Information Technology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8">_xlfn._xlws.FILTER(_xlfn._xlws.FILTER(Main_L[], Main_L[Preliminary Criteria]="YES"), COUNTIF($A$8:$S$8,Main_L[#Headers]))</f>
        <v>Electronic Equipment, Instruments &amp; Components</v>
      </c>
      <c r="B9" t="str">
        <v>ZBRA</v>
      </c>
      <c r="C9" s="9">
        <v>13084</v>
      </c>
      <c r="D9" s="1">
        <v>302.38</v>
      </c>
      <c r="E9" s="1">
        <v>19.440000000000001</v>
      </c>
      <c r="F9" s="1">
        <v>70.91</v>
      </c>
      <c r="G9" s="1">
        <v>10.57</v>
      </c>
      <c r="H9" s="1">
        <v>15.554526748971192</v>
      </c>
      <c r="I9" s="1">
        <v>4.2642786630940632</v>
      </c>
      <c r="J9" s="1">
        <v>16.16</v>
      </c>
      <c r="K9" s="1">
        <v>6.54</v>
      </c>
      <c r="L9" s="1">
        <v>2.1800000000000002</v>
      </c>
      <c r="M9" s="1">
        <v>28.607379375591297</v>
      </c>
      <c r="N9" s="1">
        <v>-1.0388709142557742</v>
      </c>
      <c r="O9" s="1">
        <v>-0.45336080523841654</v>
      </c>
      <c r="P9" s="1">
        <v>-0.22142264315307864</v>
      </c>
      <c r="Q9" s="1">
        <v>0.75842361328143038</v>
      </c>
      <c r="R9" s="1">
        <v>-0.43854514127970728</v>
      </c>
      <c r="S9" s="1">
        <v>-0.17234540762564735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2</v>
      </c>
    </row>
    <row r="10" spans="1:20" x14ac:dyDescent="0.25">
      <c r="A10" t="str">
        <v>Electronic Equipment, Instruments &amp; Components</v>
      </c>
      <c r="B10" t="str">
        <v>TEL</v>
      </c>
      <c r="C10" s="2">
        <v>44390</v>
      </c>
      <c r="D10" s="1">
        <v>162.38999999999999</v>
      </c>
      <c r="E10" s="1">
        <v>9.2100000000000009</v>
      </c>
      <c r="F10" s="1">
        <v>40.67</v>
      </c>
      <c r="G10" s="1">
        <v>4.58</v>
      </c>
      <c r="H10" s="1">
        <v>17.631921824104232</v>
      </c>
      <c r="I10" s="1">
        <v>3.9928694369313984</v>
      </c>
      <c r="J10" s="1">
        <v>11.22</v>
      </c>
      <c r="K10" s="1">
        <v>8.15</v>
      </c>
      <c r="L10" s="1">
        <v>1.96</v>
      </c>
      <c r="M10" s="1">
        <v>35.456331877729255</v>
      </c>
      <c r="N10" s="1">
        <v>-0.87627077148857846</v>
      </c>
      <c r="O10" s="1">
        <v>-0.52873750209282977</v>
      </c>
      <c r="P10" s="1">
        <v>-0.61289100838166466</v>
      </c>
      <c r="Q10" s="1">
        <v>1.5901067210965469</v>
      </c>
      <c r="R10" s="1">
        <v>-0.60646907195959532</v>
      </c>
      <c r="S10" s="1">
        <v>0.47866239956382572</v>
      </c>
      <c r="T10">
        <f t="shared" si="0"/>
        <v>2</v>
      </c>
    </row>
    <row r="11" spans="1:20" x14ac:dyDescent="0.25">
      <c r="A11" t="str">
        <v>IT Services</v>
      </c>
      <c r="B11" t="str">
        <v>CTSH</v>
      </c>
      <c r="C11" s="2">
        <v>38415</v>
      </c>
      <c r="D11" s="1">
        <v>81.27</v>
      </c>
      <c r="E11" s="1">
        <v>4.3099999999999996</v>
      </c>
      <c r="F11" s="1">
        <v>30.22</v>
      </c>
      <c r="G11" s="1">
        <v>4.75</v>
      </c>
      <c r="H11" s="1">
        <v>18.856148491879352</v>
      </c>
      <c r="I11" s="1">
        <v>2.6892786234281933</v>
      </c>
      <c r="J11" s="1">
        <v>16.600000000000001</v>
      </c>
      <c r="K11" s="1">
        <v>10.09</v>
      </c>
      <c r="L11" s="1">
        <v>1.34</v>
      </c>
      <c r="M11" s="1">
        <v>17.109473684210524</v>
      </c>
      <c r="N11" s="1">
        <v>-0.64030864528599085</v>
      </c>
      <c r="O11" s="1">
        <v>-0.71157536412827027</v>
      </c>
      <c r="P11" s="1">
        <v>0.5442743091641129</v>
      </c>
      <c r="Q11" s="1">
        <v>0.89341974348072928</v>
      </c>
      <c r="R11" s="1">
        <v>-0.33118191452061441</v>
      </c>
      <c r="S11" s="1">
        <v>-1.2516131401717934</v>
      </c>
      <c r="T11">
        <f t="shared" si="0"/>
        <v>5</v>
      </c>
    </row>
    <row r="12" spans="1:20" x14ac:dyDescent="0.25">
      <c r="A12" t="str">
        <v>IT Services</v>
      </c>
      <c r="B12" t="str">
        <v>INFY</v>
      </c>
      <c r="C12" s="2">
        <v>73394</v>
      </c>
      <c r="D12" s="1">
        <v>18.38</v>
      </c>
      <c r="E12" s="1">
        <v>0.98</v>
      </c>
      <c r="F12" s="1">
        <v>2.76</v>
      </c>
      <c r="G12" s="1">
        <v>0.76</v>
      </c>
      <c r="H12" s="1">
        <v>18.755102040816325</v>
      </c>
      <c r="I12" s="1">
        <v>6.6594202898550723</v>
      </c>
      <c r="J12" s="1">
        <v>28.89</v>
      </c>
      <c r="K12" s="1">
        <v>14.99</v>
      </c>
      <c r="L12" s="1">
        <v>1.55</v>
      </c>
      <c r="M12" s="1">
        <v>24.184210526315788</v>
      </c>
      <c r="N12" s="1">
        <v>-0.66384735265292805</v>
      </c>
      <c r="O12" s="1">
        <v>-0.13446212474948466</v>
      </c>
      <c r="P12" s="1">
        <v>1.1491146786523532</v>
      </c>
      <c r="Q12" s="1">
        <v>1.6740959695579845</v>
      </c>
      <c r="R12" s="1">
        <v>-9.3700248986320095E-2</v>
      </c>
      <c r="S12" s="1">
        <v>-0.34341147726392712</v>
      </c>
      <c r="T12">
        <f t="shared" si="0"/>
        <v>4</v>
      </c>
    </row>
    <row r="13" spans="1:20" x14ac:dyDescent="0.25">
      <c r="A13" t="str">
        <v>IT Services</v>
      </c>
      <c r="B13" t="str">
        <v>WIT</v>
      </c>
      <c r="C13" s="2">
        <v>30338</v>
      </c>
      <c r="D13" s="1">
        <v>2.99</v>
      </c>
      <c r="E13" s="1">
        <v>0.17</v>
      </c>
      <c r="F13" s="1">
        <v>0.92</v>
      </c>
      <c r="G13" s="1">
        <v>0.15</v>
      </c>
      <c r="H13" s="1">
        <v>17.588235294117649</v>
      </c>
      <c r="I13" s="1">
        <v>3.25</v>
      </c>
      <c r="J13" s="1">
        <v>16.760000000000002</v>
      </c>
      <c r="K13" s="1">
        <v>7.69</v>
      </c>
      <c r="L13" s="1">
        <v>1.56</v>
      </c>
      <c r="M13" s="1">
        <v>19.933333333333337</v>
      </c>
      <c r="N13" s="1">
        <v>-0.9356682290696382</v>
      </c>
      <c r="O13" s="1">
        <v>-0.63006700568384066</v>
      </c>
      <c r="P13" s="1">
        <v>0.55214855319325196</v>
      </c>
      <c r="Q13" s="1">
        <v>0.51104771438166552</v>
      </c>
      <c r="R13" s="1">
        <v>-8.2391598246591785E-2</v>
      </c>
      <c r="S13" s="1">
        <v>-0.889107214313413</v>
      </c>
      <c r="T13">
        <f t="shared" si="0"/>
        <v>5</v>
      </c>
    </row>
    <row r="14" spans="1:20" x14ac:dyDescent="0.25">
      <c r="A14" t="str">
        <v>Semiconductors &amp; Semiconductor Equipment</v>
      </c>
      <c r="B14" t="str">
        <v>TER</v>
      </c>
      <c r="C14" s="2">
        <v>12046</v>
      </c>
      <c r="D14" s="1">
        <v>84.9</v>
      </c>
      <c r="E14" s="1">
        <v>3.77</v>
      </c>
      <c r="F14" s="1">
        <v>17.41</v>
      </c>
      <c r="G14" s="1">
        <v>3.53</v>
      </c>
      <c r="H14" s="1">
        <v>22.519893899204245</v>
      </c>
      <c r="I14" s="1">
        <v>4.8765077541642734</v>
      </c>
      <c r="J14" s="1">
        <v>21.55</v>
      </c>
      <c r="K14" s="1">
        <v>10.56</v>
      </c>
      <c r="L14" s="1">
        <v>1.32</v>
      </c>
      <c r="M14" s="1">
        <v>24.050991501416433</v>
      </c>
      <c r="N14" s="1">
        <v>-0.45114354870640194</v>
      </c>
      <c r="O14" s="1">
        <v>-0.37320056488882786</v>
      </c>
      <c r="P14" s="1">
        <v>0.22248246758943369</v>
      </c>
      <c r="Q14" s="1">
        <v>0.54811899141512221</v>
      </c>
      <c r="R14" s="1">
        <v>-0.88951325961195049</v>
      </c>
      <c r="S14" s="1">
        <v>-0.36152500633758483</v>
      </c>
      <c r="T14">
        <f t="shared" si="0"/>
        <v>4</v>
      </c>
    </row>
    <row r="15" spans="1:20" x14ac:dyDescent="0.25">
      <c r="A15" t="str">
        <v>Software</v>
      </c>
      <c r="B15" t="str">
        <v>ANSS</v>
      </c>
      <c r="C15" s="2">
        <v>28661</v>
      </c>
      <c r="D15" s="1">
        <v>347.08</v>
      </c>
      <c r="E15" s="1">
        <v>9.91</v>
      </c>
      <c r="F15" s="1">
        <v>70.290000000000006</v>
      </c>
      <c r="G15" s="1">
        <v>6.74</v>
      </c>
      <c r="H15" s="1">
        <v>35.023208879919274</v>
      </c>
      <c r="I15" s="1">
        <v>4.9378289941670213</v>
      </c>
      <c r="J15" s="1">
        <v>10.23</v>
      </c>
      <c r="K15" s="1">
        <v>6.06</v>
      </c>
      <c r="L15" s="1">
        <v>1.29</v>
      </c>
      <c r="M15" s="1">
        <v>51.495548961424326</v>
      </c>
      <c r="N15" s="1">
        <v>-0.34831524716816664</v>
      </c>
      <c r="O15" s="1">
        <v>-0.93247716689555127</v>
      </c>
      <c r="P15" s="1">
        <v>-0.11585231328362541</v>
      </c>
      <c r="Q15" s="1">
        <v>0.33004694128924</v>
      </c>
      <c r="R15" s="1">
        <v>-1.0208980437089792</v>
      </c>
      <c r="S15" s="1">
        <v>6.6093676372816837E-2</v>
      </c>
      <c r="T15">
        <f t="shared" si="0"/>
        <v>2</v>
      </c>
    </row>
    <row r="16" spans="1:20" x14ac:dyDescent="0.25">
      <c r="A16" t="str">
        <v>Software</v>
      </c>
      <c r="B16" t="str">
        <v>INTU</v>
      </c>
      <c r="C16" s="2">
        <v>179238</v>
      </c>
      <c r="D16" s="1">
        <v>656.8</v>
      </c>
      <c r="E16" s="1">
        <v>20.11</v>
      </c>
      <c r="F16" s="1">
        <v>64.16</v>
      </c>
      <c r="G16" s="1">
        <v>10.7</v>
      </c>
      <c r="H16" s="1">
        <v>32.660367976131276</v>
      </c>
      <c r="I16" s="1">
        <v>10.236907730673316</v>
      </c>
      <c r="J16" s="1">
        <v>17.420000000000002</v>
      </c>
      <c r="K16" s="1">
        <v>8.26</v>
      </c>
      <c r="L16" s="1">
        <v>1.77</v>
      </c>
      <c r="M16" s="1">
        <v>61.383177570093459</v>
      </c>
      <c r="N16" s="1">
        <v>-0.44816394935365172</v>
      </c>
      <c r="O16" s="1">
        <v>-0.25085949769197602</v>
      </c>
      <c r="P16" s="1">
        <v>0.24194762431730021</v>
      </c>
      <c r="Q16" s="1">
        <v>0.73766067245210054</v>
      </c>
      <c r="R16" s="1">
        <v>-0.19203976526970498</v>
      </c>
      <c r="S16" s="1">
        <v>0.32172676172115594</v>
      </c>
      <c r="T16">
        <f t="shared" si="0"/>
        <v>2</v>
      </c>
    </row>
    <row r="17" spans="1:20" x14ac:dyDescent="0.25">
      <c r="A17" t="str">
        <v>Software</v>
      </c>
      <c r="B17" t="str">
        <v>NICE</v>
      </c>
      <c r="C17" s="2">
        <v>10148</v>
      </c>
      <c r="D17" s="1">
        <v>166.82</v>
      </c>
      <c r="E17" s="1">
        <v>11.54</v>
      </c>
      <c r="F17" s="1">
        <v>56.75</v>
      </c>
      <c r="G17" s="1">
        <v>6.76</v>
      </c>
      <c r="H17" s="1">
        <v>14.45580589254766</v>
      </c>
      <c r="I17" s="1">
        <v>2.9395594713656386</v>
      </c>
      <c r="J17" s="1">
        <v>12.72</v>
      </c>
      <c r="K17" s="1">
        <v>6.55</v>
      </c>
      <c r="L17" s="1">
        <v>1.48</v>
      </c>
      <c r="M17" s="1">
        <v>24.677514792899409</v>
      </c>
      <c r="N17" s="1">
        <v>-1.2174505716509287</v>
      </c>
      <c r="O17" s="1">
        <v>-1.1895135089277944</v>
      </c>
      <c r="P17" s="1">
        <v>8.0589307534127928E-3</v>
      </c>
      <c r="Q17" s="1">
        <v>0.4208336359573317</v>
      </c>
      <c r="R17" s="1">
        <v>-0.69280830849343322</v>
      </c>
      <c r="S17" s="1">
        <v>-0.6272552638843516</v>
      </c>
      <c r="T17">
        <f t="shared" si="0"/>
        <v>5</v>
      </c>
    </row>
    <row r="18" spans="1:20" x14ac:dyDescent="0.25">
      <c r="A18" t="str">
        <v>Software</v>
      </c>
      <c r="B18" t="str">
        <v>PTC</v>
      </c>
      <c r="C18" s="2">
        <v>19318</v>
      </c>
      <c r="D18" s="1">
        <v>170.96</v>
      </c>
      <c r="E18" s="1">
        <v>6.79</v>
      </c>
      <c r="F18" s="1">
        <v>28.24</v>
      </c>
      <c r="G18" s="1">
        <v>3.64</v>
      </c>
      <c r="H18" s="1">
        <v>25.17820324005891</v>
      </c>
      <c r="I18" s="1">
        <v>6.0538243626062327</v>
      </c>
      <c r="J18" s="1">
        <v>13.92</v>
      </c>
      <c r="K18" s="1">
        <v>6.41</v>
      </c>
      <c r="L18" s="1">
        <v>1.82</v>
      </c>
      <c r="M18" s="1">
        <v>46.967032967032971</v>
      </c>
      <c r="N18" s="1">
        <v>-0.76434454248505423</v>
      </c>
      <c r="O18" s="1">
        <v>-0.78892727837680821</v>
      </c>
      <c r="P18" s="1">
        <v>6.7775192939937196E-2</v>
      </c>
      <c r="Q18" s="1">
        <v>0.394894580337877</v>
      </c>
      <c r="R18" s="1">
        <v>-0.10570036126561384</v>
      </c>
      <c r="S18" s="1">
        <v>-5.0985813716504125E-2</v>
      </c>
      <c r="T18">
        <f t="shared" si="0"/>
        <v>4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45" priority="1">
      <formula>$I9 &lt; (0.7*VLOOKUP($A9, Mean_PB_L, 2, FALSE))</formula>
    </cfRule>
  </conditionalFormatting>
  <conditionalFormatting sqref="J9:J1048576">
    <cfRule type="expression" dxfId="44" priority="3">
      <formula>$J9 &gt; VLOOKUP($A9, Mean_ROE_L, 2, FALSE)</formula>
    </cfRule>
  </conditionalFormatting>
  <conditionalFormatting sqref="K9:K1048576">
    <cfRule type="expression" dxfId="43" priority="4">
      <formula>$K9 &gt; VLOOKUP($A9, Mean_ROA_L, 2, FALSE)</formula>
    </cfRule>
  </conditionalFormatting>
  <conditionalFormatting sqref="M9:M1048576">
    <cfRule type="expression" dxfId="42" priority="5">
      <formula>AND($M9&gt;1, $M9&lt;25, $M9 &lt; VLOOKUP($A9, Mean_PE_L, 2, FALSE))</formula>
    </cfRule>
    <cfRule type="expression" dxfId="41" priority="6">
      <formula>AND($M9&gt;1, $M9&lt;25)</formula>
    </cfRule>
    <cfRule type="expression" dxfId="40" priority="9">
      <formula xml:space="preserve"> $M9 &lt; VLOOKUP($A9, Mean_PE_L, 2, FALSE)</formula>
    </cfRule>
  </conditionalFormatting>
  <conditionalFormatting sqref="N9:N1048576">
    <cfRule type="expression" dxfId="39" priority="10">
      <formula>$N9&lt;0</formula>
    </cfRule>
  </conditionalFormatting>
  <conditionalFormatting sqref="O9:O1048576">
    <cfRule type="expression" dxfId="38" priority="11">
      <formula>$O9&lt;0</formula>
    </cfRule>
  </conditionalFormatting>
  <conditionalFormatting sqref="P9:P1048576">
    <cfRule type="expression" dxfId="37" priority="12">
      <formula>$P9&gt;0</formula>
    </cfRule>
  </conditionalFormatting>
  <conditionalFormatting sqref="Q9:Q1048576">
    <cfRule type="expression" dxfId="36" priority="14">
      <formula>$Q9&gt;0</formula>
    </cfRule>
  </conditionalFormatting>
  <conditionalFormatting sqref="R9:R1048576">
    <cfRule type="expression" dxfId="35" priority="15">
      <formula>$R9&lt;0</formula>
    </cfRule>
  </conditionalFormatting>
  <conditionalFormatting sqref="S9:S1048576">
    <cfRule type="expression" dxfId="34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1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Information Technology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3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_xlfn._xlws.FILTER(_xlfn._xlws.FILTER(Main_M[], Main_M[Preliminary Criteria]="YES"), COUNTIF($A$8:$S$8,Main_M[#Headers]))</f>
        <v>Semiconductors &amp; Semiconductor Equipment</v>
      </c>
      <c r="B9" t="str">
        <v>ONTO</v>
      </c>
      <c r="C9" s="2">
        <v>6114</v>
      </c>
      <c r="D9" s="1">
        <v>99.19</v>
      </c>
      <c r="E9" s="1">
        <v>4.33</v>
      </c>
      <c r="F9" s="1">
        <v>39.11</v>
      </c>
      <c r="G9" s="1">
        <v>4.0599999999999996</v>
      </c>
      <c r="H9" s="1">
        <v>22.907621247113163</v>
      </c>
      <c r="I9" s="1">
        <v>2.5361800051137817</v>
      </c>
      <c r="J9" s="1">
        <v>11.01</v>
      </c>
      <c r="K9" s="1">
        <v>5.81</v>
      </c>
      <c r="L9" s="1">
        <v>1.1000000000000001</v>
      </c>
      <c r="M9" s="1">
        <v>24.431034482758623</v>
      </c>
      <c r="N9" s="1">
        <v>-0.52522699573983433</v>
      </c>
      <c r="O9" s="1">
        <v>-0.9388842600319931</v>
      </c>
      <c r="P9" s="1">
        <v>0.35671078488097957</v>
      </c>
      <c r="Q9" s="1">
        <v>0.62897065609686365</v>
      </c>
      <c r="R9" s="1">
        <v>-0.89985281256447214</v>
      </c>
      <c r="S9" s="1">
        <v>0.39113799210591887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Semiconductors &amp; Semiconductor Equipment</v>
      </c>
      <c r="B10" t="str">
        <v>CRUS</v>
      </c>
      <c r="C10" s="2">
        <v>5137</v>
      </c>
      <c r="D10" s="1">
        <v>107.24</v>
      </c>
      <c r="E10" s="1">
        <v>8.56</v>
      </c>
      <c r="F10" s="1">
        <v>36.94</v>
      </c>
      <c r="G10" s="1">
        <v>5.5</v>
      </c>
      <c r="H10" s="1">
        <v>12.528037383177569</v>
      </c>
      <c r="I10" s="1">
        <v>2.9030860855441256</v>
      </c>
      <c r="J10" s="1">
        <v>16.21</v>
      </c>
      <c r="K10" s="1">
        <v>10.28</v>
      </c>
      <c r="L10" s="1">
        <v>1.2</v>
      </c>
      <c r="M10" s="1">
        <v>19.498181818181816</v>
      </c>
      <c r="N10" s="1">
        <v>-0.8501710544755916</v>
      </c>
      <c r="O10" s="1">
        <v>-0.7834408711534987</v>
      </c>
      <c r="P10" s="1">
        <v>0.51660249208483378</v>
      </c>
      <c r="Q10" s="1">
        <v>1.409013931137326</v>
      </c>
      <c r="R10" s="1">
        <v>-0.65195947576985203</v>
      </c>
      <c r="S10" s="1">
        <v>0.27817923770379099</v>
      </c>
      <c r="T10">
        <f t="shared" si="0"/>
        <v>4</v>
      </c>
    </row>
    <row r="11" spans="1:20" x14ac:dyDescent="0.25">
      <c r="A11" t="str">
        <v>Software</v>
      </c>
      <c r="B11" t="str">
        <v>DLB</v>
      </c>
      <c r="C11" s="2">
        <v>7055</v>
      </c>
      <c r="D11" s="1">
        <v>77.58</v>
      </c>
      <c r="E11" s="1">
        <v>4.08</v>
      </c>
      <c r="F11" s="1">
        <v>26.79</v>
      </c>
      <c r="G11" s="1">
        <v>2.64</v>
      </c>
      <c r="H11" s="1">
        <v>19.014705882352942</v>
      </c>
      <c r="I11" s="1">
        <v>2.8958566629339306</v>
      </c>
      <c r="J11" s="1">
        <v>10.31</v>
      </c>
      <c r="K11" s="1">
        <v>5.64</v>
      </c>
      <c r="L11" s="1">
        <v>1.25</v>
      </c>
      <c r="M11" s="1">
        <v>29.386363636363633</v>
      </c>
      <c r="N11" s="1">
        <v>-0.27835338169007029</v>
      </c>
      <c r="O11" s="1">
        <v>-0.8042248921417694</v>
      </c>
      <c r="P11" s="1">
        <v>0.15815249072058357</v>
      </c>
      <c r="Q11" s="1">
        <v>0.76770071013812147</v>
      </c>
      <c r="R11" s="1">
        <v>-0.93446541820180284</v>
      </c>
      <c r="S11" s="1">
        <v>0.68787661714541093</v>
      </c>
      <c r="T11">
        <f t="shared" si="0"/>
        <v>3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3" priority="1">
      <formula>$I9 &lt; (0.7*VLOOKUP($A9, Mean_PB_M, 2, FALSE))</formula>
    </cfRule>
  </conditionalFormatting>
  <conditionalFormatting sqref="J9:J1048576">
    <cfRule type="expression" dxfId="32" priority="3">
      <formula>$J9 &gt; VLOOKUP($A9, Mean_ROE_M, 2, FALSE)</formula>
    </cfRule>
  </conditionalFormatting>
  <conditionalFormatting sqref="K9:K1048576">
    <cfRule type="expression" dxfId="31" priority="4">
      <formula>$K9 &gt; VLOOKUP($A9, Mean_ROA_M, 2, FALSE)</formula>
    </cfRule>
  </conditionalFormatting>
  <conditionalFormatting sqref="M9:M1048576">
    <cfRule type="expression" dxfId="30" priority="5">
      <formula>AND($M9&gt;1, $M9&lt;25, $M9 &lt; VLOOKUP($A9, Mean_PE_M, 2, FALSE))</formula>
    </cfRule>
    <cfRule type="expression" dxfId="29" priority="6">
      <formula>AND($M9&gt;1, $M9&lt;25)</formula>
    </cfRule>
    <cfRule type="expression" dxfId="28" priority="7">
      <formula xml:space="preserve"> $M9 &lt; VLOOKUP($A9, Mean_PE_M, 2, FALSE)</formula>
    </cfRule>
  </conditionalFormatting>
  <conditionalFormatting sqref="N9:N1048576">
    <cfRule type="expression" dxfId="27" priority="8">
      <formula>$N9&lt;0</formula>
    </cfRule>
  </conditionalFormatting>
  <conditionalFormatting sqref="O9:O1048576">
    <cfRule type="expression" dxfId="26" priority="9">
      <formula>$O9&lt;0</formula>
    </cfRule>
  </conditionalFormatting>
  <conditionalFormatting sqref="P9:P1048576">
    <cfRule type="expression" dxfId="25" priority="10">
      <formula>$P9&gt;0</formula>
    </cfRule>
  </conditionalFormatting>
  <conditionalFormatting sqref="Q9:Q1048576">
    <cfRule type="expression" dxfId="24" priority="11">
      <formula>$Q9&gt;0</formula>
    </cfRule>
  </conditionalFormatting>
  <conditionalFormatting sqref="R9:R1048576">
    <cfRule type="expression" dxfId="23" priority="12">
      <formula>$R9&lt;0</formula>
    </cfRule>
  </conditionalFormatting>
  <conditionalFormatting sqref="S9:S1048576">
    <cfRule type="expression" dxfId="22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Information Technology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3/5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1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_xlfn._xlws.FILTER(_xlfn._xlws.FILTER(Main_S[], Main_S[Preliminary Criteria]="YES"), COUNTIF($A$8:$S$8,Main_S[#Headers]))</f>
        <v>Semiconductors &amp; Semiconductor Equipment</v>
      </c>
      <c r="B9" t="str">
        <v>PLAB</v>
      </c>
      <c r="C9">
        <v>1207</v>
      </c>
      <c r="D9">
        <v>20.93</v>
      </c>
      <c r="E9">
        <v>2.84</v>
      </c>
      <c r="F9">
        <v>18.100000000000001</v>
      </c>
      <c r="G9">
        <v>2.35</v>
      </c>
      <c r="H9" s="1">
        <v>7.369718309859155</v>
      </c>
      <c r="I9" s="1">
        <v>1.156353591160221</v>
      </c>
      <c r="J9" s="1">
        <v>14.29</v>
      </c>
      <c r="K9" s="1">
        <v>8.2200000000000006</v>
      </c>
      <c r="L9" s="1">
        <v>1.51</v>
      </c>
      <c r="M9" s="1">
        <v>8.9063829787234035</v>
      </c>
      <c r="N9" s="1">
        <v>-0.39907721695823151</v>
      </c>
      <c r="O9" s="1">
        <v>-0.28610727154864263</v>
      </c>
      <c r="P9" s="1">
        <v>1.0742456208949285</v>
      </c>
      <c r="Q9" s="1">
        <v>1.5748067014092957</v>
      </c>
      <c r="R9" s="1">
        <v>-0.19870783150040902</v>
      </c>
      <c r="S9" s="1">
        <v>0.16801690284150519</v>
      </c>
      <c r="T9">
        <f>SUM(IF($I9 &lt; (0.7*VLOOKUP($A9, Mean_PB_S, 2, FALSE)),1,0), IF($J9&gt;VLOOKUP($A9, Mean_ROE_S, 2, FALSE),1,0), IF($K9&gt;VLOOKUP($A9, Mean_ROA_S, 2,FALSE),1,0), IF($M9&lt;VLOOKUP($A9, Mean_PE_S, 2, FALSE),1,0), IF(AND($M9&gt;1,$M9&lt;25),1,0))</f>
        <v>3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21" priority="1">
      <formula>$I9 &lt; (0.7*VLOOKUP($A9, Mean_PB_S, 2, FALSE))</formula>
    </cfRule>
  </conditionalFormatting>
  <conditionalFormatting sqref="J9:J1048576">
    <cfRule type="expression" dxfId="20" priority="3">
      <formula>$J9 &gt; VLOOKUP($A9, Mean_ROE_S, 2, FALSE)</formula>
    </cfRule>
  </conditionalFormatting>
  <conditionalFormatting sqref="K9:K1048576">
    <cfRule type="expression" dxfId="19" priority="4">
      <formula>$K9 &gt; VLOOKUP($A9, Mean_ROA_S, 2, FALSE)</formula>
    </cfRule>
  </conditionalFormatting>
  <conditionalFormatting sqref="M9:M1048576">
    <cfRule type="expression" dxfId="18" priority="5">
      <formula>AND($M9&gt;1, $M9&lt;25, $M9 &lt; VLOOKUP($A9, Mean_PE_S, 2, FALSE))</formula>
    </cfRule>
    <cfRule type="expression" dxfId="17" priority="6">
      <formula>AND($M9&gt;1, $M9&lt;25)</formula>
    </cfRule>
    <cfRule type="expression" dxfId="16" priority="7">
      <formula xml:space="preserve"> $M9 &lt; VLOOKUP($A9, Mean_PE_S, 2, FALSE)</formula>
    </cfRule>
  </conditionalFormatting>
  <conditionalFormatting sqref="N9:N1048576">
    <cfRule type="expression" dxfId="15" priority="8">
      <formula>$N9&lt;0</formula>
    </cfRule>
  </conditionalFormatting>
  <conditionalFormatting sqref="O9:O1048576">
    <cfRule type="expression" dxfId="14" priority="9">
      <formula>$O9&lt;0</formula>
    </cfRule>
  </conditionalFormatting>
  <conditionalFormatting sqref="P9:P1048576">
    <cfRule type="expression" dxfId="13" priority="10">
      <formula>$P9&gt;0</formula>
    </cfRule>
  </conditionalFormatting>
  <conditionalFormatting sqref="Q9:Q1048576">
    <cfRule type="expression" dxfId="12" priority="11">
      <formula>$Q9&gt;0</formula>
    </cfRule>
  </conditionalFormatting>
  <conditionalFormatting sqref="R9:R1048576">
    <cfRule type="expression" dxfId="11" priority="12">
      <formula>$R9&lt;0</formula>
    </cfRule>
  </conditionalFormatting>
  <conditionalFormatting sqref="S9:S1048576">
    <cfRule type="expression" dxfId="1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2025-05-14T03:08:54Z</dcterms:modified>
</cp:coreProperties>
</file>
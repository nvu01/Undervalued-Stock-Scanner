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A97DDACB-8A2D-45F8-ABD7-C269FFFF177E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Main_L!$A$1:$M$50</definedName>
    <definedName name="ExternalData_1" localSheetId="2" hidden="1">Main_M!$A$1:$M$64</definedName>
    <definedName name="ExternalData_1" localSheetId="3" hidden="1">Main_S!$A$1:$M$96</definedName>
    <definedName name="ExternalData_5" localSheetId="4" hidden="1">'Quartile Tables'!$A$2:$Y$7</definedName>
    <definedName name="ExternalData_6" localSheetId="4" hidden="1">'Quartile Tables'!$A$11:$Y$16</definedName>
    <definedName name="ExternalData_7" localSheetId="4" hidden="1">'Quartile Tables'!$A$20:$Y$25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92" r:id="rId12"/>
    <pivotCache cacheId="152" r:id="rId13"/>
    <pivotCache cacheId="21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5" i="1" l="1"/>
  <c r="Y24" i="1"/>
  <c r="Y23" i="1"/>
  <c r="Y22" i="1"/>
  <c r="Y21" i="1"/>
  <c r="Y14" i="4" s="1"/>
  <c r="X25" i="1"/>
  <c r="X24" i="1"/>
  <c r="X23" i="1"/>
  <c r="X22" i="1"/>
  <c r="X21" i="1"/>
  <c r="W25" i="1" a="1"/>
  <c r="W25" i="1"/>
  <c r="W24" i="1" a="1"/>
  <c r="W24" i="1"/>
  <c r="W23" i="1" a="1"/>
  <c r="W23" i="1" s="1"/>
  <c r="W22" i="1" a="1"/>
  <c r="W22" i="1" s="1"/>
  <c r="W21" i="1" a="1"/>
  <c r="W21" i="1"/>
  <c r="V25" i="1" a="1"/>
  <c r="V25" i="1" s="1"/>
  <c r="V24" i="1" a="1"/>
  <c r="V24" i="1"/>
  <c r="V23" i="1" a="1"/>
  <c r="V23" i="1" s="1"/>
  <c r="V22" i="1" a="1"/>
  <c r="V22" i="1" s="1"/>
  <c r="V21" i="1" a="1"/>
  <c r="V21" i="1" s="1"/>
  <c r="Q25" i="1"/>
  <c r="Q24" i="1"/>
  <c r="Q23" i="1"/>
  <c r="Q22" i="1"/>
  <c r="X28" i="4" s="1"/>
  <c r="Q21" i="1"/>
  <c r="X2" i="4" s="1"/>
  <c r="P25" i="1"/>
  <c r="P24" i="1"/>
  <c r="X44" i="4" s="1"/>
  <c r="P23" i="1"/>
  <c r="P22" i="1"/>
  <c r="P21" i="1"/>
  <c r="O25" i="1" a="1"/>
  <c r="O25" i="1" s="1"/>
  <c r="O24" i="1" a="1"/>
  <c r="O24" i="1" s="1"/>
  <c r="O23" i="1" a="1"/>
  <c r="O23" i="1" s="1"/>
  <c r="O22" i="1" a="1"/>
  <c r="O22" i="1"/>
  <c r="O21" i="1" a="1"/>
  <c r="O21" i="1" s="1"/>
  <c r="N25" i="1" a="1"/>
  <c r="N25" i="1" s="1"/>
  <c r="N24" i="1" a="1"/>
  <c r="N24" i="1" s="1"/>
  <c r="N23" i="1" a="1"/>
  <c r="N23" i="1"/>
  <c r="N22" i="1" a="1"/>
  <c r="N22" i="1" s="1"/>
  <c r="N21" i="1" a="1"/>
  <c r="N21" i="1"/>
  <c r="M25" i="1"/>
  <c r="M24" i="1"/>
  <c r="W52" i="4" s="1"/>
  <c r="M23" i="1"/>
  <c r="W31" i="4" s="1"/>
  <c r="M22" i="1"/>
  <c r="M21" i="1"/>
  <c r="L25" i="1"/>
  <c r="L24" i="1"/>
  <c r="L23" i="1"/>
  <c r="L22" i="1"/>
  <c r="L21" i="1"/>
  <c r="K25" i="1" a="1"/>
  <c r="K25" i="1" s="1"/>
  <c r="K24" i="1" a="1"/>
  <c r="K24" i="1" s="1"/>
  <c r="K23" i="1" a="1"/>
  <c r="K23" i="1" s="1"/>
  <c r="K22" i="1" a="1"/>
  <c r="K22" i="1" s="1"/>
  <c r="K21" i="1" a="1"/>
  <c r="K21" i="1" s="1"/>
  <c r="J25" i="1" a="1"/>
  <c r="J25" i="1" s="1"/>
  <c r="J24" i="1" a="1"/>
  <c r="J24" i="1"/>
  <c r="J23" i="1" a="1"/>
  <c r="J23" i="1"/>
  <c r="J22" i="1" a="1"/>
  <c r="J22" i="1"/>
  <c r="J21" i="1" a="1"/>
  <c r="J21" i="1" s="1"/>
  <c r="Y16" i="1"/>
  <c r="Y62" i="3" s="1"/>
  <c r="Y15" i="1"/>
  <c r="Y14" i="1"/>
  <c r="Y13" i="1"/>
  <c r="Y12" i="1"/>
  <c r="X16" i="1"/>
  <c r="X15" i="1"/>
  <c r="X14" i="1"/>
  <c r="X13" i="1"/>
  <c r="X12" i="1"/>
  <c r="W16" i="1" a="1"/>
  <c r="W16" i="1"/>
  <c r="W15" i="1" a="1"/>
  <c r="W15" i="1" s="1"/>
  <c r="W14" i="1" a="1"/>
  <c r="W14" i="1"/>
  <c r="W13" i="1" a="1"/>
  <c r="W13" i="1" s="1"/>
  <c r="W12" i="1" a="1"/>
  <c r="W12" i="1" s="1"/>
  <c r="V16" i="1" a="1"/>
  <c r="V16" i="1" s="1"/>
  <c r="V15" i="1" a="1"/>
  <c r="V15" i="1"/>
  <c r="V14" i="1" a="1"/>
  <c r="V14" i="1" s="1"/>
  <c r="V13" i="1" a="1"/>
  <c r="V13" i="1" s="1"/>
  <c r="V12" i="1" a="1"/>
  <c r="V12" i="1" s="1"/>
  <c r="Q16" i="1"/>
  <c r="Q15" i="1"/>
  <c r="W47" i="3" s="1"/>
  <c r="Q14" i="1"/>
  <c r="W28" i="3" s="1"/>
  <c r="Q13" i="1"/>
  <c r="Q12" i="1"/>
  <c r="P16" i="1"/>
  <c r="P15" i="1"/>
  <c r="W51" i="3" s="1"/>
  <c r="P14" i="1"/>
  <c r="P13" i="1"/>
  <c r="P12" i="1"/>
  <c r="O16" i="1" a="1"/>
  <c r="O16" i="1" s="1"/>
  <c r="O15" i="1" a="1"/>
  <c r="O15" i="1"/>
  <c r="O14" i="1" a="1"/>
  <c r="O14" i="1" s="1"/>
  <c r="O13" i="1" a="1"/>
  <c r="O13" i="1"/>
  <c r="O12" i="1" a="1"/>
  <c r="O12" i="1"/>
  <c r="N16" i="1" a="1"/>
  <c r="N16" i="1" s="1"/>
  <c r="N15" i="1" a="1"/>
  <c r="N15" i="1"/>
  <c r="N14" i="1" a="1"/>
  <c r="N14" i="1" s="1"/>
  <c r="N13" i="1" a="1"/>
  <c r="N13" i="1"/>
  <c r="N12" i="1" a="1"/>
  <c r="N12" i="1" s="1"/>
  <c r="M16" i="1"/>
  <c r="M15" i="1"/>
  <c r="X49" i="3" s="1"/>
  <c r="M14" i="1"/>
  <c r="M13" i="1"/>
  <c r="M12" i="1"/>
  <c r="L16" i="1"/>
  <c r="L15" i="1"/>
  <c r="L14" i="1"/>
  <c r="X32" i="3" s="1"/>
  <c r="L13" i="1"/>
  <c r="L12" i="1"/>
  <c r="K16" i="1" a="1"/>
  <c r="K16" i="1"/>
  <c r="K15" i="1" a="1"/>
  <c r="K15" i="1" s="1"/>
  <c r="K14" i="1" a="1"/>
  <c r="K14" i="1" s="1"/>
  <c r="K13" i="1" a="1"/>
  <c r="K13" i="1"/>
  <c r="K12" i="1" a="1"/>
  <c r="K12" i="1"/>
  <c r="J16" i="1" a="1"/>
  <c r="J16" i="1"/>
  <c r="J15" i="1" a="1"/>
  <c r="J15" i="1"/>
  <c r="J14" i="1" a="1"/>
  <c r="J14" i="1"/>
  <c r="J13" i="1" a="1"/>
  <c r="J13" i="1" s="1"/>
  <c r="J12" i="1" a="1"/>
  <c r="J12" i="1" s="1"/>
  <c r="Y7" i="1"/>
  <c r="Y6" i="1"/>
  <c r="Y5" i="1"/>
  <c r="Y4" i="1"/>
  <c r="Y3" i="1"/>
  <c r="X7" i="1"/>
  <c r="X6" i="1"/>
  <c r="X5" i="1"/>
  <c r="X4" i="1"/>
  <c r="X3" i="1"/>
  <c r="W7" i="1" a="1"/>
  <c r="W7" i="1"/>
  <c r="W6" i="1" a="1"/>
  <c r="W6" i="1" s="1"/>
  <c r="W5" i="1" a="1"/>
  <c r="W5" i="1" s="1"/>
  <c r="W4" i="1" a="1"/>
  <c r="W4" i="1"/>
  <c r="W3" i="1" a="1"/>
  <c r="W3" i="1"/>
  <c r="V7" i="1" a="1"/>
  <c r="V7" i="1"/>
  <c r="V6" i="1" a="1"/>
  <c r="V6" i="1" s="1"/>
  <c r="V5" i="1" a="1"/>
  <c r="V5" i="1" s="1"/>
  <c r="V4" i="1" a="1"/>
  <c r="V4" i="1" s="1"/>
  <c r="V3" i="1" a="1"/>
  <c r="V3" i="1" s="1"/>
  <c r="Q7" i="1"/>
  <c r="Q6" i="1"/>
  <c r="Q5" i="1"/>
  <c r="X26" i="2" s="1"/>
  <c r="Q4" i="1"/>
  <c r="X18" i="2" s="1"/>
  <c r="Q3" i="1"/>
  <c r="P7" i="1"/>
  <c r="P6" i="1"/>
  <c r="P5" i="1"/>
  <c r="P4" i="1"/>
  <c r="P3" i="1"/>
  <c r="O7" i="1" a="1"/>
  <c r="O7" i="1" s="1"/>
  <c r="O6" i="1" a="1"/>
  <c r="O6" i="1" s="1"/>
  <c r="O5" i="1" a="1"/>
  <c r="O5" i="1" s="1"/>
  <c r="O4" i="1" a="1"/>
  <c r="O4" i="1"/>
  <c r="O3" i="1" a="1"/>
  <c r="O3" i="1" s="1"/>
  <c r="N7" i="1" a="1"/>
  <c r="N7" i="1" s="1"/>
  <c r="N6" i="1" a="1"/>
  <c r="N6" i="1" s="1"/>
  <c r="N5" i="1" a="1"/>
  <c r="N5" i="1" s="1"/>
  <c r="N4" i="1" a="1"/>
  <c r="N4" i="1" s="1"/>
  <c r="N3" i="1" a="1"/>
  <c r="N3" i="1" s="1"/>
  <c r="M7" i="1"/>
  <c r="W50" i="2" s="1"/>
  <c r="M6" i="1"/>
  <c r="M5" i="1"/>
  <c r="M4" i="1"/>
  <c r="M3" i="1"/>
  <c r="L7" i="1"/>
  <c r="L6" i="1"/>
  <c r="L5" i="1"/>
  <c r="L4" i="1"/>
  <c r="W19" i="2" s="1"/>
  <c r="L3" i="1"/>
  <c r="K7" i="1" a="1"/>
  <c r="K7" i="1" s="1"/>
  <c r="K6" i="1" a="1"/>
  <c r="K6" i="1" s="1"/>
  <c r="K5" i="1" a="1"/>
  <c r="K5" i="1"/>
  <c r="K4" i="1" a="1"/>
  <c r="K4" i="1" s="1"/>
  <c r="K3" i="1" a="1"/>
  <c r="K3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M96" i="4"/>
  <c r="T96" i="4" s="1"/>
  <c r="M95" i="4"/>
  <c r="M94" i="4"/>
  <c r="T94" i="4" s="1"/>
  <c r="M93" i="4"/>
  <c r="M92" i="4"/>
  <c r="T92" i="4" s="1"/>
  <c r="M91" i="4"/>
  <c r="T91" i="4" s="1"/>
  <c r="M84" i="4"/>
  <c r="T84" i="4" s="1"/>
  <c r="M79" i="4"/>
  <c r="T79" i="4" s="1"/>
  <c r="M78" i="4"/>
  <c r="M77" i="4"/>
  <c r="M76" i="4"/>
  <c r="M73" i="4"/>
  <c r="T73" i="4" s="1"/>
  <c r="M71" i="4"/>
  <c r="T71" i="4" s="1"/>
  <c r="M56" i="4"/>
  <c r="T56" i="4" s="1"/>
  <c r="M55" i="4"/>
  <c r="T55" i="4" s="1"/>
  <c r="M54" i="4"/>
  <c r="T54" i="4" s="1"/>
  <c r="M53" i="4"/>
  <c r="T53" i="4" s="1"/>
  <c r="M52" i="4"/>
  <c r="T52" i="4" s="1"/>
  <c r="M51" i="4"/>
  <c r="T51" i="4" s="1"/>
  <c r="M44" i="4"/>
  <c r="T44" i="4" s="1"/>
  <c r="M35" i="4"/>
  <c r="T35" i="4" s="1"/>
  <c r="M34" i="4"/>
  <c r="T34" i="4" s="1"/>
  <c r="M33" i="4"/>
  <c r="T33" i="4" s="1"/>
  <c r="M32" i="4"/>
  <c r="T32" i="4" s="1"/>
  <c r="M16" i="4"/>
  <c r="M11" i="4"/>
  <c r="T11" i="4" s="1"/>
  <c r="I96" i="4"/>
  <c r="I95" i="4"/>
  <c r="P95" i="4" s="1"/>
  <c r="I94" i="4"/>
  <c r="I93" i="4"/>
  <c r="I92" i="4"/>
  <c r="P92" i="4" s="1"/>
  <c r="I91" i="4"/>
  <c r="P91" i="4" s="1"/>
  <c r="I90" i="4"/>
  <c r="P90" i="4" s="1"/>
  <c r="I89" i="4"/>
  <c r="P89" i="4" s="1"/>
  <c r="I88" i="4"/>
  <c r="P88" i="4" s="1"/>
  <c r="I76" i="4"/>
  <c r="N76" i="4" s="1"/>
  <c r="I75" i="4"/>
  <c r="P75" i="4" s="1"/>
  <c r="I74" i="4"/>
  <c r="I73" i="4"/>
  <c r="P73" i="4" s="1"/>
  <c r="I71" i="4"/>
  <c r="P71" i="4" s="1"/>
  <c r="I68" i="4"/>
  <c r="P68" i="4" s="1"/>
  <c r="I56" i="4"/>
  <c r="I55" i="4"/>
  <c r="I54" i="4"/>
  <c r="P54" i="4" s="1"/>
  <c r="I53" i="4"/>
  <c r="P53" i="4" s="1"/>
  <c r="I52" i="4"/>
  <c r="I51" i="4"/>
  <c r="I50" i="4"/>
  <c r="P50" i="4" s="1"/>
  <c r="I49" i="4"/>
  <c r="P49" i="4" s="1"/>
  <c r="I48" i="4"/>
  <c r="I36" i="4"/>
  <c r="P36" i="4" s="1"/>
  <c r="I35" i="4"/>
  <c r="I34" i="4"/>
  <c r="P34" i="4" s="1"/>
  <c r="I33" i="4"/>
  <c r="P33" i="4" s="1"/>
  <c r="I32" i="4"/>
  <c r="I28" i="4"/>
  <c r="P28" i="4" s="1"/>
  <c r="I27" i="4"/>
  <c r="P27" i="4" s="1"/>
  <c r="I15" i="4"/>
  <c r="I14" i="4"/>
  <c r="I13" i="4"/>
  <c r="I12" i="4"/>
  <c r="P12" i="4" s="1"/>
  <c r="I11" i="4"/>
  <c r="I10" i="4"/>
  <c r="H95" i="4"/>
  <c r="O95" i="4" s="1"/>
  <c r="H94" i="4"/>
  <c r="H93" i="4"/>
  <c r="O93" i="4" s="1"/>
  <c r="H92" i="4"/>
  <c r="O92" i="4" s="1"/>
  <c r="H91" i="4"/>
  <c r="N91" i="4" s="1"/>
  <c r="H90" i="4"/>
  <c r="H88" i="4"/>
  <c r="O88" i="4" s="1"/>
  <c r="H87" i="4"/>
  <c r="H73" i="4"/>
  <c r="H72" i="4"/>
  <c r="O72" i="4" s="1"/>
  <c r="H71" i="4"/>
  <c r="O71" i="4" s="1"/>
  <c r="H70" i="4"/>
  <c r="O70" i="4" s="1"/>
  <c r="H55" i="4"/>
  <c r="H54" i="4"/>
  <c r="H53" i="4"/>
  <c r="O53" i="4" s="1"/>
  <c r="H52" i="4"/>
  <c r="O52" i="4" s="1"/>
  <c r="H51" i="4"/>
  <c r="H50" i="4"/>
  <c r="H44" i="4"/>
  <c r="N44" i="4" s="1"/>
  <c r="H42" i="4"/>
  <c r="H41" i="4"/>
  <c r="H33" i="4"/>
  <c r="H28" i="4"/>
  <c r="H15" i="4"/>
  <c r="H14" i="4"/>
  <c r="H13" i="4"/>
  <c r="H12" i="4"/>
  <c r="H11" i="4"/>
  <c r="H10" i="4"/>
  <c r="O10" i="4" s="1"/>
  <c r="H8" i="4"/>
  <c r="O8" i="4" s="1"/>
  <c r="H7" i="4"/>
  <c r="O7" i="4" s="1"/>
  <c r="H6" i="4"/>
  <c r="H5" i="4"/>
  <c r="O5" i="4" s="1"/>
  <c r="H4" i="4"/>
  <c r="H3" i="4"/>
  <c r="D96" i="4"/>
  <c r="H96" i="4" s="1"/>
  <c r="D95" i="4"/>
  <c r="D94" i="4"/>
  <c r="D93" i="4"/>
  <c r="D92" i="4"/>
  <c r="D91" i="4"/>
  <c r="D90" i="4"/>
  <c r="M90" i="4" s="1"/>
  <c r="D89" i="4"/>
  <c r="M89" i="4" s="1"/>
  <c r="D88" i="4"/>
  <c r="M88" i="4" s="1"/>
  <c r="T88" i="4" s="1"/>
  <c r="D87" i="4"/>
  <c r="D86" i="4"/>
  <c r="M86" i="4" s="1"/>
  <c r="D85" i="4"/>
  <c r="H85" i="4" s="1"/>
  <c r="O85" i="4" s="1"/>
  <c r="D84" i="4"/>
  <c r="I84" i="4" s="1"/>
  <c r="P84" i="4" s="1"/>
  <c r="D83" i="4"/>
  <c r="I83" i="4" s="1"/>
  <c r="P83" i="4" s="1"/>
  <c r="D82" i="4"/>
  <c r="H82" i="4" s="1"/>
  <c r="D81" i="4"/>
  <c r="D80" i="4"/>
  <c r="D79" i="4"/>
  <c r="D78" i="4"/>
  <c r="D77" i="4"/>
  <c r="D76" i="4"/>
  <c r="H76" i="4" s="1"/>
  <c r="D75" i="4"/>
  <c r="M75" i="4" s="1"/>
  <c r="D74" i="4"/>
  <c r="M74" i="4" s="1"/>
  <c r="D73" i="4"/>
  <c r="D72" i="4"/>
  <c r="I72" i="4" s="1"/>
  <c r="P72" i="4" s="1"/>
  <c r="D71" i="4"/>
  <c r="D70" i="4"/>
  <c r="M70" i="4" s="1"/>
  <c r="D69" i="4"/>
  <c r="M69" i="4" s="1"/>
  <c r="D68" i="4"/>
  <c r="M68" i="4" s="1"/>
  <c r="D67" i="4"/>
  <c r="D66" i="4"/>
  <c r="M66" i="4" s="1"/>
  <c r="D65" i="4"/>
  <c r="D64" i="4"/>
  <c r="I64" i="4" s="1"/>
  <c r="P64" i="4" s="1"/>
  <c r="D63" i="4"/>
  <c r="H63" i="4" s="1"/>
  <c r="D62" i="4"/>
  <c r="D61" i="4"/>
  <c r="D60" i="4"/>
  <c r="D59" i="4"/>
  <c r="D58" i="4"/>
  <c r="D57" i="4"/>
  <c r="D56" i="4"/>
  <c r="H56" i="4" s="1"/>
  <c r="D55" i="4"/>
  <c r="D54" i="4"/>
  <c r="D53" i="4"/>
  <c r="D52" i="4"/>
  <c r="D51" i="4"/>
  <c r="D50" i="4"/>
  <c r="M50" i="4" s="1"/>
  <c r="T50" i="4" s="1"/>
  <c r="D49" i="4"/>
  <c r="M49" i="4" s="1"/>
  <c r="T49" i="4" s="1"/>
  <c r="D48" i="4"/>
  <c r="M48" i="4" s="1"/>
  <c r="T48" i="4" s="1"/>
  <c r="D47" i="4"/>
  <c r="D46" i="4"/>
  <c r="D45" i="4"/>
  <c r="H45" i="4" s="1"/>
  <c r="O45" i="4" s="1"/>
  <c r="D44" i="4"/>
  <c r="I44" i="4" s="1"/>
  <c r="P44" i="4" s="1"/>
  <c r="D43" i="4"/>
  <c r="D42" i="4"/>
  <c r="D41" i="4"/>
  <c r="D40" i="4"/>
  <c r="D39" i="4"/>
  <c r="M39" i="4" s="1"/>
  <c r="D38" i="4"/>
  <c r="D37" i="4"/>
  <c r="D36" i="4"/>
  <c r="H36" i="4" s="1"/>
  <c r="D35" i="4"/>
  <c r="H35" i="4" s="1"/>
  <c r="O35" i="4" s="1"/>
  <c r="D34" i="4"/>
  <c r="H34" i="4" s="1"/>
  <c r="D33" i="4"/>
  <c r="D32" i="4"/>
  <c r="H32" i="4" s="1"/>
  <c r="O32" i="4" s="1"/>
  <c r="D31" i="4"/>
  <c r="M31" i="4" s="1"/>
  <c r="T31" i="4" s="1"/>
  <c r="D30" i="4"/>
  <c r="M30" i="4" s="1"/>
  <c r="T30" i="4" s="1"/>
  <c r="D29" i="4"/>
  <c r="M29" i="4" s="1"/>
  <c r="T29" i="4" s="1"/>
  <c r="D28" i="4"/>
  <c r="M28" i="4" s="1"/>
  <c r="D27" i="4"/>
  <c r="M27" i="4" s="1"/>
  <c r="T27" i="4" s="1"/>
  <c r="D26" i="4"/>
  <c r="D25" i="4"/>
  <c r="D24" i="4"/>
  <c r="I24" i="4" s="1"/>
  <c r="D23" i="4"/>
  <c r="M23" i="4" s="1"/>
  <c r="D22" i="4"/>
  <c r="D21" i="4"/>
  <c r="D20" i="4"/>
  <c r="D19" i="4"/>
  <c r="D18" i="4"/>
  <c r="I18" i="4" s="1"/>
  <c r="D17" i="4"/>
  <c r="M17" i="4" s="1"/>
  <c r="T17" i="4" s="1"/>
  <c r="D16" i="4"/>
  <c r="H16" i="4" s="1"/>
  <c r="D15" i="4"/>
  <c r="M15" i="4" s="1"/>
  <c r="T15" i="4" s="1"/>
  <c r="D14" i="4"/>
  <c r="M14" i="4" s="1"/>
  <c r="D13" i="4"/>
  <c r="M13" i="4" s="1"/>
  <c r="T13" i="4" s="1"/>
  <c r="D12" i="4"/>
  <c r="M12" i="4" s="1"/>
  <c r="T12" i="4" s="1"/>
  <c r="D11" i="4"/>
  <c r="D10" i="4"/>
  <c r="M10" i="4" s="1"/>
  <c r="T10" i="4" s="1"/>
  <c r="D9" i="4"/>
  <c r="M9" i="4" s="1"/>
  <c r="D8" i="4"/>
  <c r="M8" i="4" s="1"/>
  <c r="T8" i="4" s="1"/>
  <c r="D7" i="4"/>
  <c r="D6" i="4"/>
  <c r="D5" i="4"/>
  <c r="D4" i="4"/>
  <c r="I4" i="4" s="1"/>
  <c r="D3" i="4"/>
  <c r="D2" i="4"/>
  <c r="M64" i="3"/>
  <c r="M63" i="3"/>
  <c r="M62" i="3"/>
  <c r="M61" i="3"/>
  <c r="M50" i="3"/>
  <c r="T50" i="3" s="1"/>
  <c r="M47" i="3"/>
  <c r="M46" i="3"/>
  <c r="M31" i="3"/>
  <c r="T31" i="3" s="1"/>
  <c r="M30" i="3"/>
  <c r="M29" i="3"/>
  <c r="T29" i="3" s="1"/>
  <c r="M28" i="3"/>
  <c r="M27" i="3"/>
  <c r="T27" i="3" s="1"/>
  <c r="M26" i="3"/>
  <c r="T26" i="3" s="1"/>
  <c r="M25" i="3"/>
  <c r="T25" i="3" s="1"/>
  <c r="M24" i="3"/>
  <c r="T24" i="3" s="1"/>
  <c r="M23" i="3"/>
  <c r="T23" i="3" s="1"/>
  <c r="M22" i="3"/>
  <c r="T22" i="3" s="1"/>
  <c r="M8" i="3"/>
  <c r="I64" i="3"/>
  <c r="P64" i="3" s="1"/>
  <c r="I63" i="3"/>
  <c r="I62" i="3"/>
  <c r="I51" i="3"/>
  <c r="P51" i="3" s="1"/>
  <c r="I50" i="3"/>
  <c r="P50" i="3" s="1"/>
  <c r="I49" i="3"/>
  <c r="P49" i="3" s="1"/>
  <c r="I48" i="3"/>
  <c r="P48" i="3" s="1"/>
  <c r="I47" i="3"/>
  <c r="P47" i="3" s="1"/>
  <c r="I46" i="3"/>
  <c r="P46" i="3" s="1"/>
  <c r="I45" i="3"/>
  <c r="P45" i="3" s="1"/>
  <c r="I27" i="3"/>
  <c r="I26" i="3"/>
  <c r="P26" i="3" s="1"/>
  <c r="I25" i="3"/>
  <c r="P25" i="3" s="1"/>
  <c r="I24" i="3"/>
  <c r="P24" i="3" s="1"/>
  <c r="I23" i="3"/>
  <c r="P23" i="3" s="1"/>
  <c r="I22" i="3"/>
  <c r="P22" i="3" s="1"/>
  <c r="I11" i="3"/>
  <c r="P11" i="3" s="1"/>
  <c r="I10" i="3"/>
  <c r="P10" i="3" s="1"/>
  <c r="I9" i="3"/>
  <c r="N9" i="3" s="1"/>
  <c r="I8" i="3"/>
  <c r="P8" i="3" s="1"/>
  <c r="I7" i="3"/>
  <c r="P7" i="3" s="1"/>
  <c r="I6" i="3"/>
  <c r="P6" i="3" s="1"/>
  <c r="I5" i="3"/>
  <c r="P5" i="3" s="1"/>
  <c r="I4" i="3"/>
  <c r="P4" i="3" s="1"/>
  <c r="H51" i="3"/>
  <c r="O51" i="3" s="1"/>
  <c r="H50" i="3"/>
  <c r="O50" i="3" s="1"/>
  <c r="H49" i="3"/>
  <c r="H48" i="3"/>
  <c r="H47" i="3"/>
  <c r="H46" i="3"/>
  <c r="H45" i="3"/>
  <c r="H31" i="3"/>
  <c r="H30" i="3"/>
  <c r="H29" i="3"/>
  <c r="H28" i="3"/>
  <c r="O28" i="3" s="1"/>
  <c r="H27" i="3"/>
  <c r="N27" i="3" s="1"/>
  <c r="H26" i="3"/>
  <c r="O26" i="3" s="1"/>
  <c r="H25" i="3"/>
  <c r="N25" i="3" s="1"/>
  <c r="D64" i="3"/>
  <c r="H64" i="3" s="1"/>
  <c r="N64" i="3" s="1"/>
  <c r="D63" i="3"/>
  <c r="H63" i="3" s="1"/>
  <c r="N63" i="3" s="1"/>
  <c r="D62" i="3"/>
  <c r="H62" i="3" s="1"/>
  <c r="D61" i="3"/>
  <c r="D60" i="3"/>
  <c r="D59" i="3"/>
  <c r="D58" i="3"/>
  <c r="D57" i="3"/>
  <c r="H57" i="3" s="1"/>
  <c r="D56" i="3"/>
  <c r="H56" i="3" s="1"/>
  <c r="D55" i="3"/>
  <c r="D54" i="3"/>
  <c r="H54" i="3" s="1"/>
  <c r="D53" i="3"/>
  <c r="H53" i="3" s="1"/>
  <c r="D52" i="3"/>
  <c r="M52" i="3" s="1"/>
  <c r="D51" i="3"/>
  <c r="M51" i="3" s="1"/>
  <c r="D50" i="3"/>
  <c r="D49" i="3"/>
  <c r="M49" i="3" s="1"/>
  <c r="T49" i="3" s="1"/>
  <c r="D48" i="3"/>
  <c r="M48" i="3" s="1"/>
  <c r="T48" i="3" s="1"/>
  <c r="D47" i="3"/>
  <c r="D46" i="3"/>
  <c r="D45" i="3"/>
  <c r="M45" i="3" s="1"/>
  <c r="T45" i="3" s="1"/>
  <c r="D44" i="3"/>
  <c r="H44" i="3" s="1"/>
  <c r="D43" i="3"/>
  <c r="H43" i="3" s="1"/>
  <c r="D42" i="3"/>
  <c r="H42" i="3" s="1"/>
  <c r="O42" i="3" s="1"/>
  <c r="D41" i="3"/>
  <c r="D40" i="3"/>
  <c r="M40" i="3" s="1"/>
  <c r="T40" i="3" s="1"/>
  <c r="D39" i="3"/>
  <c r="M39" i="3" s="1"/>
  <c r="T39" i="3" s="1"/>
  <c r="D38" i="3"/>
  <c r="H38" i="3" s="1"/>
  <c r="D37" i="3"/>
  <c r="D36" i="3"/>
  <c r="D35" i="3"/>
  <c r="D34" i="3"/>
  <c r="D33" i="3"/>
  <c r="D32" i="3"/>
  <c r="D31" i="3"/>
  <c r="I31" i="3" s="1"/>
  <c r="D30" i="3"/>
  <c r="I30" i="3" s="1"/>
  <c r="P30" i="3" s="1"/>
  <c r="D29" i="3"/>
  <c r="I29" i="3" s="1"/>
  <c r="P29" i="3" s="1"/>
  <c r="D28" i="3"/>
  <c r="I28" i="3" s="1"/>
  <c r="P28" i="3" s="1"/>
  <c r="D27" i="3"/>
  <c r="D26" i="3"/>
  <c r="D25" i="3"/>
  <c r="D24" i="3"/>
  <c r="H24" i="3" s="1"/>
  <c r="D23" i="3"/>
  <c r="H23" i="3" s="1"/>
  <c r="D22" i="3"/>
  <c r="H22" i="3" s="1"/>
  <c r="D21" i="3"/>
  <c r="M21" i="3" s="1"/>
  <c r="T21" i="3" s="1"/>
  <c r="D20" i="3"/>
  <c r="D19" i="3"/>
  <c r="D18" i="3"/>
  <c r="H18" i="3" s="1"/>
  <c r="O18" i="3" s="1"/>
  <c r="D17" i="3"/>
  <c r="H17" i="3" s="1"/>
  <c r="D16" i="3"/>
  <c r="H16" i="3" s="1"/>
  <c r="D15" i="3"/>
  <c r="H15" i="3" s="1"/>
  <c r="D14" i="3"/>
  <c r="H14" i="3" s="1"/>
  <c r="D13" i="3"/>
  <c r="D12" i="3"/>
  <c r="D11" i="3"/>
  <c r="H11" i="3" s="1"/>
  <c r="D10" i="3"/>
  <c r="H10" i="3" s="1"/>
  <c r="D9" i="3"/>
  <c r="H9" i="3" s="1"/>
  <c r="D8" i="3"/>
  <c r="H8" i="3" s="1"/>
  <c r="D7" i="3"/>
  <c r="M7" i="3" s="1"/>
  <c r="T7" i="3" s="1"/>
  <c r="D6" i="3"/>
  <c r="M6" i="3" s="1"/>
  <c r="D5" i="3"/>
  <c r="M5" i="3" s="1"/>
  <c r="T5" i="3" s="1"/>
  <c r="D4" i="3"/>
  <c r="H4" i="3" s="1"/>
  <c r="D3" i="3"/>
  <c r="H3" i="3" s="1"/>
  <c r="D2" i="3"/>
  <c r="H2" i="3" s="1"/>
  <c r="O2" i="3" s="1"/>
  <c r="M43" i="2"/>
  <c r="T43" i="2" s="1"/>
  <c r="M42" i="2"/>
  <c r="M41" i="2"/>
  <c r="M39" i="2"/>
  <c r="T39" i="2" s="1"/>
  <c r="M30" i="2"/>
  <c r="T30" i="2" s="1"/>
  <c r="M23" i="2"/>
  <c r="M22" i="2"/>
  <c r="M19" i="2"/>
  <c r="T19" i="2" s="1"/>
  <c r="M18" i="2"/>
  <c r="M17" i="2"/>
  <c r="T17" i="2" s="1"/>
  <c r="M3" i="2"/>
  <c r="M2" i="2"/>
  <c r="I42" i="2"/>
  <c r="P42" i="2" s="1"/>
  <c r="I39" i="2"/>
  <c r="P39" i="2" s="1"/>
  <c r="I22" i="2"/>
  <c r="P22" i="2" s="1"/>
  <c r="I20" i="2"/>
  <c r="I11" i="2"/>
  <c r="P11" i="2" s="1"/>
  <c r="I2" i="2"/>
  <c r="H43" i="2"/>
  <c r="O43" i="2" s="1"/>
  <c r="H42" i="2"/>
  <c r="O42" i="2" s="1"/>
  <c r="H41" i="2"/>
  <c r="H39" i="2"/>
  <c r="O39" i="2" s="1"/>
  <c r="H38" i="2"/>
  <c r="H37" i="2"/>
  <c r="H36" i="2"/>
  <c r="H35" i="2"/>
  <c r="H22" i="2"/>
  <c r="H21" i="2"/>
  <c r="O21" i="2" s="1"/>
  <c r="H18" i="2"/>
  <c r="H3" i="2"/>
  <c r="H2" i="2"/>
  <c r="D50" i="2"/>
  <c r="H50" i="2" s="1"/>
  <c r="D49" i="2"/>
  <c r="H49" i="2" s="1"/>
  <c r="O49" i="2" s="1"/>
  <c r="D48" i="2"/>
  <c r="H48" i="2" s="1"/>
  <c r="O48" i="2" s="1"/>
  <c r="D47" i="2"/>
  <c r="I47" i="2" s="1"/>
  <c r="P47" i="2" s="1"/>
  <c r="D46" i="2"/>
  <c r="H46" i="2" s="1"/>
  <c r="D45" i="2"/>
  <c r="I45" i="2" s="1"/>
  <c r="P45" i="2" s="1"/>
  <c r="D44" i="2"/>
  <c r="D43" i="2"/>
  <c r="I43" i="2" s="1"/>
  <c r="D42" i="2"/>
  <c r="D41" i="2"/>
  <c r="I41" i="2" s="1"/>
  <c r="D40" i="2"/>
  <c r="H40" i="2" s="1"/>
  <c r="D39" i="2"/>
  <c r="D38" i="2"/>
  <c r="M38" i="2" s="1"/>
  <c r="T38" i="2" s="1"/>
  <c r="D37" i="2"/>
  <c r="M37" i="2" s="1"/>
  <c r="D36" i="2"/>
  <c r="M36" i="2" s="1"/>
  <c r="D35" i="2"/>
  <c r="M35" i="2" s="1"/>
  <c r="T35" i="2" s="1"/>
  <c r="D34" i="2"/>
  <c r="I34" i="2" s="1"/>
  <c r="D33" i="2"/>
  <c r="D32" i="2"/>
  <c r="D31" i="2"/>
  <c r="D30" i="2"/>
  <c r="H30" i="2" s="1"/>
  <c r="O30" i="2" s="1"/>
  <c r="D29" i="2"/>
  <c r="H29" i="2" s="1"/>
  <c r="O29" i="2" s="1"/>
  <c r="D28" i="2"/>
  <c r="H28" i="2" s="1"/>
  <c r="D27" i="2"/>
  <c r="D26" i="2"/>
  <c r="D25" i="2"/>
  <c r="I25" i="2" s="1"/>
  <c r="P25" i="2" s="1"/>
  <c r="D24" i="2"/>
  <c r="D23" i="2"/>
  <c r="I23" i="2" s="1"/>
  <c r="D22" i="2"/>
  <c r="D21" i="2"/>
  <c r="I21" i="2" s="1"/>
  <c r="D20" i="2"/>
  <c r="H20" i="2" s="1"/>
  <c r="D19" i="2"/>
  <c r="I19" i="2" s="1"/>
  <c r="P19" i="2" s="1"/>
  <c r="D18" i="2"/>
  <c r="I18" i="2" s="1"/>
  <c r="D17" i="2"/>
  <c r="D16" i="2"/>
  <c r="M16" i="2" s="1"/>
  <c r="T16" i="2" s="1"/>
  <c r="D15" i="2"/>
  <c r="M15" i="2" s="1"/>
  <c r="T15" i="2" s="1"/>
  <c r="D14" i="2"/>
  <c r="I14" i="2" s="1"/>
  <c r="P14" i="2" s="1"/>
  <c r="D13" i="2"/>
  <c r="I13" i="2" s="1"/>
  <c r="P13" i="2" s="1"/>
  <c r="D12" i="2"/>
  <c r="I12" i="2" s="1"/>
  <c r="P12" i="2" s="1"/>
  <c r="D11" i="2"/>
  <c r="D10" i="2"/>
  <c r="H10" i="2" s="1"/>
  <c r="O10" i="2" s="1"/>
  <c r="D9" i="2"/>
  <c r="I9" i="2" s="1"/>
  <c r="P9" i="2" s="1"/>
  <c r="D8" i="2"/>
  <c r="M8" i="2" s="1"/>
  <c r="T8" i="2" s="1"/>
  <c r="D7" i="2"/>
  <c r="D6" i="2"/>
  <c r="D5" i="2"/>
  <c r="I5" i="2" s="1"/>
  <c r="P5" i="2" s="1"/>
  <c r="D4" i="2"/>
  <c r="D3" i="2"/>
  <c r="I3" i="2" s="1"/>
  <c r="D2" i="2"/>
  <c r="N96" i="4"/>
  <c r="O15" i="4"/>
  <c r="O16" i="4"/>
  <c r="O33" i="4"/>
  <c r="O44" i="4"/>
  <c r="O50" i="4"/>
  <c r="O51" i="4"/>
  <c r="O73" i="4"/>
  <c r="O76" i="4"/>
  <c r="O96" i="4"/>
  <c r="P4" i="4"/>
  <c r="P10" i="4"/>
  <c r="P11" i="4"/>
  <c r="P13" i="4"/>
  <c r="P24" i="4"/>
  <c r="P35" i="4"/>
  <c r="P48" i="4"/>
  <c r="P55" i="4"/>
  <c r="P96" i="4"/>
  <c r="Q2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R2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S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T16" i="4"/>
  <c r="T28" i="4"/>
  <c r="T68" i="4"/>
  <c r="T69" i="4"/>
  <c r="T70" i="4"/>
  <c r="T89" i="4"/>
  <c r="T90" i="4"/>
  <c r="T95" i="4"/>
  <c r="W2" i="4"/>
  <c r="W3" i="4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2" i="4"/>
  <c r="W33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3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3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5" i="4"/>
  <c r="W96" i="4"/>
  <c r="X3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3" i="4"/>
  <c r="X25" i="4"/>
  <c r="X26" i="4"/>
  <c r="X27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5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5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5" i="4"/>
  <c r="X87" i="4"/>
  <c r="X88" i="4"/>
  <c r="X89" i="4"/>
  <c r="X90" i="4"/>
  <c r="X91" i="4"/>
  <c r="X92" i="4"/>
  <c r="X93" i="4"/>
  <c r="X94" i="4"/>
  <c r="X95" i="4"/>
  <c r="X96" i="4"/>
  <c r="Y2" i="4"/>
  <c r="Y3" i="4"/>
  <c r="Y4" i="4"/>
  <c r="Y5" i="4"/>
  <c r="Y6" i="4"/>
  <c r="Y7" i="4"/>
  <c r="Y8" i="4"/>
  <c r="Y9" i="4"/>
  <c r="Y10" i="4"/>
  <c r="Y11" i="4"/>
  <c r="Y12" i="4"/>
  <c r="Y13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O9" i="3"/>
  <c r="O23" i="3"/>
  <c r="O24" i="3"/>
  <c r="O43" i="3"/>
  <c r="O48" i="3"/>
  <c r="O62" i="3"/>
  <c r="O64" i="3"/>
  <c r="P27" i="3"/>
  <c r="P62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S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T47" i="3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8" i="3"/>
  <c r="W49" i="3"/>
  <c r="W50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X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Y2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3" i="3"/>
  <c r="O2" i="2"/>
  <c r="O3" i="2"/>
  <c r="O18" i="2"/>
  <c r="O37" i="2"/>
  <c r="O50" i="2"/>
  <c r="P2" i="2"/>
  <c r="P20" i="2"/>
  <c r="P41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T3" i="2"/>
  <c r="T22" i="2"/>
  <c r="T23" i="2"/>
  <c r="T36" i="2"/>
  <c r="W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20" i="2"/>
  <c r="X21" i="2"/>
  <c r="X22" i="2"/>
  <c r="X23" i="2"/>
  <c r="X24" i="2"/>
  <c r="X25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Y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C1" i="12" a="1"/>
  <c r="C1" i="12" s="1"/>
  <c r="C1" i="11" a="1"/>
  <c r="C1" i="11" s="1"/>
  <c r="C1" i="9" a="1"/>
  <c r="C1" i="9" s="1"/>
  <c r="N29" i="3" l="1"/>
  <c r="N18" i="2"/>
  <c r="P18" i="2"/>
  <c r="N74" i="4"/>
  <c r="O29" i="3"/>
  <c r="I48" i="2"/>
  <c r="P48" i="2" s="1"/>
  <c r="O27" i="3"/>
  <c r="H5" i="2"/>
  <c r="O5" i="2" s="1"/>
  <c r="N62" i="3"/>
  <c r="M2" i="3"/>
  <c r="T2" i="3" s="1"/>
  <c r="I10" i="2"/>
  <c r="H16" i="2"/>
  <c r="O16" i="2" s="1"/>
  <c r="H5" i="3"/>
  <c r="M4" i="3"/>
  <c r="T4" i="3" s="1"/>
  <c r="P9" i="3"/>
  <c r="O3" i="3"/>
  <c r="N72" i="4"/>
  <c r="H6" i="3"/>
  <c r="N6" i="3" s="1"/>
  <c r="M43" i="3"/>
  <c r="T43" i="3" s="1"/>
  <c r="H29" i="4"/>
  <c r="H74" i="4"/>
  <c r="O74" i="4" s="1"/>
  <c r="I16" i="4"/>
  <c r="M72" i="4"/>
  <c r="T72" i="4" s="1"/>
  <c r="H45" i="2"/>
  <c r="O45" i="2" s="1"/>
  <c r="N71" i="4"/>
  <c r="H19" i="2"/>
  <c r="N19" i="2" s="1"/>
  <c r="M20" i="2"/>
  <c r="T20" i="2" s="1"/>
  <c r="H7" i="3"/>
  <c r="H52" i="3"/>
  <c r="O52" i="3" s="1"/>
  <c r="M44" i="3"/>
  <c r="T44" i="3" s="1"/>
  <c r="H30" i="4"/>
  <c r="H75" i="4"/>
  <c r="O75" i="4" s="1"/>
  <c r="I66" i="4"/>
  <c r="P66" i="4" s="1"/>
  <c r="N35" i="4"/>
  <c r="I50" i="2"/>
  <c r="P50" i="2" s="1"/>
  <c r="M49" i="2"/>
  <c r="T49" i="2" s="1"/>
  <c r="H8" i="2"/>
  <c r="O8" i="2" s="1"/>
  <c r="M10" i="2"/>
  <c r="T10" i="2" s="1"/>
  <c r="O91" i="4"/>
  <c r="N95" i="4"/>
  <c r="H9" i="2"/>
  <c r="O9" i="2" s="1"/>
  <c r="M3" i="3"/>
  <c r="T3" i="3" s="1"/>
  <c r="M42" i="3"/>
  <c r="T42" i="3" s="1"/>
  <c r="M21" i="2"/>
  <c r="T21" i="2" s="1"/>
  <c r="H31" i="4"/>
  <c r="M9" i="2"/>
  <c r="H84" i="4"/>
  <c r="N84" i="4" s="1"/>
  <c r="I70" i="4"/>
  <c r="P70" i="4" s="1"/>
  <c r="N33" i="4"/>
  <c r="I15" i="2"/>
  <c r="P15" i="2" s="1"/>
  <c r="N21" i="2"/>
  <c r="I16" i="2"/>
  <c r="I42" i="3"/>
  <c r="P42" i="3" s="1"/>
  <c r="I29" i="4"/>
  <c r="P29" i="4" s="1"/>
  <c r="H23" i="2"/>
  <c r="O23" i="2" s="1"/>
  <c r="M25" i="2"/>
  <c r="T25" i="2" s="1"/>
  <c r="I2" i="3"/>
  <c r="P2" i="3" s="1"/>
  <c r="I43" i="3"/>
  <c r="P43" i="3" s="1"/>
  <c r="M10" i="3"/>
  <c r="T10" i="3" s="1"/>
  <c r="H86" i="4"/>
  <c r="I30" i="4"/>
  <c r="P30" i="4" s="1"/>
  <c r="N39" i="2"/>
  <c r="M45" i="2"/>
  <c r="T45" i="2" s="1"/>
  <c r="M48" i="2"/>
  <c r="T48" i="2" s="1"/>
  <c r="M50" i="2"/>
  <c r="T50" i="2" s="1"/>
  <c r="M9" i="3"/>
  <c r="T9" i="3" s="1"/>
  <c r="P21" i="2"/>
  <c r="H25" i="2"/>
  <c r="M28" i="2"/>
  <c r="T28" i="2" s="1"/>
  <c r="I3" i="3"/>
  <c r="P3" i="3" s="1"/>
  <c r="I44" i="3"/>
  <c r="P44" i="3" s="1"/>
  <c r="M11" i="3"/>
  <c r="T11" i="3" s="1"/>
  <c r="I31" i="4"/>
  <c r="P31" i="4" s="1"/>
  <c r="M40" i="2"/>
  <c r="T40" i="2" s="1"/>
  <c r="I40" i="2"/>
  <c r="P40" i="2" s="1"/>
  <c r="N22" i="2"/>
  <c r="I46" i="2"/>
  <c r="P46" i="2" s="1"/>
  <c r="O40" i="2"/>
  <c r="P3" i="2"/>
  <c r="P16" i="4"/>
  <c r="I24" i="2"/>
  <c r="H24" i="2"/>
  <c r="M24" i="2"/>
  <c r="O53" i="3"/>
  <c r="P18" i="4"/>
  <c r="O15" i="3"/>
  <c r="O54" i="3"/>
  <c r="N82" i="4"/>
  <c r="O82" i="4"/>
  <c r="O10" i="3"/>
  <c r="N10" i="3"/>
  <c r="O16" i="3"/>
  <c r="O56" i="3"/>
  <c r="M7" i="2"/>
  <c r="I7" i="2"/>
  <c r="H7" i="2"/>
  <c r="O7" i="2" s="1"/>
  <c r="H27" i="2"/>
  <c r="I27" i="2"/>
  <c r="M27" i="2"/>
  <c r="T27" i="2" s="1"/>
  <c r="M47" i="2"/>
  <c r="H47" i="2"/>
  <c r="O11" i="3"/>
  <c r="N11" i="3"/>
  <c r="P31" i="3"/>
  <c r="T51" i="3"/>
  <c r="O17" i="3"/>
  <c r="N17" i="3"/>
  <c r="T76" i="4"/>
  <c r="N15" i="4"/>
  <c r="T52" i="3"/>
  <c r="T42" i="2"/>
  <c r="M15" i="3"/>
  <c r="I15" i="3"/>
  <c r="N15" i="3" s="1"/>
  <c r="M35" i="3"/>
  <c r="S16" i="1" s="1" a="1"/>
  <c r="S16" i="1" s="1"/>
  <c r="H35" i="3"/>
  <c r="I35" i="3"/>
  <c r="M55" i="3"/>
  <c r="I55" i="3"/>
  <c r="H55" i="3"/>
  <c r="T61" i="3"/>
  <c r="H18" i="4"/>
  <c r="O18" i="4" s="1"/>
  <c r="M18" i="4"/>
  <c r="H38" i="4"/>
  <c r="M38" i="4"/>
  <c r="I38" i="4"/>
  <c r="H58" i="4"/>
  <c r="M58" i="4"/>
  <c r="I58" i="4"/>
  <c r="H78" i="4"/>
  <c r="N78" i="4" s="1"/>
  <c r="I78" i="4"/>
  <c r="O4" i="4"/>
  <c r="N4" i="4"/>
  <c r="O42" i="4"/>
  <c r="O35" i="2"/>
  <c r="O41" i="4"/>
  <c r="T62" i="3"/>
  <c r="H19" i="4"/>
  <c r="M19" i="4"/>
  <c r="T19" i="4" s="1"/>
  <c r="I19" i="4"/>
  <c r="H39" i="4"/>
  <c r="I39" i="4"/>
  <c r="H59" i="4"/>
  <c r="I59" i="4"/>
  <c r="M59" i="4"/>
  <c r="H79" i="4"/>
  <c r="I79" i="4"/>
  <c r="M33" i="3"/>
  <c r="H33" i="3"/>
  <c r="I33" i="3"/>
  <c r="O6" i="4"/>
  <c r="M53" i="3"/>
  <c r="T53" i="3" s="1"/>
  <c r="I53" i="3"/>
  <c r="H20" i="4"/>
  <c r="I20" i="4"/>
  <c r="M20" i="4"/>
  <c r="I44" i="2"/>
  <c r="H44" i="2"/>
  <c r="H12" i="3"/>
  <c r="I12" i="3"/>
  <c r="M12" i="3"/>
  <c r="H60" i="4"/>
  <c r="I60" i="4"/>
  <c r="M60" i="4"/>
  <c r="I52" i="3"/>
  <c r="T28" i="3"/>
  <c r="T23" i="4"/>
  <c r="O63" i="4"/>
  <c r="P14" i="4"/>
  <c r="P23" i="2"/>
  <c r="O3" i="4"/>
  <c r="M44" i="2"/>
  <c r="O57" i="3"/>
  <c r="I41" i="4"/>
  <c r="N41" i="4" s="1"/>
  <c r="M41" i="4"/>
  <c r="T39" i="4"/>
  <c r="O22" i="2"/>
  <c r="N43" i="2"/>
  <c r="P43" i="2"/>
  <c r="I4" i="2"/>
  <c r="H4" i="2"/>
  <c r="M4" i="2"/>
  <c r="O14" i="3"/>
  <c r="N14" i="3"/>
  <c r="N28" i="2"/>
  <c r="I32" i="3"/>
  <c r="H32" i="3"/>
  <c r="M32" i="3"/>
  <c r="T32" i="3" s="1"/>
  <c r="T77" i="4"/>
  <c r="T78" i="4"/>
  <c r="T41" i="2"/>
  <c r="H80" i="4"/>
  <c r="O80" i="4" s="1"/>
  <c r="I80" i="4"/>
  <c r="M80" i="4"/>
  <c r="P34" i="2"/>
  <c r="I81" i="4"/>
  <c r="H81" i="4"/>
  <c r="M81" i="4"/>
  <c r="N51" i="4"/>
  <c r="P51" i="4"/>
  <c r="P93" i="4"/>
  <c r="N93" i="4"/>
  <c r="M13" i="3"/>
  <c r="H13" i="3"/>
  <c r="I13" i="3"/>
  <c r="P13" i="3" s="1"/>
  <c r="H40" i="4"/>
  <c r="I40" i="4"/>
  <c r="M40" i="4"/>
  <c r="O38" i="3"/>
  <c r="I21" i="4"/>
  <c r="H21" i="4"/>
  <c r="M21" i="4"/>
  <c r="O20" i="2"/>
  <c r="P52" i="4"/>
  <c r="T63" i="3"/>
  <c r="I61" i="4"/>
  <c r="M61" i="4"/>
  <c r="H61" i="4"/>
  <c r="M6" i="2"/>
  <c r="T6" i="2" s="1"/>
  <c r="I6" i="2"/>
  <c r="H26" i="2"/>
  <c r="M26" i="2"/>
  <c r="M14" i="3"/>
  <c r="I14" i="3"/>
  <c r="P14" i="3" s="1"/>
  <c r="M34" i="3"/>
  <c r="H34" i="3"/>
  <c r="M54" i="3"/>
  <c r="T54" i="3" s="1"/>
  <c r="I54" i="3"/>
  <c r="N54" i="3" s="1"/>
  <c r="I2" i="4"/>
  <c r="M2" i="4"/>
  <c r="I22" i="4"/>
  <c r="M22" i="4"/>
  <c r="H22" i="4"/>
  <c r="I42" i="4"/>
  <c r="N42" i="4" s="1"/>
  <c r="M42" i="4"/>
  <c r="I62" i="4"/>
  <c r="M62" i="4"/>
  <c r="I82" i="4"/>
  <c r="M82" i="4"/>
  <c r="T82" i="4" s="1"/>
  <c r="H83" i="4"/>
  <c r="O38" i="2"/>
  <c r="M58" i="3"/>
  <c r="I58" i="3"/>
  <c r="H58" i="3"/>
  <c r="T86" i="4"/>
  <c r="N12" i="4"/>
  <c r="O12" i="4"/>
  <c r="N53" i="4"/>
  <c r="O87" i="4"/>
  <c r="I3" i="4"/>
  <c r="M3" i="4"/>
  <c r="M57" i="3"/>
  <c r="I57" i="3"/>
  <c r="I25" i="4"/>
  <c r="P25" i="4" s="1"/>
  <c r="M25" i="4"/>
  <c r="T25" i="4" s="1"/>
  <c r="H25" i="4"/>
  <c r="O86" i="4"/>
  <c r="T18" i="2"/>
  <c r="M47" i="4"/>
  <c r="H47" i="4"/>
  <c r="M87" i="4"/>
  <c r="I87" i="4"/>
  <c r="N54" i="4"/>
  <c r="O54" i="4"/>
  <c r="T93" i="4"/>
  <c r="T6" i="3"/>
  <c r="N88" i="4"/>
  <c r="I26" i="2"/>
  <c r="I20" i="3"/>
  <c r="H20" i="3"/>
  <c r="I40" i="3"/>
  <c r="H40" i="3"/>
  <c r="I60" i="3"/>
  <c r="P60" i="3" s="1"/>
  <c r="H60" i="3"/>
  <c r="N30" i="3"/>
  <c r="O30" i="3"/>
  <c r="T8" i="3"/>
  <c r="O90" i="4"/>
  <c r="N90" i="4"/>
  <c r="P32" i="4"/>
  <c r="M16" i="3"/>
  <c r="I16" i="3"/>
  <c r="N16" i="3" s="1"/>
  <c r="N9" i="2"/>
  <c r="M6" i="4"/>
  <c r="T6" i="4" s="1"/>
  <c r="I6" i="4"/>
  <c r="P6" i="4" s="1"/>
  <c r="T30" i="3"/>
  <c r="I43" i="4"/>
  <c r="H43" i="4"/>
  <c r="M43" i="4"/>
  <c r="I65" i="4"/>
  <c r="M65" i="4"/>
  <c r="T9" i="2"/>
  <c r="M46" i="4"/>
  <c r="H46" i="4"/>
  <c r="N41" i="2"/>
  <c r="O41" i="2"/>
  <c r="H14" i="2"/>
  <c r="M14" i="2"/>
  <c r="I35" i="2"/>
  <c r="O28" i="4"/>
  <c r="N28" i="4"/>
  <c r="T2" i="2"/>
  <c r="T14" i="4"/>
  <c r="I36" i="2"/>
  <c r="N36" i="2" s="1"/>
  <c r="O4" i="3"/>
  <c r="N24" i="3"/>
  <c r="N44" i="3"/>
  <c r="O44" i="3"/>
  <c r="N46" i="3"/>
  <c r="O46" i="3"/>
  <c r="T46" i="3"/>
  <c r="O29" i="4"/>
  <c r="N29" i="4"/>
  <c r="H65" i="4"/>
  <c r="P76" i="4"/>
  <c r="I63" i="4"/>
  <c r="M63" i="4"/>
  <c r="M83" i="4"/>
  <c r="M46" i="2"/>
  <c r="I45" i="4"/>
  <c r="M45" i="4"/>
  <c r="M7" i="4"/>
  <c r="I7" i="4"/>
  <c r="I41" i="3"/>
  <c r="H41" i="3"/>
  <c r="M41" i="3"/>
  <c r="N26" i="3"/>
  <c r="I17" i="2"/>
  <c r="P17" i="2" s="1"/>
  <c r="H17" i="2"/>
  <c r="T37" i="2"/>
  <c r="I37" i="2"/>
  <c r="N47" i="3"/>
  <c r="O47" i="3"/>
  <c r="M20" i="3"/>
  <c r="O30" i="4"/>
  <c r="N30" i="4"/>
  <c r="H66" i="4"/>
  <c r="I46" i="4"/>
  <c r="O28" i="2"/>
  <c r="M18" i="3"/>
  <c r="I18" i="3"/>
  <c r="N18" i="3" s="1"/>
  <c r="M26" i="4"/>
  <c r="H26" i="4"/>
  <c r="I26" i="4"/>
  <c r="P26" i="4" s="1"/>
  <c r="M67" i="4"/>
  <c r="I67" i="4"/>
  <c r="H15" i="2"/>
  <c r="I38" i="2"/>
  <c r="N38" i="2" s="1"/>
  <c r="H67" i="4"/>
  <c r="I47" i="4"/>
  <c r="M17" i="3"/>
  <c r="I17" i="3"/>
  <c r="I5" i="4"/>
  <c r="M5" i="4"/>
  <c r="I34" i="3"/>
  <c r="N43" i="3"/>
  <c r="N49" i="3"/>
  <c r="O49" i="3"/>
  <c r="I86" i="4"/>
  <c r="N86" i="4" s="1"/>
  <c r="I23" i="4"/>
  <c r="H23" i="4"/>
  <c r="P56" i="4"/>
  <c r="O36" i="2"/>
  <c r="M56" i="3"/>
  <c r="I56" i="3"/>
  <c r="N56" i="3" s="1"/>
  <c r="N11" i="4"/>
  <c r="O11" i="4"/>
  <c r="T66" i="4"/>
  <c r="I21" i="3"/>
  <c r="H21" i="3"/>
  <c r="O31" i="3"/>
  <c r="N31" i="3"/>
  <c r="T9" i="4"/>
  <c r="N73" i="4"/>
  <c r="H6" i="2"/>
  <c r="N22" i="3"/>
  <c r="O22" i="3"/>
  <c r="H27" i="4"/>
  <c r="H62" i="4"/>
  <c r="P74" i="4"/>
  <c r="O46" i="2"/>
  <c r="N10" i="4"/>
  <c r="N8" i="3"/>
  <c r="T74" i="4"/>
  <c r="M36" i="3"/>
  <c r="I36" i="3"/>
  <c r="H36" i="3"/>
  <c r="M37" i="3"/>
  <c r="I37" i="3"/>
  <c r="P37" i="3" s="1"/>
  <c r="H37" i="3"/>
  <c r="I85" i="4"/>
  <c r="N85" i="4" s="1"/>
  <c r="M85" i="4"/>
  <c r="M38" i="3"/>
  <c r="I38" i="3"/>
  <c r="P38" i="3" s="1"/>
  <c r="O84" i="4"/>
  <c r="N87" i="4"/>
  <c r="I61" i="3"/>
  <c r="P61" i="3" s="1"/>
  <c r="H61" i="3"/>
  <c r="H34" i="2"/>
  <c r="M34" i="2"/>
  <c r="N45" i="3"/>
  <c r="O45" i="3"/>
  <c r="O19" i="2"/>
  <c r="M60" i="3"/>
  <c r="H17" i="4"/>
  <c r="I17" i="4"/>
  <c r="H37" i="4"/>
  <c r="I37" i="4"/>
  <c r="M37" i="4"/>
  <c r="H57" i="4"/>
  <c r="I57" i="4"/>
  <c r="M57" i="4"/>
  <c r="H77" i="4"/>
  <c r="I77" i="4"/>
  <c r="H2" i="4"/>
  <c r="N50" i="4"/>
  <c r="T75" i="4"/>
  <c r="I19" i="3"/>
  <c r="H19" i="3"/>
  <c r="I39" i="3"/>
  <c r="H39" i="3"/>
  <c r="I59" i="3"/>
  <c r="H59" i="3"/>
  <c r="H9" i="4"/>
  <c r="O34" i="4"/>
  <c r="N34" i="4"/>
  <c r="H64" i="4"/>
  <c r="H89" i="4"/>
  <c r="O25" i="3"/>
  <c r="I49" i="2"/>
  <c r="N23" i="3"/>
  <c r="O63" i="3"/>
  <c r="M19" i="3"/>
  <c r="N13" i="4"/>
  <c r="O13" i="4"/>
  <c r="H68" i="4"/>
  <c r="M24" i="4"/>
  <c r="T24" i="4" s="1"/>
  <c r="O14" i="4"/>
  <c r="H69" i="4"/>
  <c r="I28" i="2"/>
  <c r="M29" i="2"/>
  <c r="N28" i="3"/>
  <c r="N94" i="4"/>
  <c r="I30" i="2"/>
  <c r="M5" i="2"/>
  <c r="H48" i="4"/>
  <c r="I8" i="4"/>
  <c r="I69" i="4"/>
  <c r="P94" i="4"/>
  <c r="H11" i="2"/>
  <c r="M11" i="2"/>
  <c r="H31" i="2"/>
  <c r="M31" i="2"/>
  <c r="I31" i="2"/>
  <c r="N4" i="3"/>
  <c r="H24" i="4"/>
  <c r="H49" i="4"/>
  <c r="I9" i="4"/>
  <c r="M36" i="4"/>
  <c r="M64" i="4"/>
  <c r="N92" i="4"/>
  <c r="H12" i="2"/>
  <c r="M12" i="2"/>
  <c r="H32" i="2"/>
  <c r="M32" i="2"/>
  <c r="N3" i="2"/>
  <c r="I8" i="2"/>
  <c r="I32" i="2"/>
  <c r="P63" i="3"/>
  <c r="M4" i="4"/>
  <c r="T4" i="4" s="1"/>
  <c r="I29" i="2"/>
  <c r="O94" i="4"/>
  <c r="H13" i="2"/>
  <c r="M13" i="2"/>
  <c r="H33" i="2"/>
  <c r="M33" i="2"/>
  <c r="I33" i="2"/>
  <c r="M59" i="3"/>
  <c r="N16" i="4"/>
  <c r="O36" i="4"/>
  <c r="N36" i="4"/>
  <c r="N56" i="4"/>
  <c r="N55" i="4"/>
  <c r="N2" i="2"/>
  <c r="N42" i="2"/>
  <c r="N52" i="4"/>
  <c r="N32" i="4"/>
  <c r="X24" i="4"/>
  <c r="X4" i="4"/>
  <c r="X22" i="4"/>
  <c r="X86" i="4"/>
  <c r="X66" i="4"/>
  <c r="X46" i="4"/>
  <c r="X84" i="4"/>
  <c r="X64" i="4"/>
  <c r="W94" i="4"/>
  <c r="W74" i="4"/>
  <c r="W54" i="4"/>
  <c r="W34" i="4"/>
  <c r="W72" i="4"/>
  <c r="Y64" i="3"/>
  <c r="X50" i="3"/>
  <c r="X34" i="3"/>
  <c r="X33" i="3"/>
  <c r="X17" i="2"/>
  <c r="X19" i="2"/>
  <c r="P15" i="4"/>
  <c r="N81" i="4"/>
  <c r="O78" i="4"/>
  <c r="O68" i="4"/>
  <c r="O59" i="4"/>
  <c r="O58" i="4"/>
  <c r="O56" i="4"/>
  <c r="O55" i="4"/>
  <c r="N14" i="4"/>
  <c r="N3" i="4"/>
  <c r="T64" i="3"/>
  <c r="P55" i="3"/>
  <c r="N48" i="3"/>
  <c r="N5" i="3"/>
  <c r="N51" i="3"/>
  <c r="N50" i="3"/>
  <c r="N38" i="3"/>
  <c r="O8" i="3"/>
  <c r="O6" i="3"/>
  <c r="O5" i="3"/>
  <c r="N45" i="2"/>
  <c r="N20" i="2"/>
  <c r="N7" i="2"/>
  <c r="A2" i="15" a="1"/>
  <c r="A2" i="15" s="1"/>
  <c r="N23" i="2" l="1"/>
  <c r="N46" i="2"/>
  <c r="N16" i="2"/>
  <c r="P10" i="2"/>
  <c r="N10" i="2"/>
  <c r="N8" i="2"/>
  <c r="F15" i="1" a="1"/>
  <c r="F15" i="1" s="1"/>
  <c r="R14" i="1" a="1"/>
  <c r="R14" i="1" s="1"/>
  <c r="O25" i="2"/>
  <c r="N25" i="2"/>
  <c r="G16" i="1" a="1"/>
  <c r="G16" i="1" s="1"/>
  <c r="N2" i="3"/>
  <c r="N7" i="3"/>
  <c r="O7" i="3"/>
  <c r="F14" i="1" a="1"/>
  <c r="F14" i="1" s="1"/>
  <c r="H14" i="1" s="1"/>
  <c r="O31" i="4"/>
  <c r="N31" i="4"/>
  <c r="R15" i="1" a="1"/>
  <c r="R15" i="1" s="1"/>
  <c r="N50" i="2"/>
  <c r="N70" i="4"/>
  <c r="N3" i="3"/>
  <c r="N48" i="2"/>
  <c r="B4" i="1" a="1"/>
  <c r="B4" i="1" s="1"/>
  <c r="N42" i="3"/>
  <c r="N75" i="4"/>
  <c r="G14" i="1" a="1"/>
  <c r="G14" i="1" s="1"/>
  <c r="N18" i="4"/>
  <c r="N5" i="2"/>
  <c r="P16" i="2"/>
  <c r="N40" i="2"/>
  <c r="G5" i="1" a="1"/>
  <c r="G5" i="1" s="1"/>
  <c r="S6" i="1" a="1"/>
  <c r="S6" i="1" s="1"/>
  <c r="B3" i="1" a="1"/>
  <c r="B3" i="1" s="1"/>
  <c r="B5" i="1" a="1"/>
  <c r="B5" i="1" s="1"/>
  <c r="C4" i="1" a="1"/>
  <c r="C4" i="1" s="1"/>
  <c r="E4" i="1" s="1"/>
  <c r="O19" i="4"/>
  <c r="N19" i="4"/>
  <c r="P78" i="4"/>
  <c r="O13" i="3"/>
  <c r="N13" i="3"/>
  <c r="P43" i="4"/>
  <c r="P37" i="2"/>
  <c r="P22" i="4"/>
  <c r="P27" i="2"/>
  <c r="T15" i="3"/>
  <c r="T22" i="4"/>
  <c r="P29" i="2"/>
  <c r="B15" i="1" a="1"/>
  <c r="B15" i="1" s="1"/>
  <c r="T45" i="4"/>
  <c r="O58" i="3"/>
  <c r="N58" i="3"/>
  <c r="R22" i="1" a="1"/>
  <c r="R22" i="1" s="1"/>
  <c r="T22" i="1" s="1"/>
  <c r="R21" i="1" a="1"/>
  <c r="R21" i="1" s="1"/>
  <c r="S25" i="1" a="1"/>
  <c r="S25" i="1" s="1"/>
  <c r="S24" i="1" a="1"/>
  <c r="S24" i="1" s="1"/>
  <c r="S23" i="1" a="1"/>
  <c r="S23" i="1" s="1"/>
  <c r="S22" i="1" a="1"/>
  <c r="S22" i="1" s="1"/>
  <c r="S21" i="1" a="1"/>
  <c r="S21" i="1" s="1"/>
  <c r="R25" i="1" a="1"/>
  <c r="R25" i="1" s="1"/>
  <c r="R24" i="1" a="1"/>
  <c r="R24" i="1" s="1"/>
  <c r="R23" i="1" a="1"/>
  <c r="R23" i="1" s="1"/>
  <c r="T2" i="4"/>
  <c r="R6" i="1" a="1"/>
  <c r="R6" i="1" s="1"/>
  <c r="P53" i="3"/>
  <c r="N53" i="3"/>
  <c r="P58" i="4"/>
  <c r="O27" i="2"/>
  <c r="T47" i="2"/>
  <c r="O60" i="3"/>
  <c r="N60" i="3"/>
  <c r="T67" i="4"/>
  <c r="N45" i="4"/>
  <c r="P35" i="2"/>
  <c r="O40" i="3"/>
  <c r="P58" i="3"/>
  <c r="G25" i="1" a="1"/>
  <c r="G25" i="1" s="1"/>
  <c r="I25" i="1" s="1"/>
  <c r="G24" i="1" a="1"/>
  <c r="G24" i="1" s="1"/>
  <c r="I24" i="1" s="1"/>
  <c r="G22" i="1" a="1"/>
  <c r="G22" i="1" s="1"/>
  <c r="P2" i="4"/>
  <c r="G23" i="1" a="1"/>
  <c r="G23" i="1" s="1"/>
  <c r="F22" i="1" a="1"/>
  <c r="F22" i="1" s="1"/>
  <c r="G21" i="1" a="1"/>
  <c r="G21" i="1" s="1"/>
  <c r="F25" i="1" a="1"/>
  <c r="F25" i="1" s="1"/>
  <c r="F21" i="1" a="1"/>
  <c r="F21" i="1" s="1"/>
  <c r="F24" i="1" a="1"/>
  <c r="F24" i="1" s="1"/>
  <c r="F23" i="1" a="1"/>
  <c r="F23" i="1" s="1"/>
  <c r="R7" i="1" a="1"/>
  <c r="R7" i="1" s="1"/>
  <c r="P52" i="3"/>
  <c r="G12" i="1" a="1"/>
  <c r="G12" i="1" s="1"/>
  <c r="T58" i="4"/>
  <c r="T14" i="3"/>
  <c r="O47" i="4"/>
  <c r="N47" i="4"/>
  <c r="C13" i="1" a="1"/>
  <c r="C13" i="1" s="1"/>
  <c r="N17" i="2"/>
  <c r="O17" i="2"/>
  <c r="T46" i="2"/>
  <c r="N40" i="3"/>
  <c r="P40" i="3"/>
  <c r="T58" i="3"/>
  <c r="R12" i="1" a="1"/>
  <c r="R12" i="1" s="1"/>
  <c r="S3" i="1" a="1"/>
  <c r="S3" i="1" s="1"/>
  <c r="N58" i="4"/>
  <c r="P7" i="2"/>
  <c r="T47" i="4"/>
  <c r="O49" i="4"/>
  <c r="N49" i="4"/>
  <c r="O48" i="4"/>
  <c r="N48" i="4"/>
  <c r="P77" i="4"/>
  <c r="N26" i="4"/>
  <c r="O26" i="4"/>
  <c r="T14" i="2"/>
  <c r="N20" i="3"/>
  <c r="O20" i="3"/>
  <c r="R13" i="1" a="1"/>
  <c r="R13" i="1" s="1"/>
  <c r="S4" i="1" a="1"/>
  <c r="S4" i="1" s="1"/>
  <c r="O32" i="3"/>
  <c r="N32" i="3"/>
  <c r="T41" i="4"/>
  <c r="P38" i="4"/>
  <c r="T7" i="2"/>
  <c r="P69" i="4"/>
  <c r="P32" i="2"/>
  <c r="P49" i="2"/>
  <c r="N49" i="2"/>
  <c r="B6" i="1" a="1"/>
  <c r="B6" i="1" s="1"/>
  <c r="P33" i="3"/>
  <c r="O38" i="4"/>
  <c r="N38" i="4"/>
  <c r="O20" i="4"/>
  <c r="N36" i="3"/>
  <c r="O36" i="3"/>
  <c r="B16" i="1" a="1"/>
  <c r="B16" i="1" s="1"/>
  <c r="N2" i="4"/>
  <c r="C23" i="1" a="1"/>
  <c r="C23" i="1" s="1"/>
  <c r="C25" i="1" a="1"/>
  <c r="C25" i="1" s="1"/>
  <c r="C24" i="1" a="1"/>
  <c r="C24" i="1" s="1"/>
  <c r="E24" i="1" s="1"/>
  <c r="C22" i="1" a="1"/>
  <c r="C22" i="1" s="1"/>
  <c r="C21" i="1" a="1"/>
  <c r="C21" i="1" s="1"/>
  <c r="B24" i="1" a="1"/>
  <c r="B24" i="1" s="1"/>
  <c r="B23" i="1" a="1"/>
  <c r="B23" i="1" s="1"/>
  <c r="B25" i="1" a="1"/>
  <c r="B25" i="1" s="1"/>
  <c r="B22" i="1" a="1"/>
  <c r="B22" i="1" s="1"/>
  <c r="B21" i="1" a="1"/>
  <c r="B21" i="1" s="1"/>
  <c r="D21" i="1" s="1"/>
  <c r="O2" i="4"/>
  <c r="C3" i="1" a="1"/>
  <c r="C3" i="1" s="1"/>
  <c r="P30" i="2"/>
  <c r="N30" i="2"/>
  <c r="P57" i="4"/>
  <c r="N61" i="3"/>
  <c r="O61" i="3"/>
  <c r="C16" i="1" a="1"/>
  <c r="C16" i="1" s="1"/>
  <c r="T18" i="3"/>
  <c r="P63" i="4"/>
  <c r="S14" i="1" a="1"/>
  <c r="S14" i="1" s="1"/>
  <c r="U14" i="1" s="1"/>
  <c r="P26" i="2"/>
  <c r="O21" i="4"/>
  <c r="N21" i="4"/>
  <c r="P60" i="4"/>
  <c r="O33" i="3"/>
  <c r="N33" i="3"/>
  <c r="T18" i="4"/>
  <c r="G15" i="1" a="1"/>
  <c r="G15" i="1" s="1"/>
  <c r="P7" i="4"/>
  <c r="P36" i="3"/>
  <c r="N24" i="4"/>
  <c r="O24" i="4"/>
  <c r="P56" i="3"/>
  <c r="T83" i="4"/>
  <c r="P20" i="3"/>
  <c r="O64" i="4"/>
  <c r="N64" i="4"/>
  <c r="T60" i="4"/>
  <c r="T32" i="2"/>
  <c r="N68" i="4"/>
  <c r="N57" i="4"/>
  <c r="O57" i="4"/>
  <c r="N6" i="2"/>
  <c r="O6" i="2"/>
  <c r="T5" i="4"/>
  <c r="O46" i="4"/>
  <c r="N46" i="4"/>
  <c r="T26" i="2"/>
  <c r="P21" i="4"/>
  <c r="T81" i="4"/>
  <c r="T44" i="2"/>
  <c r="O60" i="4"/>
  <c r="N60" i="4"/>
  <c r="T33" i="3"/>
  <c r="T24" i="2"/>
  <c r="T13" i="3"/>
  <c r="P8" i="4"/>
  <c r="T34" i="2"/>
  <c r="T26" i="4"/>
  <c r="P41" i="4"/>
  <c r="O83" i="4"/>
  <c r="N83" i="4"/>
  <c r="O81" i="4"/>
  <c r="T12" i="3"/>
  <c r="O24" i="2"/>
  <c r="N24" i="2"/>
  <c r="N14" i="2"/>
  <c r="O14" i="2"/>
  <c r="P18" i="3"/>
  <c r="P24" i="2"/>
  <c r="O43" i="4"/>
  <c r="N43" i="4"/>
  <c r="R5" i="1" a="1"/>
  <c r="R5" i="1" s="1"/>
  <c r="C14" i="1" a="1"/>
  <c r="C14" i="1" s="1"/>
  <c r="S5" i="1" a="1"/>
  <c r="S5" i="1" s="1"/>
  <c r="N6" i="4"/>
  <c r="C5" i="1" a="1"/>
  <c r="C5" i="1" s="1"/>
  <c r="E5" i="1" s="1"/>
  <c r="N5" i="4"/>
  <c r="P5" i="4"/>
  <c r="T46" i="4"/>
  <c r="P57" i="3"/>
  <c r="T12" i="2"/>
  <c r="T57" i="3"/>
  <c r="T4" i="2"/>
  <c r="N35" i="2"/>
  <c r="N27" i="2"/>
  <c r="N23" i="4"/>
  <c r="O23" i="4"/>
  <c r="T7" i="4"/>
  <c r="R3" i="1" a="1"/>
  <c r="R3" i="1" s="1"/>
  <c r="T3" i="1" s="1"/>
  <c r="N26" i="2"/>
  <c r="O26" i="2"/>
  <c r="O65" i="4"/>
  <c r="N65" i="4"/>
  <c r="T31" i="2"/>
  <c r="N4" i="2"/>
  <c r="C7" i="1" a="1"/>
  <c r="C7" i="1" s="1"/>
  <c r="B7" i="1" a="1"/>
  <c r="B7" i="1" s="1"/>
  <c r="O4" i="2"/>
  <c r="O12" i="3"/>
  <c r="N12" i="3"/>
  <c r="B12" i="1" a="1"/>
  <c r="B12" i="1" s="1"/>
  <c r="B13" i="1" a="1"/>
  <c r="B13" i="1" s="1"/>
  <c r="O55" i="3"/>
  <c r="N33" i="2"/>
  <c r="P33" i="2"/>
  <c r="P23" i="4"/>
  <c r="O66" i="4"/>
  <c r="N66" i="4"/>
  <c r="T65" i="4"/>
  <c r="P3" i="4"/>
  <c r="S15" i="1" a="1"/>
  <c r="S15" i="1" s="1"/>
  <c r="U15" i="1" s="1"/>
  <c r="N57" i="3"/>
  <c r="P40" i="4"/>
  <c r="P4" i="2"/>
  <c r="N44" i="2"/>
  <c r="O44" i="2"/>
  <c r="T59" i="4"/>
  <c r="N55" i="3"/>
  <c r="C12" i="1" a="1"/>
  <c r="C12" i="1" s="1"/>
  <c r="N31" i="2"/>
  <c r="P31" i="2"/>
  <c r="P8" i="2"/>
  <c r="P34" i="3"/>
  <c r="P6" i="2"/>
  <c r="T59" i="3"/>
  <c r="T40" i="4"/>
  <c r="S7" i="1" a="1"/>
  <c r="S7" i="1" s="1"/>
  <c r="O67" i="4"/>
  <c r="N67" i="4"/>
  <c r="P65" i="4"/>
  <c r="P82" i="4"/>
  <c r="P54" i="3"/>
  <c r="O61" i="4"/>
  <c r="N61" i="4"/>
  <c r="O40" i="4"/>
  <c r="N40" i="4"/>
  <c r="T80" i="4"/>
  <c r="P44" i="2"/>
  <c r="P59" i="4"/>
  <c r="B14" i="1" a="1"/>
  <c r="B14" i="1" s="1"/>
  <c r="T55" i="3"/>
  <c r="T37" i="3"/>
  <c r="N29" i="2"/>
  <c r="P67" i="4"/>
  <c r="T36" i="3"/>
  <c r="N25" i="4"/>
  <c r="O25" i="4"/>
  <c r="T37" i="4"/>
  <c r="P17" i="3"/>
  <c r="P81" i="4"/>
  <c r="P46" i="4"/>
  <c r="N7" i="4"/>
  <c r="O59" i="3"/>
  <c r="N59" i="3"/>
  <c r="P17" i="4"/>
  <c r="T38" i="3"/>
  <c r="P47" i="4"/>
  <c r="P59" i="3"/>
  <c r="O33" i="2"/>
  <c r="N11" i="2"/>
  <c r="O11" i="2"/>
  <c r="T29" i="2"/>
  <c r="T19" i="3"/>
  <c r="N39" i="3"/>
  <c r="O39" i="3"/>
  <c r="T60" i="3"/>
  <c r="T85" i="4"/>
  <c r="P86" i="4"/>
  <c r="T41" i="3"/>
  <c r="N37" i="2"/>
  <c r="T62" i="4"/>
  <c r="T61" i="4"/>
  <c r="P80" i="4"/>
  <c r="N59" i="4"/>
  <c r="P35" i="3"/>
  <c r="F5" i="1" a="1"/>
  <c r="F5" i="1" s="1"/>
  <c r="T87" i="4"/>
  <c r="C15" i="1" a="1"/>
  <c r="C15" i="1" s="1"/>
  <c r="P32" i="3"/>
  <c r="T38" i="4"/>
  <c r="O34" i="2"/>
  <c r="N34" i="2"/>
  <c r="T56" i="3"/>
  <c r="T63" i="4"/>
  <c r="P36" i="2"/>
  <c r="R16" i="1" a="1"/>
  <c r="R16" i="1" s="1"/>
  <c r="T16" i="1" s="1"/>
  <c r="N9" i="4"/>
  <c r="O9" i="4"/>
  <c r="P37" i="4"/>
  <c r="P79" i="4"/>
  <c r="N8" i="4"/>
  <c r="T3" i="4"/>
  <c r="O31" i="2"/>
  <c r="G3" i="1" a="1"/>
  <c r="G3" i="1" s="1"/>
  <c r="F6" i="1" a="1"/>
  <c r="F6" i="1" s="1"/>
  <c r="P39" i="3"/>
  <c r="P85" i="4"/>
  <c r="P38" i="2"/>
  <c r="N41" i="3"/>
  <c r="O41" i="3"/>
  <c r="T43" i="4"/>
  <c r="P62" i="4"/>
  <c r="O34" i="3"/>
  <c r="N34" i="3"/>
  <c r="P61" i="4"/>
  <c r="N80" i="4"/>
  <c r="P39" i="4"/>
  <c r="O35" i="3"/>
  <c r="N35" i="3"/>
  <c r="G6" i="1" a="1"/>
  <c r="G6" i="1" s="1"/>
  <c r="O22" i="4"/>
  <c r="N22" i="4"/>
  <c r="N20" i="4"/>
  <c r="P20" i="4"/>
  <c r="P9" i="4"/>
  <c r="R4" i="1" a="1"/>
  <c r="R4" i="1" s="1"/>
  <c r="O69" i="4"/>
  <c r="N69" i="4"/>
  <c r="F3" i="1" a="1"/>
  <c r="F3" i="1" s="1"/>
  <c r="O89" i="4"/>
  <c r="N89" i="4"/>
  <c r="T5" i="2"/>
  <c r="T21" i="4"/>
  <c r="N32" i="2"/>
  <c r="O32" i="2"/>
  <c r="C6" i="1" a="1"/>
  <c r="C6" i="1" s="1"/>
  <c r="P12" i="3"/>
  <c r="F16" i="1" a="1"/>
  <c r="F16" i="1" s="1"/>
  <c r="F12" i="1" a="1"/>
  <c r="F12" i="1" s="1"/>
  <c r="F13" i="1" a="1"/>
  <c r="F13" i="1" s="1"/>
  <c r="N12" i="2"/>
  <c r="O12" i="2"/>
  <c r="T17" i="3"/>
  <c r="N79" i="4"/>
  <c r="O79" i="4"/>
  <c r="G4" i="1" a="1"/>
  <c r="G4" i="1" s="1"/>
  <c r="T33" i="2"/>
  <c r="T11" i="2"/>
  <c r="T13" i="2"/>
  <c r="F7" i="1" a="1"/>
  <c r="F7" i="1" s="1"/>
  <c r="N13" i="2"/>
  <c r="O13" i="2"/>
  <c r="T64" i="4"/>
  <c r="P28" i="2"/>
  <c r="O19" i="3"/>
  <c r="N19" i="3"/>
  <c r="N37" i="3"/>
  <c r="O37" i="3"/>
  <c r="O62" i="4"/>
  <c r="N62" i="4"/>
  <c r="N21" i="3"/>
  <c r="O21" i="3"/>
  <c r="N15" i="2"/>
  <c r="O15" i="2"/>
  <c r="P41" i="3"/>
  <c r="T42" i="4"/>
  <c r="T34" i="3"/>
  <c r="N63" i="4"/>
  <c r="N52" i="3"/>
  <c r="O39" i="4"/>
  <c r="N39" i="4"/>
  <c r="T35" i="3"/>
  <c r="F4" i="1" a="1"/>
  <c r="F4" i="1" s="1"/>
  <c r="O77" i="4"/>
  <c r="N77" i="4"/>
  <c r="P16" i="3"/>
  <c r="T57" i="4"/>
  <c r="T16" i="3"/>
  <c r="S12" i="1" a="1"/>
  <c r="S12" i="1" s="1"/>
  <c r="U12" i="1" s="1"/>
  <c r="O37" i="4"/>
  <c r="N37" i="4"/>
  <c r="S13" i="1" a="1"/>
  <c r="S13" i="1" s="1"/>
  <c r="P45" i="4"/>
  <c r="O17" i="4"/>
  <c r="N17" i="4"/>
  <c r="T36" i="4"/>
  <c r="G13" i="1" a="1"/>
  <c r="G13" i="1" s="1"/>
  <c r="P19" i="3"/>
  <c r="N27" i="4"/>
  <c r="O27" i="4"/>
  <c r="P21" i="3"/>
  <c r="T20" i="3"/>
  <c r="P87" i="4"/>
  <c r="P42" i="4"/>
  <c r="T20" i="4"/>
  <c r="P19" i="4"/>
  <c r="P15" i="3"/>
  <c r="N47" i="2"/>
  <c r="O47" i="2"/>
  <c r="G7" i="1" a="1"/>
  <c r="G7" i="1" s="1"/>
  <c r="H16" i="1" l="1"/>
  <c r="I15" i="1"/>
  <c r="I14" i="1"/>
  <c r="U25" i="1"/>
  <c r="T21" i="1"/>
  <c r="E3" i="1"/>
  <c r="E12" i="1"/>
  <c r="D25" i="1"/>
  <c r="D23" i="1"/>
  <c r="I21" i="1"/>
  <c r="H22" i="1"/>
  <c r="T23" i="1"/>
  <c r="E22" i="1"/>
  <c r="I23" i="1"/>
  <c r="T24" i="1"/>
  <c r="Z53" i="4" s="1"/>
  <c r="H12" i="1"/>
  <c r="I13" i="1"/>
  <c r="E16" i="1"/>
  <c r="U13" i="1"/>
  <c r="A9" i="12" a="1"/>
  <c r="A6" i="12" s="1"/>
  <c r="T6" i="1"/>
  <c r="H5" i="1"/>
  <c r="D5" i="1"/>
  <c r="U26" i="2" s="1"/>
  <c r="D7" i="1"/>
  <c r="D4" i="1"/>
  <c r="U17" i="2" s="1"/>
  <c r="D13" i="1"/>
  <c r="D14" i="1"/>
  <c r="U7" i="1"/>
  <c r="E15" i="1"/>
  <c r="I6" i="1"/>
  <c r="I3" i="1"/>
  <c r="H7" i="1"/>
  <c r="I4" i="1"/>
  <c r="E6" i="1"/>
  <c r="U4" i="1"/>
  <c r="U5" i="1"/>
  <c r="Z14" i="4"/>
  <c r="Z6" i="4"/>
  <c r="Z27" i="4"/>
  <c r="Z25" i="4"/>
  <c r="Z15" i="4"/>
  <c r="D3" i="1"/>
  <c r="U16" i="1"/>
  <c r="Z63" i="3" s="1"/>
  <c r="U21" i="2"/>
  <c r="U15" i="4"/>
  <c r="U4" i="4"/>
  <c r="U10" i="4"/>
  <c r="U12" i="4"/>
  <c r="U7" i="4"/>
  <c r="U6" i="4"/>
  <c r="U14" i="4"/>
  <c r="U11" i="4"/>
  <c r="U8" i="4"/>
  <c r="E13" i="1"/>
  <c r="I22" i="1"/>
  <c r="H4" i="1"/>
  <c r="D22" i="1"/>
  <c r="U95" i="4"/>
  <c r="U96" i="4"/>
  <c r="I16" i="1"/>
  <c r="V64" i="3" s="1"/>
  <c r="D24" i="1"/>
  <c r="D6" i="1"/>
  <c r="T13" i="1"/>
  <c r="D15" i="1"/>
  <c r="E21" i="1"/>
  <c r="U18" i="4" s="1"/>
  <c r="H15" i="1"/>
  <c r="U6" i="1"/>
  <c r="H6" i="1"/>
  <c r="E25" i="1"/>
  <c r="U3" i="1"/>
  <c r="Z14" i="2" s="1"/>
  <c r="I12" i="1"/>
  <c r="U23" i="4"/>
  <c r="T5" i="1"/>
  <c r="E23" i="1"/>
  <c r="U31" i="4" s="1"/>
  <c r="T12" i="1"/>
  <c r="Z30" i="4"/>
  <c r="Z32" i="4"/>
  <c r="T15" i="1"/>
  <c r="V31" i="3"/>
  <c r="D12" i="1"/>
  <c r="H3" i="1"/>
  <c r="U2" i="4"/>
  <c r="T7" i="1"/>
  <c r="T25" i="1"/>
  <c r="V28" i="3"/>
  <c r="U25" i="4"/>
  <c r="D16" i="1"/>
  <c r="U26" i="4"/>
  <c r="H23" i="1"/>
  <c r="U21" i="1"/>
  <c r="Z12" i="4" s="1"/>
  <c r="V29" i="3"/>
  <c r="V29" i="4"/>
  <c r="V28" i="4"/>
  <c r="H24" i="1"/>
  <c r="U22" i="1"/>
  <c r="Z28" i="4" s="1"/>
  <c r="V30" i="3"/>
  <c r="E14" i="1"/>
  <c r="H13" i="1"/>
  <c r="T4" i="1"/>
  <c r="E7" i="1"/>
  <c r="H21" i="1"/>
  <c r="U23" i="1"/>
  <c r="T14" i="1"/>
  <c r="I7" i="1"/>
  <c r="H25" i="1"/>
  <c r="U24" i="1"/>
  <c r="Z34" i="4" s="1"/>
  <c r="I5" i="1"/>
  <c r="Z50" i="2" l="1"/>
  <c r="V22" i="3"/>
  <c r="Z20" i="4"/>
  <c r="U13" i="4"/>
  <c r="U16" i="4"/>
  <c r="Z93" i="4"/>
  <c r="Z33" i="4"/>
  <c r="U27" i="4"/>
  <c r="U24" i="4"/>
  <c r="Z23" i="4"/>
  <c r="Z38" i="2"/>
  <c r="V34" i="3"/>
  <c r="V32" i="3"/>
  <c r="V33" i="3"/>
  <c r="U25" i="3"/>
  <c r="U33" i="3"/>
  <c r="V23" i="2"/>
  <c r="A9" i="12"/>
  <c r="T9" i="12" s="1"/>
  <c r="T2" i="12" s="1"/>
  <c r="U50" i="2"/>
  <c r="U23" i="2"/>
  <c r="U24" i="2"/>
  <c r="U20" i="2"/>
  <c r="U22" i="2"/>
  <c r="U25" i="2"/>
  <c r="U18" i="2"/>
  <c r="U19" i="2"/>
  <c r="U24" i="3"/>
  <c r="U26" i="3"/>
  <c r="U23" i="3"/>
  <c r="U27" i="3"/>
  <c r="V18" i="3"/>
  <c r="V2" i="3"/>
  <c r="V4" i="3"/>
  <c r="V8" i="3"/>
  <c r="U32" i="3"/>
  <c r="V63" i="3"/>
  <c r="V62" i="3"/>
  <c r="Z37" i="2"/>
  <c r="Z49" i="2"/>
  <c r="V50" i="2"/>
  <c r="V11" i="2"/>
  <c r="Z34" i="2"/>
  <c r="Z32" i="2"/>
  <c r="Z42" i="2"/>
  <c r="Z10" i="2"/>
  <c r="Z43" i="2"/>
  <c r="Z45" i="2"/>
  <c r="Z35" i="2"/>
  <c r="Z28" i="2"/>
  <c r="Z4" i="2"/>
  <c r="Z36" i="2"/>
  <c r="Z9" i="2"/>
  <c r="Z30" i="2"/>
  <c r="Z3" i="2"/>
  <c r="Z41" i="2"/>
  <c r="Z8" i="2"/>
  <c r="Z48" i="2"/>
  <c r="Z16" i="2"/>
  <c r="Z15" i="2"/>
  <c r="Z7" i="2"/>
  <c r="Z31" i="4"/>
  <c r="Z48" i="4"/>
  <c r="Z89" i="4"/>
  <c r="U29" i="4"/>
  <c r="U28" i="4"/>
  <c r="Z75" i="4"/>
  <c r="V96" i="4"/>
  <c r="V95" i="4"/>
  <c r="Z7" i="3"/>
  <c r="Z22" i="3"/>
  <c r="Z5" i="3"/>
  <c r="Z10" i="3"/>
  <c r="Z11" i="3"/>
  <c r="Z21" i="3"/>
  <c r="Z3" i="3"/>
  <c r="Z9" i="3"/>
  <c r="Z2" i="3"/>
  <c r="Z8" i="3"/>
  <c r="Z4" i="3"/>
  <c r="Z6" i="3"/>
  <c r="Z18" i="3"/>
  <c r="Z16" i="3"/>
  <c r="Z20" i="3"/>
  <c r="Z12" i="3"/>
  <c r="Z17" i="3"/>
  <c r="Z15" i="3"/>
  <c r="Z19" i="3"/>
  <c r="Z14" i="3"/>
  <c r="Z13" i="3"/>
  <c r="Z21" i="2"/>
  <c r="Z20" i="2"/>
  <c r="Z22" i="2"/>
  <c r="Z25" i="2"/>
  <c r="Z23" i="2"/>
  <c r="Z26" i="2"/>
  <c r="Z24" i="2"/>
  <c r="Z19" i="2"/>
  <c r="Z17" i="2"/>
  <c r="Z18" i="2"/>
  <c r="Z64" i="3"/>
  <c r="V7" i="3"/>
  <c r="U63" i="3"/>
  <c r="U62" i="3"/>
  <c r="U64" i="3"/>
  <c r="Z78" i="4"/>
  <c r="V13" i="3"/>
  <c r="Z7" i="4"/>
  <c r="Z11" i="4"/>
  <c r="U10" i="2"/>
  <c r="U2" i="2"/>
  <c r="U3" i="2"/>
  <c r="U16" i="2"/>
  <c r="U9" i="2"/>
  <c r="U8" i="2"/>
  <c r="U7" i="2"/>
  <c r="U5" i="2"/>
  <c r="U15" i="2"/>
  <c r="U4" i="2"/>
  <c r="U11" i="2"/>
  <c r="U13" i="2"/>
  <c r="U12" i="2"/>
  <c r="U6" i="2"/>
  <c r="U14" i="2"/>
  <c r="V5" i="2"/>
  <c r="V9" i="2"/>
  <c r="V2" i="2"/>
  <c r="V10" i="2"/>
  <c r="V12" i="2"/>
  <c r="V3" i="2"/>
  <c r="V16" i="2"/>
  <c r="V15" i="2"/>
  <c r="V14" i="2"/>
  <c r="V13" i="2"/>
  <c r="V8" i="2"/>
  <c r="V6" i="2"/>
  <c r="V4" i="2"/>
  <c r="V7" i="2"/>
  <c r="V18" i="2"/>
  <c r="V19" i="2"/>
  <c r="Z82" i="4"/>
  <c r="Z62" i="3"/>
  <c r="V9" i="3"/>
  <c r="V25" i="2"/>
  <c r="U28" i="3"/>
  <c r="Z39" i="4"/>
  <c r="Z24" i="3"/>
  <c r="Z25" i="3"/>
  <c r="Z26" i="3"/>
  <c r="Z27" i="3"/>
  <c r="Z23" i="3"/>
  <c r="U30" i="3"/>
  <c r="U30" i="2"/>
  <c r="U43" i="2"/>
  <c r="U49" i="2"/>
  <c r="U45" i="2"/>
  <c r="U42" i="2"/>
  <c r="U28" i="2"/>
  <c r="U29" i="2"/>
  <c r="U39" i="2"/>
  <c r="U41" i="2"/>
  <c r="U35" i="2"/>
  <c r="U46" i="2"/>
  <c r="U36" i="2"/>
  <c r="U37" i="2"/>
  <c r="U38" i="2"/>
  <c r="U40" i="2"/>
  <c r="U48" i="2"/>
  <c r="U33" i="2"/>
  <c r="U34" i="2"/>
  <c r="U31" i="2"/>
  <c r="U32" i="2"/>
  <c r="U47" i="2"/>
  <c r="U44" i="2"/>
  <c r="U27" i="2"/>
  <c r="U55" i="4"/>
  <c r="U75" i="4"/>
  <c r="U50" i="4"/>
  <c r="U56" i="4"/>
  <c r="U36" i="4"/>
  <c r="U76" i="4"/>
  <c r="U35" i="4"/>
  <c r="U86" i="4"/>
  <c r="U70" i="4"/>
  <c r="U91" i="4"/>
  <c r="U45" i="4"/>
  <c r="U44" i="4"/>
  <c r="U88" i="4"/>
  <c r="U92" i="4"/>
  <c r="U93" i="4"/>
  <c r="U82" i="4"/>
  <c r="U84" i="4"/>
  <c r="U83" i="4"/>
  <c r="U78" i="4"/>
  <c r="U63" i="4"/>
  <c r="U53" i="4"/>
  <c r="U54" i="4"/>
  <c r="U71" i="4"/>
  <c r="U41" i="4"/>
  <c r="U73" i="4"/>
  <c r="U72" i="4"/>
  <c r="U52" i="4"/>
  <c r="U87" i="4"/>
  <c r="U51" i="4"/>
  <c r="U90" i="4"/>
  <c r="U42" i="4"/>
  <c r="U74" i="4"/>
  <c r="U34" i="4"/>
  <c r="U80" i="4"/>
  <c r="U85" i="4"/>
  <c r="U94" i="4"/>
  <c r="U64" i="4"/>
  <c r="U61" i="4"/>
  <c r="U58" i="4"/>
  <c r="U40" i="4"/>
  <c r="U69" i="4"/>
  <c r="U89" i="4"/>
  <c r="U43" i="4"/>
  <c r="U46" i="4"/>
  <c r="U37" i="4"/>
  <c r="U79" i="4"/>
  <c r="U67" i="4"/>
  <c r="U48" i="4"/>
  <c r="U68" i="4"/>
  <c r="U81" i="4"/>
  <c r="U60" i="4"/>
  <c r="U39" i="4"/>
  <c r="U59" i="4"/>
  <c r="U57" i="4"/>
  <c r="U47" i="4"/>
  <c r="U49" i="4"/>
  <c r="U62" i="4"/>
  <c r="U38" i="4"/>
  <c r="U65" i="4"/>
  <c r="U66" i="4"/>
  <c r="U77" i="4"/>
  <c r="V10" i="3"/>
  <c r="Z84" i="4"/>
  <c r="V14" i="3"/>
  <c r="Z24" i="4"/>
  <c r="Z73" i="4"/>
  <c r="Z50" i="4"/>
  <c r="Z40" i="2"/>
  <c r="Z22" i="4"/>
  <c r="Z5" i="4"/>
  <c r="Z8" i="4"/>
  <c r="V4" i="4"/>
  <c r="V10" i="4"/>
  <c r="V11" i="4"/>
  <c r="V12" i="4"/>
  <c r="V13" i="4"/>
  <c r="V16" i="4"/>
  <c r="V14" i="4"/>
  <c r="V27" i="4"/>
  <c r="V25" i="4"/>
  <c r="V5" i="4"/>
  <c r="V18" i="4"/>
  <c r="V15" i="4"/>
  <c r="V9" i="4"/>
  <c r="V22" i="4"/>
  <c r="V3" i="4"/>
  <c r="V21" i="4"/>
  <c r="V6" i="4"/>
  <c r="V7" i="4"/>
  <c r="V2" i="4"/>
  <c r="V8" i="4"/>
  <c r="V19" i="4"/>
  <c r="V23" i="4"/>
  <c r="V20" i="4"/>
  <c r="V26" i="4"/>
  <c r="V17" i="4"/>
  <c r="U8" i="3"/>
  <c r="U3" i="3"/>
  <c r="U7" i="3"/>
  <c r="U6" i="3"/>
  <c r="U16" i="3"/>
  <c r="U5" i="3"/>
  <c r="U2" i="3"/>
  <c r="U9" i="3"/>
  <c r="U17" i="3"/>
  <c r="U18" i="3"/>
  <c r="U14" i="3"/>
  <c r="U11" i="3"/>
  <c r="U4" i="3"/>
  <c r="U10" i="3"/>
  <c r="U15" i="3"/>
  <c r="U22" i="3"/>
  <c r="U12" i="3"/>
  <c r="U20" i="3"/>
  <c r="U19" i="3"/>
  <c r="U13" i="3"/>
  <c r="U21" i="3"/>
  <c r="Z79" i="4"/>
  <c r="V21" i="2"/>
  <c r="Z90" i="4"/>
  <c r="Z77" i="4"/>
  <c r="U45" i="3"/>
  <c r="U51" i="3"/>
  <c r="U43" i="3"/>
  <c r="U49" i="3"/>
  <c r="U50" i="3"/>
  <c r="U47" i="3"/>
  <c r="U48" i="3"/>
  <c r="U38" i="3"/>
  <c r="U42" i="3"/>
  <c r="U52" i="3"/>
  <c r="U57" i="3"/>
  <c r="U44" i="3"/>
  <c r="U53" i="3"/>
  <c r="U56" i="3"/>
  <c r="U46" i="3"/>
  <c r="U54" i="3"/>
  <c r="U60" i="3"/>
  <c r="U36" i="3"/>
  <c r="U55" i="3"/>
  <c r="U61" i="3"/>
  <c r="U35" i="3"/>
  <c r="U40" i="3"/>
  <c r="U37" i="3"/>
  <c r="U59" i="3"/>
  <c r="U39" i="3"/>
  <c r="U41" i="3"/>
  <c r="U58" i="3"/>
  <c r="V11" i="3"/>
  <c r="Z18" i="4"/>
  <c r="V40" i="2"/>
  <c r="V39" i="2"/>
  <c r="V48" i="2"/>
  <c r="V42" i="2"/>
  <c r="V46" i="2"/>
  <c r="V47" i="2"/>
  <c r="V41" i="2"/>
  <c r="V43" i="2"/>
  <c r="V34" i="2"/>
  <c r="V45" i="2"/>
  <c r="V30" i="2"/>
  <c r="V28" i="2"/>
  <c r="V27" i="2"/>
  <c r="V49" i="2"/>
  <c r="V37" i="2"/>
  <c r="V35" i="2"/>
  <c r="V32" i="2"/>
  <c r="V44" i="2"/>
  <c r="V38" i="2"/>
  <c r="V29" i="2"/>
  <c r="V36" i="2"/>
  <c r="V33" i="2"/>
  <c r="V31" i="2"/>
  <c r="Z26" i="4"/>
  <c r="V3" i="3"/>
  <c r="Z67" i="4"/>
  <c r="Z3" i="4"/>
  <c r="Z56" i="4"/>
  <c r="Z39" i="2"/>
  <c r="Z2" i="4"/>
  <c r="U33" i="4"/>
  <c r="V24" i="4"/>
  <c r="Z4" i="4"/>
  <c r="Z58" i="4"/>
  <c r="Z38" i="4"/>
  <c r="Z57" i="4"/>
  <c r="Z60" i="4"/>
  <c r="Z64" i="4"/>
  <c r="Z42" i="4"/>
  <c r="Z37" i="4"/>
  <c r="Z65" i="4"/>
  <c r="Z81" i="4"/>
  <c r="Z40" i="4"/>
  <c r="Z80" i="4"/>
  <c r="Z62" i="4"/>
  <c r="Z61" i="4"/>
  <c r="Z63" i="4"/>
  <c r="Z36" i="4"/>
  <c r="Z45" i="4"/>
  <c r="Z87" i="4"/>
  <c r="Z47" i="4"/>
  <c r="Z59" i="4"/>
  <c r="Z46" i="4"/>
  <c r="Z83" i="4"/>
  <c r="Z41" i="4"/>
  <c r="Z43" i="4"/>
  <c r="Z85" i="4"/>
  <c r="V20" i="2"/>
  <c r="V23" i="3"/>
  <c r="V24" i="3"/>
  <c r="V25" i="3"/>
  <c r="V27" i="3"/>
  <c r="V26" i="3"/>
  <c r="Z74" i="4"/>
  <c r="Z66" i="4"/>
  <c r="Z76" i="4"/>
  <c r="Z9" i="4"/>
  <c r="V33" i="4"/>
  <c r="V32" i="4"/>
  <c r="V31" i="4"/>
  <c r="V30" i="4"/>
  <c r="Z11" i="2"/>
  <c r="Z13" i="2"/>
  <c r="Z5" i="2"/>
  <c r="Z6" i="2"/>
  <c r="Z12" i="2"/>
  <c r="V6" i="3"/>
  <c r="Z68" i="4"/>
  <c r="Z94" i="4"/>
  <c r="V64" i="4"/>
  <c r="V72" i="4"/>
  <c r="V71" i="4"/>
  <c r="V68" i="4"/>
  <c r="V35" i="4"/>
  <c r="V36" i="4"/>
  <c r="V88" i="4"/>
  <c r="V92" i="4"/>
  <c r="V91" i="4"/>
  <c r="V44" i="4"/>
  <c r="V66" i="4"/>
  <c r="V54" i="4"/>
  <c r="V84" i="4"/>
  <c r="V34" i="4"/>
  <c r="V70" i="4"/>
  <c r="V75" i="4"/>
  <c r="V48" i="4"/>
  <c r="V74" i="4"/>
  <c r="V94" i="4"/>
  <c r="V73" i="4"/>
  <c r="V49" i="4"/>
  <c r="V56" i="4"/>
  <c r="V83" i="4"/>
  <c r="V55" i="4"/>
  <c r="V76" i="4"/>
  <c r="V51" i="4"/>
  <c r="V89" i="4"/>
  <c r="V50" i="4"/>
  <c r="V53" i="4"/>
  <c r="V90" i="4"/>
  <c r="V93" i="4"/>
  <c r="V52" i="4"/>
  <c r="V47" i="4"/>
  <c r="V79" i="4"/>
  <c r="V62" i="4"/>
  <c r="V85" i="4"/>
  <c r="V77" i="4"/>
  <c r="V86" i="4"/>
  <c r="V39" i="4"/>
  <c r="V87" i="4"/>
  <c r="V59" i="4"/>
  <c r="V57" i="4"/>
  <c r="V60" i="4"/>
  <c r="V69" i="4"/>
  <c r="V46" i="4"/>
  <c r="V45" i="4"/>
  <c r="V81" i="4"/>
  <c r="V38" i="4"/>
  <c r="V41" i="4"/>
  <c r="V61" i="4"/>
  <c r="V40" i="4"/>
  <c r="V42" i="4"/>
  <c r="V80" i="4"/>
  <c r="V67" i="4"/>
  <c r="V63" i="4"/>
  <c r="V78" i="4"/>
  <c r="V58" i="4"/>
  <c r="V65" i="4"/>
  <c r="V37" i="4"/>
  <c r="V82" i="4"/>
  <c r="V43" i="4"/>
  <c r="Z91" i="4"/>
  <c r="Z35" i="4"/>
  <c r="V37" i="3"/>
  <c r="V50" i="3"/>
  <c r="V49" i="3"/>
  <c r="V46" i="3"/>
  <c r="V47" i="3"/>
  <c r="V48" i="3"/>
  <c r="V51" i="3"/>
  <c r="V44" i="3"/>
  <c r="V55" i="3"/>
  <c r="V42" i="3"/>
  <c r="V43" i="3"/>
  <c r="V45" i="3"/>
  <c r="V61" i="3"/>
  <c r="V36" i="3"/>
  <c r="V59" i="3"/>
  <c r="V41" i="3"/>
  <c r="V40" i="3"/>
  <c r="V52" i="3"/>
  <c r="V60" i="3"/>
  <c r="V39" i="3"/>
  <c r="V58" i="3"/>
  <c r="V53" i="3"/>
  <c r="V35" i="3"/>
  <c r="V56" i="3"/>
  <c r="V38" i="3"/>
  <c r="V57" i="3"/>
  <c r="V54" i="3"/>
  <c r="U30" i="4"/>
  <c r="Z29" i="4"/>
  <c r="Z31" i="3"/>
  <c r="Z29" i="3"/>
  <c r="Z28" i="3"/>
  <c r="Z30" i="3"/>
  <c r="Z34" i="3"/>
  <c r="Z32" i="3"/>
  <c r="Z33" i="3"/>
  <c r="Z19" i="4"/>
  <c r="Z21" i="4"/>
  <c r="V21" i="3"/>
  <c r="V19" i="3"/>
  <c r="V17" i="3"/>
  <c r="V16" i="3"/>
  <c r="V15" i="3"/>
  <c r="V20" i="3"/>
  <c r="V12" i="3"/>
  <c r="V22" i="2"/>
  <c r="U31" i="3"/>
  <c r="Z92" i="4"/>
  <c r="Z10" i="4"/>
  <c r="Z13" i="4"/>
  <c r="Z51" i="4"/>
  <c r="Z16" i="4"/>
  <c r="Z52" i="4"/>
  <c r="Z27" i="2"/>
  <c r="Z33" i="2"/>
  <c r="Z29" i="2"/>
  <c r="Z31" i="2"/>
  <c r="Z46" i="2"/>
  <c r="V5" i="3"/>
  <c r="Z96" i="4"/>
  <c r="Z95" i="4"/>
  <c r="Z44" i="4"/>
  <c r="Z71" i="4"/>
  <c r="Z39" i="3"/>
  <c r="Z40" i="3"/>
  <c r="Z45" i="3"/>
  <c r="Z43" i="3"/>
  <c r="Z44" i="3"/>
  <c r="Z42" i="3"/>
  <c r="Z50" i="3"/>
  <c r="Z47" i="3"/>
  <c r="Z49" i="3"/>
  <c r="Z54" i="3"/>
  <c r="Z46" i="3"/>
  <c r="Z48" i="3"/>
  <c r="Z51" i="3"/>
  <c r="Z53" i="3"/>
  <c r="Z61" i="3"/>
  <c r="Z52" i="3"/>
  <c r="Z36" i="3"/>
  <c r="Z41" i="3"/>
  <c r="Z57" i="3"/>
  <c r="Z58" i="3"/>
  <c r="Z56" i="3"/>
  <c r="Z35" i="3"/>
  <c r="Z59" i="3"/>
  <c r="Z38" i="3"/>
  <c r="Z55" i="3"/>
  <c r="Z37" i="3"/>
  <c r="Z60" i="3"/>
  <c r="U19" i="4"/>
  <c r="U22" i="4"/>
  <c r="U17" i="4"/>
  <c r="U20" i="4"/>
  <c r="U9" i="4"/>
  <c r="U21" i="4"/>
  <c r="U32" i="4"/>
  <c r="U5" i="4"/>
  <c r="Z44" i="2"/>
  <c r="Z72" i="4"/>
  <c r="Z49" i="4"/>
  <c r="V24" i="2"/>
  <c r="Z86" i="4"/>
  <c r="V26" i="2"/>
  <c r="Z55" i="4"/>
  <c r="V17" i="2"/>
  <c r="Z70" i="4"/>
  <c r="Z17" i="4"/>
  <c r="Z54" i="4"/>
  <c r="U29" i="3"/>
  <c r="U34" i="3"/>
  <c r="Z88" i="4"/>
  <c r="Z69" i="4"/>
  <c r="Z2" i="2"/>
  <c r="U3" i="4"/>
  <c r="Z47" i="2"/>
  <c r="A9" i="11" l="1" a="1"/>
  <c r="A6" i="11" s="1"/>
  <c r="A9" i="9" a="1"/>
  <c r="T10" i="9" l="1"/>
  <c r="T11" i="9"/>
  <c r="A9" i="11"/>
  <c r="T9" i="11" s="1"/>
  <c r="T2" i="11" s="1"/>
  <c r="A9" i="9"/>
  <c r="T9" i="9" s="1"/>
  <c r="A6" i="9"/>
  <c r="T2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<sst xmlns="http://schemas.openxmlformats.org/spreadsheetml/2006/main" count="919" uniqueCount="317">
  <si>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</si>
  <si>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</si>
  <si>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</si>
  <si>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</si>
  <si>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</si>
  <si>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</si>
  <si>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</si>
  <si>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</si>
  <si>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</si>
  <si>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</si>
  <si>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</si>
  <si>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</si>
  <si>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</si>
  <si>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</si>
  <si>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</si>
  <si>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</si>
  <si>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</si>
  <si>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</si>
  <si>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</si>
  <si>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</si>
  <si>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</si>
  <si>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</si>
  <si>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</si>
  <si>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</si>
  <si>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</si>
  <si>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</si>
  <si>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</si>
  <si>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</si>
  <si>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</si>
  <si>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</si>
  <si>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</si>
  <si>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</si>
  <si>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</si>
  <si>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</si>
  <si>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</si>
  <si>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</si>
  <si>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</si>
  <si>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</si>
  <si>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</si>
  <si>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</si>
  <si>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</si>
  <si>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</si>
  <si>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</si>
  <si>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</si>
  <si>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</si>
  <si>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</si>
  <si>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</si>
  <si>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</si>
  <si>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</si>
  <si>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</si>
  <si>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</si>
  <si>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</si>
  <si>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</si>
  <si>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</si>
  <si>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</si>
  <si>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</si>
  <si>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</si>
  <si>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</si>
  <si>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</si>
  <si>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</si>
  <si>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</si>
  <si>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</si>
  <si>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</si>
  <si>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</si>
  <si>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</si>
  <si>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</si>
  <si>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</si>
  <si>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</si>
  <si>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</si>
  <si>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</si>
  <si>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</si>
  <si>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</si>
  <si>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</si>
  <si>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</si>
  <si>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</si>
  <si>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</si>
  <si>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</si>
  <si>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</si>
  <si>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</si>
  <si>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</si>
  <si>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</si>
  <si>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</si>
  <si>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</si>
  <si>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</si>
  <si>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</si>
  <si>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</si>
  <si>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</si>
  <si>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</si>
  <si>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</si>
  <si>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</si>
  <si>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</si>
  <si>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</si>
  <si>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</si>
  <si>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</si>
  <si>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</si>
  <si>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</si>
  <si>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</si>
  <si>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</si>
  <si>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</si>
  <si>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</si>
  <si>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</si>
  <si>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</si>
  <si>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</si>
  <si>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</si>
  <si>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</si>
  <si>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Chemicals</t>
  </si>
  <si>
    <t>DOW</t>
  </si>
  <si>
    <t>LYB</t>
  </si>
  <si>
    <t>WLK</t>
  </si>
  <si>
    <t>CF</t>
  </si>
  <si>
    <t>CTVA</t>
  </si>
  <si>
    <t>MOS</t>
  </si>
  <si>
    <t>NTR</t>
  </si>
  <si>
    <t>APD</t>
  </si>
  <si>
    <t>DD</t>
  </si>
  <si>
    <t>DSFIY</t>
  </si>
  <si>
    <t>ECL</t>
  </si>
  <si>
    <t>IFF</t>
  </si>
  <si>
    <t>PPG</t>
  </si>
  <si>
    <t>RPM</t>
  </si>
  <si>
    <t>SHW</t>
  </si>
  <si>
    <t>Construction Materials</t>
  </si>
  <si>
    <t>CRH</t>
  </si>
  <si>
    <t>MLM</t>
  </si>
  <si>
    <t>VMC</t>
  </si>
  <si>
    <t>Containers &amp; Packaging</t>
  </si>
  <si>
    <t>BALL</t>
  </si>
  <si>
    <t>CCK</t>
  </si>
  <si>
    <t>AMCR</t>
  </si>
  <si>
    <t>AVY</t>
  </si>
  <si>
    <t>IP</t>
  </si>
  <si>
    <t>PKG</t>
  </si>
  <si>
    <t>SW</t>
  </si>
  <si>
    <t>Metals &amp; Mining</t>
  </si>
  <si>
    <t>BHP</t>
  </si>
  <si>
    <t>RIO</t>
  </si>
  <si>
    <t>TECK</t>
  </si>
  <si>
    <t>FCX</t>
  </si>
  <si>
    <t>SCCO</t>
  </si>
  <si>
    <t>AEM</t>
  </si>
  <si>
    <t>AGI</t>
  </si>
  <si>
    <t>AU</t>
  </si>
  <si>
    <t>FNV</t>
  </si>
  <si>
    <t>GFI</t>
  </si>
  <si>
    <t>GOLD</t>
  </si>
  <si>
    <t>HMY</t>
  </si>
  <si>
    <t>KGC</t>
  </si>
  <si>
    <t>NEM</t>
  </si>
  <si>
    <t>RGLD</t>
  </si>
  <si>
    <t>WPM</t>
  </si>
  <si>
    <t>CRS</t>
  </si>
  <si>
    <t>MT</t>
  </si>
  <si>
    <t>NUE</t>
  </si>
  <si>
    <t>PKX</t>
  </si>
  <si>
    <t>RS</t>
  </si>
  <si>
    <t>STLD</t>
  </si>
  <si>
    <t>VALE</t>
  </si>
  <si>
    <t>Paper &amp; Forest Products</t>
  </si>
  <si>
    <t>SUZ</t>
  </si>
  <si>
    <t>CBT</t>
  </si>
  <si>
    <t>HWKN</t>
  </si>
  <si>
    <t>MEOH</t>
  </si>
  <si>
    <t>OLN</t>
  </si>
  <si>
    <t>SSL</t>
  </si>
  <si>
    <t>FMC</t>
  </si>
  <si>
    <t>ICL</t>
  </si>
  <si>
    <t>SMG</t>
  </si>
  <si>
    <t>ALB</t>
  </si>
  <si>
    <t>ASH</t>
  </si>
  <si>
    <t>AVNT</t>
  </si>
  <si>
    <t>AXTA</t>
  </si>
  <si>
    <t>BCPC</t>
  </si>
  <si>
    <t>CE</t>
  </si>
  <si>
    <t>EMN</t>
  </si>
  <si>
    <t>ESI</t>
  </si>
  <si>
    <t>FUL</t>
  </si>
  <si>
    <t>IOSP</t>
  </si>
  <si>
    <t>NEU</t>
  </si>
  <si>
    <t>SQM</t>
  </si>
  <si>
    <t>SXT</t>
  </si>
  <si>
    <t>CX</t>
  </si>
  <si>
    <t>EXP</t>
  </si>
  <si>
    <t>JHX</t>
  </si>
  <si>
    <t>KNF</t>
  </si>
  <si>
    <t>USLM</t>
  </si>
  <si>
    <t>AMBP</t>
  </si>
  <si>
    <t>ATR</t>
  </si>
  <si>
    <t>GEF</t>
  </si>
  <si>
    <t>SLGN</t>
  </si>
  <si>
    <t>GPK</t>
  </si>
  <si>
    <t>SEE</t>
  </si>
  <si>
    <t>SON</t>
  </si>
  <si>
    <t>AA</t>
  </si>
  <si>
    <t>HBM</t>
  </si>
  <si>
    <t>MP</t>
  </si>
  <si>
    <t>BTG</t>
  </si>
  <si>
    <t>BVN</t>
  </si>
  <si>
    <t>CDE</t>
  </si>
  <si>
    <t>EGO</t>
  </si>
  <si>
    <t>EQX</t>
  </si>
  <si>
    <t>IAG</t>
  </si>
  <si>
    <t>NGD</t>
  </si>
  <si>
    <t>OR</t>
  </si>
  <si>
    <t>ORLA</t>
  </si>
  <si>
    <t>SAND</t>
  </si>
  <si>
    <t>SSRM</t>
  </si>
  <si>
    <t>TFPM</t>
  </si>
  <si>
    <t>SBSW</t>
  </si>
  <si>
    <t>AG</t>
  </si>
  <si>
    <t>HL</t>
  </si>
  <si>
    <t>PAAS</t>
  </si>
  <si>
    <t>CLF</t>
  </si>
  <si>
    <t>CMC</t>
  </si>
  <si>
    <t>GGB</t>
  </si>
  <si>
    <t>HCC</t>
  </si>
  <si>
    <t>SID</t>
  </si>
  <si>
    <t>SIM</t>
  </si>
  <si>
    <t>TX</t>
  </si>
  <si>
    <t>X</t>
  </si>
  <si>
    <t>LPX</t>
  </si>
  <si>
    <t>WFG</t>
  </si>
  <si>
    <t>SLVM</t>
  </si>
  <si>
    <t>ASIX</t>
  </si>
  <si>
    <t>BAK</t>
  </si>
  <si>
    <t>KOP</t>
  </si>
  <si>
    <t>KRO</t>
  </si>
  <si>
    <t>MATV</t>
  </si>
  <si>
    <t>OEC</t>
  </si>
  <si>
    <t>PCT</t>
  </si>
  <si>
    <t>TROX</t>
  </si>
  <si>
    <t>WLKP</t>
  </si>
  <si>
    <t>CC</t>
  </si>
  <si>
    <t>HUN</t>
  </si>
  <si>
    <t>LXU</t>
  </si>
  <si>
    <t>IPI</t>
  </si>
  <si>
    <t>UAN</t>
  </si>
  <si>
    <t>ASPI</t>
  </si>
  <si>
    <t>ASPN</t>
  </si>
  <si>
    <t>DNA</t>
  </si>
  <si>
    <t>ECVT</t>
  </si>
  <si>
    <t>FTK</t>
  </si>
  <si>
    <t>KWR</t>
  </si>
  <si>
    <t>MTX</t>
  </si>
  <si>
    <t>NGVT</t>
  </si>
  <si>
    <t>PRM</t>
  </si>
  <si>
    <t>RYAM</t>
  </si>
  <si>
    <t>SCL</t>
  </si>
  <si>
    <t>VHI</t>
  </si>
  <si>
    <t>CPAC</t>
  </si>
  <si>
    <t>LOMA</t>
  </si>
  <si>
    <t>MYE</t>
  </si>
  <si>
    <t>OI</t>
  </si>
  <si>
    <t>TRS</t>
  </si>
  <si>
    <t>PACK</t>
  </si>
  <si>
    <t>CENX</t>
  </si>
  <si>
    <t>CSTM</t>
  </si>
  <si>
    <t>KALU</t>
  </si>
  <si>
    <t>TG</t>
  </si>
  <si>
    <t>CMP</t>
  </si>
  <si>
    <t>CNL</t>
  </si>
  <si>
    <t>GSM</t>
  </si>
  <si>
    <t>IE</t>
  </si>
  <si>
    <t>LAC</t>
  </si>
  <si>
    <t>LZM</t>
  </si>
  <si>
    <t>MTRN</t>
  </si>
  <si>
    <t>NAK</t>
  </si>
  <si>
    <t>NEXA</t>
  </si>
  <si>
    <t>NMG</t>
  </si>
  <si>
    <t>SGML</t>
  </si>
  <si>
    <t>SLI</t>
  </si>
  <si>
    <t>SLSR</t>
  </si>
  <si>
    <t>TMC</t>
  </si>
  <si>
    <t>TMQ</t>
  </si>
  <si>
    <t>UAMY</t>
  </si>
  <si>
    <t>USAR</t>
  </si>
  <si>
    <t>USAS</t>
  </si>
  <si>
    <t>VZLA</t>
  </si>
  <si>
    <t>ERO</t>
  </si>
  <si>
    <t>MTAL</t>
  </si>
  <si>
    <t>TGB</t>
  </si>
  <si>
    <t>AMRQF</t>
  </si>
  <si>
    <t>ARMN</t>
  </si>
  <si>
    <t>CGAU</t>
  </si>
  <si>
    <t>CMCL</t>
  </si>
  <si>
    <t>DC</t>
  </si>
  <si>
    <t>DRD</t>
  </si>
  <si>
    <t>GAU</t>
  </si>
  <si>
    <t>GROY</t>
  </si>
  <si>
    <t>IAUX</t>
  </si>
  <si>
    <t>ITRG</t>
  </si>
  <si>
    <t>MUX</t>
  </si>
  <si>
    <t>NG</t>
  </si>
  <si>
    <t>ODV</t>
  </si>
  <si>
    <t>ORZCF</t>
  </si>
  <si>
    <t>PPTA</t>
  </si>
  <si>
    <t>SA</t>
  </si>
  <si>
    <t>SKE</t>
  </si>
  <si>
    <t>ASM</t>
  </si>
  <si>
    <t>IPX</t>
  </si>
  <si>
    <t>MTA</t>
  </si>
  <si>
    <t>EXK</t>
  </si>
  <si>
    <t>FSM</t>
  </si>
  <si>
    <t>MAG</t>
  </si>
  <si>
    <t>SVM</t>
  </si>
  <si>
    <t>AMR</t>
  </si>
  <si>
    <t>ASTL</t>
  </si>
  <si>
    <t>METC</t>
  </si>
  <si>
    <t>METCB</t>
  </si>
  <si>
    <t>MSB</t>
  </si>
  <si>
    <t>MTUS</t>
  </si>
  <si>
    <t>RDUS</t>
  </si>
  <si>
    <t>RYI</t>
  </si>
  <si>
    <t>SXC</t>
  </si>
  <si>
    <t>WS</t>
  </si>
  <si>
    <t>ZEUS</t>
  </si>
  <si>
    <t>CLW</t>
  </si>
  <si>
    <t>MAGN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</si>
</sst>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8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0" fillId="0" borderId="0" xfId="0" applyNumberFormat="1" applyAlignment="1">
      <alignment horizontal="center" vertical="center"/>
    </xf>
    <xf numFmtId="2" fontId="9" fillId="0" borderId="3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 wrapText="1"/>
    </xf>
    <xf numFmtId="2" fontId="9" fillId="0" borderId="10" xfId="0" applyNumberFormat="1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2" fontId="7" fillId="0" borderId="11" xfId="0" applyNumberFormat="1" applyFont="1" applyBorder="1" applyAlignment="1">
      <alignment horizontal="center" vertical="center"/>
    </xf>
    <xf numFmtId="2" fontId="8" fillId="0" borderId="11" xfId="0" applyNumberFormat="1" applyFon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2" fontId="5" fillId="0" borderId="15" xfId="0" applyNumberFormat="1" applyFont="1" applyBorder="1" applyAlignment="1">
      <alignment horizontal="center" vertical="center" wrapText="1"/>
    </xf>
    <xf numFmtId="2" fontId="9" fillId="0" borderId="27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2" fontId="9" fillId="0" borderId="28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4" fillId="0" borderId="34" xfId="0" applyNumberFormat="1" applyFont="1" applyBorder="1" applyAlignment="1">
      <alignment horizontal="center" vertical="center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3" fontId="10" fillId="0" borderId="14" xfId="0" applyNumberFormat="1" applyFont="1" applyBorder="1" applyAlignment="1">
      <alignment horizontal="left" vertical="center" wrapText="1"/>
    </xf>
    <xf numFmtId="3" fontId="10" fillId="0" borderId="22" xfId="0" applyNumberFormat="1" applyFont="1" applyBorder="1" applyAlignment="1">
      <alignment horizontal="left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40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1" fillId="0" borderId="40" xfId="0" applyNumberFormat="1" applyFont="1" applyBorder="1" applyAlignment="1">
      <alignment horizontal="center"/>
    </xf>
    <xf numFmtId="2" fontId="5" fillId="0" borderId="6" xfId="0" applyNumberFormat="1" applyFont="1" applyBorder="1" applyAlignment="1">
      <alignment horizontal="center" vertical="center" wrapText="1"/>
    </xf>
    <xf numFmtId="2" fontId="5" fillId="0" borderId="13" xfId="0" applyNumberFormat="1" applyFont="1" applyBorder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3" fontId="10" fillId="0" borderId="18" xfId="0" applyNumberFormat="1" applyFont="1" applyBorder="1" applyAlignment="1">
      <alignment horizontal="left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16.18</v>
        <stp/>
        <stp>LAST</stp>
        <stp>VHI</stp>
        <tr r="D27" s="4"/>
      </tp>
      <tp>
        <v>268.58999999999997</v>
        <stp/>
        <stp>LAST</stp>
        <stp>VMC</stp>
        <tr r="D19" s="2"/>
      </tp>
      <tp>
        <v>78.510000000000005</v>
        <stp/>
        <stp>LAST</stp>
        <stp>WPM</stp>
        <tr r="D42" s="2"/>
      </tp>
      <tp>
        <v>86.53</v>
        <stp/>
        <stp>LAST</stp>
        <stp>WLK</stp>
        <tr r="D4" s="2"/>
      </tp>
      <tp>
        <v>76.52</v>
        <stp/>
        <stp>LAST</stp>
        <stp>WFG</stp>
        <tr r="D63" s="3"/>
      </tp>
      <tp>
        <v>8.51</v>
        <stp/>
        <stp>LAST</stp>
        <stp>METCB</stp>
        <tr r="D87" s="4"/>
      </tp>
      <tp>
        <v>24.13</v>
        <stp/>
        <stp>LAST</stp>
        <stp>TRS</stp>
        <tr r="D32" s="4"/>
      </tp>
      <tp>
        <v>1.37</v>
        <stp/>
        <stp>LAST</stp>
        <stp>TMQ</stp>
        <tr r="D52" s="4"/>
      </tp>
      <tp>
        <v>2.97</v>
        <stp/>
        <stp>LAST</stp>
        <stp>TMC</stp>
        <tr r="D51" s="4"/>
      </tp>
      <tp>
        <v>2.0699999999999998</v>
        <stp/>
        <stp>LAST</stp>
        <stp>TGB</stp>
        <tr r="D59" s="4"/>
      </tp>
      <tp>
        <v>82.08</v>
        <stp/>
        <stp>LAST</stp>
        <stp>UAN</stp>
        <tr r="D15" s="4"/>
      </tp>
      <tp>
        <v>0.71</v>
        <stp/>
        <stp>LAST</stp>
        <stp>AMRQF</stp>
        <tr r="D60" s="4"/>
      </tp>
      <tp>
        <v>22.3</v>
        <stp/>
        <stp>LAST</stp>
        <stp>RYI</stp>
        <tr r="D91" s="4"/>
      </tp>
      <tp>
        <v>114.42</v>
        <stp/>
        <stp>LAST</stp>
        <stp>RPM</stp>
        <tr r="D15" s="2"/>
      </tp>
      <tp>
        <v>62.27</v>
        <stp/>
        <stp>LAST</stp>
        <stp>RIO</stp>
        <tr r="D28" s="2"/>
      </tp>
      <tp>
        <v>92.65</v>
        <stp/>
        <stp>LAST</stp>
        <stp>SXT</stp>
        <tr r="D22" s="3"/>
      </tp>
      <tp>
        <v>9.02</v>
        <stp/>
        <stp>LAST</stp>
        <stp>SXC</stp>
        <tr r="D92" s="4"/>
      </tp>
      <tp>
        <v>3.81</v>
        <stp/>
        <stp>LAST</stp>
        <stp>SSL</stp>
        <tr r="D6" s="3"/>
      </tp>
      <tp>
        <v>35.880000000000003</v>
        <stp/>
        <stp>LAST</stp>
        <stp>SQM</stp>
        <tr r="D21" s="3"/>
      </tp>
      <tp>
        <v>3.69</v>
        <stp/>
        <stp>LAST</stp>
        <stp>SVM</stp>
        <tr r="D83" s="4"/>
      </tp>
      <tp>
        <v>9.49</v>
        <stp/>
        <stp>LAST</stp>
        <stp>SUZ</stp>
        <tr r="D50" s="2"/>
      </tp>
      <tp>
        <v>11.42</v>
        <stp/>
        <stp>LAST</stp>
        <stp>SKE</stp>
        <tr r="D76" s="4"/>
      </tp>
      <tp>
        <v>356.04</v>
        <stp/>
        <stp>LAST</stp>
        <stp>SHW</stp>
        <tr r="D16" s="2"/>
      </tp>
      <tp>
        <v>1.64</v>
        <stp/>
        <stp>LAST</stp>
        <stp>SID</stp>
        <tr r="D58" s="3"/>
      </tp>
      <tp>
        <v>26.7</v>
        <stp/>
        <stp>LAST</stp>
        <stp>SIM</stp>
        <tr r="D59" s="3"/>
      </tp>
      <tp>
        <v>45.07</v>
        <stp/>
        <stp>LAST</stp>
        <stp>SON</stp>
        <tr r="D34" s="3"/>
      </tp>
      <tp>
        <v>1.64</v>
        <stp/>
        <stp>LAST</stp>
        <stp>SLI</stp>
        <tr r="D49" s="4"/>
      </tp>
      <tp>
        <v>59</v>
        <stp/>
        <stp>LAST</stp>
        <stp>SMG</stp>
        <tr r="D9" s="3"/>
      </tp>
      <tp>
        <v>54.98</v>
        <stp/>
        <stp>LAST</stp>
        <stp>SCL</stp>
        <tr r="D26" s="4"/>
      </tp>
      <tp>
        <v>31.91</v>
        <stp/>
        <stp>LAST</stp>
        <stp>SEE</stp>
        <tr r="D33" s="3"/>
      </tp>
      <tp>
        <v>12.17</v>
        <stp/>
        <stp>LAST</stp>
        <stp>PRM</stp>
        <tr r="D24" s="4"/>
      </tp>
      <tp>
        <v>113.34</v>
        <stp/>
        <stp>LAST</stp>
        <stp>PPG</stp>
        <tr r="D14" s="2"/>
      </tp>
      <tp>
        <v>46.07</v>
        <stp/>
        <stp>LAST</stp>
        <stp>PKX</stp>
        <tr r="D46" s="2"/>
      </tp>
      <tp>
        <v>188.79</v>
        <stp/>
        <stp>LAST</stp>
        <stp>PKG</stp>
        <tr r="D25" s="2"/>
      </tp>
      <tp>
        <v>7.93</v>
        <stp/>
        <stp>LAST</stp>
        <stp>PCT</stp>
        <tr r="D8" s="4"/>
      </tp>
      <tp>
        <v>0.76</v>
        <stp/>
        <stp>LAST</stp>
        <stp>ORZCF</stp>
        <tr r="D73" s="4"/>
      </tp>
      <tp>
        <v>10.71</v>
        <stp/>
        <stp>LAST</stp>
        <stp>DSFIY</stp>
        <tr r="D11" s="2"/>
      </tp>
      <tp>
        <v>5.54</v>
        <stp/>
        <stp>LAST</stp>
        <stp>FSM</stp>
        <tr r="D81" s="4"/>
      </tp>
      <tp>
        <v>14.34</v>
        <stp/>
        <stp>LAST</stp>
        <stp>FTK</stp>
        <tr r="D20" s="4"/>
      </tp>
      <tp>
        <v>56.93</v>
        <stp/>
        <stp>LAST</stp>
        <stp>FUL</stp>
        <tr r="D18" s="3"/>
      </tp>
      <tp>
        <v>158.02000000000001</v>
        <stp/>
        <stp>LAST</stp>
        <stp>FNV</stp>
        <tr r="D35" s="2"/>
      </tp>
      <tp>
        <v>38.11</v>
        <stp/>
        <stp>LAST</stp>
        <stp>FMC</stp>
        <tr r="D7" s="3"/>
      </tp>
      <tp>
        <v>39.47</v>
        <stp/>
        <stp>LAST</stp>
        <stp>FCX</stp>
        <tr r="D30" s="2"/>
      </tp>
      <tp>
        <v>4</v>
        <stp/>
        <stp>LAST</stp>
        <stp>GSM</stp>
        <tr r="D40" s="4"/>
      </tp>
      <tp>
        <v>23.25</v>
        <stp/>
        <stp>LAST</stp>
        <stp>GPK</stp>
        <tr r="D32" s="3"/>
      </tp>
      <tp>
        <v>1.54</v>
        <stp/>
        <stp>LAST</stp>
        <stp>GAU</stp>
        <tr r="D66" s="4"/>
      </tp>
      <tp>
        <v>20.18</v>
        <stp/>
        <stp>LAST</stp>
        <stp>GFI</stp>
        <tr r="D36" s="2"/>
      </tp>
      <tp>
        <v>2.78</v>
        <stp/>
        <stp>LAST</stp>
        <stp>GGB</stp>
        <tr r="D56" s="3"/>
      </tp>
      <tp>
        <v>56.26</v>
        <stp/>
        <stp>LAST</stp>
        <stp>GEF</stp>
        <tr r="D30" s="3"/>
      </tp>
      <tp>
        <v>14.01</v>
        <stp/>
        <stp>LAST</stp>
        <stp>DRD</stp>
        <tr r="D65" s="4"/>
      </tp>
      <tp>
        <v>8.1199999999999992</v>
        <stp/>
        <stp>LAST</stp>
        <stp>DNA</stp>
        <tr r="D18" s="4"/>
      </tp>
      <tp>
        <v>30.77</v>
        <stp/>
        <stp>LAST</stp>
        <stp>DOW</stp>
        <tr r="D2" s="2"/>
      </tp>
      <tp>
        <v>237.95</v>
        <stp/>
        <stp>LAST</stp>
        <stp>EXP</stp>
        <tr r="D24" s="3"/>
      </tp>
      <tp>
        <v>3.36</v>
        <stp/>
        <stp>LAST</stp>
        <stp>EXK</stp>
        <tr r="D80" s="4"/>
      </tp>
      <tp>
        <v>13.4</v>
        <stp/>
        <stp>LAST</stp>
        <stp>ERO</stp>
        <tr r="D57" s="4"/>
      </tp>
      <tp>
        <v>22.79</v>
        <stp/>
        <stp>LAST</stp>
        <stp>ESI</stp>
        <tr r="D17" s="3"/>
      </tp>
      <tp>
        <v>6.05</v>
        <stp/>
        <stp>LAST</stp>
        <stp>EQX</stp>
        <tr r="D42" s="3"/>
      </tp>
      <tp>
        <v>82.39</v>
        <stp/>
        <stp>LAST</stp>
        <stp>EMN</stp>
        <tr r="D16" s="3"/>
      </tp>
      <tp>
        <v>251.5</v>
        <stp/>
        <stp>LAST</stp>
        <stp>ECL</stp>
        <tr r="D12" s="2"/>
      </tp>
      <tp>
        <v>17.670000000000002</v>
        <stp/>
        <stp>LAST</stp>
        <stp>EGO</stp>
        <tr r="D41" s="3"/>
      </tp>
      <tp>
        <v>14.51</v>
        <stp/>
        <stp>LAST</stp>
        <stp>BVN</stp>
        <tr r="D39" s="3"/>
      </tp>
      <tp>
        <v>2.95</v>
        <stp/>
        <stp>LAST</stp>
        <stp>BTG</stp>
        <tr r="D38" s="3"/>
      </tp>
      <tp>
        <v>50.81</v>
        <stp/>
        <stp>LAST</stp>
        <stp>BHP</stp>
        <tr r="D27" s="2"/>
      </tp>
      <tp>
        <v>3.81</v>
        <stp/>
        <stp>LAST</stp>
        <stp>BAK</stp>
        <tr r="D3" s="4"/>
      </tp>
      <tp>
        <v>224.52</v>
        <stp/>
        <stp>LAST</stp>
        <stp>CRS</stp>
        <tr r="D43" s="2"/>
      </tp>
      <tp>
        <v>98.16</v>
        <stp/>
        <stp>LAST</stp>
        <stp>CRH</stp>
        <tr r="D17" s="2"/>
      </tp>
      <tp>
        <v>9.14</v>
        <stp/>
        <stp>LAST</stp>
        <stp>CNL</stp>
        <tr r="D39" s="4"/>
      </tp>
      <tp>
        <v>28.48</v>
        <stp/>
        <stp>LAST</stp>
        <stp>CLW</stp>
        <tr r="D95" s="4"/>
      </tp>
      <tp>
        <v>7.58</v>
        <stp/>
        <stp>LAST</stp>
        <stp>CLF</stp>
        <tr r="D54" s="3"/>
      </tp>
      <tp>
        <v>19.73</v>
        <stp/>
        <stp>LAST</stp>
        <stp>CMP</stp>
        <tr r="D38" s="4"/>
      </tp>
      <tp>
        <v>47.83</v>
        <stp/>
        <stp>LAST</stp>
        <stp>CMC</stp>
        <tr r="D55" s="3"/>
      </tp>
      <tp>
        <v>76.38</v>
        <stp/>
        <stp>LAST</stp>
        <stp>CBT</stp>
        <tr r="D2" s="3"/>
      </tp>
      <tp>
        <v>97.43</v>
        <stp/>
        <stp>LAST</stp>
        <stp>CCK</stp>
        <tr r="D21" s="2"/>
      </tp>
      <tp>
        <v>7.64</v>
        <stp/>
        <stp>LAST</stp>
        <stp>CDE</stp>
        <tr r="D40" s="3"/>
      </tp>
      <tp>
        <v>2.4300000000000002</v>
        <stp/>
        <stp>LAST</stp>
        <stp>ASM</stp>
        <tr r="D77" s="4"/>
      </tp>
      <tp>
        <v>52.18</v>
        <stp/>
        <stp>LAST</stp>
        <stp>ASH</stp>
        <tr r="D11" s="3"/>
      </tp>
      <tp>
        <v>273.64</v>
        <stp/>
        <stp>LAST</stp>
        <stp>APD</stp>
        <tr r="D9" s="2"/>
      </tp>
      <tp>
        <v>182.13</v>
        <stp/>
        <stp>LAST</stp>
        <stp>AVY</stp>
        <tr r="D23" s="2"/>
      </tp>
      <tp>
        <v>153.63999999999999</v>
        <stp/>
        <stp>LAST</stp>
        <stp>ATR</stp>
        <tr r="D29" s="3"/>
      </tp>
      <tp>
        <v>61.86</v>
        <stp/>
        <stp>LAST</stp>
        <stp>ALB</stp>
        <tr r="D10" s="3"/>
      </tp>
      <tp>
        <v>127.67</v>
        <stp/>
        <stp>LAST</stp>
        <stp>AMR</stp>
        <tr r="D84" s="4"/>
      </tp>
      <tp>
        <v>24.77</v>
        <stp/>
        <stp>LAST</stp>
        <stp>AGI</stp>
        <tr r="D33" s="2"/>
      </tp>
      <tp>
        <v>107</v>
        <stp/>
        <stp>LAST</stp>
        <stp>AEM</stp>
        <tr r="D32" s="2"/>
      </tp>
      <tp>
        <v>58.06</v>
        <stp/>
        <stp>LAST</stp>
        <stp>NTR</stp>
        <tr r="D8" s="2"/>
      </tp>
      <tp>
        <v>118.96</v>
        <stp/>
        <stp>LAST</stp>
        <stp>NUE</stp>
        <tr r="D45" s="2"/>
      </tp>
      <tp>
        <v>2.0099999999999998</v>
        <stp/>
        <stp>LAST</stp>
        <stp>NMG</stp>
        <tr r="D47" s="4"/>
      </tp>
      <tp>
        <v>1.01</v>
        <stp/>
        <stp>LAST</stp>
        <stp>NAK</stp>
        <tr r="D45" s="4"/>
      </tp>
      <tp>
        <v>3.88</v>
        <stp/>
        <stp>LAST</stp>
        <stp>NGD</stp>
        <tr r="D44" s="3"/>
      </tp>
      <tp>
        <v>632.11</v>
        <stp/>
        <stp>LAST</stp>
        <stp>NEU</stp>
        <tr r="D20" s="3"/>
      </tp>
      <tp>
        <v>50.07</v>
        <stp/>
        <stp>LAST</stp>
        <stp>NEM</stp>
        <tr r="D40" s="2"/>
      </tp>
      <tp>
        <v>22.51</v>
        <stp/>
        <stp>LAST</stp>
        <stp>OLN</stp>
        <tr r="D5" s="3"/>
      </tp>
      <tp>
        <v>1.88</v>
        <stp/>
        <stp>LAST</stp>
        <stp>ODV</stp>
        <tr r="D72" s="4"/>
      </tp>
      <tp>
        <v>11.14</v>
        <stp/>
        <stp>LAST</stp>
        <stp>OEC</stp>
        <tr r="D7" s="4"/>
      </tp>
      <tp>
        <v>3.66</v>
        <stp/>
        <stp>LAST</stp>
        <stp>LZM</stp>
        <tr r="D43" s="4"/>
      </tp>
      <tp>
        <v>7.48</v>
        <stp/>
        <stp>LAST</stp>
        <stp>LXU</stp>
        <tr r="D13" s="4"/>
      </tp>
      <tp>
        <v>60.34</v>
        <stp/>
        <stp>LAST</stp>
        <stp>LYB</stp>
        <tr r="D3" s="2"/>
      </tp>
      <tp>
        <v>93.94</v>
        <stp/>
        <stp>LAST</stp>
        <stp>LPX</stp>
        <tr r="D62" s="3"/>
      </tp>
      <tp>
        <v>3.04</v>
        <stp/>
        <stp>LAST</stp>
        <stp>LAC</stp>
        <tr r="D42" s="4"/>
      </tp>
      <tp>
        <v>12.59</v>
        <stp/>
        <stp>LAST</stp>
        <stp>MYE</stp>
        <tr r="D30" s="4"/>
      </tp>
      <tp>
        <v>25.05</v>
        <stp/>
        <stp>LAST</stp>
        <stp>MSB</stp>
        <tr r="D88" s="4"/>
      </tp>
      <tp>
        <v>58.77</v>
        <stp/>
        <stp>LAST</stp>
        <stp>MTX</stp>
        <tr r="D22" s="4"/>
      </tp>
      <tp>
        <v>2.9</v>
        <stp/>
        <stp>LAST</stp>
        <stp>MTA</stp>
        <tr r="D79" s="4"/>
      </tp>
      <tp>
        <v>7.21</v>
        <stp/>
        <stp>LAST</stp>
        <stp>MUX</stp>
        <tr r="D70" s="4"/>
      </tp>
      <tp>
        <v>34.229999999999997</v>
        <stp/>
        <stp>LAST</stp>
        <stp>MOS</stp>
        <tr r="D7" s="2"/>
      </tp>
      <tp>
        <v>543.89</v>
        <stp/>
        <stp>LAST</stp>
        <stp>MLM</stp>
        <tr r="D18" s="2"/>
      </tp>
      <tp>
        <v>18</v>
        <stp/>
        <stp>LAST</stp>
        <stp>MAG</stp>
        <tr r="D82" s="4"/>
      </tp>
      <tp>
        <v>25.95</v>
        <stp/>
        <stp>LAST</stp>
        <stp>JHX</stp>
        <tr r="D25" s="3"/>
      </tp>
      <tp>
        <v>7.63</v>
        <stp/>
        <stp>LAST</stp>
        <stp>KRO</stp>
        <tr r="D5" s="4"/>
      </tp>
      <tp>
        <v>109.65</v>
        <stp/>
        <stp>LAST</stp>
        <stp>KWR</stp>
        <tr r="D21" s="4"/>
      </tp>
      <tp>
        <v>102.89</v>
        <stp/>
        <stp>LAST</stp>
        <stp>KNF</stp>
        <tr r="D26" s="3"/>
      </tp>
      <tp>
        <v>30.4</v>
        <stp/>
        <stp>LAST</stp>
        <stp>KOP</stp>
        <tr r="D4" s="4"/>
      </tp>
      <tp>
        <v>13.76</v>
        <stp/>
        <stp>LAST</stp>
        <stp>KGC</stp>
        <tr r="D39" s="2"/>
      </tp>
      <tp>
        <v>12.96</v>
        <stp/>
        <stp>LAST</stp>
        <stp>HUN</stp>
        <tr r="D12" s="4"/>
      </tp>
      <tp>
        <v>14.32</v>
        <stp/>
        <stp>LAST</stp>
        <stp>HMY</stp>
        <tr r="D38" s="2"/>
      </tp>
      <tp>
        <v>8.66</v>
        <stp/>
        <stp>LAST</stp>
        <stp>HBM</stp>
        <tr r="D36" s="3"/>
      </tp>
      <tp>
        <v>48.37</v>
        <stp/>
        <stp>LAST</stp>
        <stp>HCC</stp>
        <tr r="D57" s="3"/>
      </tp>
      <tp>
        <v>20.86</v>
        <stp/>
        <stp>LAST</stp>
        <stp>IPX</stp>
        <tr r="D78" s="4"/>
      </tp>
      <tp>
        <v>36.31</v>
        <stp/>
        <stp>LAST</stp>
        <stp>IPI</stp>
        <tr r="D14" s="4"/>
      </tp>
      <tp>
        <v>6.83</v>
        <stp/>
        <stp>LAST</stp>
        <stp>ICL</stp>
        <tr r="D8" s="3"/>
      </tp>
      <tp>
        <v>6.33</v>
        <stp/>
        <stp>LAST</stp>
        <stp>IAG</stp>
        <tr r="D43" s="3"/>
      </tp>
      <tp>
        <v>76.5</v>
        <stp/>
        <stp>LAST</stp>
        <stp>IFF</stp>
        <tr r="D13" s="2"/>
      </tp>
      <tp>
        <v>2.37</v>
        <stp/>
        <stp>LAST</stp>
        <stp>VZLA</stp>
        <tr r="D56" s="4"/>
      </tp>
      <tp>
        <v>33.03</v>
        <stp/>
        <stp>LAST</stp>
        <stp>AXTA</stp>
        <tr r="D13" s="3"/>
      </tp>
      <tp>
        <v>4.0199999999999996</v>
        <stp/>
        <stp>LAST</stp>
        <stp>RYAM</stp>
        <tr r="D25" s="4"/>
      </tp>
      <tp>
        <v>1.54</v>
        <stp/>
        <stp>LAST</stp>
        <stp>GROY</stp>
        <tr r="D67" s="4"/>
      </tp>
      <tp>
        <v>5.69</v>
        <stp/>
        <stp>LAST</stp>
        <stp>TROX</stp>
        <tr r="D9" s="4"/>
      </tp>
      <tp>
        <v>8.85</v>
        <stp/>
        <stp>LAST</stp>
        <stp>ORLA</stp>
        <tr r="D46" s="3"/>
      </tp>
      <tp>
        <v>5.82</v>
        <stp/>
        <stp>LAST</stp>
        <stp>ARMN</stp>
        <tr r="D61" s="4"/>
      </tp>
      <tp>
        <v>12.32</v>
        <stp/>
        <stp>LAST</stp>
        <stp>CSTM</stp>
        <tr r="D35" s="4"/>
      </tp>
      <tp>
        <v>6.04</v>
        <stp/>
        <stp>LAST</stp>
        <stp>ASTL</stp>
        <tr r="D85" s="4"/>
      </tp>
      <tp>
        <v>10.55</v>
        <stp/>
        <stp>LAST</stp>
        <stp>SSRM</stp>
        <tr r="D48" s="3"/>
      </tp>
      <tp>
        <v>6.56</v>
        <stp/>
        <stp>LAST</stp>
        <stp>ASPI</stp>
        <tr r="D16" s="4"/>
      </tp>
      <tp>
        <v>5.94</v>
        <stp/>
        <stp>LAST</stp>
        <stp>ASPN</stp>
        <tr r="D17" s="4"/>
      </tp>
      <tp>
        <v>0.5575</v>
        <stp/>
        <stp>LAST</stp>
        <stp>USAS</stp>
        <tr r="D55" s="4"/>
      </tp>
      <tp>
        <v>8.85</v>
        <stp/>
        <stp>LAST</stp>
        <stp>USAR</stp>
        <tr r="D54" s="4"/>
      </tp>
      <tp>
        <v>102.87</v>
        <stp/>
        <stp>LAST</stp>
        <stp>USLM</stp>
        <tr r="D27" s="3"/>
      </tp>
      <tp>
        <v>23.91</v>
        <stp/>
        <stp>LAST</stp>
        <stp>ASIX</stp>
        <tr r="D2" s="4"/>
      </tp>
      <tp>
        <v>12.275</v>
        <stp/>
        <stp>LAST</stp>
        <stp>PPTA</stp>
        <tr r="D74" s="4"/>
      </tp>
      <tp>
        <v>5.7</v>
        <stp/>
        <stp>LAST</stp>
        <stp>CPAC</stp>
        <tr r="D28" s="4"/>
      </tp>
      <tp>
        <v>38.79</v>
        <stp/>
        <stp>LAST</stp>
        <stp>AVNT</stp>
        <tr r="D12" s="3"/>
      </tp>
      <tp>
        <v>120.29</v>
        <stp/>
        <stp>LAST</stp>
        <stp>HWKN</stp>
        <tr r="D3" s="3"/>
      </tp>
      <tp>
        <v>67.900000000000006</v>
        <stp/>
        <stp>LAST</stp>
        <stp>CTVA</stp>
        <tr r="D6" s="2"/>
      </tp>
      <tp>
        <v>13.52</v>
        <stp/>
        <stp>LAST</stp>
        <stp>MTUS</stp>
        <tr r="D89" s="4"/>
      </tp>
      <tp>
        <v>1.61</v>
        <stp/>
        <stp>LAST</stp>
        <stp>ITRG</stp>
        <tr r="D69" s="4"/>
      </tp>
      <tp>
        <v>78.64</v>
        <stp/>
        <stp>LAST</stp>
        <stp>MTRN</stp>
        <tr r="D44" s="4"/>
      </tp>
      <tp>
        <v>10.06</v>
        <stp/>
        <stp>LAST</stp>
        <stp>MTAL</stp>
        <tr r="D58" s="4"/>
      </tp>
      <tp>
        <v>135.41999999999999</v>
        <stp/>
        <stp>LAST</stp>
        <stp>STLD</stp>
        <tr r="D48" s="2"/>
      </tp>
      <tp>
        <v>90.45</v>
        <stp/>
        <stp>LAST</stp>
        <stp>IOSP</stp>
        <tr r="D19" s="3"/>
      </tp>
      <tp>
        <v>18.86</v>
        <stp/>
        <stp>LAST</stp>
        <stp>GOLD</stp>
        <tr r="D37" s="2"/>
      </tp>
      <tp>
        <v>12.27</v>
        <stp/>
        <stp>LAST</stp>
        <stp>LOMA</stp>
        <tr r="D29" s="4"/>
      </tp>
      <tp>
        <v>55.97</v>
        <stp/>
        <stp>LAST</stp>
        <stp>SLVM</stp>
        <tr r="D64" s="3"/>
      </tp>
      <tp>
        <v>4.12</v>
        <stp/>
        <stp>LAST</stp>
        <stp>SLSR</stp>
        <tr r="D50" s="4"/>
      </tp>
      <tp>
        <v>54.31</v>
        <stp/>
        <stp>LAST</stp>
        <stp>SLGN</stp>
        <tr r="D31" s="3"/>
      </tp>
      <tp>
        <v>23.06</v>
        <stp/>
        <stp>LAST</stp>
        <stp>WLKP</stp>
        <tr r="D10" s="4"/>
      </tp>
      <tp>
        <v>3.8</v>
        <stp/>
        <stp>LAST</stp>
        <stp>AMBP</stp>
        <tr r="D28" s="3"/>
      </tp>
      <tp>
        <v>9.17</v>
        <stp/>
        <stp>LAST</stp>
        <stp>AMCR</stp>
        <tr r="D22" s="2"/>
      </tp>
      <tp>
        <v>14.27</v>
        <stp/>
        <stp>LAST</stp>
        <stp>CMCL</stp>
        <tr r="D63" s="4"/>
      </tp>
      <tp>
        <v>4.5999999999999996</v>
        <stp/>
        <stp>LAST</stp>
        <stp>SBSW</stp>
        <tr r="D50" s="3"/>
      </tp>
      <tp>
        <v>7.49</v>
        <stp/>
        <stp>LAST</stp>
        <stp>ECVT</stp>
        <tr r="D19" s="4"/>
      </tp>
      <tp>
        <v>164.94</v>
        <stp/>
        <stp>LAST</stp>
        <stp>BCPC</stp>
        <tr r="D14" s="3"/>
      </tp>
      <tp>
        <v>93.29</v>
        <stp/>
        <stp>LAST</stp>
        <stp>SCCO</stp>
        <tr r="D31" s="2"/>
      </tp>
      <tp>
        <v>6.38</v>
        <stp/>
        <stp>LAST</stp>
        <stp>MATV</stp>
        <tr r="D6" s="4"/>
      </tp>
      <tp>
        <v>0.50409999999999999</v>
        <stp/>
        <stp>LAST</stp>
        <stp>IAUX</stp>
        <tr r="D68" s="4"/>
      </tp>
      <tp>
        <v>15.05</v>
        <stp/>
        <stp>LAST</stp>
        <stp>MAGN</stp>
        <tr r="D96" s="4"/>
      </tp>
      <tp>
        <v>3.65</v>
        <stp/>
        <stp>LAST</stp>
        <stp>PACK</stp>
        <tr r="D33" s="4"/>
      </tp>
      <tp>
        <v>23.03</v>
        <stp/>
        <stp>LAST</stp>
        <stp>PAAS</stp>
        <tr r="D53" s="3"/>
      </tp>
      <tp>
        <v>8.11</v>
        <stp/>
        <stp>LAST</stp>
        <stp>SAND</stp>
        <tr r="D47" s="3"/>
      </tp>
      <tp>
        <v>71.400000000000006</v>
        <stp/>
        <stp>LAST</stp>
        <stp>KALU</stp>
        <tr r="D36" s="4"/>
      </tp>
      <tp>
        <v>9.8800000000000008</v>
        <stp/>
        <stp>LAST</stp>
        <stp>VALE</stp>
        <tr r="D49" s="2"/>
      </tp>
      <tp>
        <v>52.79</v>
        <stp/>
        <stp>LAST</stp>
        <stp>BALL</stp>
        <tr r="D20" s="2"/>
      </tp>
      <tp>
        <v>2.58</v>
        <stp/>
        <stp>LAST</stp>
        <stp>UAMY</stp>
        <tr r="D53" s="4"/>
      </tp>
      <tp>
        <v>19.96</v>
        <stp/>
        <stp>LAST</stp>
        <stp>TFPM</stp>
        <tr r="D49" s="3"/>
      </tp>
      <tp>
        <v>43.21</v>
        <stp/>
        <stp>LAST</stp>
        <stp>NGVT</stp>
        <tr r="D23" s="4"/>
      </tp>
      <tp>
        <v>6.6</v>
        <stp/>
        <stp>LAST</stp>
        <stp>CGAU</stp>
        <tr r="D62" s="4"/>
      </tp>
      <tp>
        <v>169.26</v>
        <stp/>
        <stp>LAST</stp>
        <stp>RGLD</stp>
        <tr r="D41" s="2"/>
      </tp>
      <tp>
        <v>7.82</v>
        <stp/>
        <stp>LAST</stp>
        <stp>SGML</stp>
        <tr r="D48" s="4"/>
      </tp>
      <tp>
        <v>29.51</v>
        <stp/>
        <stp>LAST</stp>
        <stp>RDUS</stp>
        <tr r="D90" s="4"/>
      </tp>
      <tp>
        <v>9.9</v>
        <stp/>
        <stp>LAST</stp>
        <stp>METC</stp>
        <tr r="D86" s="4"/>
      </tp>
      <tp>
        <v>33.119999999999997</v>
        <stp/>
        <stp>LAST</stp>
        <stp>ZEUS</stp>
        <tr r="D94" s="4"/>
      </tp>
      <tp>
        <v>5.32</v>
        <stp/>
        <stp>LAST</stp>
        <stp>NEXA</stp>
        <tr r="D46" s="4"/>
      </tp>
      <tp>
        <v>37.97</v>
        <stp/>
        <stp>LAST</stp>
        <stp>TECK</stp>
        <tr r="D29" s="2"/>
      </tp>
      <tp>
        <v>17.18</v>
        <stp/>
        <stp>LAST</stp>
        <stp>CENX</stp>
        <tr r="D34" s="4"/>
      </tp>
      <tp>
        <v>34.96</v>
        <stp/>
        <stp>LAST</stp>
        <stp>MEOH</stp>
        <tr r="D4" s="3"/>
      </tp>
      <tp>
        <v>27.99</v>
        <stp/>
        <stp>LAST</stp>
        <stp>WS</stp>
        <tr r="D93" s="4"/>
      </tp>
      <tp>
        <v>28.71</v>
        <stp/>
        <stp>LAST</stp>
        <stp>TX</stp>
        <tr r="D60" s="3"/>
      </tp>
      <tp>
        <v>8.4600000000000009</v>
        <stp/>
        <stp>LAST</stp>
        <stp>TG</stp>
        <tr r="D37" s="4"/>
      </tp>
      <tp>
        <v>299.16000000000003</v>
        <stp/>
        <stp>LAST</stp>
        <stp>RS</stp>
        <tr r="D47" s="2"/>
      </tp>
      <tp>
        <v>45.98</v>
        <stp/>
        <stp>LAST</stp>
        <stp>SW</stp>
        <tr r="D26" s="2"/>
      </tp>
      <tp>
        <v>11.75</v>
        <stp/>
        <stp>LAST</stp>
        <stp>SA</stp>
        <tr r="D75" s="4"/>
      </tp>
      <tp>
        <v>2.87</v>
        <stp/>
        <stp>LAST</stp>
        <stp>DC</stp>
        <tr r="D64" s="4"/>
      </tp>
      <tp>
        <v>70.61</v>
        <stp/>
        <stp>LAST</stp>
        <stp>DD</stp>
        <tr r="D10" s="2"/>
      </tp>
      <tp>
        <v>6.82</v>
        <stp/>
        <stp>LAST</stp>
        <stp>CX</stp>
        <tr r="D23" s="3"/>
      </tp>
      <tp>
        <v>11.78</v>
        <stp/>
        <stp>LAST</stp>
        <stp>CC</stp>
        <tr r="D11" s="4"/>
      </tp>
      <tp>
        <v>87.73</v>
        <stp/>
        <stp>LAST</stp>
        <stp>CF</stp>
        <tr r="D5" s="2"/>
      </tp>
      <tp>
        <v>53.45</v>
        <stp/>
        <stp>LAST</stp>
        <stp>CE</stp>
        <tr r="D15" s="3"/>
      </tp>
      <tp>
        <v>41.21</v>
        <stp/>
        <stp>LAST</stp>
        <stp>AU</stp>
        <tr r="D34" s="2"/>
      </tp>
      <tp>
        <v>28.65</v>
        <stp/>
        <stp>LAST</stp>
        <stp>AA</stp>
        <tr r="D35" s="3"/>
      </tp>
      <tp>
        <v>5.8</v>
        <stp/>
        <stp>LAST</stp>
        <stp>AG</stp>
        <tr r="D51" s="3"/>
      </tp>
      <tp>
        <v>3.5</v>
        <stp/>
        <stp>LAST</stp>
        <stp>NG</stp>
        <tr r="D71" s="4"/>
      </tp>
      <tp>
        <v>23.24</v>
        <stp/>
        <stp>LAST</stp>
        <stp>OR</stp>
        <tr r="D45" s="3"/>
      </tp>
      <tp>
        <v>13.78</v>
        <stp/>
        <stp>LAST</stp>
        <stp>OI</stp>
        <tr r="D31" s="4"/>
      </tp>
      <tp>
        <v>20.77</v>
        <stp/>
        <stp>LAST</stp>
        <stp>MP</stp>
        <tr r="D37" s="3"/>
      </tp>
      <tp>
        <v>31.45</v>
        <stp/>
        <stp>LAST</stp>
        <stp>MT</stp>
        <tr r="D44" s="2"/>
      </tp>
      <tp>
        <v>4.9400000000000004</v>
        <stp/>
        <stp>LAST</stp>
        <stp>HL</stp>
        <tr r="D52" s="3"/>
      </tp>
      <tp>
        <v>48</v>
        <stp/>
        <stp>LAST</stp>
        <stp>IP</stp>
        <tr r="D24" s="2"/>
      </tp>
      <tp>
        <v>6.8</v>
        <stp/>
        <stp>LAST</stp>
        <stp>IE</stp>
        <tr r="D41" s="4"/>
      </tp>
      <tp>
        <v>41.79</v>
        <stp/>
        <stp>LAST</stp>
        <stp>X</stp>
        <tr r="D61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65536342592" createdVersion="8" refreshedVersion="8" minRefreshableVersion="3" recordCount="49" xr:uid="{3432845B-C090-4238-AA0B-FA56B072311B}">
  <cacheSource type="worksheet">
    <worksheetSource name="Main_L"/>
  </cacheSource>
  <cacheFields count="26">
    <cacheField name="Industry" numFmtId="0">
      <sharedItems count="63">
        <s v="Chemicals"/>
        <s v="Construction Materials"/>
        <s v="Containers &amp; Packaging"/>
        <s v="Metals &amp; Mining"/>
        <s v="Paper &amp; Forest Product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Passenger Airlines" u="1"/>
        <s v="Professional Services" u="1"/>
        <s v="Trading Companies &amp; Distributors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Transportation Infrastructure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003" maxValue="122732"/>
    </cacheField>
    <cacheField name="Current Price" numFmtId="0">
      <sharedItems containsSemiMixedTypes="0" containsString="0" containsNumber="1" minValue="9.17" maxValue="543.89"/>
    </cacheField>
    <cacheField name="Free CF" numFmtId="0">
      <sharedItems containsSemiMixedTypes="0" containsString="0" containsNumber="1" minValue="-19.46" maxValue="17.54"/>
    </cacheField>
    <cacheField name="BVPS" numFmtId="0">
      <sharedItems containsSemiMixedTypes="0" containsString="0" containsNumber="1" minValue="2.67" maxValue="466.1"/>
    </cacheField>
    <cacheField name="EPS" numFmtId="0">
      <sharedItems containsSemiMixedTypes="0" containsString="0" containsNumber="1" minValue="-0.9" maxValue="17.38"/>
    </cacheField>
    <cacheField name="P/FCF" numFmtId="2">
      <sharedItems containsSemiMixedTypes="0" containsString="0" containsNumber="1" minValue="-4800" maxValue="228.2"/>
    </cacheField>
    <cacheField name="P/B" numFmtId="2">
      <sharedItems containsSemiMixedTypes="0" containsString="0" containsNumber="1" minValue="9.8841450332546654E-2" maxValue="21.500000000000004"/>
    </cacheField>
    <cacheField name="ROE" numFmtId="0">
      <sharedItems containsSemiMixedTypes="0" containsString="0" containsNumber="1" minValue="-18.239999999999998" maxValue="70.22"/>
    </cacheField>
    <cacheField name="ROA" numFmtId="0">
      <sharedItems containsSemiMixedTypes="0" containsString="0" containsNumber="1" minValue="0.94" maxValue="20.16"/>
    </cacheField>
    <cacheField name="A/E" numFmtId="0">
      <sharedItems containsSemiMixedTypes="0" containsString="0" containsNumber="1" minValue="1.02" maxValue="5.96"/>
    </cacheField>
    <cacheField name="P/E" numFmtId="2">
      <sharedItems containsSemiMixedTypes="0" containsString="0" containsNumber="1" minValue="-253.13333333333333" maxValue="2353.6666666666665"/>
    </cacheField>
    <cacheField name="Preliminary Criteria" numFmtId="0">
      <sharedItems/>
    </cacheField>
    <cacheField name="P/FCF Z-Score" numFmtId="2">
      <sharedItems containsMixedTypes="1" containsNumber="1" minValue="-34.568392667959024" maxValue="13.207224602241819"/>
    </cacheField>
    <cacheField name="P/B Z-Score" numFmtId="2">
      <sharedItems containsMixedTypes="1" containsNumber="1" minValue="-1.6444703849936755" maxValue="13.147343848139629"/>
    </cacheField>
    <cacheField name="ROE Z-Score" numFmtId="2">
      <sharedItems containsMixedTypes="1" containsNumber="1" minValue="-1.8877687975084496" maxValue="7.0141815653139901"/>
    </cacheField>
    <cacheField name="ROA Z-Score" numFmtId="2">
      <sharedItems containsMixedTypes="1" containsNumber="1" minValue="-3.1399140789009294" maxValue="7.3652588860583803"/>
    </cacheField>
    <cacheField name="A/E Z-Score" numFmtId="2">
      <sharedItems containsMixedTypes="1" containsNumber="1" minValue="-1.9888452387640183" maxValue="6.5740371878582833"/>
    </cacheField>
    <cacheField name="P/E Z-Score" numFmtId="2">
      <sharedItems containsMixedTypes="1" containsNumber="1" minValue="-30.769838217684121" maxValue="107.03599368863054"/>
    </cacheField>
    <cacheField name="P/FCF Outlier" numFmtId="0">
      <sharedItems count="4">
        <s v="Yes"/>
        <s v="No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65539351855" createdVersion="8" refreshedVersion="8" minRefreshableVersion="3" recordCount="63" xr:uid="{A2646FF5-8A5C-4026-A340-9C8CC354FDFF}">
  <cacheSource type="worksheet">
    <worksheetSource name="Main_M"/>
  </cacheSource>
  <cacheFields count="26">
    <cacheField name="Industry" numFmtId="0">
      <sharedItems count="64">
        <s v="Chemicals"/>
        <s v="Construction Materials"/>
        <s v="Containers &amp; Packaging"/>
        <s v="Metals &amp; Mining"/>
        <s v="Paper &amp; Forest Product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116" maxValue="9998"/>
    </cacheField>
    <cacheField name="Current Price" numFmtId="0">
      <sharedItems containsSemiMixedTypes="0" containsString="0" containsNumber="1" minValue="1.64" maxValue="632.11"/>
    </cacheField>
    <cacheField name="Free CF" numFmtId="0">
      <sharedItems containsSemiMixedTypes="0" containsString="0" containsNumber="1" minValue="-6.36" maxValue="50.39"/>
    </cacheField>
    <cacheField name="BVPS" numFmtId="0">
      <sharedItems containsSemiMixedTypes="0" containsString="0" containsNumber="1" minValue="-5.04" maxValue="161.06"/>
    </cacheField>
    <cacheField name="EPS" numFmtId="0">
      <sharedItems containsSemiMixedTypes="0" containsString="0" containsNumber="1" minValue="-15.1" maxValue="50.24"/>
    </cacheField>
    <cacheField name="P/FCF" numFmtId="2">
      <sharedItems containsSemiMixedTypes="0" containsString="0" containsNumber="1" minValue="-382" maxValue="227.33333333333334"/>
    </cacheField>
    <cacheField name="P/B" numFmtId="2">
      <sharedItems containsSemiMixedTypes="0" containsString="0" containsNumber="1" minValue="-11.706349206349206" maxValue="7.6629213483146073"/>
    </cacheField>
    <cacheField name="ROE" numFmtId="0">
      <sharedItems containsSemiMixedTypes="0" containsString="0" containsNumber="1" minValue="-27.46" maxValue="45.91"/>
    </cacheField>
    <cacheField name="ROA" numFmtId="0">
      <sharedItems containsSemiMixedTypes="0" containsString="0" containsNumber="1" minValue="-4.34" maxValue="17.72"/>
    </cacheField>
    <cacheField name="A/E" numFmtId="0">
      <sharedItems containsSemiMixedTypes="0" containsString="0" containsNumber="1" minValue="-22.93" maxValue="11.24"/>
    </cacheField>
    <cacheField name="P/E" numFmtId="2">
      <sharedItems containsSemiMixedTypes="0" containsString="0" containsNumber="1" minValue="-1912.9999999999998" maxValue="258.22222222222223"/>
    </cacheField>
    <cacheField name="Preliminary Criteria" numFmtId="0">
      <sharedItems/>
    </cacheField>
    <cacheField name="P/FCF Z-Score" numFmtId="2">
      <sharedItems containsSemiMixedTypes="0" containsString="0" containsNumber="1" minValue="-15.167661582012782" maxValue="31.741877621533789"/>
    </cacheField>
    <cacheField name="P/B Z-Score" numFmtId="2">
      <sharedItems containsSemiMixedTypes="0" containsString="0" containsNumber="1" minValue="-14.441982987990574" maxValue="23.039783692474728"/>
    </cacheField>
    <cacheField name="ROE Z-Score" numFmtId="2">
      <sharedItems containsSemiMixedTypes="0" containsString="0" containsNumber="1" minValue="-2.1880335818048269" maxValue="2.5558788050922088"/>
    </cacheField>
    <cacheField name="ROA Z-Score" numFmtId="2">
      <sharedItems containsSemiMixedTypes="0" containsString="0" containsNumber="1" minValue="-2.0264726068224714" maxValue="3.593363998470076"/>
    </cacheField>
    <cacheField name="A/E Z-Score" numFmtId="2">
      <sharedItems containsSemiMixedTypes="0" containsString="0" containsNumber="1" minValue="-23.606209937431622" maxValue="18.329684037425778"/>
    </cacheField>
    <cacheField name="P/E Z-Score" numFmtId="2">
      <sharedItems containsSemiMixedTypes="0" containsString="0" containsNumber="1" minValue="-24.140413596984633" maxValue="57.956325981808305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65540856479" createdVersion="8" refreshedVersion="8" minRefreshableVersion="3" recordCount="95" xr:uid="{FEEDC4AE-CB7E-4F82-B64E-6462C5DE2153}">
  <cacheSource type="worksheet">
    <worksheetSource name="Main_S"/>
  </cacheSource>
  <cacheFields count="26">
    <cacheField name="Industry" numFmtId="0">
      <sharedItems count="65">
        <s v="Chemicals"/>
        <s v="Construction Materials"/>
        <s v="Containers &amp; Packaging"/>
        <s v="Metals &amp; Mining"/>
        <s v="Paper &amp; Forest Product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57" maxValue="1991"/>
    </cacheField>
    <cacheField name="Current Price" numFmtId="0">
      <sharedItems containsSemiMixedTypes="0" containsString="0" containsNumber="1" minValue="0.50409999999999999" maxValue="127.67"/>
    </cacheField>
    <cacheField name="Free CF" numFmtId="0">
      <sharedItems containsSemiMixedTypes="0" containsString="0" containsNumber="1" minValue="-7.6" maxValue="29.28"/>
    </cacheField>
    <cacheField name="BVPS" numFmtId="0">
      <sharedItems containsSemiMixedTypes="0" containsString="0" containsNumber="1" minValue="-0.97" maxValue="126.72"/>
    </cacheField>
    <cacheField name="EPS" numFmtId="0">
      <sharedItems containsSemiMixedTypes="0" containsString="0" containsNumber="1" minValue="-15.9" maxValue="14.28"/>
    </cacheField>
    <cacheField name="P/FCF" numFmtId="2">
      <sharedItems containsSemiMixedTypes="0" containsString="0" containsNumber="1" minValue="-139.06666666666666" maxValue="286.79999999999995"/>
    </cacheField>
    <cacheField name="P/B" numFmtId="2">
      <sharedItems containsSemiMixedTypes="0" containsString="0" containsNumber="1" minValue="-59.4" maxValue="63.212121212121204"/>
    </cacheField>
    <cacheField name="ROE" numFmtId="0">
      <sharedItems containsSemiMixedTypes="0" containsString="0" containsNumber="1" minValue="-955.21" maxValue="2643.3"/>
    </cacheField>
    <cacheField name="ROA" numFmtId="0">
      <sharedItems containsSemiMixedTypes="0" containsString="0" containsNumber="1" minValue="-77.040000000000006" maxValue="21.58"/>
    </cacheField>
    <cacheField name="A/E" numFmtId="0">
      <sharedItems containsSemiMixedTypes="0" containsString="0" containsNumber="1" minValue="-21.24" maxValue="12.44"/>
    </cacheField>
    <cacheField name="P/E" numFmtId="2">
      <sharedItems containsSemiMixedTypes="0" containsString="0" containsNumber="1" minValue="-304.25" maxValue="450.66666666666669"/>
    </cacheField>
    <cacheField name="Preliminary Criteria" numFmtId="0">
      <sharedItems/>
    </cacheField>
    <cacheField name="P/FCF Z-Score" numFmtId="2">
      <sharedItems containsSemiMixedTypes="0" containsString="0" containsNumber="1" minValue="-5.9698235250932727" maxValue="18.460231395292535"/>
    </cacheField>
    <cacheField name="P/B Z-Score" numFmtId="2">
      <sharedItems containsSemiMixedTypes="0" containsString="0" containsNumber="1" minValue="-76.591324885422281" maxValue="77.233167762509609"/>
    </cacheField>
    <cacheField name="ROE Z-Score" numFmtId="2">
      <sharedItems containsSemiMixedTypes="0" containsString="0" containsNumber="1" minValue="-51.218670056304134" maxValue="287.47962461921873"/>
    </cacheField>
    <cacheField name="ROA Z-Score" numFmtId="2">
      <sharedItems containsSemiMixedTypes="0" containsString="0" containsNumber="1" minValue="-12.771548234755972" maxValue="6.4759003613754027"/>
    </cacheField>
    <cacheField name="A/E Z-Score" numFmtId="2">
      <sharedItems containsSemiMixedTypes="0" containsString="0" containsNumber="1" minValue="-29.103122112162655" maxValue="12.130426151149058"/>
    </cacheField>
    <cacheField name="P/E Z-Score" numFmtId="2">
      <sharedItems containsSemiMixedTypes="0" containsString="0" containsNumber="1" minValue="-20.268131900211337" maxValue="19.9037394358194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s v="DOW"/>
    <n v="20110"/>
    <n v="30.77"/>
    <n v="-0.96"/>
    <n v="23.75"/>
    <n v="0.4"/>
    <n v="-32.052083333333336"/>
    <n v="1.2955789473684209"/>
    <n v="2.06"/>
    <n v="1.83"/>
    <n v="3.42"/>
    <n v="76.924999999999997"/>
    <s v="NO"/>
    <n v="-3.4383126067802632"/>
    <n v="-0.53935624181045183"/>
    <n v="-0.74759480438812143"/>
    <n v="-0.92240363928451907"/>
    <n v="1.9694919367209869"/>
    <n v="1.766392166982095"/>
    <x v="0"/>
    <x v="0"/>
    <x v="0"/>
    <x v="0"/>
    <x v="0"/>
    <x v="0"/>
  </r>
  <r>
    <x v="0"/>
    <s v="LYB"/>
    <n v="17873"/>
    <n v="60.34"/>
    <n v="4.67"/>
    <n v="37.81"/>
    <n v="2.89"/>
    <n v="12.920770877944326"/>
    <n v="1.5958741073790002"/>
    <n v="7.44"/>
    <n v="3.85"/>
    <n v="2.88"/>
    <n v="20.878892733564015"/>
    <s v="NO"/>
    <n v="-0.56188100023309373"/>
    <n v="-0.33593295228278469"/>
    <n v="-0.13494285501902875"/>
    <n v="-0.20281480637203353"/>
    <n v="0.99057286758156171"/>
    <n v="-0.82500916113401301"/>
    <x v="1"/>
    <x v="0"/>
    <x v="0"/>
    <x v="0"/>
    <x v="0"/>
    <x v="0"/>
  </r>
  <r>
    <x v="0"/>
    <s v="WLK"/>
    <n v="10003"/>
    <n v="86.53"/>
    <n v="0.65"/>
    <n v="81.180000000000007"/>
    <n v="3"/>
    <n v="133.12307692307692"/>
    <n v="1.0659029317565902"/>
    <n v="3.92"/>
    <n v="2.14"/>
    <n v="1.99"/>
    <n v="28.843333333333334"/>
    <s v="NO"/>
    <n v="7.126172567898502"/>
    <n v="-0.6949413355552877"/>
    <n v="-0.53578576613040541"/>
    <n v="-0.81197168967913758"/>
    <n v="-0.62283078340749076"/>
    <n v="-0.45675768115470561"/>
    <x v="0"/>
    <x v="0"/>
    <x v="0"/>
    <x v="0"/>
    <x v="0"/>
    <x v="0"/>
  </r>
  <r>
    <x v="0"/>
    <s v="CF"/>
    <n v="13432"/>
    <n v="87.73"/>
    <n v="9.7200000000000006"/>
    <n v="29.34"/>
    <n v="6.74"/>
    <n v="9.0257201646090532"/>
    <n v="2.9901158827539196"/>
    <n v="18.5"/>
    <n v="7.74"/>
    <n v="2.7"/>
    <n v="13.016320474777448"/>
    <s v="NO"/>
    <n v="-0.81100565948436576"/>
    <n v="0.60854197143449784"/>
    <n v="1.12452379182524"/>
    <n v="1.1829280451277528"/>
    <n v="0.66426651120175384"/>
    <n v="-1.1885505592362553"/>
    <x v="1"/>
    <x v="0"/>
    <x v="0"/>
    <x v="0"/>
    <x v="0"/>
    <x v="0"/>
  </r>
  <r>
    <x v="0"/>
    <s v="CTVA"/>
    <n v="42634"/>
    <n v="67.900000000000006"/>
    <n v="2.23"/>
    <n v="34.700000000000003"/>
    <n v="1.22"/>
    <n v="30.448430493273545"/>
    <n v="1.956772334293948"/>
    <n v="3.5"/>
    <n v="2.91"/>
    <n v="1.72"/>
    <n v="55.655737704918039"/>
    <s v="NO"/>
    <n v="0.55917557913096327"/>
    <n v="-9.1456469541088811E-2"/>
    <n v="-0.58361361347892193"/>
    <n v="-0.5376729761431901"/>
    <n v="-1.1122903179772032"/>
    <n v="0.78296624772056289"/>
    <x v="1"/>
    <x v="0"/>
    <x v="0"/>
    <x v="0"/>
    <x v="0"/>
    <x v="0"/>
  </r>
  <r>
    <x v="0"/>
    <s v="MOS"/>
    <n v="10012"/>
    <n v="34.229999999999997"/>
    <n v="0.15"/>
    <n v="36.229999999999997"/>
    <n v="0.55000000000000004"/>
    <n v="228.2"/>
    <n v="0.94479712945073147"/>
    <n v="1.68"/>
    <n v="1.69"/>
    <n v="2"/>
    <n v="62.236363636363627"/>
    <s v="NO"/>
    <n v="13.207224602241819"/>
    <n v="-0.77697975630465066"/>
    <n v="-0.790867618655827"/>
    <n v="-0.97227613265469137"/>
    <n v="-0.60470265249750133"/>
    <n v="1.087234351435874"/>
    <x v="0"/>
    <x v="0"/>
    <x v="0"/>
    <x v="0"/>
    <x v="0"/>
    <x v="0"/>
  </r>
  <r>
    <x v="0"/>
    <s v="NTR"/>
    <n v="27662"/>
    <n v="58.06"/>
    <n v="2.79"/>
    <n v="49.71"/>
    <n v="1.36"/>
    <n v="20.810035842293907"/>
    <n v="1.167974250653792"/>
    <n v="2.82"/>
    <n v="3.1"/>
    <n v="2.12"/>
    <n v="42.691176470588232"/>
    <s v="NO"/>
    <n v="-5.7289252747568485E-2"/>
    <n v="-0.62579708609164386"/>
    <n v="-0.66104917585271061"/>
    <n v="-0.46998887799795636"/>
    <n v="-0.38716508157762891"/>
    <n v="0.18352441599134037"/>
    <x v="1"/>
    <x v="0"/>
    <x v="0"/>
    <x v="0"/>
    <x v="0"/>
    <x v="0"/>
  </r>
  <r>
    <x v="0"/>
    <s v="APD"/>
    <n v="58887"/>
    <n v="273.64"/>
    <n v="-19.46"/>
    <n v="66.069999999999993"/>
    <n v="6.94"/>
    <n v="-14.061664953751283"/>
    <n v="4.1416679279551989"/>
    <n v="9.58"/>
    <n v="4.7"/>
    <n v="2.64"/>
    <n v="39.429394812680108"/>
    <s v="NO"/>
    <n v="-2.2876583076572996"/>
    <n v="1.3886161660665544"/>
    <n v="0.10875141480436498"/>
    <n v="9.9982474804012386E-2"/>
    <n v="0.55549772574181755"/>
    <n v="3.2709564923355035E-2"/>
    <x v="1"/>
    <x v="0"/>
    <x v="0"/>
    <x v="0"/>
    <x v="0"/>
    <x v="0"/>
  </r>
  <r>
    <x v="0"/>
    <s v="DD"/>
    <n v="27018"/>
    <n v="70.61"/>
    <n v="2.67"/>
    <n v="54.56"/>
    <n v="0.03"/>
    <n v="26.445692883895131"/>
    <n v="1.2941715542521994"/>
    <n v="0.2"/>
    <n v="3.36"/>
    <n v="1.58"/>
    <n v="2353.6666666666665"/>
    <s v="NO"/>
    <n v="0.3031633429886571"/>
    <n v="-0.54030962559908935"/>
    <n v="-0.95940384264583767"/>
    <n v="-0.37736853316763652"/>
    <n v="-1.366084150717054"/>
    <n v="107.03599368863054"/>
    <x v="1"/>
    <x v="0"/>
    <x v="0"/>
    <x v="0"/>
    <x v="0"/>
    <x v="1"/>
  </r>
  <r>
    <x v="0"/>
    <s v="DSFIY"/>
    <n v="28447"/>
    <n v="10.71"/>
    <n v="3.97"/>
    <n v="88.24"/>
    <n v="0.97"/>
    <n v="2.6977329974811082"/>
    <n v="0.12137352674524027"/>
    <n v="1.22"/>
    <n v="0.94"/>
    <n v="1.5"/>
    <n v="11.041237113402063"/>
    <s v="NO"/>
    <n v="-1.2157391951376857"/>
    <n v="-1.3347760855267827"/>
    <n v="-0.84325049908515459"/>
    <n v="-1.2394502042806141"/>
    <n v="-1.5111091979969691"/>
    <n v="-1.2798723993326027"/>
    <x v="1"/>
    <x v="0"/>
    <x v="0"/>
    <x v="0"/>
    <x v="0"/>
    <x v="0"/>
  </r>
  <r>
    <x v="0"/>
    <s v="ECL"/>
    <n v="72136"/>
    <n v="251.5"/>
    <n v="6.4"/>
    <n v="31.32"/>
    <n v="7.35"/>
    <n v="39.296875"/>
    <n v="8.0300127713920819"/>
    <n v="24.77"/>
    <n v="7.76"/>
    <n v="2.52"/>
    <n v="34.217687074829932"/>
    <s v="NO"/>
    <n v="1.1251157644782426"/>
    <n v="4.0226243160547428"/>
    <n v="1.8385252272423795"/>
    <n v="1.1900526870377774"/>
    <n v="0.33796015482194514"/>
    <n v="-0.2082639301565786"/>
    <x v="1"/>
    <x v="1"/>
    <x v="0"/>
    <x v="0"/>
    <x v="0"/>
    <x v="0"/>
  </r>
  <r>
    <x v="0"/>
    <s v="IFF"/>
    <n v="18820"/>
    <n v="76.5"/>
    <n v="2.35"/>
    <n v="54.27"/>
    <n v="0.95"/>
    <n v="32.553191489361701"/>
    <n v="1.4096185737976783"/>
    <n v="1.73"/>
    <n v="1.52"/>
    <n v="2.0699999999999998"/>
    <n v="80.526315789473685"/>
    <s v="NO"/>
    <n v="0.69379458785417414"/>
    <n v="-0.46210452738412355"/>
    <n v="-0.785173827304813"/>
    <n v="-1.0328355888899006"/>
    <n v="-0.47780573612757615"/>
    <n v="1.9329060423426503"/>
    <x v="1"/>
    <x v="0"/>
    <x v="0"/>
    <x v="0"/>
    <x v="0"/>
    <x v="0"/>
  </r>
  <r>
    <x v="0"/>
    <s v="PPG"/>
    <n v="24232"/>
    <n v="113.34"/>
    <n v="3.38"/>
    <n v="30.52"/>
    <n v="5.64"/>
    <n v="33.532544378698226"/>
    <n v="3.7136304062909571"/>
    <n v="17.649999999999999"/>
    <n v="6.3"/>
    <n v="3.05"/>
    <n v="20.095744680851066"/>
    <s v="NO"/>
    <n v="0.75643329856656771"/>
    <n v="1.0986587764931006"/>
    <n v="1.027729338858004"/>
    <n v="0.66995382760598099"/>
    <n v="1.2987510930513806"/>
    <n v="-0.86121954224512443"/>
    <x v="1"/>
    <x v="0"/>
    <x v="0"/>
    <x v="0"/>
    <x v="0"/>
    <x v="0"/>
  </r>
  <r>
    <x v="0"/>
    <s v="RPM"/>
    <n v="14047"/>
    <n v="114.42"/>
    <n v="4.43"/>
    <n v="20.82"/>
    <n v="4.99"/>
    <n v="25.828442437923254"/>
    <n v="5.4956772334293946"/>
    <n v="25.68"/>
    <n v="8.56"/>
    <n v="2.48"/>
    <n v="22.929859719438877"/>
    <s v="NO"/>
    <n v="0.26368444570524624"/>
    <n v="2.3058371661017509"/>
    <n v="1.942152229830832"/>
    <n v="1.475038363438762"/>
    <n v="0.26544763118198766"/>
    <n v="-0.73017869332199958"/>
    <x v="1"/>
    <x v="0"/>
    <x v="0"/>
    <x v="0"/>
    <x v="0"/>
    <x v="0"/>
  </r>
  <r>
    <x v="0"/>
    <s v="SHW"/>
    <n v="88106"/>
    <n v="356.04"/>
    <n v="8.69"/>
    <n v="16.559999999999999"/>
    <n v="10.59"/>
    <n v="40.971231300345231"/>
    <n v="21.500000000000004"/>
    <n v="70.22"/>
    <n v="9.89"/>
    <n v="5.96"/>
    <n v="33.620396600566572"/>
    <s v="NO"/>
    <n v="1.2322063965361625"/>
    <n v="13.147343848139629"/>
    <n v="7.0141815653139901"/>
    <n v="1.9488270504553986"/>
    <n v="6.5740371878582833"/>
    <n v="-0.23588082281460102"/>
    <x v="1"/>
    <x v="1"/>
    <x v="1"/>
    <x v="0"/>
    <x v="1"/>
    <x v="0"/>
  </r>
  <r>
    <x v="1"/>
    <s v="CRH"/>
    <n v="62025"/>
    <n v="98.16"/>
    <n v="3.42"/>
    <n v="29.52"/>
    <n v="4.74"/>
    <n v="28.701754385964911"/>
    <n v="3.3252032520325203"/>
    <n v="15.36"/>
    <n v="6.25"/>
    <n v="2.46"/>
    <n v="20.708860759493668"/>
    <s v="NO"/>
    <n v="-1.2108623122171138"/>
    <n v="-1.0076492515773214"/>
    <n v="1.4121768554779941"/>
    <n v="1.289261758805998"/>
    <n v="1.3897978667604405"/>
    <n v="-1.3103228118567811"/>
    <x v="1"/>
    <x v="0"/>
    <x v="0"/>
    <x v="0"/>
    <x v="0"/>
    <x v="0"/>
  </r>
  <r>
    <x v="1"/>
    <s v="MLM"/>
    <n v="32220"/>
    <n v="543.89"/>
    <n v="10.09"/>
    <n v="150.65"/>
    <n v="17.38"/>
    <n v="53.903865213082256"/>
    <n v="3.610288748755393"/>
    <n v="11.87"/>
    <n v="5.79"/>
    <n v="1.95"/>
    <n v="31.294016110471809"/>
    <s v="NO"/>
    <n v="1.2381707120390921"/>
    <n v="-0.35552526764631925"/>
    <n v="-0.77179532721840061"/>
    <n v="-1.1479727989368489"/>
    <n v="-0.9214964116563793"/>
    <n v="0.19441136898232353"/>
    <x v="1"/>
    <x v="0"/>
    <x v="0"/>
    <x v="0"/>
    <x v="0"/>
    <x v="0"/>
  </r>
  <r>
    <x v="1"/>
    <s v="VMC"/>
    <n v="35118"/>
    <n v="268.58999999999997"/>
    <n v="6.57"/>
    <n v="61.58"/>
    <n v="7.11"/>
    <n v="40.881278538812779"/>
    <n v="4.3616433907112695"/>
    <n v="12.08"/>
    <n v="5.98"/>
    <n v="2.0499999999999998"/>
    <n v="37.77637130801687"/>
    <s v="NO"/>
    <n v="-2.7308399821979013E-2"/>
    <n v="1.3631745192236406"/>
    <n v="-0.64038152825959127"/>
    <n v="-0.14128895986914911"/>
    <n v="-0.46830145510406229"/>
    <n v="1.1159114428744581"/>
    <x v="1"/>
    <x v="0"/>
    <x v="0"/>
    <x v="0"/>
    <x v="0"/>
    <x v="0"/>
  </r>
  <r>
    <x v="2"/>
    <s v="BALL"/>
    <n v="14305"/>
    <n v="52.79"/>
    <n v="-1.21"/>
    <n v="20.260000000000002"/>
    <n v="1.37"/>
    <n v="-43.628099173553721"/>
    <n v="2.6056268509378082"/>
    <n v="8.81"/>
    <n v="4"/>
    <n v="3.01"/>
    <n v="38.532846715328461"/>
    <s v="NO"/>
    <n v="5.7777503627001806E-2"/>
    <n v="-0.40449463161959509"/>
    <n v="-0.70478740483689251"/>
    <n v="-0.64714644116237507"/>
    <n v="-0.30234566417530057"/>
    <n v="0.84076054882441287"/>
    <x v="1"/>
    <x v="0"/>
    <x v="0"/>
    <x v="0"/>
    <x v="0"/>
    <x v="0"/>
  </r>
  <r>
    <x v="2"/>
    <s v="CCK"/>
    <n v="11302"/>
    <n v="97.43"/>
    <n v="8.15"/>
    <n v="23.41"/>
    <n v="4.63"/>
    <n v="11.954601226993866"/>
    <n v="4.1618966253737719"/>
    <n v="22.74"/>
    <n v="6.8"/>
    <n v="5.14"/>
    <n v="21.043196544276459"/>
    <s v="NO"/>
    <n v="0.46241702357943248"/>
    <n v="0.49897310140629797"/>
    <n v="0.69659554470726259"/>
    <n v="0.5771846637394159"/>
    <n v="1.5759767745137536"/>
    <n v="-0.7116557181383687"/>
    <x v="1"/>
    <x v="0"/>
    <x v="0"/>
    <x v="0"/>
    <x v="0"/>
    <x v="0"/>
  </r>
  <r>
    <x v="2"/>
    <s v="AMCR"/>
    <n v="20874"/>
    <n v="9.17"/>
    <n v="0.5"/>
    <n v="2.67"/>
    <n v="0.56000000000000005"/>
    <n v="18.34"/>
    <n v="3.4344569288389515"/>
    <n v="20.8"/>
    <n v="4.92"/>
    <n v="4.68"/>
    <n v="16.375"/>
    <s v="NO"/>
    <n v="0.50890243496812759"/>
    <n v="7.6669523750841434E-2"/>
    <n v="0.50142807003995049"/>
    <n v="-0.24486622098035804"/>
    <n v="1.1703296750785588"/>
    <n v="-1.1260141633809766"/>
    <x v="1"/>
    <x v="0"/>
    <x v="0"/>
    <x v="0"/>
    <x v="0"/>
    <x v="0"/>
  </r>
  <r>
    <x v="2"/>
    <s v="AVY"/>
    <n v="13420"/>
    <n v="182.13"/>
    <n v="7.18"/>
    <n v="27.63"/>
    <n v="8.69"/>
    <n v="25.366295264623957"/>
    <n v="6.5917480998914222"/>
    <n v="31.95"/>
    <n v="8.65"/>
    <n v="3.85"/>
    <n v="20.958573072497124"/>
    <s v="NO"/>
    <n v="0.56005354354027359"/>
    <n v="1.909584834238879"/>
    <n v="1.6231380404216682"/>
    <n v="1.3861177151923851"/>
    <n v="0.43840121305418583"/>
    <n v="-0.7191670664427815"/>
    <x v="1"/>
    <x v="0"/>
    <x v="0"/>
    <x v="0"/>
    <x v="0"/>
    <x v="0"/>
  </r>
  <r>
    <x v="2"/>
    <s v="IP"/>
    <n v="23237"/>
    <n v="48"/>
    <n v="-0.01"/>
    <n v="41.35"/>
    <n v="1.05"/>
    <n v="-4800"/>
    <n v="1.1608222490931075"/>
    <n v="3.01"/>
    <n v="2.19"/>
    <n v="2.2799999999999998"/>
    <n v="45.714285714285715"/>
    <s v="NO"/>
    <n v="-34.568392667959024"/>
    <n v="-1.243253026684551"/>
    <n v="-1.2882777930175173"/>
    <n v="-1.4385890482596042"/>
    <n v="-0.94608997414854445"/>
    <n v="1.4781994119890252"/>
    <x v="0"/>
    <x v="0"/>
    <x v="0"/>
    <x v="0"/>
    <x v="0"/>
    <x v="0"/>
  </r>
  <r>
    <x v="2"/>
    <s v="PKG"/>
    <n v="16187"/>
    <n v="188.79"/>
    <n v="5.85"/>
    <n v="49.39"/>
    <n v="9.56"/>
    <n v="32.271794871794874"/>
    <n v="3.822433691030573"/>
    <n v="19.170000000000002"/>
    <n v="8.26"/>
    <n v="2.0099999999999998"/>
    <n v="19.747907949790793"/>
    <s v="NO"/>
    <n v="0.61032526524398945"/>
    <n v="0.30190327921012888"/>
    <n v="0.33744715060298192"/>
    <n v="1.2155858827239212"/>
    <n v="-1.1841871846865937"/>
    <n v="-0.82662811980590611"/>
    <x v="1"/>
    <x v="0"/>
    <x v="0"/>
    <x v="0"/>
    <x v="0"/>
    <x v="0"/>
  </r>
  <r>
    <x v="2"/>
    <s v="SW"/>
    <n v="20879"/>
    <n v="45.98"/>
    <n v="-0.13"/>
    <n v="34.32"/>
    <n v="1.1200000000000001"/>
    <n v="-353.69230769230768"/>
    <n v="1.3397435897435896"/>
    <n v="4.2300000000000004"/>
    <n v="3.54"/>
    <n v="2.5"/>
    <n v="41.053571428571423"/>
    <s v="NO"/>
    <n v="-2.1994757709588248"/>
    <n v="-1.1393830803020022"/>
    <n v="-1.1655436079174548"/>
    <n v="-0.84828655125338359"/>
    <n v="-0.75208483963605988"/>
    <n v="1.0645051069545934"/>
    <x v="1"/>
    <x v="0"/>
    <x v="0"/>
    <x v="0"/>
    <x v="0"/>
    <x v="0"/>
  </r>
  <r>
    <x v="3"/>
    <s v="BHP"/>
    <n v="122732"/>
    <n v="50.81"/>
    <n v="2.04"/>
    <n v="8.9700000000000006"/>
    <n v="4.4800000000000004"/>
    <n v="24.906862745098039"/>
    <n v="5.6644370122630994"/>
    <n v="27.69"/>
    <n v="13.22"/>
    <n v="2.21"/>
    <n v="11.341517857142856"/>
    <s v="NO"/>
    <n v="-0.26630378715030989"/>
    <n v="1.8120487731544821"/>
    <n v="1.9159088579058716"/>
    <n v="3.4975718634155366"/>
    <n v="1.4389341128384823"/>
    <n v="-0.91831746362883426"/>
    <x v="1"/>
    <x v="0"/>
    <x v="0"/>
    <x v="1"/>
    <x v="0"/>
    <x v="0"/>
  </r>
  <r>
    <x v="3"/>
    <s v="RIO"/>
    <n v="97512"/>
    <n v="62.27"/>
    <n v="3.68"/>
    <n v="34.03"/>
    <n v="7.07"/>
    <n v="16.921195652173914"/>
    <n v="1.8298560094034675"/>
    <n v="20.25"/>
    <n v="8.48"/>
    <n v="1.86"/>
    <n v="8.8076379066478072"/>
    <s v="NO"/>
    <n v="-0.7186466162628955"/>
    <n v="-0.56942191625683003"/>
    <n v="0.94006879734440418"/>
    <n v="0.85595277302258532"/>
    <n v="0.43076371530833529"/>
    <n v="-1.2043188342317845"/>
    <x v="1"/>
    <x v="0"/>
    <x v="0"/>
    <x v="0"/>
    <x v="0"/>
    <x v="0"/>
  </r>
  <r>
    <x v="3"/>
    <s v="TECK"/>
    <n v="16927"/>
    <n v="37.97"/>
    <n v="-0.09"/>
    <n v="35.869999999999997"/>
    <n v="-0.15"/>
    <n v="-421.88888888888891"/>
    <n v="1.058544744912183"/>
    <n v="-1.31"/>
    <n v="1.69"/>
    <n v="1.78"/>
    <n v="-253.13333333333333"/>
    <s v="NO"/>
    <n v="-25.574753535660516"/>
    <n v="-1.0484456133514901"/>
    <n v="-1.8877687975084496"/>
    <n v="-2.9281387087850392"/>
    <n v="0.2003247673014443"/>
    <n v="-30.769838217684121"/>
    <x v="0"/>
    <x v="0"/>
    <x v="0"/>
    <x v="1"/>
    <x v="0"/>
    <x v="1"/>
  </r>
  <r>
    <x v="3"/>
    <s v="FCX"/>
    <n v="51828"/>
    <n v="39.47"/>
    <n v="1.1100000000000001"/>
    <n v="12.63"/>
    <n v="1.22"/>
    <n v="35.558558558558552"/>
    <n v="3.1250989707046712"/>
    <n v="14.06"/>
    <n v="7.5"/>
    <n v="3.17"/>
    <n v="32.352459016393439"/>
    <s v="NO"/>
    <n v="0.33705447497618174"/>
    <n v="0.23499012920649567"/>
    <n v="0.1281803598611406"/>
    <n v="0.30979523956581456"/>
    <n v="4.2042014889211714"/>
    <n v="1.4532068732007735"/>
    <x v="1"/>
    <x v="0"/>
    <x v="0"/>
    <x v="0"/>
    <x v="1"/>
    <x v="0"/>
  </r>
  <r>
    <x v="3"/>
    <s v="SCCO"/>
    <n v="70324"/>
    <n v="93.29"/>
    <n v="4.2300000000000004"/>
    <n v="11.56"/>
    <n v="4.5199999999999996"/>
    <n v="22.054373522458629"/>
    <n v="8.070069204152249"/>
    <n v="41.74"/>
    <n v="20.16"/>
    <n v="2.0699999999999998"/>
    <n v="20.639380530973455"/>
    <s v="NO"/>
    <n v="-0.42788115194243498"/>
    <n v="3.3060692541968568"/>
    <n v="3.7587251013048788"/>
    <n v="7.3652588860583803"/>
    <n v="1.035665953826423"/>
    <n v="0.13114088496973736"/>
    <x v="1"/>
    <x v="1"/>
    <x v="1"/>
    <x v="1"/>
    <x v="0"/>
    <x v="0"/>
  </r>
  <r>
    <x v="3"/>
    <s v="AEM"/>
    <n v="59059"/>
    <n v="107"/>
    <n v="4.67"/>
    <n v="43.05"/>
    <n v="4.7"/>
    <n v="22.912205567451821"/>
    <n v="2.4854819976771196"/>
    <n v="11.45"/>
    <n v="7.81"/>
    <n v="1.41"/>
    <n v="22.76595744680851"/>
    <s v="YES"/>
    <n v="-0.3792898233007137"/>
    <n v="-0.16224468538710782"/>
    <n v="-0.21415062912614846"/>
    <n v="0.48255935729193561"/>
    <n v="-0.86545536723042593"/>
    <n v="0.37116958581746107"/>
    <x v="1"/>
    <x v="0"/>
    <x v="0"/>
    <x v="0"/>
    <x v="0"/>
    <x v="0"/>
  </r>
  <r>
    <x v="3"/>
    <s v="AGI"/>
    <n v="11414"/>
    <n v="24.77"/>
    <n v="0.46"/>
    <n v="8.56"/>
    <n v="0.62"/>
    <n v="53.847826086956516"/>
    <n v="2.8936915887850465"/>
    <n v="7.85"/>
    <n v="6.46"/>
    <n v="1.49"/>
    <n v="39.951612903225808"/>
    <s v="NO"/>
    <n v="1.3730379338312311"/>
    <n v="9.1274323765426296E-2"/>
    <n v="-0.6863313035913744"/>
    <n v="-0.26980051022504392"/>
    <n v="-0.63501641922353502"/>
    <n v="2.3109303918829354"/>
    <x v="1"/>
    <x v="0"/>
    <x v="0"/>
    <x v="0"/>
    <x v="0"/>
    <x v="0"/>
  </r>
  <r>
    <x v="3"/>
    <s v="AU"/>
    <n v="21995"/>
    <n v="41.21"/>
    <n v="2.04"/>
    <n v="13.17"/>
    <n v="2.33"/>
    <n v="20.200980392156861"/>
    <n v="3.1290812452543659"/>
    <n v="17.12"/>
    <n v="9.1999999999999993"/>
    <n v="1.98"/>
    <n v="17.686695278969957"/>
    <s v="NO"/>
    <n v="-0.53286537959216862"/>
    <n v="0.23746332513330334"/>
    <n v="0.52953393315658281"/>
    <n v="1.2572113690316404"/>
    <n v="0.77642213731867116"/>
    <n v="-0.20213142687247609"/>
    <x v="1"/>
    <x v="0"/>
    <x v="0"/>
    <x v="0"/>
    <x v="0"/>
    <x v="0"/>
  </r>
  <r>
    <x v="3"/>
    <s v="FNV"/>
    <n v="32782"/>
    <n v="158.02000000000001"/>
    <n v="2.25"/>
    <n v="31.14"/>
    <n v="2.87"/>
    <n v="70.231111111111119"/>
    <n v="5.0745022479126529"/>
    <n v="9.3800000000000008"/>
    <n v="7.34"/>
    <n v="1.06"/>
    <n v="55.059233449477354"/>
    <s v="NO"/>
    <n v="2.3010582747430761"/>
    <n v="1.4456691481269637"/>
    <n v="-0.48565451694365325"/>
    <n v="0.22062666267491321"/>
    <n v="-1.873625764760573"/>
    <n v="4.0161414781197058"/>
    <x v="1"/>
    <x v="0"/>
    <x v="0"/>
    <x v="0"/>
    <x v="0"/>
    <x v="1"/>
  </r>
  <r>
    <x v="3"/>
    <s v="GFI"/>
    <n v="20559"/>
    <n v="20.18"/>
    <n v="0.87"/>
    <n v="5.81"/>
    <n v="1.38"/>
    <n v="23.195402298850574"/>
    <n v="3.4733218588640278"/>
    <n v="25.84"/>
    <n v="13.51"/>
    <n v="1.95"/>
    <n v="14.623188405797102"/>
    <s v="NO"/>
    <n v="-0.36324833181531774"/>
    <n v="0.45125433145316224"/>
    <n v="1.6732604557501303"/>
    <n v="3.6591899090302946"/>
    <n v="0.69000753181608709"/>
    <n v="-0.54791227746400362"/>
    <x v="1"/>
    <x v="0"/>
    <x v="0"/>
    <x v="1"/>
    <x v="0"/>
    <x v="0"/>
  </r>
  <r>
    <x v="3"/>
    <s v="GOLD"/>
    <n v="33365"/>
    <n v="18.86"/>
    <n v="0.75"/>
    <n v="14.06"/>
    <n v="1.22"/>
    <n v="25.146666666666665"/>
    <n v="1.3413940256045518"/>
    <n v="9.4600000000000009"/>
    <n v="6.37"/>
    <n v="1.96"/>
    <n v="15.459016393442623"/>
    <s v="NO"/>
    <n v="-0.25272025266879361"/>
    <n v="-0.87278176090252235"/>
    <n v="-0.47516161306664823"/>
    <n v="-0.31995783472617578"/>
    <n v="0.71881240031694849"/>
    <n v="-0.45357160042907868"/>
    <x v="1"/>
    <x v="0"/>
    <x v="0"/>
    <x v="0"/>
    <x v="0"/>
    <x v="0"/>
  </r>
  <r>
    <x v="3"/>
    <s v="HMY"/>
    <n v="10011"/>
    <n v="14.32"/>
    <n v="0.81"/>
    <n v="3.9"/>
    <n v="0.88"/>
    <n v="17.679012345679013"/>
    <n v="3.6717948717948721"/>
    <n v="24.78"/>
    <n v="16.66"/>
    <n v="1.5"/>
    <n v="16.272727272727273"/>
    <s v="NO"/>
    <n v="-0.67572059103545012"/>
    <n v="0.57451621132516772"/>
    <n v="1.5342294793798137"/>
    <n v="5.4146962665699139"/>
    <n v="-0.60621155072267363"/>
    <n v="-0.36172730184481677"/>
    <x v="1"/>
    <x v="0"/>
    <x v="0"/>
    <x v="1"/>
    <x v="0"/>
    <x v="0"/>
  </r>
  <r>
    <x v="3"/>
    <s v="KGC"/>
    <n v="19207"/>
    <n v="13.76"/>
    <n v="1.04"/>
    <n v="5.58"/>
    <n v="0.77"/>
    <n v="13.23076923076923"/>
    <n v="2.4659498207885302"/>
    <n v="15.08"/>
    <n v="8.32"/>
    <n v="1.58"/>
    <n v="17.870129870129869"/>
    <s v="YES"/>
    <n v="-0.92768837929471326"/>
    <n v="-0.17437516502122796"/>
    <n v="0.26196488429295456"/>
    <n v="0.76678419613168391"/>
    <n v="-0.37577260271578261"/>
    <n v="-0.18142699512641922"/>
    <x v="1"/>
    <x v="0"/>
    <x v="0"/>
    <x v="0"/>
    <x v="0"/>
    <x v="0"/>
  </r>
  <r>
    <x v="3"/>
    <s v="NEM"/>
    <n v="60091"/>
    <n v="50.07"/>
    <n v="3.72"/>
    <n v="27.9"/>
    <n v="4.38"/>
    <n v="13.459677419354838"/>
    <n v="1.7946236559139785"/>
    <n v="16.66"/>
    <n v="7.86"/>
    <n v="1.78"/>
    <n v="11.431506849315069"/>
    <s v="NO"/>
    <n v="-0.91472202639933664"/>
    <n v="-0.59130300759161325"/>
    <n v="0.46919973586380381"/>
    <n v="0.51042453757034267"/>
    <n v="0.2003247673014443"/>
    <n v="-0.90816032295790283"/>
    <x v="1"/>
    <x v="0"/>
    <x v="0"/>
    <x v="0"/>
    <x v="0"/>
    <x v="0"/>
  </r>
  <r>
    <x v="3"/>
    <s v="RGLD"/>
    <n v="12019"/>
    <n v="169.26"/>
    <n v="6.5"/>
    <n v="47.48"/>
    <n v="5.04"/>
    <n v="26.04"/>
    <n v="3.5648694187026115"/>
    <n v="11.02"/>
    <n v="7.96"/>
    <n v="1.0900000000000001"/>
    <n v="33.583333333333329"/>
    <s v="NO"/>
    <n v="-0.20211797703691403"/>
    <n v="0.5081100427499452"/>
    <n v="-0.27054998746505043"/>
    <n v="0.5661548981271558"/>
    <n v="-1.7872111592579887"/>
    <n v="1.5921367943345675"/>
    <x v="1"/>
    <x v="0"/>
    <x v="0"/>
    <x v="0"/>
    <x v="0"/>
    <x v="0"/>
  </r>
  <r>
    <x v="3"/>
    <s v="WPM"/>
    <n v="38535"/>
    <n v="78.510000000000005"/>
    <n v="0.81"/>
    <n v="16"/>
    <n v="1.17"/>
    <n v="96.925925925925924"/>
    <n v="4.9068750000000003"/>
    <n v="7.43"/>
    <n v="5.45"/>
    <n v="1.02"/>
    <n v="67.102564102564116"/>
    <s v="NO"/>
    <n v="3.8131683984758067"/>
    <n v="1.3415640640635513"/>
    <n v="-0.7414190489456508"/>
    <n v="-0.83267715184885827"/>
    <n v="-1.9888452387640183"/>
    <n v="5.3754833335751693"/>
    <x v="0"/>
    <x v="0"/>
    <x v="0"/>
    <x v="0"/>
    <x v="0"/>
    <x v="1"/>
  </r>
  <r>
    <x v="3"/>
    <s v="CRS"/>
    <n v="10407"/>
    <n v="224.52"/>
    <n v="4.54"/>
    <n v="35.799999999999997"/>
    <n v="7.05"/>
    <n v="49.453744493392072"/>
    <n v="6.2715083798882691"/>
    <n v="21.8"/>
    <n v="9.25"/>
    <n v="1.89"/>
    <n v="31.846808510638301"/>
    <s v="NO"/>
    <n v="1.1241380891149815"/>
    <n v="2.1890711042258655"/>
    <n v="1.1433688099613766"/>
    <n v="1.2850765493100476"/>
    <n v="0.51717832081091875"/>
    <n v="1.3961336335377064"/>
    <x v="1"/>
    <x v="0"/>
    <x v="0"/>
    <x v="0"/>
    <x v="0"/>
    <x v="0"/>
  </r>
  <r>
    <x v="3"/>
    <s v="MT"/>
    <n v="22769"/>
    <n v="31.45"/>
    <n v="0.59"/>
    <n v="66.67"/>
    <n v="1.53"/>
    <n v="53.305084745762713"/>
    <n v="0.471726413679316"/>
    <n v="2.25"/>
    <n v="2.1800000000000002"/>
    <n v="1.79"/>
    <n v="20.555555555555554"/>
    <s v="NO"/>
    <n v="1.3422947096402928"/>
    <n v="-1.4128897742123914"/>
    <n v="-1.4208345749817259"/>
    <n v="-2.6550599420566536"/>
    <n v="0.22912963580230566"/>
    <n v="0.12167948256367844"/>
    <x v="1"/>
    <x v="0"/>
    <x v="0"/>
    <x v="0"/>
    <x v="0"/>
    <x v="0"/>
  </r>
  <r>
    <x v="3"/>
    <s v="NUE"/>
    <n v="26547"/>
    <n v="118.96"/>
    <n v="2.21"/>
    <n v="86.24"/>
    <n v="5.64"/>
    <n v="53.828054298642535"/>
    <n v="1.3794063079777366"/>
    <n v="7.4"/>
    <n v="3.87"/>
    <n v="1.73"/>
    <n v="21.092198581560282"/>
    <s v="NO"/>
    <n v="1.3719179739633214"/>
    <n v="-0.84917419172042474"/>
    <n v="-0.74535388789952761"/>
    <n v="-1.7132168486465087"/>
    <n v="5.630042479713742E-2"/>
    <n v="0.18225087661566633"/>
    <x v="1"/>
    <x v="0"/>
    <x v="0"/>
    <x v="0"/>
    <x v="0"/>
    <x v="0"/>
  </r>
  <r>
    <x v="3"/>
    <s v="PKX"/>
    <n v="13757"/>
    <n v="46.07"/>
    <n v="-13.33"/>
    <n v="466.1"/>
    <n v="7.18"/>
    <n v="-3.4561140285071268"/>
    <n v="9.8841450332546654E-2"/>
    <n v="1.1200000000000001"/>
    <n v="1.31"/>
    <n v="1.84"/>
    <n v="6.4164345403899725"/>
    <s v="NO"/>
    <n v="-1.8729058413725841"/>
    <n v="-1.6444703849936755"/>
    <n v="-1.5690468422444219"/>
    <n v="-3.1399140789009294"/>
    <n v="0.37315397830661257"/>
    <n v="-1.4742161669789486"/>
    <x v="1"/>
    <x v="0"/>
    <x v="0"/>
    <x v="1"/>
    <x v="0"/>
    <x v="0"/>
  </r>
  <r>
    <x v="3"/>
    <s v="RS"/>
    <n v="15634"/>
    <n v="299.16000000000003"/>
    <n v="17.54"/>
    <n v="134.28"/>
    <n v="14.01"/>
    <n v="17.055872291904222"/>
    <n v="2.2278820375335124"/>
    <n v="10.29"/>
    <n v="6.34"/>
    <n v="1.46"/>
    <n v="21.353319057815849"/>
    <s v="YES"/>
    <n v="-0.71101794710825927"/>
    <n v="-0.32222741993308063"/>
    <n v="-0.36629773534272131"/>
    <n v="-0.33667694289321992"/>
    <n v="-0.72143102472611909"/>
    <n v="0.2117237859723218"/>
    <x v="1"/>
    <x v="0"/>
    <x v="0"/>
    <x v="0"/>
    <x v="0"/>
    <x v="0"/>
  </r>
  <r>
    <x v="3"/>
    <s v="STLD"/>
    <n v="19592"/>
    <n v="135.41999999999999"/>
    <n v="-1.03"/>
    <n v="58.73"/>
    <n v="7.59"/>
    <n v="-131.47572815533979"/>
    <n v="2.3058062319087349"/>
    <n v="13.2"/>
    <n v="5.92"/>
    <n v="1.81"/>
    <n v="17.841897233201578"/>
    <s v="NO"/>
    <n v="-9.1244921850287515"/>
    <n v="-0.27383251452824225"/>
    <n v="1.5381643183336433E-2"/>
    <n v="-0.57074445723183587"/>
    <n v="0.28673937280402845"/>
    <n v="-0.18461363893551089"/>
    <x v="0"/>
    <x v="0"/>
    <x v="0"/>
    <x v="0"/>
    <x v="0"/>
    <x v="0"/>
  </r>
  <r>
    <x v="3"/>
    <s v="VALE"/>
    <n v="39358"/>
    <n v="9.8800000000000008"/>
    <n v="0.27"/>
    <n v="8.2799999999999994"/>
    <n v="1.29"/>
    <n v="36.592592592592595"/>
    <n v="1.1932367149758456"/>
    <n v="15"/>
    <n v="7.74"/>
    <n v="2.37"/>
    <n v="7.6589147286821708"/>
    <s v="NO"/>
    <n v="0.39562664871081038"/>
    <n v="-0.96479501930576028"/>
    <n v="0.25147198041594954"/>
    <n v="0.44354810490216667"/>
    <n v="1.8998120088522643"/>
    <n v="-1.3339762804250672"/>
    <x v="1"/>
    <x v="0"/>
    <x v="0"/>
    <x v="0"/>
    <x v="0"/>
    <x v="0"/>
  </r>
  <r>
    <x v="4"/>
    <s v="SUZ"/>
    <n v="10997"/>
    <n v="9.49"/>
    <n v="0.52"/>
    <n v="4.21"/>
    <n v="-0.9"/>
    <n v="18.25"/>
    <n v="2.2541567695961997"/>
    <n v="-18.239999999999998"/>
    <n v="5.89"/>
    <n v="5.14"/>
    <n v="-10.544444444444444"/>
    <s v="NO"/>
    <e v="#DIV/0!"/>
    <e v="#DIV/0!"/>
    <e v="#DIV/0!"/>
    <e v="#DIV/0!"/>
    <e v="#DIV/0!"/>
    <e v="#DIV/0!"/>
    <x v="1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">
  <r>
    <x v="0"/>
    <s v="CBT"/>
    <n v="3958"/>
    <n v="76.38"/>
    <n v="5.28"/>
    <n v="26.22"/>
    <n v="7.72"/>
    <n v="14.46590909090909"/>
    <n v="2.9130434782608696"/>
    <n v="30.68"/>
    <n v="11.06"/>
    <n v="2.65"/>
    <n v="9.8937823834196887"/>
    <s v="NO"/>
    <n v="-0.53237257258631854"/>
    <n v="0.55460471488052332"/>
    <n v="1.8209249599237951"/>
    <n v="1.7123738143955634"/>
    <n v="0.43130398320223462"/>
    <n v="-0.56874308003780405"/>
    <x v="0"/>
    <x v="0"/>
    <x v="0"/>
    <x v="0"/>
    <x v="0"/>
    <x v="0"/>
  </r>
  <r>
    <x v="0"/>
    <s v="HWKN"/>
    <n v="2498"/>
    <n v="120.29"/>
    <n v="3.86"/>
    <n v="22.01"/>
    <n v="3.91"/>
    <n v="31.163212435233163"/>
    <n v="5.465243071331213"/>
    <n v="19.239999999999998"/>
    <n v="10.61"/>
    <n v="1.55"/>
    <n v="30.764705882352942"/>
    <s v="NO"/>
    <n v="0.69702649500513758"/>
    <n v="2.4454925157492116"/>
    <n v="1.0320965162124873"/>
    <n v="1.5785248971681871"/>
    <n v="-1.2318423726882981"/>
    <n v="0.96087348768511527"/>
    <x v="0"/>
    <x v="0"/>
    <x v="0"/>
    <x v="0"/>
    <x v="0"/>
    <x v="0"/>
  </r>
  <r>
    <x v="0"/>
    <s v="MEOH"/>
    <n v="2182"/>
    <n v="34.96"/>
    <n v="11.69"/>
    <n v="33.32"/>
    <n v="3.06"/>
    <n v="2.9905902480752782"/>
    <n v="1.0492196878751501"/>
    <n v="13.25"/>
    <n v="5.38"/>
    <n v="2.96"/>
    <n v="11.42483660130719"/>
    <s v="NO"/>
    <n v="-1.3772842325574606"/>
    <n v="-0.82627540036525193"/>
    <n v="0.6190648398286821"/>
    <n v="2.2903036947795691E-2"/>
    <n v="0.90000886531683943"/>
    <n v="-0.45653310054731916"/>
    <x v="0"/>
    <x v="0"/>
    <x v="0"/>
    <x v="0"/>
    <x v="0"/>
    <x v="0"/>
  </r>
  <r>
    <x v="0"/>
    <s v="OLN"/>
    <n v="2348"/>
    <n v="22.51"/>
    <n v="0.8"/>
    <n v="17.420000000000002"/>
    <n v="0.52"/>
    <n v="28.137499999999999"/>
    <n v="1.2921928817451205"/>
    <n v="2.75"/>
    <n v="2.4300000000000002"/>
    <n v="3.82"/>
    <n v="43.28846153846154"/>
    <s v="NO"/>
    <n v="0.4742475246548144"/>
    <n v="-0.64626007183284628"/>
    <n v="-0.10494728071054282"/>
    <n v="-0.85455097598722429"/>
    <n v="2.2002869253767106"/>
    <n v="1.8787314896406326"/>
    <x v="0"/>
    <x v="0"/>
    <x v="0"/>
    <x v="0"/>
    <x v="0"/>
    <x v="0"/>
  </r>
  <r>
    <x v="0"/>
    <s v="SSL"/>
    <n v="2183"/>
    <n v="3.81"/>
    <n v="1.0900000000000001"/>
    <n v="12.32"/>
    <n v="-4.0999999999999996"/>
    <n v="3.4954128440366969"/>
    <n v="0.30925324675324672"/>
    <n v="-27.46"/>
    <n v="6.24"/>
    <n v="2.48"/>
    <n v="-0.92926829268292688"/>
    <s v="NO"/>
    <n v="-1.3401148516115826"/>
    <n v="-1.3745058445549125"/>
    <n v="-2.1880335818048269"/>
    <n v="0.27870318987122539"/>
    <n v="0.17427227365551601"/>
    <n v="-1.3619575071961165"/>
    <x v="0"/>
    <x v="0"/>
    <x v="0"/>
    <x v="1"/>
    <x v="0"/>
    <x v="0"/>
  </r>
  <r>
    <x v="0"/>
    <s v="FMC"/>
    <n v="4369"/>
    <n v="38.11"/>
    <n v="1.61"/>
    <n v="35.08"/>
    <n v="3.07"/>
    <n v="23.670807453416149"/>
    <n v="1.0863740022805017"/>
    <n v="8.81"/>
    <n v="3.13"/>
    <n v="2.69"/>
    <n v="12.413680781758957"/>
    <s v="NO"/>
    <n v="0.1453712062009983"/>
    <n v="-0.79874830567819355"/>
    <n v="0.31291114314352408"/>
    <n v="-0.64634154918908404"/>
    <n v="0.49178203250734498"/>
    <n v="-0.38406134617608956"/>
    <x v="0"/>
    <x v="0"/>
    <x v="0"/>
    <x v="0"/>
    <x v="0"/>
    <x v="0"/>
  </r>
  <r>
    <x v="0"/>
    <s v="ICL"/>
    <n v="8840"/>
    <n v="6.83"/>
    <n v="0.59"/>
    <n v="4.4400000000000004"/>
    <n v="0.32"/>
    <n v="11.576271186440678"/>
    <n v="1.5382882882882882"/>
    <n v="7.72"/>
    <n v="4.29"/>
    <n v="1.98"/>
    <n v="21.34375"/>
    <s v="NO"/>
    <n v="-0.74513256575240094"/>
    <n v="-0.46393154104482703"/>
    <n v="0.23775178967802357"/>
    <n v="-0.30130878478073714"/>
    <n v="-0.58170334265836254"/>
    <n v="0.27041768671539318"/>
    <x v="0"/>
    <x v="0"/>
    <x v="0"/>
    <x v="0"/>
    <x v="0"/>
    <x v="0"/>
  </r>
  <r>
    <x v="0"/>
    <s v="SMG"/>
    <n v="3102"/>
    <n v="59"/>
    <n v="8.6"/>
    <n v="-5.04"/>
    <n v="0.63"/>
    <n v="6.8604651162790704"/>
    <n v="-11.706349206349206"/>
    <n v="-13.35"/>
    <n v="6.85"/>
    <n v="-12.19"/>
    <n v="93.650793650793645"/>
    <s v="NO"/>
    <n v="-1.0923507641670327"/>
    <n v="-10.276692084357006"/>
    <n v="-1.2150991988706876"/>
    <n v="0.46014283322389038"/>
    <n v="-22.006052308993681"/>
    <n v="5.5697544380082302"/>
    <x v="0"/>
    <x v="1"/>
    <x v="0"/>
    <x v="0"/>
    <x v="1"/>
    <x v="1"/>
  </r>
  <r>
    <x v="0"/>
    <s v="ALB"/>
    <n v="6596"/>
    <n v="61.86"/>
    <n v="-2.59"/>
    <n v="66.239999999999995"/>
    <n v="-11.12"/>
    <n v="-23.884169884169886"/>
    <n v="0.93387681159420299"/>
    <n v="-9.99"/>
    <n v="-1.51"/>
    <n v="2.1800000000000002"/>
    <n v="-5.5629496402877701"/>
    <s v="NO"/>
    <n v="-3.3560351941345878"/>
    <n v="-0.91173127077167659"/>
    <n v="-0.98341532029813572"/>
    <n v="-2.0264726068224714"/>
    <n v="-0.27931309613281086"/>
    <n v="-1.7015570347018014"/>
    <x v="1"/>
    <x v="0"/>
    <x v="0"/>
    <x v="0"/>
    <x v="0"/>
    <x v="0"/>
  </r>
  <r>
    <x v="0"/>
    <s v="ASH"/>
    <n v="2210"/>
    <n v="52.18"/>
    <n v="0.69"/>
    <n v="56"/>
    <n v="-1.86"/>
    <n v="75.623188405797109"/>
    <n v="0.93178571428571433"/>
    <n v="-3.02"/>
    <n v="2.2799999999999998"/>
    <n v="2.04"/>
    <n v="-28.053763440860212"/>
    <s v="NO"/>
    <n v="3.9705522779532059"/>
    <n v="-0.91328053455252933"/>
    <n v="-0.50280917933066926"/>
    <n v="-0.89916728172968308"/>
    <n v="-0.49098626870069706"/>
    <n v="-3.3498943213908761"/>
    <x v="1"/>
    <x v="0"/>
    <x v="0"/>
    <x v="0"/>
    <x v="0"/>
    <x v="1"/>
  </r>
  <r>
    <x v="0"/>
    <s v="AVNT"/>
    <n v="3306"/>
    <n v="38.79"/>
    <n v="1.48"/>
    <n v="25.32"/>
    <n v="1.84"/>
    <n v="26.20945945945946"/>
    <n v="1.5319905213270142"/>
    <n v="7.31"/>
    <n v="3.55"/>
    <n v="2.5099999999999998"/>
    <n v="21.081521739130434"/>
    <s v="NO"/>
    <n v="0.33228859907628289"/>
    <n v="-0.46859746558776644"/>
    <n v="0.20948084020934907"/>
    <n v="-0.52141589311019987"/>
    <n v="0.21963081063434844"/>
    <n v="0.25119914603262189"/>
    <x v="0"/>
    <x v="0"/>
    <x v="0"/>
    <x v="0"/>
    <x v="0"/>
    <x v="0"/>
  </r>
  <r>
    <x v="0"/>
    <s v="AXTA"/>
    <n v="6926"/>
    <n v="33.03"/>
    <n v="1.99"/>
    <n v="8.77"/>
    <n v="1.78"/>
    <n v="16.597989949748744"/>
    <n v="3.7662485746864314"/>
    <n v="20.97"/>
    <n v="6.68"/>
    <n v="3.79"/>
    <n v="18.556179775280899"/>
    <s v="NO"/>
    <n v="-0.37539044404529992"/>
    <n v="1.1867320425591708"/>
    <n v="1.1513861322632359"/>
    <n v="0.40957768671577061"/>
    <n v="2.1549283883978778"/>
    <n v="6.6118456753701593E-2"/>
    <x v="0"/>
    <x v="0"/>
    <x v="0"/>
    <x v="0"/>
    <x v="0"/>
    <x v="0"/>
  </r>
  <r>
    <x v="0"/>
    <s v="BCPC"/>
    <n v="5349"/>
    <n v="164.94"/>
    <n v="4.66"/>
    <n v="37.06"/>
    <n v="4.17"/>
    <n v="35.394849785407722"/>
    <n v="4.4506206152185639"/>
    <n v="11.94"/>
    <n v="7.54"/>
    <n v="1.34"/>
    <n v="39.553956834532372"/>
    <s v="NO"/>
    <n v="1.0085960284446933"/>
    <n v="1.6937733986550825"/>
    <n v="0.52873570859950247"/>
    <n v="0.66537783963920027"/>
    <n v="-1.5493521315401271"/>
    <n v="1.6050320403727936"/>
    <x v="0"/>
    <x v="0"/>
    <x v="0"/>
    <x v="0"/>
    <x v="0"/>
    <x v="0"/>
  </r>
  <r>
    <x v="0"/>
    <s v="CE"/>
    <n v="5414"/>
    <n v="53.45"/>
    <n v="4.8600000000000003"/>
    <n v="47.4"/>
    <n v="-15.1"/>
    <n v="10.997942386831276"/>
    <n v="1.1276371308016879"/>
    <n v="-24.98"/>
    <n v="2.62"/>
    <n v="4.47"/>
    <n v="-3.5397350993377485"/>
    <s v="NO"/>
    <n v="-0.78771410555791532"/>
    <n v="-0.76817704998242575"/>
    <n v="-2.017028814286991"/>
    <n v="-0.79803698871344342"/>
    <n v="3.1830552265847523"/>
    <n v="-1.5532769414872749"/>
    <x v="0"/>
    <x v="0"/>
    <x v="0"/>
    <x v="0"/>
    <x v="1"/>
    <x v="0"/>
  </r>
  <r>
    <x v="0"/>
    <s v="EMN"/>
    <n v="8691"/>
    <n v="82.39"/>
    <n v="4.95"/>
    <n v="50.87"/>
    <n v="7.86"/>
    <n v="16.644444444444446"/>
    <n v="1.6196186357381561"/>
    <n v="16.03"/>
    <n v="5.95"/>
    <n v="2.5499999999999998"/>
    <n v="10.482188295165393"/>
    <s v="NO"/>
    <n v="-0.37197006464111654"/>
    <n v="-0.40367506179025625"/>
    <n v="0.81075566793335307"/>
    <n v="0.19244499876913865"/>
    <n v="0.28010885993945878"/>
    <n v="-0.5256191889843802"/>
    <x v="0"/>
    <x v="0"/>
    <x v="0"/>
    <x v="0"/>
    <x v="0"/>
    <x v="0"/>
  </r>
  <r>
    <x v="0"/>
    <s v="ESI"/>
    <n v="5076"/>
    <n v="22.79"/>
    <n v="1.1200000000000001"/>
    <n v="10.39"/>
    <n v="1.17"/>
    <n v="20.348214285714285"/>
    <n v="2.1934552454282961"/>
    <n v="11.69"/>
    <n v="4.5199999999999996"/>
    <n v="1.9"/>
    <n v="19.47863247863248"/>
    <s v="NO"/>
    <n v="-9.9266676822607494E-2"/>
    <n v="2.147219076046784E-2"/>
    <n v="0.51149732477713994"/>
    <n v="-0.23289711597563398"/>
    <n v="-0.70265944126858326"/>
    <n v="0.13372442244369573"/>
    <x v="0"/>
    <x v="0"/>
    <x v="0"/>
    <x v="0"/>
    <x v="0"/>
    <x v="0"/>
  </r>
  <r>
    <x v="0"/>
    <s v="FUL"/>
    <n v="2877"/>
    <n v="56.93"/>
    <n v="1.33"/>
    <n v="32.79"/>
    <n v="1.99"/>
    <n v="42.804511278195484"/>
    <n v="1.7362000609942057"/>
    <n v="6.35"/>
    <n v="4.72"/>
    <n v="2.79"/>
    <n v="28.608040201005025"/>
    <s v="NO"/>
    <n v="1.5541590299995622"/>
    <n v="-0.31730156834441153"/>
    <n v="0.14328544633147708"/>
    <n v="-0.17340870831902241"/>
    <n v="0.64297715577012082"/>
    <n v="0.8028128461712013"/>
    <x v="0"/>
    <x v="0"/>
    <x v="0"/>
    <x v="0"/>
    <x v="0"/>
    <x v="0"/>
  </r>
  <r>
    <x v="0"/>
    <s v="IOSP"/>
    <n v="2312"/>
    <n v="90.45"/>
    <n v="4.9000000000000004"/>
    <n v="48.53"/>
    <n v="1.42"/>
    <n v="18.459183673469386"/>
    <n v="1.8637955903564805"/>
    <n v="3.01"/>
    <n v="1.19"/>
    <n v="1.43"/>
    <n v="63.697183098591552"/>
    <s v="NO"/>
    <n v="-0.23835335599796315"/>
    <n v="-0.22276788431296121"/>
    <n v="-8.7019361535285847E-2"/>
    <n v="-1.223379103458216"/>
    <n v="-1.4132765206036291"/>
    <n v="3.3744735743650769"/>
    <x v="0"/>
    <x v="0"/>
    <x v="0"/>
    <x v="0"/>
    <x v="0"/>
    <x v="1"/>
  </r>
  <r>
    <x v="0"/>
    <s v="NEU"/>
    <n v="5928"/>
    <n v="632.11"/>
    <n v="50.39"/>
    <n v="161.06"/>
    <n v="50.24"/>
    <n v="12.544354038499703"/>
    <n v="3.9246864522538183"/>
    <n v="35.979999999999997"/>
    <n v="12.81"/>
    <n v="2.13"/>
    <n v="12.581807324840764"/>
    <s v="NO"/>
    <n v="-0.67385398075399072"/>
    <n v="1.3041163767237605"/>
    <n v="2.1863786969578798"/>
    <n v="2.2328973813909143"/>
    <n v="-0.35491065776419911"/>
    <n v="-0.37173945990282248"/>
    <x v="0"/>
    <x v="0"/>
    <x v="1"/>
    <x v="0"/>
    <x v="0"/>
    <x v="0"/>
  </r>
  <r>
    <x v="0"/>
    <s v="SQM"/>
    <n v="9589"/>
    <n v="35.880000000000003"/>
    <n v="1.1100000000000001"/>
    <n v="18.07"/>
    <n v="-1.42"/>
    <n v="32.324324324324323"/>
    <n v="1.985611510791367"/>
    <n v="-7.39"/>
    <n v="5.8"/>
    <n v="2.23"/>
    <n v="-25.26760563380282"/>
    <s v="NO"/>
    <n v="0.78251753774308175"/>
    <n v="-0.13251622902419355"/>
    <n v="-0.8041361285455656"/>
    <n v="0.14782869302667989"/>
    <n v="-0.2037155345014233"/>
    <n v="-3.1456986066117305"/>
    <x v="0"/>
    <x v="0"/>
    <x v="0"/>
    <x v="0"/>
    <x v="0"/>
    <x v="1"/>
  </r>
  <r>
    <x v="0"/>
    <s v="SXT"/>
    <n v="4003"/>
    <n v="92.65"/>
    <n v="1.61"/>
    <n v="25.95"/>
    <n v="3.02"/>
    <n v="57.546583850931675"/>
    <n v="3.5703275529865128"/>
    <n v="11.88"/>
    <n v="6.16"/>
    <n v="1.91"/>
    <n v="30.67880794701987"/>
    <s v="NO"/>
    <n v="2.6395971933691174"/>
    <n v="1.0415769885140327"/>
    <n v="0.52459849648213552"/>
    <n v="0.25490782680858076"/>
    <n v="-0.68753992894230564"/>
    <n v="0.95457808321844773"/>
    <x v="0"/>
    <x v="0"/>
    <x v="0"/>
    <x v="0"/>
    <x v="0"/>
    <x v="0"/>
  </r>
  <r>
    <x v="1"/>
    <s v="CX"/>
    <n v="9314"/>
    <n v="6.82"/>
    <n v="0.03"/>
    <n v="0.89"/>
    <n v="0.05"/>
    <n v="227.33333333333334"/>
    <n v="7.6629213483146073"/>
    <n v="6.31"/>
    <n v="3.55"/>
    <n v="2.16"/>
    <n v="136.4"/>
    <s v="NO"/>
    <n v="31.741877621533789"/>
    <n v="23.039783692474728"/>
    <n v="-1.5145081925044359"/>
    <n v="-1.5260565439156779"/>
    <n v="0.29339161498745914"/>
    <n v="57.956325981808305"/>
    <x v="1"/>
    <x v="1"/>
    <x v="0"/>
    <x v="0"/>
    <x v="0"/>
    <x v="1"/>
  </r>
  <r>
    <x v="1"/>
    <s v="EXP"/>
    <n v="7487"/>
    <n v="237.95"/>
    <n v="10.96"/>
    <n v="44.81"/>
    <n v="13.93"/>
    <n v="21.710766423357661"/>
    <n v="5.3101986163802719"/>
    <n v="33.51"/>
    <n v="12.99"/>
    <n v="2.0299999999999998"/>
    <n v="17.081837760229721"/>
    <s v="YES"/>
    <n v="-1.398420936525449"/>
    <n v="-0.68963642112481904"/>
    <n v="1.4179108590417389"/>
    <n v="0.57639146755017168"/>
    <n v="-0.55418416164297357"/>
    <n v="-4.903612911968863"/>
    <x v="0"/>
    <x v="0"/>
    <x v="0"/>
    <x v="0"/>
    <x v="0"/>
    <x v="1"/>
  </r>
  <r>
    <x v="1"/>
    <s v="JHX"/>
    <n v="9993"/>
    <n v="25.95"/>
    <n v="0.8"/>
    <n v="4.8899999999999997"/>
    <n v="1.01"/>
    <n v="32.4375"/>
    <n v="5.3067484662576687"/>
    <n v="21.82"/>
    <n v="11.36"/>
    <n v="2.34"/>
    <n v="25.693069306930692"/>
    <s v="NO"/>
    <n v="0.33041242366853568"/>
    <n v="-0.72443442796301838"/>
    <n v="0.15761752402060725"/>
    <n v="0.21336283845172502"/>
    <n v="1.4669580749372841"/>
    <n v="-0.36699016598621875"/>
    <x v="0"/>
    <x v="0"/>
    <x v="0"/>
    <x v="0"/>
    <x v="0"/>
    <x v="0"/>
  </r>
  <r>
    <x v="1"/>
    <s v="KNF"/>
    <n v="5205"/>
    <n v="102.89"/>
    <n v="2.65"/>
    <n v="26.07"/>
    <n v="3.55"/>
    <n v="38.826415094339623"/>
    <n v="3.946682009973149"/>
    <n v="14.71"/>
    <n v="7.54"/>
    <n v="1.93"/>
    <n v="28.983098591549297"/>
    <s v="NO"/>
    <n v="1.3601172701273623"/>
    <n v="-14.441982987990574"/>
    <n v="-0.60890819129164653"/>
    <n v="-0.63741591195076897"/>
    <n v="-1.2061655282817654"/>
    <n v="1.3662835947533689"/>
    <x v="0"/>
    <x v="1"/>
    <x v="0"/>
    <x v="0"/>
    <x v="0"/>
    <x v="0"/>
  </r>
  <r>
    <x v="1"/>
    <s v="USLM"/>
    <n v="2784"/>
    <n v="102.87"/>
    <n v="3.6"/>
    <n v="18.64"/>
    <n v="4.2"/>
    <n v="28.574999999999999"/>
    <n v="5.5187768240343349"/>
    <n v="25.44"/>
    <n v="16.57"/>
    <n v="1.1000000000000001"/>
    <n v="24.492857142857144"/>
    <s v="NO"/>
    <n v="-0.29210875727045077"/>
    <n v="1.4140708490878462"/>
    <n v="0.547888000733738"/>
    <n v="1.373718149864551"/>
    <n v="-6.6176108713837438"/>
    <n v="-0.99929342876715022"/>
    <x v="0"/>
    <x v="0"/>
    <x v="0"/>
    <x v="0"/>
    <x v="1"/>
    <x v="0"/>
  </r>
  <r>
    <x v="2"/>
    <s v="AMBP"/>
    <n v="2116"/>
    <n v="3.8"/>
    <n v="0.49"/>
    <n v="-0.38"/>
    <n v="-0.03"/>
    <n v="7.7551020408163263"/>
    <n v="-10"/>
    <n v="-4.12"/>
    <n v="2.2200000000000002"/>
    <n v="-22.93"/>
    <n v="-126.66666666666667"/>
    <s v="NO"/>
    <n v="-0.27758586478631231"/>
    <n v="-13.435851483776247"/>
    <n v="-1.3138241559511503"/>
    <n v="-1.5794292907890304"/>
    <n v="-23.606209937431622"/>
    <n v="-24.140413596984633"/>
    <x v="0"/>
    <x v="1"/>
    <x v="0"/>
    <x v="0"/>
    <x v="1"/>
    <x v="1"/>
  </r>
  <r>
    <x v="2"/>
    <s v="ATR"/>
    <n v="9998"/>
    <n v="153.63999999999999"/>
    <n v="5.36"/>
    <n v="38.39"/>
    <n v="5.47"/>
    <n v="28.664179104477608"/>
    <n v="4.0020838760093769"/>
    <n v="15.05"/>
    <n v="7.13"/>
    <n v="1.78"/>
    <n v="28.087751371115171"/>
    <s v="NO"/>
    <n v="1.3239476931896055"/>
    <n v="1.7028706721031552"/>
    <n v="-7.1085949736461448E-3"/>
    <n v="1.5581288283373917"/>
    <n v="-1.6260513891636521"/>
    <n v="1.6954445332685775"/>
    <x v="0"/>
    <x v="0"/>
    <x v="0"/>
    <x v="0"/>
    <x v="0"/>
    <x v="0"/>
  </r>
  <r>
    <x v="2"/>
    <s v="GEF"/>
    <n v="3110"/>
    <n v="56.26"/>
    <n v="3.16"/>
    <n v="43.01"/>
    <n v="4.43"/>
    <n v="17.803797468354428"/>
    <n v="1.3080678911880959"/>
    <n v="10.78"/>
    <n v="4.45"/>
    <n v="3.23"/>
    <n v="12.699774266365688"/>
    <s v="NO"/>
    <n v="0.4920953072751108"/>
    <n v="-1.2098357392321486"/>
    <n v="-0.29817147683978823"/>
    <n v="-0.15442835277438235"/>
    <n v="-0.33624038572421228"/>
    <n v="-0.87353926978401919"/>
    <x v="0"/>
    <x v="0"/>
    <x v="0"/>
    <x v="0"/>
    <x v="0"/>
    <x v="0"/>
  </r>
  <r>
    <x v="2"/>
    <s v="SLGN"/>
    <n v="5759"/>
    <n v="54.31"/>
    <n v="2.96"/>
    <n v="19.489999999999998"/>
    <n v="2.69"/>
    <n v="18.347972972972975"/>
    <n v="2.7865572088250388"/>
    <n v="14.52"/>
    <n v="4.75"/>
    <n v="4.21"/>
    <n v="20.189591078066915"/>
    <s v="NO"/>
    <n v="0.53377650293102641"/>
    <n v="0.38867196778784735"/>
    <n v="-4.3235837921902727E-2"/>
    <n v="3.7275809290368375E-2"/>
    <n v="0.53549394763485736"/>
    <n v="0.37686667676191826"/>
    <x v="0"/>
    <x v="0"/>
    <x v="0"/>
    <x v="0"/>
    <x v="0"/>
    <x v="0"/>
  </r>
  <r>
    <x v="2"/>
    <s v="GPK"/>
    <n v="6593"/>
    <n v="23.25"/>
    <n v="-1.73"/>
    <n v="10.46"/>
    <n v="2.0499999999999998"/>
    <n v="-13.439306358381502"/>
    <n v="2.2227533460803057"/>
    <n v="20.61"/>
    <n v="5.93"/>
    <n v="3.64"/>
    <n v="11.341463414634147"/>
    <s v="NO"/>
    <n v="-1.9009744146211511"/>
    <n v="-0.2208994434453104"/>
    <n v="0.37188663293636537"/>
    <n v="0.79131218007838822"/>
    <n v="2.8464794558663919E-2"/>
    <n v="-1.1003058261582084"/>
    <x v="0"/>
    <x v="0"/>
    <x v="0"/>
    <x v="0"/>
    <x v="0"/>
    <x v="0"/>
  </r>
  <r>
    <x v="2"/>
    <s v="SEE"/>
    <n v="4377"/>
    <n v="31.91"/>
    <n v="3.49"/>
    <n v="4.29"/>
    <n v="1.84"/>
    <n v="9.1432664756446993"/>
    <n v="7.438228438228438"/>
    <n v="45.91"/>
    <n v="7.06"/>
    <n v="11.24"/>
    <n v="17.342391304347824"/>
    <s v="NO"/>
    <n v="-0.17125922398827884"/>
    <n v="5.4179489615567187"/>
    <n v="2.0964512491455909"/>
    <n v="1.5133978571889497"/>
    <n v="6.7888535022412446"/>
    <n v="-9.8466114088269344E-2"/>
    <x v="0"/>
    <x v="1"/>
    <x v="0"/>
    <x v="1"/>
    <x v="1"/>
    <x v="0"/>
  </r>
  <r>
    <x v="2"/>
    <s v="SON"/>
    <n v="4355"/>
    <n v="45.07"/>
    <n v="0.61"/>
    <n v="24.82"/>
    <n v="0.82"/>
    <n v="73.885245901639351"/>
    <n v="1.8158742949234488"/>
    <n v="3.33"/>
    <n v="3.67"/>
    <n v="5.18"/>
    <n v="54.963414634146346"/>
    <s v="NO"/>
    <n v="4.7876613608288157"/>
    <n v="-0.66080745721354428"/>
    <n v="-0.80599781639546919"/>
    <n v="-0.65285917414273476"/>
    <n v="1.3983330326943444"/>
    <n v="6.1822684444968239"/>
    <x v="1"/>
    <x v="0"/>
    <x v="0"/>
    <x v="0"/>
    <x v="0"/>
    <x v="1"/>
  </r>
  <r>
    <x v="3"/>
    <s v="AA"/>
    <n v="6317"/>
    <n v="28.65"/>
    <n v="1.5"/>
    <n v="22.46"/>
    <n v="3.61"/>
    <n v="19.099999999999998"/>
    <n v="1.2756010685663401"/>
    <n v="15.35"/>
    <n v="7.18"/>
    <n v="2.5099999999999998"/>
    <n v="7.9362880886426588"/>
    <s v="NO"/>
    <n v="0.54607218726660922"/>
    <n v="-0.16247505220789379"/>
    <n v="1.1672490379826825"/>
    <n v="0.95283019341258557"/>
    <n v="2.3357963737072187"/>
    <n v="-0.26032503620974906"/>
    <x v="0"/>
    <x v="0"/>
    <x v="0"/>
    <x v="0"/>
    <x v="0"/>
    <x v="0"/>
  </r>
  <r>
    <x v="3"/>
    <s v="HBM"/>
    <n v="2955"/>
    <n v="8.66"/>
    <n v="0.84"/>
    <n v="6.46"/>
    <n v="0.2"/>
    <n v="10.30952380952381"/>
    <n v="1.3405572755417956"/>
    <n v="2.79"/>
    <n v="4.84"/>
    <n v="2.15"/>
    <n v="43.3"/>
    <s v="NO"/>
    <n v="0.20169122849739421"/>
    <n v="-7.2737401144247996E-2"/>
    <n v="-2.8991694177512999E-2"/>
    <n v="0.36660162568634963"/>
    <n v="1.3697226222074403"/>
    <n v="0.8053972732449296"/>
    <x v="0"/>
    <x v="0"/>
    <x v="0"/>
    <x v="0"/>
    <x v="0"/>
    <x v="0"/>
  </r>
  <r>
    <x v="3"/>
    <s v="MP"/>
    <n v="3861"/>
    <n v="20.77"/>
    <n v="-1.04"/>
    <n v="6.46"/>
    <n v="-0.56999999999999995"/>
    <n v="-19.971153846153847"/>
    <n v="3.2151702786377707"/>
    <n v="-5.41"/>
    <n v="-4.34"/>
    <n v="2.21"/>
    <n v="-36.438596491228076"/>
    <s v="NO"/>
    <n v="-0.98460273070152349"/>
    <n v="2.517059253927763"/>
    <n v="-0.80997688555598468"/>
    <n v="-1.9332181400088837"/>
    <n v="1.5307349141240703"/>
    <n v="-1.5976084241862432"/>
    <x v="0"/>
    <x v="0"/>
    <x v="1"/>
    <x v="0"/>
    <x v="0"/>
    <x v="0"/>
  </r>
  <r>
    <x v="3"/>
    <s v="BTG"/>
    <n v="4078"/>
    <n v="2.95"/>
    <n v="-0.02"/>
    <n v="2.2599999999999998"/>
    <n v="-0.48"/>
    <n v="-147.5"/>
    <n v="1.3053097345132745"/>
    <n v="-18.04"/>
    <n v="7.29"/>
    <n v="1.61"/>
    <n v="-6.1458333333333339"/>
    <s v="NO"/>
    <n v="-5.9807491689087753"/>
    <n v="-0.1214322323997762"/>
    <n v="-2.0128845644718503"/>
    <n v="0.98038794659629769"/>
    <n v="-7.9388005042227081E-2"/>
    <n v="-0.68470443963514671"/>
    <x v="1"/>
    <x v="0"/>
    <x v="0"/>
    <x v="0"/>
    <x v="0"/>
    <x v="0"/>
  </r>
  <r>
    <x v="3"/>
    <s v="BVN"/>
    <n v="3820"/>
    <n v="14.51"/>
    <n v="0.57999999999999996"/>
    <n v="13.35"/>
    <n v="1.59"/>
    <n v="25.017241379310345"/>
    <n v="1.0868913857677902"/>
    <n v="12.4"/>
    <n v="3.03"/>
    <n v="1.49"/>
    <n v="9.1257861635220117"/>
    <s v="NO"/>
    <n v="0.77788957864792652"/>
    <n v="-0.42317937063748473"/>
    <n v="0.88628485327945195"/>
    <n v="-8.6848676700183342E-2"/>
    <n v="-0.40141258887548692"/>
    <n v="-0.2244782721983842"/>
    <x v="0"/>
    <x v="0"/>
    <x v="0"/>
    <x v="0"/>
    <x v="0"/>
    <x v="0"/>
  </r>
  <r>
    <x v="3"/>
    <s v="CDE"/>
    <n v="3662"/>
    <n v="7.64"/>
    <n v="-0.02"/>
    <n v="2.81"/>
    <n v="0.15"/>
    <n v="-382"/>
    <n v="2.7188612099644125"/>
    <n v="5.49"/>
    <n v="5.24"/>
    <n v="2.0499999999999998"/>
    <n v="50.93333333333333"/>
    <s v="NO"/>
    <n v="-15.167661582012782"/>
    <n v="1.8314033005073"/>
    <n v="0.22816196639832526"/>
    <n v="0.46681163726348412"/>
    <n v="1.1013688023463906"/>
    <n v="1.0354357276138773"/>
    <x v="1"/>
    <x v="0"/>
    <x v="0"/>
    <x v="0"/>
    <x v="0"/>
    <x v="0"/>
  </r>
  <r>
    <x v="3"/>
    <s v="EGO"/>
    <n v="4105"/>
    <n v="17.670000000000002"/>
    <n v="0.1"/>
    <n v="19.5"/>
    <n v="1.64"/>
    <n v="176.70000000000002"/>
    <n v="0.9061538461538462"/>
    <n v="9"/>
    <n v="5.42"/>
    <n v="1.49"/>
    <n v="10.77439024390244"/>
    <s v="NO"/>
    <n v="6.7203041544529274"/>
    <n v="-0.67287009334403858"/>
    <n v="0.56246172514691484"/>
    <n v="0.51190614247319455"/>
    <n v="-0.40141258887548692"/>
    <n v="-0.17479587029658675"/>
    <x v="1"/>
    <x v="0"/>
    <x v="0"/>
    <x v="0"/>
    <x v="0"/>
    <x v="0"/>
  </r>
  <r>
    <x v="3"/>
    <s v="EQX"/>
    <n v="3129"/>
    <n v="6.05"/>
    <n v="-0.1"/>
    <n v="7.46"/>
    <n v="0.75"/>
    <n v="-60.499999999999993"/>
    <n v="0.81099195710455763"/>
    <n v="11.62"/>
    <n v="2.7"/>
    <n v="1.98"/>
    <n v="8.0666666666666664"/>
    <s v="NO"/>
    <n v="-2.5723850753477997"/>
    <n v="-0.80433719697724848"/>
    <n v="0.8119960180019874"/>
    <n v="-0.16952193625131909"/>
    <n v="0.91352112844365629"/>
    <n v="-0.25639594189907688"/>
    <x v="0"/>
    <x v="0"/>
    <x v="0"/>
    <x v="0"/>
    <x v="0"/>
    <x v="0"/>
  </r>
  <r>
    <x v="3"/>
    <s v="IAG"/>
    <n v="3997"/>
    <n v="6.33"/>
    <n v="-0.28000000000000003"/>
    <n v="5.84"/>
    <n v="1.5"/>
    <n v="-22.607142857142854"/>
    <n v="1.0839041095890412"/>
    <n v="29.93"/>
    <n v="5.97"/>
    <n v="1.61"/>
    <n v="4.22"/>
    <s v="NO"/>
    <n v="-1.0878718145644688"/>
    <n v="-0.42730632262316054"/>
    <n v="2.5558788050922088"/>
    <n v="0.64969490839175414"/>
    <n v="-7.9388005042227081E-2"/>
    <n v="-0.3723192503452627"/>
    <x v="0"/>
    <x v="0"/>
    <x v="0"/>
    <x v="0"/>
    <x v="0"/>
    <x v="0"/>
  </r>
  <r>
    <x v="3"/>
    <s v="NGD"/>
    <n v="3229"/>
    <n v="3.88"/>
    <n v="0.21"/>
    <n v="1.31"/>
    <n v="0.17"/>
    <n v="18.476190476190478"/>
    <n v="2.9618320610687019"/>
    <n v="14.62"/>
    <n v="5.58"/>
    <n v="2.0499999999999998"/>
    <n v="22.823529411764703"/>
    <s v="NO"/>
    <n v="0.52163345183932486"/>
    <n v="2.1670699668702627"/>
    <n v="1.0977223075306966"/>
    <n v="0.55199014710404826"/>
    <n v="1.1013688023463906"/>
    <n v="0.18831749441756801"/>
    <x v="0"/>
    <x v="0"/>
    <x v="0"/>
    <x v="0"/>
    <x v="0"/>
    <x v="0"/>
  </r>
  <r>
    <x v="3"/>
    <s v="OR"/>
    <n v="4466"/>
    <n v="23.24"/>
    <n v="0.46"/>
    <n v="6.37"/>
    <n v="0.09"/>
    <n v="50.521739130434774"/>
    <n v="3.6483516483516478"/>
    <n v="1.34"/>
    <n v="3.42"/>
    <n v="1.1599999999999999"/>
    <n v="258.22222222222223"/>
    <s v="NO"/>
    <n v="1.7770690540414797"/>
    <n v="3.1155036584377833"/>
    <n v="-0.16709273411638909"/>
    <n v="1.0856084587522694E-2"/>
    <n v="-1.286980194416951"/>
    <n v="7.2823024011321964"/>
    <x v="0"/>
    <x v="1"/>
    <x v="0"/>
    <x v="0"/>
    <x v="0"/>
    <x v="1"/>
  </r>
  <r>
    <x v="3"/>
    <s v="ORLA"/>
    <n v="3656"/>
    <n v="8.85"/>
    <n v="0.46"/>
    <n v="1.58"/>
    <n v="0.27"/>
    <n v="19.239130434782606"/>
    <n v="5.6012658227848098"/>
    <n v="19.600000000000001"/>
    <n v="17.72"/>
    <n v="1.18"/>
    <n v="32.777777777777771"/>
    <s v="NO"/>
    <n v="0.55152284448769617"/>
    <n v="5.8134741666103347"/>
    <n v="1.5720279481483539"/>
    <n v="3.593363998470076"/>
    <n v="-1.233309430444741"/>
    <n v="0.48829914182223189"/>
    <x v="0"/>
    <x v="1"/>
    <x v="1"/>
    <x v="0"/>
    <x v="0"/>
    <x v="0"/>
  </r>
  <r>
    <x v="3"/>
    <s v="SAND"/>
    <n v="2556"/>
    <n v="8.11"/>
    <n v="0.41"/>
    <n v="4.8099999999999996"/>
    <n v="0.05"/>
    <n v="19.780487804878049"/>
    <n v="1.686070686070686"/>
    <n v="1.07"/>
    <n v="2.35"/>
    <n v="1.3"/>
    <n v="162.19999999999999"/>
    <s v="NO"/>
    <n v="0.57273138497066067"/>
    <n v="0.40459283895994436"/>
    <n v="-0.19280810017397293"/>
    <n v="-0.25720569638131169"/>
    <n v="-0.91128484661148113"/>
    <n v="4.3885726738302386"/>
    <x v="0"/>
    <x v="0"/>
    <x v="0"/>
    <x v="0"/>
    <x v="0"/>
    <x v="1"/>
  </r>
  <r>
    <x v="3"/>
    <s v="SSRM"/>
    <n v="2268"/>
    <n v="10.55"/>
    <n v="-0.51"/>
    <n v="15.35"/>
    <n v="-1.29"/>
    <n v="-20.686274509803923"/>
    <n v="0.68729641693811083"/>
    <n v="-8.5500000000000007"/>
    <n v="1.1299999999999999"/>
    <n v="1.67"/>
    <n v="-8.1782945736434112"/>
    <s v="NO"/>
    <n v="-1.012618726018172"/>
    <n v="-0.97522382565278243"/>
    <n v="-1.1090370685960336"/>
    <n v="-0.56284623169157155"/>
    <n v="8.1624286874402249E-2"/>
    <n v="-0.74595477705249047"/>
    <x v="0"/>
    <x v="0"/>
    <x v="0"/>
    <x v="0"/>
    <x v="0"/>
    <x v="0"/>
  </r>
  <r>
    <x v="3"/>
    <s v="TFPM"/>
    <n v="4397"/>
    <n v="19.96"/>
    <n v="0.78"/>
    <n v="8.6300000000000008"/>
    <n v="-0.11"/>
    <n v="25.589743589743591"/>
    <n v="2.3128621089223635"/>
    <n v="-1.3"/>
    <n v="0.75"/>
    <n v="1.02"/>
    <n v="-181.45454545454547"/>
    <s v="NO"/>
    <n v="0.80031826804476525"/>
    <n v="1.2705114726449975"/>
    <n v="-0.41853186890165317"/>
    <n v="-0.65804574268984917"/>
    <n v="-1.6626755422224202"/>
    <n v="-5.9678151610903099"/>
    <x v="0"/>
    <x v="0"/>
    <x v="0"/>
    <x v="0"/>
    <x v="0"/>
    <x v="1"/>
  </r>
  <r>
    <x v="3"/>
    <s v="SBSW"/>
    <n v="3581"/>
    <n v="4.5999999999999996"/>
    <n v="-0.21"/>
    <n v="0.82"/>
    <n v="-0.14000000000000001"/>
    <n v="-21.904761904761905"/>
    <n v="5.6097560975609753"/>
    <n v="-11.43"/>
    <n v="-3.65"/>
    <n v="3.14"/>
    <n v="-32.857142857142854"/>
    <s v="NO"/>
    <n v="-1.0603549178047402"/>
    <n v="5.8252035663209103"/>
    <n v="-1.3833343065435943"/>
    <n v="-1.7603558700383271"/>
    <n v="4.0264254388318328"/>
    <n v="-1.4896775868440142"/>
    <x v="0"/>
    <x v="1"/>
    <x v="0"/>
    <x v="0"/>
    <x v="1"/>
    <x v="0"/>
  </r>
  <r>
    <x v="3"/>
    <s v="AG"/>
    <n v="3034"/>
    <n v="5.8"/>
    <n v="0.12"/>
    <n v="4.4800000000000004"/>
    <n v="-0.34"/>
    <n v="48.333333333333336"/>
    <n v="1.294642857142857"/>
    <n v="-7.52"/>
    <n v="0.17"/>
    <n v="1.47"/>
    <n v="-17.058823529411764"/>
    <s v="NO"/>
    <n v="1.6913347581681324"/>
    <n v="-0.13616863041277782"/>
    <n v="-1.0109377091911766"/>
    <n v="-0.80335025947669403"/>
    <n v="-0.45508335284769691"/>
    <n v="-1.0135787711525301"/>
    <x v="0"/>
    <x v="0"/>
    <x v="0"/>
    <x v="0"/>
    <x v="0"/>
    <x v="0"/>
  </r>
  <r>
    <x v="3"/>
    <s v="HL"/>
    <n v="3087"/>
    <n v="4.9400000000000004"/>
    <n v="0.03"/>
    <n v="3.28"/>
    <n v="0.11"/>
    <n v="164.66666666666669"/>
    <n v="1.50609756097561"/>
    <n v="3.49"/>
    <n v="3.34"/>
    <n v="1.46"/>
    <n v="44.909090909090914"/>
    <s v="NO"/>
    <n v="6.2488790825082869"/>
    <n v="0.15595816257376882"/>
    <n v="3.7677773379185819E-2"/>
    <n v="-9.1859177279041953E-3"/>
    <n v="-0.48191873483380188"/>
    <n v="0.85388890455493827"/>
    <x v="1"/>
    <x v="0"/>
    <x v="0"/>
    <x v="0"/>
    <x v="0"/>
    <x v="0"/>
  </r>
  <r>
    <x v="3"/>
    <s v="PAAS"/>
    <n v="8899"/>
    <n v="23.03"/>
    <n v="1.1000000000000001"/>
    <n v="12.96"/>
    <n v="0.31"/>
    <n v="20.936363636363637"/>
    <n v="1.7770061728395061"/>
    <n v="2.38"/>
    <n v="3.04"/>
    <n v="1.53"/>
    <n v="74.290322580645167"/>
    <s v="NO"/>
    <n v="0.61801466865629762"/>
    <n v="0.53022112547683797"/>
    <n v="-6.8040953746436594E-2"/>
    <n v="-8.4343426410754915E-2"/>
    <n v="-0.294071060931067"/>
    <n v="1.7393229378973367"/>
    <x v="0"/>
    <x v="0"/>
    <x v="0"/>
    <x v="0"/>
    <x v="0"/>
    <x v="0"/>
  </r>
  <r>
    <x v="3"/>
    <s v="CLF"/>
    <n v="4198"/>
    <n v="7.58"/>
    <n v="-1.23"/>
    <n v="13.49"/>
    <n v="-1.57"/>
    <n v="-6.1626016260162606"/>
    <n v="0.56189770200148259"/>
    <n v="-9.43"/>
    <n v="-0.83"/>
    <n v="3.14"/>
    <n v="-4.8280254777070066"/>
    <s v="NO"/>
    <n v="-0.4436306206879761"/>
    <n v="-1.1484634073461042"/>
    <n v="-1.1928501135244549"/>
    <n v="-1.0538752884195297"/>
    <n v="4.0264254388318328"/>
    <n v="-0.64499092667485791"/>
    <x v="0"/>
    <x v="0"/>
    <x v="0"/>
    <x v="0"/>
    <x v="1"/>
    <x v="0"/>
  </r>
  <r>
    <x v="3"/>
    <s v="CMC"/>
    <n v="5090"/>
    <n v="47.83"/>
    <n v="3.73"/>
    <n v="35.42"/>
    <n v="0.63"/>
    <n v="12.823056300268096"/>
    <n v="1.3503670242800676"/>
    <n v="1.78"/>
    <n v="4.78"/>
    <n v="1.67"/>
    <n v="75.920634920634924"/>
    <s v="NO"/>
    <n v="0.30016288239913796"/>
    <n v="-5.9185134928492408E-2"/>
    <n v="-0.12518621165217841"/>
    <n v="0.3515701239497796"/>
    <n v="8.1624286874402249E-2"/>
    <n v="1.7884540991414239"/>
    <x v="0"/>
    <x v="0"/>
    <x v="0"/>
    <x v="0"/>
    <x v="0"/>
    <x v="0"/>
  </r>
  <r>
    <x v="3"/>
    <s v="GGB"/>
    <n v="5031"/>
    <n v="2.78"/>
    <n v="0.4"/>
    <n v="4.84"/>
    <n v="0.27"/>
    <n v="6.9499999999999993"/>
    <n v="0.57438016528925617"/>
    <n v="6.1"/>
    <n v="4.47"/>
    <n v="1.53"/>
    <n v="10.296296296296294"/>
    <s v="NO"/>
    <n v="7.0076512131369631E-2"/>
    <n v="-1.1312187591886733"/>
    <n v="0.2862596452691627"/>
    <n v="0.27390736497750034"/>
    <n v="-0.294071060931067"/>
    <n v="-0.18920372960887494"/>
    <x v="0"/>
    <x v="0"/>
    <x v="0"/>
    <x v="0"/>
    <x v="0"/>
    <x v="0"/>
  </r>
  <r>
    <x v="3"/>
    <s v="HCC"/>
    <n v="2409"/>
    <n v="48.37"/>
    <n v="-2.9"/>
    <n v="39.51"/>
    <n v="2.0099999999999998"/>
    <n v="-16.679310344827584"/>
    <n v="1.2242470260693494"/>
    <n v="5.2"/>
    <n v="2.1800000000000002"/>
    <n v="1.26"/>
    <n v="24.064676616915424"/>
    <s v="NO"/>
    <n v="-0.85563949861482846"/>
    <n v="-0.23342117669517998"/>
    <n v="0.20054175841055003"/>
    <n v="-0.29979495130159378"/>
    <n v="-1.018626374555901"/>
    <n v="0.22572075879100176"/>
    <x v="0"/>
    <x v="0"/>
    <x v="0"/>
    <x v="0"/>
    <x v="0"/>
    <x v="0"/>
  </r>
  <r>
    <x v="3"/>
    <s v="SID"/>
    <n v="2215"/>
    <n v="1.64"/>
    <n v="0.38"/>
    <n v="1.5"/>
    <n v="-0.32"/>
    <n v="4.3157894736842106"/>
    <n v="1.0933333333333333"/>
    <n v="-8.75"/>
    <n v="2.65"/>
    <n v="8.4700000000000006"/>
    <n v="-5.125"/>
    <s v="NO"/>
    <n v="-3.3122896751102686E-2"/>
    <n v="-0.41427975550100604"/>
    <n v="-1.1280854878979476"/>
    <n v="-0.18204818769846096"/>
    <n v="18.329684037425778"/>
    <n v="-0.6539405633685571"/>
    <x v="0"/>
    <x v="0"/>
    <x v="0"/>
    <x v="0"/>
    <x v="1"/>
    <x v="0"/>
  </r>
  <r>
    <x v="3"/>
    <s v="SIM"/>
    <n v="4103"/>
    <n v="26.7"/>
    <n v="0.85"/>
    <n v="19.690000000000001"/>
    <n v="3.33"/>
    <n v="31.411764705882351"/>
    <n v="1.3560182833925849"/>
    <n v="19.989999999999998"/>
    <n v="5.0999999999999996"/>
    <n v="1.2"/>
    <n v="8.0180180180180169"/>
    <s v="NO"/>
    <n v="1.0284052533804104"/>
    <n v="-5.1377863815803337E-2"/>
    <n v="1.6091723657870858"/>
    <n v="0.43173813321148691"/>
    <n v="-1.1796386664725309"/>
    <n v="-0.2578620196207721"/>
    <x v="0"/>
    <x v="0"/>
    <x v="0"/>
    <x v="0"/>
    <x v="0"/>
    <x v="0"/>
  </r>
  <r>
    <x v="3"/>
    <s v="TX"/>
    <n v="5703"/>
    <n v="28.71"/>
    <n v="-1.51"/>
    <n v="61.68"/>
    <n v="-1.77"/>
    <n v="-19.013245033112582"/>
    <n v="0.46546692607003892"/>
    <n v="-1.03"/>
    <n v="1.7"/>
    <n v="1.96"/>
    <n v="-16.220338983050848"/>
    <s v="NO"/>
    <n v="-0.94707512146847228"/>
    <n v="-1.2816834909264514"/>
    <n v="-0.39281650284406927"/>
    <n v="-0.42004696519415502"/>
    <n v="0.85985036447144625"/>
    <n v="-0.98831016559919649"/>
    <x v="0"/>
    <x v="0"/>
    <x v="0"/>
    <x v="0"/>
    <x v="0"/>
    <x v="0"/>
  </r>
  <r>
    <x v="3"/>
    <s v="X"/>
    <n v="9177"/>
    <n v="41.79"/>
    <n v="-6.36"/>
    <n v="49.63"/>
    <n v="0.43"/>
    <n v="-6.5707547169811313"/>
    <n v="0.84203102961918186"/>
    <n v="0.86"/>
    <n v="-0.06"/>
    <n v="1.79"/>
    <n v="97.186046511627907"/>
    <s v="NO"/>
    <n v="-0.45962067057212075"/>
    <n v="-0.76145640715974827"/>
    <n v="-0.21280894044098256"/>
    <n v="-0.86097101613354621"/>
    <n v="0.40364887070766209"/>
    <n v="2.4293094372084361"/>
    <x v="0"/>
    <x v="0"/>
    <x v="0"/>
    <x v="0"/>
    <x v="0"/>
    <x v="0"/>
  </r>
  <r>
    <x v="4"/>
    <s v="LPX"/>
    <n v="6248"/>
    <n v="93.94"/>
    <n v="5.94"/>
    <n v="23.87"/>
    <n v="5.89"/>
    <n v="15.814814814814813"/>
    <n v="3.9354838709677415"/>
    <n v="26.02"/>
    <n v="13.33"/>
    <n v="1.54"/>
    <n v="15.949066213921903"/>
    <s v="NO"/>
    <n v="-0.43365766651945736"/>
    <n v="1.1444532187962135"/>
    <n v="0.39642201917974773"/>
    <n v="0.9849010622702099"/>
    <n v="-0.52377877735370182"/>
    <n v="0.711594973146078"/>
    <x v="0"/>
    <x v="0"/>
    <x v="0"/>
    <x v="0"/>
    <x v="0"/>
    <x v="0"/>
  </r>
  <r>
    <x v="4"/>
    <s v="WFG"/>
    <n v="5883"/>
    <n v="76.52"/>
    <n v="1.97"/>
    <n v="87.36"/>
    <n v="-0.04"/>
    <n v="38.842639593908629"/>
    <n v="0.87591575091575091"/>
    <n v="0.03"/>
    <n v="0.77"/>
    <n v="1.26"/>
    <n v="-1912.9999999999998"/>
    <s v="NO"/>
    <n v="1.3825714168525534"/>
    <n v="-1.2917195714833785"/>
    <n v="-1.3738543173291256"/>
    <n v="-1.3713574790848067"/>
    <n v="-0.87575811573538942"/>
    <n v="-1.414204046286708"/>
    <x v="0"/>
    <x v="0"/>
    <x v="0"/>
    <x v="0"/>
    <x v="0"/>
    <x v="0"/>
  </r>
  <r>
    <x v="4"/>
    <s v="SLVM"/>
    <n v="2412"/>
    <n v="55.97"/>
    <n v="6.03"/>
    <n v="20.86"/>
    <n v="7.18"/>
    <n v="9.2819237147595359"/>
    <n v="2.6831255992329819"/>
    <n v="34.549999999999997"/>
    <n v="10.14"/>
    <n v="3.07"/>
    <n v="7.7952646239554317"/>
    <s v="NO"/>
    <n v="-0.94891375033309666"/>
    <n v="0.14726635268716526"/>
    <n v="0.97743229814937782"/>
    <n v="0.38645641681459675"/>
    <n v="1.3995368930890906"/>
    <n v="0.70260907314063015"/>
    <x v="0"/>
    <x v="0"/>
    <x v="0"/>
    <x v="0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x v="0"/>
    <s v="ASIX"/>
    <n v="611"/>
    <n v="23.91"/>
    <n v="1.89"/>
    <n v="29.63"/>
    <n v="3.11"/>
    <n v="12.650793650793652"/>
    <n v="0.80695241309483634"/>
    <n v="11.26"/>
    <n v="4.43"/>
    <n v="2.0499999999999998"/>
    <n v="7.6881028938906759"/>
    <s v="NO"/>
    <n v="0.38596804050165434"/>
    <n v="-0.44571787061675522"/>
    <n v="0.81521317743670674"/>
    <n v="0.4581815628034131"/>
    <n v="-0.58978069136307743"/>
    <n v="0.12008881269960558"/>
    <x v="0"/>
    <x v="0"/>
    <x v="0"/>
    <x v="0"/>
    <x v="0"/>
    <x v="0"/>
  </r>
  <r>
    <x v="0"/>
    <s v="BAK"/>
    <n v="1419"/>
    <n v="3.81"/>
    <n v="-0.27"/>
    <n v="-0.97"/>
    <n v="-2.2999999999999998"/>
    <n v="-14.111111111111111"/>
    <n v="-3.927835051546392"/>
    <n v="2412.8000000000002"/>
    <n v="-0.68"/>
    <n v="-21.24"/>
    <n v="-1.656521739130435"/>
    <s v="NO"/>
    <n v="-1.3784058965374639"/>
    <n v="-13.178605629624567"/>
    <n v="287.47962461921873"/>
    <n v="-1.6907033470989534"/>
    <n v="-29.103122112162655"/>
    <n v="-0.49067424487450062"/>
    <x v="0"/>
    <x v="1"/>
    <x v="1"/>
    <x v="0"/>
    <x v="1"/>
    <x v="0"/>
  </r>
  <r>
    <x v="0"/>
    <s v="KOP"/>
    <n v="504"/>
    <n v="30.4"/>
    <n v="2.0299999999999998"/>
    <n v="24.1"/>
    <n v="2.46"/>
    <n v="14.97536945812808"/>
    <n v="1.2614107883817427"/>
    <n v="9.8000000000000007"/>
    <n v="6.05"/>
    <n v="3.87"/>
    <n v="12.357723577235772"/>
    <s v="NO"/>
    <n v="0.53922398418810125"/>
    <n v="0.77642093220862096"/>
    <n v="0.64093748737741085"/>
    <n v="1.139432747547412"/>
    <n v="1.6383979855736011"/>
    <n v="0.42529441680626068"/>
    <x v="0"/>
    <x v="0"/>
    <x v="0"/>
    <x v="0"/>
    <x v="0"/>
    <x v="0"/>
  </r>
  <r>
    <x v="0"/>
    <s v="KRO"/>
    <n v="844"/>
    <n v="7.63"/>
    <n v="0.37"/>
    <n v="7.1"/>
    <n v="0.75"/>
    <n v="20.621621621621621"/>
    <n v="1.0746478873239438"/>
    <n v="10.61"/>
    <n v="4.0599999999999996"/>
    <n v="2.34"/>
    <n v="10.173333333333334"/>
    <s v="NO"/>
    <n v="0.91147327839378378"/>
    <n v="0.27417430034299672"/>
    <n v="0.73762468528702019"/>
    <n v="0.30258715641126516"/>
    <n v="-0.23474123185118909"/>
    <n v="0.28252304645218229"/>
    <x v="0"/>
    <x v="0"/>
    <x v="0"/>
    <x v="0"/>
    <x v="0"/>
    <x v="0"/>
  </r>
  <r>
    <x v="0"/>
    <s v="MATV"/>
    <n v="274"/>
    <n v="6.38"/>
    <n v="0.72"/>
    <n v="15.8"/>
    <n v="-0.9"/>
    <n v="8.8611111111111107"/>
    <n v="0.40379746835443037"/>
    <n v="-5.39"/>
    <n v="1.0900000000000001"/>
    <n v="2.85"/>
    <n v="-7.0888888888888886"/>
    <s v="NO"/>
    <n v="0.13611971460124528"/>
    <n v="-1.5298904336311665"/>
    <n v="-1.1722458907052646"/>
    <n v="-0.94637334895273262"/>
    <n v="0.38963850729040783"/>
    <n v="-0.84573282673847161"/>
    <x v="0"/>
    <x v="0"/>
    <x v="0"/>
    <x v="0"/>
    <x v="0"/>
    <x v="0"/>
  </r>
  <r>
    <x v="0"/>
    <s v="OEC"/>
    <n v="636"/>
    <n v="11.14"/>
    <n v="-1.4"/>
    <n v="8.3000000000000007"/>
    <n v="0.76"/>
    <n v="-7.9571428571428582"/>
    <n v="1.3421686746987951"/>
    <n v="9.27"/>
    <n v="5.49"/>
    <n v="3.91"/>
    <n v="14.657894736842106"/>
    <s v="NO"/>
    <n v="-0.97268360982923985"/>
    <n v="0.99359669982412835"/>
    <n v="0.57767302454766634"/>
    <n v="0.90393851084578292"/>
    <n v="1.6873689455062755"/>
    <n v="0.57563320788199723"/>
    <x v="0"/>
    <x v="0"/>
    <x v="0"/>
    <x v="0"/>
    <x v="0"/>
    <x v="0"/>
  </r>
  <r>
    <x v="0"/>
    <s v="PCT"/>
    <n v="1177"/>
    <n v="7.93"/>
    <n v="-1.21"/>
    <n v="1.04"/>
    <n v="-1.75"/>
    <n v="-6.553719008264463"/>
    <n v="7.6249999999999991"/>
    <n v="-96.27"/>
    <n v="-9.89"/>
    <n v="4.42"/>
    <n v="-4.5314285714285711"/>
    <s v="NO"/>
    <n v="-0.88015789151396673"/>
    <n v="17.889515824232031"/>
    <n v="-12.020310762341444"/>
    <n v="-5.5637424899953913"/>
    <n v="2.3117486846478719"/>
    <n v="-0.6785776605912025"/>
    <x v="0"/>
    <x v="1"/>
    <x v="1"/>
    <x v="1"/>
    <x v="0"/>
    <x v="0"/>
  </r>
  <r>
    <x v="0"/>
    <s v="TROX"/>
    <n v="778"/>
    <n v="5.69"/>
    <n v="-0.68"/>
    <n v="10.56"/>
    <n v="-0.95"/>
    <n v="-8.367647058823529"/>
    <n v="0.53882575757575757"/>
    <n v="-8.59"/>
    <n v="2.11"/>
    <n v="3.63"/>
    <n v="-5.9894736842105267"/>
    <s v="NO"/>
    <n v="-0.99974756215005645"/>
    <n v="-1.1667695831631124"/>
    <n v="-1.5542200059037217"/>
    <n v="-0.5174374178176222"/>
    <n v="1.3445722259775554"/>
    <n v="-0.77387523819714055"/>
    <x v="0"/>
    <x v="0"/>
    <x v="0"/>
    <x v="0"/>
    <x v="0"/>
    <x v="0"/>
  </r>
  <r>
    <x v="0"/>
    <s v="WLKP"/>
    <n v="813"/>
    <n v="23.06"/>
    <n v="12.38"/>
    <n v="14.72"/>
    <n v="1.77"/>
    <n v="1.8626817447495958"/>
    <n v="1.5665760869565215"/>
    <n v="43.8"/>
    <n v="18.739999999999998"/>
    <n v="2.48"/>
    <n v="13.028248587570621"/>
    <s v="NO"/>
    <n v="-0.32527668016488714"/>
    <n v="1.5970777248765458"/>
    <n v="4.6994124613610158"/>
    <n v="6.4759003613754027"/>
    <n v="-6.3342872086829066E-2"/>
    <n v="0.46911981606787018"/>
    <x v="0"/>
    <x v="0"/>
    <x v="1"/>
    <x v="1"/>
    <x v="0"/>
    <x v="0"/>
  </r>
  <r>
    <x v="0"/>
    <s v="CC"/>
    <n v="1629"/>
    <n v="11.78"/>
    <n v="-6.64"/>
    <n v="4.04"/>
    <n v="0.56999999999999995"/>
    <n v="-1.7740963855421688"/>
    <n v="2.9158415841584158"/>
    <n v="12.8"/>
    <n v="3.49"/>
    <n v="12.44"/>
    <n v="20.666666666666668"/>
    <s v="NO"/>
    <n v="-0.56504423800384351"/>
    <n v="5.2255502299830408"/>
    <n v="0.99903822037596424"/>
    <n v="6.2887665482821389E-2"/>
    <n v="12.130426151149058"/>
    <n v="0.96836550695762358"/>
    <x v="0"/>
    <x v="1"/>
    <x v="0"/>
    <x v="0"/>
    <x v="1"/>
    <x v="0"/>
  </r>
  <r>
    <x v="0"/>
    <s v="HUN"/>
    <n v="1948"/>
    <n v="12.96"/>
    <n v="0.44"/>
    <n v="17.100000000000001"/>
    <n v="-0.79"/>
    <n v="29.454545454545457"/>
    <n v="0.75789473684210529"/>
    <n v="-2.19"/>
    <n v="0.81"/>
    <n v="2.4500000000000002"/>
    <n v="-16.405063291139239"/>
    <s v="NO"/>
    <n v="1.493815258059108"/>
    <n v="-0.57764478182629542"/>
    <n v="-0.79027177550680772"/>
    <n v="-1.0641204673035471"/>
    <n v="-0.10007109203633451"/>
    <n v="-1.4546363821263868"/>
    <x v="0"/>
    <x v="0"/>
    <x v="0"/>
    <x v="0"/>
    <x v="0"/>
    <x v="0"/>
  </r>
  <r>
    <x v="0"/>
    <s v="LXU"/>
    <n v="477"/>
    <n v="7.48"/>
    <n v="-0.36"/>
    <n v="6.83"/>
    <n v="-0.37"/>
    <n v="-20.777777777777779"/>
    <n v="1.095168374816984"/>
    <n v="-5.28"/>
    <n v="-0.1"/>
    <n v="2.4"/>
    <n v="-20.216216216216218"/>
    <s v="NO"/>
    <n v="-1.8179296530952516"/>
    <n v="0.32935841704522417"/>
    <n v="-1.1591155304953178"/>
    <n v="-1.4467986019436947"/>
    <n v="-0.16128479195217765"/>
    <n v="-1.7037326813160916"/>
    <x v="0"/>
    <x v="0"/>
    <x v="0"/>
    <x v="0"/>
    <x v="0"/>
    <x v="0"/>
  </r>
  <r>
    <x v="0"/>
    <s v="IPI"/>
    <n v="504"/>
    <n v="36.31"/>
    <n v="0.49"/>
    <n v="36.99"/>
    <n v="-15.9"/>
    <n v="74.102040816326536"/>
    <n v="0.98161665314949986"/>
    <n v="-35.32"/>
    <n v="0.44"/>
    <n v="1.25"/>
    <n v="-2.2836477987421384"/>
    <s v="NO"/>
    <n v="4.4373604904050694"/>
    <n v="2.3992793428213959E-2"/>
    <n v="-4.7448975369208322"/>
    <n v="-1.2197148736956951"/>
    <n v="-1.569199890016562"/>
    <n v="-0.53166309618687424"/>
    <x v="1"/>
    <x v="0"/>
    <x v="1"/>
    <x v="0"/>
    <x v="0"/>
    <x v="0"/>
  </r>
  <r>
    <x v="0"/>
    <s v="UAN"/>
    <n v="873"/>
    <n v="82.08"/>
    <n v="11.79"/>
    <n v="28.54"/>
    <n v="7.13"/>
    <n v="6.9618320610687023"/>
    <n v="2.8759635599159075"/>
    <n v="25.16"/>
    <n v="7.62"/>
    <n v="3.36"/>
    <n v="11.511921458625526"/>
    <s v="NO"/>
    <n v="1.0902975177323471E-2"/>
    <n v="5.118309427619101"/>
    <n v="2.4744132403300041"/>
    <n v="1.7996576611573369"/>
    <n v="1.0140182464320042"/>
    <n v="0.37001293591728041"/>
    <x v="0"/>
    <x v="1"/>
    <x v="0"/>
    <x v="0"/>
    <x v="0"/>
    <x v="0"/>
  </r>
  <r>
    <x v="0"/>
    <s v="ASPI"/>
    <n v="413"/>
    <n v="6.56"/>
    <n v="-0.5"/>
    <n v="0.66"/>
    <n v="-0.63"/>
    <n v="-13.12"/>
    <n v="9.9393939393939377"/>
    <n v="-92.64"/>
    <n v="-27.03"/>
    <n v="1.97"/>
    <n v="-10.412698412698411"/>
    <s v="NO"/>
    <n v="-1.3130633647292065"/>
    <n v="24.113431571348656"/>
    <n v="-11.587008875413193"/>
    <n v="-12.771548234755972"/>
    <n v="-0.68772261122842571"/>
    <n v="-1.0629764451051431"/>
    <x v="0"/>
    <x v="1"/>
    <x v="1"/>
    <x v="1"/>
    <x v="0"/>
    <x v="0"/>
  </r>
  <r>
    <x v="0"/>
    <s v="ASPN"/>
    <n v="467"/>
    <n v="5.94"/>
    <n v="-0.53"/>
    <n v="7.49"/>
    <n v="0.17"/>
    <n v="-11.20754716981132"/>
    <n v="0.79305740987983986"/>
    <n v="2.4300000000000002"/>
    <n v="4.8600000000000003"/>
    <n v="1.46"/>
    <n v="34.941176470588232"/>
    <s v="NO"/>
    <n v="-1.1869780969045911"/>
    <n v="-0.48308459883187455"/>
    <n v="-0.23879664668903539"/>
    <n v="0.63900749455645012"/>
    <n v="-1.3121023503700224"/>
    <n v="1.9013450107470717"/>
    <x v="0"/>
    <x v="0"/>
    <x v="0"/>
    <x v="0"/>
    <x v="0"/>
    <x v="0"/>
  </r>
  <r>
    <x v="0"/>
    <s v="DNA"/>
    <n v="430"/>
    <n v="8.1199999999999992"/>
    <n v="-7.36"/>
    <n v="13.17"/>
    <n v="-10.54"/>
    <n v="-1.1032608695652173"/>
    <n v="0.61655277145026566"/>
    <n v="-60.34"/>
    <n v="-19.670000000000002"/>
    <n v="1.92"/>
    <n v="-0.77039848197343452"/>
    <s v="NO"/>
    <n v="-0.52081701610165798"/>
    <n v="-0.95774450001042088"/>
    <n v="-7.7314576501287693"/>
    <n v="-9.6764811238202739"/>
    <n v="-0.74893631114426851"/>
    <n v="-0.43275738131036601"/>
    <x v="0"/>
    <x v="0"/>
    <x v="1"/>
    <x v="1"/>
    <x v="0"/>
    <x v="0"/>
  </r>
  <r>
    <x v="0"/>
    <s v="ECVT"/>
    <n v="809"/>
    <n v="7.49"/>
    <n v="0.41"/>
    <n v="5.95"/>
    <n v="-0.1"/>
    <n v="18.26829268292683"/>
    <n v="1.2588235294117647"/>
    <n v="-1.63"/>
    <n v="3.11"/>
    <n v="2.56"/>
    <n v="-74.899999999999991"/>
    <s v="NO"/>
    <n v="0.75632168206109085"/>
    <n v="0.76946322221335028"/>
    <n v="-0.72342630534707764"/>
    <n v="-9.6911995136141446E-2"/>
    <n v="3.4599047778519514E-2"/>
    <n v="-5.2778553769975858"/>
    <x v="0"/>
    <x v="0"/>
    <x v="0"/>
    <x v="0"/>
    <x v="0"/>
    <x v="1"/>
  </r>
  <r>
    <x v="0"/>
    <s v="FTK"/>
    <n v="303"/>
    <n v="14.34"/>
    <n v="0.05"/>
    <n v="3.84"/>
    <n v="0.34"/>
    <n v="286.79999999999995"/>
    <n v="3.734375"/>
    <n v="9.73"/>
    <n v="4.5999999999999996"/>
    <n v="1.5"/>
    <n v="42.17647058823529"/>
    <s v="NO"/>
    <n v="18.460231395292535"/>
    <n v="7.4267671143185021"/>
    <n v="0.63258180360744465"/>
    <n v="0.52967088465926482"/>
    <n v="-1.263131390437348"/>
    <n v="2.3742425889040861"/>
    <x v="1"/>
    <x v="1"/>
    <x v="0"/>
    <x v="0"/>
    <x v="0"/>
    <x v="0"/>
  </r>
  <r>
    <x v="0"/>
    <s v="KWR"/>
    <n v="1766"/>
    <n v="109.65"/>
    <n v="7.01"/>
    <n v="78.39"/>
    <n v="5.29"/>
    <n v="15.641940085592013"/>
    <n v="1.3987753539992347"/>
    <n v="6.79"/>
    <n v="4.28"/>
    <n v="1.92"/>
    <n v="20.727788279773158"/>
    <s v="NO"/>
    <n v="0.58317002811720564"/>
    <n v="1.1458245451762668"/>
    <n v="0.28164308526886223"/>
    <n v="0.39510274940119122"/>
    <n v="-0.74893631114426851"/>
    <n v="0.9723604050697281"/>
    <x v="0"/>
    <x v="0"/>
    <x v="0"/>
    <x v="0"/>
    <x v="0"/>
    <x v="0"/>
  </r>
  <r>
    <x v="0"/>
    <s v="MTX"/>
    <n v="1661"/>
    <n v="58.77"/>
    <n v="2.65"/>
    <n v="50.37"/>
    <n v="-0.74"/>
    <n v="22.177358490566039"/>
    <n v="1.1667659321024419"/>
    <n v="-1.18"/>
    <n v="5.03"/>
    <n v="2.13"/>
    <n v="-79.418918918918919"/>
    <s v="NO"/>
    <n v="1.014040775321869"/>
    <n v="0.52190003956638342"/>
    <n v="-0.66971119539729462"/>
    <n v="0.71049681641230178"/>
    <n v="-0.49183877149772881"/>
    <n v="-5.5732111397208337"/>
    <x v="0"/>
    <x v="0"/>
    <x v="0"/>
    <x v="0"/>
    <x v="0"/>
    <x v="1"/>
  </r>
  <r>
    <x v="0"/>
    <s v="NGVT"/>
    <n v="1430"/>
    <n v="43.21"/>
    <n v="2.62"/>
    <n v="6.45"/>
    <n v="-9.74"/>
    <n v="16.492366412213741"/>
    <n v="6.69922480620155"/>
    <n v="-88.14"/>
    <n v="7.66"/>
    <n v="8.76"/>
    <n v="-4.4363449691991788"/>
    <s v="NO"/>
    <n v="0.63923741418006896"/>
    <n v="15.399902146587777"/>
    <n v="-11.049857775915363"/>
    <n v="1.8164786780645961"/>
    <n v="7.6250978373430272"/>
    <n v="-0.67236301271572019"/>
    <x v="0"/>
    <x v="1"/>
    <x v="1"/>
    <x v="0"/>
    <x v="1"/>
    <x v="0"/>
  </r>
  <r>
    <x v="0"/>
    <s v="PRM"/>
    <n v="1525"/>
    <n v="12.17"/>
    <n v="1.19"/>
    <n v="7.83"/>
    <n v="-0.04"/>
    <n v="10.226890756302522"/>
    <n v="1.5542784163473817"/>
    <n v="-0.51"/>
    <n v="-0.1"/>
    <n v="2.09"/>
    <n v="-304.25"/>
    <s v="NO"/>
    <n v="0.22616360464394897"/>
    <n v="1.564006576333389"/>
    <n v="-0.5897353650276177"/>
    <n v="-1.4467986019436947"/>
    <n v="-0.54080973143040312"/>
    <n v="-20.268131900211337"/>
    <x v="0"/>
    <x v="0"/>
    <x v="0"/>
    <x v="0"/>
    <x v="0"/>
    <x v="1"/>
  </r>
  <r>
    <x v="0"/>
    <s v="RYAM"/>
    <n v="263"/>
    <n v="4.0199999999999996"/>
    <n v="1.46"/>
    <n v="10.82"/>
    <n v="-0.64"/>
    <n v="2.7534246575342465"/>
    <n v="0.37153419593345649"/>
    <n v="-5.7"/>
    <n v="2.41"/>
    <n v="2.98"/>
    <n v="-6.2812499999999991"/>
    <s v="NO"/>
    <n v="-0.26655127949173685"/>
    <n v="-1.6166534888986706"/>
    <n v="-1.2092496331151152"/>
    <n v="-0.39127979101317789"/>
    <n v="0.54879412707159902"/>
    <n v="-0.792945687975247"/>
    <x v="0"/>
    <x v="0"/>
    <x v="0"/>
    <x v="0"/>
    <x v="0"/>
    <x v="0"/>
  </r>
  <r>
    <x v="0"/>
    <s v="SCL"/>
    <n v="1207"/>
    <n v="54.98"/>
    <n v="1.72"/>
    <n v="52.5"/>
    <n v="2.4500000000000002"/>
    <n v="31.965116279069765"/>
    <n v="1.0472380952380951"/>
    <n v="4.6500000000000004"/>
    <n v="2.0099999999999998"/>
    <n v="1.99"/>
    <n v="22.440816326530609"/>
    <s v="NO"/>
    <n v="1.6593335860440039"/>
    <n v="0.20046332414117526"/>
    <n v="2.6197895729894165E-2"/>
    <n v="-0.55948996008577034"/>
    <n v="-0.6632371312620885"/>
    <n v="1.0843236233514588"/>
    <x v="0"/>
    <x v="0"/>
    <x v="0"/>
    <x v="0"/>
    <x v="0"/>
    <x v="0"/>
  </r>
  <r>
    <x v="0"/>
    <s v="VHI"/>
    <n v="501"/>
    <n v="16.18"/>
    <n v="0.46"/>
    <n v="36.35"/>
    <n v="3.79"/>
    <n v="35.173913043478258"/>
    <n v="0.44511691884456667"/>
    <n v="12.15"/>
    <n v="4.82"/>
    <n v="2.7"/>
    <n v="4.2691292875989442"/>
    <s v="NO"/>
    <n v="1.8708849472324982"/>
    <n v="-1.4187733181779911"/>
    <n v="0.92144972822627769"/>
    <n v="0.62218647764919088"/>
    <n v="0.20599740754287951"/>
    <n v="-0.10337471371801987"/>
    <x v="0"/>
    <x v="0"/>
    <x v="0"/>
    <x v="0"/>
    <x v="0"/>
    <x v="0"/>
  </r>
  <r>
    <x v="1"/>
    <s v="CPAC"/>
    <n v="474"/>
    <n v="5.7"/>
    <n v="0.19"/>
    <n v="0.8"/>
    <n v="0.13"/>
    <n v="30"/>
    <n v="7.125"/>
    <n v="16.14"/>
    <n v="7.65"/>
    <n v="2.52"/>
    <n v="43.846153846153847"/>
    <s v="NO"/>
    <n v="0.99999999999969802"/>
    <n v="1"/>
    <n v="-1.0000000000000018"/>
    <n v="0.99999999999999811"/>
    <n v="0.99999999999999778"/>
    <n v="1.0000000000000002"/>
    <x v="0"/>
    <x v="0"/>
    <x v="0"/>
    <x v="0"/>
    <x v="0"/>
    <x v="0"/>
  </r>
  <r>
    <x v="1"/>
    <s v="LOMA"/>
    <n v="1296"/>
    <n v="12.27"/>
    <n v="0.42"/>
    <n v="6.6"/>
    <n v="1.28"/>
    <n v="29.214285714285715"/>
    <n v="1.8590909090909091"/>
    <n v="21.43"/>
    <n v="4.8899999999999997"/>
    <n v="1.78"/>
    <n v="9.5859375"/>
    <s v="NO"/>
    <n v="-0.99999999999969802"/>
    <n v="-1"/>
    <n v="1.0000000000000018"/>
    <n v="-0.99999999999999745"/>
    <n v="-0.99999999999999711"/>
    <n v="-1.0000000000000002"/>
    <x v="0"/>
    <x v="0"/>
    <x v="0"/>
    <x v="0"/>
    <x v="0"/>
    <x v="0"/>
  </r>
  <r>
    <x v="2"/>
    <s v="MYE"/>
    <n v="433"/>
    <n v="12.59"/>
    <n v="1.1399999999999999"/>
    <n v="7.43"/>
    <n v="0.28000000000000003"/>
    <n v="11.043859649122808"/>
    <n v="1.6944818304172276"/>
    <n v="3.69"/>
    <n v="5.28"/>
    <n v="3.19"/>
    <n v="44.964285714285708"/>
    <s v="NO"/>
    <n v="-1.399190977811769"/>
    <n v="0.57313477173892102"/>
    <n v="0.83567294756909283"/>
    <n v="1.252676321363599"/>
    <n v="-0.2406956572624642"/>
    <n v="1.2456000819042499"/>
    <x v="0"/>
    <x v="0"/>
    <x v="0"/>
    <x v="0"/>
    <x v="0"/>
    <x v="0"/>
  </r>
  <r>
    <x v="2"/>
    <s v="OI"/>
    <n v="1991"/>
    <n v="13.78"/>
    <n v="0.32"/>
    <n v="7.2"/>
    <n v="-1.26"/>
    <n v="43.0625"/>
    <n v="1.9138888888888888"/>
    <n v="-11.45"/>
    <n v="3.58"/>
    <n v="7.84"/>
    <n v="-10.936507936507937"/>
    <s v="NO"/>
    <n v="1.1445926545199787"/>
    <n v="0.99809183199362228"/>
    <n v="-1.4943617533878251"/>
    <n v="0.38080334436539298"/>
    <n v="1.6973732713443912"/>
    <n v="-0.92136309097911251"/>
    <x v="0"/>
    <x v="0"/>
    <x v="0"/>
    <x v="0"/>
    <x v="0"/>
    <x v="0"/>
  </r>
  <r>
    <x v="2"/>
    <s v="TRS"/>
    <n v="993"/>
    <n v="24.13"/>
    <n v="0.64"/>
    <n v="16.86"/>
    <n v="0.77"/>
    <n v="37.703125"/>
    <n v="1.4311981020166074"/>
    <n v="4.6399999999999997"/>
    <n v="2.59"/>
    <n v="2.0299999999999998"/>
    <n v="31.337662337662337"/>
    <s v="NO"/>
    <n v="0.71880660442136901"/>
    <n v="6.3195483489104545E-2"/>
    <n v="0.9818772385802601"/>
    <n v="-0.12693444812179766"/>
    <n v="-0.72417091687191648"/>
    <n v="0.71737160607338568"/>
    <x v="0"/>
    <x v="0"/>
    <x v="0"/>
    <x v="0"/>
    <x v="0"/>
    <x v="0"/>
  </r>
  <r>
    <x v="2"/>
    <s v="PACK"/>
    <n v="257"/>
    <n v="3.65"/>
    <n v="0.16"/>
    <n v="6.58"/>
    <n v="-0.26"/>
    <n v="22.8125"/>
    <n v="0.55471124620060785"/>
    <n v="-3.84"/>
    <n v="-0.1"/>
    <n v="2.0099999999999998"/>
    <n v="-14.038461538461538"/>
    <s v="NO"/>
    <n v="-0.46420828112957851"/>
    <n v="-1.6344220872216475"/>
    <n v="-0.32318843276152753"/>
    <n v="-1.5065452176071941"/>
    <n v="-0.73250669721001049"/>
    <n v="-1.0416085969985234"/>
    <x v="0"/>
    <x v="0"/>
    <x v="0"/>
    <x v="0"/>
    <x v="0"/>
    <x v="0"/>
  </r>
  <r>
    <x v="3"/>
    <s v="CENX"/>
    <n v="1476"/>
    <n v="17.18"/>
    <n v="-1.1499999999999999"/>
    <n v="7.44"/>
    <n v="3.27"/>
    <n v="-14.93913043478261"/>
    <n v="2.3091397849462365"/>
    <n v="60.15"/>
    <n v="4.01"/>
    <n v="2.79"/>
    <n v="5.2538226299694184"/>
    <s v="NO"/>
    <n v="-0.30123107497528623"/>
    <n v="0.82660920885602951"/>
    <n v="3.6404243214864658"/>
    <n v="0.51523323829067635"/>
    <n v="1.4673005833950983"/>
    <n v="0.29738901844458171"/>
    <x v="0"/>
    <x v="0"/>
    <x v="1"/>
    <x v="0"/>
    <x v="0"/>
    <x v="0"/>
  </r>
  <r>
    <x v="3"/>
    <s v="CSTM"/>
    <n v="1539"/>
    <n v="12.32"/>
    <n v="-0.59"/>
    <n v="5.21"/>
    <n v="0.5"/>
    <n v="-20.881355932203391"/>
    <n v="2.36468330134357"/>
    <n v="8.6999999999999993"/>
    <n v="3.66"/>
    <n v="6.94"/>
    <n v="24.64"/>
    <s v="NO"/>
    <n v="-0.57259757119456567"/>
    <n v="0.89629198691449485"/>
    <n v="0.86062168425698438"/>
    <n v="0.47332993692790787"/>
    <n v="7.6529514116166659"/>
    <n v="1.1507370793704714"/>
    <x v="0"/>
    <x v="0"/>
    <x v="0"/>
    <x v="0"/>
    <x v="1"/>
    <x v="0"/>
  </r>
  <r>
    <x v="3"/>
    <s v="KALU"/>
    <n v="1075"/>
    <n v="71.400000000000006"/>
    <n v="-1.75"/>
    <n v="47.29"/>
    <n v="3.06"/>
    <n v="-40.800000000000004"/>
    <n v="1.5098329456544726"/>
    <n v="7.06"/>
    <n v="2.87"/>
    <n v="3.22"/>
    <n v="23.333333333333336"/>
    <s v="NO"/>
    <n v="-1.4822319585908448"/>
    <n v="-0.17617067790057225"/>
    <n v="0.77201378678261401"/>
    <n v="0.37874819956623024"/>
    <n v="2.1082234402951645"/>
    <n v="1.0932197336352438"/>
    <x v="0"/>
    <x v="0"/>
    <x v="0"/>
    <x v="0"/>
    <x v="0"/>
    <x v="0"/>
  </r>
  <r>
    <x v="3"/>
    <s v="TG"/>
    <n v="282"/>
    <n v="8.4600000000000009"/>
    <n v="0.32"/>
    <n v="5.34"/>
    <n v="0.03"/>
    <n v="26.437500000000004"/>
    <n v="1.5842696629213484"/>
    <n v="0.62"/>
    <n v="3.91"/>
    <n v="1.97"/>
    <n v="282.00000000000006"/>
    <s v="NO"/>
    <n v="1.5883355918098374"/>
    <n v="-8.2785210340267271E-2"/>
    <n v="0.42406570157837964"/>
    <n v="0.5032608664727426"/>
    <n v="0.24507560046939098"/>
    <n v="12.479306542445626"/>
    <x v="0"/>
    <x v="0"/>
    <x v="0"/>
    <x v="0"/>
    <x v="0"/>
    <x v="1"/>
  </r>
  <r>
    <x v="3"/>
    <s v="CMP"/>
    <n v="591"/>
    <n v="19.73"/>
    <n v="-0.6"/>
    <n v="6.34"/>
    <n v="-3.74"/>
    <n v="-32.883333333333333"/>
    <n v="3.1119873817034702"/>
    <n v="-42.72"/>
    <n v="0.97"/>
    <n v="6.54"/>
    <n v="-5.2754010695187166"/>
    <s v="NO"/>
    <n v="-1.1206976990778437"/>
    <n v="1.8338311949363433"/>
    <n v="-1.9175600767991856"/>
    <n v="0.1512731350254867"/>
    <n v="7.0567441028724183"/>
    <n v="-0.16609031817302969"/>
    <x v="0"/>
    <x v="0"/>
    <x v="0"/>
    <x v="0"/>
    <x v="1"/>
    <x v="0"/>
  </r>
  <r>
    <x v="3"/>
    <s v="CNL"/>
    <n v="835"/>
    <n v="9.14"/>
    <n v="-0.33"/>
    <n v="0.48"/>
    <n v="-0.39"/>
    <n v="-27.696969696969699"/>
    <n v="19.041666666666668"/>
    <n v="-108.38"/>
    <n v="-50.05"/>
    <n v="1.1499999999999999"/>
    <n v="-23.435897435897438"/>
    <s v="NO"/>
    <n v="-0.88384951337200623"/>
    <n v="21.818599501933832"/>
    <n v="-5.4651177281206191"/>
    <n v="-5.9570309664843739"/>
    <n v="-0.97714938245631644"/>
    <n v="-0.96548589079676783"/>
    <x v="0"/>
    <x v="1"/>
    <x v="1"/>
    <x v="1"/>
    <x v="0"/>
    <x v="0"/>
  </r>
  <r>
    <x v="3"/>
    <s v="GSM"/>
    <n v="636"/>
    <n v="4"/>
    <n v="0.87"/>
    <n v="3.85"/>
    <n v="0.12"/>
    <n v="4.5977011494252871"/>
    <n v="1.0389610389610389"/>
    <n v="2.44"/>
    <n v="3.14"/>
    <n v="2.04"/>
    <n v="33.333333333333336"/>
    <s v="NO"/>
    <n v="0.59096689639652145"/>
    <n v="-0.76690861990203008"/>
    <n v="0.52239885609261982"/>
    <n v="0.41107360347465172"/>
    <n v="0.34941187949963437"/>
    <n v="1.5334035020170886"/>
    <x v="0"/>
    <x v="0"/>
    <x v="0"/>
    <x v="0"/>
    <x v="0"/>
    <x v="0"/>
  </r>
  <r>
    <x v="3"/>
    <s v="IE"/>
    <n v="838"/>
    <n v="6.8"/>
    <n v="-1.46"/>
    <n v="2.23"/>
    <n v="-1.07"/>
    <n v="-4.6575342465753424"/>
    <n v="3.0493273542600896"/>
    <n v="-42.72"/>
    <n v="-25.66"/>
    <n v="1.4"/>
    <n v="-6.3551401869158877"/>
    <s v="NO"/>
    <n v="0.16830356896347681"/>
    <n v="1.7552203134386772"/>
    <n v="-1.9175600767991856"/>
    <n v="-3.0369694800903031"/>
    <n v="-0.60451981449116177"/>
    <n v="-0.21361868152954705"/>
    <x v="0"/>
    <x v="0"/>
    <x v="0"/>
    <x v="0"/>
    <x v="0"/>
    <x v="0"/>
  </r>
  <r>
    <x v="3"/>
    <s v="LAC"/>
    <n v="671"/>
    <n v="3.04"/>
    <n v="-0.95"/>
    <n v="2.91"/>
    <n v="-0.21"/>
    <n v="-3.2"/>
    <n v="1.0446735395189004"/>
    <n v="-6.41"/>
    <n v="-2.39"/>
    <n v="1.65"/>
    <n v="-14.476190476190476"/>
    <s v="NO"/>
    <n v="0.23486549290669231"/>
    <n v="-0.759741934492976"/>
    <n v="4.4240384965682736E-2"/>
    <n v="-0.25099855805709137"/>
    <n v="-0.23189024652600709"/>
    <n v="-0.57109413348468274"/>
    <x v="0"/>
    <x v="0"/>
    <x v="0"/>
    <x v="0"/>
    <x v="0"/>
    <x v="0"/>
  </r>
  <r>
    <x v="3"/>
    <s v="LZM"/>
    <n v="290"/>
    <n v="3.66"/>
    <n v="-0.85"/>
    <n v="1.1299999999999999"/>
    <n v="-0.59"/>
    <n v="-4.3058823529411772"/>
    <n v="3.2389380530973457"/>
    <n v="-41.41"/>
    <n v="-16.32"/>
    <n v="1.75"/>
    <n v="-6.2033898305084749"/>
    <s v="NO"/>
    <n v="0.18436262668617651"/>
    <n v="1.9930986672337454"/>
    <n v="-1.8467818172312434"/>
    <n v="-1.9187499522952796"/>
    <n v="-8.2838419339945096E-2"/>
    <n v="-0.20693887715587672"/>
    <x v="0"/>
    <x v="0"/>
    <x v="0"/>
    <x v="0"/>
    <x v="0"/>
    <x v="0"/>
  </r>
  <r>
    <x v="3"/>
    <s v="MTRN"/>
    <n v="1511"/>
    <n v="78.64"/>
    <n v="2.02"/>
    <n v="42.66"/>
    <n v="0.49"/>
    <n v="38.930693069306933"/>
    <n v="1.8434130332864511"/>
    <n v="1.1399999999999999"/>
    <n v="4.95"/>
    <n v="1.97"/>
    <n v="160.48979591836735"/>
    <s v="NO"/>
    <n v="2.1588683040538168"/>
    <n v="0.24232618219917029"/>
    <n v="0.45216088858244824"/>
    <n v="0.62777353337925468"/>
    <n v="0.24507560046939098"/>
    <n v="7.1306245894956186"/>
    <x v="0"/>
    <x v="0"/>
    <x v="0"/>
    <x v="0"/>
    <x v="0"/>
    <x v="1"/>
  </r>
  <r>
    <x v="3"/>
    <s v="NAK"/>
    <n v="576"/>
    <n v="1.01"/>
    <n v="-0.02"/>
    <n v="0.13"/>
    <n v="-0.05"/>
    <n v="-50.5"/>
    <n v="7.7692307692307692"/>
    <n v="-32.79"/>
    <n v="-8.3000000000000007"/>
    <n v="1.41"/>
    <n v="-20.2"/>
    <s v="NO"/>
    <n v="-1.9252065670888794"/>
    <n v="7.6766311900929445"/>
    <n v="-1.3810500634330289"/>
    <n v="-0.95856573249698307"/>
    <n v="-0.58961463177255558"/>
    <n v="-0.82304693805371953"/>
    <x v="0"/>
    <x v="1"/>
    <x v="0"/>
    <x v="0"/>
    <x v="0"/>
    <x v="0"/>
  </r>
  <r>
    <x v="3"/>
    <s v="NEXA"/>
    <n v="682"/>
    <n v="5.32"/>
    <n v="0.09"/>
    <n v="6.56"/>
    <n v="-1.27"/>
    <n v="59.111111111111114"/>
    <n v="0.81097560975609762"/>
    <n v="-11.58"/>
    <n v="3.84"/>
    <n v="5.38"/>
    <n v="-4.1889763779527565"/>
    <s v="NO"/>
    <n v="3.0804572505893719"/>
    <n v="-1.0529304473680094"/>
    <n v="-0.23509060890169178"/>
    <n v="0.4948802062001888"/>
    <n v="5.3277429075141001"/>
    <n v="-0.11826766669337092"/>
    <x v="1"/>
    <x v="0"/>
    <x v="0"/>
    <x v="0"/>
    <x v="1"/>
    <x v="0"/>
  </r>
  <r>
    <x v="3"/>
    <s v="NMG"/>
    <n v="265"/>
    <n v="2.0099999999999998"/>
    <n v="-0.45"/>
    <n v="0.7"/>
    <n v="-0.49"/>
    <n v="-4.4666666666666659"/>
    <n v="2.8714285714285714"/>
    <n v="-70.44"/>
    <n v="-32.880000000000003"/>
    <n v="1.33"/>
    <n v="-4.1020408163265305"/>
    <s v="NO"/>
    <n v="0.17702001138461221"/>
    <n v="1.5320352829440118"/>
    <n v="-3.4152496609391512"/>
    <n v="-3.901374725345129"/>
    <n v="-0.70885609352140477"/>
    <n v="-0.11444090438106851"/>
    <x v="0"/>
    <x v="0"/>
    <x v="1"/>
    <x v="1"/>
    <x v="0"/>
    <x v="0"/>
  </r>
  <r>
    <x v="3"/>
    <s v="SGML"/>
    <n v="782"/>
    <n v="7.82"/>
    <n v="-0.32"/>
    <n v="0.83"/>
    <n v="-0.44"/>
    <n v="-24.4375"/>
    <n v="9.4216867469879517"/>
    <n v="-40.32"/>
    <n v="-0.81"/>
    <n v="3.54"/>
    <n v="-17.772727272727273"/>
    <s v="NO"/>
    <n v="-0.73499772853423695"/>
    <n v="9.7497394593952151"/>
    <n v="-1.7878899829342536"/>
    <n v="-6.1835083333736184E-2"/>
    <n v="2.5851892872905622"/>
    <n v="-0.71620233245558096"/>
    <x v="0"/>
    <x v="1"/>
    <x v="0"/>
    <x v="0"/>
    <x v="0"/>
    <x v="0"/>
  </r>
  <r>
    <x v="3"/>
    <s v="SLI"/>
    <n v="275"/>
    <n v="1.64"/>
    <n v="-0.24"/>
    <n v="1.33"/>
    <n v="0.61"/>
    <n v="-6.833333333333333"/>
    <n v="1.2330827067669172"/>
    <n v="61.97"/>
    <n v="-9.59"/>
    <n v="1.1399999999999999"/>
    <n v="2.6885245901639343"/>
    <s v="NO"/>
    <n v="6.8940295909146659E-2"/>
    <n v="-0.5233709764210065"/>
    <n v="3.7387574760007061"/>
    <n v="-1.1130093289483298"/>
    <n v="-0.99205456517492263"/>
    <n v="0.18446876262616799"/>
    <x v="0"/>
    <x v="0"/>
    <x v="1"/>
    <x v="0"/>
    <x v="0"/>
    <x v="0"/>
  </r>
  <r>
    <x v="3"/>
    <s v="SLSR"/>
    <n v="707"/>
    <n v="4.12"/>
    <n v="-0.39"/>
    <n v="-0.11"/>
    <n v="-0.49"/>
    <n v="-10.564102564102564"/>
    <n v="-37.454545454545453"/>
    <n v="-955.21"/>
    <n v="-76.64"/>
    <n v="-3.33"/>
    <n v="-8.408163265306122"/>
    <s v="NO"/>
    <n v="-0.10143455351317443"/>
    <n v="-49.05939428989258"/>
    <n v="-51.218670056304134"/>
    <n v="-9.1404846328729885"/>
    <n v="-7.6546712403918882"/>
    <n v="-0.30398942505161791"/>
    <x v="0"/>
    <x v="1"/>
    <x v="1"/>
    <x v="1"/>
    <x v="1"/>
    <x v="0"/>
  </r>
  <r>
    <x v="3"/>
    <s v="TMC"/>
    <n v="1044"/>
    <n v="2.97"/>
    <n v="-0.14000000000000001"/>
    <n v="-0.05"/>
    <n v="-0.25"/>
    <n v="-21.214285714285715"/>
    <n v="-59.4"/>
    <n v="2643.3"/>
    <n v="-77.040000000000006"/>
    <n v="-3.68"/>
    <n v="-11.88"/>
    <s v="NO"/>
    <n v="-0.58780163716108669"/>
    <n v="-76.591324885422281"/>
    <n v="143.20596722448619"/>
    <n v="-9.1883741201447258"/>
    <n v="-8.176352635543104"/>
    <n v="-0.45681404276002491"/>
    <x v="0"/>
    <x v="1"/>
    <x v="1"/>
    <x v="1"/>
    <x v="1"/>
    <x v="0"/>
  </r>
  <r>
    <x v="3"/>
    <s v="TMQ"/>
    <n v="263"/>
    <n v="1.37"/>
    <n v="-0.01"/>
    <n v="0.8"/>
    <n v="-0.05"/>
    <n v="-137"/>
    <n v="1.7125000000000001"/>
    <n v="-6.43"/>
    <n v="-3.28"/>
    <n v="1.01"/>
    <n v="-27.400000000000002"/>
    <s v="NO"/>
    <n v="-5.8754440552414584"/>
    <n v="7.8087681737607634E-2"/>
    <n v="4.3159800850141657E-2"/>
    <n v="-0.35755266723670276"/>
    <n v="-1.1858219405168029"/>
    <n v="-1.1399792512886477"/>
    <x v="1"/>
    <x v="0"/>
    <x v="0"/>
    <x v="0"/>
    <x v="0"/>
    <x v="0"/>
  </r>
  <r>
    <x v="3"/>
    <s v="UAMY"/>
    <n v="445"/>
    <n v="2.58"/>
    <n v="0.02"/>
    <n v="0.25"/>
    <n v="-0.02"/>
    <n v="129"/>
    <n v="10.32"/>
    <n v="-6.39"/>
    <n v="-4.74"/>
    <n v="1.21"/>
    <n v="-129"/>
    <s v="NO"/>
    <n v="6.2721070643953727"/>
    <n v="10.876729018155343"/>
    <n v="4.5320969081223864E-2"/>
    <n v="-0.53234929577853729"/>
    <n v="-0.88771828614467918"/>
    <n v="-5.6122463380481884"/>
    <x v="1"/>
    <x v="1"/>
    <x v="0"/>
    <x v="0"/>
    <x v="0"/>
    <x v="1"/>
  </r>
  <r>
    <x v="3"/>
    <s v="USAR"/>
    <n v="963"/>
    <n v="8.85"/>
    <n v="-7.0000000000000007E-2"/>
    <n v="-0.28000000000000003"/>
    <n v="-0.11"/>
    <n v="-126.42857142857142"/>
    <n v="-31.607142857142854"/>
    <n v="-34"/>
    <n v="-15.41"/>
    <n v="-1.1000000000000001"/>
    <n v="-80.454545454545453"/>
    <s v="NO"/>
    <n v="-5.3926734951699613"/>
    <n v="-41.723465925211997"/>
    <n v="-1.4464254024232657"/>
    <n v="-1.8098013687520813"/>
    <n v="-4.3308154941427084"/>
    <n v="-3.475354226085416"/>
    <x v="1"/>
    <x v="1"/>
    <x v="0"/>
    <x v="0"/>
    <x v="1"/>
    <x v="1"/>
  </r>
  <r>
    <x v="3"/>
    <s v="USAS"/>
    <n v="394"/>
    <n v="0.5575"/>
    <n v="-0.08"/>
    <n v="0.09"/>
    <n v="-0.17"/>
    <n v="-6.96875"/>
    <n v="6.1944444444444446"/>
    <n v="-77.81"/>
    <n v="-8.7899999999999991"/>
    <n v="3.6"/>
    <n v="-3.2794117647058822"/>
    <s v="NO"/>
    <n v="6.2756157259582154E-2"/>
    <n v="5.7009643062285278"/>
    <n v="-3.8134449075160468"/>
    <n v="-1.0172303544048589"/>
    <n v="2.6746203836021993"/>
    <n v="-7.823010878879251E-2"/>
    <x v="0"/>
    <x v="1"/>
    <x v="1"/>
    <x v="0"/>
    <x v="0"/>
    <x v="0"/>
  </r>
  <r>
    <x v="3"/>
    <s v="VZLA"/>
    <n v="667"/>
    <n v="2.37"/>
    <n v="-0.11"/>
    <n v="0.88"/>
    <n v="-0.01"/>
    <n v="-21.545454545454547"/>
    <n v="2.6931818181818183"/>
    <n v="-1.63"/>
    <n v="-4.5199999999999996"/>
    <n v="1.01"/>
    <n v="-237"/>
    <s v="NO"/>
    <n v="-0.60292528492745412"/>
    <n v="1.3084137020328714"/>
    <n v="0.30249998858000582"/>
    <n v="-0.50601007777908269"/>
    <n v="-1.1858219405168029"/>
    <n v="-10.36623103657211"/>
    <x v="0"/>
    <x v="0"/>
    <x v="0"/>
    <x v="0"/>
    <x v="0"/>
    <x v="1"/>
  </r>
  <r>
    <x v="3"/>
    <s v="ERO"/>
    <n v="1390"/>
    <n v="13.4"/>
    <n v="-1.86"/>
    <n v="5.67"/>
    <n v="-0.66"/>
    <n v="-7.204301075268817"/>
    <n v="2.3633156966490301"/>
    <n v="-9.68"/>
    <n v="4.49"/>
    <n v="2.48"/>
    <n v="-20.303030303030301"/>
    <s v="NO"/>
    <n v="5.1999131965922832E-2"/>
    <n v="0.89457624220507437"/>
    <n v="-0.1324351179252872"/>
    <n v="0.57270062301675906"/>
    <n v="1.0052399191183066"/>
    <n v="-0.82758216475825963"/>
    <x v="0"/>
    <x v="0"/>
    <x v="0"/>
    <x v="0"/>
    <x v="0"/>
    <x v="0"/>
  </r>
  <r>
    <x v="3"/>
    <s v="MTAL"/>
    <n v="759"/>
    <n v="10.06"/>
    <n v="0.79"/>
    <n v="6.74"/>
    <n v="-1.1399999999999999"/>
    <n v="12.734177215189874"/>
    <n v="1.4925816023738874"/>
    <n v="-19.84"/>
    <n v="3.48"/>
    <n v="2.5299999999999998"/>
    <n v="-8.8245614035087723"/>
    <s v="NO"/>
    <n v="0.96253929843628427"/>
    <n v="-0.19781355546763119"/>
    <n v="-0.68137184862016631"/>
    <n v="0.45177966765562688"/>
    <n v="1.0797658327113371"/>
    <n v="-0.32231859521374057"/>
    <x v="0"/>
    <x v="0"/>
    <x v="0"/>
    <x v="0"/>
    <x v="0"/>
    <x v="0"/>
  </r>
  <r>
    <x v="3"/>
    <s v="TGB"/>
    <n v="610"/>
    <n v="2.0699999999999998"/>
    <n v="-0.39"/>
    <n v="1.1200000000000001"/>
    <n v="-0.14000000000000001"/>
    <n v="-5.3076923076923075"/>
    <n v="1.8482142857142854"/>
    <n v="-12.52"/>
    <n v="1.04"/>
    <n v="4.37"/>
    <n v="-14.785714285714283"/>
    <s v="NO"/>
    <n v="0.13861248519181404"/>
    <n v="0.24834965044590707"/>
    <n v="-0.28587806233212348"/>
    <n v="0.15965379529804041"/>
    <n v="3.8223194529348756"/>
    <n v="-0.58471886917269211"/>
    <x v="0"/>
    <x v="0"/>
    <x v="0"/>
    <x v="0"/>
    <x v="1"/>
    <x v="0"/>
  </r>
  <r>
    <x v="3"/>
    <s v="AMRQF"/>
    <n v="458"/>
    <n v="0.71"/>
    <n v="-0.21"/>
    <n v="0.28999999999999998"/>
    <n v="-0.02"/>
    <n v="-3.3809523809523809"/>
    <n v="2.4482758620689657"/>
    <n v="-17.670000000000002"/>
    <n v="-7.02"/>
    <n v="1.27"/>
    <n v="-35.5"/>
    <s v="NO"/>
    <n v="0.22660185268925229"/>
    <n v="1.001164026608514"/>
    <n v="-0.564128472083957"/>
    <n v="-0.80531937322742941"/>
    <n v="-0.79828718983304203"/>
    <n v="-1.4965281036779416"/>
    <x v="0"/>
    <x v="0"/>
    <x v="0"/>
    <x v="0"/>
    <x v="0"/>
    <x v="0"/>
  </r>
  <r>
    <x v="3"/>
    <s v="ARMN"/>
    <n v="1024"/>
    <n v="5.82"/>
    <n v="-0.34"/>
    <n v="4.67"/>
    <n v="0.14000000000000001"/>
    <n v="-17.117647058823529"/>
    <n v="1.246252676659529"/>
    <n v="2.73"/>
    <n v="4.41"/>
    <n v="2.5"/>
    <n v="41.571428571428569"/>
    <s v="NO"/>
    <n v="-0.40071845112384152"/>
    <n v="-0.50684843430288462"/>
    <n v="0.53806732576796579"/>
    <n v="0.56312272556241194"/>
    <n v="1.035050284555519"/>
    <n v="1.8960310826364175"/>
    <x v="0"/>
    <x v="0"/>
    <x v="0"/>
    <x v="0"/>
    <x v="0"/>
    <x v="0"/>
  </r>
  <r>
    <x v="3"/>
    <s v="CGAU"/>
    <n v="1528"/>
    <n v="6.6"/>
    <n v="0.65"/>
    <n v="7.88"/>
    <n v="0.35"/>
    <n v="10.153846153846153"/>
    <n v="0.8375634517766497"/>
    <n v="4.83"/>
    <n v="1.98"/>
    <n v="1.37"/>
    <n v="18.857142857142858"/>
    <s v="NO"/>
    <n v="0.84470206733380448"/>
    <n v="-1.0195743544386713"/>
    <n v="0.65152865789978132"/>
    <n v="0.27219409038661879"/>
    <n v="-0.64923536264698001"/>
    <n v="0.8961850944547991"/>
    <x v="0"/>
    <x v="0"/>
    <x v="0"/>
    <x v="0"/>
    <x v="0"/>
    <x v="0"/>
  </r>
  <r>
    <x v="3"/>
    <s v="CMCL"/>
    <n v="267"/>
    <n v="14.27"/>
    <n v="0.55000000000000004"/>
    <n v="11.13"/>
    <n v="0.91"/>
    <n v="25.945454545454542"/>
    <n v="1.2821203953279423"/>
    <n v="10.050000000000001"/>
    <n v="10.1"/>
    <n v="1.63"/>
    <n v="15.681318681318681"/>
    <s v="NO"/>
    <n v="1.5658651131922587"/>
    <n v="-0.46185016192928829"/>
    <n v="0.93356111205600867"/>
    <n v="1.2443506820028492"/>
    <n v="-0.26170061196321948"/>
    <n v="0.75639046911155405"/>
    <x v="0"/>
    <x v="0"/>
    <x v="0"/>
    <x v="0"/>
    <x v="0"/>
    <x v="0"/>
  </r>
  <r>
    <x v="3"/>
    <s v="DC"/>
    <n v="310"/>
    <n v="2.87"/>
    <n v="-0.35"/>
    <n v="0.96"/>
    <n v="-0.37"/>
    <n v="-8.2000000000000011"/>
    <n v="2.9895833333333335"/>
    <n v="-34.630000000000003"/>
    <n v="-21.08"/>
    <n v="1.03"/>
    <n v="-7.756756756756757"/>
    <s v="NO"/>
    <n v="6.5280658458495896E-3"/>
    <n v="1.6802677425431241"/>
    <n v="-1.4804638020628105"/>
    <n v="-2.4886348508289315"/>
    <n v="-1.1560115750795905"/>
    <n v="-0.27531556788344591"/>
    <x v="0"/>
    <x v="0"/>
    <x v="0"/>
    <x v="0"/>
    <x v="0"/>
    <x v="0"/>
  </r>
  <r>
    <x v="3"/>
    <s v="DRD"/>
    <n v="1313"/>
    <n v="14.01"/>
    <n v="-0.28999999999999998"/>
    <n v="4.72"/>
    <n v="1.05"/>
    <n v="-48.310344827586206"/>
    <n v="2.968220338983051"/>
    <n v="24.45"/>
    <n v="14.15"/>
    <n v="1.34"/>
    <n v="13.342857142857142"/>
    <s v="NO"/>
    <n v="-1.8252105214449932"/>
    <n v="1.6534665443019834"/>
    <n v="1.7115816752456012"/>
    <n v="1.7292317406291708"/>
    <n v="-0.69395091080279858"/>
    <n v="0.65345518788995338"/>
    <x v="0"/>
    <x v="0"/>
    <x v="0"/>
    <x v="0"/>
    <x v="0"/>
    <x v="0"/>
  </r>
  <r>
    <x v="3"/>
    <s v="GAU"/>
    <n v="404"/>
    <n v="1.54"/>
    <n v="-0.04"/>
    <n v="0.95"/>
    <n v="0.02"/>
    <n v="-38.5"/>
    <n v="1.6210526315789475"/>
    <n v="3.81"/>
    <n v="9.08"/>
    <n v="2.06"/>
    <n v="77"/>
    <s v="NO"/>
    <n v="-1.377196742142857"/>
    <n v="-3.663870022442553E-2"/>
    <n v="0.59641886800718513"/>
    <n v="1.1222324894599236"/>
    <n v="0.37922224493684675"/>
    <n v="3.4555392906178093"/>
    <x v="0"/>
    <x v="0"/>
    <x v="0"/>
    <x v="0"/>
    <x v="0"/>
    <x v="1"/>
  </r>
  <r>
    <x v="3"/>
    <s v="GROY"/>
    <n v="264"/>
    <n v="1.54"/>
    <n v="-0.27"/>
    <n v="3.28"/>
    <n v="-0.02"/>
    <n v="-5.7037037037037033"/>
    <n v="0.46951219512195125"/>
    <n v="-0.63"/>
    <n v="-0.35"/>
    <n v="1.32"/>
    <n v="-77"/>
    <s v="NO"/>
    <n v="0.12052764054141112"/>
    <n v="-1.4813174289704076"/>
    <n v="0.35652919435706087"/>
    <n v="-6.7621729712403714E-3"/>
    <n v="-0.72376127624001108"/>
    <n v="-3.3232907424625968"/>
    <x v="0"/>
    <x v="0"/>
    <x v="0"/>
    <x v="0"/>
    <x v="0"/>
    <x v="1"/>
  </r>
  <r>
    <x v="3"/>
    <s v="IAUX"/>
    <n v="273"/>
    <n v="0.50409999999999999"/>
    <n v="-0.21"/>
    <n v="0.72"/>
    <n v="-0.37"/>
    <n v="-2.4004761904761907"/>
    <n v="0.70013888888888887"/>
    <n v="-38.14"/>
    <n v="-8"/>
    <n v="2.0699999999999998"/>
    <n v="-1.3624324324324324"/>
    <s v="NO"/>
    <n v="0.27137773481480232"/>
    <n v="-1.1919819716839704"/>
    <n v="-1.6701063143402735"/>
    <n v="-0.92264861704318135"/>
    <n v="0.39412742765545261"/>
    <n v="6.1522098502314153E-3"/>
    <x v="0"/>
    <x v="0"/>
    <x v="0"/>
    <x v="0"/>
    <x v="0"/>
    <x v="0"/>
  </r>
  <r>
    <x v="3"/>
    <s v="ITRG"/>
    <n v="305"/>
    <n v="1.61"/>
    <n v="-0.13"/>
    <n v="0.77"/>
    <n v="-0.1"/>
    <n v="-12.384615384615385"/>
    <n v="2.0909090909090908"/>
    <n v="-11.11"/>
    <n v="-6.61"/>
    <n v="1.82"/>
    <n v="-16.100000000000001"/>
    <s v="NO"/>
    <n v="-0.18457279618660949"/>
    <n v="0.55282530022929088"/>
    <n v="-0.20969688218647589"/>
    <n v="-0.75623264877390073"/>
    <n v="2.1497859690298302E-2"/>
    <n v="-0.64257159301716338"/>
    <x v="0"/>
    <x v="0"/>
    <x v="0"/>
    <x v="0"/>
    <x v="0"/>
    <x v="0"/>
  </r>
  <r>
    <x v="3"/>
    <s v="MUX"/>
    <n v="422"/>
    <n v="7.21"/>
    <n v="-0.27"/>
    <n v="9.33"/>
    <n v="-0.86"/>
    <n v="-26.703703703703702"/>
    <n v="0.77277599142550912"/>
    <n v="-8.76"/>
    <n v="-1.19"/>
    <n v="1.34"/>
    <n v="-8.3837209302325579"/>
    <s v="NO"/>
    <n v="-0.83848955311412798"/>
    <n v="-1.1008542321533796"/>
    <n v="-8.2728248610396571E-2"/>
    <n v="-0.10733009624188487"/>
    <n v="-0.69395091080279858"/>
    <n v="-0.3029135131355446"/>
    <x v="0"/>
    <x v="0"/>
    <x v="0"/>
    <x v="0"/>
    <x v="0"/>
    <x v="0"/>
  </r>
  <r>
    <x v="3"/>
    <s v="NG"/>
    <n v="1308"/>
    <n v="3.5"/>
    <n v="-0.04"/>
    <n v="-0.17"/>
    <n v="-0.13"/>
    <n v="-87.5"/>
    <n v="-20.588235294117645"/>
    <n v="122.97"/>
    <n v="-12.82"/>
    <n v="-1.82"/>
    <n v="-26.923076923076923"/>
    <s v="NO"/>
    <n v="-3.6149035273391155"/>
    <n v="-27.899564595877116"/>
    <n v="7.0345390284010625"/>
    <n v="-1.4997169386675939"/>
    <n v="-5.4039886498823542"/>
    <n v="-1.1189858715658212"/>
    <x v="1"/>
    <x v="1"/>
    <x v="1"/>
    <x v="0"/>
    <x v="1"/>
    <x v="0"/>
  </r>
  <r>
    <x v="3"/>
    <s v="ODV"/>
    <n v="268"/>
    <n v="1.88"/>
    <n v="-0.73"/>
    <n v="2.91"/>
    <n v="-0.64"/>
    <n v="-2.5753424657534247"/>
    <n v="0.64604810996563566"/>
    <n v="-14.94"/>
    <n v="-5.21"/>
    <n v="1.5"/>
    <n v="-2.9374999999999996"/>
    <s v="NO"/>
    <n v="0.26339203173949899"/>
    <n v="-1.2598422006935175"/>
    <n v="-0.41662874031259667"/>
    <n v="-0.58861944332282656"/>
    <n v="-0.45546798730509974"/>
    <n v="-6.3179707884560316E-2"/>
    <x v="0"/>
    <x v="0"/>
    <x v="0"/>
    <x v="0"/>
    <x v="0"/>
    <x v="0"/>
  </r>
  <r>
    <x v="3"/>
    <s v="ORZCF"/>
    <n v="435"/>
    <n v="0.76"/>
    <n v="0.03"/>
    <n v="0.55000000000000004"/>
    <n v="0.13"/>
    <n v="25.333333333333336"/>
    <n v="1.3818181818181816"/>
    <n v="31.23"/>
    <n v="15.4"/>
    <n v="1.74"/>
    <n v="5.8461538461538458"/>
    <s v="NO"/>
    <n v="1.5379110766672348"/>
    <n v="-0.33677312000737747"/>
    <n v="2.0778996904140343"/>
    <n v="1.8788863883533442"/>
    <n v="-9.7743602058551302E-2"/>
    <n v="0.32346247713160797"/>
    <x v="0"/>
    <x v="0"/>
    <x v="0"/>
    <x v="0"/>
    <x v="0"/>
    <x v="0"/>
  </r>
  <r>
    <x v="3"/>
    <s v="PPTA"/>
    <n v="1050"/>
    <n v="12.275"/>
    <n v="-0.22"/>
    <n v="1.55"/>
    <n v="-0.22"/>
    <n v="-55.795454545454547"/>
    <n v="7.919354838709677"/>
    <n v="-15.99"/>
    <n v="-32.15"/>
    <n v="1.08"/>
    <n v="-55.795454545454547"/>
    <s v="NO"/>
    <n v="-2.1670366602942264"/>
    <n v="7.8649711241349065"/>
    <n v="-0.47335940637850454"/>
    <n v="-3.8139764110742109"/>
    <n v="-1.0814856614865596"/>
    <n v="-2.3899010699620034"/>
    <x v="0"/>
    <x v="1"/>
    <x v="0"/>
    <x v="1"/>
    <x v="0"/>
    <x v="0"/>
  </r>
  <r>
    <x v="3"/>
    <s v="SA"/>
    <n v="1251"/>
    <n v="11.75"/>
    <n v="-0.94"/>
    <n v="6.38"/>
    <n v="-0.24"/>
    <n v="-12.5"/>
    <n v="1.8416927899686522"/>
    <n v="-3.97"/>
    <n v="-0.96"/>
    <n v="1.72"/>
    <n v="-48.958333333333336"/>
    <s v="NO"/>
    <n v="-0.18984212142647508"/>
    <n v="0.24016803051746477"/>
    <n v="0.17607164706169701"/>
    <n v="-7.979364106063698E-2"/>
    <n v="-0.1275539674957637"/>
    <n v="-2.0889420919585073"/>
    <x v="0"/>
    <x v="0"/>
    <x v="0"/>
    <x v="0"/>
    <x v="0"/>
    <x v="0"/>
  </r>
  <r>
    <x v="3"/>
    <s v="SKE"/>
    <n v="1458"/>
    <n v="11.42"/>
    <n v="-0.97"/>
    <n v="0.59"/>
    <n v="-1.07"/>
    <n v="-11.773195876288661"/>
    <n v="19.35593220338983"/>
    <n v="-141.24"/>
    <n v="-46.66"/>
    <n v="3.03"/>
    <n v="-10.672897196261681"/>
    <s v="NO"/>
    <n v="-0.15665080470938353"/>
    <n v="22.21286506283656"/>
    <n v="-7.2405174299546484"/>
    <n v="-5.5511675618564151"/>
    <n v="1.8250249686416464"/>
    <n v="-0.40367933666264255"/>
    <x v="0"/>
    <x v="1"/>
    <x v="1"/>
    <x v="1"/>
    <x v="0"/>
    <x v="0"/>
  </r>
  <r>
    <x v="3"/>
    <s v="ASM"/>
    <n v="347"/>
    <n v="2.4300000000000002"/>
    <n v="0.12"/>
    <n v="0.89"/>
    <n v="0.06"/>
    <n v="20.250000000000004"/>
    <n v="2.7303370786516856"/>
    <n v="7"/>
    <n v="6.89"/>
    <n v="1.19"/>
    <n v="40.500000000000007"/>
    <s v="NO"/>
    <n v="1.3057680258220445"/>
    <n v="1.3550272752626451"/>
    <n v="0.76877203443599085"/>
    <n v="0.86003754664717169"/>
    <n v="-0.91752865158189156"/>
    <n v="1.8488685360240775"/>
    <x v="0"/>
    <x v="0"/>
    <x v="0"/>
    <x v="0"/>
    <x v="0"/>
    <x v="0"/>
  </r>
  <r>
    <x v="3"/>
    <s v="IPX"/>
    <n v="703"/>
    <n v="20.86"/>
    <n v="-0.15"/>
    <n v="0.33"/>
    <n v="-0.11"/>
    <n v="-139.06666666666666"/>
    <n v="63.212121212121204"/>
    <n v="-40.65"/>
    <n v="-27.56"/>
    <n v="1.1000000000000001"/>
    <n v="-189.63636363636363"/>
    <s v="NO"/>
    <n v="-5.9698235250932727"/>
    <n v="77.233167762509609"/>
    <n v="-1.8057196208406818"/>
    <n v="-3.2644445446310466"/>
    <n v="-1.0516752960493472"/>
    <n v="-8.2813606426908262"/>
    <x v="1"/>
    <x v="1"/>
    <x v="0"/>
    <x v="1"/>
    <x v="0"/>
    <x v="1"/>
  </r>
  <r>
    <x v="3"/>
    <s v="MTA"/>
    <n v="284"/>
    <n v="2.9"/>
    <n v="-0.05"/>
    <n v="2.74"/>
    <n v="-0.06"/>
    <n v="-57.999999999999993"/>
    <n v="1.0583941605839415"/>
    <n v="-2.17"/>
    <n v="-1.03"/>
    <n v="1.07"/>
    <n v="-48.333333333333336"/>
    <s v="NO"/>
    <n v="-2.2677127076801429"/>
    <n v="-0.74252856640766929"/>
    <n v="0.27332421746039609"/>
    <n v="-8.8174301333190694E-2"/>
    <n v="-1.0963908442051657"/>
    <n v="-2.0614306064346422"/>
    <x v="0"/>
    <x v="0"/>
    <x v="0"/>
    <x v="0"/>
    <x v="0"/>
    <x v="0"/>
  </r>
  <r>
    <x v="3"/>
    <s v="EXK"/>
    <n v="952"/>
    <n v="3.36"/>
    <n v="-0.73"/>
    <n v="1.85"/>
    <n v="-0.13"/>
    <n v="-4.602739726027397"/>
    <n v="1.8162162162162161"/>
    <n v="-7.23"/>
    <n v="0.8"/>
    <n v="1.48"/>
    <n v="-25.846153846153843"/>
    <s v="NO"/>
    <n v="0.17080589693126688"/>
    <n v="0.20820609238986079"/>
    <n v="-6.3563771502407859E-5"/>
    <n v="0.13092010293499914"/>
    <n v="-0.48527835274231218"/>
    <n v="-1.0715814657400839"/>
    <x v="0"/>
    <x v="0"/>
    <x v="0"/>
    <x v="0"/>
    <x v="0"/>
    <x v="0"/>
  </r>
  <r>
    <x v="3"/>
    <s v="FSM"/>
    <n v="1891"/>
    <n v="5.54"/>
    <n v="0.52"/>
    <n v="4.57"/>
    <n v="0.41"/>
    <n v="10.653846153846153"/>
    <n v="1.2122538293216629"/>
    <n v="10.3"/>
    <n v="7.23"/>
    <n v="1.51"/>
    <n v="13.512195121951221"/>
    <s v="NO"/>
    <n v="0.86753581003988878"/>
    <n v="-0.54950209195647004"/>
    <n v="0.94706841350027249"/>
    <n v="0.90074361082814713"/>
    <n v="-0.44056280458649355"/>
    <n v="0.66090917086673306"/>
    <x v="0"/>
    <x v="0"/>
    <x v="0"/>
    <x v="0"/>
    <x v="0"/>
    <x v="0"/>
  </r>
  <r>
    <x v="3"/>
    <s v="MAG"/>
    <n v="1576"/>
    <n v="18"/>
    <n v="-0.32"/>
    <n v="5.72"/>
    <n v="0.75"/>
    <n v="-56.25"/>
    <n v="3.1468531468531471"/>
    <n v="14.17"/>
    <n v="-1.7"/>
    <n v="1.03"/>
    <n v="24"/>
    <s v="NO"/>
    <n v="-2.1877946082088484"/>
    <n v="1.8775724546251185"/>
    <n v="1.1561614398574753"/>
    <n v="-0.16838919251334761"/>
    <n v="-1.1560115750795905"/>
    <n v="1.1225653181940334"/>
    <x v="0"/>
    <x v="0"/>
    <x v="0"/>
    <x v="0"/>
    <x v="0"/>
    <x v="0"/>
  </r>
  <r>
    <x v="3"/>
    <s v="SVM"/>
    <n v="813"/>
    <n v="3.69"/>
    <n v="0.17"/>
    <n v="3.26"/>
    <n v="0.36"/>
    <n v="21.705882352941174"/>
    <n v="1.1319018404907977"/>
    <n v="12.52"/>
    <n v="6.25"/>
    <n v="1.58"/>
    <n v="10.25"/>
    <s v="NO"/>
    <n v="1.3722545119368192"/>
    <n v="-0.65030863369941017"/>
    <n v="1.0670132503253347"/>
    <n v="0.78341436701239509"/>
    <n v="-0.33622652555625016"/>
    <n v="0.51731263666899718"/>
    <x v="0"/>
    <x v="0"/>
    <x v="0"/>
    <x v="0"/>
    <x v="0"/>
    <x v="0"/>
  </r>
  <r>
    <x v="3"/>
    <s v="AMR"/>
    <n v="1642"/>
    <n v="127.67"/>
    <n v="29.28"/>
    <n v="126.72"/>
    <n v="14.28"/>
    <n v="4.3603142076502728"/>
    <n v="1.0074968434343434"/>
    <n v="11.64"/>
    <n v="5.76"/>
    <n v="1.48"/>
    <n v="8.9404761904761916"/>
    <s v="NO"/>
    <n v="0.58012603169597166"/>
    <n v="-0.8063824000276999"/>
    <n v="1.0194675492415262"/>
    <n v="0.72474974510451917"/>
    <n v="-0.48527835274231218"/>
    <n v="0.45966952414280327"/>
    <x v="0"/>
    <x v="0"/>
    <x v="0"/>
    <x v="0"/>
    <x v="0"/>
    <x v="0"/>
  </r>
  <r>
    <x v="3"/>
    <s v="ASTL"/>
    <n v="553"/>
    <n v="6.04"/>
    <n v="-2"/>
    <n v="10.01"/>
    <n v="-1.07"/>
    <n v="-3.02"/>
    <n v="0.60339660339660339"/>
    <n v="-10.4"/>
    <n v="-3.52"/>
    <n v="2.19"/>
    <n v="-5.6448598130841114"/>
    <s v="NO"/>
    <n v="0.24308564028088267"/>
    <n v="-1.3133511547332322"/>
    <n v="-0.17133614608476685"/>
    <n v="-0.38628635959974406"/>
    <n v="0.57298962027872702"/>
    <n v="-0.18235329237345338"/>
    <x v="0"/>
    <x v="0"/>
    <x v="0"/>
    <x v="0"/>
    <x v="0"/>
    <x v="0"/>
  </r>
  <r>
    <x v="3"/>
    <s v="METC"/>
    <n v="525"/>
    <n v="9.9"/>
    <n v="0.85"/>
    <n v="6.8"/>
    <n v="0.21"/>
    <n v="11.647058823529413"/>
    <n v="1.4558823529411766"/>
    <n v="3.06"/>
    <n v="1.19"/>
    <n v="1.86"/>
    <n v="47.142857142857146"/>
    <s v="NO"/>
    <n v="0.91289333514383009"/>
    <n v="-0.24385503463574915"/>
    <n v="0.5558969636743939"/>
    <n v="0.17761235302494122"/>
    <n v="8.1118590564723106E-2"/>
    <n v="2.1412763250205882"/>
    <x v="0"/>
    <x v="0"/>
    <x v="0"/>
    <x v="0"/>
    <x v="0"/>
    <x v="0"/>
  </r>
  <r>
    <x v="3"/>
    <s v="METCB"/>
    <n v="460"/>
    <n v="8.51"/>
    <n v="0.85"/>
    <n v="6.8"/>
    <n v="0.21"/>
    <n v="10.011764705882353"/>
    <n v="1.2514705882352941"/>
    <n v="3.06"/>
    <n v="1.19"/>
    <n v="1.86"/>
    <n v="40.523809523809526"/>
    <s v="NO"/>
    <n v="0.83821356488157772"/>
    <n v="-0.50030224137441182"/>
    <n v="0.5558969636743939"/>
    <n v="0.17761235302494122"/>
    <n v="8.1118590564723106E-2"/>
    <n v="1.8499165926154626"/>
    <x v="0"/>
    <x v="0"/>
    <x v="0"/>
    <x v="0"/>
    <x v="0"/>
    <x v="0"/>
  </r>
  <r>
    <x v="3"/>
    <s v="MSB"/>
    <n v="366"/>
    <n v="25.05"/>
    <n v="7.16"/>
    <n v="1.78"/>
    <n v="7.11"/>
    <n v="3.4986033519553073"/>
    <n v="14.073033707865168"/>
    <n v="421.08"/>
    <n v="21.58"/>
    <n v="4.3600000000000003"/>
    <n v="3.5232067510548521"/>
    <s v="NO"/>
    <n v="0.5407738637640146"/>
    <n v="15.585142022479703"/>
    <n v="23.141185562598938"/>
    <n v="2.6187789667016572"/>
    <n v="3.8074142702162699"/>
    <n v="0.2212101165243745"/>
    <x v="0"/>
    <x v="1"/>
    <x v="1"/>
    <x v="0"/>
    <x v="1"/>
    <x v="0"/>
  </r>
  <r>
    <x v="3"/>
    <s v="MTUS"/>
    <n v="543"/>
    <n v="13.52"/>
    <n v="-0.56000000000000005"/>
    <n v="16.34"/>
    <n v="0.03"/>
    <n v="-24.142857142857139"/>
    <n v="0.82741738066095472"/>
    <n v="0.18"/>
    <n v="0.28999999999999998"/>
    <n v="1.62"/>
    <n v="450.66666666666669"/>
    <s v="NO"/>
    <n v="-0.7215421301538657"/>
    <n v="-1.0323032284383433"/>
    <n v="0.40029285103647538"/>
    <n v="6.9861006663536396E-2"/>
    <n v="-0.27660579468182533"/>
    <n v="19.9037394358194"/>
    <x v="0"/>
    <x v="0"/>
    <x v="0"/>
    <x v="0"/>
    <x v="0"/>
    <x v="1"/>
  </r>
  <r>
    <x v="3"/>
    <s v="RDUS"/>
    <n v="828"/>
    <n v="29.51"/>
    <n v="-1.36"/>
    <n v="19.25"/>
    <n v="-9.9600000000000009"/>
    <n v="-21.698529411764707"/>
    <n v="1.5329870129870131"/>
    <n v="-40.83"/>
    <n v="-3.36"/>
    <n v="2.69"/>
    <n v="-2.9628514056224899"/>
    <s v="NO"/>
    <n v="-0.609915829151643"/>
    <n v="-0.14712246778109833"/>
    <n v="-1.8154448778805516"/>
    <n v="-0.36713056469104988"/>
    <n v="1.3182487562090364"/>
    <n v="-6.429563561062876E-2"/>
    <x v="0"/>
    <x v="0"/>
    <x v="0"/>
    <x v="0"/>
    <x v="0"/>
    <x v="0"/>
  </r>
  <r>
    <x v="3"/>
    <s v="RYI"/>
    <n v="665"/>
    <n v="22.3"/>
    <n v="3.85"/>
    <n v="24.97"/>
    <n v="-0.21"/>
    <n v="5.7922077922077921"/>
    <n v="0.89307168602322795"/>
    <n v="-0.61"/>
    <n v="0.86"/>
    <n v="3.14"/>
    <n v="-106.1904761904762"/>
    <s v="NO"/>
    <n v="0.64551701108052995"/>
    <n v="-0.94993584002140052"/>
    <n v="0.35760977847260195"/>
    <n v="0.13810352602575945"/>
    <n v="1.988981978546315"/>
    <n v="-4.6082081235010293"/>
    <x v="0"/>
    <x v="0"/>
    <x v="0"/>
    <x v="0"/>
    <x v="0"/>
    <x v="1"/>
  </r>
  <r>
    <x v="3"/>
    <s v="SXC"/>
    <n v="741"/>
    <n v="9.02"/>
    <n v="1.44"/>
    <n v="8.09"/>
    <n v="1.0900000000000001"/>
    <n v="6.2638888888888884"/>
    <n v="1.1149567367119901"/>
    <n v="14.89"/>
    <n v="5.54"/>
    <n v="2.44"/>
    <n v="8.2752293577981639"/>
    <s v="NO"/>
    <n v="0.66705750068240954"/>
    <n v="-0.67156731486301402"/>
    <n v="1.195062468016955"/>
    <n v="0.69841052710506457"/>
    <n v="0.94561918824388169"/>
    <n v="0.4303864383715732"/>
    <x v="0"/>
    <x v="0"/>
    <x v="0"/>
    <x v="0"/>
    <x v="0"/>
    <x v="0"/>
  </r>
  <r>
    <x v="3"/>
    <s v="WS"/>
    <n v="1322"/>
    <n v="27.99"/>
    <n v="1.66"/>
    <n v="20.440000000000001"/>
    <n v="2.14"/>
    <n v="16.861445783132531"/>
    <n v="1.3693737769080234"/>
    <n v="10.67"/>
    <n v="5.35"/>
    <n v="1.78"/>
    <n v="13.079439252336448"/>
    <s v="NO"/>
    <n v="1.1510212755549072"/>
    <n v="-0.35238539596090102"/>
    <n v="0.96705921963778274"/>
    <n v="0.67566302065099026"/>
    <n v="-3.8122871184126501E-2"/>
    <n v="0.64185995991909384"/>
    <x v="0"/>
    <x v="0"/>
    <x v="0"/>
    <x v="0"/>
    <x v="0"/>
    <x v="0"/>
  </r>
  <r>
    <x v="3"/>
    <s v="ZEUS"/>
    <n v="359"/>
    <n v="33.119999999999997"/>
    <n v="4.46"/>
    <n v="51.44"/>
    <n v="1.43"/>
    <n v="7.4260089686098647"/>
    <n v="0.64385692068429234"/>
    <n v="2.95"/>
    <n v="2.4"/>
    <n v="1.85"/>
    <n v="23.16083916083916"/>
    <s v="NO"/>
    <n v="0.72012860247025545"/>
    <n v="-1.2625911832261261"/>
    <n v="0.54995375103891786"/>
    <n v="0.32247805202194108"/>
    <n v="6.6213407846116901E-2"/>
    <n v="1.0856268201480046"/>
    <x v="0"/>
    <x v="0"/>
    <x v="0"/>
    <x v="0"/>
    <x v="0"/>
    <x v="0"/>
  </r>
  <r>
    <x v="4"/>
    <s v="CLW"/>
    <n v="423"/>
    <n v="28.48"/>
    <n v="-7.6"/>
    <n v="51.47"/>
    <n v="-4.6500000000000004"/>
    <n v="-3.7473684210526317"/>
    <n v="0.55333203808043518"/>
    <n v="-10.23"/>
    <n v="-1.81"/>
    <n v="1.95"/>
    <n v="-6.1247311827956983"/>
    <s v="NO"/>
    <n v="-0.99999999999999978"/>
    <n v="0.99999999999997891"/>
    <n v="-1.0000000000000018"/>
    <n v="-1"/>
    <n v="-0.99999999999999956"/>
    <n v="-1.0000000000000004"/>
    <x v="0"/>
    <x v="0"/>
    <x v="0"/>
    <x v="0"/>
    <x v="0"/>
    <x v="0"/>
  </r>
  <r>
    <x v="4"/>
    <s v="MAGN"/>
    <n v="440"/>
    <n v="15.05"/>
    <n v="2.5099999999999998"/>
    <n v="31.24"/>
    <n v="-5.82"/>
    <n v="5.996015936254981"/>
    <n v="0.48175416133162619"/>
    <n v="-6.8"/>
    <n v="1.31"/>
    <n v="3.61"/>
    <n v="-2.5859106529209623"/>
    <s v="NO"/>
    <n v="0.99999999999999978"/>
    <n v="-0.9999999999999758"/>
    <n v="1.0000000000000022"/>
    <n v="1"/>
    <n v="0.99999999999999989"/>
    <n v="1.0000000000000007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9" firstHeaderRow="0" firstDataRow="1" firstDataCol="1" rowPageCount="1" colPageCount="1"/>
  <pivotFields count="26">
    <pivotField axis="axisRow" showAll="0">
      <items count="64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1"/>
        <item x="0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 v="58"/>
    </i>
    <i>
      <x v="59"/>
    </i>
    <i>
      <x v="60"/>
    </i>
    <i>
      <x v="61"/>
    </i>
    <i>
      <x v="62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9" firstHeaderRow="0" firstDataRow="1" firstDataCol="1" rowPageCount="1" colPageCount="1"/>
  <pivotFields count="26">
    <pivotField axis="axisRow" showAll="0">
      <items count="64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 v="58"/>
    </i>
    <i>
      <x v="59"/>
    </i>
    <i>
      <x v="60"/>
    </i>
    <i>
      <x v="61"/>
    </i>
    <i>
      <x v="62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9" firstHeaderRow="0" firstDataRow="1" firstDataCol="1" rowPageCount="1" colPageCount="1"/>
  <pivotFields count="26">
    <pivotField axis="axisRow" showAll="0">
      <items count="64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5">
    <i>
      <x v="58"/>
    </i>
    <i>
      <x v="59"/>
    </i>
    <i>
      <x v="60"/>
    </i>
    <i>
      <x v="61"/>
    </i>
    <i>
      <x v="62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9" firstHeaderRow="0" firstDataRow="1" firstDataCol="1" rowPageCount="1" colPageCount="1"/>
  <pivotFields count="26">
    <pivotField axis="axisRow" showAll="0">
      <items count="64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5">
    <i>
      <x v="58"/>
    </i>
    <i>
      <x v="59"/>
    </i>
    <i>
      <x v="60"/>
    </i>
    <i>
      <x v="61"/>
    </i>
    <i>
      <x v="62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9" firstHeaderRow="0" firstDataRow="1" firstDataCol="1" rowPageCount="1" colPageCount="1"/>
  <pivotFields count="26">
    <pivotField axis="axisRow" showAll="0">
      <items count="64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5">
    <i>
      <x v="58"/>
    </i>
    <i>
      <x v="59"/>
    </i>
    <i>
      <x v="60"/>
    </i>
    <i>
      <x v="61"/>
    </i>
    <i>
      <x v="62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9" firstHeaderRow="0" firstDataRow="1" firstDataCol="1" rowPageCount="1" colPageCount="1"/>
  <pivotFields count="26">
    <pivotField axis="axisRow" showAll="0">
      <items count="64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8"/>
        <item m="1" x="59"/>
        <item m="1" x="60"/>
        <item m="1" x="61"/>
        <item m="1" x="62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53"/>
        <item m="1" x="54"/>
        <item m="1" x="55"/>
        <item m="1" x="56"/>
        <item m="1" x="57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5">
    <i>
      <x v="58"/>
    </i>
    <i>
      <x v="59"/>
    </i>
    <i>
      <x v="60"/>
    </i>
    <i>
      <x v="61"/>
    </i>
    <i>
      <x v="62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9" firstHeaderRow="0" firstDataRow="1" firstDataCol="1" rowPageCount="1" colPageCount="1"/>
  <pivotFields count="26">
    <pivotField axis="axisRow" showAll="0">
      <items count="65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9"/>
        <item m="1" x="60"/>
        <item m="1" x="61"/>
        <item m="1" x="62"/>
        <item m="1" x="63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5">
    <i>
      <x v="59"/>
    </i>
    <i>
      <x v="60"/>
    </i>
    <i>
      <x v="61"/>
    </i>
    <i>
      <x v="62"/>
    </i>
    <i>
      <x v="63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9" firstHeaderRow="0" firstDataRow="1" firstDataCol="1" rowPageCount="1" colPageCount="1"/>
  <pivotFields count="26">
    <pivotField axis="axisRow" showAll="0">
      <items count="65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9"/>
        <item m="1" x="60"/>
        <item m="1" x="61"/>
        <item m="1" x="62"/>
        <item m="1" x="63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5">
    <i>
      <x v="59"/>
    </i>
    <i>
      <x v="60"/>
    </i>
    <i>
      <x v="61"/>
    </i>
    <i>
      <x v="62"/>
    </i>
    <i>
      <x v="63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9" firstHeaderRow="0" firstDataRow="1" firstDataCol="1" rowPageCount="1" colPageCount="1"/>
  <pivotFields count="26">
    <pivotField axis="axisRow" showAll="0">
      <items count="65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9"/>
        <item m="1" x="60"/>
        <item m="1" x="61"/>
        <item m="1" x="62"/>
        <item m="1" x="63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5">
    <i>
      <x v="59"/>
    </i>
    <i>
      <x v="60"/>
    </i>
    <i>
      <x v="61"/>
    </i>
    <i>
      <x v="62"/>
    </i>
    <i>
      <x v="63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9" firstHeaderRow="0" firstDataRow="1" firstDataCol="1" rowPageCount="1" colPageCount="1"/>
  <pivotFields count="26">
    <pivotField axis="axisRow" showAll="0">
      <items count="65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9"/>
        <item m="1" x="60"/>
        <item m="1" x="61"/>
        <item m="1" x="62"/>
        <item m="1" x="63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5">
    <i>
      <x v="59"/>
    </i>
    <i>
      <x v="60"/>
    </i>
    <i>
      <x v="61"/>
    </i>
    <i>
      <x v="62"/>
    </i>
    <i>
      <x v="63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9" firstHeaderRow="0" firstDataRow="1" firstDataCol="1" rowPageCount="1" colPageCount="1"/>
  <pivotFields count="26">
    <pivotField axis="axisRow" showAll="0">
      <items count="65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9"/>
        <item m="1" x="60"/>
        <item m="1" x="61"/>
        <item m="1" x="62"/>
        <item m="1" x="63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 v="59"/>
    </i>
    <i>
      <x v="60"/>
    </i>
    <i>
      <x v="61"/>
    </i>
    <i>
      <x v="62"/>
    </i>
    <i>
      <x v="63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9" firstHeaderRow="0" firstDataRow="1" firstDataCol="1" rowPageCount="1" colPageCount="1"/>
  <pivotFields count="26">
    <pivotField axis="axisRow" showAll="0">
      <items count="65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9"/>
        <item m="1" x="60"/>
        <item m="1" x="61"/>
        <item m="1" x="62"/>
        <item m="1" x="63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4"/>
        <item m="1" x="55"/>
        <item m="1" x="56"/>
        <item m="1" x="57"/>
        <item m="1" x="58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 v="59"/>
    </i>
    <i>
      <x v="60"/>
    </i>
    <i>
      <x v="61"/>
    </i>
    <i>
      <x v="62"/>
    </i>
    <i>
      <x v="63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9" firstHeaderRow="0" firstDataRow="1" firstDataCol="1" rowPageCount="1" colPageCount="1"/>
  <pivotFields count="26">
    <pivotField axis="axisRow" showAll="0">
      <items count="66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60"/>
        <item m="1" x="61"/>
        <item m="1" x="62"/>
        <item m="1" x="63"/>
        <item m="1" x="6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 v="60"/>
    </i>
    <i>
      <x v="61"/>
    </i>
    <i>
      <x v="62"/>
    </i>
    <i>
      <x v="63"/>
    </i>
    <i>
      <x v="64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9" firstHeaderRow="0" firstDataRow="1" firstDataCol="1" rowPageCount="1" colPageCount="1"/>
  <pivotFields count="26">
    <pivotField axis="axisRow" showAll="0">
      <items count="66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60"/>
        <item m="1" x="61"/>
        <item m="1" x="62"/>
        <item m="1" x="63"/>
        <item m="1" x="6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5">
    <i>
      <x v="60"/>
    </i>
    <i>
      <x v="61"/>
    </i>
    <i>
      <x v="62"/>
    </i>
    <i>
      <x v="63"/>
    </i>
    <i>
      <x v="64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9" firstHeaderRow="0" firstDataRow="1" firstDataCol="1" rowPageCount="1" colPageCount="1"/>
  <pivotFields count="26">
    <pivotField axis="axisRow" showAll="0">
      <items count="66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60"/>
        <item m="1" x="61"/>
        <item m="1" x="62"/>
        <item m="1" x="63"/>
        <item m="1" x="6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5">
    <i>
      <x v="60"/>
    </i>
    <i>
      <x v="61"/>
    </i>
    <i>
      <x v="62"/>
    </i>
    <i>
      <x v="63"/>
    </i>
    <i>
      <x v="64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9" firstHeaderRow="0" firstDataRow="1" firstDataCol="1" rowPageCount="1" colPageCount="1"/>
  <pivotFields count="26">
    <pivotField axis="axisRow" showAll="0">
      <items count="66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60"/>
        <item m="1" x="61"/>
        <item m="1" x="62"/>
        <item m="1" x="63"/>
        <item m="1" x="6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5">
    <i>
      <x v="60"/>
    </i>
    <i>
      <x v="61"/>
    </i>
    <i>
      <x v="62"/>
    </i>
    <i>
      <x v="63"/>
    </i>
    <i>
      <x v="64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9" firstHeaderRow="0" firstDataRow="1" firstDataCol="1" rowPageCount="1" colPageCount="1"/>
  <pivotFields count="26">
    <pivotField axis="axisRow" showAll="0">
      <items count="66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60"/>
        <item m="1" x="61"/>
        <item m="1" x="62"/>
        <item m="1" x="63"/>
        <item m="1" x="6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5">
    <i>
      <x v="60"/>
    </i>
    <i>
      <x v="61"/>
    </i>
    <i>
      <x v="62"/>
    </i>
    <i>
      <x v="63"/>
    </i>
    <i>
      <x v="64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9" firstHeaderRow="0" firstDataRow="1" firstDataCol="1" rowPageCount="1" colPageCount="1"/>
  <pivotFields count="26">
    <pivotField axis="axisRow" showAll="0">
      <items count="66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60"/>
        <item m="1" x="61"/>
        <item m="1" x="62"/>
        <item m="1" x="63"/>
        <item m="1" x="64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55"/>
        <item m="1" x="56"/>
        <item m="1" x="57"/>
        <item m="1" x="58"/>
        <item m="1" x="59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 v="60"/>
    </i>
    <i>
      <x v="61"/>
    </i>
    <i>
      <x v="62"/>
    </i>
    <i>
      <x v="63"/>
    </i>
    <i>
      <x v="64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50" tableType="queryTable" totalsRowShown="0">
  <autoFilter ref="A1:Z50" xr:uid="{1B3BB95A-07C7-4768-8185-A2A759A39458}"/>
  <sortState xmlns:xlrd2="http://schemas.microsoft.com/office/spreadsheetml/2017/richdata2" ref="A2:Z50">
    <sortCondition ref="A1:A50"/>
  </sortState>
  <tableColumns count="26">
    <tableColumn id="1" xr3:uid="{FDA9EBBF-F574-44F1-B885-6A5ED1C1C8A3}" uniqueName="1" name="Industry" queryTableFieldId="1" dataDxfId="146"/>
    <tableColumn id="2" xr3:uid="{8F96E341-8F97-4BC1-90E1-73E9D5DAC8C9}" uniqueName="2" name="Symbol" queryTableFieldId="2" dataDxfId="145"/>
    <tableColumn id="3" xr3:uid="{F543FE77-4EA4-4170-A3F2-7D6D401D6817}" uniqueName="3" name="Market Cap (M)" queryTableFieldId="44" dataDxfId="137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36"/>
    <tableColumn id="9" xr3:uid="{92CA53A2-ADA4-45CE-B0FD-3AD68E123166}" uniqueName="9" name="P/B" queryTableFieldId="46" dataDxfId="135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34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33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32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131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130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129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128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64" tableType="queryTable" totalsRowShown="0">
  <autoFilter ref="A1:Z64" xr:uid="{8A05384F-F989-4428-B033-1A9B3ACA4EBB}"/>
  <sortState xmlns:xlrd2="http://schemas.microsoft.com/office/spreadsheetml/2017/richdata2" ref="A2:Z64">
    <sortCondition ref="A1:A64"/>
  </sortState>
  <tableColumns count="26">
    <tableColumn id="1" xr3:uid="{3547F496-7B67-42E8-9760-1F3941836443}" uniqueName="1" name="Industry" queryTableFieldId="1" dataDxfId="144"/>
    <tableColumn id="2" xr3:uid="{0A09E186-076D-4A57-B743-EBD7817F4082}" uniqueName="2" name="Symbol" queryTableFieldId="2" dataDxfId="143"/>
    <tableColumn id="3" xr3:uid="{C567BD69-49B3-415C-87A5-73BCB80F1796}" uniqueName="3" name="Market Cap (M)" queryTableFieldId="43" dataDxfId="127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126"/>
    <tableColumn id="9" xr3:uid="{F1DC44A8-3710-4CCA-B495-699F6ACADE85}" uniqueName="9" name="P/B" queryTableFieldId="45" dataDxfId="125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124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123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122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121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120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119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118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96" tableType="queryTable" totalsRowShown="0">
  <autoFilter ref="A1:Z96" xr:uid="{DE7CBD96-9DC7-4F09-9B11-F8C87451A82B}"/>
  <sortState xmlns:xlrd2="http://schemas.microsoft.com/office/spreadsheetml/2017/richdata2" ref="A2:Z96">
    <sortCondition ref="A1:A96"/>
  </sortState>
  <tableColumns count="26">
    <tableColumn id="1" xr3:uid="{261FC5A1-AB9E-4068-9D87-D85D75FE0DD5}" uniqueName="1" name="Industry" queryTableFieldId="1" dataDxfId="142"/>
    <tableColumn id="2" xr3:uid="{4D1C6415-A4DE-450C-A6A0-32BD8F91DEB2}" uniqueName="2" name="Symbol" queryTableFieldId="2" dataDxfId="141"/>
    <tableColumn id="3" xr3:uid="{1913483F-1018-45E5-BBAD-415B97CDE58A}" uniqueName="3" name="Market Cap (M)" queryTableFieldId="43" dataDxfId="117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116"/>
    <tableColumn id="9" xr3:uid="{A85952D4-A3AB-4C1A-90DC-2E32ECE72481}" uniqueName="9" name="P/B" queryTableFieldId="45" dataDxfId="115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114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113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112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111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110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109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108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7" tableType="queryTable" totalsRowShown="0">
  <autoFilter ref="A2:Y7" xr:uid="{CF08F30B-5B6A-425F-B235-3500A3319B88}"/>
  <tableColumns count="25">
    <tableColumn id="1" xr3:uid="{FD842081-B64F-4301-AA21-FB7B05A836D4}" uniqueName="1" name="Industry" queryTableFieldId="1" dataDxfId="140"/>
    <tableColumn id="2" xr3:uid="{E59C1D9B-F213-4C25-84A0-0FA886F9704F}" uniqueName="2" name="P/FCF Q1" queryTableFieldId="2" dataDxfId="23"/>
    <tableColumn id="3" xr3:uid="{04B713EC-FD8B-48E2-A2D2-C366A9A339B7}" uniqueName="3" name="P/FCF Q3" queryTableFieldId="3" dataDxfId="22"/>
    <tableColumn id="4" xr3:uid="{9DCEA951-E29F-4D9E-B9F0-5DC32A557DF0}" uniqueName="4" name="P/FCF LB" queryTableFieldId="4" dataDxfId="21"/>
    <tableColumn id="5" xr3:uid="{C2B6F391-AB27-4C2B-B68A-D2B47E1AA772}" uniqueName="5" name="P/FCF UB" queryTableFieldId="5" dataDxfId="20"/>
    <tableColumn id="6" xr3:uid="{1FD6B89C-F582-4857-A32F-326E69C5DFFD}" uniqueName="6" name="P/B Q1" queryTableFieldId="6" dataDxfId="19"/>
    <tableColumn id="7" xr3:uid="{A3697E12-D8D4-4284-AE2B-01C3BA154C99}" uniqueName="7" name="P/B Q3" queryTableFieldId="7" dataDxfId="18"/>
    <tableColumn id="8" xr3:uid="{A270BB2A-00C0-4246-AFBA-EDE9D5F40C76}" uniqueName="8" name="P/B LB" queryTableFieldId="8" dataDxfId="17"/>
    <tableColumn id="9" xr3:uid="{F99BB669-75E9-428A-88A3-E037E705383F}" uniqueName="9" name="P/B UB" queryTableFieldId="9" dataDxfId="16"/>
    <tableColumn id="10" xr3:uid="{D3A49932-F6DE-43A8-B449-B1C4E41499CF}" uniqueName="10" name="ROE Q1" queryTableFieldId="10" dataDxfId="15"/>
    <tableColumn id="11" xr3:uid="{BD8F2597-7442-49AD-BA3A-A3F29A6E60DD}" uniqueName="11" name="ROE Q3" queryTableFieldId="11" dataDxfId="14"/>
    <tableColumn id="12" xr3:uid="{3B29ED46-D0C8-4AF8-BFC0-41462C6C29EB}" uniqueName="12" name="ROE LB" queryTableFieldId="12" dataDxfId="13"/>
    <tableColumn id="13" xr3:uid="{F62F045D-EA3F-4608-85C5-21D743180D21}" uniqueName="13" name="ROE UB" queryTableFieldId="13" dataDxfId="12"/>
    <tableColumn id="14" xr3:uid="{9D898AB4-6F4D-4D03-BA61-39B91E78C9C6}" uniqueName="14" name="ROA Q1" queryTableFieldId="14" dataDxfId="11"/>
    <tableColumn id="15" xr3:uid="{2D1DFB04-09CE-4BEC-AD50-26246811DCDA}" uniqueName="15" name="ROA Q3" queryTableFieldId="15" dataDxfId="10"/>
    <tableColumn id="16" xr3:uid="{753F114C-61F5-4444-9EB0-76DCEA7F1F1B}" uniqueName="16" name="ROA LB" queryTableFieldId="16" dataDxfId="9"/>
    <tableColumn id="17" xr3:uid="{AA60DB6D-6DE2-4BF0-A375-18A578568BBF}" uniqueName="17" name="ROA UB" queryTableFieldId="17" dataDxfId="8"/>
    <tableColumn id="18" xr3:uid="{5357CEC7-DB8C-48BE-BDAD-FCBB1FB43389}" uniqueName="18" name="P/E Q1" queryTableFieldId="18" dataDxfId="7"/>
    <tableColumn id="19" xr3:uid="{C18FE8DB-95D8-42EC-BC42-C15678D7CE64}" uniqueName="19" name="P/E Q3" queryTableFieldId="19" dataDxfId="6"/>
    <tableColumn id="20" xr3:uid="{B7040099-49E4-464B-9BD8-1326A00D0599}" uniqueName="20" name="P/E LB" queryTableFieldId="20" dataDxfId="5"/>
    <tableColumn id="21" xr3:uid="{E8713F96-91B8-41CB-AA45-CCA61FACA752}" uniqueName="21" name="P/E UB" queryTableFieldId="21" dataDxfId="4"/>
    <tableColumn id="22" xr3:uid="{91693169-B783-4EDC-94CF-D23F08159B62}" uniqueName="22" name="A/E Q1" queryTableFieldId="22" dataDxfId="3"/>
    <tableColumn id="23" xr3:uid="{F98A9AC1-1CAF-483B-A342-F3A466AEB043}" uniqueName="23" name="A/E Q3" queryTableFieldId="23" dataDxfId="2"/>
    <tableColumn id="24" xr3:uid="{04D140EC-A8E6-4894-B430-208F20D411DB}" uniqueName="24" name="A/E LB" queryTableFieldId="24" dataDxfId="1"/>
    <tableColumn id="25" xr3:uid="{3E6CFD0C-10B0-4D91-A289-A353306CC102}" uniqueName="25" name="A/E UB" queryTableFieldId="25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11:Y16" tableType="queryTable" totalsRowShown="0">
  <autoFilter ref="A11:Y16" xr:uid="{89F54F15-11E6-4F5B-BF51-37096268E20C}"/>
  <tableColumns count="25">
    <tableColumn id="1" xr3:uid="{1DD86F6C-5649-4964-82C3-51A7F8B44C8D}" uniqueName="1" name="Industry" queryTableFieldId="1" dataDxfId="139"/>
    <tableColumn id="2" xr3:uid="{E9710093-0C0E-47F6-BA82-6DF1689DE3FF}" uniqueName="2" name="P/FCF Q1" queryTableFieldId="2" dataDxfId="83"/>
    <tableColumn id="3" xr3:uid="{BB549C0D-7552-41A2-B049-C1E0C569FC5B}" uniqueName="3" name="P/FCF Q3" queryTableFieldId="3" dataDxfId="82"/>
    <tableColumn id="4" xr3:uid="{F8874757-4F98-4408-A256-B3DBB97E40A5}" uniqueName="4" name="P/FCF LB" queryTableFieldId="4" dataDxfId="81"/>
    <tableColumn id="5" xr3:uid="{7F92E8F9-91DF-48EA-A8F2-F3E13D8104D3}" uniqueName="5" name="P/FCF UB" queryTableFieldId="5" dataDxfId="80"/>
    <tableColumn id="6" xr3:uid="{837AC52A-2B15-4BFB-A555-2456F010C7C9}" uniqueName="6" name="P/B Q1" queryTableFieldId="6" dataDxfId="79"/>
    <tableColumn id="7" xr3:uid="{C672A3A3-8D6C-4E08-B6E3-1D85CD510A41}" uniqueName="7" name="P/B Q3" queryTableFieldId="7" dataDxfId="78"/>
    <tableColumn id="8" xr3:uid="{47FBFC34-1D36-49FE-8583-28072989EA1C}" uniqueName="8" name="P/B LB" queryTableFieldId="8" dataDxfId="77"/>
    <tableColumn id="9" xr3:uid="{98DADD72-A76B-4DE4-AB34-515EBE2E4A04}" uniqueName="9" name="P/B UB" queryTableFieldId="9" dataDxfId="76"/>
    <tableColumn id="10" xr3:uid="{C06AFB5F-1921-4B19-AFA7-04514BD3BC35}" uniqueName="10" name="ROE Q1" queryTableFieldId="10" dataDxfId="75"/>
    <tableColumn id="11" xr3:uid="{38FF7E38-2AC1-4486-B824-BCBE4156ADA7}" uniqueName="11" name="ROE Q3" queryTableFieldId="11" dataDxfId="74"/>
    <tableColumn id="12" xr3:uid="{1BBD6DC1-3C0C-48AF-9986-81D1F4A26368}" uniqueName="12" name="ROE LB" queryTableFieldId="12" dataDxfId="73"/>
    <tableColumn id="13" xr3:uid="{5775303C-3550-4762-86D0-7A82C106A3F0}" uniqueName="13" name="ROE UB" queryTableFieldId="13" dataDxfId="72"/>
    <tableColumn id="14" xr3:uid="{9FE06177-2E94-4066-A65B-77414C97B4DC}" uniqueName="14" name="ROA Q1" queryTableFieldId="14" dataDxfId="71"/>
    <tableColumn id="15" xr3:uid="{386179E5-15F0-4AED-9E0C-1EB211C80CEE}" uniqueName="15" name="ROA Q3" queryTableFieldId="15" dataDxfId="70"/>
    <tableColumn id="16" xr3:uid="{C7DC1506-2223-42A0-AC4B-68B0E14D2B9D}" uniqueName="16" name="ROA LB" queryTableFieldId="16" dataDxfId="69"/>
    <tableColumn id="17" xr3:uid="{C45AE1E6-1326-44B3-972F-838B081A78FC}" uniqueName="17" name="ROA UB" queryTableFieldId="17" dataDxfId="68"/>
    <tableColumn id="18" xr3:uid="{17D85B47-F40C-47C3-996F-C47242CFB7D2}" uniqueName="18" name="P/E Q1" queryTableFieldId="18" dataDxfId="67"/>
    <tableColumn id="19" xr3:uid="{44248722-1EBA-4DF8-B99D-B6B2F31E253B}" uniqueName="19" name="P/E Q3" queryTableFieldId="19" dataDxfId="66"/>
    <tableColumn id="20" xr3:uid="{93299C7A-5544-43AE-ACC5-72F0CB129F08}" uniqueName="20" name="P/E LB" queryTableFieldId="20" dataDxfId="65"/>
    <tableColumn id="21" xr3:uid="{3E027012-2DA9-4754-8880-25FEEDEFA94A}" uniqueName="21" name="P/E UB" queryTableFieldId="21" dataDxfId="64"/>
    <tableColumn id="22" xr3:uid="{FF2638EF-6EA0-401C-B7D8-A2BC49ECD2B0}" uniqueName="22" name="A/E Q1" queryTableFieldId="22" dataDxfId="63"/>
    <tableColumn id="23" xr3:uid="{546FB46A-BFEC-4020-A8E1-97073EBE991F}" uniqueName="23" name="A/E Q3" queryTableFieldId="23" dataDxfId="62"/>
    <tableColumn id="24" xr3:uid="{41F03CE5-975A-469D-B609-D8C5D8D172FA}" uniqueName="24" name="A/E LB" queryTableFieldId="24" dataDxfId="61"/>
    <tableColumn id="25" xr3:uid="{1863137D-3C8C-4A15-9A63-5E253392AFAD}" uniqueName="25" name="A/E UB" queryTableFieldId="25" dataDxfId="6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20:Y25" tableType="queryTable" totalsRowShown="0">
  <autoFilter ref="A20:Y25" xr:uid="{CF689D08-98E7-4B08-8D8B-630159DED978}"/>
  <tableColumns count="25">
    <tableColumn id="1" xr3:uid="{1B5FE8EC-4B8C-444E-96DC-3618818E7D45}" uniqueName="1" name="Industry" queryTableFieldId="1" dataDxfId="138"/>
    <tableColumn id="2" xr3:uid="{0E20A80F-BE74-42F8-83EF-419A13269CF8}" uniqueName="2" name="P/FCF Q1" queryTableFieldId="2" dataDxfId="107"/>
    <tableColumn id="3" xr3:uid="{6D66145B-6613-41BC-8233-7356853CCFEF}" uniqueName="3" name="P/FCF Q3" queryTableFieldId="3" dataDxfId="106"/>
    <tableColumn id="4" xr3:uid="{90A69125-3CA2-4D0A-8F1A-65993DFA9D46}" uniqueName="4" name="P/FCF LB" queryTableFieldId="4" dataDxfId="105"/>
    <tableColumn id="5" xr3:uid="{BED6E3D4-DC60-428F-B5E8-4C3C64096FD7}" uniqueName="5" name="P/FCF UB" queryTableFieldId="5" dataDxfId="104"/>
    <tableColumn id="6" xr3:uid="{FC33B186-B76E-4D86-8EBD-E25B773D256E}" uniqueName="6" name="P/B Q1" queryTableFieldId="6" dataDxfId="103"/>
    <tableColumn id="7" xr3:uid="{D82D1432-7C03-4449-BD2D-F895D50A5F32}" uniqueName="7" name="P/B Q3" queryTableFieldId="7" dataDxfId="102"/>
    <tableColumn id="8" xr3:uid="{D3389429-24FB-4947-AACF-CAA92D678F94}" uniqueName="8" name="P/B LB" queryTableFieldId="8" dataDxfId="101"/>
    <tableColumn id="9" xr3:uid="{452E932D-DD5B-4C62-A8B3-25C90C8C7751}" uniqueName="9" name="P/B UB" queryTableFieldId="9" dataDxfId="100"/>
    <tableColumn id="10" xr3:uid="{99E11285-9679-47B1-9540-1BD10239596C}" uniqueName="10" name="ROE Q1" queryTableFieldId="10" dataDxfId="99"/>
    <tableColumn id="11" xr3:uid="{B4F1825A-C678-4C01-BB96-B04FAB1938BD}" uniqueName="11" name="ROE Q3" queryTableFieldId="11" dataDxfId="98"/>
    <tableColumn id="12" xr3:uid="{9F07026D-928C-42B1-8DD2-9BD3176C8B6A}" uniqueName="12" name="ROE LB" queryTableFieldId="12" dataDxfId="97"/>
    <tableColumn id="13" xr3:uid="{47360B1B-7AC4-49FA-9F18-2F1F1B72CA28}" uniqueName="13" name="ROE UB" queryTableFieldId="13" dataDxfId="96"/>
    <tableColumn id="14" xr3:uid="{58B0248D-BCFF-4737-ADF5-EE087C03D561}" uniqueName="14" name="ROA Q1" queryTableFieldId="14" dataDxfId="95"/>
    <tableColumn id="15" xr3:uid="{CCD6E6AE-6BBB-4675-8C50-0F87AF280A3C}" uniqueName="15" name="ROA Q3" queryTableFieldId="15" dataDxfId="94"/>
    <tableColumn id="16" xr3:uid="{BB86731C-A605-4988-A848-B35835CAF73E}" uniqueName="16" name="ROA LB" queryTableFieldId="16" dataDxfId="93"/>
    <tableColumn id="17" xr3:uid="{9760AC7A-70E9-4457-8DC8-4BDA6646C74E}" uniqueName="17" name="ROA UB" queryTableFieldId="17" dataDxfId="92"/>
    <tableColumn id="18" xr3:uid="{931D5CA9-41B9-424B-87E6-FA364034B249}" uniqueName="18" name="P/E Q1" queryTableFieldId="18" dataDxfId="91"/>
    <tableColumn id="19" xr3:uid="{23E1DD3D-5F02-4A6D-9773-5EA3466661AF}" uniqueName="19" name="P/E Q3" queryTableFieldId="19" dataDxfId="90"/>
    <tableColumn id="20" xr3:uid="{478DC28A-5ACD-47E8-8720-6EEE2D43205B}" uniqueName="20" name="P/E LB" queryTableFieldId="20" dataDxfId="89"/>
    <tableColumn id="21" xr3:uid="{AC7D613F-0AC5-4542-BBED-886B4C332840}" uniqueName="21" name="P/E UB" queryTableFieldId="21" dataDxfId="88"/>
    <tableColumn id="22" xr3:uid="{1E3F527B-4B19-4D38-9A78-D4BBA95224B9}" uniqueName="22" name="A/E Q1" queryTableFieldId="22" dataDxfId="87"/>
    <tableColumn id="23" xr3:uid="{1256121C-1427-4F44-988A-E08E26F80A67}" uniqueName="23" name="A/E Q3" queryTableFieldId="23" dataDxfId="86"/>
    <tableColumn id="24" xr3:uid="{3F6A6F05-B80E-47C0-9039-80E1A481FF30}" uniqueName="24" name="A/E LB" queryTableFieldId="24" dataDxfId="85"/>
    <tableColumn id="25" xr3:uid="{08969B40-89DA-4EAE-925B-3C841EB86C63}" uniqueName="25" name="A/E UB" queryTableFieldId="25" dataDxfId="8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50"/>
  <sheetViews>
    <sheetView workbookViewId="0">
      <selection activeCell="B24" sqref="B24"/>
    </sheetView>
  </sheetViews>
  <sheetFormatPr defaultRowHeight="15" x14ac:dyDescent="0.25"/>
  <cols>
    <col min="1" max="1" width="22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2851562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106</v>
      </c>
      <c r="C2" s="2">
        <v>20110</v>
      </c>
      <c r="D2">
        <f>RTD("tos.rtd", , "LAST", Main_L[[#This Row],[Symbol]])</f>
        <v>30.77</v>
      </c>
      <c r="E2">
        <v>-0.96</v>
      </c>
      <c r="F2">
        <v>23.75</v>
      </c>
      <c r="G2">
        <v>0.4</v>
      </c>
      <c r="H2" s="1">
        <f>IF(ISNUMBER(Main_L[[#This Row],[Free CF]]),IF(Main_L[[#This Row],[Free CF]]&lt;&gt;0,Main_L[[#This Row],[Current Price]]/Main_L[[#This Row],[Free CF]],""),"")</f>
        <v>-32.052083333333336</v>
      </c>
      <c r="I2" s="1">
        <f>IF(ISNUMBER(Main_L[[#This Row],[BVPS]]),IF(Main_L[[#This Row],[BVPS]]&lt;&gt;0,Main_L[[#This Row],[Current Price]]/Main_L[[#This Row],[BVPS]],""),"")</f>
        <v>1.2955789473684209</v>
      </c>
      <c r="J2">
        <v>2.06</v>
      </c>
      <c r="K2">
        <v>1.83</v>
      </c>
      <c r="L2">
        <v>3.42</v>
      </c>
      <c r="M2" s="1">
        <f>IF(ISNUMBER(Main_L[[#This Row],[EPS]]),IF(Main_L[[#This Row],[EPS]]&lt;&gt;0,Main_L[[#This Row],[Current Price]]/Main_L[[#This Row],[EPS]],""),"")</f>
        <v>76.924999999999997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>
        <f>(Main_L[[#This Row],[P/FCF]]-VLOOKUP(Main_L[[#This Row],[Industry]], Mean_PFCF_L, 2, FALSE))/(VLOOKUP(Main_L[[#This Row],[Industry]], Mean_PFCF_L, 3, FALSE))</f>
        <v>-3.4383126067802632</v>
      </c>
      <c r="P2" s="1">
        <f>(Main_L[[#This Row],[P/B]]-VLOOKUP(Main_L[[#This Row],[Industry]], Mean_PB_L, 2, FALSE))/(VLOOKUP(Main_L[[#This Row],[Industry]], Mean_PB_L, 3, FALSE))</f>
        <v>-0.53935624181045183</v>
      </c>
      <c r="Q2" s="1">
        <f>(Main_L[[#This Row],[ROE]]-VLOOKUP(Main_L[[#This Row],[Industry]], Mean_ROE_L, 2, FALSE))/(VLOOKUP(Main_L[[#This Row],[Industry]], Mean_ROE_L, 3, FALSE))</f>
        <v>-0.74759480438812143</v>
      </c>
      <c r="R2" s="1">
        <f>(Main_L[[#This Row],[ROA]]-VLOOKUP(Main_L[[#This Row],[Industry]], Mean_ROA_L, 2, FALSE))/(VLOOKUP(Main_L[[#This Row],[Industry]], Mean_ROA_L, 3, FALSE))</f>
        <v>-0.92240363928451907</v>
      </c>
      <c r="S2" s="1">
        <f>(Main_L[[#This Row],[A/E]]-VLOOKUP(Main_L[[#This Row],[Industry]], Mean_AE_L, 2, FALSE))/(VLOOKUP(Main_L[[#This Row],[Industry]], Mean_AE_L, 3, FALSE))</f>
        <v>1.9694919367209869</v>
      </c>
      <c r="T2" s="1">
        <f>(Main_L[[#This Row],[P/E]]-VLOOKUP(Main_L[[#This Row],[Industry]], Mean_PE_L, 2, FALSE))/(VLOOKUP(Main_L[[#This Row],[Industry]], Mean_PE_L, 3, FALSE))</f>
        <v>1.766392166982095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" spans="1:26" x14ac:dyDescent="0.25">
      <c r="A3" t="s">
        <v>105</v>
      </c>
      <c r="B3" t="s">
        <v>107</v>
      </c>
      <c r="C3" s="2">
        <v>17873</v>
      </c>
      <c r="D3">
        <f>RTD("tos.rtd", , "LAST", Main_L[[#This Row],[Symbol]])</f>
        <v>60.34</v>
      </c>
      <c r="E3">
        <v>4.67</v>
      </c>
      <c r="F3">
        <v>37.81</v>
      </c>
      <c r="G3">
        <v>2.89</v>
      </c>
      <c r="H3" s="1">
        <f>IF(ISNUMBER(Main_L[[#This Row],[Free CF]]),IF(Main_L[[#This Row],[Free CF]]&lt;&gt;0,Main_L[[#This Row],[Current Price]]/Main_L[[#This Row],[Free CF]],""),"")</f>
        <v>12.920770877944326</v>
      </c>
      <c r="I3" s="1">
        <f>IF(ISNUMBER(Main_L[[#This Row],[BVPS]]),IF(Main_L[[#This Row],[BVPS]]&lt;&gt;0,Main_L[[#This Row],[Current Price]]/Main_L[[#This Row],[BVPS]],""),"")</f>
        <v>1.5958741073790002</v>
      </c>
      <c r="J3">
        <v>7.44</v>
      </c>
      <c r="K3">
        <v>3.85</v>
      </c>
      <c r="L3">
        <v>2.88</v>
      </c>
      <c r="M3" s="1">
        <f>IF(ISNUMBER(Main_L[[#This Row],[EPS]]),IF(Main_L[[#This Row],[EPS]]&lt;&gt;0,Main_L[[#This Row],[Current Price]]/Main_L[[#This Row],[EPS]],""),"")</f>
        <v>20.878892733564015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-0.56188100023309373</v>
      </c>
      <c r="P3" s="1">
        <f>(Main_L[[#This Row],[P/B]]-VLOOKUP(Main_L[[#This Row],[Industry]], Mean_PB_L, 2, FALSE))/(VLOOKUP(Main_L[[#This Row],[Industry]], Mean_PB_L, 3, FALSE))</f>
        <v>-0.33593295228278469</v>
      </c>
      <c r="Q3" s="1">
        <f>(Main_L[[#This Row],[ROE]]-VLOOKUP(Main_L[[#This Row],[Industry]], Mean_ROE_L, 2, FALSE))/(VLOOKUP(Main_L[[#This Row],[Industry]], Mean_ROE_L, 3, FALSE))</f>
        <v>-0.13494285501902875</v>
      </c>
      <c r="R3" s="1">
        <f>(Main_L[[#This Row],[ROA]]-VLOOKUP(Main_L[[#This Row],[Industry]], Mean_ROA_L, 2, FALSE))/(VLOOKUP(Main_L[[#This Row],[Industry]], Mean_ROA_L, 3, FALSE))</f>
        <v>-0.20281480637203353</v>
      </c>
      <c r="S3" s="1">
        <f>(Main_L[[#This Row],[A/E]]-VLOOKUP(Main_L[[#This Row],[Industry]], Mean_AE_L, 2, FALSE))/(VLOOKUP(Main_L[[#This Row],[Industry]], Mean_AE_L, 3, FALSE))</f>
        <v>0.99057286758156171</v>
      </c>
      <c r="T3" s="1">
        <f>(Main_L[[#This Row],[P/E]]-VLOOKUP(Main_L[[#This Row],[Industry]], Mean_PE_L, 2, FALSE))/(VLOOKUP(Main_L[[#This Row],[Industry]], Mean_PE_L, 3, FALSE))</f>
        <v>-0.82500916113401301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t="s">
        <v>105</v>
      </c>
      <c r="B4" t="s">
        <v>108</v>
      </c>
      <c r="C4" s="2">
        <v>10003</v>
      </c>
      <c r="D4">
        <f>RTD("tos.rtd", , "LAST", Main_L[[#This Row],[Symbol]])</f>
        <v>86.53</v>
      </c>
      <c r="E4">
        <v>0.65</v>
      </c>
      <c r="F4">
        <v>81.180000000000007</v>
      </c>
      <c r="G4">
        <v>3</v>
      </c>
      <c r="H4" s="1">
        <f>IF(ISNUMBER(Main_L[[#This Row],[Free CF]]),IF(Main_L[[#This Row],[Free CF]]&lt;&gt;0,Main_L[[#This Row],[Current Price]]/Main_L[[#This Row],[Free CF]],""),"")</f>
        <v>133.12307692307692</v>
      </c>
      <c r="I4" s="1">
        <f>IF(ISNUMBER(Main_L[[#This Row],[BVPS]]),IF(Main_L[[#This Row],[BVPS]]&lt;&gt;0,Main_L[[#This Row],[Current Price]]/Main_L[[#This Row],[BVPS]],""),"")</f>
        <v>1.0659029317565902</v>
      </c>
      <c r="J4">
        <v>3.92</v>
      </c>
      <c r="K4">
        <v>2.14</v>
      </c>
      <c r="L4">
        <v>1.99</v>
      </c>
      <c r="M4" s="1">
        <f>IF(ISNUMBER(Main_L[[#This Row],[EPS]]),IF(Main_L[[#This Row],[EPS]]&lt;&gt;0,Main_L[[#This Row],[Current Price]]/Main_L[[#This Row],[EPS]],""),"")</f>
        <v>28.843333333333334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7.126172567898502</v>
      </c>
      <c r="P4" s="1">
        <f>(Main_L[[#This Row],[P/B]]-VLOOKUP(Main_L[[#This Row],[Industry]], Mean_PB_L, 2, FALSE))/(VLOOKUP(Main_L[[#This Row],[Industry]], Mean_PB_L, 3, FALSE))</f>
        <v>-0.6949413355552877</v>
      </c>
      <c r="Q4" s="1">
        <f>(Main_L[[#This Row],[ROE]]-VLOOKUP(Main_L[[#This Row],[Industry]], Mean_ROE_L, 2, FALSE))/(VLOOKUP(Main_L[[#This Row],[Industry]], Mean_ROE_L, 3, FALSE))</f>
        <v>-0.53578576613040541</v>
      </c>
      <c r="R4" s="1">
        <f>(Main_L[[#This Row],[ROA]]-VLOOKUP(Main_L[[#This Row],[Industry]], Mean_ROA_L, 2, FALSE))/(VLOOKUP(Main_L[[#This Row],[Industry]], Mean_ROA_L, 3, FALSE))</f>
        <v>-0.81197168967913758</v>
      </c>
      <c r="S4" s="1">
        <f>(Main_L[[#This Row],[A/E]]-VLOOKUP(Main_L[[#This Row],[Industry]], Mean_AE_L, 2, FALSE))/(VLOOKUP(Main_L[[#This Row],[Industry]], Mean_AE_L, 3, FALSE))</f>
        <v>-0.62283078340749076</v>
      </c>
      <c r="T4" s="1">
        <f>(Main_L[[#This Row],[P/E]]-VLOOKUP(Main_L[[#This Row],[Industry]], Mean_PE_L, 2, FALSE))/(VLOOKUP(Main_L[[#This Row],[Industry]], Mean_PE_L, 3, FALSE))</f>
        <v>-0.45675768115470561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t="s">
        <v>105</v>
      </c>
      <c r="B5" t="s">
        <v>109</v>
      </c>
      <c r="C5" s="2">
        <v>13432</v>
      </c>
      <c r="D5">
        <f>RTD("tos.rtd", , "LAST", Main_L[[#This Row],[Symbol]])</f>
        <v>87.73</v>
      </c>
      <c r="E5">
        <v>9.7200000000000006</v>
      </c>
      <c r="F5">
        <v>29.34</v>
      </c>
      <c r="G5">
        <v>6.74</v>
      </c>
      <c r="H5" s="1">
        <f>IF(ISNUMBER(Main_L[[#This Row],[Free CF]]),IF(Main_L[[#This Row],[Free CF]]&lt;&gt;0,Main_L[[#This Row],[Current Price]]/Main_L[[#This Row],[Free CF]],""),"")</f>
        <v>9.0257201646090532</v>
      </c>
      <c r="I5" s="1">
        <f>IF(ISNUMBER(Main_L[[#This Row],[BVPS]]),IF(Main_L[[#This Row],[BVPS]]&lt;&gt;0,Main_L[[#This Row],[Current Price]]/Main_L[[#This Row],[BVPS]],""),"")</f>
        <v>2.9901158827539196</v>
      </c>
      <c r="J5">
        <v>18.5</v>
      </c>
      <c r="K5">
        <v>7.74</v>
      </c>
      <c r="L5">
        <v>2.7</v>
      </c>
      <c r="M5" s="1">
        <f>IF(ISNUMBER(Main_L[[#This Row],[EPS]]),IF(Main_L[[#This Row],[EPS]]&lt;&gt;0,Main_L[[#This Row],[Current Price]]/Main_L[[#This Row],[EPS]],""),"")</f>
        <v>13.016320474777448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-0.81100565948436576</v>
      </c>
      <c r="P5" s="1">
        <f>(Main_L[[#This Row],[P/B]]-VLOOKUP(Main_L[[#This Row],[Industry]], Mean_PB_L, 2, FALSE))/(VLOOKUP(Main_L[[#This Row],[Industry]], Mean_PB_L, 3, FALSE))</f>
        <v>0.60854197143449784</v>
      </c>
      <c r="Q5" s="1">
        <f>(Main_L[[#This Row],[ROE]]-VLOOKUP(Main_L[[#This Row],[Industry]], Mean_ROE_L, 2, FALSE))/(VLOOKUP(Main_L[[#This Row],[Industry]], Mean_ROE_L, 3, FALSE))</f>
        <v>1.12452379182524</v>
      </c>
      <c r="R5" s="1">
        <f>(Main_L[[#This Row],[ROA]]-VLOOKUP(Main_L[[#This Row],[Industry]], Mean_ROA_L, 2, FALSE))/(VLOOKUP(Main_L[[#This Row],[Industry]], Mean_ROA_L, 3, FALSE))</f>
        <v>1.1829280451277528</v>
      </c>
      <c r="S5" s="1">
        <f>(Main_L[[#This Row],[A/E]]-VLOOKUP(Main_L[[#This Row],[Industry]], Mean_AE_L, 2, FALSE))/(VLOOKUP(Main_L[[#This Row],[Industry]], Mean_AE_L, 3, FALSE))</f>
        <v>0.66426651120175384</v>
      </c>
      <c r="T5" s="1">
        <f>(Main_L[[#This Row],[P/E]]-VLOOKUP(Main_L[[#This Row],[Industry]], Mean_PE_L, 2, FALSE))/(VLOOKUP(Main_L[[#This Row],[Industry]], Mean_PE_L, 3, FALSE))</f>
        <v>-1.1885505592362553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t="s">
        <v>105</v>
      </c>
      <c r="B6" t="s">
        <v>110</v>
      </c>
      <c r="C6" s="2">
        <v>42634</v>
      </c>
      <c r="D6">
        <f>RTD("tos.rtd", , "LAST", Main_L[[#This Row],[Symbol]])</f>
        <v>67.900000000000006</v>
      </c>
      <c r="E6">
        <v>2.23</v>
      </c>
      <c r="F6">
        <v>34.700000000000003</v>
      </c>
      <c r="G6">
        <v>1.22</v>
      </c>
      <c r="H6" s="1">
        <f>IF(ISNUMBER(Main_L[[#This Row],[Free CF]]),IF(Main_L[[#This Row],[Free CF]]&lt;&gt;0,Main_L[[#This Row],[Current Price]]/Main_L[[#This Row],[Free CF]],""),"")</f>
        <v>30.448430493273545</v>
      </c>
      <c r="I6" s="1">
        <f>IF(ISNUMBER(Main_L[[#This Row],[BVPS]]),IF(Main_L[[#This Row],[BVPS]]&lt;&gt;0,Main_L[[#This Row],[Current Price]]/Main_L[[#This Row],[BVPS]],""),"")</f>
        <v>1.956772334293948</v>
      </c>
      <c r="J6">
        <v>3.5</v>
      </c>
      <c r="K6">
        <v>2.91</v>
      </c>
      <c r="L6">
        <v>1.72</v>
      </c>
      <c r="M6" s="1">
        <f>IF(ISNUMBER(Main_L[[#This Row],[EPS]]),IF(Main_L[[#This Row],[EPS]]&lt;&gt;0,Main_L[[#This Row],[Current Price]]/Main_L[[#This Row],[EPS]],""),"")</f>
        <v>55.655737704918039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0.55917557913096327</v>
      </c>
      <c r="P6" s="1">
        <f>(Main_L[[#This Row],[P/B]]-VLOOKUP(Main_L[[#This Row],[Industry]], Mean_PB_L, 2, FALSE))/(VLOOKUP(Main_L[[#This Row],[Industry]], Mean_PB_L, 3, FALSE))</f>
        <v>-9.1456469541088811E-2</v>
      </c>
      <c r="Q6" s="1">
        <f>(Main_L[[#This Row],[ROE]]-VLOOKUP(Main_L[[#This Row],[Industry]], Mean_ROE_L, 2, FALSE))/(VLOOKUP(Main_L[[#This Row],[Industry]], Mean_ROE_L, 3, FALSE))</f>
        <v>-0.58361361347892193</v>
      </c>
      <c r="R6" s="1">
        <f>(Main_L[[#This Row],[ROA]]-VLOOKUP(Main_L[[#This Row],[Industry]], Mean_ROA_L, 2, FALSE))/(VLOOKUP(Main_L[[#This Row],[Industry]], Mean_ROA_L, 3, FALSE))</f>
        <v>-0.5376729761431901</v>
      </c>
      <c r="S6" s="1">
        <f>(Main_L[[#This Row],[A/E]]-VLOOKUP(Main_L[[#This Row],[Industry]], Mean_AE_L, 2, FALSE))/(VLOOKUP(Main_L[[#This Row],[Industry]], Mean_AE_L, 3, FALSE))</f>
        <v>-1.1122903179772032</v>
      </c>
      <c r="T6" s="1">
        <f>(Main_L[[#This Row],[P/E]]-VLOOKUP(Main_L[[#This Row],[Industry]], Mean_PE_L, 2, FALSE))/(VLOOKUP(Main_L[[#This Row],[Industry]], Mean_PE_L, 3, FALSE))</f>
        <v>0.78296624772056289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" spans="1:26" x14ac:dyDescent="0.25">
      <c r="A7" t="s">
        <v>105</v>
      </c>
      <c r="B7" t="s">
        <v>111</v>
      </c>
      <c r="C7" s="2">
        <v>10012</v>
      </c>
      <c r="D7">
        <f>RTD("tos.rtd", , "LAST", Main_L[[#This Row],[Symbol]])</f>
        <v>34.229999999999997</v>
      </c>
      <c r="E7">
        <v>0.15</v>
      </c>
      <c r="F7">
        <v>36.229999999999997</v>
      </c>
      <c r="G7">
        <v>0.55000000000000004</v>
      </c>
      <c r="H7" s="1">
        <f>IF(ISNUMBER(Main_L[[#This Row],[Free CF]]),IF(Main_L[[#This Row],[Free CF]]&lt;&gt;0,Main_L[[#This Row],[Current Price]]/Main_L[[#This Row],[Free CF]],""),"")</f>
        <v>228.2</v>
      </c>
      <c r="I7" s="1">
        <f>IF(ISNUMBER(Main_L[[#This Row],[BVPS]]),IF(Main_L[[#This Row],[BVPS]]&lt;&gt;0,Main_L[[#This Row],[Current Price]]/Main_L[[#This Row],[BVPS]],""),"")</f>
        <v>0.94479712945073147</v>
      </c>
      <c r="J7">
        <v>1.68</v>
      </c>
      <c r="K7">
        <v>1.69</v>
      </c>
      <c r="L7">
        <v>2</v>
      </c>
      <c r="M7" s="1">
        <f>IF(ISNUMBER(Main_L[[#This Row],[EPS]]),IF(Main_L[[#This Row],[EPS]]&lt;&gt;0,Main_L[[#This Row],[Current Price]]/Main_L[[#This Row],[EPS]],""),"")</f>
        <v>62.236363636363627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13.207224602241819</v>
      </c>
      <c r="P7" s="1">
        <f>(Main_L[[#This Row],[P/B]]-VLOOKUP(Main_L[[#This Row],[Industry]], Mean_PB_L, 2, FALSE))/(VLOOKUP(Main_L[[#This Row],[Industry]], Mean_PB_L, 3, FALSE))</f>
        <v>-0.77697975630465066</v>
      </c>
      <c r="Q7" s="1">
        <f>(Main_L[[#This Row],[ROE]]-VLOOKUP(Main_L[[#This Row],[Industry]], Mean_ROE_L, 2, FALSE))/(VLOOKUP(Main_L[[#This Row],[Industry]], Mean_ROE_L, 3, FALSE))</f>
        <v>-0.790867618655827</v>
      </c>
      <c r="R7" s="1">
        <f>(Main_L[[#This Row],[ROA]]-VLOOKUP(Main_L[[#This Row],[Industry]], Mean_ROA_L, 2, FALSE))/(VLOOKUP(Main_L[[#This Row],[Industry]], Mean_ROA_L, 3, FALSE))</f>
        <v>-0.97227613265469137</v>
      </c>
      <c r="S7" s="1">
        <f>(Main_L[[#This Row],[A/E]]-VLOOKUP(Main_L[[#This Row],[Industry]], Mean_AE_L, 2, FALSE))/(VLOOKUP(Main_L[[#This Row],[Industry]], Mean_AE_L, 3, FALSE))</f>
        <v>-0.60470265249750133</v>
      </c>
      <c r="T7" s="1">
        <f>(Main_L[[#This Row],[P/E]]-VLOOKUP(Main_L[[#This Row],[Industry]], Mean_PE_L, 2, FALSE))/(VLOOKUP(Main_L[[#This Row],[Industry]], Mean_PE_L, 3, FALSE))</f>
        <v>1.087234351435874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t="s">
        <v>105</v>
      </c>
      <c r="B8" t="s">
        <v>112</v>
      </c>
      <c r="C8" s="2">
        <v>27662</v>
      </c>
      <c r="D8">
        <f>RTD("tos.rtd", , "LAST", Main_L[[#This Row],[Symbol]])</f>
        <v>58.06</v>
      </c>
      <c r="E8">
        <v>2.79</v>
      </c>
      <c r="F8">
        <v>49.71</v>
      </c>
      <c r="G8">
        <v>1.36</v>
      </c>
      <c r="H8" s="1">
        <f>IF(ISNUMBER(Main_L[[#This Row],[Free CF]]),IF(Main_L[[#This Row],[Free CF]]&lt;&gt;0,Main_L[[#This Row],[Current Price]]/Main_L[[#This Row],[Free CF]],""),"")</f>
        <v>20.810035842293907</v>
      </c>
      <c r="I8" s="1">
        <f>IF(ISNUMBER(Main_L[[#This Row],[BVPS]]),IF(Main_L[[#This Row],[BVPS]]&lt;&gt;0,Main_L[[#This Row],[Current Price]]/Main_L[[#This Row],[BVPS]],""),"")</f>
        <v>1.167974250653792</v>
      </c>
      <c r="J8">
        <v>2.82</v>
      </c>
      <c r="K8">
        <v>3.1</v>
      </c>
      <c r="L8">
        <v>2.12</v>
      </c>
      <c r="M8" s="1">
        <f>IF(ISNUMBER(Main_L[[#This Row],[EPS]]),IF(Main_L[[#This Row],[EPS]]&lt;&gt;0,Main_L[[#This Row],[Current Price]]/Main_L[[#This Row],[EPS]],""),"")</f>
        <v>42.691176470588232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>
        <f>(Main_L[[#This Row],[P/FCF]]-VLOOKUP(Main_L[[#This Row],[Industry]], Mean_PFCF_L, 2, FALSE))/(VLOOKUP(Main_L[[#This Row],[Industry]], Mean_PFCF_L, 3, FALSE))</f>
        <v>-5.7289252747568485E-2</v>
      </c>
      <c r="P8" s="1">
        <f>(Main_L[[#This Row],[P/B]]-VLOOKUP(Main_L[[#This Row],[Industry]], Mean_PB_L, 2, FALSE))/(VLOOKUP(Main_L[[#This Row],[Industry]], Mean_PB_L, 3, FALSE))</f>
        <v>-0.62579708609164386</v>
      </c>
      <c r="Q8" s="1">
        <f>(Main_L[[#This Row],[ROE]]-VLOOKUP(Main_L[[#This Row],[Industry]], Mean_ROE_L, 2, FALSE))/(VLOOKUP(Main_L[[#This Row],[Industry]], Mean_ROE_L, 3, FALSE))</f>
        <v>-0.66104917585271061</v>
      </c>
      <c r="R8" s="1">
        <f>(Main_L[[#This Row],[ROA]]-VLOOKUP(Main_L[[#This Row],[Industry]], Mean_ROA_L, 2, FALSE))/(VLOOKUP(Main_L[[#This Row],[Industry]], Mean_ROA_L, 3, FALSE))</f>
        <v>-0.46998887799795636</v>
      </c>
      <c r="S8" s="1">
        <f>(Main_L[[#This Row],[A/E]]-VLOOKUP(Main_L[[#This Row],[Industry]], Mean_AE_L, 2, FALSE))/(VLOOKUP(Main_L[[#This Row],[Industry]], Mean_AE_L, 3, FALSE))</f>
        <v>-0.38716508157762891</v>
      </c>
      <c r="T8" s="1">
        <f>(Main_L[[#This Row],[P/E]]-VLOOKUP(Main_L[[#This Row],[Industry]], Mean_PE_L, 2, FALSE))/(VLOOKUP(Main_L[[#This Row],[Industry]], Mean_PE_L, 3, FALSE))</f>
        <v>0.18352441599134037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t="s">
        <v>105</v>
      </c>
      <c r="B9" t="s">
        <v>113</v>
      </c>
      <c r="C9" s="2">
        <v>58887</v>
      </c>
      <c r="D9">
        <f>RTD("tos.rtd", , "LAST", Main_L[[#This Row],[Symbol]])</f>
        <v>273.64</v>
      </c>
      <c r="E9">
        <v>-19.46</v>
      </c>
      <c r="F9">
        <v>66.069999999999993</v>
      </c>
      <c r="G9">
        <v>6.94</v>
      </c>
      <c r="H9" s="1">
        <f>IF(ISNUMBER(Main_L[[#This Row],[Free CF]]),IF(Main_L[[#This Row],[Free CF]]&lt;&gt;0,Main_L[[#This Row],[Current Price]]/Main_L[[#This Row],[Free CF]],""),"")</f>
        <v>-14.061664953751283</v>
      </c>
      <c r="I9" s="1">
        <f>IF(ISNUMBER(Main_L[[#This Row],[BVPS]]),IF(Main_L[[#This Row],[BVPS]]&lt;&gt;0,Main_L[[#This Row],[Current Price]]/Main_L[[#This Row],[BVPS]],""),"")</f>
        <v>4.1416679279551989</v>
      </c>
      <c r="J9">
        <v>9.58</v>
      </c>
      <c r="K9">
        <v>4.7</v>
      </c>
      <c r="L9">
        <v>2.64</v>
      </c>
      <c r="M9" s="1">
        <f>IF(ISNUMBER(Main_L[[#This Row],[EPS]]),IF(Main_L[[#This Row],[EPS]]&lt;&gt;0,Main_L[[#This Row],[Current Price]]/Main_L[[#This Row],[EPS]],""),"")</f>
        <v>39.429394812680108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-2.2876583076572996</v>
      </c>
      <c r="P9" s="1">
        <f>(Main_L[[#This Row],[P/B]]-VLOOKUP(Main_L[[#This Row],[Industry]], Mean_PB_L, 2, FALSE))/(VLOOKUP(Main_L[[#This Row],[Industry]], Mean_PB_L, 3, FALSE))</f>
        <v>1.3886161660665544</v>
      </c>
      <c r="Q9" s="1">
        <f>(Main_L[[#This Row],[ROE]]-VLOOKUP(Main_L[[#This Row],[Industry]], Mean_ROE_L, 2, FALSE))/(VLOOKUP(Main_L[[#This Row],[Industry]], Mean_ROE_L, 3, FALSE))</f>
        <v>0.10875141480436498</v>
      </c>
      <c r="R9" s="1">
        <f>(Main_L[[#This Row],[ROA]]-VLOOKUP(Main_L[[#This Row],[Industry]], Mean_ROA_L, 2, FALSE))/(VLOOKUP(Main_L[[#This Row],[Industry]], Mean_ROA_L, 3, FALSE))</f>
        <v>9.9982474804012386E-2</v>
      </c>
      <c r="S9" s="1">
        <f>(Main_L[[#This Row],[A/E]]-VLOOKUP(Main_L[[#This Row],[Industry]], Mean_AE_L, 2, FALSE))/(VLOOKUP(Main_L[[#This Row],[Industry]], Mean_AE_L, 3, FALSE))</f>
        <v>0.55549772574181755</v>
      </c>
      <c r="T9" s="1">
        <f>(Main_L[[#This Row],[P/E]]-VLOOKUP(Main_L[[#This Row],[Industry]], Mean_PE_L, 2, FALSE))/(VLOOKUP(Main_L[[#This Row],[Industry]], Mean_PE_L, 3, FALSE))</f>
        <v>3.2709564923355035E-2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" spans="1:26" x14ac:dyDescent="0.25">
      <c r="A10" t="s">
        <v>105</v>
      </c>
      <c r="B10" t="s">
        <v>114</v>
      </c>
      <c r="C10" s="2">
        <v>27018</v>
      </c>
      <c r="D10">
        <f>RTD("tos.rtd", , "LAST", Main_L[[#This Row],[Symbol]])</f>
        <v>70.61</v>
      </c>
      <c r="E10">
        <v>2.67</v>
      </c>
      <c r="F10">
        <v>54.56</v>
      </c>
      <c r="G10">
        <v>0.03</v>
      </c>
      <c r="H10" s="1">
        <f>IF(ISNUMBER(Main_L[[#This Row],[Free CF]]),IF(Main_L[[#This Row],[Free CF]]&lt;&gt;0,Main_L[[#This Row],[Current Price]]/Main_L[[#This Row],[Free CF]],""),"")</f>
        <v>26.445692883895131</v>
      </c>
      <c r="I10" s="1">
        <f>IF(ISNUMBER(Main_L[[#This Row],[BVPS]]),IF(Main_L[[#This Row],[BVPS]]&lt;&gt;0,Main_L[[#This Row],[Current Price]]/Main_L[[#This Row],[BVPS]],""),"")</f>
        <v>1.2941715542521994</v>
      </c>
      <c r="J10">
        <v>0.2</v>
      </c>
      <c r="K10">
        <v>3.36</v>
      </c>
      <c r="L10">
        <v>1.58</v>
      </c>
      <c r="M10" s="1">
        <f>IF(ISNUMBER(Main_L[[#This Row],[EPS]]),IF(Main_L[[#This Row],[EPS]]&lt;&gt;0,Main_L[[#This Row],[Current Price]]/Main_L[[#This Row],[EPS]],""),"")</f>
        <v>2353.6666666666665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0.3031633429886571</v>
      </c>
      <c r="P10" s="1">
        <f>(Main_L[[#This Row],[P/B]]-VLOOKUP(Main_L[[#This Row],[Industry]], Mean_PB_L, 2, FALSE))/(VLOOKUP(Main_L[[#This Row],[Industry]], Mean_PB_L, 3, FALSE))</f>
        <v>-0.54030962559908935</v>
      </c>
      <c r="Q10" s="1">
        <f>(Main_L[[#This Row],[ROE]]-VLOOKUP(Main_L[[#This Row],[Industry]], Mean_ROE_L, 2, FALSE))/(VLOOKUP(Main_L[[#This Row],[Industry]], Mean_ROE_L, 3, FALSE))</f>
        <v>-0.95940384264583767</v>
      </c>
      <c r="R10" s="1">
        <f>(Main_L[[#This Row],[ROA]]-VLOOKUP(Main_L[[#This Row],[Industry]], Mean_ROA_L, 2, FALSE))/(VLOOKUP(Main_L[[#This Row],[Industry]], Mean_ROA_L, 3, FALSE))</f>
        <v>-0.37736853316763652</v>
      </c>
      <c r="S10" s="1">
        <f>(Main_L[[#This Row],[A/E]]-VLOOKUP(Main_L[[#This Row],[Industry]], Mean_AE_L, 2, FALSE))/(VLOOKUP(Main_L[[#This Row],[Industry]], Mean_AE_L, 3, FALSE))</f>
        <v>-1.366084150717054</v>
      </c>
      <c r="T10" s="1">
        <f>(Main_L[[#This Row],[P/E]]-VLOOKUP(Main_L[[#This Row],[Industry]], Mean_PE_L, 2, FALSE))/(VLOOKUP(Main_L[[#This Row],[Industry]], Mean_PE_L, 3, FALSE))</f>
        <v>107.03599368863054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" spans="1:26" x14ac:dyDescent="0.25">
      <c r="A11" t="s">
        <v>105</v>
      </c>
      <c r="B11" t="s">
        <v>115</v>
      </c>
      <c r="C11" s="2">
        <v>28447</v>
      </c>
      <c r="D11">
        <f>RTD("tos.rtd", , "LAST", Main_L[[#This Row],[Symbol]])</f>
        <v>10.71</v>
      </c>
      <c r="E11">
        <v>3.97</v>
      </c>
      <c r="F11">
        <v>88.24</v>
      </c>
      <c r="G11">
        <v>0.97</v>
      </c>
      <c r="H11" s="1">
        <f>IF(ISNUMBER(Main_L[[#This Row],[Free CF]]),IF(Main_L[[#This Row],[Free CF]]&lt;&gt;0,Main_L[[#This Row],[Current Price]]/Main_L[[#This Row],[Free CF]],""),"")</f>
        <v>2.6977329974811082</v>
      </c>
      <c r="I11" s="1">
        <f>IF(ISNUMBER(Main_L[[#This Row],[BVPS]]),IF(Main_L[[#This Row],[BVPS]]&lt;&gt;0,Main_L[[#This Row],[Current Price]]/Main_L[[#This Row],[BVPS]],""),"")</f>
        <v>0.12137352674524027</v>
      </c>
      <c r="J11">
        <v>1.22</v>
      </c>
      <c r="K11">
        <v>0.94</v>
      </c>
      <c r="L11">
        <v>1.5</v>
      </c>
      <c r="M11" s="1">
        <f>IF(ISNUMBER(Main_L[[#This Row],[EPS]]),IF(Main_L[[#This Row],[EPS]]&lt;&gt;0,Main_L[[#This Row],[Current Price]]/Main_L[[#This Row],[EPS]],""),"")</f>
        <v>11.041237113402063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-1.2157391951376857</v>
      </c>
      <c r="P11" s="1">
        <f>(Main_L[[#This Row],[P/B]]-VLOOKUP(Main_L[[#This Row],[Industry]], Mean_PB_L, 2, FALSE))/(VLOOKUP(Main_L[[#This Row],[Industry]], Mean_PB_L, 3, FALSE))</f>
        <v>-1.3347760855267827</v>
      </c>
      <c r="Q11" s="1">
        <f>(Main_L[[#This Row],[ROE]]-VLOOKUP(Main_L[[#This Row],[Industry]], Mean_ROE_L, 2, FALSE))/(VLOOKUP(Main_L[[#This Row],[Industry]], Mean_ROE_L, 3, FALSE))</f>
        <v>-0.84325049908515459</v>
      </c>
      <c r="R11" s="1">
        <f>(Main_L[[#This Row],[ROA]]-VLOOKUP(Main_L[[#This Row],[Industry]], Mean_ROA_L, 2, FALSE))/(VLOOKUP(Main_L[[#This Row],[Industry]], Mean_ROA_L, 3, FALSE))</f>
        <v>-1.2394502042806141</v>
      </c>
      <c r="S11" s="1">
        <f>(Main_L[[#This Row],[A/E]]-VLOOKUP(Main_L[[#This Row],[Industry]], Mean_AE_L, 2, FALSE))/(VLOOKUP(Main_L[[#This Row],[Industry]], Mean_AE_L, 3, FALSE))</f>
        <v>-1.5111091979969691</v>
      </c>
      <c r="T11" s="1">
        <f>(Main_L[[#This Row],[P/E]]-VLOOKUP(Main_L[[#This Row],[Industry]], Mean_PE_L, 2, FALSE))/(VLOOKUP(Main_L[[#This Row],[Industry]], Mean_PE_L, 3, FALSE))</f>
        <v>-1.2798723993326027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" spans="1:26" x14ac:dyDescent="0.25">
      <c r="A12" t="s">
        <v>105</v>
      </c>
      <c r="B12" t="s">
        <v>116</v>
      </c>
      <c r="C12" s="2">
        <v>72136</v>
      </c>
      <c r="D12">
        <f>RTD("tos.rtd", , "LAST", Main_L[[#This Row],[Symbol]])</f>
        <v>251.5</v>
      </c>
      <c r="E12">
        <v>6.4</v>
      </c>
      <c r="F12">
        <v>31.32</v>
      </c>
      <c r="G12">
        <v>7.35</v>
      </c>
      <c r="H12" s="1">
        <f>IF(ISNUMBER(Main_L[[#This Row],[Free CF]]),IF(Main_L[[#This Row],[Free CF]]&lt;&gt;0,Main_L[[#This Row],[Current Price]]/Main_L[[#This Row],[Free CF]],""),"")</f>
        <v>39.296875</v>
      </c>
      <c r="I12" s="1">
        <f>IF(ISNUMBER(Main_L[[#This Row],[BVPS]]),IF(Main_L[[#This Row],[BVPS]]&lt;&gt;0,Main_L[[#This Row],[Current Price]]/Main_L[[#This Row],[BVPS]],""),"")</f>
        <v>8.0300127713920819</v>
      </c>
      <c r="J12">
        <v>24.77</v>
      </c>
      <c r="K12">
        <v>7.76</v>
      </c>
      <c r="L12">
        <v>2.52</v>
      </c>
      <c r="M12" s="1">
        <f>IF(ISNUMBER(Main_L[[#This Row],[EPS]]),IF(Main_L[[#This Row],[EPS]]&lt;&gt;0,Main_L[[#This Row],[Current Price]]/Main_L[[#This Row],[EPS]],""),"")</f>
        <v>34.217687074829932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1.1251157644782426</v>
      </c>
      <c r="P12" s="1">
        <f>(Main_L[[#This Row],[P/B]]-VLOOKUP(Main_L[[#This Row],[Industry]], Mean_PB_L, 2, FALSE))/(VLOOKUP(Main_L[[#This Row],[Industry]], Mean_PB_L, 3, FALSE))</f>
        <v>4.0226243160547428</v>
      </c>
      <c r="Q12" s="1">
        <f>(Main_L[[#This Row],[ROE]]-VLOOKUP(Main_L[[#This Row],[Industry]], Mean_ROE_L, 2, FALSE))/(VLOOKUP(Main_L[[#This Row],[Industry]], Mean_ROE_L, 3, FALSE))</f>
        <v>1.8385252272423795</v>
      </c>
      <c r="R12" s="1">
        <f>(Main_L[[#This Row],[ROA]]-VLOOKUP(Main_L[[#This Row],[Industry]], Mean_ROA_L, 2, FALSE))/(VLOOKUP(Main_L[[#This Row],[Industry]], Mean_ROA_L, 3, FALSE))</f>
        <v>1.1900526870377774</v>
      </c>
      <c r="S12" s="1">
        <f>(Main_L[[#This Row],[A/E]]-VLOOKUP(Main_L[[#This Row],[Industry]], Mean_AE_L, 2, FALSE))/(VLOOKUP(Main_L[[#This Row],[Industry]], Mean_AE_L, 3, FALSE))</f>
        <v>0.33796015482194514</v>
      </c>
      <c r="T12" s="1">
        <f>(Main_L[[#This Row],[P/E]]-VLOOKUP(Main_L[[#This Row],[Industry]], Mean_PE_L, 2, FALSE))/(VLOOKUP(Main_L[[#This Row],[Industry]], Mean_PE_L, 3, FALSE))</f>
        <v>-0.2082639301565786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" spans="1:26" x14ac:dyDescent="0.25">
      <c r="A13" t="s">
        <v>105</v>
      </c>
      <c r="B13" t="s">
        <v>117</v>
      </c>
      <c r="C13" s="2">
        <v>18820</v>
      </c>
      <c r="D13">
        <f>RTD("tos.rtd", , "LAST", Main_L[[#This Row],[Symbol]])</f>
        <v>76.5</v>
      </c>
      <c r="E13">
        <v>2.35</v>
      </c>
      <c r="F13">
        <v>54.27</v>
      </c>
      <c r="G13">
        <v>0.95</v>
      </c>
      <c r="H13" s="1">
        <f>IF(ISNUMBER(Main_L[[#This Row],[Free CF]]),IF(Main_L[[#This Row],[Free CF]]&lt;&gt;0,Main_L[[#This Row],[Current Price]]/Main_L[[#This Row],[Free CF]],""),"")</f>
        <v>32.553191489361701</v>
      </c>
      <c r="I13" s="1">
        <f>IF(ISNUMBER(Main_L[[#This Row],[BVPS]]),IF(Main_L[[#This Row],[BVPS]]&lt;&gt;0,Main_L[[#This Row],[Current Price]]/Main_L[[#This Row],[BVPS]],""),"")</f>
        <v>1.4096185737976783</v>
      </c>
      <c r="J13">
        <v>1.73</v>
      </c>
      <c r="K13">
        <v>1.52</v>
      </c>
      <c r="L13">
        <v>2.0699999999999998</v>
      </c>
      <c r="M13" s="1">
        <f>IF(ISNUMBER(Main_L[[#This Row],[EPS]]),IF(Main_L[[#This Row],[EPS]]&lt;&gt;0,Main_L[[#This Row],[Current Price]]/Main_L[[#This Row],[EPS]],""),"")</f>
        <v>80.526315789473685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0.69379458785417414</v>
      </c>
      <c r="P13" s="1">
        <f>(Main_L[[#This Row],[P/B]]-VLOOKUP(Main_L[[#This Row],[Industry]], Mean_PB_L, 2, FALSE))/(VLOOKUP(Main_L[[#This Row],[Industry]], Mean_PB_L, 3, FALSE))</f>
        <v>-0.46210452738412355</v>
      </c>
      <c r="Q13" s="1">
        <f>(Main_L[[#This Row],[ROE]]-VLOOKUP(Main_L[[#This Row],[Industry]], Mean_ROE_L, 2, FALSE))/(VLOOKUP(Main_L[[#This Row],[Industry]], Mean_ROE_L, 3, FALSE))</f>
        <v>-0.785173827304813</v>
      </c>
      <c r="R13" s="1">
        <f>(Main_L[[#This Row],[ROA]]-VLOOKUP(Main_L[[#This Row],[Industry]], Mean_ROA_L, 2, FALSE))/(VLOOKUP(Main_L[[#This Row],[Industry]], Mean_ROA_L, 3, FALSE))</f>
        <v>-1.0328355888899006</v>
      </c>
      <c r="S13" s="1">
        <f>(Main_L[[#This Row],[A/E]]-VLOOKUP(Main_L[[#This Row],[Industry]], Mean_AE_L, 2, FALSE))/(VLOOKUP(Main_L[[#This Row],[Industry]], Mean_AE_L, 3, FALSE))</f>
        <v>-0.47780573612757615</v>
      </c>
      <c r="T13" s="1">
        <f>(Main_L[[#This Row],[P/E]]-VLOOKUP(Main_L[[#This Row],[Industry]], Mean_PE_L, 2, FALSE))/(VLOOKUP(Main_L[[#This Row],[Industry]], Mean_PE_L, 3, FALSE))</f>
        <v>1.9329060423426503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" spans="1:26" x14ac:dyDescent="0.25">
      <c r="A14" t="s">
        <v>105</v>
      </c>
      <c r="B14" t="s">
        <v>118</v>
      </c>
      <c r="C14" s="2">
        <v>24232</v>
      </c>
      <c r="D14">
        <f>RTD("tos.rtd", , "LAST", Main_L[[#This Row],[Symbol]])</f>
        <v>113.34</v>
      </c>
      <c r="E14">
        <v>3.38</v>
      </c>
      <c r="F14">
        <v>30.52</v>
      </c>
      <c r="G14">
        <v>5.64</v>
      </c>
      <c r="H14" s="1">
        <f>IF(ISNUMBER(Main_L[[#This Row],[Free CF]]),IF(Main_L[[#This Row],[Free CF]]&lt;&gt;0,Main_L[[#This Row],[Current Price]]/Main_L[[#This Row],[Free CF]],""),"")</f>
        <v>33.532544378698226</v>
      </c>
      <c r="I14" s="1">
        <f>IF(ISNUMBER(Main_L[[#This Row],[BVPS]]),IF(Main_L[[#This Row],[BVPS]]&lt;&gt;0,Main_L[[#This Row],[Current Price]]/Main_L[[#This Row],[BVPS]],""),"")</f>
        <v>3.7136304062909571</v>
      </c>
      <c r="J14">
        <v>17.649999999999999</v>
      </c>
      <c r="K14">
        <v>6.3</v>
      </c>
      <c r="L14">
        <v>3.05</v>
      </c>
      <c r="M14" s="1">
        <f>IF(ISNUMBER(Main_L[[#This Row],[EPS]]),IF(Main_L[[#This Row],[EPS]]&lt;&gt;0,Main_L[[#This Row],[Current Price]]/Main_L[[#This Row],[EPS]],""),"")</f>
        <v>20.095744680851066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" s="1">
        <f>(Main_L[[#This Row],[P/FCF]]-VLOOKUP(Main_L[[#This Row],[Industry]], Mean_PFCF_L, 2, FALSE))/(VLOOKUP(Main_L[[#This Row],[Industry]], Mean_PFCF_L, 3, FALSE))</f>
        <v>0.75643329856656771</v>
      </c>
      <c r="P14" s="1">
        <f>(Main_L[[#This Row],[P/B]]-VLOOKUP(Main_L[[#This Row],[Industry]], Mean_PB_L, 2, FALSE))/(VLOOKUP(Main_L[[#This Row],[Industry]], Mean_PB_L, 3, FALSE))</f>
        <v>1.0986587764931006</v>
      </c>
      <c r="Q14" s="1">
        <f>(Main_L[[#This Row],[ROE]]-VLOOKUP(Main_L[[#This Row],[Industry]], Mean_ROE_L, 2, FALSE))/(VLOOKUP(Main_L[[#This Row],[Industry]], Mean_ROE_L, 3, FALSE))</f>
        <v>1.027729338858004</v>
      </c>
      <c r="R14" s="1">
        <f>(Main_L[[#This Row],[ROA]]-VLOOKUP(Main_L[[#This Row],[Industry]], Mean_ROA_L, 2, FALSE))/(VLOOKUP(Main_L[[#This Row],[Industry]], Mean_ROA_L, 3, FALSE))</f>
        <v>0.66995382760598099</v>
      </c>
      <c r="S14" s="1">
        <f>(Main_L[[#This Row],[A/E]]-VLOOKUP(Main_L[[#This Row],[Industry]], Mean_AE_L, 2, FALSE))/(VLOOKUP(Main_L[[#This Row],[Industry]], Mean_AE_L, 3, FALSE))</f>
        <v>1.2987510930513806</v>
      </c>
      <c r="T14" s="1">
        <f>(Main_L[[#This Row],[P/E]]-VLOOKUP(Main_L[[#This Row],[Industry]], Mean_PE_L, 2, FALSE))/(VLOOKUP(Main_L[[#This Row],[Industry]], Mean_PE_L, 3, FALSE))</f>
        <v>-0.86121954224512443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" spans="1:26" x14ac:dyDescent="0.25">
      <c r="A15" t="s">
        <v>105</v>
      </c>
      <c r="B15" t="s">
        <v>119</v>
      </c>
      <c r="C15" s="2">
        <v>14047</v>
      </c>
      <c r="D15">
        <f>RTD("tos.rtd", , "LAST", Main_L[[#This Row],[Symbol]])</f>
        <v>114.42</v>
      </c>
      <c r="E15">
        <v>4.43</v>
      </c>
      <c r="F15">
        <v>20.82</v>
      </c>
      <c r="G15">
        <v>4.99</v>
      </c>
      <c r="H15" s="1">
        <f>IF(ISNUMBER(Main_L[[#This Row],[Free CF]]),IF(Main_L[[#This Row],[Free CF]]&lt;&gt;0,Main_L[[#This Row],[Current Price]]/Main_L[[#This Row],[Free CF]],""),"")</f>
        <v>25.828442437923254</v>
      </c>
      <c r="I15" s="1">
        <f>IF(ISNUMBER(Main_L[[#This Row],[BVPS]]),IF(Main_L[[#This Row],[BVPS]]&lt;&gt;0,Main_L[[#This Row],[Current Price]]/Main_L[[#This Row],[BVPS]],""),"")</f>
        <v>5.4956772334293946</v>
      </c>
      <c r="J15">
        <v>25.68</v>
      </c>
      <c r="K15">
        <v>8.56</v>
      </c>
      <c r="L15">
        <v>2.48</v>
      </c>
      <c r="M15" s="1">
        <f>IF(ISNUMBER(Main_L[[#This Row],[EPS]]),IF(Main_L[[#This Row],[EPS]]&lt;&gt;0,Main_L[[#This Row],[Current Price]]/Main_L[[#This Row],[EPS]],""),"")</f>
        <v>22.929859719438877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0.26368444570524624</v>
      </c>
      <c r="P15" s="1">
        <f>(Main_L[[#This Row],[P/B]]-VLOOKUP(Main_L[[#This Row],[Industry]], Mean_PB_L, 2, FALSE))/(VLOOKUP(Main_L[[#This Row],[Industry]], Mean_PB_L, 3, FALSE))</f>
        <v>2.3058371661017509</v>
      </c>
      <c r="Q15" s="1">
        <f>(Main_L[[#This Row],[ROE]]-VLOOKUP(Main_L[[#This Row],[Industry]], Mean_ROE_L, 2, FALSE))/(VLOOKUP(Main_L[[#This Row],[Industry]], Mean_ROE_L, 3, FALSE))</f>
        <v>1.942152229830832</v>
      </c>
      <c r="R15" s="1">
        <f>(Main_L[[#This Row],[ROA]]-VLOOKUP(Main_L[[#This Row],[Industry]], Mean_ROA_L, 2, FALSE))/(VLOOKUP(Main_L[[#This Row],[Industry]], Mean_ROA_L, 3, FALSE))</f>
        <v>1.475038363438762</v>
      </c>
      <c r="S15" s="1">
        <f>(Main_L[[#This Row],[A/E]]-VLOOKUP(Main_L[[#This Row],[Industry]], Mean_AE_L, 2, FALSE))/(VLOOKUP(Main_L[[#This Row],[Industry]], Mean_AE_L, 3, FALSE))</f>
        <v>0.26544763118198766</v>
      </c>
      <c r="T15" s="1">
        <f>(Main_L[[#This Row],[P/E]]-VLOOKUP(Main_L[[#This Row],[Industry]], Mean_PE_L, 2, FALSE))/(VLOOKUP(Main_L[[#This Row],[Industry]], Mean_PE_L, 3, FALSE))</f>
        <v>-0.73017869332199958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6" spans="1:26" x14ac:dyDescent="0.25">
      <c r="A16" t="s">
        <v>105</v>
      </c>
      <c r="B16" t="s">
        <v>120</v>
      </c>
      <c r="C16" s="2">
        <v>88106</v>
      </c>
      <c r="D16">
        <f>RTD("tos.rtd", , "LAST", Main_L[[#This Row],[Symbol]])</f>
        <v>356.04</v>
      </c>
      <c r="E16">
        <v>8.69</v>
      </c>
      <c r="F16">
        <v>16.559999999999999</v>
      </c>
      <c r="G16">
        <v>10.59</v>
      </c>
      <c r="H16" s="1">
        <f>IF(ISNUMBER(Main_L[[#This Row],[Free CF]]),IF(Main_L[[#This Row],[Free CF]]&lt;&gt;0,Main_L[[#This Row],[Current Price]]/Main_L[[#This Row],[Free CF]],""),"")</f>
        <v>40.971231300345231</v>
      </c>
      <c r="I16" s="1">
        <f>IF(ISNUMBER(Main_L[[#This Row],[BVPS]]),IF(Main_L[[#This Row],[BVPS]]&lt;&gt;0,Main_L[[#This Row],[Current Price]]/Main_L[[#This Row],[BVPS]],""),"")</f>
        <v>21.500000000000004</v>
      </c>
      <c r="J16">
        <v>70.22</v>
      </c>
      <c r="K16">
        <v>9.89</v>
      </c>
      <c r="L16">
        <v>5.96</v>
      </c>
      <c r="M16" s="1">
        <f>IF(ISNUMBER(Main_L[[#This Row],[EPS]]),IF(Main_L[[#This Row],[EPS]]&lt;&gt;0,Main_L[[#This Row],[Current Price]]/Main_L[[#This Row],[EPS]],""),"")</f>
        <v>33.620396600566572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1.2322063965361625</v>
      </c>
      <c r="P16" s="1">
        <f>(Main_L[[#This Row],[P/B]]-VLOOKUP(Main_L[[#This Row],[Industry]], Mean_PB_L, 2, FALSE))/(VLOOKUP(Main_L[[#This Row],[Industry]], Mean_PB_L, 3, FALSE))</f>
        <v>13.147343848139629</v>
      </c>
      <c r="Q16" s="1">
        <f>(Main_L[[#This Row],[ROE]]-VLOOKUP(Main_L[[#This Row],[Industry]], Mean_ROE_L, 2, FALSE))/(VLOOKUP(Main_L[[#This Row],[Industry]], Mean_ROE_L, 3, FALSE))</f>
        <v>7.0141815653139901</v>
      </c>
      <c r="R16" s="1">
        <f>(Main_L[[#This Row],[ROA]]-VLOOKUP(Main_L[[#This Row],[Industry]], Mean_ROA_L, 2, FALSE))/(VLOOKUP(Main_L[[#This Row],[Industry]], Mean_ROA_L, 3, FALSE))</f>
        <v>1.9488270504553986</v>
      </c>
      <c r="S16" s="1">
        <f>(Main_L[[#This Row],[A/E]]-VLOOKUP(Main_L[[#This Row],[Industry]], Mean_AE_L, 2, FALSE))/(VLOOKUP(Main_L[[#This Row],[Industry]], Mean_AE_L, 3, FALSE))</f>
        <v>6.5740371878582833</v>
      </c>
      <c r="T16" s="1">
        <f>(Main_L[[#This Row],[P/E]]-VLOOKUP(Main_L[[#This Row],[Industry]], Mean_PE_L, 2, FALSE))/(VLOOKUP(Main_L[[#This Row],[Industry]], Mean_PE_L, 3, FALSE))</f>
        <v>-0.23588082281460102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7" spans="1:26" x14ac:dyDescent="0.25">
      <c r="A17" t="s">
        <v>121</v>
      </c>
      <c r="B17" t="s">
        <v>122</v>
      </c>
      <c r="C17" s="2">
        <v>62025</v>
      </c>
      <c r="D17">
        <f>RTD("tos.rtd", , "LAST", Main_L[[#This Row],[Symbol]])</f>
        <v>98.16</v>
      </c>
      <c r="E17">
        <v>3.42</v>
      </c>
      <c r="F17">
        <v>29.52</v>
      </c>
      <c r="G17">
        <v>4.74</v>
      </c>
      <c r="H17" s="1">
        <f>IF(ISNUMBER(Main_L[[#This Row],[Free CF]]),IF(Main_L[[#This Row],[Free CF]]&lt;&gt;0,Main_L[[#This Row],[Current Price]]/Main_L[[#This Row],[Free CF]],""),"")</f>
        <v>28.701754385964911</v>
      </c>
      <c r="I17" s="1">
        <f>IF(ISNUMBER(Main_L[[#This Row],[BVPS]]),IF(Main_L[[#This Row],[BVPS]]&lt;&gt;0,Main_L[[#This Row],[Current Price]]/Main_L[[#This Row],[BVPS]],""),"")</f>
        <v>3.3252032520325203</v>
      </c>
      <c r="J17">
        <v>15.36</v>
      </c>
      <c r="K17">
        <v>6.25</v>
      </c>
      <c r="L17">
        <v>2.46</v>
      </c>
      <c r="M17" s="1">
        <f>IF(ISNUMBER(Main_L[[#This Row],[EPS]]),IF(Main_L[[#This Row],[EPS]]&lt;&gt;0,Main_L[[#This Row],[Current Price]]/Main_L[[#This Row],[EPS]],""),"")</f>
        <v>20.708860759493668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7" s="1">
        <f>(Main_L[[#This Row],[P/FCF]]-VLOOKUP(Main_L[[#This Row],[Industry]], Mean_PFCF_L, 2, FALSE))/(VLOOKUP(Main_L[[#This Row],[Industry]], Mean_PFCF_L, 3, FALSE))</f>
        <v>-1.2108623122171138</v>
      </c>
      <c r="P17" s="1">
        <f>(Main_L[[#This Row],[P/B]]-VLOOKUP(Main_L[[#This Row],[Industry]], Mean_PB_L, 2, FALSE))/(VLOOKUP(Main_L[[#This Row],[Industry]], Mean_PB_L, 3, FALSE))</f>
        <v>-1.0076492515773214</v>
      </c>
      <c r="Q17" s="1">
        <f>(Main_L[[#This Row],[ROE]]-VLOOKUP(Main_L[[#This Row],[Industry]], Mean_ROE_L, 2, FALSE))/(VLOOKUP(Main_L[[#This Row],[Industry]], Mean_ROE_L, 3, FALSE))</f>
        <v>1.4121768554779941</v>
      </c>
      <c r="R17" s="1">
        <f>(Main_L[[#This Row],[ROA]]-VLOOKUP(Main_L[[#This Row],[Industry]], Mean_ROA_L, 2, FALSE))/(VLOOKUP(Main_L[[#This Row],[Industry]], Mean_ROA_L, 3, FALSE))</f>
        <v>1.289261758805998</v>
      </c>
      <c r="S17" s="1">
        <f>(Main_L[[#This Row],[A/E]]-VLOOKUP(Main_L[[#This Row],[Industry]], Mean_AE_L, 2, FALSE))/(VLOOKUP(Main_L[[#This Row],[Industry]], Mean_AE_L, 3, FALSE))</f>
        <v>1.3897978667604405</v>
      </c>
      <c r="T17" s="1">
        <f>(Main_L[[#This Row],[P/E]]-VLOOKUP(Main_L[[#This Row],[Industry]], Mean_PE_L, 2, FALSE))/(VLOOKUP(Main_L[[#This Row],[Industry]], Mean_PE_L, 3, FALSE))</f>
        <v>-1.3103228118567811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t="s">
        <v>121</v>
      </c>
      <c r="B18" t="s">
        <v>123</v>
      </c>
      <c r="C18" s="2">
        <v>32220</v>
      </c>
      <c r="D18">
        <f>RTD("tos.rtd", , "LAST", Main_L[[#This Row],[Symbol]])</f>
        <v>543.89</v>
      </c>
      <c r="E18">
        <v>10.09</v>
      </c>
      <c r="F18">
        <v>150.65</v>
      </c>
      <c r="G18">
        <v>17.38</v>
      </c>
      <c r="H18" s="1">
        <f>IF(ISNUMBER(Main_L[[#This Row],[Free CF]]),IF(Main_L[[#This Row],[Free CF]]&lt;&gt;0,Main_L[[#This Row],[Current Price]]/Main_L[[#This Row],[Free CF]],""),"")</f>
        <v>53.903865213082256</v>
      </c>
      <c r="I18" s="1">
        <f>IF(ISNUMBER(Main_L[[#This Row],[BVPS]]),IF(Main_L[[#This Row],[BVPS]]&lt;&gt;0,Main_L[[#This Row],[Current Price]]/Main_L[[#This Row],[BVPS]],""),"")</f>
        <v>3.610288748755393</v>
      </c>
      <c r="J18">
        <v>11.87</v>
      </c>
      <c r="K18">
        <v>5.79</v>
      </c>
      <c r="L18">
        <v>1.95</v>
      </c>
      <c r="M18" s="1">
        <f>IF(ISNUMBER(Main_L[[#This Row],[EPS]]),IF(Main_L[[#This Row],[EPS]]&lt;&gt;0,Main_L[[#This Row],[Current Price]]/Main_L[[#This Row],[EPS]],""),"")</f>
        <v>31.294016110471809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1.2381707120390921</v>
      </c>
      <c r="P18" s="1">
        <f>(Main_L[[#This Row],[P/B]]-VLOOKUP(Main_L[[#This Row],[Industry]], Mean_PB_L, 2, FALSE))/(VLOOKUP(Main_L[[#This Row],[Industry]], Mean_PB_L, 3, FALSE))</f>
        <v>-0.35552526764631925</v>
      </c>
      <c r="Q18" s="1">
        <f>(Main_L[[#This Row],[ROE]]-VLOOKUP(Main_L[[#This Row],[Industry]], Mean_ROE_L, 2, FALSE))/(VLOOKUP(Main_L[[#This Row],[Industry]], Mean_ROE_L, 3, FALSE))</f>
        <v>-0.77179532721840061</v>
      </c>
      <c r="R18" s="1">
        <f>(Main_L[[#This Row],[ROA]]-VLOOKUP(Main_L[[#This Row],[Industry]], Mean_ROA_L, 2, FALSE))/(VLOOKUP(Main_L[[#This Row],[Industry]], Mean_ROA_L, 3, FALSE))</f>
        <v>-1.1479727989368489</v>
      </c>
      <c r="S18" s="1">
        <f>(Main_L[[#This Row],[A/E]]-VLOOKUP(Main_L[[#This Row],[Industry]], Mean_AE_L, 2, FALSE))/(VLOOKUP(Main_L[[#This Row],[Industry]], Mean_AE_L, 3, FALSE))</f>
        <v>-0.9214964116563793</v>
      </c>
      <c r="T18" s="1">
        <f>(Main_L[[#This Row],[P/E]]-VLOOKUP(Main_L[[#This Row],[Industry]], Mean_PE_L, 2, FALSE))/(VLOOKUP(Main_L[[#This Row],[Industry]], Mean_PE_L, 3, FALSE))</f>
        <v>0.19441136898232353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t="s">
        <v>121</v>
      </c>
      <c r="B19" t="s">
        <v>124</v>
      </c>
      <c r="C19" s="2">
        <v>35118</v>
      </c>
      <c r="D19">
        <f>RTD("tos.rtd", , "LAST", Main_L[[#This Row],[Symbol]])</f>
        <v>268.58999999999997</v>
      </c>
      <c r="E19">
        <v>6.57</v>
      </c>
      <c r="F19">
        <v>61.58</v>
      </c>
      <c r="G19">
        <v>7.11</v>
      </c>
      <c r="H19" s="1">
        <f>IF(ISNUMBER(Main_L[[#This Row],[Free CF]]),IF(Main_L[[#This Row],[Free CF]]&lt;&gt;0,Main_L[[#This Row],[Current Price]]/Main_L[[#This Row],[Free CF]],""),"")</f>
        <v>40.881278538812779</v>
      </c>
      <c r="I19" s="1">
        <f>IF(ISNUMBER(Main_L[[#This Row],[BVPS]]),IF(Main_L[[#This Row],[BVPS]]&lt;&gt;0,Main_L[[#This Row],[Current Price]]/Main_L[[#This Row],[BVPS]],""),"")</f>
        <v>4.3616433907112695</v>
      </c>
      <c r="J19">
        <v>12.08</v>
      </c>
      <c r="K19">
        <v>5.98</v>
      </c>
      <c r="L19">
        <v>2.0499999999999998</v>
      </c>
      <c r="M19" s="1">
        <f>IF(ISNUMBER(Main_L[[#This Row],[EPS]]),IF(Main_L[[#This Row],[EPS]]&lt;&gt;0,Main_L[[#This Row],[Current Price]]/Main_L[[#This Row],[EPS]],""),"")</f>
        <v>37.77637130801687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-2.7308399821979013E-2</v>
      </c>
      <c r="P19" s="1">
        <f>(Main_L[[#This Row],[P/B]]-VLOOKUP(Main_L[[#This Row],[Industry]], Mean_PB_L, 2, FALSE))/(VLOOKUP(Main_L[[#This Row],[Industry]], Mean_PB_L, 3, FALSE))</f>
        <v>1.3631745192236406</v>
      </c>
      <c r="Q19" s="1">
        <f>(Main_L[[#This Row],[ROE]]-VLOOKUP(Main_L[[#This Row],[Industry]], Mean_ROE_L, 2, FALSE))/(VLOOKUP(Main_L[[#This Row],[Industry]], Mean_ROE_L, 3, FALSE))</f>
        <v>-0.64038152825959127</v>
      </c>
      <c r="R19" s="1">
        <f>(Main_L[[#This Row],[ROA]]-VLOOKUP(Main_L[[#This Row],[Industry]], Mean_ROA_L, 2, FALSE))/(VLOOKUP(Main_L[[#This Row],[Industry]], Mean_ROA_L, 3, FALSE))</f>
        <v>-0.14128895986914911</v>
      </c>
      <c r="S19" s="1">
        <f>(Main_L[[#This Row],[A/E]]-VLOOKUP(Main_L[[#This Row],[Industry]], Mean_AE_L, 2, FALSE))/(VLOOKUP(Main_L[[#This Row],[Industry]], Mean_AE_L, 3, FALSE))</f>
        <v>-0.46830145510406229</v>
      </c>
      <c r="T19" s="1">
        <f>(Main_L[[#This Row],[P/E]]-VLOOKUP(Main_L[[#This Row],[Industry]], Mean_PE_L, 2, FALSE))/(VLOOKUP(Main_L[[#This Row],[Industry]], Mean_PE_L, 3, FALSE))</f>
        <v>1.1159114428744581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t="s">
        <v>125</v>
      </c>
      <c r="B20" t="s">
        <v>126</v>
      </c>
      <c r="C20" s="2">
        <v>14305</v>
      </c>
      <c r="D20">
        <f>RTD("tos.rtd", , "LAST", Main_L[[#This Row],[Symbol]])</f>
        <v>52.79</v>
      </c>
      <c r="E20">
        <v>-1.21</v>
      </c>
      <c r="F20">
        <v>20.260000000000002</v>
      </c>
      <c r="G20">
        <v>1.37</v>
      </c>
      <c r="H20" s="1">
        <f>IF(ISNUMBER(Main_L[[#This Row],[Free CF]]),IF(Main_L[[#This Row],[Free CF]]&lt;&gt;0,Main_L[[#This Row],[Current Price]]/Main_L[[#This Row],[Free CF]],""),"")</f>
        <v>-43.628099173553721</v>
      </c>
      <c r="I20" s="1">
        <f>IF(ISNUMBER(Main_L[[#This Row],[BVPS]]),IF(Main_L[[#This Row],[BVPS]]&lt;&gt;0,Main_L[[#This Row],[Current Price]]/Main_L[[#This Row],[BVPS]],""),"")</f>
        <v>2.6056268509378082</v>
      </c>
      <c r="J20">
        <v>8.81</v>
      </c>
      <c r="K20">
        <v>4</v>
      </c>
      <c r="L20">
        <v>3.01</v>
      </c>
      <c r="M20" s="1">
        <f>IF(ISNUMBER(Main_L[[#This Row],[EPS]]),IF(Main_L[[#This Row],[EPS]]&lt;&gt;0,Main_L[[#This Row],[Current Price]]/Main_L[[#This Row],[EPS]],""),"")</f>
        <v>38.532846715328461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5.7777503627001806E-2</v>
      </c>
      <c r="P20" s="1">
        <f>(Main_L[[#This Row],[P/B]]-VLOOKUP(Main_L[[#This Row],[Industry]], Mean_PB_L, 2, FALSE))/(VLOOKUP(Main_L[[#This Row],[Industry]], Mean_PB_L, 3, FALSE))</f>
        <v>-0.40449463161959509</v>
      </c>
      <c r="Q20" s="1">
        <f>(Main_L[[#This Row],[ROE]]-VLOOKUP(Main_L[[#This Row],[Industry]], Mean_ROE_L, 2, FALSE))/(VLOOKUP(Main_L[[#This Row],[Industry]], Mean_ROE_L, 3, FALSE))</f>
        <v>-0.70478740483689251</v>
      </c>
      <c r="R20" s="1">
        <f>(Main_L[[#This Row],[ROA]]-VLOOKUP(Main_L[[#This Row],[Industry]], Mean_ROA_L, 2, FALSE))/(VLOOKUP(Main_L[[#This Row],[Industry]], Mean_ROA_L, 3, FALSE))</f>
        <v>-0.64714644116237507</v>
      </c>
      <c r="S20" s="1">
        <f>(Main_L[[#This Row],[A/E]]-VLOOKUP(Main_L[[#This Row],[Industry]], Mean_AE_L, 2, FALSE))/(VLOOKUP(Main_L[[#This Row],[Industry]], Mean_AE_L, 3, FALSE))</f>
        <v>-0.30234566417530057</v>
      </c>
      <c r="T20" s="1">
        <f>(Main_L[[#This Row],[P/E]]-VLOOKUP(Main_L[[#This Row],[Industry]], Mean_PE_L, 2, FALSE))/(VLOOKUP(Main_L[[#This Row],[Industry]], Mean_PE_L, 3, FALSE))</f>
        <v>0.84076054882441287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1" spans="1:26" x14ac:dyDescent="0.25">
      <c r="A21" t="s">
        <v>125</v>
      </c>
      <c r="B21" t="s">
        <v>127</v>
      </c>
      <c r="C21" s="2">
        <v>11302</v>
      </c>
      <c r="D21">
        <f>RTD("tos.rtd", , "LAST", Main_L[[#This Row],[Symbol]])</f>
        <v>97.43</v>
      </c>
      <c r="E21">
        <v>8.15</v>
      </c>
      <c r="F21">
        <v>23.41</v>
      </c>
      <c r="G21">
        <v>4.63</v>
      </c>
      <c r="H21" s="1">
        <f>IF(ISNUMBER(Main_L[[#This Row],[Free CF]]),IF(Main_L[[#This Row],[Free CF]]&lt;&gt;0,Main_L[[#This Row],[Current Price]]/Main_L[[#This Row],[Free CF]],""),"")</f>
        <v>11.954601226993866</v>
      </c>
      <c r="I21" s="1">
        <f>IF(ISNUMBER(Main_L[[#This Row],[BVPS]]),IF(Main_L[[#This Row],[BVPS]]&lt;&gt;0,Main_L[[#This Row],[Current Price]]/Main_L[[#This Row],[BVPS]],""),"")</f>
        <v>4.1618966253737719</v>
      </c>
      <c r="J21">
        <v>22.74</v>
      </c>
      <c r="K21">
        <v>6.8</v>
      </c>
      <c r="L21">
        <v>5.14</v>
      </c>
      <c r="M21" s="1">
        <f>IF(ISNUMBER(Main_L[[#This Row],[EPS]]),IF(Main_L[[#This Row],[EPS]]&lt;&gt;0,Main_L[[#This Row],[Current Price]]/Main_L[[#This Row],[EPS]],""),"")</f>
        <v>21.043196544276459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0.46241702357943248</v>
      </c>
      <c r="P21" s="1">
        <f>(Main_L[[#This Row],[P/B]]-VLOOKUP(Main_L[[#This Row],[Industry]], Mean_PB_L, 2, FALSE))/(VLOOKUP(Main_L[[#This Row],[Industry]], Mean_PB_L, 3, FALSE))</f>
        <v>0.49897310140629797</v>
      </c>
      <c r="Q21" s="1">
        <f>(Main_L[[#This Row],[ROE]]-VLOOKUP(Main_L[[#This Row],[Industry]], Mean_ROE_L, 2, FALSE))/(VLOOKUP(Main_L[[#This Row],[Industry]], Mean_ROE_L, 3, FALSE))</f>
        <v>0.69659554470726259</v>
      </c>
      <c r="R21" s="1">
        <f>(Main_L[[#This Row],[ROA]]-VLOOKUP(Main_L[[#This Row],[Industry]], Mean_ROA_L, 2, FALSE))/(VLOOKUP(Main_L[[#This Row],[Industry]], Mean_ROA_L, 3, FALSE))</f>
        <v>0.5771846637394159</v>
      </c>
      <c r="S21" s="1">
        <f>(Main_L[[#This Row],[A/E]]-VLOOKUP(Main_L[[#This Row],[Industry]], Mean_AE_L, 2, FALSE))/(VLOOKUP(Main_L[[#This Row],[Industry]], Mean_AE_L, 3, FALSE))</f>
        <v>1.5759767745137536</v>
      </c>
      <c r="T21" s="1">
        <f>(Main_L[[#This Row],[P/E]]-VLOOKUP(Main_L[[#This Row],[Industry]], Mean_PE_L, 2, FALSE))/(VLOOKUP(Main_L[[#This Row],[Industry]], Mean_PE_L, 3, FALSE))</f>
        <v>-0.7116557181383687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2" spans="1:26" x14ac:dyDescent="0.25">
      <c r="A22" t="s">
        <v>125</v>
      </c>
      <c r="B22" t="s">
        <v>128</v>
      </c>
      <c r="C22" s="2">
        <v>20874</v>
      </c>
      <c r="D22">
        <f>RTD("tos.rtd", , "LAST", Main_L[[#This Row],[Symbol]])</f>
        <v>9.17</v>
      </c>
      <c r="E22">
        <v>0.5</v>
      </c>
      <c r="F22">
        <v>2.67</v>
      </c>
      <c r="G22">
        <v>0.56000000000000005</v>
      </c>
      <c r="H22" s="1">
        <f>IF(ISNUMBER(Main_L[[#This Row],[Free CF]]),IF(Main_L[[#This Row],[Free CF]]&lt;&gt;0,Main_L[[#This Row],[Current Price]]/Main_L[[#This Row],[Free CF]],""),"")</f>
        <v>18.34</v>
      </c>
      <c r="I22" s="1">
        <f>IF(ISNUMBER(Main_L[[#This Row],[BVPS]]),IF(Main_L[[#This Row],[BVPS]]&lt;&gt;0,Main_L[[#This Row],[Current Price]]/Main_L[[#This Row],[BVPS]],""),"")</f>
        <v>3.4344569288389515</v>
      </c>
      <c r="J22">
        <v>20.8</v>
      </c>
      <c r="K22">
        <v>4.92</v>
      </c>
      <c r="L22">
        <v>4.68</v>
      </c>
      <c r="M22" s="1">
        <f>IF(ISNUMBER(Main_L[[#This Row],[EPS]]),IF(Main_L[[#This Row],[EPS]]&lt;&gt;0,Main_L[[#This Row],[Current Price]]/Main_L[[#This Row],[EPS]],""),"")</f>
        <v>16.375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>
        <f>(Main_L[[#This Row],[P/FCF]]-VLOOKUP(Main_L[[#This Row],[Industry]], Mean_PFCF_L, 2, FALSE))/(VLOOKUP(Main_L[[#This Row],[Industry]], Mean_PFCF_L, 3, FALSE))</f>
        <v>0.50890243496812759</v>
      </c>
      <c r="P22" s="1">
        <f>(Main_L[[#This Row],[P/B]]-VLOOKUP(Main_L[[#This Row],[Industry]], Mean_PB_L, 2, FALSE))/(VLOOKUP(Main_L[[#This Row],[Industry]], Mean_PB_L, 3, FALSE))</f>
        <v>7.6669523750841434E-2</v>
      </c>
      <c r="Q22" s="1">
        <f>(Main_L[[#This Row],[ROE]]-VLOOKUP(Main_L[[#This Row],[Industry]], Mean_ROE_L, 2, FALSE))/(VLOOKUP(Main_L[[#This Row],[Industry]], Mean_ROE_L, 3, FALSE))</f>
        <v>0.50142807003995049</v>
      </c>
      <c r="R22" s="1">
        <f>(Main_L[[#This Row],[ROA]]-VLOOKUP(Main_L[[#This Row],[Industry]], Mean_ROA_L, 2, FALSE))/(VLOOKUP(Main_L[[#This Row],[Industry]], Mean_ROA_L, 3, FALSE))</f>
        <v>-0.24486622098035804</v>
      </c>
      <c r="S22" s="1">
        <f>(Main_L[[#This Row],[A/E]]-VLOOKUP(Main_L[[#This Row],[Industry]], Mean_AE_L, 2, FALSE))/(VLOOKUP(Main_L[[#This Row],[Industry]], Mean_AE_L, 3, FALSE))</f>
        <v>1.1703296750785588</v>
      </c>
      <c r="T22" s="1">
        <f>(Main_L[[#This Row],[P/E]]-VLOOKUP(Main_L[[#This Row],[Industry]], Mean_PE_L, 2, FALSE))/(VLOOKUP(Main_L[[#This Row],[Industry]], Mean_PE_L, 3, FALSE))</f>
        <v>-1.1260141633809766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t="s">
        <v>125</v>
      </c>
      <c r="B23" t="s">
        <v>129</v>
      </c>
      <c r="C23" s="2">
        <v>13420</v>
      </c>
      <c r="D23">
        <f>RTD("tos.rtd", , "LAST", Main_L[[#This Row],[Symbol]])</f>
        <v>182.13</v>
      </c>
      <c r="E23">
        <v>7.18</v>
      </c>
      <c r="F23">
        <v>27.63</v>
      </c>
      <c r="G23">
        <v>8.69</v>
      </c>
      <c r="H23" s="1">
        <f>IF(ISNUMBER(Main_L[[#This Row],[Free CF]]),IF(Main_L[[#This Row],[Free CF]]&lt;&gt;0,Main_L[[#This Row],[Current Price]]/Main_L[[#This Row],[Free CF]],""),"")</f>
        <v>25.366295264623957</v>
      </c>
      <c r="I23" s="1">
        <f>IF(ISNUMBER(Main_L[[#This Row],[BVPS]]),IF(Main_L[[#This Row],[BVPS]]&lt;&gt;0,Main_L[[#This Row],[Current Price]]/Main_L[[#This Row],[BVPS]],""),"")</f>
        <v>6.5917480998914222</v>
      </c>
      <c r="J23">
        <v>31.95</v>
      </c>
      <c r="K23">
        <v>8.65</v>
      </c>
      <c r="L23">
        <v>3.85</v>
      </c>
      <c r="M23" s="1">
        <f>IF(ISNUMBER(Main_L[[#This Row],[EPS]]),IF(Main_L[[#This Row],[EPS]]&lt;&gt;0,Main_L[[#This Row],[Current Price]]/Main_L[[#This Row],[EPS]],""),"")</f>
        <v>20.958573072497124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0.56005354354027359</v>
      </c>
      <c r="P23" s="1">
        <f>(Main_L[[#This Row],[P/B]]-VLOOKUP(Main_L[[#This Row],[Industry]], Mean_PB_L, 2, FALSE))/(VLOOKUP(Main_L[[#This Row],[Industry]], Mean_PB_L, 3, FALSE))</f>
        <v>1.909584834238879</v>
      </c>
      <c r="Q23" s="1">
        <f>(Main_L[[#This Row],[ROE]]-VLOOKUP(Main_L[[#This Row],[Industry]], Mean_ROE_L, 2, FALSE))/(VLOOKUP(Main_L[[#This Row],[Industry]], Mean_ROE_L, 3, FALSE))</f>
        <v>1.6231380404216682</v>
      </c>
      <c r="R23" s="1">
        <f>(Main_L[[#This Row],[ROA]]-VLOOKUP(Main_L[[#This Row],[Industry]], Mean_ROA_L, 2, FALSE))/(VLOOKUP(Main_L[[#This Row],[Industry]], Mean_ROA_L, 3, FALSE))</f>
        <v>1.3861177151923851</v>
      </c>
      <c r="S23" s="1">
        <f>(Main_L[[#This Row],[A/E]]-VLOOKUP(Main_L[[#This Row],[Industry]], Mean_AE_L, 2, FALSE))/(VLOOKUP(Main_L[[#This Row],[Industry]], Mean_AE_L, 3, FALSE))</f>
        <v>0.43840121305418583</v>
      </c>
      <c r="T23" s="1">
        <f>(Main_L[[#This Row],[P/E]]-VLOOKUP(Main_L[[#This Row],[Industry]], Mean_PE_L, 2, FALSE))/(VLOOKUP(Main_L[[#This Row],[Industry]], Mean_PE_L, 3, FALSE))</f>
        <v>-0.7191670664427815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t="s">
        <v>125</v>
      </c>
      <c r="B24" t="s">
        <v>130</v>
      </c>
      <c r="C24" s="2">
        <v>23237</v>
      </c>
      <c r="D24">
        <f>RTD("tos.rtd", , "LAST", Main_L[[#This Row],[Symbol]])</f>
        <v>48</v>
      </c>
      <c r="E24">
        <v>-0.01</v>
      </c>
      <c r="F24">
        <v>41.35</v>
      </c>
      <c r="G24">
        <v>1.05</v>
      </c>
      <c r="H24" s="1">
        <f>IF(ISNUMBER(Main_L[[#This Row],[Free CF]]),IF(Main_L[[#This Row],[Free CF]]&lt;&gt;0,Main_L[[#This Row],[Current Price]]/Main_L[[#This Row],[Free CF]],""),"")</f>
        <v>-4800</v>
      </c>
      <c r="I24" s="1">
        <f>IF(ISNUMBER(Main_L[[#This Row],[BVPS]]),IF(Main_L[[#This Row],[BVPS]]&lt;&gt;0,Main_L[[#This Row],[Current Price]]/Main_L[[#This Row],[BVPS]],""),"")</f>
        <v>1.1608222490931075</v>
      </c>
      <c r="J24">
        <v>3.01</v>
      </c>
      <c r="K24">
        <v>2.19</v>
      </c>
      <c r="L24">
        <v>2.2799999999999998</v>
      </c>
      <c r="M24" s="1">
        <f>IF(ISNUMBER(Main_L[[#This Row],[EPS]]),IF(Main_L[[#This Row],[EPS]]&lt;&gt;0,Main_L[[#This Row],[Current Price]]/Main_L[[#This Row],[EPS]],""),"")</f>
        <v>45.714285714285715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4" s="1">
        <f>(Main_L[[#This Row],[P/FCF]]-VLOOKUP(Main_L[[#This Row],[Industry]], Mean_PFCF_L, 2, FALSE))/(VLOOKUP(Main_L[[#This Row],[Industry]], Mean_PFCF_L, 3, FALSE))</f>
        <v>-34.568392667959024</v>
      </c>
      <c r="P24" s="1">
        <f>(Main_L[[#This Row],[P/B]]-VLOOKUP(Main_L[[#This Row],[Industry]], Mean_PB_L, 2, FALSE))/(VLOOKUP(Main_L[[#This Row],[Industry]], Mean_PB_L, 3, FALSE))</f>
        <v>-1.243253026684551</v>
      </c>
      <c r="Q24" s="1">
        <f>(Main_L[[#This Row],[ROE]]-VLOOKUP(Main_L[[#This Row],[Industry]], Mean_ROE_L, 2, FALSE))/(VLOOKUP(Main_L[[#This Row],[Industry]], Mean_ROE_L, 3, FALSE))</f>
        <v>-1.2882777930175173</v>
      </c>
      <c r="R24" s="1">
        <f>(Main_L[[#This Row],[ROA]]-VLOOKUP(Main_L[[#This Row],[Industry]], Mean_ROA_L, 2, FALSE))/(VLOOKUP(Main_L[[#This Row],[Industry]], Mean_ROA_L, 3, FALSE))</f>
        <v>-1.4385890482596042</v>
      </c>
      <c r="S24" s="1">
        <f>(Main_L[[#This Row],[A/E]]-VLOOKUP(Main_L[[#This Row],[Industry]], Mean_AE_L, 2, FALSE))/(VLOOKUP(Main_L[[#This Row],[Industry]], Mean_AE_L, 3, FALSE))</f>
        <v>-0.94608997414854445</v>
      </c>
      <c r="T24" s="1">
        <f>(Main_L[[#This Row],[P/E]]-VLOOKUP(Main_L[[#This Row],[Industry]], Mean_PE_L, 2, FALSE))/(VLOOKUP(Main_L[[#This Row],[Industry]], Mean_PE_L, 3, FALSE))</f>
        <v>1.4781994119890252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t="s">
        <v>125</v>
      </c>
      <c r="B25" t="s">
        <v>131</v>
      </c>
      <c r="C25" s="2">
        <v>16187</v>
      </c>
      <c r="D25">
        <f>RTD("tos.rtd", , "LAST", Main_L[[#This Row],[Symbol]])</f>
        <v>188.79</v>
      </c>
      <c r="E25">
        <v>5.85</v>
      </c>
      <c r="F25">
        <v>49.39</v>
      </c>
      <c r="G25">
        <v>9.56</v>
      </c>
      <c r="H25" s="1">
        <f>IF(ISNUMBER(Main_L[[#This Row],[Free CF]]),IF(Main_L[[#This Row],[Free CF]]&lt;&gt;0,Main_L[[#This Row],[Current Price]]/Main_L[[#This Row],[Free CF]],""),"")</f>
        <v>32.271794871794874</v>
      </c>
      <c r="I25" s="1">
        <f>IF(ISNUMBER(Main_L[[#This Row],[BVPS]]),IF(Main_L[[#This Row],[BVPS]]&lt;&gt;0,Main_L[[#This Row],[Current Price]]/Main_L[[#This Row],[BVPS]],""),"")</f>
        <v>3.822433691030573</v>
      </c>
      <c r="J25">
        <v>19.170000000000002</v>
      </c>
      <c r="K25">
        <v>8.26</v>
      </c>
      <c r="L25">
        <v>2.0099999999999998</v>
      </c>
      <c r="M25" s="1">
        <f>IF(ISNUMBER(Main_L[[#This Row],[EPS]]),IF(Main_L[[#This Row],[EPS]]&lt;&gt;0,Main_L[[#This Row],[Current Price]]/Main_L[[#This Row],[EPS]],""),"")</f>
        <v>19.747907949790793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5" s="1">
        <f>(Main_L[[#This Row],[P/FCF]]-VLOOKUP(Main_L[[#This Row],[Industry]], Mean_PFCF_L, 2, FALSE))/(VLOOKUP(Main_L[[#This Row],[Industry]], Mean_PFCF_L, 3, FALSE))</f>
        <v>0.61032526524398945</v>
      </c>
      <c r="P25" s="1">
        <f>(Main_L[[#This Row],[P/B]]-VLOOKUP(Main_L[[#This Row],[Industry]], Mean_PB_L, 2, FALSE))/(VLOOKUP(Main_L[[#This Row],[Industry]], Mean_PB_L, 3, FALSE))</f>
        <v>0.30190327921012888</v>
      </c>
      <c r="Q25" s="1">
        <f>(Main_L[[#This Row],[ROE]]-VLOOKUP(Main_L[[#This Row],[Industry]], Mean_ROE_L, 2, FALSE))/(VLOOKUP(Main_L[[#This Row],[Industry]], Mean_ROE_L, 3, FALSE))</f>
        <v>0.33744715060298192</v>
      </c>
      <c r="R25" s="1">
        <f>(Main_L[[#This Row],[ROA]]-VLOOKUP(Main_L[[#This Row],[Industry]], Mean_ROA_L, 2, FALSE))/(VLOOKUP(Main_L[[#This Row],[Industry]], Mean_ROA_L, 3, FALSE))</f>
        <v>1.2155858827239212</v>
      </c>
      <c r="S25" s="1">
        <f>(Main_L[[#This Row],[A/E]]-VLOOKUP(Main_L[[#This Row],[Industry]], Mean_AE_L, 2, FALSE))/(VLOOKUP(Main_L[[#This Row],[Industry]], Mean_AE_L, 3, FALSE))</f>
        <v>-1.1841871846865937</v>
      </c>
      <c r="T25" s="1">
        <f>(Main_L[[#This Row],[P/E]]-VLOOKUP(Main_L[[#This Row],[Industry]], Mean_PE_L, 2, FALSE))/(VLOOKUP(Main_L[[#This Row],[Industry]], Mean_PE_L, 3, FALSE))</f>
        <v>-0.82662811980590611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t="s">
        <v>125</v>
      </c>
      <c r="B26" t="s">
        <v>132</v>
      </c>
      <c r="C26" s="2">
        <v>20879</v>
      </c>
      <c r="D26">
        <f>RTD("tos.rtd", , "LAST", Main_L[[#This Row],[Symbol]])</f>
        <v>45.98</v>
      </c>
      <c r="E26">
        <v>-0.13</v>
      </c>
      <c r="F26">
        <v>34.32</v>
      </c>
      <c r="G26">
        <v>1.1200000000000001</v>
      </c>
      <c r="H26" s="1">
        <f>IF(ISNUMBER(Main_L[[#This Row],[Free CF]]),IF(Main_L[[#This Row],[Free CF]]&lt;&gt;0,Main_L[[#This Row],[Current Price]]/Main_L[[#This Row],[Free CF]],""),"")</f>
        <v>-353.69230769230768</v>
      </c>
      <c r="I26" s="1">
        <f>IF(ISNUMBER(Main_L[[#This Row],[BVPS]]),IF(Main_L[[#This Row],[BVPS]]&lt;&gt;0,Main_L[[#This Row],[Current Price]]/Main_L[[#This Row],[BVPS]],""),"")</f>
        <v>1.3397435897435896</v>
      </c>
      <c r="J26">
        <v>4.2300000000000004</v>
      </c>
      <c r="K26">
        <v>3.54</v>
      </c>
      <c r="L26">
        <v>2.5</v>
      </c>
      <c r="M26" s="1">
        <f>IF(ISNUMBER(Main_L[[#This Row],[EPS]]),IF(Main_L[[#This Row],[EPS]]&lt;&gt;0,Main_L[[#This Row],[Current Price]]/Main_L[[#This Row],[EPS]],""),"")</f>
        <v>41.053571428571423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6" s="1">
        <f>(Main_L[[#This Row],[P/FCF]]-VLOOKUP(Main_L[[#This Row],[Industry]], Mean_PFCF_L, 2, FALSE))/(VLOOKUP(Main_L[[#This Row],[Industry]], Mean_PFCF_L, 3, FALSE))</f>
        <v>-2.1994757709588248</v>
      </c>
      <c r="P26" s="1">
        <f>(Main_L[[#This Row],[P/B]]-VLOOKUP(Main_L[[#This Row],[Industry]], Mean_PB_L, 2, FALSE))/(VLOOKUP(Main_L[[#This Row],[Industry]], Mean_PB_L, 3, FALSE))</f>
        <v>-1.1393830803020022</v>
      </c>
      <c r="Q26" s="1">
        <f>(Main_L[[#This Row],[ROE]]-VLOOKUP(Main_L[[#This Row],[Industry]], Mean_ROE_L, 2, FALSE))/(VLOOKUP(Main_L[[#This Row],[Industry]], Mean_ROE_L, 3, FALSE))</f>
        <v>-1.1655436079174548</v>
      </c>
      <c r="R26" s="1">
        <f>(Main_L[[#This Row],[ROA]]-VLOOKUP(Main_L[[#This Row],[Industry]], Mean_ROA_L, 2, FALSE))/(VLOOKUP(Main_L[[#This Row],[Industry]], Mean_ROA_L, 3, FALSE))</f>
        <v>-0.84828655125338359</v>
      </c>
      <c r="S26" s="1">
        <f>(Main_L[[#This Row],[A/E]]-VLOOKUP(Main_L[[#This Row],[Industry]], Mean_AE_L, 2, FALSE))/(VLOOKUP(Main_L[[#This Row],[Industry]], Mean_AE_L, 3, FALSE))</f>
        <v>-0.75208483963605988</v>
      </c>
      <c r="T26" s="1">
        <f>(Main_L[[#This Row],[P/E]]-VLOOKUP(Main_L[[#This Row],[Industry]], Mean_PE_L, 2, FALSE))/(VLOOKUP(Main_L[[#This Row],[Industry]], Mean_PE_L, 3, FALSE))</f>
        <v>1.0645051069545934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7" spans="1:26" x14ac:dyDescent="0.25">
      <c r="A27" t="s">
        <v>133</v>
      </c>
      <c r="B27" t="s">
        <v>134</v>
      </c>
      <c r="C27" s="2">
        <v>122732</v>
      </c>
      <c r="D27">
        <f>RTD("tos.rtd", , "LAST", Main_L[[#This Row],[Symbol]])</f>
        <v>50.81</v>
      </c>
      <c r="E27">
        <v>2.04</v>
      </c>
      <c r="F27">
        <v>8.9700000000000006</v>
      </c>
      <c r="G27">
        <v>4.4800000000000004</v>
      </c>
      <c r="H27" s="1">
        <f>IF(ISNUMBER(Main_L[[#This Row],[Free CF]]),IF(Main_L[[#This Row],[Free CF]]&lt;&gt;0,Main_L[[#This Row],[Current Price]]/Main_L[[#This Row],[Free CF]],""),"")</f>
        <v>24.906862745098039</v>
      </c>
      <c r="I27" s="1">
        <f>IF(ISNUMBER(Main_L[[#This Row],[BVPS]]),IF(Main_L[[#This Row],[BVPS]]&lt;&gt;0,Main_L[[#This Row],[Current Price]]/Main_L[[#This Row],[BVPS]],""),"")</f>
        <v>5.6644370122630994</v>
      </c>
      <c r="J27">
        <v>27.69</v>
      </c>
      <c r="K27">
        <v>13.22</v>
      </c>
      <c r="L27">
        <v>2.21</v>
      </c>
      <c r="M27" s="1">
        <f>IF(ISNUMBER(Main_L[[#This Row],[EPS]]),IF(Main_L[[#This Row],[EPS]]&lt;&gt;0,Main_L[[#This Row],[Current Price]]/Main_L[[#This Row],[EPS]],""),"")</f>
        <v>11.341517857142856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-0.26630378715030989</v>
      </c>
      <c r="P27" s="1">
        <f>(Main_L[[#This Row],[P/B]]-VLOOKUP(Main_L[[#This Row],[Industry]], Mean_PB_L, 2, FALSE))/(VLOOKUP(Main_L[[#This Row],[Industry]], Mean_PB_L, 3, FALSE))</f>
        <v>1.8120487731544821</v>
      </c>
      <c r="Q27" s="1">
        <f>(Main_L[[#This Row],[ROE]]-VLOOKUP(Main_L[[#This Row],[Industry]], Mean_ROE_L, 2, FALSE))/(VLOOKUP(Main_L[[#This Row],[Industry]], Mean_ROE_L, 3, FALSE))</f>
        <v>1.9159088579058716</v>
      </c>
      <c r="R27" s="1">
        <f>(Main_L[[#This Row],[ROA]]-VLOOKUP(Main_L[[#This Row],[Industry]], Mean_ROA_L, 2, FALSE))/(VLOOKUP(Main_L[[#This Row],[Industry]], Mean_ROA_L, 3, FALSE))</f>
        <v>3.4975718634155366</v>
      </c>
      <c r="S27" s="1">
        <f>(Main_L[[#This Row],[A/E]]-VLOOKUP(Main_L[[#This Row],[Industry]], Mean_AE_L, 2, FALSE))/(VLOOKUP(Main_L[[#This Row],[Industry]], Mean_AE_L, 3, FALSE))</f>
        <v>1.4389341128384823</v>
      </c>
      <c r="T27" s="1">
        <f>(Main_L[[#This Row],[P/E]]-VLOOKUP(Main_L[[#This Row],[Industry]], Mean_PE_L, 2, FALSE))/(VLOOKUP(Main_L[[#This Row],[Industry]], Mean_PE_L, 3, FALSE))</f>
        <v>-0.91831746362883426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8" spans="1:26" x14ac:dyDescent="0.25">
      <c r="A28" t="s">
        <v>133</v>
      </c>
      <c r="B28" t="s">
        <v>135</v>
      </c>
      <c r="C28" s="2">
        <v>97512</v>
      </c>
      <c r="D28">
        <f>RTD("tos.rtd", , "LAST", Main_L[[#This Row],[Symbol]])</f>
        <v>62.27</v>
      </c>
      <c r="E28">
        <v>3.68</v>
      </c>
      <c r="F28">
        <v>34.03</v>
      </c>
      <c r="G28">
        <v>7.07</v>
      </c>
      <c r="H28" s="1">
        <f>IF(ISNUMBER(Main_L[[#This Row],[Free CF]]),IF(Main_L[[#This Row],[Free CF]]&lt;&gt;0,Main_L[[#This Row],[Current Price]]/Main_L[[#This Row],[Free CF]],""),"")</f>
        <v>16.921195652173914</v>
      </c>
      <c r="I28" s="1">
        <f>IF(ISNUMBER(Main_L[[#This Row],[BVPS]]),IF(Main_L[[#This Row],[BVPS]]&lt;&gt;0,Main_L[[#This Row],[Current Price]]/Main_L[[#This Row],[BVPS]],""),"")</f>
        <v>1.8298560094034675</v>
      </c>
      <c r="J28">
        <v>20.25</v>
      </c>
      <c r="K28">
        <v>8.48</v>
      </c>
      <c r="L28">
        <v>1.86</v>
      </c>
      <c r="M28" s="1">
        <f>IF(ISNUMBER(Main_L[[#This Row],[EPS]]),IF(Main_L[[#This Row],[EPS]]&lt;&gt;0,Main_L[[#This Row],[Current Price]]/Main_L[[#This Row],[EPS]],""),"")</f>
        <v>8.8076379066478072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8" s="1">
        <f>(Main_L[[#This Row],[P/FCF]]-VLOOKUP(Main_L[[#This Row],[Industry]], Mean_PFCF_L, 2, FALSE))/(VLOOKUP(Main_L[[#This Row],[Industry]], Mean_PFCF_L, 3, FALSE))</f>
        <v>-0.7186466162628955</v>
      </c>
      <c r="P28" s="1">
        <f>(Main_L[[#This Row],[P/B]]-VLOOKUP(Main_L[[#This Row],[Industry]], Mean_PB_L, 2, FALSE))/(VLOOKUP(Main_L[[#This Row],[Industry]], Mean_PB_L, 3, FALSE))</f>
        <v>-0.56942191625683003</v>
      </c>
      <c r="Q28" s="1">
        <f>(Main_L[[#This Row],[ROE]]-VLOOKUP(Main_L[[#This Row],[Industry]], Mean_ROE_L, 2, FALSE))/(VLOOKUP(Main_L[[#This Row],[Industry]], Mean_ROE_L, 3, FALSE))</f>
        <v>0.94006879734440418</v>
      </c>
      <c r="R28" s="1">
        <f>(Main_L[[#This Row],[ROA]]-VLOOKUP(Main_L[[#This Row],[Industry]], Mean_ROA_L, 2, FALSE))/(VLOOKUP(Main_L[[#This Row],[Industry]], Mean_ROA_L, 3, FALSE))</f>
        <v>0.85595277302258532</v>
      </c>
      <c r="S28" s="1">
        <f>(Main_L[[#This Row],[A/E]]-VLOOKUP(Main_L[[#This Row],[Industry]], Mean_AE_L, 2, FALSE))/(VLOOKUP(Main_L[[#This Row],[Industry]], Mean_AE_L, 3, FALSE))</f>
        <v>0.43076371530833529</v>
      </c>
      <c r="T28" s="1">
        <f>(Main_L[[#This Row],[P/E]]-VLOOKUP(Main_L[[#This Row],[Industry]], Mean_PE_L, 2, FALSE))/(VLOOKUP(Main_L[[#This Row],[Industry]], Mean_PE_L, 3, FALSE))</f>
        <v>-1.2043188342317845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t="s">
        <v>133</v>
      </c>
      <c r="B29" t="s">
        <v>136</v>
      </c>
      <c r="C29" s="2">
        <v>16927</v>
      </c>
      <c r="D29">
        <f>RTD("tos.rtd", , "LAST", Main_L[[#This Row],[Symbol]])</f>
        <v>37.97</v>
      </c>
      <c r="E29">
        <v>-0.09</v>
      </c>
      <c r="F29">
        <v>35.869999999999997</v>
      </c>
      <c r="G29">
        <v>-0.15</v>
      </c>
      <c r="H29" s="1">
        <f>IF(ISNUMBER(Main_L[[#This Row],[Free CF]]),IF(Main_L[[#This Row],[Free CF]]&lt;&gt;0,Main_L[[#This Row],[Current Price]]/Main_L[[#This Row],[Free CF]],""),"")</f>
        <v>-421.88888888888891</v>
      </c>
      <c r="I29" s="1">
        <f>IF(ISNUMBER(Main_L[[#This Row],[BVPS]]),IF(Main_L[[#This Row],[BVPS]]&lt;&gt;0,Main_L[[#This Row],[Current Price]]/Main_L[[#This Row],[BVPS]],""),"")</f>
        <v>1.058544744912183</v>
      </c>
      <c r="J29">
        <v>-1.31</v>
      </c>
      <c r="K29">
        <v>1.69</v>
      </c>
      <c r="L29">
        <v>1.78</v>
      </c>
      <c r="M29" s="1">
        <f>IF(ISNUMBER(Main_L[[#This Row],[EPS]]),IF(Main_L[[#This Row],[EPS]]&lt;&gt;0,Main_L[[#This Row],[Current Price]]/Main_L[[#This Row],[EPS]],""),"")</f>
        <v>-253.13333333333333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-25.574753535660516</v>
      </c>
      <c r="P29" s="1">
        <f>(Main_L[[#This Row],[P/B]]-VLOOKUP(Main_L[[#This Row],[Industry]], Mean_PB_L, 2, FALSE))/(VLOOKUP(Main_L[[#This Row],[Industry]], Mean_PB_L, 3, FALSE))</f>
        <v>-1.0484456133514901</v>
      </c>
      <c r="Q29" s="1">
        <f>(Main_L[[#This Row],[ROE]]-VLOOKUP(Main_L[[#This Row],[Industry]], Mean_ROE_L, 2, FALSE))/(VLOOKUP(Main_L[[#This Row],[Industry]], Mean_ROE_L, 3, FALSE))</f>
        <v>-1.8877687975084496</v>
      </c>
      <c r="R29" s="1">
        <f>(Main_L[[#This Row],[ROA]]-VLOOKUP(Main_L[[#This Row],[Industry]], Mean_ROA_L, 2, FALSE))/(VLOOKUP(Main_L[[#This Row],[Industry]], Mean_ROA_L, 3, FALSE))</f>
        <v>-2.9281387087850392</v>
      </c>
      <c r="S29" s="1">
        <f>(Main_L[[#This Row],[A/E]]-VLOOKUP(Main_L[[#This Row],[Industry]], Mean_AE_L, 2, FALSE))/(VLOOKUP(Main_L[[#This Row],[Industry]], Mean_AE_L, 3, FALSE))</f>
        <v>0.2003247673014443</v>
      </c>
      <c r="T29" s="1">
        <f>(Main_L[[#This Row],[P/E]]-VLOOKUP(Main_L[[#This Row],[Industry]], Mean_PE_L, 2, FALSE))/(VLOOKUP(Main_L[[#This Row],[Industry]], Mean_PE_L, 3, FALSE))</f>
        <v>-30.769838217684121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0" spans="1:26" x14ac:dyDescent="0.25">
      <c r="A30" t="s">
        <v>133</v>
      </c>
      <c r="B30" t="s">
        <v>137</v>
      </c>
      <c r="C30" s="2">
        <v>51828</v>
      </c>
      <c r="D30">
        <f>RTD("tos.rtd", , "LAST", Main_L[[#This Row],[Symbol]])</f>
        <v>39.47</v>
      </c>
      <c r="E30">
        <v>1.1100000000000001</v>
      </c>
      <c r="F30">
        <v>12.63</v>
      </c>
      <c r="G30">
        <v>1.22</v>
      </c>
      <c r="H30" s="1">
        <f>IF(ISNUMBER(Main_L[[#This Row],[Free CF]]),IF(Main_L[[#This Row],[Free CF]]&lt;&gt;0,Main_L[[#This Row],[Current Price]]/Main_L[[#This Row],[Free CF]],""),"")</f>
        <v>35.558558558558552</v>
      </c>
      <c r="I30" s="1">
        <f>IF(ISNUMBER(Main_L[[#This Row],[BVPS]]),IF(Main_L[[#This Row],[BVPS]]&lt;&gt;0,Main_L[[#This Row],[Current Price]]/Main_L[[#This Row],[BVPS]],""),"")</f>
        <v>3.1250989707046712</v>
      </c>
      <c r="J30">
        <v>14.06</v>
      </c>
      <c r="K30">
        <v>7.5</v>
      </c>
      <c r="L30">
        <v>3.17</v>
      </c>
      <c r="M30" s="1">
        <f>IF(ISNUMBER(Main_L[[#This Row],[EPS]]),IF(Main_L[[#This Row],[EPS]]&lt;&gt;0,Main_L[[#This Row],[Current Price]]/Main_L[[#This Row],[EPS]],""),"")</f>
        <v>32.352459016393439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0.33705447497618174</v>
      </c>
      <c r="P30" s="1">
        <f>(Main_L[[#This Row],[P/B]]-VLOOKUP(Main_L[[#This Row],[Industry]], Mean_PB_L, 2, FALSE))/(VLOOKUP(Main_L[[#This Row],[Industry]], Mean_PB_L, 3, FALSE))</f>
        <v>0.23499012920649567</v>
      </c>
      <c r="Q30" s="1">
        <f>(Main_L[[#This Row],[ROE]]-VLOOKUP(Main_L[[#This Row],[Industry]], Mean_ROE_L, 2, FALSE))/(VLOOKUP(Main_L[[#This Row],[Industry]], Mean_ROE_L, 3, FALSE))</f>
        <v>0.1281803598611406</v>
      </c>
      <c r="R30" s="1">
        <f>(Main_L[[#This Row],[ROA]]-VLOOKUP(Main_L[[#This Row],[Industry]], Mean_ROA_L, 2, FALSE))/(VLOOKUP(Main_L[[#This Row],[Industry]], Mean_ROA_L, 3, FALSE))</f>
        <v>0.30979523956581456</v>
      </c>
      <c r="S30" s="1">
        <f>(Main_L[[#This Row],[A/E]]-VLOOKUP(Main_L[[#This Row],[Industry]], Mean_AE_L, 2, FALSE))/(VLOOKUP(Main_L[[#This Row],[Industry]], Mean_AE_L, 3, FALSE))</f>
        <v>4.2042014889211714</v>
      </c>
      <c r="T30" s="1">
        <f>(Main_L[[#This Row],[P/E]]-VLOOKUP(Main_L[[#This Row],[Industry]], Mean_PE_L, 2, FALSE))/(VLOOKUP(Main_L[[#This Row],[Industry]], Mean_PE_L, 3, FALSE))</f>
        <v>1.4532068732007735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1" spans="1:26" x14ac:dyDescent="0.25">
      <c r="A31" t="s">
        <v>133</v>
      </c>
      <c r="B31" t="s">
        <v>138</v>
      </c>
      <c r="C31" s="2">
        <v>70324</v>
      </c>
      <c r="D31">
        <f>RTD("tos.rtd", , "LAST", Main_L[[#This Row],[Symbol]])</f>
        <v>93.29</v>
      </c>
      <c r="E31">
        <v>4.2300000000000004</v>
      </c>
      <c r="F31">
        <v>11.56</v>
      </c>
      <c r="G31">
        <v>4.5199999999999996</v>
      </c>
      <c r="H31" s="1">
        <f>IF(ISNUMBER(Main_L[[#This Row],[Free CF]]),IF(Main_L[[#This Row],[Free CF]]&lt;&gt;0,Main_L[[#This Row],[Current Price]]/Main_L[[#This Row],[Free CF]],""),"")</f>
        <v>22.054373522458629</v>
      </c>
      <c r="I31" s="1">
        <f>IF(ISNUMBER(Main_L[[#This Row],[BVPS]]),IF(Main_L[[#This Row],[BVPS]]&lt;&gt;0,Main_L[[#This Row],[Current Price]]/Main_L[[#This Row],[BVPS]],""),"")</f>
        <v>8.070069204152249</v>
      </c>
      <c r="J31">
        <v>41.74</v>
      </c>
      <c r="K31">
        <v>20.16</v>
      </c>
      <c r="L31">
        <v>2.0699999999999998</v>
      </c>
      <c r="M31" s="1">
        <f>IF(ISNUMBER(Main_L[[#This Row],[EPS]]),IF(Main_L[[#This Row],[EPS]]&lt;&gt;0,Main_L[[#This Row],[Current Price]]/Main_L[[#This Row],[EPS]],""),"")</f>
        <v>20.639380530973455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>
        <f>(Main_L[[#This Row],[P/FCF]]-VLOOKUP(Main_L[[#This Row],[Industry]], Mean_PFCF_L, 2, FALSE))/(VLOOKUP(Main_L[[#This Row],[Industry]], Mean_PFCF_L, 3, FALSE))</f>
        <v>-0.42788115194243498</v>
      </c>
      <c r="P31" s="1">
        <f>(Main_L[[#This Row],[P/B]]-VLOOKUP(Main_L[[#This Row],[Industry]], Mean_PB_L, 2, FALSE))/(VLOOKUP(Main_L[[#This Row],[Industry]], Mean_PB_L, 3, FALSE))</f>
        <v>3.3060692541968568</v>
      </c>
      <c r="Q31" s="1">
        <f>(Main_L[[#This Row],[ROE]]-VLOOKUP(Main_L[[#This Row],[Industry]], Mean_ROE_L, 2, FALSE))/(VLOOKUP(Main_L[[#This Row],[Industry]], Mean_ROE_L, 3, FALSE))</f>
        <v>3.7587251013048788</v>
      </c>
      <c r="R31" s="1">
        <f>(Main_L[[#This Row],[ROA]]-VLOOKUP(Main_L[[#This Row],[Industry]], Mean_ROA_L, 2, FALSE))/(VLOOKUP(Main_L[[#This Row],[Industry]], Mean_ROA_L, 3, FALSE))</f>
        <v>7.3652588860583803</v>
      </c>
      <c r="S31" s="1">
        <f>(Main_L[[#This Row],[A/E]]-VLOOKUP(Main_L[[#This Row],[Industry]], Mean_AE_L, 2, FALSE))/(VLOOKUP(Main_L[[#This Row],[Industry]], Mean_AE_L, 3, FALSE))</f>
        <v>1.035665953826423</v>
      </c>
      <c r="T31" s="1">
        <f>(Main_L[[#This Row],[P/E]]-VLOOKUP(Main_L[[#This Row],[Industry]], Mean_PE_L, 2, FALSE))/(VLOOKUP(Main_L[[#This Row],[Industry]], Mean_PE_L, 3, FALSE))</f>
        <v>0.13114088496973736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t="s">
        <v>133</v>
      </c>
      <c r="B32" t="s">
        <v>139</v>
      </c>
      <c r="C32" s="2">
        <v>59059</v>
      </c>
      <c r="D32">
        <f>RTD("tos.rtd", , "LAST", Main_L[[#This Row],[Symbol]])</f>
        <v>107</v>
      </c>
      <c r="E32">
        <v>4.67</v>
      </c>
      <c r="F32">
        <v>43.05</v>
      </c>
      <c r="G32">
        <v>4.7</v>
      </c>
      <c r="H32" s="1">
        <f>IF(ISNUMBER(Main_L[[#This Row],[Free CF]]),IF(Main_L[[#This Row],[Free CF]]&lt;&gt;0,Main_L[[#This Row],[Current Price]]/Main_L[[#This Row],[Free CF]],""),"")</f>
        <v>22.912205567451821</v>
      </c>
      <c r="I32" s="1">
        <f>IF(ISNUMBER(Main_L[[#This Row],[BVPS]]),IF(Main_L[[#This Row],[BVPS]]&lt;&gt;0,Main_L[[#This Row],[Current Price]]/Main_L[[#This Row],[BVPS]],""),"")</f>
        <v>2.4854819976771196</v>
      </c>
      <c r="J32">
        <v>11.45</v>
      </c>
      <c r="K32">
        <v>7.81</v>
      </c>
      <c r="L32">
        <v>1.41</v>
      </c>
      <c r="M32" s="1">
        <f>IF(ISNUMBER(Main_L[[#This Row],[EPS]]),IF(Main_L[[#This Row],[EPS]]&lt;&gt;0,Main_L[[#This Row],[Current Price]]/Main_L[[#This Row],[EPS]],""),"")</f>
        <v>22.76595744680851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32" s="1">
        <f>(Main_L[[#This Row],[P/FCF]]-VLOOKUP(Main_L[[#This Row],[Industry]], Mean_PFCF_L, 2, FALSE))/(VLOOKUP(Main_L[[#This Row],[Industry]], Mean_PFCF_L, 3, FALSE))</f>
        <v>-0.3792898233007137</v>
      </c>
      <c r="P32" s="1">
        <f>(Main_L[[#This Row],[P/B]]-VLOOKUP(Main_L[[#This Row],[Industry]], Mean_PB_L, 2, FALSE))/(VLOOKUP(Main_L[[#This Row],[Industry]], Mean_PB_L, 3, FALSE))</f>
        <v>-0.16224468538710782</v>
      </c>
      <c r="Q32" s="1">
        <f>(Main_L[[#This Row],[ROE]]-VLOOKUP(Main_L[[#This Row],[Industry]], Mean_ROE_L, 2, FALSE))/(VLOOKUP(Main_L[[#This Row],[Industry]], Mean_ROE_L, 3, FALSE))</f>
        <v>-0.21415062912614846</v>
      </c>
      <c r="R32" s="1">
        <f>(Main_L[[#This Row],[ROA]]-VLOOKUP(Main_L[[#This Row],[Industry]], Mean_ROA_L, 2, FALSE))/(VLOOKUP(Main_L[[#This Row],[Industry]], Mean_ROA_L, 3, FALSE))</f>
        <v>0.48255935729193561</v>
      </c>
      <c r="S32" s="1">
        <f>(Main_L[[#This Row],[A/E]]-VLOOKUP(Main_L[[#This Row],[Industry]], Mean_AE_L, 2, FALSE))/(VLOOKUP(Main_L[[#This Row],[Industry]], Mean_AE_L, 3, FALSE))</f>
        <v>-0.86545536723042593</v>
      </c>
      <c r="T32" s="1">
        <f>(Main_L[[#This Row],[P/E]]-VLOOKUP(Main_L[[#This Row],[Industry]], Mean_PE_L, 2, FALSE))/(VLOOKUP(Main_L[[#This Row],[Industry]], Mean_PE_L, 3, FALSE))</f>
        <v>0.37116958581746107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t="s">
        <v>133</v>
      </c>
      <c r="B33" t="s">
        <v>140</v>
      </c>
      <c r="C33" s="2">
        <v>11414</v>
      </c>
      <c r="D33">
        <f>RTD("tos.rtd", , "LAST", Main_L[[#This Row],[Symbol]])</f>
        <v>24.77</v>
      </c>
      <c r="E33">
        <v>0.46</v>
      </c>
      <c r="F33">
        <v>8.56</v>
      </c>
      <c r="G33">
        <v>0.62</v>
      </c>
      <c r="H33" s="1">
        <f>IF(ISNUMBER(Main_L[[#This Row],[Free CF]]),IF(Main_L[[#This Row],[Free CF]]&lt;&gt;0,Main_L[[#This Row],[Current Price]]/Main_L[[#This Row],[Free CF]],""),"")</f>
        <v>53.847826086956516</v>
      </c>
      <c r="I33" s="1">
        <f>IF(ISNUMBER(Main_L[[#This Row],[BVPS]]),IF(Main_L[[#This Row],[BVPS]]&lt;&gt;0,Main_L[[#This Row],[Current Price]]/Main_L[[#This Row],[BVPS]],""),"")</f>
        <v>2.8936915887850465</v>
      </c>
      <c r="J33">
        <v>7.85</v>
      </c>
      <c r="K33">
        <v>6.46</v>
      </c>
      <c r="L33">
        <v>1.49</v>
      </c>
      <c r="M33" s="1">
        <f>IF(ISNUMBER(Main_L[[#This Row],[EPS]]),IF(Main_L[[#This Row],[EPS]]&lt;&gt;0,Main_L[[#This Row],[Current Price]]/Main_L[[#This Row],[EPS]],""),"")</f>
        <v>39.951612903225808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1.3730379338312311</v>
      </c>
      <c r="P33" s="1">
        <f>(Main_L[[#This Row],[P/B]]-VLOOKUP(Main_L[[#This Row],[Industry]], Mean_PB_L, 2, FALSE))/(VLOOKUP(Main_L[[#This Row],[Industry]], Mean_PB_L, 3, FALSE))</f>
        <v>9.1274323765426296E-2</v>
      </c>
      <c r="Q33" s="1">
        <f>(Main_L[[#This Row],[ROE]]-VLOOKUP(Main_L[[#This Row],[Industry]], Mean_ROE_L, 2, FALSE))/(VLOOKUP(Main_L[[#This Row],[Industry]], Mean_ROE_L, 3, FALSE))</f>
        <v>-0.6863313035913744</v>
      </c>
      <c r="R33" s="1">
        <f>(Main_L[[#This Row],[ROA]]-VLOOKUP(Main_L[[#This Row],[Industry]], Mean_ROA_L, 2, FALSE))/(VLOOKUP(Main_L[[#This Row],[Industry]], Mean_ROA_L, 3, FALSE))</f>
        <v>-0.26980051022504392</v>
      </c>
      <c r="S33" s="1">
        <f>(Main_L[[#This Row],[A/E]]-VLOOKUP(Main_L[[#This Row],[Industry]], Mean_AE_L, 2, FALSE))/(VLOOKUP(Main_L[[#This Row],[Industry]], Mean_AE_L, 3, FALSE))</f>
        <v>-0.63501641922353502</v>
      </c>
      <c r="T33" s="1">
        <f>(Main_L[[#This Row],[P/E]]-VLOOKUP(Main_L[[#This Row],[Industry]], Mean_PE_L, 2, FALSE))/(VLOOKUP(Main_L[[#This Row],[Industry]], Mean_PE_L, 3, FALSE))</f>
        <v>2.3109303918829354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4" spans="1:26" x14ac:dyDescent="0.25">
      <c r="A34" t="s">
        <v>133</v>
      </c>
      <c r="B34" t="s">
        <v>141</v>
      </c>
      <c r="C34" s="2">
        <v>21995</v>
      </c>
      <c r="D34">
        <f>RTD("tos.rtd", , "LAST", Main_L[[#This Row],[Symbol]])</f>
        <v>41.21</v>
      </c>
      <c r="E34">
        <v>2.04</v>
      </c>
      <c r="F34">
        <v>13.17</v>
      </c>
      <c r="G34">
        <v>2.33</v>
      </c>
      <c r="H34" s="1">
        <f>IF(ISNUMBER(Main_L[[#This Row],[Free CF]]),IF(Main_L[[#This Row],[Free CF]]&lt;&gt;0,Main_L[[#This Row],[Current Price]]/Main_L[[#This Row],[Free CF]],""),"")</f>
        <v>20.200980392156861</v>
      </c>
      <c r="I34" s="1">
        <f>IF(ISNUMBER(Main_L[[#This Row],[BVPS]]),IF(Main_L[[#This Row],[BVPS]]&lt;&gt;0,Main_L[[#This Row],[Current Price]]/Main_L[[#This Row],[BVPS]],""),"")</f>
        <v>3.1290812452543659</v>
      </c>
      <c r="J34">
        <v>17.12</v>
      </c>
      <c r="K34">
        <v>9.1999999999999993</v>
      </c>
      <c r="L34">
        <v>1.98</v>
      </c>
      <c r="M34" s="1">
        <f>IF(ISNUMBER(Main_L[[#This Row],[EPS]]),IF(Main_L[[#This Row],[EPS]]&lt;&gt;0,Main_L[[#This Row],[Current Price]]/Main_L[[#This Row],[EPS]],""),"")</f>
        <v>17.686695278969957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-0.53286537959216862</v>
      </c>
      <c r="P34" s="1">
        <f>(Main_L[[#This Row],[P/B]]-VLOOKUP(Main_L[[#This Row],[Industry]], Mean_PB_L, 2, FALSE))/(VLOOKUP(Main_L[[#This Row],[Industry]], Mean_PB_L, 3, FALSE))</f>
        <v>0.23746332513330334</v>
      </c>
      <c r="Q34" s="1">
        <f>(Main_L[[#This Row],[ROE]]-VLOOKUP(Main_L[[#This Row],[Industry]], Mean_ROE_L, 2, FALSE))/(VLOOKUP(Main_L[[#This Row],[Industry]], Mean_ROE_L, 3, FALSE))</f>
        <v>0.52953393315658281</v>
      </c>
      <c r="R34" s="1">
        <f>(Main_L[[#This Row],[ROA]]-VLOOKUP(Main_L[[#This Row],[Industry]], Mean_ROA_L, 2, FALSE))/(VLOOKUP(Main_L[[#This Row],[Industry]], Mean_ROA_L, 3, FALSE))</f>
        <v>1.2572113690316404</v>
      </c>
      <c r="S34" s="1">
        <f>(Main_L[[#This Row],[A/E]]-VLOOKUP(Main_L[[#This Row],[Industry]], Mean_AE_L, 2, FALSE))/(VLOOKUP(Main_L[[#This Row],[Industry]], Mean_AE_L, 3, FALSE))</f>
        <v>0.77642213731867116</v>
      </c>
      <c r="T34" s="1">
        <f>(Main_L[[#This Row],[P/E]]-VLOOKUP(Main_L[[#This Row],[Industry]], Mean_PE_L, 2, FALSE))/(VLOOKUP(Main_L[[#This Row],[Industry]], Mean_PE_L, 3, FALSE))</f>
        <v>-0.20213142687247609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5" spans="1:26" x14ac:dyDescent="0.25">
      <c r="A35" t="s">
        <v>133</v>
      </c>
      <c r="B35" t="s">
        <v>142</v>
      </c>
      <c r="C35" s="2">
        <v>32782</v>
      </c>
      <c r="D35">
        <f>RTD("tos.rtd", , "LAST", Main_L[[#This Row],[Symbol]])</f>
        <v>158.02000000000001</v>
      </c>
      <c r="E35">
        <v>2.25</v>
      </c>
      <c r="F35">
        <v>31.14</v>
      </c>
      <c r="G35">
        <v>2.87</v>
      </c>
      <c r="H35" s="1">
        <f>IF(ISNUMBER(Main_L[[#This Row],[Free CF]]),IF(Main_L[[#This Row],[Free CF]]&lt;&gt;0,Main_L[[#This Row],[Current Price]]/Main_L[[#This Row],[Free CF]],""),"")</f>
        <v>70.231111111111119</v>
      </c>
      <c r="I35" s="1">
        <f>IF(ISNUMBER(Main_L[[#This Row],[BVPS]]),IF(Main_L[[#This Row],[BVPS]]&lt;&gt;0,Main_L[[#This Row],[Current Price]]/Main_L[[#This Row],[BVPS]],""),"")</f>
        <v>5.0745022479126529</v>
      </c>
      <c r="J35">
        <v>9.3800000000000008</v>
      </c>
      <c r="K35">
        <v>7.34</v>
      </c>
      <c r="L35">
        <v>1.06</v>
      </c>
      <c r="M35" s="1">
        <f>IF(ISNUMBER(Main_L[[#This Row],[EPS]]),IF(Main_L[[#This Row],[EPS]]&lt;&gt;0,Main_L[[#This Row],[Current Price]]/Main_L[[#This Row],[EPS]],""),"")</f>
        <v>55.059233449477354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2.3010582747430761</v>
      </c>
      <c r="P35" s="1">
        <f>(Main_L[[#This Row],[P/B]]-VLOOKUP(Main_L[[#This Row],[Industry]], Mean_PB_L, 2, FALSE))/(VLOOKUP(Main_L[[#This Row],[Industry]], Mean_PB_L, 3, FALSE))</f>
        <v>1.4456691481269637</v>
      </c>
      <c r="Q35" s="1">
        <f>(Main_L[[#This Row],[ROE]]-VLOOKUP(Main_L[[#This Row],[Industry]], Mean_ROE_L, 2, FALSE))/(VLOOKUP(Main_L[[#This Row],[Industry]], Mean_ROE_L, 3, FALSE))</f>
        <v>-0.48565451694365325</v>
      </c>
      <c r="R35" s="1">
        <f>(Main_L[[#This Row],[ROA]]-VLOOKUP(Main_L[[#This Row],[Industry]], Mean_ROA_L, 2, FALSE))/(VLOOKUP(Main_L[[#This Row],[Industry]], Mean_ROA_L, 3, FALSE))</f>
        <v>0.22062666267491321</v>
      </c>
      <c r="S35" s="1">
        <f>(Main_L[[#This Row],[A/E]]-VLOOKUP(Main_L[[#This Row],[Industry]], Mean_AE_L, 2, FALSE))/(VLOOKUP(Main_L[[#This Row],[Industry]], Mean_AE_L, 3, FALSE))</f>
        <v>-1.873625764760573</v>
      </c>
      <c r="T35" s="1">
        <f>(Main_L[[#This Row],[P/E]]-VLOOKUP(Main_L[[#This Row],[Industry]], Mean_PE_L, 2, FALSE))/(VLOOKUP(Main_L[[#This Row],[Industry]], Mean_PE_L, 3, FALSE))</f>
        <v>4.0161414781197058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6" spans="1:26" x14ac:dyDescent="0.25">
      <c r="A36" t="s">
        <v>133</v>
      </c>
      <c r="B36" t="s">
        <v>143</v>
      </c>
      <c r="C36" s="2">
        <v>20559</v>
      </c>
      <c r="D36">
        <f>RTD("tos.rtd", , "LAST", Main_L[[#This Row],[Symbol]])</f>
        <v>20.18</v>
      </c>
      <c r="E36">
        <v>0.87</v>
      </c>
      <c r="F36">
        <v>5.81</v>
      </c>
      <c r="G36">
        <v>1.38</v>
      </c>
      <c r="H36" s="1">
        <f>IF(ISNUMBER(Main_L[[#This Row],[Free CF]]),IF(Main_L[[#This Row],[Free CF]]&lt;&gt;0,Main_L[[#This Row],[Current Price]]/Main_L[[#This Row],[Free CF]],""),"")</f>
        <v>23.195402298850574</v>
      </c>
      <c r="I36" s="1">
        <f>IF(ISNUMBER(Main_L[[#This Row],[BVPS]]),IF(Main_L[[#This Row],[BVPS]]&lt;&gt;0,Main_L[[#This Row],[Current Price]]/Main_L[[#This Row],[BVPS]],""),"")</f>
        <v>3.4733218588640278</v>
      </c>
      <c r="J36">
        <v>25.84</v>
      </c>
      <c r="K36">
        <v>13.51</v>
      </c>
      <c r="L36">
        <v>1.95</v>
      </c>
      <c r="M36" s="1">
        <f>IF(ISNUMBER(Main_L[[#This Row],[EPS]]),IF(Main_L[[#This Row],[EPS]]&lt;&gt;0,Main_L[[#This Row],[Current Price]]/Main_L[[#This Row],[EPS]],""),"")</f>
        <v>14.623188405797102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-0.36324833181531774</v>
      </c>
      <c r="P36" s="1">
        <f>(Main_L[[#This Row],[P/B]]-VLOOKUP(Main_L[[#This Row],[Industry]], Mean_PB_L, 2, FALSE))/(VLOOKUP(Main_L[[#This Row],[Industry]], Mean_PB_L, 3, FALSE))</f>
        <v>0.45125433145316224</v>
      </c>
      <c r="Q36" s="1">
        <f>(Main_L[[#This Row],[ROE]]-VLOOKUP(Main_L[[#This Row],[Industry]], Mean_ROE_L, 2, FALSE))/(VLOOKUP(Main_L[[#This Row],[Industry]], Mean_ROE_L, 3, FALSE))</f>
        <v>1.6732604557501303</v>
      </c>
      <c r="R36" s="1">
        <f>(Main_L[[#This Row],[ROA]]-VLOOKUP(Main_L[[#This Row],[Industry]], Mean_ROA_L, 2, FALSE))/(VLOOKUP(Main_L[[#This Row],[Industry]], Mean_ROA_L, 3, FALSE))</f>
        <v>3.6591899090302946</v>
      </c>
      <c r="S36" s="1">
        <f>(Main_L[[#This Row],[A/E]]-VLOOKUP(Main_L[[#This Row],[Industry]], Mean_AE_L, 2, FALSE))/(VLOOKUP(Main_L[[#This Row],[Industry]], Mean_AE_L, 3, FALSE))</f>
        <v>0.69000753181608709</v>
      </c>
      <c r="T36" s="1">
        <f>(Main_L[[#This Row],[P/E]]-VLOOKUP(Main_L[[#This Row],[Industry]], Mean_PE_L, 2, FALSE))/(VLOOKUP(Main_L[[#This Row],[Industry]], Mean_PE_L, 3, FALSE))</f>
        <v>-0.54791227746400362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t="s">
        <v>133</v>
      </c>
      <c r="B37" t="s">
        <v>144</v>
      </c>
      <c r="C37" s="2">
        <v>33365</v>
      </c>
      <c r="D37">
        <f>RTD("tos.rtd", , "LAST", Main_L[[#This Row],[Symbol]])</f>
        <v>18.86</v>
      </c>
      <c r="E37">
        <v>0.75</v>
      </c>
      <c r="F37">
        <v>14.06</v>
      </c>
      <c r="G37">
        <v>1.22</v>
      </c>
      <c r="H37" s="1">
        <f>IF(ISNUMBER(Main_L[[#This Row],[Free CF]]),IF(Main_L[[#This Row],[Free CF]]&lt;&gt;0,Main_L[[#This Row],[Current Price]]/Main_L[[#This Row],[Free CF]],""),"")</f>
        <v>25.146666666666665</v>
      </c>
      <c r="I37" s="1">
        <f>IF(ISNUMBER(Main_L[[#This Row],[BVPS]]),IF(Main_L[[#This Row],[BVPS]]&lt;&gt;0,Main_L[[#This Row],[Current Price]]/Main_L[[#This Row],[BVPS]],""),"")</f>
        <v>1.3413940256045518</v>
      </c>
      <c r="J37">
        <v>9.4600000000000009</v>
      </c>
      <c r="K37">
        <v>6.37</v>
      </c>
      <c r="L37">
        <v>1.96</v>
      </c>
      <c r="M37" s="1">
        <f>IF(ISNUMBER(Main_L[[#This Row],[EPS]]),IF(Main_L[[#This Row],[EPS]]&lt;&gt;0,Main_L[[#This Row],[Current Price]]/Main_L[[#This Row],[EPS]],""),"")</f>
        <v>15.459016393442623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-0.25272025266879361</v>
      </c>
      <c r="P37" s="1">
        <f>(Main_L[[#This Row],[P/B]]-VLOOKUP(Main_L[[#This Row],[Industry]], Mean_PB_L, 2, FALSE))/(VLOOKUP(Main_L[[#This Row],[Industry]], Mean_PB_L, 3, FALSE))</f>
        <v>-0.87278176090252235</v>
      </c>
      <c r="Q37" s="1">
        <f>(Main_L[[#This Row],[ROE]]-VLOOKUP(Main_L[[#This Row],[Industry]], Mean_ROE_L, 2, FALSE))/(VLOOKUP(Main_L[[#This Row],[Industry]], Mean_ROE_L, 3, FALSE))</f>
        <v>-0.47516161306664823</v>
      </c>
      <c r="R37" s="1">
        <f>(Main_L[[#This Row],[ROA]]-VLOOKUP(Main_L[[#This Row],[Industry]], Mean_ROA_L, 2, FALSE))/(VLOOKUP(Main_L[[#This Row],[Industry]], Mean_ROA_L, 3, FALSE))</f>
        <v>-0.31995783472617578</v>
      </c>
      <c r="S37" s="1">
        <f>(Main_L[[#This Row],[A/E]]-VLOOKUP(Main_L[[#This Row],[Industry]], Mean_AE_L, 2, FALSE))/(VLOOKUP(Main_L[[#This Row],[Industry]], Mean_AE_L, 3, FALSE))</f>
        <v>0.71881240031694849</v>
      </c>
      <c r="T37" s="1">
        <f>(Main_L[[#This Row],[P/E]]-VLOOKUP(Main_L[[#This Row],[Industry]], Mean_PE_L, 2, FALSE))/(VLOOKUP(Main_L[[#This Row],[Industry]], Mean_PE_L, 3, FALSE))</f>
        <v>-0.45357160042907868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t="s">
        <v>133</v>
      </c>
      <c r="B38" t="s">
        <v>145</v>
      </c>
      <c r="C38" s="2">
        <v>10011</v>
      </c>
      <c r="D38">
        <f>RTD("tos.rtd", , "LAST", Main_L[[#This Row],[Symbol]])</f>
        <v>14.32</v>
      </c>
      <c r="E38">
        <v>0.81</v>
      </c>
      <c r="F38">
        <v>3.9</v>
      </c>
      <c r="G38">
        <v>0.88</v>
      </c>
      <c r="H38" s="1">
        <f>IF(ISNUMBER(Main_L[[#This Row],[Free CF]]),IF(Main_L[[#This Row],[Free CF]]&lt;&gt;0,Main_L[[#This Row],[Current Price]]/Main_L[[#This Row],[Free CF]],""),"")</f>
        <v>17.679012345679013</v>
      </c>
      <c r="I38" s="1">
        <f>IF(ISNUMBER(Main_L[[#This Row],[BVPS]]),IF(Main_L[[#This Row],[BVPS]]&lt;&gt;0,Main_L[[#This Row],[Current Price]]/Main_L[[#This Row],[BVPS]],""),"")</f>
        <v>3.6717948717948721</v>
      </c>
      <c r="J38">
        <v>24.78</v>
      </c>
      <c r="K38">
        <v>16.66</v>
      </c>
      <c r="L38">
        <v>1.5</v>
      </c>
      <c r="M38" s="1">
        <f>IF(ISNUMBER(Main_L[[#This Row],[EPS]]),IF(Main_L[[#This Row],[EPS]]&lt;&gt;0,Main_L[[#This Row],[Current Price]]/Main_L[[#This Row],[EPS]],""),"")</f>
        <v>16.272727272727273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-0.67572059103545012</v>
      </c>
      <c r="P38" s="1">
        <f>(Main_L[[#This Row],[P/B]]-VLOOKUP(Main_L[[#This Row],[Industry]], Mean_PB_L, 2, FALSE))/(VLOOKUP(Main_L[[#This Row],[Industry]], Mean_PB_L, 3, FALSE))</f>
        <v>0.57451621132516772</v>
      </c>
      <c r="Q38" s="1">
        <f>(Main_L[[#This Row],[ROE]]-VLOOKUP(Main_L[[#This Row],[Industry]], Mean_ROE_L, 2, FALSE))/(VLOOKUP(Main_L[[#This Row],[Industry]], Mean_ROE_L, 3, FALSE))</f>
        <v>1.5342294793798137</v>
      </c>
      <c r="R38" s="1">
        <f>(Main_L[[#This Row],[ROA]]-VLOOKUP(Main_L[[#This Row],[Industry]], Mean_ROA_L, 2, FALSE))/(VLOOKUP(Main_L[[#This Row],[Industry]], Mean_ROA_L, 3, FALSE))</f>
        <v>5.4146962665699139</v>
      </c>
      <c r="S38" s="1">
        <f>(Main_L[[#This Row],[A/E]]-VLOOKUP(Main_L[[#This Row],[Industry]], Mean_AE_L, 2, FALSE))/(VLOOKUP(Main_L[[#This Row],[Industry]], Mean_AE_L, 3, FALSE))</f>
        <v>-0.60621155072267363</v>
      </c>
      <c r="T38" s="1">
        <f>(Main_L[[#This Row],[P/E]]-VLOOKUP(Main_L[[#This Row],[Industry]], Mean_PE_L, 2, FALSE))/(VLOOKUP(Main_L[[#This Row],[Industry]], Mean_PE_L, 3, FALSE))</f>
        <v>-0.36172730184481677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9" spans="1:26" x14ac:dyDescent="0.25">
      <c r="A39" t="s">
        <v>133</v>
      </c>
      <c r="B39" t="s">
        <v>146</v>
      </c>
      <c r="C39" s="2">
        <v>19207</v>
      </c>
      <c r="D39">
        <f>RTD("tos.rtd", , "LAST", Main_L[[#This Row],[Symbol]])</f>
        <v>13.76</v>
      </c>
      <c r="E39">
        <v>1.04</v>
      </c>
      <c r="F39">
        <v>5.58</v>
      </c>
      <c r="G39">
        <v>0.77</v>
      </c>
      <c r="H39" s="1">
        <f>IF(ISNUMBER(Main_L[[#This Row],[Free CF]]),IF(Main_L[[#This Row],[Free CF]]&lt;&gt;0,Main_L[[#This Row],[Current Price]]/Main_L[[#This Row],[Free CF]],""),"")</f>
        <v>13.23076923076923</v>
      </c>
      <c r="I39" s="1">
        <f>IF(ISNUMBER(Main_L[[#This Row],[BVPS]]),IF(Main_L[[#This Row],[BVPS]]&lt;&gt;0,Main_L[[#This Row],[Current Price]]/Main_L[[#This Row],[BVPS]],""),"")</f>
        <v>2.4659498207885302</v>
      </c>
      <c r="J39">
        <v>15.08</v>
      </c>
      <c r="K39">
        <v>8.32</v>
      </c>
      <c r="L39">
        <v>1.58</v>
      </c>
      <c r="M39" s="1">
        <f>IF(ISNUMBER(Main_L[[#This Row],[EPS]]),IF(Main_L[[#This Row],[EPS]]&lt;&gt;0,Main_L[[#This Row],[Current Price]]/Main_L[[#This Row],[EPS]],""),"")</f>
        <v>17.870129870129869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39" s="1">
        <f>(Main_L[[#This Row],[P/FCF]]-VLOOKUP(Main_L[[#This Row],[Industry]], Mean_PFCF_L, 2, FALSE))/(VLOOKUP(Main_L[[#This Row],[Industry]], Mean_PFCF_L, 3, FALSE))</f>
        <v>-0.92768837929471326</v>
      </c>
      <c r="P39" s="1">
        <f>(Main_L[[#This Row],[P/B]]-VLOOKUP(Main_L[[#This Row],[Industry]], Mean_PB_L, 2, FALSE))/(VLOOKUP(Main_L[[#This Row],[Industry]], Mean_PB_L, 3, FALSE))</f>
        <v>-0.17437516502122796</v>
      </c>
      <c r="Q39" s="1">
        <f>(Main_L[[#This Row],[ROE]]-VLOOKUP(Main_L[[#This Row],[Industry]], Mean_ROE_L, 2, FALSE))/(VLOOKUP(Main_L[[#This Row],[Industry]], Mean_ROE_L, 3, FALSE))</f>
        <v>0.26196488429295456</v>
      </c>
      <c r="R39" s="1">
        <f>(Main_L[[#This Row],[ROA]]-VLOOKUP(Main_L[[#This Row],[Industry]], Mean_ROA_L, 2, FALSE))/(VLOOKUP(Main_L[[#This Row],[Industry]], Mean_ROA_L, 3, FALSE))</f>
        <v>0.76678419613168391</v>
      </c>
      <c r="S39" s="1">
        <f>(Main_L[[#This Row],[A/E]]-VLOOKUP(Main_L[[#This Row],[Industry]], Mean_AE_L, 2, FALSE))/(VLOOKUP(Main_L[[#This Row],[Industry]], Mean_AE_L, 3, FALSE))</f>
        <v>-0.37577260271578261</v>
      </c>
      <c r="T39" s="1">
        <f>(Main_L[[#This Row],[P/E]]-VLOOKUP(Main_L[[#This Row],[Industry]], Mean_PE_L, 2, FALSE))/(VLOOKUP(Main_L[[#This Row],[Industry]], Mean_PE_L, 3, FALSE))</f>
        <v>-0.18142699512641922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0" spans="1:26" x14ac:dyDescent="0.25">
      <c r="A40" t="s">
        <v>133</v>
      </c>
      <c r="B40" t="s">
        <v>147</v>
      </c>
      <c r="C40" s="2">
        <v>60091</v>
      </c>
      <c r="D40">
        <f>RTD("tos.rtd", , "LAST", Main_L[[#This Row],[Symbol]])</f>
        <v>50.07</v>
      </c>
      <c r="E40">
        <v>3.72</v>
      </c>
      <c r="F40">
        <v>27.9</v>
      </c>
      <c r="G40">
        <v>4.38</v>
      </c>
      <c r="H40" s="1">
        <f>IF(ISNUMBER(Main_L[[#This Row],[Free CF]]),IF(Main_L[[#This Row],[Free CF]]&lt;&gt;0,Main_L[[#This Row],[Current Price]]/Main_L[[#This Row],[Free CF]],""),"")</f>
        <v>13.459677419354838</v>
      </c>
      <c r="I40" s="1">
        <f>IF(ISNUMBER(Main_L[[#This Row],[BVPS]]),IF(Main_L[[#This Row],[BVPS]]&lt;&gt;0,Main_L[[#This Row],[Current Price]]/Main_L[[#This Row],[BVPS]],""),"")</f>
        <v>1.7946236559139785</v>
      </c>
      <c r="J40">
        <v>16.66</v>
      </c>
      <c r="K40">
        <v>7.86</v>
      </c>
      <c r="L40">
        <v>1.78</v>
      </c>
      <c r="M40" s="1">
        <f>IF(ISNUMBER(Main_L[[#This Row],[EPS]]),IF(Main_L[[#This Row],[EPS]]&lt;&gt;0,Main_L[[#This Row],[Current Price]]/Main_L[[#This Row],[EPS]],""),"")</f>
        <v>11.431506849315069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-0.91472202639933664</v>
      </c>
      <c r="P40" s="1">
        <f>(Main_L[[#This Row],[P/B]]-VLOOKUP(Main_L[[#This Row],[Industry]], Mean_PB_L, 2, FALSE))/(VLOOKUP(Main_L[[#This Row],[Industry]], Mean_PB_L, 3, FALSE))</f>
        <v>-0.59130300759161325</v>
      </c>
      <c r="Q40" s="1">
        <f>(Main_L[[#This Row],[ROE]]-VLOOKUP(Main_L[[#This Row],[Industry]], Mean_ROE_L, 2, FALSE))/(VLOOKUP(Main_L[[#This Row],[Industry]], Mean_ROE_L, 3, FALSE))</f>
        <v>0.46919973586380381</v>
      </c>
      <c r="R40" s="1">
        <f>(Main_L[[#This Row],[ROA]]-VLOOKUP(Main_L[[#This Row],[Industry]], Mean_ROA_L, 2, FALSE))/(VLOOKUP(Main_L[[#This Row],[Industry]], Mean_ROA_L, 3, FALSE))</f>
        <v>0.51042453757034267</v>
      </c>
      <c r="S40" s="1">
        <f>(Main_L[[#This Row],[A/E]]-VLOOKUP(Main_L[[#This Row],[Industry]], Mean_AE_L, 2, FALSE))/(VLOOKUP(Main_L[[#This Row],[Industry]], Mean_AE_L, 3, FALSE))</f>
        <v>0.2003247673014443</v>
      </c>
      <c r="T40" s="1">
        <f>(Main_L[[#This Row],[P/E]]-VLOOKUP(Main_L[[#This Row],[Industry]], Mean_PE_L, 2, FALSE))/(VLOOKUP(Main_L[[#This Row],[Industry]], Mean_PE_L, 3, FALSE))</f>
        <v>-0.90816032295790283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1" spans="1:26" x14ac:dyDescent="0.25">
      <c r="A41" t="s">
        <v>133</v>
      </c>
      <c r="B41" t="s">
        <v>148</v>
      </c>
      <c r="C41" s="2">
        <v>12019</v>
      </c>
      <c r="D41">
        <f>RTD("tos.rtd", , "LAST", Main_L[[#This Row],[Symbol]])</f>
        <v>169.26</v>
      </c>
      <c r="E41">
        <v>6.5</v>
      </c>
      <c r="F41">
        <v>47.48</v>
      </c>
      <c r="G41">
        <v>5.04</v>
      </c>
      <c r="H41" s="1">
        <f>IF(ISNUMBER(Main_L[[#This Row],[Free CF]]),IF(Main_L[[#This Row],[Free CF]]&lt;&gt;0,Main_L[[#This Row],[Current Price]]/Main_L[[#This Row],[Free CF]],""),"")</f>
        <v>26.04</v>
      </c>
      <c r="I41" s="1">
        <f>IF(ISNUMBER(Main_L[[#This Row],[BVPS]]),IF(Main_L[[#This Row],[BVPS]]&lt;&gt;0,Main_L[[#This Row],[Current Price]]/Main_L[[#This Row],[BVPS]],""),"")</f>
        <v>3.5648694187026115</v>
      </c>
      <c r="J41">
        <v>11.02</v>
      </c>
      <c r="K41">
        <v>7.96</v>
      </c>
      <c r="L41">
        <v>1.0900000000000001</v>
      </c>
      <c r="M41" s="1">
        <f>IF(ISNUMBER(Main_L[[#This Row],[EPS]]),IF(Main_L[[#This Row],[EPS]]&lt;&gt;0,Main_L[[#This Row],[Current Price]]/Main_L[[#This Row],[EPS]],""),"")</f>
        <v>33.583333333333329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-0.20211797703691403</v>
      </c>
      <c r="P41" s="1">
        <f>(Main_L[[#This Row],[P/B]]-VLOOKUP(Main_L[[#This Row],[Industry]], Mean_PB_L, 2, FALSE))/(VLOOKUP(Main_L[[#This Row],[Industry]], Mean_PB_L, 3, FALSE))</f>
        <v>0.5081100427499452</v>
      </c>
      <c r="Q41" s="1">
        <f>(Main_L[[#This Row],[ROE]]-VLOOKUP(Main_L[[#This Row],[Industry]], Mean_ROE_L, 2, FALSE))/(VLOOKUP(Main_L[[#This Row],[Industry]], Mean_ROE_L, 3, FALSE))</f>
        <v>-0.27054998746505043</v>
      </c>
      <c r="R41" s="1">
        <f>(Main_L[[#This Row],[ROA]]-VLOOKUP(Main_L[[#This Row],[Industry]], Mean_ROA_L, 2, FALSE))/(VLOOKUP(Main_L[[#This Row],[Industry]], Mean_ROA_L, 3, FALSE))</f>
        <v>0.5661548981271558</v>
      </c>
      <c r="S41" s="1">
        <f>(Main_L[[#This Row],[A/E]]-VLOOKUP(Main_L[[#This Row],[Industry]], Mean_AE_L, 2, FALSE))/(VLOOKUP(Main_L[[#This Row],[Industry]], Mean_AE_L, 3, FALSE))</f>
        <v>-1.7872111592579887</v>
      </c>
      <c r="T41" s="1">
        <f>(Main_L[[#This Row],[P/E]]-VLOOKUP(Main_L[[#This Row],[Industry]], Mean_PE_L, 2, FALSE))/(VLOOKUP(Main_L[[#This Row],[Industry]], Mean_PE_L, 3, FALSE))</f>
        <v>1.5921367943345675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2" spans="1:26" x14ac:dyDescent="0.25">
      <c r="A42" t="s">
        <v>133</v>
      </c>
      <c r="B42" t="s">
        <v>149</v>
      </c>
      <c r="C42" s="2">
        <v>38535</v>
      </c>
      <c r="D42">
        <f>RTD("tos.rtd", , "LAST", Main_L[[#This Row],[Symbol]])</f>
        <v>78.510000000000005</v>
      </c>
      <c r="E42">
        <v>0.81</v>
      </c>
      <c r="F42">
        <v>16</v>
      </c>
      <c r="G42">
        <v>1.17</v>
      </c>
      <c r="H42" s="1">
        <f>IF(ISNUMBER(Main_L[[#This Row],[Free CF]]),IF(Main_L[[#This Row],[Free CF]]&lt;&gt;0,Main_L[[#This Row],[Current Price]]/Main_L[[#This Row],[Free CF]],""),"")</f>
        <v>96.925925925925924</v>
      </c>
      <c r="I42" s="1">
        <f>IF(ISNUMBER(Main_L[[#This Row],[BVPS]]),IF(Main_L[[#This Row],[BVPS]]&lt;&gt;0,Main_L[[#This Row],[Current Price]]/Main_L[[#This Row],[BVPS]],""),"")</f>
        <v>4.9068750000000003</v>
      </c>
      <c r="J42">
        <v>7.43</v>
      </c>
      <c r="K42">
        <v>5.45</v>
      </c>
      <c r="L42">
        <v>1.02</v>
      </c>
      <c r="M42" s="1">
        <f>IF(ISNUMBER(Main_L[[#This Row],[EPS]]),IF(Main_L[[#This Row],[EPS]]&lt;&gt;0,Main_L[[#This Row],[Current Price]]/Main_L[[#This Row],[EPS]],""),"")</f>
        <v>67.102564102564116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2" s="1">
        <f>(Main_L[[#This Row],[P/FCF]]-VLOOKUP(Main_L[[#This Row],[Industry]], Mean_PFCF_L, 2, FALSE))/(VLOOKUP(Main_L[[#This Row],[Industry]], Mean_PFCF_L, 3, FALSE))</f>
        <v>3.8131683984758067</v>
      </c>
      <c r="P42" s="1">
        <f>(Main_L[[#This Row],[P/B]]-VLOOKUP(Main_L[[#This Row],[Industry]], Mean_PB_L, 2, FALSE))/(VLOOKUP(Main_L[[#This Row],[Industry]], Mean_PB_L, 3, FALSE))</f>
        <v>1.3415640640635513</v>
      </c>
      <c r="Q42" s="1">
        <f>(Main_L[[#This Row],[ROE]]-VLOOKUP(Main_L[[#This Row],[Industry]], Mean_ROE_L, 2, FALSE))/(VLOOKUP(Main_L[[#This Row],[Industry]], Mean_ROE_L, 3, FALSE))</f>
        <v>-0.7414190489456508</v>
      </c>
      <c r="R42" s="1">
        <f>(Main_L[[#This Row],[ROA]]-VLOOKUP(Main_L[[#This Row],[Industry]], Mean_ROA_L, 2, FALSE))/(VLOOKUP(Main_L[[#This Row],[Industry]], Mean_ROA_L, 3, FALSE))</f>
        <v>-0.83267715184885827</v>
      </c>
      <c r="S42" s="1">
        <f>(Main_L[[#This Row],[A/E]]-VLOOKUP(Main_L[[#This Row],[Industry]], Mean_AE_L, 2, FALSE))/(VLOOKUP(Main_L[[#This Row],[Industry]], Mean_AE_L, 3, FALSE))</f>
        <v>-1.9888452387640183</v>
      </c>
      <c r="T42" s="1">
        <f>(Main_L[[#This Row],[P/E]]-VLOOKUP(Main_L[[#This Row],[Industry]], Mean_PE_L, 2, FALSE))/(VLOOKUP(Main_L[[#This Row],[Industry]], Mean_PE_L, 3, FALSE))</f>
        <v>5.3754833335751693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3" spans="1:26" x14ac:dyDescent="0.25">
      <c r="A43" t="s">
        <v>133</v>
      </c>
      <c r="B43" t="s">
        <v>150</v>
      </c>
      <c r="C43" s="2">
        <v>10407</v>
      </c>
      <c r="D43">
        <f>RTD("tos.rtd", , "LAST", Main_L[[#This Row],[Symbol]])</f>
        <v>224.52</v>
      </c>
      <c r="E43">
        <v>4.54</v>
      </c>
      <c r="F43">
        <v>35.799999999999997</v>
      </c>
      <c r="G43">
        <v>7.05</v>
      </c>
      <c r="H43" s="1">
        <f>IF(ISNUMBER(Main_L[[#This Row],[Free CF]]),IF(Main_L[[#This Row],[Free CF]]&lt;&gt;0,Main_L[[#This Row],[Current Price]]/Main_L[[#This Row],[Free CF]],""),"")</f>
        <v>49.453744493392072</v>
      </c>
      <c r="I43" s="1">
        <f>IF(ISNUMBER(Main_L[[#This Row],[BVPS]]),IF(Main_L[[#This Row],[BVPS]]&lt;&gt;0,Main_L[[#This Row],[Current Price]]/Main_L[[#This Row],[BVPS]],""),"")</f>
        <v>6.2715083798882691</v>
      </c>
      <c r="J43">
        <v>21.8</v>
      </c>
      <c r="K43">
        <v>9.25</v>
      </c>
      <c r="L43">
        <v>1.89</v>
      </c>
      <c r="M43" s="1">
        <f>IF(ISNUMBER(Main_L[[#This Row],[EPS]]),IF(Main_L[[#This Row],[EPS]]&lt;&gt;0,Main_L[[#This Row],[Current Price]]/Main_L[[#This Row],[EPS]],""),"")</f>
        <v>31.846808510638301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3" s="1">
        <f>(Main_L[[#This Row],[P/FCF]]-VLOOKUP(Main_L[[#This Row],[Industry]], Mean_PFCF_L, 2, FALSE))/(VLOOKUP(Main_L[[#This Row],[Industry]], Mean_PFCF_L, 3, FALSE))</f>
        <v>1.1241380891149815</v>
      </c>
      <c r="P43" s="1">
        <f>(Main_L[[#This Row],[P/B]]-VLOOKUP(Main_L[[#This Row],[Industry]], Mean_PB_L, 2, FALSE))/(VLOOKUP(Main_L[[#This Row],[Industry]], Mean_PB_L, 3, FALSE))</f>
        <v>2.1890711042258655</v>
      </c>
      <c r="Q43" s="1">
        <f>(Main_L[[#This Row],[ROE]]-VLOOKUP(Main_L[[#This Row],[Industry]], Mean_ROE_L, 2, FALSE))/(VLOOKUP(Main_L[[#This Row],[Industry]], Mean_ROE_L, 3, FALSE))</f>
        <v>1.1433688099613766</v>
      </c>
      <c r="R43" s="1">
        <f>(Main_L[[#This Row],[ROA]]-VLOOKUP(Main_L[[#This Row],[Industry]], Mean_ROA_L, 2, FALSE))/(VLOOKUP(Main_L[[#This Row],[Industry]], Mean_ROA_L, 3, FALSE))</f>
        <v>1.2850765493100476</v>
      </c>
      <c r="S43" s="1">
        <f>(Main_L[[#This Row],[A/E]]-VLOOKUP(Main_L[[#This Row],[Industry]], Mean_AE_L, 2, FALSE))/(VLOOKUP(Main_L[[#This Row],[Industry]], Mean_AE_L, 3, FALSE))</f>
        <v>0.51717832081091875</v>
      </c>
      <c r="T43" s="1">
        <f>(Main_L[[#This Row],[P/E]]-VLOOKUP(Main_L[[#This Row],[Industry]], Mean_PE_L, 2, FALSE))/(VLOOKUP(Main_L[[#This Row],[Industry]], Mean_PE_L, 3, FALSE))</f>
        <v>1.3961336335377064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4" spans="1:26" x14ac:dyDescent="0.25">
      <c r="A44" t="s">
        <v>133</v>
      </c>
      <c r="B44" t="s">
        <v>151</v>
      </c>
      <c r="C44" s="2">
        <v>22769</v>
      </c>
      <c r="D44">
        <f>RTD("tos.rtd", , "LAST", Main_L[[#This Row],[Symbol]])</f>
        <v>31.45</v>
      </c>
      <c r="E44">
        <v>0.59</v>
      </c>
      <c r="F44">
        <v>66.67</v>
      </c>
      <c r="G44">
        <v>1.53</v>
      </c>
      <c r="H44" s="1">
        <f>IF(ISNUMBER(Main_L[[#This Row],[Free CF]]),IF(Main_L[[#This Row],[Free CF]]&lt;&gt;0,Main_L[[#This Row],[Current Price]]/Main_L[[#This Row],[Free CF]],""),"")</f>
        <v>53.305084745762713</v>
      </c>
      <c r="I44" s="1">
        <f>IF(ISNUMBER(Main_L[[#This Row],[BVPS]]),IF(Main_L[[#This Row],[BVPS]]&lt;&gt;0,Main_L[[#This Row],[Current Price]]/Main_L[[#This Row],[BVPS]],""),"")</f>
        <v>0.471726413679316</v>
      </c>
      <c r="J44">
        <v>2.25</v>
      </c>
      <c r="K44">
        <v>2.1800000000000002</v>
      </c>
      <c r="L44">
        <v>1.79</v>
      </c>
      <c r="M44" s="1">
        <f>IF(ISNUMBER(Main_L[[#This Row],[EPS]]),IF(Main_L[[#This Row],[EPS]]&lt;&gt;0,Main_L[[#This Row],[Current Price]]/Main_L[[#This Row],[EPS]],""),"")</f>
        <v>20.555555555555554</v>
      </c>
      <c r="N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4" s="1">
        <f>(Main_L[[#This Row],[P/FCF]]-VLOOKUP(Main_L[[#This Row],[Industry]], Mean_PFCF_L, 2, FALSE))/(VLOOKUP(Main_L[[#This Row],[Industry]], Mean_PFCF_L, 3, FALSE))</f>
        <v>1.3422947096402928</v>
      </c>
      <c r="P44" s="1">
        <f>(Main_L[[#This Row],[P/B]]-VLOOKUP(Main_L[[#This Row],[Industry]], Mean_PB_L, 2, FALSE))/(VLOOKUP(Main_L[[#This Row],[Industry]], Mean_PB_L, 3, FALSE))</f>
        <v>-1.4128897742123914</v>
      </c>
      <c r="Q44" s="1">
        <f>(Main_L[[#This Row],[ROE]]-VLOOKUP(Main_L[[#This Row],[Industry]], Mean_ROE_L, 2, FALSE))/(VLOOKUP(Main_L[[#This Row],[Industry]], Mean_ROE_L, 3, FALSE))</f>
        <v>-1.4208345749817259</v>
      </c>
      <c r="R44" s="1">
        <f>(Main_L[[#This Row],[ROA]]-VLOOKUP(Main_L[[#This Row],[Industry]], Mean_ROA_L, 2, FALSE))/(VLOOKUP(Main_L[[#This Row],[Industry]], Mean_ROA_L, 3, FALSE))</f>
        <v>-2.6550599420566536</v>
      </c>
      <c r="S44" s="1">
        <f>(Main_L[[#This Row],[A/E]]-VLOOKUP(Main_L[[#This Row],[Industry]], Mean_AE_L, 2, FALSE))/(VLOOKUP(Main_L[[#This Row],[Industry]], Mean_AE_L, 3, FALSE))</f>
        <v>0.22912963580230566</v>
      </c>
      <c r="T44" s="1">
        <f>(Main_L[[#This Row],[P/E]]-VLOOKUP(Main_L[[#This Row],[Industry]], Mean_PE_L, 2, FALSE))/(VLOOKUP(Main_L[[#This Row],[Industry]], Mean_PE_L, 3, FALSE))</f>
        <v>0.12167948256367844</v>
      </c>
      <c r="U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5" spans="1:26" x14ac:dyDescent="0.25">
      <c r="A45" t="s">
        <v>133</v>
      </c>
      <c r="B45" t="s">
        <v>152</v>
      </c>
      <c r="C45" s="2">
        <v>26547</v>
      </c>
      <c r="D45">
        <f>RTD("tos.rtd", , "LAST", Main_L[[#This Row],[Symbol]])</f>
        <v>118.96</v>
      </c>
      <c r="E45">
        <v>2.21</v>
      </c>
      <c r="F45">
        <v>86.24</v>
      </c>
      <c r="G45">
        <v>5.64</v>
      </c>
      <c r="H45" s="1">
        <f>IF(ISNUMBER(Main_L[[#This Row],[Free CF]]),IF(Main_L[[#This Row],[Free CF]]&lt;&gt;0,Main_L[[#This Row],[Current Price]]/Main_L[[#This Row],[Free CF]],""),"")</f>
        <v>53.828054298642535</v>
      </c>
      <c r="I45" s="1">
        <f>IF(ISNUMBER(Main_L[[#This Row],[BVPS]]),IF(Main_L[[#This Row],[BVPS]]&lt;&gt;0,Main_L[[#This Row],[Current Price]]/Main_L[[#This Row],[BVPS]],""),"")</f>
        <v>1.3794063079777366</v>
      </c>
      <c r="J45">
        <v>7.4</v>
      </c>
      <c r="K45">
        <v>3.87</v>
      </c>
      <c r="L45">
        <v>1.73</v>
      </c>
      <c r="M45" s="1">
        <f>IF(ISNUMBER(Main_L[[#This Row],[EPS]]),IF(Main_L[[#This Row],[EPS]]&lt;&gt;0,Main_L[[#This Row],[Current Price]]/Main_L[[#This Row],[EPS]],""),"")</f>
        <v>21.092198581560282</v>
      </c>
      <c r="N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5" s="1">
        <f>(Main_L[[#This Row],[P/FCF]]-VLOOKUP(Main_L[[#This Row],[Industry]], Mean_PFCF_L, 2, FALSE))/(VLOOKUP(Main_L[[#This Row],[Industry]], Mean_PFCF_L, 3, FALSE))</f>
        <v>1.3719179739633214</v>
      </c>
      <c r="P45" s="1">
        <f>(Main_L[[#This Row],[P/B]]-VLOOKUP(Main_L[[#This Row],[Industry]], Mean_PB_L, 2, FALSE))/(VLOOKUP(Main_L[[#This Row],[Industry]], Mean_PB_L, 3, FALSE))</f>
        <v>-0.84917419172042474</v>
      </c>
      <c r="Q45" s="1">
        <f>(Main_L[[#This Row],[ROE]]-VLOOKUP(Main_L[[#This Row],[Industry]], Mean_ROE_L, 2, FALSE))/(VLOOKUP(Main_L[[#This Row],[Industry]], Mean_ROE_L, 3, FALSE))</f>
        <v>-0.74535388789952761</v>
      </c>
      <c r="R45" s="1">
        <f>(Main_L[[#This Row],[ROA]]-VLOOKUP(Main_L[[#This Row],[Industry]], Mean_ROA_L, 2, FALSE))/(VLOOKUP(Main_L[[#This Row],[Industry]], Mean_ROA_L, 3, FALSE))</f>
        <v>-1.7132168486465087</v>
      </c>
      <c r="S45" s="1">
        <f>(Main_L[[#This Row],[A/E]]-VLOOKUP(Main_L[[#This Row],[Industry]], Mean_AE_L, 2, FALSE))/(VLOOKUP(Main_L[[#This Row],[Industry]], Mean_AE_L, 3, FALSE))</f>
        <v>5.630042479713742E-2</v>
      </c>
      <c r="T45" s="1">
        <f>(Main_L[[#This Row],[P/E]]-VLOOKUP(Main_L[[#This Row],[Industry]], Mean_PE_L, 2, FALSE))/(VLOOKUP(Main_L[[#This Row],[Industry]], Mean_PE_L, 3, FALSE))</f>
        <v>0.18225087661566633</v>
      </c>
      <c r="U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6" spans="1:26" x14ac:dyDescent="0.25">
      <c r="A46" t="s">
        <v>133</v>
      </c>
      <c r="B46" t="s">
        <v>153</v>
      </c>
      <c r="C46" s="2">
        <v>13757</v>
      </c>
      <c r="D46">
        <f>RTD("tos.rtd", , "LAST", Main_L[[#This Row],[Symbol]])</f>
        <v>46.07</v>
      </c>
      <c r="E46">
        <v>-13.33</v>
      </c>
      <c r="F46">
        <v>466.1</v>
      </c>
      <c r="G46">
        <v>7.18</v>
      </c>
      <c r="H46" s="1">
        <f>IF(ISNUMBER(Main_L[[#This Row],[Free CF]]),IF(Main_L[[#This Row],[Free CF]]&lt;&gt;0,Main_L[[#This Row],[Current Price]]/Main_L[[#This Row],[Free CF]],""),"")</f>
        <v>-3.4561140285071268</v>
      </c>
      <c r="I46" s="1">
        <f>IF(ISNUMBER(Main_L[[#This Row],[BVPS]]),IF(Main_L[[#This Row],[BVPS]]&lt;&gt;0,Main_L[[#This Row],[Current Price]]/Main_L[[#This Row],[BVPS]],""),"")</f>
        <v>9.8841450332546654E-2</v>
      </c>
      <c r="J46">
        <v>1.1200000000000001</v>
      </c>
      <c r="K46">
        <v>1.31</v>
      </c>
      <c r="L46">
        <v>1.84</v>
      </c>
      <c r="M46" s="1">
        <f>IF(ISNUMBER(Main_L[[#This Row],[EPS]]),IF(Main_L[[#This Row],[EPS]]&lt;&gt;0,Main_L[[#This Row],[Current Price]]/Main_L[[#This Row],[EPS]],""),"")</f>
        <v>6.4164345403899725</v>
      </c>
      <c r="N4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6" s="1">
        <f>(Main_L[[#This Row],[P/FCF]]-VLOOKUP(Main_L[[#This Row],[Industry]], Mean_PFCF_L, 2, FALSE))/(VLOOKUP(Main_L[[#This Row],[Industry]], Mean_PFCF_L, 3, FALSE))</f>
        <v>-1.8729058413725841</v>
      </c>
      <c r="P46" s="1">
        <f>(Main_L[[#This Row],[P/B]]-VLOOKUP(Main_L[[#This Row],[Industry]], Mean_PB_L, 2, FALSE))/(VLOOKUP(Main_L[[#This Row],[Industry]], Mean_PB_L, 3, FALSE))</f>
        <v>-1.6444703849936755</v>
      </c>
      <c r="Q46" s="1">
        <f>(Main_L[[#This Row],[ROE]]-VLOOKUP(Main_L[[#This Row],[Industry]], Mean_ROE_L, 2, FALSE))/(VLOOKUP(Main_L[[#This Row],[Industry]], Mean_ROE_L, 3, FALSE))</f>
        <v>-1.5690468422444219</v>
      </c>
      <c r="R46" s="1">
        <f>(Main_L[[#This Row],[ROA]]-VLOOKUP(Main_L[[#This Row],[Industry]], Mean_ROA_L, 2, FALSE))/(VLOOKUP(Main_L[[#This Row],[Industry]], Mean_ROA_L, 3, FALSE))</f>
        <v>-3.1399140789009294</v>
      </c>
      <c r="S46" s="1">
        <f>(Main_L[[#This Row],[A/E]]-VLOOKUP(Main_L[[#This Row],[Industry]], Mean_AE_L, 2, FALSE))/(VLOOKUP(Main_L[[#This Row],[Industry]], Mean_AE_L, 3, FALSE))</f>
        <v>0.37315397830661257</v>
      </c>
      <c r="T46" s="1">
        <f>(Main_L[[#This Row],[P/E]]-VLOOKUP(Main_L[[#This Row],[Industry]], Mean_PE_L, 2, FALSE))/(VLOOKUP(Main_L[[#This Row],[Industry]], Mean_PE_L, 3, FALSE))</f>
        <v>-1.4742161669789486</v>
      </c>
      <c r="U4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4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7" spans="1:26" x14ac:dyDescent="0.25">
      <c r="A47" t="s">
        <v>133</v>
      </c>
      <c r="B47" t="s">
        <v>154</v>
      </c>
      <c r="C47" s="2">
        <v>15634</v>
      </c>
      <c r="D47">
        <f>RTD("tos.rtd", , "LAST", Main_L[[#This Row],[Symbol]])</f>
        <v>299.16000000000003</v>
      </c>
      <c r="E47">
        <v>17.54</v>
      </c>
      <c r="F47">
        <v>134.28</v>
      </c>
      <c r="G47">
        <v>14.01</v>
      </c>
      <c r="H47" s="1">
        <f>IF(ISNUMBER(Main_L[[#This Row],[Free CF]]),IF(Main_L[[#This Row],[Free CF]]&lt;&gt;0,Main_L[[#This Row],[Current Price]]/Main_L[[#This Row],[Free CF]],""),"")</f>
        <v>17.055872291904222</v>
      </c>
      <c r="I47" s="1">
        <f>IF(ISNUMBER(Main_L[[#This Row],[BVPS]]),IF(Main_L[[#This Row],[BVPS]]&lt;&gt;0,Main_L[[#This Row],[Current Price]]/Main_L[[#This Row],[BVPS]],""),"")</f>
        <v>2.2278820375335124</v>
      </c>
      <c r="J47">
        <v>10.29</v>
      </c>
      <c r="K47">
        <v>6.34</v>
      </c>
      <c r="L47">
        <v>1.46</v>
      </c>
      <c r="M47" s="1">
        <f>IF(ISNUMBER(Main_L[[#This Row],[EPS]]),IF(Main_L[[#This Row],[EPS]]&lt;&gt;0,Main_L[[#This Row],[Current Price]]/Main_L[[#This Row],[EPS]],""),"")</f>
        <v>21.353319057815849</v>
      </c>
      <c r="N4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47" s="1">
        <f>(Main_L[[#This Row],[P/FCF]]-VLOOKUP(Main_L[[#This Row],[Industry]], Mean_PFCF_L, 2, FALSE))/(VLOOKUP(Main_L[[#This Row],[Industry]], Mean_PFCF_L, 3, FALSE))</f>
        <v>-0.71101794710825927</v>
      </c>
      <c r="P47" s="1">
        <f>(Main_L[[#This Row],[P/B]]-VLOOKUP(Main_L[[#This Row],[Industry]], Mean_PB_L, 2, FALSE))/(VLOOKUP(Main_L[[#This Row],[Industry]], Mean_PB_L, 3, FALSE))</f>
        <v>-0.32222741993308063</v>
      </c>
      <c r="Q47" s="1">
        <f>(Main_L[[#This Row],[ROE]]-VLOOKUP(Main_L[[#This Row],[Industry]], Mean_ROE_L, 2, FALSE))/(VLOOKUP(Main_L[[#This Row],[Industry]], Mean_ROE_L, 3, FALSE))</f>
        <v>-0.36629773534272131</v>
      </c>
      <c r="R47" s="1">
        <f>(Main_L[[#This Row],[ROA]]-VLOOKUP(Main_L[[#This Row],[Industry]], Mean_ROA_L, 2, FALSE))/(VLOOKUP(Main_L[[#This Row],[Industry]], Mean_ROA_L, 3, FALSE))</f>
        <v>-0.33667694289321992</v>
      </c>
      <c r="S47" s="1">
        <f>(Main_L[[#This Row],[A/E]]-VLOOKUP(Main_L[[#This Row],[Industry]], Mean_AE_L, 2, FALSE))/(VLOOKUP(Main_L[[#This Row],[Industry]], Mean_AE_L, 3, FALSE))</f>
        <v>-0.72143102472611909</v>
      </c>
      <c r="T47" s="1">
        <f>(Main_L[[#This Row],[P/E]]-VLOOKUP(Main_L[[#This Row],[Industry]], Mean_PE_L, 2, FALSE))/(VLOOKUP(Main_L[[#This Row],[Industry]], Mean_PE_L, 3, FALSE))</f>
        <v>0.2117237859723218</v>
      </c>
      <c r="U4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8" spans="1:26" x14ac:dyDescent="0.25">
      <c r="A48" t="s">
        <v>133</v>
      </c>
      <c r="B48" t="s">
        <v>155</v>
      </c>
      <c r="C48" s="2">
        <v>19592</v>
      </c>
      <c r="D48">
        <f>RTD("tos.rtd", , "LAST", Main_L[[#This Row],[Symbol]])</f>
        <v>135.41999999999999</v>
      </c>
      <c r="E48">
        <v>-1.03</v>
      </c>
      <c r="F48">
        <v>58.73</v>
      </c>
      <c r="G48">
        <v>7.59</v>
      </c>
      <c r="H48" s="1">
        <f>IF(ISNUMBER(Main_L[[#This Row],[Free CF]]),IF(Main_L[[#This Row],[Free CF]]&lt;&gt;0,Main_L[[#This Row],[Current Price]]/Main_L[[#This Row],[Free CF]],""),"")</f>
        <v>-131.47572815533979</v>
      </c>
      <c r="I48" s="1">
        <f>IF(ISNUMBER(Main_L[[#This Row],[BVPS]]),IF(Main_L[[#This Row],[BVPS]]&lt;&gt;0,Main_L[[#This Row],[Current Price]]/Main_L[[#This Row],[BVPS]],""),"")</f>
        <v>2.3058062319087349</v>
      </c>
      <c r="J48">
        <v>13.2</v>
      </c>
      <c r="K48">
        <v>5.92</v>
      </c>
      <c r="L48">
        <v>1.81</v>
      </c>
      <c r="M48" s="1">
        <f>IF(ISNUMBER(Main_L[[#This Row],[EPS]]),IF(Main_L[[#This Row],[EPS]]&lt;&gt;0,Main_L[[#This Row],[Current Price]]/Main_L[[#This Row],[EPS]],""),"")</f>
        <v>17.841897233201578</v>
      </c>
      <c r="N4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8" s="1">
        <f>(Main_L[[#This Row],[P/FCF]]-VLOOKUP(Main_L[[#This Row],[Industry]], Mean_PFCF_L, 2, FALSE))/(VLOOKUP(Main_L[[#This Row],[Industry]], Mean_PFCF_L, 3, FALSE))</f>
        <v>-9.1244921850287515</v>
      </c>
      <c r="P48" s="1">
        <f>(Main_L[[#This Row],[P/B]]-VLOOKUP(Main_L[[#This Row],[Industry]], Mean_PB_L, 2, FALSE))/(VLOOKUP(Main_L[[#This Row],[Industry]], Mean_PB_L, 3, FALSE))</f>
        <v>-0.27383251452824225</v>
      </c>
      <c r="Q48" s="1">
        <f>(Main_L[[#This Row],[ROE]]-VLOOKUP(Main_L[[#This Row],[Industry]], Mean_ROE_L, 2, FALSE))/(VLOOKUP(Main_L[[#This Row],[Industry]], Mean_ROE_L, 3, FALSE))</f>
        <v>1.5381643183336433E-2</v>
      </c>
      <c r="R48" s="1">
        <f>(Main_L[[#This Row],[ROA]]-VLOOKUP(Main_L[[#This Row],[Industry]], Mean_ROA_L, 2, FALSE))/(VLOOKUP(Main_L[[#This Row],[Industry]], Mean_ROA_L, 3, FALSE))</f>
        <v>-0.57074445723183587</v>
      </c>
      <c r="S48" s="1">
        <f>(Main_L[[#This Row],[A/E]]-VLOOKUP(Main_L[[#This Row],[Industry]], Mean_AE_L, 2, FALSE))/(VLOOKUP(Main_L[[#This Row],[Industry]], Mean_AE_L, 3, FALSE))</f>
        <v>0.28673937280402845</v>
      </c>
      <c r="T48" s="1">
        <f>(Main_L[[#This Row],[P/E]]-VLOOKUP(Main_L[[#This Row],[Industry]], Mean_PE_L, 2, FALSE))/(VLOOKUP(Main_L[[#This Row],[Industry]], Mean_PE_L, 3, FALSE))</f>
        <v>-0.18461363893551089</v>
      </c>
      <c r="U4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4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9" spans="1:26" x14ac:dyDescent="0.25">
      <c r="A49" t="s">
        <v>133</v>
      </c>
      <c r="B49" t="s">
        <v>156</v>
      </c>
      <c r="C49" s="2">
        <v>39358</v>
      </c>
      <c r="D49">
        <f>RTD("tos.rtd", , "LAST", Main_L[[#This Row],[Symbol]])</f>
        <v>9.8800000000000008</v>
      </c>
      <c r="E49">
        <v>0.27</v>
      </c>
      <c r="F49">
        <v>8.2799999999999994</v>
      </c>
      <c r="G49">
        <v>1.29</v>
      </c>
      <c r="H49" s="1">
        <f>IF(ISNUMBER(Main_L[[#This Row],[Free CF]]),IF(Main_L[[#This Row],[Free CF]]&lt;&gt;0,Main_L[[#This Row],[Current Price]]/Main_L[[#This Row],[Free CF]],""),"")</f>
        <v>36.592592592592595</v>
      </c>
      <c r="I49" s="1">
        <f>IF(ISNUMBER(Main_L[[#This Row],[BVPS]]),IF(Main_L[[#This Row],[BVPS]]&lt;&gt;0,Main_L[[#This Row],[Current Price]]/Main_L[[#This Row],[BVPS]],""),"")</f>
        <v>1.1932367149758456</v>
      </c>
      <c r="J49">
        <v>15</v>
      </c>
      <c r="K49">
        <v>7.74</v>
      </c>
      <c r="L49">
        <v>2.37</v>
      </c>
      <c r="M49" s="1">
        <f>IF(ISNUMBER(Main_L[[#This Row],[EPS]]),IF(Main_L[[#This Row],[EPS]]&lt;&gt;0,Main_L[[#This Row],[Current Price]]/Main_L[[#This Row],[EPS]],""),"")</f>
        <v>7.6589147286821708</v>
      </c>
      <c r="N4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9" s="1">
        <f>(Main_L[[#This Row],[P/FCF]]-VLOOKUP(Main_L[[#This Row],[Industry]], Mean_PFCF_L, 2, FALSE))/(VLOOKUP(Main_L[[#This Row],[Industry]], Mean_PFCF_L, 3, FALSE))</f>
        <v>0.39562664871081038</v>
      </c>
      <c r="P49" s="1">
        <f>(Main_L[[#This Row],[P/B]]-VLOOKUP(Main_L[[#This Row],[Industry]], Mean_PB_L, 2, FALSE))/(VLOOKUP(Main_L[[#This Row],[Industry]], Mean_PB_L, 3, FALSE))</f>
        <v>-0.96479501930576028</v>
      </c>
      <c r="Q49" s="1">
        <f>(Main_L[[#This Row],[ROE]]-VLOOKUP(Main_L[[#This Row],[Industry]], Mean_ROE_L, 2, FALSE))/(VLOOKUP(Main_L[[#This Row],[Industry]], Mean_ROE_L, 3, FALSE))</f>
        <v>0.25147198041594954</v>
      </c>
      <c r="R49" s="1">
        <f>(Main_L[[#This Row],[ROA]]-VLOOKUP(Main_L[[#This Row],[Industry]], Mean_ROA_L, 2, FALSE))/(VLOOKUP(Main_L[[#This Row],[Industry]], Mean_ROA_L, 3, FALSE))</f>
        <v>0.44354810490216667</v>
      </c>
      <c r="S49" s="1">
        <f>(Main_L[[#This Row],[A/E]]-VLOOKUP(Main_L[[#This Row],[Industry]], Mean_AE_L, 2, FALSE))/(VLOOKUP(Main_L[[#This Row],[Industry]], Mean_AE_L, 3, FALSE))</f>
        <v>1.8998120088522643</v>
      </c>
      <c r="T49" s="1">
        <f>(Main_L[[#This Row],[P/E]]-VLOOKUP(Main_L[[#This Row],[Industry]], Mean_PE_L, 2, FALSE))/(VLOOKUP(Main_L[[#This Row],[Industry]], Mean_PE_L, 3, FALSE))</f>
        <v>-1.3339762804250672</v>
      </c>
      <c r="U4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0" spans="1:26" x14ac:dyDescent="0.25">
      <c r="A50" t="s">
        <v>157</v>
      </c>
      <c r="B50" t="s">
        <v>158</v>
      </c>
      <c r="C50" s="2">
        <v>10997</v>
      </c>
      <c r="D50">
        <f>RTD("tos.rtd", , "LAST", Main_L[[#This Row],[Symbol]])</f>
        <v>9.49</v>
      </c>
      <c r="E50">
        <v>0.52</v>
      </c>
      <c r="F50">
        <v>4.21</v>
      </c>
      <c r="G50">
        <v>-0.9</v>
      </c>
      <c r="H50" s="1">
        <f>IF(ISNUMBER(Main_L[[#This Row],[Free CF]]),IF(Main_L[[#This Row],[Free CF]]&lt;&gt;0,Main_L[[#This Row],[Current Price]]/Main_L[[#This Row],[Free CF]],""),"")</f>
        <v>18.25</v>
      </c>
      <c r="I50" s="1">
        <f>IF(ISNUMBER(Main_L[[#This Row],[BVPS]]),IF(Main_L[[#This Row],[BVPS]]&lt;&gt;0,Main_L[[#This Row],[Current Price]]/Main_L[[#This Row],[BVPS]],""),"")</f>
        <v>2.2541567695961997</v>
      </c>
      <c r="J50">
        <v>-18.239999999999998</v>
      </c>
      <c r="K50">
        <v>5.89</v>
      </c>
      <c r="L50">
        <v>5.14</v>
      </c>
      <c r="M50" s="1">
        <f>IF(ISNUMBER(Main_L[[#This Row],[EPS]]),IF(Main_L[[#This Row],[EPS]]&lt;&gt;0,Main_L[[#This Row],[Current Price]]/Main_L[[#This Row],[EPS]],""),"")</f>
        <v>-10.544444444444444</v>
      </c>
      <c r="N5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0" s="1" t="e">
        <f>(Main_L[[#This Row],[P/FCF]]-VLOOKUP(Main_L[[#This Row],[Industry]], Mean_PFCF_L, 2, FALSE))/(VLOOKUP(Main_L[[#This Row],[Industry]], Mean_PFCF_L, 3, FALSE))</f>
        <v>#DIV/0!</v>
      </c>
      <c r="P50" s="1" t="e">
        <f>(Main_L[[#This Row],[P/B]]-VLOOKUP(Main_L[[#This Row],[Industry]], Mean_PB_L, 2, FALSE))/(VLOOKUP(Main_L[[#This Row],[Industry]], Mean_PB_L, 3, FALSE))</f>
        <v>#DIV/0!</v>
      </c>
      <c r="Q50" s="1" t="e">
        <f>(Main_L[[#This Row],[ROE]]-VLOOKUP(Main_L[[#This Row],[Industry]], Mean_ROE_L, 2, FALSE))/(VLOOKUP(Main_L[[#This Row],[Industry]], Mean_ROE_L, 3, FALSE))</f>
        <v>#DIV/0!</v>
      </c>
      <c r="R50" s="1" t="e">
        <f>(Main_L[[#This Row],[ROA]]-VLOOKUP(Main_L[[#This Row],[Industry]], Mean_ROA_L, 2, FALSE))/(VLOOKUP(Main_L[[#This Row],[Industry]], Mean_ROA_L, 3, FALSE))</f>
        <v>#DIV/0!</v>
      </c>
      <c r="S50" s="1" t="e">
        <f>(Main_L[[#This Row],[A/E]]-VLOOKUP(Main_L[[#This Row],[Industry]], Mean_AE_L, 2, FALSE))/(VLOOKUP(Main_L[[#This Row],[Industry]], Mean_AE_L, 3, FALSE))</f>
        <v>#DIV/0!</v>
      </c>
      <c r="T50" s="1" t="e">
        <f>(Main_L[[#This Row],[P/E]]-VLOOKUP(Main_L[[#This Row],[Industry]], Mean_PE_L, 2, FALSE))/(VLOOKUP(Main_L[[#This Row],[Industry]], Mean_PE_L, 3, FALSE))</f>
        <v>#DIV/0!</v>
      </c>
      <c r="U5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64"/>
  <sheetViews>
    <sheetView topLeftCell="H1" workbookViewId="0">
      <selection activeCell="B24" sqref="B24"/>
    </sheetView>
  </sheetViews>
  <sheetFormatPr defaultRowHeight="15" x14ac:dyDescent="0.25"/>
  <cols>
    <col min="1" max="1" width="22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159</v>
      </c>
      <c r="C2" s="2">
        <v>3958</v>
      </c>
      <c r="D2">
        <f>RTD("tos.rtd", , "LAST", Main_M[[#This Row],[Symbol]])</f>
        <v>76.38</v>
      </c>
      <c r="E2">
        <v>5.28</v>
      </c>
      <c r="F2">
        <v>26.22</v>
      </c>
      <c r="G2">
        <v>7.72</v>
      </c>
      <c r="H2" s="1">
        <f>IF(ISNUMBER(Main_M[[#This Row],[Free CF]]),IF(Main_M[[#This Row],[Free CF]]&lt;&gt;0,Main_M[[#This Row],[Current Price]]/Main_M[[#This Row],[Free CF]],""),"")</f>
        <v>14.46590909090909</v>
      </c>
      <c r="I2" s="1">
        <f>IF(ISNUMBER(Main_M[[#This Row],[BVPS]]),IF(Main_M[[#This Row],[BVPS]]&lt;&gt;0,Main_M[[#This Row],[Current Price]]/Main_M[[#This Row],[BVPS]],""),"")</f>
        <v>2.9130434782608696</v>
      </c>
      <c r="J2">
        <v>30.68</v>
      </c>
      <c r="K2">
        <v>11.06</v>
      </c>
      <c r="L2">
        <v>2.65</v>
      </c>
      <c r="M2" s="1">
        <f>IF(ISNUMBER(Main_M[[#This Row],[EPS]]),IF(Main_M[[#This Row],[EPS]]&lt;&gt;0,Main_M[[#This Row],[Current Price]]/Main_M[[#This Row],[EPS]],""),"")</f>
        <v>9.8937823834196887</v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>
        <f>(Main_M[[#This Row],[P/FCF]]-VLOOKUP(Main_M[[#This Row],[Industry]], Mean_PFCF_M, 2, FALSE))/(VLOOKUP(Main_M[[#This Row],[Industry]], Mean_PFCF_M, 3, FALSE))</f>
        <v>-0.53237257258631854</v>
      </c>
      <c r="P2" s="1">
        <f>(Main_M[[#This Row],[P/B]]-VLOOKUP(Main_M[[#This Row],[Industry]], Mean_PB_M, 2, FALSE))/(VLOOKUP(Main_M[[#This Row],[Industry]], Mean_PB_M, 3, FALSE))</f>
        <v>0.55460471488052332</v>
      </c>
      <c r="Q2" s="1">
        <f>(Main_M[[#This Row],[ROE]]-VLOOKUP(Main_M[[#This Row],[Industry]], Mean_ROE_M, 2, FALSE))/(VLOOKUP(Main_M[[#This Row],[Industry]], Mean_ROE_M, 3, FALSE))</f>
        <v>1.8209249599237951</v>
      </c>
      <c r="R2" s="1">
        <f>(Main_M[[#This Row],[ROA]]-VLOOKUP(Main_M[[#This Row],[Industry]], Mean_ROA_M, 2, FALSE))/(VLOOKUP(Main_M[[#This Row],[Industry]], Mean_ROA_M, 3, FALSE))</f>
        <v>1.7123738143955634</v>
      </c>
      <c r="S2" s="1">
        <f>(Main_M[[#This Row],[A/E]]-VLOOKUP(Main_M[[#This Row],[Industry]], Mean_AE_M, 2, FALSE))/(VLOOKUP(Main_M[[#This Row],[Industry]], Mean_AE_M, 3, FALSE))</f>
        <v>0.43130398320223462</v>
      </c>
      <c r="T2" s="1">
        <f>(Main_M[[#This Row],[P/E]]-VLOOKUP(Main_M[[#This Row],[Industry]], Mean_PE_M, 2, FALSE))/(VLOOKUP(Main_M[[#This Row],[Industry]], Mean_PE_M, 3, FALSE))</f>
        <v>-0.56874308003780405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" spans="1:26" x14ac:dyDescent="0.25">
      <c r="A3" t="s">
        <v>105</v>
      </c>
      <c r="B3" t="s">
        <v>160</v>
      </c>
      <c r="C3" s="2">
        <v>2498</v>
      </c>
      <c r="D3">
        <f>RTD("tos.rtd", , "LAST", Main_M[[#This Row],[Symbol]])</f>
        <v>120.29</v>
      </c>
      <c r="E3">
        <v>3.86</v>
      </c>
      <c r="F3">
        <v>22.01</v>
      </c>
      <c r="G3">
        <v>3.91</v>
      </c>
      <c r="H3" s="1">
        <f>IF(ISNUMBER(Main_M[[#This Row],[Free CF]]),IF(Main_M[[#This Row],[Free CF]]&lt;&gt;0,Main_M[[#This Row],[Current Price]]/Main_M[[#This Row],[Free CF]],""),"")</f>
        <v>31.163212435233163</v>
      </c>
      <c r="I3" s="1">
        <f>IF(ISNUMBER(Main_M[[#This Row],[BVPS]]),IF(Main_M[[#This Row],[BVPS]]&lt;&gt;0,Main_M[[#This Row],[Current Price]]/Main_M[[#This Row],[BVPS]],""),"")</f>
        <v>5.465243071331213</v>
      </c>
      <c r="J3">
        <v>19.239999999999998</v>
      </c>
      <c r="K3">
        <v>10.61</v>
      </c>
      <c r="L3">
        <v>1.55</v>
      </c>
      <c r="M3" s="1">
        <f>IF(ISNUMBER(Main_M[[#This Row],[EPS]]),IF(Main_M[[#This Row],[EPS]]&lt;&gt;0,Main_M[[#This Row],[Current Price]]/Main_M[[#This Row],[EPS]],""),"")</f>
        <v>30.764705882352942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0.69702649500513758</v>
      </c>
      <c r="P3" s="1">
        <f>(Main_M[[#This Row],[P/B]]-VLOOKUP(Main_M[[#This Row],[Industry]], Mean_PB_M, 2, FALSE))/(VLOOKUP(Main_M[[#This Row],[Industry]], Mean_PB_M, 3, FALSE))</f>
        <v>2.4454925157492116</v>
      </c>
      <c r="Q3" s="1">
        <f>(Main_M[[#This Row],[ROE]]-VLOOKUP(Main_M[[#This Row],[Industry]], Mean_ROE_M, 2, FALSE))/(VLOOKUP(Main_M[[#This Row],[Industry]], Mean_ROE_M, 3, FALSE))</f>
        <v>1.0320965162124873</v>
      </c>
      <c r="R3" s="1">
        <f>(Main_M[[#This Row],[ROA]]-VLOOKUP(Main_M[[#This Row],[Industry]], Mean_ROA_M, 2, FALSE))/(VLOOKUP(Main_M[[#This Row],[Industry]], Mean_ROA_M, 3, FALSE))</f>
        <v>1.5785248971681871</v>
      </c>
      <c r="S3" s="1">
        <f>(Main_M[[#This Row],[A/E]]-VLOOKUP(Main_M[[#This Row],[Industry]], Mean_AE_M, 2, FALSE))/(VLOOKUP(Main_M[[#This Row],[Industry]], Mean_AE_M, 3, FALSE))</f>
        <v>-1.2318423726882981</v>
      </c>
      <c r="T3" s="1">
        <f>(Main_M[[#This Row],[P/E]]-VLOOKUP(Main_M[[#This Row],[Industry]], Mean_PE_M, 2, FALSE))/(VLOOKUP(Main_M[[#This Row],[Industry]], Mean_PE_M, 3, FALSE))</f>
        <v>0.96087348768511527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t="s">
        <v>105</v>
      </c>
      <c r="B4" t="s">
        <v>161</v>
      </c>
      <c r="C4" s="2">
        <v>2182</v>
      </c>
      <c r="D4">
        <f>RTD("tos.rtd", , "LAST", Main_M[[#This Row],[Symbol]])</f>
        <v>34.96</v>
      </c>
      <c r="E4">
        <v>11.69</v>
      </c>
      <c r="F4">
        <v>33.32</v>
      </c>
      <c r="G4">
        <v>3.06</v>
      </c>
      <c r="H4" s="1">
        <f>IF(ISNUMBER(Main_M[[#This Row],[Free CF]]),IF(Main_M[[#This Row],[Free CF]]&lt;&gt;0,Main_M[[#This Row],[Current Price]]/Main_M[[#This Row],[Free CF]],""),"")</f>
        <v>2.9905902480752782</v>
      </c>
      <c r="I4" s="1">
        <f>IF(ISNUMBER(Main_M[[#This Row],[BVPS]]),IF(Main_M[[#This Row],[BVPS]]&lt;&gt;0,Main_M[[#This Row],[Current Price]]/Main_M[[#This Row],[BVPS]],""),"")</f>
        <v>1.0492196878751501</v>
      </c>
      <c r="J4">
        <v>13.25</v>
      </c>
      <c r="K4">
        <v>5.38</v>
      </c>
      <c r="L4">
        <v>2.96</v>
      </c>
      <c r="M4" s="1">
        <f>IF(ISNUMBER(Main_M[[#This Row],[EPS]]),IF(Main_M[[#This Row],[EPS]]&lt;&gt;0,Main_M[[#This Row],[Current Price]]/Main_M[[#This Row],[EPS]],""),"")</f>
        <v>11.42483660130719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-1.3772842325574606</v>
      </c>
      <c r="P4" s="1">
        <f>(Main_M[[#This Row],[P/B]]-VLOOKUP(Main_M[[#This Row],[Industry]], Mean_PB_M, 2, FALSE))/(VLOOKUP(Main_M[[#This Row],[Industry]], Mean_PB_M, 3, FALSE))</f>
        <v>-0.82627540036525193</v>
      </c>
      <c r="Q4" s="1">
        <f>(Main_M[[#This Row],[ROE]]-VLOOKUP(Main_M[[#This Row],[Industry]], Mean_ROE_M, 2, FALSE))/(VLOOKUP(Main_M[[#This Row],[Industry]], Mean_ROE_M, 3, FALSE))</f>
        <v>0.6190648398286821</v>
      </c>
      <c r="R4" s="1">
        <f>(Main_M[[#This Row],[ROA]]-VLOOKUP(Main_M[[#This Row],[Industry]], Mean_ROA_M, 2, FALSE))/(VLOOKUP(Main_M[[#This Row],[Industry]], Mean_ROA_M, 3, FALSE))</f>
        <v>2.2903036947795691E-2</v>
      </c>
      <c r="S4" s="1">
        <f>(Main_M[[#This Row],[A/E]]-VLOOKUP(Main_M[[#This Row],[Industry]], Mean_AE_M, 2, FALSE))/(VLOOKUP(Main_M[[#This Row],[Industry]], Mean_AE_M, 3, FALSE))</f>
        <v>0.90000886531683943</v>
      </c>
      <c r="T4" s="1">
        <f>(Main_M[[#This Row],[P/E]]-VLOOKUP(Main_M[[#This Row],[Industry]], Mean_PE_M, 2, FALSE))/(VLOOKUP(Main_M[[#This Row],[Industry]], Mean_PE_M, 3, FALSE))</f>
        <v>-0.45653310054731916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" spans="1:26" x14ac:dyDescent="0.25">
      <c r="A5" t="s">
        <v>105</v>
      </c>
      <c r="B5" t="s">
        <v>162</v>
      </c>
      <c r="C5" s="2">
        <v>2348</v>
      </c>
      <c r="D5">
        <f>RTD("tos.rtd", , "LAST", Main_M[[#This Row],[Symbol]])</f>
        <v>22.51</v>
      </c>
      <c r="E5">
        <v>0.8</v>
      </c>
      <c r="F5">
        <v>17.420000000000002</v>
      </c>
      <c r="G5">
        <v>0.52</v>
      </c>
      <c r="H5" s="1">
        <f>IF(ISNUMBER(Main_M[[#This Row],[Free CF]]),IF(Main_M[[#This Row],[Free CF]]&lt;&gt;0,Main_M[[#This Row],[Current Price]]/Main_M[[#This Row],[Free CF]],""),"")</f>
        <v>28.137499999999999</v>
      </c>
      <c r="I5" s="1">
        <f>IF(ISNUMBER(Main_M[[#This Row],[BVPS]]),IF(Main_M[[#This Row],[BVPS]]&lt;&gt;0,Main_M[[#This Row],[Current Price]]/Main_M[[#This Row],[BVPS]],""),"")</f>
        <v>1.2921928817451205</v>
      </c>
      <c r="J5">
        <v>2.75</v>
      </c>
      <c r="K5">
        <v>2.4300000000000002</v>
      </c>
      <c r="L5">
        <v>3.82</v>
      </c>
      <c r="M5" s="1">
        <f>IF(ISNUMBER(Main_M[[#This Row],[EPS]]),IF(Main_M[[#This Row],[EPS]]&lt;&gt;0,Main_M[[#This Row],[Current Price]]/Main_M[[#This Row],[EPS]],""),"")</f>
        <v>43.28846153846154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0.4742475246548144</v>
      </c>
      <c r="P5" s="1">
        <f>(Main_M[[#This Row],[P/B]]-VLOOKUP(Main_M[[#This Row],[Industry]], Mean_PB_M, 2, FALSE))/(VLOOKUP(Main_M[[#This Row],[Industry]], Mean_PB_M, 3, FALSE))</f>
        <v>-0.64626007183284628</v>
      </c>
      <c r="Q5" s="1">
        <f>(Main_M[[#This Row],[ROE]]-VLOOKUP(Main_M[[#This Row],[Industry]], Mean_ROE_M, 2, FALSE))/(VLOOKUP(Main_M[[#This Row],[Industry]], Mean_ROE_M, 3, FALSE))</f>
        <v>-0.10494728071054282</v>
      </c>
      <c r="R5" s="1">
        <f>(Main_M[[#This Row],[ROA]]-VLOOKUP(Main_M[[#This Row],[Industry]], Mean_ROA_M, 2, FALSE))/(VLOOKUP(Main_M[[#This Row],[Industry]], Mean_ROA_M, 3, FALSE))</f>
        <v>-0.85455097598722429</v>
      </c>
      <c r="S5" s="1">
        <f>(Main_M[[#This Row],[A/E]]-VLOOKUP(Main_M[[#This Row],[Industry]], Mean_AE_M, 2, FALSE))/(VLOOKUP(Main_M[[#This Row],[Industry]], Mean_AE_M, 3, FALSE))</f>
        <v>2.2002869253767106</v>
      </c>
      <c r="T5" s="1">
        <f>(Main_M[[#This Row],[P/E]]-VLOOKUP(Main_M[[#This Row],[Industry]], Mean_PE_M, 2, FALSE))/(VLOOKUP(Main_M[[#This Row],[Industry]], Mean_PE_M, 3, FALSE))</f>
        <v>1.8787314896406326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t="s">
        <v>105</v>
      </c>
      <c r="B6" t="s">
        <v>163</v>
      </c>
      <c r="C6" s="2">
        <v>2183</v>
      </c>
      <c r="D6">
        <f>RTD("tos.rtd", , "LAST", Main_M[[#This Row],[Symbol]])</f>
        <v>3.81</v>
      </c>
      <c r="E6">
        <v>1.0900000000000001</v>
      </c>
      <c r="F6">
        <v>12.32</v>
      </c>
      <c r="G6">
        <v>-4.0999999999999996</v>
      </c>
      <c r="H6" s="1">
        <f>IF(ISNUMBER(Main_M[[#This Row],[Free CF]]),IF(Main_M[[#This Row],[Free CF]]&lt;&gt;0,Main_M[[#This Row],[Current Price]]/Main_M[[#This Row],[Free CF]],""),"")</f>
        <v>3.4954128440366969</v>
      </c>
      <c r="I6" s="1">
        <f>IF(ISNUMBER(Main_M[[#This Row],[BVPS]]),IF(Main_M[[#This Row],[BVPS]]&lt;&gt;0,Main_M[[#This Row],[Current Price]]/Main_M[[#This Row],[BVPS]],""),"")</f>
        <v>0.30925324675324672</v>
      </c>
      <c r="J6">
        <v>-27.46</v>
      </c>
      <c r="K6">
        <v>6.24</v>
      </c>
      <c r="L6">
        <v>2.48</v>
      </c>
      <c r="M6" s="1">
        <f>IF(ISNUMBER(Main_M[[#This Row],[EPS]]),IF(Main_M[[#This Row],[EPS]]&lt;&gt;0,Main_M[[#This Row],[Current Price]]/Main_M[[#This Row],[EPS]],""),"")</f>
        <v>-0.92926829268292688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-1.3401148516115826</v>
      </c>
      <c r="P6" s="1">
        <f>(Main_M[[#This Row],[P/B]]-VLOOKUP(Main_M[[#This Row],[Industry]], Mean_PB_M, 2, FALSE))/(VLOOKUP(Main_M[[#This Row],[Industry]], Mean_PB_M, 3, FALSE))</f>
        <v>-1.3745058445549125</v>
      </c>
      <c r="Q6" s="1">
        <f>(Main_M[[#This Row],[ROE]]-VLOOKUP(Main_M[[#This Row],[Industry]], Mean_ROE_M, 2, FALSE))/(VLOOKUP(Main_M[[#This Row],[Industry]], Mean_ROE_M, 3, FALSE))</f>
        <v>-2.1880335818048269</v>
      </c>
      <c r="R6" s="1">
        <f>(Main_M[[#This Row],[ROA]]-VLOOKUP(Main_M[[#This Row],[Industry]], Mean_ROA_M, 2, FALSE))/(VLOOKUP(Main_M[[#This Row],[Industry]], Mean_ROA_M, 3, FALSE))</f>
        <v>0.27870318987122539</v>
      </c>
      <c r="S6" s="1">
        <f>(Main_M[[#This Row],[A/E]]-VLOOKUP(Main_M[[#This Row],[Industry]], Mean_AE_M, 2, FALSE))/(VLOOKUP(Main_M[[#This Row],[Industry]], Mean_AE_M, 3, FALSE))</f>
        <v>0.17427227365551601</v>
      </c>
      <c r="T6" s="1">
        <f>(Main_M[[#This Row],[P/E]]-VLOOKUP(Main_M[[#This Row],[Industry]], Mean_PE_M, 2, FALSE))/(VLOOKUP(Main_M[[#This Row],[Industry]], Mean_PE_M, 3, FALSE))</f>
        <v>-1.3619575071961165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t="s">
        <v>105</v>
      </c>
      <c r="B7" t="s">
        <v>164</v>
      </c>
      <c r="C7" s="2">
        <v>4369</v>
      </c>
      <c r="D7">
        <f>RTD("tos.rtd", , "LAST", Main_M[[#This Row],[Symbol]])</f>
        <v>38.11</v>
      </c>
      <c r="E7">
        <v>1.61</v>
      </c>
      <c r="F7">
        <v>35.08</v>
      </c>
      <c r="G7">
        <v>3.07</v>
      </c>
      <c r="H7" s="1">
        <f>IF(ISNUMBER(Main_M[[#This Row],[Free CF]]),IF(Main_M[[#This Row],[Free CF]]&lt;&gt;0,Main_M[[#This Row],[Current Price]]/Main_M[[#This Row],[Free CF]],""),"")</f>
        <v>23.670807453416149</v>
      </c>
      <c r="I7" s="1">
        <f>IF(ISNUMBER(Main_M[[#This Row],[BVPS]]),IF(Main_M[[#This Row],[BVPS]]&lt;&gt;0,Main_M[[#This Row],[Current Price]]/Main_M[[#This Row],[BVPS]],""),"")</f>
        <v>1.0863740022805017</v>
      </c>
      <c r="J7">
        <v>8.81</v>
      </c>
      <c r="K7">
        <v>3.13</v>
      </c>
      <c r="L7">
        <v>2.69</v>
      </c>
      <c r="M7" s="1">
        <f>IF(ISNUMBER(Main_M[[#This Row],[EPS]]),IF(Main_M[[#This Row],[EPS]]&lt;&gt;0,Main_M[[#This Row],[Current Price]]/Main_M[[#This Row],[EPS]],""),"")</f>
        <v>12.413680781758957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0.1453712062009983</v>
      </c>
      <c r="P7" s="1">
        <f>(Main_M[[#This Row],[P/B]]-VLOOKUP(Main_M[[#This Row],[Industry]], Mean_PB_M, 2, FALSE))/(VLOOKUP(Main_M[[#This Row],[Industry]], Mean_PB_M, 3, FALSE))</f>
        <v>-0.79874830567819355</v>
      </c>
      <c r="Q7" s="1">
        <f>(Main_M[[#This Row],[ROE]]-VLOOKUP(Main_M[[#This Row],[Industry]], Mean_ROE_M, 2, FALSE))/(VLOOKUP(Main_M[[#This Row],[Industry]], Mean_ROE_M, 3, FALSE))</f>
        <v>0.31291114314352408</v>
      </c>
      <c r="R7" s="1">
        <f>(Main_M[[#This Row],[ROA]]-VLOOKUP(Main_M[[#This Row],[Industry]], Mean_ROA_M, 2, FALSE))/(VLOOKUP(Main_M[[#This Row],[Industry]], Mean_ROA_M, 3, FALSE))</f>
        <v>-0.64634154918908404</v>
      </c>
      <c r="S7" s="1">
        <f>(Main_M[[#This Row],[A/E]]-VLOOKUP(Main_M[[#This Row],[Industry]], Mean_AE_M, 2, FALSE))/(VLOOKUP(Main_M[[#This Row],[Industry]], Mean_AE_M, 3, FALSE))</f>
        <v>0.49178203250734498</v>
      </c>
      <c r="T7" s="1">
        <f>(Main_M[[#This Row],[P/E]]-VLOOKUP(Main_M[[#This Row],[Industry]], Mean_PE_M, 2, FALSE))/(VLOOKUP(Main_M[[#This Row],[Industry]], Mean_PE_M, 3, FALSE))</f>
        <v>-0.38406134617608956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t="s">
        <v>105</v>
      </c>
      <c r="B8" t="s">
        <v>165</v>
      </c>
      <c r="C8" s="2">
        <v>8840</v>
      </c>
      <c r="D8">
        <f>RTD("tos.rtd", , "LAST", Main_M[[#This Row],[Symbol]])</f>
        <v>6.83</v>
      </c>
      <c r="E8">
        <v>0.59</v>
      </c>
      <c r="F8">
        <v>4.4400000000000004</v>
      </c>
      <c r="G8">
        <v>0.32</v>
      </c>
      <c r="H8" s="1">
        <f>IF(ISNUMBER(Main_M[[#This Row],[Free CF]]),IF(Main_M[[#This Row],[Free CF]]&lt;&gt;0,Main_M[[#This Row],[Current Price]]/Main_M[[#This Row],[Free CF]],""),"")</f>
        <v>11.576271186440678</v>
      </c>
      <c r="I8" s="1">
        <f>IF(ISNUMBER(Main_M[[#This Row],[BVPS]]),IF(Main_M[[#This Row],[BVPS]]&lt;&gt;0,Main_M[[#This Row],[Current Price]]/Main_M[[#This Row],[BVPS]],""),"")</f>
        <v>1.5382882882882882</v>
      </c>
      <c r="J8">
        <v>7.72</v>
      </c>
      <c r="K8">
        <v>4.29</v>
      </c>
      <c r="L8">
        <v>1.98</v>
      </c>
      <c r="M8" s="1">
        <f>IF(ISNUMBER(Main_M[[#This Row],[EPS]]),IF(Main_M[[#This Row],[EPS]]&lt;&gt;0,Main_M[[#This Row],[Current Price]]/Main_M[[#This Row],[EPS]],""),"")</f>
        <v>21.34375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-0.74513256575240094</v>
      </c>
      <c r="P8" s="1">
        <f>(Main_M[[#This Row],[P/B]]-VLOOKUP(Main_M[[#This Row],[Industry]], Mean_PB_M, 2, FALSE))/(VLOOKUP(Main_M[[#This Row],[Industry]], Mean_PB_M, 3, FALSE))</f>
        <v>-0.46393154104482703</v>
      </c>
      <c r="Q8" s="1">
        <f>(Main_M[[#This Row],[ROE]]-VLOOKUP(Main_M[[#This Row],[Industry]], Mean_ROE_M, 2, FALSE))/(VLOOKUP(Main_M[[#This Row],[Industry]], Mean_ROE_M, 3, FALSE))</f>
        <v>0.23775178967802357</v>
      </c>
      <c r="R8" s="1">
        <f>(Main_M[[#This Row],[ROA]]-VLOOKUP(Main_M[[#This Row],[Industry]], Mean_ROA_M, 2, FALSE))/(VLOOKUP(Main_M[[#This Row],[Industry]], Mean_ROA_M, 3, FALSE))</f>
        <v>-0.30130878478073714</v>
      </c>
      <c r="S8" s="1">
        <f>(Main_M[[#This Row],[A/E]]-VLOOKUP(Main_M[[#This Row],[Industry]], Mean_AE_M, 2, FALSE))/(VLOOKUP(Main_M[[#This Row],[Industry]], Mean_AE_M, 3, FALSE))</f>
        <v>-0.58170334265836254</v>
      </c>
      <c r="T8" s="1">
        <f>(Main_M[[#This Row],[P/E]]-VLOOKUP(Main_M[[#This Row],[Industry]], Mean_PE_M, 2, FALSE))/(VLOOKUP(Main_M[[#This Row],[Industry]], Mean_PE_M, 3, FALSE))</f>
        <v>0.27041768671539318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t="s">
        <v>105</v>
      </c>
      <c r="B9" t="s">
        <v>166</v>
      </c>
      <c r="C9" s="2">
        <v>3102</v>
      </c>
      <c r="D9">
        <f>RTD("tos.rtd", , "LAST", Main_M[[#This Row],[Symbol]])</f>
        <v>59</v>
      </c>
      <c r="E9">
        <v>8.6</v>
      </c>
      <c r="F9">
        <v>-5.04</v>
      </c>
      <c r="G9">
        <v>0.63</v>
      </c>
      <c r="H9" s="1">
        <f>IF(ISNUMBER(Main_M[[#This Row],[Free CF]]),IF(Main_M[[#This Row],[Free CF]]&lt;&gt;0,Main_M[[#This Row],[Current Price]]/Main_M[[#This Row],[Free CF]],""),"")</f>
        <v>6.8604651162790704</v>
      </c>
      <c r="I9" s="1">
        <f>IF(ISNUMBER(Main_M[[#This Row],[BVPS]]),IF(Main_M[[#This Row],[BVPS]]&lt;&gt;0,Main_M[[#This Row],[Current Price]]/Main_M[[#This Row],[BVPS]],""),"")</f>
        <v>-11.706349206349206</v>
      </c>
      <c r="J9">
        <v>-13.35</v>
      </c>
      <c r="K9">
        <v>6.85</v>
      </c>
      <c r="L9">
        <v>-12.19</v>
      </c>
      <c r="M9" s="1">
        <f>IF(ISNUMBER(Main_M[[#This Row],[EPS]]),IF(Main_M[[#This Row],[EPS]]&lt;&gt;0,Main_M[[#This Row],[Current Price]]/Main_M[[#This Row],[EPS]],""),"")</f>
        <v>93.650793650793645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-1.0923507641670327</v>
      </c>
      <c r="P9" s="1">
        <f>(Main_M[[#This Row],[P/B]]-VLOOKUP(Main_M[[#This Row],[Industry]], Mean_PB_M, 2, FALSE))/(VLOOKUP(Main_M[[#This Row],[Industry]], Mean_PB_M, 3, FALSE))</f>
        <v>-10.276692084357006</v>
      </c>
      <c r="Q9" s="1">
        <f>(Main_M[[#This Row],[ROE]]-VLOOKUP(Main_M[[#This Row],[Industry]], Mean_ROE_M, 2, FALSE))/(VLOOKUP(Main_M[[#This Row],[Industry]], Mean_ROE_M, 3, FALSE))</f>
        <v>-1.2150991988706876</v>
      </c>
      <c r="R9" s="1">
        <f>(Main_M[[#This Row],[ROA]]-VLOOKUP(Main_M[[#This Row],[Industry]], Mean_ROA_M, 2, FALSE))/(VLOOKUP(Main_M[[#This Row],[Industry]], Mean_ROA_M, 3, FALSE))</f>
        <v>0.46014283322389038</v>
      </c>
      <c r="S9" s="1">
        <f>(Main_M[[#This Row],[A/E]]-VLOOKUP(Main_M[[#This Row],[Industry]], Mean_AE_M, 2, FALSE))/(VLOOKUP(Main_M[[#This Row],[Industry]], Mean_AE_M, 3, FALSE))</f>
        <v>-22.006052308993681</v>
      </c>
      <c r="T9" s="1">
        <f>(Main_M[[#This Row],[P/E]]-VLOOKUP(Main_M[[#This Row],[Industry]], Mean_PE_M, 2, FALSE))/(VLOOKUP(Main_M[[#This Row],[Industry]], Mean_PE_M, 3, FALSE))</f>
        <v>5.5697544380082302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0" spans="1:26" x14ac:dyDescent="0.25">
      <c r="A10" t="s">
        <v>105</v>
      </c>
      <c r="B10" t="s">
        <v>167</v>
      </c>
      <c r="C10" s="2">
        <v>6596</v>
      </c>
      <c r="D10">
        <f>RTD("tos.rtd", , "LAST", Main_M[[#This Row],[Symbol]])</f>
        <v>61.86</v>
      </c>
      <c r="E10">
        <v>-2.59</v>
      </c>
      <c r="F10">
        <v>66.239999999999995</v>
      </c>
      <c r="G10">
        <v>-11.12</v>
      </c>
      <c r="H10" s="1">
        <f>IF(ISNUMBER(Main_M[[#This Row],[Free CF]]),IF(Main_M[[#This Row],[Free CF]]&lt;&gt;0,Main_M[[#This Row],[Current Price]]/Main_M[[#This Row],[Free CF]],""),"")</f>
        <v>-23.884169884169886</v>
      </c>
      <c r="I10" s="1">
        <f>IF(ISNUMBER(Main_M[[#This Row],[BVPS]]),IF(Main_M[[#This Row],[BVPS]]&lt;&gt;0,Main_M[[#This Row],[Current Price]]/Main_M[[#This Row],[BVPS]],""),"")</f>
        <v>0.93387681159420299</v>
      </c>
      <c r="J10">
        <v>-9.99</v>
      </c>
      <c r="K10">
        <v>-1.51</v>
      </c>
      <c r="L10">
        <v>2.1800000000000002</v>
      </c>
      <c r="M10" s="1">
        <f>IF(ISNUMBER(Main_M[[#This Row],[EPS]]),IF(Main_M[[#This Row],[EPS]]&lt;&gt;0,Main_M[[#This Row],[Current Price]]/Main_M[[#This Row],[EPS]],""),"")</f>
        <v>-5.5629496402877701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-3.3560351941345878</v>
      </c>
      <c r="P10" s="1">
        <f>(Main_M[[#This Row],[P/B]]-VLOOKUP(Main_M[[#This Row],[Industry]], Mean_PB_M, 2, FALSE))/(VLOOKUP(Main_M[[#This Row],[Industry]], Mean_PB_M, 3, FALSE))</f>
        <v>-0.91173127077167659</v>
      </c>
      <c r="Q10" s="1">
        <f>(Main_M[[#This Row],[ROE]]-VLOOKUP(Main_M[[#This Row],[Industry]], Mean_ROE_M, 2, FALSE))/(VLOOKUP(Main_M[[#This Row],[Industry]], Mean_ROE_M, 3, FALSE))</f>
        <v>-0.98341532029813572</v>
      </c>
      <c r="R10" s="1">
        <f>(Main_M[[#This Row],[ROA]]-VLOOKUP(Main_M[[#This Row],[Industry]], Mean_ROA_M, 2, FALSE))/(VLOOKUP(Main_M[[#This Row],[Industry]], Mean_ROA_M, 3, FALSE))</f>
        <v>-2.0264726068224714</v>
      </c>
      <c r="S10" s="1">
        <f>(Main_M[[#This Row],[A/E]]-VLOOKUP(Main_M[[#This Row],[Industry]], Mean_AE_M, 2, FALSE))/(VLOOKUP(Main_M[[#This Row],[Industry]], Mean_AE_M, 3, FALSE))</f>
        <v>-0.27931309613281086</v>
      </c>
      <c r="T10" s="1">
        <f>(Main_M[[#This Row],[P/E]]-VLOOKUP(Main_M[[#This Row],[Industry]], Mean_PE_M, 2, FALSE))/(VLOOKUP(Main_M[[#This Row],[Industry]], Mean_PE_M, 3, FALSE))</f>
        <v>-1.7015570347018014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" spans="1:26" x14ac:dyDescent="0.25">
      <c r="A11" t="s">
        <v>105</v>
      </c>
      <c r="B11" t="s">
        <v>168</v>
      </c>
      <c r="C11" s="2">
        <v>2210</v>
      </c>
      <c r="D11">
        <f>RTD("tos.rtd", , "LAST", Main_M[[#This Row],[Symbol]])</f>
        <v>52.18</v>
      </c>
      <c r="E11">
        <v>0.69</v>
      </c>
      <c r="F11">
        <v>56</v>
      </c>
      <c r="G11">
        <v>-1.86</v>
      </c>
      <c r="H11" s="1">
        <f>IF(ISNUMBER(Main_M[[#This Row],[Free CF]]),IF(Main_M[[#This Row],[Free CF]]&lt;&gt;0,Main_M[[#This Row],[Current Price]]/Main_M[[#This Row],[Free CF]],""),"")</f>
        <v>75.623188405797109</v>
      </c>
      <c r="I11" s="1">
        <f>IF(ISNUMBER(Main_M[[#This Row],[BVPS]]),IF(Main_M[[#This Row],[BVPS]]&lt;&gt;0,Main_M[[#This Row],[Current Price]]/Main_M[[#This Row],[BVPS]],""),"")</f>
        <v>0.93178571428571433</v>
      </c>
      <c r="J11">
        <v>-3.02</v>
      </c>
      <c r="K11">
        <v>2.2799999999999998</v>
      </c>
      <c r="L11">
        <v>2.04</v>
      </c>
      <c r="M11" s="1">
        <f>IF(ISNUMBER(Main_M[[#This Row],[EPS]]),IF(Main_M[[#This Row],[EPS]]&lt;&gt;0,Main_M[[#This Row],[Current Price]]/Main_M[[#This Row],[EPS]],""),"")</f>
        <v>-28.053763440860212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3.9705522779532059</v>
      </c>
      <c r="P11" s="1">
        <f>(Main_M[[#This Row],[P/B]]-VLOOKUP(Main_M[[#This Row],[Industry]], Mean_PB_M, 2, FALSE))/(VLOOKUP(Main_M[[#This Row],[Industry]], Mean_PB_M, 3, FALSE))</f>
        <v>-0.91328053455252933</v>
      </c>
      <c r="Q11" s="1">
        <f>(Main_M[[#This Row],[ROE]]-VLOOKUP(Main_M[[#This Row],[Industry]], Mean_ROE_M, 2, FALSE))/(VLOOKUP(Main_M[[#This Row],[Industry]], Mean_ROE_M, 3, FALSE))</f>
        <v>-0.50280917933066926</v>
      </c>
      <c r="R11" s="1">
        <f>(Main_M[[#This Row],[ROA]]-VLOOKUP(Main_M[[#This Row],[Industry]], Mean_ROA_M, 2, FALSE))/(VLOOKUP(Main_M[[#This Row],[Industry]], Mean_ROA_M, 3, FALSE))</f>
        <v>-0.89916728172968308</v>
      </c>
      <c r="S11" s="1">
        <f>(Main_M[[#This Row],[A/E]]-VLOOKUP(Main_M[[#This Row],[Industry]], Mean_AE_M, 2, FALSE))/(VLOOKUP(Main_M[[#This Row],[Industry]], Mean_AE_M, 3, FALSE))</f>
        <v>-0.49098626870069706</v>
      </c>
      <c r="T11" s="1">
        <f>(Main_M[[#This Row],[P/E]]-VLOOKUP(Main_M[[#This Row],[Industry]], Mean_PE_M, 2, FALSE))/(VLOOKUP(Main_M[[#This Row],[Industry]], Mean_PE_M, 3, FALSE))</f>
        <v>-3.3498943213908761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" spans="1:26" x14ac:dyDescent="0.25">
      <c r="A12" t="s">
        <v>105</v>
      </c>
      <c r="B12" t="s">
        <v>169</v>
      </c>
      <c r="C12" s="2">
        <v>3306</v>
      </c>
      <c r="D12">
        <f>RTD("tos.rtd", , "LAST", Main_M[[#This Row],[Symbol]])</f>
        <v>38.79</v>
      </c>
      <c r="E12">
        <v>1.48</v>
      </c>
      <c r="F12">
        <v>25.32</v>
      </c>
      <c r="G12">
        <v>1.84</v>
      </c>
      <c r="H12" s="1">
        <f>IF(ISNUMBER(Main_M[[#This Row],[Free CF]]),IF(Main_M[[#This Row],[Free CF]]&lt;&gt;0,Main_M[[#This Row],[Current Price]]/Main_M[[#This Row],[Free CF]],""),"")</f>
        <v>26.20945945945946</v>
      </c>
      <c r="I12" s="1">
        <f>IF(ISNUMBER(Main_M[[#This Row],[BVPS]]),IF(Main_M[[#This Row],[BVPS]]&lt;&gt;0,Main_M[[#This Row],[Current Price]]/Main_M[[#This Row],[BVPS]],""),"")</f>
        <v>1.5319905213270142</v>
      </c>
      <c r="J12">
        <v>7.31</v>
      </c>
      <c r="K12">
        <v>3.55</v>
      </c>
      <c r="L12">
        <v>2.5099999999999998</v>
      </c>
      <c r="M12" s="1">
        <f>IF(ISNUMBER(Main_M[[#This Row],[EPS]]),IF(Main_M[[#This Row],[EPS]]&lt;&gt;0,Main_M[[#This Row],[Current Price]]/Main_M[[#This Row],[EPS]],""),"")</f>
        <v>21.081521739130434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0.33228859907628289</v>
      </c>
      <c r="P12" s="1">
        <f>(Main_M[[#This Row],[P/B]]-VLOOKUP(Main_M[[#This Row],[Industry]], Mean_PB_M, 2, FALSE))/(VLOOKUP(Main_M[[#This Row],[Industry]], Mean_PB_M, 3, FALSE))</f>
        <v>-0.46859746558776644</v>
      </c>
      <c r="Q12" s="1">
        <f>(Main_M[[#This Row],[ROE]]-VLOOKUP(Main_M[[#This Row],[Industry]], Mean_ROE_M, 2, FALSE))/(VLOOKUP(Main_M[[#This Row],[Industry]], Mean_ROE_M, 3, FALSE))</f>
        <v>0.20948084020934907</v>
      </c>
      <c r="R12" s="1">
        <f>(Main_M[[#This Row],[ROA]]-VLOOKUP(Main_M[[#This Row],[Industry]], Mean_ROA_M, 2, FALSE))/(VLOOKUP(Main_M[[#This Row],[Industry]], Mean_ROA_M, 3, FALSE))</f>
        <v>-0.52141589311019987</v>
      </c>
      <c r="S12" s="1">
        <f>(Main_M[[#This Row],[A/E]]-VLOOKUP(Main_M[[#This Row],[Industry]], Mean_AE_M, 2, FALSE))/(VLOOKUP(Main_M[[#This Row],[Industry]], Mean_AE_M, 3, FALSE))</f>
        <v>0.21963081063434844</v>
      </c>
      <c r="T12" s="1">
        <f>(Main_M[[#This Row],[P/E]]-VLOOKUP(Main_M[[#This Row],[Industry]], Mean_PE_M, 2, FALSE))/(VLOOKUP(Main_M[[#This Row],[Industry]], Mean_PE_M, 3, FALSE))</f>
        <v>0.25119914603262189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" spans="1:26" x14ac:dyDescent="0.25">
      <c r="A13" t="s">
        <v>105</v>
      </c>
      <c r="B13" t="s">
        <v>170</v>
      </c>
      <c r="C13" s="2">
        <v>6926</v>
      </c>
      <c r="D13">
        <f>RTD("tos.rtd", , "LAST", Main_M[[#This Row],[Symbol]])</f>
        <v>33.03</v>
      </c>
      <c r="E13">
        <v>1.99</v>
      </c>
      <c r="F13">
        <v>8.77</v>
      </c>
      <c r="G13">
        <v>1.78</v>
      </c>
      <c r="H13" s="1">
        <f>IF(ISNUMBER(Main_M[[#This Row],[Free CF]]),IF(Main_M[[#This Row],[Free CF]]&lt;&gt;0,Main_M[[#This Row],[Current Price]]/Main_M[[#This Row],[Free CF]],""),"")</f>
        <v>16.597989949748744</v>
      </c>
      <c r="I13" s="1">
        <f>IF(ISNUMBER(Main_M[[#This Row],[BVPS]]),IF(Main_M[[#This Row],[BVPS]]&lt;&gt;0,Main_M[[#This Row],[Current Price]]/Main_M[[#This Row],[BVPS]],""),"")</f>
        <v>3.7662485746864314</v>
      </c>
      <c r="J13">
        <v>20.97</v>
      </c>
      <c r="K13">
        <v>6.68</v>
      </c>
      <c r="L13">
        <v>3.79</v>
      </c>
      <c r="M13" s="1">
        <f>IF(ISNUMBER(Main_M[[#This Row],[EPS]]),IF(Main_M[[#This Row],[EPS]]&lt;&gt;0,Main_M[[#This Row],[Current Price]]/Main_M[[#This Row],[EPS]],""),"")</f>
        <v>18.556179775280899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-0.37539044404529992</v>
      </c>
      <c r="P13" s="1">
        <f>(Main_M[[#This Row],[P/B]]-VLOOKUP(Main_M[[#This Row],[Industry]], Mean_PB_M, 2, FALSE))/(VLOOKUP(Main_M[[#This Row],[Industry]], Mean_PB_M, 3, FALSE))</f>
        <v>1.1867320425591708</v>
      </c>
      <c r="Q13" s="1">
        <f>(Main_M[[#This Row],[ROE]]-VLOOKUP(Main_M[[#This Row],[Industry]], Mean_ROE_M, 2, FALSE))/(VLOOKUP(Main_M[[#This Row],[Industry]], Mean_ROE_M, 3, FALSE))</f>
        <v>1.1513861322632359</v>
      </c>
      <c r="R13" s="1">
        <f>(Main_M[[#This Row],[ROA]]-VLOOKUP(Main_M[[#This Row],[Industry]], Mean_ROA_M, 2, FALSE))/(VLOOKUP(Main_M[[#This Row],[Industry]], Mean_ROA_M, 3, FALSE))</f>
        <v>0.40957768671577061</v>
      </c>
      <c r="S13" s="1">
        <f>(Main_M[[#This Row],[A/E]]-VLOOKUP(Main_M[[#This Row],[Industry]], Mean_AE_M, 2, FALSE))/(VLOOKUP(Main_M[[#This Row],[Industry]], Mean_AE_M, 3, FALSE))</f>
        <v>2.1549283883978778</v>
      </c>
      <c r="T13" s="1">
        <f>(Main_M[[#This Row],[P/E]]-VLOOKUP(Main_M[[#This Row],[Industry]], Mean_PE_M, 2, FALSE))/(VLOOKUP(Main_M[[#This Row],[Industry]], Mean_PE_M, 3, FALSE))</f>
        <v>6.6118456753701593E-2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" spans="1:26" x14ac:dyDescent="0.25">
      <c r="A14" t="s">
        <v>105</v>
      </c>
      <c r="B14" t="s">
        <v>171</v>
      </c>
      <c r="C14" s="2">
        <v>5349</v>
      </c>
      <c r="D14">
        <f>RTD("tos.rtd", , "LAST", Main_M[[#This Row],[Symbol]])</f>
        <v>164.94</v>
      </c>
      <c r="E14">
        <v>4.66</v>
      </c>
      <c r="F14">
        <v>37.06</v>
      </c>
      <c r="G14">
        <v>4.17</v>
      </c>
      <c r="H14" s="1">
        <f>IF(ISNUMBER(Main_M[[#This Row],[Free CF]]),IF(Main_M[[#This Row],[Free CF]]&lt;&gt;0,Main_M[[#This Row],[Current Price]]/Main_M[[#This Row],[Free CF]],""),"")</f>
        <v>35.394849785407722</v>
      </c>
      <c r="I14" s="1">
        <f>IF(ISNUMBER(Main_M[[#This Row],[BVPS]]),IF(Main_M[[#This Row],[BVPS]]&lt;&gt;0,Main_M[[#This Row],[Current Price]]/Main_M[[#This Row],[BVPS]],""),"")</f>
        <v>4.4506206152185639</v>
      </c>
      <c r="J14">
        <v>11.94</v>
      </c>
      <c r="K14">
        <v>7.54</v>
      </c>
      <c r="L14">
        <v>1.34</v>
      </c>
      <c r="M14" s="1">
        <f>IF(ISNUMBER(Main_M[[#This Row],[EPS]]),IF(Main_M[[#This Row],[EPS]]&lt;&gt;0,Main_M[[#This Row],[Current Price]]/Main_M[[#This Row],[EPS]],""),"")</f>
        <v>39.553956834532372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1.0085960284446933</v>
      </c>
      <c r="P14" s="1">
        <f>(Main_M[[#This Row],[P/B]]-VLOOKUP(Main_M[[#This Row],[Industry]], Mean_PB_M, 2, FALSE))/(VLOOKUP(Main_M[[#This Row],[Industry]], Mean_PB_M, 3, FALSE))</f>
        <v>1.6937733986550825</v>
      </c>
      <c r="Q14" s="1">
        <f>(Main_M[[#This Row],[ROE]]-VLOOKUP(Main_M[[#This Row],[Industry]], Mean_ROE_M, 2, FALSE))/(VLOOKUP(Main_M[[#This Row],[Industry]], Mean_ROE_M, 3, FALSE))</f>
        <v>0.52873570859950247</v>
      </c>
      <c r="R14" s="1">
        <f>(Main_M[[#This Row],[ROA]]-VLOOKUP(Main_M[[#This Row],[Industry]], Mean_ROA_M, 2, FALSE))/(VLOOKUP(Main_M[[#This Row],[Industry]], Mean_ROA_M, 3, FALSE))</f>
        <v>0.66537783963920027</v>
      </c>
      <c r="S14" s="1">
        <f>(Main_M[[#This Row],[A/E]]-VLOOKUP(Main_M[[#This Row],[Industry]], Mean_AE_M, 2, FALSE))/(VLOOKUP(Main_M[[#This Row],[Industry]], Mean_AE_M, 3, FALSE))</f>
        <v>-1.5493521315401271</v>
      </c>
      <c r="T14" s="1">
        <f>(Main_M[[#This Row],[P/E]]-VLOOKUP(Main_M[[#This Row],[Industry]], Mean_PE_M, 2, FALSE))/(VLOOKUP(Main_M[[#This Row],[Industry]], Mean_PE_M, 3, FALSE))</f>
        <v>1.6050320403727936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" spans="1:26" x14ac:dyDescent="0.25">
      <c r="A15" t="s">
        <v>105</v>
      </c>
      <c r="B15" t="s">
        <v>172</v>
      </c>
      <c r="C15" s="2">
        <v>5414</v>
      </c>
      <c r="D15">
        <f>RTD("tos.rtd", , "LAST", Main_M[[#This Row],[Symbol]])</f>
        <v>53.45</v>
      </c>
      <c r="E15">
        <v>4.8600000000000003</v>
      </c>
      <c r="F15">
        <v>47.4</v>
      </c>
      <c r="G15">
        <v>-15.1</v>
      </c>
      <c r="H15" s="1">
        <f>IF(ISNUMBER(Main_M[[#This Row],[Free CF]]),IF(Main_M[[#This Row],[Free CF]]&lt;&gt;0,Main_M[[#This Row],[Current Price]]/Main_M[[#This Row],[Free CF]],""),"")</f>
        <v>10.997942386831276</v>
      </c>
      <c r="I15" s="1">
        <f>IF(ISNUMBER(Main_M[[#This Row],[BVPS]]),IF(Main_M[[#This Row],[BVPS]]&lt;&gt;0,Main_M[[#This Row],[Current Price]]/Main_M[[#This Row],[BVPS]],""),"")</f>
        <v>1.1276371308016879</v>
      </c>
      <c r="J15">
        <v>-24.98</v>
      </c>
      <c r="K15">
        <v>2.62</v>
      </c>
      <c r="L15">
        <v>4.47</v>
      </c>
      <c r="M15" s="1">
        <f>IF(ISNUMBER(Main_M[[#This Row],[EPS]]),IF(Main_M[[#This Row],[EPS]]&lt;&gt;0,Main_M[[#This Row],[Current Price]]/Main_M[[#This Row],[EPS]],""),"")</f>
        <v>-3.5397350993377485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-0.78771410555791532</v>
      </c>
      <c r="P15" s="1">
        <f>(Main_M[[#This Row],[P/B]]-VLOOKUP(Main_M[[#This Row],[Industry]], Mean_PB_M, 2, FALSE))/(VLOOKUP(Main_M[[#This Row],[Industry]], Mean_PB_M, 3, FALSE))</f>
        <v>-0.76817704998242575</v>
      </c>
      <c r="Q15" s="1">
        <f>(Main_M[[#This Row],[ROE]]-VLOOKUP(Main_M[[#This Row],[Industry]], Mean_ROE_M, 2, FALSE))/(VLOOKUP(Main_M[[#This Row],[Industry]], Mean_ROE_M, 3, FALSE))</f>
        <v>-2.017028814286991</v>
      </c>
      <c r="R15" s="1">
        <f>(Main_M[[#This Row],[ROA]]-VLOOKUP(Main_M[[#This Row],[Industry]], Mean_ROA_M, 2, FALSE))/(VLOOKUP(Main_M[[#This Row],[Industry]], Mean_ROA_M, 3, FALSE))</f>
        <v>-0.79803698871344342</v>
      </c>
      <c r="S15" s="1">
        <f>(Main_M[[#This Row],[A/E]]-VLOOKUP(Main_M[[#This Row],[Industry]], Mean_AE_M, 2, FALSE))/(VLOOKUP(Main_M[[#This Row],[Industry]], Mean_AE_M, 3, FALSE))</f>
        <v>3.1830552265847523</v>
      </c>
      <c r="T15" s="1">
        <f>(Main_M[[#This Row],[P/E]]-VLOOKUP(Main_M[[#This Row],[Industry]], Mean_PE_M, 2, FALSE))/(VLOOKUP(Main_M[[#This Row],[Industry]], Mean_PE_M, 3, FALSE))</f>
        <v>-1.5532769414872749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t="s">
        <v>105</v>
      </c>
      <c r="B16" t="s">
        <v>173</v>
      </c>
      <c r="C16" s="2">
        <v>8691</v>
      </c>
      <c r="D16">
        <f>RTD("tos.rtd", , "LAST", Main_M[[#This Row],[Symbol]])</f>
        <v>82.39</v>
      </c>
      <c r="E16">
        <v>4.95</v>
      </c>
      <c r="F16">
        <v>50.87</v>
      </c>
      <c r="G16">
        <v>7.86</v>
      </c>
      <c r="H16" s="1">
        <f>IF(ISNUMBER(Main_M[[#This Row],[Free CF]]),IF(Main_M[[#This Row],[Free CF]]&lt;&gt;0,Main_M[[#This Row],[Current Price]]/Main_M[[#This Row],[Free CF]],""),"")</f>
        <v>16.644444444444446</v>
      </c>
      <c r="I16" s="1">
        <f>IF(ISNUMBER(Main_M[[#This Row],[BVPS]]),IF(Main_M[[#This Row],[BVPS]]&lt;&gt;0,Main_M[[#This Row],[Current Price]]/Main_M[[#This Row],[BVPS]],""),"")</f>
        <v>1.6196186357381561</v>
      </c>
      <c r="J16">
        <v>16.03</v>
      </c>
      <c r="K16">
        <v>5.95</v>
      </c>
      <c r="L16">
        <v>2.5499999999999998</v>
      </c>
      <c r="M16" s="1">
        <f>IF(ISNUMBER(Main_M[[#This Row],[EPS]]),IF(Main_M[[#This Row],[EPS]]&lt;&gt;0,Main_M[[#This Row],[Current Price]]/Main_M[[#This Row],[EPS]],""),"")</f>
        <v>10.482188295165393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-0.37197006464111654</v>
      </c>
      <c r="P16" s="1">
        <f>(Main_M[[#This Row],[P/B]]-VLOOKUP(Main_M[[#This Row],[Industry]], Mean_PB_M, 2, FALSE))/(VLOOKUP(Main_M[[#This Row],[Industry]], Mean_PB_M, 3, FALSE))</f>
        <v>-0.40367506179025625</v>
      </c>
      <c r="Q16" s="1">
        <f>(Main_M[[#This Row],[ROE]]-VLOOKUP(Main_M[[#This Row],[Industry]], Mean_ROE_M, 2, FALSE))/(VLOOKUP(Main_M[[#This Row],[Industry]], Mean_ROE_M, 3, FALSE))</f>
        <v>0.81075566793335307</v>
      </c>
      <c r="R16" s="1">
        <f>(Main_M[[#This Row],[ROA]]-VLOOKUP(Main_M[[#This Row],[Industry]], Mean_ROA_M, 2, FALSE))/(VLOOKUP(Main_M[[#This Row],[Industry]], Mean_ROA_M, 3, FALSE))</f>
        <v>0.19244499876913865</v>
      </c>
      <c r="S16" s="1">
        <f>(Main_M[[#This Row],[A/E]]-VLOOKUP(Main_M[[#This Row],[Industry]], Mean_AE_M, 2, FALSE))/(VLOOKUP(Main_M[[#This Row],[Industry]], Mean_AE_M, 3, FALSE))</f>
        <v>0.28010885993945878</v>
      </c>
      <c r="T16" s="1">
        <f>(Main_M[[#This Row],[P/E]]-VLOOKUP(Main_M[[#This Row],[Industry]], Mean_PE_M, 2, FALSE))/(VLOOKUP(Main_M[[#This Row],[Industry]], Mean_PE_M, 3, FALSE))</f>
        <v>-0.5256191889843802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t="s">
        <v>105</v>
      </c>
      <c r="B17" t="s">
        <v>174</v>
      </c>
      <c r="C17" s="2">
        <v>5076</v>
      </c>
      <c r="D17">
        <f>RTD("tos.rtd", , "LAST", Main_M[[#This Row],[Symbol]])</f>
        <v>22.79</v>
      </c>
      <c r="E17">
        <v>1.1200000000000001</v>
      </c>
      <c r="F17">
        <v>10.39</v>
      </c>
      <c r="G17">
        <v>1.17</v>
      </c>
      <c r="H17" s="1">
        <f>IF(ISNUMBER(Main_M[[#This Row],[Free CF]]),IF(Main_M[[#This Row],[Free CF]]&lt;&gt;0,Main_M[[#This Row],[Current Price]]/Main_M[[#This Row],[Free CF]],""),"")</f>
        <v>20.348214285714285</v>
      </c>
      <c r="I17" s="1">
        <f>IF(ISNUMBER(Main_M[[#This Row],[BVPS]]),IF(Main_M[[#This Row],[BVPS]]&lt;&gt;0,Main_M[[#This Row],[Current Price]]/Main_M[[#This Row],[BVPS]],""),"")</f>
        <v>2.1934552454282961</v>
      </c>
      <c r="J17">
        <v>11.69</v>
      </c>
      <c r="K17">
        <v>4.5199999999999996</v>
      </c>
      <c r="L17">
        <v>1.9</v>
      </c>
      <c r="M17" s="1">
        <f>IF(ISNUMBER(Main_M[[#This Row],[EPS]]),IF(Main_M[[#This Row],[EPS]]&lt;&gt;0,Main_M[[#This Row],[Current Price]]/Main_M[[#This Row],[EPS]],""),"")</f>
        <v>19.47863247863248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-9.9266676822607494E-2</v>
      </c>
      <c r="P17" s="1">
        <f>(Main_M[[#This Row],[P/B]]-VLOOKUP(Main_M[[#This Row],[Industry]], Mean_PB_M, 2, FALSE))/(VLOOKUP(Main_M[[#This Row],[Industry]], Mean_PB_M, 3, FALSE))</f>
        <v>2.147219076046784E-2</v>
      </c>
      <c r="Q17" s="1">
        <f>(Main_M[[#This Row],[ROE]]-VLOOKUP(Main_M[[#This Row],[Industry]], Mean_ROE_M, 2, FALSE))/(VLOOKUP(Main_M[[#This Row],[Industry]], Mean_ROE_M, 3, FALSE))</f>
        <v>0.51149732477713994</v>
      </c>
      <c r="R17" s="1">
        <f>(Main_M[[#This Row],[ROA]]-VLOOKUP(Main_M[[#This Row],[Industry]], Mean_ROA_M, 2, FALSE))/(VLOOKUP(Main_M[[#This Row],[Industry]], Mean_ROA_M, 3, FALSE))</f>
        <v>-0.23289711597563398</v>
      </c>
      <c r="S17" s="1">
        <f>(Main_M[[#This Row],[A/E]]-VLOOKUP(Main_M[[#This Row],[Industry]], Mean_AE_M, 2, FALSE))/(VLOOKUP(Main_M[[#This Row],[Industry]], Mean_AE_M, 3, FALSE))</f>
        <v>-0.70265944126858326</v>
      </c>
      <c r="T17" s="1">
        <f>(Main_M[[#This Row],[P/E]]-VLOOKUP(Main_M[[#This Row],[Industry]], Mean_PE_M, 2, FALSE))/(VLOOKUP(Main_M[[#This Row],[Industry]], Mean_PE_M, 3, FALSE))</f>
        <v>0.13372442244369573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t="s">
        <v>105</v>
      </c>
      <c r="B18" t="s">
        <v>175</v>
      </c>
      <c r="C18" s="2">
        <v>2877</v>
      </c>
      <c r="D18">
        <f>RTD("tos.rtd", , "LAST", Main_M[[#This Row],[Symbol]])</f>
        <v>56.93</v>
      </c>
      <c r="E18">
        <v>1.33</v>
      </c>
      <c r="F18">
        <v>32.79</v>
      </c>
      <c r="G18">
        <v>1.99</v>
      </c>
      <c r="H18" s="1">
        <f>IF(ISNUMBER(Main_M[[#This Row],[Free CF]]),IF(Main_M[[#This Row],[Free CF]]&lt;&gt;0,Main_M[[#This Row],[Current Price]]/Main_M[[#This Row],[Free CF]],""),"")</f>
        <v>42.804511278195484</v>
      </c>
      <c r="I18" s="1">
        <f>IF(ISNUMBER(Main_M[[#This Row],[BVPS]]),IF(Main_M[[#This Row],[BVPS]]&lt;&gt;0,Main_M[[#This Row],[Current Price]]/Main_M[[#This Row],[BVPS]],""),"")</f>
        <v>1.7362000609942057</v>
      </c>
      <c r="J18">
        <v>6.35</v>
      </c>
      <c r="K18">
        <v>4.72</v>
      </c>
      <c r="L18">
        <v>2.79</v>
      </c>
      <c r="M18" s="1">
        <f>IF(ISNUMBER(Main_M[[#This Row],[EPS]]),IF(Main_M[[#This Row],[EPS]]&lt;&gt;0,Main_M[[#This Row],[Current Price]]/Main_M[[#This Row],[EPS]],""),"")</f>
        <v>28.608040201005025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1.5541590299995622</v>
      </c>
      <c r="P18" s="1">
        <f>(Main_M[[#This Row],[P/B]]-VLOOKUP(Main_M[[#This Row],[Industry]], Mean_PB_M, 2, FALSE))/(VLOOKUP(Main_M[[#This Row],[Industry]], Mean_PB_M, 3, FALSE))</f>
        <v>-0.31730156834441153</v>
      </c>
      <c r="Q18" s="1">
        <f>(Main_M[[#This Row],[ROE]]-VLOOKUP(Main_M[[#This Row],[Industry]], Mean_ROE_M, 2, FALSE))/(VLOOKUP(Main_M[[#This Row],[Industry]], Mean_ROE_M, 3, FALSE))</f>
        <v>0.14328544633147708</v>
      </c>
      <c r="R18" s="1">
        <f>(Main_M[[#This Row],[ROA]]-VLOOKUP(Main_M[[#This Row],[Industry]], Mean_ROA_M, 2, FALSE))/(VLOOKUP(Main_M[[#This Row],[Industry]], Mean_ROA_M, 3, FALSE))</f>
        <v>-0.17340870831902241</v>
      </c>
      <c r="S18" s="1">
        <f>(Main_M[[#This Row],[A/E]]-VLOOKUP(Main_M[[#This Row],[Industry]], Mean_AE_M, 2, FALSE))/(VLOOKUP(Main_M[[#This Row],[Industry]], Mean_AE_M, 3, FALSE))</f>
        <v>0.64297715577012082</v>
      </c>
      <c r="T18" s="1">
        <f>(Main_M[[#This Row],[P/E]]-VLOOKUP(Main_M[[#This Row],[Industry]], Mean_PE_M, 2, FALSE))/(VLOOKUP(Main_M[[#This Row],[Industry]], Mean_PE_M, 3, FALSE))</f>
        <v>0.8028128461712013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9" spans="1:26" x14ac:dyDescent="0.25">
      <c r="A19" t="s">
        <v>105</v>
      </c>
      <c r="B19" t="s">
        <v>176</v>
      </c>
      <c r="C19" s="2">
        <v>2312</v>
      </c>
      <c r="D19">
        <f>RTD("tos.rtd", , "LAST", Main_M[[#This Row],[Symbol]])</f>
        <v>90.45</v>
      </c>
      <c r="E19">
        <v>4.9000000000000004</v>
      </c>
      <c r="F19">
        <v>48.53</v>
      </c>
      <c r="G19">
        <v>1.42</v>
      </c>
      <c r="H19" s="1">
        <f>IF(ISNUMBER(Main_M[[#This Row],[Free CF]]),IF(Main_M[[#This Row],[Free CF]]&lt;&gt;0,Main_M[[#This Row],[Current Price]]/Main_M[[#This Row],[Free CF]],""),"")</f>
        <v>18.459183673469386</v>
      </c>
      <c r="I19" s="1">
        <f>IF(ISNUMBER(Main_M[[#This Row],[BVPS]]),IF(Main_M[[#This Row],[BVPS]]&lt;&gt;0,Main_M[[#This Row],[Current Price]]/Main_M[[#This Row],[BVPS]],""),"")</f>
        <v>1.8637955903564805</v>
      </c>
      <c r="J19">
        <v>3.01</v>
      </c>
      <c r="K19">
        <v>1.19</v>
      </c>
      <c r="L19">
        <v>1.43</v>
      </c>
      <c r="M19" s="1">
        <f>IF(ISNUMBER(Main_M[[#This Row],[EPS]]),IF(Main_M[[#This Row],[EPS]]&lt;&gt;0,Main_M[[#This Row],[Current Price]]/Main_M[[#This Row],[EPS]],""),"")</f>
        <v>63.697183098591552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-0.23835335599796315</v>
      </c>
      <c r="P19" s="1">
        <f>(Main_M[[#This Row],[P/B]]-VLOOKUP(Main_M[[#This Row],[Industry]], Mean_PB_M, 2, FALSE))/(VLOOKUP(Main_M[[#This Row],[Industry]], Mean_PB_M, 3, FALSE))</f>
        <v>-0.22276788431296121</v>
      </c>
      <c r="Q19" s="1">
        <f>(Main_M[[#This Row],[ROE]]-VLOOKUP(Main_M[[#This Row],[Industry]], Mean_ROE_M, 2, FALSE))/(VLOOKUP(Main_M[[#This Row],[Industry]], Mean_ROE_M, 3, FALSE))</f>
        <v>-8.7019361535285847E-2</v>
      </c>
      <c r="R19" s="1">
        <f>(Main_M[[#This Row],[ROA]]-VLOOKUP(Main_M[[#This Row],[Industry]], Mean_ROA_M, 2, FALSE))/(VLOOKUP(Main_M[[#This Row],[Industry]], Mean_ROA_M, 3, FALSE))</f>
        <v>-1.223379103458216</v>
      </c>
      <c r="S19" s="1">
        <f>(Main_M[[#This Row],[A/E]]-VLOOKUP(Main_M[[#This Row],[Industry]], Mean_AE_M, 2, FALSE))/(VLOOKUP(Main_M[[#This Row],[Industry]], Mean_AE_M, 3, FALSE))</f>
        <v>-1.4132765206036291</v>
      </c>
      <c r="T19" s="1">
        <f>(Main_M[[#This Row],[P/E]]-VLOOKUP(Main_M[[#This Row],[Industry]], Mean_PE_M, 2, FALSE))/(VLOOKUP(Main_M[[#This Row],[Industry]], Mean_PE_M, 3, FALSE))</f>
        <v>3.3744735743650769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0" spans="1:26" x14ac:dyDescent="0.25">
      <c r="A20" t="s">
        <v>105</v>
      </c>
      <c r="B20" t="s">
        <v>177</v>
      </c>
      <c r="C20" s="2">
        <v>5928</v>
      </c>
      <c r="D20">
        <f>RTD("tos.rtd", , "LAST", Main_M[[#This Row],[Symbol]])</f>
        <v>632.11</v>
      </c>
      <c r="E20">
        <v>50.39</v>
      </c>
      <c r="F20">
        <v>161.06</v>
      </c>
      <c r="G20">
        <v>50.24</v>
      </c>
      <c r="H20" s="1">
        <f>IF(ISNUMBER(Main_M[[#This Row],[Free CF]]),IF(Main_M[[#This Row],[Free CF]]&lt;&gt;0,Main_M[[#This Row],[Current Price]]/Main_M[[#This Row],[Free CF]],""),"")</f>
        <v>12.544354038499703</v>
      </c>
      <c r="I20" s="1">
        <f>IF(ISNUMBER(Main_M[[#This Row],[BVPS]]),IF(Main_M[[#This Row],[BVPS]]&lt;&gt;0,Main_M[[#This Row],[Current Price]]/Main_M[[#This Row],[BVPS]],""),"")</f>
        <v>3.9246864522538183</v>
      </c>
      <c r="J20">
        <v>35.979999999999997</v>
      </c>
      <c r="K20">
        <v>12.81</v>
      </c>
      <c r="L20">
        <v>2.13</v>
      </c>
      <c r="M20" s="1">
        <f>IF(ISNUMBER(Main_M[[#This Row],[EPS]]),IF(Main_M[[#This Row],[EPS]]&lt;&gt;0,Main_M[[#This Row],[Current Price]]/Main_M[[#This Row],[EPS]],""),"")</f>
        <v>12.581807324840764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-0.67385398075399072</v>
      </c>
      <c r="P20" s="1">
        <f>(Main_M[[#This Row],[P/B]]-VLOOKUP(Main_M[[#This Row],[Industry]], Mean_PB_M, 2, FALSE))/(VLOOKUP(Main_M[[#This Row],[Industry]], Mean_PB_M, 3, FALSE))</f>
        <v>1.3041163767237605</v>
      </c>
      <c r="Q20" s="1">
        <f>(Main_M[[#This Row],[ROE]]-VLOOKUP(Main_M[[#This Row],[Industry]], Mean_ROE_M, 2, FALSE))/(VLOOKUP(Main_M[[#This Row],[Industry]], Mean_ROE_M, 3, FALSE))</f>
        <v>2.1863786969578798</v>
      </c>
      <c r="R20" s="1">
        <f>(Main_M[[#This Row],[ROA]]-VLOOKUP(Main_M[[#This Row],[Industry]], Mean_ROA_M, 2, FALSE))/(VLOOKUP(Main_M[[#This Row],[Industry]], Mean_ROA_M, 3, FALSE))</f>
        <v>2.2328973813909143</v>
      </c>
      <c r="S20" s="1">
        <f>(Main_M[[#This Row],[A/E]]-VLOOKUP(Main_M[[#This Row],[Industry]], Mean_AE_M, 2, FALSE))/(VLOOKUP(Main_M[[#This Row],[Industry]], Mean_AE_M, 3, FALSE))</f>
        <v>-0.35491065776419911</v>
      </c>
      <c r="T20" s="1">
        <f>(Main_M[[#This Row],[P/E]]-VLOOKUP(Main_M[[#This Row],[Industry]], Mean_PE_M, 2, FALSE))/(VLOOKUP(Main_M[[#This Row],[Industry]], Mean_PE_M, 3, FALSE))</f>
        <v>-0.37173945990282248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1" spans="1:26" x14ac:dyDescent="0.25">
      <c r="A21" t="s">
        <v>105</v>
      </c>
      <c r="B21" t="s">
        <v>178</v>
      </c>
      <c r="C21" s="2">
        <v>9589</v>
      </c>
      <c r="D21">
        <f>RTD("tos.rtd", , "LAST", Main_M[[#This Row],[Symbol]])</f>
        <v>35.880000000000003</v>
      </c>
      <c r="E21">
        <v>1.1100000000000001</v>
      </c>
      <c r="F21">
        <v>18.07</v>
      </c>
      <c r="G21">
        <v>-1.42</v>
      </c>
      <c r="H21" s="1">
        <f>IF(ISNUMBER(Main_M[[#This Row],[Free CF]]),IF(Main_M[[#This Row],[Free CF]]&lt;&gt;0,Main_M[[#This Row],[Current Price]]/Main_M[[#This Row],[Free CF]],""),"")</f>
        <v>32.324324324324323</v>
      </c>
      <c r="I21" s="1">
        <f>IF(ISNUMBER(Main_M[[#This Row],[BVPS]]),IF(Main_M[[#This Row],[BVPS]]&lt;&gt;0,Main_M[[#This Row],[Current Price]]/Main_M[[#This Row],[BVPS]],""),"")</f>
        <v>1.985611510791367</v>
      </c>
      <c r="J21">
        <v>-7.39</v>
      </c>
      <c r="K21">
        <v>5.8</v>
      </c>
      <c r="L21">
        <v>2.23</v>
      </c>
      <c r="M21" s="1">
        <f>IF(ISNUMBER(Main_M[[#This Row],[EPS]]),IF(Main_M[[#This Row],[EPS]]&lt;&gt;0,Main_M[[#This Row],[Current Price]]/Main_M[[#This Row],[EPS]],""),"")</f>
        <v>-25.26760563380282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0.78251753774308175</v>
      </c>
      <c r="P21" s="1">
        <f>(Main_M[[#This Row],[P/B]]-VLOOKUP(Main_M[[#This Row],[Industry]], Mean_PB_M, 2, FALSE))/(VLOOKUP(Main_M[[#This Row],[Industry]], Mean_PB_M, 3, FALSE))</f>
        <v>-0.13251622902419355</v>
      </c>
      <c r="Q21" s="1">
        <f>(Main_M[[#This Row],[ROE]]-VLOOKUP(Main_M[[#This Row],[Industry]], Mean_ROE_M, 2, FALSE))/(VLOOKUP(Main_M[[#This Row],[Industry]], Mean_ROE_M, 3, FALSE))</f>
        <v>-0.8041361285455656</v>
      </c>
      <c r="R21" s="1">
        <f>(Main_M[[#This Row],[ROA]]-VLOOKUP(Main_M[[#This Row],[Industry]], Mean_ROA_M, 2, FALSE))/(VLOOKUP(Main_M[[#This Row],[Industry]], Mean_ROA_M, 3, FALSE))</f>
        <v>0.14782869302667989</v>
      </c>
      <c r="S21" s="1">
        <f>(Main_M[[#This Row],[A/E]]-VLOOKUP(Main_M[[#This Row],[Industry]], Mean_AE_M, 2, FALSE))/(VLOOKUP(Main_M[[#This Row],[Industry]], Mean_AE_M, 3, FALSE))</f>
        <v>-0.2037155345014233</v>
      </c>
      <c r="T21" s="1">
        <f>(Main_M[[#This Row],[P/E]]-VLOOKUP(Main_M[[#This Row],[Industry]], Mean_PE_M, 2, FALSE))/(VLOOKUP(Main_M[[#This Row],[Industry]], Mean_PE_M, 3, FALSE))</f>
        <v>-3.1456986066117305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2" spans="1:26" x14ac:dyDescent="0.25">
      <c r="A22" t="s">
        <v>105</v>
      </c>
      <c r="B22" t="s">
        <v>179</v>
      </c>
      <c r="C22" s="2">
        <v>4003</v>
      </c>
      <c r="D22">
        <f>RTD("tos.rtd", , "LAST", Main_M[[#This Row],[Symbol]])</f>
        <v>92.65</v>
      </c>
      <c r="E22">
        <v>1.61</v>
      </c>
      <c r="F22">
        <v>25.95</v>
      </c>
      <c r="G22">
        <v>3.02</v>
      </c>
      <c r="H22" s="1">
        <f>IF(ISNUMBER(Main_M[[#This Row],[Free CF]]),IF(Main_M[[#This Row],[Free CF]]&lt;&gt;0,Main_M[[#This Row],[Current Price]]/Main_M[[#This Row],[Free CF]],""),"")</f>
        <v>57.546583850931675</v>
      </c>
      <c r="I22" s="1">
        <f>IF(ISNUMBER(Main_M[[#This Row],[BVPS]]),IF(Main_M[[#This Row],[BVPS]]&lt;&gt;0,Main_M[[#This Row],[Current Price]]/Main_M[[#This Row],[BVPS]],""),"")</f>
        <v>3.5703275529865128</v>
      </c>
      <c r="J22">
        <v>11.88</v>
      </c>
      <c r="K22">
        <v>6.16</v>
      </c>
      <c r="L22">
        <v>1.91</v>
      </c>
      <c r="M22" s="1">
        <f>IF(ISNUMBER(Main_M[[#This Row],[EPS]]),IF(Main_M[[#This Row],[EPS]]&lt;&gt;0,Main_M[[#This Row],[Current Price]]/Main_M[[#This Row],[EPS]],""),"")</f>
        <v>30.67880794701987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2.6395971933691174</v>
      </c>
      <c r="P22" s="1">
        <f>(Main_M[[#This Row],[P/B]]-VLOOKUP(Main_M[[#This Row],[Industry]], Mean_PB_M, 2, FALSE))/(VLOOKUP(Main_M[[#This Row],[Industry]], Mean_PB_M, 3, FALSE))</f>
        <v>1.0415769885140327</v>
      </c>
      <c r="Q22" s="1">
        <f>(Main_M[[#This Row],[ROE]]-VLOOKUP(Main_M[[#This Row],[Industry]], Mean_ROE_M, 2, FALSE))/(VLOOKUP(Main_M[[#This Row],[Industry]], Mean_ROE_M, 3, FALSE))</f>
        <v>0.52459849648213552</v>
      </c>
      <c r="R22" s="1">
        <f>(Main_M[[#This Row],[ROA]]-VLOOKUP(Main_M[[#This Row],[Industry]], Mean_ROA_M, 2, FALSE))/(VLOOKUP(Main_M[[#This Row],[Industry]], Mean_ROA_M, 3, FALSE))</f>
        <v>0.25490782680858076</v>
      </c>
      <c r="S22" s="1">
        <f>(Main_M[[#This Row],[A/E]]-VLOOKUP(Main_M[[#This Row],[Industry]], Mean_AE_M, 2, FALSE))/(VLOOKUP(Main_M[[#This Row],[Industry]], Mean_AE_M, 3, FALSE))</f>
        <v>-0.68753992894230564</v>
      </c>
      <c r="T22" s="1">
        <f>(Main_M[[#This Row],[P/E]]-VLOOKUP(Main_M[[#This Row],[Industry]], Mean_PE_M, 2, FALSE))/(VLOOKUP(Main_M[[#This Row],[Industry]], Mean_PE_M, 3, FALSE))</f>
        <v>0.95457808321844773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t="s">
        <v>121</v>
      </c>
      <c r="B23" t="s">
        <v>180</v>
      </c>
      <c r="C23" s="2">
        <v>9314</v>
      </c>
      <c r="D23">
        <f>RTD("tos.rtd", , "LAST", Main_M[[#This Row],[Symbol]])</f>
        <v>6.82</v>
      </c>
      <c r="E23">
        <v>0.03</v>
      </c>
      <c r="F23">
        <v>0.89</v>
      </c>
      <c r="G23">
        <v>0.05</v>
      </c>
      <c r="H23" s="1">
        <f>IF(ISNUMBER(Main_M[[#This Row],[Free CF]]),IF(Main_M[[#This Row],[Free CF]]&lt;&gt;0,Main_M[[#This Row],[Current Price]]/Main_M[[#This Row],[Free CF]],""),"")</f>
        <v>227.33333333333334</v>
      </c>
      <c r="I23" s="1">
        <f>IF(ISNUMBER(Main_M[[#This Row],[BVPS]]),IF(Main_M[[#This Row],[BVPS]]&lt;&gt;0,Main_M[[#This Row],[Current Price]]/Main_M[[#This Row],[BVPS]],""),"")</f>
        <v>7.6629213483146073</v>
      </c>
      <c r="J23">
        <v>6.31</v>
      </c>
      <c r="K23">
        <v>3.55</v>
      </c>
      <c r="L23">
        <v>2.16</v>
      </c>
      <c r="M23" s="1">
        <f>IF(ISNUMBER(Main_M[[#This Row],[EPS]]),IF(Main_M[[#This Row],[EPS]]&lt;&gt;0,Main_M[[#This Row],[Current Price]]/Main_M[[#This Row],[EPS]],""),"")</f>
        <v>136.4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31.741877621533789</v>
      </c>
      <c r="P23" s="1">
        <f>(Main_M[[#This Row],[P/B]]-VLOOKUP(Main_M[[#This Row],[Industry]], Mean_PB_M, 2, FALSE))/(VLOOKUP(Main_M[[#This Row],[Industry]], Mean_PB_M, 3, FALSE))</f>
        <v>23.039783692474728</v>
      </c>
      <c r="Q23" s="1">
        <f>(Main_M[[#This Row],[ROE]]-VLOOKUP(Main_M[[#This Row],[Industry]], Mean_ROE_M, 2, FALSE))/(VLOOKUP(Main_M[[#This Row],[Industry]], Mean_ROE_M, 3, FALSE))</f>
        <v>-1.5145081925044359</v>
      </c>
      <c r="R23" s="1">
        <f>(Main_M[[#This Row],[ROA]]-VLOOKUP(Main_M[[#This Row],[Industry]], Mean_ROA_M, 2, FALSE))/(VLOOKUP(Main_M[[#This Row],[Industry]], Mean_ROA_M, 3, FALSE))</f>
        <v>-1.5260565439156779</v>
      </c>
      <c r="S23" s="1">
        <f>(Main_M[[#This Row],[A/E]]-VLOOKUP(Main_M[[#This Row],[Industry]], Mean_AE_M, 2, FALSE))/(VLOOKUP(Main_M[[#This Row],[Industry]], Mean_AE_M, 3, FALSE))</f>
        <v>0.29339161498745914</v>
      </c>
      <c r="T23" s="1">
        <f>(Main_M[[#This Row],[P/E]]-VLOOKUP(Main_M[[#This Row],[Industry]], Mean_PE_M, 2, FALSE))/(VLOOKUP(Main_M[[#This Row],[Industry]], Mean_PE_M, 3, FALSE))</f>
        <v>57.956325981808305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4" spans="1:26" x14ac:dyDescent="0.25">
      <c r="A24" t="s">
        <v>121</v>
      </c>
      <c r="B24" t="s">
        <v>181</v>
      </c>
      <c r="C24" s="2">
        <v>7487</v>
      </c>
      <c r="D24">
        <f>RTD("tos.rtd", , "LAST", Main_M[[#This Row],[Symbol]])</f>
        <v>237.95</v>
      </c>
      <c r="E24">
        <v>10.96</v>
      </c>
      <c r="F24">
        <v>44.81</v>
      </c>
      <c r="G24">
        <v>13.93</v>
      </c>
      <c r="H24" s="1">
        <f>IF(ISNUMBER(Main_M[[#This Row],[Free CF]]),IF(Main_M[[#This Row],[Free CF]]&lt;&gt;0,Main_M[[#This Row],[Current Price]]/Main_M[[#This Row],[Free CF]],""),"")</f>
        <v>21.710766423357661</v>
      </c>
      <c r="I24" s="1">
        <f>IF(ISNUMBER(Main_M[[#This Row],[BVPS]]),IF(Main_M[[#This Row],[BVPS]]&lt;&gt;0,Main_M[[#This Row],[Current Price]]/Main_M[[#This Row],[BVPS]],""),"")</f>
        <v>5.3101986163802719</v>
      </c>
      <c r="J24">
        <v>33.51</v>
      </c>
      <c r="K24">
        <v>12.99</v>
      </c>
      <c r="L24">
        <v>2.0299999999999998</v>
      </c>
      <c r="M24" s="1">
        <f>IF(ISNUMBER(Main_M[[#This Row],[EPS]]),IF(Main_M[[#This Row],[EPS]]&lt;&gt;0,Main_M[[#This Row],[Current Price]]/Main_M[[#This Row],[EPS]],""),"")</f>
        <v>17.081837760229721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24" s="1">
        <f>(Main_M[[#This Row],[P/FCF]]-VLOOKUP(Main_M[[#This Row],[Industry]], Mean_PFCF_M, 2, FALSE))/(VLOOKUP(Main_M[[#This Row],[Industry]], Mean_PFCF_M, 3, FALSE))</f>
        <v>-1.398420936525449</v>
      </c>
      <c r="P24" s="1">
        <f>(Main_M[[#This Row],[P/B]]-VLOOKUP(Main_M[[#This Row],[Industry]], Mean_PB_M, 2, FALSE))/(VLOOKUP(Main_M[[#This Row],[Industry]], Mean_PB_M, 3, FALSE))</f>
        <v>-0.68963642112481904</v>
      </c>
      <c r="Q24" s="1">
        <f>(Main_M[[#This Row],[ROE]]-VLOOKUP(Main_M[[#This Row],[Industry]], Mean_ROE_M, 2, FALSE))/(VLOOKUP(Main_M[[#This Row],[Industry]], Mean_ROE_M, 3, FALSE))</f>
        <v>1.4179108590417389</v>
      </c>
      <c r="R24" s="1">
        <f>(Main_M[[#This Row],[ROA]]-VLOOKUP(Main_M[[#This Row],[Industry]], Mean_ROA_M, 2, FALSE))/(VLOOKUP(Main_M[[#This Row],[Industry]], Mean_ROA_M, 3, FALSE))</f>
        <v>0.57639146755017168</v>
      </c>
      <c r="S24" s="1">
        <f>(Main_M[[#This Row],[A/E]]-VLOOKUP(Main_M[[#This Row],[Industry]], Mean_AE_M, 2, FALSE))/(VLOOKUP(Main_M[[#This Row],[Industry]], Mean_AE_M, 3, FALSE))</f>
        <v>-0.55418416164297357</v>
      </c>
      <c r="T24" s="1">
        <f>(Main_M[[#This Row],[P/E]]-VLOOKUP(Main_M[[#This Row],[Industry]], Mean_PE_M, 2, FALSE))/(VLOOKUP(Main_M[[#This Row],[Industry]], Mean_PE_M, 3, FALSE))</f>
        <v>-4.903612911968863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5" spans="1:26" x14ac:dyDescent="0.25">
      <c r="A25" t="s">
        <v>121</v>
      </c>
      <c r="B25" t="s">
        <v>182</v>
      </c>
      <c r="C25" s="2">
        <v>9993</v>
      </c>
      <c r="D25">
        <f>RTD("tos.rtd", , "LAST", Main_M[[#This Row],[Symbol]])</f>
        <v>25.95</v>
      </c>
      <c r="E25">
        <v>0.8</v>
      </c>
      <c r="F25">
        <v>4.8899999999999997</v>
      </c>
      <c r="G25">
        <v>1.01</v>
      </c>
      <c r="H25" s="1">
        <f>IF(ISNUMBER(Main_M[[#This Row],[Free CF]]),IF(Main_M[[#This Row],[Free CF]]&lt;&gt;0,Main_M[[#This Row],[Current Price]]/Main_M[[#This Row],[Free CF]],""),"")</f>
        <v>32.4375</v>
      </c>
      <c r="I25" s="1">
        <f>IF(ISNUMBER(Main_M[[#This Row],[BVPS]]),IF(Main_M[[#This Row],[BVPS]]&lt;&gt;0,Main_M[[#This Row],[Current Price]]/Main_M[[#This Row],[BVPS]],""),"")</f>
        <v>5.3067484662576687</v>
      </c>
      <c r="J25">
        <v>21.82</v>
      </c>
      <c r="K25">
        <v>11.36</v>
      </c>
      <c r="L25">
        <v>2.34</v>
      </c>
      <c r="M25" s="1">
        <f>IF(ISNUMBER(Main_M[[#This Row],[EPS]]),IF(Main_M[[#This Row],[EPS]]&lt;&gt;0,Main_M[[#This Row],[Current Price]]/Main_M[[#This Row],[EPS]],""),"")</f>
        <v>25.693069306930692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0.33041242366853568</v>
      </c>
      <c r="P25" s="1">
        <f>(Main_M[[#This Row],[P/B]]-VLOOKUP(Main_M[[#This Row],[Industry]], Mean_PB_M, 2, FALSE))/(VLOOKUP(Main_M[[#This Row],[Industry]], Mean_PB_M, 3, FALSE))</f>
        <v>-0.72443442796301838</v>
      </c>
      <c r="Q25" s="1">
        <f>(Main_M[[#This Row],[ROE]]-VLOOKUP(Main_M[[#This Row],[Industry]], Mean_ROE_M, 2, FALSE))/(VLOOKUP(Main_M[[#This Row],[Industry]], Mean_ROE_M, 3, FALSE))</f>
        <v>0.15761752402060725</v>
      </c>
      <c r="R25" s="1">
        <f>(Main_M[[#This Row],[ROA]]-VLOOKUP(Main_M[[#This Row],[Industry]], Mean_ROA_M, 2, FALSE))/(VLOOKUP(Main_M[[#This Row],[Industry]], Mean_ROA_M, 3, FALSE))</f>
        <v>0.21336283845172502</v>
      </c>
      <c r="S25" s="1">
        <f>(Main_M[[#This Row],[A/E]]-VLOOKUP(Main_M[[#This Row],[Industry]], Mean_AE_M, 2, FALSE))/(VLOOKUP(Main_M[[#This Row],[Industry]], Mean_AE_M, 3, FALSE))</f>
        <v>1.4669580749372841</v>
      </c>
      <c r="T25" s="1">
        <f>(Main_M[[#This Row],[P/E]]-VLOOKUP(Main_M[[#This Row],[Industry]], Mean_PE_M, 2, FALSE))/(VLOOKUP(Main_M[[#This Row],[Industry]], Mean_PE_M, 3, FALSE))</f>
        <v>-0.36699016598621875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t="s">
        <v>121</v>
      </c>
      <c r="B26" t="s">
        <v>183</v>
      </c>
      <c r="C26" s="2">
        <v>5205</v>
      </c>
      <c r="D26">
        <f>RTD("tos.rtd", , "LAST", Main_M[[#This Row],[Symbol]])</f>
        <v>102.89</v>
      </c>
      <c r="E26">
        <v>2.65</v>
      </c>
      <c r="F26">
        <v>26.07</v>
      </c>
      <c r="G26">
        <v>3.55</v>
      </c>
      <c r="H26" s="1">
        <f>IF(ISNUMBER(Main_M[[#This Row],[Free CF]]),IF(Main_M[[#This Row],[Free CF]]&lt;&gt;0,Main_M[[#This Row],[Current Price]]/Main_M[[#This Row],[Free CF]],""),"")</f>
        <v>38.826415094339623</v>
      </c>
      <c r="I26" s="1">
        <f>IF(ISNUMBER(Main_M[[#This Row],[BVPS]]),IF(Main_M[[#This Row],[BVPS]]&lt;&gt;0,Main_M[[#This Row],[Current Price]]/Main_M[[#This Row],[BVPS]],""),"")</f>
        <v>3.946682009973149</v>
      </c>
      <c r="J26">
        <v>14.71</v>
      </c>
      <c r="K26">
        <v>7.54</v>
      </c>
      <c r="L26">
        <v>1.93</v>
      </c>
      <c r="M26" s="1">
        <f>IF(ISNUMBER(Main_M[[#This Row],[EPS]]),IF(Main_M[[#This Row],[EPS]]&lt;&gt;0,Main_M[[#This Row],[Current Price]]/Main_M[[#This Row],[EPS]],""),"")</f>
        <v>28.983098591549297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1.3601172701273623</v>
      </c>
      <c r="P26" s="1">
        <f>(Main_M[[#This Row],[P/B]]-VLOOKUP(Main_M[[#This Row],[Industry]], Mean_PB_M, 2, FALSE))/(VLOOKUP(Main_M[[#This Row],[Industry]], Mean_PB_M, 3, FALSE))</f>
        <v>-14.441982987990574</v>
      </c>
      <c r="Q26" s="1">
        <f>(Main_M[[#This Row],[ROE]]-VLOOKUP(Main_M[[#This Row],[Industry]], Mean_ROE_M, 2, FALSE))/(VLOOKUP(Main_M[[#This Row],[Industry]], Mean_ROE_M, 3, FALSE))</f>
        <v>-0.60890819129164653</v>
      </c>
      <c r="R26" s="1">
        <f>(Main_M[[#This Row],[ROA]]-VLOOKUP(Main_M[[#This Row],[Industry]], Mean_ROA_M, 2, FALSE))/(VLOOKUP(Main_M[[#This Row],[Industry]], Mean_ROA_M, 3, FALSE))</f>
        <v>-0.63741591195076897</v>
      </c>
      <c r="S26" s="1">
        <f>(Main_M[[#This Row],[A/E]]-VLOOKUP(Main_M[[#This Row],[Industry]], Mean_AE_M, 2, FALSE))/(VLOOKUP(Main_M[[#This Row],[Industry]], Mean_AE_M, 3, FALSE))</f>
        <v>-1.2061655282817654</v>
      </c>
      <c r="T26" s="1">
        <f>(Main_M[[#This Row],[P/E]]-VLOOKUP(Main_M[[#This Row],[Industry]], Mean_PE_M, 2, FALSE))/(VLOOKUP(Main_M[[#This Row],[Industry]], Mean_PE_M, 3, FALSE))</f>
        <v>1.3662835947533689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t="s">
        <v>121</v>
      </c>
      <c r="B27" t="s">
        <v>184</v>
      </c>
      <c r="C27" s="2">
        <v>2784</v>
      </c>
      <c r="D27">
        <f>RTD("tos.rtd", , "LAST", Main_M[[#This Row],[Symbol]])</f>
        <v>102.87</v>
      </c>
      <c r="E27">
        <v>3.6</v>
      </c>
      <c r="F27">
        <v>18.64</v>
      </c>
      <c r="G27">
        <v>4.2</v>
      </c>
      <c r="H27" s="1">
        <f>IF(ISNUMBER(Main_M[[#This Row],[Free CF]]),IF(Main_M[[#This Row],[Free CF]]&lt;&gt;0,Main_M[[#This Row],[Current Price]]/Main_M[[#This Row],[Free CF]],""),"")</f>
        <v>28.574999999999999</v>
      </c>
      <c r="I27" s="1">
        <f>IF(ISNUMBER(Main_M[[#This Row],[BVPS]]),IF(Main_M[[#This Row],[BVPS]]&lt;&gt;0,Main_M[[#This Row],[Current Price]]/Main_M[[#This Row],[BVPS]],""),"")</f>
        <v>5.5187768240343349</v>
      </c>
      <c r="J27">
        <v>25.44</v>
      </c>
      <c r="K27">
        <v>16.57</v>
      </c>
      <c r="L27">
        <v>1.1000000000000001</v>
      </c>
      <c r="M27" s="1">
        <f>IF(ISNUMBER(Main_M[[#This Row],[EPS]]),IF(Main_M[[#This Row],[EPS]]&lt;&gt;0,Main_M[[#This Row],[Current Price]]/Main_M[[#This Row],[EPS]],""),"")</f>
        <v>24.492857142857144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-0.29210875727045077</v>
      </c>
      <c r="P27" s="1">
        <f>(Main_M[[#This Row],[P/B]]-VLOOKUP(Main_M[[#This Row],[Industry]], Mean_PB_M, 2, FALSE))/(VLOOKUP(Main_M[[#This Row],[Industry]], Mean_PB_M, 3, FALSE))</f>
        <v>1.4140708490878462</v>
      </c>
      <c r="Q27" s="1">
        <f>(Main_M[[#This Row],[ROE]]-VLOOKUP(Main_M[[#This Row],[Industry]], Mean_ROE_M, 2, FALSE))/(VLOOKUP(Main_M[[#This Row],[Industry]], Mean_ROE_M, 3, FALSE))</f>
        <v>0.547888000733738</v>
      </c>
      <c r="R27" s="1">
        <f>(Main_M[[#This Row],[ROA]]-VLOOKUP(Main_M[[#This Row],[Industry]], Mean_ROA_M, 2, FALSE))/(VLOOKUP(Main_M[[#This Row],[Industry]], Mean_ROA_M, 3, FALSE))</f>
        <v>1.373718149864551</v>
      </c>
      <c r="S27" s="1">
        <f>(Main_M[[#This Row],[A/E]]-VLOOKUP(Main_M[[#This Row],[Industry]], Mean_AE_M, 2, FALSE))/(VLOOKUP(Main_M[[#This Row],[Industry]], Mean_AE_M, 3, FALSE))</f>
        <v>-6.6176108713837438</v>
      </c>
      <c r="T27" s="1">
        <f>(Main_M[[#This Row],[P/E]]-VLOOKUP(Main_M[[#This Row],[Industry]], Mean_PE_M, 2, FALSE))/(VLOOKUP(Main_M[[#This Row],[Industry]], Mean_PE_M, 3, FALSE))</f>
        <v>-0.99929342876715022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t="s">
        <v>125</v>
      </c>
      <c r="B28" t="s">
        <v>185</v>
      </c>
      <c r="C28" s="2">
        <v>2116</v>
      </c>
      <c r="D28">
        <f>RTD("tos.rtd", , "LAST", Main_M[[#This Row],[Symbol]])</f>
        <v>3.8</v>
      </c>
      <c r="E28">
        <v>0.49</v>
      </c>
      <c r="F28">
        <v>-0.38</v>
      </c>
      <c r="G28">
        <v>-0.03</v>
      </c>
      <c r="H28" s="1">
        <f>IF(ISNUMBER(Main_M[[#This Row],[Free CF]]),IF(Main_M[[#This Row],[Free CF]]&lt;&gt;0,Main_M[[#This Row],[Current Price]]/Main_M[[#This Row],[Free CF]],""),"")</f>
        <v>7.7551020408163263</v>
      </c>
      <c r="I28" s="1">
        <f>IF(ISNUMBER(Main_M[[#This Row],[BVPS]]),IF(Main_M[[#This Row],[BVPS]]&lt;&gt;0,Main_M[[#This Row],[Current Price]]/Main_M[[#This Row],[BVPS]],""),"")</f>
        <v>-10</v>
      </c>
      <c r="J28">
        <v>-4.12</v>
      </c>
      <c r="K28">
        <v>2.2200000000000002</v>
      </c>
      <c r="L28">
        <v>-22.93</v>
      </c>
      <c r="M28" s="1">
        <f>IF(ISNUMBER(Main_M[[#This Row],[EPS]]),IF(Main_M[[#This Row],[EPS]]&lt;&gt;0,Main_M[[#This Row],[Current Price]]/Main_M[[#This Row],[EPS]],""),"")</f>
        <v>-126.66666666666667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-0.27758586478631231</v>
      </c>
      <c r="P28" s="1">
        <f>(Main_M[[#This Row],[P/B]]-VLOOKUP(Main_M[[#This Row],[Industry]], Mean_PB_M, 2, FALSE))/(VLOOKUP(Main_M[[#This Row],[Industry]], Mean_PB_M, 3, FALSE))</f>
        <v>-13.435851483776247</v>
      </c>
      <c r="Q28" s="1">
        <f>(Main_M[[#This Row],[ROE]]-VLOOKUP(Main_M[[#This Row],[Industry]], Mean_ROE_M, 2, FALSE))/(VLOOKUP(Main_M[[#This Row],[Industry]], Mean_ROE_M, 3, FALSE))</f>
        <v>-1.3138241559511503</v>
      </c>
      <c r="R28" s="1">
        <f>(Main_M[[#This Row],[ROA]]-VLOOKUP(Main_M[[#This Row],[Industry]], Mean_ROA_M, 2, FALSE))/(VLOOKUP(Main_M[[#This Row],[Industry]], Mean_ROA_M, 3, FALSE))</f>
        <v>-1.5794292907890304</v>
      </c>
      <c r="S28" s="1">
        <f>(Main_M[[#This Row],[A/E]]-VLOOKUP(Main_M[[#This Row],[Industry]], Mean_AE_M, 2, FALSE))/(VLOOKUP(Main_M[[#This Row],[Industry]], Mean_AE_M, 3, FALSE))</f>
        <v>-23.606209937431622</v>
      </c>
      <c r="T28" s="1">
        <f>(Main_M[[#This Row],[P/E]]-VLOOKUP(Main_M[[#This Row],[Industry]], Mean_PE_M, 2, FALSE))/(VLOOKUP(Main_M[[#This Row],[Industry]], Mean_PE_M, 3, FALSE))</f>
        <v>-24.140413596984633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9" spans="1:26" x14ac:dyDescent="0.25">
      <c r="A29" t="s">
        <v>125</v>
      </c>
      <c r="B29" t="s">
        <v>186</v>
      </c>
      <c r="C29" s="2">
        <v>9998</v>
      </c>
      <c r="D29">
        <f>RTD("tos.rtd", , "LAST", Main_M[[#This Row],[Symbol]])</f>
        <v>153.63999999999999</v>
      </c>
      <c r="E29">
        <v>5.36</v>
      </c>
      <c r="F29">
        <v>38.39</v>
      </c>
      <c r="G29">
        <v>5.47</v>
      </c>
      <c r="H29" s="1">
        <f>IF(ISNUMBER(Main_M[[#This Row],[Free CF]]),IF(Main_M[[#This Row],[Free CF]]&lt;&gt;0,Main_M[[#This Row],[Current Price]]/Main_M[[#This Row],[Free CF]],""),"")</f>
        <v>28.664179104477608</v>
      </c>
      <c r="I29" s="1">
        <f>IF(ISNUMBER(Main_M[[#This Row],[BVPS]]),IF(Main_M[[#This Row],[BVPS]]&lt;&gt;0,Main_M[[#This Row],[Current Price]]/Main_M[[#This Row],[BVPS]],""),"")</f>
        <v>4.0020838760093769</v>
      </c>
      <c r="J29">
        <v>15.05</v>
      </c>
      <c r="K29">
        <v>7.13</v>
      </c>
      <c r="L29">
        <v>1.78</v>
      </c>
      <c r="M29" s="1">
        <f>IF(ISNUMBER(Main_M[[#This Row],[EPS]]),IF(Main_M[[#This Row],[EPS]]&lt;&gt;0,Main_M[[#This Row],[Current Price]]/Main_M[[#This Row],[EPS]],""),"")</f>
        <v>28.087751371115171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1.3239476931896055</v>
      </c>
      <c r="P29" s="1">
        <f>(Main_M[[#This Row],[P/B]]-VLOOKUP(Main_M[[#This Row],[Industry]], Mean_PB_M, 2, FALSE))/(VLOOKUP(Main_M[[#This Row],[Industry]], Mean_PB_M, 3, FALSE))</f>
        <v>1.7028706721031552</v>
      </c>
      <c r="Q29" s="1">
        <f>(Main_M[[#This Row],[ROE]]-VLOOKUP(Main_M[[#This Row],[Industry]], Mean_ROE_M, 2, FALSE))/(VLOOKUP(Main_M[[#This Row],[Industry]], Mean_ROE_M, 3, FALSE))</f>
        <v>-7.1085949736461448E-3</v>
      </c>
      <c r="R29" s="1">
        <f>(Main_M[[#This Row],[ROA]]-VLOOKUP(Main_M[[#This Row],[Industry]], Mean_ROA_M, 2, FALSE))/(VLOOKUP(Main_M[[#This Row],[Industry]], Mean_ROA_M, 3, FALSE))</f>
        <v>1.5581288283373917</v>
      </c>
      <c r="S29" s="1">
        <f>(Main_M[[#This Row],[A/E]]-VLOOKUP(Main_M[[#This Row],[Industry]], Mean_AE_M, 2, FALSE))/(VLOOKUP(Main_M[[#This Row],[Industry]], Mean_AE_M, 3, FALSE))</f>
        <v>-1.6260513891636521</v>
      </c>
      <c r="T29" s="1">
        <f>(Main_M[[#This Row],[P/E]]-VLOOKUP(Main_M[[#This Row],[Industry]], Mean_PE_M, 2, FALSE))/(VLOOKUP(Main_M[[#This Row],[Industry]], Mean_PE_M, 3, FALSE))</f>
        <v>1.6954445332685775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t="s">
        <v>125</v>
      </c>
      <c r="B30" t="s">
        <v>187</v>
      </c>
      <c r="C30" s="2">
        <v>3110</v>
      </c>
      <c r="D30">
        <f>RTD("tos.rtd", , "LAST", Main_M[[#This Row],[Symbol]])</f>
        <v>56.26</v>
      </c>
      <c r="E30">
        <v>3.16</v>
      </c>
      <c r="F30">
        <v>43.01</v>
      </c>
      <c r="G30">
        <v>4.43</v>
      </c>
      <c r="H30" s="1">
        <f>IF(ISNUMBER(Main_M[[#This Row],[Free CF]]),IF(Main_M[[#This Row],[Free CF]]&lt;&gt;0,Main_M[[#This Row],[Current Price]]/Main_M[[#This Row],[Free CF]],""),"")</f>
        <v>17.803797468354428</v>
      </c>
      <c r="I30" s="1">
        <f>IF(ISNUMBER(Main_M[[#This Row],[BVPS]]),IF(Main_M[[#This Row],[BVPS]]&lt;&gt;0,Main_M[[#This Row],[Current Price]]/Main_M[[#This Row],[BVPS]],""),"")</f>
        <v>1.3080678911880959</v>
      </c>
      <c r="J30">
        <v>10.78</v>
      </c>
      <c r="K30">
        <v>4.45</v>
      </c>
      <c r="L30">
        <v>3.23</v>
      </c>
      <c r="M30" s="1">
        <f>IF(ISNUMBER(Main_M[[#This Row],[EPS]]),IF(Main_M[[#This Row],[EPS]]&lt;&gt;0,Main_M[[#This Row],[Current Price]]/Main_M[[#This Row],[EPS]],""),"")</f>
        <v>12.699774266365688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0.4920953072751108</v>
      </c>
      <c r="P30" s="1">
        <f>(Main_M[[#This Row],[P/B]]-VLOOKUP(Main_M[[#This Row],[Industry]], Mean_PB_M, 2, FALSE))/(VLOOKUP(Main_M[[#This Row],[Industry]], Mean_PB_M, 3, FALSE))</f>
        <v>-1.2098357392321486</v>
      </c>
      <c r="Q30" s="1">
        <f>(Main_M[[#This Row],[ROE]]-VLOOKUP(Main_M[[#This Row],[Industry]], Mean_ROE_M, 2, FALSE))/(VLOOKUP(Main_M[[#This Row],[Industry]], Mean_ROE_M, 3, FALSE))</f>
        <v>-0.29817147683978823</v>
      </c>
      <c r="R30" s="1">
        <f>(Main_M[[#This Row],[ROA]]-VLOOKUP(Main_M[[#This Row],[Industry]], Mean_ROA_M, 2, FALSE))/(VLOOKUP(Main_M[[#This Row],[Industry]], Mean_ROA_M, 3, FALSE))</f>
        <v>-0.15442835277438235</v>
      </c>
      <c r="S30" s="1">
        <f>(Main_M[[#This Row],[A/E]]-VLOOKUP(Main_M[[#This Row],[Industry]], Mean_AE_M, 2, FALSE))/(VLOOKUP(Main_M[[#This Row],[Industry]], Mean_AE_M, 3, FALSE))</f>
        <v>-0.33624038572421228</v>
      </c>
      <c r="T30" s="1">
        <f>(Main_M[[#This Row],[P/E]]-VLOOKUP(Main_M[[#This Row],[Industry]], Mean_PE_M, 2, FALSE))/(VLOOKUP(Main_M[[#This Row],[Industry]], Mean_PE_M, 3, FALSE))</f>
        <v>-0.87353926978401919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t="s">
        <v>125</v>
      </c>
      <c r="B31" t="s">
        <v>188</v>
      </c>
      <c r="C31" s="2">
        <v>5759</v>
      </c>
      <c r="D31">
        <f>RTD("tos.rtd", , "LAST", Main_M[[#This Row],[Symbol]])</f>
        <v>54.31</v>
      </c>
      <c r="E31">
        <v>2.96</v>
      </c>
      <c r="F31">
        <v>19.489999999999998</v>
      </c>
      <c r="G31">
        <v>2.69</v>
      </c>
      <c r="H31" s="1">
        <f>IF(ISNUMBER(Main_M[[#This Row],[Free CF]]),IF(Main_M[[#This Row],[Free CF]]&lt;&gt;0,Main_M[[#This Row],[Current Price]]/Main_M[[#This Row],[Free CF]],""),"")</f>
        <v>18.347972972972975</v>
      </c>
      <c r="I31" s="1">
        <f>IF(ISNUMBER(Main_M[[#This Row],[BVPS]]),IF(Main_M[[#This Row],[BVPS]]&lt;&gt;0,Main_M[[#This Row],[Current Price]]/Main_M[[#This Row],[BVPS]],""),"")</f>
        <v>2.7865572088250388</v>
      </c>
      <c r="J31">
        <v>14.52</v>
      </c>
      <c r="K31">
        <v>4.75</v>
      </c>
      <c r="L31">
        <v>4.21</v>
      </c>
      <c r="M31" s="1">
        <f>IF(ISNUMBER(Main_M[[#This Row],[EPS]]),IF(Main_M[[#This Row],[EPS]]&lt;&gt;0,Main_M[[#This Row],[Current Price]]/Main_M[[#This Row],[EPS]],""),"")</f>
        <v>20.189591078066915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1" s="1">
        <f>(Main_M[[#This Row],[P/FCF]]-VLOOKUP(Main_M[[#This Row],[Industry]], Mean_PFCF_M, 2, FALSE))/(VLOOKUP(Main_M[[#This Row],[Industry]], Mean_PFCF_M, 3, FALSE))</f>
        <v>0.53377650293102641</v>
      </c>
      <c r="P31" s="1">
        <f>(Main_M[[#This Row],[P/B]]-VLOOKUP(Main_M[[#This Row],[Industry]], Mean_PB_M, 2, FALSE))/(VLOOKUP(Main_M[[#This Row],[Industry]], Mean_PB_M, 3, FALSE))</f>
        <v>0.38867196778784735</v>
      </c>
      <c r="Q31" s="1">
        <f>(Main_M[[#This Row],[ROE]]-VLOOKUP(Main_M[[#This Row],[Industry]], Mean_ROE_M, 2, FALSE))/(VLOOKUP(Main_M[[#This Row],[Industry]], Mean_ROE_M, 3, FALSE))</f>
        <v>-4.3235837921902727E-2</v>
      </c>
      <c r="R31" s="1">
        <f>(Main_M[[#This Row],[ROA]]-VLOOKUP(Main_M[[#This Row],[Industry]], Mean_ROA_M, 2, FALSE))/(VLOOKUP(Main_M[[#This Row],[Industry]], Mean_ROA_M, 3, FALSE))</f>
        <v>3.7275809290368375E-2</v>
      </c>
      <c r="S31" s="1">
        <f>(Main_M[[#This Row],[A/E]]-VLOOKUP(Main_M[[#This Row],[Industry]], Mean_AE_M, 2, FALSE))/(VLOOKUP(Main_M[[#This Row],[Industry]], Mean_AE_M, 3, FALSE))</f>
        <v>0.53549394763485736</v>
      </c>
      <c r="T31" s="1">
        <f>(Main_M[[#This Row],[P/E]]-VLOOKUP(Main_M[[#This Row],[Industry]], Mean_PE_M, 2, FALSE))/(VLOOKUP(Main_M[[#This Row],[Industry]], Mean_PE_M, 3, FALSE))</f>
        <v>0.37686667676191826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2" spans="1:26" x14ac:dyDescent="0.25">
      <c r="A32" t="s">
        <v>125</v>
      </c>
      <c r="B32" t="s">
        <v>189</v>
      </c>
      <c r="C32" s="2">
        <v>6593</v>
      </c>
      <c r="D32">
        <f>RTD("tos.rtd", , "LAST", Main_M[[#This Row],[Symbol]])</f>
        <v>23.25</v>
      </c>
      <c r="E32">
        <v>-1.73</v>
      </c>
      <c r="F32">
        <v>10.46</v>
      </c>
      <c r="G32">
        <v>2.0499999999999998</v>
      </c>
      <c r="H32" s="1">
        <f>IF(ISNUMBER(Main_M[[#This Row],[Free CF]]),IF(Main_M[[#This Row],[Free CF]]&lt;&gt;0,Main_M[[#This Row],[Current Price]]/Main_M[[#This Row],[Free CF]],""),"")</f>
        <v>-13.439306358381502</v>
      </c>
      <c r="I32" s="1">
        <f>IF(ISNUMBER(Main_M[[#This Row],[BVPS]]),IF(Main_M[[#This Row],[BVPS]]&lt;&gt;0,Main_M[[#This Row],[Current Price]]/Main_M[[#This Row],[BVPS]],""),"")</f>
        <v>2.2227533460803057</v>
      </c>
      <c r="J32">
        <v>20.61</v>
      </c>
      <c r="K32">
        <v>5.93</v>
      </c>
      <c r="L32">
        <v>3.64</v>
      </c>
      <c r="M32" s="1">
        <f>IF(ISNUMBER(Main_M[[#This Row],[EPS]]),IF(Main_M[[#This Row],[EPS]]&lt;&gt;0,Main_M[[#This Row],[Current Price]]/Main_M[[#This Row],[EPS]],""),"")</f>
        <v>11.341463414634147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-1.9009744146211511</v>
      </c>
      <c r="P32" s="1">
        <f>(Main_M[[#This Row],[P/B]]-VLOOKUP(Main_M[[#This Row],[Industry]], Mean_PB_M, 2, FALSE))/(VLOOKUP(Main_M[[#This Row],[Industry]], Mean_PB_M, 3, FALSE))</f>
        <v>-0.2208994434453104</v>
      </c>
      <c r="Q32" s="1">
        <f>(Main_M[[#This Row],[ROE]]-VLOOKUP(Main_M[[#This Row],[Industry]], Mean_ROE_M, 2, FALSE))/(VLOOKUP(Main_M[[#This Row],[Industry]], Mean_ROE_M, 3, FALSE))</f>
        <v>0.37188663293636537</v>
      </c>
      <c r="R32" s="1">
        <f>(Main_M[[#This Row],[ROA]]-VLOOKUP(Main_M[[#This Row],[Industry]], Mean_ROA_M, 2, FALSE))/(VLOOKUP(Main_M[[#This Row],[Industry]], Mean_ROA_M, 3, FALSE))</f>
        <v>0.79131218007838822</v>
      </c>
      <c r="S32" s="1">
        <f>(Main_M[[#This Row],[A/E]]-VLOOKUP(Main_M[[#This Row],[Industry]], Mean_AE_M, 2, FALSE))/(VLOOKUP(Main_M[[#This Row],[Industry]], Mean_AE_M, 3, FALSE))</f>
        <v>2.8464794558663919E-2</v>
      </c>
      <c r="T32" s="1">
        <f>(Main_M[[#This Row],[P/E]]-VLOOKUP(Main_M[[#This Row],[Industry]], Mean_PE_M, 2, FALSE))/(VLOOKUP(Main_M[[#This Row],[Industry]], Mean_PE_M, 3, FALSE))</f>
        <v>-1.1003058261582084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3" spans="1:26" x14ac:dyDescent="0.25">
      <c r="A33" t="s">
        <v>125</v>
      </c>
      <c r="B33" t="s">
        <v>190</v>
      </c>
      <c r="C33" s="2">
        <v>4377</v>
      </c>
      <c r="D33">
        <f>RTD("tos.rtd", , "LAST", Main_M[[#This Row],[Symbol]])</f>
        <v>31.91</v>
      </c>
      <c r="E33">
        <v>3.49</v>
      </c>
      <c r="F33">
        <v>4.29</v>
      </c>
      <c r="G33">
        <v>1.84</v>
      </c>
      <c r="H33" s="1">
        <f>IF(ISNUMBER(Main_M[[#This Row],[Free CF]]),IF(Main_M[[#This Row],[Free CF]]&lt;&gt;0,Main_M[[#This Row],[Current Price]]/Main_M[[#This Row],[Free CF]],""),"")</f>
        <v>9.1432664756446993</v>
      </c>
      <c r="I33" s="1">
        <f>IF(ISNUMBER(Main_M[[#This Row],[BVPS]]),IF(Main_M[[#This Row],[BVPS]]&lt;&gt;0,Main_M[[#This Row],[Current Price]]/Main_M[[#This Row],[BVPS]],""),"")</f>
        <v>7.438228438228438</v>
      </c>
      <c r="J33">
        <v>45.91</v>
      </c>
      <c r="K33">
        <v>7.06</v>
      </c>
      <c r="L33">
        <v>11.24</v>
      </c>
      <c r="M33" s="1">
        <f>IF(ISNUMBER(Main_M[[#This Row],[EPS]]),IF(Main_M[[#This Row],[EPS]]&lt;&gt;0,Main_M[[#This Row],[Current Price]]/Main_M[[#This Row],[EPS]],""),"")</f>
        <v>17.342391304347824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-0.17125922398827884</v>
      </c>
      <c r="P33" s="1">
        <f>(Main_M[[#This Row],[P/B]]-VLOOKUP(Main_M[[#This Row],[Industry]], Mean_PB_M, 2, FALSE))/(VLOOKUP(Main_M[[#This Row],[Industry]], Mean_PB_M, 3, FALSE))</f>
        <v>5.4179489615567187</v>
      </c>
      <c r="Q33" s="1">
        <f>(Main_M[[#This Row],[ROE]]-VLOOKUP(Main_M[[#This Row],[Industry]], Mean_ROE_M, 2, FALSE))/(VLOOKUP(Main_M[[#This Row],[Industry]], Mean_ROE_M, 3, FALSE))</f>
        <v>2.0964512491455909</v>
      </c>
      <c r="R33" s="1">
        <f>(Main_M[[#This Row],[ROA]]-VLOOKUP(Main_M[[#This Row],[Industry]], Mean_ROA_M, 2, FALSE))/(VLOOKUP(Main_M[[#This Row],[Industry]], Mean_ROA_M, 3, FALSE))</f>
        <v>1.5133978571889497</v>
      </c>
      <c r="S33" s="1">
        <f>(Main_M[[#This Row],[A/E]]-VLOOKUP(Main_M[[#This Row],[Industry]], Mean_AE_M, 2, FALSE))/(VLOOKUP(Main_M[[#This Row],[Industry]], Mean_AE_M, 3, FALSE))</f>
        <v>6.7888535022412446</v>
      </c>
      <c r="T33" s="1">
        <f>(Main_M[[#This Row],[P/E]]-VLOOKUP(Main_M[[#This Row],[Industry]], Mean_PE_M, 2, FALSE))/(VLOOKUP(Main_M[[#This Row],[Industry]], Mean_PE_M, 3, FALSE))</f>
        <v>-9.8466114088269344E-2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4" spans="1:26" x14ac:dyDescent="0.25">
      <c r="A34" t="s">
        <v>125</v>
      </c>
      <c r="B34" t="s">
        <v>191</v>
      </c>
      <c r="C34" s="2">
        <v>4355</v>
      </c>
      <c r="D34">
        <f>RTD("tos.rtd", , "LAST", Main_M[[#This Row],[Symbol]])</f>
        <v>45.07</v>
      </c>
      <c r="E34">
        <v>0.61</v>
      </c>
      <c r="F34">
        <v>24.82</v>
      </c>
      <c r="G34">
        <v>0.82</v>
      </c>
      <c r="H34" s="1">
        <f>IF(ISNUMBER(Main_M[[#This Row],[Free CF]]),IF(Main_M[[#This Row],[Free CF]]&lt;&gt;0,Main_M[[#This Row],[Current Price]]/Main_M[[#This Row],[Free CF]],""),"")</f>
        <v>73.885245901639351</v>
      </c>
      <c r="I34" s="1">
        <f>IF(ISNUMBER(Main_M[[#This Row],[BVPS]]),IF(Main_M[[#This Row],[BVPS]]&lt;&gt;0,Main_M[[#This Row],[Current Price]]/Main_M[[#This Row],[BVPS]],""),"")</f>
        <v>1.8158742949234488</v>
      </c>
      <c r="J34">
        <v>3.33</v>
      </c>
      <c r="K34">
        <v>3.67</v>
      </c>
      <c r="L34">
        <v>5.18</v>
      </c>
      <c r="M34" s="1">
        <f>IF(ISNUMBER(Main_M[[#This Row],[EPS]]),IF(Main_M[[#This Row],[EPS]]&lt;&gt;0,Main_M[[#This Row],[Current Price]]/Main_M[[#This Row],[EPS]],""),"")</f>
        <v>54.963414634146346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4.7876613608288157</v>
      </c>
      <c r="P34" s="1">
        <f>(Main_M[[#This Row],[P/B]]-VLOOKUP(Main_M[[#This Row],[Industry]], Mean_PB_M, 2, FALSE))/(VLOOKUP(Main_M[[#This Row],[Industry]], Mean_PB_M, 3, FALSE))</f>
        <v>-0.66080745721354428</v>
      </c>
      <c r="Q34" s="1">
        <f>(Main_M[[#This Row],[ROE]]-VLOOKUP(Main_M[[#This Row],[Industry]], Mean_ROE_M, 2, FALSE))/(VLOOKUP(Main_M[[#This Row],[Industry]], Mean_ROE_M, 3, FALSE))</f>
        <v>-0.80599781639546919</v>
      </c>
      <c r="R34" s="1">
        <f>(Main_M[[#This Row],[ROA]]-VLOOKUP(Main_M[[#This Row],[Industry]], Mean_ROA_M, 2, FALSE))/(VLOOKUP(Main_M[[#This Row],[Industry]], Mean_ROA_M, 3, FALSE))</f>
        <v>-0.65285917414273476</v>
      </c>
      <c r="S34" s="1">
        <f>(Main_M[[#This Row],[A/E]]-VLOOKUP(Main_M[[#This Row],[Industry]], Mean_AE_M, 2, FALSE))/(VLOOKUP(Main_M[[#This Row],[Industry]], Mean_AE_M, 3, FALSE))</f>
        <v>1.3983330326943444</v>
      </c>
      <c r="T34" s="1">
        <f>(Main_M[[#This Row],[P/E]]-VLOOKUP(Main_M[[#This Row],[Industry]], Mean_PE_M, 2, FALSE))/(VLOOKUP(Main_M[[#This Row],[Industry]], Mean_PE_M, 3, FALSE))</f>
        <v>6.1822684444968239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5" spans="1:26" x14ac:dyDescent="0.25">
      <c r="A35" t="s">
        <v>133</v>
      </c>
      <c r="B35" t="s">
        <v>192</v>
      </c>
      <c r="C35" s="2">
        <v>6317</v>
      </c>
      <c r="D35">
        <f>RTD("tos.rtd", , "LAST", Main_M[[#This Row],[Symbol]])</f>
        <v>28.65</v>
      </c>
      <c r="E35">
        <v>1.5</v>
      </c>
      <c r="F35">
        <v>22.46</v>
      </c>
      <c r="G35">
        <v>3.61</v>
      </c>
      <c r="H35" s="1">
        <f>IF(ISNUMBER(Main_M[[#This Row],[Free CF]]),IF(Main_M[[#This Row],[Free CF]]&lt;&gt;0,Main_M[[#This Row],[Current Price]]/Main_M[[#This Row],[Free CF]],""),"")</f>
        <v>19.099999999999998</v>
      </c>
      <c r="I35" s="1">
        <f>IF(ISNUMBER(Main_M[[#This Row],[BVPS]]),IF(Main_M[[#This Row],[BVPS]]&lt;&gt;0,Main_M[[#This Row],[Current Price]]/Main_M[[#This Row],[BVPS]],""),"")</f>
        <v>1.2756010685663401</v>
      </c>
      <c r="J35">
        <v>15.35</v>
      </c>
      <c r="K35">
        <v>7.18</v>
      </c>
      <c r="L35">
        <v>2.5099999999999998</v>
      </c>
      <c r="M35" s="1">
        <f>IF(ISNUMBER(Main_M[[#This Row],[EPS]]),IF(Main_M[[#This Row],[EPS]]&lt;&gt;0,Main_M[[#This Row],[Current Price]]/Main_M[[#This Row],[EPS]],""),"")</f>
        <v>7.9362880886426588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0.54607218726660922</v>
      </c>
      <c r="P35" s="1">
        <f>(Main_M[[#This Row],[P/B]]-VLOOKUP(Main_M[[#This Row],[Industry]], Mean_PB_M, 2, FALSE))/(VLOOKUP(Main_M[[#This Row],[Industry]], Mean_PB_M, 3, FALSE))</f>
        <v>-0.16247505220789379</v>
      </c>
      <c r="Q35" s="1">
        <f>(Main_M[[#This Row],[ROE]]-VLOOKUP(Main_M[[#This Row],[Industry]], Mean_ROE_M, 2, FALSE))/(VLOOKUP(Main_M[[#This Row],[Industry]], Mean_ROE_M, 3, FALSE))</f>
        <v>1.1672490379826825</v>
      </c>
      <c r="R35" s="1">
        <f>(Main_M[[#This Row],[ROA]]-VLOOKUP(Main_M[[#This Row],[Industry]], Mean_ROA_M, 2, FALSE))/(VLOOKUP(Main_M[[#This Row],[Industry]], Mean_ROA_M, 3, FALSE))</f>
        <v>0.95283019341258557</v>
      </c>
      <c r="S35" s="1">
        <f>(Main_M[[#This Row],[A/E]]-VLOOKUP(Main_M[[#This Row],[Industry]], Mean_AE_M, 2, FALSE))/(VLOOKUP(Main_M[[#This Row],[Industry]], Mean_AE_M, 3, FALSE))</f>
        <v>2.3357963737072187</v>
      </c>
      <c r="T35" s="1">
        <f>(Main_M[[#This Row],[P/E]]-VLOOKUP(Main_M[[#This Row],[Industry]], Mean_PE_M, 2, FALSE))/(VLOOKUP(Main_M[[#This Row],[Industry]], Mean_PE_M, 3, FALSE))</f>
        <v>-0.26032503620974906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6" spans="1:26" x14ac:dyDescent="0.25">
      <c r="A36" t="s">
        <v>133</v>
      </c>
      <c r="B36" t="s">
        <v>193</v>
      </c>
      <c r="C36" s="2">
        <v>2955</v>
      </c>
      <c r="D36">
        <f>RTD("tos.rtd", , "LAST", Main_M[[#This Row],[Symbol]])</f>
        <v>8.66</v>
      </c>
      <c r="E36">
        <v>0.84</v>
      </c>
      <c r="F36">
        <v>6.46</v>
      </c>
      <c r="G36">
        <v>0.2</v>
      </c>
      <c r="H36" s="1">
        <f>IF(ISNUMBER(Main_M[[#This Row],[Free CF]]),IF(Main_M[[#This Row],[Free CF]]&lt;&gt;0,Main_M[[#This Row],[Current Price]]/Main_M[[#This Row],[Free CF]],""),"")</f>
        <v>10.30952380952381</v>
      </c>
      <c r="I36" s="1">
        <f>IF(ISNUMBER(Main_M[[#This Row],[BVPS]]),IF(Main_M[[#This Row],[BVPS]]&lt;&gt;0,Main_M[[#This Row],[Current Price]]/Main_M[[#This Row],[BVPS]],""),"")</f>
        <v>1.3405572755417956</v>
      </c>
      <c r="J36">
        <v>2.79</v>
      </c>
      <c r="K36">
        <v>4.84</v>
      </c>
      <c r="L36">
        <v>2.15</v>
      </c>
      <c r="M36" s="1">
        <f>IF(ISNUMBER(Main_M[[#This Row],[EPS]]),IF(Main_M[[#This Row],[EPS]]&lt;&gt;0,Main_M[[#This Row],[Current Price]]/Main_M[[#This Row],[EPS]],""),"")</f>
        <v>43.3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>
        <f>(Main_M[[#This Row],[P/FCF]]-VLOOKUP(Main_M[[#This Row],[Industry]], Mean_PFCF_M, 2, FALSE))/(VLOOKUP(Main_M[[#This Row],[Industry]], Mean_PFCF_M, 3, FALSE))</f>
        <v>0.20169122849739421</v>
      </c>
      <c r="P36" s="1">
        <f>(Main_M[[#This Row],[P/B]]-VLOOKUP(Main_M[[#This Row],[Industry]], Mean_PB_M, 2, FALSE))/(VLOOKUP(Main_M[[#This Row],[Industry]], Mean_PB_M, 3, FALSE))</f>
        <v>-7.2737401144247996E-2</v>
      </c>
      <c r="Q36" s="1">
        <f>(Main_M[[#This Row],[ROE]]-VLOOKUP(Main_M[[#This Row],[Industry]], Mean_ROE_M, 2, FALSE))/(VLOOKUP(Main_M[[#This Row],[Industry]], Mean_ROE_M, 3, FALSE))</f>
        <v>-2.8991694177512999E-2</v>
      </c>
      <c r="R36" s="1">
        <f>(Main_M[[#This Row],[ROA]]-VLOOKUP(Main_M[[#This Row],[Industry]], Mean_ROA_M, 2, FALSE))/(VLOOKUP(Main_M[[#This Row],[Industry]], Mean_ROA_M, 3, FALSE))</f>
        <v>0.36660162568634963</v>
      </c>
      <c r="S36" s="1">
        <f>(Main_M[[#This Row],[A/E]]-VLOOKUP(Main_M[[#This Row],[Industry]], Mean_AE_M, 2, FALSE))/(VLOOKUP(Main_M[[#This Row],[Industry]], Mean_AE_M, 3, FALSE))</f>
        <v>1.3697226222074403</v>
      </c>
      <c r="T36" s="1">
        <f>(Main_M[[#This Row],[P/E]]-VLOOKUP(Main_M[[#This Row],[Industry]], Mean_PE_M, 2, FALSE))/(VLOOKUP(Main_M[[#This Row],[Industry]], Mean_PE_M, 3, FALSE))</f>
        <v>0.8053972732449296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7" spans="1:26" x14ac:dyDescent="0.25">
      <c r="A37" t="s">
        <v>133</v>
      </c>
      <c r="B37" t="s">
        <v>194</v>
      </c>
      <c r="C37" s="2">
        <v>3861</v>
      </c>
      <c r="D37">
        <f>RTD("tos.rtd", , "LAST", Main_M[[#This Row],[Symbol]])</f>
        <v>20.77</v>
      </c>
      <c r="E37">
        <v>-1.04</v>
      </c>
      <c r="F37">
        <v>6.46</v>
      </c>
      <c r="G37">
        <v>-0.56999999999999995</v>
      </c>
      <c r="H37" s="1">
        <f>IF(ISNUMBER(Main_M[[#This Row],[Free CF]]),IF(Main_M[[#This Row],[Free CF]]&lt;&gt;0,Main_M[[#This Row],[Current Price]]/Main_M[[#This Row],[Free CF]],""),"")</f>
        <v>-19.971153846153847</v>
      </c>
      <c r="I37" s="1">
        <f>IF(ISNUMBER(Main_M[[#This Row],[BVPS]]),IF(Main_M[[#This Row],[BVPS]]&lt;&gt;0,Main_M[[#This Row],[Current Price]]/Main_M[[#This Row],[BVPS]],""),"")</f>
        <v>3.2151702786377707</v>
      </c>
      <c r="J37">
        <v>-5.41</v>
      </c>
      <c r="K37">
        <v>-4.34</v>
      </c>
      <c r="L37">
        <v>2.21</v>
      </c>
      <c r="M37" s="1">
        <f>IF(ISNUMBER(Main_M[[#This Row],[EPS]]),IF(Main_M[[#This Row],[EPS]]&lt;&gt;0,Main_M[[#This Row],[Current Price]]/Main_M[[#This Row],[EPS]],""),"")</f>
        <v>-36.438596491228076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>
        <f>(Main_M[[#This Row],[P/FCF]]-VLOOKUP(Main_M[[#This Row],[Industry]], Mean_PFCF_M, 2, FALSE))/(VLOOKUP(Main_M[[#This Row],[Industry]], Mean_PFCF_M, 3, FALSE))</f>
        <v>-0.98460273070152349</v>
      </c>
      <c r="P37" s="1">
        <f>(Main_M[[#This Row],[P/B]]-VLOOKUP(Main_M[[#This Row],[Industry]], Mean_PB_M, 2, FALSE))/(VLOOKUP(Main_M[[#This Row],[Industry]], Mean_PB_M, 3, FALSE))</f>
        <v>2.517059253927763</v>
      </c>
      <c r="Q37" s="1">
        <f>(Main_M[[#This Row],[ROE]]-VLOOKUP(Main_M[[#This Row],[Industry]], Mean_ROE_M, 2, FALSE))/(VLOOKUP(Main_M[[#This Row],[Industry]], Mean_ROE_M, 3, FALSE))</f>
        <v>-0.80997688555598468</v>
      </c>
      <c r="R37" s="1">
        <f>(Main_M[[#This Row],[ROA]]-VLOOKUP(Main_M[[#This Row],[Industry]], Mean_ROA_M, 2, FALSE))/(VLOOKUP(Main_M[[#This Row],[Industry]], Mean_ROA_M, 3, FALSE))</f>
        <v>-1.9332181400088837</v>
      </c>
      <c r="S37" s="1">
        <f>(Main_M[[#This Row],[A/E]]-VLOOKUP(Main_M[[#This Row],[Industry]], Mean_AE_M, 2, FALSE))/(VLOOKUP(Main_M[[#This Row],[Industry]], Mean_AE_M, 3, FALSE))</f>
        <v>1.5307349141240703</v>
      </c>
      <c r="T37" s="1">
        <f>(Main_M[[#This Row],[P/E]]-VLOOKUP(Main_M[[#This Row],[Industry]], Mean_PE_M, 2, FALSE))/(VLOOKUP(Main_M[[#This Row],[Industry]], Mean_PE_M, 3, FALSE))</f>
        <v>-1.5976084241862432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8" spans="1:26" x14ac:dyDescent="0.25">
      <c r="A38" t="s">
        <v>133</v>
      </c>
      <c r="B38" t="s">
        <v>195</v>
      </c>
      <c r="C38" s="2">
        <v>4078</v>
      </c>
      <c r="D38">
        <f>RTD("tos.rtd", , "LAST", Main_M[[#This Row],[Symbol]])</f>
        <v>2.95</v>
      </c>
      <c r="E38">
        <v>-0.02</v>
      </c>
      <c r="F38">
        <v>2.2599999999999998</v>
      </c>
      <c r="G38">
        <v>-0.48</v>
      </c>
      <c r="H38" s="1">
        <f>IF(ISNUMBER(Main_M[[#This Row],[Free CF]]),IF(Main_M[[#This Row],[Free CF]]&lt;&gt;0,Main_M[[#This Row],[Current Price]]/Main_M[[#This Row],[Free CF]],""),"")</f>
        <v>-147.5</v>
      </c>
      <c r="I38" s="1">
        <f>IF(ISNUMBER(Main_M[[#This Row],[BVPS]]),IF(Main_M[[#This Row],[BVPS]]&lt;&gt;0,Main_M[[#This Row],[Current Price]]/Main_M[[#This Row],[BVPS]],""),"")</f>
        <v>1.3053097345132745</v>
      </c>
      <c r="J38">
        <v>-18.04</v>
      </c>
      <c r="K38">
        <v>7.29</v>
      </c>
      <c r="L38">
        <v>1.61</v>
      </c>
      <c r="M38" s="1">
        <f>IF(ISNUMBER(Main_M[[#This Row],[EPS]]),IF(Main_M[[#This Row],[EPS]]&lt;&gt;0,Main_M[[#This Row],[Current Price]]/Main_M[[#This Row],[EPS]],""),"")</f>
        <v>-6.1458333333333339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-5.9807491689087753</v>
      </c>
      <c r="P38" s="1">
        <f>(Main_M[[#This Row],[P/B]]-VLOOKUP(Main_M[[#This Row],[Industry]], Mean_PB_M, 2, FALSE))/(VLOOKUP(Main_M[[#This Row],[Industry]], Mean_PB_M, 3, FALSE))</f>
        <v>-0.1214322323997762</v>
      </c>
      <c r="Q38" s="1">
        <f>(Main_M[[#This Row],[ROE]]-VLOOKUP(Main_M[[#This Row],[Industry]], Mean_ROE_M, 2, FALSE))/(VLOOKUP(Main_M[[#This Row],[Industry]], Mean_ROE_M, 3, FALSE))</f>
        <v>-2.0128845644718503</v>
      </c>
      <c r="R38" s="1">
        <f>(Main_M[[#This Row],[ROA]]-VLOOKUP(Main_M[[#This Row],[Industry]], Mean_ROA_M, 2, FALSE))/(VLOOKUP(Main_M[[#This Row],[Industry]], Mean_ROA_M, 3, FALSE))</f>
        <v>0.98038794659629769</v>
      </c>
      <c r="S38" s="1">
        <f>(Main_M[[#This Row],[A/E]]-VLOOKUP(Main_M[[#This Row],[Industry]], Mean_AE_M, 2, FALSE))/(VLOOKUP(Main_M[[#This Row],[Industry]], Mean_AE_M, 3, FALSE))</f>
        <v>-7.9388005042227081E-2</v>
      </c>
      <c r="T38" s="1">
        <f>(Main_M[[#This Row],[P/E]]-VLOOKUP(Main_M[[#This Row],[Industry]], Mean_PE_M, 2, FALSE))/(VLOOKUP(Main_M[[#This Row],[Industry]], Mean_PE_M, 3, FALSE))</f>
        <v>-0.68470443963514671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9" spans="1:26" x14ac:dyDescent="0.25">
      <c r="A39" t="s">
        <v>133</v>
      </c>
      <c r="B39" t="s">
        <v>196</v>
      </c>
      <c r="C39" s="2">
        <v>3820</v>
      </c>
      <c r="D39">
        <f>RTD("tos.rtd", , "LAST", Main_M[[#This Row],[Symbol]])</f>
        <v>14.51</v>
      </c>
      <c r="E39">
        <v>0.57999999999999996</v>
      </c>
      <c r="F39">
        <v>13.35</v>
      </c>
      <c r="G39">
        <v>1.59</v>
      </c>
      <c r="H39" s="1">
        <f>IF(ISNUMBER(Main_M[[#This Row],[Free CF]]),IF(Main_M[[#This Row],[Free CF]]&lt;&gt;0,Main_M[[#This Row],[Current Price]]/Main_M[[#This Row],[Free CF]],""),"")</f>
        <v>25.017241379310345</v>
      </c>
      <c r="I39" s="1">
        <f>IF(ISNUMBER(Main_M[[#This Row],[BVPS]]),IF(Main_M[[#This Row],[BVPS]]&lt;&gt;0,Main_M[[#This Row],[Current Price]]/Main_M[[#This Row],[BVPS]],""),"")</f>
        <v>1.0868913857677902</v>
      </c>
      <c r="J39">
        <v>12.4</v>
      </c>
      <c r="K39">
        <v>3.03</v>
      </c>
      <c r="L39">
        <v>1.49</v>
      </c>
      <c r="M39" s="1">
        <f>IF(ISNUMBER(Main_M[[#This Row],[EPS]]),IF(Main_M[[#This Row],[EPS]]&lt;&gt;0,Main_M[[#This Row],[Current Price]]/Main_M[[#This Row],[EPS]],""),"")</f>
        <v>9.1257861635220117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9" s="1">
        <f>(Main_M[[#This Row],[P/FCF]]-VLOOKUP(Main_M[[#This Row],[Industry]], Mean_PFCF_M, 2, FALSE))/(VLOOKUP(Main_M[[#This Row],[Industry]], Mean_PFCF_M, 3, FALSE))</f>
        <v>0.77788957864792652</v>
      </c>
      <c r="P39" s="1">
        <f>(Main_M[[#This Row],[P/B]]-VLOOKUP(Main_M[[#This Row],[Industry]], Mean_PB_M, 2, FALSE))/(VLOOKUP(Main_M[[#This Row],[Industry]], Mean_PB_M, 3, FALSE))</f>
        <v>-0.42317937063748473</v>
      </c>
      <c r="Q39" s="1">
        <f>(Main_M[[#This Row],[ROE]]-VLOOKUP(Main_M[[#This Row],[Industry]], Mean_ROE_M, 2, FALSE))/(VLOOKUP(Main_M[[#This Row],[Industry]], Mean_ROE_M, 3, FALSE))</f>
        <v>0.88628485327945195</v>
      </c>
      <c r="R39" s="1">
        <f>(Main_M[[#This Row],[ROA]]-VLOOKUP(Main_M[[#This Row],[Industry]], Mean_ROA_M, 2, FALSE))/(VLOOKUP(Main_M[[#This Row],[Industry]], Mean_ROA_M, 3, FALSE))</f>
        <v>-8.6848676700183342E-2</v>
      </c>
      <c r="S39" s="1">
        <f>(Main_M[[#This Row],[A/E]]-VLOOKUP(Main_M[[#This Row],[Industry]], Mean_AE_M, 2, FALSE))/(VLOOKUP(Main_M[[#This Row],[Industry]], Mean_AE_M, 3, FALSE))</f>
        <v>-0.40141258887548692</v>
      </c>
      <c r="T39" s="1">
        <f>(Main_M[[#This Row],[P/E]]-VLOOKUP(Main_M[[#This Row],[Industry]], Mean_PE_M, 2, FALSE))/(VLOOKUP(Main_M[[#This Row],[Industry]], Mean_PE_M, 3, FALSE))</f>
        <v>-0.2244782721983842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0" spans="1:26" x14ac:dyDescent="0.25">
      <c r="A40" t="s">
        <v>133</v>
      </c>
      <c r="B40" t="s">
        <v>197</v>
      </c>
      <c r="C40" s="2">
        <v>3662</v>
      </c>
      <c r="D40">
        <f>RTD("tos.rtd", , "LAST", Main_M[[#This Row],[Symbol]])</f>
        <v>7.64</v>
      </c>
      <c r="E40">
        <v>-0.02</v>
      </c>
      <c r="F40">
        <v>2.81</v>
      </c>
      <c r="G40">
        <v>0.15</v>
      </c>
      <c r="H40" s="1">
        <f>IF(ISNUMBER(Main_M[[#This Row],[Free CF]]),IF(Main_M[[#This Row],[Free CF]]&lt;&gt;0,Main_M[[#This Row],[Current Price]]/Main_M[[#This Row],[Free CF]],""),"")</f>
        <v>-382</v>
      </c>
      <c r="I40" s="1">
        <f>IF(ISNUMBER(Main_M[[#This Row],[BVPS]]),IF(Main_M[[#This Row],[BVPS]]&lt;&gt;0,Main_M[[#This Row],[Current Price]]/Main_M[[#This Row],[BVPS]],""),"")</f>
        <v>2.7188612099644125</v>
      </c>
      <c r="J40">
        <v>5.49</v>
      </c>
      <c r="K40">
        <v>5.24</v>
      </c>
      <c r="L40">
        <v>2.0499999999999998</v>
      </c>
      <c r="M40" s="1">
        <f>IF(ISNUMBER(Main_M[[#This Row],[EPS]]),IF(Main_M[[#This Row],[EPS]]&lt;&gt;0,Main_M[[#This Row],[Current Price]]/Main_M[[#This Row],[EPS]],""),"")</f>
        <v>50.93333333333333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0" s="1">
        <f>(Main_M[[#This Row],[P/FCF]]-VLOOKUP(Main_M[[#This Row],[Industry]], Mean_PFCF_M, 2, FALSE))/(VLOOKUP(Main_M[[#This Row],[Industry]], Mean_PFCF_M, 3, FALSE))</f>
        <v>-15.167661582012782</v>
      </c>
      <c r="P40" s="1">
        <f>(Main_M[[#This Row],[P/B]]-VLOOKUP(Main_M[[#This Row],[Industry]], Mean_PB_M, 2, FALSE))/(VLOOKUP(Main_M[[#This Row],[Industry]], Mean_PB_M, 3, FALSE))</f>
        <v>1.8314033005073</v>
      </c>
      <c r="Q40" s="1">
        <f>(Main_M[[#This Row],[ROE]]-VLOOKUP(Main_M[[#This Row],[Industry]], Mean_ROE_M, 2, FALSE))/(VLOOKUP(Main_M[[#This Row],[Industry]], Mean_ROE_M, 3, FALSE))</f>
        <v>0.22816196639832526</v>
      </c>
      <c r="R40" s="1">
        <f>(Main_M[[#This Row],[ROA]]-VLOOKUP(Main_M[[#This Row],[Industry]], Mean_ROA_M, 2, FALSE))/(VLOOKUP(Main_M[[#This Row],[Industry]], Mean_ROA_M, 3, FALSE))</f>
        <v>0.46681163726348412</v>
      </c>
      <c r="S40" s="1">
        <f>(Main_M[[#This Row],[A/E]]-VLOOKUP(Main_M[[#This Row],[Industry]], Mean_AE_M, 2, FALSE))/(VLOOKUP(Main_M[[#This Row],[Industry]], Mean_AE_M, 3, FALSE))</f>
        <v>1.1013688023463906</v>
      </c>
      <c r="T40" s="1">
        <f>(Main_M[[#This Row],[P/E]]-VLOOKUP(Main_M[[#This Row],[Industry]], Mean_PE_M, 2, FALSE))/(VLOOKUP(Main_M[[#This Row],[Industry]], Mean_PE_M, 3, FALSE))</f>
        <v>1.0354357276138773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t="s">
        <v>133</v>
      </c>
      <c r="B41" t="s">
        <v>198</v>
      </c>
      <c r="C41" s="2">
        <v>4105</v>
      </c>
      <c r="D41">
        <f>RTD("tos.rtd", , "LAST", Main_M[[#This Row],[Symbol]])</f>
        <v>17.670000000000002</v>
      </c>
      <c r="E41">
        <v>0.1</v>
      </c>
      <c r="F41">
        <v>19.5</v>
      </c>
      <c r="G41">
        <v>1.64</v>
      </c>
      <c r="H41" s="1">
        <f>IF(ISNUMBER(Main_M[[#This Row],[Free CF]]),IF(Main_M[[#This Row],[Free CF]]&lt;&gt;0,Main_M[[#This Row],[Current Price]]/Main_M[[#This Row],[Free CF]],""),"")</f>
        <v>176.70000000000002</v>
      </c>
      <c r="I41" s="1">
        <f>IF(ISNUMBER(Main_M[[#This Row],[BVPS]]),IF(Main_M[[#This Row],[BVPS]]&lt;&gt;0,Main_M[[#This Row],[Current Price]]/Main_M[[#This Row],[BVPS]],""),"")</f>
        <v>0.9061538461538462</v>
      </c>
      <c r="J41">
        <v>9</v>
      </c>
      <c r="K41">
        <v>5.42</v>
      </c>
      <c r="L41">
        <v>1.49</v>
      </c>
      <c r="M41" s="1">
        <f>IF(ISNUMBER(Main_M[[#This Row],[EPS]]),IF(Main_M[[#This Row],[EPS]]&lt;&gt;0,Main_M[[#This Row],[Current Price]]/Main_M[[#This Row],[EPS]],""),"")</f>
        <v>10.77439024390244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6.7203041544529274</v>
      </c>
      <c r="P41" s="1">
        <f>(Main_M[[#This Row],[P/B]]-VLOOKUP(Main_M[[#This Row],[Industry]], Mean_PB_M, 2, FALSE))/(VLOOKUP(Main_M[[#This Row],[Industry]], Mean_PB_M, 3, FALSE))</f>
        <v>-0.67287009334403858</v>
      </c>
      <c r="Q41" s="1">
        <f>(Main_M[[#This Row],[ROE]]-VLOOKUP(Main_M[[#This Row],[Industry]], Mean_ROE_M, 2, FALSE))/(VLOOKUP(Main_M[[#This Row],[Industry]], Mean_ROE_M, 3, FALSE))</f>
        <v>0.56246172514691484</v>
      </c>
      <c r="R41" s="1">
        <f>(Main_M[[#This Row],[ROA]]-VLOOKUP(Main_M[[#This Row],[Industry]], Mean_ROA_M, 2, FALSE))/(VLOOKUP(Main_M[[#This Row],[Industry]], Mean_ROA_M, 3, FALSE))</f>
        <v>0.51190614247319455</v>
      </c>
      <c r="S41" s="1">
        <f>(Main_M[[#This Row],[A/E]]-VLOOKUP(Main_M[[#This Row],[Industry]], Mean_AE_M, 2, FALSE))/(VLOOKUP(Main_M[[#This Row],[Industry]], Mean_AE_M, 3, FALSE))</f>
        <v>-0.40141258887548692</v>
      </c>
      <c r="T41" s="1">
        <f>(Main_M[[#This Row],[P/E]]-VLOOKUP(Main_M[[#This Row],[Industry]], Mean_PE_M, 2, FALSE))/(VLOOKUP(Main_M[[#This Row],[Industry]], Mean_PE_M, 3, FALSE))</f>
        <v>-0.17479587029658675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t="s">
        <v>133</v>
      </c>
      <c r="B42" t="s">
        <v>199</v>
      </c>
      <c r="C42" s="2">
        <v>3129</v>
      </c>
      <c r="D42">
        <f>RTD("tos.rtd", , "LAST", Main_M[[#This Row],[Symbol]])</f>
        <v>6.05</v>
      </c>
      <c r="E42">
        <v>-0.1</v>
      </c>
      <c r="F42">
        <v>7.46</v>
      </c>
      <c r="G42">
        <v>0.75</v>
      </c>
      <c r="H42" s="1">
        <f>IF(ISNUMBER(Main_M[[#This Row],[Free CF]]),IF(Main_M[[#This Row],[Free CF]]&lt;&gt;0,Main_M[[#This Row],[Current Price]]/Main_M[[#This Row],[Free CF]],""),"")</f>
        <v>-60.499999999999993</v>
      </c>
      <c r="I42" s="1">
        <f>IF(ISNUMBER(Main_M[[#This Row],[BVPS]]),IF(Main_M[[#This Row],[BVPS]]&lt;&gt;0,Main_M[[#This Row],[Current Price]]/Main_M[[#This Row],[BVPS]],""),"")</f>
        <v>0.81099195710455763</v>
      </c>
      <c r="J42">
        <v>11.62</v>
      </c>
      <c r="K42">
        <v>2.7</v>
      </c>
      <c r="L42">
        <v>1.98</v>
      </c>
      <c r="M42" s="1">
        <f>IF(ISNUMBER(Main_M[[#This Row],[EPS]]),IF(Main_M[[#This Row],[EPS]]&lt;&gt;0,Main_M[[#This Row],[Current Price]]/Main_M[[#This Row],[EPS]],""),"")</f>
        <v>8.0666666666666664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-2.5723850753477997</v>
      </c>
      <c r="P42" s="1">
        <f>(Main_M[[#This Row],[P/B]]-VLOOKUP(Main_M[[#This Row],[Industry]], Mean_PB_M, 2, FALSE))/(VLOOKUP(Main_M[[#This Row],[Industry]], Mean_PB_M, 3, FALSE))</f>
        <v>-0.80433719697724848</v>
      </c>
      <c r="Q42" s="1">
        <f>(Main_M[[#This Row],[ROE]]-VLOOKUP(Main_M[[#This Row],[Industry]], Mean_ROE_M, 2, FALSE))/(VLOOKUP(Main_M[[#This Row],[Industry]], Mean_ROE_M, 3, FALSE))</f>
        <v>0.8119960180019874</v>
      </c>
      <c r="R42" s="1">
        <f>(Main_M[[#This Row],[ROA]]-VLOOKUP(Main_M[[#This Row],[Industry]], Mean_ROA_M, 2, FALSE))/(VLOOKUP(Main_M[[#This Row],[Industry]], Mean_ROA_M, 3, FALSE))</f>
        <v>-0.16952193625131909</v>
      </c>
      <c r="S42" s="1">
        <f>(Main_M[[#This Row],[A/E]]-VLOOKUP(Main_M[[#This Row],[Industry]], Mean_AE_M, 2, FALSE))/(VLOOKUP(Main_M[[#This Row],[Industry]], Mean_AE_M, 3, FALSE))</f>
        <v>0.91352112844365629</v>
      </c>
      <c r="T42" s="1">
        <f>(Main_M[[#This Row],[P/E]]-VLOOKUP(Main_M[[#This Row],[Industry]], Mean_PE_M, 2, FALSE))/(VLOOKUP(Main_M[[#This Row],[Industry]], Mean_PE_M, 3, FALSE))</f>
        <v>-0.25639594189907688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3" spans="1:26" x14ac:dyDescent="0.25">
      <c r="A43" t="s">
        <v>133</v>
      </c>
      <c r="B43" t="s">
        <v>200</v>
      </c>
      <c r="C43" s="2">
        <v>3997</v>
      </c>
      <c r="D43">
        <f>RTD("tos.rtd", , "LAST", Main_M[[#This Row],[Symbol]])</f>
        <v>6.33</v>
      </c>
      <c r="E43">
        <v>-0.28000000000000003</v>
      </c>
      <c r="F43">
        <v>5.84</v>
      </c>
      <c r="G43">
        <v>1.5</v>
      </c>
      <c r="H43" s="1">
        <f>IF(ISNUMBER(Main_M[[#This Row],[Free CF]]),IF(Main_M[[#This Row],[Free CF]]&lt;&gt;0,Main_M[[#This Row],[Current Price]]/Main_M[[#This Row],[Free CF]],""),"")</f>
        <v>-22.607142857142854</v>
      </c>
      <c r="I43" s="1">
        <f>IF(ISNUMBER(Main_M[[#This Row],[BVPS]]),IF(Main_M[[#This Row],[BVPS]]&lt;&gt;0,Main_M[[#This Row],[Current Price]]/Main_M[[#This Row],[BVPS]],""),"")</f>
        <v>1.0839041095890412</v>
      </c>
      <c r="J43">
        <v>29.93</v>
      </c>
      <c r="K43">
        <v>5.97</v>
      </c>
      <c r="L43">
        <v>1.61</v>
      </c>
      <c r="M43" s="1">
        <f>IF(ISNUMBER(Main_M[[#This Row],[EPS]]),IF(Main_M[[#This Row],[EPS]]&lt;&gt;0,Main_M[[#This Row],[Current Price]]/Main_M[[#This Row],[EPS]],""),"")</f>
        <v>4.22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-1.0878718145644688</v>
      </c>
      <c r="P43" s="1">
        <f>(Main_M[[#This Row],[P/B]]-VLOOKUP(Main_M[[#This Row],[Industry]], Mean_PB_M, 2, FALSE))/(VLOOKUP(Main_M[[#This Row],[Industry]], Mean_PB_M, 3, FALSE))</f>
        <v>-0.42730632262316054</v>
      </c>
      <c r="Q43" s="1">
        <f>(Main_M[[#This Row],[ROE]]-VLOOKUP(Main_M[[#This Row],[Industry]], Mean_ROE_M, 2, FALSE))/(VLOOKUP(Main_M[[#This Row],[Industry]], Mean_ROE_M, 3, FALSE))</f>
        <v>2.5558788050922088</v>
      </c>
      <c r="R43" s="1">
        <f>(Main_M[[#This Row],[ROA]]-VLOOKUP(Main_M[[#This Row],[Industry]], Mean_ROA_M, 2, FALSE))/(VLOOKUP(Main_M[[#This Row],[Industry]], Mean_ROA_M, 3, FALSE))</f>
        <v>0.64969490839175414</v>
      </c>
      <c r="S43" s="1">
        <f>(Main_M[[#This Row],[A/E]]-VLOOKUP(Main_M[[#This Row],[Industry]], Mean_AE_M, 2, FALSE))/(VLOOKUP(Main_M[[#This Row],[Industry]], Mean_AE_M, 3, FALSE))</f>
        <v>-7.9388005042227081E-2</v>
      </c>
      <c r="T43" s="1">
        <f>(Main_M[[#This Row],[P/E]]-VLOOKUP(Main_M[[#This Row],[Industry]], Mean_PE_M, 2, FALSE))/(VLOOKUP(Main_M[[#This Row],[Industry]], Mean_PE_M, 3, FALSE))</f>
        <v>-0.3723192503452627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4" spans="1:26" x14ac:dyDescent="0.25">
      <c r="A44" t="s">
        <v>133</v>
      </c>
      <c r="B44" t="s">
        <v>201</v>
      </c>
      <c r="C44" s="2">
        <v>3229</v>
      </c>
      <c r="D44">
        <f>RTD("tos.rtd", , "LAST", Main_M[[#This Row],[Symbol]])</f>
        <v>3.88</v>
      </c>
      <c r="E44">
        <v>0.21</v>
      </c>
      <c r="F44">
        <v>1.31</v>
      </c>
      <c r="G44">
        <v>0.17</v>
      </c>
      <c r="H44" s="1">
        <f>IF(ISNUMBER(Main_M[[#This Row],[Free CF]]),IF(Main_M[[#This Row],[Free CF]]&lt;&gt;0,Main_M[[#This Row],[Current Price]]/Main_M[[#This Row],[Free CF]],""),"")</f>
        <v>18.476190476190478</v>
      </c>
      <c r="I44" s="1">
        <f>IF(ISNUMBER(Main_M[[#This Row],[BVPS]]),IF(Main_M[[#This Row],[BVPS]]&lt;&gt;0,Main_M[[#This Row],[Current Price]]/Main_M[[#This Row],[BVPS]],""),"")</f>
        <v>2.9618320610687019</v>
      </c>
      <c r="J44">
        <v>14.62</v>
      </c>
      <c r="K44">
        <v>5.58</v>
      </c>
      <c r="L44">
        <v>2.0499999999999998</v>
      </c>
      <c r="M44" s="1">
        <f>IF(ISNUMBER(Main_M[[#This Row],[EPS]]),IF(Main_M[[#This Row],[EPS]]&lt;&gt;0,Main_M[[#This Row],[Current Price]]/Main_M[[#This Row],[EPS]],""),"")</f>
        <v>22.823529411764703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4" s="1">
        <f>(Main_M[[#This Row],[P/FCF]]-VLOOKUP(Main_M[[#This Row],[Industry]], Mean_PFCF_M, 2, FALSE))/(VLOOKUP(Main_M[[#This Row],[Industry]], Mean_PFCF_M, 3, FALSE))</f>
        <v>0.52163345183932486</v>
      </c>
      <c r="P44" s="1">
        <f>(Main_M[[#This Row],[P/B]]-VLOOKUP(Main_M[[#This Row],[Industry]], Mean_PB_M, 2, FALSE))/(VLOOKUP(Main_M[[#This Row],[Industry]], Mean_PB_M, 3, FALSE))</f>
        <v>2.1670699668702627</v>
      </c>
      <c r="Q44" s="1">
        <f>(Main_M[[#This Row],[ROE]]-VLOOKUP(Main_M[[#This Row],[Industry]], Mean_ROE_M, 2, FALSE))/(VLOOKUP(Main_M[[#This Row],[Industry]], Mean_ROE_M, 3, FALSE))</f>
        <v>1.0977223075306966</v>
      </c>
      <c r="R44" s="1">
        <f>(Main_M[[#This Row],[ROA]]-VLOOKUP(Main_M[[#This Row],[Industry]], Mean_ROA_M, 2, FALSE))/(VLOOKUP(Main_M[[#This Row],[Industry]], Mean_ROA_M, 3, FALSE))</f>
        <v>0.55199014710404826</v>
      </c>
      <c r="S44" s="1">
        <f>(Main_M[[#This Row],[A/E]]-VLOOKUP(Main_M[[#This Row],[Industry]], Mean_AE_M, 2, FALSE))/(VLOOKUP(Main_M[[#This Row],[Industry]], Mean_AE_M, 3, FALSE))</f>
        <v>1.1013688023463906</v>
      </c>
      <c r="T44" s="1">
        <f>(Main_M[[#This Row],[P/E]]-VLOOKUP(Main_M[[#This Row],[Industry]], Mean_PE_M, 2, FALSE))/(VLOOKUP(Main_M[[#This Row],[Industry]], Mean_PE_M, 3, FALSE))</f>
        <v>0.18831749441756801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5" spans="1:26" x14ac:dyDescent="0.25">
      <c r="A45" t="s">
        <v>133</v>
      </c>
      <c r="B45" t="s">
        <v>202</v>
      </c>
      <c r="C45" s="2">
        <v>4466</v>
      </c>
      <c r="D45">
        <f>RTD("tos.rtd", , "LAST", Main_M[[#This Row],[Symbol]])</f>
        <v>23.24</v>
      </c>
      <c r="E45">
        <v>0.46</v>
      </c>
      <c r="F45">
        <v>6.37</v>
      </c>
      <c r="G45">
        <v>0.09</v>
      </c>
      <c r="H45" s="1">
        <f>IF(ISNUMBER(Main_M[[#This Row],[Free CF]]),IF(Main_M[[#This Row],[Free CF]]&lt;&gt;0,Main_M[[#This Row],[Current Price]]/Main_M[[#This Row],[Free CF]],""),"")</f>
        <v>50.521739130434774</v>
      </c>
      <c r="I45" s="1">
        <f>IF(ISNUMBER(Main_M[[#This Row],[BVPS]]),IF(Main_M[[#This Row],[BVPS]]&lt;&gt;0,Main_M[[#This Row],[Current Price]]/Main_M[[#This Row],[BVPS]],""),"")</f>
        <v>3.6483516483516478</v>
      </c>
      <c r="J45">
        <v>1.34</v>
      </c>
      <c r="K45">
        <v>3.42</v>
      </c>
      <c r="L45">
        <v>1.1599999999999999</v>
      </c>
      <c r="M45" s="1">
        <f>IF(ISNUMBER(Main_M[[#This Row],[EPS]]),IF(Main_M[[#This Row],[EPS]]&lt;&gt;0,Main_M[[#This Row],[Current Price]]/Main_M[[#This Row],[EPS]],""),"")</f>
        <v>258.22222222222223</v>
      </c>
      <c r="N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5" s="1">
        <f>(Main_M[[#This Row],[P/FCF]]-VLOOKUP(Main_M[[#This Row],[Industry]], Mean_PFCF_M, 2, FALSE))/(VLOOKUP(Main_M[[#This Row],[Industry]], Mean_PFCF_M, 3, FALSE))</f>
        <v>1.7770690540414797</v>
      </c>
      <c r="P45" s="1">
        <f>(Main_M[[#This Row],[P/B]]-VLOOKUP(Main_M[[#This Row],[Industry]], Mean_PB_M, 2, FALSE))/(VLOOKUP(Main_M[[#This Row],[Industry]], Mean_PB_M, 3, FALSE))</f>
        <v>3.1155036584377833</v>
      </c>
      <c r="Q45" s="1">
        <f>(Main_M[[#This Row],[ROE]]-VLOOKUP(Main_M[[#This Row],[Industry]], Mean_ROE_M, 2, FALSE))/(VLOOKUP(Main_M[[#This Row],[Industry]], Mean_ROE_M, 3, FALSE))</f>
        <v>-0.16709273411638909</v>
      </c>
      <c r="R45" s="1">
        <f>(Main_M[[#This Row],[ROA]]-VLOOKUP(Main_M[[#This Row],[Industry]], Mean_ROA_M, 2, FALSE))/(VLOOKUP(Main_M[[#This Row],[Industry]], Mean_ROA_M, 3, FALSE))</f>
        <v>1.0856084587522694E-2</v>
      </c>
      <c r="S45" s="1">
        <f>(Main_M[[#This Row],[A/E]]-VLOOKUP(Main_M[[#This Row],[Industry]], Mean_AE_M, 2, FALSE))/(VLOOKUP(Main_M[[#This Row],[Industry]], Mean_AE_M, 3, FALSE))</f>
        <v>-1.286980194416951</v>
      </c>
      <c r="T45" s="1">
        <f>(Main_M[[#This Row],[P/E]]-VLOOKUP(Main_M[[#This Row],[Industry]], Mean_PE_M, 2, FALSE))/(VLOOKUP(Main_M[[#This Row],[Industry]], Mean_PE_M, 3, FALSE))</f>
        <v>7.2823024011321964</v>
      </c>
      <c r="U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6" spans="1:26" x14ac:dyDescent="0.25">
      <c r="A46" t="s">
        <v>133</v>
      </c>
      <c r="B46" t="s">
        <v>203</v>
      </c>
      <c r="C46" s="2">
        <v>3656</v>
      </c>
      <c r="D46">
        <f>RTD("tos.rtd", , "LAST", Main_M[[#This Row],[Symbol]])</f>
        <v>8.85</v>
      </c>
      <c r="E46">
        <v>0.46</v>
      </c>
      <c r="F46">
        <v>1.58</v>
      </c>
      <c r="G46">
        <v>0.27</v>
      </c>
      <c r="H46" s="1">
        <f>IF(ISNUMBER(Main_M[[#This Row],[Free CF]]),IF(Main_M[[#This Row],[Free CF]]&lt;&gt;0,Main_M[[#This Row],[Current Price]]/Main_M[[#This Row],[Free CF]],""),"")</f>
        <v>19.239130434782606</v>
      </c>
      <c r="I46" s="1">
        <f>IF(ISNUMBER(Main_M[[#This Row],[BVPS]]),IF(Main_M[[#This Row],[BVPS]]&lt;&gt;0,Main_M[[#This Row],[Current Price]]/Main_M[[#This Row],[BVPS]],""),"")</f>
        <v>5.6012658227848098</v>
      </c>
      <c r="J46">
        <v>19.600000000000001</v>
      </c>
      <c r="K46">
        <v>17.72</v>
      </c>
      <c r="L46">
        <v>1.18</v>
      </c>
      <c r="M46" s="1">
        <f>IF(ISNUMBER(Main_M[[#This Row],[EPS]]),IF(Main_M[[#This Row],[EPS]]&lt;&gt;0,Main_M[[#This Row],[Current Price]]/Main_M[[#This Row],[EPS]],""),"")</f>
        <v>32.777777777777771</v>
      </c>
      <c r="N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6" s="1">
        <f>(Main_M[[#This Row],[P/FCF]]-VLOOKUP(Main_M[[#This Row],[Industry]], Mean_PFCF_M, 2, FALSE))/(VLOOKUP(Main_M[[#This Row],[Industry]], Mean_PFCF_M, 3, FALSE))</f>
        <v>0.55152284448769617</v>
      </c>
      <c r="P46" s="1">
        <f>(Main_M[[#This Row],[P/B]]-VLOOKUP(Main_M[[#This Row],[Industry]], Mean_PB_M, 2, FALSE))/(VLOOKUP(Main_M[[#This Row],[Industry]], Mean_PB_M, 3, FALSE))</f>
        <v>5.8134741666103347</v>
      </c>
      <c r="Q46" s="1">
        <f>(Main_M[[#This Row],[ROE]]-VLOOKUP(Main_M[[#This Row],[Industry]], Mean_ROE_M, 2, FALSE))/(VLOOKUP(Main_M[[#This Row],[Industry]], Mean_ROE_M, 3, FALSE))</f>
        <v>1.5720279481483539</v>
      </c>
      <c r="R46" s="1">
        <f>(Main_M[[#This Row],[ROA]]-VLOOKUP(Main_M[[#This Row],[Industry]], Mean_ROA_M, 2, FALSE))/(VLOOKUP(Main_M[[#This Row],[Industry]], Mean_ROA_M, 3, FALSE))</f>
        <v>3.593363998470076</v>
      </c>
      <c r="S46" s="1">
        <f>(Main_M[[#This Row],[A/E]]-VLOOKUP(Main_M[[#This Row],[Industry]], Mean_AE_M, 2, FALSE))/(VLOOKUP(Main_M[[#This Row],[Industry]], Mean_AE_M, 3, FALSE))</f>
        <v>-1.233309430444741</v>
      </c>
      <c r="T46" s="1">
        <f>(Main_M[[#This Row],[P/E]]-VLOOKUP(Main_M[[#This Row],[Industry]], Mean_PE_M, 2, FALSE))/(VLOOKUP(Main_M[[#This Row],[Industry]], Mean_PE_M, 3, FALSE))</f>
        <v>0.48829914182223189</v>
      </c>
      <c r="U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7" spans="1:26" x14ac:dyDescent="0.25">
      <c r="A47" t="s">
        <v>133</v>
      </c>
      <c r="B47" t="s">
        <v>204</v>
      </c>
      <c r="C47" s="2">
        <v>2556</v>
      </c>
      <c r="D47">
        <f>RTD("tos.rtd", , "LAST", Main_M[[#This Row],[Symbol]])</f>
        <v>8.11</v>
      </c>
      <c r="E47">
        <v>0.41</v>
      </c>
      <c r="F47">
        <v>4.8099999999999996</v>
      </c>
      <c r="G47">
        <v>0.05</v>
      </c>
      <c r="H47" s="1">
        <f>IF(ISNUMBER(Main_M[[#This Row],[Free CF]]),IF(Main_M[[#This Row],[Free CF]]&lt;&gt;0,Main_M[[#This Row],[Current Price]]/Main_M[[#This Row],[Free CF]],""),"")</f>
        <v>19.780487804878049</v>
      </c>
      <c r="I47" s="1">
        <f>IF(ISNUMBER(Main_M[[#This Row],[BVPS]]),IF(Main_M[[#This Row],[BVPS]]&lt;&gt;0,Main_M[[#This Row],[Current Price]]/Main_M[[#This Row],[BVPS]],""),"")</f>
        <v>1.686070686070686</v>
      </c>
      <c r="J47">
        <v>1.07</v>
      </c>
      <c r="K47">
        <v>2.35</v>
      </c>
      <c r="L47">
        <v>1.3</v>
      </c>
      <c r="M47" s="1">
        <f>IF(ISNUMBER(Main_M[[#This Row],[EPS]]),IF(Main_M[[#This Row],[EPS]]&lt;&gt;0,Main_M[[#This Row],[Current Price]]/Main_M[[#This Row],[EPS]],""),"")</f>
        <v>162.19999999999999</v>
      </c>
      <c r="N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7" s="1">
        <f>(Main_M[[#This Row],[P/FCF]]-VLOOKUP(Main_M[[#This Row],[Industry]], Mean_PFCF_M, 2, FALSE))/(VLOOKUP(Main_M[[#This Row],[Industry]], Mean_PFCF_M, 3, FALSE))</f>
        <v>0.57273138497066067</v>
      </c>
      <c r="P47" s="1">
        <f>(Main_M[[#This Row],[P/B]]-VLOOKUP(Main_M[[#This Row],[Industry]], Mean_PB_M, 2, FALSE))/(VLOOKUP(Main_M[[#This Row],[Industry]], Mean_PB_M, 3, FALSE))</f>
        <v>0.40459283895994436</v>
      </c>
      <c r="Q47" s="1">
        <f>(Main_M[[#This Row],[ROE]]-VLOOKUP(Main_M[[#This Row],[Industry]], Mean_ROE_M, 2, FALSE))/(VLOOKUP(Main_M[[#This Row],[Industry]], Mean_ROE_M, 3, FALSE))</f>
        <v>-0.19280810017397293</v>
      </c>
      <c r="R47" s="1">
        <f>(Main_M[[#This Row],[ROA]]-VLOOKUP(Main_M[[#This Row],[Industry]], Mean_ROA_M, 2, FALSE))/(VLOOKUP(Main_M[[#This Row],[Industry]], Mean_ROA_M, 3, FALSE))</f>
        <v>-0.25720569638131169</v>
      </c>
      <c r="S47" s="1">
        <f>(Main_M[[#This Row],[A/E]]-VLOOKUP(Main_M[[#This Row],[Industry]], Mean_AE_M, 2, FALSE))/(VLOOKUP(Main_M[[#This Row],[Industry]], Mean_AE_M, 3, FALSE))</f>
        <v>-0.91128484661148113</v>
      </c>
      <c r="T47" s="1">
        <f>(Main_M[[#This Row],[P/E]]-VLOOKUP(Main_M[[#This Row],[Industry]], Mean_PE_M, 2, FALSE))/(VLOOKUP(Main_M[[#This Row],[Industry]], Mean_PE_M, 3, FALSE))</f>
        <v>4.3885726738302386</v>
      </c>
      <c r="U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8" spans="1:26" x14ac:dyDescent="0.25">
      <c r="A48" t="s">
        <v>133</v>
      </c>
      <c r="B48" t="s">
        <v>205</v>
      </c>
      <c r="C48" s="2">
        <v>2268</v>
      </c>
      <c r="D48">
        <f>RTD("tos.rtd", , "LAST", Main_M[[#This Row],[Symbol]])</f>
        <v>10.55</v>
      </c>
      <c r="E48">
        <v>-0.51</v>
      </c>
      <c r="F48">
        <v>15.35</v>
      </c>
      <c r="G48">
        <v>-1.29</v>
      </c>
      <c r="H48" s="1">
        <f>IF(ISNUMBER(Main_M[[#This Row],[Free CF]]),IF(Main_M[[#This Row],[Free CF]]&lt;&gt;0,Main_M[[#This Row],[Current Price]]/Main_M[[#This Row],[Free CF]],""),"")</f>
        <v>-20.686274509803923</v>
      </c>
      <c r="I48" s="1">
        <f>IF(ISNUMBER(Main_M[[#This Row],[BVPS]]),IF(Main_M[[#This Row],[BVPS]]&lt;&gt;0,Main_M[[#This Row],[Current Price]]/Main_M[[#This Row],[BVPS]],""),"")</f>
        <v>0.68729641693811083</v>
      </c>
      <c r="J48">
        <v>-8.5500000000000007</v>
      </c>
      <c r="K48">
        <v>1.1299999999999999</v>
      </c>
      <c r="L48">
        <v>1.67</v>
      </c>
      <c r="M48" s="1">
        <f>IF(ISNUMBER(Main_M[[#This Row],[EPS]]),IF(Main_M[[#This Row],[EPS]]&lt;&gt;0,Main_M[[#This Row],[Current Price]]/Main_M[[#This Row],[EPS]],""),"")</f>
        <v>-8.1782945736434112</v>
      </c>
      <c r="N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8" s="1">
        <f>(Main_M[[#This Row],[P/FCF]]-VLOOKUP(Main_M[[#This Row],[Industry]], Mean_PFCF_M, 2, FALSE))/(VLOOKUP(Main_M[[#This Row],[Industry]], Mean_PFCF_M, 3, FALSE))</f>
        <v>-1.012618726018172</v>
      </c>
      <c r="P48" s="1">
        <f>(Main_M[[#This Row],[P/B]]-VLOOKUP(Main_M[[#This Row],[Industry]], Mean_PB_M, 2, FALSE))/(VLOOKUP(Main_M[[#This Row],[Industry]], Mean_PB_M, 3, FALSE))</f>
        <v>-0.97522382565278243</v>
      </c>
      <c r="Q48" s="1">
        <f>(Main_M[[#This Row],[ROE]]-VLOOKUP(Main_M[[#This Row],[Industry]], Mean_ROE_M, 2, FALSE))/(VLOOKUP(Main_M[[#This Row],[Industry]], Mean_ROE_M, 3, FALSE))</f>
        <v>-1.1090370685960336</v>
      </c>
      <c r="R48" s="1">
        <f>(Main_M[[#This Row],[ROA]]-VLOOKUP(Main_M[[#This Row],[Industry]], Mean_ROA_M, 2, FALSE))/(VLOOKUP(Main_M[[#This Row],[Industry]], Mean_ROA_M, 3, FALSE))</f>
        <v>-0.56284623169157155</v>
      </c>
      <c r="S48" s="1">
        <f>(Main_M[[#This Row],[A/E]]-VLOOKUP(Main_M[[#This Row],[Industry]], Mean_AE_M, 2, FALSE))/(VLOOKUP(Main_M[[#This Row],[Industry]], Mean_AE_M, 3, FALSE))</f>
        <v>8.1624286874402249E-2</v>
      </c>
      <c r="T48" s="1">
        <f>(Main_M[[#This Row],[P/E]]-VLOOKUP(Main_M[[#This Row],[Industry]], Mean_PE_M, 2, FALSE))/(VLOOKUP(Main_M[[#This Row],[Industry]], Mean_PE_M, 3, FALSE))</f>
        <v>-0.74595477705249047</v>
      </c>
      <c r="U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9" spans="1:26" x14ac:dyDescent="0.25">
      <c r="A49" t="s">
        <v>133</v>
      </c>
      <c r="B49" t="s">
        <v>206</v>
      </c>
      <c r="C49" s="2">
        <v>4397</v>
      </c>
      <c r="D49">
        <f>RTD("tos.rtd", , "LAST", Main_M[[#This Row],[Symbol]])</f>
        <v>19.96</v>
      </c>
      <c r="E49">
        <v>0.78</v>
      </c>
      <c r="F49">
        <v>8.6300000000000008</v>
      </c>
      <c r="G49">
        <v>-0.11</v>
      </c>
      <c r="H49" s="1">
        <f>IF(ISNUMBER(Main_M[[#This Row],[Free CF]]),IF(Main_M[[#This Row],[Free CF]]&lt;&gt;0,Main_M[[#This Row],[Current Price]]/Main_M[[#This Row],[Free CF]],""),"")</f>
        <v>25.589743589743591</v>
      </c>
      <c r="I49" s="1">
        <f>IF(ISNUMBER(Main_M[[#This Row],[BVPS]]),IF(Main_M[[#This Row],[BVPS]]&lt;&gt;0,Main_M[[#This Row],[Current Price]]/Main_M[[#This Row],[BVPS]],""),"")</f>
        <v>2.3128621089223635</v>
      </c>
      <c r="J49">
        <v>-1.3</v>
      </c>
      <c r="K49">
        <v>0.75</v>
      </c>
      <c r="L49">
        <v>1.02</v>
      </c>
      <c r="M49" s="1">
        <f>IF(ISNUMBER(Main_M[[#This Row],[EPS]]),IF(Main_M[[#This Row],[EPS]]&lt;&gt;0,Main_M[[#This Row],[Current Price]]/Main_M[[#This Row],[EPS]],""),"")</f>
        <v>-181.45454545454547</v>
      </c>
      <c r="N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9" s="1">
        <f>(Main_M[[#This Row],[P/FCF]]-VLOOKUP(Main_M[[#This Row],[Industry]], Mean_PFCF_M, 2, FALSE))/(VLOOKUP(Main_M[[#This Row],[Industry]], Mean_PFCF_M, 3, FALSE))</f>
        <v>0.80031826804476525</v>
      </c>
      <c r="P49" s="1">
        <f>(Main_M[[#This Row],[P/B]]-VLOOKUP(Main_M[[#This Row],[Industry]], Mean_PB_M, 2, FALSE))/(VLOOKUP(Main_M[[#This Row],[Industry]], Mean_PB_M, 3, FALSE))</f>
        <v>1.2705114726449975</v>
      </c>
      <c r="Q49" s="1">
        <f>(Main_M[[#This Row],[ROE]]-VLOOKUP(Main_M[[#This Row],[Industry]], Mean_ROE_M, 2, FALSE))/(VLOOKUP(Main_M[[#This Row],[Industry]], Mean_ROE_M, 3, FALSE))</f>
        <v>-0.41853186890165317</v>
      </c>
      <c r="R49" s="1">
        <f>(Main_M[[#This Row],[ROA]]-VLOOKUP(Main_M[[#This Row],[Industry]], Mean_ROA_M, 2, FALSE))/(VLOOKUP(Main_M[[#This Row],[Industry]], Mean_ROA_M, 3, FALSE))</f>
        <v>-0.65804574268984917</v>
      </c>
      <c r="S49" s="1">
        <f>(Main_M[[#This Row],[A/E]]-VLOOKUP(Main_M[[#This Row],[Industry]], Mean_AE_M, 2, FALSE))/(VLOOKUP(Main_M[[#This Row],[Industry]], Mean_AE_M, 3, FALSE))</f>
        <v>-1.6626755422224202</v>
      </c>
      <c r="T49" s="1">
        <f>(Main_M[[#This Row],[P/E]]-VLOOKUP(Main_M[[#This Row],[Industry]], Mean_PE_M, 2, FALSE))/(VLOOKUP(Main_M[[#This Row],[Industry]], Mean_PE_M, 3, FALSE))</f>
        <v>-5.9678151610903099</v>
      </c>
      <c r="U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0" spans="1:26" x14ac:dyDescent="0.25">
      <c r="A50" t="s">
        <v>133</v>
      </c>
      <c r="B50" t="s">
        <v>207</v>
      </c>
      <c r="C50" s="2">
        <v>3581</v>
      </c>
      <c r="D50">
        <f>RTD("tos.rtd", , "LAST", Main_M[[#This Row],[Symbol]])</f>
        <v>4.5999999999999996</v>
      </c>
      <c r="E50">
        <v>-0.21</v>
      </c>
      <c r="F50">
        <v>0.82</v>
      </c>
      <c r="G50">
        <v>-0.14000000000000001</v>
      </c>
      <c r="H50" s="1">
        <f>IF(ISNUMBER(Main_M[[#This Row],[Free CF]]),IF(Main_M[[#This Row],[Free CF]]&lt;&gt;0,Main_M[[#This Row],[Current Price]]/Main_M[[#This Row],[Free CF]],""),"")</f>
        <v>-21.904761904761905</v>
      </c>
      <c r="I50" s="1">
        <f>IF(ISNUMBER(Main_M[[#This Row],[BVPS]]),IF(Main_M[[#This Row],[BVPS]]&lt;&gt;0,Main_M[[#This Row],[Current Price]]/Main_M[[#This Row],[BVPS]],""),"")</f>
        <v>5.6097560975609753</v>
      </c>
      <c r="J50">
        <v>-11.43</v>
      </c>
      <c r="K50">
        <v>-3.65</v>
      </c>
      <c r="L50">
        <v>3.14</v>
      </c>
      <c r="M50" s="1">
        <f>IF(ISNUMBER(Main_M[[#This Row],[EPS]]),IF(Main_M[[#This Row],[EPS]]&lt;&gt;0,Main_M[[#This Row],[Current Price]]/Main_M[[#This Row],[EPS]],""),"")</f>
        <v>-32.857142857142854</v>
      </c>
      <c r="N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0" s="1">
        <f>(Main_M[[#This Row],[P/FCF]]-VLOOKUP(Main_M[[#This Row],[Industry]], Mean_PFCF_M, 2, FALSE))/(VLOOKUP(Main_M[[#This Row],[Industry]], Mean_PFCF_M, 3, FALSE))</f>
        <v>-1.0603549178047402</v>
      </c>
      <c r="P50" s="1">
        <f>(Main_M[[#This Row],[P/B]]-VLOOKUP(Main_M[[#This Row],[Industry]], Mean_PB_M, 2, FALSE))/(VLOOKUP(Main_M[[#This Row],[Industry]], Mean_PB_M, 3, FALSE))</f>
        <v>5.8252035663209103</v>
      </c>
      <c r="Q50" s="1">
        <f>(Main_M[[#This Row],[ROE]]-VLOOKUP(Main_M[[#This Row],[Industry]], Mean_ROE_M, 2, FALSE))/(VLOOKUP(Main_M[[#This Row],[Industry]], Mean_ROE_M, 3, FALSE))</f>
        <v>-1.3833343065435943</v>
      </c>
      <c r="R50" s="1">
        <f>(Main_M[[#This Row],[ROA]]-VLOOKUP(Main_M[[#This Row],[Industry]], Mean_ROA_M, 2, FALSE))/(VLOOKUP(Main_M[[#This Row],[Industry]], Mean_ROA_M, 3, FALSE))</f>
        <v>-1.7603558700383271</v>
      </c>
      <c r="S50" s="1">
        <f>(Main_M[[#This Row],[A/E]]-VLOOKUP(Main_M[[#This Row],[Industry]], Mean_AE_M, 2, FALSE))/(VLOOKUP(Main_M[[#This Row],[Industry]], Mean_AE_M, 3, FALSE))</f>
        <v>4.0264254388318328</v>
      </c>
      <c r="T50" s="1">
        <f>(Main_M[[#This Row],[P/E]]-VLOOKUP(Main_M[[#This Row],[Industry]], Mean_PE_M, 2, FALSE))/(VLOOKUP(Main_M[[#This Row],[Industry]], Mean_PE_M, 3, FALSE))</f>
        <v>-1.4896775868440142</v>
      </c>
      <c r="U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1" spans="1:26" x14ac:dyDescent="0.25">
      <c r="A51" t="s">
        <v>133</v>
      </c>
      <c r="B51" t="s">
        <v>208</v>
      </c>
      <c r="C51" s="2">
        <v>3034</v>
      </c>
      <c r="D51">
        <f>RTD("tos.rtd", , "LAST", Main_M[[#This Row],[Symbol]])</f>
        <v>5.8</v>
      </c>
      <c r="E51">
        <v>0.12</v>
      </c>
      <c r="F51">
        <v>4.4800000000000004</v>
      </c>
      <c r="G51">
        <v>-0.34</v>
      </c>
      <c r="H51" s="1">
        <f>IF(ISNUMBER(Main_M[[#This Row],[Free CF]]),IF(Main_M[[#This Row],[Free CF]]&lt;&gt;0,Main_M[[#This Row],[Current Price]]/Main_M[[#This Row],[Free CF]],""),"")</f>
        <v>48.333333333333336</v>
      </c>
      <c r="I51" s="1">
        <f>IF(ISNUMBER(Main_M[[#This Row],[BVPS]]),IF(Main_M[[#This Row],[BVPS]]&lt;&gt;0,Main_M[[#This Row],[Current Price]]/Main_M[[#This Row],[BVPS]],""),"")</f>
        <v>1.294642857142857</v>
      </c>
      <c r="J51">
        <v>-7.52</v>
      </c>
      <c r="K51">
        <v>0.17</v>
      </c>
      <c r="L51">
        <v>1.47</v>
      </c>
      <c r="M51" s="1">
        <f>IF(ISNUMBER(Main_M[[#This Row],[EPS]]),IF(Main_M[[#This Row],[EPS]]&lt;&gt;0,Main_M[[#This Row],[Current Price]]/Main_M[[#This Row],[EPS]],""),"")</f>
        <v>-17.058823529411764</v>
      </c>
      <c r="N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1" s="1">
        <f>(Main_M[[#This Row],[P/FCF]]-VLOOKUP(Main_M[[#This Row],[Industry]], Mean_PFCF_M, 2, FALSE))/(VLOOKUP(Main_M[[#This Row],[Industry]], Mean_PFCF_M, 3, FALSE))</f>
        <v>1.6913347581681324</v>
      </c>
      <c r="P51" s="1">
        <f>(Main_M[[#This Row],[P/B]]-VLOOKUP(Main_M[[#This Row],[Industry]], Mean_PB_M, 2, FALSE))/(VLOOKUP(Main_M[[#This Row],[Industry]], Mean_PB_M, 3, FALSE))</f>
        <v>-0.13616863041277782</v>
      </c>
      <c r="Q51" s="1">
        <f>(Main_M[[#This Row],[ROE]]-VLOOKUP(Main_M[[#This Row],[Industry]], Mean_ROE_M, 2, FALSE))/(VLOOKUP(Main_M[[#This Row],[Industry]], Mean_ROE_M, 3, FALSE))</f>
        <v>-1.0109377091911766</v>
      </c>
      <c r="R51" s="1">
        <f>(Main_M[[#This Row],[ROA]]-VLOOKUP(Main_M[[#This Row],[Industry]], Mean_ROA_M, 2, FALSE))/(VLOOKUP(Main_M[[#This Row],[Industry]], Mean_ROA_M, 3, FALSE))</f>
        <v>-0.80335025947669403</v>
      </c>
      <c r="S51" s="1">
        <f>(Main_M[[#This Row],[A/E]]-VLOOKUP(Main_M[[#This Row],[Industry]], Mean_AE_M, 2, FALSE))/(VLOOKUP(Main_M[[#This Row],[Industry]], Mean_AE_M, 3, FALSE))</f>
        <v>-0.45508335284769691</v>
      </c>
      <c r="T51" s="1">
        <f>(Main_M[[#This Row],[P/E]]-VLOOKUP(Main_M[[#This Row],[Industry]], Mean_PE_M, 2, FALSE))/(VLOOKUP(Main_M[[#This Row],[Industry]], Mean_PE_M, 3, FALSE))</f>
        <v>-1.0135787711525301</v>
      </c>
      <c r="U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2" spans="1:26" x14ac:dyDescent="0.25">
      <c r="A52" t="s">
        <v>133</v>
      </c>
      <c r="B52" t="s">
        <v>209</v>
      </c>
      <c r="C52" s="2">
        <v>3087</v>
      </c>
      <c r="D52">
        <f>RTD("tos.rtd", , "LAST", Main_M[[#This Row],[Symbol]])</f>
        <v>4.9400000000000004</v>
      </c>
      <c r="E52">
        <v>0.03</v>
      </c>
      <c r="F52">
        <v>3.28</v>
      </c>
      <c r="G52">
        <v>0.11</v>
      </c>
      <c r="H52" s="1">
        <f>IF(ISNUMBER(Main_M[[#This Row],[Free CF]]),IF(Main_M[[#This Row],[Free CF]]&lt;&gt;0,Main_M[[#This Row],[Current Price]]/Main_M[[#This Row],[Free CF]],""),"")</f>
        <v>164.66666666666669</v>
      </c>
      <c r="I52" s="1">
        <f>IF(ISNUMBER(Main_M[[#This Row],[BVPS]]),IF(Main_M[[#This Row],[BVPS]]&lt;&gt;0,Main_M[[#This Row],[Current Price]]/Main_M[[#This Row],[BVPS]],""),"")</f>
        <v>1.50609756097561</v>
      </c>
      <c r="J52">
        <v>3.49</v>
      </c>
      <c r="K52">
        <v>3.34</v>
      </c>
      <c r="L52">
        <v>1.46</v>
      </c>
      <c r="M52" s="1">
        <f>IF(ISNUMBER(Main_M[[#This Row],[EPS]]),IF(Main_M[[#This Row],[EPS]]&lt;&gt;0,Main_M[[#This Row],[Current Price]]/Main_M[[#This Row],[EPS]],""),"")</f>
        <v>44.909090909090914</v>
      </c>
      <c r="N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2" s="1">
        <f>(Main_M[[#This Row],[P/FCF]]-VLOOKUP(Main_M[[#This Row],[Industry]], Mean_PFCF_M, 2, FALSE))/(VLOOKUP(Main_M[[#This Row],[Industry]], Mean_PFCF_M, 3, FALSE))</f>
        <v>6.2488790825082869</v>
      </c>
      <c r="P52" s="1">
        <f>(Main_M[[#This Row],[P/B]]-VLOOKUP(Main_M[[#This Row],[Industry]], Mean_PB_M, 2, FALSE))/(VLOOKUP(Main_M[[#This Row],[Industry]], Mean_PB_M, 3, FALSE))</f>
        <v>0.15595816257376882</v>
      </c>
      <c r="Q52" s="1">
        <f>(Main_M[[#This Row],[ROE]]-VLOOKUP(Main_M[[#This Row],[Industry]], Mean_ROE_M, 2, FALSE))/(VLOOKUP(Main_M[[#This Row],[Industry]], Mean_ROE_M, 3, FALSE))</f>
        <v>3.7677773379185819E-2</v>
      </c>
      <c r="R52" s="1">
        <f>(Main_M[[#This Row],[ROA]]-VLOOKUP(Main_M[[#This Row],[Industry]], Mean_ROA_M, 2, FALSE))/(VLOOKUP(Main_M[[#This Row],[Industry]], Mean_ROA_M, 3, FALSE))</f>
        <v>-9.1859177279041953E-3</v>
      </c>
      <c r="S52" s="1">
        <f>(Main_M[[#This Row],[A/E]]-VLOOKUP(Main_M[[#This Row],[Industry]], Mean_AE_M, 2, FALSE))/(VLOOKUP(Main_M[[#This Row],[Industry]], Mean_AE_M, 3, FALSE))</f>
        <v>-0.48191873483380188</v>
      </c>
      <c r="T52" s="1">
        <f>(Main_M[[#This Row],[P/E]]-VLOOKUP(Main_M[[#This Row],[Industry]], Mean_PE_M, 2, FALSE))/(VLOOKUP(Main_M[[#This Row],[Industry]], Mean_PE_M, 3, FALSE))</f>
        <v>0.85388890455493827</v>
      </c>
      <c r="U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3" spans="1:26" x14ac:dyDescent="0.25">
      <c r="A53" t="s">
        <v>133</v>
      </c>
      <c r="B53" t="s">
        <v>210</v>
      </c>
      <c r="C53" s="2">
        <v>8899</v>
      </c>
      <c r="D53">
        <f>RTD("tos.rtd", , "LAST", Main_M[[#This Row],[Symbol]])</f>
        <v>23.03</v>
      </c>
      <c r="E53">
        <v>1.1000000000000001</v>
      </c>
      <c r="F53">
        <v>12.96</v>
      </c>
      <c r="G53">
        <v>0.31</v>
      </c>
      <c r="H53" s="1">
        <f>IF(ISNUMBER(Main_M[[#This Row],[Free CF]]),IF(Main_M[[#This Row],[Free CF]]&lt;&gt;0,Main_M[[#This Row],[Current Price]]/Main_M[[#This Row],[Free CF]],""),"")</f>
        <v>20.936363636363637</v>
      </c>
      <c r="I53" s="1">
        <f>IF(ISNUMBER(Main_M[[#This Row],[BVPS]]),IF(Main_M[[#This Row],[BVPS]]&lt;&gt;0,Main_M[[#This Row],[Current Price]]/Main_M[[#This Row],[BVPS]],""),"")</f>
        <v>1.7770061728395061</v>
      </c>
      <c r="J53">
        <v>2.38</v>
      </c>
      <c r="K53">
        <v>3.04</v>
      </c>
      <c r="L53">
        <v>1.53</v>
      </c>
      <c r="M53" s="1">
        <f>IF(ISNUMBER(Main_M[[#This Row],[EPS]]),IF(Main_M[[#This Row],[EPS]]&lt;&gt;0,Main_M[[#This Row],[Current Price]]/Main_M[[#This Row],[EPS]],""),"")</f>
        <v>74.290322580645167</v>
      </c>
      <c r="N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3" s="1">
        <f>(Main_M[[#This Row],[P/FCF]]-VLOOKUP(Main_M[[#This Row],[Industry]], Mean_PFCF_M, 2, FALSE))/(VLOOKUP(Main_M[[#This Row],[Industry]], Mean_PFCF_M, 3, FALSE))</f>
        <v>0.61801466865629762</v>
      </c>
      <c r="P53" s="1">
        <f>(Main_M[[#This Row],[P/B]]-VLOOKUP(Main_M[[#This Row],[Industry]], Mean_PB_M, 2, FALSE))/(VLOOKUP(Main_M[[#This Row],[Industry]], Mean_PB_M, 3, FALSE))</f>
        <v>0.53022112547683797</v>
      </c>
      <c r="Q53" s="1">
        <f>(Main_M[[#This Row],[ROE]]-VLOOKUP(Main_M[[#This Row],[Industry]], Mean_ROE_M, 2, FALSE))/(VLOOKUP(Main_M[[#This Row],[Industry]], Mean_ROE_M, 3, FALSE))</f>
        <v>-6.8040953746436594E-2</v>
      </c>
      <c r="R53" s="1">
        <f>(Main_M[[#This Row],[ROA]]-VLOOKUP(Main_M[[#This Row],[Industry]], Mean_ROA_M, 2, FALSE))/(VLOOKUP(Main_M[[#This Row],[Industry]], Mean_ROA_M, 3, FALSE))</f>
        <v>-8.4343426410754915E-2</v>
      </c>
      <c r="S53" s="1">
        <f>(Main_M[[#This Row],[A/E]]-VLOOKUP(Main_M[[#This Row],[Industry]], Mean_AE_M, 2, FALSE))/(VLOOKUP(Main_M[[#This Row],[Industry]], Mean_AE_M, 3, FALSE))</f>
        <v>-0.294071060931067</v>
      </c>
      <c r="T53" s="1">
        <f>(Main_M[[#This Row],[P/E]]-VLOOKUP(Main_M[[#This Row],[Industry]], Mean_PE_M, 2, FALSE))/(VLOOKUP(Main_M[[#This Row],[Industry]], Mean_PE_M, 3, FALSE))</f>
        <v>1.7393229378973367</v>
      </c>
      <c r="U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4" spans="1:26" x14ac:dyDescent="0.25">
      <c r="A54" t="s">
        <v>133</v>
      </c>
      <c r="B54" t="s">
        <v>211</v>
      </c>
      <c r="C54" s="2">
        <v>4198</v>
      </c>
      <c r="D54">
        <f>RTD("tos.rtd", , "LAST", Main_M[[#This Row],[Symbol]])</f>
        <v>7.58</v>
      </c>
      <c r="E54">
        <v>-1.23</v>
      </c>
      <c r="F54">
        <v>13.49</v>
      </c>
      <c r="G54">
        <v>-1.57</v>
      </c>
      <c r="H54" s="1">
        <f>IF(ISNUMBER(Main_M[[#This Row],[Free CF]]),IF(Main_M[[#This Row],[Free CF]]&lt;&gt;0,Main_M[[#This Row],[Current Price]]/Main_M[[#This Row],[Free CF]],""),"")</f>
        <v>-6.1626016260162606</v>
      </c>
      <c r="I54" s="1">
        <f>IF(ISNUMBER(Main_M[[#This Row],[BVPS]]),IF(Main_M[[#This Row],[BVPS]]&lt;&gt;0,Main_M[[#This Row],[Current Price]]/Main_M[[#This Row],[BVPS]],""),"")</f>
        <v>0.56189770200148259</v>
      </c>
      <c r="J54">
        <v>-9.43</v>
      </c>
      <c r="K54">
        <v>-0.83</v>
      </c>
      <c r="L54">
        <v>3.14</v>
      </c>
      <c r="M54" s="1">
        <f>IF(ISNUMBER(Main_M[[#This Row],[EPS]]),IF(Main_M[[#This Row],[EPS]]&lt;&gt;0,Main_M[[#This Row],[Current Price]]/Main_M[[#This Row],[EPS]],""),"")</f>
        <v>-4.8280254777070066</v>
      </c>
      <c r="N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4" s="1">
        <f>(Main_M[[#This Row],[P/FCF]]-VLOOKUP(Main_M[[#This Row],[Industry]], Mean_PFCF_M, 2, FALSE))/(VLOOKUP(Main_M[[#This Row],[Industry]], Mean_PFCF_M, 3, FALSE))</f>
        <v>-0.4436306206879761</v>
      </c>
      <c r="P54" s="1">
        <f>(Main_M[[#This Row],[P/B]]-VLOOKUP(Main_M[[#This Row],[Industry]], Mean_PB_M, 2, FALSE))/(VLOOKUP(Main_M[[#This Row],[Industry]], Mean_PB_M, 3, FALSE))</f>
        <v>-1.1484634073461042</v>
      </c>
      <c r="Q54" s="1">
        <f>(Main_M[[#This Row],[ROE]]-VLOOKUP(Main_M[[#This Row],[Industry]], Mean_ROE_M, 2, FALSE))/(VLOOKUP(Main_M[[#This Row],[Industry]], Mean_ROE_M, 3, FALSE))</f>
        <v>-1.1928501135244549</v>
      </c>
      <c r="R54" s="1">
        <f>(Main_M[[#This Row],[ROA]]-VLOOKUP(Main_M[[#This Row],[Industry]], Mean_ROA_M, 2, FALSE))/(VLOOKUP(Main_M[[#This Row],[Industry]], Mean_ROA_M, 3, FALSE))</f>
        <v>-1.0538752884195297</v>
      </c>
      <c r="S54" s="1">
        <f>(Main_M[[#This Row],[A/E]]-VLOOKUP(Main_M[[#This Row],[Industry]], Mean_AE_M, 2, FALSE))/(VLOOKUP(Main_M[[#This Row],[Industry]], Mean_AE_M, 3, FALSE))</f>
        <v>4.0264254388318328</v>
      </c>
      <c r="T54" s="1">
        <f>(Main_M[[#This Row],[P/E]]-VLOOKUP(Main_M[[#This Row],[Industry]], Mean_PE_M, 2, FALSE))/(VLOOKUP(Main_M[[#This Row],[Industry]], Mean_PE_M, 3, FALSE))</f>
        <v>-0.64499092667485791</v>
      </c>
      <c r="U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5" spans="1:26" x14ac:dyDescent="0.25">
      <c r="A55" t="s">
        <v>133</v>
      </c>
      <c r="B55" t="s">
        <v>212</v>
      </c>
      <c r="C55" s="2">
        <v>5090</v>
      </c>
      <c r="D55">
        <f>RTD("tos.rtd", , "LAST", Main_M[[#This Row],[Symbol]])</f>
        <v>47.83</v>
      </c>
      <c r="E55">
        <v>3.73</v>
      </c>
      <c r="F55">
        <v>35.42</v>
      </c>
      <c r="G55">
        <v>0.63</v>
      </c>
      <c r="H55" s="1">
        <f>IF(ISNUMBER(Main_M[[#This Row],[Free CF]]),IF(Main_M[[#This Row],[Free CF]]&lt;&gt;0,Main_M[[#This Row],[Current Price]]/Main_M[[#This Row],[Free CF]],""),"")</f>
        <v>12.823056300268096</v>
      </c>
      <c r="I55" s="1">
        <f>IF(ISNUMBER(Main_M[[#This Row],[BVPS]]),IF(Main_M[[#This Row],[BVPS]]&lt;&gt;0,Main_M[[#This Row],[Current Price]]/Main_M[[#This Row],[BVPS]],""),"")</f>
        <v>1.3503670242800676</v>
      </c>
      <c r="J55">
        <v>1.78</v>
      </c>
      <c r="K55">
        <v>4.78</v>
      </c>
      <c r="L55">
        <v>1.67</v>
      </c>
      <c r="M55" s="1">
        <f>IF(ISNUMBER(Main_M[[#This Row],[EPS]]),IF(Main_M[[#This Row],[EPS]]&lt;&gt;0,Main_M[[#This Row],[Current Price]]/Main_M[[#This Row],[EPS]],""),"")</f>
        <v>75.920634920634924</v>
      </c>
      <c r="N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5" s="1">
        <f>(Main_M[[#This Row],[P/FCF]]-VLOOKUP(Main_M[[#This Row],[Industry]], Mean_PFCF_M, 2, FALSE))/(VLOOKUP(Main_M[[#This Row],[Industry]], Mean_PFCF_M, 3, FALSE))</f>
        <v>0.30016288239913796</v>
      </c>
      <c r="P55" s="1">
        <f>(Main_M[[#This Row],[P/B]]-VLOOKUP(Main_M[[#This Row],[Industry]], Mean_PB_M, 2, FALSE))/(VLOOKUP(Main_M[[#This Row],[Industry]], Mean_PB_M, 3, FALSE))</f>
        <v>-5.9185134928492408E-2</v>
      </c>
      <c r="Q55" s="1">
        <f>(Main_M[[#This Row],[ROE]]-VLOOKUP(Main_M[[#This Row],[Industry]], Mean_ROE_M, 2, FALSE))/(VLOOKUP(Main_M[[#This Row],[Industry]], Mean_ROE_M, 3, FALSE))</f>
        <v>-0.12518621165217841</v>
      </c>
      <c r="R55" s="1">
        <f>(Main_M[[#This Row],[ROA]]-VLOOKUP(Main_M[[#This Row],[Industry]], Mean_ROA_M, 2, FALSE))/(VLOOKUP(Main_M[[#This Row],[Industry]], Mean_ROA_M, 3, FALSE))</f>
        <v>0.3515701239497796</v>
      </c>
      <c r="S55" s="1">
        <f>(Main_M[[#This Row],[A/E]]-VLOOKUP(Main_M[[#This Row],[Industry]], Mean_AE_M, 2, FALSE))/(VLOOKUP(Main_M[[#This Row],[Industry]], Mean_AE_M, 3, FALSE))</f>
        <v>8.1624286874402249E-2</v>
      </c>
      <c r="T55" s="1">
        <f>(Main_M[[#This Row],[P/E]]-VLOOKUP(Main_M[[#This Row],[Industry]], Mean_PE_M, 2, FALSE))/(VLOOKUP(Main_M[[#This Row],[Industry]], Mean_PE_M, 3, FALSE))</f>
        <v>1.7884540991414239</v>
      </c>
      <c r="U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6" spans="1:26" x14ac:dyDescent="0.25">
      <c r="A56" t="s">
        <v>133</v>
      </c>
      <c r="B56" t="s">
        <v>213</v>
      </c>
      <c r="C56" s="2">
        <v>5031</v>
      </c>
      <c r="D56">
        <f>RTD("tos.rtd", , "LAST", Main_M[[#This Row],[Symbol]])</f>
        <v>2.78</v>
      </c>
      <c r="E56">
        <v>0.4</v>
      </c>
      <c r="F56">
        <v>4.84</v>
      </c>
      <c r="G56">
        <v>0.27</v>
      </c>
      <c r="H56" s="1">
        <f>IF(ISNUMBER(Main_M[[#This Row],[Free CF]]),IF(Main_M[[#This Row],[Free CF]]&lt;&gt;0,Main_M[[#This Row],[Current Price]]/Main_M[[#This Row],[Free CF]],""),"")</f>
        <v>6.9499999999999993</v>
      </c>
      <c r="I56" s="1">
        <f>IF(ISNUMBER(Main_M[[#This Row],[BVPS]]),IF(Main_M[[#This Row],[BVPS]]&lt;&gt;0,Main_M[[#This Row],[Current Price]]/Main_M[[#This Row],[BVPS]],""),"")</f>
        <v>0.57438016528925617</v>
      </c>
      <c r="J56">
        <v>6.1</v>
      </c>
      <c r="K56">
        <v>4.47</v>
      </c>
      <c r="L56">
        <v>1.53</v>
      </c>
      <c r="M56" s="1">
        <f>IF(ISNUMBER(Main_M[[#This Row],[EPS]]),IF(Main_M[[#This Row],[EPS]]&lt;&gt;0,Main_M[[#This Row],[Current Price]]/Main_M[[#This Row],[EPS]],""),"")</f>
        <v>10.296296296296294</v>
      </c>
      <c r="N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6" s="1">
        <f>(Main_M[[#This Row],[P/FCF]]-VLOOKUP(Main_M[[#This Row],[Industry]], Mean_PFCF_M, 2, FALSE))/(VLOOKUP(Main_M[[#This Row],[Industry]], Mean_PFCF_M, 3, FALSE))</f>
        <v>7.0076512131369631E-2</v>
      </c>
      <c r="P56" s="1">
        <f>(Main_M[[#This Row],[P/B]]-VLOOKUP(Main_M[[#This Row],[Industry]], Mean_PB_M, 2, FALSE))/(VLOOKUP(Main_M[[#This Row],[Industry]], Mean_PB_M, 3, FALSE))</f>
        <v>-1.1312187591886733</v>
      </c>
      <c r="Q56" s="1">
        <f>(Main_M[[#This Row],[ROE]]-VLOOKUP(Main_M[[#This Row],[Industry]], Mean_ROE_M, 2, FALSE))/(VLOOKUP(Main_M[[#This Row],[Industry]], Mean_ROE_M, 3, FALSE))</f>
        <v>0.2862596452691627</v>
      </c>
      <c r="R56" s="1">
        <f>(Main_M[[#This Row],[ROA]]-VLOOKUP(Main_M[[#This Row],[Industry]], Mean_ROA_M, 2, FALSE))/(VLOOKUP(Main_M[[#This Row],[Industry]], Mean_ROA_M, 3, FALSE))</f>
        <v>0.27390736497750034</v>
      </c>
      <c r="S56" s="1">
        <f>(Main_M[[#This Row],[A/E]]-VLOOKUP(Main_M[[#This Row],[Industry]], Mean_AE_M, 2, FALSE))/(VLOOKUP(Main_M[[#This Row],[Industry]], Mean_AE_M, 3, FALSE))</f>
        <v>-0.294071060931067</v>
      </c>
      <c r="T56" s="1">
        <f>(Main_M[[#This Row],[P/E]]-VLOOKUP(Main_M[[#This Row],[Industry]], Mean_PE_M, 2, FALSE))/(VLOOKUP(Main_M[[#This Row],[Industry]], Mean_PE_M, 3, FALSE))</f>
        <v>-0.18920372960887494</v>
      </c>
      <c r="U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7" spans="1:26" x14ac:dyDescent="0.25">
      <c r="A57" t="s">
        <v>133</v>
      </c>
      <c r="B57" t="s">
        <v>214</v>
      </c>
      <c r="C57" s="2">
        <v>2409</v>
      </c>
      <c r="D57">
        <f>RTD("tos.rtd", , "LAST", Main_M[[#This Row],[Symbol]])</f>
        <v>48.37</v>
      </c>
      <c r="E57">
        <v>-2.9</v>
      </c>
      <c r="F57">
        <v>39.51</v>
      </c>
      <c r="G57">
        <v>2.0099999999999998</v>
      </c>
      <c r="H57" s="1">
        <f>IF(ISNUMBER(Main_M[[#This Row],[Free CF]]),IF(Main_M[[#This Row],[Free CF]]&lt;&gt;0,Main_M[[#This Row],[Current Price]]/Main_M[[#This Row],[Free CF]],""),"")</f>
        <v>-16.679310344827584</v>
      </c>
      <c r="I57" s="1">
        <f>IF(ISNUMBER(Main_M[[#This Row],[BVPS]]),IF(Main_M[[#This Row],[BVPS]]&lt;&gt;0,Main_M[[#This Row],[Current Price]]/Main_M[[#This Row],[BVPS]],""),"")</f>
        <v>1.2242470260693494</v>
      </c>
      <c r="J57">
        <v>5.2</v>
      </c>
      <c r="K57">
        <v>2.1800000000000002</v>
      </c>
      <c r="L57">
        <v>1.26</v>
      </c>
      <c r="M57" s="1">
        <f>IF(ISNUMBER(Main_M[[#This Row],[EPS]]),IF(Main_M[[#This Row],[EPS]]&lt;&gt;0,Main_M[[#This Row],[Current Price]]/Main_M[[#This Row],[EPS]],""),"")</f>
        <v>24.064676616915424</v>
      </c>
      <c r="N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7" s="1">
        <f>(Main_M[[#This Row],[P/FCF]]-VLOOKUP(Main_M[[#This Row],[Industry]], Mean_PFCF_M, 2, FALSE))/(VLOOKUP(Main_M[[#This Row],[Industry]], Mean_PFCF_M, 3, FALSE))</f>
        <v>-0.85563949861482846</v>
      </c>
      <c r="P57" s="1">
        <f>(Main_M[[#This Row],[P/B]]-VLOOKUP(Main_M[[#This Row],[Industry]], Mean_PB_M, 2, FALSE))/(VLOOKUP(Main_M[[#This Row],[Industry]], Mean_PB_M, 3, FALSE))</f>
        <v>-0.23342117669517998</v>
      </c>
      <c r="Q57" s="1">
        <f>(Main_M[[#This Row],[ROE]]-VLOOKUP(Main_M[[#This Row],[Industry]], Mean_ROE_M, 2, FALSE))/(VLOOKUP(Main_M[[#This Row],[Industry]], Mean_ROE_M, 3, FALSE))</f>
        <v>0.20054175841055003</v>
      </c>
      <c r="R57" s="1">
        <f>(Main_M[[#This Row],[ROA]]-VLOOKUP(Main_M[[#This Row],[Industry]], Mean_ROA_M, 2, FALSE))/(VLOOKUP(Main_M[[#This Row],[Industry]], Mean_ROA_M, 3, FALSE))</f>
        <v>-0.29979495130159378</v>
      </c>
      <c r="S57" s="1">
        <f>(Main_M[[#This Row],[A/E]]-VLOOKUP(Main_M[[#This Row],[Industry]], Mean_AE_M, 2, FALSE))/(VLOOKUP(Main_M[[#This Row],[Industry]], Mean_AE_M, 3, FALSE))</f>
        <v>-1.018626374555901</v>
      </c>
      <c r="T57" s="1">
        <f>(Main_M[[#This Row],[P/E]]-VLOOKUP(Main_M[[#This Row],[Industry]], Mean_PE_M, 2, FALSE))/(VLOOKUP(Main_M[[#This Row],[Industry]], Mean_PE_M, 3, FALSE))</f>
        <v>0.22572075879100176</v>
      </c>
      <c r="U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8" spans="1:26" x14ac:dyDescent="0.25">
      <c r="A58" t="s">
        <v>133</v>
      </c>
      <c r="B58" t="s">
        <v>215</v>
      </c>
      <c r="C58" s="2">
        <v>2215</v>
      </c>
      <c r="D58">
        <f>RTD("tos.rtd", , "LAST", Main_M[[#This Row],[Symbol]])</f>
        <v>1.64</v>
      </c>
      <c r="E58">
        <v>0.38</v>
      </c>
      <c r="F58">
        <v>1.5</v>
      </c>
      <c r="G58">
        <v>-0.32</v>
      </c>
      <c r="H58" s="1">
        <f>IF(ISNUMBER(Main_M[[#This Row],[Free CF]]),IF(Main_M[[#This Row],[Free CF]]&lt;&gt;0,Main_M[[#This Row],[Current Price]]/Main_M[[#This Row],[Free CF]],""),"")</f>
        <v>4.3157894736842106</v>
      </c>
      <c r="I58" s="1">
        <f>IF(ISNUMBER(Main_M[[#This Row],[BVPS]]),IF(Main_M[[#This Row],[BVPS]]&lt;&gt;0,Main_M[[#This Row],[Current Price]]/Main_M[[#This Row],[BVPS]],""),"")</f>
        <v>1.0933333333333333</v>
      </c>
      <c r="J58">
        <v>-8.75</v>
      </c>
      <c r="K58">
        <v>2.65</v>
      </c>
      <c r="L58">
        <v>8.4700000000000006</v>
      </c>
      <c r="M58" s="1">
        <f>IF(ISNUMBER(Main_M[[#This Row],[EPS]]),IF(Main_M[[#This Row],[EPS]]&lt;&gt;0,Main_M[[#This Row],[Current Price]]/Main_M[[#This Row],[EPS]],""),"")</f>
        <v>-5.125</v>
      </c>
      <c r="N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8" s="1">
        <f>(Main_M[[#This Row],[P/FCF]]-VLOOKUP(Main_M[[#This Row],[Industry]], Mean_PFCF_M, 2, FALSE))/(VLOOKUP(Main_M[[#This Row],[Industry]], Mean_PFCF_M, 3, FALSE))</f>
        <v>-3.3122896751102686E-2</v>
      </c>
      <c r="P58" s="1">
        <f>(Main_M[[#This Row],[P/B]]-VLOOKUP(Main_M[[#This Row],[Industry]], Mean_PB_M, 2, FALSE))/(VLOOKUP(Main_M[[#This Row],[Industry]], Mean_PB_M, 3, FALSE))</f>
        <v>-0.41427975550100604</v>
      </c>
      <c r="Q58" s="1">
        <f>(Main_M[[#This Row],[ROE]]-VLOOKUP(Main_M[[#This Row],[Industry]], Mean_ROE_M, 2, FALSE))/(VLOOKUP(Main_M[[#This Row],[Industry]], Mean_ROE_M, 3, FALSE))</f>
        <v>-1.1280854878979476</v>
      </c>
      <c r="R58" s="1">
        <f>(Main_M[[#This Row],[ROA]]-VLOOKUP(Main_M[[#This Row],[Industry]], Mean_ROA_M, 2, FALSE))/(VLOOKUP(Main_M[[#This Row],[Industry]], Mean_ROA_M, 3, FALSE))</f>
        <v>-0.18204818769846096</v>
      </c>
      <c r="S58" s="1">
        <f>(Main_M[[#This Row],[A/E]]-VLOOKUP(Main_M[[#This Row],[Industry]], Mean_AE_M, 2, FALSE))/(VLOOKUP(Main_M[[#This Row],[Industry]], Mean_AE_M, 3, FALSE))</f>
        <v>18.329684037425778</v>
      </c>
      <c r="T58" s="1">
        <f>(Main_M[[#This Row],[P/E]]-VLOOKUP(Main_M[[#This Row],[Industry]], Mean_PE_M, 2, FALSE))/(VLOOKUP(Main_M[[#This Row],[Industry]], Mean_PE_M, 3, FALSE))</f>
        <v>-0.6539405633685571</v>
      </c>
      <c r="U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9" spans="1:26" x14ac:dyDescent="0.25">
      <c r="A59" t="s">
        <v>133</v>
      </c>
      <c r="B59" t="s">
        <v>216</v>
      </c>
      <c r="C59" s="2">
        <v>4103</v>
      </c>
      <c r="D59">
        <f>RTD("tos.rtd", , "LAST", Main_M[[#This Row],[Symbol]])</f>
        <v>26.7</v>
      </c>
      <c r="E59">
        <v>0.85</v>
      </c>
      <c r="F59">
        <v>19.690000000000001</v>
      </c>
      <c r="G59">
        <v>3.33</v>
      </c>
      <c r="H59" s="1">
        <f>IF(ISNUMBER(Main_M[[#This Row],[Free CF]]),IF(Main_M[[#This Row],[Free CF]]&lt;&gt;0,Main_M[[#This Row],[Current Price]]/Main_M[[#This Row],[Free CF]],""),"")</f>
        <v>31.411764705882351</v>
      </c>
      <c r="I59" s="1">
        <f>IF(ISNUMBER(Main_M[[#This Row],[BVPS]]),IF(Main_M[[#This Row],[BVPS]]&lt;&gt;0,Main_M[[#This Row],[Current Price]]/Main_M[[#This Row],[BVPS]],""),"")</f>
        <v>1.3560182833925849</v>
      </c>
      <c r="J59">
        <v>19.989999999999998</v>
      </c>
      <c r="K59">
        <v>5.0999999999999996</v>
      </c>
      <c r="L59">
        <v>1.2</v>
      </c>
      <c r="M59" s="1">
        <f>IF(ISNUMBER(Main_M[[#This Row],[EPS]]),IF(Main_M[[#This Row],[EPS]]&lt;&gt;0,Main_M[[#This Row],[Current Price]]/Main_M[[#This Row],[EPS]],""),"")</f>
        <v>8.0180180180180169</v>
      </c>
      <c r="N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9" s="1">
        <f>(Main_M[[#This Row],[P/FCF]]-VLOOKUP(Main_M[[#This Row],[Industry]], Mean_PFCF_M, 2, FALSE))/(VLOOKUP(Main_M[[#This Row],[Industry]], Mean_PFCF_M, 3, FALSE))</f>
        <v>1.0284052533804104</v>
      </c>
      <c r="P59" s="1">
        <f>(Main_M[[#This Row],[P/B]]-VLOOKUP(Main_M[[#This Row],[Industry]], Mean_PB_M, 2, FALSE))/(VLOOKUP(Main_M[[#This Row],[Industry]], Mean_PB_M, 3, FALSE))</f>
        <v>-5.1377863815803337E-2</v>
      </c>
      <c r="Q59" s="1">
        <f>(Main_M[[#This Row],[ROE]]-VLOOKUP(Main_M[[#This Row],[Industry]], Mean_ROE_M, 2, FALSE))/(VLOOKUP(Main_M[[#This Row],[Industry]], Mean_ROE_M, 3, FALSE))</f>
        <v>1.6091723657870858</v>
      </c>
      <c r="R59" s="1">
        <f>(Main_M[[#This Row],[ROA]]-VLOOKUP(Main_M[[#This Row],[Industry]], Mean_ROA_M, 2, FALSE))/(VLOOKUP(Main_M[[#This Row],[Industry]], Mean_ROA_M, 3, FALSE))</f>
        <v>0.43173813321148691</v>
      </c>
      <c r="S59" s="1">
        <f>(Main_M[[#This Row],[A/E]]-VLOOKUP(Main_M[[#This Row],[Industry]], Mean_AE_M, 2, FALSE))/(VLOOKUP(Main_M[[#This Row],[Industry]], Mean_AE_M, 3, FALSE))</f>
        <v>-1.1796386664725309</v>
      </c>
      <c r="T59" s="1">
        <f>(Main_M[[#This Row],[P/E]]-VLOOKUP(Main_M[[#This Row],[Industry]], Mean_PE_M, 2, FALSE))/(VLOOKUP(Main_M[[#This Row],[Industry]], Mean_PE_M, 3, FALSE))</f>
        <v>-0.2578620196207721</v>
      </c>
      <c r="U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0" spans="1:26" x14ac:dyDescent="0.25">
      <c r="A60" t="s">
        <v>133</v>
      </c>
      <c r="B60" t="s">
        <v>217</v>
      </c>
      <c r="C60" s="2">
        <v>5703</v>
      </c>
      <c r="D60">
        <f>RTD("tos.rtd", , "LAST", Main_M[[#This Row],[Symbol]])</f>
        <v>28.71</v>
      </c>
      <c r="E60">
        <v>-1.51</v>
      </c>
      <c r="F60">
        <v>61.68</v>
      </c>
      <c r="G60">
        <v>-1.77</v>
      </c>
      <c r="H60" s="1">
        <f>IF(ISNUMBER(Main_M[[#This Row],[Free CF]]),IF(Main_M[[#This Row],[Free CF]]&lt;&gt;0,Main_M[[#This Row],[Current Price]]/Main_M[[#This Row],[Free CF]],""),"")</f>
        <v>-19.013245033112582</v>
      </c>
      <c r="I60" s="1">
        <f>IF(ISNUMBER(Main_M[[#This Row],[BVPS]]),IF(Main_M[[#This Row],[BVPS]]&lt;&gt;0,Main_M[[#This Row],[Current Price]]/Main_M[[#This Row],[BVPS]],""),"")</f>
        <v>0.46546692607003892</v>
      </c>
      <c r="J60">
        <v>-1.03</v>
      </c>
      <c r="K60">
        <v>1.7</v>
      </c>
      <c r="L60">
        <v>1.96</v>
      </c>
      <c r="M60" s="1">
        <f>IF(ISNUMBER(Main_M[[#This Row],[EPS]]),IF(Main_M[[#This Row],[EPS]]&lt;&gt;0,Main_M[[#This Row],[Current Price]]/Main_M[[#This Row],[EPS]],""),"")</f>
        <v>-16.220338983050848</v>
      </c>
      <c r="N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0" s="1">
        <f>(Main_M[[#This Row],[P/FCF]]-VLOOKUP(Main_M[[#This Row],[Industry]], Mean_PFCF_M, 2, FALSE))/(VLOOKUP(Main_M[[#This Row],[Industry]], Mean_PFCF_M, 3, FALSE))</f>
        <v>-0.94707512146847228</v>
      </c>
      <c r="P60" s="1">
        <f>(Main_M[[#This Row],[P/B]]-VLOOKUP(Main_M[[#This Row],[Industry]], Mean_PB_M, 2, FALSE))/(VLOOKUP(Main_M[[#This Row],[Industry]], Mean_PB_M, 3, FALSE))</f>
        <v>-1.2816834909264514</v>
      </c>
      <c r="Q60" s="1">
        <f>(Main_M[[#This Row],[ROE]]-VLOOKUP(Main_M[[#This Row],[Industry]], Mean_ROE_M, 2, FALSE))/(VLOOKUP(Main_M[[#This Row],[Industry]], Mean_ROE_M, 3, FALSE))</f>
        <v>-0.39281650284406927</v>
      </c>
      <c r="R60" s="1">
        <f>(Main_M[[#This Row],[ROA]]-VLOOKUP(Main_M[[#This Row],[Industry]], Mean_ROA_M, 2, FALSE))/(VLOOKUP(Main_M[[#This Row],[Industry]], Mean_ROA_M, 3, FALSE))</f>
        <v>-0.42004696519415502</v>
      </c>
      <c r="S60" s="1">
        <f>(Main_M[[#This Row],[A/E]]-VLOOKUP(Main_M[[#This Row],[Industry]], Mean_AE_M, 2, FALSE))/(VLOOKUP(Main_M[[#This Row],[Industry]], Mean_AE_M, 3, FALSE))</f>
        <v>0.85985036447144625</v>
      </c>
      <c r="T60" s="1">
        <f>(Main_M[[#This Row],[P/E]]-VLOOKUP(Main_M[[#This Row],[Industry]], Mean_PE_M, 2, FALSE))/(VLOOKUP(Main_M[[#This Row],[Industry]], Mean_PE_M, 3, FALSE))</f>
        <v>-0.98831016559919649</v>
      </c>
      <c r="U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1" spans="1:26" x14ac:dyDescent="0.25">
      <c r="A61" t="s">
        <v>133</v>
      </c>
      <c r="B61" t="s">
        <v>218</v>
      </c>
      <c r="C61" s="2">
        <v>9177</v>
      </c>
      <c r="D61">
        <f>RTD("tos.rtd", , "LAST", Main_M[[#This Row],[Symbol]])</f>
        <v>41.79</v>
      </c>
      <c r="E61">
        <v>-6.36</v>
      </c>
      <c r="F61">
        <v>49.63</v>
      </c>
      <c r="G61">
        <v>0.43</v>
      </c>
      <c r="H61" s="1">
        <f>IF(ISNUMBER(Main_M[[#This Row],[Free CF]]),IF(Main_M[[#This Row],[Free CF]]&lt;&gt;0,Main_M[[#This Row],[Current Price]]/Main_M[[#This Row],[Free CF]],""),"")</f>
        <v>-6.5707547169811313</v>
      </c>
      <c r="I61" s="1">
        <f>IF(ISNUMBER(Main_M[[#This Row],[BVPS]]),IF(Main_M[[#This Row],[BVPS]]&lt;&gt;0,Main_M[[#This Row],[Current Price]]/Main_M[[#This Row],[BVPS]],""),"")</f>
        <v>0.84203102961918186</v>
      </c>
      <c r="J61">
        <v>0.86</v>
      </c>
      <c r="K61">
        <v>-0.06</v>
      </c>
      <c r="L61">
        <v>1.79</v>
      </c>
      <c r="M61" s="1">
        <f>IF(ISNUMBER(Main_M[[#This Row],[EPS]]),IF(Main_M[[#This Row],[EPS]]&lt;&gt;0,Main_M[[#This Row],[Current Price]]/Main_M[[#This Row],[EPS]],""),"")</f>
        <v>97.186046511627907</v>
      </c>
      <c r="N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1" s="1">
        <f>(Main_M[[#This Row],[P/FCF]]-VLOOKUP(Main_M[[#This Row],[Industry]], Mean_PFCF_M, 2, FALSE))/(VLOOKUP(Main_M[[#This Row],[Industry]], Mean_PFCF_M, 3, FALSE))</f>
        <v>-0.45962067057212075</v>
      </c>
      <c r="P61" s="1">
        <f>(Main_M[[#This Row],[P/B]]-VLOOKUP(Main_M[[#This Row],[Industry]], Mean_PB_M, 2, FALSE))/(VLOOKUP(Main_M[[#This Row],[Industry]], Mean_PB_M, 3, FALSE))</f>
        <v>-0.76145640715974827</v>
      </c>
      <c r="Q61" s="1">
        <f>(Main_M[[#This Row],[ROE]]-VLOOKUP(Main_M[[#This Row],[Industry]], Mean_ROE_M, 2, FALSE))/(VLOOKUP(Main_M[[#This Row],[Industry]], Mean_ROE_M, 3, FALSE))</f>
        <v>-0.21280894044098256</v>
      </c>
      <c r="R61" s="1">
        <f>(Main_M[[#This Row],[ROA]]-VLOOKUP(Main_M[[#This Row],[Industry]], Mean_ROA_M, 2, FALSE))/(VLOOKUP(Main_M[[#This Row],[Industry]], Mean_ROA_M, 3, FALSE))</f>
        <v>-0.86097101613354621</v>
      </c>
      <c r="S61" s="1">
        <f>(Main_M[[#This Row],[A/E]]-VLOOKUP(Main_M[[#This Row],[Industry]], Mean_AE_M, 2, FALSE))/(VLOOKUP(Main_M[[#This Row],[Industry]], Mean_AE_M, 3, FALSE))</f>
        <v>0.40364887070766209</v>
      </c>
      <c r="T61" s="1">
        <f>(Main_M[[#This Row],[P/E]]-VLOOKUP(Main_M[[#This Row],[Industry]], Mean_PE_M, 2, FALSE))/(VLOOKUP(Main_M[[#This Row],[Industry]], Mean_PE_M, 3, FALSE))</f>
        <v>2.4293094372084361</v>
      </c>
      <c r="U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2" spans="1:26" x14ac:dyDescent="0.25">
      <c r="A62" t="s">
        <v>157</v>
      </c>
      <c r="B62" t="s">
        <v>219</v>
      </c>
      <c r="C62" s="2">
        <v>6248</v>
      </c>
      <c r="D62">
        <f>RTD("tos.rtd", , "LAST", Main_M[[#This Row],[Symbol]])</f>
        <v>93.94</v>
      </c>
      <c r="E62">
        <v>5.94</v>
      </c>
      <c r="F62">
        <v>23.87</v>
      </c>
      <c r="G62">
        <v>5.89</v>
      </c>
      <c r="H62" s="1">
        <f>IF(ISNUMBER(Main_M[[#This Row],[Free CF]]),IF(Main_M[[#This Row],[Free CF]]&lt;&gt;0,Main_M[[#This Row],[Current Price]]/Main_M[[#This Row],[Free CF]],""),"")</f>
        <v>15.814814814814813</v>
      </c>
      <c r="I62" s="1">
        <f>IF(ISNUMBER(Main_M[[#This Row],[BVPS]]),IF(Main_M[[#This Row],[BVPS]]&lt;&gt;0,Main_M[[#This Row],[Current Price]]/Main_M[[#This Row],[BVPS]],""),"")</f>
        <v>3.9354838709677415</v>
      </c>
      <c r="J62">
        <v>26.02</v>
      </c>
      <c r="K62">
        <v>13.33</v>
      </c>
      <c r="L62">
        <v>1.54</v>
      </c>
      <c r="M62" s="1">
        <f>IF(ISNUMBER(Main_M[[#This Row],[EPS]]),IF(Main_M[[#This Row],[EPS]]&lt;&gt;0,Main_M[[#This Row],[Current Price]]/Main_M[[#This Row],[EPS]],""),"")</f>
        <v>15.949066213921903</v>
      </c>
      <c r="N6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2" s="1">
        <f>(Main_M[[#This Row],[P/FCF]]-VLOOKUP(Main_M[[#This Row],[Industry]], Mean_PFCF_M, 2, FALSE))/(VLOOKUP(Main_M[[#This Row],[Industry]], Mean_PFCF_M, 3, FALSE))</f>
        <v>-0.43365766651945736</v>
      </c>
      <c r="P62" s="1">
        <f>(Main_M[[#This Row],[P/B]]-VLOOKUP(Main_M[[#This Row],[Industry]], Mean_PB_M, 2, FALSE))/(VLOOKUP(Main_M[[#This Row],[Industry]], Mean_PB_M, 3, FALSE))</f>
        <v>1.1444532187962135</v>
      </c>
      <c r="Q62" s="1">
        <f>(Main_M[[#This Row],[ROE]]-VLOOKUP(Main_M[[#This Row],[Industry]], Mean_ROE_M, 2, FALSE))/(VLOOKUP(Main_M[[#This Row],[Industry]], Mean_ROE_M, 3, FALSE))</f>
        <v>0.39642201917974773</v>
      </c>
      <c r="R62" s="1">
        <f>(Main_M[[#This Row],[ROA]]-VLOOKUP(Main_M[[#This Row],[Industry]], Mean_ROA_M, 2, FALSE))/(VLOOKUP(Main_M[[#This Row],[Industry]], Mean_ROA_M, 3, FALSE))</f>
        <v>0.9849010622702099</v>
      </c>
      <c r="S62" s="1">
        <f>(Main_M[[#This Row],[A/E]]-VLOOKUP(Main_M[[#This Row],[Industry]], Mean_AE_M, 2, FALSE))/(VLOOKUP(Main_M[[#This Row],[Industry]], Mean_AE_M, 3, FALSE))</f>
        <v>-0.52377877735370182</v>
      </c>
      <c r="T62" s="1">
        <f>(Main_M[[#This Row],[P/E]]-VLOOKUP(Main_M[[#This Row],[Industry]], Mean_PE_M, 2, FALSE))/(VLOOKUP(Main_M[[#This Row],[Industry]], Mean_PE_M, 3, FALSE))</f>
        <v>0.711594973146078</v>
      </c>
      <c r="U6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3" spans="1:26" x14ac:dyDescent="0.25">
      <c r="A63" t="s">
        <v>157</v>
      </c>
      <c r="B63" t="s">
        <v>220</v>
      </c>
      <c r="C63" s="2">
        <v>5883</v>
      </c>
      <c r="D63">
        <f>RTD("tos.rtd", , "LAST", Main_M[[#This Row],[Symbol]])</f>
        <v>76.52</v>
      </c>
      <c r="E63">
        <v>1.97</v>
      </c>
      <c r="F63">
        <v>87.36</v>
      </c>
      <c r="G63">
        <v>-0.04</v>
      </c>
      <c r="H63" s="1">
        <f>IF(ISNUMBER(Main_M[[#This Row],[Free CF]]),IF(Main_M[[#This Row],[Free CF]]&lt;&gt;0,Main_M[[#This Row],[Current Price]]/Main_M[[#This Row],[Free CF]],""),"")</f>
        <v>38.842639593908629</v>
      </c>
      <c r="I63" s="1">
        <f>IF(ISNUMBER(Main_M[[#This Row],[BVPS]]),IF(Main_M[[#This Row],[BVPS]]&lt;&gt;0,Main_M[[#This Row],[Current Price]]/Main_M[[#This Row],[BVPS]],""),"")</f>
        <v>0.87591575091575091</v>
      </c>
      <c r="J63">
        <v>0.03</v>
      </c>
      <c r="K63">
        <v>0.77</v>
      </c>
      <c r="L63">
        <v>1.26</v>
      </c>
      <c r="M63" s="1">
        <f>IF(ISNUMBER(Main_M[[#This Row],[EPS]]),IF(Main_M[[#This Row],[EPS]]&lt;&gt;0,Main_M[[#This Row],[Current Price]]/Main_M[[#This Row],[EPS]],""),"")</f>
        <v>-1912.9999999999998</v>
      </c>
      <c r="N6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3" s="1">
        <f>(Main_M[[#This Row],[P/FCF]]-VLOOKUP(Main_M[[#This Row],[Industry]], Mean_PFCF_M, 2, FALSE))/(VLOOKUP(Main_M[[#This Row],[Industry]], Mean_PFCF_M, 3, FALSE))</f>
        <v>1.3825714168525534</v>
      </c>
      <c r="P63" s="1">
        <f>(Main_M[[#This Row],[P/B]]-VLOOKUP(Main_M[[#This Row],[Industry]], Mean_PB_M, 2, FALSE))/(VLOOKUP(Main_M[[#This Row],[Industry]], Mean_PB_M, 3, FALSE))</f>
        <v>-1.2917195714833785</v>
      </c>
      <c r="Q63" s="1">
        <f>(Main_M[[#This Row],[ROE]]-VLOOKUP(Main_M[[#This Row],[Industry]], Mean_ROE_M, 2, FALSE))/(VLOOKUP(Main_M[[#This Row],[Industry]], Mean_ROE_M, 3, FALSE))</f>
        <v>-1.3738543173291256</v>
      </c>
      <c r="R63" s="1">
        <f>(Main_M[[#This Row],[ROA]]-VLOOKUP(Main_M[[#This Row],[Industry]], Mean_ROA_M, 2, FALSE))/(VLOOKUP(Main_M[[#This Row],[Industry]], Mean_ROA_M, 3, FALSE))</f>
        <v>-1.3713574790848067</v>
      </c>
      <c r="S63" s="1">
        <f>(Main_M[[#This Row],[A/E]]-VLOOKUP(Main_M[[#This Row],[Industry]], Mean_AE_M, 2, FALSE))/(VLOOKUP(Main_M[[#This Row],[Industry]], Mean_AE_M, 3, FALSE))</f>
        <v>-0.87575811573538942</v>
      </c>
      <c r="T63" s="1">
        <f>(Main_M[[#This Row],[P/E]]-VLOOKUP(Main_M[[#This Row],[Industry]], Mean_PE_M, 2, FALSE))/(VLOOKUP(Main_M[[#This Row],[Industry]], Mean_PE_M, 3, FALSE))</f>
        <v>-1.414204046286708</v>
      </c>
      <c r="U6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4" spans="1:26" x14ac:dyDescent="0.25">
      <c r="A64" t="s">
        <v>157</v>
      </c>
      <c r="B64" t="s">
        <v>221</v>
      </c>
      <c r="C64" s="2">
        <v>2412</v>
      </c>
      <c r="D64">
        <f>RTD("tos.rtd", , "LAST", Main_M[[#This Row],[Symbol]])</f>
        <v>55.97</v>
      </c>
      <c r="E64">
        <v>6.03</v>
      </c>
      <c r="F64">
        <v>20.86</v>
      </c>
      <c r="G64">
        <v>7.18</v>
      </c>
      <c r="H64" s="1">
        <f>IF(ISNUMBER(Main_M[[#This Row],[Free CF]]),IF(Main_M[[#This Row],[Free CF]]&lt;&gt;0,Main_M[[#This Row],[Current Price]]/Main_M[[#This Row],[Free CF]],""),"")</f>
        <v>9.2819237147595359</v>
      </c>
      <c r="I64" s="1">
        <f>IF(ISNUMBER(Main_M[[#This Row],[BVPS]]),IF(Main_M[[#This Row],[BVPS]]&lt;&gt;0,Main_M[[#This Row],[Current Price]]/Main_M[[#This Row],[BVPS]],""),"")</f>
        <v>2.6831255992329819</v>
      </c>
      <c r="J64">
        <v>34.549999999999997</v>
      </c>
      <c r="K64">
        <v>10.14</v>
      </c>
      <c r="L64">
        <v>3.07</v>
      </c>
      <c r="M64" s="1">
        <f>IF(ISNUMBER(Main_M[[#This Row],[EPS]]),IF(Main_M[[#This Row],[EPS]]&lt;&gt;0,Main_M[[#This Row],[Current Price]]/Main_M[[#This Row],[EPS]],""),"")</f>
        <v>7.7952646239554317</v>
      </c>
      <c r="N6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4" s="1">
        <f>(Main_M[[#This Row],[P/FCF]]-VLOOKUP(Main_M[[#This Row],[Industry]], Mean_PFCF_M, 2, FALSE))/(VLOOKUP(Main_M[[#This Row],[Industry]], Mean_PFCF_M, 3, FALSE))</f>
        <v>-0.94891375033309666</v>
      </c>
      <c r="P64" s="1">
        <f>(Main_M[[#This Row],[P/B]]-VLOOKUP(Main_M[[#This Row],[Industry]], Mean_PB_M, 2, FALSE))/(VLOOKUP(Main_M[[#This Row],[Industry]], Mean_PB_M, 3, FALSE))</f>
        <v>0.14726635268716526</v>
      </c>
      <c r="Q64" s="1">
        <f>(Main_M[[#This Row],[ROE]]-VLOOKUP(Main_M[[#This Row],[Industry]], Mean_ROE_M, 2, FALSE))/(VLOOKUP(Main_M[[#This Row],[Industry]], Mean_ROE_M, 3, FALSE))</f>
        <v>0.97743229814937782</v>
      </c>
      <c r="R64" s="1">
        <f>(Main_M[[#This Row],[ROA]]-VLOOKUP(Main_M[[#This Row],[Industry]], Mean_ROA_M, 2, FALSE))/(VLOOKUP(Main_M[[#This Row],[Industry]], Mean_ROA_M, 3, FALSE))</f>
        <v>0.38645641681459675</v>
      </c>
      <c r="S64" s="1">
        <f>(Main_M[[#This Row],[A/E]]-VLOOKUP(Main_M[[#This Row],[Industry]], Mean_AE_M, 2, FALSE))/(VLOOKUP(Main_M[[#This Row],[Industry]], Mean_AE_M, 3, FALSE))</f>
        <v>1.3995368930890906</v>
      </c>
      <c r="T64" s="1">
        <f>(Main_M[[#This Row],[P/E]]-VLOOKUP(Main_M[[#This Row],[Industry]], Mean_PE_M, 2, FALSE))/(VLOOKUP(Main_M[[#This Row],[Industry]], Mean_PE_M, 3, FALSE))</f>
        <v>0.70260907314063015</v>
      </c>
      <c r="U6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96"/>
  <sheetViews>
    <sheetView workbookViewId="0">
      <selection activeCell="B24" sqref="B24"/>
    </sheetView>
  </sheetViews>
  <sheetFormatPr defaultRowHeight="15" x14ac:dyDescent="0.25"/>
  <cols>
    <col min="1" max="1" width="22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222</v>
      </c>
      <c r="C2" s="2">
        <v>611</v>
      </c>
      <c r="D2">
        <f>RTD("tos.rtd", , "LAST", Main_S[[#This Row],[Symbol]])</f>
        <v>23.91</v>
      </c>
      <c r="E2">
        <v>1.89</v>
      </c>
      <c r="F2">
        <v>29.63</v>
      </c>
      <c r="G2">
        <v>3.11</v>
      </c>
      <c r="H2" s="1">
        <f>IF(ISNUMBER(Main_S[[#This Row],[Free CF]]),IF(Main_S[[#This Row],[Free CF]]&lt;&gt;0,Main_S[[#This Row],[Current Price]]/Main_S[[#This Row],[Free CF]],""),"")</f>
        <v>12.650793650793652</v>
      </c>
      <c r="I2" s="1">
        <f>IF(ISNUMBER(Main_S[[#This Row],[BVPS]]),IF(Main_S[[#This Row],[BVPS]]&lt;&gt;0,Main_S[[#This Row],[Current Price]]/Main_S[[#This Row],[BVPS]],""),"")</f>
        <v>0.80695241309483634</v>
      </c>
      <c r="J2">
        <v>11.26</v>
      </c>
      <c r="K2">
        <v>4.43</v>
      </c>
      <c r="L2">
        <v>2.0499999999999998</v>
      </c>
      <c r="M2" s="1">
        <f>IF(ISNUMBER(Main_S[[#This Row],[EPS]]),IF(Main_S[[#This Row],[EPS]]&lt;&gt;0,Main_S[[#This Row],[Current Price]]/Main_S[[#This Row],[EPS]],""),"")</f>
        <v>7.6881028938906759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>
        <f>(Main_S[[#This Row],[P/FCF]]-VLOOKUP(Main_S[[#This Row],[Industry]], Mean_PFCF_S, 2, FALSE))/(VLOOKUP(Main_S[[#This Row],[Industry]], Mean_PFCF_S, 3, FALSE))</f>
        <v>0.38596804050165434</v>
      </c>
      <c r="P2" s="1">
        <f>(Main_S[[#This Row],[P/B]]-VLOOKUP(Main_S[[#This Row],[Industry]], Mean_PB_S, 2, FALSE))/(VLOOKUP(Main_S[[#This Row],[Industry]], Mean_PB_S, 3, FALSE))</f>
        <v>-0.44571787061675522</v>
      </c>
      <c r="Q2" s="1">
        <f>(Main_S[[#This Row],[ROE]]-VLOOKUP(Main_S[[#This Row],[Industry]], Mean_ROE_S, 2, FALSE))/(VLOOKUP(Main_S[[#This Row],[Industry]], Mean_ROE_S, 3, FALSE))</f>
        <v>0.81521317743670674</v>
      </c>
      <c r="R2" s="1">
        <f>(Main_S[[#This Row],[ROA]]-VLOOKUP(Main_S[[#This Row],[Industry]], Mean_ROA_S, 2, FALSE))/(VLOOKUP(Main_S[[#This Row],[Industry]], Mean_ROA_S, 3, FALSE))</f>
        <v>0.4581815628034131</v>
      </c>
      <c r="S2" s="1">
        <f>(Main_S[[#This Row],[A/E]]-VLOOKUP(Main_S[[#This Row],[Industry]], Mean_AE_S, 2, FALSE))/(VLOOKUP(Main_S[[#This Row],[Industry]], Mean_AE_S, 3, FALSE))</f>
        <v>-0.58978069136307743</v>
      </c>
      <c r="T2" s="1">
        <f>(Main_S[[#This Row],[P/E]]-VLOOKUP(Main_S[[#This Row],[Industry]], Mean_PE_S, 2, FALSE))/(VLOOKUP(Main_S[[#This Row],[Industry]], Mean_PE_S, 3, FALSE))</f>
        <v>0.12008881269960558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" spans="1:26" x14ac:dyDescent="0.25">
      <c r="A3" t="s">
        <v>105</v>
      </c>
      <c r="B3" t="s">
        <v>223</v>
      </c>
      <c r="C3" s="2">
        <v>1419</v>
      </c>
      <c r="D3">
        <f>RTD("tos.rtd", , "LAST", Main_S[[#This Row],[Symbol]])</f>
        <v>3.81</v>
      </c>
      <c r="E3">
        <v>-0.27</v>
      </c>
      <c r="F3">
        <v>-0.97</v>
      </c>
      <c r="G3">
        <v>-2.2999999999999998</v>
      </c>
      <c r="H3" s="1">
        <f>IF(ISNUMBER(Main_S[[#This Row],[Free CF]]),IF(Main_S[[#This Row],[Free CF]]&lt;&gt;0,Main_S[[#This Row],[Current Price]]/Main_S[[#This Row],[Free CF]],""),"")</f>
        <v>-14.111111111111111</v>
      </c>
      <c r="I3" s="1">
        <f>IF(ISNUMBER(Main_S[[#This Row],[BVPS]]),IF(Main_S[[#This Row],[BVPS]]&lt;&gt;0,Main_S[[#This Row],[Current Price]]/Main_S[[#This Row],[BVPS]],""),"")</f>
        <v>-3.927835051546392</v>
      </c>
      <c r="J3">
        <v>2412.8000000000002</v>
      </c>
      <c r="K3">
        <v>-0.68</v>
      </c>
      <c r="L3">
        <v>-21.24</v>
      </c>
      <c r="M3" s="1">
        <f>IF(ISNUMBER(Main_S[[#This Row],[EPS]]),IF(Main_S[[#This Row],[EPS]]&lt;&gt;0,Main_S[[#This Row],[Current Price]]/Main_S[[#This Row],[EPS]],""),"")</f>
        <v>-1.656521739130435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-1.3784058965374639</v>
      </c>
      <c r="P3" s="1">
        <f>(Main_S[[#This Row],[P/B]]-VLOOKUP(Main_S[[#This Row],[Industry]], Mean_PB_S, 2, FALSE))/(VLOOKUP(Main_S[[#This Row],[Industry]], Mean_PB_S, 3, FALSE))</f>
        <v>-13.178605629624567</v>
      </c>
      <c r="Q3" s="1">
        <f>(Main_S[[#This Row],[ROE]]-VLOOKUP(Main_S[[#This Row],[Industry]], Mean_ROE_S, 2, FALSE))/(VLOOKUP(Main_S[[#This Row],[Industry]], Mean_ROE_S, 3, FALSE))</f>
        <v>287.47962461921873</v>
      </c>
      <c r="R3" s="1">
        <f>(Main_S[[#This Row],[ROA]]-VLOOKUP(Main_S[[#This Row],[Industry]], Mean_ROA_S, 2, FALSE))/(VLOOKUP(Main_S[[#This Row],[Industry]], Mean_ROA_S, 3, FALSE))</f>
        <v>-1.6907033470989534</v>
      </c>
      <c r="S3" s="1">
        <f>(Main_S[[#This Row],[A/E]]-VLOOKUP(Main_S[[#This Row],[Industry]], Mean_AE_S, 2, FALSE))/(VLOOKUP(Main_S[[#This Row],[Industry]], Mean_AE_S, 3, FALSE))</f>
        <v>-29.103122112162655</v>
      </c>
      <c r="T3" s="1">
        <f>(Main_S[[#This Row],[P/E]]-VLOOKUP(Main_S[[#This Row],[Industry]], Mean_PE_S, 2, FALSE))/(VLOOKUP(Main_S[[#This Row],[Industry]], Mean_PE_S, 3, FALSE))</f>
        <v>-0.49067424487450062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" spans="1:26" x14ac:dyDescent="0.25">
      <c r="A4" t="s">
        <v>105</v>
      </c>
      <c r="B4" t="s">
        <v>224</v>
      </c>
      <c r="C4" s="2">
        <v>504</v>
      </c>
      <c r="D4">
        <f>RTD("tos.rtd", , "LAST", Main_S[[#This Row],[Symbol]])</f>
        <v>30.4</v>
      </c>
      <c r="E4">
        <v>2.0299999999999998</v>
      </c>
      <c r="F4">
        <v>24.1</v>
      </c>
      <c r="G4">
        <v>2.46</v>
      </c>
      <c r="H4" s="1">
        <f>IF(ISNUMBER(Main_S[[#This Row],[Free CF]]),IF(Main_S[[#This Row],[Free CF]]&lt;&gt;0,Main_S[[#This Row],[Current Price]]/Main_S[[#This Row],[Free CF]],""),"")</f>
        <v>14.97536945812808</v>
      </c>
      <c r="I4" s="1">
        <f>IF(ISNUMBER(Main_S[[#This Row],[BVPS]]),IF(Main_S[[#This Row],[BVPS]]&lt;&gt;0,Main_S[[#This Row],[Current Price]]/Main_S[[#This Row],[BVPS]],""),"")</f>
        <v>1.2614107883817427</v>
      </c>
      <c r="J4">
        <v>9.8000000000000007</v>
      </c>
      <c r="K4">
        <v>6.05</v>
      </c>
      <c r="L4">
        <v>3.87</v>
      </c>
      <c r="M4" s="1">
        <f>IF(ISNUMBER(Main_S[[#This Row],[EPS]]),IF(Main_S[[#This Row],[EPS]]&lt;&gt;0,Main_S[[#This Row],[Current Price]]/Main_S[[#This Row],[EPS]],""),"")</f>
        <v>12.357723577235772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0.53922398418810125</v>
      </c>
      <c r="P4" s="1">
        <f>(Main_S[[#This Row],[P/B]]-VLOOKUP(Main_S[[#This Row],[Industry]], Mean_PB_S, 2, FALSE))/(VLOOKUP(Main_S[[#This Row],[Industry]], Mean_PB_S, 3, FALSE))</f>
        <v>0.77642093220862096</v>
      </c>
      <c r="Q4" s="1">
        <f>(Main_S[[#This Row],[ROE]]-VLOOKUP(Main_S[[#This Row],[Industry]], Mean_ROE_S, 2, FALSE))/(VLOOKUP(Main_S[[#This Row],[Industry]], Mean_ROE_S, 3, FALSE))</f>
        <v>0.64093748737741085</v>
      </c>
      <c r="R4" s="1">
        <f>(Main_S[[#This Row],[ROA]]-VLOOKUP(Main_S[[#This Row],[Industry]], Mean_ROA_S, 2, FALSE))/(VLOOKUP(Main_S[[#This Row],[Industry]], Mean_ROA_S, 3, FALSE))</f>
        <v>1.139432747547412</v>
      </c>
      <c r="S4" s="1">
        <f>(Main_S[[#This Row],[A/E]]-VLOOKUP(Main_S[[#This Row],[Industry]], Mean_AE_S, 2, FALSE))/(VLOOKUP(Main_S[[#This Row],[Industry]], Mean_AE_S, 3, FALSE))</f>
        <v>1.6383979855736011</v>
      </c>
      <c r="T4" s="1">
        <f>(Main_S[[#This Row],[P/E]]-VLOOKUP(Main_S[[#This Row],[Industry]], Mean_PE_S, 2, FALSE))/(VLOOKUP(Main_S[[#This Row],[Industry]], Mean_PE_S, 3, FALSE))</f>
        <v>0.42529441680626068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" spans="1:26" x14ac:dyDescent="0.25">
      <c r="A5" t="s">
        <v>105</v>
      </c>
      <c r="B5" t="s">
        <v>225</v>
      </c>
      <c r="C5" s="2">
        <v>844</v>
      </c>
      <c r="D5">
        <f>RTD("tos.rtd", , "LAST", Main_S[[#This Row],[Symbol]])</f>
        <v>7.63</v>
      </c>
      <c r="E5">
        <v>0.37</v>
      </c>
      <c r="F5">
        <v>7.1</v>
      </c>
      <c r="G5">
        <v>0.75</v>
      </c>
      <c r="H5" s="1">
        <f>IF(ISNUMBER(Main_S[[#This Row],[Free CF]]),IF(Main_S[[#This Row],[Free CF]]&lt;&gt;0,Main_S[[#This Row],[Current Price]]/Main_S[[#This Row],[Free CF]],""),"")</f>
        <v>20.621621621621621</v>
      </c>
      <c r="I5" s="1">
        <f>IF(ISNUMBER(Main_S[[#This Row],[BVPS]]),IF(Main_S[[#This Row],[BVPS]]&lt;&gt;0,Main_S[[#This Row],[Current Price]]/Main_S[[#This Row],[BVPS]],""),"")</f>
        <v>1.0746478873239438</v>
      </c>
      <c r="J5">
        <v>10.61</v>
      </c>
      <c r="K5">
        <v>4.0599999999999996</v>
      </c>
      <c r="L5">
        <v>2.34</v>
      </c>
      <c r="M5" s="1">
        <f>IF(ISNUMBER(Main_S[[#This Row],[EPS]]),IF(Main_S[[#This Row],[EPS]]&lt;&gt;0,Main_S[[#This Row],[Current Price]]/Main_S[[#This Row],[EPS]],""),"")</f>
        <v>10.173333333333334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0.91147327839378378</v>
      </c>
      <c r="P5" s="1">
        <f>(Main_S[[#This Row],[P/B]]-VLOOKUP(Main_S[[#This Row],[Industry]], Mean_PB_S, 2, FALSE))/(VLOOKUP(Main_S[[#This Row],[Industry]], Mean_PB_S, 3, FALSE))</f>
        <v>0.27417430034299672</v>
      </c>
      <c r="Q5" s="1">
        <f>(Main_S[[#This Row],[ROE]]-VLOOKUP(Main_S[[#This Row],[Industry]], Mean_ROE_S, 2, FALSE))/(VLOOKUP(Main_S[[#This Row],[Industry]], Mean_ROE_S, 3, FALSE))</f>
        <v>0.73762468528702019</v>
      </c>
      <c r="R5" s="1">
        <f>(Main_S[[#This Row],[ROA]]-VLOOKUP(Main_S[[#This Row],[Industry]], Mean_ROA_S, 2, FALSE))/(VLOOKUP(Main_S[[#This Row],[Industry]], Mean_ROA_S, 3, FALSE))</f>
        <v>0.30258715641126516</v>
      </c>
      <c r="S5" s="1">
        <f>(Main_S[[#This Row],[A/E]]-VLOOKUP(Main_S[[#This Row],[Industry]], Mean_AE_S, 2, FALSE))/(VLOOKUP(Main_S[[#This Row],[Industry]], Mean_AE_S, 3, FALSE))</f>
        <v>-0.23474123185118909</v>
      </c>
      <c r="T5" s="1">
        <f>(Main_S[[#This Row],[P/E]]-VLOOKUP(Main_S[[#This Row],[Industry]], Mean_PE_S, 2, FALSE))/(VLOOKUP(Main_S[[#This Row],[Industry]], Mean_PE_S, 3, FALSE))</f>
        <v>0.28252304645218229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" spans="1:26" x14ac:dyDescent="0.25">
      <c r="A6" t="s">
        <v>105</v>
      </c>
      <c r="B6" t="s">
        <v>226</v>
      </c>
      <c r="C6" s="2">
        <v>274</v>
      </c>
      <c r="D6">
        <f>RTD("tos.rtd", , "LAST", Main_S[[#This Row],[Symbol]])</f>
        <v>6.38</v>
      </c>
      <c r="E6">
        <v>0.72</v>
      </c>
      <c r="F6">
        <v>15.8</v>
      </c>
      <c r="G6">
        <v>-0.9</v>
      </c>
      <c r="H6" s="1">
        <f>IF(ISNUMBER(Main_S[[#This Row],[Free CF]]),IF(Main_S[[#This Row],[Free CF]]&lt;&gt;0,Main_S[[#This Row],[Current Price]]/Main_S[[#This Row],[Free CF]],""),"")</f>
        <v>8.8611111111111107</v>
      </c>
      <c r="I6" s="1">
        <f>IF(ISNUMBER(Main_S[[#This Row],[BVPS]]),IF(Main_S[[#This Row],[BVPS]]&lt;&gt;0,Main_S[[#This Row],[Current Price]]/Main_S[[#This Row],[BVPS]],""),"")</f>
        <v>0.40379746835443037</v>
      </c>
      <c r="J6">
        <v>-5.39</v>
      </c>
      <c r="K6">
        <v>1.0900000000000001</v>
      </c>
      <c r="L6">
        <v>2.85</v>
      </c>
      <c r="M6" s="1">
        <f>IF(ISNUMBER(Main_S[[#This Row],[EPS]]),IF(Main_S[[#This Row],[EPS]]&lt;&gt;0,Main_S[[#This Row],[Current Price]]/Main_S[[#This Row],[EPS]],""),"")</f>
        <v>-7.0888888888888886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0.13611971460124528</v>
      </c>
      <c r="P6" s="1">
        <f>(Main_S[[#This Row],[P/B]]-VLOOKUP(Main_S[[#This Row],[Industry]], Mean_PB_S, 2, FALSE))/(VLOOKUP(Main_S[[#This Row],[Industry]], Mean_PB_S, 3, FALSE))</f>
        <v>-1.5298904336311665</v>
      </c>
      <c r="Q6" s="1">
        <f>(Main_S[[#This Row],[ROE]]-VLOOKUP(Main_S[[#This Row],[Industry]], Mean_ROE_S, 2, FALSE))/(VLOOKUP(Main_S[[#This Row],[Industry]], Mean_ROE_S, 3, FALSE))</f>
        <v>-1.1722458907052646</v>
      </c>
      <c r="R6" s="1">
        <f>(Main_S[[#This Row],[ROA]]-VLOOKUP(Main_S[[#This Row],[Industry]], Mean_ROA_S, 2, FALSE))/(VLOOKUP(Main_S[[#This Row],[Industry]], Mean_ROA_S, 3, FALSE))</f>
        <v>-0.94637334895273262</v>
      </c>
      <c r="S6" s="1">
        <f>(Main_S[[#This Row],[A/E]]-VLOOKUP(Main_S[[#This Row],[Industry]], Mean_AE_S, 2, FALSE))/(VLOOKUP(Main_S[[#This Row],[Industry]], Mean_AE_S, 3, FALSE))</f>
        <v>0.38963850729040783</v>
      </c>
      <c r="T6" s="1">
        <f>(Main_S[[#This Row],[P/E]]-VLOOKUP(Main_S[[#This Row],[Industry]], Mean_PE_S, 2, FALSE))/(VLOOKUP(Main_S[[#This Row],[Industry]], Mean_PE_S, 3, FALSE))</f>
        <v>-0.84573282673847161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" spans="1:26" x14ac:dyDescent="0.25">
      <c r="A7" t="s">
        <v>105</v>
      </c>
      <c r="B7" t="s">
        <v>227</v>
      </c>
      <c r="C7" s="2">
        <v>636</v>
      </c>
      <c r="D7">
        <f>RTD("tos.rtd", , "LAST", Main_S[[#This Row],[Symbol]])</f>
        <v>11.14</v>
      </c>
      <c r="E7">
        <v>-1.4</v>
      </c>
      <c r="F7">
        <v>8.3000000000000007</v>
      </c>
      <c r="G7">
        <v>0.76</v>
      </c>
      <c r="H7" s="1">
        <f>IF(ISNUMBER(Main_S[[#This Row],[Free CF]]),IF(Main_S[[#This Row],[Free CF]]&lt;&gt;0,Main_S[[#This Row],[Current Price]]/Main_S[[#This Row],[Free CF]],""),"")</f>
        <v>-7.9571428571428582</v>
      </c>
      <c r="I7" s="1">
        <f>IF(ISNUMBER(Main_S[[#This Row],[BVPS]]),IF(Main_S[[#This Row],[BVPS]]&lt;&gt;0,Main_S[[#This Row],[Current Price]]/Main_S[[#This Row],[BVPS]],""),"")</f>
        <v>1.3421686746987951</v>
      </c>
      <c r="J7">
        <v>9.27</v>
      </c>
      <c r="K7">
        <v>5.49</v>
      </c>
      <c r="L7">
        <v>3.91</v>
      </c>
      <c r="M7" s="1">
        <f>IF(ISNUMBER(Main_S[[#This Row],[EPS]]),IF(Main_S[[#This Row],[EPS]]&lt;&gt;0,Main_S[[#This Row],[Current Price]]/Main_S[[#This Row],[EPS]],""),"")</f>
        <v>14.657894736842106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-0.97268360982923985</v>
      </c>
      <c r="P7" s="1">
        <f>(Main_S[[#This Row],[P/B]]-VLOOKUP(Main_S[[#This Row],[Industry]], Mean_PB_S, 2, FALSE))/(VLOOKUP(Main_S[[#This Row],[Industry]], Mean_PB_S, 3, FALSE))</f>
        <v>0.99359669982412835</v>
      </c>
      <c r="Q7" s="1">
        <f>(Main_S[[#This Row],[ROE]]-VLOOKUP(Main_S[[#This Row],[Industry]], Mean_ROE_S, 2, FALSE))/(VLOOKUP(Main_S[[#This Row],[Industry]], Mean_ROE_S, 3, FALSE))</f>
        <v>0.57767302454766634</v>
      </c>
      <c r="R7" s="1">
        <f>(Main_S[[#This Row],[ROA]]-VLOOKUP(Main_S[[#This Row],[Industry]], Mean_ROA_S, 2, FALSE))/(VLOOKUP(Main_S[[#This Row],[Industry]], Mean_ROA_S, 3, FALSE))</f>
        <v>0.90393851084578292</v>
      </c>
      <c r="S7" s="1">
        <f>(Main_S[[#This Row],[A/E]]-VLOOKUP(Main_S[[#This Row],[Industry]], Mean_AE_S, 2, FALSE))/(VLOOKUP(Main_S[[#This Row],[Industry]], Mean_AE_S, 3, FALSE))</f>
        <v>1.6873689455062755</v>
      </c>
      <c r="T7" s="1">
        <f>(Main_S[[#This Row],[P/E]]-VLOOKUP(Main_S[[#This Row],[Industry]], Mean_PE_S, 2, FALSE))/(VLOOKUP(Main_S[[#This Row],[Industry]], Mean_PE_S, 3, FALSE))</f>
        <v>0.57563320788199723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" spans="1:26" x14ac:dyDescent="0.25">
      <c r="A8" t="s">
        <v>105</v>
      </c>
      <c r="B8" t="s">
        <v>228</v>
      </c>
      <c r="C8" s="2">
        <v>1177</v>
      </c>
      <c r="D8">
        <f>RTD("tos.rtd", , "LAST", Main_S[[#This Row],[Symbol]])</f>
        <v>7.93</v>
      </c>
      <c r="E8">
        <v>-1.21</v>
      </c>
      <c r="F8">
        <v>1.04</v>
      </c>
      <c r="G8">
        <v>-1.75</v>
      </c>
      <c r="H8" s="1">
        <f>IF(ISNUMBER(Main_S[[#This Row],[Free CF]]),IF(Main_S[[#This Row],[Free CF]]&lt;&gt;0,Main_S[[#This Row],[Current Price]]/Main_S[[#This Row],[Free CF]],""),"")</f>
        <v>-6.553719008264463</v>
      </c>
      <c r="I8" s="1">
        <f>IF(ISNUMBER(Main_S[[#This Row],[BVPS]]),IF(Main_S[[#This Row],[BVPS]]&lt;&gt;0,Main_S[[#This Row],[Current Price]]/Main_S[[#This Row],[BVPS]],""),"")</f>
        <v>7.6249999999999991</v>
      </c>
      <c r="J8">
        <v>-96.27</v>
      </c>
      <c r="K8">
        <v>-9.89</v>
      </c>
      <c r="L8">
        <v>4.42</v>
      </c>
      <c r="M8" s="1">
        <f>IF(ISNUMBER(Main_S[[#This Row],[EPS]]),IF(Main_S[[#This Row],[EPS]]&lt;&gt;0,Main_S[[#This Row],[Current Price]]/Main_S[[#This Row],[EPS]],""),"")</f>
        <v>-4.5314285714285711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-0.88015789151396673</v>
      </c>
      <c r="P8" s="1">
        <f>(Main_S[[#This Row],[P/B]]-VLOOKUP(Main_S[[#This Row],[Industry]], Mean_PB_S, 2, FALSE))/(VLOOKUP(Main_S[[#This Row],[Industry]], Mean_PB_S, 3, FALSE))</f>
        <v>17.889515824232031</v>
      </c>
      <c r="Q8" s="1">
        <f>(Main_S[[#This Row],[ROE]]-VLOOKUP(Main_S[[#This Row],[Industry]], Mean_ROE_S, 2, FALSE))/(VLOOKUP(Main_S[[#This Row],[Industry]], Mean_ROE_S, 3, FALSE))</f>
        <v>-12.020310762341444</v>
      </c>
      <c r="R8" s="1">
        <f>(Main_S[[#This Row],[ROA]]-VLOOKUP(Main_S[[#This Row],[Industry]], Mean_ROA_S, 2, FALSE))/(VLOOKUP(Main_S[[#This Row],[Industry]], Mean_ROA_S, 3, FALSE))</f>
        <v>-5.5637424899953913</v>
      </c>
      <c r="S8" s="1">
        <f>(Main_S[[#This Row],[A/E]]-VLOOKUP(Main_S[[#This Row],[Industry]], Mean_AE_S, 2, FALSE))/(VLOOKUP(Main_S[[#This Row],[Industry]], Mean_AE_S, 3, FALSE))</f>
        <v>2.3117486846478719</v>
      </c>
      <c r="T8" s="1">
        <f>(Main_S[[#This Row],[P/E]]-VLOOKUP(Main_S[[#This Row],[Industry]], Mean_PE_S, 2, FALSE))/(VLOOKUP(Main_S[[#This Row],[Industry]], Mean_PE_S, 3, FALSE))</f>
        <v>-0.6785776605912025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" spans="1:26" x14ac:dyDescent="0.25">
      <c r="A9" t="s">
        <v>105</v>
      </c>
      <c r="B9" t="s">
        <v>229</v>
      </c>
      <c r="C9" s="2">
        <v>778</v>
      </c>
      <c r="D9">
        <f>RTD("tos.rtd", , "LAST", Main_S[[#This Row],[Symbol]])</f>
        <v>5.69</v>
      </c>
      <c r="E9">
        <v>-0.68</v>
      </c>
      <c r="F9">
        <v>10.56</v>
      </c>
      <c r="G9">
        <v>-0.95</v>
      </c>
      <c r="H9" s="1">
        <f>IF(ISNUMBER(Main_S[[#This Row],[Free CF]]),IF(Main_S[[#This Row],[Free CF]]&lt;&gt;0,Main_S[[#This Row],[Current Price]]/Main_S[[#This Row],[Free CF]],""),"")</f>
        <v>-8.367647058823529</v>
      </c>
      <c r="I9" s="1">
        <f>IF(ISNUMBER(Main_S[[#This Row],[BVPS]]),IF(Main_S[[#This Row],[BVPS]]&lt;&gt;0,Main_S[[#This Row],[Current Price]]/Main_S[[#This Row],[BVPS]],""),"")</f>
        <v>0.53882575757575757</v>
      </c>
      <c r="J9">
        <v>-8.59</v>
      </c>
      <c r="K9">
        <v>2.11</v>
      </c>
      <c r="L9">
        <v>3.63</v>
      </c>
      <c r="M9" s="1">
        <f>IF(ISNUMBER(Main_S[[#This Row],[EPS]]),IF(Main_S[[#This Row],[EPS]]&lt;&gt;0,Main_S[[#This Row],[Current Price]]/Main_S[[#This Row],[EPS]],""),"")</f>
        <v>-5.9894736842105267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-0.99974756215005645</v>
      </c>
      <c r="P9" s="1">
        <f>(Main_S[[#This Row],[P/B]]-VLOOKUP(Main_S[[#This Row],[Industry]], Mean_PB_S, 2, FALSE))/(VLOOKUP(Main_S[[#This Row],[Industry]], Mean_PB_S, 3, FALSE))</f>
        <v>-1.1667695831631124</v>
      </c>
      <c r="Q9" s="1">
        <f>(Main_S[[#This Row],[ROE]]-VLOOKUP(Main_S[[#This Row],[Industry]], Mean_ROE_S, 2, FALSE))/(VLOOKUP(Main_S[[#This Row],[Industry]], Mean_ROE_S, 3, FALSE))</f>
        <v>-1.5542200059037217</v>
      </c>
      <c r="R9" s="1">
        <f>(Main_S[[#This Row],[ROA]]-VLOOKUP(Main_S[[#This Row],[Industry]], Mean_ROA_S, 2, FALSE))/(VLOOKUP(Main_S[[#This Row],[Industry]], Mean_ROA_S, 3, FALSE))</f>
        <v>-0.5174374178176222</v>
      </c>
      <c r="S9" s="1">
        <f>(Main_S[[#This Row],[A/E]]-VLOOKUP(Main_S[[#This Row],[Industry]], Mean_AE_S, 2, FALSE))/(VLOOKUP(Main_S[[#This Row],[Industry]], Mean_AE_S, 3, FALSE))</f>
        <v>1.3445722259775554</v>
      </c>
      <c r="T9" s="1">
        <f>(Main_S[[#This Row],[P/E]]-VLOOKUP(Main_S[[#This Row],[Industry]], Mean_PE_S, 2, FALSE))/(VLOOKUP(Main_S[[#This Row],[Industry]], Mean_PE_S, 3, FALSE))</f>
        <v>-0.77387523819714055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t="s">
        <v>105</v>
      </c>
      <c r="B10" t="s">
        <v>230</v>
      </c>
      <c r="C10" s="2">
        <v>813</v>
      </c>
      <c r="D10">
        <f>RTD("tos.rtd", , "LAST", Main_S[[#This Row],[Symbol]])</f>
        <v>23.06</v>
      </c>
      <c r="E10">
        <v>12.38</v>
      </c>
      <c r="F10">
        <v>14.72</v>
      </c>
      <c r="G10">
        <v>1.77</v>
      </c>
      <c r="H10" s="1">
        <f>IF(ISNUMBER(Main_S[[#This Row],[Free CF]]),IF(Main_S[[#This Row],[Free CF]]&lt;&gt;0,Main_S[[#This Row],[Current Price]]/Main_S[[#This Row],[Free CF]],""),"")</f>
        <v>1.8626817447495958</v>
      </c>
      <c r="I10" s="1">
        <f>IF(ISNUMBER(Main_S[[#This Row],[BVPS]]),IF(Main_S[[#This Row],[BVPS]]&lt;&gt;0,Main_S[[#This Row],[Current Price]]/Main_S[[#This Row],[BVPS]],""),"")</f>
        <v>1.5665760869565215</v>
      </c>
      <c r="J10">
        <v>43.8</v>
      </c>
      <c r="K10">
        <v>18.739999999999998</v>
      </c>
      <c r="L10">
        <v>2.48</v>
      </c>
      <c r="M10" s="1">
        <f>IF(ISNUMBER(Main_S[[#This Row],[EPS]]),IF(Main_S[[#This Row],[EPS]]&lt;&gt;0,Main_S[[#This Row],[Current Price]]/Main_S[[#This Row],[EPS]],""),"")</f>
        <v>13.028248587570621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-0.32527668016488714</v>
      </c>
      <c r="P10" s="1">
        <f>(Main_S[[#This Row],[P/B]]-VLOOKUP(Main_S[[#This Row],[Industry]], Mean_PB_S, 2, FALSE))/(VLOOKUP(Main_S[[#This Row],[Industry]], Mean_PB_S, 3, FALSE))</f>
        <v>1.5970777248765458</v>
      </c>
      <c r="Q10" s="1">
        <f>(Main_S[[#This Row],[ROE]]-VLOOKUP(Main_S[[#This Row],[Industry]], Mean_ROE_S, 2, FALSE))/(VLOOKUP(Main_S[[#This Row],[Industry]], Mean_ROE_S, 3, FALSE))</f>
        <v>4.6994124613610158</v>
      </c>
      <c r="R10" s="1">
        <f>(Main_S[[#This Row],[ROA]]-VLOOKUP(Main_S[[#This Row],[Industry]], Mean_ROA_S, 2, FALSE))/(VLOOKUP(Main_S[[#This Row],[Industry]], Mean_ROA_S, 3, FALSE))</f>
        <v>6.4759003613754027</v>
      </c>
      <c r="S10" s="1">
        <f>(Main_S[[#This Row],[A/E]]-VLOOKUP(Main_S[[#This Row],[Industry]], Mean_AE_S, 2, FALSE))/(VLOOKUP(Main_S[[#This Row],[Industry]], Mean_AE_S, 3, FALSE))</f>
        <v>-6.3342872086829066E-2</v>
      </c>
      <c r="T10" s="1">
        <f>(Main_S[[#This Row],[P/E]]-VLOOKUP(Main_S[[#This Row],[Industry]], Mean_PE_S, 2, FALSE))/(VLOOKUP(Main_S[[#This Row],[Industry]], Mean_PE_S, 3, FALSE))</f>
        <v>0.46911981606787018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t="s">
        <v>105</v>
      </c>
      <c r="B11" t="s">
        <v>231</v>
      </c>
      <c r="C11" s="2">
        <v>1629</v>
      </c>
      <c r="D11">
        <f>RTD("tos.rtd", , "LAST", Main_S[[#This Row],[Symbol]])</f>
        <v>11.78</v>
      </c>
      <c r="E11">
        <v>-6.64</v>
      </c>
      <c r="F11">
        <v>4.04</v>
      </c>
      <c r="G11">
        <v>0.56999999999999995</v>
      </c>
      <c r="H11" s="1">
        <f>IF(ISNUMBER(Main_S[[#This Row],[Free CF]]),IF(Main_S[[#This Row],[Free CF]]&lt;&gt;0,Main_S[[#This Row],[Current Price]]/Main_S[[#This Row],[Free CF]],""),"")</f>
        <v>-1.7740963855421688</v>
      </c>
      <c r="I11" s="1">
        <f>IF(ISNUMBER(Main_S[[#This Row],[BVPS]]),IF(Main_S[[#This Row],[BVPS]]&lt;&gt;0,Main_S[[#This Row],[Current Price]]/Main_S[[#This Row],[BVPS]],""),"")</f>
        <v>2.9158415841584158</v>
      </c>
      <c r="J11">
        <v>12.8</v>
      </c>
      <c r="K11">
        <v>3.49</v>
      </c>
      <c r="L11">
        <v>12.44</v>
      </c>
      <c r="M11" s="1">
        <f>IF(ISNUMBER(Main_S[[#This Row],[EPS]]),IF(Main_S[[#This Row],[EPS]]&lt;&gt;0,Main_S[[#This Row],[Current Price]]/Main_S[[#This Row],[EPS]],""),"")</f>
        <v>20.666666666666668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-0.56504423800384351</v>
      </c>
      <c r="P11" s="1">
        <f>(Main_S[[#This Row],[P/B]]-VLOOKUP(Main_S[[#This Row],[Industry]], Mean_PB_S, 2, FALSE))/(VLOOKUP(Main_S[[#This Row],[Industry]], Mean_PB_S, 3, FALSE))</f>
        <v>5.2255502299830408</v>
      </c>
      <c r="Q11" s="1">
        <f>(Main_S[[#This Row],[ROE]]-VLOOKUP(Main_S[[#This Row],[Industry]], Mean_ROE_S, 2, FALSE))/(VLOOKUP(Main_S[[#This Row],[Industry]], Mean_ROE_S, 3, FALSE))</f>
        <v>0.99903822037596424</v>
      </c>
      <c r="R11" s="1">
        <f>(Main_S[[#This Row],[ROA]]-VLOOKUP(Main_S[[#This Row],[Industry]], Mean_ROA_S, 2, FALSE))/(VLOOKUP(Main_S[[#This Row],[Industry]], Mean_ROA_S, 3, FALSE))</f>
        <v>6.2887665482821389E-2</v>
      </c>
      <c r="S11" s="1">
        <f>(Main_S[[#This Row],[A/E]]-VLOOKUP(Main_S[[#This Row],[Industry]], Mean_AE_S, 2, FALSE))/(VLOOKUP(Main_S[[#This Row],[Industry]], Mean_AE_S, 3, FALSE))</f>
        <v>12.130426151149058</v>
      </c>
      <c r="T11" s="1">
        <f>(Main_S[[#This Row],[P/E]]-VLOOKUP(Main_S[[#This Row],[Industry]], Mean_PE_S, 2, FALSE))/(VLOOKUP(Main_S[[#This Row],[Industry]], Mean_PE_S, 3, FALSE))</f>
        <v>0.96836550695762358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t="s">
        <v>105</v>
      </c>
      <c r="B12" t="s">
        <v>232</v>
      </c>
      <c r="C12" s="2">
        <v>1948</v>
      </c>
      <c r="D12">
        <f>RTD("tos.rtd", , "LAST", Main_S[[#This Row],[Symbol]])</f>
        <v>12.96</v>
      </c>
      <c r="E12">
        <v>0.44</v>
      </c>
      <c r="F12">
        <v>17.100000000000001</v>
      </c>
      <c r="G12">
        <v>-0.79</v>
      </c>
      <c r="H12" s="1">
        <f>IF(ISNUMBER(Main_S[[#This Row],[Free CF]]),IF(Main_S[[#This Row],[Free CF]]&lt;&gt;0,Main_S[[#This Row],[Current Price]]/Main_S[[#This Row],[Free CF]],""),"")</f>
        <v>29.454545454545457</v>
      </c>
      <c r="I12" s="1">
        <f>IF(ISNUMBER(Main_S[[#This Row],[BVPS]]),IF(Main_S[[#This Row],[BVPS]]&lt;&gt;0,Main_S[[#This Row],[Current Price]]/Main_S[[#This Row],[BVPS]],""),"")</f>
        <v>0.75789473684210529</v>
      </c>
      <c r="J12">
        <v>-2.19</v>
      </c>
      <c r="K12">
        <v>0.81</v>
      </c>
      <c r="L12">
        <v>2.4500000000000002</v>
      </c>
      <c r="M12" s="1">
        <f>IF(ISNUMBER(Main_S[[#This Row],[EPS]]),IF(Main_S[[#This Row],[EPS]]&lt;&gt;0,Main_S[[#This Row],[Current Price]]/Main_S[[#This Row],[EPS]],""),"")</f>
        <v>-16.405063291139239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1.493815258059108</v>
      </c>
      <c r="P12" s="1">
        <f>(Main_S[[#This Row],[P/B]]-VLOOKUP(Main_S[[#This Row],[Industry]], Mean_PB_S, 2, FALSE))/(VLOOKUP(Main_S[[#This Row],[Industry]], Mean_PB_S, 3, FALSE))</f>
        <v>-0.57764478182629542</v>
      </c>
      <c r="Q12" s="1">
        <f>(Main_S[[#This Row],[ROE]]-VLOOKUP(Main_S[[#This Row],[Industry]], Mean_ROE_S, 2, FALSE))/(VLOOKUP(Main_S[[#This Row],[Industry]], Mean_ROE_S, 3, FALSE))</f>
        <v>-0.79027177550680772</v>
      </c>
      <c r="R12" s="1">
        <f>(Main_S[[#This Row],[ROA]]-VLOOKUP(Main_S[[#This Row],[Industry]], Mean_ROA_S, 2, FALSE))/(VLOOKUP(Main_S[[#This Row],[Industry]], Mean_ROA_S, 3, FALSE))</f>
        <v>-1.0641204673035471</v>
      </c>
      <c r="S12" s="1">
        <f>(Main_S[[#This Row],[A/E]]-VLOOKUP(Main_S[[#This Row],[Industry]], Mean_AE_S, 2, FALSE))/(VLOOKUP(Main_S[[#This Row],[Industry]], Mean_AE_S, 3, FALSE))</f>
        <v>-0.10007109203633451</v>
      </c>
      <c r="T12" s="1">
        <f>(Main_S[[#This Row],[P/E]]-VLOOKUP(Main_S[[#This Row],[Industry]], Mean_PE_S, 2, FALSE))/(VLOOKUP(Main_S[[#This Row],[Industry]], Mean_PE_S, 3, FALSE))</f>
        <v>-1.4546363821263868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" spans="1:26" x14ac:dyDescent="0.25">
      <c r="A13" t="s">
        <v>105</v>
      </c>
      <c r="B13" t="s">
        <v>233</v>
      </c>
      <c r="C13" s="2">
        <v>477</v>
      </c>
      <c r="D13">
        <f>RTD("tos.rtd", , "LAST", Main_S[[#This Row],[Symbol]])</f>
        <v>7.48</v>
      </c>
      <c r="E13">
        <v>-0.36</v>
      </c>
      <c r="F13">
        <v>6.83</v>
      </c>
      <c r="G13">
        <v>-0.37</v>
      </c>
      <c r="H13" s="1">
        <f>IF(ISNUMBER(Main_S[[#This Row],[Free CF]]),IF(Main_S[[#This Row],[Free CF]]&lt;&gt;0,Main_S[[#This Row],[Current Price]]/Main_S[[#This Row],[Free CF]],""),"")</f>
        <v>-20.777777777777779</v>
      </c>
      <c r="I13" s="1">
        <f>IF(ISNUMBER(Main_S[[#This Row],[BVPS]]),IF(Main_S[[#This Row],[BVPS]]&lt;&gt;0,Main_S[[#This Row],[Current Price]]/Main_S[[#This Row],[BVPS]],""),"")</f>
        <v>1.095168374816984</v>
      </c>
      <c r="J13">
        <v>-5.28</v>
      </c>
      <c r="K13">
        <v>-0.1</v>
      </c>
      <c r="L13">
        <v>2.4</v>
      </c>
      <c r="M13" s="1">
        <f>IF(ISNUMBER(Main_S[[#This Row],[EPS]]),IF(Main_S[[#This Row],[EPS]]&lt;&gt;0,Main_S[[#This Row],[Current Price]]/Main_S[[#This Row],[EPS]],""),"")</f>
        <v>-20.216216216216218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-1.8179296530952516</v>
      </c>
      <c r="P13" s="1">
        <f>(Main_S[[#This Row],[P/B]]-VLOOKUP(Main_S[[#This Row],[Industry]], Mean_PB_S, 2, FALSE))/(VLOOKUP(Main_S[[#This Row],[Industry]], Mean_PB_S, 3, FALSE))</f>
        <v>0.32935841704522417</v>
      </c>
      <c r="Q13" s="1">
        <f>(Main_S[[#This Row],[ROE]]-VLOOKUP(Main_S[[#This Row],[Industry]], Mean_ROE_S, 2, FALSE))/(VLOOKUP(Main_S[[#This Row],[Industry]], Mean_ROE_S, 3, FALSE))</f>
        <v>-1.1591155304953178</v>
      </c>
      <c r="R13" s="1">
        <f>(Main_S[[#This Row],[ROA]]-VLOOKUP(Main_S[[#This Row],[Industry]], Mean_ROA_S, 2, FALSE))/(VLOOKUP(Main_S[[#This Row],[Industry]], Mean_ROA_S, 3, FALSE))</f>
        <v>-1.4467986019436947</v>
      </c>
      <c r="S13" s="1">
        <f>(Main_S[[#This Row],[A/E]]-VLOOKUP(Main_S[[#This Row],[Industry]], Mean_AE_S, 2, FALSE))/(VLOOKUP(Main_S[[#This Row],[Industry]], Mean_AE_S, 3, FALSE))</f>
        <v>-0.16128479195217765</v>
      </c>
      <c r="T13" s="1">
        <f>(Main_S[[#This Row],[P/E]]-VLOOKUP(Main_S[[#This Row],[Industry]], Mean_PE_S, 2, FALSE))/(VLOOKUP(Main_S[[#This Row],[Industry]], Mean_PE_S, 3, FALSE))</f>
        <v>-1.7037326813160916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" spans="1:26" x14ac:dyDescent="0.25">
      <c r="A14" t="s">
        <v>105</v>
      </c>
      <c r="B14" t="s">
        <v>234</v>
      </c>
      <c r="C14" s="2">
        <v>504</v>
      </c>
      <c r="D14">
        <f>RTD("tos.rtd", , "LAST", Main_S[[#This Row],[Symbol]])</f>
        <v>36.31</v>
      </c>
      <c r="E14">
        <v>0.49</v>
      </c>
      <c r="F14">
        <v>36.99</v>
      </c>
      <c r="G14">
        <v>-15.9</v>
      </c>
      <c r="H14" s="1">
        <f>IF(ISNUMBER(Main_S[[#This Row],[Free CF]]),IF(Main_S[[#This Row],[Free CF]]&lt;&gt;0,Main_S[[#This Row],[Current Price]]/Main_S[[#This Row],[Free CF]],""),"")</f>
        <v>74.102040816326536</v>
      </c>
      <c r="I14" s="1">
        <f>IF(ISNUMBER(Main_S[[#This Row],[BVPS]]),IF(Main_S[[#This Row],[BVPS]]&lt;&gt;0,Main_S[[#This Row],[Current Price]]/Main_S[[#This Row],[BVPS]],""),"")</f>
        <v>0.98161665314949986</v>
      </c>
      <c r="J14">
        <v>-35.32</v>
      </c>
      <c r="K14">
        <v>0.44</v>
      </c>
      <c r="L14">
        <v>1.25</v>
      </c>
      <c r="M14" s="1">
        <f>IF(ISNUMBER(Main_S[[#This Row],[EPS]]),IF(Main_S[[#This Row],[EPS]]&lt;&gt;0,Main_S[[#This Row],[Current Price]]/Main_S[[#This Row],[EPS]],""),"")</f>
        <v>-2.2836477987421384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4.4373604904050694</v>
      </c>
      <c r="P14" s="1">
        <f>(Main_S[[#This Row],[P/B]]-VLOOKUP(Main_S[[#This Row],[Industry]], Mean_PB_S, 2, FALSE))/(VLOOKUP(Main_S[[#This Row],[Industry]], Mean_PB_S, 3, FALSE))</f>
        <v>2.3992793428213959E-2</v>
      </c>
      <c r="Q14" s="1">
        <f>(Main_S[[#This Row],[ROE]]-VLOOKUP(Main_S[[#This Row],[Industry]], Mean_ROE_S, 2, FALSE))/(VLOOKUP(Main_S[[#This Row],[Industry]], Mean_ROE_S, 3, FALSE))</f>
        <v>-4.7448975369208322</v>
      </c>
      <c r="R14" s="1">
        <f>(Main_S[[#This Row],[ROA]]-VLOOKUP(Main_S[[#This Row],[Industry]], Mean_ROA_S, 2, FALSE))/(VLOOKUP(Main_S[[#This Row],[Industry]], Mean_ROA_S, 3, FALSE))</f>
        <v>-1.2197148736956951</v>
      </c>
      <c r="S14" s="1">
        <f>(Main_S[[#This Row],[A/E]]-VLOOKUP(Main_S[[#This Row],[Industry]], Mean_AE_S, 2, FALSE))/(VLOOKUP(Main_S[[#This Row],[Industry]], Mean_AE_S, 3, FALSE))</f>
        <v>-1.569199890016562</v>
      </c>
      <c r="T14" s="1">
        <f>(Main_S[[#This Row],[P/E]]-VLOOKUP(Main_S[[#This Row],[Industry]], Mean_PE_S, 2, FALSE))/(VLOOKUP(Main_S[[#This Row],[Industry]], Mean_PE_S, 3, FALSE))</f>
        <v>-0.53166309618687424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" spans="1:26" x14ac:dyDescent="0.25">
      <c r="A15" t="s">
        <v>105</v>
      </c>
      <c r="B15" t="s">
        <v>235</v>
      </c>
      <c r="C15" s="2">
        <v>873</v>
      </c>
      <c r="D15">
        <f>RTD("tos.rtd", , "LAST", Main_S[[#This Row],[Symbol]])</f>
        <v>82.08</v>
      </c>
      <c r="E15">
        <v>11.79</v>
      </c>
      <c r="F15">
        <v>28.54</v>
      </c>
      <c r="G15">
        <v>7.13</v>
      </c>
      <c r="H15" s="1">
        <f>IF(ISNUMBER(Main_S[[#This Row],[Free CF]]),IF(Main_S[[#This Row],[Free CF]]&lt;&gt;0,Main_S[[#This Row],[Current Price]]/Main_S[[#This Row],[Free CF]],""),"")</f>
        <v>6.9618320610687023</v>
      </c>
      <c r="I15" s="1">
        <f>IF(ISNUMBER(Main_S[[#This Row],[BVPS]]),IF(Main_S[[#This Row],[BVPS]]&lt;&gt;0,Main_S[[#This Row],[Current Price]]/Main_S[[#This Row],[BVPS]],""),"")</f>
        <v>2.8759635599159075</v>
      </c>
      <c r="J15">
        <v>25.16</v>
      </c>
      <c r="K15">
        <v>7.62</v>
      </c>
      <c r="L15">
        <v>3.36</v>
      </c>
      <c r="M15" s="1">
        <f>IF(ISNUMBER(Main_S[[#This Row],[EPS]]),IF(Main_S[[#This Row],[EPS]]&lt;&gt;0,Main_S[[#This Row],[Current Price]]/Main_S[[#This Row],[EPS]],""),"")</f>
        <v>11.511921458625526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1.0902975177323471E-2</v>
      </c>
      <c r="P15" s="1">
        <f>(Main_S[[#This Row],[P/B]]-VLOOKUP(Main_S[[#This Row],[Industry]], Mean_PB_S, 2, FALSE))/(VLOOKUP(Main_S[[#This Row],[Industry]], Mean_PB_S, 3, FALSE))</f>
        <v>5.118309427619101</v>
      </c>
      <c r="Q15" s="1">
        <f>(Main_S[[#This Row],[ROE]]-VLOOKUP(Main_S[[#This Row],[Industry]], Mean_ROE_S, 2, FALSE))/(VLOOKUP(Main_S[[#This Row],[Industry]], Mean_ROE_S, 3, FALSE))</f>
        <v>2.4744132403300041</v>
      </c>
      <c r="R15" s="1">
        <f>(Main_S[[#This Row],[ROA]]-VLOOKUP(Main_S[[#This Row],[Industry]], Mean_ROA_S, 2, FALSE))/(VLOOKUP(Main_S[[#This Row],[Industry]], Mean_ROA_S, 3, FALSE))</f>
        <v>1.7996576611573369</v>
      </c>
      <c r="S15" s="1">
        <f>(Main_S[[#This Row],[A/E]]-VLOOKUP(Main_S[[#This Row],[Industry]], Mean_AE_S, 2, FALSE))/(VLOOKUP(Main_S[[#This Row],[Industry]], Mean_AE_S, 3, FALSE))</f>
        <v>1.0140182464320042</v>
      </c>
      <c r="T15" s="1">
        <f>(Main_S[[#This Row],[P/E]]-VLOOKUP(Main_S[[#This Row],[Industry]], Mean_PE_S, 2, FALSE))/(VLOOKUP(Main_S[[#This Row],[Industry]], Mean_PE_S, 3, FALSE))</f>
        <v>0.37001293591728041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" spans="1:26" x14ac:dyDescent="0.25">
      <c r="A16" t="s">
        <v>105</v>
      </c>
      <c r="B16" t="s">
        <v>236</v>
      </c>
      <c r="C16" s="2">
        <v>413</v>
      </c>
      <c r="D16">
        <f>RTD("tos.rtd", , "LAST", Main_S[[#This Row],[Symbol]])</f>
        <v>6.56</v>
      </c>
      <c r="E16">
        <v>-0.5</v>
      </c>
      <c r="F16">
        <v>0.66</v>
      </c>
      <c r="G16">
        <v>-0.63</v>
      </c>
      <c r="H16" s="1">
        <f>IF(ISNUMBER(Main_S[[#This Row],[Free CF]]),IF(Main_S[[#This Row],[Free CF]]&lt;&gt;0,Main_S[[#This Row],[Current Price]]/Main_S[[#This Row],[Free CF]],""),"")</f>
        <v>-13.12</v>
      </c>
      <c r="I16" s="1">
        <f>IF(ISNUMBER(Main_S[[#This Row],[BVPS]]),IF(Main_S[[#This Row],[BVPS]]&lt;&gt;0,Main_S[[#This Row],[Current Price]]/Main_S[[#This Row],[BVPS]],""),"")</f>
        <v>9.9393939393939377</v>
      </c>
      <c r="J16">
        <v>-92.64</v>
      </c>
      <c r="K16">
        <v>-27.03</v>
      </c>
      <c r="L16">
        <v>1.97</v>
      </c>
      <c r="M16" s="1">
        <f>IF(ISNUMBER(Main_S[[#This Row],[EPS]]),IF(Main_S[[#This Row],[EPS]]&lt;&gt;0,Main_S[[#This Row],[Current Price]]/Main_S[[#This Row],[EPS]],""),"")</f>
        <v>-10.412698412698411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-1.3130633647292065</v>
      </c>
      <c r="P16" s="1">
        <f>(Main_S[[#This Row],[P/B]]-VLOOKUP(Main_S[[#This Row],[Industry]], Mean_PB_S, 2, FALSE))/(VLOOKUP(Main_S[[#This Row],[Industry]], Mean_PB_S, 3, FALSE))</f>
        <v>24.113431571348656</v>
      </c>
      <c r="Q16" s="1">
        <f>(Main_S[[#This Row],[ROE]]-VLOOKUP(Main_S[[#This Row],[Industry]], Mean_ROE_S, 2, FALSE))/(VLOOKUP(Main_S[[#This Row],[Industry]], Mean_ROE_S, 3, FALSE))</f>
        <v>-11.587008875413193</v>
      </c>
      <c r="R16" s="1">
        <f>(Main_S[[#This Row],[ROA]]-VLOOKUP(Main_S[[#This Row],[Industry]], Mean_ROA_S, 2, FALSE))/(VLOOKUP(Main_S[[#This Row],[Industry]], Mean_ROA_S, 3, FALSE))</f>
        <v>-12.771548234755972</v>
      </c>
      <c r="S16" s="1">
        <f>(Main_S[[#This Row],[A/E]]-VLOOKUP(Main_S[[#This Row],[Industry]], Mean_AE_S, 2, FALSE))/(VLOOKUP(Main_S[[#This Row],[Industry]], Mean_AE_S, 3, FALSE))</f>
        <v>-0.68772261122842571</v>
      </c>
      <c r="T16" s="1">
        <f>(Main_S[[#This Row],[P/E]]-VLOOKUP(Main_S[[#This Row],[Industry]], Mean_PE_S, 2, FALSE))/(VLOOKUP(Main_S[[#This Row],[Industry]], Mean_PE_S, 3, FALSE))</f>
        <v>-1.0629764451051431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" spans="1:26" x14ac:dyDescent="0.25">
      <c r="A17" t="s">
        <v>105</v>
      </c>
      <c r="B17" t="s">
        <v>237</v>
      </c>
      <c r="C17" s="2">
        <v>467</v>
      </c>
      <c r="D17">
        <f>RTD("tos.rtd", , "LAST", Main_S[[#This Row],[Symbol]])</f>
        <v>5.94</v>
      </c>
      <c r="E17">
        <v>-0.53</v>
      </c>
      <c r="F17">
        <v>7.49</v>
      </c>
      <c r="G17">
        <v>0.17</v>
      </c>
      <c r="H17" s="1">
        <f>IF(ISNUMBER(Main_S[[#This Row],[Free CF]]),IF(Main_S[[#This Row],[Free CF]]&lt;&gt;0,Main_S[[#This Row],[Current Price]]/Main_S[[#This Row],[Free CF]],""),"")</f>
        <v>-11.20754716981132</v>
      </c>
      <c r="I17" s="1">
        <f>IF(ISNUMBER(Main_S[[#This Row],[BVPS]]),IF(Main_S[[#This Row],[BVPS]]&lt;&gt;0,Main_S[[#This Row],[Current Price]]/Main_S[[#This Row],[BVPS]],""),"")</f>
        <v>0.79305740987983986</v>
      </c>
      <c r="J17">
        <v>2.4300000000000002</v>
      </c>
      <c r="K17">
        <v>4.8600000000000003</v>
      </c>
      <c r="L17">
        <v>1.46</v>
      </c>
      <c r="M17" s="1">
        <f>IF(ISNUMBER(Main_S[[#This Row],[EPS]]),IF(Main_S[[#This Row],[EPS]]&lt;&gt;0,Main_S[[#This Row],[Current Price]]/Main_S[[#This Row],[EPS]],""),"")</f>
        <v>34.941176470588232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-1.1869780969045911</v>
      </c>
      <c r="P17" s="1">
        <f>(Main_S[[#This Row],[P/B]]-VLOOKUP(Main_S[[#This Row],[Industry]], Mean_PB_S, 2, FALSE))/(VLOOKUP(Main_S[[#This Row],[Industry]], Mean_PB_S, 3, FALSE))</f>
        <v>-0.48308459883187455</v>
      </c>
      <c r="Q17" s="1">
        <f>(Main_S[[#This Row],[ROE]]-VLOOKUP(Main_S[[#This Row],[Industry]], Mean_ROE_S, 2, FALSE))/(VLOOKUP(Main_S[[#This Row],[Industry]], Mean_ROE_S, 3, FALSE))</f>
        <v>-0.23879664668903539</v>
      </c>
      <c r="R17" s="1">
        <f>(Main_S[[#This Row],[ROA]]-VLOOKUP(Main_S[[#This Row],[Industry]], Mean_ROA_S, 2, FALSE))/(VLOOKUP(Main_S[[#This Row],[Industry]], Mean_ROA_S, 3, FALSE))</f>
        <v>0.63900749455645012</v>
      </c>
      <c r="S17" s="1">
        <f>(Main_S[[#This Row],[A/E]]-VLOOKUP(Main_S[[#This Row],[Industry]], Mean_AE_S, 2, FALSE))/(VLOOKUP(Main_S[[#This Row],[Industry]], Mean_AE_S, 3, FALSE))</f>
        <v>-1.3121023503700224</v>
      </c>
      <c r="T17" s="1">
        <f>(Main_S[[#This Row],[P/E]]-VLOOKUP(Main_S[[#This Row],[Industry]], Mean_PE_S, 2, FALSE))/(VLOOKUP(Main_S[[#This Row],[Industry]], Mean_PE_S, 3, FALSE))</f>
        <v>1.9013450107470717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" spans="1:26" x14ac:dyDescent="0.25">
      <c r="A18" t="s">
        <v>105</v>
      </c>
      <c r="B18" t="s">
        <v>238</v>
      </c>
      <c r="C18" s="2">
        <v>430</v>
      </c>
      <c r="D18">
        <f>RTD("tos.rtd", , "LAST", Main_S[[#This Row],[Symbol]])</f>
        <v>8.1199999999999992</v>
      </c>
      <c r="E18">
        <v>-7.36</v>
      </c>
      <c r="F18">
        <v>13.17</v>
      </c>
      <c r="G18">
        <v>-10.54</v>
      </c>
      <c r="H18" s="1">
        <f>IF(ISNUMBER(Main_S[[#This Row],[Free CF]]),IF(Main_S[[#This Row],[Free CF]]&lt;&gt;0,Main_S[[#This Row],[Current Price]]/Main_S[[#This Row],[Free CF]],""),"")</f>
        <v>-1.1032608695652173</v>
      </c>
      <c r="I18" s="1">
        <f>IF(ISNUMBER(Main_S[[#This Row],[BVPS]]),IF(Main_S[[#This Row],[BVPS]]&lt;&gt;0,Main_S[[#This Row],[Current Price]]/Main_S[[#This Row],[BVPS]],""),"")</f>
        <v>0.61655277145026566</v>
      </c>
      <c r="J18">
        <v>-60.34</v>
      </c>
      <c r="K18">
        <v>-19.670000000000002</v>
      </c>
      <c r="L18">
        <v>1.92</v>
      </c>
      <c r="M18" s="1">
        <f>IF(ISNUMBER(Main_S[[#This Row],[EPS]]),IF(Main_S[[#This Row],[EPS]]&lt;&gt;0,Main_S[[#This Row],[Current Price]]/Main_S[[#This Row],[EPS]],""),"")</f>
        <v>-0.77039848197343452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-0.52081701610165798</v>
      </c>
      <c r="P18" s="1">
        <f>(Main_S[[#This Row],[P/B]]-VLOOKUP(Main_S[[#This Row],[Industry]], Mean_PB_S, 2, FALSE))/(VLOOKUP(Main_S[[#This Row],[Industry]], Mean_PB_S, 3, FALSE))</f>
        <v>-0.95774450001042088</v>
      </c>
      <c r="Q18" s="1">
        <f>(Main_S[[#This Row],[ROE]]-VLOOKUP(Main_S[[#This Row],[Industry]], Mean_ROE_S, 2, FALSE))/(VLOOKUP(Main_S[[#This Row],[Industry]], Mean_ROE_S, 3, FALSE))</f>
        <v>-7.7314576501287693</v>
      </c>
      <c r="R18" s="1">
        <f>(Main_S[[#This Row],[ROA]]-VLOOKUP(Main_S[[#This Row],[Industry]], Mean_ROA_S, 2, FALSE))/(VLOOKUP(Main_S[[#This Row],[Industry]], Mean_ROA_S, 3, FALSE))</f>
        <v>-9.6764811238202739</v>
      </c>
      <c r="S18" s="1">
        <f>(Main_S[[#This Row],[A/E]]-VLOOKUP(Main_S[[#This Row],[Industry]], Mean_AE_S, 2, FALSE))/(VLOOKUP(Main_S[[#This Row],[Industry]], Mean_AE_S, 3, FALSE))</f>
        <v>-0.74893631114426851</v>
      </c>
      <c r="T18" s="1">
        <f>(Main_S[[#This Row],[P/E]]-VLOOKUP(Main_S[[#This Row],[Industry]], Mean_PE_S, 2, FALSE))/(VLOOKUP(Main_S[[#This Row],[Industry]], Mean_PE_S, 3, FALSE))</f>
        <v>-0.43275738131036601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t="s">
        <v>105</v>
      </c>
      <c r="B19" t="s">
        <v>239</v>
      </c>
      <c r="C19" s="2">
        <v>809</v>
      </c>
      <c r="D19">
        <f>RTD("tos.rtd", , "LAST", Main_S[[#This Row],[Symbol]])</f>
        <v>7.49</v>
      </c>
      <c r="E19">
        <v>0.41</v>
      </c>
      <c r="F19">
        <v>5.95</v>
      </c>
      <c r="G19">
        <v>-0.1</v>
      </c>
      <c r="H19" s="1">
        <f>IF(ISNUMBER(Main_S[[#This Row],[Free CF]]),IF(Main_S[[#This Row],[Free CF]]&lt;&gt;0,Main_S[[#This Row],[Current Price]]/Main_S[[#This Row],[Free CF]],""),"")</f>
        <v>18.26829268292683</v>
      </c>
      <c r="I19" s="1">
        <f>IF(ISNUMBER(Main_S[[#This Row],[BVPS]]),IF(Main_S[[#This Row],[BVPS]]&lt;&gt;0,Main_S[[#This Row],[Current Price]]/Main_S[[#This Row],[BVPS]],""),"")</f>
        <v>1.2588235294117647</v>
      </c>
      <c r="J19">
        <v>-1.63</v>
      </c>
      <c r="K19">
        <v>3.11</v>
      </c>
      <c r="L19">
        <v>2.56</v>
      </c>
      <c r="M19" s="1">
        <f>IF(ISNUMBER(Main_S[[#This Row],[EPS]]),IF(Main_S[[#This Row],[EPS]]&lt;&gt;0,Main_S[[#This Row],[Current Price]]/Main_S[[#This Row],[EPS]],""),"")</f>
        <v>-74.899999999999991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0.75632168206109085</v>
      </c>
      <c r="P19" s="1">
        <f>(Main_S[[#This Row],[P/B]]-VLOOKUP(Main_S[[#This Row],[Industry]], Mean_PB_S, 2, FALSE))/(VLOOKUP(Main_S[[#This Row],[Industry]], Mean_PB_S, 3, FALSE))</f>
        <v>0.76946322221335028</v>
      </c>
      <c r="Q19" s="1">
        <f>(Main_S[[#This Row],[ROE]]-VLOOKUP(Main_S[[#This Row],[Industry]], Mean_ROE_S, 2, FALSE))/(VLOOKUP(Main_S[[#This Row],[Industry]], Mean_ROE_S, 3, FALSE))</f>
        <v>-0.72342630534707764</v>
      </c>
      <c r="R19" s="1">
        <f>(Main_S[[#This Row],[ROA]]-VLOOKUP(Main_S[[#This Row],[Industry]], Mean_ROA_S, 2, FALSE))/(VLOOKUP(Main_S[[#This Row],[Industry]], Mean_ROA_S, 3, FALSE))</f>
        <v>-9.6911995136141446E-2</v>
      </c>
      <c r="S19" s="1">
        <f>(Main_S[[#This Row],[A/E]]-VLOOKUP(Main_S[[#This Row],[Industry]], Mean_AE_S, 2, FALSE))/(VLOOKUP(Main_S[[#This Row],[Industry]], Mean_AE_S, 3, FALSE))</f>
        <v>3.4599047778519514E-2</v>
      </c>
      <c r="T19" s="1">
        <f>(Main_S[[#This Row],[P/E]]-VLOOKUP(Main_S[[#This Row],[Industry]], Mean_PE_S, 2, FALSE))/(VLOOKUP(Main_S[[#This Row],[Industry]], Mean_PE_S, 3, FALSE))</f>
        <v>-5.2778553769975858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0" spans="1:26" x14ac:dyDescent="0.25">
      <c r="A20" t="s">
        <v>105</v>
      </c>
      <c r="B20" t="s">
        <v>240</v>
      </c>
      <c r="C20" s="2">
        <v>303</v>
      </c>
      <c r="D20">
        <f>RTD("tos.rtd", , "LAST", Main_S[[#This Row],[Symbol]])</f>
        <v>14.34</v>
      </c>
      <c r="E20">
        <v>0.05</v>
      </c>
      <c r="F20">
        <v>3.84</v>
      </c>
      <c r="G20">
        <v>0.34</v>
      </c>
      <c r="H20" s="1">
        <f>IF(ISNUMBER(Main_S[[#This Row],[Free CF]]),IF(Main_S[[#This Row],[Free CF]]&lt;&gt;0,Main_S[[#This Row],[Current Price]]/Main_S[[#This Row],[Free CF]],""),"")</f>
        <v>286.79999999999995</v>
      </c>
      <c r="I20" s="1">
        <f>IF(ISNUMBER(Main_S[[#This Row],[BVPS]]),IF(Main_S[[#This Row],[BVPS]]&lt;&gt;0,Main_S[[#This Row],[Current Price]]/Main_S[[#This Row],[BVPS]],""),"")</f>
        <v>3.734375</v>
      </c>
      <c r="J20">
        <v>9.73</v>
      </c>
      <c r="K20">
        <v>4.5999999999999996</v>
      </c>
      <c r="L20">
        <v>1.5</v>
      </c>
      <c r="M20" s="1">
        <f>IF(ISNUMBER(Main_S[[#This Row],[EPS]]),IF(Main_S[[#This Row],[EPS]]&lt;&gt;0,Main_S[[#This Row],[Current Price]]/Main_S[[#This Row],[EPS]],""),"")</f>
        <v>42.17647058823529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18.460231395292535</v>
      </c>
      <c r="P20" s="1">
        <f>(Main_S[[#This Row],[P/B]]-VLOOKUP(Main_S[[#This Row],[Industry]], Mean_PB_S, 2, FALSE))/(VLOOKUP(Main_S[[#This Row],[Industry]], Mean_PB_S, 3, FALSE))</f>
        <v>7.4267671143185021</v>
      </c>
      <c r="Q20" s="1">
        <f>(Main_S[[#This Row],[ROE]]-VLOOKUP(Main_S[[#This Row],[Industry]], Mean_ROE_S, 2, FALSE))/(VLOOKUP(Main_S[[#This Row],[Industry]], Mean_ROE_S, 3, FALSE))</f>
        <v>0.63258180360744465</v>
      </c>
      <c r="R20" s="1">
        <f>(Main_S[[#This Row],[ROA]]-VLOOKUP(Main_S[[#This Row],[Industry]], Mean_ROA_S, 2, FALSE))/(VLOOKUP(Main_S[[#This Row],[Industry]], Mean_ROA_S, 3, FALSE))</f>
        <v>0.52967088465926482</v>
      </c>
      <c r="S20" s="1">
        <f>(Main_S[[#This Row],[A/E]]-VLOOKUP(Main_S[[#This Row],[Industry]], Mean_AE_S, 2, FALSE))/(VLOOKUP(Main_S[[#This Row],[Industry]], Mean_AE_S, 3, FALSE))</f>
        <v>-1.263131390437348</v>
      </c>
      <c r="T20" s="1">
        <f>(Main_S[[#This Row],[P/E]]-VLOOKUP(Main_S[[#This Row],[Industry]], Mean_PE_S, 2, FALSE))/(VLOOKUP(Main_S[[#This Row],[Industry]], Mean_PE_S, 3, FALSE))</f>
        <v>2.3742425889040861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" spans="1:26" x14ac:dyDescent="0.25">
      <c r="A21" t="s">
        <v>105</v>
      </c>
      <c r="B21" t="s">
        <v>241</v>
      </c>
      <c r="C21" s="2">
        <v>1766</v>
      </c>
      <c r="D21">
        <f>RTD("tos.rtd", , "LAST", Main_S[[#This Row],[Symbol]])</f>
        <v>109.65</v>
      </c>
      <c r="E21">
        <v>7.01</v>
      </c>
      <c r="F21">
        <v>78.39</v>
      </c>
      <c r="G21">
        <v>5.29</v>
      </c>
      <c r="H21" s="1">
        <f>IF(ISNUMBER(Main_S[[#This Row],[Free CF]]),IF(Main_S[[#This Row],[Free CF]]&lt;&gt;0,Main_S[[#This Row],[Current Price]]/Main_S[[#This Row],[Free CF]],""),"")</f>
        <v>15.641940085592013</v>
      </c>
      <c r="I21" s="1">
        <f>IF(ISNUMBER(Main_S[[#This Row],[BVPS]]),IF(Main_S[[#This Row],[BVPS]]&lt;&gt;0,Main_S[[#This Row],[Current Price]]/Main_S[[#This Row],[BVPS]],""),"")</f>
        <v>1.3987753539992347</v>
      </c>
      <c r="J21">
        <v>6.79</v>
      </c>
      <c r="K21">
        <v>4.28</v>
      </c>
      <c r="L21">
        <v>1.92</v>
      </c>
      <c r="M21" s="1">
        <f>IF(ISNUMBER(Main_S[[#This Row],[EPS]]),IF(Main_S[[#This Row],[EPS]]&lt;&gt;0,Main_S[[#This Row],[Current Price]]/Main_S[[#This Row],[EPS]],""),"")</f>
        <v>20.727788279773158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0.58317002811720564</v>
      </c>
      <c r="P21" s="1">
        <f>(Main_S[[#This Row],[P/B]]-VLOOKUP(Main_S[[#This Row],[Industry]], Mean_PB_S, 2, FALSE))/(VLOOKUP(Main_S[[#This Row],[Industry]], Mean_PB_S, 3, FALSE))</f>
        <v>1.1458245451762668</v>
      </c>
      <c r="Q21" s="1">
        <f>(Main_S[[#This Row],[ROE]]-VLOOKUP(Main_S[[#This Row],[Industry]], Mean_ROE_S, 2, FALSE))/(VLOOKUP(Main_S[[#This Row],[Industry]], Mean_ROE_S, 3, FALSE))</f>
        <v>0.28164308526886223</v>
      </c>
      <c r="R21" s="1">
        <f>(Main_S[[#This Row],[ROA]]-VLOOKUP(Main_S[[#This Row],[Industry]], Mean_ROA_S, 2, FALSE))/(VLOOKUP(Main_S[[#This Row],[Industry]], Mean_ROA_S, 3, FALSE))</f>
        <v>0.39510274940119122</v>
      </c>
      <c r="S21" s="1">
        <f>(Main_S[[#This Row],[A/E]]-VLOOKUP(Main_S[[#This Row],[Industry]], Mean_AE_S, 2, FALSE))/(VLOOKUP(Main_S[[#This Row],[Industry]], Mean_AE_S, 3, FALSE))</f>
        <v>-0.74893631114426851</v>
      </c>
      <c r="T21" s="1">
        <f>(Main_S[[#This Row],[P/E]]-VLOOKUP(Main_S[[#This Row],[Industry]], Mean_PE_S, 2, FALSE))/(VLOOKUP(Main_S[[#This Row],[Industry]], Mean_PE_S, 3, FALSE))</f>
        <v>0.9723604050697281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" spans="1:26" x14ac:dyDescent="0.25">
      <c r="A22" t="s">
        <v>105</v>
      </c>
      <c r="B22" t="s">
        <v>242</v>
      </c>
      <c r="C22" s="2">
        <v>1661</v>
      </c>
      <c r="D22">
        <f>RTD("tos.rtd", , "LAST", Main_S[[#This Row],[Symbol]])</f>
        <v>58.77</v>
      </c>
      <c r="E22">
        <v>2.65</v>
      </c>
      <c r="F22">
        <v>50.37</v>
      </c>
      <c r="G22">
        <v>-0.74</v>
      </c>
      <c r="H22" s="1">
        <f>IF(ISNUMBER(Main_S[[#This Row],[Free CF]]),IF(Main_S[[#This Row],[Free CF]]&lt;&gt;0,Main_S[[#This Row],[Current Price]]/Main_S[[#This Row],[Free CF]],""),"")</f>
        <v>22.177358490566039</v>
      </c>
      <c r="I22" s="1">
        <f>IF(ISNUMBER(Main_S[[#This Row],[BVPS]]),IF(Main_S[[#This Row],[BVPS]]&lt;&gt;0,Main_S[[#This Row],[Current Price]]/Main_S[[#This Row],[BVPS]],""),"")</f>
        <v>1.1667659321024419</v>
      </c>
      <c r="J22">
        <v>-1.18</v>
      </c>
      <c r="K22">
        <v>5.03</v>
      </c>
      <c r="L22">
        <v>2.13</v>
      </c>
      <c r="M22" s="1">
        <f>IF(ISNUMBER(Main_S[[#This Row],[EPS]]),IF(Main_S[[#This Row],[EPS]]&lt;&gt;0,Main_S[[#This Row],[Current Price]]/Main_S[[#This Row],[EPS]],""),"")</f>
        <v>-79.418918918918919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1.014040775321869</v>
      </c>
      <c r="P22" s="1">
        <f>(Main_S[[#This Row],[P/B]]-VLOOKUP(Main_S[[#This Row],[Industry]], Mean_PB_S, 2, FALSE))/(VLOOKUP(Main_S[[#This Row],[Industry]], Mean_PB_S, 3, FALSE))</f>
        <v>0.52190003956638342</v>
      </c>
      <c r="Q22" s="1">
        <f>(Main_S[[#This Row],[ROE]]-VLOOKUP(Main_S[[#This Row],[Industry]], Mean_ROE_S, 2, FALSE))/(VLOOKUP(Main_S[[#This Row],[Industry]], Mean_ROE_S, 3, FALSE))</f>
        <v>-0.66971119539729462</v>
      </c>
      <c r="R22" s="1">
        <f>(Main_S[[#This Row],[ROA]]-VLOOKUP(Main_S[[#This Row],[Industry]], Mean_ROA_S, 2, FALSE))/(VLOOKUP(Main_S[[#This Row],[Industry]], Mean_ROA_S, 3, FALSE))</f>
        <v>0.71049681641230178</v>
      </c>
      <c r="S22" s="1">
        <f>(Main_S[[#This Row],[A/E]]-VLOOKUP(Main_S[[#This Row],[Industry]], Mean_AE_S, 2, FALSE))/(VLOOKUP(Main_S[[#This Row],[Industry]], Mean_AE_S, 3, FALSE))</f>
        <v>-0.49183877149772881</v>
      </c>
      <c r="T22" s="1">
        <f>(Main_S[[#This Row],[P/E]]-VLOOKUP(Main_S[[#This Row],[Industry]], Mean_PE_S, 2, FALSE))/(VLOOKUP(Main_S[[#This Row],[Industry]], Mean_PE_S, 3, FALSE))</f>
        <v>-5.5732111397208337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3" spans="1:26" x14ac:dyDescent="0.25">
      <c r="A23" t="s">
        <v>105</v>
      </c>
      <c r="B23" t="s">
        <v>243</v>
      </c>
      <c r="C23" s="2">
        <v>1430</v>
      </c>
      <c r="D23">
        <f>RTD("tos.rtd", , "LAST", Main_S[[#This Row],[Symbol]])</f>
        <v>43.21</v>
      </c>
      <c r="E23">
        <v>2.62</v>
      </c>
      <c r="F23">
        <v>6.45</v>
      </c>
      <c r="G23">
        <v>-9.74</v>
      </c>
      <c r="H23" s="1">
        <f>IF(ISNUMBER(Main_S[[#This Row],[Free CF]]),IF(Main_S[[#This Row],[Free CF]]&lt;&gt;0,Main_S[[#This Row],[Current Price]]/Main_S[[#This Row],[Free CF]],""),"")</f>
        <v>16.492366412213741</v>
      </c>
      <c r="I23" s="1">
        <f>IF(ISNUMBER(Main_S[[#This Row],[BVPS]]),IF(Main_S[[#This Row],[BVPS]]&lt;&gt;0,Main_S[[#This Row],[Current Price]]/Main_S[[#This Row],[BVPS]],""),"")</f>
        <v>6.69922480620155</v>
      </c>
      <c r="J23">
        <v>-88.14</v>
      </c>
      <c r="K23">
        <v>7.66</v>
      </c>
      <c r="L23">
        <v>8.76</v>
      </c>
      <c r="M23" s="1">
        <f>IF(ISNUMBER(Main_S[[#This Row],[EPS]]),IF(Main_S[[#This Row],[EPS]]&lt;&gt;0,Main_S[[#This Row],[Current Price]]/Main_S[[#This Row],[EPS]],""),"")</f>
        <v>-4.4363449691991788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>
        <f>(Main_S[[#This Row],[P/FCF]]-VLOOKUP(Main_S[[#This Row],[Industry]], Mean_PFCF_S, 2, FALSE))/(VLOOKUP(Main_S[[#This Row],[Industry]], Mean_PFCF_S, 3, FALSE))</f>
        <v>0.63923741418006896</v>
      </c>
      <c r="P23" s="1">
        <f>(Main_S[[#This Row],[P/B]]-VLOOKUP(Main_S[[#This Row],[Industry]], Mean_PB_S, 2, FALSE))/(VLOOKUP(Main_S[[#This Row],[Industry]], Mean_PB_S, 3, FALSE))</f>
        <v>15.399902146587777</v>
      </c>
      <c r="Q23" s="1">
        <f>(Main_S[[#This Row],[ROE]]-VLOOKUP(Main_S[[#This Row],[Industry]], Mean_ROE_S, 2, FALSE))/(VLOOKUP(Main_S[[#This Row],[Industry]], Mean_ROE_S, 3, FALSE))</f>
        <v>-11.049857775915363</v>
      </c>
      <c r="R23" s="1">
        <f>(Main_S[[#This Row],[ROA]]-VLOOKUP(Main_S[[#This Row],[Industry]], Mean_ROA_S, 2, FALSE))/(VLOOKUP(Main_S[[#This Row],[Industry]], Mean_ROA_S, 3, FALSE))</f>
        <v>1.8164786780645961</v>
      </c>
      <c r="S23" s="1">
        <f>(Main_S[[#This Row],[A/E]]-VLOOKUP(Main_S[[#This Row],[Industry]], Mean_AE_S, 2, FALSE))/(VLOOKUP(Main_S[[#This Row],[Industry]], Mean_AE_S, 3, FALSE))</f>
        <v>7.6250978373430272</v>
      </c>
      <c r="T23" s="1">
        <f>(Main_S[[#This Row],[P/E]]-VLOOKUP(Main_S[[#This Row],[Industry]], Mean_PE_S, 2, FALSE))/(VLOOKUP(Main_S[[#This Row],[Industry]], Mean_PE_S, 3, FALSE))</f>
        <v>-0.67236301271572019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" spans="1:26" x14ac:dyDescent="0.25">
      <c r="A24" t="s">
        <v>105</v>
      </c>
      <c r="B24" t="s">
        <v>244</v>
      </c>
      <c r="C24" s="2">
        <v>1525</v>
      </c>
      <c r="D24">
        <f>RTD("tos.rtd", , "LAST", Main_S[[#This Row],[Symbol]])</f>
        <v>12.17</v>
      </c>
      <c r="E24">
        <v>1.19</v>
      </c>
      <c r="F24">
        <v>7.83</v>
      </c>
      <c r="G24">
        <v>-0.04</v>
      </c>
      <c r="H24" s="1">
        <f>IF(ISNUMBER(Main_S[[#This Row],[Free CF]]),IF(Main_S[[#This Row],[Free CF]]&lt;&gt;0,Main_S[[#This Row],[Current Price]]/Main_S[[#This Row],[Free CF]],""),"")</f>
        <v>10.226890756302522</v>
      </c>
      <c r="I24" s="1">
        <f>IF(ISNUMBER(Main_S[[#This Row],[BVPS]]),IF(Main_S[[#This Row],[BVPS]]&lt;&gt;0,Main_S[[#This Row],[Current Price]]/Main_S[[#This Row],[BVPS]],""),"")</f>
        <v>1.5542784163473817</v>
      </c>
      <c r="J24">
        <v>-0.51</v>
      </c>
      <c r="K24">
        <v>-0.1</v>
      </c>
      <c r="L24">
        <v>2.09</v>
      </c>
      <c r="M24" s="1">
        <f>IF(ISNUMBER(Main_S[[#This Row],[EPS]]),IF(Main_S[[#This Row],[EPS]]&lt;&gt;0,Main_S[[#This Row],[Current Price]]/Main_S[[#This Row],[EPS]],""),"")</f>
        <v>-304.25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" s="1">
        <f>(Main_S[[#This Row],[P/FCF]]-VLOOKUP(Main_S[[#This Row],[Industry]], Mean_PFCF_S, 2, FALSE))/(VLOOKUP(Main_S[[#This Row],[Industry]], Mean_PFCF_S, 3, FALSE))</f>
        <v>0.22616360464394897</v>
      </c>
      <c r="P24" s="1">
        <f>(Main_S[[#This Row],[P/B]]-VLOOKUP(Main_S[[#This Row],[Industry]], Mean_PB_S, 2, FALSE))/(VLOOKUP(Main_S[[#This Row],[Industry]], Mean_PB_S, 3, FALSE))</f>
        <v>1.564006576333389</v>
      </c>
      <c r="Q24" s="1">
        <f>(Main_S[[#This Row],[ROE]]-VLOOKUP(Main_S[[#This Row],[Industry]], Mean_ROE_S, 2, FALSE))/(VLOOKUP(Main_S[[#This Row],[Industry]], Mean_ROE_S, 3, FALSE))</f>
        <v>-0.5897353650276177</v>
      </c>
      <c r="R24" s="1">
        <f>(Main_S[[#This Row],[ROA]]-VLOOKUP(Main_S[[#This Row],[Industry]], Mean_ROA_S, 2, FALSE))/(VLOOKUP(Main_S[[#This Row],[Industry]], Mean_ROA_S, 3, FALSE))</f>
        <v>-1.4467986019436947</v>
      </c>
      <c r="S24" s="1">
        <f>(Main_S[[#This Row],[A/E]]-VLOOKUP(Main_S[[#This Row],[Industry]], Mean_AE_S, 2, FALSE))/(VLOOKUP(Main_S[[#This Row],[Industry]], Mean_AE_S, 3, FALSE))</f>
        <v>-0.54080973143040312</v>
      </c>
      <c r="T24" s="1">
        <f>(Main_S[[#This Row],[P/E]]-VLOOKUP(Main_S[[#This Row],[Industry]], Mean_PE_S, 2, FALSE))/(VLOOKUP(Main_S[[#This Row],[Industry]], Mean_PE_S, 3, FALSE))</f>
        <v>-20.268131900211337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5" spans="1:26" x14ac:dyDescent="0.25">
      <c r="A25" t="s">
        <v>105</v>
      </c>
      <c r="B25" t="s">
        <v>245</v>
      </c>
      <c r="C25" s="2">
        <v>263</v>
      </c>
      <c r="D25">
        <f>RTD("tos.rtd", , "LAST", Main_S[[#This Row],[Symbol]])</f>
        <v>4.0199999999999996</v>
      </c>
      <c r="E25">
        <v>1.46</v>
      </c>
      <c r="F25">
        <v>10.82</v>
      </c>
      <c r="G25">
        <v>-0.64</v>
      </c>
      <c r="H25" s="1">
        <f>IF(ISNUMBER(Main_S[[#This Row],[Free CF]]),IF(Main_S[[#This Row],[Free CF]]&lt;&gt;0,Main_S[[#This Row],[Current Price]]/Main_S[[#This Row],[Free CF]],""),"")</f>
        <v>2.7534246575342465</v>
      </c>
      <c r="I25" s="1">
        <f>IF(ISNUMBER(Main_S[[#This Row],[BVPS]]),IF(Main_S[[#This Row],[BVPS]]&lt;&gt;0,Main_S[[#This Row],[Current Price]]/Main_S[[#This Row],[BVPS]],""),"")</f>
        <v>0.37153419593345649</v>
      </c>
      <c r="J25">
        <v>-5.7</v>
      </c>
      <c r="K25">
        <v>2.41</v>
      </c>
      <c r="L25">
        <v>2.98</v>
      </c>
      <c r="M25" s="1">
        <f>IF(ISNUMBER(Main_S[[#This Row],[EPS]]),IF(Main_S[[#This Row],[EPS]]&lt;&gt;0,Main_S[[#This Row],[Current Price]]/Main_S[[#This Row],[EPS]],""),"")</f>
        <v>-6.2812499999999991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-0.26655127949173685</v>
      </c>
      <c r="P25" s="1">
        <f>(Main_S[[#This Row],[P/B]]-VLOOKUP(Main_S[[#This Row],[Industry]], Mean_PB_S, 2, FALSE))/(VLOOKUP(Main_S[[#This Row],[Industry]], Mean_PB_S, 3, FALSE))</f>
        <v>-1.6166534888986706</v>
      </c>
      <c r="Q25" s="1">
        <f>(Main_S[[#This Row],[ROE]]-VLOOKUP(Main_S[[#This Row],[Industry]], Mean_ROE_S, 2, FALSE))/(VLOOKUP(Main_S[[#This Row],[Industry]], Mean_ROE_S, 3, FALSE))</f>
        <v>-1.2092496331151152</v>
      </c>
      <c r="R25" s="1">
        <f>(Main_S[[#This Row],[ROA]]-VLOOKUP(Main_S[[#This Row],[Industry]], Mean_ROA_S, 2, FALSE))/(VLOOKUP(Main_S[[#This Row],[Industry]], Mean_ROA_S, 3, FALSE))</f>
        <v>-0.39127979101317789</v>
      </c>
      <c r="S25" s="1">
        <f>(Main_S[[#This Row],[A/E]]-VLOOKUP(Main_S[[#This Row],[Industry]], Mean_AE_S, 2, FALSE))/(VLOOKUP(Main_S[[#This Row],[Industry]], Mean_AE_S, 3, FALSE))</f>
        <v>0.54879412707159902</v>
      </c>
      <c r="T25" s="1">
        <f>(Main_S[[#This Row],[P/E]]-VLOOKUP(Main_S[[#This Row],[Industry]], Mean_PE_S, 2, FALSE))/(VLOOKUP(Main_S[[#This Row],[Industry]], Mean_PE_S, 3, FALSE))</f>
        <v>-0.792945687975247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" spans="1:26" x14ac:dyDescent="0.25">
      <c r="A26" t="s">
        <v>105</v>
      </c>
      <c r="B26" t="s">
        <v>246</v>
      </c>
      <c r="C26" s="2">
        <v>1207</v>
      </c>
      <c r="D26">
        <f>RTD("tos.rtd", , "LAST", Main_S[[#This Row],[Symbol]])</f>
        <v>54.98</v>
      </c>
      <c r="E26">
        <v>1.72</v>
      </c>
      <c r="F26">
        <v>52.5</v>
      </c>
      <c r="G26">
        <v>2.4500000000000002</v>
      </c>
      <c r="H26" s="1">
        <f>IF(ISNUMBER(Main_S[[#This Row],[Free CF]]),IF(Main_S[[#This Row],[Free CF]]&lt;&gt;0,Main_S[[#This Row],[Current Price]]/Main_S[[#This Row],[Free CF]],""),"")</f>
        <v>31.965116279069765</v>
      </c>
      <c r="I26" s="1">
        <f>IF(ISNUMBER(Main_S[[#This Row],[BVPS]]),IF(Main_S[[#This Row],[BVPS]]&lt;&gt;0,Main_S[[#This Row],[Current Price]]/Main_S[[#This Row],[BVPS]],""),"")</f>
        <v>1.0472380952380951</v>
      </c>
      <c r="J26">
        <v>4.6500000000000004</v>
      </c>
      <c r="K26">
        <v>2.0099999999999998</v>
      </c>
      <c r="L26">
        <v>1.99</v>
      </c>
      <c r="M26" s="1">
        <f>IF(ISNUMBER(Main_S[[#This Row],[EPS]]),IF(Main_S[[#This Row],[EPS]]&lt;&gt;0,Main_S[[#This Row],[Current Price]]/Main_S[[#This Row],[EPS]],""),"")</f>
        <v>22.440816326530609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" s="1">
        <f>(Main_S[[#This Row],[P/FCF]]-VLOOKUP(Main_S[[#This Row],[Industry]], Mean_PFCF_S, 2, FALSE))/(VLOOKUP(Main_S[[#This Row],[Industry]], Mean_PFCF_S, 3, FALSE))</f>
        <v>1.6593335860440039</v>
      </c>
      <c r="P26" s="1">
        <f>(Main_S[[#This Row],[P/B]]-VLOOKUP(Main_S[[#This Row],[Industry]], Mean_PB_S, 2, FALSE))/(VLOOKUP(Main_S[[#This Row],[Industry]], Mean_PB_S, 3, FALSE))</f>
        <v>0.20046332414117526</v>
      </c>
      <c r="Q26" s="1">
        <f>(Main_S[[#This Row],[ROE]]-VLOOKUP(Main_S[[#This Row],[Industry]], Mean_ROE_S, 2, FALSE))/(VLOOKUP(Main_S[[#This Row],[Industry]], Mean_ROE_S, 3, FALSE))</f>
        <v>2.6197895729894165E-2</v>
      </c>
      <c r="R26" s="1">
        <f>(Main_S[[#This Row],[ROA]]-VLOOKUP(Main_S[[#This Row],[Industry]], Mean_ROA_S, 2, FALSE))/(VLOOKUP(Main_S[[#This Row],[Industry]], Mean_ROA_S, 3, FALSE))</f>
        <v>-0.55948996008577034</v>
      </c>
      <c r="S26" s="1">
        <f>(Main_S[[#This Row],[A/E]]-VLOOKUP(Main_S[[#This Row],[Industry]], Mean_AE_S, 2, FALSE))/(VLOOKUP(Main_S[[#This Row],[Industry]], Mean_AE_S, 3, FALSE))</f>
        <v>-0.6632371312620885</v>
      </c>
      <c r="T26" s="1">
        <f>(Main_S[[#This Row],[P/E]]-VLOOKUP(Main_S[[#This Row],[Industry]], Mean_PE_S, 2, FALSE))/(VLOOKUP(Main_S[[#This Row],[Industry]], Mean_PE_S, 3, FALSE))</f>
        <v>1.0843236233514588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" spans="1:26" x14ac:dyDescent="0.25">
      <c r="A27" t="s">
        <v>105</v>
      </c>
      <c r="B27" t="s">
        <v>247</v>
      </c>
      <c r="C27" s="2">
        <v>501</v>
      </c>
      <c r="D27">
        <f>RTD("tos.rtd", , "LAST", Main_S[[#This Row],[Symbol]])</f>
        <v>16.18</v>
      </c>
      <c r="E27">
        <v>0.46</v>
      </c>
      <c r="F27">
        <v>36.35</v>
      </c>
      <c r="G27">
        <v>3.79</v>
      </c>
      <c r="H27" s="1">
        <f>IF(ISNUMBER(Main_S[[#This Row],[Free CF]]),IF(Main_S[[#This Row],[Free CF]]&lt;&gt;0,Main_S[[#This Row],[Current Price]]/Main_S[[#This Row],[Free CF]],""),"")</f>
        <v>35.173913043478258</v>
      </c>
      <c r="I27" s="1">
        <f>IF(ISNUMBER(Main_S[[#This Row],[BVPS]]),IF(Main_S[[#This Row],[BVPS]]&lt;&gt;0,Main_S[[#This Row],[Current Price]]/Main_S[[#This Row],[BVPS]],""),"")</f>
        <v>0.44511691884456667</v>
      </c>
      <c r="J27">
        <v>12.15</v>
      </c>
      <c r="K27">
        <v>4.82</v>
      </c>
      <c r="L27">
        <v>2.7</v>
      </c>
      <c r="M27" s="1">
        <f>IF(ISNUMBER(Main_S[[#This Row],[EPS]]),IF(Main_S[[#This Row],[EPS]]&lt;&gt;0,Main_S[[#This Row],[Current Price]]/Main_S[[#This Row],[EPS]],""),"")</f>
        <v>4.2691292875989442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1.8708849472324982</v>
      </c>
      <c r="P27" s="1">
        <f>(Main_S[[#This Row],[P/B]]-VLOOKUP(Main_S[[#This Row],[Industry]], Mean_PB_S, 2, FALSE))/(VLOOKUP(Main_S[[#This Row],[Industry]], Mean_PB_S, 3, FALSE))</f>
        <v>-1.4187733181779911</v>
      </c>
      <c r="Q27" s="1">
        <f>(Main_S[[#This Row],[ROE]]-VLOOKUP(Main_S[[#This Row],[Industry]], Mean_ROE_S, 2, FALSE))/(VLOOKUP(Main_S[[#This Row],[Industry]], Mean_ROE_S, 3, FALSE))</f>
        <v>0.92144972822627769</v>
      </c>
      <c r="R27" s="1">
        <f>(Main_S[[#This Row],[ROA]]-VLOOKUP(Main_S[[#This Row],[Industry]], Mean_ROA_S, 2, FALSE))/(VLOOKUP(Main_S[[#This Row],[Industry]], Mean_ROA_S, 3, FALSE))</f>
        <v>0.62218647764919088</v>
      </c>
      <c r="S27" s="1">
        <f>(Main_S[[#This Row],[A/E]]-VLOOKUP(Main_S[[#This Row],[Industry]], Mean_AE_S, 2, FALSE))/(VLOOKUP(Main_S[[#This Row],[Industry]], Mean_AE_S, 3, FALSE))</f>
        <v>0.20599740754287951</v>
      </c>
      <c r="T27" s="1">
        <f>(Main_S[[#This Row],[P/E]]-VLOOKUP(Main_S[[#This Row],[Industry]], Mean_PE_S, 2, FALSE))/(VLOOKUP(Main_S[[#This Row],[Industry]], Mean_PE_S, 3, FALSE))</f>
        <v>-0.10337471371801987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" spans="1:26" x14ac:dyDescent="0.25">
      <c r="A28" t="s">
        <v>121</v>
      </c>
      <c r="B28" t="s">
        <v>248</v>
      </c>
      <c r="C28" s="2">
        <v>474</v>
      </c>
      <c r="D28">
        <f>RTD("tos.rtd", , "LAST", Main_S[[#This Row],[Symbol]])</f>
        <v>5.7</v>
      </c>
      <c r="E28">
        <v>0.19</v>
      </c>
      <c r="F28">
        <v>0.8</v>
      </c>
      <c r="G28">
        <v>0.13</v>
      </c>
      <c r="H28" s="1">
        <f>IF(ISNUMBER(Main_S[[#This Row],[Free CF]]),IF(Main_S[[#This Row],[Free CF]]&lt;&gt;0,Main_S[[#This Row],[Current Price]]/Main_S[[#This Row],[Free CF]],""),"")</f>
        <v>30</v>
      </c>
      <c r="I28" s="1">
        <f>IF(ISNUMBER(Main_S[[#This Row],[BVPS]]),IF(Main_S[[#This Row],[BVPS]]&lt;&gt;0,Main_S[[#This Row],[Current Price]]/Main_S[[#This Row],[BVPS]],""),"")</f>
        <v>7.125</v>
      </c>
      <c r="J28">
        <v>16.14</v>
      </c>
      <c r="K28">
        <v>7.65</v>
      </c>
      <c r="L28">
        <v>2.52</v>
      </c>
      <c r="M28" s="1">
        <f>IF(ISNUMBER(Main_S[[#This Row],[EPS]]),IF(Main_S[[#This Row],[EPS]]&lt;&gt;0,Main_S[[#This Row],[Current Price]]/Main_S[[#This Row],[EPS]],""),"")</f>
        <v>43.846153846153847</v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>
        <f>(Main_S[[#This Row],[P/FCF]]-VLOOKUP(Main_S[[#This Row],[Industry]], Mean_PFCF_S, 2, FALSE))/(VLOOKUP(Main_S[[#This Row],[Industry]], Mean_PFCF_S, 3, FALSE))</f>
        <v>0.99999999999969802</v>
      </c>
      <c r="P28" s="1">
        <f>(Main_S[[#This Row],[P/B]]-VLOOKUP(Main_S[[#This Row],[Industry]], Mean_PB_S, 2, FALSE))/(VLOOKUP(Main_S[[#This Row],[Industry]], Mean_PB_S, 3, FALSE))</f>
        <v>1</v>
      </c>
      <c r="Q28" s="1">
        <f>(Main_S[[#This Row],[ROE]]-VLOOKUP(Main_S[[#This Row],[Industry]], Mean_ROE_S, 2, FALSE))/(VLOOKUP(Main_S[[#This Row],[Industry]], Mean_ROE_S, 3, FALSE))</f>
        <v>-1.0000000000000018</v>
      </c>
      <c r="R28" s="1">
        <f>(Main_S[[#This Row],[ROA]]-VLOOKUP(Main_S[[#This Row],[Industry]], Mean_ROA_S, 2, FALSE))/(VLOOKUP(Main_S[[#This Row],[Industry]], Mean_ROA_S, 3, FALSE))</f>
        <v>0.99999999999999811</v>
      </c>
      <c r="S28" s="1">
        <f>(Main_S[[#This Row],[A/E]]-VLOOKUP(Main_S[[#This Row],[Industry]], Mean_AE_S, 2, FALSE))/(VLOOKUP(Main_S[[#This Row],[Industry]], Mean_AE_S, 3, FALSE))</f>
        <v>0.99999999999999778</v>
      </c>
      <c r="T28" s="1">
        <f>(Main_S[[#This Row],[P/E]]-VLOOKUP(Main_S[[#This Row],[Industry]], Mean_PE_S, 2, FALSE))/(VLOOKUP(Main_S[[#This Row],[Industry]], Mean_PE_S, 3, FALSE))</f>
        <v>1.0000000000000002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9" spans="1:26" x14ac:dyDescent="0.25">
      <c r="A29" t="s">
        <v>121</v>
      </c>
      <c r="B29" t="s">
        <v>249</v>
      </c>
      <c r="C29" s="2">
        <v>1296</v>
      </c>
      <c r="D29">
        <f>RTD("tos.rtd", , "LAST", Main_S[[#This Row],[Symbol]])</f>
        <v>12.27</v>
      </c>
      <c r="E29">
        <v>0.42</v>
      </c>
      <c r="F29">
        <v>6.6</v>
      </c>
      <c r="G29">
        <v>1.28</v>
      </c>
      <c r="H29" s="1">
        <f>IF(ISNUMBER(Main_S[[#This Row],[Free CF]]),IF(Main_S[[#This Row],[Free CF]]&lt;&gt;0,Main_S[[#This Row],[Current Price]]/Main_S[[#This Row],[Free CF]],""),"")</f>
        <v>29.214285714285715</v>
      </c>
      <c r="I29" s="1">
        <f>IF(ISNUMBER(Main_S[[#This Row],[BVPS]]),IF(Main_S[[#This Row],[BVPS]]&lt;&gt;0,Main_S[[#This Row],[Current Price]]/Main_S[[#This Row],[BVPS]],""),"")</f>
        <v>1.8590909090909091</v>
      </c>
      <c r="J29">
        <v>21.43</v>
      </c>
      <c r="K29">
        <v>4.8899999999999997</v>
      </c>
      <c r="L29">
        <v>1.78</v>
      </c>
      <c r="M29" s="1">
        <f>IF(ISNUMBER(Main_S[[#This Row],[EPS]]),IF(Main_S[[#This Row],[EPS]]&lt;&gt;0,Main_S[[#This Row],[Current Price]]/Main_S[[#This Row],[EPS]],""),"")</f>
        <v>9.5859375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-0.99999999999969802</v>
      </c>
      <c r="P29" s="1">
        <f>(Main_S[[#This Row],[P/B]]-VLOOKUP(Main_S[[#This Row],[Industry]], Mean_PB_S, 2, FALSE))/(VLOOKUP(Main_S[[#This Row],[Industry]], Mean_PB_S, 3, FALSE))</f>
        <v>-1</v>
      </c>
      <c r="Q29" s="1">
        <f>(Main_S[[#This Row],[ROE]]-VLOOKUP(Main_S[[#This Row],[Industry]], Mean_ROE_S, 2, FALSE))/(VLOOKUP(Main_S[[#This Row],[Industry]], Mean_ROE_S, 3, FALSE))</f>
        <v>1.0000000000000018</v>
      </c>
      <c r="R29" s="1">
        <f>(Main_S[[#This Row],[ROA]]-VLOOKUP(Main_S[[#This Row],[Industry]], Mean_ROA_S, 2, FALSE))/(VLOOKUP(Main_S[[#This Row],[Industry]], Mean_ROA_S, 3, FALSE))</f>
        <v>-0.99999999999999745</v>
      </c>
      <c r="S29" s="1">
        <f>(Main_S[[#This Row],[A/E]]-VLOOKUP(Main_S[[#This Row],[Industry]], Mean_AE_S, 2, FALSE))/(VLOOKUP(Main_S[[#This Row],[Industry]], Mean_AE_S, 3, FALSE))</f>
        <v>-0.99999999999999711</v>
      </c>
      <c r="T29" s="1">
        <f>(Main_S[[#This Row],[P/E]]-VLOOKUP(Main_S[[#This Row],[Industry]], Mean_PE_S, 2, FALSE))/(VLOOKUP(Main_S[[#This Row],[Industry]], Mean_PE_S, 3, FALSE))</f>
        <v>-1.0000000000000002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0" spans="1:26" x14ac:dyDescent="0.25">
      <c r="A30" t="s">
        <v>125</v>
      </c>
      <c r="B30" t="s">
        <v>250</v>
      </c>
      <c r="C30" s="2">
        <v>433</v>
      </c>
      <c r="D30">
        <f>RTD("tos.rtd", , "LAST", Main_S[[#This Row],[Symbol]])</f>
        <v>12.59</v>
      </c>
      <c r="E30">
        <v>1.1399999999999999</v>
      </c>
      <c r="F30">
        <v>7.43</v>
      </c>
      <c r="G30">
        <v>0.28000000000000003</v>
      </c>
      <c r="H30" s="1">
        <f>IF(ISNUMBER(Main_S[[#This Row],[Free CF]]),IF(Main_S[[#This Row],[Free CF]]&lt;&gt;0,Main_S[[#This Row],[Current Price]]/Main_S[[#This Row],[Free CF]],""),"")</f>
        <v>11.043859649122808</v>
      </c>
      <c r="I30" s="1">
        <f>IF(ISNUMBER(Main_S[[#This Row],[BVPS]]),IF(Main_S[[#This Row],[BVPS]]&lt;&gt;0,Main_S[[#This Row],[Current Price]]/Main_S[[#This Row],[BVPS]],""),"")</f>
        <v>1.6944818304172276</v>
      </c>
      <c r="J30">
        <v>3.69</v>
      </c>
      <c r="K30">
        <v>5.28</v>
      </c>
      <c r="L30">
        <v>3.19</v>
      </c>
      <c r="M30" s="1">
        <f>IF(ISNUMBER(Main_S[[#This Row],[EPS]]),IF(Main_S[[#This Row],[EPS]]&lt;&gt;0,Main_S[[#This Row],[Current Price]]/Main_S[[#This Row],[EPS]],""),"")</f>
        <v>44.964285714285708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>
        <f>(Main_S[[#This Row],[P/FCF]]-VLOOKUP(Main_S[[#This Row],[Industry]], Mean_PFCF_S, 2, FALSE))/(VLOOKUP(Main_S[[#This Row],[Industry]], Mean_PFCF_S, 3, FALSE))</f>
        <v>-1.399190977811769</v>
      </c>
      <c r="P30" s="1">
        <f>(Main_S[[#This Row],[P/B]]-VLOOKUP(Main_S[[#This Row],[Industry]], Mean_PB_S, 2, FALSE))/(VLOOKUP(Main_S[[#This Row],[Industry]], Mean_PB_S, 3, FALSE))</f>
        <v>0.57313477173892102</v>
      </c>
      <c r="Q30" s="1">
        <f>(Main_S[[#This Row],[ROE]]-VLOOKUP(Main_S[[#This Row],[Industry]], Mean_ROE_S, 2, FALSE))/(VLOOKUP(Main_S[[#This Row],[Industry]], Mean_ROE_S, 3, FALSE))</f>
        <v>0.83567294756909283</v>
      </c>
      <c r="R30" s="1">
        <f>(Main_S[[#This Row],[ROA]]-VLOOKUP(Main_S[[#This Row],[Industry]], Mean_ROA_S, 2, FALSE))/(VLOOKUP(Main_S[[#This Row],[Industry]], Mean_ROA_S, 3, FALSE))</f>
        <v>1.252676321363599</v>
      </c>
      <c r="S30" s="1">
        <f>(Main_S[[#This Row],[A/E]]-VLOOKUP(Main_S[[#This Row],[Industry]], Mean_AE_S, 2, FALSE))/(VLOOKUP(Main_S[[#This Row],[Industry]], Mean_AE_S, 3, FALSE))</f>
        <v>-0.2406956572624642</v>
      </c>
      <c r="T30" s="1">
        <f>(Main_S[[#This Row],[P/E]]-VLOOKUP(Main_S[[#This Row],[Industry]], Mean_PE_S, 2, FALSE))/(VLOOKUP(Main_S[[#This Row],[Industry]], Mean_PE_S, 3, FALSE))</f>
        <v>1.2456000819042499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1" spans="1:26" x14ac:dyDescent="0.25">
      <c r="A31" t="s">
        <v>125</v>
      </c>
      <c r="B31" t="s">
        <v>251</v>
      </c>
      <c r="C31" s="2">
        <v>1991</v>
      </c>
      <c r="D31">
        <f>RTD("tos.rtd", , "LAST", Main_S[[#This Row],[Symbol]])</f>
        <v>13.78</v>
      </c>
      <c r="E31">
        <v>0.32</v>
      </c>
      <c r="F31">
        <v>7.2</v>
      </c>
      <c r="G31">
        <v>-1.26</v>
      </c>
      <c r="H31" s="1">
        <f>IF(ISNUMBER(Main_S[[#This Row],[Free CF]]),IF(Main_S[[#This Row],[Free CF]]&lt;&gt;0,Main_S[[#This Row],[Current Price]]/Main_S[[#This Row],[Free CF]],""),"")</f>
        <v>43.0625</v>
      </c>
      <c r="I31" s="1">
        <f>IF(ISNUMBER(Main_S[[#This Row],[BVPS]]),IF(Main_S[[#This Row],[BVPS]]&lt;&gt;0,Main_S[[#This Row],[Current Price]]/Main_S[[#This Row],[BVPS]],""),"")</f>
        <v>1.9138888888888888</v>
      </c>
      <c r="J31">
        <v>-11.45</v>
      </c>
      <c r="K31">
        <v>3.58</v>
      </c>
      <c r="L31">
        <v>7.84</v>
      </c>
      <c r="M31" s="1">
        <f>IF(ISNUMBER(Main_S[[#This Row],[EPS]]),IF(Main_S[[#This Row],[EPS]]&lt;&gt;0,Main_S[[#This Row],[Current Price]]/Main_S[[#This Row],[EPS]],""),"")</f>
        <v>-10.936507936507937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1.1445926545199787</v>
      </c>
      <c r="P31" s="1">
        <f>(Main_S[[#This Row],[P/B]]-VLOOKUP(Main_S[[#This Row],[Industry]], Mean_PB_S, 2, FALSE))/(VLOOKUP(Main_S[[#This Row],[Industry]], Mean_PB_S, 3, FALSE))</f>
        <v>0.99809183199362228</v>
      </c>
      <c r="Q31" s="1">
        <f>(Main_S[[#This Row],[ROE]]-VLOOKUP(Main_S[[#This Row],[Industry]], Mean_ROE_S, 2, FALSE))/(VLOOKUP(Main_S[[#This Row],[Industry]], Mean_ROE_S, 3, FALSE))</f>
        <v>-1.4943617533878251</v>
      </c>
      <c r="R31" s="1">
        <f>(Main_S[[#This Row],[ROA]]-VLOOKUP(Main_S[[#This Row],[Industry]], Mean_ROA_S, 2, FALSE))/(VLOOKUP(Main_S[[#This Row],[Industry]], Mean_ROA_S, 3, FALSE))</f>
        <v>0.38080334436539298</v>
      </c>
      <c r="S31" s="1">
        <f>(Main_S[[#This Row],[A/E]]-VLOOKUP(Main_S[[#This Row],[Industry]], Mean_AE_S, 2, FALSE))/(VLOOKUP(Main_S[[#This Row],[Industry]], Mean_AE_S, 3, FALSE))</f>
        <v>1.6973732713443912</v>
      </c>
      <c r="T31" s="1">
        <f>(Main_S[[#This Row],[P/E]]-VLOOKUP(Main_S[[#This Row],[Industry]], Mean_PE_S, 2, FALSE))/(VLOOKUP(Main_S[[#This Row],[Industry]], Mean_PE_S, 3, FALSE))</f>
        <v>-0.92136309097911251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2" spans="1:26" x14ac:dyDescent="0.25">
      <c r="A32" t="s">
        <v>125</v>
      </c>
      <c r="B32" t="s">
        <v>252</v>
      </c>
      <c r="C32" s="2">
        <v>993</v>
      </c>
      <c r="D32">
        <f>RTD("tos.rtd", , "LAST", Main_S[[#This Row],[Symbol]])</f>
        <v>24.13</v>
      </c>
      <c r="E32">
        <v>0.64</v>
      </c>
      <c r="F32">
        <v>16.86</v>
      </c>
      <c r="G32">
        <v>0.77</v>
      </c>
      <c r="H32" s="1">
        <f>IF(ISNUMBER(Main_S[[#This Row],[Free CF]]),IF(Main_S[[#This Row],[Free CF]]&lt;&gt;0,Main_S[[#This Row],[Current Price]]/Main_S[[#This Row],[Free CF]],""),"")</f>
        <v>37.703125</v>
      </c>
      <c r="I32" s="1">
        <f>IF(ISNUMBER(Main_S[[#This Row],[BVPS]]),IF(Main_S[[#This Row],[BVPS]]&lt;&gt;0,Main_S[[#This Row],[Current Price]]/Main_S[[#This Row],[BVPS]],""),"")</f>
        <v>1.4311981020166074</v>
      </c>
      <c r="J32">
        <v>4.6399999999999997</v>
      </c>
      <c r="K32">
        <v>2.59</v>
      </c>
      <c r="L32">
        <v>2.0299999999999998</v>
      </c>
      <c r="M32" s="1">
        <f>IF(ISNUMBER(Main_S[[#This Row],[EPS]]),IF(Main_S[[#This Row],[EPS]]&lt;&gt;0,Main_S[[#This Row],[Current Price]]/Main_S[[#This Row],[EPS]],""),"")</f>
        <v>31.337662337662337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0.71880660442136901</v>
      </c>
      <c r="P32" s="1">
        <f>(Main_S[[#This Row],[P/B]]-VLOOKUP(Main_S[[#This Row],[Industry]], Mean_PB_S, 2, FALSE))/(VLOOKUP(Main_S[[#This Row],[Industry]], Mean_PB_S, 3, FALSE))</f>
        <v>6.3195483489104545E-2</v>
      </c>
      <c r="Q32" s="1">
        <f>(Main_S[[#This Row],[ROE]]-VLOOKUP(Main_S[[#This Row],[Industry]], Mean_ROE_S, 2, FALSE))/(VLOOKUP(Main_S[[#This Row],[Industry]], Mean_ROE_S, 3, FALSE))</f>
        <v>0.9818772385802601</v>
      </c>
      <c r="R32" s="1">
        <f>(Main_S[[#This Row],[ROA]]-VLOOKUP(Main_S[[#This Row],[Industry]], Mean_ROA_S, 2, FALSE))/(VLOOKUP(Main_S[[#This Row],[Industry]], Mean_ROA_S, 3, FALSE))</f>
        <v>-0.12693444812179766</v>
      </c>
      <c r="S32" s="1">
        <f>(Main_S[[#This Row],[A/E]]-VLOOKUP(Main_S[[#This Row],[Industry]], Mean_AE_S, 2, FALSE))/(VLOOKUP(Main_S[[#This Row],[Industry]], Mean_AE_S, 3, FALSE))</f>
        <v>-0.72417091687191648</v>
      </c>
      <c r="T32" s="1">
        <f>(Main_S[[#This Row],[P/E]]-VLOOKUP(Main_S[[#This Row],[Industry]], Mean_PE_S, 2, FALSE))/(VLOOKUP(Main_S[[#This Row],[Industry]], Mean_PE_S, 3, FALSE))</f>
        <v>0.71737160607338568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3" spans="1:26" x14ac:dyDescent="0.25">
      <c r="A33" t="s">
        <v>125</v>
      </c>
      <c r="B33" t="s">
        <v>253</v>
      </c>
      <c r="C33" s="2">
        <v>257</v>
      </c>
      <c r="D33">
        <f>RTD("tos.rtd", , "LAST", Main_S[[#This Row],[Symbol]])</f>
        <v>3.65</v>
      </c>
      <c r="E33">
        <v>0.16</v>
      </c>
      <c r="F33">
        <v>6.58</v>
      </c>
      <c r="G33">
        <v>-0.26</v>
      </c>
      <c r="H33" s="1">
        <f>IF(ISNUMBER(Main_S[[#This Row],[Free CF]]),IF(Main_S[[#This Row],[Free CF]]&lt;&gt;0,Main_S[[#This Row],[Current Price]]/Main_S[[#This Row],[Free CF]],""),"")</f>
        <v>22.8125</v>
      </c>
      <c r="I33" s="1">
        <f>IF(ISNUMBER(Main_S[[#This Row],[BVPS]]),IF(Main_S[[#This Row],[BVPS]]&lt;&gt;0,Main_S[[#This Row],[Current Price]]/Main_S[[#This Row],[BVPS]],""),"")</f>
        <v>0.55471124620060785</v>
      </c>
      <c r="J33">
        <v>-3.84</v>
      </c>
      <c r="K33">
        <v>-0.1</v>
      </c>
      <c r="L33">
        <v>2.0099999999999998</v>
      </c>
      <c r="M33" s="1">
        <f>IF(ISNUMBER(Main_S[[#This Row],[EPS]]),IF(Main_S[[#This Row],[EPS]]&lt;&gt;0,Main_S[[#This Row],[Current Price]]/Main_S[[#This Row],[EPS]],""),"")</f>
        <v>-14.038461538461538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-0.46420828112957851</v>
      </c>
      <c r="P33" s="1">
        <f>(Main_S[[#This Row],[P/B]]-VLOOKUP(Main_S[[#This Row],[Industry]], Mean_PB_S, 2, FALSE))/(VLOOKUP(Main_S[[#This Row],[Industry]], Mean_PB_S, 3, FALSE))</f>
        <v>-1.6344220872216475</v>
      </c>
      <c r="Q33" s="1">
        <f>(Main_S[[#This Row],[ROE]]-VLOOKUP(Main_S[[#This Row],[Industry]], Mean_ROE_S, 2, FALSE))/(VLOOKUP(Main_S[[#This Row],[Industry]], Mean_ROE_S, 3, FALSE))</f>
        <v>-0.32318843276152753</v>
      </c>
      <c r="R33" s="1">
        <f>(Main_S[[#This Row],[ROA]]-VLOOKUP(Main_S[[#This Row],[Industry]], Mean_ROA_S, 2, FALSE))/(VLOOKUP(Main_S[[#This Row],[Industry]], Mean_ROA_S, 3, FALSE))</f>
        <v>-1.5065452176071941</v>
      </c>
      <c r="S33" s="1">
        <f>(Main_S[[#This Row],[A/E]]-VLOOKUP(Main_S[[#This Row],[Industry]], Mean_AE_S, 2, FALSE))/(VLOOKUP(Main_S[[#This Row],[Industry]], Mean_AE_S, 3, FALSE))</f>
        <v>-0.73250669721001049</v>
      </c>
      <c r="T33" s="1">
        <f>(Main_S[[#This Row],[P/E]]-VLOOKUP(Main_S[[#This Row],[Industry]], Mean_PE_S, 2, FALSE))/(VLOOKUP(Main_S[[#This Row],[Industry]], Mean_PE_S, 3, FALSE))</f>
        <v>-1.0416085969985234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t="s">
        <v>133</v>
      </c>
      <c r="B34" t="s">
        <v>254</v>
      </c>
      <c r="C34" s="2">
        <v>1476</v>
      </c>
      <c r="D34">
        <f>RTD("tos.rtd", , "LAST", Main_S[[#This Row],[Symbol]])</f>
        <v>17.18</v>
      </c>
      <c r="E34">
        <v>-1.1499999999999999</v>
      </c>
      <c r="F34">
        <v>7.44</v>
      </c>
      <c r="G34">
        <v>3.27</v>
      </c>
      <c r="H34" s="1">
        <f>IF(ISNUMBER(Main_S[[#This Row],[Free CF]]),IF(Main_S[[#This Row],[Free CF]]&lt;&gt;0,Main_S[[#This Row],[Current Price]]/Main_S[[#This Row],[Free CF]],""),"")</f>
        <v>-14.93913043478261</v>
      </c>
      <c r="I34" s="1">
        <f>IF(ISNUMBER(Main_S[[#This Row],[BVPS]]),IF(Main_S[[#This Row],[BVPS]]&lt;&gt;0,Main_S[[#This Row],[Current Price]]/Main_S[[#This Row],[BVPS]],""),"")</f>
        <v>2.3091397849462365</v>
      </c>
      <c r="J34">
        <v>60.15</v>
      </c>
      <c r="K34">
        <v>4.01</v>
      </c>
      <c r="L34">
        <v>2.79</v>
      </c>
      <c r="M34" s="1">
        <f>IF(ISNUMBER(Main_S[[#This Row],[EPS]]),IF(Main_S[[#This Row],[EPS]]&lt;&gt;0,Main_S[[#This Row],[Current Price]]/Main_S[[#This Row],[EPS]],""),"")</f>
        <v>5.2538226299694184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-0.30123107497528623</v>
      </c>
      <c r="P34" s="1">
        <f>(Main_S[[#This Row],[P/B]]-VLOOKUP(Main_S[[#This Row],[Industry]], Mean_PB_S, 2, FALSE))/(VLOOKUP(Main_S[[#This Row],[Industry]], Mean_PB_S, 3, FALSE))</f>
        <v>0.82660920885602951</v>
      </c>
      <c r="Q34" s="1">
        <f>(Main_S[[#This Row],[ROE]]-VLOOKUP(Main_S[[#This Row],[Industry]], Mean_ROE_S, 2, FALSE))/(VLOOKUP(Main_S[[#This Row],[Industry]], Mean_ROE_S, 3, FALSE))</f>
        <v>3.6404243214864658</v>
      </c>
      <c r="R34" s="1">
        <f>(Main_S[[#This Row],[ROA]]-VLOOKUP(Main_S[[#This Row],[Industry]], Mean_ROA_S, 2, FALSE))/(VLOOKUP(Main_S[[#This Row],[Industry]], Mean_ROA_S, 3, FALSE))</f>
        <v>0.51523323829067635</v>
      </c>
      <c r="S34" s="1">
        <f>(Main_S[[#This Row],[A/E]]-VLOOKUP(Main_S[[#This Row],[Industry]], Mean_AE_S, 2, FALSE))/(VLOOKUP(Main_S[[#This Row],[Industry]], Mean_AE_S, 3, FALSE))</f>
        <v>1.4673005833950983</v>
      </c>
      <c r="T34" s="1">
        <f>(Main_S[[#This Row],[P/E]]-VLOOKUP(Main_S[[#This Row],[Industry]], Mean_PE_S, 2, FALSE))/(VLOOKUP(Main_S[[#This Row],[Industry]], Mean_PE_S, 3, FALSE))</f>
        <v>0.29738901844458171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5" spans="1:26" x14ac:dyDescent="0.25">
      <c r="A35" t="s">
        <v>133</v>
      </c>
      <c r="B35" t="s">
        <v>255</v>
      </c>
      <c r="C35" s="2">
        <v>1539</v>
      </c>
      <c r="D35">
        <f>RTD("tos.rtd", , "LAST", Main_S[[#This Row],[Symbol]])</f>
        <v>12.32</v>
      </c>
      <c r="E35">
        <v>-0.59</v>
      </c>
      <c r="F35">
        <v>5.21</v>
      </c>
      <c r="G35">
        <v>0.5</v>
      </c>
      <c r="H35" s="1">
        <f>IF(ISNUMBER(Main_S[[#This Row],[Free CF]]),IF(Main_S[[#This Row],[Free CF]]&lt;&gt;0,Main_S[[#This Row],[Current Price]]/Main_S[[#This Row],[Free CF]],""),"")</f>
        <v>-20.881355932203391</v>
      </c>
      <c r="I35" s="1">
        <f>IF(ISNUMBER(Main_S[[#This Row],[BVPS]]),IF(Main_S[[#This Row],[BVPS]]&lt;&gt;0,Main_S[[#This Row],[Current Price]]/Main_S[[#This Row],[BVPS]],""),"")</f>
        <v>2.36468330134357</v>
      </c>
      <c r="J35">
        <v>8.6999999999999993</v>
      </c>
      <c r="K35">
        <v>3.66</v>
      </c>
      <c r="L35">
        <v>6.94</v>
      </c>
      <c r="M35" s="1">
        <f>IF(ISNUMBER(Main_S[[#This Row],[EPS]]),IF(Main_S[[#This Row],[EPS]]&lt;&gt;0,Main_S[[#This Row],[Current Price]]/Main_S[[#This Row],[EPS]],""),"")</f>
        <v>24.64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-0.57259757119456567</v>
      </c>
      <c r="P35" s="1">
        <f>(Main_S[[#This Row],[P/B]]-VLOOKUP(Main_S[[#This Row],[Industry]], Mean_PB_S, 2, FALSE))/(VLOOKUP(Main_S[[#This Row],[Industry]], Mean_PB_S, 3, FALSE))</f>
        <v>0.89629198691449485</v>
      </c>
      <c r="Q35" s="1">
        <f>(Main_S[[#This Row],[ROE]]-VLOOKUP(Main_S[[#This Row],[Industry]], Mean_ROE_S, 2, FALSE))/(VLOOKUP(Main_S[[#This Row],[Industry]], Mean_ROE_S, 3, FALSE))</f>
        <v>0.86062168425698438</v>
      </c>
      <c r="R35" s="1">
        <f>(Main_S[[#This Row],[ROA]]-VLOOKUP(Main_S[[#This Row],[Industry]], Mean_ROA_S, 2, FALSE))/(VLOOKUP(Main_S[[#This Row],[Industry]], Mean_ROA_S, 3, FALSE))</f>
        <v>0.47332993692790787</v>
      </c>
      <c r="S35" s="1">
        <f>(Main_S[[#This Row],[A/E]]-VLOOKUP(Main_S[[#This Row],[Industry]], Mean_AE_S, 2, FALSE))/(VLOOKUP(Main_S[[#This Row],[Industry]], Mean_AE_S, 3, FALSE))</f>
        <v>7.6529514116166659</v>
      </c>
      <c r="T35" s="1">
        <f>(Main_S[[#This Row],[P/E]]-VLOOKUP(Main_S[[#This Row],[Industry]], Mean_PE_S, 2, FALSE))/(VLOOKUP(Main_S[[#This Row],[Industry]], Mean_PE_S, 3, FALSE))</f>
        <v>1.1507370793704714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6" spans="1:26" x14ac:dyDescent="0.25">
      <c r="A36" t="s">
        <v>133</v>
      </c>
      <c r="B36" t="s">
        <v>256</v>
      </c>
      <c r="C36" s="2">
        <v>1075</v>
      </c>
      <c r="D36">
        <f>RTD("tos.rtd", , "LAST", Main_S[[#This Row],[Symbol]])</f>
        <v>71.400000000000006</v>
      </c>
      <c r="E36">
        <v>-1.75</v>
      </c>
      <c r="F36">
        <v>47.29</v>
      </c>
      <c r="G36">
        <v>3.06</v>
      </c>
      <c r="H36" s="1">
        <f>IF(ISNUMBER(Main_S[[#This Row],[Free CF]]),IF(Main_S[[#This Row],[Free CF]]&lt;&gt;0,Main_S[[#This Row],[Current Price]]/Main_S[[#This Row],[Free CF]],""),"")</f>
        <v>-40.800000000000004</v>
      </c>
      <c r="I36" s="1">
        <f>IF(ISNUMBER(Main_S[[#This Row],[BVPS]]),IF(Main_S[[#This Row],[BVPS]]&lt;&gt;0,Main_S[[#This Row],[Current Price]]/Main_S[[#This Row],[BVPS]],""),"")</f>
        <v>1.5098329456544726</v>
      </c>
      <c r="J36">
        <v>7.06</v>
      </c>
      <c r="K36">
        <v>2.87</v>
      </c>
      <c r="L36">
        <v>3.22</v>
      </c>
      <c r="M36" s="1">
        <f>IF(ISNUMBER(Main_S[[#This Row],[EPS]]),IF(Main_S[[#This Row],[EPS]]&lt;&gt;0,Main_S[[#This Row],[Current Price]]/Main_S[[#This Row],[EPS]],""),"")</f>
        <v>23.333333333333336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-1.4822319585908448</v>
      </c>
      <c r="P36" s="1">
        <f>(Main_S[[#This Row],[P/B]]-VLOOKUP(Main_S[[#This Row],[Industry]], Mean_PB_S, 2, FALSE))/(VLOOKUP(Main_S[[#This Row],[Industry]], Mean_PB_S, 3, FALSE))</f>
        <v>-0.17617067790057225</v>
      </c>
      <c r="Q36" s="1">
        <f>(Main_S[[#This Row],[ROE]]-VLOOKUP(Main_S[[#This Row],[Industry]], Mean_ROE_S, 2, FALSE))/(VLOOKUP(Main_S[[#This Row],[Industry]], Mean_ROE_S, 3, FALSE))</f>
        <v>0.77201378678261401</v>
      </c>
      <c r="R36" s="1">
        <f>(Main_S[[#This Row],[ROA]]-VLOOKUP(Main_S[[#This Row],[Industry]], Mean_ROA_S, 2, FALSE))/(VLOOKUP(Main_S[[#This Row],[Industry]], Mean_ROA_S, 3, FALSE))</f>
        <v>0.37874819956623024</v>
      </c>
      <c r="S36" s="1">
        <f>(Main_S[[#This Row],[A/E]]-VLOOKUP(Main_S[[#This Row],[Industry]], Mean_AE_S, 2, FALSE))/(VLOOKUP(Main_S[[#This Row],[Industry]], Mean_AE_S, 3, FALSE))</f>
        <v>2.1082234402951645</v>
      </c>
      <c r="T36" s="1">
        <f>(Main_S[[#This Row],[P/E]]-VLOOKUP(Main_S[[#This Row],[Industry]], Mean_PE_S, 2, FALSE))/(VLOOKUP(Main_S[[#This Row],[Industry]], Mean_PE_S, 3, FALSE))</f>
        <v>1.0932197336352438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t="s">
        <v>133</v>
      </c>
      <c r="B37" t="s">
        <v>257</v>
      </c>
      <c r="C37" s="2">
        <v>282</v>
      </c>
      <c r="D37">
        <f>RTD("tos.rtd", , "LAST", Main_S[[#This Row],[Symbol]])</f>
        <v>8.4600000000000009</v>
      </c>
      <c r="E37">
        <v>0.32</v>
      </c>
      <c r="F37">
        <v>5.34</v>
      </c>
      <c r="G37">
        <v>0.03</v>
      </c>
      <c r="H37" s="1">
        <f>IF(ISNUMBER(Main_S[[#This Row],[Free CF]]),IF(Main_S[[#This Row],[Free CF]]&lt;&gt;0,Main_S[[#This Row],[Current Price]]/Main_S[[#This Row],[Free CF]],""),"")</f>
        <v>26.437500000000004</v>
      </c>
      <c r="I37" s="1">
        <f>IF(ISNUMBER(Main_S[[#This Row],[BVPS]]),IF(Main_S[[#This Row],[BVPS]]&lt;&gt;0,Main_S[[#This Row],[Current Price]]/Main_S[[#This Row],[BVPS]],""),"")</f>
        <v>1.5842696629213484</v>
      </c>
      <c r="J37">
        <v>0.62</v>
      </c>
      <c r="K37">
        <v>3.91</v>
      </c>
      <c r="L37">
        <v>1.97</v>
      </c>
      <c r="M37" s="1">
        <f>IF(ISNUMBER(Main_S[[#This Row],[EPS]]),IF(Main_S[[#This Row],[EPS]]&lt;&gt;0,Main_S[[#This Row],[Current Price]]/Main_S[[#This Row],[EPS]],""),"")</f>
        <v>282.00000000000006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1.5883355918098374</v>
      </c>
      <c r="P37" s="1">
        <f>(Main_S[[#This Row],[P/B]]-VLOOKUP(Main_S[[#This Row],[Industry]], Mean_PB_S, 2, FALSE))/(VLOOKUP(Main_S[[#This Row],[Industry]], Mean_PB_S, 3, FALSE))</f>
        <v>-8.2785210340267271E-2</v>
      </c>
      <c r="Q37" s="1">
        <f>(Main_S[[#This Row],[ROE]]-VLOOKUP(Main_S[[#This Row],[Industry]], Mean_ROE_S, 2, FALSE))/(VLOOKUP(Main_S[[#This Row],[Industry]], Mean_ROE_S, 3, FALSE))</f>
        <v>0.42406570157837964</v>
      </c>
      <c r="R37" s="1">
        <f>(Main_S[[#This Row],[ROA]]-VLOOKUP(Main_S[[#This Row],[Industry]], Mean_ROA_S, 2, FALSE))/(VLOOKUP(Main_S[[#This Row],[Industry]], Mean_ROA_S, 3, FALSE))</f>
        <v>0.5032608664727426</v>
      </c>
      <c r="S37" s="1">
        <f>(Main_S[[#This Row],[A/E]]-VLOOKUP(Main_S[[#This Row],[Industry]], Mean_AE_S, 2, FALSE))/(VLOOKUP(Main_S[[#This Row],[Industry]], Mean_AE_S, 3, FALSE))</f>
        <v>0.24507560046939098</v>
      </c>
      <c r="T37" s="1">
        <f>(Main_S[[#This Row],[P/E]]-VLOOKUP(Main_S[[#This Row],[Industry]], Mean_PE_S, 2, FALSE))/(VLOOKUP(Main_S[[#This Row],[Industry]], Mean_PE_S, 3, FALSE))</f>
        <v>12.479306542445626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8" spans="1:26" x14ac:dyDescent="0.25">
      <c r="A38" t="s">
        <v>133</v>
      </c>
      <c r="B38" t="s">
        <v>258</v>
      </c>
      <c r="C38" s="2">
        <v>591</v>
      </c>
      <c r="D38">
        <f>RTD("tos.rtd", , "LAST", Main_S[[#This Row],[Symbol]])</f>
        <v>19.73</v>
      </c>
      <c r="E38">
        <v>-0.6</v>
      </c>
      <c r="F38">
        <v>6.34</v>
      </c>
      <c r="G38">
        <v>-3.74</v>
      </c>
      <c r="H38" s="1">
        <f>IF(ISNUMBER(Main_S[[#This Row],[Free CF]]),IF(Main_S[[#This Row],[Free CF]]&lt;&gt;0,Main_S[[#This Row],[Current Price]]/Main_S[[#This Row],[Free CF]],""),"")</f>
        <v>-32.883333333333333</v>
      </c>
      <c r="I38" s="1">
        <f>IF(ISNUMBER(Main_S[[#This Row],[BVPS]]),IF(Main_S[[#This Row],[BVPS]]&lt;&gt;0,Main_S[[#This Row],[Current Price]]/Main_S[[#This Row],[BVPS]],""),"")</f>
        <v>3.1119873817034702</v>
      </c>
      <c r="J38">
        <v>-42.72</v>
      </c>
      <c r="K38">
        <v>0.97</v>
      </c>
      <c r="L38">
        <v>6.54</v>
      </c>
      <c r="M38" s="1">
        <f>IF(ISNUMBER(Main_S[[#This Row],[EPS]]),IF(Main_S[[#This Row],[EPS]]&lt;&gt;0,Main_S[[#This Row],[Current Price]]/Main_S[[#This Row],[EPS]],""),"")</f>
        <v>-5.2754010695187166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-1.1206976990778437</v>
      </c>
      <c r="P38" s="1">
        <f>(Main_S[[#This Row],[P/B]]-VLOOKUP(Main_S[[#This Row],[Industry]], Mean_PB_S, 2, FALSE))/(VLOOKUP(Main_S[[#This Row],[Industry]], Mean_PB_S, 3, FALSE))</f>
        <v>1.8338311949363433</v>
      </c>
      <c r="Q38" s="1">
        <f>(Main_S[[#This Row],[ROE]]-VLOOKUP(Main_S[[#This Row],[Industry]], Mean_ROE_S, 2, FALSE))/(VLOOKUP(Main_S[[#This Row],[Industry]], Mean_ROE_S, 3, FALSE))</f>
        <v>-1.9175600767991856</v>
      </c>
      <c r="R38" s="1">
        <f>(Main_S[[#This Row],[ROA]]-VLOOKUP(Main_S[[#This Row],[Industry]], Mean_ROA_S, 2, FALSE))/(VLOOKUP(Main_S[[#This Row],[Industry]], Mean_ROA_S, 3, FALSE))</f>
        <v>0.1512731350254867</v>
      </c>
      <c r="S38" s="1">
        <f>(Main_S[[#This Row],[A/E]]-VLOOKUP(Main_S[[#This Row],[Industry]], Mean_AE_S, 2, FALSE))/(VLOOKUP(Main_S[[#This Row],[Industry]], Mean_AE_S, 3, FALSE))</f>
        <v>7.0567441028724183</v>
      </c>
      <c r="T38" s="1">
        <f>(Main_S[[#This Row],[P/E]]-VLOOKUP(Main_S[[#This Row],[Industry]], Mean_PE_S, 2, FALSE))/(VLOOKUP(Main_S[[#This Row],[Industry]], Mean_PE_S, 3, FALSE))</f>
        <v>-0.16609031817302969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9" spans="1:26" x14ac:dyDescent="0.25">
      <c r="A39" t="s">
        <v>133</v>
      </c>
      <c r="B39" t="s">
        <v>259</v>
      </c>
      <c r="C39" s="2">
        <v>835</v>
      </c>
      <c r="D39">
        <f>RTD("tos.rtd", , "LAST", Main_S[[#This Row],[Symbol]])</f>
        <v>9.14</v>
      </c>
      <c r="E39">
        <v>-0.33</v>
      </c>
      <c r="F39">
        <v>0.48</v>
      </c>
      <c r="G39">
        <v>-0.39</v>
      </c>
      <c r="H39" s="1">
        <f>IF(ISNUMBER(Main_S[[#This Row],[Free CF]]),IF(Main_S[[#This Row],[Free CF]]&lt;&gt;0,Main_S[[#This Row],[Current Price]]/Main_S[[#This Row],[Free CF]],""),"")</f>
        <v>-27.696969696969699</v>
      </c>
      <c r="I39" s="1">
        <f>IF(ISNUMBER(Main_S[[#This Row],[BVPS]]),IF(Main_S[[#This Row],[BVPS]]&lt;&gt;0,Main_S[[#This Row],[Current Price]]/Main_S[[#This Row],[BVPS]],""),"")</f>
        <v>19.041666666666668</v>
      </c>
      <c r="J39">
        <v>-108.38</v>
      </c>
      <c r="K39">
        <v>-50.05</v>
      </c>
      <c r="L39">
        <v>1.1499999999999999</v>
      </c>
      <c r="M39" s="1">
        <f>IF(ISNUMBER(Main_S[[#This Row],[EPS]]),IF(Main_S[[#This Row],[EPS]]&lt;&gt;0,Main_S[[#This Row],[Current Price]]/Main_S[[#This Row],[EPS]],""),"")</f>
        <v>-23.435897435897438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-0.88384951337200623</v>
      </c>
      <c r="P39" s="1">
        <f>(Main_S[[#This Row],[P/B]]-VLOOKUP(Main_S[[#This Row],[Industry]], Mean_PB_S, 2, FALSE))/(VLOOKUP(Main_S[[#This Row],[Industry]], Mean_PB_S, 3, FALSE))</f>
        <v>21.818599501933832</v>
      </c>
      <c r="Q39" s="1">
        <f>(Main_S[[#This Row],[ROE]]-VLOOKUP(Main_S[[#This Row],[Industry]], Mean_ROE_S, 2, FALSE))/(VLOOKUP(Main_S[[#This Row],[Industry]], Mean_ROE_S, 3, FALSE))</f>
        <v>-5.4651177281206191</v>
      </c>
      <c r="R39" s="1">
        <f>(Main_S[[#This Row],[ROA]]-VLOOKUP(Main_S[[#This Row],[Industry]], Mean_ROA_S, 2, FALSE))/(VLOOKUP(Main_S[[#This Row],[Industry]], Mean_ROA_S, 3, FALSE))</f>
        <v>-5.9570309664843739</v>
      </c>
      <c r="S39" s="1">
        <f>(Main_S[[#This Row],[A/E]]-VLOOKUP(Main_S[[#This Row],[Industry]], Mean_AE_S, 2, FALSE))/(VLOOKUP(Main_S[[#This Row],[Industry]], Mean_AE_S, 3, FALSE))</f>
        <v>-0.97714938245631644</v>
      </c>
      <c r="T39" s="1">
        <f>(Main_S[[#This Row],[P/E]]-VLOOKUP(Main_S[[#This Row],[Industry]], Mean_PE_S, 2, FALSE))/(VLOOKUP(Main_S[[#This Row],[Industry]], Mean_PE_S, 3, FALSE))</f>
        <v>-0.96548589079676783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0" spans="1:26" x14ac:dyDescent="0.25">
      <c r="A40" t="s">
        <v>133</v>
      </c>
      <c r="B40" t="s">
        <v>260</v>
      </c>
      <c r="C40" s="2">
        <v>636</v>
      </c>
      <c r="D40">
        <f>RTD("tos.rtd", , "LAST", Main_S[[#This Row],[Symbol]])</f>
        <v>4</v>
      </c>
      <c r="E40">
        <v>0.87</v>
      </c>
      <c r="F40">
        <v>3.85</v>
      </c>
      <c r="G40">
        <v>0.12</v>
      </c>
      <c r="H40" s="1">
        <f>IF(ISNUMBER(Main_S[[#This Row],[Free CF]]),IF(Main_S[[#This Row],[Free CF]]&lt;&gt;0,Main_S[[#This Row],[Current Price]]/Main_S[[#This Row],[Free CF]],""),"")</f>
        <v>4.5977011494252871</v>
      </c>
      <c r="I40" s="1">
        <f>IF(ISNUMBER(Main_S[[#This Row],[BVPS]]),IF(Main_S[[#This Row],[BVPS]]&lt;&gt;0,Main_S[[#This Row],[Current Price]]/Main_S[[#This Row],[BVPS]],""),"")</f>
        <v>1.0389610389610389</v>
      </c>
      <c r="J40">
        <v>2.44</v>
      </c>
      <c r="K40">
        <v>3.14</v>
      </c>
      <c r="L40">
        <v>2.04</v>
      </c>
      <c r="M40" s="1">
        <f>IF(ISNUMBER(Main_S[[#This Row],[EPS]]),IF(Main_S[[#This Row],[EPS]]&lt;&gt;0,Main_S[[#This Row],[Current Price]]/Main_S[[#This Row],[EPS]],""),"")</f>
        <v>33.333333333333336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0.59096689639652145</v>
      </c>
      <c r="P40" s="1">
        <f>(Main_S[[#This Row],[P/B]]-VLOOKUP(Main_S[[#This Row],[Industry]], Mean_PB_S, 2, FALSE))/(VLOOKUP(Main_S[[#This Row],[Industry]], Mean_PB_S, 3, FALSE))</f>
        <v>-0.76690861990203008</v>
      </c>
      <c r="Q40" s="1">
        <f>(Main_S[[#This Row],[ROE]]-VLOOKUP(Main_S[[#This Row],[Industry]], Mean_ROE_S, 2, FALSE))/(VLOOKUP(Main_S[[#This Row],[Industry]], Mean_ROE_S, 3, FALSE))</f>
        <v>0.52239885609261982</v>
      </c>
      <c r="R40" s="1">
        <f>(Main_S[[#This Row],[ROA]]-VLOOKUP(Main_S[[#This Row],[Industry]], Mean_ROA_S, 2, FALSE))/(VLOOKUP(Main_S[[#This Row],[Industry]], Mean_ROA_S, 3, FALSE))</f>
        <v>0.41107360347465172</v>
      </c>
      <c r="S40" s="1">
        <f>(Main_S[[#This Row],[A/E]]-VLOOKUP(Main_S[[#This Row],[Industry]], Mean_AE_S, 2, FALSE))/(VLOOKUP(Main_S[[#This Row],[Industry]], Mean_AE_S, 3, FALSE))</f>
        <v>0.34941187949963437</v>
      </c>
      <c r="T40" s="1">
        <f>(Main_S[[#This Row],[P/E]]-VLOOKUP(Main_S[[#This Row],[Industry]], Mean_PE_S, 2, FALSE))/(VLOOKUP(Main_S[[#This Row],[Industry]], Mean_PE_S, 3, FALSE))</f>
        <v>1.5334035020170886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t="s">
        <v>133</v>
      </c>
      <c r="B41" t="s">
        <v>261</v>
      </c>
      <c r="C41" s="2">
        <v>838</v>
      </c>
      <c r="D41">
        <f>RTD("tos.rtd", , "LAST", Main_S[[#This Row],[Symbol]])</f>
        <v>6.8</v>
      </c>
      <c r="E41">
        <v>-1.46</v>
      </c>
      <c r="F41">
        <v>2.23</v>
      </c>
      <c r="G41">
        <v>-1.07</v>
      </c>
      <c r="H41" s="1">
        <f>IF(ISNUMBER(Main_S[[#This Row],[Free CF]]),IF(Main_S[[#This Row],[Free CF]]&lt;&gt;0,Main_S[[#This Row],[Current Price]]/Main_S[[#This Row],[Free CF]],""),"")</f>
        <v>-4.6575342465753424</v>
      </c>
      <c r="I41" s="1">
        <f>IF(ISNUMBER(Main_S[[#This Row],[BVPS]]),IF(Main_S[[#This Row],[BVPS]]&lt;&gt;0,Main_S[[#This Row],[Current Price]]/Main_S[[#This Row],[BVPS]],""),"")</f>
        <v>3.0493273542600896</v>
      </c>
      <c r="J41">
        <v>-42.72</v>
      </c>
      <c r="K41">
        <v>-25.66</v>
      </c>
      <c r="L41">
        <v>1.4</v>
      </c>
      <c r="M41" s="1">
        <f>IF(ISNUMBER(Main_S[[#This Row],[EPS]]),IF(Main_S[[#This Row],[EPS]]&lt;&gt;0,Main_S[[#This Row],[Current Price]]/Main_S[[#This Row],[EPS]],""),"")</f>
        <v>-6.3551401869158877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1" s="1">
        <f>(Main_S[[#This Row],[P/FCF]]-VLOOKUP(Main_S[[#This Row],[Industry]], Mean_PFCF_S, 2, FALSE))/(VLOOKUP(Main_S[[#This Row],[Industry]], Mean_PFCF_S, 3, FALSE))</f>
        <v>0.16830356896347681</v>
      </c>
      <c r="P41" s="1">
        <f>(Main_S[[#This Row],[P/B]]-VLOOKUP(Main_S[[#This Row],[Industry]], Mean_PB_S, 2, FALSE))/(VLOOKUP(Main_S[[#This Row],[Industry]], Mean_PB_S, 3, FALSE))</f>
        <v>1.7552203134386772</v>
      </c>
      <c r="Q41" s="1">
        <f>(Main_S[[#This Row],[ROE]]-VLOOKUP(Main_S[[#This Row],[Industry]], Mean_ROE_S, 2, FALSE))/(VLOOKUP(Main_S[[#This Row],[Industry]], Mean_ROE_S, 3, FALSE))</f>
        <v>-1.9175600767991856</v>
      </c>
      <c r="R41" s="1">
        <f>(Main_S[[#This Row],[ROA]]-VLOOKUP(Main_S[[#This Row],[Industry]], Mean_ROA_S, 2, FALSE))/(VLOOKUP(Main_S[[#This Row],[Industry]], Mean_ROA_S, 3, FALSE))</f>
        <v>-3.0369694800903031</v>
      </c>
      <c r="S41" s="1">
        <f>(Main_S[[#This Row],[A/E]]-VLOOKUP(Main_S[[#This Row],[Industry]], Mean_AE_S, 2, FALSE))/(VLOOKUP(Main_S[[#This Row],[Industry]], Mean_AE_S, 3, FALSE))</f>
        <v>-0.60451981449116177</v>
      </c>
      <c r="T41" s="1">
        <f>(Main_S[[#This Row],[P/E]]-VLOOKUP(Main_S[[#This Row],[Industry]], Mean_PE_S, 2, FALSE))/(VLOOKUP(Main_S[[#This Row],[Industry]], Mean_PE_S, 3, FALSE))</f>
        <v>-0.21361868152954705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2" spans="1:26" x14ac:dyDescent="0.25">
      <c r="A42" t="s">
        <v>133</v>
      </c>
      <c r="B42" t="s">
        <v>262</v>
      </c>
      <c r="C42" s="2">
        <v>671</v>
      </c>
      <c r="D42">
        <f>RTD("tos.rtd", , "LAST", Main_S[[#This Row],[Symbol]])</f>
        <v>3.04</v>
      </c>
      <c r="E42">
        <v>-0.95</v>
      </c>
      <c r="F42">
        <v>2.91</v>
      </c>
      <c r="G42">
        <v>-0.21</v>
      </c>
      <c r="H42" s="1">
        <f>IF(ISNUMBER(Main_S[[#This Row],[Free CF]]),IF(Main_S[[#This Row],[Free CF]]&lt;&gt;0,Main_S[[#This Row],[Current Price]]/Main_S[[#This Row],[Free CF]],""),"")</f>
        <v>-3.2</v>
      </c>
      <c r="I42" s="1">
        <f>IF(ISNUMBER(Main_S[[#This Row],[BVPS]]),IF(Main_S[[#This Row],[BVPS]]&lt;&gt;0,Main_S[[#This Row],[Current Price]]/Main_S[[#This Row],[BVPS]],""),"")</f>
        <v>1.0446735395189004</v>
      </c>
      <c r="J42">
        <v>-6.41</v>
      </c>
      <c r="K42">
        <v>-2.39</v>
      </c>
      <c r="L42">
        <v>1.65</v>
      </c>
      <c r="M42" s="1">
        <f>IF(ISNUMBER(Main_S[[#This Row],[EPS]]),IF(Main_S[[#This Row],[EPS]]&lt;&gt;0,Main_S[[#This Row],[Current Price]]/Main_S[[#This Row],[EPS]],""),"")</f>
        <v>-14.476190476190476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0.23486549290669231</v>
      </c>
      <c r="P42" s="1">
        <f>(Main_S[[#This Row],[P/B]]-VLOOKUP(Main_S[[#This Row],[Industry]], Mean_PB_S, 2, FALSE))/(VLOOKUP(Main_S[[#This Row],[Industry]], Mean_PB_S, 3, FALSE))</f>
        <v>-0.759741934492976</v>
      </c>
      <c r="Q42" s="1">
        <f>(Main_S[[#This Row],[ROE]]-VLOOKUP(Main_S[[#This Row],[Industry]], Mean_ROE_S, 2, FALSE))/(VLOOKUP(Main_S[[#This Row],[Industry]], Mean_ROE_S, 3, FALSE))</f>
        <v>4.4240384965682736E-2</v>
      </c>
      <c r="R42" s="1">
        <f>(Main_S[[#This Row],[ROA]]-VLOOKUP(Main_S[[#This Row],[Industry]], Mean_ROA_S, 2, FALSE))/(VLOOKUP(Main_S[[#This Row],[Industry]], Mean_ROA_S, 3, FALSE))</f>
        <v>-0.25099855805709137</v>
      </c>
      <c r="S42" s="1">
        <f>(Main_S[[#This Row],[A/E]]-VLOOKUP(Main_S[[#This Row],[Industry]], Mean_AE_S, 2, FALSE))/(VLOOKUP(Main_S[[#This Row],[Industry]], Mean_AE_S, 3, FALSE))</f>
        <v>-0.23189024652600709</v>
      </c>
      <c r="T42" s="1">
        <f>(Main_S[[#This Row],[P/E]]-VLOOKUP(Main_S[[#This Row],[Industry]], Mean_PE_S, 2, FALSE))/(VLOOKUP(Main_S[[#This Row],[Industry]], Mean_PE_S, 3, FALSE))</f>
        <v>-0.57109413348468274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3" spans="1:26" x14ac:dyDescent="0.25">
      <c r="A43" t="s">
        <v>133</v>
      </c>
      <c r="B43" t="s">
        <v>263</v>
      </c>
      <c r="C43" s="2">
        <v>290</v>
      </c>
      <c r="D43">
        <f>RTD("tos.rtd", , "LAST", Main_S[[#This Row],[Symbol]])</f>
        <v>3.66</v>
      </c>
      <c r="E43">
        <v>-0.85</v>
      </c>
      <c r="F43">
        <v>1.1299999999999999</v>
      </c>
      <c r="G43">
        <v>-0.59</v>
      </c>
      <c r="H43" s="1">
        <f>IF(ISNUMBER(Main_S[[#This Row],[Free CF]]),IF(Main_S[[#This Row],[Free CF]]&lt;&gt;0,Main_S[[#This Row],[Current Price]]/Main_S[[#This Row],[Free CF]],""),"")</f>
        <v>-4.3058823529411772</v>
      </c>
      <c r="I43" s="1">
        <f>IF(ISNUMBER(Main_S[[#This Row],[BVPS]]),IF(Main_S[[#This Row],[BVPS]]&lt;&gt;0,Main_S[[#This Row],[Current Price]]/Main_S[[#This Row],[BVPS]],""),"")</f>
        <v>3.2389380530973457</v>
      </c>
      <c r="J43">
        <v>-41.41</v>
      </c>
      <c r="K43">
        <v>-16.32</v>
      </c>
      <c r="L43">
        <v>1.75</v>
      </c>
      <c r="M43" s="1">
        <f>IF(ISNUMBER(Main_S[[#This Row],[EPS]]),IF(Main_S[[#This Row],[EPS]]&lt;&gt;0,Main_S[[#This Row],[Current Price]]/Main_S[[#This Row],[EPS]],""),"")</f>
        <v>-6.2033898305084749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0.18436262668617651</v>
      </c>
      <c r="P43" s="1">
        <f>(Main_S[[#This Row],[P/B]]-VLOOKUP(Main_S[[#This Row],[Industry]], Mean_PB_S, 2, FALSE))/(VLOOKUP(Main_S[[#This Row],[Industry]], Mean_PB_S, 3, FALSE))</f>
        <v>1.9930986672337454</v>
      </c>
      <c r="Q43" s="1">
        <f>(Main_S[[#This Row],[ROE]]-VLOOKUP(Main_S[[#This Row],[Industry]], Mean_ROE_S, 2, FALSE))/(VLOOKUP(Main_S[[#This Row],[Industry]], Mean_ROE_S, 3, FALSE))</f>
        <v>-1.8467818172312434</v>
      </c>
      <c r="R43" s="1">
        <f>(Main_S[[#This Row],[ROA]]-VLOOKUP(Main_S[[#This Row],[Industry]], Mean_ROA_S, 2, FALSE))/(VLOOKUP(Main_S[[#This Row],[Industry]], Mean_ROA_S, 3, FALSE))</f>
        <v>-1.9187499522952796</v>
      </c>
      <c r="S43" s="1">
        <f>(Main_S[[#This Row],[A/E]]-VLOOKUP(Main_S[[#This Row],[Industry]], Mean_AE_S, 2, FALSE))/(VLOOKUP(Main_S[[#This Row],[Industry]], Mean_AE_S, 3, FALSE))</f>
        <v>-8.2838419339945096E-2</v>
      </c>
      <c r="T43" s="1">
        <f>(Main_S[[#This Row],[P/E]]-VLOOKUP(Main_S[[#This Row],[Industry]], Mean_PE_S, 2, FALSE))/(VLOOKUP(Main_S[[#This Row],[Industry]], Mean_PE_S, 3, FALSE))</f>
        <v>-0.20693887715587672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4" spans="1:26" x14ac:dyDescent="0.25">
      <c r="A44" t="s">
        <v>133</v>
      </c>
      <c r="B44" t="s">
        <v>264</v>
      </c>
      <c r="C44" s="2">
        <v>1511</v>
      </c>
      <c r="D44">
        <f>RTD("tos.rtd", , "LAST", Main_S[[#This Row],[Symbol]])</f>
        <v>78.64</v>
      </c>
      <c r="E44">
        <v>2.02</v>
      </c>
      <c r="F44">
        <v>42.66</v>
      </c>
      <c r="G44">
        <v>0.49</v>
      </c>
      <c r="H44" s="1">
        <f>IF(ISNUMBER(Main_S[[#This Row],[Free CF]]),IF(Main_S[[#This Row],[Free CF]]&lt;&gt;0,Main_S[[#This Row],[Current Price]]/Main_S[[#This Row],[Free CF]],""),"")</f>
        <v>38.930693069306933</v>
      </c>
      <c r="I44" s="1">
        <f>IF(ISNUMBER(Main_S[[#This Row],[BVPS]]),IF(Main_S[[#This Row],[BVPS]]&lt;&gt;0,Main_S[[#This Row],[Current Price]]/Main_S[[#This Row],[BVPS]],""),"")</f>
        <v>1.8434130332864511</v>
      </c>
      <c r="J44">
        <v>1.1399999999999999</v>
      </c>
      <c r="K44">
        <v>4.95</v>
      </c>
      <c r="L44">
        <v>1.97</v>
      </c>
      <c r="M44" s="1">
        <f>IF(ISNUMBER(Main_S[[#This Row],[EPS]]),IF(Main_S[[#This Row],[EPS]]&lt;&gt;0,Main_S[[#This Row],[Current Price]]/Main_S[[#This Row],[EPS]],""),"")</f>
        <v>160.48979591836735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2.1588683040538168</v>
      </c>
      <c r="P44" s="1">
        <f>(Main_S[[#This Row],[P/B]]-VLOOKUP(Main_S[[#This Row],[Industry]], Mean_PB_S, 2, FALSE))/(VLOOKUP(Main_S[[#This Row],[Industry]], Mean_PB_S, 3, FALSE))</f>
        <v>0.24232618219917029</v>
      </c>
      <c r="Q44" s="1">
        <f>(Main_S[[#This Row],[ROE]]-VLOOKUP(Main_S[[#This Row],[Industry]], Mean_ROE_S, 2, FALSE))/(VLOOKUP(Main_S[[#This Row],[Industry]], Mean_ROE_S, 3, FALSE))</f>
        <v>0.45216088858244824</v>
      </c>
      <c r="R44" s="1">
        <f>(Main_S[[#This Row],[ROA]]-VLOOKUP(Main_S[[#This Row],[Industry]], Mean_ROA_S, 2, FALSE))/(VLOOKUP(Main_S[[#This Row],[Industry]], Mean_ROA_S, 3, FALSE))</f>
        <v>0.62777353337925468</v>
      </c>
      <c r="S44" s="1">
        <f>(Main_S[[#This Row],[A/E]]-VLOOKUP(Main_S[[#This Row],[Industry]], Mean_AE_S, 2, FALSE))/(VLOOKUP(Main_S[[#This Row],[Industry]], Mean_AE_S, 3, FALSE))</f>
        <v>0.24507560046939098</v>
      </c>
      <c r="T44" s="1">
        <f>(Main_S[[#This Row],[P/E]]-VLOOKUP(Main_S[[#This Row],[Industry]], Mean_PE_S, 2, FALSE))/(VLOOKUP(Main_S[[#This Row],[Industry]], Mean_PE_S, 3, FALSE))</f>
        <v>7.1306245894956186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5" spans="1:26" x14ac:dyDescent="0.25">
      <c r="A45" t="s">
        <v>133</v>
      </c>
      <c r="B45" t="s">
        <v>265</v>
      </c>
      <c r="C45" s="2">
        <v>576</v>
      </c>
      <c r="D45">
        <f>RTD("tos.rtd", , "LAST", Main_S[[#This Row],[Symbol]])</f>
        <v>1.01</v>
      </c>
      <c r="E45">
        <v>-0.02</v>
      </c>
      <c r="F45">
        <v>0.13</v>
      </c>
      <c r="G45">
        <v>-0.05</v>
      </c>
      <c r="H45" s="1">
        <f>IF(ISNUMBER(Main_S[[#This Row],[Free CF]]),IF(Main_S[[#This Row],[Free CF]]&lt;&gt;0,Main_S[[#This Row],[Current Price]]/Main_S[[#This Row],[Free CF]],""),"")</f>
        <v>-50.5</v>
      </c>
      <c r="I45" s="1">
        <f>IF(ISNUMBER(Main_S[[#This Row],[BVPS]]),IF(Main_S[[#This Row],[BVPS]]&lt;&gt;0,Main_S[[#This Row],[Current Price]]/Main_S[[#This Row],[BVPS]],""),"")</f>
        <v>7.7692307692307692</v>
      </c>
      <c r="J45">
        <v>-32.79</v>
      </c>
      <c r="K45">
        <v>-8.3000000000000007</v>
      </c>
      <c r="L45">
        <v>1.41</v>
      </c>
      <c r="M45" s="1">
        <f>IF(ISNUMBER(Main_S[[#This Row],[EPS]]),IF(Main_S[[#This Row],[EPS]]&lt;&gt;0,Main_S[[#This Row],[Current Price]]/Main_S[[#This Row],[EPS]],""),"")</f>
        <v>-20.2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-1.9252065670888794</v>
      </c>
      <c r="P45" s="1">
        <f>(Main_S[[#This Row],[P/B]]-VLOOKUP(Main_S[[#This Row],[Industry]], Mean_PB_S, 2, FALSE))/(VLOOKUP(Main_S[[#This Row],[Industry]], Mean_PB_S, 3, FALSE))</f>
        <v>7.6766311900929445</v>
      </c>
      <c r="Q45" s="1">
        <f>(Main_S[[#This Row],[ROE]]-VLOOKUP(Main_S[[#This Row],[Industry]], Mean_ROE_S, 2, FALSE))/(VLOOKUP(Main_S[[#This Row],[Industry]], Mean_ROE_S, 3, FALSE))</f>
        <v>-1.3810500634330289</v>
      </c>
      <c r="R45" s="1">
        <f>(Main_S[[#This Row],[ROA]]-VLOOKUP(Main_S[[#This Row],[Industry]], Mean_ROA_S, 2, FALSE))/(VLOOKUP(Main_S[[#This Row],[Industry]], Mean_ROA_S, 3, FALSE))</f>
        <v>-0.95856573249698307</v>
      </c>
      <c r="S45" s="1">
        <f>(Main_S[[#This Row],[A/E]]-VLOOKUP(Main_S[[#This Row],[Industry]], Mean_AE_S, 2, FALSE))/(VLOOKUP(Main_S[[#This Row],[Industry]], Mean_AE_S, 3, FALSE))</f>
        <v>-0.58961463177255558</v>
      </c>
      <c r="T45" s="1">
        <f>(Main_S[[#This Row],[P/E]]-VLOOKUP(Main_S[[#This Row],[Industry]], Mean_PE_S, 2, FALSE))/(VLOOKUP(Main_S[[#This Row],[Industry]], Mean_PE_S, 3, FALSE))</f>
        <v>-0.82304693805371953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6" spans="1:26" x14ac:dyDescent="0.25">
      <c r="A46" t="s">
        <v>133</v>
      </c>
      <c r="B46" t="s">
        <v>266</v>
      </c>
      <c r="C46" s="2">
        <v>682</v>
      </c>
      <c r="D46">
        <f>RTD("tos.rtd", , "LAST", Main_S[[#This Row],[Symbol]])</f>
        <v>5.32</v>
      </c>
      <c r="E46">
        <v>0.09</v>
      </c>
      <c r="F46">
        <v>6.56</v>
      </c>
      <c r="G46">
        <v>-1.27</v>
      </c>
      <c r="H46" s="1">
        <f>IF(ISNUMBER(Main_S[[#This Row],[Free CF]]),IF(Main_S[[#This Row],[Free CF]]&lt;&gt;0,Main_S[[#This Row],[Current Price]]/Main_S[[#This Row],[Free CF]],""),"")</f>
        <v>59.111111111111114</v>
      </c>
      <c r="I46" s="1">
        <f>IF(ISNUMBER(Main_S[[#This Row],[BVPS]]),IF(Main_S[[#This Row],[BVPS]]&lt;&gt;0,Main_S[[#This Row],[Current Price]]/Main_S[[#This Row],[BVPS]],""),"")</f>
        <v>0.81097560975609762</v>
      </c>
      <c r="J46">
        <v>-11.58</v>
      </c>
      <c r="K46">
        <v>3.84</v>
      </c>
      <c r="L46">
        <v>5.38</v>
      </c>
      <c r="M46" s="1">
        <f>IF(ISNUMBER(Main_S[[#This Row],[EPS]]),IF(Main_S[[#This Row],[EPS]]&lt;&gt;0,Main_S[[#This Row],[Current Price]]/Main_S[[#This Row],[EPS]],""),"")</f>
        <v>-4.1889763779527565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3.0804572505893719</v>
      </c>
      <c r="P46" s="1">
        <f>(Main_S[[#This Row],[P/B]]-VLOOKUP(Main_S[[#This Row],[Industry]], Mean_PB_S, 2, FALSE))/(VLOOKUP(Main_S[[#This Row],[Industry]], Mean_PB_S, 3, FALSE))</f>
        <v>-1.0529304473680094</v>
      </c>
      <c r="Q46" s="1">
        <f>(Main_S[[#This Row],[ROE]]-VLOOKUP(Main_S[[#This Row],[Industry]], Mean_ROE_S, 2, FALSE))/(VLOOKUP(Main_S[[#This Row],[Industry]], Mean_ROE_S, 3, FALSE))</f>
        <v>-0.23509060890169178</v>
      </c>
      <c r="R46" s="1">
        <f>(Main_S[[#This Row],[ROA]]-VLOOKUP(Main_S[[#This Row],[Industry]], Mean_ROA_S, 2, FALSE))/(VLOOKUP(Main_S[[#This Row],[Industry]], Mean_ROA_S, 3, FALSE))</f>
        <v>0.4948802062001888</v>
      </c>
      <c r="S46" s="1">
        <f>(Main_S[[#This Row],[A/E]]-VLOOKUP(Main_S[[#This Row],[Industry]], Mean_AE_S, 2, FALSE))/(VLOOKUP(Main_S[[#This Row],[Industry]], Mean_AE_S, 3, FALSE))</f>
        <v>5.3277429075141001</v>
      </c>
      <c r="T46" s="1">
        <f>(Main_S[[#This Row],[P/E]]-VLOOKUP(Main_S[[#This Row],[Industry]], Mean_PE_S, 2, FALSE))/(VLOOKUP(Main_S[[#This Row],[Industry]], Mean_PE_S, 3, FALSE))</f>
        <v>-0.11826766669337092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t="s">
        <v>133</v>
      </c>
      <c r="B47" t="s">
        <v>267</v>
      </c>
      <c r="C47" s="2">
        <v>265</v>
      </c>
      <c r="D47">
        <f>RTD("tos.rtd", , "LAST", Main_S[[#This Row],[Symbol]])</f>
        <v>2.0099999999999998</v>
      </c>
      <c r="E47">
        <v>-0.45</v>
      </c>
      <c r="F47">
        <v>0.7</v>
      </c>
      <c r="G47">
        <v>-0.49</v>
      </c>
      <c r="H47" s="1">
        <f>IF(ISNUMBER(Main_S[[#This Row],[Free CF]]),IF(Main_S[[#This Row],[Free CF]]&lt;&gt;0,Main_S[[#This Row],[Current Price]]/Main_S[[#This Row],[Free CF]],""),"")</f>
        <v>-4.4666666666666659</v>
      </c>
      <c r="I47" s="1">
        <f>IF(ISNUMBER(Main_S[[#This Row],[BVPS]]),IF(Main_S[[#This Row],[BVPS]]&lt;&gt;0,Main_S[[#This Row],[Current Price]]/Main_S[[#This Row],[BVPS]],""),"")</f>
        <v>2.8714285714285714</v>
      </c>
      <c r="J47">
        <v>-70.44</v>
      </c>
      <c r="K47">
        <v>-32.880000000000003</v>
      </c>
      <c r="L47">
        <v>1.33</v>
      </c>
      <c r="M47" s="1">
        <f>IF(ISNUMBER(Main_S[[#This Row],[EPS]]),IF(Main_S[[#This Row],[EPS]]&lt;&gt;0,Main_S[[#This Row],[Current Price]]/Main_S[[#This Row],[EPS]],""),"")</f>
        <v>-4.1020408163265305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0.17702001138461221</v>
      </c>
      <c r="P47" s="1">
        <f>(Main_S[[#This Row],[P/B]]-VLOOKUP(Main_S[[#This Row],[Industry]], Mean_PB_S, 2, FALSE))/(VLOOKUP(Main_S[[#This Row],[Industry]], Mean_PB_S, 3, FALSE))</f>
        <v>1.5320352829440118</v>
      </c>
      <c r="Q47" s="1">
        <f>(Main_S[[#This Row],[ROE]]-VLOOKUP(Main_S[[#This Row],[Industry]], Mean_ROE_S, 2, FALSE))/(VLOOKUP(Main_S[[#This Row],[Industry]], Mean_ROE_S, 3, FALSE))</f>
        <v>-3.4152496609391512</v>
      </c>
      <c r="R47" s="1">
        <f>(Main_S[[#This Row],[ROA]]-VLOOKUP(Main_S[[#This Row],[Industry]], Mean_ROA_S, 2, FALSE))/(VLOOKUP(Main_S[[#This Row],[Industry]], Mean_ROA_S, 3, FALSE))</f>
        <v>-3.901374725345129</v>
      </c>
      <c r="S47" s="1">
        <f>(Main_S[[#This Row],[A/E]]-VLOOKUP(Main_S[[#This Row],[Industry]], Mean_AE_S, 2, FALSE))/(VLOOKUP(Main_S[[#This Row],[Industry]], Mean_AE_S, 3, FALSE))</f>
        <v>-0.70885609352140477</v>
      </c>
      <c r="T47" s="1">
        <f>(Main_S[[#This Row],[P/E]]-VLOOKUP(Main_S[[#This Row],[Industry]], Mean_PE_S, 2, FALSE))/(VLOOKUP(Main_S[[#This Row],[Industry]], Mean_PE_S, 3, FALSE))</f>
        <v>-0.11444090438106851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8" spans="1:26" x14ac:dyDescent="0.25">
      <c r="A48" t="s">
        <v>133</v>
      </c>
      <c r="B48" t="s">
        <v>268</v>
      </c>
      <c r="C48" s="2">
        <v>782</v>
      </c>
      <c r="D48">
        <f>RTD("tos.rtd", , "LAST", Main_S[[#This Row],[Symbol]])</f>
        <v>7.82</v>
      </c>
      <c r="E48">
        <v>-0.32</v>
      </c>
      <c r="F48">
        <v>0.83</v>
      </c>
      <c r="G48">
        <v>-0.44</v>
      </c>
      <c r="H48" s="1">
        <f>IF(ISNUMBER(Main_S[[#This Row],[Free CF]]),IF(Main_S[[#This Row],[Free CF]]&lt;&gt;0,Main_S[[#This Row],[Current Price]]/Main_S[[#This Row],[Free CF]],""),"")</f>
        <v>-24.4375</v>
      </c>
      <c r="I48" s="1">
        <f>IF(ISNUMBER(Main_S[[#This Row],[BVPS]]),IF(Main_S[[#This Row],[BVPS]]&lt;&gt;0,Main_S[[#This Row],[Current Price]]/Main_S[[#This Row],[BVPS]],""),"")</f>
        <v>9.4216867469879517</v>
      </c>
      <c r="J48">
        <v>-40.32</v>
      </c>
      <c r="K48">
        <v>-0.81</v>
      </c>
      <c r="L48">
        <v>3.54</v>
      </c>
      <c r="M48" s="1">
        <f>IF(ISNUMBER(Main_S[[#This Row],[EPS]]),IF(Main_S[[#This Row],[EPS]]&lt;&gt;0,Main_S[[#This Row],[Current Price]]/Main_S[[#This Row],[EPS]],""),"")</f>
        <v>-17.772727272727273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-0.73499772853423695</v>
      </c>
      <c r="P48" s="1">
        <f>(Main_S[[#This Row],[P/B]]-VLOOKUP(Main_S[[#This Row],[Industry]], Mean_PB_S, 2, FALSE))/(VLOOKUP(Main_S[[#This Row],[Industry]], Mean_PB_S, 3, FALSE))</f>
        <v>9.7497394593952151</v>
      </c>
      <c r="Q48" s="1">
        <f>(Main_S[[#This Row],[ROE]]-VLOOKUP(Main_S[[#This Row],[Industry]], Mean_ROE_S, 2, FALSE))/(VLOOKUP(Main_S[[#This Row],[Industry]], Mean_ROE_S, 3, FALSE))</f>
        <v>-1.7878899829342536</v>
      </c>
      <c r="R48" s="1">
        <f>(Main_S[[#This Row],[ROA]]-VLOOKUP(Main_S[[#This Row],[Industry]], Mean_ROA_S, 2, FALSE))/(VLOOKUP(Main_S[[#This Row],[Industry]], Mean_ROA_S, 3, FALSE))</f>
        <v>-6.1835083333736184E-2</v>
      </c>
      <c r="S48" s="1">
        <f>(Main_S[[#This Row],[A/E]]-VLOOKUP(Main_S[[#This Row],[Industry]], Mean_AE_S, 2, FALSE))/(VLOOKUP(Main_S[[#This Row],[Industry]], Mean_AE_S, 3, FALSE))</f>
        <v>2.5851892872905622</v>
      </c>
      <c r="T48" s="1">
        <f>(Main_S[[#This Row],[P/E]]-VLOOKUP(Main_S[[#This Row],[Industry]], Mean_PE_S, 2, FALSE))/(VLOOKUP(Main_S[[#This Row],[Industry]], Mean_PE_S, 3, FALSE))</f>
        <v>-0.71620233245558096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9" spans="1:26" x14ac:dyDescent="0.25">
      <c r="A49" t="s">
        <v>133</v>
      </c>
      <c r="B49" t="s">
        <v>269</v>
      </c>
      <c r="C49" s="2">
        <v>275</v>
      </c>
      <c r="D49">
        <f>RTD("tos.rtd", , "LAST", Main_S[[#This Row],[Symbol]])</f>
        <v>1.64</v>
      </c>
      <c r="E49">
        <v>-0.24</v>
      </c>
      <c r="F49">
        <v>1.33</v>
      </c>
      <c r="G49">
        <v>0.61</v>
      </c>
      <c r="H49" s="1">
        <f>IF(ISNUMBER(Main_S[[#This Row],[Free CF]]),IF(Main_S[[#This Row],[Free CF]]&lt;&gt;0,Main_S[[#This Row],[Current Price]]/Main_S[[#This Row],[Free CF]],""),"")</f>
        <v>-6.833333333333333</v>
      </c>
      <c r="I49" s="1">
        <f>IF(ISNUMBER(Main_S[[#This Row],[BVPS]]),IF(Main_S[[#This Row],[BVPS]]&lt;&gt;0,Main_S[[#This Row],[Current Price]]/Main_S[[#This Row],[BVPS]],""),"")</f>
        <v>1.2330827067669172</v>
      </c>
      <c r="J49">
        <v>61.97</v>
      </c>
      <c r="K49">
        <v>-9.59</v>
      </c>
      <c r="L49">
        <v>1.1399999999999999</v>
      </c>
      <c r="M49" s="1">
        <f>IF(ISNUMBER(Main_S[[#This Row],[EPS]]),IF(Main_S[[#This Row],[EPS]]&lt;&gt;0,Main_S[[#This Row],[Current Price]]/Main_S[[#This Row],[EPS]],""),"")</f>
        <v>2.6885245901639343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6.8940295909146659E-2</v>
      </c>
      <c r="P49" s="1">
        <f>(Main_S[[#This Row],[P/B]]-VLOOKUP(Main_S[[#This Row],[Industry]], Mean_PB_S, 2, FALSE))/(VLOOKUP(Main_S[[#This Row],[Industry]], Mean_PB_S, 3, FALSE))</f>
        <v>-0.5233709764210065</v>
      </c>
      <c r="Q49" s="1">
        <f>(Main_S[[#This Row],[ROE]]-VLOOKUP(Main_S[[#This Row],[Industry]], Mean_ROE_S, 2, FALSE))/(VLOOKUP(Main_S[[#This Row],[Industry]], Mean_ROE_S, 3, FALSE))</f>
        <v>3.7387574760007061</v>
      </c>
      <c r="R49" s="1">
        <f>(Main_S[[#This Row],[ROA]]-VLOOKUP(Main_S[[#This Row],[Industry]], Mean_ROA_S, 2, FALSE))/(VLOOKUP(Main_S[[#This Row],[Industry]], Mean_ROA_S, 3, FALSE))</f>
        <v>-1.1130093289483298</v>
      </c>
      <c r="S49" s="1">
        <f>(Main_S[[#This Row],[A/E]]-VLOOKUP(Main_S[[#This Row],[Industry]], Mean_AE_S, 2, FALSE))/(VLOOKUP(Main_S[[#This Row],[Industry]], Mean_AE_S, 3, FALSE))</f>
        <v>-0.99205456517492263</v>
      </c>
      <c r="T49" s="1">
        <f>(Main_S[[#This Row],[P/E]]-VLOOKUP(Main_S[[#This Row],[Industry]], Mean_PE_S, 2, FALSE))/(VLOOKUP(Main_S[[#This Row],[Industry]], Mean_PE_S, 3, FALSE))</f>
        <v>0.18446876262616799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0" spans="1:26" x14ac:dyDescent="0.25">
      <c r="A50" t="s">
        <v>133</v>
      </c>
      <c r="B50" t="s">
        <v>270</v>
      </c>
      <c r="C50" s="2">
        <v>707</v>
      </c>
      <c r="D50">
        <f>RTD("tos.rtd", , "LAST", Main_S[[#This Row],[Symbol]])</f>
        <v>4.12</v>
      </c>
      <c r="E50">
        <v>-0.39</v>
      </c>
      <c r="F50">
        <v>-0.11</v>
      </c>
      <c r="G50">
        <v>-0.49</v>
      </c>
      <c r="H50" s="1">
        <f>IF(ISNUMBER(Main_S[[#This Row],[Free CF]]),IF(Main_S[[#This Row],[Free CF]]&lt;&gt;0,Main_S[[#This Row],[Current Price]]/Main_S[[#This Row],[Free CF]],""),"")</f>
        <v>-10.564102564102564</v>
      </c>
      <c r="I50" s="1">
        <f>IF(ISNUMBER(Main_S[[#This Row],[BVPS]]),IF(Main_S[[#This Row],[BVPS]]&lt;&gt;0,Main_S[[#This Row],[Current Price]]/Main_S[[#This Row],[BVPS]],""),"")</f>
        <v>-37.454545454545453</v>
      </c>
      <c r="J50">
        <v>-955.21</v>
      </c>
      <c r="K50">
        <v>-76.64</v>
      </c>
      <c r="L50">
        <v>-3.33</v>
      </c>
      <c r="M50" s="1">
        <f>IF(ISNUMBER(Main_S[[#This Row],[EPS]]),IF(Main_S[[#This Row],[EPS]]&lt;&gt;0,Main_S[[#This Row],[Current Price]]/Main_S[[#This Row],[EPS]],""),"")</f>
        <v>-8.408163265306122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-0.10143455351317443</v>
      </c>
      <c r="P50" s="1">
        <f>(Main_S[[#This Row],[P/B]]-VLOOKUP(Main_S[[#This Row],[Industry]], Mean_PB_S, 2, FALSE))/(VLOOKUP(Main_S[[#This Row],[Industry]], Mean_PB_S, 3, FALSE))</f>
        <v>-49.05939428989258</v>
      </c>
      <c r="Q50" s="1">
        <f>(Main_S[[#This Row],[ROE]]-VLOOKUP(Main_S[[#This Row],[Industry]], Mean_ROE_S, 2, FALSE))/(VLOOKUP(Main_S[[#This Row],[Industry]], Mean_ROE_S, 3, FALSE))</f>
        <v>-51.218670056304134</v>
      </c>
      <c r="R50" s="1">
        <f>(Main_S[[#This Row],[ROA]]-VLOOKUP(Main_S[[#This Row],[Industry]], Mean_ROA_S, 2, FALSE))/(VLOOKUP(Main_S[[#This Row],[Industry]], Mean_ROA_S, 3, FALSE))</f>
        <v>-9.1404846328729885</v>
      </c>
      <c r="S50" s="1">
        <f>(Main_S[[#This Row],[A/E]]-VLOOKUP(Main_S[[#This Row],[Industry]], Mean_AE_S, 2, FALSE))/(VLOOKUP(Main_S[[#This Row],[Industry]], Mean_AE_S, 3, FALSE))</f>
        <v>-7.6546712403918882</v>
      </c>
      <c r="T50" s="1">
        <f>(Main_S[[#This Row],[P/E]]-VLOOKUP(Main_S[[#This Row],[Industry]], Mean_PE_S, 2, FALSE))/(VLOOKUP(Main_S[[#This Row],[Industry]], Mean_PE_S, 3, FALSE))</f>
        <v>-0.30398942505161791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1" spans="1:26" x14ac:dyDescent="0.25">
      <c r="A51" t="s">
        <v>133</v>
      </c>
      <c r="B51" t="s">
        <v>271</v>
      </c>
      <c r="C51" s="2">
        <v>1044</v>
      </c>
      <c r="D51">
        <f>RTD("tos.rtd", , "LAST", Main_S[[#This Row],[Symbol]])</f>
        <v>2.97</v>
      </c>
      <c r="E51">
        <v>-0.14000000000000001</v>
      </c>
      <c r="F51">
        <v>-0.05</v>
      </c>
      <c r="G51">
        <v>-0.25</v>
      </c>
      <c r="H51" s="1">
        <f>IF(ISNUMBER(Main_S[[#This Row],[Free CF]]),IF(Main_S[[#This Row],[Free CF]]&lt;&gt;0,Main_S[[#This Row],[Current Price]]/Main_S[[#This Row],[Free CF]],""),"")</f>
        <v>-21.214285714285715</v>
      </c>
      <c r="I51" s="1">
        <f>IF(ISNUMBER(Main_S[[#This Row],[BVPS]]),IF(Main_S[[#This Row],[BVPS]]&lt;&gt;0,Main_S[[#This Row],[Current Price]]/Main_S[[#This Row],[BVPS]],""),"")</f>
        <v>-59.4</v>
      </c>
      <c r="J51">
        <v>2643.3</v>
      </c>
      <c r="K51">
        <v>-77.040000000000006</v>
      </c>
      <c r="L51">
        <v>-3.68</v>
      </c>
      <c r="M51" s="1">
        <f>IF(ISNUMBER(Main_S[[#This Row],[EPS]]),IF(Main_S[[#This Row],[EPS]]&lt;&gt;0,Main_S[[#This Row],[Current Price]]/Main_S[[#This Row],[EPS]],""),"")</f>
        <v>-11.88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>
        <f>(Main_S[[#This Row],[P/FCF]]-VLOOKUP(Main_S[[#This Row],[Industry]], Mean_PFCF_S, 2, FALSE))/(VLOOKUP(Main_S[[#This Row],[Industry]], Mean_PFCF_S, 3, FALSE))</f>
        <v>-0.58780163716108669</v>
      </c>
      <c r="P51" s="1">
        <f>(Main_S[[#This Row],[P/B]]-VLOOKUP(Main_S[[#This Row],[Industry]], Mean_PB_S, 2, FALSE))/(VLOOKUP(Main_S[[#This Row],[Industry]], Mean_PB_S, 3, FALSE))</f>
        <v>-76.591324885422281</v>
      </c>
      <c r="Q51" s="1">
        <f>(Main_S[[#This Row],[ROE]]-VLOOKUP(Main_S[[#This Row],[Industry]], Mean_ROE_S, 2, FALSE))/(VLOOKUP(Main_S[[#This Row],[Industry]], Mean_ROE_S, 3, FALSE))</f>
        <v>143.20596722448619</v>
      </c>
      <c r="R51" s="1">
        <f>(Main_S[[#This Row],[ROA]]-VLOOKUP(Main_S[[#This Row],[Industry]], Mean_ROA_S, 2, FALSE))/(VLOOKUP(Main_S[[#This Row],[Industry]], Mean_ROA_S, 3, FALSE))</f>
        <v>-9.1883741201447258</v>
      </c>
      <c r="S51" s="1">
        <f>(Main_S[[#This Row],[A/E]]-VLOOKUP(Main_S[[#This Row],[Industry]], Mean_AE_S, 2, FALSE))/(VLOOKUP(Main_S[[#This Row],[Industry]], Mean_AE_S, 3, FALSE))</f>
        <v>-8.176352635543104</v>
      </c>
      <c r="T51" s="1">
        <f>(Main_S[[#This Row],[P/E]]-VLOOKUP(Main_S[[#This Row],[Industry]], Mean_PE_S, 2, FALSE))/(VLOOKUP(Main_S[[#This Row],[Industry]], Mean_PE_S, 3, FALSE))</f>
        <v>-0.45681404276002491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2" spans="1:26" x14ac:dyDescent="0.25">
      <c r="A52" t="s">
        <v>133</v>
      </c>
      <c r="B52" t="s">
        <v>272</v>
      </c>
      <c r="C52" s="2">
        <v>263</v>
      </c>
      <c r="D52">
        <f>RTD("tos.rtd", , "LAST", Main_S[[#This Row],[Symbol]])</f>
        <v>1.37</v>
      </c>
      <c r="E52">
        <v>-0.01</v>
      </c>
      <c r="F52">
        <v>0.8</v>
      </c>
      <c r="G52">
        <v>-0.05</v>
      </c>
      <c r="H52" s="1">
        <f>IF(ISNUMBER(Main_S[[#This Row],[Free CF]]),IF(Main_S[[#This Row],[Free CF]]&lt;&gt;0,Main_S[[#This Row],[Current Price]]/Main_S[[#This Row],[Free CF]],""),"")</f>
        <v>-137</v>
      </c>
      <c r="I52" s="1">
        <f>IF(ISNUMBER(Main_S[[#This Row],[BVPS]]),IF(Main_S[[#This Row],[BVPS]]&lt;&gt;0,Main_S[[#This Row],[Current Price]]/Main_S[[#This Row],[BVPS]],""),"")</f>
        <v>1.7125000000000001</v>
      </c>
      <c r="J52">
        <v>-6.43</v>
      </c>
      <c r="K52">
        <v>-3.28</v>
      </c>
      <c r="L52">
        <v>1.01</v>
      </c>
      <c r="M52" s="1">
        <f>IF(ISNUMBER(Main_S[[#This Row],[EPS]]),IF(Main_S[[#This Row],[EPS]]&lt;&gt;0,Main_S[[#This Row],[Current Price]]/Main_S[[#This Row],[EPS]],""),"")</f>
        <v>-27.400000000000002</v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>
        <f>(Main_S[[#This Row],[P/FCF]]-VLOOKUP(Main_S[[#This Row],[Industry]], Mean_PFCF_S, 2, FALSE))/(VLOOKUP(Main_S[[#This Row],[Industry]], Mean_PFCF_S, 3, FALSE))</f>
        <v>-5.8754440552414584</v>
      </c>
      <c r="P52" s="1">
        <f>(Main_S[[#This Row],[P/B]]-VLOOKUP(Main_S[[#This Row],[Industry]], Mean_PB_S, 2, FALSE))/(VLOOKUP(Main_S[[#This Row],[Industry]], Mean_PB_S, 3, FALSE))</f>
        <v>7.8087681737607634E-2</v>
      </c>
      <c r="Q52" s="1">
        <f>(Main_S[[#This Row],[ROE]]-VLOOKUP(Main_S[[#This Row],[Industry]], Mean_ROE_S, 2, FALSE))/(VLOOKUP(Main_S[[#This Row],[Industry]], Mean_ROE_S, 3, FALSE))</f>
        <v>4.3159800850141657E-2</v>
      </c>
      <c r="R52" s="1">
        <f>(Main_S[[#This Row],[ROA]]-VLOOKUP(Main_S[[#This Row],[Industry]], Mean_ROA_S, 2, FALSE))/(VLOOKUP(Main_S[[#This Row],[Industry]], Mean_ROA_S, 3, FALSE))</f>
        <v>-0.35755266723670276</v>
      </c>
      <c r="S52" s="1">
        <f>(Main_S[[#This Row],[A/E]]-VLOOKUP(Main_S[[#This Row],[Industry]], Mean_AE_S, 2, FALSE))/(VLOOKUP(Main_S[[#This Row],[Industry]], Mean_AE_S, 3, FALSE))</f>
        <v>-1.1858219405168029</v>
      </c>
      <c r="T52" s="1">
        <f>(Main_S[[#This Row],[P/E]]-VLOOKUP(Main_S[[#This Row],[Industry]], Mean_PE_S, 2, FALSE))/(VLOOKUP(Main_S[[#This Row],[Industry]], Mean_PE_S, 3, FALSE))</f>
        <v>-1.1399792512886477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3" spans="1:26" x14ac:dyDescent="0.25">
      <c r="A53" t="s">
        <v>133</v>
      </c>
      <c r="B53" t="s">
        <v>273</v>
      </c>
      <c r="C53" s="2">
        <v>445</v>
      </c>
      <c r="D53">
        <f>RTD("tos.rtd", , "LAST", Main_S[[#This Row],[Symbol]])</f>
        <v>2.58</v>
      </c>
      <c r="E53">
        <v>0.02</v>
      </c>
      <c r="F53">
        <v>0.25</v>
      </c>
      <c r="G53">
        <v>-0.02</v>
      </c>
      <c r="H53" s="1">
        <f>IF(ISNUMBER(Main_S[[#This Row],[Free CF]]),IF(Main_S[[#This Row],[Free CF]]&lt;&gt;0,Main_S[[#This Row],[Current Price]]/Main_S[[#This Row],[Free CF]],""),"")</f>
        <v>129</v>
      </c>
      <c r="I53" s="1">
        <f>IF(ISNUMBER(Main_S[[#This Row],[BVPS]]),IF(Main_S[[#This Row],[BVPS]]&lt;&gt;0,Main_S[[#This Row],[Current Price]]/Main_S[[#This Row],[BVPS]],""),"")</f>
        <v>10.32</v>
      </c>
      <c r="J53">
        <v>-6.39</v>
      </c>
      <c r="K53">
        <v>-4.74</v>
      </c>
      <c r="L53">
        <v>1.21</v>
      </c>
      <c r="M53" s="1">
        <f>IF(ISNUMBER(Main_S[[#This Row],[EPS]]),IF(Main_S[[#This Row],[EPS]]&lt;&gt;0,Main_S[[#This Row],[Current Price]]/Main_S[[#This Row],[EPS]],""),"")</f>
        <v>-129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6.2721070643953727</v>
      </c>
      <c r="P53" s="1">
        <f>(Main_S[[#This Row],[P/B]]-VLOOKUP(Main_S[[#This Row],[Industry]], Mean_PB_S, 2, FALSE))/(VLOOKUP(Main_S[[#This Row],[Industry]], Mean_PB_S, 3, FALSE))</f>
        <v>10.876729018155343</v>
      </c>
      <c r="Q53" s="1">
        <f>(Main_S[[#This Row],[ROE]]-VLOOKUP(Main_S[[#This Row],[Industry]], Mean_ROE_S, 2, FALSE))/(VLOOKUP(Main_S[[#This Row],[Industry]], Mean_ROE_S, 3, FALSE))</f>
        <v>4.5320969081223864E-2</v>
      </c>
      <c r="R53" s="1">
        <f>(Main_S[[#This Row],[ROA]]-VLOOKUP(Main_S[[#This Row],[Industry]], Mean_ROA_S, 2, FALSE))/(VLOOKUP(Main_S[[#This Row],[Industry]], Mean_ROA_S, 3, FALSE))</f>
        <v>-0.53234929577853729</v>
      </c>
      <c r="S53" s="1">
        <f>(Main_S[[#This Row],[A/E]]-VLOOKUP(Main_S[[#This Row],[Industry]], Mean_AE_S, 2, FALSE))/(VLOOKUP(Main_S[[#This Row],[Industry]], Mean_AE_S, 3, FALSE))</f>
        <v>-0.88771828614467918</v>
      </c>
      <c r="T53" s="1">
        <f>(Main_S[[#This Row],[P/E]]-VLOOKUP(Main_S[[#This Row],[Industry]], Mean_PE_S, 2, FALSE))/(VLOOKUP(Main_S[[#This Row],[Industry]], Mean_PE_S, 3, FALSE))</f>
        <v>-5.6122463380481884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4" spans="1:26" x14ac:dyDescent="0.25">
      <c r="A54" t="s">
        <v>133</v>
      </c>
      <c r="B54" t="s">
        <v>274</v>
      </c>
      <c r="C54" s="2">
        <v>963</v>
      </c>
      <c r="D54">
        <f>RTD("tos.rtd", , "LAST", Main_S[[#This Row],[Symbol]])</f>
        <v>8.85</v>
      </c>
      <c r="E54">
        <v>-7.0000000000000007E-2</v>
      </c>
      <c r="F54">
        <v>-0.28000000000000003</v>
      </c>
      <c r="G54">
        <v>-0.11</v>
      </c>
      <c r="H54" s="1">
        <f>IF(ISNUMBER(Main_S[[#This Row],[Free CF]]),IF(Main_S[[#This Row],[Free CF]]&lt;&gt;0,Main_S[[#This Row],[Current Price]]/Main_S[[#This Row],[Free CF]],""),"")</f>
        <v>-126.42857142857142</v>
      </c>
      <c r="I54" s="1">
        <f>IF(ISNUMBER(Main_S[[#This Row],[BVPS]]),IF(Main_S[[#This Row],[BVPS]]&lt;&gt;0,Main_S[[#This Row],[Current Price]]/Main_S[[#This Row],[BVPS]],""),"")</f>
        <v>-31.607142857142854</v>
      </c>
      <c r="J54">
        <v>-34</v>
      </c>
      <c r="K54">
        <v>-15.41</v>
      </c>
      <c r="L54">
        <v>-1.1000000000000001</v>
      </c>
      <c r="M54" s="1">
        <f>IF(ISNUMBER(Main_S[[#This Row],[EPS]]),IF(Main_S[[#This Row],[EPS]]&lt;&gt;0,Main_S[[#This Row],[Current Price]]/Main_S[[#This Row],[EPS]],""),"")</f>
        <v>-80.454545454545453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-5.3926734951699613</v>
      </c>
      <c r="P54" s="1">
        <f>(Main_S[[#This Row],[P/B]]-VLOOKUP(Main_S[[#This Row],[Industry]], Mean_PB_S, 2, FALSE))/(VLOOKUP(Main_S[[#This Row],[Industry]], Mean_PB_S, 3, FALSE))</f>
        <v>-41.723465925211997</v>
      </c>
      <c r="Q54" s="1">
        <f>(Main_S[[#This Row],[ROE]]-VLOOKUP(Main_S[[#This Row],[Industry]], Mean_ROE_S, 2, FALSE))/(VLOOKUP(Main_S[[#This Row],[Industry]], Mean_ROE_S, 3, FALSE))</f>
        <v>-1.4464254024232657</v>
      </c>
      <c r="R54" s="1">
        <f>(Main_S[[#This Row],[ROA]]-VLOOKUP(Main_S[[#This Row],[Industry]], Mean_ROA_S, 2, FALSE))/(VLOOKUP(Main_S[[#This Row],[Industry]], Mean_ROA_S, 3, FALSE))</f>
        <v>-1.8098013687520813</v>
      </c>
      <c r="S54" s="1">
        <f>(Main_S[[#This Row],[A/E]]-VLOOKUP(Main_S[[#This Row],[Industry]], Mean_AE_S, 2, FALSE))/(VLOOKUP(Main_S[[#This Row],[Industry]], Mean_AE_S, 3, FALSE))</f>
        <v>-4.3308154941427084</v>
      </c>
      <c r="T54" s="1">
        <f>(Main_S[[#This Row],[P/E]]-VLOOKUP(Main_S[[#This Row],[Industry]], Mean_PE_S, 2, FALSE))/(VLOOKUP(Main_S[[#This Row],[Industry]], Mean_PE_S, 3, FALSE))</f>
        <v>-3.475354226085416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5" spans="1:26" x14ac:dyDescent="0.25">
      <c r="A55" t="s">
        <v>133</v>
      </c>
      <c r="B55" t="s">
        <v>275</v>
      </c>
      <c r="C55" s="2">
        <v>394</v>
      </c>
      <c r="D55">
        <f>RTD("tos.rtd", , "LAST", Main_S[[#This Row],[Symbol]])</f>
        <v>0.5575</v>
      </c>
      <c r="E55">
        <v>-0.08</v>
      </c>
      <c r="F55">
        <v>0.09</v>
      </c>
      <c r="G55">
        <v>-0.17</v>
      </c>
      <c r="H55" s="1">
        <f>IF(ISNUMBER(Main_S[[#This Row],[Free CF]]),IF(Main_S[[#This Row],[Free CF]]&lt;&gt;0,Main_S[[#This Row],[Current Price]]/Main_S[[#This Row],[Free CF]],""),"")</f>
        <v>-6.96875</v>
      </c>
      <c r="I55" s="1">
        <f>IF(ISNUMBER(Main_S[[#This Row],[BVPS]]),IF(Main_S[[#This Row],[BVPS]]&lt;&gt;0,Main_S[[#This Row],[Current Price]]/Main_S[[#This Row],[BVPS]],""),"")</f>
        <v>6.1944444444444446</v>
      </c>
      <c r="J55">
        <v>-77.81</v>
      </c>
      <c r="K55">
        <v>-8.7899999999999991</v>
      </c>
      <c r="L55">
        <v>3.6</v>
      </c>
      <c r="M55" s="1">
        <f>IF(ISNUMBER(Main_S[[#This Row],[EPS]]),IF(Main_S[[#This Row],[EPS]]&lt;&gt;0,Main_S[[#This Row],[Current Price]]/Main_S[[#This Row],[EPS]],""),"")</f>
        <v>-3.2794117647058822</v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>
        <f>(Main_S[[#This Row],[P/FCF]]-VLOOKUP(Main_S[[#This Row],[Industry]], Mean_PFCF_S, 2, FALSE))/(VLOOKUP(Main_S[[#This Row],[Industry]], Mean_PFCF_S, 3, FALSE))</f>
        <v>6.2756157259582154E-2</v>
      </c>
      <c r="P55" s="1">
        <f>(Main_S[[#This Row],[P/B]]-VLOOKUP(Main_S[[#This Row],[Industry]], Mean_PB_S, 2, FALSE))/(VLOOKUP(Main_S[[#This Row],[Industry]], Mean_PB_S, 3, FALSE))</f>
        <v>5.7009643062285278</v>
      </c>
      <c r="Q55" s="1">
        <f>(Main_S[[#This Row],[ROE]]-VLOOKUP(Main_S[[#This Row],[Industry]], Mean_ROE_S, 2, FALSE))/(VLOOKUP(Main_S[[#This Row],[Industry]], Mean_ROE_S, 3, FALSE))</f>
        <v>-3.8134449075160468</v>
      </c>
      <c r="R55" s="1">
        <f>(Main_S[[#This Row],[ROA]]-VLOOKUP(Main_S[[#This Row],[Industry]], Mean_ROA_S, 2, FALSE))/(VLOOKUP(Main_S[[#This Row],[Industry]], Mean_ROA_S, 3, FALSE))</f>
        <v>-1.0172303544048589</v>
      </c>
      <c r="S55" s="1">
        <f>(Main_S[[#This Row],[A/E]]-VLOOKUP(Main_S[[#This Row],[Industry]], Mean_AE_S, 2, FALSE))/(VLOOKUP(Main_S[[#This Row],[Industry]], Mean_AE_S, 3, FALSE))</f>
        <v>2.6746203836021993</v>
      </c>
      <c r="T55" s="1">
        <f>(Main_S[[#This Row],[P/E]]-VLOOKUP(Main_S[[#This Row],[Industry]], Mean_PE_S, 2, FALSE))/(VLOOKUP(Main_S[[#This Row],[Industry]], Mean_PE_S, 3, FALSE))</f>
        <v>-7.823010878879251E-2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6" spans="1:26" x14ac:dyDescent="0.25">
      <c r="A56" t="s">
        <v>133</v>
      </c>
      <c r="B56" t="s">
        <v>276</v>
      </c>
      <c r="C56" s="2">
        <v>667</v>
      </c>
      <c r="D56">
        <f>RTD("tos.rtd", , "LAST", Main_S[[#This Row],[Symbol]])</f>
        <v>2.37</v>
      </c>
      <c r="E56">
        <v>-0.11</v>
      </c>
      <c r="F56">
        <v>0.88</v>
      </c>
      <c r="G56">
        <v>-0.01</v>
      </c>
      <c r="H56" s="1">
        <f>IF(ISNUMBER(Main_S[[#This Row],[Free CF]]),IF(Main_S[[#This Row],[Free CF]]&lt;&gt;0,Main_S[[#This Row],[Current Price]]/Main_S[[#This Row],[Free CF]],""),"")</f>
        <v>-21.545454545454547</v>
      </c>
      <c r="I56" s="1">
        <f>IF(ISNUMBER(Main_S[[#This Row],[BVPS]]),IF(Main_S[[#This Row],[BVPS]]&lt;&gt;0,Main_S[[#This Row],[Current Price]]/Main_S[[#This Row],[BVPS]],""),"")</f>
        <v>2.6931818181818183</v>
      </c>
      <c r="J56">
        <v>-1.63</v>
      </c>
      <c r="K56">
        <v>-4.5199999999999996</v>
      </c>
      <c r="L56">
        <v>1.01</v>
      </c>
      <c r="M56" s="1">
        <f>IF(ISNUMBER(Main_S[[#This Row],[EPS]]),IF(Main_S[[#This Row],[EPS]]&lt;&gt;0,Main_S[[#This Row],[Current Price]]/Main_S[[#This Row],[EPS]],""),"")</f>
        <v>-237</v>
      </c>
      <c r="N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6" s="1">
        <f>(Main_S[[#This Row],[P/FCF]]-VLOOKUP(Main_S[[#This Row],[Industry]], Mean_PFCF_S, 2, FALSE))/(VLOOKUP(Main_S[[#This Row],[Industry]], Mean_PFCF_S, 3, FALSE))</f>
        <v>-0.60292528492745412</v>
      </c>
      <c r="P56" s="1">
        <f>(Main_S[[#This Row],[P/B]]-VLOOKUP(Main_S[[#This Row],[Industry]], Mean_PB_S, 2, FALSE))/(VLOOKUP(Main_S[[#This Row],[Industry]], Mean_PB_S, 3, FALSE))</f>
        <v>1.3084137020328714</v>
      </c>
      <c r="Q56" s="1">
        <f>(Main_S[[#This Row],[ROE]]-VLOOKUP(Main_S[[#This Row],[Industry]], Mean_ROE_S, 2, FALSE))/(VLOOKUP(Main_S[[#This Row],[Industry]], Mean_ROE_S, 3, FALSE))</f>
        <v>0.30249998858000582</v>
      </c>
      <c r="R56" s="1">
        <f>(Main_S[[#This Row],[ROA]]-VLOOKUP(Main_S[[#This Row],[Industry]], Mean_ROA_S, 2, FALSE))/(VLOOKUP(Main_S[[#This Row],[Industry]], Mean_ROA_S, 3, FALSE))</f>
        <v>-0.50601007777908269</v>
      </c>
      <c r="S56" s="1">
        <f>(Main_S[[#This Row],[A/E]]-VLOOKUP(Main_S[[#This Row],[Industry]], Mean_AE_S, 2, FALSE))/(VLOOKUP(Main_S[[#This Row],[Industry]], Mean_AE_S, 3, FALSE))</f>
        <v>-1.1858219405168029</v>
      </c>
      <c r="T56" s="1">
        <f>(Main_S[[#This Row],[P/E]]-VLOOKUP(Main_S[[#This Row],[Industry]], Mean_PE_S, 2, FALSE))/(VLOOKUP(Main_S[[#This Row],[Industry]], Mean_PE_S, 3, FALSE))</f>
        <v>-10.36623103657211</v>
      </c>
      <c r="U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7" spans="1:26" x14ac:dyDescent="0.25">
      <c r="A57" t="s">
        <v>133</v>
      </c>
      <c r="B57" t="s">
        <v>277</v>
      </c>
      <c r="C57" s="2">
        <v>1390</v>
      </c>
      <c r="D57">
        <f>RTD("tos.rtd", , "LAST", Main_S[[#This Row],[Symbol]])</f>
        <v>13.4</v>
      </c>
      <c r="E57">
        <v>-1.86</v>
      </c>
      <c r="F57">
        <v>5.67</v>
      </c>
      <c r="G57">
        <v>-0.66</v>
      </c>
      <c r="H57" s="1">
        <f>IF(ISNUMBER(Main_S[[#This Row],[Free CF]]),IF(Main_S[[#This Row],[Free CF]]&lt;&gt;0,Main_S[[#This Row],[Current Price]]/Main_S[[#This Row],[Free CF]],""),"")</f>
        <v>-7.204301075268817</v>
      </c>
      <c r="I57" s="1">
        <f>IF(ISNUMBER(Main_S[[#This Row],[BVPS]]),IF(Main_S[[#This Row],[BVPS]]&lt;&gt;0,Main_S[[#This Row],[Current Price]]/Main_S[[#This Row],[BVPS]],""),"")</f>
        <v>2.3633156966490301</v>
      </c>
      <c r="J57">
        <v>-9.68</v>
      </c>
      <c r="K57">
        <v>4.49</v>
      </c>
      <c r="L57">
        <v>2.48</v>
      </c>
      <c r="M57" s="1">
        <f>IF(ISNUMBER(Main_S[[#This Row],[EPS]]),IF(Main_S[[#This Row],[EPS]]&lt;&gt;0,Main_S[[#This Row],[Current Price]]/Main_S[[#This Row],[EPS]],""),"")</f>
        <v>-20.303030303030301</v>
      </c>
      <c r="N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7" s="1">
        <f>(Main_S[[#This Row],[P/FCF]]-VLOOKUP(Main_S[[#This Row],[Industry]], Mean_PFCF_S, 2, FALSE))/(VLOOKUP(Main_S[[#This Row],[Industry]], Mean_PFCF_S, 3, FALSE))</f>
        <v>5.1999131965922832E-2</v>
      </c>
      <c r="P57" s="1">
        <f>(Main_S[[#This Row],[P/B]]-VLOOKUP(Main_S[[#This Row],[Industry]], Mean_PB_S, 2, FALSE))/(VLOOKUP(Main_S[[#This Row],[Industry]], Mean_PB_S, 3, FALSE))</f>
        <v>0.89457624220507437</v>
      </c>
      <c r="Q57" s="1">
        <f>(Main_S[[#This Row],[ROE]]-VLOOKUP(Main_S[[#This Row],[Industry]], Mean_ROE_S, 2, FALSE))/(VLOOKUP(Main_S[[#This Row],[Industry]], Mean_ROE_S, 3, FALSE))</f>
        <v>-0.1324351179252872</v>
      </c>
      <c r="R57" s="1">
        <f>(Main_S[[#This Row],[ROA]]-VLOOKUP(Main_S[[#This Row],[Industry]], Mean_ROA_S, 2, FALSE))/(VLOOKUP(Main_S[[#This Row],[Industry]], Mean_ROA_S, 3, FALSE))</f>
        <v>0.57270062301675906</v>
      </c>
      <c r="S57" s="1">
        <f>(Main_S[[#This Row],[A/E]]-VLOOKUP(Main_S[[#This Row],[Industry]], Mean_AE_S, 2, FALSE))/(VLOOKUP(Main_S[[#This Row],[Industry]], Mean_AE_S, 3, FALSE))</f>
        <v>1.0052399191183066</v>
      </c>
      <c r="T57" s="1">
        <f>(Main_S[[#This Row],[P/E]]-VLOOKUP(Main_S[[#This Row],[Industry]], Mean_PE_S, 2, FALSE))/(VLOOKUP(Main_S[[#This Row],[Industry]], Mean_PE_S, 3, FALSE))</f>
        <v>-0.82758216475825963</v>
      </c>
      <c r="U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8" spans="1:26" x14ac:dyDescent="0.25">
      <c r="A58" t="s">
        <v>133</v>
      </c>
      <c r="B58" t="s">
        <v>278</v>
      </c>
      <c r="C58" s="2">
        <v>759</v>
      </c>
      <c r="D58">
        <f>RTD("tos.rtd", , "LAST", Main_S[[#This Row],[Symbol]])</f>
        <v>10.06</v>
      </c>
      <c r="E58">
        <v>0.79</v>
      </c>
      <c r="F58">
        <v>6.74</v>
      </c>
      <c r="G58">
        <v>-1.1399999999999999</v>
      </c>
      <c r="H58" s="1">
        <f>IF(ISNUMBER(Main_S[[#This Row],[Free CF]]),IF(Main_S[[#This Row],[Free CF]]&lt;&gt;0,Main_S[[#This Row],[Current Price]]/Main_S[[#This Row],[Free CF]],""),"")</f>
        <v>12.734177215189874</v>
      </c>
      <c r="I58" s="1">
        <f>IF(ISNUMBER(Main_S[[#This Row],[BVPS]]),IF(Main_S[[#This Row],[BVPS]]&lt;&gt;0,Main_S[[#This Row],[Current Price]]/Main_S[[#This Row],[BVPS]],""),"")</f>
        <v>1.4925816023738874</v>
      </c>
      <c r="J58">
        <v>-19.84</v>
      </c>
      <c r="K58">
        <v>3.48</v>
      </c>
      <c r="L58">
        <v>2.5299999999999998</v>
      </c>
      <c r="M58" s="1">
        <f>IF(ISNUMBER(Main_S[[#This Row],[EPS]]),IF(Main_S[[#This Row],[EPS]]&lt;&gt;0,Main_S[[#This Row],[Current Price]]/Main_S[[#This Row],[EPS]],""),"")</f>
        <v>-8.8245614035087723</v>
      </c>
      <c r="N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8" s="1">
        <f>(Main_S[[#This Row],[P/FCF]]-VLOOKUP(Main_S[[#This Row],[Industry]], Mean_PFCF_S, 2, FALSE))/(VLOOKUP(Main_S[[#This Row],[Industry]], Mean_PFCF_S, 3, FALSE))</f>
        <v>0.96253929843628427</v>
      </c>
      <c r="P58" s="1">
        <f>(Main_S[[#This Row],[P/B]]-VLOOKUP(Main_S[[#This Row],[Industry]], Mean_PB_S, 2, FALSE))/(VLOOKUP(Main_S[[#This Row],[Industry]], Mean_PB_S, 3, FALSE))</f>
        <v>-0.19781355546763119</v>
      </c>
      <c r="Q58" s="1">
        <f>(Main_S[[#This Row],[ROE]]-VLOOKUP(Main_S[[#This Row],[Industry]], Mean_ROE_S, 2, FALSE))/(VLOOKUP(Main_S[[#This Row],[Industry]], Mean_ROE_S, 3, FALSE))</f>
        <v>-0.68137184862016631</v>
      </c>
      <c r="R58" s="1">
        <f>(Main_S[[#This Row],[ROA]]-VLOOKUP(Main_S[[#This Row],[Industry]], Mean_ROA_S, 2, FALSE))/(VLOOKUP(Main_S[[#This Row],[Industry]], Mean_ROA_S, 3, FALSE))</f>
        <v>0.45177966765562688</v>
      </c>
      <c r="S58" s="1">
        <f>(Main_S[[#This Row],[A/E]]-VLOOKUP(Main_S[[#This Row],[Industry]], Mean_AE_S, 2, FALSE))/(VLOOKUP(Main_S[[#This Row],[Industry]], Mean_AE_S, 3, FALSE))</f>
        <v>1.0797658327113371</v>
      </c>
      <c r="T58" s="1">
        <f>(Main_S[[#This Row],[P/E]]-VLOOKUP(Main_S[[#This Row],[Industry]], Mean_PE_S, 2, FALSE))/(VLOOKUP(Main_S[[#This Row],[Industry]], Mean_PE_S, 3, FALSE))</f>
        <v>-0.32231859521374057</v>
      </c>
      <c r="U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9" spans="1:26" x14ac:dyDescent="0.25">
      <c r="A59" t="s">
        <v>133</v>
      </c>
      <c r="B59" t="s">
        <v>279</v>
      </c>
      <c r="C59" s="2">
        <v>610</v>
      </c>
      <c r="D59">
        <f>RTD("tos.rtd", , "LAST", Main_S[[#This Row],[Symbol]])</f>
        <v>2.0699999999999998</v>
      </c>
      <c r="E59">
        <v>-0.39</v>
      </c>
      <c r="F59">
        <v>1.1200000000000001</v>
      </c>
      <c r="G59">
        <v>-0.14000000000000001</v>
      </c>
      <c r="H59" s="1">
        <f>IF(ISNUMBER(Main_S[[#This Row],[Free CF]]),IF(Main_S[[#This Row],[Free CF]]&lt;&gt;0,Main_S[[#This Row],[Current Price]]/Main_S[[#This Row],[Free CF]],""),"")</f>
        <v>-5.3076923076923075</v>
      </c>
      <c r="I59" s="1">
        <f>IF(ISNUMBER(Main_S[[#This Row],[BVPS]]),IF(Main_S[[#This Row],[BVPS]]&lt;&gt;0,Main_S[[#This Row],[Current Price]]/Main_S[[#This Row],[BVPS]],""),"")</f>
        <v>1.8482142857142854</v>
      </c>
      <c r="J59">
        <v>-12.52</v>
      </c>
      <c r="K59">
        <v>1.04</v>
      </c>
      <c r="L59">
        <v>4.37</v>
      </c>
      <c r="M59" s="1">
        <f>IF(ISNUMBER(Main_S[[#This Row],[EPS]]),IF(Main_S[[#This Row],[EPS]]&lt;&gt;0,Main_S[[#This Row],[Current Price]]/Main_S[[#This Row],[EPS]],""),"")</f>
        <v>-14.785714285714283</v>
      </c>
      <c r="N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9" s="1">
        <f>(Main_S[[#This Row],[P/FCF]]-VLOOKUP(Main_S[[#This Row],[Industry]], Mean_PFCF_S, 2, FALSE))/(VLOOKUP(Main_S[[#This Row],[Industry]], Mean_PFCF_S, 3, FALSE))</f>
        <v>0.13861248519181404</v>
      </c>
      <c r="P59" s="1">
        <f>(Main_S[[#This Row],[P/B]]-VLOOKUP(Main_S[[#This Row],[Industry]], Mean_PB_S, 2, FALSE))/(VLOOKUP(Main_S[[#This Row],[Industry]], Mean_PB_S, 3, FALSE))</f>
        <v>0.24834965044590707</v>
      </c>
      <c r="Q59" s="1">
        <f>(Main_S[[#This Row],[ROE]]-VLOOKUP(Main_S[[#This Row],[Industry]], Mean_ROE_S, 2, FALSE))/(VLOOKUP(Main_S[[#This Row],[Industry]], Mean_ROE_S, 3, FALSE))</f>
        <v>-0.28587806233212348</v>
      </c>
      <c r="R59" s="1">
        <f>(Main_S[[#This Row],[ROA]]-VLOOKUP(Main_S[[#This Row],[Industry]], Mean_ROA_S, 2, FALSE))/(VLOOKUP(Main_S[[#This Row],[Industry]], Mean_ROA_S, 3, FALSE))</f>
        <v>0.15965379529804041</v>
      </c>
      <c r="S59" s="1">
        <f>(Main_S[[#This Row],[A/E]]-VLOOKUP(Main_S[[#This Row],[Industry]], Mean_AE_S, 2, FALSE))/(VLOOKUP(Main_S[[#This Row],[Industry]], Mean_AE_S, 3, FALSE))</f>
        <v>3.8223194529348756</v>
      </c>
      <c r="T59" s="1">
        <f>(Main_S[[#This Row],[P/E]]-VLOOKUP(Main_S[[#This Row],[Industry]], Mean_PE_S, 2, FALSE))/(VLOOKUP(Main_S[[#This Row],[Industry]], Mean_PE_S, 3, FALSE))</f>
        <v>-0.58471886917269211</v>
      </c>
      <c r="U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0" spans="1:26" x14ac:dyDescent="0.25">
      <c r="A60" t="s">
        <v>133</v>
      </c>
      <c r="B60" t="s">
        <v>280</v>
      </c>
      <c r="C60" s="2">
        <v>458</v>
      </c>
      <c r="D60">
        <f>RTD("tos.rtd", , "LAST", Main_S[[#This Row],[Symbol]])</f>
        <v>0.71</v>
      </c>
      <c r="E60">
        <v>-0.21</v>
      </c>
      <c r="F60">
        <v>0.28999999999999998</v>
      </c>
      <c r="G60">
        <v>-0.02</v>
      </c>
      <c r="H60" s="1">
        <f>IF(ISNUMBER(Main_S[[#This Row],[Free CF]]),IF(Main_S[[#This Row],[Free CF]]&lt;&gt;0,Main_S[[#This Row],[Current Price]]/Main_S[[#This Row],[Free CF]],""),"")</f>
        <v>-3.3809523809523809</v>
      </c>
      <c r="I60" s="1">
        <f>IF(ISNUMBER(Main_S[[#This Row],[BVPS]]),IF(Main_S[[#This Row],[BVPS]]&lt;&gt;0,Main_S[[#This Row],[Current Price]]/Main_S[[#This Row],[BVPS]],""),"")</f>
        <v>2.4482758620689657</v>
      </c>
      <c r="J60">
        <v>-17.670000000000002</v>
      </c>
      <c r="K60">
        <v>-7.02</v>
      </c>
      <c r="L60">
        <v>1.27</v>
      </c>
      <c r="M60" s="1">
        <f>IF(ISNUMBER(Main_S[[#This Row],[EPS]]),IF(Main_S[[#This Row],[EPS]]&lt;&gt;0,Main_S[[#This Row],[Current Price]]/Main_S[[#This Row],[EPS]],""),"")</f>
        <v>-35.5</v>
      </c>
      <c r="N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0" s="1">
        <f>(Main_S[[#This Row],[P/FCF]]-VLOOKUP(Main_S[[#This Row],[Industry]], Mean_PFCF_S, 2, FALSE))/(VLOOKUP(Main_S[[#This Row],[Industry]], Mean_PFCF_S, 3, FALSE))</f>
        <v>0.22660185268925229</v>
      </c>
      <c r="P60" s="1">
        <f>(Main_S[[#This Row],[P/B]]-VLOOKUP(Main_S[[#This Row],[Industry]], Mean_PB_S, 2, FALSE))/(VLOOKUP(Main_S[[#This Row],[Industry]], Mean_PB_S, 3, FALSE))</f>
        <v>1.001164026608514</v>
      </c>
      <c r="Q60" s="1">
        <f>(Main_S[[#This Row],[ROE]]-VLOOKUP(Main_S[[#This Row],[Industry]], Mean_ROE_S, 2, FALSE))/(VLOOKUP(Main_S[[#This Row],[Industry]], Mean_ROE_S, 3, FALSE))</f>
        <v>-0.564128472083957</v>
      </c>
      <c r="R60" s="1">
        <f>(Main_S[[#This Row],[ROA]]-VLOOKUP(Main_S[[#This Row],[Industry]], Mean_ROA_S, 2, FALSE))/(VLOOKUP(Main_S[[#This Row],[Industry]], Mean_ROA_S, 3, FALSE))</f>
        <v>-0.80531937322742941</v>
      </c>
      <c r="S60" s="1">
        <f>(Main_S[[#This Row],[A/E]]-VLOOKUP(Main_S[[#This Row],[Industry]], Mean_AE_S, 2, FALSE))/(VLOOKUP(Main_S[[#This Row],[Industry]], Mean_AE_S, 3, FALSE))</f>
        <v>-0.79828718983304203</v>
      </c>
      <c r="T60" s="1">
        <f>(Main_S[[#This Row],[P/E]]-VLOOKUP(Main_S[[#This Row],[Industry]], Mean_PE_S, 2, FALSE))/(VLOOKUP(Main_S[[#This Row],[Industry]], Mean_PE_S, 3, FALSE))</f>
        <v>-1.4965281036779416</v>
      </c>
      <c r="U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1" spans="1:26" x14ac:dyDescent="0.25">
      <c r="A61" t="s">
        <v>133</v>
      </c>
      <c r="B61" t="s">
        <v>281</v>
      </c>
      <c r="C61" s="2">
        <v>1024</v>
      </c>
      <c r="D61">
        <f>RTD("tos.rtd", , "LAST", Main_S[[#This Row],[Symbol]])</f>
        <v>5.82</v>
      </c>
      <c r="E61">
        <v>-0.34</v>
      </c>
      <c r="F61">
        <v>4.67</v>
      </c>
      <c r="G61">
        <v>0.14000000000000001</v>
      </c>
      <c r="H61" s="1">
        <f>IF(ISNUMBER(Main_S[[#This Row],[Free CF]]),IF(Main_S[[#This Row],[Free CF]]&lt;&gt;0,Main_S[[#This Row],[Current Price]]/Main_S[[#This Row],[Free CF]],""),"")</f>
        <v>-17.117647058823529</v>
      </c>
      <c r="I61" s="1">
        <f>IF(ISNUMBER(Main_S[[#This Row],[BVPS]]),IF(Main_S[[#This Row],[BVPS]]&lt;&gt;0,Main_S[[#This Row],[Current Price]]/Main_S[[#This Row],[BVPS]],""),"")</f>
        <v>1.246252676659529</v>
      </c>
      <c r="J61">
        <v>2.73</v>
      </c>
      <c r="K61">
        <v>4.41</v>
      </c>
      <c r="L61">
        <v>2.5</v>
      </c>
      <c r="M61" s="1">
        <f>IF(ISNUMBER(Main_S[[#This Row],[EPS]]),IF(Main_S[[#This Row],[EPS]]&lt;&gt;0,Main_S[[#This Row],[Current Price]]/Main_S[[#This Row],[EPS]],""),"")</f>
        <v>41.571428571428569</v>
      </c>
      <c r="N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1" s="1">
        <f>(Main_S[[#This Row],[P/FCF]]-VLOOKUP(Main_S[[#This Row],[Industry]], Mean_PFCF_S, 2, FALSE))/(VLOOKUP(Main_S[[#This Row],[Industry]], Mean_PFCF_S, 3, FALSE))</f>
        <v>-0.40071845112384152</v>
      </c>
      <c r="P61" s="1">
        <f>(Main_S[[#This Row],[P/B]]-VLOOKUP(Main_S[[#This Row],[Industry]], Mean_PB_S, 2, FALSE))/(VLOOKUP(Main_S[[#This Row],[Industry]], Mean_PB_S, 3, FALSE))</f>
        <v>-0.50684843430288462</v>
      </c>
      <c r="Q61" s="1">
        <f>(Main_S[[#This Row],[ROE]]-VLOOKUP(Main_S[[#This Row],[Industry]], Mean_ROE_S, 2, FALSE))/(VLOOKUP(Main_S[[#This Row],[Industry]], Mean_ROE_S, 3, FALSE))</f>
        <v>0.53806732576796579</v>
      </c>
      <c r="R61" s="1">
        <f>(Main_S[[#This Row],[ROA]]-VLOOKUP(Main_S[[#This Row],[Industry]], Mean_ROA_S, 2, FALSE))/(VLOOKUP(Main_S[[#This Row],[Industry]], Mean_ROA_S, 3, FALSE))</f>
        <v>0.56312272556241194</v>
      </c>
      <c r="S61" s="1">
        <f>(Main_S[[#This Row],[A/E]]-VLOOKUP(Main_S[[#This Row],[Industry]], Mean_AE_S, 2, FALSE))/(VLOOKUP(Main_S[[#This Row],[Industry]], Mean_AE_S, 3, FALSE))</f>
        <v>1.035050284555519</v>
      </c>
      <c r="T61" s="1">
        <f>(Main_S[[#This Row],[P/E]]-VLOOKUP(Main_S[[#This Row],[Industry]], Mean_PE_S, 2, FALSE))/(VLOOKUP(Main_S[[#This Row],[Industry]], Mean_PE_S, 3, FALSE))</f>
        <v>1.8960310826364175</v>
      </c>
      <c r="U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2" spans="1:26" x14ac:dyDescent="0.25">
      <c r="A62" t="s">
        <v>133</v>
      </c>
      <c r="B62" t="s">
        <v>282</v>
      </c>
      <c r="C62" s="2">
        <v>1528</v>
      </c>
      <c r="D62">
        <f>RTD("tos.rtd", , "LAST", Main_S[[#This Row],[Symbol]])</f>
        <v>6.6</v>
      </c>
      <c r="E62">
        <v>0.65</v>
      </c>
      <c r="F62">
        <v>7.88</v>
      </c>
      <c r="G62">
        <v>0.35</v>
      </c>
      <c r="H62" s="1">
        <f>IF(ISNUMBER(Main_S[[#This Row],[Free CF]]),IF(Main_S[[#This Row],[Free CF]]&lt;&gt;0,Main_S[[#This Row],[Current Price]]/Main_S[[#This Row],[Free CF]],""),"")</f>
        <v>10.153846153846153</v>
      </c>
      <c r="I62" s="1">
        <f>IF(ISNUMBER(Main_S[[#This Row],[BVPS]]),IF(Main_S[[#This Row],[BVPS]]&lt;&gt;0,Main_S[[#This Row],[Current Price]]/Main_S[[#This Row],[BVPS]],""),"")</f>
        <v>0.8375634517766497</v>
      </c>
      <c r="J62">
        <v>4.83</v>
      </c>
      <c r="K62">
        <v>1.98</v>
      </c>
      <c r="L62">
        <v>1.37</v>
      </c>
      <c r="M62" s="1">
        <f>IF(ISNUMBER(Main_S[[#This Row],[EPS]]),IF(Main_S[[#This Row],[EPS]]&lt;&gt;0,Main_S[[#This Row],[Current Price]]/Main_S[[#This Row],[EPS]],""),"")</f>
        <v>18.857142857142858</v>
      </c>
      <c r="N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2" s="1">
        <f>(Main_S[[#This Row],[P/FCF]]-VLOOKUP(Main_S[[#This Row],[Industry]], Mean_PFCF_S, 2, FALSE))/(VLOOKUP(Main_S[[#This Row],[Industry]], Mean_PFCF_S, 3, FALSE))</f>
        <v>0.84470206733380448</v>
      </c>
      <c r="P62" s="1">
        <f>(Main_S[[#This Row],[P/B]]-VLOOKUP(Main_S[[#This Row],[Industry]], Mean_PB_S, 2, FALSE))/(VLOOKUP(Main_S[[#This Row],[Industry]], Mean_PB_S, 3, FALSE))</f>
        <v>-1.0195743544386713</v>
      </c>
      <c r="Q62" s="1">
        <f>(Main_S[[#This Row],[ROE]]-VLOOKUP(Main_S[[#This Row],[Industry]], Mean_ROE_S, 2, FALSE))/(VLOOKUP(Main_S[[#This Row],[Industry]], Mean_ROE_S, 3, FALSE))</f>
        <v>0.65152865789978132</v>
      </c>
      <c r="R62" s="1">
        <f>(Main_S[[#This Row],[ROA]]-VLOOKUP(Main_S[[#This Row],[Industry]], Mean_ROA_S, 2, FALSE))/(VLOOKUP(Main_S[[#This Row],[Industry]], Mean_ROA_S, 3, FALSE))</f>
        <v>0.27219409038661879</v>
      </c>
      <c r="S62" s="1">
        <f>(Main_S[[#This Row],[A/E]]-VLOOKUP(Main_S[[#This Row],[Industry]], Mean_AE_S, 2, FALSE))/(VLOOKUP(Main_S[[#This Row],[Industry]], Mean_AE_S, 3, FALSE))</f>
        <v>-0.64923536264698001</v>
      </c>
      <c r="T62" s="1">
        <f>(Main_S[[#This Row],[P/E]]-VLOOKUP(Main_S[[#This Row],[Industry]], Mean_PE_S, 2, FALSE))/(VLOOKUP(Main_S[[#This Row],[Industry]], Mean_PE_S, 3, FALSE))</f>
        <v>0.8961850944547991</v>
      </c>
      <c r="U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3" spans="1:26" x14ac:dyDescent="0.25">
      <c r="A63" t="s">
        <v>133</v>
      </c>
      <c r="B63" t="s">
        <v>283</v>
      </c>
      <c r="C63" s="2">
        <v>267</v>
      </c>
      <c r="D63">
        <f>RTD("tos.rtd", , "LAST", Main_S[[#This Row],[Symbol]])</f>
        <v>14.27</v>
      </c>
      <c r="E63">
        <v>0.55000000000000004</v>
      </c>
      <c r="F63">
        <v>11.13</v>
      </c>
      <c r="G63">
        <v>0.91</v>
      </c>
      <c r="H63" s="1">
        <f>IF(ISNUMBER(Main_S[[#This Row],[Free CF]]),IF(Main_S[[#This Row],[Free CF]]&lt;&gt;0,Main_S[[#This Row],[Current Price]]/Main_S[[#This Row],[Free CF]],""),"")</f>
        <v>25.945454545454542</v>
      </c>
      <c r="I63" s="1">
        <f>IF(ISNUMBER(Main_S[[#This Row],[BVPS]]),IF(Main_S[[#This Row],[BVPS]]&lt;&gt;0,Main_S[[#This Row],[Current Price]]/Main_S[[#This Row],[BVPS]],""),"")</f>
        <v>1.2821203953279423</v>
      </c>
      <c r="J63">
        <v>10.050000000000001</v>
      </c>
      <c r="K63">
        <v>10.1</v>
      </c>
      <c r="L63">
        <v>1.63</v>
      </c>
      <c r="M63" s="1">
        <f>IF(ISNUMBER(Main_S[[#This Row],[EPS]]),IF(Main_S[[#This Row],[EPS]]&lt;&gt;0,Main_S[[#This Row],[Current Price]]/Main_S[[#This Row],[EPS]],""),"")</f>
        <v>15.681318681318681</v>
      </c>
      <c r="N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3" s="1">
        <f>(Main_S[[#This Row],[P/FCF]]-VLOOKUP(Main_S[[#This Row],[Industry]], Mean_PFCF_S, 2, FALSE))/(VLOOKUP(Main_S[[#This Row],[Industry]], Mean_PFCF_S, 3, FALSE))</f>
        <v>1.5658651131922587</v>
      </c>
      <c r="P63" s="1">
        <f>(Main_S[[#This Row],[P/B]]-VLOOKUP(Main_S[[#This Row],[Industry]], Mean_PB_S, 2, FALSE))/(VLOOKUP(Main_S[[#This Row],[Industry]], Mean_PB_S, 3, FALSE))</f>
        <v>-0.46185016192928829</v>
      </c>
      <c r="Q63" s="1">
        <f>(Main_S[[#This Row],[ROE]]-VLOOKUP(Main_S[[#This Row],[Industry]], Mean_ROE_S, 2, FALSE))/(VLOOKUP(Main_S[[#This Row],[Industry]], Mean_ROE_S, 3, FALSE))</f>
        <v>0.93356111205600867</v>
      </c>
      <c r="R63" s="1">
        <f>(Main_S[[#This Row],[ROA]]-VLOOKUP(Main_S[[#This Row],[Industry]], Mean_ROA_S, 2, FALSE))/(VLOOKUP(Main_S[[#This Row],[Industry]], Mean_ROA_S, 3, FALSE))</f>
        <v>1.2443506820028492</v>
      </c>
      <c r="S63" s="1">
        <f>(Main_S[[#This Row],[A/E]]-VLOOKUP(Main_S[[#This Row],[Industry]], Mean_AE_S, 2, FALSE))/(VLOOKUP(Main_S[[#This Row],[Industry]], Mean_AE_S, 3, FALSE))</f>
        <v>-0.26170061196321948</v>
      </c>
      <c r="T63" s="1">
        <f>(Main_S[[#This Row],[P/E]]-VLOOKUP(Main_S[[#This Row],[Industry]], Mean_PE_S, 2, FALSE))/(VLOOKUP(Main_S[[#This Row],[Industry]], Mean_PE_S, 3, FALSE))</f>
        <v>0.75639046911155405</v>
      </c>
      <c r="U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4" spans="1:26" x14ac:dyDescent="0.25">
      <c r="A64" t="s">
        <v>133</v>
      </c>
      <c r="B64" t="s">
        <v>284</v>
      </c>
      <c r="C64" s="2">
        <v>310</v>
      </c>
      <c r="D64">
        <f>RTD("tos.rtd", , "LAST", Main_S[[#This Row],[Symbol]])</f>
        <v>2.87</v>
      </c>
      <c r="E64">
        <v>-0.35</v>
      </c>
      <c r="F64">
        <v>0.96</v>
      </c>
      <c r="G64">
        <v>-0.37</v>
      </c>
      <c r="H64" s="1">
        <f>IF(ISNUMBER(Main_S[[#This Row],[Free CF]]),IF(Main_S[[#This Row],[Free CF]]&lt;&gt;0,Main_S[[#This Row],[Current Price]]/Main_S[[#This Row],[Free CF]],""),"")</f>
        <v>-8.2000000000000011</v>
      </c>
      <c r="I64" s="1">
        <f>IF(ISNUMBER(Main_S[[#This Row],[BVPS]]),IF(Main_S[[#This Row],[BVPS]]&lt;&gt;0,Main_S[[#This Row],[Current Price]]/Main_S[[#This Row],[BVPS]],""),"")</f>
        <v>2.9895833333333335</v>
      </c>
      <c r="J64">
        <v>-34.630000000000003</v>
      </c>
      <c r="K64">
        <v>-21.08</v>
      </c>
      <c r="L64">
        <v>1.03</v>
      </c>
      <c r="M64" s="1">
        <f>IF(ISNUMBER(Main_S[[#This Row],[EPS]]),IF(Main_S[[#This Row],[EPS]]&lt;&gt;0,Main_S[[#This Row],[Current Price]]/Main_S[[#This Row],[EPS]],""),"")</f>
        <v>-7.756756756756757</v>
      </c>
      <c r="N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4" s="1">
        <f>(Main_S[[#This Row],[P/FCF]]-VLOOKUP(Main_S[[#This Row],[Industry]], Mean_PFCF_S, 2, FALSE))/(VLOOKUP(Main_S[[#This Row],[Industry]], Mean_PFCF_S, 3, FALSE))</f>
        <v>6.5280658458495896E-3</v>
      </c>
      <c r="P64" s="1">
        <f>(Main_S[[#This Row],[P/B]]-VLOOKUP(Main_S[[#This Row],[Industry]], Mean_PB_S, 2, FALSE))/(VLOOKUP(Main_S[[#This Row],[Industry]], Mean_PB_S, 3, FALSE))</f>
        <v>1.6802677425431241</v>
      </c>
      <c r="Q64" s="1">
        <f>(Main_S[[#This Row],[ROE]]-VLOOKUP(Main_S[[#This Row],[Industry]], Mean_ROE_S, 2, FALSE))/(VLOOKUP(Main_S[[#This Row],[Industry]], Mean_ROE_S, 3, FALSE))</f>
        <v>-1.4804638020628105</v>
      </c>
      <c r="R64" s="1">
        <f>(Main_S[[#This Row],[ROA]]-VLOOKUP(Main_S[[#This Row],[Industry]], Mean_ROA_S, 2, FALSE))/(VLOOKUP(Main_S[[#This Row],[Industry]], Mean_ROA_S, 3, FALSE))</f>
        <v>-2.4886348508289315</v>
      </c>
      <c r="S64" s="1">
        <f>(Main_S[[#This Row],[A/E]]-VLOOKUP(Main_S[[#This Row],[Industry]], Mean_AE_S, 2, FALSE))/(VLOOKUP(Main_S[[#This Row],[Industry]], Mean_AE_S, 3, FALSE))</f>
        <v>-1.1560115750795905</v>
      </c>
      <c r="T64" s="1">
        <f>(Main_S[[#This Row],[P/E]]-VLOOKUP(Main_S[[#This Row],[Industry]], Mean_PE_S, 2, FALSE))/(VLOOKUP(Main_S[[#This Row],[Industry]], Mean_PE_S, 3, FALSE))</f>
        <v>-0.27531556788344591</v>
      </c>
      <c r="U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5" spans="1:26" x14ac:dyDescent="0.25">
      <c r="A65" t="s">
        <v>133</v>
      </c>
      <c r="B65" t="s">
        <v>285</v>
      </c>
      <c r="C65" s="2">
        <v>1313</v>
      </c>
      <c r="D65">
        <f>RTD("tos.rtd", , "LAST", Main_S[[#This Row],[Symbol]])</f>
        <v>14.01</v>
      </c>
      <c r="E65">
        <v>-0.28999999999999998</v>
      </c>
      <c r="F65">
        <v>4.72</v>
      </c>
      <c r="G65">
        <v>1.05</v>
      </c>
      <c r="H65" s="1">
        <f>IF(ISNUMBER(Main_S[[#This Row],[Free CF]]),IF(Main_S[[#This Row],[Free CF]]&lt;&gt;0,Main_S[[#This Row],[Current Price]]/Main_S[[#This Row],[Free CF]],""),"")</f>
        <v>-48.310344827586206</v>
      </c>
      <c r="I65" s="1">
        <f>IF(ISNUMBER(Main_S[[#This Row],[BVPS]]),IF(Main_S[[#This Row],[BVPS]]&lt;&gt;0,Main_S[[#This Row],[Current Price]]/Main_S[[#This Row],[BVPS]],""),"")</f>
        <v>2.968220338983051</v>
      </c>
      <c r="J65">
        <v>24.45</v>
      </c>
      <c r="K65">
        <v>14.15</v>
      </c>
      <c r="L65">
        <v>1.34</v>
      </c>
      <c r="M65" s="1">
        <f>IF(ISNUMBER(Main_S[[#This Row],[EPS]]),IF(Main_S[[#This Row],[EPS]]&lt;&gt;0,Main_S[[#This Row],[Current Price]]/Main_S[[#This Row],[EPS]],""),"")</f>
        <v>13.342857142857142</v>
      </c>
      <c r="N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5" s="1">
        <f>(Main_S[[#This Row],[P/FCF]]-VLOOKUP(Main_S[[#This Row],[Industry]], Mean_PFCF_S, 2, FALSE))/(VLOOKUP(Main_S[[#This Row],[Industry]], Mean_PFCF_S, 3, FALSE))</f>
        <v>-1.8252105214449932</v>
      </c>
      <c r="P65" s="1">
        <f>(Main_S[[#This Row],[P/B]]-VLOOKUP(Main_S[[#This Row],[Industry]], Mean_PB_S, 2, FALSE))/(VLOOKUP(Main_S[[#This Row],[Industry]], Mean_PB_S, 3, FALSE))</f>
        <v>1.6534665443019834</v>
      </c>
      <c r="Q65" s="1">
        <f>(Main_S[[#This Row],[ROE]]-VLOOKUP(Main_S[[#This Row],[Industry]], Mean_ROE_S, 2, FALSE))/(VLOOKUP(Main_S[[#This Row],[Industry]], Mean_ROE_S, 3, FALSE))</f>
        <v>1.7115816752456012</v>
      </c>
      <c r="R65" s="1">
        <f>(Main_S[[#This Row],[ROA]]-VLOOKUP(Main_S[[#This Row],[Industry]], Mean_ROA_S, 2, FALSE))/(VLOOKUP(Main_S[[#This Row],[Industry]], Mean_ROA_S, 3, FALSE))</f>
        <v>1.7292317406291708</v>
      </c>
      <c r="S65" s="1">
        <f>(Main_S[[#This Row],[A/E]]-VLOOKUP(Main_S[[#This Row],[Industry]], Mean_AE_S, 2, FALSE))/(VLOOKUP(Main_S[[#This Row],[Industry]], Mean_AE_S, 3, FALSE))</f>
        <v>-0.69395091080279858</v>
      </c>
      <c r="T65" s="1">
        <f>(Main_S[[#This Row],[P/E]]-VLOOKUP(Main_S[[#This Row],[Industry]], Mean_PE_S, 2, FALSE))/(VLOOKUP(Main_S[[#This Row],[Industry]], Mean_PE_S, 3, FALSE))</f>
        <v>0.65345518788995338</v>
      </c>
      <c r="U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6" spans="1:26" x14ac:dyDescent="0.25">
      <c r="A66" t="s">
        <v>133</v>
      </c>
      <c r="B66" t="s">
        <v>286</v>
      </c>
      <c r="C66" s="2">
        <v>404</v>
      </c>
      <c r="D66">
        <f>RTD("tos.rtd", , "LAST", Main_S[[#This Row],[Symbol]])</f>
        <v>1.54</v>
      </c>
      <c r="E66">
        <v>-0.04</v>
      </c>
      <c r="F66">
        <v>0.95</v>
      </c>
      <c r="G66">
        <v>0.02</v>
      </c>
      <c r="H66" s="1">
        <f>IF(ISNUMBER(Main_S[[#This Row],[Free CF]]),IF(Main_S[[#This Row],[Free CF]]&lt;&gt;0,Main_S[[#This Row],[Current Price]]/Main_S[[#This Row],[Free CF]],""),"")</f>
        <v>-38.5</v>
      </c>
      <c r="I66" s="1">
        <f>IF(ISNUMBER(Main_S[[#This Row],[BVPS]]),IF(Main_S[[#This Row],[BVPS]]&lt;&gt;0,Main_S[[#This Row],[Current Price]]/Main_S[[#This Row],[BVPS]],""),"")</f>
        <v>1.6210526315789475</v>
      </c>
      <c r="J66">
        <v>3.81</v>
      </c>
      <c r="K66">
        <v>9.08</v>
      </c>
      <c r="L66">
        <v>2.06</v>
      </c>
      <c r="M66" s="1">
        <f>IF(ISNUMBER(Main_S[[#This Row],[EPS]]),IF(Main_S[[#This Row],[EPS]]&lt;&gt;0,Main_S[[#This Row],[Current Price]]/Main_S[[#This Row],[EPS]],""),"")</f>
        <v>77</v>
      </c>
      <c r="N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6" s="1">
        <f>(Main_S[[#This Row],[P/FCF]]-VLOOKUP(Main_S[[#This Row],[Industry]], Mean_PFCF_S, 2, FALSE))/(VLOOKUP(Main_S[[#This Row],[Industry]], Mean_PFCF_S, 3, FALSE))</f>
        <v>-1.377196742142857</v>
      </c>
      <c r="P66" s="1">
        <f>(Main_S[[#This Row],[P/B]]-VLOOKUP(Main_S[[#This Row],[Industry]], Mean_PB_S, 2, FALSE))/(VLOOKUP(Main_S[[#This Row],[Industry]], Mean_PB_S, 3, FALSE))</f>
        <v>-3.663870022442553E-2</v>
      </c>
      <c r="Q66" s="1">
        <f>(Main_S[[#This Row],[ROE]]-VLOOKUP(Main_S[[#This Row],[Industry]], Mean_ROE_S, 2, FALSE))/(VLOOKUP(Main_S[[#This Row],[Industry]], Mean_ROE_S, 3, FALSE))</f>
        <v>0.59641886800718513</v>
      </c>
      <c r="R66" s="1">
        <f>(Main_S[[#This Row],[ROA]]-VLOOKUP(Main_S[[#This Row],[Industry]], Mean_ROA_S, 2, FALSE))/(VLOOKUP(Main_S[[#This Row],[Industry]], Mean_ROA_S, 3, FALSE))</f>
        <v>1.1222324894599236</v>
      </c>
      <c r="S66" s="1">
        <f>(Main_S[[#This Row],[A/E]]-VLOOKUP(Main_S[[#This Row],[Industry]], Mean_AE_S, 2, FALSE))/(VLOOKUP(Main_S[[#This Row],[Industry]], Mean_AE_S, 3, FALSE))</f>
        <v>0.37922224493684675</v>
      </c>
      <c r="T66" s="1">
        <f>(Main_S[[#This Row],[P/E]]-VLOOKUP(Main_S[[#This Row],[Industry]], Mean_PE_S, 2, FALSE))/(VLOOKUP(Main_S[[#This Row],[Industry]], Mean_PE_S, 3, FALSE))</f>
        <v>3.4555392906178093</v>
      </c>
      <c r="U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7" spans="1:26" x14ac:dyDescent="0.25">
      <c r="A67" t="s">
        <v>133</v>
      </c>
      <c r="B67" t="s">
        <v>287</v>
      </c>
      <c r="C67" s="2">
        <v>264</v>
      </c>
      <c r="D67">
        <f>RTD("tos.rtd", , "LAST", Main_S[[#This Row],[Symbol]])</f>
        <v>1.54</v>
      </c>
      <c r="E67">
        <v>-0.27</v>
      </c>
      <c r="F67">
        <v>3.28</v>
      </c>
      <c r="G67">
        <v>-0.02</v>
      </c>
      <c r="H67" s="1">
        <f>IF(ISNUMBER(Main_S[[#This Row],[Free CF]]),IF(Main_S[[#This Row],[Free CF]]&lt;&gt;0,Main_S[[#This Row],[Current Price]]/Main_S[[#This Row],[Free CF]],""),"")</f>
        <v>-5.7037037037037033</v>
      </c>
      <c r="I67" s="1">
        <f>IF(ISNUMBER(Main_S[[#This Row],[BVPS]]),IF(Main_S[[#This Row],[BVPS]]&lt;&gt;0,Main_S[[#This Row],[Current Price]]/Main_S[[#This Row],[BVPS]],""),"")</f>
        <v>0.46951219512195125</v>
      </c>
      <c r="J67">
        <v>-0.63</v>
      </c>
      <c r="K67">
        <v>-0.35</v>
      </c>
      <c r="L67">
        <v>1.32</v>
      </c>
      <c r="M67" s="1">
        <f>IF(ISNUMBER(Main_S[[#This Row],[EPS]]),IF(Main_S[[#This Row],[EPS]]&lt;&gt;0,Main_S[[#This Row],[Current Price]]/Main_S[[#This Row],[EPS]],""),"")</f>
        <v>-77</v>
      </c>
      <c r="N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7" s="1">
        <f>(Main_S[[#This Row],[P/FCF]]-VLOOKUP(Main_S[[#This Row],[Industry]], Mean_PFCF_S, 2, FALSE))/(VLOOKUP(Main_S[[#This Row],[Industry]], Mean_PFCF_S, 3, FALSE))</f>
        <v>0.12052764054141112</v>
      </c>
      <c r="P67" s="1">
        <f>(Main_S[[#This Row],[P/B]]-VLOOKUP(Main_S[[#This Row],[Industry]], Mean_PB_S, 2, FALSE))/(VLOOKUP(Main_S[[#This Row],[Industry]], Mean_PB_S, 3, FALSE))</f>
        <v>-1.4813174289704076</v>
      </c>
      <c r="Q67" s="1">
        <f>(Main_S[[#This Row],[ROE]]-VLOOKUP(Main_S[[#This Row],[Industry]], Mean_ROE_S, 2, FALSE))/(VLOOKUP(Main_S[[#This Row],[Industry]], Mean_ROE_S, 3, FALSE))</f>
        <v>0.35652919435706087</v>
      </c>
      <c r="R67" s="1">
        <f>(Main_S[[#This Row],[ROA]]-VLOOKUP(Main_S[[#This Row],[Industry]], Mean_ROA_S, 2, FALSE))/(VLOOKUP(Main_S[[#This Row],[Industry]], Mean_ROA_S, 3, FALSE))</f>
        <v>-6.7621729712403714E-3</v>
      </c>
      <c r="S67" s="1">
        <f>(Main_S[[#This Row],[A/E]]-VLOOKUP(Main_S[[#This Row],[Industry]], Mean_AE_S, 2, FALSE))/(VLOOKUP(Main_S[[#This Row],[Industry]], Mean_AE_S, 3, FALSE))</f>
        <v>-0.72376127624001108</v>
      </c>
      <c r="T67" s="1">
        <f>(Main_S[[#This Row],[P/E]]-VLOOKUP(Main_S[[#This Row],[Industry]], Mean_PE_S, 2, FALSE))/(VLOOKUP(Main_S[[#This Row],[Industry]], Mean_PE_S, 3, FALSE))</f>
        <v>-3.3232907424625968</v>
      </c>
      <c r="U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8" spans="1:26" x14ac:dyDescent="0.25">
      <c r="A68" t="s">
        <v>133</v>
      </c>
      <c r="B68" t="s">
        <v>288</v>
      </c>
      <c r="C68" s="2">
        <v>273</v>
      </c>
      <c r="D68">
        <f>RTD("tos.rtd", , "LAST", Main_S[[#This Row],[Symbol]])</f>
        <v>0.50409999999999999</v>
      </c>
      <c r="E68">
        <v>-0.21</v>
      </c>
      <c r="F68">
        <v>0.72</v>
      </c>
      <c r="G68">
        <v>-0.37</v>
      </c>
      <c r="H68" s="1">
        <f>IF(ISNUMBER(Main_S[[#This Row],[Free CF]]),IF(Main_S[[#This Row],[Free CF]]&lt;&gt;0,Main_S[[#This Row],[Current Price]]/Main_S[[#This Row],[Free CF]],""),"")</f>
        <v>-2.4004761904761907</v>
      </c>
      <c r="I68" s="1">
        <f>IF(ISNUMBER(Main_S[[#This Row],[BVPS]]),IF(Main_S[[#This Row],[BVPS]]&lt;&gt;0,Main_S[[#This Row],[Current Price]]/Main_S[[#This Row],[BVPS]],""),"")</f>
        <v>0.70013888888888887</v>
      </c>
      <c r="J68">
        <v>-38.14</v>
      </c>
      <c r="K68">
        <v>-8</v>
      </c>
      <c r="L68">
        <v>2.0699999999999998</v>
      </c>
      <c r="M68" s="1">
        <f>IF(ISNUMBER(Main_S[[#This Row],[EPS]]),IF(Main_S[[#This Row],[EPS]]&lt;&gt;0,Main_S[[#This Row],[Current Price]]/Main_S[[#This Row],[EPS]],""),"")</f>
        <v>-1.3624324324324324</v>
      </c>
      <c r="N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8" s="1">
        <f>(Main_S[[#This Row],[P/FCF]]-VLOOKUP(Main_S[[#This Row],[Industry]], Mean_PFCF_S, 2, FALSE))/(VLOOKUP(Main_S[[#This Row],[Industry]], Mean_PFCF_S, 3, FALSE))</f>
        <v>0.27137773481480232</v>
      </c>
      <c r="P68" s="1">
        <f>(Main_S[[#This Row],[P/B]]-VLOOKUP(Main_S[[#This Row],[Industry]], Mean_PB_S, 2, FALSE))/(VLOOKUP(Main_S[[#This Row],[Industry]], Mean_PB_S, 3, FALSE))</f>
        <v>-1.1919819716839704</v>
      </c>
      <c r="Q68" s="1">
        <f>(Main_S[[#This Row],[ROE]]-VLOOKUP(Main_S[[#This Row],[Industry]], Mean_ROE_S, 2, FALSE))/(VLOOKUP(Main_S[[#This Row],[Industry]], Mean_ROE_S, 3, FALSE))</f>
        <v>-1.6701063143402735</v>
      </c>
      <c r="R68" s="1">
        <f>(Main_S[[#This Row],[ROA]]-VLOOKUP(Main_S[[#This Row],[Industry]], Mean_ROA_S, 2, FALSE))/(VLOOKUP(Main_S[[#This Row],[Industry]], Mean_ROA_S, 3, FALSE))</f>
        <v>-0.92264861704318135</v>
      </c>
      <c r="S68" s="1">
        <f>(Main_S[[#This Row],[A/E]]-VLOOKUP(Main_S[[#This Row],[Industry]], Mean_AE_S, 2, FALSE))/(VLOOKUP(Main_S[[#This Row],[Industry]], Mean_AE_S, 3, FALSE))</f>
        <v>0.39412742765545261</v>
      </c>
      <c r="T68" s="1">
        <f>(Main_S[[#This Row],[P/E]]-VLOOKUP(Main_S[[#This Row],[Industry]], Mean_PE_S, 2, FALSE))/(VLOOKUP(Main_S[[#This Row],[Industry]], Mean_PE_S, 3, FALSE))</f>
        <v>6.1522098502314153E-3</v>
      </c>
      <c r="U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9" spans="1:26" x14ac:dyDescent="0.25">
      <c r="A69" t="s">
        <v>133</v>
      </c>
      <c r="B69" t="s">
        <v>289</v>
      </c>
      <c r="C69" s="2">
        <v>305</v>
      </c>
      <c r="D69">
        <f>RTD("tos.rtd", , "LAST", Main_S[[#This Row],[Symbol]])</f>
        <v>1.61</v>
      </c>
      <c r="E69">
        <v>-0.13</v>
      </c>
      <c r="F69">
        <v>0.77</v>
      </c>
      <c r="G69">
        <v>-0.1</v>
      </c>
      <c r="H69" s="1">
        <f>IF(ISNUMBER(Main_S[[#This Row],[Free CF]]),IF(Main_S[[#This Row],[Free CF]]&lt;&gt;0,Main_S[[#This Row],[Current Price]]/Main_S[[#This Row],[Free CF]],""),"")</f>
        <v>-12.384615384615385</v>
      </c>
      <c r="I69" s="1">
        <f>IF(ISNUMBER(Main_S[[#This Row],[BVPS]]),IF(Main_S[[#This Row],[BVPS]]&lt;&gt;0,Main_S[[#This Row],[Current Price]]/Main_S[[#This Row],[BVPS]],""),"")</f>
        <v>2.0909090909090908</v>
      </c>
      <c r="J69">
        <v>-11.11</v>
      </c>
      <c r="K69">
        <v>-6.61</v>
      </c>
      <c r="L69">
        <v>1.82</v>
      </c>
      <c r="M69" s="1">
        <f>IF(ISNUMBER(Main_S[[#This Row],[EPS]]),IF(Main_S[[#This Row],[EPS]]&lt;&gt;0,Main_S[[#This Row],[Current Price]]/Main_S[[#This Row],[EPS]],""),"")</f>
        <v>-16.100000000000001</v>
      </c>
      <c r="N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9" s="1">
        <f>(Main_S[[#This Row],[P/FCF]]-VLOOKUP(Main_S[[#This Row],[Industry]], Mean_PFCF_S, 2, FALSE))/(VLOOKUP(Main_S[[#This Row],[Industry]], Mean_PFCF_S, 3, FALSE))</f>
        <v>-0.18457279618660949</v>
      </c>
      <c r="P69" s="1">
        <f>(Main_S[[#This Row],[P/B]]-VLOOKUP(Main_S[[#This Row],[Industry]], Mean_PB_S, 2, FALSE))/(VLOOKUP(Main_S[[#This Row],[Industry]], Mean_PB_S, 3, FALSE))</f>
        <v>0.55282530022929088</v>
      </c>
      <c r="Q69" s="1">
        <f>(Main_S[[#This Row],[ROE]]-VLOOKUP(Main_S[[#This Row],[Industry]], Mean_ROE_S, 2, FALSE))/(VLOOKUP(Main_S[[#This Row],[Industry]], Mean_ROE_S, 3, FALSE))</f>
        <v>-0.20969688218647589</v>
      </c>
      <c r="R69" s="1">
        <f>(Main_S[[#This Row],[ROA]]-VLOOKUP(Main_S[[#This Row],[Industry]], Mean_ROA_S, 2, FALSE))/(VLOOKUP(Main_S[[#This Row],[Industry]], Mean_ROA_S, 3, FALSE))</f>
        <v>-0.75623264877390073</v>
      </c>
      <c r="S69" s="1">
        <f>(Main_S[[#This Row],[A/E]]-VLOOKUP(Main_S[[#This Row],[Industry]], Mean_AE_S, 2, FALSE))/(VLOOKUP(Main_S[[#This Row],[Industry]], Mean_AE_S, 3, FALSE))</f>
        <v>2.1497859690298302E-2</v>
      </c>
      <c r="T69" s="1">
        <f>(Main_S[[#This Row],[P/E]]-VLOOKUP(Main_S[[#This Row],[Industry]], Mean_PE_S, 2, FALSE))/(VLOOKUP(Main_S[[#This Row],[Industry]], Mean_PE_S, 3, FALSE))</f>
        <v>-0.64257159301716338</v>
      </c>
      <c r="U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0" spans="1:26" x14ac:dyDescent="0.25">
      <c r="A70" t="s">
        <v>133</v>
      </c>
      <c r="B70" t="s">
        <v>290</v>
      </c>
      <c r="C70" s="2">
        <v>422</v>
      </c>
      <c r="D70">
        <f>RTD("tos.rtd", , "LAST", Main_S[[#This Row],[Symbol]])</f>
        <v>7.21</v>
      </c>
      <c r="E70">
        <v>-0.27</v>
      </c>
      <c r="F70">
        <v>9.33</v>
      </c>
      <c r="G70">
        <v>-0.86</v>
      </c>
      <c r="H70" s="1">
        <f>IF(ISNUMBER(Main_S[[#This Row],[Free CF]]),IF(Main_S[[#This Row],[Free CF]]&lt;&gt;0,Main_S[[#This Row],[Current Price]]/Main_S[[#This Row],[Free CF]],""),"")</f>
        <v>-26.703703703703702</v>
      </c>
      <c r="I70" s="1">
        <f>IF(ISNUMBER(Main_S[[#This Row],[BVPS]]),IF(Main_S[[#This Row],[BVPS]]&lt;&gt;0,Main_S[[#This Row],[Current Price]]/Main_S[[#This Row],[BVPS]],""),"")</f>
        <v>0.77277599142550912</v>
      </c>
      <c r="J70">
        <v>-8.76</v>
      </c>
      <c r="K70">
        <v>-1.19</v>
      </c>
      <c r="L70">
        <v>1.34</v>
      </c>
      <c r="M70" s="1">
        <f>IF(ISNUMBER(Main_S[[#This Row],[EPS]]),IF(Main_S[[#This Row],[EPS]]&lt;&gt;0,Main_S[[#This Row],[Current Price]]/Main_S[[#This Row],[EPS]],""),"")</f>
        <v>-8.3837209302325579</v>
      </c>
      <c r="N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0" s="1">
        <f>(Main_S[[#This Row],[P/FCF]]-VLOOKUP(Main_S[[#This Row],[Industry]], Mean_PFCF_S, 2, FALSE))/(VLOOKUP(Main_S[[#This Row],[Industry]], Mean_PFCF_S, 3, FALSE))</f>
        <v>-0.83848955311412798</v>
      </c>
      <c r="P70" s="1">
        <f>(Main_S[[#This Row],[P/B]]-VLOOKUP(Main_S[[#This Row],[Industry]], Mean_PB_S, 2, FALSE))/(VLOOKUP(Main_S[[#This Row],[Industry]], Mean_PB_S, 3, FALSE))</f>
        <v>-1.1008542321533796</v>
      </c>
      <c r="Q70" s="1">
        <f>(Main_S[[#This Row],[ROE]]-VLOOKUP(Main_S[[#This Row],[Industry]], Mean_ROE_S, 2, FALSE))/(VLOOKUP(Main_S[[#This Row],[Industry]], Mean_ROE_S, 3, FALSE))</f>
        <v>-8.2728248610396571E-2</v>
      </c>
      <c r="R70" s="1">
        <f>(Main_S[[#This Row],[ROA]]-VLOOKUP(Main_S[[#This Row],[Industry]], Mean_ROA_S, 2, FALSE))/(VLOOKUP(Main_S[[#This Row],[Industry]], Mean_ROA_S, 3, FALSE))</f>
        <v>-0.10733009624188487</v>
      </c>
      <c r="S70" s="1">
        <f>(Main_S[[#This Row],[A/E]]-VLOOKUP(Main_S[[#This Row],[Industry]], Mean_AE_S, 2, FALSE))/(VLOOKUP(Main_S[[#This Row],[Industry]], Mean_AE_S, 3, FALSE))</f>
        <v>-0.69395091080279858</v>
      </c>
      <c r="T70" s="1">
        <f>(Main_S[[#This Row],[P/E]]-VLOOKUP(Main_S[[#This Row],[Industry]], Mean_PE_S, 2, FALSE))/(VLOOKUP(Main_S[[#This Row],[Industry]], Mean_PE_S, 3, FALSE))</f>
        <v>-0.3029135131355446</v>
      </c>
      <c r="U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1" spans="1:26" x14ac:dyDescent="0.25">
      <c r="A71" t="s">
        <v>133</v>
      </c>
      <c r="B71" t="s">
        <v>291</v>
      </c>
      <c r="C71" s="2">
        <v>1308</v>
      </c>
      <c r="D71">
        <f>RTD("tos.rtd", , "LAST", Main_S[[#This Row],[Symbol]])</f>
        <v>3.5</v>
      </c>
      <c r="E71">
        <v>-0.04</v>
      </c>
      <c r="F71">
        <v>-0.17</v>
      </c>
      <c r="G71">
        <v>-0.13</v>
      </c>
      <c r="H71" s="1">
        <f>IF(ISNUMBER(Main_S[[#This Row],[Free CF]]),IF(Main_S[[#This Row],[Free CF]]&lt;&gt;0,Main_S[[#This Row],[Current Price]]/Main_S[[#This Row],[Free CF]],""),"")</f>
        <v>-87.5</v>
      </c>
      <c r="I71" s="1">
        <f>IF(ISNUMBER(Main_S[[#This Row],[BVPS]]),IF(Main_S[[#This Row],[BVPS]]&lt;&gt;0,Main_S[[#This Row],[Current Price]]/Main_S[[#This Row],[BVPS]],""),"")</f>
        <v>-20.588235294117645</v>
      </c>
      <c r="J71">
        <v>122.97</v>
      </c>
      <c r="K71">
        <v>-12.82</v>
      </c>
      <c r="L71">
        <v>-1.82</v>
      </c>
      <c r="M71" s="1">
        <f>IF(ISNUMBER(Main_S[[#This Row],[EPS]]),IF(Main_S[[#This Row],[EPS]]&lt;&gt;0,Main_S[[#This Row],[Current Price]]/Main_S[[#This Row],[EPS]],""),"")</f>
        <v>-26.923076923076923</v>
      </c>
      <c r="N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1" s="1">
        <f>(Main_S[[#This Row],[P/FCF]]-VLOOKUP(Main_S[[#This Row],[Industry]], Mean_PFCF_S, 2, FALSE))/(VLOOKUP(Main_S[[#This Row],[Industry]], Mean_PFCF_S, 3, FALSE))</f>
        <v>-3.6149035273391155</v>
      </c>
      <c r="P71" s="1">
        <f>(Main_S[[#This Row],[P/B]]-VLOOKUP(Main_S[[#This Row],[Industry]], Mean_PB_S, 2, FALSE))/(VLOOKUP(Main_S[[#This Row],[Industry]], Mean_PB_S, 3, FALSE))</f>
        <v>-27.899564595877116</v>
      </c>
      <c r="Q71" s="1">
        <f>(Main_S[[#This Row],[ROE]]-VLOOKUP(Main_S[[#This Row],[Industry]], Mean_ROE_S, 2, FALSE))/(VLOOKUP(Main_S[[#This Row],[Industry]], Mean_ROE_S, 3, FALSE))</f>
        <v>7.0345390284010625</v>
      </c>
      <c r="R71" s="1">
        <f>(Main_S[[#This Row],[ROA]]-VLOOKUP(Main_S[[#This Row],[Industry]], Mean_ROA_S, 2, FALSE))/(VLOOKUP(Main_S[[#This Row],[Industry]], Mean_ROA_S, 3, FALSE))</f>
        <v>-1.4997169386675939</v>
      </c>
      <c r="S71" s="1">
        <f>(Main_S[[#This Row],[A/E]]-VLOOKUP(Main_S[[#This Row],[Industry]], Mean_AE_S, 2, FALSE))/(VLOOKUP(Main_S[[#This Row],[Industry]], Mean_AE_S, 3, FALSE))</f>
        <v>-5.4039886498823542</v>
      </c>
      <c r="T71" s="1">
        <f>(Main_S[[#This Row],[P/E]]-VLOOKUP(Main_S[[#This Row],[Industry]], Mean_PE_S, 2, FALSE))/(VLOOKUP(Main_S[[#This Row],[Industry]], Mean_PE_S, 3, FALSE))</f>
        <v>-1.1189858715658212</v>
      </c>
      <c r="U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2" spans="1:26" x14ac:dyDescent="0.25">
      <c r="A72" t="s">
        <v>133</v>
      </c>
      <c r="B72" t="s">
        <v>292</v>
      </c>
      <c r="C72" s="2">
        <v>268</v>
      </c>
      <c r="D72">
        <f>RTD("tos.rtd", , "LAST", Main_S[[#This Row],[Symbol]])</f>
        <v>1.88</v>
      </c>
      <c r="E72">
        <v>-0.73</v>
      </c>
      <c r="F72">
        <v>2.91</v>
      </c>
      <c r="G72">
        <v>-0.64</v>
      </c>
      <c r="H72" s="1">
        <f>IF(ISNUMBER(Main_S[[#This Row],[Free CF]]),IF(Main_S[[#This Row],[Free CF]]&lt;&gt;0,Main_S[[#This Row],[Current Price]]/Main_S[[#This Row],[Free CF]],""),"")</f>
        <v>-2.5753424657534247</v>
      </c>
      <c r="I72" s="1">
        <f>IF(ISNUMBER(Main_S[[#This Row],[BVPS]]),IF(Main_S[[#This Row],[BVPS]]&lt;&gt;0,Main_S[[#This Row],[Current Price]]/Main_S[[#This Row],[BVPS]],""),"")</f>
        <v>0.64604810996563566</v>
      </c>
      <c r="J72">
        <v>-14.94</v>
      </c>
      <c r="K72">
        <v>-5.21</v>
      </c>
      <c r="L72">
        <v>1.5</v>
      </c>
      <c r="M72" s="1">
        <f>IF(ISNUMBER(Main_S[[#This Row],[EPS]]),IF(Main_S[[#This Row],[EPS]]&lt;&gt;0,Main_S[[#This Row],[Current Price]]/Main_S[[#This Row],[EPS]],""),"")</f>
        <v>-2.9374999999999996</v>
      </c>
      <c r="N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2" s="1">
        <f>(Main_S[[#This Row],[P/FCF]]-VLOOKUP(Main_S[[#This Row],[Industry]], Mean_PFCF_S, 2, FALSE))/(VLOOKUP(Main_S[[#This Row],[Industry]], Mean_PFCF_S, 3, FALSE))</f>
        <v>0.26339203173949899</v>
      </c>
      <c r="P72" s="1">
        <f>(Main_S[[#This Row],[P/B]]-VLOOKUP(Main_S[[#This Row],[Industry]], Mean_PB_S, 2, FALSE))/(VLOOKUP(Main_S[[#This Row],[Industry]], Mean_PB_S, 3, FALSE))</f>
        <v>-1.2598422006935175</v>
      </c>
      <c r="Q72" s="1">
        <f>(Main_S[[#This Row],[ROE]]-VLOOKUP(Main_S[[#This Row],[Industry]], Mean_ROE_S, 2, FALSE))/(VLOOKUP(Main_S[[#This Row],[Industry]], Mean_ROE_S, 3, FALSE))</f>
        <v>-0.41662874031259667</v>
      </c>
      <c r="R72" s="1">
        <f>(Main_S[[#This Row],[ROA]]-VLOOKUP(Main_S[[#This Row],[Industry]], Mean_ROA_S, 2, FALSE))/(VLOOKUP(Main_S[[#This Row],[Industry]], Mean_ROA_S, 3, FALSE))</f>
        <v>-0.58861944332282656</v>
      </c>
      <c r="S72" s="1">
        <f>(Main_S[[#This Row],[A/E]]-VLOOKUP(Main_S[[#This Row],[Industry]], Mean_AE_S, 2, FALSE))/(VLOOKUP(Main_S[[#This Row],[Industry]], Mean_AE_S, 3, FALSE))</f>
        <v>-0.45546798730509974</v>
      </c>
      <c r="T72" s="1">
        <f>(Main_S[[#This Row],[P/E]]-VLOOKUP(Main_S[[#This Row],[Industry]], Mean_PE_S, 2, FALSE))/(VLOOKUP(Main_S[[#This Row],[Industry]], Mean_PE_S, 3, FALSE))</f>
        <v>-6.3179707884560316E-2</v>
      </c>
      <c r="U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3" spans="1:26" x14ac:dyDescent="0.25">
      <c r="A73" t="s">
        <v>133</v>
      </c>
      <c r="B73" t="s">
        <v>293</v>
      </c>
      <c r="C73" s="2">
        <v>435</v>
      </c>
      <c r="D73">
        <f>RTD("tos.rtd", , "LAST", Main_S[[#This Row],[Symbol]])</f>
        <v>0.76</v>
      </c>
      <c r="E73">
        <v>0.03</v>
      </c>
      <c r="F73">
        <v>0.55000000000000004</v>
      </c>
      <c r="G73">
        <v>0.13</v>
      </c>
      <c r="H73" s="1">
        <f>IF(ISNUMBER(Main_S[[#This Row],[Free CF]]),IF(Main_S[[#This Row],[Free CF]]&lt;&gt;0,Main_S[[#This Row],[Current Price]]/Main_S[[#This Row],[Free CF]],""),"")</f>
        <v>25.333333333333336</v>
      </c>
      <c r="I73" s="1">
        <f>IF(ISNUMBER(Main_S[[#This Row],[BVPS]]),IF(Main_S[[#This Row],[BVPS]]&lt;&gt;0,Main_S[[#This Row],[Current Price]]/Main_S[[#This Row],[BVPS]],""),"")</f>
        <v>1.3818181818181816</v>
      </c>
      <c r="J73">
        <v>31.23</v>
      </c>
      <c r="K73">
        <v>15.4</v>
      </c>
      <c r="L73">
        <v>1.74</v>
      </c>
      <c r="M73" s="1">
        <f>IF(ISNUMBER(Main_S[[#This Row],[EPS]]),IF(Main_S[[#This Row],[EPS]]&lt;&gt;0,Main_S[[#This Row],[Current Price]]/Main_S[[#This Row],[EPS]],""),"")</f>
        <v>5.8461538461538458</v>
      </c>
      <c r="N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3" s="1">
        <f>(Main_S[[#This Row],[P/FCF]]-VLOOKUP(Main_S[[#This Row],[Industry]], Mean_PFCF_S, 2, FALSE))/(VLOOKUP(Main_S[[#This Row],[Industry]], Mean_PFCF_S, 3, FALSE))</f>
        <v>1.5379110766672348</v>
      </c>
      <c r="P73" s="1">
        <f>(Main_S[[#This Row],[P/B]]-VLOOKUP(Main_S[[#This Row],[Industry]], Mean_PB_S, 2, FALSE))/(VLOOKUP(Main_S[[#This Row],[Industry]], Mean_PB_S, 3, FALSE))</f>
        <v>-0.33677312000737747</v>
      </c>
      <c r="Q73" s="1">
        <f>(Main_S[[#This Row],[ROE]]-VLOOKUP(Main_S[[#This Row],[Industry]], Mean_ROE_S, 2, FALSE))/(VLOOKUP(Main_S[[#This Row],[Industry]], Mean_ROE_S, 3, FALSE))</f>
        <v>2.0778996904140343</v>
      </c>
      <c r="R73" s="1">
        <f>(Main_S[[#This Row],[ROA]]-VLOOKUP(Main_S[[#This Row],[Industry]], Mean_ROA_S, 2, FALSE))/(VLOOKUP(Main_S[[#This Row],[Industry]], Mean_ROA_S, 3, FALSE))</f>
        <v>1.8788863883533442</v>
      </c>
      <c r="S73" s="1">
        <f>(Main_S[[#This Row],[A/E]]-VLOOKUP(Main_S[[#This Row],[Industry]], Mean_AE_S, 2, FALSE))/(VLOOKUP(Main_S[[#This Row],[Industry]], Mean_AE_S, 3, FALSE))</f>
        <v>-9.7743602058551302E-2</v>
      </c>
      <c r="T73" s="1">
        <f>(Main_S[[#This Row],[P/E]]-VLOOKUP(Main_S[[#This Row],[Industry]], Mean_PE_S, 2, FALSE))/(VLOOKUP(Main_S[[#This Row],[Industry]], Mean_PE_S, 3, FALSE))</f>
        <v>0.32346247713160797</v>
      </c>
      <c r="U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4" spans="1:26" x14ac:dyDescent="0.25">
      <c r="A74" t="s">
        <v>133</v>
      </c>
      <c r="B74" t="s">
        <v>294</v>
      </c>
      <c r="C74" s="2">
        <v>1050</v>
      </c>
      <c r="D74">
        <f>RTD("tos.rtd", , "LAST", Main_S[[#This Row],[Symbol]])</f>
        <v>12.275</v>
      </c>
      <c r="E74">
        <v>-0.22</v>
      </c>
      <c r="F74">
        <v>1.55</v>
      </c>
      <c r="G74">
        <v>-0.22</v>
      </c>
      <c r="H74" s="1">
        <f>IF(ISNUMBER(Main_S[[#This Row],[Free CF]]),IF(Main_S[[#This Row],[Free CF]]&lt;&gt;0,Main_S[[#This Row],[Current Price]]/Main_S[[#This Row],[Free CF]],""),"")</f>
        <v>-55.795454545454547</v>
      </c>
      <c r="I74" s="1">
        <f>IF(ISNUMBER(Main_S[[#This Row],[BVPS]]),IF(Main_S[[#This Row],[BVPS]]&lt;&gt;0,Main_S[[#This Row],[Current Price]]/Main_S[[#This Row],[BVPS]],""),"")</f>
        <v>7.919354838709677</v>
      </c>
      <c r="J74">
        <v>-15.99</v>
      </c>
      <c r="K74">
        <v>-32.15</v>
      </c>
      <c r="L74">
        <v>1.08</v>
      </c>
      <c r="M74" s="1">
        <f>IF(ISNUMBER(Main_S[[#This Row],[EPS]]),IF(Main_S[[#This Row],[EPS]]&lt;&gt;0,Main_S[[#This Row],[Current Price]]/Main_S[[#This Row],[EPS]],""),"")</f>
        <v>-55.795454545454547</v>
      </c>
      <c r="N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4" s="1">
        <f>(Main_S[[#This Row],[P/FCF]]-VLOOKUP(Main_S[[#This Row],[Industry]], Mean_PFCF_S, 2, FALSE))/(VLOOKUP(Main_S[[#This Row],[Industry]], Mean_PFCF_S, 3, FALSE))</f>
        <v>-2.1670366602942264</v>
      </c>
      <c r="P74" s="1">
        <f>(Main_S[[#This Row],[P/B]]-VLOOKUP(Main_S[[#This Row],[Industry]], Mean_PB_S, 2, FALSE))/(VLOOKUP(Main_S[[#This Row],[Industry]], Mean_PB_S, 3, FALSE))</f>
        <v>7.8649711241349065</v>
      </c>
      <c r="Q74" s="1">
        <f>(Main_S[[#This Row],[ROE]]-VLOOKUP(Main_S[[#This Row],[Industry]], Mean_ROE_S, 2, FALSE))/(VLOOKUP(Main_S[[#This Row],[Industry]], Mean_ROE_S, 3, FALSE))</f>
        <v>-0.47335940637850454</v>
      </c>
      <c r="R74" s="1">
        <f>(Main_S[[#This Row],[ROA]]-VLOOKUP(Main_S[[#This Row],[Industry]], Mean_ROA_S, 2, FALSE))/(VLOOKUP(Main_S[[#This Row],[Industry]], Mean_ROA_S, 3, FALSE))</f>
        <v>-3.8139764110742109</v>
      </c>
      <c r="S74" s="1">
        <f>(Main_S[[#This Row],[A/E]]-VLOOKUP(Main_S[[#This Row],[Industry]], Mean_AE_S, 2, FALSE))/(VLOOKUP(Main_S[[#This Row],[Industry]], Mean_AE_S, 3, FALSE))</f>
        <v>-1.0814856614865596</v>
      </c>
      <c r="T74" s="1">
        <f>(Main_S[[#This Row],[P/E]]-VLOOKUP(Main_S[[#This Row],[Industry]], Mean_PE_S, 2, FALSE))/(VLOOKUP(Main_S[[#This Row],[Industry]], Mean_PE_S, 3, FALSE))</f>
        <v>-2.3899010699620034</v>
      </c>
      <c r="U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5" spans="1:26" x14ac:dyDescent="0.25">
      <c r="A75" t="s">
        <v>133</v>
      </c>
      <c r="B75" t="s">
        <v>295</v>
      </c>
      <c r="C75" s="2">
        <v>1251</v>
      </c>
      <c r="D75">
        <f>RTD("tos.rtd", , "LAST", Main_S[[#This Row],[Symbol]])</f>
        <v>11.75</v>
      </c>
      <c r="E75">
        <v>-0.94</v>
      </c>
      <c r="F75">
        <v>6.38</v>
      </c>
      <c r="G75">
        <v>-0.24</v>
      </c>
      <c r="H75" s="1">
        <f>IF(ISNUMBER(Main_S[[#This Row],[Free CF]]),IF(Main_S[[#This Row],[Free CF]]&lt;&gt;0,Main_S[[#This Row],[Current Price]]/Main_S[[#This Row],[Free CF]],""),"")</f>
        <v>-12.5</v>
      </c>
      <c r="I75" s="1">
        <f>IF(ISNUMBER(Main_S[[#This Row],[BVPS]]),IF(Main_S[[#This Row],[BVPS]]&lt;&gt;0,Main_S[[#This Row],[Current Price]]/Main_S[[#This Row],[BVPS]],""),"")</f>
        <v>1.8416927899686522</v>
      </c>
      <c r="J75">
        <v>-3.97</v>
      </c>
      <c r="K75">
        <v>-0.96</v>
      </c>
      <c r="L75">
        <v>1.72</v>
      </c>
      <c r="M75" s="1">
        <f>IF(ISNUMBER(Main_S[[#This Row],[EPS]]),IF(Main_S[[#This Row],[EPS]]&lt;&gt;0,Main_S[[#This Row],[Current Price]]/Main_S[[#This Row],[EPS]],""),"")</f>
        <v>-48.958333333333336</v>
      </c>
      <c r="N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5" s="1">
        <f>(Main_S[[#This Row],[P/FCF]]-VLOOKUP(Main_S[[#This Row],[Industry]], Mean_PFCF_S, 2, FALSE))/(VLOOKUP(Main_S[[#This Row],[Industry]], Mean_PFCF_S, 3, FALSE))</f>
        <v>-0.18984212142647508</v>
      </c>
      <c r="P75" s="1">
        <f>(Main_S[[#This Row],[P/B]]-VLOOKUP(Main_S[[#This Row],[Industry]], Mean_PB_S, 2, FALSE))/(VLOOKUP(Main_S[[#This Row],[Industry]], Mean_PB_S, 3, FALSE))</f>
        <v>0.24016803051746477</v>
      </c>
      <c r="Q75" s="1">
        <f>(Main_S[[#This Row],[ROE]]-VLOOKUP(Main_S[[#This Row],[Industry]], Mean_ROE_S, 2, FALSE))/(VLOOKUP(Main_S[[#This Row],[Industry]], Mean_ROE_S, 3, FALSE))</f>
        <v>0.17607164706169701</v>
      </c>
      <c r="R75" s="1">
        <f>(Main_S[[#This Row],[ROA]]-VLOOKUP(Main_S[[#This Row],[Industry]], Mean_ROA_S, 2, FALSE))/(VLOOKUP(Main_S[[#This Row],[Industry]], Mean_ROA_S, 3, FALSE))</f>
        <v>-7.979364106063698E-2</v>
      </c>
      <c r="S75" s="1">
        <f>(Main_S[[#This Row],[A/E]]-VLOOKUP(Main_S[[#This Row],[Industry]], Mean_AE_S, 2, FALSE))/(VLOOKUP(Main_S[[#This Row],[Industry]], Mean_AE_S, 3, FALSE))</f>
        <v>-0.1275539674957637</v>
      </c>
      <c r="T75" s="1">
        <f>(Main_S[[#This Row],[P/E]]-VLOOKUP(Main_S[[#This Row],[Industry]], Mean_PE_S, 2, FALSE))/(VLOOKUP(Main_S[[#This Row],[Industry]], Mean_PE_S, 3, FALSE))</f>
        <v>-2.0889420919585073</v>
      </c>
      <c r="U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6" spans="1:26" x14ac:dyDescent="0.25">
      <c r="A76" t="s">
        <v>133</v>
      </c>
      <c r="B76" t="s">
        <v>296</v>
      </c>
      <c r="C76" s="2">
        <v>1458</v>
      </c>
      <c r="D76">
        <f>RTD("tos.rtd", , "LAST", Main_S[[#This Row],[Symbol]])</f>
        <v>11.42</v>
      </c>
      <c r="E76">
        <v>-0.97</v>
      </c>
      <c r="F76">
        <v>0.59</v>
      </c>
      <c r="G76">
        <v>-1.07</v>
      </c>
      <c r="H76" s="1">
        <f>IF(ISNUMBER(Main_S[[#This Row],[Free CF]]),IF(Main_S[[#This Row],[Free CF]]&lt;&gt;0,Main_S[[#This Row],[Current Price]]/Main_S[[#This Row],[Free CF]],""),"")</f>
        <v>-11.773195876288661</v>
      </c>
      <c r="I76" s="1">
        <f>IF(ISNUMBER(Main_S[[#This Row],[BVPS]]),IF(Main_S[[#This Row],[BVPS]]&lt;&gt;0,Main_S[[#This Row],[Current Price]]/Main_S[[#This Row],[BVPS]],""),"")</f>
        <v>19.35593220338983</v>
      </c>
      <c r="J76">
        <v>-141.24</v>
      </c>
      <c r="K76">
        <v>-46.66</v>
      </c>
      <c r="L76">
        <v>3.03</v>
      </c>
      <c r="M76" s="1">
        <f>IF(ISNUMBER(Main_S[[#This Row],[EPS]]),IF(Main_S[[#This Row],[EPS]]&lt;&gt;0,Main_S[[#This Row],[Current Price]]/Main_S[[#This Row],[EPS]],""),"")</f>
        <v>-10.672897196261681</v>
      </c>
      <c r="N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6" s="1">
        <f>(Main_S[[#This Row],[P/FCF]]-VLOOKUP(Main_S[[#This Row],[Industry]], Mean_PFCF_S, 2, FALSE))/(VLOOKUP(Main_S[[#This Row],[Industry]], Mean_PFCF_S, 3, FALSE))</f>
        <v>-0.15665080470938353</v>
      </c>
      <c r="P76" s="1">
        <f>(Main_S[[#This Row],[P/B]]-VLOOKUP(Main_S[[#This Row],[Industry]], Mean_PB_S, 2, FALSE))/(VLOOKUP(Main_S[[#This Row],[Industry]], Mean_PB_S, 3, FALSE))</f>
        <v>22.21286506283656</v>
      </c>
      <c r="Q76" s="1">
        <f>(Main_S[[#This Row],[ROE]]-VLOOKUP(Main_S[[#This Row],[Industry]], Mean_ROE_S, 2, FALSE))/(VLOOKUP(Main_S[[#This Row],[Industry]], Mean_ROE_S, 3, FALSE))</f>
        <v>-7.2405174299546484</v>
      </c>
      <c r="R76" s="1">
        <f>(Main_S[[#This Row],[ROA]]-VLOOKUP(Main_S[[#This Row],[Industry]], Mean_ROA_S, 2, FALSE))/(VLOOKUP(Main_S[[#This Row],[Industry]], Mean_ROA_S, 3, FALSE))</f>
        <v>-5.5511675618564151</v>
      </c>
      <c r="S76" s="1">
        <f>(Main_S[[#This Row],[A/E]]-VLOOKUP(Main_S[[#This Row],[Industry]], Mean_AE_S, 2, FALSE))/(VLOOKUP(Main_S[[#This Row],[Industry]], Mean_AE_S, 3, FALSE))</f>
        <v>1.8250249686416464</v>
      </c>
      <c r="T76" s="1">
        <f>(Main_S[[#This Row],[P/E]]-VLOOKUP(Main_S[[#This Row],[Industry]], Mean_PE_S, 2, FALSE))/(VLOOKUP(Main_S[[#This Row],[Industry]], Mean_PE_S, 3, FALSE))</f>
        <v>-0.40367933666264255</v>
      </c>
      <c r="U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7" spans="1:26" x14ac:dyDescent="0.25">
      <c r="A77" t="s">
        <v>133</v>
      </c>
      <c r="B77" t="s">
        <v>297</v>
      </c>
      <c r="C77" s="2">
        <v>347</v>
      </c>
      <c r="D77">
        <f>RTD("tos.rtd", , "LAST", Main_S[[#This Row],[Symbol]])</f>
        <v>2.4300000000000002</v>
      </c>
      <c r="E77">
        <v>0.12</v>
      </c>
      <c r="F77">
        <v>0.89</v>
      </c>
      <c r="G77">
        <v>0.06</v>
      </c>
      <c r="H77" s="1">
        <f>IF(ISNUMBER(Main_S[[#This Row],[Free CF]]),IF(Main_S[[#This Row],[Free CF]]&lt;&gt;0,Main_S[[#This Row],[Current Price]]/Main_S[[#This Row],[Free CF]],""),"")</f>
        <v>20.250000000000004</v>
      </c>
      <c r="I77" s="1">
        <f>IF(ISNUMBER(Main_S[[#This Row],[BVPS]]),IF(Main_S[[#This Row],[BVPS]]&lt;&gt;0,Main_S[[#This Row],[Current Price]]/Main_S[[#This Row],[BVPS]],""),"")</f>
        <v>2.7303370786516856</v>
      </c>
      <c r="J77">
        <v>7</v>
      </c>
      <c r="K77">
        <v>6.89</v>
      </c>
      <c r="L77">
        <v>1.19</v>
      </c>
      <c r="M77" s="1">
        <f>IF(ISNUMBER(Main_S[[#This Row],[EPS]]),IF(Main_S[[#This Row],[EPS]]&lt;&gt;0,Main_S[[#This Row],[Current Price]]/Main_S[[#This Row],[EPS]],""),"")</f>
        <v>40.500000000000007</v>
      </c>
      <c r="N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7" s="1">
        <f>(Main_S[[#This Row],[P/FCF]]-VLOOKUP(Main_S[[#This Row],[Industry]], Mean_PFCF_S, 2, FALSE))/(VLOOKUP(Main_S[[#This Row],[Industry]], Mean_PFCF_S, 3, FALSE))</f>
        <v>1.3057680258220445</v>
      </c>
      <c r="P77" s="1">
        <f>(Main_S[[#This Row],[P/B]]-VLOOKUP(Main_S[[#This Row],[Industry]], Mean_PB_S, 2, FALSE))/(VLOOKUP(Main_S[[#This Row],[Industry]], Mean_PB_S, 3, FALSE))</f>
        <v>1.3550272752626451</v>
      </c>
      <c r="Q77" s="1">
        <f>(Main_S[[#This Row],[ROE]]-VLOOKUP(Main_S[[#This Row],[Industry]], Mean_ROE_S, 2, FALSE))/(VLOOKUP(Main_S[[#This Row],[Industry]], Mean_ROE_S, 3, FALSE))</f>
        <v>0.76877203443599085</v>
      </c>
      <c r="R77" s="1">
        <f>(Main_S[[#This Row],[ROA]]-VLOOKUP(Main_S[[#This Row],[Industry]], Mean_ROA_S, 2, FALSE))/(VLOOKUP(Main_S[[#This Row],[Industry]], Mean_ROA_S, 3, FALSE))</f>
        <v>0.86003754664717169</v>
      </c>
      <c r="S77" s="1">
        <f>(Main_S[[#This Row],[A/E]]-VLOOKUP(Main_S[[#This Row],[Industry]], Mean_AE_S, 2, FALSE))/(VLOOKUP(Main_S[[#This Row],[Industry]], Mean_AE_S, 3, FALSE))</f>
        <v>-0.91752865158189156</v>
      </c>
      <c r="T77" s="1">
        <f>(Main_S[[#This Row],[P/E]]-VLOOKUP(Main_S[[#This Row],[Industry]], Mean_PE_S, 2, FALSE))/(VLOOKUP(Main_S[[#This Row],[Industry]], Mean_PE_S, 3, FALSE))</f>
        <v>1.8488685360240775</v>
      </c>
      <c r="U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8" spans="1:26" x14ac:dyDescent="0.25">
      <c r="A78" t="s">
        <v>133</v>
      </c>
      <c r="B78" t="s">
        <v>298</v>
      </c>
      <c r="C78" s="2">
        <v>703</v>
      </c>
      <c r="D78">
        <f>RTD("tos.rtd", , "LAST", Main_S[[#This Row],[Symbol]])</f>
        <v>20.86</v>
      </c>
      <c r="E78">
        <v>-0.15</v>
      </c>
      <c r="F78">
        <v>0.33</v>
      </c>
      <c r="G78">
        <v>-0.11</v>
      </c>
      <c r="H78" s="1">
        <f>IF(ISNUMBER(Main_S[[#This Row],[Free CF]]),IF(Main_S[[#This Row],[Free CF]]&lt;&gt;0,Main_S[[#This Row],[Current Price]]/Main_S[[#This Row],[Free CF]],""),"")</f>
        <v>-139.06666666666666</v>
      </c>
      <c r="I78" s="1">
        <f>IF(ISNUMBER(Main_S[[#This Row],[BVPS]]),IF(Main_S[[#This Row],[BVPS]]&lt;&gt;0,Main_S[[#This Row],[Current Price]]/Main_S[[#This Row],[BVPS]],""),"")</f>
        <v>63.212121212121204</v>
      </c>
      <c r="J78">
        <v>-40.65</v>
      </c>
      <c r="K78">
        <v>-27.56</v>
      </c>
      <c r="L78">
        <v>1.1000000000000001</v>
      </c>
      <c r="M78" s="1">
        <f>IF(ISNUMBER(Main_S[[#This Row],[EPS]]),IF(Main_S[[#This Row],[EPS]]&lt;&gt;0,Main_S[[#This Row],[Current Price]]/Main_S[[#This Row],[EPS]],""),"")</f>
        <v>-189.63636363636363</v>
      </c>
      <c r="N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8" s="1">
        <f>(Main_S[[#This Row],[P/FCF]]-VLOOKUP(Main_S[[#This Row],[Industry]], Mean_PFCF_S, 2, FALSE))/(VLOOKUP(Main_S[[#This Row],[Industry]], Mean_PFCF_S, 3, FALSE))</f>
        <v>-5.9698235250932727</v>
      </c>
      <c r="P78" s="1">
        <f>(Main_S[[#This Row],[P/B]]-VLOOKUP(Main_S[[#This Row],[Industry]], Mean_PB_S, 2, FALSE))/(VLOOKUP(Main_S[[#This Row],[Industry]], Mean_PB_S, 3, FALSE))</f>
        <v>77.233167762509609</v>
      </c>
      <c r="Q78" s="1">
        <f>(Main_S[[#This Row],[ROE]]-VLOOKUP(Main_S[[#This Row],[Industry]], Mean_ROE_S, 2, FALSE))/(VLOOKUP(Main_S[[#This Row],[Industry]], Mean_ROE_S, 3, FALSE))</f>
        <v>-1.8057196208406818</v>
      </c>
      <c r="R78" s="1">
        <f>(Main_S[[#This Row],[ROA]]-VLOOKUP(Main_S[[#This Row],[Industry]], Mean_ROA_S, 2, FALSE))/(VLOOKUP(Main_S[[#This Row],[Industry]], Mean_ROA_S, 3, FALSE))</f>
        <v>-3.2644445446310466</v>
      </c>
      <c r="S78" s="1">
        <f>(Main_S[[#This Row],[A/E]]-VLOOKUP(Main_S[[#This Row],[Industry]], Mean_AE_S, 2, FALSE))/(VLOOKUP(Main_S[[#This Row],[Industry]], Mean_AE_S, 3, FALSE))</f>
        <v>-1.0516752960493472</v>
      </c>
      <c r="T78" s="1">
        <f>(Main_S[[#This Row],[P/E]]-VLOOKUP(Main_S[[#This Row],[Industry]], Mean_PE_S, 2, FALSE))/(VLOOKUP(Main_S[[#This Row],[Industry]], Mean_PE_S, 3, FALSE))</f>
        <v>-8.2813606426908262</v>
      </c>
      <c r="U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9" spans="1:26" x14ac:dyDescent="0.25">
      <c r="A79" t="s">
        <v>133</v>
      </c>
      <c r="B79" t="s">
        <v>299</v>
      </c>
      <c r="C79" s="2">
        <v>284</v>
      </c>
      <c r="D79">
        <f>RTD("tos.rtd", , "LAST", Main_S[[#This Row],[Symbol]])</f>
        <v>2.9</v>
      </c>
      <c r="E79">
        <v>-0.05</v>
      </c>
      <c r="F79">
        <v>2.74</v>
      </c>
      <c r="G79">
        <v>-0.06</v>
      </c>
      <c r="H79" s="1">
        <f>IF(ISNUMBER(Main_S[[#This Row],[Free CF]]),IF(Main_S[[#This Row],[Free CF]]&lt;&gt;0,Main_S[[#This Row],[Current Price]]/Main_S[[#This Row],[Free CF]],""),"")</f>
        <v>-57.999999999999993</v>
      </c>
      <c r="I79" s="1">
        <f>IF(ISNUMBER(Main_S[[#This Row],[BVPS]]),IF(Main_S[[#This Row],[BVPS]]&lt;&gt;0,Main_S[[#This Row],[Current Price]]/Main_S[[#This Row],[BVPS]],""),"")</f>
        <v>1.0583941605839415</v>
      </c>
      <c r="J79">
        <v>-2.17</v>
      </c>
      <c r="K79">
        <v>-1.03</v>
      </c>
      <c r="L79">
        <v>1.07</v>
      </c>
      <c r="M79" s="1">
        <f>IF(ISNUMBER(Main_S[[#This Row],[EPS]]),IF(Main_S[[#This Row],[EPS]]&lt;&gt;0,Main_S[[#This Row],[Current Price]]/Main_S[[#This Row],[EPS]],""),"")</f>
        <v>-48.333333333333336</v>
      </c>
      <c r="N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9" s="1">
        <f>(Main_S[[#This Row],[P/FCF]]-VLOOKUP(Main_S[[#This Row],[Industry]], Mean_PFCF_S, 2, FALSE))/(VLOOKUP(Main_S[[#This Row],[Industry]], Mean_PFCF_S, 3, FALSE))</f>
        <v>-2.2677127076801429</v>
      </c>
      <c r="P79" s="1">
        <f>(Main_S[[#This Row],[P/B]]-VLOOKUP(Main_S[[#This Row],[Industry]], Mean_PB_S, 2, FALSE))/(VLOOKUP(Main_S[[#This Row],[Industry]], Mean_PB_S, 3, FALSE))</f>
        <v>-0.74252856640766929</v>
      </c>
      <c r="Q79" s="1">
        <f>(Main_S[[#This Row],[ROE]]-VLOOKUP(Main_S[[#This Row],[Industry]], Mean_ROE_S, 2, FALSE))/(VLOOKUP(Main_S[[#This Row],[Industry]], Mean_ROE_S, 3, FALSE))</f>
        <v>0.27332421746039609</v>
      </c>
      <c r="R79" s="1">
        <f>(Main_S[[#This Row],[ROA]]-VLOOKUP(Main_S[[#This Row],[Industry]], Mean_ROA_S, 2, FALSE))/(VLOOKUP(Main_S[[#This Row],[Industry]], Mean_ROA_S, 3, FALSE))</f>
        <v>-8.8174301333190694E-2</v>
      </c>
      <c r="S79" s="1">
        <f>(Main_S[[#This Row],[A/E]]-VLOOKUP(Main_S[[#This Row],[Industry]], Mean_AE_S, 2, FALSE))/(VLOOKUP(Main_S[[#This Row],[Industry]], Mean_AE_S, 3, FALSE))</f>
        <v>-1.0963908442051657</v>
      </c>
      <c r="T79" s="1">
        <f>(Main_S[[#This Row],[P/E]]-VLOOKUP(Main_S[[#This Row],[Industry]], Mean_PE_S, 2, FALSE))/(VLOOKUP(Main_S[[#This Row],[Industry]], Mean_PE_S, 3, FALSE))</f>
        <v>-2.0614306064346422</v>
      </c>
      <c r="U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0" spans="1:26" x14ac:dyDescent="0.25">
      <c r="A80" t="s">
        <v>133</v>
      </c>
      <c r="B80" t="s">
        <v>300</v>
      </c>
      <c r="C80" s="2">
        <v>952</v>
      </c>
      <c r="D80">
        <f>RTD("tos.rtd", , "LAST", Main_S[[#This Row],[Symbol]])</f>
        <v>3.36</v>
      </c>
      <c r="E80">
        <v>-0.73</v>
      </c>
      <c r="F80">
        <v>1.85</v>
      </c>
      <c r="G80">
        <v>-0.13</v>
      </c>
      <c r="H80" s="1">
        <f>IF(ISNUMBER(Main_S[[#This Row],[Free CF]]),IF(Main_S[[#This Row],[Free CF]]&lt;&gt;0,Main_S[[#This Row],[Current Price]]/Main_S[[#This Row],[Free CF]],""),"")</f>
        <v>-4.602739726027397</v>
      </c>
      <c r="I80" s="1">
        <f>IF(ISNUMBER(Main_S[[#This Row],[BVPS]]),IF(Main_S[[#This Row],[BVPS]]&lt;&gt;0,Main_S[[#This Row],[Current Price]]/Main_S[[#This Row],[BVPS]],""),"")</f>
        <v>1.8162162162162161</v>
      </c>
      <c r="J80">
        <v>-7.23</v>
      </c>
      <c r="K80">
        <v>0.8</v>
      </c>
      <c r="L80">
        <v>1.48</v>
      </c>
      <c r="M80" s="1">
        <f>IF(ISNUMBER(Main_S[[#This Row],[EPS]]),IF(Main_S[[#This Row],[EPS]]&lt;&gt;0,Main_S[[#This Row],[Current Price]]/Main_S[[#This Row],[EPS]],""),"")</f>
        <v>-25.846153846153843</v>
      </c>
      <c r="N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0" s="1">
        <f>(Main_S[[#This Row],[P/FCF]]-VLOOKUP(Main_S[[#This Row],[Industry]], Mean_PFCF_S, 2, FALSE))/(VLOOKUP(Main_S[[#This Row],[Industry]], Mean_PFCF_S, 3, FALSE))</f>
        <v>0.17080589693126688</v>
      </c>
      <c r="P80" s="1">
        <f>(Main_S[[#This Row],[P/B]]-VLOOKUP(Main_S[[#This Row],[Industry]], Mean_PB_S, 2, FALSE))/(VLOOKUP(Main_S[[#This Row],[Industry]], Mean_PB_S, 3, FALSE))</f>
        <v>0.20820609238986079</v>
      </c>
      <c r="Q80" s="1">
        <f>(Main_S[[#This Row],[ROE]]-VLOOKUP(Main_S[[#This Row],[Industry]], Mean_ROE_S, 2, FALSE))/(VLOOKUP(Main_S[[#This Row],[Industry]], Mean_ROE_S, 3, FALSE))</f>
        <v>-6.3563771502407859E-5</v>
      </c>
      <c r="R80" s="1">
        <f>(Main_S[[#This Row],[ROA]]-VLOOKUP(Main_S[[#This Row],[Industry]], Mean_ROA_S, 2, FALSE))/(VLOOKUP(Main_S[[#This Row],[Industry]], Mean_ROA_S, 3, FALSE))</f>
        <v>0.13092010293499914</v>
      </c>
      <c r="S80" s="1">
        <f>(Main_S[[#This Row],[A/E]]-VLOOKUP(Main_S[[#This Row],[Industry]], Mean_AE_S, 2, FALSE))/(VLOOKUP(Main_S[[#This Row],[Industry]], Mean_AE_S, 3, FALSE))</f>
        <v>-0.48527835274231218</v>
      </c>
      <c r="T80" s="1">
        <f>(Main_S[[#This Row],[P/E]]-VLOOKUP(Main_S[[#This Row],[Industry]], Mean_PE_S, 2, FALSE))/(VLOOKUP(Main_S[[#This Row],[Industry]], Mean_PE_S, 3, FALSE))</f>
        <v>-1.0715814657400839</v>
      </c>
      <c r="U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1" spans="1:26" x14ac:dyDescent="0.25">
      <c r="A81" t="s">
        <v>133</v>
      </c>
      <c r="B81" t="s">
        <v>301</v>
      </c>
      <c r="C81" s="2">
        <v>1891</v>
      </c>
      <c r="D81">
        <f>RTD("tos.rtd", , "LAST", Main_S[[#This Row],[Symbol]])</f>
        <v>5.54</v>
      </c>
      <c r="E81">
        <v>0.52</v>
      </c>
      <c r="F81">
        <v>4.57</v>
      </c>
      <c r="G81">
        <v>0.41</v>
      </c>
      <c r="H81" s="1">
        <f>IF(ISNUMBER(Main_S[[#This Row],[Free CF]]),IF(Main_S[[#This Row],[Free CF]]&lt;&gt;0,Main_S[[#This Row],[Current Price]]/Main_S[[#This Row],[Free CF]],""),"")</f>
        <v>10.653846153846153</v>
      </c>
      <c r="I81" s="1">
        <f>IF(ISNUMBER(Main_S[[#This Row],[BVPS]]),IF(Main_S[[#This Row],[BVPS]]&lt;&gt;0,Main_S[[#This Row],[Current Price]]/Main_S[[#This Row],[BVPS]],""),"")</f>
        <v>1.2122538293216629</v>
      </c>
      <c r="J81">
        <v>10.3</v>
      </c>
      <c r="K81">
        <v>7.23</v>
      </c>
      <c r="L81">
        <v>1.51</v>
      </c>
      <c r="M81" s="1">
        <f>IF(ISNUMBER(Main_S[[#This Row],[EPS]]),IF(Main_S[[#This Row],[EPS]]&lt;&gt;0,Main_S[[#This Row],[Current Price]]/Main_S[[#This Row],[EPS]],""),"")</f>
        <v>13.512195121951221</v>
      </c>
      <c r="N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1" s="1">
        <f>(Main_S[[#This Row],[P/FCF]]-VLOOKUP(Main_S[[#This Row],[Industry]], Mean_PFCF_S, 2, FALSE))/(VLOOKUP(Main_S[[#This Row],[Industry]], Mean_PFCF_S, 3, FALSE))</f>
        <v>0.86753581003988878</v>
      </c>
      <c r="P81" s="1">
        <f>(Main_S[[#This Row],[P/B]]-VLOOKUP(Main_S[[#This Row],[Industry]], Mean_PB_S, 2, FALSE))/(VLOOKUP(Main_S[[#This Row],[Industry]], Mean_PB_S, 3, FALSE))</f>
        <v>-0.54950209195647004</v>
      </c>
      <c r="Q81" s="1">
        <f>(Main_S[[#This Row],[ROE]]-VLOOKUP(Main_S[[#This Row],[Industry]], Mean_ROE_S, 2, FALSE))/(VLOOKUP(Main_S[[#This Row],[Industry]], Mean_ROE_S, 3, FALSE))</f>
        <v>0.94706841350027249</v>
      </c>
      <c r="R81" s="1">
        <f>(Main_S[[#This Row],[ROA]]-VLOOKUP(Main_S[[#This Row],[Industry]], Mean_ROA_S, 2, FALSE))/(VLOOKUP(Main_S[[#This Row],[Industry]], Mean_ROA_S, 3, FALSE))</f>
        <v>0.90074361082814713</v>
      </c>
      <c r="S81" s="1">
        <f>(Main_S[[#This Row],[A/E]]-VLOOKUP(Main_S[[#This Row],[Industry]], Mean_AE_S, 2, FALSE))/(VLOOKUP(Main_S[[#This Row],[Industry]], Mean_AE_S, 3, FALSE))</f>
        <v>-0.44056280458649355</v>
      </c>
      <c r="T81" s="1">
        <f>(Main_S[[#This Row],[P/E]]-VLOOKUP(Main_S[[#This Row],[Industry]], Mean_PE_S, 2, FALSE))/(VLOOKUP(Main_S[[#This Row],[Industry]], Mean_PE_S, 3, FALSE))</f>
        <v>0.66090917086673306</v>
      </c>
      <c r="U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2" spans="1:26" x14ac:dyDescent="0.25">
      <c r="A82" t="s">
        <v>133</v>
      </c>
      <c r="B82" t="s">
        <v>302</v>
      </c>
      <c r="C82" s="2">
        <v>1576</v>
      </c>
      <c r="D82">
        <f>RTD("tos.rtd", , "LAST", Main_S[[#This Row],[Symbol]])</f>
        <v>18</v>
      </c>
      <c r="E82">
        <v>-0.32</v>
      </c>
      <c r="F82">
        <v>5.72</v>
      </c>
      <c r="G82">
        <v>0.75</v>
      </c>
      <c r="H82" s="1">
        <f>IF(ISNUMBER(Main_S[[#This Row],[Free CF]]),IF(Main_S[[#This Row],[Free CF]]&lt;&gt;0,Main_S[[#This Row],[Current Price]]/Main_S[[#This Row],[Free CF]],""),"")</f>
        <v>-56.25</v>
      </c>
      <c r="I82" s="1">
        <f>IF(ISNUMBER(Main_S[[#This Row],[BVPS]]),IF(Main_S[[#This Row],[BVPS]]&lt;&gt;0,Main_S[[#This Row],[Current Price]]/Main_S[[#This Row],[BVPS]],""),"")</f>
        <v>3.1468531468531471</v>
      </c>
      <c r="J82">
        <v>14.17</v>
      </c>
      <c r="K82">
        <v>-1.7</v>
      </c>
      <c r="L82">
        <v>1.03</v>
      </c>
      <c r="M82" s="1">
        <f>IF(ISNUMBER(Main_S[[#This Row],[EPS]]),IF(Main_S[[#This Row],[EPS]]&lt;&gt;0,Main_S[[#This Row],[Current Price]]/Main_S[[#This Row],[EPS]],""),"")</f>
        <v>24</v>
      </c>
      <c r="N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2" s="1">
        <f>(Main_S[[#This Row],[P/FCF]]-VLOOKUP(Main_S[[#This Row],[Industry]], Mean_PFCF_S, 2, FALSE))/(VLOOKUP(Main_S[[#This Row],[Industry]], Mean_PFCF_S, 3, FALSE))</f>
        <v>-2.1877946082088484</v>
      </c>
      <c r="P82" s="1">
        <f>(Main_S[[#This Row],[P/B]]-VLOOKUP(Main_S[[#This Row],[Industry]], Mean_PB_S, 2, FALSE))/(VLOOKUP(Main_S[[#This Row],[Industry]], Mean_PB_S, 3, FALSE))</f>
        <v>1.8775724546251185</v>
      </c>
      <c r="Q82" s="1">
        <f>(Main_S[[#This Row],[ROE]]-VLOOKUP(Main_S[[#This Row],[Industry]], Mean_ROE_S, 2, FALSE))/(VLOOKUP(Main_S[[#This Row],[Industry]], Mean_ROE_S, 3, FALSE))</f>
        <v>1.1561614398574753</v>
      </c>
      <c r="R82" s="1">
        <f>(Main_S[[#This Row],[ROA]]-VLOOKUP(Main_S[[#This Row],[Industry]], Mean_ROA_S, 2, FALSE))/(VLOOKUP(Main_S[[#This Row],[Industry]], Mean_ROA_S, 3, FALSE))</f>
        <v>-0.16838919251334761</v>
      </c>
      <c r="S82" s="1">
        <f>(Main_S[[#This Row],[A/E]]-VLOOKUP(Main_S[[#This Row],[Industry]], Mean_AE_S, 2, FALSE))/(VLOOKUP(Main_S[[#This Row],[Industry]], Mean_AE_S, 3, FALSE))</f>
        <v>-1.1560115750795905</v>
      </c>
      <c r="T82" s="1">
        <f>(Main_S[[#This Row],[P/E]]-VLOOKUP(Main_S[[#This Row],[Industry]], Mean_PE_S, 2, FALSE))/(VLOOKUP(Main_S[[#This Row],[Industry]], Mean_PE_S, 3, FALSE))</f>
        <v>1.1225653181940334</v>
      </c>
      <c r="U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3" spans="1:26" x14ac:dyDescent="0.25">
      <c r="A83" t="s">
        <v>133</v>
      </c>
      <c r="B83" t="s">
        <v>303</v>
      </c>
      <c r="C83" s="2">
        <v>813</v>
      </c>
      <c r="D83">
        <f>RTD("tos.rtd", , "LAST", Main_S[[#This Row],[Symbol]])</f>
        <v>3.69</v>
      </c>
      <c r="E83">
        <v>0.17</v>
      </c>
      <c r="F83">
        <v>3.26</v>
      </c>
      <c r="G83">
        <v>0.36</v>
      </c>
      <c r="H83" s="1">
        <f>IF(ISNUMBER(Main_S[[#This Row],[Free CF]]),IF(Main_S[[#This Row],[Free CF]]&lt;&gt;0,Main_S[[#This Row],[Current Price]]/Main_S[[#This Row],[Free CF]],""),"")</f>
        <v>21.705882352941174</v>
      </c>
      <c r="I83" s="1">
        <f>IF(ISNUMBER(Main_S[[#This Row],[BVPS]]),IF(Main_S[[#This Row],[BVPS]]&lt;&gt;0,Main_S[[#This Row],[Current Price]]/Main_S[[#This Row],[BVPS]],""),"")</f>
        <v>1.1319018404907977</v>
      </c>
      <c r="J83">
        <v>12.52</v>
      </c>
      <c r="K83">
        <v>6.25</v>
      </c>
      <c r="L83">
        <v>1.58</v>
      </c>
      <c r="M83" s="1">
        <f>IF(ISNUMBER(Main_S[[#This Row],[EPS]]),IF(Main_S[[#This Row],[EPS]]&lt;&gt;0,Main_S[[#This Row],[Current Price]]/Main_S[[#This Row],[EPS]],""),"")</f>
        <v>10.25</v>
      </c>
      <c r="N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3" s="1">
        <f>(Main_S[[#This Row],[P/FCF]]-VLOOKUP(Main_S[[#This Row],[Industry]], Mean_PFCF_S, 2, FALSE))/(VLOOKUP(Main_S[[#This Row],[Industry]], Mean_PFCF_S, 3, FALSE))</f>
        <v>1.3722545119368192</v>
      </c>
      <c r="P83" s="1">
        <f>(Main_S[[#This Row],[P/B]]-VLOOKUP(Main_S[[#This Row],[Industry]], Mean_PB_S, 2, FALSE))/(VLOOKUP(Main_S[[#This Row],[Industry]], Mean_PB_S, 3, FALSE))</f>
        <v>-0.65030863369941017</v>
      </c>
      <c r="Q83" s="1">
        <f>(Main_S[[#This Row],[ROE]]-VLOOKUP(Main_S[[#This Row],[Industry]], Mean_ROE_S, 2, FALSE))/(VLOOKUP(Main_S[[#This Row],[Industry]], Mean_ROE_S, 3, FALSE))</f>
        <v>1.0670132503253347</v>
      </c>
      <c r="R83" s="1">
        <f>(Main_S[[#This Row],[ROA]]-VLOOKUP(Main_S[[#This Row],[Industry]], Mean_ROA_S, 2, FALSE))/(VLOOKUP(Main_S[[#This Row],[Industry]], Mean_ROA_S, 3, FALSE))</f>
        <v>0.78341436701239509</v>
      </c>
      <c r="S83" s="1">
        <f>(Main_S[[#This Row],[A/E]]-VLOOKUP(Main_S[[#This Row],[Industry]], Mean_AE_S, 2, FALSE))/(VLOOKUP(Main_S[[#This Row],[Industry]], Mean_AE_S, 3, FALSE))</f>
        <v>-0.33622652555625016</v>
      </c>
      <c r="T83" s="1">
        <f>(Main_S[[#This Row],[P/E]]-VLOOKUP(Main_S[[#This Row],[Industry]], Mean_PE_S, 2, FALSE))/(VLOOKUP(Main_S[[#This Row],[Industry]], Mean_PE_S, 3, FALSE))</f>
        <v>0.51731263666899718</v>
      </c>
      <c r="U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4" spans="1:26" x14ac:dyDescent="0.25">
      <c r="A84" t="s">
        <v>133</v>
      </c>
      <c r="B84" t="s">
        <v>304</v>
      </c>
      <c r="C84" s="2">
        <v>1642</v>
      </c>
      <c r="D84">
        <f>RTD("tos.rtd", , "LAST", Main_S[[#This Row],[Symbol]])</f>
        <v>127.67</v>
      </c>
      <c r="E84">
        <v>29.28</v>
      </c>
      <c r="F84">
        <v>126.72</v>
      </c>
      <c r="G84">
        <v>14.28</v>
      </c>
      <c r="H84" s="1">
        <f>IF(ISNUMBER(Main_S[[#This Row],[Free CF]]),IF(Main_S[[#This Row],[Free CF]]&lt;&gt;0,Main_S[[#This Row],[Current Price]]/Main_S[[#This Row],[Free CF]],""),"")</f>
        <v>4.3603142076502728</v>
      </c>
      <c r="I84" s="1">
        <f>IF(ISNUMBER(Main_S[[#This Row],[BVPS]]),IF(Main_S[[#This Row],[BVPS]]&lt;&gt;0,Main_S[[#This Row],[Current Price]]/Main_S[[#This Row],[BVPS]],""),"")</f>
        <v>1.0074968434343434</v>
      </c>
      <c r="J84">
        <v>11.64</v>
      </c>
      <c r="K84">
        <v>5.76</v>
      </c>
      <c r="L84">
        <v>1.48</v>
      </c>
      <c r="M84" s="1">
        <f>IF(ISNUMBER(Main_S[[#This Row],[EPS]]),IF(Main_S[[#This Row],[EPS]]&lt;&gt;0,Main_S[[#This Row],[Current Price]]/Main_S[[#This Row],[EPS]],""),"")</f>
        <v>8.9404761904761916</v>
      </c>
      <c r="N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4" s="1">
        <f>(Main_S[[#This Row],[P/FCF]]-VLOOKUP(Main_S[[#This Row],[Industry]], Mean_PFCF_S, 2, FALSE))/(VLOOKUP(Main_S[[#This Row],[Industry]], Mean_PFCF_S, 3, FALSE))</f>
        <v>0.58012603169597166</v>
      </c>
      <c r="P84" s="1">
        <f>(Main_S[[#This Row],[P/B]]-VLOOKUP(Main_S[[#This Row],[Industry]], Mean_PB_S, 2, FALSE))/(VLOOKUP(Main_S[[#This Row],[Industry]], Mean_PB_S, 3, FALSE))</f>
        <v>-0.8063824000276999</v>
      </c>
      <c r="Q84" s="1">
        <f>(Main_S[[#This Row],[ROE]]-VLOOKUP(Main_S[[#This Row],[Industry]], Mean_ROE_S, 2, FALSE))/(VLOOKUP(Main_S[[#This Row],[Industry]], Mean_ROE_S, 3, FALSE))</f>
        <v>1.0194675492415262</v>
      </c>
      <c r="R84" s="1">
        <f>(Main_S[[#This Row],[ROA]]-VLOOKUP(Main_S[[#This Row],[Industry]], Mean_ROA_S, 2, FALSE))/(VLOOKUP(Main_S[[#This Row],[Industry]], Mean_ROA_S, 3, FALSE))</f>
        <v>0.72474974510451917</v>
      </c>
      <c r="S84" s="1">
        <f>(Main_S[[#This Row],[A/E]]-VLOOKUP(Main_S[[#This Row],[Industry]], Mean_AE_S, 2, FALSE))/(VLOOKUP(Main_S[[#This Row],[Industry]], Mean_AE_S, 3, FALSE))</f>
        <v>-0.48527835274231218</v>
      </c>
      <c r="T84" s="1">
        <f>(Main_S[[#This Row],[P/E]]-VLOOKUP(Main_S[[#This Row],[Industry]], Mean_PE_S, 2, FALSE))/(VLOOKUP(Main_S[[#This Row],[Industry]], Mean_PE_S, 3, FALSE))</f>
        <v>0.45966952414280327</v>
      </c>
      <c r="U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5" spans="1:26" x14ac:dyDescent="0.25">
      <c r="A85" t="s">
        <v>133</v>
      </c>
      <c r="B85" t="s">
        <v>305</v>
      </c>
      <c r="C85" s="2">
        <v>553</v>
      </c>
      <c r="D85">
        <f>RTD("tos.rtd", , "LAST", Main_S[[#This Row],[Symbol]])</f>
        <v>6.04</v>
      </c>
      <c r="E85">
        <v>-2</v>
      </c>
      <c r="F85">
        <v>10.01</v>
      </c>
      <c r="G85">
        <v>-1.07</v>
      </c>
      <c r="H85" s="1">
        <f>IF(ISNUMBER(Main_S[[#This Row],[Free CF]]),IF(Main_S[[#This Row],[Free CF]]&lt;&gt;0,Main_S[[#This Row],[Current Price]]/Main_S[[#This Row],[Free CF]],""),"")</f>
        <v>-3.02</v>
      </c>
      <c r="I85" s="1">
        <f>IF(ISNUMBER(Main_S[[#This Row],[BVPS]]),IF(Main_S[[#This Row],[BVPS]]&lt;&gt;0,Main_S[[#This Row],[Current Price]]/Main_S[[#This Row],[BVPS]],""),"")</f>
        <v>0.60339660339660339</v>
      </c>
      <c r="J85">
        <v>-10.4</v>
      </c>
      <c r="K85">
        <v>-3.52</v>
      </c>
      <c r="L85">
        <v>2.19</v>
      </c>
      <c r="M85" s="1">
        <f>IF(ISNUMBER(Main_S[[#This Row],[EPS]]),IF(Main_S[[#This Row],[EPS]]&lt;&gt;0,Main_S[[#This Row],[Current Price]]/Main_S[[#This Row],[EPS]],""),"")</f>
        <v>-5.6448598130841114</v>
      </c>
      <c r="N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5" s="1">
        <f>(Main_S[[#This Row],[P/FCF]]-VLOOKUP(Main_S[[#This Row],[Industry]], Mean_PFCF_S, 2, FALSE))/(VLOOKUP(Main_S[[#This Row],[Industry]], Mean_PFCF_S, 3, FALSE))</f>
        <v>0.24308564028088267</v>
      </c>
      <c r="P85" s="1">
        <f>(Main_S[[#This Row],[P/B]]-VLOOKUP(Main_S[[#This Row],[Industry]], Mean_PB_S, 2, FALSE))/(VLOOKUP(Main_S[[#This Row],[Industry]], Mean_PB_S, 3, FALSE))</f>
        <v>-1.3133511547332322</v>
      </c>
      <c r="Q85" s="1">
        <f>(Main_S[[#This Row],[ROE]]-VLOOKUP(Main_S[[#This Row],[Industry]], Mean_ROE_S, 2, FALSE))/(VLOOKUP(Main_S[[#This Row],[Industry]], Mean_ROE_S, 3, FALSE))</f>
        <v>-0.17133614608476685</v>
      </c>
      <c r="R85" s="1">
        <f>(Main_S[[#This Row],[ROA]]-VLOOKUP(Main_S[[#This Row],[Industry]], Mean_ROA_S, 2, FALSE))/(VLOOKUP(Main_S[[#This Row],[Industry]], Mean_ROA_S, 3, FALSE))</f>
        <v>-0.38628635959974406</v>
      </c>
      <c r="S85" s="1">
        <f>(Main_S[[#This Row],[A/E]]-VLOOKUP(Main_S[[#This Row],[Industry]], Mean_AE_S, 2, FALSE))/(VLOOKUP(Main_S[[#This Row],[Industry]], Mean_AE_S, 3, FALSE))</f>
        <v>0.57298962027872702</v>
      </c>
      <c r="T85" s="1">
        <f>(Main_S[[#This Row],[P/E]]-VLOOKUP(Main_S[[#This Row],[Industry]], Mean_PE_S, 2, FALSE))/(VLOOKUP(Main_S[[#This Row],[Industry]], Mean_PE_S, 3, FALSE))</f>
        <v>-0.18235329237345338</v>
      </c>
      <c r="U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6" spans="1:26" x14ac:dyDescent="0.25">
      <c r="A86" t="s">
        <v>133</v>
      </c>
      <c r="B86" t="s">
        <v>306</v>
      </c>
      <c r="C86" s="2">
        <v>525</v>
      </c>
      <c r="D86">
        <f>RTD("tos.rtd", , "LAST", Main_S[[#This Row],[Symbol]])</f>
        <v>9.9</v>
      </c>
      <c r="E86">
        <v>0.85</v>
      </c>
      <c r="F86">
        <v>6.8</v>
      </c>
      <c r="G86">
        <v>0.21</v>
      </c>
      <c r="H86" s="1">
        <f>IF(ISNUMBER(Main_S[[#This Row],[Free CF]]),IF(Main_S[[#This Row],[Free CF]]&lt;&gt;0,Main_S[[#This Row],[Current Price]]/Main_S[[#This Row],[Free CF]],""),"")</f>
        <v>11.647058823529413</v>
      </c>
      <c r="I86" s="1">
        <f>IF(ISNUMBER(Main_S[[#This Row],[BVPS]]),IF(Main_S[[#This Row],[BVPS]]&lt;&gt;0,Main_S[[#This Row],[Current Price]]/Main_S[[#This Row],[BVPS]],""),"")</f>
        <v>1.4558823529411766</v>
      </c>
      <c r="J86">
        <v>3.06</v>
      </c>
      <c r="K86">
        <v>1.19</v>
      </c>
      <c r="L86">
        <v>1.86</v>
      </c>
      <c r="M86" s="1">
        <f>IF(ISNUMBER(Main_S[[#This Row],[EPS]]),IF(Main_S[[#This Row],[EPS]]&lt;&gt;0,Main_S[[#This Row],[Current Price]]/Main_S[[#This Row],[EPS]],""),"")</f>
        <v>47.142857142857146</v>
      </c>
      <c r="N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6" s="1">
        <f>(Main_S[[#This Row],[P/FCF]]-VLOOKUP(Main_S[[#This Row],[Industry]], Mean_PFCF_S, 2, FALSE))/(VLOOKUP(Main_S[[#This Row],[Industry]], Mean_PFCF_S, 3, FALSE))</f>
        <v>0.91289333514383009</v>
      </c>
      <c r="P86" s="1">
        <f>(Main_S[[#This Row],[P/B]]-VLOOKUP(Main_S[[#This Row],[Industry]], Mean_PB_S, 2, FALSE))/(VLOOKUP(Main_S[[#This Row],[Industry]], Mean_PB_S, 3, FALSE))</f>
        <v>-0.24385503463574915</v>
      </c>
      <c r="Q86" s="1">
        <f>(Main_S[[#This Row],[ROE]]-VLOOKUP(Main_S[[#This Row],[Industry]], Mean_ROE_S, 2, FALSE))/(VLOOKUP(Main_S[[#This Row],[Industry]], Mean_ROE_S, 3, FALSE))</f>
        <v>0.5558969636743939</v>
      </c>
      <c r="R86" s="1">
        <f>(Main_S[[#This Row],[ROA]]-VLOOKUP(Main_S[[#This Row],[Industry]], Mean_ROA_S, 2, FALSE))/(VLOOKUP(Main_S[[#This Row],[Industry]], Mean_ROA_S, 3, FALSE))</f>
        <v>0.17761235302494122</v>
      </c>
      <c r="S86" s="1">
        <f>(Main_S[[#This Row],[A/E]]-VLOOKUP(Main_S[[#This Row],[Industry]], Mean_AE_S, 2, FALSE))/(VLOOKUP(Main_S[[#This Row],[Industry]], Mean_AE_S, 3, FALSE))</f>
        <v>8.1118590564723106E-2</v>
      </c>
      <c r="T86" s="1">
        <f>(Main_S[[#This Row],[P/E]]-VLOOKUP(Main_S[[#This Row],[Industry]], Mean_PE_S, 2, FALSE))/(VLOOKUP(Main_S[[#This Row],[Industry]], Mean_PE_S, 3, FALSE))</f>
        <v>2.1412763250205882</v>
      </c>
      <c r="U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7" spans="1:26" x14ac:dyDescent="0.25">
      <c r="A87" t="s">
        <v>133</v>
      </c>
      <c r="B87" t="s">
        <v>307</v>
      </c>
      <c r="C87" s="2">
        <v>460</v>
      </c>
      <c r="D87">
        <f>RTD("tos.rtd", , "LAST", Main_S[[#This Row],[Symbol]])</f>
        <v>8.51</v>
      </c>
      <c r="E87">
        <v>0.85</v>
      </c>
      <c r="F87">
        <v>6.8</v>
      </c>
      <c r="G87">
        <v>0.21</v>
      </c>
      <c r="H87" s="1">
        <f>IF(ISNUMBER(Main_S[[#This Row],[Free CF]]),IF(Main_S[[#This Row],[Free CF]]&lt;&gt;0,Main_S[[#This Row],[Current Price]]/Main_S[[#This Row],[Free CF]],""),"")</f>
        <v>10.011764705882353</v>
      </c>
      <c r="I87" s="1">
        <f>IF(ISNUMBER(Main_S[[#This Row],[BVPS]]),IF(Main_S[[#This Row],[BVPS]]&lt;&gt;0,Main_S[[#This Row],[Current Price]]/Main_S[[#This Row],[BVPS]],""),"")</f>
        <v>1.2514705882352941</v>
      </c>
      <c r="J87">
        <v>3.06</v>
      </c>
      <c r="K87">
        <v>1.19</v>
      </c>
      <c r="L87">
        <v>1.86</v>
      </c>
      <c r="M87" s="1">
        <f>IF(ISNUMBER(Main_S[[#This Row],[EPS]]),IF(Main_S[[#This Row],[EPS]]&lt;&gt;0,Main_S[[#This Row],[Current Price]]/Main_S[[#This Row],[EPS]],""),"")</f>
        <v>40.523809523809526</v>
      </c>
      <c r="N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7" s="1">
        <f>(Main_S[[#This Row],[P/FCF]]-VLOOKUP(Main_S[[#This Row],[Industry]], Mean_PFCF_S, 2, FALSE))/(VLOOKUP(Main_S[[#This Row],[Industry]], Mean_PFCF_S, 3, FALSE))</f>
        <v>0.83821356488157772</v>
      </c>
      <c r="P87" s="1">
        <f>(Main_S[[#This Row],[P/B]]-VLOOKUP(Main_S[[#This Row],[Industry]], Mean_PB_S, 2, FALSE))/(VLOOKUP(Main_S[[#This Row],[Industry]], Mean_PB_S, 3, FALSE))</f>
        <v>-0.50030224137441182</v>
      </c>
      <c r="Q87" s="1">
        <f>(Main_S[[#This Row],[ROE]]-VLOOKUP(Main_S[[#This Row],[Industry]], Mean_ROE_S, 2, FALSE))/(VLOOKUP(Main_S[[#This Row],[Industry]], Mean_ROE_S, 3, FALSE))</f>
        <v>0.5558969636743939</v>
      </c>
      <c r="R87" s="1">
        <f>(Main_S[[#This Row],[ROA]]-VLOOKUP(Main_S[[#This Row],[Industry]], Mean_ROA_S, 2, FALSE))/(VLOOKUP(Main_S[[#This Row],[Industry]], Mean_ROA_S, 3, FALSE))</f>
        <v>0.17761235302494122</v>
      </c>
      <c r="S87" s="1">
        <f>(Main_S[[#This Row],[A/E]]-VLOOKUP(Main_S[[#This Row],[Industry]], Mean_AE_S, 2, FALSE))/(VLOOKUP(Main_S[[#This Row],[Industry]], Mean_AE_S, 3, FALSE))</f>
        <v>8.1118590564723106E-2</v>
      </c>
      <c r="T87" s="1">
        <f>(Main_S[[#This Row],[P/E]]-VLOOKUP(Main_S[[#This Row],[Industry]], Mean_PE_S, 2, FALSE))/(VLOOKUP(Main_S[[#This Row],[Industry]], Mean_PE_S, 3, FALSE))</f>
        <v>1.8499165926154626</v>
      </c>
      <c r="U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8" spans="1:26" x14ac:dyDescent="0.25">
      <c r="A88" t="s">
        <v>133</v>
      </c>
      <c r="B88" t="s">
        <v>308</v>
      </c>
      <c r="C88" s="2">
        <v>366</v>
      </c>
      <c r="D88">
        <f>RTD("tos.rtd", , "LAST", Main_S[[#This Row],[Symbol]])</f>
        <v>25.05</v>
      </c>
      <c r="E88">
        <v>7.16</v>
      </c>
      <c r="F88">
        <v>1.78</v>
      </c>
      <c r="G88">
        <v>7.11</v>
      </c>
      <c r="H88" s="1">
        <f>IF(ISNUMBER(Main_S[[#This Row],[Free CF]]),IF(Main_S[[#This Row],[Free CF]]&lt;&gt;0,Main_S[[#This Row],[Current Price]]/Main_S[[#This Row],[Free CF]],""),"")</f>
        <v>3.4986033519553073</v>
      </c>
      <c r="I88" s="1">
        <f>IF(ISNUMBER(Main_S[[#This Row],[BVPS]]),IF(Main_S[[#This Row],[BVPS]]&lt;&gt;0,Main_S[[#This Row],[Current Price]]/Main_S[[#This Row],[BVPS]],""),"")</f>
        <v>14.073033707865168</v>
      </c>
      <c r="J88">
        <v>421.08</v>
      </c>
      <c r="K88">
        <v>21.58</v>
      </c>
      <c r="L88">
        <v>4.3600000000000003</v>
      </c>
      <c r="M88" s="1">
        <f>IF(ISNUMBER(Main_S[[#This Row],[EPS]]),IF(Main_S[[#This Row],[EPS]]&lt;&gt;0,Main_S[[#This Row],[Current Price]]/Main_S[[#This Row],[EPS]],""),"")</f>
        <v>3.5232067510548521</v>
      </c>
      <c r="N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8" s="1">
        <f>(Main_S[[#This Row],[P/FCF]]-VLOOKUP(Main_S[[#This Row],[Industry]], Mean_PFCF_S, 2, FALSE))/(VLOOKUP(Main_S[[#This Row],[Industry]], Mean_PFCF_S, 3, FALSE))</f>
        <v>0.5407738637640146</v>
      </c>
      <c r="P88" s="1">
        <f>(Main_S[[#This Row],[P/B]]-VLOOKUP(Main_S[[#This Row],[Industry]], Mean_PB_S, 2, FALSE))/(VLOOKUP(Main_S[[#This Row],[Industry]], Mean_PB_S, 3, FALSE))</f>
        <v>15.585142022479703</v>
      </c>
      <c r="Q88" s="1">
        <f>(Main_S[[#This Row],[ROE]]-VLOOKUP(Main_S[[#This Row],[Industry]], Mean_ROE_S, 2, FALSE))/(VLOOKUP(Main_S[[#This Row],[Industry]], Mean_ROE_S, 3, FALSE))</f>
        <v>23.141185562598938</v>
      </c>
      <c r="R88" s="1">
        <f>(Main_S[[#This Row],[ROA]]-VLOOKUP(Main_S[[#This Row],[Industry]], Mean_ROA_S, 2, FALSE))/(VLOOKUP(Main_S[[#This Row],[Industry]], Mean_ROA_S, 3, FALSE))</f>
        <v>2.6187789667016572</v>
      </c>
      <c r="S88" s="1">
        <f>(Main_S[[#This Row],[A/E]]-VLOOKUP(Main_S[[#This Row],[Industry]], Mean_AE_S, 2, FALSE))/(VLOOKUP(Main_S[[#This Row],[Industry]], Mean_AE_S, 3, FALSE))</f>
        <v>3.8074142702162699</v>
      </c>
      <c r="T88" s="1">
        <f>(Main_S[[#This Row],[P/E]]-VLOOKUP(Main_S[[#This Row],[Industry]], Mean_PE_S, 2, FALSE))/(VLOOKUP(Main_S[[#This Row],[Industry]], Mean_PE_S, 3, FALSE))</f>
        <v>0.2212101165243745</v>
      </c>
      <c r="U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9" spans="1:26" x14ac:dyDescent="0.25">
      <c r="A89" t="s">
        <v>133</v>
      </c>
      <c r="B89" t="s">
        <v>309</v>
      </c>
      <c r="C89" s="2">
        <v>543</v>
      </c>
      <c r="D89">
        <f>RTD("tos.rtd", , "LAST", Main_S[[#This Row],[Symbol]])</f>
        <v>13.52</v>
      </c>
      <c r="E89">
        <v>-0.56000000000000005</v>
      </c>
      <c r="F89">
        <v>16.34</v>
      </c>
      <c r="G89">
        <v>0.03</v>
      </c>
      <c r="H89" s="1">
        <f>IF(ISNUMBER(Main_S[[#This Row],[Free CF]]),IF(Main_S[[#This Row],[Free CF]]&lt;&gt;0,Main_S[[#This Row],[Current Price]]/Main_S[[#This Row],[Free CF]],""),"")</f>
        <v>-24.142857142857139</v>
      </c>
      <c r="I89" s="1">
        <f>IF(ISNUMBER(Main_S[[#This Row],[BVPS]]),IF(Main_S[[#This Row],[BVPS]]&lt;&gt;0,Main_S[[#This Row],[Current Price]]/Main_S[[#This Row],[BVPS]],""),"")</f>
        <v>0.82741738066095472</v>
      </c>
      <c r="J89">
        <v>0.18</v>
      </c>
      <c r="K89">
        <v>0.28999999999999998</v>
      </c>
      <c r="L89">
        <v>1.62</v>
      </c>
      <c r="M89" s="1">
        <f>IF(ISNUMBER(Main_S[[#This Row],[EPS]]),IF(Main_S[[#This Row],[EPS]]&lt;&gt;0,Main_S[[#This Row],[Current Price]]/Main_S[[#This Row],[EPS]],""),"")</f>
        <v>450.66666666666669</v>
      </c>
      <c r="N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9" s="1">
        <f>(Main_S[[#This Row],[P/FCF]]-VLOOKUP(Main_S[[#This Row],[Industry]], Mean_PFCF_S, 2, FALSE))/(VLOOKUP(Main_S[[#This Row],[Industry]], Mean_PFCF_S, 3, FALSE))</f>
        <v>-0.7215421301538657</v>
      </c>
      <c r="P89" s="1">
        <f>(Main_S[[#This Row],[P/B]]-VLOOKUP(Main_S[[#This Row],[Industry]], Mean_PB_S, 2, FALSE))/(VLOOKUP(Main_S[[#This Row],[Industry]], Mean_PB_S, 3, FALSE))</f>
        <v>-1.0323032284383433</v>
      </c>
      <c r="Q89" s="1">
        <f>(Main_S[[#This Row],[ROE]]-VLOOKUP(Main_S[[#This Row],[Industry]], Mean_ROE_S, 2, FALSE))/(VLOOKUP(Main_S[[#This Row],[Industry]], Mean_ROE_S, 3, FALSE))</f>
        <v>0.40029285103647538</v>
      </c>
      <c r="R89" s="1">
        <f>(Main_S[[#This Row],[ROA]]-VLOOKUP(Main_S[[#This Row],[Industry]], Mean_ROA_S, 2, FALSE))/(VLOOKUP(Main_S[[#This Row],[Industry]], Mean_ROA_S, 3, FALSE))</f>
        <v>6.9861006663536396E-2</v>
      </c>
      <c r="S89" s="1">
        <f>(Main_S[[#This Row],[A/E]]-VLOOKUP(Main_S[[#This Row],[Industry]], Mean_AE_S, 2, FALSE))/(VLOOKUP(Main_S[[#This Row],[Industry]], Mean_AE_S, 3, FALSE))</f>
        <v>-0.27660579468182533</v>
      </c>
      <c r="T89" s="1">
        <f>(Main_S[[#This Row],[P/E]]-VLOOKUP(Main_S[[#This Row],[Industry]], Mean_PE_S, 2, FALSE))/(VLOOKUP(Main_S[[#This Row],[Industry]], Mean_PE_S, 3, FALSE))</f>
        <v>19.9037394358194</v>
      </c>
      <c r="U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0" spans="1:26" x14ac:dyDescent="0.25">
      <c r="A90" t="s">
        <v>133</v>
      </c>
      <c r="B90" t="s">
        <v>310</v>
      </c>
      <c r="C90" s="2">
        <v>828</v>
      </c>
      <c r="D90">
        <f>RTD("tos.rtd", , "LAST", Main_S[[#This Row],[Symbol]])</f>
        <v>29.51</v>
      </c>
      <c r="E90">
        <v>-1.36</v>
      </c>
      <c r="F90">
        <v>19.25</v>
      </c>
      <c r="G90">
        <v>-9.9600000000000009</v>
      </c>
      <c r="H90" s="1">
        <f>IF(ISNUMBER(Main_S[[#This Row],[Free CF]]),IF(Main_S[[#This Row],[Free CF]]&lt;&gt;0,Main_S[[#This Row],[Current Price]]/Main_S[[#This Row],[Free CF]],""),"")</f>
        <v>-21.698529411764707</v>
      </c>
      <c r="I90" s="1">
        <f>IF(ISNUMBER(Main_S[[#This Row],[BVPS]]),IF(Main_S[[#This Row],[BVPS]]&lt;&gt;0,Main_S[[#This Row],[Current Price]]/Main_S[[#This Row],[BVPS]],""),"")</f>
        <v>1.5329870129870131</v>
      </c>
      <c r="J90">
        <v>-40.83</v>
      </c>
      <c r="K90">
        <v>-3.36</v>
      </c>
      <c r="L90">
        <v>2.69</v>
      </c>
      <c r="M90" s="1">
        <f>IF(ISNUMBER(Main_S[[#This Row],[EPS]]),IF(Main_S[[#This Row],[EPS]]&lt;&gt;0,Main_S[[#This Row],[Current Price]]/Main_S[[#This Row],[EPS]],""),"")</f>
        <v>-2.9628514056224899</v>
      </c>
      <c r="N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0" s="1">
        <f>(Main_S[[#This Row],[P/FCF]]-VLOOKUP(Main_S[[#This Row],[Industry]], Mean_PFCF_S, 2, FALSE))/(VLOOKUP(Main_S[[#This Row],[Industry]], Mean_PFCF_S, 3, FALSE))</f>
        <v>-0.609915829151643</v>
      </c>
      <c r="P90" s="1">
        <f>(Main_S[[#This Row],[P/B]]-VLOOKUP(Main_S[[#This Row],[Industry]], Mean_PB_S, 2, FALSE))/(VLOOKUP(Main_S[[#This Row],[Industry]], Mean_PB_S, 3, FALSE))</f>
        <v>-0.14712246778109833</v>
      </c>
      <c r="Q90" s="1">
        <f>(Main_S[[#This Row],[ROE]]-VLOOKUP(Main_S[[#This Row],[Industry]], Mean_ROE_S, 2, FALSE))/(VLOOKUP(Main_S[[#This Row],[Industry]], Mean_ROE_S, 3, FALSE))</f>
        <v>-1.8154448778805516</v>
      </c>
      <c r="R90" s="1">
        <f>(Main_S[[#This Row],[ROA]]-VLOOKUP(Main_S[[#This Row],[Industry]], Mean_ROA_S, 2, FALSE))/(VLOOKUP(Main_S[[#This Row],[Industry]], Mean_ROA_S, 3, FALSE))</f>
        <v>-0.36713056469104988</v>
      </c>
      <c r="S90" s="1">
        <f>(Main_S[[#This Row],[A/E]]-VLOOKUP(Main_S[[#This Row],[Industry]], Mean_AE_S, 2, FALSE))/(VLOOKUP(Main_S[[#This Row],[Industry]], Mean_AE_S, 3, FALSE))</f>
        <v>1.3182487562090364</v>
      </c>
      <c r="T90" s="1">
        <f>(Main_S[[#This Row],[P/E]]-VLOOKUP(Main_S[[#This Row],[Industry]], Mean_PE_S, 2, FALSE))/(VLOOKUP(Main_S[[#This Row],[Industry]], Mean_PE_S, 3, FALSE))</f>
        <v>-6.429563561062876E-2</v>
      </c>
      <c r="U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1" spans="1:26" x14ac:dyDescent="0.25">
      <c r="A91" t="s">
        <v>133</v>
      </c>
      <c r="B91" t="s">
        <v>311</v>
      </c>
      <c r="C91" s="2">
        <v>665</v>
      </c>
      <c r="D91">
        <f>RTD("tos.rtd", , "LAST", Main_S[[#This Row],[Symbol]])</f>
        <v>22.3</v>
      </c>
      <c r="E91">
        <v>3.85</v>
      </c>
      <c r="F91">
        <v>24.97</v>
      </c>
      <c r="G91">
        <v>-0.21</v>
      </c>
      <c r="H91" s="1">
        <f>IF(ISNUMBER(Main_S[[#This Row],[Free CF]]),IF(Main_S[[#This Row],[Free CF]]&lt;&gt;0,Main_S[[#This Row],[Current Price]]/Main_S[[#This Row],[Free CF]],""),"")</f>
        <v>5.7922077922077921</v>
      </c>
      <c r="I91" s="1">
        <f>IF(ISNUMBER(Main_S[[#This Row],[BVPS]]),IF(Main_S[[#This Row],[BVPS]]&lt;&gt;0,Main_S[[#This Row],[Current Price]]/Main_S[[#This Row],[BVPS]],""),"")</f>
        <v>0.89307168602322795</v>
      </c>
      <c r="J91">
        <v>-0.61</v>
      </c>
      <c r="K91">
        <v>0.86</v>
      </c>
      <c r="L91">
        <v>3.14</v>
      </c>
      <c r="M91" s="1">
        <f>IF(ISNUMBER(Main_S[[#This Row],[EPS]]),IF(Main_S[[#This Row],[EPS]]&lt;&gt;0,Main_S[[#This Row],[Current Price]]/Main_S[[#This Row],[EPS]],""),"")</f>
        <v>-106.1904761904762</v>
      </c>
      <c r="N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1" s="1">
        <f>(Main_S[[#This Row],[P/FCF]]-VLOOKUP(Main_S[[#This Row],[Industry]], Mean_PFCF_S, 2, FALSE))/(VLOOKUP(Main_S[[#This Row],[Industry]], Mean_PFCF_S, 3, FALSE))</f>
        <v>0.64551701108052995</v>
      </c>
      <c r="P91" s="1">
        <f>(Main_S[[#This Row],[P/B]]-VLOOKUP(Main_S[[#This Row],[Industry]], Mean_PB_S, 2, FALSE))/(VLOOKUP(Main_S[[#This Row],[Industry]], Mean_PB_S, 3, FALSE))</f>
        <v>-0.94993584002140052</v>
      </c>
      <c r="Q91" s="1">
        <f>(Main_S[[#This Row],[ROE]]-VLOOKUP(Main_S[[#This Row],[Industry]], Mean_ROE_S, 2, FALSE))/(VLOOKUP(Main_S[[#This Row],[Industry]], Mean_ROE_S, 3, FALSE))</f>
        <v>0.35760977847260195</v>
      </c>
      <c r="R91" s="1">
        <f>(Main_S[[#This Row],[ROA]]-VLOOKUP(Main_S[[#This Row],[Industry]], Mean_ROA_S, 2, FALSE))/(VLOOKUP(Main_S[[#This Row],[Industry]], Mean_ROA_S, 3, FALSE))</f>
        <v>0.13810352602575945</v>
      </c>
      <c r="S91" s="1">
        <f>(Main_S[[#This Row],[A/E]]-VLOOKUP(Main_S[[#This Row],[Industry]], Mean_AE_S, 2, FALSE))/(VLOOKUP(Main_S[[#This Row],[Industry]], Mean_AE_S, 3, FALSE))</f>
        <v>1.988981978546315</v>
      </c>
      <c r="T91" s="1">
        <f>(Main_S[[#This Row],[P/E]]-VLOOKUP(Main_S[[#This Row],[Industry]], Mean_PE_S, 2, FALSE))/(VLOOKUP(Main_S[[#This Row],[Industry]], Mean_PE_S, 3, FALSE))</f>
        <v>-4.6082081235010293</v>
      </c>
      <c r="U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2" spans="1:26" x14ac:dyDescent="0.25">
      <c r="A92" t="s">
        <v>133</v>
      </c>
      <c r="B92" t="s">
        <v>312</v>
      </c>
      <c r="C92" s="2">
        <v>741</v>
      </c>
      <c r="D92">
        <f>RTD("tos.rtd", , "LAST", Main_S[[#This Row],[Symbol]])</f>
        <v>9.02</v>
      </c>
      <c r="E92">
        <v>1.44</v>
      </c>
      <c r="F92">
        <v>8.09</v>
      </c>
      <c r="G92">
        <v>1.0900000000000001</v>
      </c>
      <c r="H92" s="1">
        <f>IF(ISNUMBER(Main_S[[#This Row],[Free CF]]),IF(Main_S[[#This Row],[Free CF]]&lt;&gt;0,Main_S[[#This Row],[Current Price]]/Main_S[[#This Row],[Free CF]],""),"")</f>
        <v>6.2638888888888884</v>
      </c>
      <c r="I92" s="1">
        <f>IF(ISNUMBER(Main_S[[#This Row],[BVPS]]),IF(Main_S[[#This Row],[BVPS]]&lt;&gt;0,Main_S[[#This Row],[Current Price]]/Main_S[[#This Row],[BVPS]],""),"")</f>
        <v>1.1149567367119901</v>
      </c>
      <c r="J92">
        <v>14.89</v>
      </c>
      <c r="K92">
        <v>5.54</v>
      </c>
      <c r="L92">
        <v>2.44</v>
      </c>
      <c r="M92" s="1">
        <f>IF(ISNUMBER(Main_S[[#This Row],[EPS]]),IF(Main_S[[#This Row],[EPS]]&lt;&gt;0,Main_S[[#This Row],[Current Price]]/Main_S[[#This Row],[EPS]],""),"")</f>
        <v>8.2752293577981639</v>
      </c>
      <c r="N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2" s="1">
        <f>(Main_S[[#This Row],[P/FCF]]-VLOOKUP(Main_S[[#This Row],[Industry]], Mean_PFCF_S, 2, FALSE))/(VLOOKUP(Main_S[[#This Row],[Industry]], Mean_PFCF_S, 3, FALSE))</f>
        <v>0.66705750068240954</v>
      </c>
      <c r="P92" s="1">
        <f>(Main_S[[#This Row],[P/B]]-VLOOKUP(Main_S[[#This Row],[Industry]], Mean_PB_S, 2, FALSE))/(VLOOKUP(Main_S[[#This Row],[Industry]], Mean_PB_S, 3, FALSE))</f>
        <v>-0.67156731486301402</v>
      </c>
      <c r="Q92" s="1">
        <f>(Main_S[[#This Row],[ROE]]-VLOOKUP(Main_S[[#This Row],[Industry]], Mean_ROE_S, 2, FALSE))/(VLOOKUP(Main_S[[#This Row],[Industry]], Mean_ROE_S, 3, FALSE))</f>
        <v>1.195062468016955</v>
      </c>
      <c r="R92" s="1">
        <f>(Main_S[[#This Row],[ROA]]-VLOOKUP(Main_S[[#This Row],[Industry]], Mean_ROA_S, 2, FALSE))/(VLOOKUP(Main_S[[#This Row],[Industry]], Mean_ROA_S, 3, FALSE))</f>
        <v>0.69841052710506457</v>
      </c>
      <c r="S92" s="1">
        <f>(Main_S[[#This Row],[A/E]]-VLOOKUP(Main_S[[#This Row],[Industry]], Mean_AE_S, 2, FALSE))/(VLOOKUP(Main_S[[#This Row],[Industry]], Mean_AE_S, 3, FALSE))</f>
        <v>0.94561918824388169</v>
      </c>
      <c r="T92" s="1">
        <f>(Main_S[[#This Row],[P/E]]-VLOOKUP(Main_S[[#This Row],[Industry]], Mean_PE_S, 2, FALSE))/(VLOOKUP(Main_S[[#This Row],[Industry]], Mean_PE_S, 3, FALSE))</f>
        <v>0.4303864383715732</v>
      </c>
      <c r="U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3" spans="1:26" x14ac:dyDescent="0.25">
      <c r="A93" t="s">
        <v>133</v>
      </c>
      <c r="B93" t="s">
        <v>313</v>
      </c>
      <c r="C93" s="2">
        <v>1322</v>
      </c>
      <c r="D93">
        <f>RTD("tos.rtd", , "LAST", Main_S[[#This Row],[Symbol]])</f>
        <v>27.99</v>
      </c>
      <c r="E93">
        <v>1.66</v>
      </c>
      <c r="F93">
        <v>20.440000000000001</v>
      </c>
      <c r="G93">
        <v>2.14</v>
      </c>
      <c r="H93" s="1">
        <f>IF(ISNUMBER(Main_S[[#This Row],[Free CF]]),IF(Main_S[[#This Row],[Free CF]]&lt;&gt;0,Main_S[[#This Row],[Current Price]]/Main_S[[#This Row],[Free CF]],""),"")</f>
        <v>16.861445783132531</v>
      </c>
      <c r="I93" s="1">
        <f>IF(ISNUMBER(Main_S[[#This Row],[BVPS]]),IF(Main_S[[#This Row],[BVPS]]&lt;&gt;0,Main_S[[#This Row],[Current Price]]/Main_S[[#This Row],[BVPS]],""),"")</f>
        <v>1.3693737769080234</v>
      </c>
      <c r="J93">
        <v>10.67</v>
      </c>
      <c r="K93">
        <v>5.35</v>
      </c>
      <c r="L93">
        <v>1.78</v>
      </c>
      <c r="M93" s="1">
        <f>IF(ISNUMBER(Main_S[[#This Row],[EPS]]),IF(Main_S[[#This Row],[EPS]]&lt;&gt;0,Main_S[[#This Row],[Current Price]]/Main_S[[#This Row],[EPS]],""),"")</f>
        <v>13.079439252336448</v>
      </c>
      <c r="N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3" s="1">
        <f>(Main_S[[#This Row],[P/FCF]]-VLOOKUP(Main_S[[#This Row],[Industry]], Mean_PFCF_S, 2, FALSE))/(VLOOKUP(Main_S[[#This Row],[Industry]], Mean_PFCF_S, 3, FALSE))</f>
        <v>1.1510212755549072</v>
      </c>
      <c r="P93" s="1">
        <f>(Main_S[[#This Row],[P/B]]-VLOOKUP(Main_S[[#This Row],[Industry]], Mean_PB_S, 2, FALSE))/(VLOOKUP(Main_S[[#This Row],[Industry]], Mean_PB_S, 3, FALSE))</f>
        <v>-0.35238539596090102</v>
      </c>
      <c r="Q93" s="1">
        <f>(Main_S[[#This Row],[ROE]]-VLOOKUP(Main_S[[#This Row],[Industry]], Mean_ROE_S, 2, FALSE))/(VLOOKUP(Main_S[[#This Row],[Industry]], Mean_ROE_S, 3, FALSE))</f>
        <v>0.96705921963778274</v>
      </c>
      <c r="R93" s="1">
        <f>(Main_S[[#This Row],[ROA]]-VLOOKUP(Main_S[[#This Row],[Industry]], Mean_ROA_S, 2, FALSE))/(VLOOKUP(Main_S[[#This Row],[Industry]], Mean_ROA_S, 3, FALSE))</f>
        <v>0.67566302065099026</v>
      </c>
      <c r="S93" s="1">
        <f>(Main_S[[#This Row],[A/E]]-VLOOKUP(Main_S[[#This Row],[Industry]], Mean_AE_S, 2, FALSE))/(VLOOKUP(Main_S[[#This Row],[Industry]], Mean_AE_S, 3, FALSE))</f>
        <v>-3.8122871184126501E-2</v>
      </c>
      <c r="T93" s="1">
        <f>(Main_S[[#This Row],[P/E]]-VLOOKUP(Main_S[[#This Row],[Industry]], Mean_PE_S, 2, FALSE))/(VLOOKUP(Main_S[[#This Row],[Industry]], Mean_PE_S, 3, FALSE))</f>
        <v>0.64185995991909384</v>
      </c>
      <c r="U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4" spans="1:26" x14ac:dyDescent="0.25">
      <c r="A94" t="s">
        <v>133</v>
      </c>
      <c r="B94" t="s">
        <v>314</v>
      </c>
      <c r="C94" s="2">
        <v>359</v>
      </c>
      <c r="D94">
        <f>RTD("tos.rtd", , "LAST", Main_S[[#This Row],[Symbol]])</f>
        <v>33.119999999999997</v>
      </c>
      <c r="E94">
        <v>4.46</v>
      </c>
      <c r="F94">
        <v>51.44</v>
      </c>
      <c r="G94">
        <v>1.43</v>
      </c>
      <c r="H94" s="1">
        <f>IF(ISNUMBER(Main_S[[#This Row],[Free CF]]),IF(Main_S[[#This Row],[Free CF]]&lt;&gt;0,Main_S[[#This Row],[Current Price]]/Main_S[[#This Row],[Free CF]],""),"")</f>
        <v>7.4260089686098647</v>
      </c>
      <c r="I94" s="1">
        <f>IF(ISNUMBER(Main_S[[#This Row],[BVPS]]),IF(Main_S[[#This Row],[BVPS]]&lt;&gt;0,Main_S[[#This Row],[Current Price]]/Main_S[[#This Row],[BVPS]],""),"")</f>
        <v>0.64385692068429234</v>
      </c>
      <c r="J94">
        <v>2.95</v>
      </c>
      <c r="K94">
        <v>2.4</v>
      </c>
      <c r="L94">
        <v>1.85</v>
      </c>
      <c r="M94" s="1">
        <f>IF(ISNUMBER(Main_S[[#This Row],[EPS]]),IF(Main_S[[#This Row],[EPS]]&lt;&gt;0,Main_S[[#This Row],[Current Price]]/Main_S[[#This Row],[EPS]],""),"")</f>
        <v>23.16083916083916</v>
      </c>
      <c r="N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4" s="1">
        <f>(Main_S[[#This Row],[P/FCF]]-VLOOKUP(Main_S[[#This Row],[Industry]], Mean_PFCF_S, 2, FALSE))/(VLOOKUP(Main_S[[#This Row],[Industry]], Mean_PFCF_S, 3, FALSE))</f>
        <v>0.72012860247025545</v>
      </c>
      <c r="P94" s="1">
        <f>(Main_S[[#This Row],[P/B]]-VLOOKUP(Main_S[[#This Row],[Industry]], Mean_PB_S, 2, FALSE))/(VLOOKUP(Main_S[[#This Row],[Industry]], Mean_PB_S, 3, FALSE))</f>
        <v>-1.2625911832261261</v>
      </c>
      <c r="Q94" s="1">
        <f>(Main_S[[#This Row],[ROE]]-VLOOKUP(Main_S[[#This Row],[Industry]], Mean_ROE_S, 2, FALSE))/(VLOOKUP(Main_S[[#This Row],[Industry]], Mean_ROE_S, 3, FALSE))</f>
        <v>0.54995375103891786</v>
      </c>
      <c r="R94" s="1">
        <f>(Main_S[[#This Row],[ROA]]-VLOOKUP(Main_S[[#This Row],[Industry]], Mean_ROA_S, 2, FALSE))/(VLOOKUP(Main_S[[#This Row],[Industry]], Mean_ROA_S, 3, FALSE))</f>
        <v>0.32247805202194108</v>
      </c>
      <c r="S94" s="1">
        <f>(Main_S[[#This Row],[A/E]]-VLOOKUP(Main_S[[#This Row],[Industry]], Mean_AE_S, 2, FALSE))/(VLOOKUP(Main_S[[#This Row],[Industry]], Mean_AE_S, 3, FALSE))</f>
        <v>6.6213407846116901E-2</v>
      </c>
      <c r="T94" s="1">
        <f>(Main_S[[#This Row],[P/E]]-VLOOKUP(Main_S[[#This Row],[Industry]], Mean_PE_S, 2, FALSE))/(VLOOKUP(Main_S[[#This Row],[Industry]], Mean_PE_S, 3, FALSE))</f>
        <v>1.0856268201480046</v>
      </c>
      <c r="U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5" spans="1:26" x14ac:dyDescent="0.25">
      <c r="A95" t="s">
        <v>157</v>
      </c>
      <c r="B95" t="s">
        <v>315</v>
      </c>
      <c r="C95" s="2">
        <v>423</v>
      </c>
      <c r="D95">
        <f>RTD("tos.rtd", , "LAST", Main_S[[#This Row],[Symbol]])</f>
        <v>28.48</v>
      </c>
      <c r="E95">
        <v>-7.6</v>
      </c>
      <c r="F95">
        <v>51.47</v>
      </c>
      <c r="G95">
        <v>-4.6500000000000004</v>
      </c>
      <c r="H95" s="1">
        <f>IF(ISNUMBER(Main_S[[#This Row],[Free CF]]),IF(Main_S[[#This Row],[Free CF]]&lt;&gt;0,Main_S[[#This Row],[Current Price]]/Main_S[[#This Row],[Free CF]],""),"")</f>
        <v>-3.7473684210526317</v>
      </c>
      <c r="I95" s="1">
        <f>IF(ISNUMBER(Main_S[[#This Row],[BVPS]]),IF(Main_S[[#This Row],[BVPS]]&lt;&gt;0,Main_S[[#This Row],[Current Price]]/Main_S[[#This Row],[BVPS]],""),"")</f>
        <v>0.55333203808043518</v>
      </c>
      <c r="J95">
        <v>-10.23</v>
      </c>
      <c r="K95">
        <v>-1.81</v>
      </c>
      <c r="L95">
        <v>1.95</v>
      </c>
      <c r="M95" s="1">
        <f>IF(ISNUMBER(Main_S[[#This Row],[EPS]]),IF(Main_S[[#This Row],[EPS]]&lt;&gt;0,Main_S[[#This Row],[Current Price]]/Main_S[[#This Row],[EPS]],""),"")</f>
        <v>-6.1247311827956983</v>
      </c>
      <c r="N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5" s="1">
        <f>(Main_S[[#This Row],[P/FCF]]-VLOOKUP(Main_S[[#This Row],[Industry]], Mean_PFCF_S, 2, FALSE))/(VLOOKUP(Main_S[[#This Row],[Industry]], Mean_PFCF_S, 3, FALSE))</f>
        <v>-0.99999999999999978</v>
      </c>
      <c r="P95" s="1">
        <f>(Main_S[[#This Row],[P/B]]-VLOOKUP(Main_S[[#This Row],[Industry]], Mean_PB_S, 2, FALSE))/(VLOOKUP(Main_S[[#This Row],[Industry]], Mean_PB_S, 3, FALSE))</f>
        <v>0.99999999999997891</v>
      </c>
      <c r="Q95" s="1">
        <f>(Main_S[[#This Row],[ROE]]-VLOOKUP(Main_S[[#This Row],[Industry]], Mean_ROE_S, 2, FALSE))/(VLOOKUP(Main_S[[#This Row],[Industry]], Mean_ROE_S, 3, FALSE))</f>
        <v>-1.0000000000000018</v>
      </c>
      <c r="R95" s="1">
        <f>(Main_S[[#This Row],[ROA]]-VLOOKUP(Main_S[[#This Row],[Industry]], Mean_ROA_S, 2, FALSE))/(VLOOKUP(Main_S[[#This Row],[Industry]], Mean_ROA_S, 3, FALSE))</f>
        <v>-1</v>
      </c>
      <c r="S95" s="1">
        <f>(Main_S[[#This Row],[A/E]]-VLOOKUP(Main_S[[#This Row],[Industry]], Mean_AE_S, 2, FALSE))/(VLOOKUP(Main_S[[#This Row],[Industry]], Mean_AE_S, 3, FALSE))</f>
        <v>-0.99999999999999956</v>
      </c>
      <c r="T95" s="1">
        <f>(Main_S[[#This Row],[P/E]]-VLOOKUP(Main_S[[#This Row],[Industry]], Mean_PE_S, 2, FALSE))/(VLOOKUP(Main_S[[#This Row],[Industry]], Mean_PE_S, 3, FALSE))</f>
        <v>-1.0000000000000004</v>
      </c>
      <c r="U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6" spans="1:26" x14ac:dyDescent="0.25">
      <c r="A96" t="s">
        <v>157</v>
      </c>
      <c r="B96" t="s">
        <v>316</v>
      </c>
      <c r="C96" s="2">
        <v>440</v>
      </c>
      <c r="D96">
        <f>RTD("tos.rtd", , "LAST", Main_S[[#This Row],[Symbol]])</f>
        <v>15.05</v>
      </c>
      <c r="E96">
        <v>2.5099999999999998</v>
      </c>
      <c r="F96">
        <v>31.24</v>
      </c>
      <c r="G96">
        <v>-5.82</v>
      </c>
      <c r="H96" s="1">
        <f>IF(ISNUMBER(Main_S[[#This Row],[Free CF]]),IF(Main_S[[#This Row],[Free CF]]&lt;&gt;0,Main_S[[#This Row],[Current Price]]/Main_S[[#This Row],[Free CF]],""),"")</f>
        <v>5.996015936254981</v>
      </c>
      <c r="I96" s="1">
        <f>IF(ISNUMBER(Main_S[[#This Row],[BVPS]]),IF(Main_S[[#This Row],[BVPS]]&lt;&gt;0,Main_S[[#This Row],[Current Price]]/Main_S[[#This Row],[BVPS]],""),"")</f>
        <v>0.48175416133162619</v>
      </c>
      <c r="J96">
        <v>-6.8</v>
      </c>
      <c r="K96">
        <v>1.31</v>
      </c>
      <c r="L96">
        <v>3.61</v>
      </c>
      <c r="M96" s="1">
        <f>IF(ISNUMBER(Main_S[[#This Row],[EPS]]),IF(Main_S[[#This Row],[EPS]]&lt;&gt;0,Main_S[[#This Row],[Current Price]]/Main_S[[#This Row],[EPS]],""),"")</f>
        <v>-2.5859106529209623</v>
      </c>
      <c r="N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6" s="1">
        <f>(Main_S[[#This Row],[P/FCF]]-VLOOKUP(Main_S[[#This Row],[Industry]], Mean_PFCF_S, 2, FALSE))/(VLOOKUP(Main_S[[#This Row],[Industry]], Mean_PFCF_S, 3, FALSE))</f>
        <v>0.99999999999999978</v>
      </c>
      <c r="P96" s="1">
        <f>(Main_S[[#This Row],[P/B]]-VLOOKUP(Main_S[[#This Row],[Industry]], Mean_PB_S, 2, FALSE))/(VLOOKUP(Main_S[[#This Row],[Industry]], Mean_PB_S, 3, FALSE))</f>
        <v>-0.9999999999999758</v>
      </c>
      <c r="Q96" s="1">
        <f>(Main_S[[#This Row],[ROE]]-VLOOKUP(Main_S[[#This Row],[Industry]], Mean_ROE_S, 2, FALSE))/(VLOOKUP(Main_S[[#This Row],[Industry]], Mean_ROE_S, 3, FALSE))</f>
        <v>1.0000000000000022</v>
      </c>
      <c r="R96" s="1">
        <f>(Main_S[[#This Row],[ROA]]-VLOOKUP(Main_S[[#This Row],[Industry]], Mean_ROA_S, 2, FALSE))/(VLOOKUP(Main_S[[#This Row],[Industry]], Mean_ROA_S, 3, FALSE))</f>
        <v>1</v>
      </c>
      <c r="S96" s="1">
        <f>(Main_S[[#This Row],[A/E]]-VLOOKUP(Main_S[[#This Row],[Industry]], Mean_AE_S, 2, FALSE))/(VLOOKUP(Main_S[[#This Row],[Industry]], Mean_AE_S, 3, FALSE))</f>
        <v>0.99999999999999989</v>
      </c>
      <c r="T96" s="1">
        <f>(Main_S[[#This Row],[P/E]]-VLOOKUP(Main_S[[#This Row],[Industry]], Mean_PE_S, 2, FALSE))/(VLOOKUP(Main_S[[#This Row],[Industry]], Mean_PE_S, 3, FALSE))</f>
        <v>1.0000000000000007</v>
      </c>
      <c r="U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25"/>
  <sheetViews>
    <sheetView topLeftCell="A5" workbookViewId="0">
      <selection activeCell="B24" sqref="B24"/>
    </sheetView>
  </sheetViews>
  <sheetFormatPr defaultRowHeight="15" x14ac:dyDescent="0.25"/>
  <cols>
    <col min="1" max="1" width="22.42578125" bestFit="1" customWidth="1"/>
    <col min="2" max="3" width="60.140625" bestFit="1" customWidth="1"/>
    <col min="4" max="4" width="45.140625" bestFit="1" customWidth="1"/>
    <col min="5" max="5" width="45.42578125" bestFit="1" customWidth="1"/>
    <col min="6" max="7" width="58" bestFit="1" customWidth="1"/>
    <col min="8" max="8" width="39" bestFit="1" customWidth="1"/>
    <col min="9" max="9" width="39.28515625" bestFit="1" customWidth="1"/>
    <col min="10" max="11" width="58.7109375" bestFit="1" customWidth="1"/>
    <col min="12" max="12" width="40.7109375" bestFit="1" customWidth="1"/>
    <col min="13" max="13" width="41" bestFit="1" customWidth="1"/>
    <col min="14" max="15" width="58.85546875" bestFit="1" customWidth="1"/>
    <col min="16" max="16" width="41.140625" bestFit="1" customWidth="1"/>
    <col min="17" max="17" width="41.42578125" bestFit="1" customWidth="1"/>
    <col min="18" max="19" width="57.85546875" bestFit="1" customWidth="1"/>
    <col min="20" max="20" width="38.5703125" bestFit="1" customWidth="1"/>
    <col min="21" max="21" width="38.85546875" bestFit="1" customWidth="1"/>
    <col min="22" max="23" width="57.8554687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105</v>
      </c>
      <c r="B3" s="1" cm="1">
        <f t="array" ref="B3">_xlfn.QUARTILE.INC(IF(Quartile_L[[#This Row],[Industry]]=Main_L[Industry],Main_L[P/FCF]),1)</f>
        <v>10.97324552127669</v>
      </c>
      <c r="C3" s="1" cm="1">
        <f t="array" ref="C3">_xlfn.QUARTILE.INC(IF(Quartile_L[[#This Row],[Industry]]=Main_L[Industry],Main_L[P/FCF]),3)</f>
        <v>36.41470968934911</v>
      </c>
      <c r="D3" s="1">
        <f>Quartile_L[[#This Row],[P/FCF Q1]]-1.5*(Quartile_L[[#This Row],[P/FCF Q3]]-Quartile_L[[#This Row],[P/FCF Q1]])</f>
        <v>-27.188950730831941</v>
      </c>
      <c r="E3" s="1">
        <f>Quartile_L[[#This Row],[P/FCF Q3]]+1.5*(Quartile_L[[#This Row],[P/FCF Q3]]-Quartile_L[[#This Row],[P/FCF Q1]])</f>
        <v>74.576905941457738</v>
      </c>
      <c r="F3" s="1" cm="1">
        <f t="array" ref="F3">_xlfn.QUARTILE.INC(IF(Quartile_L[[#This Row],[Industry]]=Main_L[Industry],Main_L[P/B]),1)</f>
        <v>1.2310729024529956</v>
      </c>
      <c r="G3" s="1" cm="1">
        <f t="array" ref="G3">_xlfn.QUARTILE.INC(IF(Quartile_L[[#This Row],[Industry]]=Main_L[Industry],Main_L[P/B]),3)</f>
        <v>3.9276491671230778</v>
      </c>
      <c r="H3" s="1">
        <f>Quartile_L[[#This Row],[P/B Q1]]-1.5*(Quartile_L[[#This Row],[P/B Q3]]-Quartile_L[[#This Row],[P/B Q1]])</f>
        <v>-2.8137914945521278</v>
      </c>
      <c r="I3" s="1">
        <f>Quartile_L[[#This Row],[P/B Q3]]+1.5*(Quartile_L[[#This Row],[P/B Q3]]-Quartile_L[[#This Row],[P/B Q1]])</f>
        <v>7.9725135641282012</v>
      </c>
      <c r="J3" s="1" cm="1">
        <f t="array" ref="J3">_xlfn.QUARTILE.INC(IF(Quartile_L[[#This Row],[Industry]]=Main_L[Industry],Main_L[ROE]),1)</f>
        <v>1.895</v>
      </c>
      <c r="K3" s="1" cm="1">
        <f t="array" ref="K3">_xlfn.QUARTILE.INC(IF(Quartile_L[[#This Row],[Industry]]=Main_L[Industry],Main_L[ROE]),3)</f>
        <v>18.074999999999999</v>
      </c>
      <c r="L3" s="1">
        <f>Quartile_L[[#This Row],[ROE Q1]]-1.5*(Quartile_L[[#This Row],[ROE Q3]]-Quartile_L[[#This Row],[ROE Q1]])</f>
        <v>-22.375</v>
      </c>
      <c r="M3" s="1">
        <f>Quartile_L[[#This Row],[ROE Q3]]+1.5*(Quartile_L[[#This Row],[ROE Q3]]-Quartile_L[[#This Row],[ROE Q1]])</f>
        <v>42.344999999999999</v>
      </c>
      <c r="N3" s="1" cm="1">
        <f t="array" ref="N3">_xlfn.QUARTILE.INC(IF(Quartile_L[[#This Row],[Industry]]=Main_L[Industry],Main_L[ROA]),1)</f>
        <v>1.9850000000000001</v>
      </c>
      <c r="O3" s="1" cm="1">
        <f t="array" ref="O3">_xlfn.QUARTILE.INC(IF(Quartile_L[[#This Row],[Industry]]=Main_L[Industry],Main_L[ROA]),3)</f>
        <v>7.02</v>
      </c>
      <c r="P3" s="1">
        <f>Quartile_L[[#This Row],[ROA Q1]]-1.5*(Quartile_L[[#This Row],[ROA Q3]]-Quartile_L[[#This Row],[ROA Q1]])</f>
        <v>-5.5674999999999981</v>
      </c>
      <c r="Q3" s="1">
        <f>Quartile_L[[#This Row],[ROA Q3]]+1.5*(Quartile_L[[#This Row],[ROA Q3]]-Quartile_L[[#This Row],[ROA Q1]])</f>
        <v>14.572499999999998</v>
      </c>
      <c r="R3" s="1" cm="1">
        <f t="array" ref="R3">_xlfn.QUARTILE.INC(IF(Quartile_L[[#This Row],[Industry]]=Main_L[Industry],Main_L[P/E]),1)</f>
        <v>21.904376226501448</v>
      </c>
      <c r="S3" s="1" cm="1">
        <f t="array" ref="S3">_xlfn.QUARTILE.INC(IF(Quartile_L[[#This Row],[Industry]]=Main_L[Industry],Main_L[P/E]),3)</f>
        <v>58.94605067064083</v>
      </c>
      <c r="T3" s="1">
        <f>Quartile_L[[#This Row],[P/E Q1]]-1.5*(Quartile_L[[#This Row],[P/E Q3]]-Quartile_L[[#This Row],[P/E Q1]])</f>
        <v>-33.658135439707628</v>
      </c>
      <c r="U3" s="1">
        <f>Quartile_L[[#This Row],[P/E Q3]]+1.5*(Quartile_L[[#This Row],[P/E Q3]]-Quartile_L[[#This Row],[P/E Q1]])</f>
        <v>114.50856233684991</v>
      </c>
      <c r="V3" s="1" cm="1">
        <f t="array" ref="V3">_xlfn.QUARTILE.INC(IF(Quartile_L[[#This Row],[Industry]]=Main_L[Industry],Main_L[A/E]),1)</f>
        <v>1.9950000000000001</v>
      </c>
      <c r="W3" s="1" cm="1">
        <f t="array" ref="W3">_xlfn.QUARTILE.INC(IF(Quartile_L[[#This Row],[Industry]]=Main_L[Industry],Main_L[A/E]),3)</f>
        <v>2.79</v>
      </c>
      <c r="X3" s="1">
        <f>Quartile_L[[#This Row],[A/E Q1]]-1.5*(Quartile_L[[#This Row],[A/E Q3]]-Quartile_L[[#This Row],[A/E Q1]])</f>
        <v>0.80250000000000021</v>
      </c>
      <c r="Y3" s="1">
        <f>Quartile_L[[#This Row],[A/E Q3]]+1.5*(Quartile_L[[#This Row],[A/E Q3]]-Quartile_L[[#This Row],[A/E Q1]])</f>
        <v>3.9824999999999999</v>
      </c>
    </row>
    <row r="4" spans="1:25" x14ac:dyDescent="0.25">
      <c r="A4" t="s">
        <v>121</v>
      </c>
      <c r="B4" s="1" cm="1">
        <f t="array" ref="B4">_xlfn.QUARTILE.INC(IF(Quartile_L[[#This Row],[Industry]]=Main_L[Industry],Main_L[P/FCF]),1)</f>
        <v>34.791516462388842</v>
      </c>
      <c r="C4" s="1" cm="1">
        <f t="array" ref="C4">_xlfn.QUARTILE.INC(IF(Quartile_L[[#This Row],[Industry]]=Main_L[Industry],Main_L[P/FCF]),3)</f>
        <v>47.392571875947517</v>
      </c>
      <c r="D4" s="1">
        <f>Quartile_L[[#This Row],[P/FCF Q1]]-1.5*(Quartile_L[[#This Row],[P/FCF Q3]]-Quartile_L[[#This Row],[P/FCF Q1]])</f>
        <v>15.889933342050828</v>
      </c>
      <c r="E4" s="1">
        <f>Quartile_L[[#This Row],[P/FCF Q3]]+1.5*(Quartile_L[[#This Row],[P/FCF Q3]]-Quartile_L[[#This Row],[P/FCF Q1]])</f>
        <v>66.294154996285528</v>
      </c>
      <c r="F4" s="1" cm="1">
        <f t="array" ref="F4">_xlfn.QUARTILE.INC(IF(Quartile_L[[#This Row],[Industry]]=Main_L[Industry],Main_L[P/B]),1)</f>
        <v>3.4677460003939569</v>
      </c>
      <c r="G4" s="1" cm="1">
        <f t="array" ref="G4">_xlfn.QUARTILE.INC(IF(Quartile_L[[#This Row],[Industry]]=Main_L[Industry],Main_L[P/B]),3)</f>
        <v>3.9859660697333315</v>
      </c>
      <c r="H4" s="1">
        <f>Quartile_L[[#This Row],[P/B Q1]]-1.5*(Quartile_L[[#This Row],[P/B Q3]]-Quartile_L[[#This Row],[P/B Q1]])</f>
        <v>2.690415896384895</v>
      </c>
      <c r="I4" s="1">
        <f>Quartile_L[[#This Row],[P/B Q3]]+1.5*(Quartile_L[[#This Row],[P/B Q3]]-Quartile_L[[#This Row],[P/B Q1]])</f>
        <v>4.7632961737423933</v>
      </c>
      <c r="J4" s="1" cm="1">
        <f t="array" ref="J4">_xlfn.QUARTILE.INC(IF(Quartile_L[[#This Row],[Industry]]=Main_L[Industry],Main_L[ROE]),1)</f>
        <v>11.975</v>
      </c>
      <c r="K4" s="1" cm="1">
        <f t="array" ref="K4">_xlfn.QUARTILE.INC(IF(Quartile_L[[#This Row],[Industry]]=Main_L[Industry],Main_L[ROE]),3)</f>
        <v>13.719999999999999</v>
      </c>
      <c r="L4" s="1">
        <f>Quartile_L[[#This Row],[ROE Q1]]-1.5*(Quartile_L[[#This Row],[ROE Q3]]-Quartile_L[[#This Row],[ROE Q1]])</f>
        <v>9.3575000000000017</v>
      </c>
      <c r="M4" s="1">
        <f>Quartile_L[[#This Row],[ROE Q3]]+1.5*(Quartile_L[[#This Row],[ROE Q3]]-Quartile_L[[#This Row],[ROE Q1]])</f>
        <v>16.337499999999999</v>
      </c>
      <c r="N4" s="1" cm="1">
        <f t="array" ref="N4">_xlfn.QUARTILE.INC(IF(Quartile_L[[#This Row],[Industry]]=Main_L[Industry],Main_L[ROA]),1)</f>
        <v>5.8849999999999998</v>
      </c>
      <c r="O4" s="1" cm="1">
        <f t="array" ref="O4">_xlfn.QUARTILE.INC(IF(Quartile_L[[#This Row],[Industry]]=Main_L[Industry],Main_L[ROA]),3)</f>
        <v>6.1150000000000002</v>
      </c>
      <c r="P4" s="1">
        <f>Quartile_L[[#This Row],[ROA Q1]]-1.5*(Quartile_L[[#This Row],[ROA Q3]]-Quartile_L[[#This Row],[ROA Q1]])</f>
        <v>5.5399999999999991</v>
      </c>
      <c r="Q4" s="1">
        <f>Quartile_L[[#This Row],[ROA Q3]]+1.5*(Quartile_L[[#This Row],[ROA Q3]]-Quartile_L[[#This Row],[ROA Q1]])</f>
        <v>6.4600000000000009</v>
      </c>
      <c r="R4" s="1" cm="1">
        <f t="array" ref="R4">_xlfn.QUARTILE.INC(IF(Quartile_L[[#This Row],[Industry]]=Main_L[Industry],Main_L[P/E]),1)</f>
        <v>26.001438434982738</v>
      </c>
      <c r="S4" s="1" cm="1">
        <f t="array" ref="S4">_xlfn.QUARTILE.INC(IF(Quartile_L[[#This Row],[Industry]]=Main_L[Industry],Main_L[P/E]),3)</f>
        <v>34.535193709244339</v>
      </c>
      <c r="T4" s="1">
        <f>Quartile_L[[#This Row],[P/E Q1]]-1.5*(Quartile_L[[#This Row],[P/E Q3]]-Quartile_L[[#This Row],[P/E Q1]])</f>
        <v>13.200805523590336</v>
      </c>
      <c r="U4" s="1">
        <f>Quartile_L[[#This Row],[P/E Q3]]+1.5*(Quartile_L[[#This Row],[P/E Q3]]-Quartile_L[[#This Row],[P/E Q1]])</f>
        <v>47.335826620636738</v>
      </c>
      <c r="V4" s="1" cm="1">
        <f t="array" ref="V4">_xlfn.QUARTILE.INC(IF(Quartile_L[[#This Row],[Industry]]=Main_L[Industry],Main_L[A/E]),1)</f>
        <v>2</v>
      </c>
      <c r="W4" s="1" cm="1">
        <f t="array" ref="W4">_xlfn.QUARTILE.INC(IF(Quartile_L[[#This Row],[Industry]]=Main_L[Industry],Main_L[A/E]),3)</f>
        <v>2.2549999999999999</v>
      </c>
      <c r="X4" s="1">
        <f>Quartile_L[[#This Row],[A/E Q1]]-1.5*(Quartile_L[[#This Row],[A/E Q3]]-Quartile_L[[#This Row],[A/E Q1]])</f>
        <v>1.6175000000000002</v>
      </c>
      <c r="Y4" s="1">
        <f>Quartile_L[[#This Row],[A/E Q3]]+1.5*(Quartile_L[[#This Row],[A/E Q3]]-Quartile_L[[#This Row],[A/E Q1]])</f>
        <v>2.6374999999999997</v>
      </c>
    </row>
    <row r="5" spans="1:25" x14ac:dyDescent="0.25">
      <c r="A5" t="s">
        <v>125</v>
      </c>
      <c r="B5" s="1" cm="1">
        <f t="array" ref="B5">_xlfn.QUARTILE.INC(IF(Quartile_L[[#This Row],[Industry]]=Main_L[Industry],Main_L[P/FCF]),1)</f>
        <v>-198.6602034329307</v>
      </c>
      <c r="C5" s="1" cm="1">
        <f t="array" ref="C5">_xlfn.QUARTILE.INC(IF(Quartile_L[[#This Row],[Industry]]=Main_L[Industry],Main_L[P/FCF]),3)</f>
        <v>21.85314763231198</v>
      </c>
      <c r="D5" s="1">
        <f>Quartile_L[[#This Row],[P/FCF Q1]]-1.5*(Quartile_L[[#This Row],[P/FCF Q3]]-Quartile_L[[#This Row],[P/FCF Q1]])</f>
        <v>-529.43023003079475</v>
      </c>
      <c r="E5" s="1">
        <f>Quartile_L[[#This Row],[P/FCF Q3]]+1.5*(Quartile_L[[#This Row],[P/FCF Q3]]-Quartile_L[[#This Row],[P/FCF Q1]])</f>
        <v>352.62317423017601</v>
      </c>
      <c r="F5" s="1" cm="1">
        <f t="array" ref="F5">_xlfn.QUARTILE.INC(IF(Quartile_L[[#This Row],[Industry]]=Main_L[Industry],Main_L[P/B]),1)</f>
        <v>1.9726852203406988</v>
      </c>
      <c r="G5" s="1" cm="1">
        <f t="array" ref="G5">_xlfn.QUARTILE.INC(IF(Quartile_L[[#This Row],[Industry]]=Main_L[Industry],Main_L[P/B]),3)</f>
        <v>3.9921651582021722</v>
      </c>
      <c r="H5" s="1">
        <f>Quartile_L[[#This Row],[P/B Q1]]-1.5*(Quartile_L[[#This Row],[P/B Q3]]-Quartile_L[[#This Row],[P/B Q1]])</f>
        <v>-1.0565346864515113</v>
      </c>
      <c r="I5" s="1">
        <f>Quartile_L[[#This Row],[P/B Q3]]+1.5*(Quartile_L[[#This Row],[P/B Q3]]-Quartile_L[[#This Row],[P/B Q1]])</f>
        <v>7.0213850649943819</v>
      </c>
      <c r="J5" s="1" cm="1">
        <f t="array" ref="J5">_xlfn.QUARTILE.INC(IF(Quartile_L[[#This Row],[Industry]]=Main_L[Industry],Main_L[ROE]),1)</f>
        <v>6.5200000000000005</v>
      </c>
      <c r="K5" s="1" cm="1">
        <f t="array" ref="K5">_xlfn.QUARTILE.INC(IF(Quartile_L[[#This Row],[Industry]]=Main_L[Industry],Main_L[ROE]),3)</f>
        <v>21.77</v>
      </c>
      <c r="L5" s="1">
        <f>Quartile_L[[#This Row],[ROE Q1]]-1.5*(Quartile_L[[#This Row],[ROE Q3]]-Quartile_L[[#This Row],[ROE Q1]])</f>
        <v>-16.355</v>
      </c>
      <c r="M5" s="1">
        <f>Quartile_L[[#This Row],[ROE Q3]]+1.5*(Quartile_L[[#This Row],[ROE Q3]]-Quartile_L[[#This Row],[ROE Q1]])</f>
        <v>44.644999999999996</v>
      </c>
      <c r="N5" s="1" cm="1">
        <f t="array" ref="N5">_xlfn.QUARTILE.INC(IF(Quartile_L[[#This Row],[Industry]]=Main_L[Industry],Main_L[ROA]),1)</f>
        <v>3.77</v>
      </c>
      <c r="O5" s="1" cm="1">
        <f t="array" ref="O5">_xlfn.QUARTILE.INC(IF(Quartile_L[[#This Row],[Industry]]=Main_L[Industry],Main_L[ROA]),3)</f>
        <v>7.5299999999999994</v>
      </c>
      <c r="P5" s="1">
        <f>Quartile_L[[#This Row],[ROA Q1]]-1.5*(Quartile_L[[#This Row],[ROA Q3]]-Quartile_L[[#This Row],[ROA Q1]])</f>
        <v>-1.8699999999999988</v>
      </c>
      <c r="Q5" s="1">
        <f>Quartile_L[[#This Row],[ROA Q3]]+1.5*(Quartile_L[[#This Row],[ROA Q3]]-Quartile_L[[#This Row],[ROA Q1]])</f>
        <v>13.169999999999998</v>
      </c>
      <c r="R5" s="1" cm="1">
        <f t="array" ref="R5">_xlfn.QUARTILE.INC(IF(Quartile_L[[#This Row],[Industry]]=Main_L[Industry],Main_L[P/E]),1)</f>
        <v>20.353240511143959</v>
      </c>
      <c r="S5" s="1" cm="1">
        <f t="array" ref="S5">_xlfn.QUARTILE.INC(IF(Quartile_L[[#This Row],[Industry]]=Main_L[Industry],Main_L[P/E]),3)</f>
        <v>39.793209071949946</v>
      </c>
      <c r="T5" s="1">
        <f>Quartile_L[[#This Row],[P/E Q1]]-1.5*(Quartile_L[[#This Row],[P/E Q3]]-Quartile_L[[#This Row],[P/E Q1]])</f>
        <v>-8.8067123300650216</v>
      </c>
      <c r="U5" s="1">
        <f>Quartile_L[[#This Row],[P/E Q3]]+1.5*(Quartile_L[[#This Row],[P/E Q3]]-Quartile_L[[#This Row],[P/E Q1]])</f>
        <v>68.953161913158922</v>
      </c>
      <c r="V5" s="1" cm="1">
        <f t="array" ref="V5">_xlfn.QUARTILE.INC(IF(Quartile_L[[#This Row],[Industry]]=Main_L[Industry],Main_L[A/E]),1)</f>
        <v>2.3899999999999997</v>
      </c>
      <c r="W5" s="1" cm="1">
        <f t="array" ref="W5">_xlfn.QUARTILE.INC(IF(Quartile_L[[#This Row],[Industry]]=Main_L[Industry],Main_L[A/E]),3)</f>
        <v>4.2649999999999997</v>
      </c>
      <c r="X5" s="1">
        <f>Quartile_L[[#This Row],[A/E Q1]]-1.5*(Quartile_L[[#This Row],[A/E Q3]]-Quartile_L[[#This Row],[A/E Q1]])</f>
        <v>-0.42250000000000032</v>
      </c>
      <c r="Y5" s="1">
        <f>Quartile_L[[#This Row],[A/E Q3]]+1.5*(Quartile_L[[#This Row],[A/E Q3]]-Quartile_L[[#This Row],[A/E Q1]])</f>
        <v>7.0774999999999997</v>
      </c>
    </row>
    <row r="6" spans="1:25" x14ac:dyDescent="0.25">
      <c r="A6" t="s">
        <v>133</v>
      </c>
      <c r="B6" s="1" cm="1">
        <f t="array" ref="B6">_xlfn.QUARTILE.INC(IF(Quartile_L[[#This Row],[Industry]]=Main_L[Industry],Main_L[P/FCF]),1)</f>
        <v>16.988533972039068</v>
      </c>
      <c r="C6" s="1" cm="1">
        <f t="array" ref="C6">_xlfn.QUARTILE.INC(IF(Quartile_L[[#This Row],[Industry]]=Main_L[Industry],Main_L[P/FCF]),3)</f>
        <v>43.023168542992337</v>
      </c>
      <c r="D6" s="1">
        <f>Quartile_L[[#This Row],[P/FCF Q1]]-1.5*(Quartile_L[[#This Row],[P/FCF Q3]]-Quartile_L[[#This Row],[P/FCF Q1]])</f>
        <v>-22.063417884390834</v>
      </c>
      <c r="E6" s="1">
        <f>Quartile_L[[#This Row],[P/FCF Q3]]+1.5*(Quartile_L[[#This Row],[P/FCF Q3]]-Quartile_L[[#This Row],[P/FCF Q1]])</f>
        <v>82.075120399422246</v>
      </c>
      <c r="F6" s="1" cm="1">
        <f t="array" ref="F6">_xlfn.QUARTILE.INC(IF(Quartile_L[[#This Row],[Industry]]=Main_L[Industry],Main_L[P/B]),1)</f>
        <v>1.5870149819458574</v>
      </c>
      <c r="G6" s="1" cm="1">
        <f t="array" ref="G6">_xlfn.QUARTILE.INC(IF(Quartile_L[[#This Row],[Industry]]=Main_L[Industry],Main_L[P/B]),3)</f>
        <v>3.6183321452487416</v>
      </c>
      <c r="H6" s="1">
        <f>Quartile_L[[#This Row],[P/B Q1]]-1.5*(Quartile_L[[#This Row],[P/B Q3]]-Quartile_L[[#This Row],[P/B Q1]])</f>
        <v>-1.459960763008469</v>
      </c>
      <c r="I6" s="1">
        <f>Quartile_L[[#This Row],[P/B Q3]]+1.5*(Quartile_L[[#This Row],[P/B Q3]]-Quartile_L[[#This Row],[P/B Q1]])</f>
        <v>6.665307890203068</v>
      </c>
      <c r="J6" s="1" cm="1">
        <f t="array" ref="J6">_xlfn.QUARTILE.INC(IF(Quartile_L[[#This Row],[Industry]]=Main_L[Industry],Main_L[ROE]),1)</f>
        <v>8.6150000000000002</v>
      </c>
      <c r="K6" s="1" cm="1">
        <f t="array" ref="K6">_xlfn.QUARTILE.INC(IF(Quartile_L[[#This Row],[Industry]]=Main_L[Industry],Main_L[ROE]),3)</f>
        <v>18.685000000000002</v>
      </c>
      <c r="L6" s="1">
        <f>Quartile_L[[#This Row],[ROE Q1]]-1.5*(Quartile_L[[#This Row],[ROE Q3]]-Quartile_L[[#This Row],[ROE Q1]])</f>
        <v>-6.4900000000000038</v>
      </c>
      <c r="M6" s="1">
        <f>Quartile_L[[#This Row],[ROE Q3]]+1.5*(Quartile_L[[#This Row],[ROE Q3]]-Quartile_L[[#This Row],[ROE Q1]])</f>
        <v>33.790000000000006</v>
      </c>
      <c r="N6" s="1" cm="1">
        <f t="array" ref="N6">_xlfn.QUARTILE.INC(IF(Quartile_L[[#This Row],[Industry]]=Main_L[Industry],Main_L[ROA]),1)</f>
        <v>6.13</v>
      </c>
      <c r="O6" s="1" cm="1">
        <f t="array" ref="O6">_xlfn.QUARTILE.INC(IF(Quartile_L[[#This Row],[Industry]]=Main_L[Industry],Main_L[ROA]),3)</f>
        <v>8.84</v>
      </c>
      <c r="P6" s="1">
        <f>Quartile_L[[#This Row],[ROA Q1]]-1.5*(Quartile_L[[#This Row],[ROA Q3]]-Quartile_L[[#This Row],[ROA Q1]])</f>
        <v>2.0650000000000004</v>
      </c>
      <c r="Q6" s="1">
        <f>Quartile_L[[#This Row],[ROA Q3]]+1.5*(Quartile_L[[#This Row],[ROA Q3]]-Quartile_L[[#This Row],[ROA Q1]])</f>
        <v>12.904999999999999</v>
      </c>
      <c r="R6" s="1" cm="1">
        <f t="array" ref="R6">_xlfn.QUARTILE.INC(IF(Quartile_L[[#This Row],[Industry]]=Main_L[Industry],Main_L[P/E]),1)</f>
        <v>13.027347627556086</v>
      </c>
      <c r="S6" s="1" cm="1">
        <f t="array" ref="S6">_xlfn.QUARTILE.INC(IF(Quartile_L[[#This Row],[Industry]]=Main_L[Industry],Main_L[P/E]),3)</f>
        <v>27.306382978723406</v>
      </c>
      <c r="T6" s="1">
        <f>Quartile_L[[#This Row],[P/E Q1]]-1.5*(Quartile_L[[#This Row],[P/E Q3]]-Quartile_L[[#This Row],[P/E Q1]])</f>
        <v>-8.3912053991948916</v>
      </c>
      <c r="U6" s="1">
        <f>Quartile_L[[#This Row],[P/E Q3]]+1.5*(Quartile_L[[#This Row],[P/E Q3]]-Quartile_L[[#This Row],[P/E Q1]])</f>
        <v>48.724936005474383</v>
      </c>
      <c r="V6" s="1" cm="1">
        <f t="array" ref="V6">_xlfn.QUARTILE.INC(IF(Quartile_L[[#This Row],[Industry]]=Main_L[Industry],Main_L[A/E]),1)</f>
        <v>1.4950000000000001</v>
      </c>
      <c r="W6" s="1" cm="1">
        <f t="array" ref="W6">_xlfn.QUARTILE.INC(IF(Quartile_L[[#This Row],[Industry]]=Main_L[Industry],Main_L[A/E]),3)</f>
        <v>1.9550000000000001</v>
      </c>
      <c r="X6" s="1">
        <f>Quartile_L[[#This Row],[A/E Q1]]-1.5*(Quartile_L[[#This Row],[A/E Q3]]-Quartile_L[[#This Row],[A/E Q1]])</f>
        <v>0.80500000000000016</v>
      </c>
      <c r="Y6" s="1">
        <f>Quartile_L[[#This Row],[A/E Q3]]+1.5*(Quartile_L[[#This Row],[A/E Q3]]-Quartile_L[[#This Row],[A/E Q1]])</f>
        <v>2.645</v>
      </c>
    </row>
    <row r="7" spans="1:25" x14ac:dyDescent="0.25">
      <c r="A7" t="s">
        <v>157</v>
      </c>
      <c r="B7" s="1" cm="1">
        <f t="array" ref="B7">_xlfn.QUARTILE.INC(IF(Quartile_L[[#This Row],[Industry]]=Main_L[Industry],Main_L[P/FCF]),1)</f>
        <v>18.25</v>
      </c>
      <c r="C7" s="1" cm="1">
        <f t="array" ref="C7">_xlfn.QUARTILE.INC(IF(Quartile_L[[#This Row],[Industry]]=Main_L[Industry],Main_L[P/FCF]),3)</f>
        <v>18.25</v>
      </c>
      <c r="D7" s="1">
        <f>Quartile_L[[#This Row],[P/FCF Q1]]-1.5*(Quartile_L[[#This Row],[P/FCF Q3]]-Quartile_L[[#This Row],[P/FCF Q1]])</f>
        <v>18.25</v>
      </c>
      <c r="E7" s="1">
        <f>Quartile_L[[#This Row],[P/FCF Q3]]+1.5*(Quartile_L[[#This Row],[P/FCF Q3]]-Quartile_L[[#This Row],[P/FCF Q1]])</f>
        <v>18.25</v>
      </c>
      <c r="F7" s="1" cm="1">
        <f t="array" ref="F7">_xlfn.QUARTILE.INC(IF(Quartile_L[[#This Row],[Industry]]=Main_L[Industry],Main_L[P/B]),1)</f>
        <v>2.2541567695961997</v>
      </c>
      <c r="G7" s="1" cm="1">
        <f t="array" ref="G7">_xlfn.QUARTILE.INC(IF(Quartile_L[[#This Row],[Industry]]=Main_L[Industry],Main_L[P/B]),3)</f>
        <v>2.2541567695961997</v>
      </c>
      <c r="H7" s="1">
        <f>Quartile_L[[#This Row],[P/B Q1]]-1.5*(Quartile_L[[#This Row],[P/B Q3]]-Quartile_L[[#This Row],[P/B Q1]])</f>
        <v>2.2541567695961997</v>
      </c>
      <c r="I7" s="1">
        <f>Quartile_L[[#This Row],[P/B Q3]]+1.5*(Quartile_L[[#This Row],[P/B Q3]]-Quartile_L[[#This Row],[P/B Q1]])</f>
        <v>2.2541567695961997</v>
      </c>
      <c r="J7" s="1" cm="1">
        <f t="array" ref="J7">_xlfn.QUARTILE.INC(IF(Quartile_L[[#This Row],[Industry]]=Main_L[Industry],Main_L[ROE]),1)</f>
        <v>-18.239999999999998</v>
      </c>
      <c r="K7" s="1" cm="1">
        <f t="array" ref="K7">_xlfn.QUARTILE.INC(IF(Quartile_L[[#This Row],[Industry]]=Main_L[Industry],Main_L[ROE]),3)</f>
        <v>-18.239999999999998</v>
      </c>
      <c r="L7" s="1">
        <f>Quartile_L[[#This Row],[ROE Q1]]-1.5*(Quartile_L[[#This Row],[ROE Q3]]-Quartile_L[[#This Row],[ROE Q1]])</f>
        <v>-18.239999999999998</v>
      </c>
      <c r="M7" s="1">
        <f>Quartile_L[[#This Row],[ROE Q3]]+1.5*(Quartile_L[[#This Row],[ROE Q3]]-Quartile_L[[#This Row],[ROE Q1]])</f>
        <v>-18.239999999999998</v>
      </c>
      <c r="N7" s="1" cm="1">
        <f t="array" ref="N7">_xlfn.QUARTILE.INC(IF(Quartile_L[[#This Row],[Industry]]=Main_L[Industry],Main_L[ROA]),1)</f>
        <v>5.89</v>
      </c>
      <c r="O7" s="1" cm="1">
        <f t="array" ref="O7">_xlfn.QUARTILE.INC(IF(Quartile_L[[#This Row],[Industry]]=Main_L[Industry],Main_L[ROA]),3)</f>
        <v>5.89</v>
      </c>
      <c r="P7" s="1">
        <f>Quartile_L[[#This Row],[ROA Q1]]-1.5*(Quartile_L[[#This Row],[ROA Q3]]-Quartile_L[[#This Row],[ROA Q1]])</f>
        <v>5.89</v>
      </c>
      <c r="Q7" s="1">
        <f>Quartile_L[[#This Row],[ROA Q3]]+1.5*(Quartile_L[[#This Row],[ROA Q3]]-Quartile_L[[#This Row],[ROA Q1]])</f>
        <v>5.89</v>
      </c>
      <c r="R7" s="1" cm="1">
        <f t="array" ref="R7">_xlfn.QUARTILE.INC(IF(Quartile_L[[#This Row],[Industry]]=Main_L[Industry],Main_L[P/E]),1)</f>
        <v>-10.544444444444444</v>
      </c>
      <c r="S7" s="1" cm="1">
        <f t="array" ref="S7">_xlfn.QUARTILE.INC(IF(Quartile_L[[#This Row],[Industry]]=Main_L[Industry],Main_L[P/E]),3)</f>
        <v>-10.544444444444444</v>
      </c>
      <c r="T7" s="1">
        <f>Quartile_L[[#This Row],[P/E Q1]]-1.5*(Quartile_L[[#This Row],[P/E Q3]]-Quartile_L[[#This Row],[P/E Q1]])</f>
        <v>-10.544444444444444</v>
      </c>
      <c r="U7" s="1">
        <f>Quartile_L[[#This Row],[P/E Q3]]+1.5*(Quartile_L[[#This Row],[P/E Q3]]-Quartile_L[[#This Row],[P/E Q1]])</f>
        <v>-10.544444444444444</v>
      </c>
      <c r="V7" s="1" cm="1">
        <f t="array" ref="V7">_xlfn.QUARTILE.INC(IF(Quartile_L[[#This Row],[Industry]]=Main_L[Industry],Main_L[A/E]),1)</f>
        <v>5.14</v>
      </c>
      <c r="W7" s="1" cm="1">
        <f t="array" ref="W7">_xlfn.QUARTILE.INC(IF(Quartile_L[[#This Row],[Industry]]=Main_L[Industry],Main_L[A/E]),3)</f>
        <v>5.14</v>
      </c>
      <c r="X7" s="1">
        <f>Quartile_L[[#This Row],[A/E Q1]]-1.5*(Quartile_L[[#This Row],[A/E Q3]]-Quartile_L[[#This Row],[A/E Q1]])</f>
        <v>5.14</v>
      </c>
      <c r="Y7" s="1">
        <f>Quartile_L[[#This Row],[A/E Q3]]+1.5*(Quartile_L[[#This Row],[A/E Q3]]-Quartile_L[[#This Row],[A/E Q1]])</f>
        <v>5.14</v>
      </c>
    </row>
    <row r="10" spans="1:25" x14ac:dyDescent="0.25">
      <c r="A10" t="s">
        <v>22</v>
      </c>
    </row>
    <row r="11" spans="1:25" x14ac:dyDescent="0.25">
      <c r="A11" t="s">
        <v>1</v>
      </c>
      <c r="B11" t="s">
        <v>2</v>
      </c>
      <c r="C11" t="s">
        <v>3</v>
      </c>
      <c r="D11" t="s">
        <v>4</v>
      </c>
      <c r="E11" t="s">
        <v>5</v>
      </c>
      <c r="F11" t="s">
        <v>72</v>
      </c>
      <c r="G11" t="s">
        <v>73</v>
      </c>
      <c r="H11" t="s">
        <v>74</v>
      </c>
      <c r="I11" t="s">
        <v>75</v>
      </c>
      <c r="J11" t="s">
        <v>6</v>
      </c>
      <c r="K11" t="s">
        <v>7</v>
      </c>
      <c r="L11" t="s">
        <v>8</v>
      </c>
      <c r="M11" t="s">
        <v>9</v>
      </c>
      <c r="N11" t="s">
        <v>10</v>
      </c>
      <c r="O11" t="s">
        <v>11</v>
      </c>
      <c r="P11" t="s">
        <v>12</v>
      </c>
      <c r="Q11" t="s">
        <v>13</v>
      </c>
      <c r="R11" t="s">
        <v>14</v>
      </c>
      <c r="S11" t="s">
        <v>15</v>
      </c>
      <c r="T11" t="s">
        <v>16</v>
      </c>
      <c r="U11" t="s">
        <v>17</v>
      </c>
      <c r="V11" t="s">
        <v>18</v>
      </c>
      <c r="W11" t="s">
        <v>19</v>
      </c>
      <c r="X11" t="s">
        <v>20</v>
      </c>
      <c r="Y11" t="s">
        <v>21</v>
      </c>
    </row>
    <row r="12" spans="1:25" x14ac:dyDescent="0.25">
      <c r="A12" t="s">
        <v>105</v>
      </c>
      <c r="B12" s="1" cm="1">
        <f t="array" ref="B12">_xlfn.QUARTILE.INC(IF(Quartile_M[[#This Row],[Industry]]=Main_M[Industry],Main_M[P/FCF]),1)</f>
        <v>11.576271186440678</v>
      </c>
      <c r="C12" s="1" cm="1">
        <f t="array" ref="C12">_xlfn.QUARTILE.INC(IF(Quartile_M[[#This Row],[Industry]]=Main_M[Industry],Main_M[P/FCF]),3)</f>
        <v>31.163212435233163</v>
      </c>
      <c r="D12" s="1">
        <f>Quartile_M[[#This Row],[P/FCF Q1]]-1.5*(Quartile_M[[#This Row],[P/FCF Q3]]-Quartile_M[[#This Row],[P/FCF Q1]])</f>
        <v>-17.804140686748049</v>
      </c>
      <c r="E12" s="1">
        <f>Quartile_M[[#This Row],[P/FCF Q3]]+1.5*(Quartile_M[[#This Row],[P/FCF Q3]]-Quartile_M[[#This Row],[P/FCF Q1]])</f>
        <v>60.54362430842189</v>
      </c>
      <c r="F12" s="1" cm="1">
        <f t="array" ref="F12">_xlfn.QUARTILE.INC(IF(Quartile_M[[#This Row],[Industry]]=Main_M[Industry],Main_M[P/B]),1)</f>
        <v>1.0863740022805017</v>
      </c>
      <c r="G12" s="1" cm="1">
        <f t="array" ref="G12">_xlfn.QUARTILE.INC(IF(Quartile_M[[#This Row],[Industry]]=Main_M[Industry],Main_M[P/B]),3)</f>
        <v>2.9130434782608696</v>
      </c>
      <c r="H12" s="1">
        <f>Quartile_M[[#This Row],[P/B Q1]]-1.5*(Quartile_M[[#This Row],[P/B Q3]]-Quartile_M[[#This Row],[P/B Q1]])</f>
        <v>-1.6536302116900501</v>
      </c>
      <c r="I12" s="1">
        <f>Quartile_M[[#This Row],[P/B Q3]]+1.5*(Quartile_M[[#This Row],[P/B Q3]]-Quartile_M[[#This Row],[P/B Q1]])</f>
        <v>5.6530476922314215</v>
      </c>
      <c r="J12" s="1" cm="1">
        <f t="array" ref="J12">_xlfn.QUARTILE.INC(IF(Quartile_M[[#This Row],[Industry]]=Main_M[Industry],Main_M[ROE]),1)</f>
        <v>-3.02</v>
      </c>
      <c r="K12" s="1" cm="1">
        <f t="array" ref="K12">_xlfn.QUARTILE.INC(IF(Quartile_M[[#This Row],[Industry]]=Main_M[Industry],Main_M[ROE]),3)</f>
        <v>13.25</v>
      </c>
      <c r="L12" s="1">
        <f>Quartile_M[[#This Row],[ROE Q1]]-1.5*(Quartile_M[[#This Row],[ROE Q3]]-Quartile_M[[#This Row],[ROE Q1]])</f>
        <v>-27.425000000000001</v>
      </c>
      <c r="M12" s="1">
        <f>Quartile_M[[#This Row],[ROE Q3]]+1.5*(Quartile_M[[#This Row],[ROE Q3]]-Quartile_M[[#This Row],[ROE Q1]])</f>
        <v>37.655000000000001</v>
      </c>
      <c r="N12" s="1" cm="1">
        <f t="array" ref="N12">_xlfn.QUARTILE.INC(IF(Quartile_M[[#This Row],[Industry]]=Main_M[Industry],Main_M[ROA]),1)</f>
        <v>3.13</v>
      </c>
      <c r="O12" s="1" cm="1">
        <f t="array" ref="O12">_xlfn.QUARTILE.INC(IF(Quartile_M[[#This Row],[Industry]]=Main_M[Industry],Main_M[ROA]),3)</f>
        <v>6.68</v>
      </c>
      <c r="P12" s="1">
        <f>Quartile_M[[#This Row],[ROA Q1]]-1.5*(Quartile_M[[#This Row],[ROA Q3]]-Quartile_M[[#This Row],[ROA Q1]])</f>
        <v>-2.1949999999999994</v>
      </c>
      <c r="Q12" s="1">
        <f>Quartile_M[[#This Row],[ROA Q3]]+1.5*(Quartile_M[[#This Row],[ROA Q3]]-Quartile_M[[#This Row],[ROA Q1]])</f>
        <v>12.004999999999999</v>
      </c>
      <c r="R12" s="1" cm="1">
        <f t="array" ref="R12">_xlfn.QUARTILE.INC(IF(Quartile_M[[#This Row],[Industry]]=Main_M[Industry],Main_M[P/E]),1)</f>
        <v>9.8937823834196887</v>
      </c>
      <c r="S12" s="1" cm="1">
        <f t="array" ref="S12">_xlfn.QUARTILE.INC(IF(Quartile_M[[#This Row],[Industry]]=Main_M[Industry],Main_M[P/E]),3)</f>
        <v>30.67880794701987</v>
      </c>
      <c r="T12" s="1">
        <f>Quartile_M[[#This Row],[P/E Q1]]-1.5*(Quartile_M[[#This Row],[P/E Q3]]-Quartile_M[[#This Row],[P/E Q1]])</f>
        <v>-21.283755961980582</v>
      </c>
      <c r="U12" s="1">
        <f>Quartile_M[[#This Row],[P/E Q3]]+1.5*(Quartile_M[[#This Row],[P/E Q3]]-Quartile_M[[#This Row],[P/E Q1]])</f>
        <v>61.856346292420142</v>
      </c>
      <c r="V12" s="1" cm="1">
        <f t="array" ref="V12">_xlfn.QUARTILE.INC(IF(Quartile_M[[#This Row],[Industry]]=Main_M[Industry],Main_M[A/E]),1)</f>
        <v>1.91</v>
      </c>
      <c r="W12" s="1" cm="1">
        <f t="array" ref="W12">_xlfn.QUARTILE.INC(IF(Quartile_M[[#This Row],[Industry]]=Main_M[Industry],Main_M[A/E]),3)</f>
        <v>2.69</v>
      </c>
      <c r="X12" s="1">
        <f>Quartile_M[[#This Row],[A/E Q1]]-1.5*(Quartile_M[[#This Row],[A/E Q3]]-Quartile_M[[#This Row],[A/E Q1]])</f>
        <v>0.74</v>
      </c>
      <c r="Y12" s="1">
        <f>Quartile_M[[#This Row],[A/E Q3]]+1.5*(Quartile_M[[#This Row],[A/E Q3]]-Quartile_M[[#This Row],[A/E Q1]])</f>
        <v>3.86</v>
      </c>
    </row>
    <row r="13" spans="1:25" x14ac:dyDescent="0.25">
      <c r="A13" t="s">
        <v>121</v>
      </c>
      <c r="B13" s="1" cm="1">
        <f t="array" ref="B13">_xlfn.QUARTILE.INC(IF(Quartile_M[[#This Row],[Industry]]=Main_M[Industry],Main_M[P/FCF]),1)</f>
        <v>28.574999999999999</v>
      </c>
      <c r="C13" s="1" cm="1">
        <f t="array" ref="C13">_xlfn.QUARTILE.INC(IF(Quartile_M[[#This Row],[Industry]]=Main_M[Industry],Main_M[P/FCF]),3)</f>
        <v>38.826415094339623</v>
      </c>
      <c r="D13" s="1">
        <f>Quartile_M[[#This Row],[P/FCF Q1]]-1.5*(Quartile_M[[#This Row],[P/FCF Q3]]-Quartile_M[[#This Row],[P/FCF Q1]])</f>
        <v>13.197877358490564</v>
      </c>
      <c r="E13" s="1">
        <f>Quartile_M[[#This Row],[P/FCF Q3]]+1.5*(Quartile_M[[#This Row],[P/FCF Q3]]-Quartile_M[[#This Row],[P/FCF Q1]])</f>
        <v>54.203537735849061</v>
      </c>
      <c r="F13" s="1" cm="1">
        <f t="array" ref="F13">_xlfn.QUARTILE.INC(IF(Quartile_M[[#This Row],[Industry]]=Main_M[Industry],Main_M[P/B]),1)</f>
        <v>5.3067484662576687</v>
      </c>
      <c r="G13" s="1" cm="1">
        <f t="array" ref="G13">_xlfn.QUARTILE.INC(IF(Quartile_M[[#This Row],[Industry]]=Main_M[Industry],Main_M[P/B]),3)</f>
        <v>5.5187768240343349</v>
      </c>
      <c r="H13" s="1">
        <f>Quartile_M[[#This Row],[P/B Q1]]-1.5*(Quartile_M[[#This Row],[P/B Q3]]-Quartile_M[[#This Row],[P/B Q1]])</f>
        <v>4.988705929592669</v>
      </c>
      <c r="I13" s="1">
        <f>Quartile_M[[#This Row],[P/B Q3]]+1.5*(Quartile_M[[#This Row],[P/B Q3]]-Quartile_M[[#This Row],[P/B Q1]])</f>
        <v>5.8368193606993337</v>
      </c>
      <c r="J13" s="1" cm="1">
        <f t="array" ref="J13">_xlfn.QUARTILE.INC(IF(Quartile_M[[#This Row],[Industry]]=Main_M[Industry],Main_M[ROE]),1)</f>
        <v>14.71</v>
      </c>
      <c r="K13" s="1" cm="1">
        <f t="array" ref="K13">_xlfn.QUARTILE.INC(IF(Quartile_M[[#This Row],[Industry]]=Main_M[Industry],Main_M[ROE]),3)</f>
        <v>25.44</v>
      </c>
      <c r="L13" s="1">
        <f>Quartile_M[[#This Row],[ROE Q1]]-1.5*(Quartile_M[[#This Row],[ROE Q3]]-Quartile_M[[#This Row],[ROE Q1]])</f>
        <v>-1.384999999999998</v>
      </c>
      <c r="M13" s="1">
        <f>Quartile_M[[#This Row],[ROE Q3]]+1.5*(Quartile_M[[#This Row],[ROE Q3]]-Quartile_M[[#This Row],[ROE Q1]])</f>
        <v>41.534999999999997</v>
      </c>
      <c r="N13" s="1" cm="1">
        <f t="array" ref="N13">_xlfn.QUARTILE.INC(IF(Quartile_M[[#This Row],[Industry]]=Main_M[Industry],Main_M[ROA]),1)</f>
        <v>7.54</v>
      </c>
      <c r="O13" s="1" cm="1">
        <f t="array" ref="O13">_xlfn.QUARTILE.INC(IF(Quartile_M[[#This Row],[Industry]]=Main_M[Industry],Main_M[ROA]),3)</f>
        <v>12.99</v>
      </c>
      <c r="P13" s="1">
        <f>Quartile_M[[#This Row],[ROA Q1]]-1.5*(Quartile_M[[#This Row],[ROA Q3]]-Quartile_M[[#This Row],[ROA Q1]])</f>
        <v>-0.63500000000000068</v>
      </c>
      <c r="Q13" s="1">
        <f>Quartile_M[[#This Row],[ROA Q3]]+1.5*(Quartile_M[[#This Row],[ROA Q3]]-Quartile_M[[#This Row],[ROA Q1]])</f>
        <v>21.164999999999999</v>
      </c>
      <c r="R13" s="1" cm="1">
        <f t="array" ref="R13">_xlfn.QUARTILE.INC(IF(Quartile_M[[#This Row],[Industry]]=Main_M[Industry],Main_M[P/E]),1)</f>
        <v>24.492857142857144</v>
      </c>
      <c r="S13" s="1" cm="1">
        <f t="array" ref="S13">_xlfn.QUARTILE.INC(IF(Quartile_M[[#This Row],[Industry]]=Main_M[Industry],Main_M[P/E]),3)</f>
        <v>28.983098591549297</v>
      </c>
      <c r="T13" s="1">
        <f>Quartile_M[[#This Row],[P/E Q1]]-1.5*(Quartile_M[[#This Row],[P/E Q3]]-Quartile_M[[#This Row],[P/E Q1]])</f>
        <v>17.757494969818914</v>
      </c>
      <c r="U13" s="1">
        <f>Quartile_M[[#This Row],[P/E Q3]]+1.5*(Quartile_M[[#This Row],[P/E Q3]]-Quartile_M[[#This Row],[P/E Q1]])</f>
        <v>35.718460764587526</v>
      </c>
      <c r="V13" s="1" cm="1">
        <f t="array" ref="V13">_xlfn.QUARTILE.INC(IF(Quartile_M[[#This Row],[Industry]]=Main_M[Industry],Main_M[A/E]),1)</f>
        <v>1.93</v>
      </c>
      <c r="W13" s="1" cm="1">
        <f t="array" ref="W13">_xlfn.QUARTILE.INC(IF(Quartile_M[[#This Row],[Industry]]=Main_M[Industry],Main_M[A/E]),3)</f>
        <v>2.16</v>
      </c>
      <c r="X13" s="1">
        <f>Quartile_M[[#This Row],[A/E Q1]]-1.5*(Quartile_M[[#This Row],[A/E Q3]]-Quartile_M[[#This Row],[A/E Q1]])</f>
        <v>1.5849999999999995</v>
      </c>
      <c r="Y13" s="1">
        <f>Quartile_M[[#This Row],[A/E Q3]]+1.5*(Quartile_M[[#This Row],[A/E Q3]]-Quartile_M[[#This Row],[A/E Q1]])</f>
        <v>2.5050000000000003</v>
      </c>
    </row>
    <row r="14" spans="1:25" x14ac:dyDescent="0.25">
      <c r="A14" t="s">
        <v>125</v>
      </c>
      <c r="B14" s="1" cm="1">
        <f t="array" ref="B14">_xlfn.QUARTILE.INC(IF(Quartile_M[[#This Row],[Industry]]=Main_M[Industry],Main_M[P/FCF]),1)</f>
        <v>8.4491842582305132</v>
      </c>
      <c r="C14" s="1" cm="1">
        <f t="array" ref="C14">_xlfn.QUARTILE.INC(IF(Quartile_M[[#This Row],[Industry]]=Main_M[Industry],Main_M[P/FCF]),3)</f>
        <v>23.50607603872529</v>
      </c>
      <c r="D14" s="1">
        <f>Quartile_M[[#This Row],[P/FCF Q1]]-1.5*(Quartile_M[[#This Row],[P/FCF Q3]]-Quartile_M[[#This Row],[P/FCF Q1]])</f>
        <v>-14.13615341251165</v>
      </c>
      <c r="E14" s="1">
        <f>Quartile_M[[#This Row],[P/FCF Q3]]+1.5*(Quartile_M[[#This Row],[P/FCF Q3]]-Quartile_M[[#This Row],[P/FCF Q1]])</f>
        <v>46.091413709467453</v>
      </c>
      <c r="F14" s="1" cm="1">
        <f t="array" ref="F14">_xlfn.QUARTILE.INC(IF(Quartile_M[[#This Row],[Industry]]=Main_M[Industry],Main_M[P/B]),1)</f>
        <v>1.5619710930557722</v>
      </c>
      <c r="G14" s="1" cm="1">
        <f t="array" ref="G14">_xlfn.QUARTILE.INC(IF(Quartile_M[[#This Row],[Industry]]=Main_M[Industry],Main_M[P/B]),3)</f>
        <v>3.3943205424172076</v>
      </c>
      <c r="H14" s="1">
        <f>Quartile_M[[#This Row],[P/B Q1]]-1.5*(Quartile_M[[#This Row],[P/B Q3]]-Quartile_M[[#This Row],[P/B Q1]])</f>
        <v>-1.1865530809863807</v>
      </c>
      <c r="I14" s="1">
        <f>Quartile_M[[#This Row],[P/B Q3]]+1.5*(Quartile_M[[#This Row],[P/B Q3]]-Quartile_M[[#This Row],[P/B Q1]])</f>
        <v>6.1428447164593605</v>
      </c>
      <c r="J14" s="1" cm="1">
        <f t="array" ref="J14">_xlfn.QUARTILE.INC(IF(Quartile_M[[#This Row],[Industry]]=Main_M[Industry],Main_M[ROE]),1)</f>
        <v>7.0549999999999997</v>
      </c>
      <c r="K14" s="1" cm="1">
        <f t="array" ref="K14">_xlfn.QUARTILE.INC(IF(Quartile_M[[#This Row],[Industry]]=Main_M[Industry],Main_M[ROE]),3)</f>
        <v>17.829999999999998</v>
      </c>
      <c r="L14" s="1">
        <f>Quartile_M[[#This Row],[ROE Q1]]-1.5*(Quartile_M[[#This Row],[ROE Q3]]-Quartile_M[[#This Row],[ROE Q1]])</f>
        <v>-9.1074999999999982</v>
      </c>
      <c r="M14" s="1">
        <f>Quartile_M[[#This Row],[ROE Q3]]+1.5*(Quartile_M[[#This Row],[ROE Q3]]-Quartile_M[[#This Row],[ROE Q1]])</f>
        <v>33.992499999999993</v>
      </c>
      <c r="N14" s="1" cm="1">
        <f t="array" ref="N14">_xlfn.QUARTILE.INC(IF(Quartile_M[[#This Row],[Industry]]=Main_M[Industry],Main_M[ROA]),1)</f>
        <v>4.0600000000000005</v>
      </c>
      <c r="O14" s="1" cm="1">
        <f t="array" ref="O14">_xlfn.QUARTILE.INC(IF(Quartile_M[[#This Row],[Industry]]=Main_M[Industry],Main_M[ROA]),3)</f>
        <v>6.4949999999999992</v>
      </c>
      <c r="P14" s="1">
        <f>Quartile_M[[#This Row],[ROA Q1]]-1.5*(Quartile_M[[#This Row],[ROA Q3]]-Quartile_M[[#This Row],[ROA Q1]])</f>
        <v>0.40750000000000242</v>
      </c>
      <c r="Q14" s="1">
        <f>Quartile_M[[#This Row],[ROA Q3]]+1.5*(Quartile_M[[#This Row],[ROA Q3]]-Quartile_M[[#This Row],[ROA Q1]])</f>
        <v>10.147499999999997</v>
      </c>
      <c r="R14" s="1" cm="1">
        <f t="array" ref="R14">_xlfn.QUARTILE.INC(IF(Quartile_M[[#This Row],[Industry]]=Main_M[Industry],Main_M[P/E]),1)</f>
        <v>12.020618840499917</v>
      </c>
      <c r="S14" s="1" cm="1">
        <f t="array" ref="S14">_xlfn.QUARTILE.INC(IF(Quartile_M[[#This Row],[Industry]]=Main_M[Industry],Main_M[P/E]),3)</f>
        <v>24.138671224591043</v>
      </c>
      <c r="T14" s="1">
        <f>Quartile_M[[#This Row],[P/E Q1]]-1.5*(Quartile_M[[#This Row],[P/E Q3]]-Quartile_M[[#This Row],[P/E Q1]])</f>
        <v>-6.1564597356367692</v>
      </c>
      <c r="U14" s="1">
        <f>Quartile_M[[#This Row],[P/E Q3]]+1.5*(Quartile_M[[#This Row],[P/E Q3]]-Quartile_M[[#This Row],[P/E Q1]])</f>
        <v>42.31574980072773</v>
      </c>
      <c r="V14" s="1" cm="1">
        <f t="array" ref="V14">_xlfn.QUARTILE.INC(IF(Quartile_M[[#This Row],[Industry]]=Main_M[Industry],Main_M[A/E]),1)</f>
        <v>2.5049999999999999</v>
      </c>
      <c r="W14" s="1" cm="1">
        <f t="array" ref="W14">_xlfn.QUARTILE.INC(IF(Quartile_M[[#This Row],[Industry]]=Main_M[Industry],Main_M[A/E]),3)</f>
        <v>4.6950000000000003</v>
      </c>
      <c r="X14" s="1">
        <f>Quartile_M[[#This Row],[A/E Q1]]-1.5*(Quartile_M[[#This Row],[A/E Q3]]-Quartile_M[[#This Row],[A/E Q1]])</f>
        <v>-0.78000000000000069</v>
      </c>
      <c r="Y14" s="1">
        <f>Quartile_M[[#This Row],[A/E Q3]]+1.5*(Quartile_M[[#This Row],[A/E Q3]]-Quartile_M[[#This Row],[A/E Q1]])</f>
        <v>7.98</v>
      </c>
    </row>
    <row r="15" spans="1:25" x14ac:dyDescent="0.25">
      <c r="A15" t="s">
        <v>133</v>
      </c>
      <c r="B15" s="1" cm="1">
        <f t="array" ref="B15">_xlfn.QUARTILE.INC(IF(Quartile_M[[#This Row],[Industry]]=Main_M[Industry],Main_M[P/FCF]),1)</f>
        <v>-19.492199439633215</v>
      </c>
      <c r="C15" s="1" cm="1">
        <f t="array" ref="C15">_xlfn.QUARTILE.INC(IF(Quartile_M[[#This Row],[Industry]]=Main_M[Industry],Main_M[P/FCF]),3)</f>
        <v>22.976802507836993</v>
      </c>
      <c r="D15" s="1">
        <f>Quartile_M[[#This Row],[P/FCF Q1]]-1.5*(Quartile_M[[#This Row],[P/FCF Q3]]-Quartile_M[[#This Row],[P/FCF Q1]])</f>
        <v>-83.195702360838524</v>
      </c>
      <c r="E15" s="1">
        <f>Quartile_M[[#This Row],[P/FCF Q3]]+1.5*(Quartile_M[[#This Row],[P/FCF Q3]]-Quartile_M[[#This Row],[P/FCF Q1]])</f>
        <v>86.680305429042306</v>
      </c>
      <c r="F15" s="1" cm="1">
        <f t="array" ref="F15">_xlfn.QUARTILE.INC(IF(Quartile_M[[#This Row],[Industry]]=Main_M[Industry],Main_M[P/B]),1)</f>
        <v>0.99502897787144362</v>
      </c>
      <c r="G15" s="1" cm="1">
        <f t="array" ref="G15">_xlfn.QUARTILE.INC(IF(Quartile_M[[#This Row],[Industry]]=Main_M[Industry],Main_M[P/B]),3)</f>
        <v>2.0449341408809349</v>
      </c>
      <c r="H15" s="1">
        <f>Quartile_M[[#This Row],[P/B Q1]]-1.5*(Quartile_M[[#This Row],[P/B Q3]]-Quartile_M[[#This Row],[P/B Q1]])</f>
        <v>-0.57982876664279348</v>
      </c>
      <c r="I15" s="1">
        <f>Quartile_M[[#This Row],[P/B Q3]]+1.5*(Quartile_M[[#This Row],[P/B Q3]]-Quartile_M[[#This Row],[P/B Q1]])</f>
        <v>3.619791885395172</v>
      </c>
      <c r="J15" s="1" cm="1">
        <f t="array" ref="J15">_xlfn.QUARTILE.INC(IF(Quartile_M[[#This Row],[Industry]]=Main_M[Industry],Main_M[ROE]),1)</f>
        <v>-3.355</v>
      </c>
      <c r="K15" s="1" cm="1">
        <f t="array" ref="K15">_xlfn.QUARTILE.INC(IF(Quartile_M[[#This Row],[Industry]]=Main_M[Industry],Main_M[ROE]),3)</f>
        <v>10.309999999999999</v>
      </c>
      <c r="L15" s="1">
        <f>Quartile_M[[#This Row],[ROE Q1]]-1.5*(Quartile_M[[#This Row],[ROE Q3]]-Quartile_M[[#This Row],[ROE Q1]])</f>
        <v>-23.852499999999999</v>
      </c>
      <c r="M15" s="1">
        <f>Quartile_M[[#This Row],[ROE Q3]]+1.5*(Quartile_M[[#This Row],[ROE Q3]]-Quartile_M[[#This Row],[ROE Q1]])</f>
        <v>30.807499999999997</v>
      </c>
      <c r="N15" s="1" cm="1">
        <f t="array" ref="N15">_xlfn.QUARTILE.INC(IF(Quartile_M[[#This Row],[Industry]]=Main_M[Industry],Main_M[ROA]),1)</f>
        <v>1.415</v>
      </c>
      <c r="O15" s="1" cm="1">
        <f t="array" ref="O15">_xlfn.QUARTILE.INC(IF(Quartile_M[[#This Row],[Industry]]=Main_M[Industry],Main_M[ROA]),3)</f>
        <v>5.17</v>
      </c>
      <c r="P15" s="1">
        <f>Quartile_M[[#This Row],[ROA Q1]]-1.5*(Quartile_M[[#This Row],[ROA Q3]]-Quartile_M[[#This Row],[ROA Q1]])</f>
        <v>-4.2175000000000002</v>
      </c>
      <c r="Q15" s="1">
        <f>Quartile_M[[#This Row],[ROA Q3]]+1.5*(Quartile_M[[#This Row],[ROA Q3]]-Quartile_M[[#This Row],[ROA Q1]])</f>
        <v>10.8025</v>
      </c>
      <c r="R15" s="1" cm="1">
        <f t="array" ref="R15">_xlfn.QUARTILE.INC(IF(Quartile_M[[#This Row],[Industry]]=Main_M[Industry],Main_M[P/E]),1)</f>
        <v>-5.635416666666667</v>
      </c>
      <c r="S15" s="1" cm="1">
        <f t="array" ref="S15">_xlfn.QUARTILE.INC(IF(Quartile_M[[#This Row],[Industry]]=Main_M[Industry],Main_M[P/E]),3)</f>
        <v>44.104545454545459</v>
      </c>
      <c r="T15" s="1">
        <f>Quartile_M[[#This Row],[P/E Q1]]-1.5*(Quartile_M[[#This Row],[P/E Q3]]-Quartile_M[[#This Row],[P/E Q1]])</f>
        <v>-80.245359848484853</v>
      </c>
      <c r="U15" s="1">
        <f>Quartile_M[[#This Row],[P/E Q3]]+1.5*(Quartile_M[[#This Row],[P/E Q3]]-Quartile_M[[#This Row],[P/E Q1]])</f>
        <v>118.71448863636364</v>
      </c>
      <c r="V15" s="1" cm="1">
        <f t="array" ref="V15">_xlfn.QUARTILE.INC(IF(Quartile_M[[#This Row],[Industry]]=Main_M[Industry],Main_M[A/E]),1)</f>
        <v>1.4649999999999999</v>
      </c>
      <c r="W15" s="1" cm="1">
        <f t="array" ref="W15">_xlfn.QUARTILE.INC(IF(Quartile_M[[#This Row],[Industry]]=Main_M[Industry],Main_M[A/E]),3)</f>
        <v>2.0499999999999998</v>
      </c>
      <c r="X15" s="1">
        <f>Quartile_M[[#This Row],[A/E Q1]]-1.5*(Quartile_M[[#This Row],[A/E Q3]]-Quartile_M[[#This Row],[A/E Q1]])</f>
        <v>0.58749999999999991</v>
      </c>
      <c r="Y15" s="1">
        <f>Quartile_M[[#This Row],[A/E Q3]]+1.5*(Quartile_M[[#This Row],[A/E Q3]]-Quartile_M[[#This Row],[A/E Q1]])</f>
        <v>2.9274999999999998</v>
      </c>
    </row>
    <row r="16" spans="1:25" x14ac:dyDescent="0.25">
      <c r="A16" t="s">
        <v>157</v>
      </c>
      <c r="B16" s="1" cm="1">
        <f t="array" ref="B16">_xlfn.QUARTILE.INC(IF(Quartile_M[[#This Row],[Industry]]=Main_M[Industry],Main_M[P/FCF]),1)</f>
        <v>12.548369264787175</v>
      </c>
      <c r="C16" s="1" cm="1">
        <f t="array" ref="C16">_xlfn.QUARTILE.INC(IF(Quartile_M[[#This Row],[Industry]]=Main_M[Industry],Main_M[P/FCF]),3)</f>
        <v>27.328727204361719</v>
      </c>
      <c r="D16" s="1">
        <f>Quartile_M[[#This Row],[P/FCF Q1]]-1.5*(Quartile_M[[#This Row],[P/FCF Q3]]-Quartile_M[[#This Row],[P/FCF Q1]])</f>
        <v>-9.6221676445746436</v>
      </c>
      <c r="E16" s="1">
        <f>Quartile_M[[#This Row],[P/FCF Q3]]+1.5*(Quartile_M[[#This Row],[P/FCF Q3]]-Quartile_M[[#This Row],[P/FCF Q1]])</f>
        <v>49.499264113723541</v>
      </c>
      <c r="F16" s="1" cm="1">
        <f t="array" ref="F16">_xlfn.QUARTILE.INC(IF(Quartile_M[[#This Row],[Industry]]=Main_M[Industry],Main_M[P/B]),1)</f>
        <v>1.7795206750743664</v>
      </c>
      <c r="G16" s="1" cm="1">
        <f t="array" ref="G16">_xlfn.QUARTILE.INC(IF(Quartile_M[[#This Row],[Industry]]=Main_M[Industry],Main_M[P/B]),3)</f>
        <v>3.3093047351003619</v>
      </c>
      <c r="H16" s="1">
        <f>Quartile_M[[#This Row],[P/B Q1]]-1.5*(Quartile_M[[#This Row],[P/B Q3]]-Quartile_M[[#This Row],[P/B Q1]])</f>
        <v>-0.51515541496462669</v>
      </c>
      <c r="I16" s="1">
        <f>Quartile_M[[#This Row],[P/B Q3]]+1.5*(Quartile_M[[#This Row],[P/B Q3]]-Quartile_M[[#This Row],[P/B Q1]])</f>
        <v>5.603980825139355</v>
      </c>
      <c r="J16" s="1" cm="1">
        <f t="array" ref="J16">_xlfn.QUARTILE.INC(IF(Quartile_M[[#This Row],[Industry]]=Main_M[Industry],Main_M[ROE]),1)</f>
        <v>13.024999999999999</v>
      </c>
      <c r="K16" s="1" cm="1">
        <f t="array" ref="K16">_xlfn.QUARTILE.INC(IF(Quartile_M[[#This Row],[Industry]]=Main_M[Industry],Main_M[ROE]),3)</f>
        <v>30.284999999999997</v>
      </c>
      <c r="L16" s="1">
        <f>Quartile_M[[#This Row],[ROE Q1]]-1.5*(Quartile_M[[#This Row],[ROE Q3]]-Quartile_M[[#This Row],[ROE Q1]])</f>
        <v>-12.864999999999998</v>
      </c>
      <c r="M16" s="1">
        <f>Quartile_M[[#This Row],[ROE Q3]]+1.5*(Quartile_M[[#This Row],[ROE Q3]]-Quartile_M[[#This Row],[ROE Q1]])</f>
        <v>56.174999999999997</v>
      </c>
      <c r="N16" s="1" cm="1">
        <f t="array" ref="N16">_xlfn.QUARTILE.INC(IF(Quartile_M[[#This Row],[Industry]]=Main_M[Industry],Main_M[ROA]),1)</f>
        <v>5.4550000000000001</v>
      </c>
      <c r="O16" s="1" cm="1">
        <f t="array" ref="O16">_xlfn.QUARTILE.INC(IF(Quartile_M[[#This Row],[Industry]]=Main_M[Industry],Main_M[ROA]),3)</f>
        <v>11.734999999999999</v>
      </c>
      <c r="P16" s="1">
        <f>Quartile_M[[#This Row],[ROA Q1]]-1.5*(Quartile_M[[#This Row],[ROA Q3]]-Quartile_M[[#This Row],[ROA Q1]])</f>
        <v>-3.9649999999999981</v>
      </c>
      <c r="Q16" s="1">
        <f>Quartile_M[[#This Row],[ROA Q3]]+1.5*(Quartile_M[[#This Row],[ROA Q3]]-Quartile_M[[#This Row],[ROA Q1]])</f>
        <v>21.154999999999998</v>
      </c>
      <c r="R16" s="1" cm="1">
        <f t="array" ref="R16">_xlfn.QUARTILE.INC(IF(Quartile_M[[#This Row],[Industry]]=Main_M[Industry],Main_M[P/E]),1)</f>
        <v>-952.60236768802213</v>
      </c>
      <c r="S16" s="1" cm="1">
        <f t="array" ref="S16">_xlfn.QUARTILE.INC(IF(Quartile_M[[#This Row],[Industry]]=Main_M[Industry],Main_M[P/E]),3)</f>
        <v>11.872165418938668</v>
      </c>
      <c r="T16" s="1">
        <f>Quartile_M[[#This Row],[P/E Q1]]-1.5*(Quartile_M[[#This Row],[P/E Q3]]-Quartile_M[[#This Row],[P/E Q1]])</f>
        <v>-2399.3141673484633</v>
      </c>
      <c r="U16" s="1">
        <f>Quartile_M[[#This Row],[P/E Q3]]+1.5*(Quartile_M[[#This Row],[P/E Q3]]-Quartile_M[[#This Row],[P/E Q1]])</f>
        <v>1458.5839650793801</v>
      </c>
      <c r="V16" s="1" cm="1">
        <f t="array" ref="V16">_xlfn.QUARTILE.INC(IF(Quartile_M[[#This Row],[Industry]]=Main_M[Industry],Main_M[A/E]),1)</f>
        <v>1.4</v>
      </c>
      <c r="W16" s="1" cm="1">
        <f t="array" ref="W16">_xlfn.QUARTILE.INC(IF(Quartile_M[[#This Row],[Industry]]=Main_M[Industry],Main_M[A/E]),3)</f>
        <v>2.3049999999999997</v>
      </c>
      <c r="X16" s="1">
        <f>Quartile_M[[#This Row],[A/E Q1]]-1.5*(Quartile_M[[#This Row],[A/E Q3]]-Quartile_M[[#This Row],[A/E Q1]])</f>
        <v>4.2500000000000204E-2</v>
      </c>
      <c r="Y16" s="1">
        <f>Quartile_M[[#This Row],[A/E Q3]]+1.5*(Quartile_M[[#This Row],[A/E Q3]]-Quartile_M[[#This Row],[A/E Q1]])</f>
        <v>3.6624999999999996</v>
      </c>
    </row>
    <row r="19" spans="1:25" x14ac:dyDescent="0.25">
      <c r="A19" t="s">
        <v>23</v>
      </c>
    </row>
    <row r="20" spans="1:25" x14ac:dyDescent="0.25">
      <c r="A20" t="s">
        <v>1</v>
      </c>
      <c r="B20" t="s">
        <v>2</v>
      </c>
      <c r="C20" t="s">
        <v>3</v>
      </c>
      <c r="D20" t="s">
        <v>4</v>
      </c>
      <c r="E20" t="s">
        <v>5</v>
      </c>
      <c r="F20" t="s">
        <v>72</v>
      </c>
      <c r="G20" t="s">
        <v>73</v>
      </c>
      <c r="H20" t="s">
        <v>74</v>
      </c>
      <c r="I20" t="s">
        <v>75</v>
      </c>
      <c r="J20" t="s">
        <v>6</v>
      </c>
      <c r="K20" t="s">
        <v>7</v>
      </c>
      <c r="L20" t="s">
        <v>8</v>
      </c>
      <c r="M20" t="s">
        <v>9</v>
      </c>
      <c r="N20" t="s">
        <v>10</v>
      </c>
      <c r="O20" t="s">
        <v>11</v>
      </c>
      <c r="P20" t="s">
        <v>12</v>
      </c>
      <c r="Q20" t="s">
        <v>13</v>
      </c>
      <c r="R20" t="s">
        <v>14</v>
      </c>
      <c r="S20" t="s">
        <v>15</v>
      </c>
      <c r="T20" t="s">
        <v>16</v>
      </c>
      <c r="U20" t="s">
        <v>17</v>
      </c>
      <c r="V20" t="s">
        <v>18</v>
      </c>
      <c r="W20" t="s">
        <v>19</v>
      </c>
      <c r="X20" t="s">
        <v>20</v>
      </c>
      <c r="Y20" t="s">
        <v>21</v>
      </c>
    </row>
    <row r="21" spans="1:25" x14ac:dyDescent="0.25">
      <c r="A21" t="s">
        <v>105</v>
      </c>
      <c r="B21" s="1" cm="1">
        <f t="array" ref="B21">_xlfn.QUARTILE.INC(IF(Quartile_S[[#This Row],[Industry]]=Main_S[Industry],Main_S[P/FCF]),1)</f>
        <v>-5.3588133525838897</v>
      </c>
      <c r="C21" s="1" cm="1">
        <f t="array" ref="C21">_xlfn.QUARTILE.INC(IF(Quartile_S[[#This Row],[Industry]]=Main_S[Industry],Main_S[P/FCF]),3)</f>
        <v>20.033289386947924</v>
      </c>
      <c r="D21" s="1">
        <f>Quartile_S[[#This Row],[P/FCF Q1]]-1.5*(Quartile_S[[#This Row],[P/FCF Q3]]-Quartile_S[[#This Row],[P/FCF Q1]])</f>
        <v>-43.446967461881606</v>
      </c>
      <c r="E21" s="1">
        <f>Quartile_S[[#This Row],[P/FCF Q3]]+1.5*(Quartile_S[[#This Row],[P/FCF Q3]]-Quartile_S[[#This Row],[P/FCF Q1]])</f>
        <v>58.121443496245647</v>
      </c>
      <c r="F21" s="1" cm="1">
        <f t="array" ref="F21">_xlfn.QUARTILE.INC(IF(Quartile_S[[#This Row],[Industry]]=Main_S[Industry],Main_S[P/B]),1)</f>
        <v>0.76668540510153893</v>
      </c>
      <c r="G21" s="1" cm="1">
        <f t="array" ref="G21">_xlfn.QUARTILE.INC(IF(Quartile_S[[#This Row],[Industry]]=Main_S[Industry],Main_S[P/B]),3)</f>
        <v>1.5635016693042365</v>
      </c>
      <c r="H21" s="1">
        <f>Quartile_S[[#This Row],[P/B Q1]]-1.5*(Quartile_S[[#This Row],[P/B Q3]]-Quartile_S[[#This Row],[P/B Q1]])</f>
        <v>-0.42853899120250738</v>
      </c>
      <c r="I21" s="1">
        <f>Quartile_S[[#This Row],[P/B Q3]]+1.5*(Quartile_S[[#This Row],[P/B Q3]]-Quartile_S[[#This Row],[P/B Q1]])</f>
        <v>2.7587260656082826</v>
      </c>
      <c r="J21" s="1" cm="1">
        <f t="array" ref="J21">_xlfn.QUARTILE.INC(IF(Quartile_S[[#This Row],[Industry]]=Main_S[Industry],Main_S[ROE]),1)</f>
        <v>-5.6225000000000005</v>
      </c>
      <c r="K21" s="1" cm="1">
        <f t="array" ref="K21">_xlfn.QUARTILE.INC(IF(Quartile_S[[#This Row],[Industry]]=Main_S[Industry],Main_S[ROE]),3)</f>
        <v>10.407499999999999</v>
      </c>
      <c r="L21" s="1">
        <f>Quartile_S[[#This Row],[ROE Q1]]-1.5*(Quartile_S[[#This Row],[ROE Q3]]-Quartile_S[[#This Row],[ROE Q1]])</f>
        <v>-29.667500000000004</v>
      </c>
      <c r="M21" s="1">
        <f>Quartile_S[[#This Row],[ROE Q3]]+1.5*(Quartile_S[[#This Row],[ROE Q3]]-Quartile_S[[#This Row],[ROE Q1]])</f>
        <v>34.452500000000001</v>
      </c>
      <c r="N21" s="1" cm="1">
        <f t="array" ref="N21">_xlfn.QUARTILE.INC(IF(Quartile_S[[#This Row],[Industry]]=Main_S[Industry],Main_S[ROA]),1)</f>
        <v>0.53249999999999997</v>
      </c>
      <c r="O21" s="1" cm="1">
        <f t="array" ref="O21">_xlfn.QUARTILE.INC(IF(Quartile_S[[#This Row],[Industry]]=Main_S[Industry],Main_S[ROA]),3)</f>
        <v>4.8500000000000005</v>
      </c>
      <c r="P21" s="1">
        <f>Quartile_S[[#This Row],[ROA Q1]]-1.5*(Quartile_S[[#This Row],[ROA Q3]]-Quartile_S[[#This Row],[ROA Q1]])</f>
        <v>-5.9437500000000014</v>
      </c>
      <c r="Q21" s="1">
        <f>Quartile_S[[#This Row],[ROA Q3]]+1.5*(Quartile_S[[#This Row],[ROA Q3]]-Quartile_S[[#This Row],[ROA Q1]])</f>
        <v>11.326250000000002</v>
      </c>
      <c r="R21" s="1" cm="1">
        <f t="array" ref="R21">_xlfn.QUARTILE.INC(IF(Quartile_S[[#This Row],[Industry]]=Main_S[Industry],Main_S[P/E]),1)</f>
        <v>-6.8869791666666664</v>
      </c>
      <c r="S21" s="1" cm="1">
        <f t="array" ref="S21">_xlfn.QUARTILE.INC(IF(Quartile_S[[#This Row],[Industry]]=Main_S[Industry],Main_S[P/E]),3)</f>
        <v>12.860617334986909</v>
      </c>
      <c r="T21" s="1">
        <f>Quartile_S[[#This Row],[P/E Q1]]-1.5*(Quartile_S[[#This Row],[P/E Q3]]-Quartile_S[[#This Row],[P/E Q1]])</f>
        <v>-36.508373919147033</v>
      </c>
      <c r="U21" s="1">
        <f>Quartile_S[[#This Row],[P/E Q3]]+1.5*(Quartile_S[[#This Row],[P/E Q3]]-Quartile_S[[#This Row],[P/E Q1]])</f>
        <v>42.482012087467268</v>
      </c>
      <c r="V21" s="1" cm="1">
        <f t="array" ref="V21">_xlfn.QUARTILE.INC(IF(Quartile_S[[#This Row],[Industry]]=Main_S[Industry],Main_S[A/E]),1)</f>
        <v>1.9750000000000001</v>
      </c>
      <c r="W21" s="1" cm="1">
        <f t="array" ref="W21">_xlfn.QUARTILE.INC(IF(Quartile_S[[#This Row],[Industry]]=Main_S[Industry],Main_S[A/E]),3)</f>
        <v>3.2649999999999997</v>
      </c>
      <c r="X21" s="1">
        <f>Quartile_S[[#This Row],[A/E Q1]]-1.5*(Quartile_S[[#This Row],[A/E Q3]]-Quartile_S[[#This Row],[A/E Q1]])</f>
        <v>4.0000000000000702E-2</v>
      </c>
      <c r="Y21" s="1">
        <f>Quartile_S[[#This Row],[A/E Q3]]+1.5*(Quartile_S[[#This Row],[A/E Q3]]-Quartile_S[[#This Row],[A/E Q1]])</f>
        <v>5.1999999999999993</v>
      </c>
    </row>
    <row r="22" spans="1:25" x14ac:dyDescent="0.25">
      <c r="A22" t="s">
        <v>121</v>
      </c>
      <c r="B22" s="1" cm="1">
        <f t="array" ref="B22">_xlfn.QUARTILE.INC(IF(Quartile_S[[#This Row],[Industry]]=Main_S[Industry],Main_S[P/FCF]),1)</f>
        <v>29.410714285714285</v>
      </c>
      <c r="C22" s="1" cm="1">
        <f t="array" ref="C22">_xlfn.QUARTILE.INC(IF(Quartile_S[[#This Row],[Industry]]=Main_S[Industry],Main_S[P/FCF]),3)</f>
        <v>29.803571428571431</v>
      </c>
      <c r="D22" s="1">
        <f>Quartile_S[[#This Row],[P/FCF Q1]]-1.5*(Quartile_S[[#This Row],[P/FCF Q3]]-Quartile_S[[#This Row],[P/FCF Q1]])</f>
        <v>28.821428571428566</v>
      </c>
      <c r="E22" s="1">
        <f>Quartile_S[[#This Row],[P/FCF Q3]]+1.5*(Quartile_S[[#This Row],[P/FCF Q3]]-Quartile_S[[#This Row],[P/FCF Q1]])</f>
        <v>30.392857142857149</v>
      </c>
      <c r="F22" s="1" cm="1">
        <f t="array" ref="F22">_xlfn.QUARTILE.INC(IF(Quartile_S[[#This Row],[Industry]]=Main_S[Industry],Main_S[P/B]),1)</f>
        <v>3.175568181818182</v>
      </c>
      <c r="G22" s="1" cm="1">
        <f t="array" ref="G22">_xlfn.QUARTILE.INC(IF(Quartile_S[[#This Row],[Industry]]=Main_S[Industry],Main_S[P/B]),3)</f>
        <v>5.8085227272727273</v>
      </c>
      <c r="H22" s="1">
        <f>Quartile_S[[#This Row],[P/B Q1]]-1.5*(Quartile_S[[#This Row],[P/B Q3]]-Quartile_S[[#This Row],[P/B Q1]])</f>
        <v>-0.77386363636363598</v>
      </c>
      <c r="I22" s="1">
        <f>Quartile_S[[#This Row],[P/B Q3]]+1.5*(Quartile_S[[#This Row],[P/B Q3]]-Quartile_S[[#This Row],[P/B Q1]])</f>
        <v>9.7579545454545453</v>
      </c>
      <c r="J22" s="1" cm="1">
        <f t="array" ref="J22">_xlfn.QUARTILE.INC(IF(Quartile_S[[#This Row],[Industry]]=Main_S[Industry],Main_S[ROE]),1)</f>
        <v>17.462499999999999</v>
      </c>
      <c r="K22" s="1" cm="1">
        <f t="array" ref="K22">_xlfn.QUARTILE.INC(IF(Quartile_S[[#This Row],[Industry]]=Main_S[Industry],Main_S[ROE]),3)</f>
        <v>20.107500000000002</v>
      </c>
      <c r="L22" s="1">
        <f>Quartile_S[[#This Row],[ROE Q1]]-1.5*(Quartile_S[[#This Row],[ROE Q3]]-Quartile_S[[#This Row],[ROE Q1]])</f>
        <v>13.494999999999994</v>
      </c>
      <c r="M22" s="1">
        <f>Quartile_S[[#This Row],[ROE Q3]]+1.5*(Quartile_S[[#This Row],[ROE Q3]]-Quartile_S[[#This Row],[ROE Q1]])</f>
        <v>24.075000000000006</v>
      </c>
      <c r="N22" s="1" cm="1">
        <f t="array" ref="N22">_xlfn.QUARTILE.INC(IF(Quartile_S[[#This Row],[Industry]]=Main_S[Industry],Main_S[ROA]),1)</f>
        <v>5.58</v>
      </c>
      <c r="O22" s="1" cm="1">
        <f t="array" ref="O22">_xlfn.QUARTILE.INC(IF(Quartile_S[[#This Row],[Industry]]=Main_S[Industry],Main_S[ROA]),3)</f>
        <v>6.96</v>
      </c>
      <c r="P22" s="1">
        <f>Quartile_S[[#This Row],[ROA Q1]]-1.5*(Quartile_S[[#This Row],[ROA Q3]]-Quartile_S[[#This Row],[ROA Q1]])</f>
        <v>3.5100000000000002</v>
      </c>
      <c r="Q22" s="1">
        <f>Quartile_S[[#This Row],[ROA Q3]]+1.5*(Quartile_S[[#This Row],[ROA Q3]]-Quartile_S[[#This Row],[ROA Q1]])</f>
        <v>9.0299999999999994</v>
      </c>
      <c r="R22" s="1" cm="1">
        <f t="array" ref="R22">_xlfn.QUARTILE.INC(IF(Quartile_S[[#This Row],[Industry]]=Main_S[Industry],Main_S[P/E]),1)</f>
        <v>18.15099158653846</v>
      </c>
      <c r="S22" s="1" cm="1">
        <f t="array" ref="S22">_xlfn.QUARTILE.INC(IF(Quartile_S[[#This Row],[Industry]]=Main_S[Industry],Main_S[P/E]),3)</f>
        <v>35.281099759615387</v>
      </c>
      <c r="T22" s="1">
        <f>Quartile_S[[#This Row],[P/E Q1]]-1.5*(Quartile_S[[#This Row],[P/E Q3]]-Quartile_S[[#This Row],[P/E Q1]])</f>
        <v>-7.5441706730769305</v>
      </c>
      <c r="U22" s="1">
        <f>Quartile_S[[#This Row],[P/E Q3]]+1.5*(Quartile_S[[#This Row],[P/E Q3]]-Quartile_S[[#This Row],[P/E Q1]])</f>
        <v>60.976262019230774</v>
      </c>
      <c r="V22" s="1" cm="1">
        <f t="array" ref="V22">_xlfn.QUARTILE.INC(IF(Quartile_S[[#This Row],[Industry]]=Main_S[Industry],Main_S[A/E]),1)</f>
        <v>1.9650000000000001</v>
      </c>
      <c r="W22" s="1" cm="1">
        <f t="array" ref="W22">_xlfn.QUARTILE.INC(IF(Quartile_S[[#This Row],[Industry]]=Main_S[Industry],Main_S[A/E]),3)</f>
        <v>2.335</v>
      </c>
      <c r="X22" s="1">
        <f>Quartile_S[[#This Row],[A/E Q1]]-1.5*(Quartile_S[[#This Row],[A/E Q3]]-Quartile_S[[#This Row],[A/E Q1]])</f>
        <v>1.4100000000000001</v>
      </c>
      <c r="Y22" s="1">
        <f>Quartile_S[[#This Row],[A/E Q3]]+1.5*(Quartile_S[[#This Row],[A/E Q3]]-Quartile_S[[#This Row],[A/E Q1]])</f>
        <v>2.8899999999999997</v>
      </c>
    </row>
    <row r="23" spans="1:25" x14ac:dyDescent="0.25">
      <c r="A23" t="s">
        <v>125</v>
      </c>
      <c r="B23" s="1" cm="1">
        <f t="array" ref="B23">_xlfn.QUARTILE.INC(IF(Quartile_S[[#This Row],[Industry]]=Main_S[Industry],Main_S[P/FCF]),1)</f>
        <v>19.870339912280702</v>
      </c>
      <c r="C23" s="1" cm="1">
        <f t="array" ref="C23">_xlfn.QUARTILE.INC(IF(Quartile_S[[#This Row],[Industry]]=Main_S[Industry],Main_S[P/FCF]),3)</f>
        <v>39.04296875</v>
      </c>
      <c r="D23" s="1">
        <f>Quartile_S[[#This Row],[P/FCF Q1]]-1.5*(Quartile_S[[#This Row],[P/FCF Q3]]-Quartile_S[[#This Row],[P/FCF Q1]])</f>
        <v>-8.8886033442982431</v>
      </c>
      <c r="E23" s="1">
        <f>Quartile_S[[#This Row],[P/FCF Q3]]+1.5*(Quartile_S[[#This Row],[P/FCF Q3]]-Quartile_S[[#This Row],[P/FCF Q1]])</f>
        <v>67.801912006578945</v>
      </c>
      <c r="F23" s="1" cm="1">
        <f t="array" ref="F23">_xlfn.QUARTILE.INC(IF(Quartile_S[[#This Row],[Industry]]=Main_S[Industry],Main_S[P/B]),1)</f>
        <v>1.2120763880626075</v>
      </c>
      <c r="G23" s="1" cm="1">
        <f t="array" ref="G23">_xlfn.QUARTILE.INC(IF(Quartile_S[[#This Row],[Industry]]=Main_S[Industry],Main_S[P/B]),3)</f>
        <v>1.749333595035143</v>
      </c>
      <c r="H23" s="1">
        <f>Quartile_S[[#This Row],[P/B Q1]]-1.5*(Quartile_S[[#This Row],[P/B Q3]]-Quartile_S[[#This Row],[P/B Q1]])</f>
        <v>0.40619057760380439</v>
      </c>
      <c r="I23" s="1">
        <f>Quartile_S[[#This Row],[P/B Q3]]+1.5*(Quartile_S[[#This Row],[P/B Q3]]-Quartile_S[[#This Row],[P/B Q1]])</f>
        <v>2.5552194054939461</v>
      </c>
      <c r="J23" s="1" cm="1">
        <f t="array" ref="J23">_xlfn.QUARTILE.INC(IF(Quartile_S[[#This Row],[Industry]]=Main_S[Industry],Main_S[ROE]),1)</f>
        <v>-5.7424999999999997</v>
      </c>
      <c r="K23" s="1" cm="1">
        <f t="array" ref="K23">_xlfn.QUARTILE.INC(IF(Quartile_S[[#This Row],[Industry]]=Main_S[Industry],Main_S[ROE]),3)</f>
        <v>3.9274999999999998</v>
      </c>
      <c r="L23" s="1">
        <f>Quartile_S[[#This Row],[ROE Q1]]-1.5*(Quartile_S[[#This Row],[ROE Q3]]-Quartile_S[[#This Row],[ROE Q1]])</f>
        <v>-20.247499999999999</v>
      </c>
      <c r="M23" s="1">
        <f>Quartile_S[[#This Row],[ROE Q3]]+1.5*(Quartile_S[[#This Row],[ROE Q3]]-Quartile_S[[#This Row],[ROE Q1]])</f>
        <v>18.432499999999997</v>
      </c>
      <c r="N23" s="1" cm="1">
        <f t="array" ref="N23">_xlfn.QUARTILE.INC(IF(Quartile_S[[#This Row],[Industry]]=Main_S[Industry],Main_S[ROA]),1)</f>
        <v>1.9175</v>
      </c>
      <c r="O23" s="1" cm="1">
        <f t="array" ref="O23">_xlfn.QUARTILE.INC(IF(Quartile_S[[#This Row],[Industry]]=Main_S[Industry],Main_S[ROA]),3)</f>
        <v>4.0049999999999999</v>
      </c>
      <c r="P23" s="1">
        <f>Quartile_S[[#This Row],[ROA Q1]]-1.5*(Quartile_S[[#This Row],[ROA Q3]]-Quartile_S[[#This Row],[ROA Q1]])</f>
        <v>-1.2137499999999997</v>
      </c>
      <c r="Q23" s="1">
        <f>Quartile_S[[#This Row],[ROA Q3]]+1.5*(Quartile_S[[#This Row],[ROA Q3]]-Quartile_S[[#This Row],[ROA Q1]])</f>
        <v>7.1362499999999995</v>
      </c>
      <c r="R23" s="1" cm="1">
        <f t="array" ref="R23">_xlfn.QUARTILE.INC(IF(Quartile_S[[#This Row],[Industry]]=Main_S[Industry],Main_S[P/E]),1)</f>
        <v>-11.711996336996338</v>
      </c>
      <c r="S23" s="1" cm="1">
        <f t="array" ref="S23">_xlfn.QUARTILE.INC(IF(Quartile_S[[#This Row],[Industry]]=Main_S[Industry],Main_S[P/E]),3)</f>
        <v>34.74431818181818</v>
      </c>
      <c r="T23" s="1">
        <f>Quartile_S[[#This Row],[P/E Q1]]-1.5*(Quartile_S[[#This Row],[P/E Q3]]-Quartile_S[[#This Row],[P/E Q1]])</f>
        <v>-81.396468115218113</v>
      </c>
      <c r="U23" s="1">
        <f>Quartile_S[[#This Row],[P/E Q3]]+1.5*(Quartile_S[[#This Row],[P/E Q3]]-Quartile_S[[#This Row],[P/E Q1]])</f>
        <v>104.42878996003995</v>
      </c>
      <c r="V23" s="1" cm="1">
        <f t="array" ref="V23">_xlfn.QUARTILE.INC(IF(Quartile_S[[#This Row],[Industry]]=Main_S[Industry],Main_S[A/E]),1)</f>
        <v>2.0249999999999999</v>
      </c>
      <c r="W23" s="1" cm="1">
        <f t="array" ref="W23">_xlfn.QUARTILE.INC(IF(Quartile_S[[#This Row],[Industry]]=Main_S[Industry],Main_S[A/E]),3)</f>
        <v>4.3525</v>
      </c>
      <c r="X23" s="1">
        <f>Quartile_S[[#This Row],[A/E Q1]]-1.5*(Quartile_S[[#This Row],[A/E Q3]]-Quartile_S[[#This Row],[A/E Q1]])</f>
        <v>-1.4662500000000001</v>
      </c>
      <c r="Y23" s="1">
        <f>Quartile_S[[#This Row],[A/E Q3]]+1.5*(Quartile_S[[#This Row],[A/E Q3]]-Quartile_S[[#This Row],[A/E Q1]])</f>
        <v>7.84375</v>
      </c>
    </row>
    <row r="24" spans="1:25" x14ac:dyDescent="0.25">
      <c r="A24" t="s">
        <v>133</v>
      </c>
      <c r="B24" s="1" cm="1">
        <f t="array" ref="B24">_xlfn.QUARTILE.INC(IF(Quartile_S[[#This Row],[Industry]]=Main_S[Industry],Main_S[P/FCF]),1)</f>
        <v>-24.142857142857139</v>
      </c>
      <c r="C24" s="1" cm="1">
        <f t="array" ref="C24">_xlfn.QUARTILE.INC(IF(Quartile_S[[#This Row],[Industry]]=Main_S[Industry],Main_S[P/FCF]),3)</f>
        <v>6.2638888888888884</v>
      </c>
      <c r="D24" s="1">
        <f>Quartile_S[[#This Row],[P/FCF Q1]]-1.5*(Quartile_S[[#This Row],[P/FCF Q3]]-Quartile_S[[#This Row],[P/FCF Q1]])</f>
        <v>-69.752976190476176</v>
      </c>
      <c r="E24" s="1">
        <f>Quartile_S[[#This Row],[P/FCF Q3]]+1.5*(Quartile_S[[#This Row],[P/FCF Q3]]-Quartile_S[[#This Row],[P/FCF Q1]])</f>
        <v>51.87400793650793</v>
      </c>
      <c r="F24" s="1" cm="1">
        <f t="array" ref="F24">_xlfn.QUARTILE.INC(IF(Quartile_S[[#This Row],[Industry]]=Main_S[Industry],Main_S[P/B]),1)</f>
        <v>1.0389610389610389</v>
      </c>
      <c r="G24" s="1" cm="1">
        <f t="array" ref="G24">_xlfn.QUARTILE.INC(IF(Quartile_S[[#This Row],[Industry]]=Main_S[Industry],Main_S[P/B]),3)</f>
        <v>2.8714285714285714</v>
      </c>
      <c r="H24" s="1">
        <f>Quartile_S[[#This Row],[P/B Q1]]-1.5*(Quartile_S[[#This Row],[P/B Q3]]-Quartile_S[[#This Row],[P/B Q1]])</f>
        <v>-1.70974025974026</v>
      </c>
      <c r="I24" s="1">
        <f>Quartile_S[[#This Row],[P/B Q3]]+1.5*(Quartile_S[[#This Row],[P/B Q3]]-Quartile_S[[#This Row],[P/B Q1]])</f>
        <v>5.6201298701298708</v>
      </c>
      <c r="J24" s="1" cm="1">
        <f t="array" ref="J24">_xlfn.QUARTILE.INC(IF(Quartile_S[[#This Row],[Industry]]=Main_S[Industry],Main_S[ROE]),1)</f>
        <v>-19.84</v>
      </c>
      <c r="K24" s="1" cm="1">
        <f t="array" ref="K24">_xlfn.QUARTILE.INC(IF(Quartile_S[[#This Row],[Industry]]=Main_S[Industry],Main_S[ROE]),3)</f>
        <v>7.06</v>
      </c>
      <c r="L24" s="1">
        <f>Quartile_S[[#This Row],[ROE Q1]]-1.5*(Quartile_S[[#This Row],[ROE Q3]]-Quartile_S[[#This Row],[ROE Q1]])</f>
        <v>-60.19</v>
      </c>
      <c r="M24" s="1">
        <f>Quartile_S[[#This Row],[ROE Q3]]+1.5*(Quartile_S[[#This Row],[ROE Q3]]-Quartile_S[[#This Row],[ROE Q1]])</f>
        <v>47.41</v>
      </c>
      <c r="N24" s="1" cm="1">
        <f t="array" ref="N24">_xlfn.QUARTILE.INC(IF(Quartile_S[[#This Row],[Industry]]=Main_S[Industry],Main_S[ROA]),1)</f>
        <v>-8</v>
      </c>
      <c r="O24" s="1" cm="1">
        <f t="array" ref="O24">_xlfn.QUARTILE.INC(IF(Quartile_S[[#This Row],[Industry]]=Main_S[Industry],Main_S[ROA]),3)</f>
        <v>3.91</v>
      </c>
      <c r="P24" s="1">
        <f>Quartile_S[[#This Row],[ROA Q1]]-1.5*(Quartile_S[[#This Row],[ROA Q3]]-Quartile_S[[#This Row],[ROA Q1]])</f>
        <v>-25.865000000000002</v>
      </c>
      <c r="Q24" s="1">
        <f>Quartile_S[[#This Row],[ROA Q3]]+1.5*(Quartile_S[[#This Row],[ROA Q3]]-Quartile_S[[#This Row],[ROA Q1]])</f>
        <v>21.775000000000002</v>
      </c>
      <c r="R24" s="1" cm="1">
        <f t="array" ref="R24">_xlfn.QUARTILE.INC(IF(Quartile_S[[#This Row],[Industry]]=Main_S[Industry],Main_S[P/E]),1)</f>
        <v>-20.2</v>
      </c>
      <c r="S24" s="1" cm="1">
        <f t="array" ref="S24">_xlfn.QUARTILE.INC(IF(Quartile_S[[#This Row],[Industry]]=Main_S[Industry],Main_S[P/E]),3)</f>
        <v>13.512195121951221</v>
      </c>
      <c r="T24" s="1">
        <f>Quartile_S[[#This Row],[P/E Q1]]-1.5*(Quartile_S[[#This Row],[P/E Q3]]-Quartile_S[[#This Row],[P/E Q1]])</f>
        <v>-70.768292682926827</v>
      </c>
      <c r="U24" s="1">
        <f>Quartile_S[[#This Row],[P/E Q3]]+1.5*(Quartile_S[[#This Row],[P/E Q3]]-Quartile_S[[#This Row],[P/E Q1]])</f>
        <v>64.080487804878047</v>
      </c>
      <c r="V24" s="1" cm="1">
        <f t="array" ref="V24">_xlfn.QUARTILE.INC(IF(Quartile_S[[#This Row],[Industry]]=Main_S[Industry],Main_S[A/E]),1)</f>
        <v>1.27</v>
      </c>
      <c r="W24" s="1" cm="1">
        <f t="array" ref="W24">_xlfn.QUARTILE.INC(IF(Quartile_S[[#This Row],[Industry]]=Main_S[Industry],Main_S[A/E]),3)</f>
        <v>2.44</v>
      </c>
      <c r="X24" s="1">
        <f>Quartile_S[[#This Row],[A/E Q1]]-1.5*(Quartile_S[[#This Row],[A/E Q3]]-Quartile_S[[#This Row],[A/E Q1]])</f>
        <v>-0.48499999999999988</v>
      </c>
      <c r="Y24" s="1">
        <f>Quartile_S[[#This Row],[A/E Q3]]+1.5*(Quartile_S[[#This Row],[A/E Q3]]-Quartile_S[[#This Row],[A/E Q1]])</f>
        <v>4.1950000000000003</v>
      </c>
    </row>
    <row r="25" spans="1:25" x14ac:dyDescent="0.25">
      <c r="A25" t="s">
        <v>157</v>
      </c>
      <c r="B25" s="1" cm="1">
        <f t="array" ref="B25">_xlfn.QUARTILE.INC(IF(Quartile_S[[#This Row],[Industry]]=Main_S[Industry],Main_S[P/FCF]),1)</f>
        <v>-1.3115223317257287</v>
      </c>
      <c r="C25" s="1" cm="1">
        <f t="array" ref="C25">_xlfn.QUARTILE.INC(IF(Quartile_S[[#This Row],[Industry]]=Main_S[Industry],Main_S[P/FCF]),3)</f>
        <v>3.5601698469280771</v>
      </c>
      <c r="D25" s="1">
        <f>Quartile_S[[#This Row],[P/FCF Q1]]-1.5*(Quartile_S[[#This Row],[P/FCF Q3]]-Quartile_S[[#This Row],[P/FCF Q1]])</f>
        <v>-8.6190605997064367</v>
      </c>
      <c r="E25" s="1">
        <f>Quartile_S[[#This Row],[P/FCF Q3]]+1.5*(Quartile_S[[#This Row],[P/FCF Q3]]-Quartile_S[[#This Row],[P/FCF Q1]])</f>
        <v>10.867708114908787</v>
      </c>
      <c r="F25" s="1" cm="1">
        <f t="array" ref="F25">_xlfn.QUARTILE.INC(IF(Quartile_S[[#This Row],[Industry]]=Main_S[Industry],Main_S[P/B]),1)</f>
        <v>0.49964863051882846</v>
      </c>
      <c r="G25" s="1" cm="1">
        <f t="array" ref="G25">_xlfn.QUARTILE.INC(IF(Quartile_S[[#This Row],[Industry]]=Main_S[Industry],Main_S[P/B]),3)</f>
        <v>0.53543756889323291</v>
      </c>
      <c r="H25" s="1">
        <f>Quartile_S[[#This Row],[P/B Q1]]-1.5*(Quartile_S[[#This Row],[P/B Q3]]-Quartile_S[[#This Row],[P/B Q1]])</f>
        <v>0.4459652229572218</v>
      </c>
      <c r="I25" s="1">
        <f>Quartile_S[[#This Row],[P/B Q3]]+1.5*(Quartile_S[[#This Row],[P/B Q3]]-Quartile_S[[#This Row],[P/B Q1]])</f>
        <v>0.58912097645483952</v>
      </c>
      <c r="J25" s="1" cm="1">
        <f t="array" ref="J25">_xlfn.QUARTILE.INC(IF(Quartile_S[[#This Row],[Industry]]=Main_S[Industry],Main_S[ROE]),1)</f>
        <v>-9.3725000000000005</v>
      </c>
      <c r="K25" s="1" cm="1">
        <f t="array" ref="K25">_xlfn.QUARTILE.INC(IF(Quartile_S[[#This Row],[Industry]]=Main_S[Industry],Main_S[ROE]),3)</f>
        <v>-7.6574999999999998</v>
      </c>
      <c r="L25" s="1">
        <f>Quartile_S[[#This Row],[ROE Q1]]-1.5*(Quartile_S[[#This Row],[ROE Q3]]-Quartile_S[[#This Row],[ROE Q1]])</f>
        <v>-11.945000000000002</v>
      </c>
      <c r="M25" s="1">
        <f>Quartile_S[[#This Row],[ROE Q3]]+1.5*(Quartile_S[[#This Row],[ROE Q3]]-Quartile_S[[#This Row],[ROE Q1]])</f>
        <v>-5.0849999999999991</v>
      </c>
      <c r="N25" s="1" cm="1">
        <f t="array" ref="N25">_xlfn.QUARTILE.INC(IF(Quartile_S[[#This Row],[Industry]]=Main_S[Industry],Main_S[ROA]),1)</f>
        <v>-1.03</v>
      </c>
      <c r="O25" s="1" cm="1">
        <f t="array" ref="O25">_xlfn.QUARTILE.INC(IF(Quartile_S[[#This Row],[Industry]]=Main_S[Industry],Main_S[ROA]),3)</f>
        <v>0.5299999999999998</v>
      </c>
      <c r="P25" s="1">
        <f>Quartile_S[[#This Row],[ROA Q1]]-1.5*(Quartile_S[[#This Row],[ROA Q3]]-Quartile_S[[#This Row],[ROA Q1]])</f>
        <v>-3.37</v>
      </c>
      <c r="Q25" s="1">
        <f>Quartile_S[[#This Row],[ROA Q3]]+1.5*(Quartile_S[[#This Row],[ROA Q3]]-Quartile_S[[#This Row],[ROA Q1]])</f>
        <v>2.8699999999999997</v>
      </c>
      <c r="R25" s="1" cm="1">
        <f t="array" ref="R25">_xlfn.QUARTILE.INC(IF(Quartile_S[[#This Row],[Industry]]=Main_S[Industry],Main_S[P/E]),1)</f>
        <v>-5.240026050327014</v>
      </c>
      <c r="S25" s="1" cm="1">
        <f t="array" ref="S25">_xlfn.QUARTILE.INC(IF(Quartile_S[[#This Row],[Industry]]=Main_S[Industry],Main_S[P/E]),3)</f>
        <v>-3.4706157853896462</v>
      </c>
      <c r="T25" s="1">
        <f>Quartile_S[[#This Row],[P/E Q1]]-1.5*(Quartile_S[[#This Row],[P/E Q3]]-Quartile_S[[#This Row],[P/E Q1]])</f>
        <v>-7.894141447733066</v>
      </c>
      <c r="U25" s="1">
        <f>Quartile_S[[#This Row],[P/E Q3]]+1.5*(Quartile_S[[#This Row],[P/E Q3]]-Quartile_S[[#This Row],[P/E Q1]])</f>
        <v>-0.81650038798359459</v>
      </c>
      <c r="V25" s="1" cm="1">
        <f t="array" ref="V25">_xlfn.QUARTILE.INC(IF(Quartile_S[[#This Row],[Industry]]=Main_S[Industry],Main_S[A/E]),1)</f>
        <v>2.3649999999999998</v>
      </c>
      <c r="W25" s="1" cm="1">
        <f t="array" ref="W25">_xlfn.QUARTILE.INC(IF(Quartile_S[[#This Row],[Industry]]=Main_S[Industry],Main_S[A/E]),3)</f>
        <v>3.1949999999999998</v>
      </c>
      <c r="X25" s="1">
        <f>Quartile_S[[#This Row],[A/E Q1]]-1.5*(Quartile_S[[#This Row],[A/E Q3]]-Quartile_S[[#This Row],[A/E Q1]])</f>
        <v>1.1199999999999997</v>
      </c>
      <c r="Y25" s="1">
        <f>Quartile_S[[#This Row],[A/E Q3]]+1.5*(Quartile_S[[#This Row],[A/E Q3]]-Quartile_S[[#This Row],[A/E Q1]])</f>
        <v>4.4399999999999995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29"/>
  <sheetViews>
    <sheetView workbookViewId="0">
      <selection activeCell="I29" sqref="I29"/>
    </sheetView>
  </sheetViews>
  <sheetFormatPr defaultRowHeight="15" x14ac:dyDescent="0.25"/>
  <cols>
    <col min="1" max="1" width="22.42578125" bestFit="1" customWidth="1"/>
    <col min="2" max="2" width="14.85546875" bestFit="1" customWidth="1"/>
    <col min="3" max="3" width="15.42578125" bestFit="1" customWidth="1"/>
    <col min="5" max="5" width="22.42578125" bestFit="1" customWidth="1"/>
    <col min="6" max="6" width="14" bestFit="1" customWidth="1"/>
    <col min="7" max="7" width="14.5703125" bestFit="1" customWidth="1"/>
    <col min="9" max="9" width="22.42578125" bestFit="1" customWidth="1"/>
    <col min="10" max="10" width="14" bestFit="1" customWidth="1"/>
    <col min="11" max="11" width="14.5703125" bestFit="1" customWidth="1"/>
  </cols>
  <sheetData>
    <row r="1" spans="1:11" x14ac:dyDescent="0.25">
      <c r="A1" s="27" t="s">
        <v>55</v>
      </c>
      <c r="B1" s="27"/>
      <c r="C1" s="27"/>
      <c r="E1" s="27" t="s">
        <v>80</v>
      </c>
      <c r="F1" s="27"/>
      <c r="G1" s="27"/>
      <c r="I1" s="27" t="s">
        <v>56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21.705750242672849</v>
      </c>
      <c r="C5" s="1">
        <v>15.634946476360856</v>
      </c>
      <c r="E5" s="6" t="s">
        <v>105</v>
      </c>
      <c r="F5" s="1">
        <v>2.0917811389328516</v>
      </c>
      <c r="G5" s="1">
        <v>1.4762083570069133</v>
      </c>
      <c r="I5" s="6" t="s">
        <v>105</v>
      </c>
      <c r="J5" s="1">
        <v>8.625</v>
      </c>
      <c r="K5" s="1">
        <v>8.7814949508286215</v>
      </c>
    </row>
    <row r="6" spans="1:11" x14ac:dyDescent="0.25">
      <c r="A6" s="6" t="s">
        <v>121</v>
      </c>
      <c r="B6" s="1">
        <v>41.162299379286651</v>
      </c>
      <c r="C6" s="1">
        <v>10.290637397497512</v>
      </c>
      <c r="E6" s="6" t="s">
        <v>121</v>
      </c>
      <c r="F6" s="1">
        <v>3.7657117971663943</v>
      </c>
      <c r="G6" s="1">
        <v>0.43716456340767873</v>
      </c>
      <c r="I6" s="6" t="s">
        <v>121</v>
      </c>
      <c r="J6" s="1">
        <v>13.103333333333332</v>
      </c>
      <c r="K6" s="1">
        <v>1.598005701561247</v>
      </c>
    </row>
    <row r="7" spans="1:11" x14ac:dyDescent="0.25">
      <c r="A7" s="6" t="s">
        <v>125</v>
      </c>
      <c r="B7" s="1">
        <v>-51.564619250408121</v>
      </c>
      <c r="C7" s="1">
        <v>137.36349926245927</v>
      </c>
      <c r="E7" s="6" t="s">
        <v>125</v>
      </c>
      <c r="F7" s="1">
        <v>3.3023897192727465</v>
      </c>
      <c r="G7" s="1">
        <v>1.7225515838000178</v>
      </c>
      <c r="I7" s="6" t="s">
        <v>125</v>
      </c>
      <c r="J7" s="1">
        <v>15.815714285714288</v>
      </c>
      <c r="K7" s="1">
        <v>9.9401808795598505</v>
      </c>
    </row>
    <row r="8" spans="1:11" x14ac:dyDescent="0.25">
      <c r="A8" s="6" t="s">
        <v>133</v>
      </c>
      <c r="B8" s="1">
        <v>29.608193799553636</v>
      </c>
      <c r="C8" s="1">
        <v>17.654015005809978</v>
      </c>
      <c r="E8" s="6" t="s">
        <v>133</v>
      </c>
      <c r="F8" s="1">
        <v>2.7467240911307793</v>
      </c>
      <c r="G8" s="1">
        <v>1.610173503251271</v>
      </c>
      <c r="I8" s="6" t="s">
        <v>133</v>
      </c>
      <c r="J8" s="1">
        <v>13.082727272727276</v>
      </c>
      <c r="K8" s="1">
        <v>7.6242002154730786</v>
      </c>
    </row>
    <row r="9" spans="1:11" x14ac:dyDescent="0.25">
      <c r="A9" s="6" t="s">
        <v>157</v>
      </c>
      <c r="B9" s="1">
        <v>18.25</v>
      </c>
      <c r="C9" s="1">
        <v>0</v>
      </c>
      <c r="E9" s="6" t="s">
        <v>157</v>
      </c>
      <c r="F9" s="1">
        <v>2.2541567695961997</v>
      </c>
      <c r="G9" s="1">
        <v>0</v>
      </c>
      <c r="I9" s="6" t="s">
        <v>157</v>
      </c>
      <c r="J9" s="1">
        <v>-18.239999999999998</v>
      </c>
      <c r="K9" s="1">
        <v>0</v>
      </c>
    </row>
    <row r="21" spans="1:11" x14ac:dyDescent="0.25">
      <c r="A21" s="27" t="s">
        <v>57</v>
      </c>
      <c r="B21" s="27"/>
      <c r="C21" s="27"/>
      <c r="E21" s="27" t="s">
        <v>58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4.4193333333333324</v>
      </c>
      <c r="C25" s="1">
        <v>2.8071586267176927</v>
      </c>
      <c r="E25" s="6" t="s">
        <v>105</v>
      </c>
      <c r="F25" s="1">
        <v>2.3335714285714282</v>
      </c>
      <c r="G25" s="1">
        <v>0.5516288496399584</v>
      </c>
      <c r="I25" s="6" t="s">
        <v>105</v>
      </c>
      <c r="J25" s="1">
        <v>38.721961438913361</v>
      </c>
      <c r="K25" s="1">
        <v>21.627721904109801</v>
      </c>
    </row>
    <row r="26" spans="1:11" x14ac:dyDescent="0.25">
      <c r="A26" s="6" t="s">
        <v>121</v>
      </c>
      <c r="B26" s="1">
        <v>6.0066666666666668</v>
      </c>
      <c r="C26" s="1">
        <v>0.18873850222524813</v>
      </c>
      <c r="E26" s="6" t="s">
        <v>121</v>
      </c>
      <c r="F26" s="1">
        <v>2.1533333333333333</v>
      </c>
      <c r="G26" s="1">
        <v>0.22065558884580355</v>
      </c>
      <c r="I26" s="6" t="s">
        <v>121</v>
      </c>
      <c r="J26" s="1">
        <v>29.926416059327448</v>
      </c>
      <c r="K26" s="1">
        <v>7.0345682883839338</v>
      </c>
    </row>
    <row r="27" spans="1:11" x14ac:dyDescent="0.25">
      <c r="A27" s="6" t="s">
        <v>125</v>
      </c>
      <c r="B27" s="1">
        <v>5.4799999999999995</v>
      </c>
      <c r="C27" s="1">
        <v>2.2869630517347677</v>
      </c>
      <c r="E27" s="6" t="s">
        <v>125</v>
      </c>
      <c r="F27" s="1">
        <v>3.3528571428571428</v>
      </c>
      <c r="G27" s="1">
        <v>1.1339906057272042</v>
      </c>
      <c r="I27" s="6" t="s">
        <v>125</v>
      </c>
      <c r="J27" s="1">
        <v>29.060768774964284</v>
      </c>
      <c r="K27" s="1">
        <v>11.266082778989141</v>
      </c>
    </row>
    <row r="28" spans="1:11" x14ac:dyDescent="0.25">
      <c r="A28" s="6" t="s">
        <v>133</v>
      </c>
      <c r="B28" s="1">
        <v>6.9441176470588246</v>
      </c>
      <c r="C28" s="1">
        <v>1.7943540827814455</v>
      </c>
      <c r="E28" s="6" t="s">
        <v>133</v>
      </c>
      <c r="F28" s="1">
        <v>1.7104545454545457</v>
      </c>
      <c r="G28" s="1">
        <v>0.34716353590369525</v>
      </c>
      <c r="I28" s="6" t="s">
        <v>133</v>
      </c>
      <c r="J28" s="1">
        <v>19.477514563637538</v>
      </c>
      <c r="K28" s="1">
        <v>8.8596776482333031</v>
      </c>
    </row>
    <row r="29" spans="1:11" x14ac:dyDescent="0.25">
      <c r="A29" s="6" t="s">
        <v>157</v>
      </c>
      <c r="B29" s="1">
        <v>5.89</v>
      </c>
      <c r="C29" s="1">
        <v>0</v>
      </c>
      <c r="E29" s="6" t="s">
        <v>157</v>
      </c>
      <c r="F29" s="1">
        <v>5.14</v>
      </c>
      <c r="G29" s="1">
        <v>0</v>
      </c>
      <c r="I29" s="6" t="s">
        <v>157</v>
      </c>
      <c r="J29" s="1">
        <v>-10.544444444444444</v>
      </c>
      <c r="K29" s="1">
        <v>0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29"/>
  <sheetViews>
    <sheetView workbookViewId="0">
      <selection activeCell="G13" sqref="G13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6.85546875" bestFit="1" customWidth="1"/>
    <col min="5" max="5" width="22.42578125" bestFit="1" customWidth="1"/>
    <col min="6" max="6" width="14" bestFit="1" customWidth="1"/>
    <col min="7" max="7" width="14.5703125" bestFit="1" customWidth="1"/>
    <col min="9" max="9" width="22.425781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60</v>
      </c>
      <c r="B1" s="27"/>
      <c r="C1" s="27"/>
      <c r="E1" s="27" t="s">
        <v>79</v>
      </c>
      <c r="F1" s="27"/>
      <c r="G1" s="27"/>
      <c r="I1" s="27" t="s">
        <v>62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21.696422413232455</v>
      </c>
      <c r="C5" s="1">
        <v>13.581678874245563</v>
      </c>
      <c r="E5" s="6" t="s">
        <v>105</v>
      </c>
      <c r="F5" s="1">
        <v>2.1644734536498422</v>
      </c>
      <c r="G5" s="1">
        <v>1.3497361355326547</v>
      </c>
      <c r="I5" s="6" t="s">
        <v>105</v>
      </c>
      <c r="J5" s="1">
        <v>4.2719999999999994</v>
      </c>
      <c r="K5" s="1">
        <v>14.502519643151667</v>
      </c>
    </row>
    <row r="6" spans="1:11" x14ac:dyDescent="0.25">
      <c r="A6" s="6" t="s">
        <v>121</v>
      </c>
      <c r="B6" s="1">
        <v>30.387420379424324</v>
      </c>
      <c r="C6" s="1">
        <v>6.2046081615632058</v>
      </c>
      <c r="E6" s="6" t="s">
        <v>121</v>
      </c>
      <c r="F6" s="1">
        <v>5.3785746355574249</v>
      </c>
      <c r="G6" s="1">
        <v>9.9147923576352742E-2</v>
      </c>
      <c r="I6" s="6" t="s">
        <v>121</v>
      </c>
      <c r="J6" s="1">
        <v>20.357999999999997</v>
      </c>
      <c r="K6" s="1">
        <v>9.2756183621362958</v>
      </c>
    </row>
    <row r="7" spans="1:11" x14ac:dyDescent="0.25">
      <c r="A7" s="6" t="s">
        <v>125</v>
      </c>
      <c r="B7" s="1">
        <v>11.379168617314088</v>
      </c>
      <c r="C7" s="1">
        <v>13.055659657913761</v>
      </c>
      <c r="E7" s="6" t="s">
        <v>125</v>
      </c>
      <c r="F7" s="1">
        <v>2.4270673234052533</v>
      </c>
      <c r="G7" s="1">
        <v>0.92491847936923854</v>
      </c>
      <c r="I7" s="6" t="s">
        <v>125</v>
      </c>
      <c r="J7" s="1">
        <v>15.154285714285715</v>
      </c>
      <c r="K7" s="1">
        <v>14.670369415100295</v>
      </c>
    </row>
    <row r="8" spans="1:11" x14ac:dyDescent="0.25">
      <c r="A8" s="6" t="s">
        <v>133</v>
      </c>
      <c r="B8" s="1">
        <v>5.1612660537215307</v>
      </c>
      <c r="C8" s="1">
        <v>25.52544200437945</v>
      </c>
      <c r="E8" s="6" t="s">
        <v>133</v>
      </c>
      <c r="F8" s="1">
        <v>1.3932079258271648</v>
      </c>
      <c r="G8" s="1">
        <v>0.72384563453065787</v>
      </c>
      <c r="I8" s="6" t="s">
        <v>133</v>
      </c>
      <c r="J8" s="1">
        <v>3.0943999999999998</v>
      </c>
      <c r="K8" s="1">
        <v>10.499558878352937</v>
      </c>
    </row>
    <row r="9" spans="1:11" x14ac:dyDescent="0.25">
      <c r="A9" s="6" t="s">
        <v>157</v>
      </c>
      <c r="B9" s="1">
        <v>21.313126041160995</v>
      </c>
      <c r="C9" s="1">
        <v>12.678920842045079</v>
      </c>
      <c r="E9" s="6" t="s">
        <v>157</v>
      </c>
      <c r="F9" s="1">
        <v>2.4981750737054913</v>
      </c>
      <c r="G9" s="1">
        <v>1.2558912620072624</v>
      </c>
      <c r="I9" s="6" t="s">
        <v>157</v>
      </c>
      <c r="J9" s="1">
        <v>20.2</v>
      </c>
      <c r="K9" s="1">
        <v>14.681323736866053</v>
      </c>
    </row>
    <row r="21" spans="1:11" x14ac:dyDescent="0.25">
      <c r="A21" s="27" t="s">
        <v>64</v>
      </c>
      <c r="B21" s="27"/>
      <c r="C21" s="27"/>
      <c r="E21" s="27" t="s">
        <v>66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5.302999999999999</v>
      </c>
      <c r="C25" s="1">
        <v>3.361999553836974</v>
      </c>
      <c r="E25" s="6" t="s">
        <v>105</v>
      </c>
      <c r="F25" s="1">
        <v>2.3647368421052626</v>
      </c>
      <c r="G25" s="1">
        <v>0.66139699377870098</v>
      </c>
      <c r="I25" s="6" t="s">
        <v>105</v>
      </c>
      <c r="J25" s="1">
        <v>17.654023455917599</v>
      </c>
      <c r="K25" s="1">
        <v>13.644545920421734</v>
      </c>
    </row>
    <row r="26" spans="1:11" x14ac:dyDescent="0.25">
      <c r="A26" s="6" t="s">
        <v>121</v>
      </c>
      <c r="B26" s="1">
        <v>10.401999999999999</v>
      </c>
      <c r="C26" s="1">
        <v>4.4900040089068982</v>
      </c>
      <c r="E26" s="6" t="s">
        <v>121</v>
      </c>
      <c r="F26" s="1">
        <v>2.1149999999999998</v>
      </c>
      <c r="G26" s="1">
        <v>0.15337861650178336</v>
      </c>
      <c r="I26" s="6" t="s">
        <v>121</v>
      </c>
      <c r="J26" s="1">
        <v>26.389675013779044</v>
      </c>
      <c r="K26" s="1">
        <v>1.898159055505894</v>
      </c>
    </row>
    <row r="27" spans="1:11" x14ac:dyDescent="0.25">
      <c r="A27" s="6" t="s">
        <v>125</v>
      </c>
      <c r="B27" s="1">
        <v>4.6916666666666664</v>
      </c>
      <c r="C27" s="1">
        <v>1.5649112505897012</v>
      </c>
      <c r="E27" s="6" t="s">
        <v>125</v>
      </c>
      <c r="F27" s="1">
        <v>3.6079999999999997</v>
      </c>
      <c r="G27" s="1">
        <v>1.1241957124984951</v>
      </c>
      <c r="I27" s="6" t="s">
        <v>125</v>
      </c>
      <c r="J27" s="1">
        <v>17.932194286905951</v>
      </c>
      <c r="K27" s="1">
        <v>5.9899081833309769</v>
      </c>
    </row>
    <row r="28" spans="1:11" x14ac:dyDescent="0.25">
      <c r="A28" s="6" t="s">
        <v>133</v>
      </c>
      <c r="B28" s="1">
        <v>3.3766666666666674</v>
      </c>
      <c r="C28" s="1">
        <v>3.9916171418871573</v>
      </c>
      <c r="E28" s="6" t="s">
        <v>133</v>
      </c>
      <c r="F28" s="1">
        <v>1.6395833333333334</v>
      </c>
      <c r="G28" s="1">
        <v>0.3726423572124995</v>
      </c>
      <c r="I28" s="6" t="s">
        <v>133</v>
      </c>
      <c r="J28" s="1">
        <v>16.574616762221705</v>
      </c>
      <c r="K28" s="1">
        <v>33.182857858584811</v>
      </c>
    </row>
    <row r="29" spans="1:11" x14ac:dyDescent="0.25">
      <c r="A29" s="6" t="s">
        <v>157</v>
      </c>
      <c r="B29" s="1">
        <v>8.08</v>
      </c>
      <c r="C29" s="1">
        <v>5.3304846558888679</v>
      </c>
      <c r="E29" s="6" t="s">
        <v>157</v>
      </c>
      <c r="F29" s="1">
        <v>1.9566666666666668</v>
      </c>
      <c r="G29" s="1">
        <v>0.79550123961073838</v>
      </c>
      <c r="I29" s="6" t="s">
        <v>157</v>
      </c>
      <c r="J29" s="1">
        <v>-629.75188972070748</v>
      </c>
      <c r="K29" s="1">
        <v>907.39954651433197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29"/>
  <sheetViews>
    <sheetView workbookViewId="0">
      <selection activeCell="F12" sqref="F12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6.85546875" bestFit="1" customWidth="1"/>
    <col min="5" max="5" width="22.42578125" bestFit="1" customWidth="1"/>
    <col min="6" max="6" width="14" bestFit="1" customWidth="1"/>
    <col min="7" max="7" width="14.5703125" bestFit="1" customWidth="1"/>
    <col min="9" max="9" width="22.425781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61</v>
      </c>
      <c r="B1" s="27"/>
      <c r="C1" s="27"/>
      <c r="E1" s="27" t="s">
        <v>81</v>
      </c>
      <c r="F1" s="27"/>
      <c r="G1" s="27"/>
      <c r="I1" s="27" t="s">
        <v>63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6.7964564696526333</v>
      </c>
      <c r="C5" s="1">
        <v>15.167932488741709</v>
      </c>
      <c r="E5" s="6" t="s">
        <v>105</v>
      </c>
      <c r="F5" s="1">
        <v>0.97269481391587687</v>
      </c>
      <c r="G5" s="1">
        <v>0.37185495971183979</v>
      </c>
      <c r="I5" s="6" t="s">
        <v>105</v>
      </c>
      <c r="J5" s="1">
        <v>4.4305263157894741</v>
      </c>
      <c r="K5" s="1">
        <v>8.3775310228480286</v>
      </c>
    </row>
    <row r="6" spans="1:11" x14ac:dyDescent="0.25">
      <c r="A6" s="6" t="s">
        <v>121</v>
      </c>
      <c r="B6" s="1">
        <v>29.607142857142858</v>
      </c>
      <c r="C6" s="1">
        <v>0.39285714285726098</v>
      </c>
      <c r="E6" s="6" t="s">
        <v>121</v>
      </c>
      <c r="F6" s="1">
        <v>4.4920454545454547</v>
      </c>
      <c r="G6" s="1">
        <v>2.6329545454545453</v>
      </c>
      <c r="I6" s="6" t="s">
        <v>121</v>
      </c>
      <c r="J6" s="1">
        <v>18.785</v>
      </c>
      <c r="K6" s="1">
        <v>2.6449999999999951</v>
      </c>
    </row>
    <row r="7" spans="1:11" x14ac:dyDescent="0.25">
      <c r="A7" s="6" t="s">
        <v>125</v>
      </c>
      <c r="B7" s="1">
        <v>28.655496162280702</v>
      </c>
      <c r="C7" s="1">
        <v>12.587014062012598</v>
      </c>
      <c r="E7" s="6" t="s">
        <v>125</v>
      </c>
      <c r="F7" s="1">
        <v>1.3985700168808328</v>
      </c>
      <c r="G7" s="1">
        <v>0.51630406691009645</v>
      </c>
      <c r="I7" s="6" t="s">
        <v>125</v>
      </c>
      <c r="J7" s="1">
        <v>-1.74</v>
      </c>
      <c r="K7" s="1">
        <v>6.497757305409305</v>
      </c>
    </row>
    <row r="8" spans="1:11" x14ac:dyDescent="0.25">
      <c r="A8" s="6" t="s">
        <v>133</v>
      </c>
      <c r="B8" s="1">
        <v>-8.3429477841166655</v>
      </c>
      <c r="C8" s="1">
        <v>21.897417626010572</v>
      </c>
      <c r="E8" s="6" t="s">
        <v>133</v>
      </c>
      <c r="F8" s="1">
        <v>1.6502570103852132</v>
      </c>
      <c r="G8" s="1">
        <v>0.79709101653110292</v>
      </c>
      <c r="I8" s="6" t="s">
        <v>133</v>
      </c>
      <c r="J8" s="1">
        <v>-7.2288235294117653</v>
      </c>
      <c r="K8" s="1">
        <v>18.508508233979576</v>
      </c>
    </row>
    <row r="9" spans="1:11" x14ac:dyDescent="0.25">
      <c r="A9" s="6" t="s">
        <v>157</v>
      </c>
      <c r="B9" s="1">
        <v>1.1243237576011746</v>
      </c>
      <c r="C9" s="1">
        <v>4.8716921786538068</v>
      </c>
      <c r="E9" s="6" t="s">
        <v>157</v>
      </c>
      <c r="F9" s="1">
        <v>0.51754309970603063</v>
      </c>
      <c r="G9" s="1">
        <v>3.5788938374405312E-2</v>
      </c>
      <c r="I9" s="6" t="s">
        <v>157</v>
      </c>
      <c r="J9" s="1">
        <v>-8.5150000000000006</v>
      </c>
      <c r="K9" s="1">
        <v>1.7149999999999967</v>
      </c>
    </row>
    <row r="21" spans="1:11" x14ac:dyDescent="0.25">
      <c r="A21" s="27" t="s">
        <v>65</v>
      </c>
      <c r="B21" s="27"/>
      <c r="C21" s="27"/>
      <c r="E21" s="27" t="s">
        <v>67</v>
      </c>
      <c r="F21" s="27"/>
      <c r="G21" s="27"/>
      <c r="I21" s="27" t="s">
        <v>68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3.3404545454545458</v>
      </c>
      <c r="C25" s="1">
        <v>2.3779775158978476</v>
      </c>
      <c r="E25" s="6" t="s">
        <v>105</v>
      </c>
      <c r="F25" s="1">
        <v>2.5317391304347829</v>
      </c>
      <c r="G25" s="1">
        <v>0.81681061704717228</v>
      </c>
      <c r="I25" s="6" t="s">
        <v>105</v>
      </c>
      <c r="J25" s="1">
        <v>5.8507539197071257</v>
      </c>
      <c r="K25" s="1">
        <v>15.299917893097671</v>
      </c>
    </row>
    <row r="26" spans="1:11" x14ac:dyDescent="0.25">
      <c r="A26" s="6" t="s">
        <v>121</v>
      </c>
      <c r="B26" s="1">
        <v>6.27</v>
      </c>
      <c r="C26" s="1">
        <v>1.3800000000000034</v>
      </c>
      <c r="E26" s="6" t="s">
        <v>121</v>
      </c>
      <c r="F26" s="1">
        <v>2.15</v>
      </c>
      <c r="G26" s="1">
        <v>0.37000000000000094</v>
      </c>
      <c r="I26" s="6" t="s">
        <v>121</v>
      </c>
      <c r="J26" s="1">
        <v>26.716045673076923</v>
      </c>
      <c r="K26" s="1">
        <v>17.13010817307692</v>
      </c>
    </row>
    <row r="27" spans="1:11" x14ac:dyDescent="0.25">
      <c r="A27" s="6" t="s">
        <v>125</v>
      </c>
      <c r="B27" s="1">
        <v>2.8374999999999999</v>
      </c>
      <c r="C27" s="1">
        <v>1.9498253126882932</v>
      </c>
      <c r="E27" s="6" t="s">
        <v>125</v>
      </c>
      <c r="F27" s="1">
        <v>3.7674999999999996</v>
      </c>
      <c r="G27" s="1">
        <v>2.3992954695076634</v>
      </c>
      <c r="I27" s="6" t="s">
        <v>125</v>
      </c>
      <c r="J27" s="1">
        <v>12.831744644244642</v>
      </c>
      <c r="K27" s="1">
        <v>25.796836028556967</v>
      </c>
    </row>
    <row r="28" spans="1:11" x14ac:dyDescent="0.25">
      <c r="A28" s="6" t="s">
        <v>133</v>
      </c>
      <c r="B28" s="1">
        <v>-0.29351851851851896</v>
      </c>
      <c r="C28" s="1">
        <v>8.3525638462218659</v>
      </c>
      <c r="E28" s="6" t="s">
        <v>133</v>
      </c>
      <c r="F28" s="1">
        <v>1.8055769230769225</v>
      </c>
      <c r="G28" s="1">
        <v>0.67090757549164215</v>
      </c>
      <c r="I28" s="6" t="s">
        <v>133</v>
      </c>
      <c r="J28" s="1">
        <v>-1.50219701014159</v>
      </c>
      <c r="K28" s="1">
        <v>22.717784521589486</v>
      </c>
    </row>
    <row r="29" spans="1:11" x14ac:dyDescent="0.25">
      <c r="A29" s="6" t="s">
        <v>157</v>
      </c>
      <c r="B29" s="1">
        <v>-0.25</v>
      </c>
      <c r="C29" s="1">
        <v>1.56</v>
      </c>
      <c r="E29" s="6" t="s">
        <v>157</v>
      </c>
      <c r="F29" s="1">
        <v>2.78</v>
      </c>
      <c r="G29" s="1">
        <v>0.83000000000000018</v>
      </c>
      <c r="I29" s="6" t="s">
        <v>157</v>
      </c>
      <c r="J29" s="1">
        <v>-4.3553209178583305</v>
      </c>
      <c r="K29" s="1">
        <v>1.7694102649373671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11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I28" sqref="I28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Large Cap"</f>
        <v>Materials - Large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x14ac:dyDescent="0.25">
      <c r="C2" s="37" t="s">
        <v>104</v>
      </c>
      <c r="D2" s="38"/>
      <c r="E2" s="38"/>
      <c r="F2" s="38"/>
      <c r="G2" s="38"/>
      <c r="H2" s="39"/>
      <c r="I2" s="45" t="s">
        <v>69</v>
      </c>
      <c r="J2" s="46"/>
      <c r="K2" s="46"/>
      <c r="L2" s="46"/>
      <c r="M2" s="47"/>
      <c r="N2" s="48" t="s">
        <v>86</v>
      </c>
      <c r="O2" s="49"/>
      <c r="P2" s="49"/>
      <c r="Q2" s="49"/>
      <c r="R2" s="49"/>
      <c r="S2" s="50"/>
      <c r="T2" s="43" t="str">
        <f>"Max Score:"&amp;IFERROR(CHAR(10)&amp;MAX($T$9:$T$1048576)&amp;"/5", CHAR(10)&amp;"0/5")</f>
        <v>Max Score:
4/5</v>
      </c>
    </row>
    <row r="3" spans="1:20" s="10" customFormat="1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3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1">_xlfn._xlws.FILTER(_xlfn._xlws.FILTER(Main_L[], Main_L[Preliminary Criteria]="YES"), COUNTIF($A$8:$S$8,Main_L[#Headers]))</f>
        <v>Metals &amp; Mining</v>
      </c>
      <c r="B9" t="str">
        <v>AEM</v>
      </c>
      <c r="C9" s="9">
        <v>59059</v>
      </c>
      <c r="D9" s="1">
        <v>107</v>
      </c>
      <c r="E9" s="1">
        <v>4.67</v>
      </c>
      <c r="F9" s="1">
        <v>43.05</v>
      </c>
      <c r="G9" s="1">
        <v>4.7</v>
      </c>
      <c r="H9" s="1">
        <v>22.912205567451821</v>
      </c>
      <c r="I9" s="1">
        <v>2.4854819976771196</v>
      </c>
      <c r="J9" s="1">
        <v>11.45</v>
      </c>
      <c r="K9" s="1">
        <v>7.81</v>
      </c>
      <c r="L9" s="1">
        <v>1.41</v>
      </c>
      <c r="M9" s="1">
        <v>22.76595744680851</v>
      </c>
      <c r="N9" s="1">
        <v>-0.3792898233007137</v>
      </c>
      <c r="O9" s="1">
        <v>-0.16224468538710782</v>
      </c>
      <c r="P9" s="1">
        <v>-0.21415062912614846</v>
      </c>
      <c r="Q9" s="1">
        <v>0.48255935729193561</v>
      </c>
      <c r="R9" s="1">
        <v>-0.86545536723042593</v>
      </c>
      <c r="S9" s="1">
        <v>0.37116958581746107</v>
      </c>
      <c r="T9">
        <f t="shared" ref="T9:T25" si="0">SUM(IF($I9&lt;(0.7*VLOOKUP($A9, Mean_PB_L, 2, FALSE)),1,0), IF($J9&gt;VLOOKUP($A9, Mean_ROE_L, 2, FALSE),1,0), IF($K9&gt;VLOOKUP($A9, Mean_ROA_L, 2,FALSE),1,0), IF($M9&lt;VLOOKUP($A9, Mean_PE_L, 2, FALSE),1,0), IF(AND($M9&gt;1,$M9&lt;25),1,0))</f>
        <v>2</v>
      </c>
    </row>
    <row r="10" spans="1:20" x14ac:dyDescent="0.25">
      <c r="A10" t="str">
        <v>Metals &amp; Mining</v>
      </c>
      <c r="B10" t="str">
        <v>KGC</v>
      </c>
      <c r="C10" s="2">
        <v>19207</v>
      </c>
      <c r="D10" s="1">
        <v>13.76</v>
      </c>
      <c r="E10" s="1">
        <v>1.04</v>
      </c>
      <c r="F10" s="1">
        <v>5.58</v>
      </c>
      <c r="G10" s="1">
        <v>0.77</v>
      </c>
      <c r="H10" s="1">
        <v>13.23076923076923</v>
      </c>
      <c r="I10" s="1">
        <v>2.4659498207885302</v>
      </c>
      <c r="J10" s="1">
        <v>15.08</v>
      </c>
      <c r="K10" s="1">
        <v>8.32</v>
      </c>
      <c r="L10" s="1">
        <v>1.58</v>
      </c>
      <c r="M10" s="1">
        <v>17.870129870129869</v>
      </c>
      <c r="N10" s="1">
        <v>-0.92768837929471326</v>
      </c>
      <c r="O10" s="1">
        <v>-0.17437516502122796</v>
      </c>
      <c r="P10" s="1">
        <v>0.26196488429295456</v>
      </c>
      <c r="Q10" s="1">
        <v>0.76678419613168391</v>
      </c>
      <c r="R10" s="1">
        <v>-0.37577260271578261</v>
      </c>
      <c r="S10" s="1">
        <v>-0.18142699512641922</v>
      </c>
      <c r="T10">
        <f t="shared" si="0"/>
        <v>4</v>
      </c>
    </row>
    <row r="11" spans="1:20" x14ac:dyDescent="0.25">
      <c r="A11" t="str">
        <v>Metals &amp; Mining</v>
      </c>
      <c r="B11" t="str">
        <v>RS</v>
      </c>
      <c r="C11" s="2">
        <v>15634</v>
      </c>
      <c r="D11" s="1">
        <v>299.16000000000003</v>
      </c>
      <c r="E11" s="1">
        <v>17.54</v>
      </c>
      <c r="F11" s="1">
        <v>134.28</v>
      </c>
      <c r="G11" s="1">
        <v>14.01</v>
      </c>
      <c r="H11" s="1">
        <v>17.055872291904222</v>
      </c>
      <c r="I11" s="1">
        <v>2.2278820375335124</v>
      </c>
      <c r="J11" s="1">
        <v>10.29</v>
      </c>
      <c r="K11" s="1">
        <v>6.34</v>
      </c>
      <c r="L11" s="1">
        <v>1.46</v>
      </c>
      <c r="M11" s="1">
        <v>21.353319057815849</v>
      </c>
      <c r="N11" s="1">
        <v>-0.71101794710825927</v>
      </c>
      <c r="O11" s="1">
        <v>-0.32222741993308063</v>
      </c>
      <c r="P11" s="1">
        <v>-0.36629773534272131</v>
      </c>
      <c r="Q11" s="1">
        <v>-0.33667694289321992</v>
      </c>
      <c r="R11" s="1">
        <v>-0.72143102472611909</v>
      </c>
      <c r="S11" s="1">
        <v>0.2117237859723218</v>
      </c>
      <c r="T11">
        <f t="shared" si="0"/>
        <v>1</v>
      </c>
    </row>
  </sheetData>
  <autoFilter ref="A8:T8" xr:uid="{97C29769-BCC2-47EA-9108-B1B7CE962C71}"/>
  <mergeCells count="14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</mergeCells>
  <phoneticPr fontId="6" type="noConversion"/>
  <conditionalFormatting sqref="I9:I1048576">
    <cfRule type="expression" dxfId="59" priority="1">
      <formula>$I9 &lt; (0.7*VLOOKUP($A9, Mean_PB_L, 2, FALSE))</formula>
    </cfRule>
  </conditionalFormatting>
  <conditionalFormatting sqref="J9:J1048576">
    <cfRule type="expression" dxfId="58" priority="3">
      <formula>$J9 &gt; VLOOKUP($A9, Mean_ROE_L, 2, FALSE)</formula>
    </cfRule>
  </conditionalFormatting>
  <conditionalFormatting sqref="K9:K1048576">
    <cfRule type="expression" dxfId="57" priority="4">
      <formula>$K9 &gt; VLOOKUP($A9, Mean_ROA_L, 2, FALSE)</formula>
    </cfRule>
  </conditionalFormatting>
  <conditionalFormatting sqref="M9:M1048576">
    <cfRule type="expression" dxfId="56" priority="5">
      <formula>AND($M9&gt;1, $M9&lt;25, $M9 &lt; VLOOKUP($A9, Mean_PE_L, 2, FALSE))</formula>
    </cfRule>
    <cfRule type="expression" dxfId="55" priority="6">
      <formula>AND($M9&gt;1, $M9&lt;25)</formula>
    </cfRule>
    <cfRule type="expression" dxfId="54" priority="9">
      <formula xml:space="preserve"> $M9 &lt; VLOOKUP($A9, Mean_PE_L, 2, FALSE)</formula>
    </cfRule>
  </conditionalFormatting>
  <conditionalFormatting sqref="N9:N1048576">
    <cfRule type="expression" dxfId="53" priority="10">
      <formula>$N9&lt;0</formula>
    </cfRule>
  </conditionalFormatting>
  <conditionalFormatting sqref="O9:O1048576">
    <cfRule type="expression" dxfId="52" priority="11">
      <formula>$O9&lt;0</formula>
    </cfRule>
  </conditionalFormatting>
  <conditionalFormatting sqref="P9:P1048576">
    <cfRule type="expression" dxfId="51" priority="12">
      <formula>$P9&gt;0</formula>
    </cfRule>
  </conditionalFormatting>
  <conditionalFormatting sqref="Q9:Q1048576">
    <cfRule type="expression" dxfId="50" priority="14">
      <formula>$Q9&gt;0</formula>
    </cfRule>
  </conditionalFormatting>
  <conditionalFormatting sqref="R9:R1048576">
    <cfRule type="expression" dxfId="49" priority="15">
      <formula>$R9&lt;0</formula>
    </cfRule>
  </conditionalFormatting>
  <conditionalFormatting sqref="S9:S1048576">
    <cfRule type="expression" dxfId="48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K31" sqref="K3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Mid Cap"</f>
        <v>Materials - Mid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88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4/5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1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9">_xlfn._xlws.FILTER(_xlfn._xlws.FILTER(Main_M[], Main_M[Preliminary Criteria]="YES"), COUNTIF($A$8:$S$8,Main_M[#Headers]))</f>
        <v>Construction Materials</v>
      </c>
      <c r="B9" t="str">
        <v>EXP</v>
      </c>
      <c r="C9" s="2">
        <v>7487</v>
      </c>
      <c r="D9" s="1">
        <v>237.95</v>
      </c>
      <c r="E9" s="1">
        <v>10.96</v>
      </c>
      <c r="F9" s="1">
        <v>44.81</v>
      </c>
      <c r="G9" s="1">
        <v>13.93</v>
      </c>
      <c r="H9" s="1">
        <v>21.710766423357661</v>
      </c>
      <c r="I9" s="1">
        <v>5.3101986163802719</v>
      </c>
      <c r="J9" s="1">
        <v>33.51</v>
      </c>
      <c r="K9" s="1">
        <v>12.99</v>
      </c>
      <c r="L9" s="1">
        <v>2.0299999999999998</v>
      </c>
      <c r="M9" s="1">
        <v>17.081837760229721</v>
      </c>
      <c r="N9" s="1">
        <v>-1.398420936525449</v>
      </c>
      <c r="O9" s="1">
        <v>-0.68963642112481904</v>
      </c>
      <c r="P9" s="1">
        <v>1.4179108590417389</v>
      </c>
      <c r="Q9" s="1">
        <v>0.57639146755017168</v>
      </c>
      <c r="R9" s="1">
        <v>-0.55418416164297357</v>
      </c>
      <c r="S9" s="1">
        <v>-4.903612911968863</v>
      </c>
      <c r="T9">
        <f t="shared" ref="T9:T28" si="0">SUM(IF($I9 &lt; (0.7*VLOOKUP($A9, Mean_PB_M, 2, FALSE)),1,0), IF($J9&gt;VLOOKUP($A9, Mean_ROE_M, 2, FALSE),1,0), IF($K9&gt;VLOOKUP($A9, Mean_ROA_M, 2,FALSE),1,0), IF($M9&lt;VLOOKUP($A9, Mean_PE_M, 2, FALSE),1,0), IF(AND($M9&gt;1,$M9&lt;25),1,0))</f>
        <v>4</v>
      </c>
    </row>
  </sheetData>
  <autoFilter ref="A8:T8" xr:uid="{0BF3C1E5-2754-4118-8E3A-5ED7654E3417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47" priority="1">
      <formula>$I9 &lt; (0.7*VLOOKUP($A9, Mean_PB_M, 2, FALSE))</formula>
    </cfRule>
  </conditionalFormatting>
  <conditionalFormatting sqref="J9:J1048576">
    <cfRule type="expression" dxfId="46" priority="3">
      <formula>$J9 &gt; VLOOKUP($A9, Mean_ROE_M, 2, FALSE)</formula>
    </cfRule>
  </conditionalFormatting>
  <conditionalFormatting sqref="K9:K1048576">
    <cfRule type="expression" dxfId="45" priority="4">
      <formula>$K9 &gt; VLOOKUP($A9, Mean_ROA_M, 2, FALSE)</formula>
    </cfRule>
  </conditionalFormatting>
  <conditionalFormatting sqref="M9:M1048576">
    <cfRule type="expression" dxfId="44" priority="5">
      <formula>AND($M9&gt;1, $M9&lt;25, $M9 &lt; VLOOKUP($A9, Mean_PE_M, 2, FALSE))</formula>
    </cfRule>
    <cfRule type="expression" dxfId="43" priority="6">
      <formula>AND($M9&gt;1, $M9&lt;25)</formula>
    </cfRule>
    <cfRule type="expression" dxfId="42" priority="7">
      <formula xml:space="preserve"> $M9 &lt; VLOOKUP($A9, Mean_PE_M, 2, FALSE)</formula>
    </cfRule>
  </conditionalFormatting>
  <conditionalFormatting sqref="N9:N1048576">
    <cfRule type="expression" dxfId="41" priority="8">
      <formula>$N9&lt;0</formula>
    </cfRule>
  </conditionalFormatting>
  <conditionalFormatting sqref="O9:O1048576">
    <cfRule type="expression" dxfId="40" priority="9">
      <formula>$O9&lt;0</formula>
    </cfRule>
  </conditionalFormatting>
  <conditionalFormatting sqref="P9:P1048576">
    <cfRule type="expression" dxfId="39" priority="10">
      <formula>$P9&gt;0</formula>
    </cfRule>
  </conditionalFormatting>
  <conditionalFormatting sqref="Q9:Q1048576">
    <cfRule type="expression" dxfId="38" priority="11">
      <formula>$Q9&gt;0</formula>
    </cfRule>
  </conditionalFormatting>
  <conditionalFormatting sqref="R9:R1048576">
    <cfRule type="expression" dxfId="37" priority="12">
      <formula>$R9&lt;0</formula>
    </cfRule>
  </conditionalFormatting>
  <conditionalFormatting sqref="S9:S1048576">
    <cfRule type="expression" dxfId="36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G22" sqref="G22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Small Cap"</f>
        <v>Materials - Small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89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0/5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0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_xlfn._xlws.FILTER(_xlfn._xlws.FILTER(Main_S[], Main_S[Preliminary Criteria]="YES"), COUNTIF($A$8:$S$8,Main_S[#Headers]))</f>
        <v>#VALUE!</v>
      </c>
      <c r="T9" t="e" vm="2">
        <f>SUM(IF($I9 &lt; (0.7*VLOOKUP($A9, Mean_PB_S, 2, FALSE)),1,0), IF($J9&gt;VLOOKUP($A9, Mean_ROE_S, 2, FALSE),1,0), IF($K9&gt;VLOOKUP($A9, Mean_ROA_S, 2,FALSE),1,0), IF($M9&lt;VLOOKUP($A9, Mean_PE_S, 2, FALSE),1,0), IF(AND($M9&gt;1,$M9&lt;25),1,0))</f>
        <v>#VALUE!</v>
      </c>
    </row>
  </sheetData>
  <autoFilter ref="A8:T8" xr:uid="{F6F40F71-5FB0-44DA-81D2-9D55F6DCA29E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35" priority="1">
      <formula>$I9 &lt; (0.7*VLOOKUP($A9, Mean_PB_S, 2, FALSE))</formula>
    </cfRule>
  </conditionalFormatting>
  <conditionalFormatting sqref="J9:J1048576">
    <cfRule type="expression" dxfId="34" priority="3">
      <formula>$J9 &gt; VLOOKUP($A9, Mean_ROE_S, 2, FALSE)</formula>
    </cfRule>
  </conditionalFormatting>
  <conditionalFormatting sqref="K9:K1048576">
    <cfRule type="expression" dxfId="33" priority="4">
      <formula>$K9 &gt; VLOOKUP($A9, Mean_ROA_S, 2, FALSE)</formula>
    </cfRule>
  </conditionalFormatting>
  <conditionalFormatting sqref="M9:M1048576">
    <cfRule type="expression" dxfId="32" priority="5">
      <formula>AND($M9&gt;1, $M9&lt;25, $M9 &lt; VLOOKUP($A9, Mean_PE_S, 2, FALSE))</formula>
    </cfRule>
    <cfRule type="expression" dxfId="31" priority="6">
      <formula>AND($M9&gt;1, $M9&lt;25)</formula>
    </cfRule>
    <cfRule type="expression" dxfId="30" priority="7">
      <formula xml:space="preserve"> $M9 &lt; VLOOKUP($A9, Mean_PE_S, 2, FALSE)</formula>
    </cfRule>
  </conditionalFormatting>
  <conditionalFormatting sqref="N9:N1048576">
    <cfRule type="expression" dxfId="29" priority="8">
      <formula>$N9&lt;0</formula>
    </cfRule>
  </conditionalFormatting>
  <conditionalFormatting sqref="O9:O1048576">
    <cfRule type="expression" dxfId="28" priority="9">
      <formula>$O9&lt;0</formula>
    </cfRule>
  </conditionalFormatting>
  <conditionalFormatting sqref="P9:P1048576">
    <cfRule type="expression" dxfId="27" priority="10">
      <formula>$P9&gt;0</formula>
    </cfRule>
  </conditionalFormatting>
  <conditionalFormatting sqref="Q9:Q1048576">
    <cfRule type="expression" dxfId="26" priority="11">
      <formula>$Q9&gt;0</formula>
    </cfRule>
  </conditionalFormatting>
  <conditionalFormatting sqref="R9:R1048576">
    <cfRule type="expression" dxfId="25" priority="12">
      <formula>$R9&lt;0</formula>
    </cfRule>
  </conditionalFormatting>
  <conditionalFormatting sqref="S9:S1048576">
    <cfRule type="expression" dxfId="24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Ngan Vu</cp:lastModifiedBy>
  <dcterms:created xsi:type="dcterms:W3CDTF">2024-11-08T05:29:25Z</dcterms:created>
  <dcterms:modified xsi:type="dcterms:W3CDTF">2025-05-14T03:10:45Z</dcterms:modified>
</cp:coreProperties>
</file>
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A9427279-3C69-44E1-A868-9407CC3A66F2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Main_L!$A$1:$M$57</definedName>
    <definedName name="ExternalData_1" localSheetId="2" hidden="1">Main_M!$A$1:$M$77</definedName>
    <definedName name="ExternalData_1" localSheetId="3" hidden="1">Main_S!$A$1:$M$137</definedName>
    <definedName name="ExternalData_5" localSheetId="4" hidden="1">'Quartile Tables'!$A$2:$Y$7</definedName>
    <definedName name="ExternalData_6" localSheetId="4" hidden="1">'Quartile Tables'!$A$11:$Y$16</definedName>
    <definedName name="ExternalData_7" localSheetId="4" hidden="1">'Quartile Tables'!$A$20:$Y$25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9" l="1"/>
  <c r="T11" i="9"/>
  <c r="Y25" i="1"/>
  <c r="Y24" i="1"/>
  <c r="Y23" i="1"/>
  <c r="Y22" i="1"/>
  <c r="Y21" i="1"/>
  <c r="X25" i="1"/>
  <c r="X24" i="1"/>
  <c r="X23" i="1"/>
  <c r="X22" i="1"/>
  <c r="X21" i="1"/>
  <c r="W25" i="1" a="1"/>
  <c r="W25" i="1"/>
  <c r="W24" i="1" a="1"/>
  <c r="W24" i="1" s="1"/>
  <c r="W23" i="1" a="1"/>
  <c r="W23" i="1" s="1"/>
  <c r="W22" i="1" a="1"/>
  <c r="W22" i="1" s="1"/>
  <c r="W21" i="1" a="1"/>
  <c r="W21" i="1" s="1"/>
  <c r="V25" i="1" a="1"/>
  <c r="V25" i="1" s="1"/>
  <c r="V24" i="1" a="1"/>
  <c r="V24" i="1" s="1"/>
  <c r="V23" i="1" a="1"/>
  <c r="V23" i="1" s="1"/>
  <c r="V22" i="1" a="1"/>
  <c r="V22" i="1"/>
  <c r="V21" i="1" a="1"/>
  <c r="V21" i="1" s="1"/>
  <c r="Q25" i="1"/>
  <c r="Q24" i="1"/>
  <c r="Q23" i="1"/>
  <c r="Q22" i="1"/>
  <c r="Q21" i="1"/>
  <c r="P25" i="1"/>
  <c r="P24" i="1"/>
  <c r="P23" i="1"/>
  <c r="P22" i="1"/>
  <c r="P21" i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N25" i="1" a="1"/>
  <c r="N25" i="1" s="1"/>
  <c r="N24" i="1" a="1"/>
  <c r="N24" i="1" s="1"/>
  <c r="N23" i="1" a="1"/>
  <c r="N23" i="1" s="1"/>
  <c r="N22" i="1" a="1"/>
  <c r="N22" i="1" s="1"/>
  <c r="N21" i="1" a="1"/>
  <c r="N21" i="1" s="1"/>
  <c r="M25" i="1"/>
  <c r="M24" i="1"/>
  <c r="M23" i="1"/>
  <c r="M22" i="1"/>
  <c r="M21" i="1"/>
  <c r="L25" i="1"/>
  <c r="L24" i="1"/>
  <c r="L23" i="1"/>
  <c r="L22" i="1"/>
  <c r="L21" i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J25" i="1" a="1"/>
  <c r="J25" i="1" s="1"/>
  <c r="J24" i="1" a="1"/>
  <c r="J24" i="1" s="1"/>
  <c r="J23" i="1" a="1"/>
  <c r="J23" i="1" s="1"/>
  <c r="J22" i="1" a="1"/>
  <c r="J22" i="1"/>
  <c r="J21" i="1" a="1"/>
  <c r="J21" i="1" s="1"/>
  <c r="Y16" i="1"/>
  <c r="Y15" i="1"/>
  <c r="Y14" i="1"/>
  <c r="Y13" i="1"/>
  <c r="Y12" i="1"/>
  <c r="X16" i="1"/>
  <c r="X15" i="1"/>
  <c r="X14" i="1"/>
  <c r="X13" i="1"/>
  <c r="X12" i="1"/>
  <c r="W16" i="1" a="1"/>
  <c r="W16" i="1" s="1"/>
  <c r="W15" i="1" a="1"/>
  <c r="W15" i="1" s="1"/>
  <c r="W14" i="1" a="1"/>
  <c r="W14" i="1" s="1"/>
  <c r="W13" i="1" a="1"/>
  <c r="W13" i="1" s="1"/>
  <c r="W12" i="1" a="1"/>
  <c r="W12" i="1"/>
  <c r="V16" i="1" a="1"/>
  <c r="V16" i="1" s="1"/>
  <c r="V15" i="1" a="1"/>
  <c r="V15" i="1" s="1"/>
  <c r="V14" i="1" a="1"/>
  <c r="V14" i="1" s="1"/>
  <c r="V13" i="1" a="1"/>
  <c r="V13" i="1" s="1"/>
  <c r="V12" i="1" a="1"/>
  <c r="V12" i="1" s="1"/>
  <c r="Q16" i="1"/>
  <c r="Q15" i="1"/>
  <c r="Q14" i="1"/>
  <c r="Q13" i="1"/>
  <c r="Q12" i="1"/>
  <c r="P16" i="1"/>
  <c r="P15" i="1"/>
  <c r="P14" i="1"/>
  <c r="P13" i="1"/>
  <c r="P12" i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M16" i="1"/>
  <c r="M15" i="1"/>
  <c r="M14" i="1"/>
  <c r="M13" i="1"/>
  <c r="M12" i="1"/>
  <c r="L16" i="1"/>
  <c r="L15" i="1"/>
  <c r="L14" i="1"/>
  <c r="L13" i="1"/>
  <c r="L12" i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J16" i="1" a="1"/>
  <c r="J16" i="1" s="1"/>
  <c r="J15" i="1" a="1"/>
  <c r="J15" i="1" s="1"/>
  <c r="J14" i="1" a="1"/>
  <c r="J14" i="1" s="1"/>
  <c r="J13" i="1" a="1"/>
  <c r="J13" i="1" s="1"/>
  <c r="J12" i="1" a="1"/>
  <c r="J12" i="1"/>
  <c r="Y7" i="1"/>
  <c r="Y6" i="1"/>
  <c r="Y5" i="1"/>
  <c r="Y4" i="1"/>
  <c r="Y3" i="1"/>
  <c r="X7" i="1"/>
  <c r="X6" i="1"/>
  <c r="X5" i="1"/>
  <c r="X4" i="1"/>
  <c r="X3" i="1"/>
  <c r="W7" i="1" a="1"/>
  <c r="W7" i="1" s="1"/>
  <c r="W6" i="1" a="1"/>
  <c r="W6" i="1" s="1"/>
  <c r="W5" i="1" a="1"/>
  <c r="W5" i="1" s="1"/>
  <c r="W4" i="1" a="1"/>
  <c r="W4" i="1" s="1"/>
  <c r="W3" i="1" a="1"/>
  <c r="W3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7" i="1"/>
  <c r="Q6" i="1"/>
  <c r="Q5" i="1"/>
  <c r="Q4" i="1"/>
  <c r="Q3" i="1"/>
  <c r="P7" i="1"/>
  <c r="P6" i="1"/>
  <c r="P5" i="1"/>
  <c r="P4" i="1"/>
  <c r="P3" i="1"/>
  <c r="O7" i="1" a="1"/>
  <c r="O7" i="1" s="1"/>
  <c r="O6" i="1" a="1"/>
  <c r="O6" i="1" s="1"/>
  <c r="O5" i="1" a="1"/>
  <c r="O5" i="1" s="1"/>
  <c r="O4" i="1" a="1"/>
  <c r="O4" i="1" s="1"/>
  <c r="O3" i="1" a="1"/>
  <c r="O3" i="1" s="1"/>
  <c r="N7" i="1" a="1"/>
  <c r="N7" i="1" s="1"/>
  <c r="N6" i="1" a="1"/>
  <c r="N6" i="1" s="1"/>
  <c r="N5" i="1" a="1"/>
  <c r="N5" i="1" s="1"/>
  <c r="N4" i="1" a="1"/>
  <c r="N4" i="1"/>
  <c r="N3" i="1" a="1"/>
  <c r="N3" i="1" s="1"/>
  <c r="M7" i="1"/>
  <c r="M6" i="1"/>
  <c r="M5" i="1"/>
  <c r="M4" i="1"/>
  <c r="M3" i="1"/>
  <c r="L7" i="1"/>
  <c r="L6" i="1"/>
  <c r="L5" i="1"/>
  <c r="L4" i="1"/>
  <c r="L3" i="1"/>
  <c r="K7" i="1" a="1"/>
  <c r="K7" i="1" s="1"/>
  <c r="K6" i="1" a="1"/>
  <c r="K6" i="1" s="1"/>
  <c r="K5" i="1" a="1"/>
  <c r="K5" i="1" s="1"/>
  <c r="K4" i="1" a="1"/>
  <c r="K4" i="1" s="1"/>
  <c r="K3" i="1" a="1"/>
  <c r="K3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136" i="4"/>
  <c r="T136" i="4" s="1"/>
  <c r="M135" i="4"/>
  <c r="T135" i="4" s="1"/>
  <c r="M129" i="4"/>
  <c r="T129" i="4" s="1"/>
  <c r="M127" i="4"/>
  <c r="T127" i="4" s="1"/>
  <c r="M126" i="4"/>
  <c r="T126" i="4" s="1"/>
  <c r="M121" i="4"/>
  <c r="M120" i="4"/>
  <c r="T120" i="4" s="1"/>
  <c r="M119" i="4"/>
  <c r="M118" i="4"/>
  <c r="M117" i="4"/>
  <c r="T117" i="4" s="1"/>
  <c r="M116" i="4"/>
  <c r="M109" i="4"/>
  <c r="M108" i="4"/>
  <c r="T108" i="4" s="1"/>
  <c r="M107" i="4"/>
  <c r="T107" i="4" s="1"/>
  <c r="M106" i="4"/>
  <c r="T106" i="4" s="1"/>
  <c r="M103" i="4"/>
  <c r="T103" i="4" s="1"/>
  <c r="M102" i="4"/>
  <c r="T102" i="4" s="1"/>
  <c r="M101" i="4"/>
  <c r="T101" i="4" s="1"/>
  <c r="M100" i="4"/>
  <c r="T100" i="4" s="1"/>
  <c r="M99" i="4"/>
  <c r="T99" i="4" s="1"/>
  <c r="M98" i="4"/>
  <c r="T98" i="4" s="1"/>
  <c r="M89" i="4"/>
  <c r="T89" i="4" s="1"/>
  <c r="M88" i="4"/>
  <c r="M87" i="4"/>
  <c r="M86" i="4"/>
  <c r="T86" i="4" s="1"/>
  <c r="M82" i="4"/>
  <c r="T82" i="4" s="1"/>
  <c r="M81" i="4"/>
  <c r="T81" i="4" s="1"/>
  <c r="M80" i="4"/>
  <c r="T80" i="4" s="1"/>
  <c r="M79" i="4"/>
  <c r="T79" i="4" s="1"/>
  <c r="M78" i="4"/>
  <c r="M77" i="4"/>
  <c r="M76" i="4"/>
  <c r="M75" i="4"/>
  <c r="T75" i="4" s="1"/>
  <c r="M74" i="4"/>
  <c r="M61" i="4"/>
  <c r="M60" i="4"/>
  <c r="T60" i="4" s="1"/>
  <c r="M59" i="4"/>
  <c r="T59" i="4" s="1"/>
  <c r="M58" i="4"/>
  <c r="T58" i="4" s="1"/>
  <c r="M57" i="4"/>
  <c r="T57" i="4" s="1"/>
  <c r="M49" i="4"/>
  <c r="T49" i="4" s="1"/>
  <c r="M48" i="4"/>
  <c r="T48" i="4" s="1"/>
  <c r="M47" i="4"/>
  <c r="M41" i="4"/>
  <c r="T41" i="4" s="1"/>
  <c r="M40" i="4"/>
  <c r="T40" i="4" s="1"/>
  <c r="M39" i="4"/>
  <c r="T39" i="4" s="1"/>
  <c r="M38" i="4"/>
  <c r="M37" i="4"/>
  <c r="T37" i="4" s="1"/>
  <c r="M36" i="4"/>
  <c r="M29" i="4"/>
  <c r="M28" i="4"/>
  <c r="M27" i="4"/>
  <c r="T27" i="4" s="1"/>
  <c r="M26" i="4"/>
  <c r="T26" i="4" s="1"/>
  <c r="M21" i="4"/>
  <c r="M20" i="4"/>
  <c r="M19" i="4"/>
  <c r="M18" i="4"/>
  <c r="M17" i="4"/>
  <c r="T17" i="4" s="1"/>
  <c r="M16" i="4"/>
  <c r="T16" i="4" s="1"/>
  <c r="M15" i="4"/>
  <c r="M9" i="4"/>
  <c r="T9" i="4" s="1"/>
  <c r="M8" i="4"/>
  <c r="T8" i="4" s="1"/>
  <c r="M7" i="4"/>
  <c r="T7" i="4" s="1"/>
  <c r="M6" i="4"/>
  <c r="I137" i="4"/>
  <c r="I136" i="4"/>
  <c r="P136" i="4" s="1"/>
  <c r="I135" i="4"/>
  <c r="P135" i="4" s="1"/>
  <c r="I130" i="4"/>
  <c r="I123" i="4"/>
  <c r="P123" i="4" s="1"/>
  <c r="I122" i="4"/>
  <c r="P122" i="4" s="1"/>
  <c r="I121" i="4"/>
  <c r="P121" i="4" s="1"/>
  <c r="I120" i="4"/>
  <c r="P120" i="4" s="1"/>
  <c r="I119" i="4"/>
  <c r="P119" i="4" s="1"/>
  <c r="I118" i="4"/>
  <c r="I117" i="4"/>
  <c r="N117" i="4" s="1"/>
  <c r="I116" i="4"/>
  <c r="P116" i="4" s="1"/>
  <c r="I115" i="4"/>
  <c r="I101" i="4"/>
  <c r="P101" i="4" s="1"/>
  <c r="I100" i="4"/>
  <c r="I99" i="4"/>
  <c r="P99" i="4" s="1"/>
  <c r="I98" i="4"/>
  <c r="P98" i="4" s="1"/>
  <c r="I97" i="4"/>
  <c r="I96" i="4"/>
  <c r="P96" i="4" s="1"/>
  <c r="I95" i="4"/>
  <c r="P95" i="4" s="1"/>
  <c r="I93" i="4"/>
  <c r="I92" i="4"/>
  <c r="I91" i="4"/>
  <c r="P91" i="4" s="1"/>
  <c r="I90" i="4"/>
  <c r="P90" i="4" s="1"/>
  <c r="I83" i="4"/>
  <c r="P83" i="4" s="1"/>
  <c r="I81" i="4"/>
  <c r="P81" i="4" s="1"/>
  <c r="I80" i="4"/>
  <c r="P80" i="4" s="1"/>
  <c r="I79" i="4"/>
  <c r="I78" i="4"/>
  <c r="I77" i="4"/>
  <c r="I76" i="4"/>
  <c r="I73" i="4"/>
  <c r="P73" i="4" s="1"/>
  <c r="I70" i="4"/>
  <c r="P70" i="4" s="1"/>
  <c r="I61" i="4"/>
  <c r="P61" i="4" s="1"/>
  <c r="I60" i="4"/>
  <c r="P60" i="4" s="1"/>
  <c r="I59" i="4"/>
  <c r="P59" i="4" s="1"/>
  <c r="I58" i="4"/>
  <c r="I53" i="4"/>
  <c r="P53" i="4" s="1"/>
  <c r="I50" i="4"/>
  <c r="P50" i="4" s="1"/>
  <c r="I41" i="4"/>
  <c r="P41" i="4" s="1"/>
  <c r="I40" i="4"/>
  <c r="P40" i="4" s="1"/>
  <c r="I39" i="4"/>
  <c r="P39" i="4" s="1"/>
  <c r="I38" i="4"/>
  <c r="P38" i="4" s="1"/>
  <c r="I37" i="4"/>
  <c r="I36" i="4"/>
  <c r="P36" i="4" s="1"/>
  <c r="I35" i="4"/>
  <c r="P35" i="4" s="1"/>
  <c r="I30" i="4"/>
  <c r="I21" i="4"/>
  <c r="I20" i="4"/>
  <c r="P20" i="4" s="1"/>
  <c r="I19" i="4"/>
  <c r="P19" i="4" s="1"/>
  <c r="I18" i="4"/>
  <c r="I17" i="4"/>
  <c r="I16" i="4"/>
  <c r="P16" i="4" s="1"/>
  <c r="I15" i="4"/>
  <c r="N15" i="4" s="1"/>
  <c r="H137" i="4"/>
  <c r="N137" i="4" s="1"/>
  <c r="H136" i="4"/>
  <c r="N136" i="4" s="1"/>
  <c r="H135" i="4"/>
  <c r="N135" i="4" s="1"/>
  <c r="H133" i="4"/>
  <c r="H132" i="4"/>
  <c r="H131" i="4"/>
  <c r="O131" i="4" s="1"/>
  <c r="H130" i="4"/>
  <c r="H129" i="4"/>
  <c r="H127" i="4"/>
  <c r="O127" i="4" s="1"/>
  <c r="H126" i="4"/>
  <c r="H121" i="4"/>
  <c r="O121" i="4" s="1"/>
  <c r="H120" i="4"/>
  <c r="H119" i="4"/>
  <c r="H118" i="4"/>
  <c r="H113" i="4"/>
  <c r="H112" i="4"/>
  <c r="H110" i="4"/>
  <c r="H109" i="4"/>
  <c r="H108" i="4"/>
  <c r="H107" i="4"/>
  <c r="H106" i="4"/>
  <c r="H101" i="4"/>
  <c r="O101" i="4" s="1"/>
  <c r="H100" i="4"/>
  <c r="O100" i="4" s="1"/>
  <c r="H99" i="4"/>
  <c r="H98" i="4"/>
  <c r="O98" i="4" s="1"/>
  <c r="H97" i="4"/>
  <c r="H96" i="4"/>
  <c r="N96" i="4" s="1"/>
  <c r="H90" i="4"/>
  <c r="O90" i="4" s="1"/>
  <c r="H89" i="4"/>
  <c r="H88" i="4"/>
  <c r="O88" i="4" s="1"/>
  <c r="H87" i="4"/>
  <c r="H86" i="4"/>
  <c r="H81" i="4"/>
  <c r="H80" i="4"/>
  <c r="O80" i="4" s="1"/>
  <c r="H79" i="4"/>
  <c r="H78" i="4"/>
  <c r="O78" i="4" s="1"/>
  <c r="H77" i="4"/>
  <c r="O77" i="4" s="1"/>
  <c r="H76" i="4"/>
  <c r="H75" i="4"/>
  <c r="H73" i="4"/>
  <c r="H72" i="4"/>
  <c r="H71" i="4"/>
  <c r="O71" i="4" s="1"/>
  <c r="H68" i="4"/>
  <c r="O68" i="4" s="1"/>
  <c r="H61" i="4"/>
  <c r="H60" i="4"/>
  <c r="H59" i="4"/>
  <c r="H58" i="4"/>
  <c r="H56" i="4"/>
  <c r="H55" i="4"/>
  <c r="O55" i="4" s="1"/>
  <c r="H53" i="4"/>
  <c r="H52" i="4"/>
  <c r="H50" i="4"/>
  <c r="O50" i="4" s="1"/>
  <c r="H49" i="4"/>
  <c r="H48" i="4"/>
  <c r="N48" i="4" s="1"/>
  <c r="H47" i="4"/>
  <c r="N47" i="4" s="1"/>
  <c r="H41" i="4"/>
  <c r="H40" i="4"/>
  <c r="O40" i="4" s="1"/>
  <c r="H39" i="4"/>
  <c r="H38" i="4"/>
  <c r="H37" i="4"/>
  <c r="O37" i="4" s="1"/>
  <c r="H36" i="4"/>
  <c r="H35" i="4"/>
  <c r="H30" i="4"/>
  <c r="H29" i="4"/>
  <c r="N29" i="4" s="1"/>
  <c r="H28" i="4"/>
  <c r="O28" i="4" s="1"/>
  <c r="H27" i="4"/>
  <c r="O27" i="4" s="1"/>
  <c r="H26" i="4"/>
  <c r="N26" i="4" s="1"/>
  <c r="H21" i="4"/>
  <c r="O21" i="4" s="1"/>
  <c r="H20" i="4"/>
  <c r="N20" i="4" s="1"/>
  <c r="H19" i="4"/>
  <c r="H18" i="4"/>
  <c r="H13" i="4"/>
  <c r="O13" i="4" s="1"/>
  <c r="H12" i="4"/>
  <c r="H11" i="4"/>
  <c r="H10" i="4"/>
  <c r="O10" i="4" s="1"/>
  <c r="H9" i="4"/>
  <c r="H8" i="4"/>
  <c r="N8" i="4" s="1"/>
  <c r="H7" i="4"/>
  <c r="H6" i="4"/>
  <c r="D137" i="4"/>
  <c r="M137" i="4" s="1"/>
  <c r="T137" i="4" s="1"/>
  <c r="D136" i="4"/>
  <c r="D135" i="4"/>
  <c r="D134" i="4"/>
  <c r="D133" i="4"/>
  <c r="D132" i="4"/>
  <c r="D131" i="4"/>
  <c r="D130" i="4"/>
  <c r="M130" i="4" s="1"/>
  <c r="D129" i="4"/>
  <c r="I129" i="4" s="1"/>
  <c r="D128" i="4"/>
  <c r="I128" i="4" s="1"/>
  <c r="P128" i="4" s="1"/>
  <c r="D127" i="4"/>
  <c r="I127" i="4" s="1"/>
  <c r="D126" i="4"/>
  <c r="I126" i="4" s="1"/>
  <c r="P126" i="4" s="1"/>
  <c r="D125" i="4"/>
  <c r="D124" i="4"/>
  <c r="D123" i="4"/>
  <c r="D122" i="4"/>
  <c r="D121" i="4"/>
  <c r="D120" i="4"/>
  <c r="D119" i="4"/>
  <c r="D118" i="4"/>
  <c r="D117" i="4"/>
  <c r="H117" i="4" s="1"/>
  <c r="D116" i="4"/>
  <c r="H116" i="4" s="1"/>
  <c r="D115" i="4"/>
  <c r="H115" i="4" s="1"/>
  <c r="O115" i="4" s="1"/>
  <c r="D114" i="4"/>
  <c r="D113" i="4"/>
  <c r="D112" i="4"/>
  <c r="D111" i="4"/>
  <c r="D110" i="4"/>
  <c r="M110" i="4" s="1"/>
  <c r="D109" i="4"/>
  <c r="I109" i="4" s="1"/>
  <c r="D108" i="4"/>
  <c r="I108" i="4" s="1"/>
  <c r="P108" i="4" s="1"/>
  <c r="D107" i="4"/>
  <c r="I107" i="4" s="1"/>
  <c r="D106" i="4"/>
  <c r="I106" i="4" s="1"/>
  <c r="P106" i="4" s="1"/>
  <c r="D105" i="4"/>
  <c r="D104" i="4"/>
  <c r="D103" i="4"/>
  <c r="D102" i="4"/>
  <c r="D101" i="4"/>
  <c r="D100" i="4"/>
  <c r="D99" i="4"/>
  <c r="D98" i="4"/>
  <c r="D97" i="4"/>
  <c r="M97" i="4" s="1"/>
  <c r="D96" i="4"/>
  <c r="M96" i="4" s="1"/>
  <c r="D95" i="4"/>
  <c r="M95" i="4" s="1"/>
  <c r="D94" i="4"/>
  <c r="D93" i="4"/>
  <c r="D92" i="4"/>
  <c r="D91" i="4"/>
  <c r="D90" i="4"/>
  <c r="M90" i="4" s="1"/>
  <c r="D89" i="4"/>
  <c r="I89" i="4" s="1"/>
  <c r="D88" i="4"/>
  <c r="I88" i="4" s="1"/>
  <c r="D87" i="4"/>
  <c r="I87" i="4" s="1"/>
  <c r="D86" i="4"/>
  <c r="I86" i="4" s="1"/>
  <c r="D85" i="4"/>
  <c r="I85" i="4" s="1"/>
  <c r="D84" i="4"/>
  <c r="D83" i="4"/>
  <c r="D82" i="4"/>
  <c r="D81" i="4"/>
  <c r="D80" i="4"/>
  <c r="D79" i="4"/>
  <c r="D78" i="4"/>
  <c r="D77" i="4"/>
  <c r="D76" i="4"/>
  <c r="D75" i="4"/>
  <c r="I75" i="4" s="1"/>
  <c r="P75" i="4" s="1"/>
  <c r="D74" i="4"/>
  <c r="H74" i="4" s="1"/>
  <c r="D73" i="4"/>
  <c r="M73" i="4" s="1"/>
  <c r="D72" i="4"/>
  <c r="D71" i="4"/>
  <c r="D70" i="4"/>
  <c r="M70" i="4" s="1"/>
  <c r="D69" i="4"/>
  <c r="I69" i="4" s="1"/>
  <c r="D68" i="4"/>
  <c r="I68" i="4" s="1"/>
  <c r="D67" i="4"/>
  <c r="I67" i="4" s="1"/>
  <c r="P67" i="4" s="1"/>
  <c r="D66" i="4"/>
  <c r="I66" i="4" s="1"/>
  <c r="P66" i="4" s="1"/>
  <c r="D65" i="4"/>
  <c r="D64" i="4"/>
  <c r="D63" i="4"/>
  <c r="D62" i="4"/>
  <c r="D61" i="4"/>
  <c r="D60" i="4"/>
  <c r="D59" i="4"/>
  <c r="D58" i="4"/>
  <c r="D57" i="4"/>
  <c r="I57" i="4" s="1"/>
  <c r="D56" i="4"/>
  <c r="I56" i="4" s="1"/>
  <c r="D55" i="4"/>
  <c r="I55" i="4" s="1"/>
  <c r="P55" i="4" s="1"/>
  <c r="D54" i="4"/>
  <c r="D53" i="4"/>
  <c r="M53" i="4" s="1"/>
  <c r="D52" i="4"/>
  <c r="D51" i="4"/>
  <c r="D50" i="4"/>
  <c r="M50" i="4" s="1"/>
  <c r="D49" i="4"/>
  <c r="I49" i="4" s="1"/>
  <c r="P49" i="4" s="1"/>
  <c r="D48" i="4"/>
  <c r="I48" i="4" s="1"/>
  <c r="D47" i="4"/>
  <c r="I47" i="4" s="1"/>
  <c r="P47" i="4" s="1"/>
  <c r="D46" i="4"/>
  <c r="I46" i="4" s="1"/>
  <c r="D45" i="4"/>
  <c r="D44" i="4"/>
  <c r="I44" i="4" s="1"/>
  <c r="P44" i="4" s="1"/>
  <c r="D43" i="4"/>
  <c r="D42" i="4"/>
  <c r="D41" i="4"/>
  <c r="D40" i="4"/>
  <c r="D39" i="4"/>
  <c r="D38" i="4"/>
  <c r="D37" i="4"/>
  <c r="D36" i="4"/>
  <c r="D35" i="4"/>
  <c r="M35" i="4" s="1"/>
  <c r="T35" i="4" s="1"/>
  <c r="D34" i="4"/>
  <c r="D33" i="4"/>
  <c r="D32" i="4"/>
  <c r="D31" i="4"/>
  <c r="D30" i="4"/>
  <c r="M30" i="4" s="1"/>
  <c r="D29" i="4"/>
  <c r="I29" i="4" s="1"/>
  <c r="D28" i="4"/>
  <c r="I28" i="4" s="1"/>
  <c r="D27" i="4"/>
  <c r="I27" i="4" s="1"/>
  <c r="P27" i="4" s="1"/>
  <c r="D26" i="4"/>
  <c r="I26" i="4" s="1"/>
  <c r="D25" i="4"/>
  <c r="M25" i="4" s="1"/>
  <c r="T25" i="4" s="1"/>
  <c r="D24" i="4"/>
  <c r="M24" i="4" s="1"/>
  <c r="T24" i="4" s="1"/>
  <c r="D23" i="4"/>
  <c r="D22" i="4"/>
  <c r="D21" i="4"/>
  <c r="D20" i="4"/>
  <c r="D19" i="4"/>
  <c r="D18" i="4"/>
  <c r="D17" i="4"/>
  <c r="H17" i="4" s="1"/>
  <c r="O17" i="4" s="1"/>
  <c r="D16" i="4"/>
  <c r="H16" i="4" s="1"/>
  <c r="D15" i="4"/>
  <c r="H15" i="4" s="1"/>
  <c r="O15" i="4" s="1"/>
  <c r="D14" i="4"/>
  <c r="D13" i="4"/>
  <c r="M13" i="4" s="1"/>
  <c r="D12" i="4"/>
  <c r="D11" i="4"/>
  <c r="D10" i="4"/>
  <c r="M10" i="4" s="1"/>
  <c r="D9" i="4"/>
  <c r="I9" i="4" s="1"/>
  <c r="D8" i="4"/>
  <c r="I8" i="4" s="1"/>
  <c r="P8" i="4" s="1"/>
  <c r="D7" i="4"/>
  <c r="I7" i="4" s="1"/>
  <c r="D6" i="4"/>
  <c r="I6" i="4" s="1"/>
  <c r="D5" i="4"/>
  <c r="D4" i="4"/>
  <c r="D3" i="4"/>
  <c r="D2" i="4"/>
  <c r="M73" i="3"/>
  <c r="M72" i="3"/>
  <c r="T72" i="3" s="1"/>
  <c r="M71" i="3"/>
  <c r="T71" i="3" s="1"/>
  <c r="M66" i="3"/>
  <c r="M65" i="3"/>
  <c r="M64" i="3"/>
  <c r="T64" i="3" s="1"/>
  <c r="M63" i="3"/>
  <c r="T63" i="3" s="1"/>
  <c r="M62" i="3"/>
  <c r="M53" i="3"/>
  <c r="M52" i="3"/>
  <c r="M51" i="3"/>
  <c r="T51" i="3" s="1"/>
  <c r="M46" i="3"/>
  <c r="T46" i="3" s="1"/>
  <c r="M45" i="3"/>
  <c r="T45" i="3" s="1"/>
  <c r="M44" i="3"/>
  <c r="T44" i="3" s="1"/>
  <c r="M43" i="3"/>
  <c r="T43" i="3" s="1"/>
  <c r="M42" i="3"/>
  <c r="T42" i="3" s="1"/>
  <c r="M26" i="3"/>
  <c r="T26" i="3" s="1"/>
  <c r="M25" i="3"/>
  <c r="T25" i="3" s="1"/>
  <c r="M24" i="3"/>
  <c r="M23" i="3"/>
  <c r="T23" i="3" s="1"/>
  <c r="M22" i="3"/>
  <c r="T22" i="3" s="1"/>
  <c r="M13" i="3"/>
  <c r="M12" i="3"/>
  <c r="T12" i="3" s="1"/>
  <c r="M11" i="3"/>
  <c r="T11" i="3" s="1"/>
  <c r="M6" i="3"/>
  <c r="T6" i="3" s="1"/>
  <c r="M5" i="3"/>
  <c r="T5" i="3" s="1"/>
  <c r="M4" i="3"/>
  <c r="T4" i="3" s="1"/>
  <c r="M3" i="3"/>
  <c r="M2" i="3"/>
  <c r="T2" i="3" s="1"/>
  <c r="I74" i="3"/>
  <c r="P74" i="3" s="1"/>
  <c r="I66" i="3"/>
  <c r="P66" i="3" s="1"/>
  <c r="I65" i="3"/>
  <c r="P65" i="3" s="1"/>
  <c r="I64" i="3"/>
  <c r="I63" i="3"/>
  <c r="I62" i="3"/>
  <c r="I54" i="3"/>
  <c r="P54" i="3" s="1"/>
  <c r="I46" i="3"/>
  <c r="N46" i="3" s="1"/>
  <c r="I45" i="3"/>
  <c r="P45" i="3" s="1"/>
  <c r="I44" i="3"/>
  <c r="P44" i="3" s="1"/>
  <c r="I43" i="3"/>
  <c r="P43" i="3" s="1"/>
  <c r="I42" i="3"/>
  <c r="P42" i="3" s="1"/>
  <c r="I26" i="3"/>
  <c r="I25" i="3"/>
  <c r="N25" i="3" s="1"/>
  <c r="I24" i="3"/>
  <c r="P24" i="3" s="1"/>
  <c r="I23" i="3"/>
  <c r="P23" i="3" s="1"/>
  <c r="I22" i="3"/>
  <c r="P22" i="3" s="1"/>
  <c r="I6" i="3"/>
  <c r="I5" i="3"/>
  <c r="P5" i="3" s="1"/>
  <c r="I4" i="3"/>
  <c r="I3" i="3"/>
  <c r="P3" i="3" s="1"/>
  <c r="I2" i="3"/>
  <c r="H77" i="3"/>
  <c r="H76" i="3"/>
  <c r="H75" i="3"/>
  <c r="O75" i="3" s="1"/>
  <c r="H74" i="3"/>
  <c r="O74" i="3" s="1"/>
  <c r="H73" i="3"/>
  <c r="N73" i="3" s="1"/>
  <c r="H72" i="3"/>
  <c r="O72" i="3" s="1"/>
  <c r="H71" i="3"/>
  <c r="O71" i="3" s="1"/>
  <c r="H65" i="3"/>
  <c r="H64" i="3"/>
  <c r="O64" i="3" s="1"/>
  <c r="H63" i="3"/>
  <c r="H62" i="3"/>
  <c r="H54" i="3"/>
  <c r="O54" i="3" s="1"/>
  <c r="H53" i="3"/>
  <c r="N53" i="3" s="1"/>
  <c r="H52" i="3"/>
  <c r="N52" i="3" s="1"/>
  <c r="H51" i="3"/>
  <c r="O51" i="3" s="1"/>
  <c r="H50" i="3"/>
  <c r="N50" i="3" s="1"/>
  <c r="H45" i="3"/>
  <c r="H44" i="3"/>
  <c r="H43" i="3"/>
  <c r="H42" i="3"/>
  <c r="H41" i="3"/>
  <c r="O41" i="3" s="1"/>
  <c r="H33" i="3"/>
  <c r="H32" i="3"/>
  <c r="H25" i="3"/>
  <c r="O25" i="3" s="1"/>
  <c r="H24" i="3"/>
  <c r="H23" i="3"/>
  <c r="H22" i="3"/>
  <c r="H5" i="3"/>
  <c r="O5" i="3" s="1"/>
  <c r="H4" i="3"/>
  <c r="O4" i="3" s="1"/>
  <c r="H3" i="3"/>
  <c r="H2" i="3"/>
  <c r="D77" i="3"/>
  <c r="D76" i="3"/>
  <c r="D75" i="3"/>
  <c r="D74" i="3"/>
  <c r="M74" i="3" s="1"/>
  <c r="D73" i="3"/>
  <c r="I73" i="3" s="1"/>
  <c r="P73" i="3" s="1"/>
  <c r="D72" i="3"/>
  <c r="I72" i="3" s="1"/>
  <c r="D71" i="3"/>
  <c r="I71" i="3" s="1"/>
  <c r="P71" i="3" s="1"/>
  <c r="D70" i="3"/>
  <c r="H70" i="3" s="1"/>
  <c r="O70" i="3" s="1"/>
  <c r="D69" i="3"/>
  <c r="D68" i="3"/>
  <c r="D67" i="3"/>
  <c r="D66" i="3"/>
  <c r="H66" i="3" s="1"/>
  <c r="O66" i="3" s="1"/>
  <c r="D65" i="3"/>
  <c r="D64" i="3"/>
  <c r="D63" i="3"/>
  <c r="D62" i="3"/>
  <c r="D61" i="3"/>
  <c r="D60" i="3"/>
  <c r="D59" i="3"/>
  <c r="D58" i="3"/>
  <c r="D57" i="3"/>
  <c r="D56" i="3"/>
  <c r="D55" i="3"/>
  <c r="D54" i="3"/>
  <c r="M54" i="3" s="1"/>
  <c r="T54" i="3" s="1"/>
  <c r="D53" i="3"/>
  <c r="I53" i="3" s="1"/>
  <c r="P53" i="3" s="1"/>
  <c r="D52" i="3"/>
  <c r="I52" i="3" s="1"/>
  <c r="P52" i="3" s="1"/>
  <c r="D51" i="3"/>
  <c r="I51" i="3" s="1"/>
  <c r="P51" i="3" s="1"/>
  <c r="D50" i="3"/>
  <c r="I50" i="3" s="1"/>
  <c r="P50" i="3" s="1"/>
  <c r="D49" i="3"/>
  <c r="M49" i="3" s="1"/>
  <c r="T49" i="3" s="1"/>
  <c r="D48" i="3"/>
  <c r="D47" i="3"/>
  <c r="D46" i="3"/>
  <c r="H46" i="3" s="1"/>
  <c r="D45" i="3"/>
  <c r="D44" i="3"/>
  <c r="D43" i="3"/>
  <c r="D42" i="3"/>
  <c r="D41" i="3"/>
  <c r="D40" i="3"/>
  <c r="D39" i="3"/>
  <c r="I39" i="3" s="1"/>
  <c r="P39" i="3" s="1"/>
  <c r="D38" i="3"/>
  <c r="D37" i="3"/>
  <c r="D36" i="3"/>
  <c r="D35" i="3"/>
  <c r="D34" i="3"/>
  <c r="D33" i="3"/>
  <c r="D32" i="3"/>
  <c r="D31" i="3"/>
  <c r="D30" i="3"/>
  <c r="D29" i="3"/>
  <c r="H29" i="3" s="1"/>
  <c r="O29" i="3" s="1"/>
  <c r="D28" i="3"/>
  <c r="D27" i="3"/>
  <c r="D26" i="3"/>
  <c r="H26" i="3" s="1"/>
  <c r="D25" i="3"/>
  <c r="D24" i="3"/>
  <c r="D23" i="3"/>
  <c r="D22" i="3"/>
  <c r="D21" i="3"/>
  <c r="M21" i="3" s="1"/>
  <c r="T21" i="3" s="1"/>
  <c r="D20" i="3"/>
  <c r="I20" i="3" s="1"/>
  <c r="P20" i="3" s="1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H6" i="3" s="1"/>
  <c r="D5" i="3"/>
  <c r="D4" i="3"/>
  <c r="D3" i="3"/>
  <c r="D2" i="3"/>
  <c r="M57" i="2"/>
  <c r="T57" i="2" s="1"/>
  <c r="M56" i="2"/>
  <c r="M55" i="2"/>
  <c r="M54" i="2"/>
  <c r="T54" i="2" s="1"/>
  <c r="M53" i="2"/>
  <c r="T53" i="2" s="1"/>
  <c r="M52" i="2"/>
  <c r="T52" i="2" s="1"/>
  <c r="M49" i="2"/>
  <c r="T49" i="2" s="1"/>
  <c r="M47" i="2"/>
  <c r="T47" i="2" s="1"/>
  <c r="M46" i="2"/>
  <c r="T46" i="2" s="1"/>
  <c r="M45" i="2"/>
  <c r="T45" i="2" s="1"/>
  <c r="M43" i="2"/>
  <c r="T43" i="2" s="1"/>
  <c r="M32" i="2"/>
  <c r="T32" i="2" s="1"/>
  <c r="M31" i="2"/>
  <c r="T31" i="2" s="1"/>
  <c r="M30" i="2"/>
  <c r="T30" i="2" s="1"/>
  <c r="M29" i="2"/>
  <c r="T29" i="2" s="1"/>
  <c r="M28" i="2"/>
  <c r="M27" i="2"/>
  <c r="T27" i="2" s="1"/>
  <c r="M26" i="2"/>
  <c r="T26" i="2" s="1"/>
  <c r="M25" i="2"/>
  <c r="T25" i="2" s="1"/>
  <c r="M24" i="2"/>
  <c r="M23" i="2"/>
  <c r="T23" i="2" s="1"/>
  <c r="M9" i="2"/>
  <c r="T9" i="2" s="1"/>
  <c r="M8" i="2"/>
  <c r="T8" i="2" s="1"/>
  <c r="M7" i="2"/>
  <c r="T7" i="2" s="1"/>
  <c r="M6" i="2"/>
  <c r="M4" i="2"/>
  <c r="M3" i="2"/>
  <c r="T3" i="2" s="1"/>
  <c r="M2" i="2"/>
  <c r="I56" i="2"/>
  <c r="P56" i="2" s="1"/>
  <c r="I53" i="2"/>
  <c r="P53" i="2" s="1"/>
  <c r="I52" i="2"/>
  <c r="P52" i="2" s="1"/>
  <c r="I51" i="2"/>
  <c r="P51" i="2" s="1"/>
  <c r="I50" i="2"/>
  <c r="N50" i="2" s="1"/>
  <c r="I49" i="2"/>
  <c r="I47" i="2"/>
  <c r="P47" i="2" s="1"/>
  <c r="I46" i="2"/>
  <c r="P46" i="2" s="1"/>
  <c r="I44" i="2"/>
  <c r="P44" i="2" s="1"/>
  <c r="I43" i="2"/>
  <c r="I42" i="2"/>
  <c r="I41" i="2"/>
  <c r="P41" i="2" s="1"/>
  <c r="I38" i="2"/>
  <c r="P38" i="2" s="1"/>
  <c r="I32" i="2"/>
  <c r="P32" i="2" s="1"/>
  <c r="I30" i="2"/>
  <c r="I29" i="2"/>
  <c r="I28" i="2"/>
  <c r="I27" i="2"/>
  <c r="P27" i="2" s="1"/>
  <c r="I26" i="2"/>
  <c r="P26" i="2" s="1"/>
  <c r="I24" i="2"/>
  <c r="P24" i="2" s="1"/>
  <c r="I21" i="2"/>
  <c r="I9" i="2"/>
  <c r="I7" i="2"/>
  <c r="I6" i="2"/>
  <c r="P6" i="2" s="1"/>
  <c r="I5" i="2"/>
  <c r="P5" i="2" s="1"/>
  <c r="I4" i="2"/>
  <c r="H57" i="2"/>
  <c r="N57" i="2" s="1"/>
  <c r="H54" i="2"/>
  <c r="N54" i="2" s="1"/>
  <c r="H52" i="2"/>
  <c r="H49" i="2"/>
  <c r="N49" i="2" s="1"/>
  <c r="H48" i="2"/>
  <c r="N48" i="2" s="1"/>
  <c r="H47" i="2"/>
  <c r="N47" i="2" s="1"/>
  <c r="H46" i="2"/>
  <c r="O46" i="2" s="1"/>
  <c r="H43" i="2"/>
  <c r="H42" i="2"/>
  <c r="O42" i="2" s="1"/>
  <c r="H41" i="2"/>
  <c r="O41" i="2" s="1"/>
  <c r="H30" i="2"/>
  <c r="H29" i="2"/>
  <c r="O29" i="2" s="1"/>
  <c r="H28" i="2"/>
  <c r="O28" i="2" s="1"/>
  <c r="H27" i="2"/>
  <c r="N27" i="2" s="1"/>
  <c r="H26" i="2"/>
  <c r="N26" i="2" s="1"/>
  <c r="H25" i="2"/>
  <c r="H24" i="2"/>
  <c r="H23" i="2"/>
  <c r="O23" i="2" s="1"/>
  <c r="H22" i="2"/>
  <c r="H21" i="2"/>
  <c r="H9" i="2"/>
  <c r="O9" i="2" s="1"/>
  <c r="H7" i="2"/>
  <c r="O7" i="2" s="1"/>
  <c r="H6" i="2"/>
  <c r="O6" i="2" s="1"/>
  <c r="H4" i="2"/>
  <c r="O4" i="2" s="1"/>
  <c r="H3" i="2"/>
  <c r="H2" i="2"/>
  <c r="N2" i="2" s="1"/>
  <c r="D57" i="2"/>
  <c r="I57" i="2" s="1"/>
  <c r="P57" i="2" s="1"/>
  <c r="D56" i="2"/>
  <c r="H56" i="2" s="1"/>
  <c r="D55" i="2"/>
  <c r="D54" i="2"/>
  <c r="I54" i="2" s="1"/>
  <c r="P54" i="2" s="1"/>
  <c r="D53" i="2"/>
  <c r="H53" i="2" s="1"/>
  <c r="O53" i="2" s="1"/>
  <c r="D52" i="2"/>
  <c r="D51" i="2"/>
  <c r="H51" i="2" s="1"/>
  <c r="D50" i="2"/>
  <c r="H50" i="2" s="1"/>
  <c r="O50" i="2" s="1"/>
  <c r="D49" i="2"/>
  <c r="D48" i="2"/>
  <c r="I48" i="2" s="1"/>
  <c r="D47" i="2"/>
  <c r="D46" i="2"/>
  <c r="D45" i="2"/>
  <c r="D44" i="2"/>
  <c r="H44" i="2" s="1"/>
  <c r="D43" i="2"/>
  <c r="D42" i="2"/>
  <c r="M42" i="2" s="1"/>
  <c r="D41" i="2"/>
  <c r="M41" i="2" s="1"/>
  <c r="D40" i="2"/>
  <c r="D39" i="2"/>
  <c r="D38" i="2"/>
  <c r="M38" i="2" s="1"/>
  <c r="T38" i="2" s="1"/>
  <c r="D37" i="2"/>
  <c r="D36" i="2"/>
  <c r="D35" i="2"/>
  <c r="D34" i="2"/>
  <c r="D33" i="2"/>
  <c r="D32" i="2"/>
  <c r="H32" i="2" s="1"/>
  <c r="D31" i="2"/>
  <c r="D30" i="2"/>
  <c r="D29" i="2"/>
  <c r="D28" i="2"/>
  <c r="D27" i="2"/>
  <c r="D26" i="2"/>
  <c r="D25" i="2"/>
  <c r="I25" i="2" s="1"/>
  <c r="D24" i="2"/>
  <c r="D23" i="2"/>
  <c r="I23" i="2" s="1"/>
  <c r="P23" i="2" s="1"/>
  <c r="D22" i="2"/>
  <c r="I22" i="2" s="1"/>
  <c r="P22" i="2" s="1"/>
  <c r="D21" i="2"/>
  <c r="M21" i="2" s="1"/>
  <c r="D20" i="2"/>
  <c r="D19" i="2"/>
  <c r="D18" i="2"/>
  <c r="D17" i="2"/>
  <c r="D16" i="2"/>
  <c r="D15" i="2"/>
  <c r="D14" i="2"/>
  <c r="D13" i="2"/>
  <c r="D12" i="2"/>
  <c r="I12" i="2" s="1"/>
  <c r="P12" i="2" s="1"/>
  <c r="D11" i="2"/>
  <c r="D10" i="2"/>
  <c r="H10" i="2" s="1"/>
  <c r="D9" i="2"/>
  <c r="D8" i="2"/>
  <c r="H8" i="2" s="1"/>
  <c r="O8" i="2" s="1"/>
  <c r="D7" i="2"/>
  <c r="D6" i="2"/>
  <c r="D5" i="2"/>
  <c r="D4" i="2"/>
  <c r="D3" i="2"/>
  <c r="I3" i="2" s="1"/>
  <c r="D2" i="2"/>
  <c r="I2" i="2" s="1"/>
  <c r="N6" i="3"/>
  <c r="N51" i="3"/>
  <c r="N66" i="3"/>
  <c r="O26" i="3"/>
  <c r="O6" i="3"/>
  <c r="O46" i="3"/>
  <c r="O62" i="3"/>
  <c r="O63" i="3"/>
  <c r="O65" i="3"/>
  <c r="O24" i="3"/>
  <c r="O73" i="3"/>
  <c r="P4" i="3"/>
  <c r="P6" i="3"/>
  <c r="P46" i="3"/>
  <c r="P62" i="3"/>
  <c r="P63" i="3"/>
  <c r="P72" i="3"/>
  <c r="P25" i="3"/>
  <c r="Q2" i="3"/>
  <c r="Q26" i="3"/>
  <c r="Q3" i="3"/>
  <c r="Q74" i="3"/>
  <c r="Q4" i="3"/>
  <c r="Q75" i="3"/>
  <c r="Q5" i="3"/>
  <c r="Q6" i="3"/>
  <c r="Q7" i="3"/>
  <c r="Q76" i="3"/>
  <c r="Q37" i="3"/>
  <c r="Q27" i="3"/>
  <c r="Q8" i="3"/>
  <c r="Q30" i="3"/>
  <c r="Q31" i="3"/>
  <c r="Q32" i="3"/>
  <c r="Q9" i="3"/>
  <c r="Q10" i="3"/>
  <c r="Q77" i="3"/>
  <c r="Q11" i="3"/>
  <c r="Q12" i="3"/>
  <c r="Q13" i="3"/>
  <c r="Q38" i="3"/>
  <c r="Q39" i="3"/>
  <c r="Q14" i="3"/>
  <c r="Q40" i="3"/>
  <c r="Q41" i="3"/>
  <c r="Q15" i="3"/>
  <c r="Q16" i="3"/>
  <c r="Q17" i="3"/>
  <c r="Q18" i="3"/>
  <c r="Q19" i="3"/>
  <c r="Q42" i="3"/>
  <c r="Q43" i="3"/>
  <c r="Q44" i="3"/>
  <c r="Q45" i="3"/>
  <c r="Q20" i="3"/>
  <c r="Q46" i="3"/>
  <c r="Q21" i="3"/>
  <c r="Q47" i="3"/>
  <c r="Q22" i="3"/>
  <c r="Q28" i="3"/>
  <c r="Q33" i="3"/>
  <c r="Q48" i="3"/>
  <c r="Q49" i="3"/>
  <c r="Q34" i="3"/>
  <c r="Q50" i="3"/>
  <c r="Q23" i="3"/>
  <c r="Q51" i="3"/>
  <c r="Q52" i="3"/>
  <c r="Q53" i="3"/>
  <c r="Q35" i="3"/>
  <c r="Q54" i="3"/>
  <c r="Q55" i="3"/>
  <c r="Q56" i="3"/>
  <c r="Q57" i="3"/>
  <c r="Q58" i="3"/>
  <c r="Q59" i="3"/>
  <c r="Q29" i="3"/>
  <c r="Q60" i="3"/>
  <c r="Q61" i="3"/>
  <c r="Q62" i="3"/>
  <c r="Q63" i="3"/>
  <c r="Q64" i="3"/>
  <c r="Q65" i="3"/>
  <c r="Q66" i="3"/>
  <c r="Q67" i="3"/>
  <c r="Q24" i="3"/>
  <c r="Q68" i="3"/>
  <c r="Q69" i="3"/>
  <c r="Q70" i="3"/>
  <c r="Q36" i="3"/>
  <c r="Q71" i="3"/>
  <c r="Q72" i="3"/>
  <c r="Q25" i="3"/>
  <c r="Q73" i="3"/>
  <c r="R2" i="3"/>
  <c r="R26" i="3"/>
  <c r="R3" i="3"/>
  <c r="R74" i="3"/>
  <c r="R4" i="3"/>
  <c r="R75" i="3"/>
  <c r="R5" i="3"/>
  <c r="R6" i="3"/>
  <c r="R7" i="3"/>
  <c r="R76" i="3"/>
  <c r="R37" i="3"/>
  <c r="R27" i="3"/>
  <c r="R8" i="3"/>
  <c r="R30" i="3"/>
  <c r="R31" i="3"/>
  <c r="R32" i="3"/>
  <c r="R9" i="3"/>
  <c r="R10" i="3"/>
  <c r="R77" i="3"/>
  <c r="R11" i="3"/>
  <c r="R12" i="3"/>
  <c r="R13" i="3"/>
  <c r="R38" i="3"/>
  <c r="R39" i="3"/>
  <c r="R14" i="3"/>
  <c r="R40" i="3"/>
  <c r="R41" i="3"/>
  <c r="R15" i="3"/>
  <c r="R16" i="3"/>
  <c r="R17" i="3"/>
  <c r="R18" i="3"/>
  <c r="R19" i="3"/>
  <c r="R42" i="3"/>
  <c r="R43" i="3"/>
  <c r="R44" i="3"/>
  <c r="R45" i="3"/>
  <c r="R20" i="3"/>
  <c r="R46" i="3"/>
  <c r="R21" i="3"/>
  <c r="R47" i="3"/>
  <c r="R22" i="3"/>
  <c r="R28" i="3"/>
  <c r="R33" i="3"/>
  <c r="R48" i="3"/>
  <c r="R49" i="3"/>
  <c r="R34" i="3"/>
  <c r="R50" i="3"/>
  <c r="R23" i="3"/>
  <c r="R51" i="3"/>
  <c r="R52" i="3"/>
  <c r="R53" i="3"/>
  <c r="R35" i="3"/>
  <c r="R54" i="3"/>
  <c r="R55" i="3"/>
  <c r="R56" i="3"/>
  <c r="R57" i="3"/>
  <c r="R58" i="3"/>
  <c r="R59" i="3"/>
  <c r="R29" i="3"/>
  <c r="R60" i="3"/>
  <c r="R61" i="3"/>
  <c r="R62" i="3"/>
  <c r="R63" i="3"/>
  <c r="R64" i="3"/>
  <c r="R65" i="3"/>
  <c r="R66" i="3"/>
  <c r="R67" i="3"/>
  <c r="R24" i="3"/>
  <c r="R68" i="3"/>
  <c r="R69" i="3"/>
  <c r="R70" i="3"/>
  <c r="R36" i="3"/>
  <c r="R71" i="3"/>
  <c r="R72" i="3"/>
  <c r="R25" i="3"/>
  <c r="R73" i="3"/>
  <c r="S2" i="3"/>
  <c r="S26" i="3"/>
  <c r="S3" i="3"/>
  <c r="S74" i="3"/>
  <c r="S4" i="3"/>
  <c r="S75" i="3"/>
  <c r="S5" i="3"/>
  <c r="S6" i="3"/>
  <c r="S7" i="3"/>
  <c r="S76" i="3"/>
  <c r="S37" i="3"/>
  <c r="S27" i="3"/>
  <c r="S8" i="3"/>
  <c r="S30" i="3"/>
  <c r="S31" i="3"/>
  <c r="S32" i="3"/>
  <c r="S9" i="3"/>
  <c r="S10" i="3"/>
  <c r="S77" i="3"/>
  <c r="S11" i="3"/>
  <c r="S12" i="3"/>
  <c r="S13" i="3"/>
  <c r="S38" i="3"/>
  <c r="S39" i="3"/>
  <c r="S14" i="3"/>
  <c r="S40" i="3"/>
  <c r="S41" i="3"/>
  <c r="S15" i="3"/>
  <c r="S16" i="3"/>
  <c r="S17" i="3"/>
  <c r="S18" i="3"/>
  <c r="S19" i="3"/>
  <c r="S42" i="3"/>
  <c r="S43" i="3"/>
  <c r="S44" i="3"/>
  <c r="S45" i="3"/>
  <c r="S20" i="3"/>
  <c r="S46" i="3"/>
  <c r="S21" i="3"/>
  <c r="S47" i="3"/>
  <c r="S22" i="3"/>
  <c r="S28" i="3"/>
  <c r="S33" i="3"/>
  <c r="S48" i="3"/>
  <c r="S49" i="3"/>
  <c r="S34" i="3"/>
  <c r="S50" i="3"/>
  <c r="S23" i="3"/>
  <c r="S51" i="3"/>
  <c r="S52" i="3"/>
  <c r="S53" i="3"/>
  <c r="S35" i="3"/>
  <c r="S54" i="3"/>
  <c r="S55" i="3"/>
  <c r="S56" i="3"/>
  <c r="S57" i="3"/>
  <c r="S58" i="3"/>
  <c r="S59" i="3"/>
  <c r="S29" i="3"/>
  <c r="S60" i="3"/>
  <c r="S61" i="3"/>
  <c r="S62" i="3"/>
  <c r="S63" i="3"/>
  <c r="S64" i="3"/>
  <c r="S65" i="3"/>
  <c r="S66" i="3"/>
  <c r="S67" i="3"/>
  <c r="S24" i="3"/>
  <c r="S68" i="3"/>
  <c r="S69" i="3"/>
  <c r="S70" i="3"/>
  <c r="S36" i="3"/>
  <c r="S71" i="3"/>
  <c r="S72" i="3"/>
  <c r="S25" i="3"/>
  <c r="S73" i="3"/>
  <c r="T3" i="3"/>
  <c r="T74" i="3"/>
  <c r="T13" i="3"/>
  <c r="T52" i="3"/>
  <c r="T53" i="3"/>
  <c r="T62" i="3"/>
  <c r="T65" i="3"/>
  <c r="T66" i="3"/>
  <c r="T24" i="3"/>
  <c r="T73" i="3"/>
  <c r="N4" i="2"/>
  <c r="N41" i="2"/>
  <c r="O30" i="2"/>
  <c r="O3" i="2"/>
  <c r="O21" i="2"/>
  <c r="O43" i="2"/>
  <c r="O57" i="2"/>
  <c r="O48" i="2"/>
  <c r="O49" i="2"/>
  <c r="P2" i="2"/>
  <c r="P3" i="2"/>
  <c r="P7" i="2"/>
  <c r="P25" i="2"/>
  <c r="P43" i="2"/>
  <c r="P48" i="2"/>
  <c r="P49" i="2"/>
  <c r="Q30" i="2"/>
  <c r="Q31" i="2"/>
  <c r="Q2" i="2"/>
  <c r="Q17" i="2"/>
  <c r="Q3" i="2"/>
  <c r="Q21" i="2"/>
  <c r="Q22" i="2"/>
  <c r="Q18" i="2"/>
  <c r="Q23" i="2"/>
  <c r="Q32" i="2"/>
  <c r="Q24" i="2"/>
  <c r="Q4" i="2"/>
  <c r="Q33" i="2"/>
  <c r="Q5" i="2"/>
  <c r="Q34" i="2"/>
  <c r="Q6" i="2"/>
  <c r="Q35" i="2"/>
  <c r="Q7" i="2"/>
  <c r="Q36" i="2"/>
  <c r="Q37" i="2"/>
  <c r="Q19" i="2"/>
  <c r="Q8" i="2"/>
  <c r="Q9" i="2"/>
  <c r="Q38" i="2"/>
  <c r="Q39" i="2"/>
  <c r="Q10" i="2"/>
  <c r="Q25" i="2"/>
  <c r="Q11" i="2"/>
  <c r="Q40" i="2"/>
  <c r="Q41" i="2"/>
  <c r="Q42" i="2"/>
  <c r="Q12" i="2"/>
  <c r="Q43" i="2"/>
  <c r="Q44" i="2"/>
  <c r="Q26" i="2"/>
  <c r="Q45" i="2"/>
  <c r="Q57" i="2"/>
  <c r="Q46" i="2"/>
  <c r="Q47" i="2"/>
  <c r="Q20" i="2"/>
  <c r="Q13" i="2"/>
  <c r="Q48" i="2"/>
  <c r="Q27" i="2"/>
  <c r="Q49" i="2"/>
  <c r="Q50" i="2"/>
  <c r="Q14" i="2"/>
  <c r="Q51" i="2"/>
  <c r="Q28" i="2"/>
  <c r="Q52" i="2"/>
  <c r="Q29" i="2"/>
  <c r="Q53" i="2"/>
  <c r="Q15" i="2"/>
  <c r="Q54" i="2"/>
  <c r="Q55" i="2"/>
  <c r="Q56" i="2"/>
  <c r="Q16" i="2"/>
  <c r="R30" i="2"/>
  <c r="R31" i="2"/>
  <c r="R2" i="2"/>
  <c r="R17" i="2"/>
  <c r="R3" i="2"/>
  <c r="R21" i="2"/>
  <c r="R22" i="2"/>
  <c r="R18" i="2"/>
  <c r="R23" i="2"/>
  <c r="R32" i="2"/>
  <c r="R24" i="2"/>
  <c r="R4" i="2"/>
  <c r="R33" i="2"/>
  <c r="R5" i="2"/>
  <c r="R34" i="2"/>
  <c r="R6" i="2"/>
  <c r="R35" i="2"/>
  <c r="R7" i="2"/>
  <c r="R36" i="2"/>
  <c r="R37" i="2"/>
  <c r="R19" i="2"/>
  <c r="R8" i="2"/>
  <c r="R9" i="2"/>
  <c r="R38" i="2"/>
  <c r="R39" i="2"/>
  <c r="R10" i="2"/>
  <c r="R25" i="2"/>
  <c r="R11" i="2"/>
  <c r="R40" i="2"/>
  <c r="R41" i="2"/>
  <c r="R42" i="2"/>
  <c r="R12" i="2"/>
  <c r="R43" i="2"/>
  <c r="R44" i="2"/>
  <c r="R26" i="2"/>
  <c r="R45" i="2"/>
  <c r="R57" i="2"/>
  <c r="R46" i="2"/>
  <c r="R47" i="2"/>
  <c r="R20" i="2"/>
  <c r="R13" i="2"/>
  <c r="R48" i="2"/>
  <c r="R27" i="2"/>
  <c r="R49" i="2"/>
  <c r="R50" i="2"/>
  <c r="R14" i="2"/>
  <c r="R51" i="2"/>
  <c r="R28" i="2"/>
  <c r="R52" i="2"/>
  <c r="R29" i="2"/>
  <c r="R53" i="2"/>
  <c r="R15" i="2"/>
  <c r="R54" i="2"/>
  <c r="R55" i="2"/>
  <c r="R56" i="2"/>
  <c r="R16" i="2"/>
  <c r="S30" i="2"/>
  <c r="S31" i="2"/>
  <c r="S2" i="2"/>
  <c r="S17" i="2"/>
  <c r="S3" i="2"/>
  <c r="S21" i="2"/>
  <c r="S22" i="2"/>
  <c r="S18" i="2"/>
  <c r="S23" i="2"/>
  <c r="S32" i="2"/>
  <c r="S24" i="2"/>
  <c r="S4" i="2"/>
  <c r="S33" i="2"/>
  <c r="S5" i="2"/>
  <c r="S34" i="2"/>
  <c r="S6" i="2"/>
  <c r="S35" i="2"/>
  <c r="S7" i="2"/>
  <c r="S36" i="2"/>
  <c r="S37" i="2"/>
  <c r="S19" i="2"/>
  <c r="S8" i="2"/>
  <c r="S9" i="2"/>
  <c r="S38" i="2"/>
  <c r="S39" i="2"/>
  <c r="S10" i="2"/>
  <c r="S25" i="2"/>
  <c r="S11" i="2"/>
  <c r="S40" i="2"/>
  <c r="S41" i="2"/>
  <c r="S42" i="2"/>
  <c r="S12" i="2"/>
  <c r="S43" i="2"/>
  <c r="S44" i="2"/>
  <c r="S26" i="2"/>
  <c r="S45" i="2"/>
  <c r="S57" i="2"/>
  <c r="S46" i="2"/>
  <c r="S47" i="2"/>
  <c r="S20" i="2"/>
  <c r="S13" i="2"/>
  <c r="S48" i="2"/>
  <c r="S27" i="2"/>
  <c r="S49" i="2"/>
  <c r="S50" i="2"/>
  <c r="S14" i="2"/>
  <c r="S51" i="2"/>
  <c r="S28" i="2"/>
  <c r="S52" i="2"/>
  <c r="S29" i="2"/>
  <c r="S53" i="2"/>
  <c r="S15" i="2"/>
  <c r="S54" i="2"/>
  <c r="S55" i="2"/>
  <c r="S56" i="2"/>
  <c r="S16" i="2"/>
  <c r="T21" i="2"/>
  <c r="T24" i="2"/>
  <c r="T4" i="2"/>
  <c r="T6" i="2"/>
  <c r="T41" i="2"/>
  <c r="T42" i="2"/>
  <c r="T28" i="2"/>
  <c r="T55" i="2"/>
  <c r="T56" i="2"/>
  <c r="N39" i="4"/>
  <c r="N41" i="4"/>
  <c r="N50" i="4"/>
  <c r="N56" i="4"/>
  <c r="N58" i="4"/>
  <c r="N17" i="4"/>
  <c r="N18" i="4"/>
  <c r="N77" i="4"/>
  <c r="N78" i="4"/>
  <c r="N79" i="4"/>
  <c r="N86" i="4"/>
  <c r="N88" i="4"/>
  <c r="N89" i="4"/>
  <c r="N21" i="4"/>
  <c r="N97" i="4"/>
  <c r="N98" i="4"/>
  <c r="N121" i="4"/>
  <c r="N28" i="4"/>
  <c r="N129" i="4"/>
  <c r="O39" i="4"/>
  <c r="O41" i="4"/>
  <c r="O8" i="4"/>
  <c r="O9" i="4"/>
  <c r="O36" i="4"/>
  <c r="O135" i="4"/>
  <c r="O11" i="4"/>
  <c r="O47" i="4"/>
  <c r="O48" i="4"/>
  <c r="O56" i="4"/>
  <c r="O58" i="4"/>
  <c r="O16" i="4"/>
  <c r="O38" i="4"/>
  <c r="O61" i="4"/>
  <c r="O18" i="4"/>
  <c r="O79" i="4"/>
  <c r="O20" i="4"/>
  <c r="O86" i="4"/>
  <c r="O87" i="4"/>
  <c r="O89" i="4"/>
  <c r="O97" i="4"/>
  <c r="O110" i="4"/>
  <c r="O117" i="4"/>
  <c r="O118" i="4"/>
  <c r="O120" i="4"/>
  <c r="O26" i="4"/>
  <c r="O129" i="4"/>
  <c r="O29" i="4"/>
  <c r="O132" i="4"/>
  <c r="O136" i="4"/>
  <c r="O137" i="4"/>
  <c r="P6" i="4"/>
  <c r="P7" i="4"/>
  <c r="P46" i="4"/>
  <c r="P48" i="4"/>
  <c r="P37" i="4"/>
  <c r="P56" i="4"/>
  <c r="P57" i="4"/>
  <c r="P58" i="4"/>
  <c r="P17" i="4"/>
  <c r="P68" i="4"/>
  <c r="P69" i="4"/>
  <c r="P76" i="4"/>
  <c r="P18" i="4"/>
  <c r="P77" i="4"/>
  <c r="P78" i="4"/>
  <c r="P79" i="4"/>
  <c r="P86" i="4"/>
  <c r="P88" i="4"/>
  <c r="P89" i="4"/>
  <c r="P92" i="4"/>
  <c r="P93" i="4"/>
  <c r="P21" i="4"/>
  <c r="P97" i="4"/>
  <c r="P100" i="4"/>
  <c r="P107" i="4"/>
  <c r="P109" i="4"/>
  <c r="P115" i="4"/>
  <c r="P117" i="4"/>
  <c r="P26" i="4"/>
  <c r="P28" i="4"/>
  <c r="P129" i="4"/>
  <c r="P130" i="4"/>
  <c r="P29" i="4"/>
  <c r="P30" i="4"/>
  <c r="P137" i="4"/>
  <c r="Q39" i="4"/>
  <c r="Q2" i="4"/>
  <c r="Q3" i="4"/>
  <c r="Q4" i="4"/>
  <c r="Q40" i="4"/>
  <c r="Q41" i="4"/>
  <c r="Q134" i="4"/>
  <c r="Q5" i="4"/>
  <c r="Q6" i="4"/>
  <c r="Q35" i="4"/>
  <c r="Q42" i="4"/>
  <c r="Q7" i="4"/>
  <c r="Q43" i="4"/>
  <c r="Q44" i="4"/>
  <c r="Q8" i="4"/>
  <c r="Q9" i="4"/>
  <c r="Q45" i="4"/>
  <c r="Q46" i="4"/>
  <c r="Q10" i="4"/>
  <c r="Q36" i="4"/>
  <c r="Q135" i="4"/>
  <c r="Q11" i="4"/>
  <c r="Q47" i="4"/>
  <c r="Q48" i="4"/>
  <c r="Q49" i="4"/>
  <c r="Q50" i="4"/>
  <c r="Q51" i="4"/>
  <c r="Q52" i="4"/>
  <c r="Q37" i="4"/>
  <c r="Q12" i="4"/>
  <c r="Q33" i="4"/>
  <c r="Q13" i="4"/>
  <c r="Q14" i="4"/>
  <c r="Q15" i="4"/>
  <c r="Q53" i="4"/>
  <c r="Q54" i="4"/>
  <c r="Q55" i="4"/>
  <c r="Q56" i="4"/>
  <c r="Q57" i="4"/>
  <c r="Q58" i="4"/>
  <c r="Q59" i="4"/>
  <c r="Q34" i="4"/>
  <c r="Q16" i="4"/>
  <c r="Q60" i="4"/>
  <c r="Q38" i="4"/>
  <c r="Q61" i="4"/>
  <c r="Q17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18" i="4"/>
  <c r="Q77" i="4"/>
  <c r="Q78" i="4"/>
  <c r="Q79" i="4"/>
  <c r="Q80" i="4"/>
  <c r="Q19" i="4"/>
  <c r="Q81" i="4"/>
  <c r="Q82" i="4"/>
  <c r="Q83" i="4"/>
  <c r="Q84" i="4"/>
  <c r="Q20" i="4"/>
  <c r="Q85" i="4"/>
  <c r="Q86" i="4"/>
  <c r="Q87" i="4"/>
  <c r="Q88" i="4"/>
  <c r="Q89" i="4"/>
  <c r="Q90" i="4"/>
  <c r="Q91" i="4"/>
  <c r="Q92" i="4"/>
  <c r="Q93" i="4"/>
  <c r="Q94" i="4"/>
  <c r="Q95" i="4"/>
  <c r="Q96" i="4"/>
  <c r="Q21" i="4"/>
  <c r="Q97" i="4"/>
  <c r="Q98" i="4"/>
  <c r="Q22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23" i="4"/>
  <c r="Q111" i="4"/>
  <c r="Q112" i="4"/>
  <c r="Q113" i="4"/>
  <c r="Q114" i="4"/>
  <c r="Q115" i="4"/>
  <c r="Q116" i="4"/>
  <c r="Q24" i="4"/>
  <c r="Q117" i="4"/>
  <c r="Q118" i="4"/>
  <c r="Q119" i="4"/>
  <c r="Q120" i="4"/>
  <c r="Q121" i="4"/>
  <c r="Q25" i="4"/>
  <c r="Q122" i="4"/>
  <c r="Q123" i="4"/>
  <c r="Q124" i="4"/>
  <c r="Q125" i="4"/>
  <c r="Q26" i="4"/>
  <c r="Q126" i="4"/>
  <c r="Q27" i="4"/>
  <c r="Q127" i="4"/>
  <c r="Q28" i="4"/>
  <c r="Q128" i="4"/>
  <c r="Q129" i="4"/>
  <c r="Q130" i="4"/>
  <c r="Q131" i="4"/>
  <c r="Q29" i="4"/>
  <c r="Q132" i="4"/>
  <c r="Q136" i="4"/>
  <c r="Q133" i="4"/>
  <c r="Q30" i="4"/>
  <c r="Q31" i="4"/>
  <c r="Q32" i="4"/>
  <c r="Q137" i="4"/>
  <c r="R39" i="4"/>
  <c r="R2" i="4"/>
  <c r="R3" i="4"/>
  <c r="R4" i="4"/>
  <c r="R40" i="4"/>
  <c r="R41" i="4"/>
  <c r="R134" i="4"/>
  <c r="R5" i="4"/>
  <c r="R6" i="4"/>
  <c r="R35" i="4"/>
  <c r="R42" i="4"/>
  <c r="R7" i="4"/>
  <c r="R43" i="4"/>
  <c r="R44" i="4"/>
  <c r="R8" i="4"/>
  <c r="R9" i="4"/>
  <c r="R45" i="4"/>
  <c r="R46" i="4"/>
  <c r="R10" i="4"/>
  <c r="R36" i="4"/>
  <c r="R135" i="4"/>
  <c r="R11" i="4"/>
  <c r="R47" i="4"/>
  <c r="R48" i="4"/>
  <c r="R49" i="4"/>
  <c r="R50" i="4"/>
  <c r="R51" i="4"/>
  <c r="R52" i="4"/>
  <c r="R37" i="4"/>
  <c r="R12" i="4"/>
  <c r="R33" i="4"/>
  <c r="R13" i="4"/>
  <c r="R14" i="4"/>
  <c r="R15" i="4"/>
  <c r="R53" i="4"/>
  <c r="R54" i="4"/>
  <c r="R55" i="4"/>
  <c r="R56" i="4"/>
  <c r="R57" i="4"/>
  <c r="R58" i="4"/>
  <c r="R59" i="4"/>
  <c r="R34" i="4"/>
  <c r="R16" i="4"/>
  <c r="R60" i="4"/>
  <c r="R38" i="4"/>
  <c r="R61" i="4"/>
  <c r="R17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18" i="4"/>
  <c r="R77" i="4"/>
  <c r="R78" i="4"/>
  <c r="R79" i="4"/>
  <c r="R80" i="4"/>
  <c r="R19" i="4"/>
  <c r="R81" i="4"/>
  <c r="R82" i="4"/>
  <c r="R83" i="4"/>
  <c r="R84" i="4"/>
  <c r="R20" i="4"/>
  <c r="R85" i="4"/>
  <c r="R86" i="4"/>
  <c r="R87" i="4"/>
  <c r="R88" i="4"/>
  <c r="R89" i="4"/>
  <c r="R90" i="4"/>
  <c r="R91" i="4"/>
  <c r="R92" i="4"/>
  <c r="R93" i="4"/>
  <c r="R94" i="4"/>
  <c r="R95" i="4"/>
  <c r="R96" i="4"/>
  <c r="R21" i="4"/>
  <c r="R97" i="4"/>
  <c r="R98" i="4"/>
  <c r="R22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23" i="4"/>
  <c r="R111" i="4"/>
  <c r="R112" i="4"/>
  <c r="R113" i="4"/>
  <c r="R114" i="4"/>
  <c r="R115" i="4"/>
  <c r="R116" i="4"/>
  <c r="R24" i="4"/>
  <c r="R117" i="4"/>
  <c r="R118" i="4"/>
  <c r="R119" i="4"/>
  <c r="R120" i="4"/>
  <c r="R121" i="4"/>
  <c r="R25" i="4"/>
  <c r="R122" i="4"/>
  <c r="R123" i="4"/>
  <c r="R124" i="4"/>
  <c r="R125" i="4"/>
  <c r="R26" i="4"/>
  <c r="R126" i="4"/>
  <c r="R27" i="4"/>
  <c r="R127" i="4"/>
  <c r="R28" i="4"/>
  <c r="R128" i="4"/>
  <c r="R129" i="4"/>
  <c r="R130" i="4"/>
  <c r="R131" i="4"/>
  <c r="R29" i="4"/>
  <c r="R132" i="4"/>
  <c r="R136" i="4"/>
  <c r="R133" i="4"/>
  <c r="R30" i="4"/>
  <c r="R31" i="4"/>
  <c r="R32" i="4"/>
  <c r="R137" i="4"/>
  <c r="S39" i="4"/>
  <c r="S2" i="4"/>
  <c r="S3" i="4"/>
  <c r="S4" i="4"/>
  <c r="S40" i="4"/>
  <c r="S41" i="4"/>
  <c r="S134" i="4"/>
  <c r="S5" i="4"/>
  <c r="S6" i="4"/>
  <c r="S35" i="4"/>
  <c r="S42" i="4"/>
  <c r="S7" i="4"/>
  <c r="S43" i="4"/>
  <c r="S44" i="4"/>
  <c r="S8" i="4"/>
  <c r="S9" i="4"/>
  <c r="S45" i="4"/>
  <c r="S46" i="4"/>
  <c r="S10" i="4"/>
  <c r="S36" i="4"/>
  <c r="S135" i="4"/>
  <c r="S11" i="4"/>
  <c r="S47" i="4"/>
  <c r="S48" i="4"/>
  <c r="S49" i="4"/>
  <c r="S50" i="4"/>
  <c r="S51" i="4"/>
  <c r="S52" i="4"/>
  <c r="S37" i="4"/>
  <c r="S12" i="4"/>
  <c r="S33" i="4"/>
  <c r="S13" i="4"/>
  <c r="S14" i="4"/>
  <c r="S15" i="4"/>
  <c r="S53" i="4"/>
  <c r="S54" i="4"/>
  <c r="S55" i="4"/>
  <c r="S56" i="4"/>
  <c r="S57" i="4"/>
  <c r="S58" i="4"/>
  <c r="S59" i="4"/>
  <c r="S34" i="4"/>
  <c r="S16" i="4"/>
  <c r="S60" i="4"/>
  <c r="S38" i="4"/>
  <c r="S61" i="4"/>
  <c r="S17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18" i="4"/>
  <c r="S77" i="4"/>
  <c r="S78" i="4"/>
  <c r="S79" i="4"/>
  <c r="S80" i="4"/>
  <c r="S19" i="4"/>
  <c r="S81" i="4"/>
  <c r="S82" i="4"/>
  <c r="S83" i="4"/>
  <c r="S84" i="4"/>
  <c r="S20" i="4"/>
  <c r="S85" i="4"/>
  <c r="S86" i="4"/>
  <c r="S87" i="4"/>
  <c r="S88" i="4"/>
  <c r="S89" i="4"/>
  <c r="S90" i="4"/>
  <c r="S91" i="4"/>
  <c r="S92" i="4"/>
  <c r="S93" i="4"/>
  <c r="S94" i="4"/>
  <c r="S95" i="4"/>
  <c r="S96" i="4"/>
  <c r="S21" i="4"/>
  <c r="S97" i="4"/>
  <c r="S98" i="4"/>
  <c r="S22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23" i="4"/>
  <c r="S111" i="4"/>
  <c r="S112" i="4"/>
  <c r="S113" i="4"/>
  <c r="S114" i="4"/>
  <c r="S115" i="4"/>
  <c r="S116" i="4"/>
  <c r="S24" i="4"/>
  <c r="S117" i="4"/>
  <c r="S118" i="4"/>
  <c r="S119" i="4"/>
  <c r="S120" i="4"/>
  <c r="S121" i="4"/>
  <c r="S25" i="4"/>
  <c r="S122" i="4"/>
  <c r="S123" i="4"/>
  <c r="S124" i="4"/>
  <c r="S125" i="4"/>
  <c r="S26" i="4"/>
  <c r="S126" i="4"/>
  <c r="S27" i="4"/>
  <c r="S127" i="4"/>
  <c r="S28" i="4"/>
  <c r="S128" i="4"/>
  <c r="S129" i="4"/>
  <c r="S130" i="4"/>
  <c r="S131" i="4"/>
  <c r="S29" i="4"/>
  <c r="S132" i="4"/>
  <c r="S136" i="4"/>
  <c r="S133" i="4"/>
  <c r="S30" i="4"/>
  <c r="S31" i="4"/>
  <c r="S32" i="4"/>
  <c r="S137" i="4"/>
  <c r="T6" i="4"/>
  <c r="T10" i="4"/>
  <c r="T36" i="4"/>
  <c r="T47" i="4"/>
  <c r="T50" i="4"/>
  <c r="T13" i="4"/>
  <c r="T15" i="4"/>
  <c r="T53" i="4"/>
  <c r="T38" i="4"/>
  <c r="T61" i="4"/>
  <c r="T70" i="4"/>
  <c r="T73" i="4"/>
  <c r="T74" i="4"/>
  <c r="T76" i="4"/>
  <c r="T18" i="4"/>
  <c r="T77" i="4"/>
  <c r="T78" i="4"/>
  <c r="T19" i="4"/>
  <c r="T20" i="4"/>
  <c r="T87" i="4"/>
  <c r="T88" i="4"/>
  <c r="T90" i="4"/>
  <c r="T95" i="4"/>
  <c r="T96" i="4"/>
  <c r="T21" i="4"/>
  <c r="T97" i="4"/>
  <c r="T109" i="4"/>
  <c r="T110" i="4"/>
  <c r="T116" i="4"/>
  <c r="T118" i="4"/>
  <c r="T119" i="4"/>
  <c r="T121" i="4"/>
  <c r="T28" i="4"/>
  <c r="T130" i="4"/>
  <c r="T29" i="4"/>
  <c r="T30" i="4"/>
  <c r="C1" i="12" a="1"/>
  <c r="C1" i="12" s="1"/>
  <c r="C1" i="11" a="1"/>
  <c r="C1" i="11" s="1"/>
  <c r="C1" i="9" a="1"/>
  <c r="C1" i="9" s="1"/>
  <c r="H128" i="4" l="1"/>
  <c r="O128" i="4" s="1"/>
  <c r="M128" i="4"/>
  <c r="T128" i="4" s="1"/>
  <c r="N44" i="2"/>
  <c r="O44" i="2"/>
  <c r="M44" i="2"/>
  <c r="T44" i="2" s="1"/>
  <c r="M10" i="2"/>
  <c r="T10" i="2" s="1"/>
  <c r="I10" i="2"/>
  <c r="P10" i="2" s="1"/>
  <c r="N44" i="3"/>
  <c r="O44" i="3"/>
  <c r="H84" i="4"/>
  <c r="M84" i="4"/>
  <c r="T84" i="4" s="1"/>
  <c r="N45" i="3"/>
  <c r="O45" i="3"/>
  <c r="O99" i="4"/>
  <c r="N99" i="4"/>
  <c r="H124" i="4"/>
  <c r="M124" i="4"/>
  <c r="T124" i="4" s="1"/>
  <c r="I124" i="4"/>
  <c r="P124" i="4" s="1"/>
  <c r="O119" i="4"/>
  <c r="N119" i="4"/>
  <c r="H105" i="4"/>
  <c r="O105" i="4" s="1"/>
  <c r="I105" i="4"/>
  <c r="P105" i="4" s="1"/>
  <c r="M105" i="4"/>
  <c r="T105" i="4" s="1"/>
  <c r="H67" i="3"/>
  <c r="M67" i="3"/>
  <c r="T67" i="3" s="1"/>
  <c r="I67" i="3"/>
  <c r="P67" i="3" s="1"/>
  <c r="H24" i="4"/>
  <c r="I24" i="4"/>
  <c r="P24" i="4" s="1"/>
  <c r="H45" i="4"/>
  <c r="O45" i="4" s="1"/>
  <c r="M45" i="4"/>
  <c r="T45" i="4" s="1"/>
  <c r="I45" i="4"/>
  <c r="P45" i="4" s="1"/>
  <c r="O52" i="4"/>
  <c r="N52" i="4"/>
  <c r="O76" i="3"/>
  <c r="H31" i="2"/>
  <c r="I31" i="2"/>
  <c r="P31" i="2" s="1"/>
  <c r="N77" i="3"/>
  <c r="N23" i="2"/>
  <c r="H14" i="4"/>
  <c r="I14" i="4"/>
  <c r="P14" i="4" s="1"/>
  <c r="M14" i="4"/>
  <c r="T14" i="4" s="1"/>
  <c r="O74" i="4"/>
  <c r="H94" i="4"/>
  <c r="M94" i="4"/>
  <c r="T94" i="4" s="1"/>
  <c r="I94" i="4"/>
  <c r="P94" i="4" s="1"/>
  <c r="I134" i="4"/>
  <c r="P134" i="4" s="1"/>
  <c r="H134" i="4"/>
  <c r="N30" i="4"/>
  <c r="O30" i="4"/>
  <c r="N133" i="4"/>
  <c r="O133" i="4"/>
  <c r="N35" i="4"/>
  <c r="O35" i="4"/>
  <c r="H44" i="4"/>
  <c r="M44" i="4"/>
  <c r="T44" i="4" s="1"/>
  <c r="H28" i="3"/>
  <c r="M28" i="3"/>
  <c r="T28" i="3" s="1"/>
  <c r="I28" i="3"/>
  <c r="P28" i="3" s="1"/>
  <c r="N65" i="3"/>
  <c r="H114" i="4"/>
  <c r="I114" i="4"/>
  <c r="P114" i="4" s="1"/>
  <c r="M114" i="4"/>
  <c r="T114" i="4" s="1"/>
  <c r="M51" i="2"/>
  <c r="T51" i="2" s="1"/>
  <c r="M15" i="3"/>
  <c r="T15" i="3" s="1"/>
  <c r="I15" i="3"/>
  <c r="P15" i="3" s="1"/>
  <c r="H15" i="3"/>
  <c r="M35" i="3"/>
  <c r="T35" i="3" s="1"/>
  <c r="I35" i="3"/>
  <c r="H35" i="3"/>
  <c r="O35" i="3" s="1"/>
  <c r="M55" i="3"/>
  <c r="T55" i="3" s="1"/>
  <c r="H55" i="3"/>
  <c r="I55" i="3"/>
  <c r="P55" i="3" s="1"/>
  <c r="M75" i="3"/>
  <c r="T75" i="3" s="1"/>
  <c r="I75" i="3"/>
  <c r="P75" i="3" s="1"/>
  <c r="H4" i="4"/>
  <c r="I4" i="4"/>
  <c r="P4" i="4" s="1"/>
  <c r="M4" i="4"/>
  <c r="T4" i="4" s="1"/>
  <c r="M16" i="3"/>
  <c r="T16" i="3" s="1"/>
  <c r="I16" i="3"/>
  <c r="P16" i="3" s="1"/>
  <c r="H16" i="3"/>
  <c r="N23" i="3"/>
  <c r="O23" i="3"/>
  <c r="H64" i="4"/>
  <c r="O64" i="4" s="1"/>
  <c r="M64" i="4"/>
  <c r="T64" i="4" s="1"/>
  <c r="I64" i="4"/>
  <c r="O12" i="4"/>
  <c r="O81" i="4"/>
  <c r="N81" i="4"/>
  <c r="N24" i="2"/>
  <c r="O24" i="2"/>
  <c r="H25" i="4"/>
  <c r="I25" i="4"/>
  <c r="P25" i="4" s="1"/>
  <c r="H47" i="3"/>
  <c r="I47" i="3"/>
  <c r="P47" i="3" s="1"/>
  <c r="M47" i="3"/>
  <c r="T47" i="3" s="1"/>
  <c r="H11" i="2"/>
  <c r="M11" i="2"/>
  <c r="T11" i="2" s="1"/>
  <c r="I11" i="2"/>
  <c r="P11" i="2" s="1"/>
  <c r="P21" i="2"/>
  <c r="N21" i="2"/>
  <c r="H8" i="3"/>
  <c r="M8" i="3"/>
  <c r="T8" i="3" s="1"/>
  <c r="I8" i="3"/>
  <c r="P8" i="3" s="1"/>
  <c r="H48" i="3"/>
  <c r="I48" i="3"/>
  <c r="P48" i="3" s="1"/>
  <c r="M48" i="3"/>
  <c r="T48" i="3" s="1"/>
  <c r="P64" i="3"/>
  <c r="N64" i="3"/>
  <c r="N43" i="3"/>
  <c r="O43" i="3"/>
  <c r="I84" i="4"/>
  <c r="P84" i="4" s="1"/>
  <c r="I54" i="4"/>
  <c r="P54" i="4" s="1"/>
  <c r="H54" i="4"/>
  <c r="M54" i="4"/>
  <c r="T54" i="4" s="1"/>
  <c r="M19" i="2"/>
  <c r="T19" i="2" s="1"/>
  <c r="I19" i="2"/>
  <c r="P19" i="2" s="1"/>
  <c r="H19" i="2"/>
  <c r="N3" i="2"/>
  <c r="H20" i="2"/>
  <c r="M20" i="2"/>
  <c r="T20" i="2" s="1"/>
  <c r="I20" i="2"/>
  <c r="P20" i="2" s="1"/>
  <c r="M40" i="2"/>
  <c r="T40" i="2" s="1"/>
  <c r="H40" i="2"/>
  <c r="M17" i="3"/>
  <c r="T17" i="3" s="1"/>
  <c r="I17" i="3"/>
  <c r="P17" i="3" s="1"/>
  <c r="H17" i="3"/>
  <c r="O17" i="3" s="1"/>
  <c r="M57" i="3"/>
  <c r="T57" i="3" s="1"/>
  <c r="H57" i="3"/>
  <c r="O57" i="3" s="1"/>
  <c r="I57" i="3"/>
  <c r="M38" i="3"/>
  <c r="T38" i="3" s="1"/>
  <c r="I38" i="3"/>
  <c r="P38" i="3" s="1"/>
  <c r="H38" i="3"/>
  <c r="N2" i="3"/>
  <c r="O2" i="3"/>
  <c r="M59" i="3"/>
  <c r="T59" i="3" s="1"/>
  <c r="I59" i="3"/>
  <c r="P59" i="3" s="1"/>
  <c r="H59" i="3"/>
  <c r="O112" i="4"/>
  <c r="H5" i="4"/>
  <c r="O5" i="4" s="1"/>
  <c r="I5" i="4"/>
  <c r="N5" i="4" s="1"/>
  <c r="M5" i="4"/>
  <c r="T5" i="4" s="1"/>
  <c r="H65" i="4"/>
  <c r="O65" i="4" s="1"/>
  <c r="I65" i="4"/>
  <c r="H125" i="4"/>
  <c r="M125" i="4"/>
  <c r="T125" i="4" s="1"/>
  <c r="I125" i="4"/>
  <c r="P125" i="4" s="1"/>
  <c r="N25" i="2"/>
  <c r="O25" i="2"/>
  <c r="H7" i="3"/>
  <c r="O7" i="3" s="1"/>
  <c r="M7" i="3"/>
  <c r="I7" i="3"/>
  <c r="P7" i="3" s="1"/>
  <c r="M65" i="4"/>
  <c r="T65" i="4" s="1"/>
  <c r="O51" i="2"/>
  <c r="N51" i="2"/>
  <c r="N42" i="3"/>
  <c r="O42" i="3"/>
  <c r="I18" i="3"/>
  <c r="P18" i="3" s="1"/>
  <c r="H18" i="3"/>
  <c r="O18" i="3" s="1"/>
  <c r="M18" i="3"/>
  <c r="T18" i="3" s="1"/>
  <c r="O52" i="2"/>
  <c r="N52" i="2"/>
  <c r="I19" i="3"/>
  <c r="P19" i="3" s="1"/>
  <c r="H19" i="3"/>
  <c r="M19" i="3"/>
  <c r="T19" i="3" s="1"/>
  <c r="O3" i="3"/>
  <c r="N3" i="3"/>
  <c r="H2" i="4"/>
  <c r="I2" i="4"/>
  <c r="M2" i="4"/>
  <c r="H22" i="4"/>
  <c r="M22" i="4"/>
  <c r="T22" i="4" s="1"/>
  <c r="I22" i="4"/>
  <c r="P22" i="4" s="1"/>
  <c r="H42" i="4"/>
  <c r="M42" i="4"/>
  <c r="T42" i="4" s="1"/>
  <c r="I42" i="4"/>
  <c r="P42" i="4" s="1"/>
  <c r="H62" i="4"/>
  <c r="M62" i="4"/>
  <c r="T62" i="4" s="1"/>
  <c r="I62" i="4"/>
  <c r="P62" i="4" s="1"/>
  <c r="H82" i="4"/>
  <c r="I82" i="4"/>
  <c r="P82" i="4" s="1"/>
  <c r="H102" i="4"/>
  <c r="I102" i="4"/>
  <c r="P102" i="4" s="1"/>
  <c r="H122" i="4"/>
  <c r="M122" i="4"/>
  <c r="T122" i="4" s="1"/>
  <c r="O113" i="4"/>
  <c r="I74" i="4"/>
  <c r="P74" i="4" s="1"/>
  <c r="M134" i="4"/>
  <c r="T134" i="4" s="1"/>
  <c r="H104" i="4"/>
  <c r="I104" i="4"/>
  <c r="P104" i="4" s="1"/>
  <c r="M104" i="4"/>
  <c r="T104" i="4" s="1"/>
  <c r="O49" i="4"/>
  <c r="N49" i="4"/>
  <c r="H85" i="4"/>
  <c r="O85" i="4" s="1"/>
  <c r="M85" i="4"/>
  <c r="T85" i="4" s="1"/>
  <c r="H27" i="3"/>
  <c r="I27" i="3"/>
  <c r="P27" i="3" s="1"/>
  <c r="M27" i="3"/>
  <c r="T27" i="3" s="1"/>
  <c r="H68" i="3"/>
  <c r="C14" i="1" s="1" a="1"/>
  <c r="C14" i="1" s="1"/>
  <c r="M68" i="3"/>
  <c r="T68" i="3" s="1"/>
  <c r="I68" i="3"/>
  <c r="P68" i="3" s="1"/>
  <c r="G12" i="1" a="1"/>
  <c r="G12" i="1" s="1"/>
  <c r="P2" i="3"/>
  <c r="I34" i="4"/>
  <c r="P34" i="4" s="1"/>
  <c r="H34" i="4"/>
  <c r="M34" i="4"/>
  <c r="T34" i="4" s="1"/>
  <c r="M39" i="2"/>
  <c r="T39" i="2" s="1"/>
  <c r="H39" i="2"/>
  <c r="M36" i="3"/>
  <c r="T36" i="3" s="1"/>
  <c r="I36" i="3"/>
  <c r="P36" i="3" s="1"/>
  <c r="H36" i="3"/>
  <c r="M56" i="3"/>
  <c r="T56" i="3" s="1"/>
  <c r="H56" i="3"/>
  <c r="I56" i="3"/>
  <c r="P56" i="3" s="1"/>
  <c r="M76" i="3"/>
  <c r="T76" i="3" s="1"/>
  <c r="I76" i="3"/>
  <c r="P76" i="3" s="1"/>
  <c r="N75" i="3"/>
  <c r="I39" i="2"/>
  <c r="P39" i="2" s="1"/>
  <c r="M37" i="3"/>
  <c r="T37" i="3" s="1"/>
  <c r="I37" i="3"/>
  <c r="P37" i="3" s="1"/>
  <c r="H37" i="3"/>
  <c r="M77" i="3"/>
  <c r="T77" i="3" s="1"/>
  <c r="I77" i="3"/>
  <c r="P77" i="3" s="1"/>
  <c r="N74" i="3"/>
  <c r="I40" i="2"/>
  <c r="P40" i="2" s="1"/>
  <c r="M58" i="3"/>
  <c r="T58" i="3" s="1"/>
  <c r="I58" i="3"/>
  <c r="P58" i="3" s="1"/>
  <c r="H58" i="3"/>
  <c r="M39" i="3"/>
  <c r="T39" i="3" s="1"/>
  <c r="H39" i="3"/>
  <c r="O26" i="2"/>
  <c r="N22" i="2"/>
  <c r="O22" i="2"/>
  <c r="P4" i="2"/>
  <c r="N22" i="3"/>
  <c r="O22" i="3"/>
  <c r="H3" i="4"/>
  <c r="I3" i="4"/>
  <c r="P3" i="4" s="1"/>
  <c r="M3" i="4"/>
  <c r="T3" i="4" s="1"/>
  <c r="H23" i="4"/>
  <c r="M23" i="4"/>
  <c r="T23" i="4" s="1"/>
  <c r="I23" i="4"/>
  <c r="P23" i="4" s="1"/>
  <c r="H43" i="4"/>
  <c r="M43" i="4"/>
  <c r="T43" i="4" s="1"/>
  <c r="I43" i="4"/>
  <c r="P43" i="4" s="1"/>
  <c r="H63" i="4"/>
  <c r="M63" i="4"/>
  <c r="T63" i="4" s="1"/>
  <c r="I63" i="4"/>
  <c r="P63" i="4" s="1"/>
  <c r="H83" i="4"/>
  <c r="M83" i="4"/>
  <c r="T83" i="4" s="1"/>
  <c r="H103" i="4"/>
  <c r="O103" i="4" s="1"/>
  <c r="I103" i="4"/>
  <c r="P103" i="4" s="1"/>
  <c r="H123" i="4"/>
  <c r="M123" i="4"/>
  <c r="T123" i="4" s="1"/>
  <c r="M40" i="3"/>
  <c r="T40" i="3" s="1"/>
  <c r="I40" i="3"/>
  <c r="O19" i="4"/>
  <c r="N19" i="4"/>
  <c r="N53" i="4"/>
  <c r="O53" i="4"/>
  <c r="H33" i="2"/>
  <c r="M33" i="2"/>
  <c r="T33" i="2" s="1"/>
  <c r="I33" i="2"/>
  <c r="P33" i="2" s="1"/>
  <c r="I14" i="2"/>
  <c r="H14" i="2"/>
  <c r="O14" i="2" s="1"/>
  <c r="M14" i="2"/>
  <c r="T14" i="2" s="1"/>
  <c r="I35" i="2"/>
  <c r="P35" i="2" s="1"/>
  <c r="H35" i="2"/>
  <c r="M35" i="2"/>
  <c r="T35" i="2" s="1"/>
  <c r="I55" i="2"/>
  <c r="P55" i="2" s="1"/>
  <c r="H55" i="2"/>
  <c r="C7" i="1" a="1"/>
  <c r="C7" i="1" s="1"/>
  <c r="N56" i="2"/>
  <c r="H38" i="2"/>
  <c r="N38" i="2" s="1"/>
  <c r="M11" i="4"/>
  <c r="T11" i="4" s="1"/>
  <c r="I11" i="4"/>
  <c r="P11" i="4" s="1"/>
  <c r="M31" i="4"/>
  <c r="T31" i="4" s="1"/>
  <c r="I31" i="4"/>
  <c r="P31" i="4" s="1"/>
  <c r="H31" i="4"/>
  <c r="M51" i="4"/>
  <c r="T51" i="4" s="1"/>
  <c r="I51" i="4"/>
  <c r="P51" i="4" s="1"/>
  <c r="H51" i="4"/>
  <c r="M71" i="4"/>
  <c r="T71" i="4" s="1"/>
  <c r="I71" i="4"/>
  <c r="M91" i="4"/>
  <c r="T91" i="4" s="1"/>
  <c r="H91" i="4"/>
  <c r="O91" i="4" s="1"/>
  <c r="M111" i="4"/>
  <c r="T111" i="4" s="1"/>
  <c r="I111" i="4"/>
  <c r="P111" i="4" s="1"/>
  <c r="H111" i="4"/>
  <c r="M131" i="4"/>
  <c r="T131" i="4" s="1"/>
  <c r="I131" i="4"/>
  <c r="N32" i="2"/>
  <c r="O32" i="2"/>
  <c r="M60" i="3"/>
  <c r="T60" i="3" s="1"/>
  <c r="H60" i="3"/>
  <c r="I60" i="3"/>
  <c r="P60" i="3" s="1"/>
  <c r="M41" i="3"/>
  <c r="T41" i="3" s="1"/>
  <c r="I41" i="3"/>
  <c r="P41" i="3" s="1"/>
  <c r="I34" i="2"/>
  <c r="P34" i="2" s="1"/>
  <c r="M34" i="2"/>
  <c r="T34" i="2" s="1"/>
  <c r="H34" i="2"/>
  <c r="N9" i="2"/>
  <c r="P9" i="2"/>
  <c r="I15" i="2"/>
  <c r="P15" i="2" s="1"/>
  <c r="M15" i="2"/>
  <c r="T15" i="2" s="1"/>
  <c r="M50" i="3"/>
  <c r="T50" i="3" s="1"/>
  <c r="N101" i="4"/>
  <c r="M16" i="2"/>
  <c r="T16" i="2" s="1"/>
  <c r="I16" i="2"/>
  <c r="P16" i="2" s="1"/>
  <c r="H36" i="2"/>
  <c r="M36" i="2"/>
  <c r="T36" i="2" s="1"/>
  <c r="I36" i="2"/>
  <c r="P36" i="2" s="1"/>
  <c r="O53" i="3"/>
  <c r="I17" i="2"/>
  <c r="H17" i="2"/>
  <c r="O17" i="2" s="1"/>
  <c r="M17" i="2"/>
  <c r="T17" i="2" s="1"/>
  <c r="I37" i="2"/>
  <c r="N37" i="2" s="1"/>
  <c r="M37" i="2"/>
  <c r="T37" i="2" s="1"/>
  <c r="H37" i="2"/>
  <c r="O37" i="2" s="1"/>
  <c r="H20" i="3"/>
  <c r="M20" i="3"/>
  <c r="T20" i="3" s="1"/>
  <c r="M12" i="4"/>
  <c r="T12" i="4" s="1"/>
  <c r="I12" i="4"/>
  <c r="P12" i="4" s="1"/>
  <c r="M32" i="4"/>
  <c r="T32" i="4" s="1"/>
  <c r="I32" i="4"/>
  <c r="P32" i="4" s="1"/>
  <c r="H32" i="4"/>
  <c r="M52" i="4"/>
  <c r="T52" i="4" s="1"/>
  <c r="I52" i="4"/>
  <c r="P52" i="4" s="1"/>
  <c r="M72" i="4"/>
  <c r="T72" i="4" s="1"/>
  <c r="I72" i="4"/>
  <c r="P72" i="4" s="1"/>
  <c r="M92" i="4"/>
  <c r="T92" i="4" s="1"/>
  <c r="H92" i="4"/>
  <c r="M112" i="4"/>
  <c r="T112" i="4" s="1"/>
  <c r="I112" i="4"/>
  <c r="P112" i="4" s="1"/>
  <c r="M132" i="4"/>
  <c r="T132" i="4" s="1"/>
  <c r="I132" i="4"/>
  <c r="P132" i="4" s="1"/>
  <c r="N60" i="4"/>
  <c r="O60" i="4"/>
  <c r="N130" i="4"/>
  <c r="O130" i="4"/>
  <c r="H12" i="2"/>
  <c r="M12" i="2"/>
  <c r="T12" i="2" s="1"/>
  <c r="H13" i="2"/>
  <c r="O13" i="2" s="1"/>
  <c r="M13" i="2"/>
  <c r="T13" i="2" s="1"/>
  <c r="I13" i="2"/>
  <c r="M61" i="3"/>
  <c r="T61" i="3" s="1"/>
  <c r="I61" i="3"/>
  <c r="P61" i="3" s="1"/>
  <c r="H61" i="3"/>
  <c r="M18" i="2"/>
  <c r="T18" i="2" s="1"/>
  <c r="I18" i="2"/>
  <c r="P18" i="2" s="1"/>
  <c r="H18" i="2"/>
  <c r="O2" i="2"/>
  <c r="H21" i="3"/>
  <c r="I21" i="3"/>
  <c r="P21" i="3" s="1"/>
  <c r="M33" i="4"/>
  <c r="T33" i="4" s="1"/>
  <c r="I33" i="4"/>
  <c r="P33" i="4" s="1"/>
  <c r="H33" i="4"/>
  <c r="M93" i="4"/>
  <c r="T93" i="4" s="1"/>
  <c r="H93" i="4"/>
  <c r="M113" i="4"/>
  <c r="T113" i="4" s="1"/>
  <c r="I113" i="4"/>
  <c r="P113" i="4" s="1"/>
  <c r="N61" i="4"/>
  <c r="H49" i="3"/>
  <c r="I49" i="3"/>
  <c r="P49" i="3" s="1"/>
  <c r="N72" i="4"/>
  <c r="O72" i="4"/>
  <c r="I30" i="3"/>
  <c r="P30" i="3" s="1"/>
  <c r="M30" i="3"/>
  <c r="T30" i="3" s="1"/>
  <c r="H30" i="3"/>
  <c r="H9" i="3"/>
  <c r="M9" i="3"/>
  <c r="T9" i="3" s="1"/>
  <c r="I9" i="3"/>
  <c r="P9" i="3" s="1"/>
  <c r="H69" i="3"/>
  <c r="M69" i="3"/>
  <c r="T69" i="3" s="1"/>
  <c r="I69" i="3"/>
  <c r="P69" i="3" s="1"/>
  <c r="N36" i="4"/>
  <c r="I70" i="3"/>
  <c r="M70" i="3"/>
  <c r="T70" i="3" s="1"/>
  <c r="O106" i="4"/>
  <c r="N106" i="4"/>
  <c r="R7" i="1" a="1"/>
  <c r="R7" i="1" s="1"/>
  <c r="T2" i="2"/>
  <c r="O32" i="3"/>
  <c r="P26" i="3"/>
  <c r="N26" i="3"/>
  <c r="N107" i="4"/>
  <c r="O107" i="4"/>
  <c r="O27" i="2"/>
  <c r="H15" i="2"/>
  <c r="C5" i="1" s="1" a="1"/>
  <c r="C5" i="1" s="1"/>
  <c r="O96" i="4"/>
  <c r="P50" i="2"/>
  <c r="N54" i="3"/>
  <c r="M5" i="2"/>
  <c r="S3" i="1" s="1" a="1"/>
  <c r="S3" i="1" s="1"/>
  <c r="H5" i="2"/>
  <c r="I45" i="2"/>
  <c r="H45" i="2"/>
  <c r="O45" i="2" s="1"/>
  <c r="H16" i="2"/>
  <c r="N30" i="2"/>
  <c r="P30" i="2"/>
  <c r="O76" i="4"/>
  <c r="N76" i="4"/>
  <c r="O109" i="4"/>
  <c r="N109" i="4"/>
  <c r="I13" i="4"/>
  <c r="I10" i="3"/>
  <c r="P10" i="3" s="1"/>
  <c r="M10" i="3"/>
  <c r="T10" i="3" s="1"/>
  <c r="H10" i="3"/>
  <c r="O73" i="4"/>
  <c r="N73" i="4"/>
  <c r="N28" i="2"/>
  <c r="N128" i="4"/>
  <c r="N53" i="2"/>
  <c r="N29" i="2"/>
  <c r="P29" i="2"/>
  <c r="N33" i="3"/>
  <c r="O33" i="3"/>
  <c r="O7" i="4"/>
  <c r="N7" i="4"/>
  <c r="O75" i="4"/>
  <c r="N75" i="4"/>
  <c r="O108" i="4"/>
  <c r="N108" i="4"/>
  <c r="N27" i="4"/>
  <c r="O47" i="2"/>
  <c r="N46" i="2"/>
  <c r="H40" i="3"/>
  <c r="O40" i="3" s="1"/>
  <c r="I29" i="3"/>
  <c r="P29" i="3" s="1"/>
  <c r="M29" i="3"/>
  <c r="T29" i="3" s="1"/>
  <c r="P118" i="4"/>
  <c r="N118" i="4"/>
  <c r="M55" i="4"/>
  <c r="T55" i="4" s="1"/>
  <c r="M115" i="4"/>
  <c r="T115" i="4" s="1"/>
  <c r="N115" i="4"/>
  <c r="G5" i="1" a="1"/>
  <c r="G5" i="1" s="1"/>
  <c r="I8" i="2"/>
  <c r="M56" i="4"/>
  <c r="T56" i="4" s="1"/>
  <c r="M133" i="4"/>
  <c r="T133" i="4" s="1"/>
  <c r="I133" i="4"/>
  <c r="P133" i="4" s="1"/>
  <c r="N100" i="4"/>
  <c r="I31" i="3"/>
  <c r="P31" i="3" s="1"/>
  <c r="M31" i="3"/>
  <c r="T31" i="3" s="1"/>
  <c r="N24" i="3"/>
  <c r="N43" i="2"/>
  <c r="M48" i="2"/>
  <c r="T48" i="2" s="1"/>
  <c r="I12" i="3"/>
  <c r="P12" i="3" s="1"/>
  <c r="H12" i="3"/>
  <c r="I32" i="3"/>
  <c r="P32" i="3" s="1"/>
  <c r="M32" i="3"/>
  <c r="T32" i="3" s="1"/>
  <c r="N16" i="4"/>
  <c r="O116" i="4"/>
  <c r="N116" i="4"/>
  <c r="H57" i="4"/>
  <c r="O57" i="4" s="1"/>
  <c r="N120" i="4"/>
  <c r="I13" i="3"/>
  <c r="P13" i="3" s="1"/>
  <c r="H13" i="3"/>
  <c r="I33" i="3"/>
  <c r="P33" i="3" s="1"/>
  <c r="M33" i="3"/>
  <c r="T33" i="3" s="1"/>
  <c r="N63" i="3"/>
  <c r="O126" i="4"/>
  <c r="N126" i="4"/>
  <c r="N42" i="2"/>
  <c r="I11" i="3"/>
  <c r="P11" i="3" s="1"/>
  <c r="H11" i="3"/>
  <c r="N10" i="2"/>
  <c r="M22" i="2"/>
  <c r="T22" i="2" s="1"/>
  <c r="M50" i="2"/>
  <c r="T50" i="2" s="1"/>
  <c r="M14" i="3"/>
  <c r="T14" i="3" s="1"/>
  <c r="I14" i="3"/>
  <c r="H14" i="3"/>
  <c r="O14" i="3" s="1"/>
  <c r="M34" i="3"/>
  <c r="T34" i="3" s="1"/>
  <c r="I34" i="3"/>
  <c r="P34" i="3" s="1"/>
  <c r="H34" i="3"/>
  <c r="H31" i="3"/>
  <c r="N6" i="4"/>
  <c r="O6" i="4"/>
  <c r="O59" i="4"/>
  <c r="N59" i="4"/>
  <c r="H95" i="4"/>
  <c r="N38" i="4"/>
  <c r="H66" i="4"/>
  <c r="O66" i="4" s="1"/>
  <c r="M66" i="4"/>
  <c r="T66" i="4" s="1"/>
  <c r="N68" i="4"/>
  <c r="N87" i="4"/>
  <c r="N127" i="4"/>
  <c r="H67" i="4"/>
  <c r="M67" i="4"/>
  <c r="T67" i="4" s="1"/>
  <c r="M68" i="4"/>
  <c r="T68" i="4" s="1"/>
  <c r="N9" i="4"/>
  <c r="H69" i="4"/>
  <c r="M69" i="4"/>
  <c r="T69" i="4" s="1"/>
  <c r="N62" i="3"/>
  <c r="H46" i="4"/>
  <c r="H70" i="4"/>
  <c r="I10" i="4"/>
  <c r="I110" i="4"/>
  <c r="M46" i="4"/>
  <c r="T46" i="4" s="1"/>
  <c r="P127" i="4"/>
  <c r="P87" i="4"/>
  <c r="P85" i="4"/>
  <c r="N55" i="4"/>
  <c r="P15" i="4"/>
  <c r="P9" i="4"/>
  <c r="N90" i="4"/>
  <c r="N80" i="4"/>
  <c r="N40" i="4"/>
  <c r="N37" i="4"/>
  <c r="N41" i="3"/>
  <c r="N7" i="3"/>
  <c r="O77" i="3"/>
  <c r="N72" i="3"/>
  <c r="N71" i="3"/>
  <c r="O60" i="3"/>
  <c r="O52" i="3"/>
  <c r="O50" i="3"/>
  <c r="O37" i="3"/>
  <c r="N5" i="3"/>
  <c r="N4" i="3"/>
  <c r="P42" i="2"/>
  <c r="P37" i="2"/>
  <c r="P28" i="2"/>
  <c r="P17" i="2"/>
  <c r="O56" i="2"/>
  <c r="O54" i="2"/>
  <c r="O38" i="2"/>
  <c r="O10" i="2"/>
  <c r="N7" i="2"/>
  <c r="N6" i="2"/>
  <c r="W8" i="3"/>
  <c r="W62" i="3"/>
  <c r="W77" i="3"/>
  <c r="X68" i="3"/>
  <c r="Y27" i="3"/>
  <c r="Y29" i="3"/>
  <c r="Y26" i="3"/>
  <c r="Y28" i="3"/>
  <c r="Y51" i="3"/>
  <c r="W26" i="3"/>
  <c r="W49" i="3"/>
  <c r="X61" i="3"/>
  <c r="X62" i="3"/>
  <c r="X38" i="3"/>
  <c r="X63" i="3"/>
  <c r="X53" i="3"/>
  <c r="X71" i="3"/>
  <c r="X58" i="3"/>
  <c r="X66" i="3"/>
  <c r="X51" i="3"/>
  <c r="X52" i="3"/>
  <c r="X69" i="3"/>
  <c r="X37" i="3"/>
  <c r="X42" i="3"/>
  <c r="X72" i="3"/>
  <c r="X44" i="3"/>
  <c r="X56" i="3"/>
  <c r="X45" i="3"/>
  <c r="X57" i="3"/>
  <c r="X73" i="3"/>
  <c r="W25" i="3"/>
  <c r="W19" i="3"/>
  <c r="W18" i="3"/>
  <c r="W24" i="3"/>
  <c r="W23" i="3"/>
  <c r="W15" i="3"/>
  <c r="W6" i="3"/>
  <c r="X18" i="3"/>
  <c r="W17" i="3"/>
  <c r="W14" i="3"/>
  <c r="W3" i="3"/>
  <c r="Y14" i="3"/>
  <c r="W13" i="3"/>
  <c r="W22" i="3"/>
  <c r="W12" i="3"/>
  <c r="W2" i="3"/>
  <c r="W5" i="3"/>
  <c r="W4" i="3"/>
  <c r="W11" i="3"/>
  <c r="W16" i="3"/>
  <c r="W21" i="3"/>
  <c r="W10" i="3"/>
  <c r="W7" i="3"/>
  <c r="W20" i="3"/>
  <c r="W19" i="2"/>
  <c r="W9" i="2"/>
  <c r="W35" i="2"/>
  <c r="X53" i="2"/>
  <c r="Y22" i="2"/>
  <c r="Y36" i="2"/>
  <c r="Y57" i="2"/>
  <c r="X13" i="2"/>
  <c r="X24" i="2"/>
  <c r="W57" i="2"/>
  <c r="Y18" i="2"/>
  <c r="Y17" i="2"/>
  <c r="Y20" i="2"/>
  <c r="Y19" i="2"/>
  <c r="Y29" i="2"/>
  <c r="Y21" i="2"/>
  <c r="Y25" i="2"/>
  <c r="Y23" i="2"/>
  <c r="Y24" i="2"/>
  <c r="Y28" i="2"/>
  <c r="Y27" i="2"/>
  <c r="Y26" i="2"/>
  <c r="Y39" i="2"/>
  <c r="Y50" i="2"/>
  <c r="Y52" i="2"/>
  <c r="Y53" i="2"/>
  <c r="Y49" i="2"/>
  <c r="Y32" i="2"/>
  <c r="Y42" i="2"/>
  <c r="Y30" i="2"/>
  <c r="Y51" i="2"/>
  <c r="Y41" i="2"/>
  <c r="Y38" i="2"/>
  <c r="Y40" i="2"/>
  <c r="Y33" i="2"/>
  <c r="Y46" i="2"/>
  <c r="Y55" i="2"/>
  <c r="Y47" i="2"/>
  <c r="Y56" i="2"/>
  <c r="Y45" i="2"/>
  <c r="Y37" i="2"/>
  <c r="Y31" i="2"/>
  <c r="X25" i="2"/>
  <c r="W55" i="2"/>
  <c r="W44" i="2"/>
  <c r="W34" i="2"/>
  <c r="W56" i="2"/>
  <c r="X47" i="2"/>
  <c r="W42" i="2"/>
  <c r="W53" i="2"/>
  <c r="W43" i="2"/>
  <c r="X6" i="2"/>
  <c r="W4" i="2"/>
  <c r="X56" i="2"/>
  <c r="X55" i="2"/>
  <c r="X54" i="2"/>
  <c r="W52" i="2"/>
  <c r="X4" i="2"/>
  <c r="W18" i="2"/>
  <c r="W51" i="2"/>
  <c r="W54" i="2"/>
  <c r="X45" i="2"/>
  <c r="W12" i="2"/>
  <c r="X57" i="2"/>
  <c r="W41" i="2"/>
  <c r="W40" i="2"/>
  <c r="X12" i="2"/>
  <c r="W11" i="2"/>
  <c r="X29" i="2"/>
  <c r="X41" i="2"/>
  <c r="X32" i="2"/>
  <c r="W14" i="2"/>
  <c r="W10" i="2"/>
  <c r="W5" i="2"/>
  <c r="W33" i="2"/>
  <c r="W15" i="2"/>
  <c r="W32" i="2"/>
  <c r="X15" i="2"/>
  <c r="W50" i="2"/>
  <c r="W39" i="2"/>
  <c r="W3" i="2"/>
  <c r="W6" i="2"/>
  <c r="X7" i="2"/>
  <c r="X11" i="2"/>
  <c r="W17" i="2"/>
  <c r="X51" i="2"/>
  <c r="X14" i="2"/>
  <c r="W8" i="2"/>
  <c r="X49" i="2"/>
  <c r="X38" i="2"/>
  <c r="W20" i="2"/>
  <c r="W49" i="2"/>
  <c r="W2" i="2"/>
  <c r="X21" i="2"/>
  <c r="W31" i="2"/>
  <c r="W30" i="2"/>
  <c r="X27" i="2"/>
  <c r="X9" i="2"/>
  <c r="X2" i="2"/>
  <c r="W47" i="2"/>
  <c r="W36" i="2"/>
  <c r="W16" i="2"/>
  <c r="X22" i="2"/>
  <c r="W48" i="2"/>
  <c r="X50" i="2"/>
  <c r="W13" i="2"/>
  <c r="X48" i="2"/>
  <c r="X31" i="2"/>
  <c r="W7" i="2"/>
  <c r="W38" i="2"/>
  <c r="X45" i="4"/>
  <c r="X38" i="4"/>
  <c r="W37" i="4"/>
  <c r="W73" i="4"/>
  <c r="X39" i="4"/>
  <c r="X88" i="4"/>
  <c r="X91" i="4"/>
  <c r="X105" i="4"/>
  <c r="X70" i="4"/>
  <c r="X106" i="4"/>
  <c r="X58" i="4"/>
  <c r="X109" i="4"/>
  <c r="X55" i="4"/>
  <c r="X122" i="4"/>
  <c r="X123" i="4"/>
  <c r="X71" i="4"/>
  <c r="X74" i="4"/>
  <c r="X87" i="4"/>
  <c r="X19" i="4"/>
  <c r="X33" i="4"/>
  <c r="W13" i="4"/>
  <c r="Y33" i="4"/>
  <c r="Y36" i="4"/>
  <c r="X30" i="4"/>
  <c r="X8" i="4"/>
  <c r="X21" i="4"/>
  <c r="X17" i="4"/>
  <c r="X5" i="4"/>
  <c r="X25" i="4"/>
  <c r="X10" i="4"/>
  <c r="W36" i="4"/>
  <c r="W88" i="4"/>
  <c r="W106" i="4"/>
  <c r="W123" i="4"/>
  <c r="W101" i="4"/>
  <c r="W46" i="4"/>
  <c r="W56" i="4"/>
  <c r="W72" i="4"/>
  <c r="W89" i="4"/>
  <c r="W107" i="4"/>
  <c r="W124" i="4"/>
  <c r="W119" i="4"/>
  <c r="W57" i="4"/>
  <c r="W67" i="4"/>
  <c r="W39" i="4"/>
  <c r="W75" i="4"/>
  <c r="W92" i="4"/>
  <c r="W110" i="4"/>
  <c r="W126" i="4"/>
  <c r="W76" i="4"/>
  <c r="W93" i="4"/>
  <c r="W63" i="4"/>
  <c r="W66" i="4"/>
  <c r="W120" i="4"/>
  <c r="W77" i="4"/>
  <c r="W95" i="4"/>
  <c r="W112" i="4"/>
  <c r="W49" i="4"/>
  <c r="W78" i="4"/>
  <c r="W96" i="4"/>
  <c r="W113" i="4"/>
  <c r="W128" i="4"/>
  <c r="W102" i="4"/>
  <c r="W41" i="4"/>
  <c r="W50" i="4"/>
  <c r="W61" i="4"/>
  <c r="W115" i="4"/>
  <c r="W130" i="4"/>
  <c r="W52" i="4"/>
  <c r="W62" i="4"/>
  <c r="W98" i="4"/>
  <c r="W116" i="4"/>
  <c r="W131" i="4"/>
  <c r="W43" i="4"/>
  <c r="W64" i="4"/>
  <c r="W82" i="4"/>
  <c r="W99" i="4"/>
  <c r="W117" i="4"/>
  <c r="W85" i="4"/>
  <c r="W103" i="4"/>
  <c r="W121" i="4"/>
  <c r="W69" i="4"/>
  <c r="W104" i="4"/>
  <c r="W70" i="4"/>
  <c r="W53" i="4"/>
  <c r="W86" i="4"/>
  <c r="W87" i="4"/>
  <c r="W122" i="4"/>
  <c r="W54" i="4"/>
  <c r="W105" i="4"/>
  <c r="W11" i="4"/>
  <c r="W23" i="4"/>
  <c r="W27" i="4"/>
  <c r="W3" i="4"/>
  <c r="W16" i="4"/>
  <c r="W18" i="4"/>
  <c r="W29" i="4"/>
  <c r="W4" i="4"/>
  <c r="W28" i="4"/>
  <c r="W6" i="4"/>
  <c r="W22" i="4"/>
  <c r="W21" i="4"/>
  <c r="W20" i="4"/>
  <c r="W15" i="4"/>
  <c r="W31" i="4"/>
  <c r="W8" i="4"/>
  <c r="W32" i="4"/>
  <c r="W25" i="4"/>
  <c r="W9" i="4"/>
  <c r="X135" i="4"/>
  <c r="X137" i="4"/>
  <c r="X134" i="4"/>
  <c r="X136" i="4"/>
  <c r="X36" i="4"/>
  <c r="W34" i="4"/>
  <c r="X108" i="4"/>
  <c r="X73" i="4"/>
  <c r="X125" i="4"/>
  <c r="X90" i="4"/>
  <c r="X57" i="4"/>
  <c r="Y34" i="4"/>
  <c r="X124" i="4"/>
  <c r="X107" i="4"/>
  <c r="X89" i="4"/>
  <c r="X72" i="4"/>
  <c r="X56" i="4"/>
  <c r="X46" i="4"/>
  <c r="X121" i="4"/>
  <c r="X103" i="4"/>
  <c r="X85" i="4"/>
  <c r="X68" i="4"/>
  <c r="X44" i="4"/>
  <c r="X104" i="4"/>
  <c r="X102" i="4"/>
  <c r="X133" i="4"/>
  <c r="X119" i="4"/>
  <c r="X101" i="4"/>
  <c r="X84" i="4"/>
  <c r="X66" i="4"/>
  <c r="X118" i="4"/>
  <c r="X100" i="4"/>
  <c r="X83" i="4"/>
  <c r="X65" i="4"/>
  <c r="X42" i="4"/>
  <c r="X132" i="4"/>
  <c r="X117" i="4"/>
  <c r="X99" i="4"/>
  <c r="X82" i="4"/>
  <c r="X64" i="4"/>
  <c r="X35" i="4"/>
  <c r="X81" i="4"/>
  <c r="X63" i="4"/>
  <c r="X37" i="4"/>
  <c r="X131" i="4"/>
  <c r="X116" i="4"/>
  <c r="X98" i="4"/>
  <c r="X62" i="4"/>
  <c r="X52" i="4"/>
  <c r="X67" i="4"/>
  <c r="X130" i="4"/>
  <c r="X115" i="4"/>
  <c r="X97" i="4"/>
  <c r="X80" i="4"/>
  <c r="X51" i="4"/>
  <c r="X86" i="4"/>
  <c r="Y35" i="4"/>
  <c r="X129" i="4"/>
  <c r="X114" i="4"/>
  <c r="X79" i="4"/>
  <c r="X61" i="4"/>
  <c r="X50" i="4"/>
  <c r="X41" i="4"/>
  <c r="X128" i="4"/>
  <c r="X113" i="4"/>
  <c r="X78" i="4"/>
  <c r="X40" i="4"/>
  <c r="W137" i="4"/>
  <c r="X69" i="4"/>
  <c r="X112" i="4"/>
  <c r="X95" i="4"/>
  <c r="X77" i="4"/>
  <c r="X60" i="4"/>
  <c r="X48" i="4"/>
  <c r="X53" i="4"/>
  <c r="X49" i="4"/>
  <c r="X127" i="4"/>
  <c r="X111" i="4"/>
  <c r="X94" i="4"/>
  <c r="X47" i="4"/>
  <c r="X43" i="4"/>
  <c r="X96" i="4"/>
  <c r="X93" i="4"/>
  <c r="X76" i="4"/>
  <c r="X120" i="4"/>
  <c r="X126" i="4"/>
  <c r="X110" i="4"/>
  <c r="X92" i="4"/>
  <c r="X75" i="4"/>
  <c r="X59" i="4"/>
  <c r="A2" i="15" a="1"/>
  <c r="A2" i="15" s="1"/>
  <c r="B3" i="1" l="1" a="1"/>
  <c r="B3" i="1" s="1"/>
  <c r="B7" i="1" a="1"/>
  <c r="B7" i="1" s="1"/>
  <c r="D7" i="1" s="1"/>
  <c r="F6" i="1" a="1"/>
  <c r="F6" i="1" s="1"/>
  <c r="S13" i="1" a="1"/>
  <c r="S13" i="1" s="1"/>
  <c r="S7" i="1" a="1"/>
  <c r="S7" i="1" s="1"/>
  <c r="U7" i="1" s="1"/>
  <c r="C12" i="1" a="1"/>
  <c r="C12" i="1" s="1"/>
  <c r="N105" i="4"/>
  <c r="N40" i="3"/>
  <c r="P40" i="3"/>
  <c r="O3" i="4"/>
  <c r="N3" i="4"/>
  <c r="O2" i="4"/>
  <c r="B25" i="1" a="1"/>
  <c r="B25" i="1" s="1"/>
  <c r="B24" i="1" a="1"/>
  <c r="B24" i="1" s="1"/>
  <c r="B23" i="1" a="1"/>
  <c r="B23" i="1" s="1"/>
  <c r="B22" i="1" a="1"/>
  <c r="B22" i="1" s="1"/>
  <c r="C25" i="1" a="1"/>
  <c r="C25" i="1" s="1"/>
  <c r="E25" i="1" s="1"/>
  <c r="C24" i="1" a="1"/>
  <c r="C24" i="1" s="1"/>
  <c r="C23" i="1" a="1"/>
  <c r="C23" i="1" s="1"/>
  <c r="E23" i="1" s="1"/>
  <c r="C22" i="1" a="1"/>
  <c r="C22" i="1" s="1"/>
  <c r="C21" i="1" a="1"/>
  <c r="C21" i="1" s="1"/>
  <c r="B21" i="1" a="1"/>
  <c r="B21" i="1" s="1"/>
  <c r="D21" i="1" s="1"/>
  <c r="N2" i="4"/>
  <c r="B4" i="1" a="1"/>
  <c r="B4" i="1" s="1"/>
  <c r="O8" i="3"/>
  <c r="N8" i="3"/>
  <c r="O94" i="4"/>
  <c r="N94" i="4"/>
  <c r="H6" i="1"/>
  <c r="N16" i="3"/>
  <c r="O16" i="3"/>
  <c r="O67" i="4"/>
  <c r="N67" i="4"/>
  <c r="R4" i="1" a="1"/>
  <c r="R4" i="1" s="1"/>
  <c r="T4" i="1" s="1"/>
  <c r="F7" i="1" a="1"/>
  <c r="F7" i="1" s="1"/>
  <c r="C3" i="1" a="1"/>
  <c r="C3" i="1" s="1"/>
  <c r="E3" i="1" s="1"/>
  <c r="N60" i="3"/>
  <c r="F12" i="1" a="1"/>
  <c r="F12" i="1" s="1"/>
  <c r="H12" i="1" s="1"/>
  <c r="B5" i="1" a="1"/>
  <c r="B5" i="1" s="1"/>
  <c r="D5" i="1" s="1"/>
  <c r="N74" i="4"/>
  <c r="O67" i="3"/>
  <c r="N67" i="3"/>
  <c r="G13" i="1" a="1"/>
  <c r="G13" i="1" s="1"/>
  <c r="G14" i="1" a="1"/>
  <c r="G14" i="1" s="1"/>
  <c r="F4" i="1" a="1"/>
  <c r="F4" i="1" s="1"/>
  <c r="N9" i="3"/>
  <c r="O9" i="3"/>
  <c r="P5" i="4"/>
  <c r="O30" i="3"/>
  <c r="N30" i="3"/>
  <c r="G3" i="1" a="1"/>
  <c r="G3" i="1" s="1"/>
  <c r="C4" i="1" a="1"/>
  <c r="C4" i="1" s="1"/>
  <c r="E4" i="1" s="1"/>
  <c r="N17" i="2"/>
  <c r="N11" i="4"/>
  <c r="F16" i="1" a="1"/>
  <c r="F16" i="1" s="1"/>
  <c r="N113" i="4"/>
  <c r="C13" i="1" a="1"/>
  <c r="C13" i="1" s="1"/>
  <c r="O125" i="4"/>
  <c r="N125" i="4"/>
  <c r="O122" i="4"/>
  <c r="N122" i="4"/>
  <c r="N131" i="4"/>
  <c r="P131" i="4"/>
  <c r="G6" i="1" a="1"/>
  <c r="G6" i="1" s="1"/>
  <c r="I6" i="1" s="1"/>
  <c r="O28" i="3"/>
  <c r="N28" i="3"/>
  <c r="R15" i="1" a="1"/>
  <c r="R15" i="1" s="1"/>
  <c r="N12" i="3"/>
  <c r="O12" i="3"/>
  <c r="T5" i="2"/>
  <c r="R6" i="1" a="1"/>
  <c r="R6" i="1" s="1"/>
  <c r="S5" i="1" a="1"/>
  <c r="S5" i="1" s="1"/>
  <c r="N61" i="3"/>
  <c r="O61" i="3"/>
  <c r="O35" i="2"/>
  <c r="N35" i="2"/>
  <c r="N83" i="4"/>
  <c r="O83" i="4"/>
  <c r="O39" i="3"/>
  <c r="N39" i="3"/>
  <c r="N68" i="3"/>
  <c r="O68" i="3"/>
  <c r="N82" i="4"/>
  <c r="O54" i="4"/>
  <c r="N54" i="4"/>
  <c r="O47" i="3"/>
  <c r="N47" i="3"/>
  <c r="N4" i="4"/>
  <c r="O4" i="4"/>
  <c r="O114" i="4"/>
  <c r="N114" i="4"/>
  <c r="R5" i="1" a="1"/>
  <c r="R5" i="1" s="1"/>
  <c r="F3" i="1" a="1"/>
  <c r="F3" i="1" s="1"/>
  <c r="H3" i="1" s="1"/>
  <c r="O95" i="4"/>
  <c r="N95" i="4"/>
  <c r="R16" i="1" a="1"/>
  <c r="R16" i="1" s="1"/>
  <c r="N57" i="3"/>
  <c r="P57" i="3"/>
  <c r="F5" i="1" a="1"/>
  <c r="F5" i="1" s="1"/>
  <c r="H5" i="1" s="1"/>
  <c r="N44" i="4"/>
  <c r="O44" i="4"/>
  <c r="N31" i="2"/>
  <c r="O31" i="2"/>
  <c r="N124" i="4"/>
  <c r="O124" i="4"/>
  <c r="N123" i="4"/>
  <c r="O123" i="4"/>
  <c r="N55" i="2"/>
  <c r="O55" i="2"/>
  <c r="N11" i="2"/>
  <c r="N17" i="3"/>
  <c r="S6" i="1" a="1"/>
  <c r="S6" i="1" s="1"/>
  <c r="U6" i="1" s="1"/>
  <c r="O11" i="2"/>
  <c r="N18" i="3"/>
  <c r="N110" i="4"/>
  <c r="P110" i="4"/>
  <c r="N11" i="3"/>
  <c r="O11" i="3"/>
  <c r="O32" i="4"/>
  <c r="N32" i="4"/>
  <c r="O58" i="3"/>
  <c r="N58" i="3"/>
  <c r="O39" i="2"/>
  <c r="N39" i="2"/>
  <c r="N112" i="4"/>
  <c r="N132" i="4"/>
  <c r="R13" i="1" a="1"/>
  <c r="R13" i="1" s="1"/>
  <c r="T13" i="1" s="1"/>
  <c r="N16" i="2"/>
  <c r="O16" i="2"/>
  <c r="N92" i="4"/>
  <c r="O92" i="4"/>
  <c r="N45" i="2"/>
  <c r="N38" i="3"/>
  <c r="O38" i="3"/>
  <c r="O93" i="4"/>
  <c r="N93" i="4"/>
  <c r="N13" i="2"/>
  <c r="P13" i="2"/>
  <c r="N63" i="4"/>
  <c r="O63" i="4"/>
  <c r="N27" i="3"/>
  <c r="O27" i="3"/>
  <c r="N62" i="4"/>
  <c r="O62" i="4"/>
  <c r="O59" i="3"/>
  <c r="N59" i="3"/>
  <c r="O25" i="4"/>
  <c r="N25" i="4"/>
  <c r="N76" i="3"/>
  <c r="C15" i="1" a="1"/>
  <c r="C15" i="1" s="1"/>
  <c r="N56" i="3"/>
  <c r="O56" i="3"/>
  <c r="O14" i="4"/>
  <c r="N14" i="4"/>
  <c r="R3" i="1" a="1"/>
  <c r="R3" i="1" s="1"/>
  <c r="T3" i="1" s="1"/>
  <c r="O34" i="4"/>
  <c r="N34" i="4"/>
  <c r="G4" i="1" a="1"/>
  <c r="G4" i="1" s="1"/>
  <c r="I4" i="1" s="1"/>
  <c r="N19" i="3"/>
  <c r="O19" i="3"/>
  <c r="S12" i="1" a="1"/>
  <c r="S12" i="1" s="1"/>
  <c r="R14" i="1" a="1"/>
  <c r="R14" i="1" s="1"/>
  <c r="O15" i="2"/>
  <c r="N15" i="2"/>
  <c r="P71" i="4"/>
  <c r="N71" i="4"/>
  <c r="O55" i="3"/>
  <c r="N55" i="3"/>
  <c r="N70" i="3"/>
  <c r="P70" i="3"/>
  <c r="N43" i="4"/>
  <c r="O43" i="4"/>
  <c r="O42" i="4"/>
  <c r="N42" i="4"/>
  <c r="B12" i="1" a="1"/>
  <c r="B12" i="1" s="1"/>
  <c r="D12" i="1" s="1"/>
  <c r="R12" i="1" a="1"/>
  <c r="R12" i="1" s="1"/>
  <c r="O18" i="2"/>
  <c r="N18" i="2"/>
  <c r="O36" i="2"/>
  <c r="N36" i="2"/>
  <c r="O102" i="4"/>
  <c r="N102" i="4"/>
  <c r="N46" i="4"/>
  <c r="O46" i="4"/>
  <c r="O51" i="4"/>
  <c r="N51" i="4"/>
  <c r="T7" i="1"/>
  <c r="O19" i="2"/>
  <c r="N19" i="2"/>
  <c r="N66" i="4"/>
  <c r="N5" i="2"/>
  <c r="O5" i="2"/>
  <c r="N10" i="4"/>
  <c r="P10" i="4"/>
  <c r="N14" i="2"/>
  <c r="P14" i="2"/>
  <c r="N33" i="4"/>
  <c r="O33" i="4"/>
  <c r="O34" i="2"/>
  <c r="N34" i="2"/>
  <c r="N40" i="2"/>
  <c r="O40" i="2"/>
  <c r="N65" i="4"/>
  <c r="P65" i="4"/>
  <c r="G7" i="1" a="1"/>
  <c r="G7" i="1" s="1"/>
  <c r="O49" i="3"/>
  <c r="N49" i="3"/>
  <c r="N111" i="4"/>
  <c r="O111" i="4"/>
  <c r="N31" i="3"/>
  <c r="O31" i="3"/>
  <c r="N10" i="3"/>
  <c r="O10" i="3"/>
  <c r="O34" i="3"/>
  <c r="N34" i="3"/>
  <c r="F15" i="1" a="1"/>
  <c r="F15" i="1" s="1"/>
  <c r="B14" i="1" a="1"/>
  <c r="B14" i="1" s="1"/>
  <c r="D14" i="1" s="1"/>
  <c r="N35" i="3"/>
  <c r="P35" i="3"/>
  <c r="O82" i="4"/>
  <c r="N29" i="3"/>
  <c r="N84" i="4"/>
  <c r="O84" i="4"/>
  <c r="N13" i="4"/>
  <c r="P13" i="4"/>
  <c r="O69" i="3"/>
  <c r="N69" i="3"/>
  <c r="O21" i="3"/>
  <c r="N21" i="3"/>
  <c r="N31" i="4"/>
  <c r="O31" i="4"/>
  <c r="O23" i="4"/>
  <c r="N23" i="4"/>
  <c r="N37" i="3"/>
  <c r="F14" i="1" a="1"/>
  <c r="F14" i="1" s="1"/>
  <c r="O22" i="4"/>
  <c r="N22" i="4"/>
  <c r="S16" i="1" a="1"/>
  <c r="S16" i="1" s="1"/>
  <c r="S15" i="1" a="1"/>
  <c r="S15" i="1" s="1"/>
  <c r="S14" i="1" a="1"/>
  <c r="S14" i="1" s="1"/>
  <c r="T7" i="3"/>
  <c r="B16" i="1" a="1"/>
  <c r="B16" i="1" s="1"/>
  <c r="D16" i="1" s="1"/>
  <c r="O48" i="3"/>
  <c r="N48" i="3"/>
  <c r="O15" i="3"/>
  <c r="N15" i="3"/>
  <c r="E7" i="1"/>
  <c r="S4" i="1" a="1"/>
  <c r="S4" i="1" s="1"/>
  <c r="N36" i="3"/>
  <c r="O36" i="3"/>
  <c r="O70" i="4"/>
  <c r="N70" i="4"/>
  <c r="O69" i="4"/>
  <c r="N69" i="4"/>
  <c r="O20" i="3"/>
  <c r="N20" i="3"/>
  <c r="F13" i="1" a="1"/>
  <c r="F13" i="1" s="1"/>
  <c r="B13" i="1" a="1"/>
  <c r="B13" i="1" s="1"/>
  <c r="O134" i="4"/>
  <c r="N134" i="4"/>
  <c r="N45" i="4"/>
  <c r="P45" i="2"/>
  <c r="N91" i="4"/>
  <c r="N14" i="3"/>
  <c r="P14" i="3"/>
  <c r="B6" i="1" a="1"/>
  <c r="B6" i="1" s="1"/>
  <c r="G16" i="1" a="1"/>
  <c r="G16" i="1" s="1"/>
  <c r="N104" i="4"/>
  <c r="O104" i="4"/>
  <c r="S23" i="1" a="1"/>
  <c r="S23" i="1" s="1"/>
  <c r="S22" i="1" a="1"/>
  <c r="S22" i="1" s="1"/>
  <c r="T2" i="4"/>
  <c r="S25" i="1" a="1"/>
  <c r="S25" i="1" s="1"/>
  <c r="R24" i="1" a="1"/>
  <c r="R24" i="1" s="1"/>
  <c r="R23" i="1" a="1"/>
  <c r="R23" i="1" s="1"/>
  <c r="T23" i="1" s="1"/>
  <c r="R21" i="1" a="1"/>
  <c r="R21" i="1" s="1"/>
  <c r="S24" i="1" a="1"/>
  <c r="S24" i="1" s="1"/>
  <c r="U24" i="1" s="1"/>
  <c r="S21" i="1" a="1"/>
  <c r="S21" i="1" s="1"/>
  <c r="R25" i="1" a="1"/>
  <c r="R25" i="1" s="1"/>
  <c r="R22" i="1" a="1"/>
  <c r="R22" i="1" s="1"/>
  <c r="C16" i="1" a="1"/>
  <c r="C16" i="1" s="1"/>
  <c r="N64" i="4"/>
  <c r="P64" i="4"/>
  <c r="N24" i="4"/>
  <c r="O24" i="4"/>
  <c r="N57" i="4"/>
  <c r="N12" i="2"/>
  <c r="O12" i="2"/>
  <c r="N33" i="2"/>
  <c r="O33" i="2"/>
  <c r="N12" i="4"/>
  <c r="N103" i="4"/>
  <c r="O13" i="3"/>
  <c r="N13" i="3"/>
  <c r="N8" i="2"/>
  <c r="P8" i="2"/>
  <c r="N32" i="3"/>
  <c r="C6" i="1" a="1"/>
  <c r="C6" i="1" s="1"/>
  <c r="E6" i="1" s="1"/>
  <c r="G15" i="1" a="1"/>
  <c r="G15" i="1" s="1"/>
  <c r="F24" i="1" a="1"/>
  <c r="F24" i="1" s="1"/>
  <c r="F23" i="1" a="1"/>
  <c r="F23" i="1" s="1"/>
  <c r="F22" i="1" a="1"/>
  <c r="F22" i="1" s="1"/>
  <c r="F21" i="1" a="1"/>
  <c r="F21" i="1" s="1"/>
  <c r="P2" i="4"/>
  <c r="G25" i="1" a="1"/>
  <c r="G25" i="1" s="1"/>
  <c r="F25" i="1" a="1"/>
  <c r="F25" i="1" s="1"/>
  <c r="H25" i="1" s="1"/>
  <c r="G24" i="1" a="1"/>
  <c r="G24" i="1" s="1"/>
  <c r="G22" i="1" a="1"/>
  <c r="G22" i="1" s="1"/>
  <c r="G21" i="1" a="1"/>
  <c r="G21" i="1" s="1"/>
  <c r="G23" i="1" a="1"/>
  <c r="G23" i="1" s="1"/>
  <c r="I23" i="1" s="1"/>
  <c r="B15" i="1" a="1"/>
  <c r="B15" i="1" s="1"/>
  <c r="D15" i="1" s="1"/>
  <c r="O20" i="2"/>
  <c r="N20" i="2"/>
  <c r="N85" i="4"/>
  <c r="Y59" i="3"/>
  <c r="Y55" i="3"/>
  <c r="X15" i="3"/>
  <c r="Y72" i="3"/>
  <c r="Y70" i="3"/>
  <c r="X43" i="3"/>
  <c r="X49" i="3"/>
  <c r="X2" i="3"/>
  <c r="Y54" i="3"/>
  <c r="Y43" i="3"/>
  <c r="Y46" i="3"/>
  <c r="X22" i="3"/>
  <c r="Y69" i="3"/>
  <c r="X64" i="3"/>
  <c r="W75" i="3"/>
  <c r="Y67" i="3"/>
  <c r="X13" i="3"/>
  <c r="X65" i="3"/>
  <c r="W51" i="3"/>
  <c r="X48" i="3"/>
  <c r="W74" i="3"/>
  <c r="Y50" i="3"/>
  <c r="W9" i="3"/>
  <c r="Y64" i="3"/>
  <c r="X40" i="3"/>
  <c r="X12" i="3"/>
  <c r="X59" i="3"/>
  <c r="X39" i="3"/>
  <c r="W76" i="3"/>
  <c r="Y65" i="3"/>
  <c r="Y42" i="3"/>
  <c r="Y53" i="3"/>
  <c r="X46" i="3"/>
  <c r="X60" i="3"/>
  <c r="Y49" i="3"/>
  <c r="W60" i="3"/>
  <c r="W47" i="3"/>
  <c r="W52" i="3"/>
  <c r="W71" i="3"/>
  <c r="W37" i="3"/>
  <c r="W46" i="3"/>
  <c r="W70" i="3"/>
  <c r="W66" i="3"/>
  <c r="W65" i="3"/>
  <c r="Y48" i="3"/>
  <c r="W68" i="3"/>
  <c r="W59" i="3"/>
  <c r="W54" i="3"/>
  <c r="W63" i="3"/>
  <c r="X10" i="3"/>
  <c r="Y63" i="3"/>
  <c r="Y41" i="3"/>
  <c r="W58" i="3"/>
  <c r="X6" i="3"/>
  <c r="Y39" i="3"/>
  <c r="Y66" i="3"/>
  <c r="W40" i="3"/>
  <c r="W69" i="3"/>
  <c r="X25" i="3"/>
  <c r="X70" i="3"/>
  <c r="X47" i="3"/>
  <c r="W73" i="3"/>
  <c r="X20" i="3"/>
  <c r="Y73" i="3"/>
  <c r="Y40" i="3"/>
  <c r="W50" i="3"/>
  <c r="W57" i="3"/>
  <c r="W48" i="3"/>
  <c r="Y18" i="3"/>
  <c r="W67" i="3"/>
  <c r="X67" i="3"/>
  <c r="X55" i="3"/>
  <c r="W39" i="3"/>
  <c r="X19" i="3"/>
  <c r="Y57" i="3"/>
  <c r="Y61" i="3"/>
  <c r="W53" i="3"/>
  <c r="W42" i="3"/>
  <c r="W38" i="3"/>
  <c r="X50" i="3"/>
  <c r="X54" i="3"/>
  <c r="X7" i="3"/>
  <c r="Y45" i="3"/>
  <c r="Y44" i="3"/>
  <c r="W43" i="3"/>
  <c r="X41" i="3"/>
  <c r="W64" i="3"/>
  <c r="Y56" i="3"/>
  <c r="Y71" i="3"/>
  <c r="Y21" i="3"/>
  <c r="Y4" i="3"/>
  <c r="Y22" i="3"/>
  <c r="Y19" i="3"/>
  <c r="X21" i="3"/>
  <c r="X24" i="3"/>
  <c r="Y16" i="3"/>
  <c r="X8" i="3"/>
  <c r="Y7" i="3"/>
  <c r="X17" i="3"/>
  <c r="Y25" i="3"/>
  <c r="Y12" i="3"/>
  <c r="X11" i="3"/>
  <c r="Y75" i="3"/>
  <c r="Y74" i="3"/>
  <c r="Y76" i="3"/>
  <c r="Y77" i="3"/>
  <c r="W33" i="3"/>
  <c r="W34" i="3"/>
  <c r="W35" i="3"/>
  <c r="W36" i="3"/>
  <c r="W30" i="3"/>
  <c r="W31" i="3"/>
  <c r="W32" i="3"/>
  <c r="Y8" i="3"/>
  <c r="Y24" i="3"/>
  <c r="W27" i="3"/>
  <c r="X33" i="3"/>
  <c r="X30" i="3"/>
  <c r="X34" i="3"/>
  <c r="X35" i="3"/>
  <c r="X36" i="3"/>
  <c r="X31" i="3"/>
  <c r="X32" i="3"/>
  <c r="W28" i="3"/>
  <c r="Y15" i="3"/>
  <c r="X14" i="3"/>
  <c r="Y37" i="3"/>
  <c r="Y17" i="3"/>
  <c r="Y9" i="3"/>
  <c r="X74" i="3"/>
  <c r="X75" i="3"/>
  <c r="X76" i="3"/>
  <c r="X77" i="3"/>
  <c r="Y23" i="3"/>
  <c r="W56" i="3"/>
  <c r="W41" i="3"/>
  <c r="W29" i="3"/>
  <c r="Y10" i="3"/>
  <c r="X9" i="3"/>
  <c r="Y38" i="3"/>
  <c r="Y52" i="3"/>
  <c r="Y20" i="3"/>
  <c r="X5" i="3"/>
  <c r="W44" i="3"/>
  <c r="W61" i="3"/>
  <c r="Y3" i="3"/>
  <c r="Y5" i="3"/>
  <c r="X16" i="3"/>
  <c r="Y62" i="3"/>
  <c r="Y58" i="3"/>
  <c r="Y34" i="3"/>
  <c r="Y36" i="3"/>
  <c r="Y31" i="3"/>
  <c r="Y35" i="3"/>
  <c r="Y30" i="3"/>
  <c r="Y32" i="3"/>
  <c r="Y33" i="3"/>
  <c r="Y6" i="3"/>
  <c r="W72" i="3"/>
  <c r="W45" i="3"/>
  <c r="Y13" i="3"/>
  <c r="Y2" i="3"/>
  <c r="X3" i="3"/>
  <c r="Y60" i="3"/>
  <c r="Y68" i="3"/>
  <c r="X26" i="3"/>
  <c r="X28" i="3"/>
  <c r="X27" i="3"/>
  <c r="X29" i="3"/>
  <c r="X23" i="3"/>
  <c r="X4" i="3"/>
  <c r="W55" i="3"/>
  <c r="Y11" i="3"/>
  <c r="Y47" i="3"/>
  <c r="X43" i="2"/>
  <c r="X44" i="2"/>
  <c r="X23" i="2"/>
  <c r="X39" i="2"/>
  <c r="X40" i="2"/>
  <c r="X30" i="2"/>
  <c r="Y34" i="2"/>
  <c r="X52" i="2"/>
  <c r="X37" i="2"/>
  <c r="X33" i="2"/>
  <c r="X46" i="2"/>
  <c r="X36" i="2"/>
  <c r="Y35" i="2"/>
  <c r="W37" i="2"/>
  <c r="X42" i="2"/>
  <c r="Y54" i="2"/>
  <c r="X34" i="2"/>
  <c r="X35" i="2"/>
  <c r="W46" i="2"/>
  <c r="W45" i="2"/>
  <c r="Y43" i="2"/>
  <c r="X10" i="2"/>
  <c r="Y44" i="2"/>
  <c r="X28" i="2"/>
  <c r="X26" i="2"/>
  <c r="X3" i="2"/>
  <c r="X16" i="2"/>
  <c r="Y48" i="2"/>
  <c r="X5" i="2"/>
  <c r="X8" i="2"/>
  <c r="W26" i="2"/>
  <c r="W27" i="2"/>
  <c r="W28" i="2"/>
  <c r="W23" i="2"/>
  <c r="W21" i="2"/>
  <c r="W22" i="2"/>
  <c r="W25" i="2"/>
  <c r="W29" i="2"/>
  <c r="W24" i="2"/>
  <c r="Y3" i="2"/>
  <c r="Y8" i="2"/>
  <c r="Y10" i="2"/>
  <c r="Y14" i="2"/>
  <c r="Y15" i="2"/>
  <c r="Y9" i="2"/>
  <c r="Y4" i="2"/>
  <c r="Y11" i="2"/>
  <c r="Y12" i="2"/>
  <c r="Y13" i="2"/>
  <c r="Y2" i="2"/>
  <c r="Y5" i="2"/>
  <c r="Y6" i="2"/>
  <c r="Y16" i="2"/>
  <c r="Y7" i="2"/>
  <c r="X19" i="2"/>
  <c r="X20" i="2"/>
  <c r="X18" i="2"/>
  <c r="X17" i="2"/>
  <c r="W40" i="4"/>
  <c r="W59" i="4"/>
  <c r="W100" i="4"/>
  <c r="W7" i="4"/>
  <c r="W26" i="4"/>
  <c r="W68" i="4"/>
  <c r="W80" i="4"/>
  <c r="W60" i="4"/>
  <c r="W91" i="4"/>
  <c r="W71" i="4"/>
  <c r="W12" i="4"/>
  <c r="W30" i="4"/>
  <c r="W44" i="4"/>
  <c r="W51" i="4"/>
  <c r="W48" i="4"/>
  <c r="W74" i="4"/>
  <c r="W55" i="4"/>
  <c r="Y37" i="4"/>
  <c r="W19" i="4"/>
  <c r="W10" i="4"/>
  <c r="W118" i="4"/>
  <c r="W81" i="4"/>
  <c r="W58" i="4"/>
  <c r="W45" i="4"/>
  <c r="W2" i="4"/>
  <c r="W97" i="4"/>
  <c r="W5" i="4"/>
  <c r="W24" i="4"/>
  <c r="W83" i="4"/>
  <c r="W42" i="4"/>
  <c r="W127" i="4"/>
  <c r="W125" i="4"/>
  <c r="X34" i="4"/>
  <c r="W17" i="4"/>
  <c r="W136" i="4"/>
  <c r="W84" i="4"/>
  <c r="W129" i="4"/>
  <c r="W111" i="4"/>
  <c r="W108" i="4"/>
  <c r="W35" i="4"/>
  <c r="W109" i="4"/>
  <c r="W133" i="4"/>
  <c r="W14" i="4"/>
  <c r="Y38" i="4"/>
  <c r="W65" i="4"/>
  <c r="W114" i="4"/>
  <c r="W94" i="4"/>
  <c r="W90" i="4"/>
  <c r="W38" i="4"/>
  <c r="X54" i="4"/>
  <c r="W132" i="4"/>
  <c r="W79" i="4"/>
  <c r="W47" i="4"/>
  <c r="X20" i="4"/>
  <c r="X28" i="4"/>
  <c r="X26" i="4"/>
  <c r="X4" i="4"/>
  <c r="X16" i="4"/>
  <c r="X13" i="4"/>
  <c r="X3" i="4"/>
  <c r="X18" i="4"/>
  <c r="X7" i="4"/>
  <c r="X27" i="4"/>
  <c r="X12" i="4"/>
  <c r="X23" i="4"/>
  <c r="X15" i="4"/>
  <c r="X29" i="4"/>
  <c r="X11" i="4"/>
  <c r="X22" i="4"/>
  <c r="X2" i="4"/>
  <c r="X6" i="4"/>
  <c r="X32" i="4"/>
  <c r="X9" i="4"/>
  <c r="X31" i="4"/>
  <c r="X14" i="4"/>
  <c r="W134" i="4"/>
  <c r="X24" i="4"/>
  <c r="W135" i="4"/>
  <c r="Y40" i="4"/>
  <c r="Y49" i="4"/>
  <c r="Y78" i="4"/>
  <c r="Y96" i="4"/>
  <c r="Y113" i="4"/>
  <c r="Y128" i="4"/>
  <c r="Y81" i="4"/>
  <c r="Y123" i="4"/>
  <c r="Y41" i="4"/>
  <c r="Y50" i="4"/>
  <c r="Y61" i="4"/>
  <c r="Y79" i="4"/>
  <c r="Y114" i="4"/>
  <c r="Y129" i="4"/>
  <c r="Y57" i="4"/>
  <c r="Y91" i="4"/>
  <c r="Y39" i="4"/>
  <c r="Y92" i="4"/>
  <c r="Y51" i="4"/>
  <c r="Y80" i="4"/>
  <c r="Y97" i="4"/>
  <c r="Y115" i="4"/>
  <c r="Y130" i="4"/>
  <c r="Y52" i="4"/>
  <c r="Y62" i="4"/>
  <c r="Y98" i="4"/>
  <c r="Y116" i="4"/>
  <c r="Y131" i="4"/>
  <c r="Y55" i="4"/>
  <c r="Y58" i="4"/>
  <c r="Y63" i="4"/>
  <c r="Y64" i="4"/>
  <c r="Y82" i="4"/>
  <c r="Y99" i="4"/>
  <c r="Y117" i="4"/>
  <c r="Y132" i="4"/>
  <c r="Y106" i="4"/>
  <c r="Y108" i="4"/>
  <c r="Y42" i="4"/>
  <c r="Y65" i="4"/>
  <c r="Y83" i="4"/>
  <c r="Y100" i="4"/>
  <c r="Y118" i="4"/>
  <c r="Y43" i="4"/>
  <c r="Y71" i="4"/>
  <c r="Y66" i="4"/>
  <c r="Y84" i="4"/>
  <c r="Y101" i="4"/>
  <c r="Y119" i="4"/>
  <c r="Y133" i="4"/>
  <c r="Y120" i="4"/>
  <c r="Y45" i="4"/>
  <c r="Y88" i="4"/>
  <c r="Y90" i="4"/>
  <c r="Y109" i="4"/>
  <c r="Y67" i="4"/>
  <c r="Y102" i="4"/>
  <c r="Y73" i="4"/>
  <c r="Y59" i="4"/>
  <c r="Y110" i="4"/>
  <c r="Y44" i="4"/>
  <c r="Y68" i="4"/>
  <c r="Y85" i="4"/>
  <c r="Y103" i="4"/>
  <c r="Y121" i="4"/>
  <c r="Y126" i="4"/>
  <c r="Y53" i="4"/>
  <c r="Y69" i="4"/>
  <c r="Y86" i="4"/>
  <c r="Y104" i="4"/>
  <c r="Y54" i="4"/>
  <c r="Y70" i="4"/>
  <c r="Y87" i="4"/>
  <c r="Y105" i="4"/>
  <c r="Y122" i="4"/>
  <c r="Y46" i="4"/>
  <c r="Y56" i="4"/>
  <c r="Y72" i="4"/>
  <c r="Y89" i="4"/>
  <c r="Y107" i="4"/>
  <c r="Y124" i="4"/>
  <c r="Y125" i="4"/>
  <c r="Y74" i="4"/>
  <c r="Y75" i="4"/>
  <c r="Y76" i="4"/>
  <c r="Y93" i="4"/>
  <c r="Y94" i="4"/>
  <c r="Y127" i="4"/>
  <c r="Y48" i="4"/>
  <c r="Y112" i="4"/>
  <c r="Y47" i="4"/>
  <c r="Y111" i="4"/>
  <c r="Y77" i="4"/>
  <c r="Y60" i="4"/>
  <c r="Y95" i="4"/>
  <c r="W33" i="4"/>
  <c r="Y24" i="4"/>
  <c r="Y21" i="4"/>
  <c r="Y29" i="4"/>
  <c r="Y17" i="4"/>
  <c r="Y5" i="4"/>
  <c r="Y19" i="4"/>
  <c r="Y6" i="4"/>
  <c r="Y22" i="4"/>
  <c r="Y12" i="4"/>
  <c r="Y7" i="4"/>
  <c r="Y13" i="4"/>
  <c r="Y14" i="4"/>
  <c r="Y20" i="4"/>
  <c r="Y30" i="4"/>
  <c r="Y15" i="4"/>
  <c r="Y31" i="4"/>
  <c r="Y10" i="4"/>
  <c r="Y8" i="4"/>
  <c r="Y25" i="4"/>
  <c r="Y32" i="4"/>
  <c r="Y9" i="4"/>
  <c r="Y26" i="4"/>
  <c r="Y2" i="4"/>
  <c r="Y11" i="4"/>
  <c r="Y23" i="4"/>
  <c r="Y27" i="4"/>
  <c r="Y16" i="4"/>
  <c r="Y3" i="4"/>
  <c r="Y18" i="4"/>
  <c r="Y28" i="4"/>
  <c r="Y4" i="4"/>
  <c r="Y134" i="4"/>
  <c r="Y136" i="4"/>
  <c r="Y135" i="4"/>
  <c r="Y137" i="4"/>
  <c r="U21" i="1" l="1"/>
  <c r="E24" i="1"/>
  <c r="I22" i="1"/>
  <c r="I24" i="1"/>
  <c r="U25" i="1"/>
  <c r="D22" i="1"/>
  <c r="U22" i="1"/>
  <c r="H21" i="1"/>
  <c r="D13" i="1"/>
  <c r="U16" i="1"/>
  <c r="U13" i="1"/>
  <c r="T5" i="1"/>
  <c r="I7" i="1"/>
  <c r="T14" i="1"/>
  <c r="T12" i="1"/>
  <c r="H14" i="1"/>
  <c r="H13" i="1"/>
  <c r="H15" i="1"/>
  <c r="I16" i="1"/>
  <c r="T15" i="1"/>
  <c r="E21" i="1"/>
  <c r="T21" i="1"/>
  <c r="E22" i="1"/>
  <c r="I12" i="1"/>
  <c r="T24" i="1"/>
  <c r="E13" i="1"/>
  <c r="H16" i="1"/>
  <c r="H7" i="1"/>
  <c r="D23" i="1"/>
  <c r="D24" i="1"/>
  <c r="I21" i="1"/>
  <c r="U5" i="1"/>
  <c r="D25" i="1"/>
  <c r="U23" i="1"/>
  <c r="U4" i="1"/>
  <c r="E15" i="1"/>
  <c r="T6" i="1"/>
  <c r="I3" i="1"/>
  <c r="D6" i="1"/>
  <c r="E5" i="1"/>
  <c r="I5" i="1"/>
  <c r="T16" i="1"/>
  <c r="I25" i="1"/>
  <c r="H23" i="1"/>
  <c r="H4" i="1"/>
  <c r="D3" i="1"/>
  <c r="E14" i="1"/>
  <c r="T22" i="1"/>
  <c r="U14" i="1"/>
  <c r="U12" i="1"/>
  <c r="I14" i="1"/>
  <c r="D4" i="1"/>
  <c r="E12" i="1"/>
  <c r="H22" i="1"/>
  <c r="E16" i="1"/>
  <c r="H24" i="1"/>
  <c r="I15" i="1"/>
  <c r="T25" i="1"/>
  <c r="U15" i="1"/>
  <c r="I13" i="1"/>
  <c r="U3" i="1"/>
  <c r="U57" i="2"/>
  <c r="Z57" i="2"/>
  <c r="U51" i="3" l="1"/>
  <c r="U68" i="3"/>
  <c r="U58" i="3"/>
  <c r="U61" i="3"/>
  <c r="U52" i="3"/>
  <c r="U69" i="3"/>
  <c r="U37" i="3"/>
  <c r="U53" i="3"/>
  <c r="U70" i="3"/>
  <c r="U62" i="3"/>
  <c r="U45" i="3"/>
  <c r="U73" i="3"/>
  <c r="U49" i="3"/>
  <c r="U42" i="3"/>
  <c r="U54" i="3"/>
  <c r="U71" i="3"/>
  <c r="U43" i="3"/>
  <c r="U55" i="3"/>
  <c r="U72" i="3"/>
  <c r="U44" i="3"/>
  <c r="U56" i="3"/>
  <c r="U57" i="3"/>
  <c r="U65" i="3"/>
  <c r="U46" i="3"/>
  <c r="U59" i="3"/>
  <c r="U47" i="3"/>
  <c r="U60" i="3"/>
  <c r="U38" i="3"/>
  <c r="U63" i="3"/>
  <c r="U39" i="3"/>
  <c r="U48" i="3"/>
  <c r="U64" i="3"/>
  <c r="U40" i="3"/>
  <c r="U66" i="3"/>
  <c r="U41" i="3"/>
  <c r="U50" i="3"/>
  <c r="U67" i="3"/>
  <c r="U29" i="3"/>
  <c r="U27" i="3"/>
  <c r="U28" i="3"/>
  <c r="U26" i="3"/>
  <c r="Z76" i="3"/>
  <c r="Z77" i="3"/>
  <c r="Z74" i="3"/>
  <c r="Z75" i="3"/>
  <c r="U76" i="3"/>
  <c r="U77" i="3"/>
  <c r="U74" i="3"/>
  <c r="U75" i="3"/>
  <c r="Z27" i="3"/>
  <c r="Z26" i="3"/>
  <c r="Z28" i="3"/>
  <c r="Z29" i="3"/>
  <c r="V75" i="3"/>
  <c r="V77" i="3"/>
  <c r="V74" i="3"/>
  <c r="V76" i="3"/>
  <c r="V42" i="3"/>
  <c r="V54" i="3"/>
  <c r="V71" i="3"/>
  <c r="V63" i="3"/>
  <c r="V66" i="3"/>
  <c r="V43" i="3"/>
  <c r="V55" i="3"/>
  <c r="V72" i="3"/>
  <c r="V44" i="3"/>
  <c r="V56" i="3"/>
  <c r="V68" i="3"/>
  <c r="V45" i="3"/>
  <c r="V57" i="3"/>
  <c r="V73" i="3"/>
  <c r="V60" i="3"/>
  <c r="V51" i="3"/>
  <c r="V58" i="3"/>
  <c r="V47" i="3"/>
  <c r="V65" i="3"/>
  <c r="V46" i="3"/>
  <c r="V59" i="3"/>
  <c r="V61" i="3"/>
  <c r="V49" i="3"/>
  <c r="V38" i="3"/>
  <c r="V40" i="3"/>
  <c r="V62" i="3"/>
  <c r="V39" i="3"/>
  <c r="V48" i="3"/>
  <c r="V64" i="3"/>
  <c r="V41" i="3"/>
  <c r="V50" i="3"/>
  <c r="V67" i="3"/>
  <c r="V52" i="3"/>
  <c r="V69" i="3"/>
  <c r="V37" i="3"/>
  <c r="V53" i="3"/>
  <c r="V70" i="3"/>
  <c r="V35" i="3"/>
  <c r="V30" i="3"/>
  <c r="V31" i="3"/>
  <c r="V33" i="3"/>
  <c r="V36" i="3"/>
  <c r="V32" i="3"/>
  <c r="V34" i="3"/>
  <c r="U35" i="3"/>
  <c r="U36" i="3"/>
  <c r="U30" i="3"/>
  <c r="U31" i="3"/>
  <c r="U32" i="3"/>
  <c r="U33" i="3"/>
  <c r="U34" i="3"/>
  <c r="U7" i="3"/>
  <c r="U16" i="3"/>
  <c r="U2" i="3"/>
  <c r="U13" i="3"/>
  <c r="U4" i="3"/>
  <c r="U17" i="3"/>
  <c r="U18" i="3"/>
  <c r="U9" i="3"/>
  <c r="U21" i="3"/>
  <c r="U12" i="3"/>
  <c r="U14" i="3"/>
  <c r="U6" i="3"/>
  <c r="U19" i="3"/>
  <c r="U22" i="3"/>
  <c r="U15" i="3"/>
  <c r="U8" i="3"/>
  <c r="U20" i="3"/>
  <c r="U23" i="3"/>
  <c r="U25" i="3"/>
  <c r="U24" i="3"/>
  <c r="U10" i="3"/>
  <c r="U11" i="3"/>
  <c r="U3" i="3"/>
  <c r="U5" i="3"/>
  <c r="Z51" i="3"/>
  <c r="Z68" i="3"/>
  <c r="Z73" i="3"/>
  <c r="Z61" i="3"/>
  <c r="Z52" i="3"/>
  <c r="Z69" i="3"/>
  <c r="Z37" i="3"/>
  <c r="Z53" i="3"/>
  <c r="Z70" i="3"/>
  <c r="Z42" i="3"/>
  <c r="Z54" i="3"/>
  <c r="Z71" i="3"/>
  <c r="Z57" i="3"/>
  <c r="Z62" i="3"/>
  <c r="Z49" i="3"/>
  <c r="Z43" i="3"/>
  <c r="Z55" i="3"/>
  <c r="Z72" i="3"/>
  <c r="Z58" i="3"/>
  <c r="Z44" i="3"/>
  <c r="Z56" i="3"/>
  <c r="Z45" i="3"/>
  <c r="Z46" i="3"/>
  <c r="Z59" i="3"/>
  <c r="Z47" i="3"/>
  <c r="Z60" i="3"/>
  <c r="Z65" i="3"/>
  <c r="Z38" i="3"/>
  <c r="Z63" i="3"/>
  <c r="Z39" i="3"/>
  <c r="Z48" i="3"/>
  <c r="Z64" i="3"/>
  <c r="Z40" i="3"/>
  <c r="Z66" i="3"/>
  <c r="Z41" i="3"/>
  <c r="Z50" i="3"/>
  <c r="Z67" i="3"/>
  <c r="Z7" i="3"/>
  <c r="Z16" i="3"/>
  <c r="Z2" i="3"/>
  <c r="Z13" i="3"/>
  <c r="Z6" i="3"/>
  <c r="Z17" i="3"/>
  <c r="Z18" i="3"/>
  <c r="Z22" i="3"/>
  <c r="Z4" i="3"/>
  <c r="Z15" i="3"/>
  <c r="Z19" i="3"/>
  <c r="Z20" i="3"/>
  <c r="Z12" i="3"/>
  <c r="Z24" i="3"/>
  <c r="Z8" i="3"/>
  <c r="Z25" i="3"/>
  <c r="Z21" i="3"/>
  <c r="Z23" i="3"/>
  <c r="Z9" i="3"/>
  <c r="Z10" i="3"/>
  <c r="Z14" i="3"/>
  <c r="Z11" i="3"/>
  <c r="Z3" i="3"/>
  <c r="Z5" i="3"/>
  <c r="V8" i="3"/>
  <c r="V22" i="3"/>
  <c r="V7" i="3"/>
  <c r="V16" i="3"/>
  <c r="V25" i="3"/>
  <c r="V12" i="3"/>
  <c r="V4" i="3"/>
  <c r="V14" i="3"/>
  <c r="V9" i="3"/>
  <c r="V20" i="3"/>
  <c r="V10" i="3"/>
  <c r="V21" i="3"/>
  <c r="V11" i="3"/>
  <c r="V2" i="3"/>
  <c r="V13" i="3"/>
  <c r="V3" i="3"/>
  <c r="V19" i="3"/>
  <c r="V5" i="3"/>
  <c r="V6" i="3"/>
  <c r="V15" i="3"/>
  <c r="V23" i="3"/>
  <c r="V24" i="3"/>
  <c r="V17" i="3"/>
  <c r="V18" i="3"/>
  <c r="Z35" i="3"/>
  <c r="Z36" i="3"/>
  <c r="Z32" i="3"/>
  <c r="Z30" i="3"/>
  <c r="Z31" i="3"/>
  <c r="Z33" i="3"/>
  <c r="Z34" i="3"/>
  <c r="V27" i="3"/>
  <c r="V29" i="3"/>
  <c r="V26" i="3"/>
  <c r="V28" i="3"/>
  <c r="V57" i="2"/>
  <c r="Z40" i="2"/>
  <c r="Z52" i="2"/>
  <c r="Z45" i="2"/>
  <c r="Z32" i="2"/>
  <c r="Z41" i="2"/>
  <c r="Z33" i="2"/>
  <c r="Z55" i="2"/>
  <c r="Z56" i="2"/>
  <c r="Z38" i="2"/>
  <c r="Z51" i="2"/>
  <c r="Z42" i="2"/>
  <c r="Z53" i="2"/>
  <c r="Z43" i="2"/>
  <c r="Z44" i="2"/>
  <c r="Z54" i="2"/>
  <c r="Z34" i="2"/>
  <c r="Z39" i="2"/>
  <c r="Z35" i="2"/>
  <c r="Z37" i="2"/>
  <c r="Z48" i="2"/>
  <c r="Z46" i="2"/>
  <c r="Z50" i="2"/>
  <c r="Z36" i="2"/>
  <c r="Z47" i="2"/>
  <c r="Z30" i="2"/>
  <c r="Z31" i="2"/>
  <c r="Z49" i="2"/>
  <c r="V12" i="2"/>
  <c r="V5" i="2"/>
  <c r="V7" i="2"/>
  <c r="V15" i="2"/>
  <c r="V6" i="2"/>
  <c r="V16" i="2"/>
  <c r="V13" i="2"/>
  <c r="V3" i="2"/>
  <c r="V10" i="2"/>
  <c r="V8" i="2"/>
  <c r="V11" i="2"/>
  <c r="V2" i="2"/>
  <c r="V9" i="2"/>
  <c r="V14" i="2"/>
  <c r="V4" i="2"/>
  <c r="U40" i="2"/>
  <c r="U52" i="2"/>
  <c r="U44" i="2"/>
  <c r="U34" i="2"/>
  <c r="U56" i="2"/>
  <c r="U32" i="2"/>
  <c r="U41" i="2"/>
  <c r="U33" i="2"/>
  <c r="U42" i="2"/>
  <c r="U53" i="2"/>
  <c r="U54" i="2"/>
  <c r="U55" i="2"/>
  <c r="U51" i="2"/>
  <c r="U43" i="2"/>
  <c r="U45" i="2"/>
  <c r="U50" i="2"/>
  <c r="U35" i="2"/>
  <c r="U48" i="2"/>
  <c r="U49" i="2"/>
  <c r="U46" i="2"/>
  <c r="U37" i="2"/>
  <c r="U30" i="2"/>
  <c r="U38" i="2"/>
  <c r="U36" i="2"/>
  <c r="U47" i="2"/>
  <c r="U31" i="2"/>
  <c r="U39" i="2"/>
  <c r="U18" i="2"/>
  <c r="U20" i="2"/>
  <c r="U17" i="2"/>
  <c r="U19" i="2"/>
  <c r="U23" i="2"/>
  <c r="U21" i="2"/>
  <c r="U29" i="2"/>
  <c r="U28" i="2"/>
  <c r="U24" i="2"/>
  <c r="U26" i="2"/>
  <c r="U27" i="2"/>
  <c r="U22" i="2"/>
  <c r="U25" i="2"/>
  <c r="Z18" i="2"/>
  <c r="Z19" i="2"/>
  <c r="Z17" i="2"/>
  <c r="Z20" i="2"/>
  <c r="V29" i="2"/>
  <c r="V26" i="2"/>
  <c r="V23" i="2"/>
  <c r="V25" i="2"/>
  <c r="V28" i="2"/>
  <c r="V21" i="2"/>
  <c r="V27" i="2"/>
  <c r="V22" i="2"/>
  <c r="V24" i="2"/>
  <c r="V20" i="2"/>
  <c r="V19" i="2"/>
  <c r="V17" i="2"/>
  <c r="V18" i="2"/>
  <c r="U6" i="2"/>
  <c r="U16" i="2"/>
  <c r="U3" i="2"/>
  <c r="U4" i="2"/>
  <c r="U12" i="2"/>
  <c r="U15" i="2"/>
  <c r="U5" i="2"/>
  <c r="U14" i="2"/>
  <c r="U11" i="2"/>
  <c r="U9" i="2"/>
  <c r="U10" i="2"/>
  <c r="U7" i="2"/>
  <c r="U8" i="2"/>
  <c r="U13" i="2"/>
  <c r="U2" i="2"/>
  <c r="Z3" i="2"/>
  <c r="Z6" i="2"/>
  <c r="Z14" i="2"/>
  <c r="Z4" i="2"/>
  <c r="Z12" i="2"/>
  <c r="Z15" i="2"/>
  <c r="Z5" i="2"/>
  <c r="Z16" i="2"/>
  <c r="Z11" i="2"/>
  <c r="Z7" i="2"/>
  <c r="Z13" i="2"/>
  <c r="Z8" i="2"/>
  <c r="Z9" i="2"/>
  <c r="Z2" i="2"/>
  <c r="Z10" i="2"/>
  <c r="Z23" i="2"/>
  <c r="Z29" i="2"/>
  <c r="Z24" i="2"/>
  <c r="Z26" i="2"/>
  <c r="Z28" i="2"/>
  <c r="Z21" i="2"/>
  <c r="Z22" i="2"/>
  <c r="Z27" i="2"/>
  <c r="Z25" i="2"/>
  <c r="V33" i="2"/>
  <c r="V43" i="2"/>
  <c r="V54" i="2"/>
  <c r="V46" i="2"/>
  <c r="V52" i="2"/>
  <c r="V44" i="2"/>
  <c r="V55" i="2"/>
  <c r="V35" i="2"/>
  <c r="V36" i="2"/>
  <c r="V40" i="2"/>
  <c r="V34" i="2"/>
  <c r="V56" i="2"/>
  <c r="V37" i="2"/>
  <c r="V32" i="2"/>
  <c r="V45" i="2"/>
  <c r="V47" i="2"/>
  <c r="V30" i="2"/>
  <c r="V49" i="2"/>
  <c r="V53" i="2"/>
  <c r="V31" i="2"/>
  <c r="V48" i="2"/>
  <c r="V38" i="2"/>
  <c r="V39" i="2"/>
  <c r="V51" i="2"/>
  <c r="V42" i="2"/>
  <c r="V50" i="2"/>
  <c r="V41" i="2"/>
  <c r="V37" i="4"/>
  <c r="V38" i="4"/>
  <c r="V36" i="4"/>
  <c r="V35" i="4"/>
  <c r="U33" i="4"/>
  <c r="U34" i="4"/>
  <c r="V43" i="4"/>
  <c r="V67" i="4"/>
  <c r="V102" i="4"/>
  <c r="V120" i="4"/>
  <c r="V96" i="4"/>
  <c r="V97" i="4"/>
  <c r="V131" i="4"/>
  <c r="V44" i="4"/>
  <c r="V68" i="4"/>
  <c r="V85" i="4"/>
  <c r="V103" i="4"/>
  <c r="V121" i="4"/>
  <c r="V130" i="4"/>
  <c r="V53" i="4"/>
  <c r="V69" i="4"/>
  <c r="V86" i="4"/>
  <c r="V104" i="4"/>
  <c r="V113" i="4"/>
  <c r="V54" i="4"/>
  <c r="V70" i="4"/>
  <c r="V87" i="4"/>
  <c r="V105" i="4"/>
  <c r="V122" i="4"/>
  <c r="V116" i="4"/>
  <c r="V45" i="4"/>
  <c r="V55" i="4"/>
  <c r="V71" i="4"/>
  <c r="V88" i="4"/>
  <c r="V106" i="4"/>
  <c r="V123" i="4"/>
  <c r="V46" i="4"/>
  <c r="V56" i="4"/>
  <c r="V72" i="4"/>
  <c r="V89" i="4"/>
  <c r="V107" i="4"/>
  <c r="V124" i="4"/>
  <c r="V40" i="4"/>
  <c r="V51" i="4"/>
  <c r="V57" i="4"/>
  <c r="V73" i="4"/>
  <c r="V90" i="4"/>
  <c r="V108" i="4"/>
  <c r="V125" i="4"/>
  <c r="V128" i="4"/>
  <c r="V115" i="4"/>
  <c r="V98" i="4"/>
  <c r="V58" i="4"/>
  <c r="V74" i="4"/>
  <c r="V91" i="4"/>
  <c r="V109" i="4"/>
  <c r="V49" i="4"/>
  <c r="V52" i="4"/>
  <c r="V81" i="4"/>
  <c r="V39" i="4"/>
  <c r="V59" i="4"/>
  <c r="V75" i="4"/>
  <c r="V92" i="4"/>
  <c r="V110" i="4"/>
  <c r="V126" i="4"/>
  <c r="V63" i="4"/>
  <c r="V76" i="4"/>
  <c r="V93" i="4"/>
  <c r="V47" i="4"/>
  <c r="V94" i="4"/>
  <c r="V111" i="4"/>
  <c r="V127" i="4"/>
  <c r="V48" i="4"/>
  <c r="V60" i="4"/>
  <c r="V77" i="4"/>
  <c r="V95" i="4"/>
  <c r="V112" i="4"/>
  <c r="V78" i="4"/>
  <c r="V41" i="4"/>
  <c r="V50" i="4"/>
  <c r="V61" i="4"/>
  <c r="V79" i="4"/>
  <c r="V114" i="4"/>
  <c r="V129" i="4"/>
  <c r="V80" i="4"/>
  <c r="V62" i="4"/>
  <c r="V64" i="4"/>
  <c r="V82" i="4"/>
  <c r="V99" i="4"/>
  <c r="V117" i="4"/>
  <c r="V132" i="4"/>
  <c r="V83" i="4"/>
  <c r="V84" i="4"/>
  <c r="V133" i="4"/>
  <c r="V42" i="4"/>
  <c r="V65" i="4"/>
  <c r="V100" i="4"/>
  <c r="V118" i="4"/>
  <c r="V101" i="4"/>
  <c r="V66" i="4"/>
  <c r="V119" i="4"/>
  <c r="Z6" i="4"/>
  <c r="Z22" i="4"/>
  <c r="Z24" i="4"/>
  <c r="Z29" i="4"/>
  <c r="Z14" i="4"/>
  <c r="Z3" i="4"/>
  <c r="Z12" i="4"/>
  <c r="Z16" i="4"/>
  <c r="Z7" i="4"/>
  <c r="Z13" i="4"/>
  <c r="Z18" i="4"/>
  <c r="Z20" i="4"/>
  <c r="Z30" i="4"/>
  <c r="Z15" i="4"/>
  <c r="Z31" i="4"/>
  <c r="Z4" i="4"/>
  <c r="Z8" i="4"/>
  <c r="Z25" i="4"/>
  <c r="Z32" i="4"/>
  <c r="Z9" i="4"/>
  <c r="Z28" i="4"/>
  <c r="Z10" i="4"/>
  <c r="Z26" i="4"/>
  <c r="Z2" i="4"/>
  <c r="Z11" i="4"/>
  <c r="Z23" i="4"/>
  <c r="Z27" i="4"/>
  <c r="Z21" i="4"/>
  <c r="Z17" i="4"/>
  <c r="Z5" i="4"/>
  <c r="Z19" i="4"/>
  <c r="U63" i="4"/>
  <c r="U81" i="4"/>
  <c r="U92" i="4"/>
  <c r="U77" i="4"/>
  <c r="U64" i="4"/>
  <c r="U82" i="4"/>
  <c r="U99" i="4"/>
  <c r="U117" i="4"/>
  <c r="U132" i="4"/>
  <c r="U42" i="4"/>
  <c r="U65" i="4"/>
  <c r="U83" i="4"/>
  <c r="U100" i="4"/>
  <c r="U118" i="4"/>
  <c r="U95" i="4"/>
  <c r="U66" i="4"/>
  <c r="U84" i="4"/>
  <c r="U101" i="4"/>
  <c r="U119" i="4"/>
  <c r="U133" i="4"/>
  <c r="U75" i="4"/>
  <c r="U43" i="4"/>
  <c r="U67" i="4"/>
  <c r="U102" i="4"/>
  <c r="U120" i="4"/>
  <c r="U44" i="4"/>
  <c r="U68" i="4"/>
  <c r="U85" i="4"/>
  <c r="U103" i="4"/>
  <c r="U121" i="4"/>
  <c r="U53" i="4"/>
  <c r="U69" i="4"/>
  <c r="U86" i="4"/>
  <c r="U104" i="4"/>
  <c r="U39" i="4"/>
  <c r="U59" i="4"/>
  <c r="U126" i="4"/>
  <c r="U48" i="4"/>
  <c r="U54" i="4"/>
  <c r="U70" i="4"/>
  <c r="U87" i="4"/>
  <c r="U105" i="4"/>
  <c r="U122" i="4"/>
  <c r="U110" i="4"/>
  <c r="U45" i="4"/>
  <c r="U55" i="4"/>
  <c r="U71" i="4"/>
  <c r="U88" i="4"/>
  <c r="U106" i="4"/>
  <c r="U123" i="4"/>
  <c r="U127" i="4"/>
  <c r="U78" i="4"/>
  <c r="U46" i="4"/>
  <c r="U56" i="4"/>
  <c r="U72" i="4"/>
  <c r="U89" i="4"/>
  <c r="U107" i="4"/>
  <c r="U124" i="4"/>
  <c r="U112" i="4"/>
  <c r="U40" i="4"/>
  <c r="U96" i="4"/>
  <c r="U57" i="4"/>
  <c r="U73" i="4"/>
  <c r="U90" i="4"/>
  <c r="U108" i="4"/>
  <c r="U125" i="4"/>
  <c r="U58" i="4"/>
  <c r="U74" i="4"/>
  <c r="U91" i="4"/>
  <c r="U109" i="4"/>
  <c r="U94" i="4"/>
  <c r="U76" i="4"/>
  <c r="U93" i="4"/>
  <c r="U128" i="4"/>
  <c r="U47" i="4"/>
  <c r="U111" i="4"/>
  <c r="U60" i="4"/>
  <c r="U49" i="4"/>
  <c r="U113" i="4"/>
  <c r="U41" i="4"/>
  <c r="U50" i="4"/>
  <c r="U61" i="4"/>
  <c r="U79" i="4"/>
  <c r="U114" i="4"/>
  <c r="U129" i="4"/>
  <c r="U51" i="4"/>
  <c r="U80" i="4"/>
  <c r="U97" i="4"/>
  <c r="U115" i="4"/>
  <c r="U130" i="4"/>
  <c r="U52" i="4"/>
  <c r="U116" i="4"/>
  <c r="U62" i="4"/>
  <c r="U98" i="4"/>
  <c r="U131" i="4"/>
  <c r="Z136" i="4"/>
  <c r="Z137" i="4"/>
  <c r="Z135" i="4"/>
  <c r="Z134" i="4"/>
  <c r="V137" i="4"/>
  <c r="V135" i="4"/>
  <c r="V134" i="4"/>
  <c r="V136" i="4"/>
  <c r="Z63" i="4"/>
  <c r="Z81" i="4"/>
  <c r="Z102" i="4"/>
  <c r="Z48" i="4"/>
  <c r="Z113" i="4"/>
  <c r="Z64" i="4"/>
  <c r="Z82" i="4"/>
  <c r="Z99" i="4"/>
  <c r="Z117" i="4"/>
  <c r="Z132" i="4"/>
  <c r="Z67" i="4"/>
  <c r="Z120" i="4"/>
  <c r="Z74" i="4"/>
  <c r="Z111" i="4"/>
  <c r="Z95" i="4"/>
  <c r="Z42" i="4"/>
  <c r="Z65" i="4"/>
  <c r="Z83" i="4"/>
  <c r="Z100" i="4"/>
  <c r="Z118" i="4"/>
  <c r="Z92" i="4"/>
  <c r="Z66" i="4"/>
  <c r="Z84" i="4"/>
  <c r="Z101" i="4"/>
  <c r="Z119" i="4"/>
  <c r="Z133" i="4"/>
  <c r="Z126" i="4"/>
  <c r="Z78" i="4"/>
  <c r="Z43" i="4"/>
  <c r="Z44" i="4"/>
  <c r="Z68" i="4"/>
  <c r="Z85" i="4"/>
  <c r="Z103" i="4"/>
  <c r="Z121" i="4"/>
  <c r="Z106" i="4"/>
  <c r="Z110" i="4"/>
  <c r="Z53" i="4"/>
  <c r="Z69" i="4"/>
  <c r="Z86" i="4"/>
  <c r="Z104" i="4"/>
  <c r="Z45" i="4"/>
  <c r="Z123" i="4"/>
  <c r="Z39" i="4"/>
  <c r="Z59" i="4"/>
  <c r="Z94" i="4"/>
  <c r="Z49" i="4"/>
  <c r="Z54" i="4"/>
  <c r="Z70" i="4"/>
  <c r="Z87" i="4"/>
  <c r="Z105" i="4"/>
  <c r="Z122" i="4"/>
  <c r="Z55" i="4"/>
  <c r="Z88" i="4"/>
  <c r="Z91" i="4"/>
  <c r="Z112" i="4"/>
  <c r="Z128" i="4"/>
  <c r="Z71" i="4"/>
  <c r="Z46" i="4"/>
  <c r="Z56" i="4"/>
  <c r="Z72" i="4"/>
  <c r="Z89" i="4"/>
  <c r="Z107" i="4"/>
  <c r="Z124" i="4"/>
  <c r="Z47" i="4"/>
  <c r="Z57" i="4"/>
  <c r="Z73" i="4"/>
  <c r="Z90" i="4"/>
  <c r="Z108" i="4"/>
  <c r="Z125" i="4"/>
  <c r="Z58" i="4"/>
  <c r="Z109" i="4"/>
  <c r="Z75" i="4"/>
  <c r="Z127" i="4"/>
  <c r="Z96" i="4"/>
  <c r="Z76" i="4"/>
  <c r="Z93" i="4"/>
  <c r="Z60" i="4"/>
  <c r="Z77" i="4"/>
  <c r="Z40" i="4"/>
  <c r="Z41" i="4"/>
  <c r="Z50" i="4"/>
  <c r="Z61" i="4"/>
  <c r="Z79" i="4"/>
  <c r="Z114" i="4"/>
  <c r="Z129" i="4"/>
  <c r="Z51" i="4"/>
  <c r="Z80" i="4"/>
  <c r="Z115" i="4"/>
  <c r="Z52" i="4"/>
  <c r="Z98" i="4"/>
  <c r="Z97" i="4"/>
  <c r="Z130" i="4"/>
  <c r="Z62" i="4"/>
  <c r="Z131" i="4"/>
  <c r="Z116" i="4"/>
  <c r="U6" i="4"/>
  <c r="U22" i="4"/>
  <c r="U24" i="4"/>
  <c r="U29" i="4"/>
  <c r="U12" i="4"/>
  <c r="U16" i="4"/>
  <c r="U7" i="4"/>
  <c r="U13" i="4"/>
  <c r="U18" i="4"/>
  <c r="U14" i="4"/>
  <c r="U20" i="4"/>
  <c r="U30" i="4"/>
  <c r="U15" i="4"/>
  <c r="U31" i="4"/>
  <c r="U28" i="4"/>
  <c r="U8" i="4"/>
  <c r="U25" i="4"/>
  <c r="U32" i="4"/>
  <c r="U9" i="4"/>
  <c r="U3" i="4"/>
  <c r="U4" i="4"/>
  <c r="U10" i="4"/>
  <c r="U26" i="4"/>
  <c r="U2" i="4"/>
  <c r="U11" i="4"/>
  <c r="U23" i="4"/>
  <c r="U27" i="4"/>
  <c r="U21" i="4"/>
  <c r="U19" i="4"/>
  <c r="U17" i="4"/>
  <c r="U5" i="4"/>
  <c r="V14" i="4"/>
  <c r="V20" i="4"/>
  <c r="V30" i="4"/>
  <c r="V15" i="4"/>
  <c r="V31" i="4"/>
  <c r="V19" i="4"/>
  <c r="V24" i="4"/>
  <c r="V8" i="4"/>
  <c r="V25" i="4"/>
  <c r="V32" i="4"/>
  <c r="V9" i="4"/>
  <c r="V29" i="4"/>
  <c r="V10" i="4"/>
  <c r="V6" i="4"/>
  <c r="V26" i="4"/>
  <c r="V2" i="4"/>
  <c r="V11" i="4"/>
  <c r="V23" i="4"/>
  <c r="V27" i="4"/>
  <c r="V17" i="4"/>
  <c r="V3" i="4"/>
  <c r="V16" i="4"/>
  <c r="V18" i="4"/>
  <c r="V4" i="4"/>
  <c r="V28" i="4"/>
  <c r="V5" i="4"/>
  <c r="V21" i="4"/>
  <c r="V22" i="4"/>
  <c r="V12" i="4"/>
  <c r="V7" i="4"/>
  <c r="V13" i="4"/>
  <c r="Z37" i="4"/>
  <c r="Z35" i="4"/>
  <c r="Z38" i="4"/>
  <c r="Z36" i="4"/>
  <c r="Z33" i="4"/>
  <c r="Z34" i="4"/>
  <c r="V34" i="4"/>
  <c r="V33" i="4"/>
  <c r="U37" i="4"/>
  <c r="U35" i="4"/>
  <c r="U36" i="4"/>
  <c r="U38" i="4"/>
  <c r="U136" i="4"/>
  <c r="U137" i="4"/>
  <c r="U135" i="4"/>
  <c r="U134" i="4"/>
  <c r="A9" i="12" l="1" a="1"/>
  <c r="A6" i="12" s="1"/>
  <c r="A9" i="11" a="1"/>
  <c r="A6" i="11" s="1"/>
  <c r="A9" i="9" a="1"/>
  <c r="A9" i="12" l="1"/>
  <c r="T9" i="12" s="1"/>
  <c r="T2" i="12" s="1"/>
  <c r="A9" i="11"/>
  <c r="T9" i="11" s="1"/>
  <c r="T2" i="11" s="1"/>
  <c r="A9" i="9"/>
  <c r="T9" i="9" s="1"/>
  <c r="A6" i="9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<sst xmlns="http://schemas.openxmlformats.org/spreadsheetml/2006/main" count="1047" uniqueCount="379">
  <si>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</si>
  <si>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</si>
  <si>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</si>
  <si>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</si>
  <si>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</si>
  <si>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</si>
  <si>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</si>
  <si>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</si>
  <si>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</si>
  <si>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</si>
  <si>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</si>
  <si>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</si>
  <si>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</si>
  <si>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</si>
  <si>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</si>
  <si>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</si>
  <si>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</si>
  <si>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</si>
  <si>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</si>
  <si>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</si>
  <si>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</si>
  <si>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</si>
  <si>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</si>
  <si>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</si>
  <si>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</si>
  <si>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</si>
  <si>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</si>
  <si>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</si>
  <si>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</si>
  <si>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</si>
  <si>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</si>
  <si>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</si>
  <si>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</si>
  <si>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</si>
  <si>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</si>
  <si>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</si>
  <si>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</si>
  <si>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</si>
  <si>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</si>
  <si>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</si>
  <si>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</si>
  <si>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</si>
  <si>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</si>
  <si>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</si>
  <si>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</si>
  <si>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</si>
  <si>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</si>
  <si>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</si>
  <si>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</si>
  <si>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</si>
  <si>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</si>
  <si>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</si>
  <si>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</si>
  <si>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</si>
  <si>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</si>
  <si>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</si>
  <si>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</si>
  <si>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</si>
  <si>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</si>
  <si>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</si>
  <si>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</si>
  <si>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</si>
  <si>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</si>
  <si>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</si>
  <si>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</si>
  <si>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</si>
  <si>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</si>
  <si>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</si>
  <si>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</si>
  <si>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</si>
  <si>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</si>
  <si>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</si>
  <si>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</si>
  <si>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</si>
  <si>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</si>
  <si>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</si>
  <si>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</si>
  <si>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</si>
  <si>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</si>
  <si>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</si>
  <si>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</si>
  <si>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</si>
  <si>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</si>
  <si>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</si>
  <si>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</si>
  <si>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</si>
  <si>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</si>
  <si>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</si>
  <si>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</si>
  <si>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</si>
  <si>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</si>
  <si>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</si>
  <si>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</si>
  <si>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</si>
  <si>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</si>
  <si>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</si>
  <si>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</si>
  <si>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</si>
  <si>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</si>
  <si>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</si>
  <si>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</si>
  <si>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</si>
  <si>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</si>
  <si>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</si>
  <si>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</si>
  <si>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Chemicals</t>
  </si>
  <si>
    <t>DOW</t>
  </si>
  <si>
    <t>LYB</t>
  </si>
  <si>
    <t>WLK</t>
  </si>
  <si>
    <t>CF</t>
  </si>
  <si>
    <t>CTVA</t>
  </si>
  <si>
    <t>MOS</t>
  </si>
  <si>
    <t>NTR</t>
  </si>
  <si>
    <t>APD</t>
  </si>
  <si>
    <t>DD</t>
  </si>
  <si>
    <t>DSFIY</t>
  </si>
  <si>
    <t>ECL</t>
  </si>
  <si>
    <t>IFF</t>
  </si>
  <si>
    <t>PPG</t>
  </si>
  <si>
    <t>RPM</t>
  </si>
  <si>
    <t>SHW</t>
  </si>
  <si>
    <t>Construction Materials</t>
  </si>
  <si>
    <t>CRH</t>
  </si>
  <si>
    <t>MLM</t>
  </si>
  <si>
    <t>VMC</t>
  </si>
  <si>
    <t>Containers &amp; Packaging</t>
  </si>
  <si>
    <t>BALL</t>
  </si>
  <si>
    <t>CCK</t>
  </si>
  <si>
    <t>AMCR</t>
  </si>
  <si>
    <t>AVY</t>
  </si>
  <si>
    <t>IP</t>
  </si>
  <si>
    <t>PKG</t>
  </si>
  <si>
    <t>SW</t>
  </si>
  <si>
    <t>Metals &amp; Mining</t>
  </si>
  <si>
    <t>BHP</t>
  </si>
  <si>
    <t>RIO</t>
  </si>
  <si>
    <t>TECK</t>
  </si>
  <si>
    <t>FCX</t>
  </si>
  <si>
    <t>SCCO</t>
  </si>
  <si>
    <t>AEM</t>
  </si>
  <si>
    <t>AGI</t>
  </si>
  <si>
    <t>AU</t>
  </si>
  <si>
    <t>FNV</t>
  </si>
  <si>
    <t>GFI</t>
  </si>
  <si>
    <t>HMY</t>
  </si>
  <si>
    <t>KGC</t>
  </si>
  <si>
    <t>NEM</t>
  </si>
  <si>
    <t>RGLD</t>
  </si>
  <si>
    <t>WPM</t>
  </si>
  <si>
    <t>CRS</t>
  </si>
  <si>
    <t>MT</t>
  </si>
  <si>
    <t>NUE</t>
  </si>
  <si>
    <t>PKX</t>
  </si>
  <si>
    <t>RS</t>
  </si>
  <si>
    <t>STLD</t>
  </si>
  <si>
    <t>VALE</t>
  </si>
  <si>
    <t>Paper &amp; Forest Products</t>
  </si>
  <si>
    <t>SUZ</t>
  </si>
  <si>
    <t>CBT</t>
  </si>
  <si>
    <t>HWKN</t>
  </si>
  <si>
    <t>OLN</t>
  </si>
  <si>
    <t>SSL</t>
  </si>
  <si>
    <t>FMC</t>
  </si>
  <si>
    <t>ICL</t>
  </si>
  <si>
    <t>SMG</t>
  </si>
  <si>
    <t>ALB</t>
  </si>
  <si>
    <t>ASH</t>
  </si>
  <si>
    <t>AVNT</t>
  </si>
  <si>
    <t>AXTA</t>
  </si>
  <si>
    <t>BCPC</t>
  </si>
  <si>
    <t>CE</t>
  </si>
  <si>
    <t>EMN</t>
  </si>
  <si>
    <t>ESI</t>
  </si>
  <si>
    <t>FUL</t>
  </si>
  <si>
    <t>IOSP</t>
  </si>
  <si>
    <t>NEU</t>
  </si>
  <si>
    <t>SQM</t>
  </si>
  <si>
    <t>SXT</t>
  </si>
  <si>
    <t>CX</t>
  </si>
  <si>
    <t>EXP</t>
  </si>
  <si>
    <t>JHX</t>
  </si>
  <si>
    <t>KNF</t>
  </si>
  <si>
    <t>USLM</t>
  </si>
  <si>
    <t>AMBP</t>
  </si>
  <si>
    <t>ATR</t>
  </si>
  <si>
    <t>GEF</t>
  </si>
  <si>
    <t>SLGN</t>
  </si>
  <si>
    <t>GPK</t>
  </si>
  <si>
    <t>SEE</t>
  </si>
  <si>
    <t>SON</t>
  </si>
  <si>
    <t>AA</t>
  </si>
  <si>
    <t>HBM</t>
  </si>
  <si>
    <t>MP</t>
  </si>
  <si>
    <t>BTG</t>
  </si>
  <si>
    <t>BVN</t>
  </si>
  <si>
    <t>CDE</t>
  </si>
  <si>
    <t>EGO</t>
  </si>
  <si>
    <t>EQX</t>
  </si>
  <si>
    <t>IAG</t>
  </si>
  <si>
    <t>NGD</t>
  </si>
  <si>
    <t>OR</t>
  </si>
  <si>
    <t>ORLA</t>
  </si>
  <si>
    <t>SAND</t>
  </si>
  <si>
    <t>SSRM</t>
  </si>
  <si>
    <t>TFPM</t>
  </si>
  <si>
    <t>SBSW</t>
  </si>
  <si>
    <t>AG</t>
  </si>
  <si>
    <t>HL</t>
  </si>
  <si>
    <t>PAAS</t>
  </si>
  <si>
    <t>CLF</t>
  </si>
  <si>
    <t>CMC</t>
  </si>
  <si>
    <t>GGB</t>
  </si>
  <si>
    <t>HCC</t>
  </si>
  <si>
    <t>SID</t>
  </si>
  <si>
    <t>SIM</t>
  </si>
  <si>
    <t>TX</t>
  </si>
  <si>
    <t>X</t>
  </si>
  <si>
    <t>LPX</t>
  </si>
  <si>
    <t>WFG</t>
  </si>
  <si>
    <t>SLVM</t>
  </si>
  <si>
    <t>ASIX</t>
  </si>
  <si>
    <t>BAK</t>
  </si>
  <si>
    <t>KOP</t>
  </si>
  <si>
    <t>KRO</t>
  </si>
  <si>
    <t>MATV</t>
  </si>
  <si>
    <t>OEC</t>
  </si>
  <si>
    <t>PCT</t>
  </si>
  <si>
    <t>TROX</t>
  </si>
  <si>
    <t>WLKP</t>
  </si>
  <si>
    <t>CC</t>
  </si>
  <si>
    <t>HUN</t>
  </si>
  <si>
    <t>LXU</t>
  </si>
  <si>
    <t>IPI</t>
  </si>
  <si>
    <t>UAN</t>
  </si>
  <si>
    <t>ASPI</t>
  </si>
  <si>
    <t>ASPN</t>
  </si>
  <si>
    <t>DNA</t>
  </si>
  <si>
    <t>ECVT</t>
  </si>
  <si>
    <t>FTK</t>
  </si>
  <si>
    <t>KWR</t>
  </si>
  <si>
    <t>MTX</t>
  </si>
  <si>
    <t>NGVT</t>
  </si>
  <si>
    <t>PRM</t>
  </si>
  <si>
    <t>RYAM</t>
  </si>
  <si>
    <t>SCL</t>
  </si>
  <si>
    <t>VHI</t>
  </si>
  <si>
    <t>CPAC</t>
  </si>
  <si>
    <t>LOMA</t>
  </si>
  <si>
    <t>MYE</t>
  </si>
  <si>
    <t>OI</t>
  </si>
  <si>
    <t>TRS</t>
  </si>
  <si>
    <t>PACK</t>
  </si>
  <si>
    <t>CENX</t>
  </si>
  <si>
    <t>CSTM</t>
  </si>
  <si>
    <t>KALU</t>
  </si>
  <si>
    <t>TG</t>
  </si>
  <si>
    <t>CMP</t>
  </si>
  <si>
    <t>CNL</t>
  </si>
  <si>
    <t>IE</t>
  </si>
  <si>
    <t>LAC</t>
  </si>
  <si>
    <t>LZM</t>
  </si>
  <si>
    <t>MTRN</t>
  </si>
  <si>
    <t>NAK</t>
  </si>
  <si>
    <t>NEXA</t>
  </si>
  <si>
    <t>NMG</t>
  </si>
  <si>
    <t>SGML</t>
  </si>
  <si>
    <t>SLI</t>
  </si>
  <si>
    <t>SLSR</t>
  </si>
  <si>
    <t>TMC</t>
  </si>
  <si>
    <t>UAMY</t>
  </si>
  <si>
    <t>USAR</t>
  </si>
  <si>
    <t>USAS</t>
  </si>
  <si>
    <t>VZLA</t>
  </si>
  <si>
    <t>ERO</t>
  </si>
  <si>
    <t>MTAL</t>
  </si>
  <si>
    <t>TGB</t>
  </si>
  <si>
    <t>AMRQF</t>
  </si>
  <si>
    <t>ARMN</t>
  </si>
  <si>
    <t>CGAU</t>
  </si>
  <si>
    <t>CMCL</t>
  </si>
  <si>
    <t>DC</t>
  </si>
  <si>
    <t>DRD</t>
  </si>
  <si>
    <t>GAU</t>
  </si>
  <si>
    <t>GROY</t>
  </si>
  <si>
    <t>IAUX</t>
  </si>
  <si>
    <t>ITRG</t>
  </si>
  <si>
    <t>MUX</t>
  </si>
  <si>
    <t>NG</t>
  </si>
  <si>
    <t>ODV</t>
  </si>
  <si>
    <t>ORZCF</t>
  </si>
  <si>
    <t>PPTA</t>
  </si>
  <si>
    <t>SA</t>
  </si>
  <si>
    <t>SKE</t>
  </si>
  <si>
    <t>IPX</t>
  </si>
  <si>
    <t>MTA</t>
  </si>
  <si>
    <t>EXK</t>
  </si>
  <si>
    <t>FSM</t>
  </si>
  <si>
    <t>MAG</t>
  </si>
  <si>
    <t>SVM</t>
  </si>
  <si>
    <t>AMR</t>
  </si>
  <si>
    <t>ASTL</t>
  </si>
  <si>
    <t>METC</t>
  </si>
  <si>
    <t>METCB</t>
  </si>
  <si>
    <t>MTUS</t>
  </si>
  <si>
    <t>RDUS</t>
  </si>
  <si>
    <t>RYI</t>
  </si>
  <si>
    <t>SXC</t>
  </si>
  <si>
    <t>WS</t>
  </si>
  <si>
    <t>ZEUS</t>
  </si>
  <si>
    <t>CLW</t>
  </si>
  <si>
    <t>MAGN</t>
  </si>
  <si>
    <t>None</t>
  </si>
  <si>
    <t>TCLAF</t>
  </si>
  <si>
    <t>LIFZF</t>
  </si>
  <si>
    <t>IFSPF</t>
  </si>
  <si>
    <t>CGIFF</t>
  </si>
  <si>
    <t>MNDJF</t>
  </si>
  <si>
    <t>ATUSF</t>
  </si>
  <si>
    <t>MAKOF</t>
  </si>
  <si>
    <t>MJDLF</t>
  </si>
  <si>
    <t>IPMLF</t>
  </si>
  <si>
    <t>THXPF</t>
  </si>
  <si>
    <t>ASGOF</t>
  </si>
  <si>
    <t>ELEMF</t>
  </si>
  <si>
    <t>OGNRF</t>
  </si>
  <si>
    <t>GLGDF</t>
  </si>
  <si>
    <t>RMLFF</t>
  </si>
  <si>
    <t>ERDCF</t>
  </si>
  <si>
    <t>ERLFF</t>
  </si>
  <si>
    <t>RIOFF</t>
  </si>
  <si>
    <t>FGOVF</t>
  </si>
  <si>
    <t>NNXPF</t>
  </si>
  <si>
    <t>EMX</t>
  </si>
  <si>
    <t>LMGDF</t>
  </si>
  <si>
    <t>MWSNF</t>
  </si>
  <si>
    <t>DSVSF</t>
  </si>
  <si>
    <t>ECRTF</t>
  </si>
  <si>
    <t>SLSN</t>
  </si>
  <si>
    <t>PROBF</t>
  </si>
  <si>
    <t>GUYGF</t>
  </si>
  <si>
    <t>RUPRF</t>
  </si>
  <si>
    <t>ALMTF</t>
  </si>
  <si>
    <t>FWEDF</t>
  </si>
  <si>
    <t>SNWGF</t>
  </si>
  <si>
    <t>FPLSF</t>
  </si>
  <si>
    <t>ABBRF</t>
  </si>
  <si>
    <t>NFGC</t>
  </si>
  <si>
    <t>MARIF</t>
  </si>
  <si>
    <t>FDMIF</t>
  </si>
  <si>
    <t>CXBMF</t>
  </si>
  <si>
    <t>RSRBF</t>
  </si>
  <si>
    <t>AAUCD</t>
  </si>
  <si>
    <t>MAUTF</t>
  </si>
  <si>
    <t>AYASF</t>
  </si>
  <si>
    <t>FMCXF</t>
  </si>
  <si>
    <t>NOPMF</t>
  </si>
  <si>
    <t>CFPZF</t>
  </si>
  <si>
    <t>EVMNY</t>
  </si>
  <si>
    <t>LUGDF</t>
  </si>
  <si>
    <t>CCDBF</t>
  </si>
  <si>
    <t>B</t>
  </si>
  <si>
    <t>NPPHY</t>
  </si>
  <si>
    <t>FQVLF</t>
  </si>
  <si>
    <t>IVPAF</t>
  </si>
  <si>
    <t>STLJF</t>
  </si>
  <si>
    <t>LNXSY</t>
  </si>
  <si>
    <t>DPMLF</t>
  </si>
  <si>
    <t>SASOF</t>
  </si>
  <si>
    <t>JINFF</t>
  </si>
  <si>
    <t>LUNMF</t>
  </si>
  <si>
    <t>WDOFF</t>
  </si>
  <si>
    <t>OCANF</t>
  </si>
  <si>
    <t>KNTNF</t>
  </si>
  <si>
    <t>CSCCF</t>
  </si>
  <si>
    <t>GMINF</t>
  </si>
  <si>
    <t>NGXXF</t>
  </si>
  <si>
    <t>GNENY</t>
  </si>
  <si>
    <t>ARGTF</t>
  </si>
  <si>
    <t>TORXF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</si>
</sst>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9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2.4700000000000002</v>
        <stp/>
        <stp>LAST</stp>
        <stp>DSVSF</stp>
        <tr r="D82" s="4"/>
      </tp>
      <tp>
        <v>15.71</v>
        <stp/>
        <stp>LAST</stp>
        <stp>FQVLF</stp>
        <tr r="D51" s="2"/>
      </tp>
      <tp>
        <v>15.49</v>
        <stp/>
        <stp>LAST</stp>
        <stp>VHI</stp>
        <tr r="D30" s="4"/>
      </tp>
      <tp>
        <v>266</v>
        <stp/>
        <stp>LAST</stp>
        <stp>VMC</stp>
        <tr r="D18" s="2"/>
      </tp>
      <tp>
        <v>5.6</v>
        <stp/>
        <stp>LAST</stp>
        <stp>SNWGF</stp>
        <tr r="D95" s="4"/>
      </tp>
      <tp>
        <v>89.13</v>
        <stp/>
        <stp>LAST</stp>
        <stp>WPM</stp>
        <tr r="D42" s="2"/>
      </tp>
      <tp>
        <v>75.95</v>
        <stp/>
        <stp>LAST</stp>
        <stp>WLK</stp>
        <tr r="D22" s="3"/>
      </tp>
      <tp>
        <v>75.849999999999994</v>
        <stp/>
        <stp>LAST</stp>
        <stp>WFG</stp>
        <tr r="D77" s="3"/>
      </tp>
      <tp>
        <v>7.75</v>
        <stp/>
        <stp>LAST</stp>
        <stp>METCB</stp>
        <tr r="D48" s="4"/>
      </tp>
      <tp>
        <v>11.473000000000001</v>
        <stp/>
        <stp>LAST</stp>
        <stp>KNTNF</stp>
        <tr r="D55" s="3"/>
      </tp>
      <tp>
        <v>26.82</v>
        <stp/>
        <stp>LAST</stp>
        <stp>TRS</stp>
        <tr r="D37" s="4"/>
      </tp>
      <tp>
        <v>4.37</v>
        <stp/>
        <stp>LAST</stp>
        <stp>TMC</stp>
        <tr r="D91" s="4"/>
      </tp>
      <tp>
        <v>3.1</v>
        <stp/>
        <stp>LAST</stp>
        <stp>TGB</stp>
        <tr r="D114" s="4"/>
      </tp>
      <tp>
        <v>19.986000000000001</v>
        <stp/>
        <stp>LAST</stp>
        <stp>ATUSF</stp>
        <tr r="D54" s="4"/>
      </tp>
      <tp>
        <v>3.33</v>
        <stp/>
        <stp>LAST</stp>
        <stp>MAUTF</stp>
        <tr r="D116" s="4"/>
      </tp>
      <tp>
        <v>14.91</v>
        <stp/>
        <stp>LAST</stp>
        <stp>AAUCD</stp>
        <tr r="D113" s="4"/>
      </tp>
      <tp>
        <v>82.36</v>
        <stp/>
        <stp>LAST</stp>
        <stp>UAN</stp>
        <tr r="D2" s="4"/>
      </tp>
      <tp>
        <v>1.21</v>
        <stp/>
        <stp>LAST</stp>
        <stp>AMRQF</stp>
        <tr r="D101" s="4"/>
      </tp>
      <tp>
        <v>1.75</v>
        <stp/>
        <stp>LAST</stp>
        <stp>ECRTF</stp>
        <tr r="D83" s="4"/>
      </tp>
      <tp>
        <v>32.924999999999997</v>
        <stp/>
        <stp>LAST</stp>
        <stp>TORXF</stp>
        <tr r="D72" s="3"/>
      </tp>
      <tp>
        <v>2.5099999999999998</v>
        <stp/>
        <stp>LAST</stp>
        <stp>RSRBF</stp>
        <tr r="D111" s="4"/>
      </tp>
      <tp>
        <v>4.0999999999999996</v>
        <stp/>
        <stp>LAST</stp>
        <stp>MARIF</stp>
        <tr r="D100" s="4"/>
      </tp>
      <tp>
        <v>22</v>
        <stp/>
        <stp>LAST</stp>
        <stp>RYI</stp>
        <tr r="D41" s="4"/>
      </tp>
      <tp>
        <v>115.71</v>
        <stp/>
        <stp>LAST</stp>
        <stp>RPM</stp>
        <tr r="D6" s="2"/>
      </tp>
      <tp>
        <v>59.31</v>
        <stp/>
        <stp>LAST</stp>
        <stp>RIO</stp>
        <tr r="D37" s="2"/>
      </tp>
      <tp>
        <v>9.65</v>
        <stp/>
        <stp>LAST</stp>
        <stp>IFSPF</stp>
        <tr r="D135" s="4"/>
      </tp>
      <tp>
        <v>4.45</v>
        <stp/>
        <stp>LAST</stp>
        <stp>MWSNF</stp>
        <tr r="D81" s="4"/>
      </tp>
      <tp>
        <v>4.58</v>
        <stp/>
        <stp>LAST</stp>
        <stp>SASOF</stp>
        <tr r="D18" s="3"/>
      </tp>
      <tp>
        <v>96.71</v>
        <stp/>
        <stp>LAST</stp>
        <stp>SXT</stp>
        <tr r="D12" s="3"/>
      </tp>
      <tp>
        <v>8.35</v>
        <stp/>
        <stp>LAST</stp>
        <stp>SXC</stp>
        <tr r="D46" s="4"/>
      </tp>
      <tp>
        <v>4.76</v>
        <stp/>
        <stp>LAST</stp>
        <stp>SSL</stp>
        <tr r="D19" s="3"/>
      </tp>
      <tp>
        <v>33.54</v>
        <stp/>
        <stp>LAST</stp>
        <stp>SQM</stp>
        <tr r="D16" s="3"/>
      </tp>
      <tp>
        <v>4.38</v>
        <stp/>
        <stp>LAST</stp>
        <stp>SVM</stp>
        <tr r="D59" s="4"/>
      </tp>
      <tp>
        <v>9.6199999999999992</v>
        <stp/>
        <stp>LAST</stp>
        <stp>SUZ</stp>
        <tr r="D57" s="2"/>
      </tp>
      <tp>
        <v>14.37</v>
        <stp/>
        <stp>LAST</stp>
        <stp>SKE</stp>
        <tr r="D128" s="4"/>
      </tp>
      <tp>
        <v>357.95</v>
        <stp/>
        <stp>LAST</stp>
        <stp>SHW</stp>
        <tr r="D3" s="2"/>
      </tp>
      <tp>
        <v>1.48</v>
        <stp/>
        <stp>LAST</stp>
        <stp>SID</stp>
        <tr r="D56" s="4"/>
      </tp>
      <tp>
        <v>27.14</v>
        <stp/>
        <stp>LAST</stp>
        <stp>SIM</stp>
        <tr r="D44" s="3"/>
      </tp>
      <tp>
        <v>45.5</v>
        <stp/>
        <stp>LAST</stp>
        <stp>SON</stp>
        <tr r="D33" s="3"/>
      </tp>
      <tp>
        <v>1.85</v>
        <stp/>
        <stp>LAST</stp>
        <stp>SLI</stp>
        <tr r="D102" s="4"/>
      </tp>
      <tp>
        <v>65.37</v>
        <stp/>
        <stp>LAST</stp>
        <stp>SMG</stp>
        <tr r="D3" s="3"/>
      </tp>
      <tp>
        <v>55.92</v>
        <stp/>
        <stp>LAST</stp>
        <stp>SCL</stp>
        <tr r="D17" s="4"/>
      </tp>
      <tp>
        <v>32.89</v>
        <stp/>
        <stp>LAST</stp>
        <stp>SEE</stp>
        <tr r="D32" s="3"/>
      </tp>
      <tp>
        <v>4.22</v>
        <stp/>
        <stp>LAST</stp>
        <stp>RUPRF</stp>
        <tr r="D89" s="4"/>
      </tp>
      <tp>
        <v>10.16</v>
        <stp/>
        <stp>LAST</stp>
        <stp>CFPZF</stp>
        <tr r="D136" s="4"/>
      </tp>
      <tp>
        <v>8.23</v>
        <stp/>
        <stp>LAST</stp>
        <stp>IVPAF</stp>
        <tr r="D53" s="2"/>
      </tp>
      <tp>
        <v>3.9750000000000001</v>
        <stp/>
        <stp>LAST</stp>
        <stp>NPPHY</stp>
        <tr r="D14" s="2"/>
      </tp>
      <tp>
        <v>8.3840000000000003</v>
        <stp/>
        <stp>LAST</stp>
        <stp>NOPMF</stp>
        <tr r="D26" s="4"/>
      </tp>
      <tp>
        <v>13.01</v>
        <stp/>
        <stp>LAST</stp>
        <stp>PRM</stp>
        <tr r="D10" s="4"/>
      </tp>
      <tp>
        <v>113.46</v>
        <stp/>
        <stp>LAST</stp>
        <stp>PPG</stp>
        <tr r="D8" s="2"/>
      </tp>
      <tp>
        <v>48.24</v>
        <stp/>
        <stp>LAST</stp>
        <stp>PKX</stp>
        <tr r="D55" s="2"/>
      </tp>
      <tp>
        <v>196.59</v>
        <stp/>
        <stp>LAST</stp>
        <stp>PKG</stp>
        <tr r="D23" s="2"/>
      </tp>
      <tp>
        <v>10.82</v>
        <stp/>
        <stp>LAST</stp>
        <stp>PCT</stp>
        <tr r="D28" s="4"/>
      </tp>
      <tp>
        <v>0.96289999999999998</v>
        <stp/>
        <stp>LAST</stp>
        <stp>ORZCF</stp>
        <tr r="D65" s="4"/>
      </tp>
      <tp>
        <v>6</v>
        <stp/>
        <stp>LAST</stp>
        <stp>LNXSY</stp>
        <tr r="D10" s="3"/>
      </tp>
      <tp>
        <v>0.53600000000000003</v>
        <stp/>
        <stp>LAST</stp>
        <stp>THXPF</stp>
        <tr r="D61" s="4"/>
      </tp>
      <tp>
        <v>1.68</v>
        <stp/>
        <stp>LAST</stp>
        <stp>NNXPF</stp>
        <tr r="D18" s="4"/>
      </tp>
      <tp>
        <v>11.725</v>
        <stp/>
        <stp>LAST</stp>
        <stp>NGXXF</stp>
        <tr r="D65" s="3"/>
      </tp>
      <tp>
        <v>2.3199999999999998</v>
        <stp/>
        <stp>LAST</stp>
        <stp>GUYGF</stp>
        <tr r="D86" s="4"/>
      </tp>
      <tp>
        <v>21.3995</v>
        <stp/>
        <stp>LAST</stp>
        <stp>LIFZF</stp>
        <tr r="D43" s="4"/>
      </tp>
      <tp>
        <v>11.18</v>
        <stp/>
        <stp>LAST</stp>
        <stp>DSFIY</stp>
        <tr r="D7" s="2"/>
      </tp>
      <tp>
        <v>6.97</v>
        <stp/>
        <stp>LAST</stp>
        <stp>FSM</stp>
        <tr r="D50" s="4"/>
      </tp>
      <tp>
        <v>15.61</v>
        <stp/>
        <stp>LAST</stp>
        <stp>FTK</stp>
        <tr r="D16" s="4"/>
      </tp>
      <tp>
        <v>57.13</v>
        <stp/>
        <stp>LAST</stp>
        <stp>FUL</stp>
        <tr r="D15" s="3"/>
      </tp>
      <tp>
        <v>167.15</v>
        <stp/>
        <stp>LAST</stp>
        <stp>FNV</stp>
        <tr r="D46" s="2"/>
      </tp>
      <tp>
        <v>44.06</v>
        <stp/>
        <stp>LAST</stp>
        <stp>FMC</stp>
        <tr r="D13" s="3"/>
      </tp>
      <tp>
        <v>42.34</v>
        <stp/>
        <stp>LAST</stp>
        <stp>FCX</stp>
        <tr r="D44" s="2"/>
      </tp>
      <tp>
        <v>19.350000000000001</v>
        <stp/>
        <stp>LAST</stp>
        <stp>ARGTF</stp>
        <tr r="D69" s="3"/>
      </tp>
      <tp>
        <v>1.7078</v>
        <stp/>
        <stp>LAST</stp>
        <stp>GLGDF</stp>
        <tr r="D68" s="4"/>
      </tp>
      <tp>
        <v>50.02</v>
        <stp/>
        <stp>LAST</stp>
        <stp>LUGDF</stp>
        <tr r="D39" s="2"/>
      </tp>
      <tp>
        <v>0.90649999999999997</v>
        <stp/>
        <stp>LAST</stp>
        <stp>LMGDF</stp>
        <tr r="D79" s="4"/>
      </tp>
      <tp>
        <v>1.01</v>
        <stp/>
        <stp>LAST</stp>
        <stp>ASGOF</stp>
        <tr r="D63" s="4"/>
      </tp>
      <tp>
        <v>22.24</v>
        <stp/>
        <stp>LAST</stp>
        <stp>GPK</stp>
        <tr r="D36" s="3"/>
      </tp>
      <tp>
        <v>1.45</v>
        <stp/>
        <stp>LAST</stp>
        <stp>GAU</stp>
        <tr r="D80" s="4"/>
      </tp>
      <tp>
        <v>24.66</v>
        <stp/>
        <stp>LAST</stp>
        <stp>GFI</stp>
        <tr r="D47" s="2"/>
      </tp>
      <tp>
        <v>3.19</v>
        <stp/>
        <stp>LAST</stp>
        <stp>GGB</stp>
        <tr r="D52" s="3"/>
      </tp>
      <tp>
        <v>65.28</v>
        <stp/>
        <stp>LAST</stp>
        <stp>GEF</stp>
        <tr r="D30" s="3"/>
      </tp>
      <tp>
        <v>56.89</v>
        <stp/>
        <stp>LAST</stp>
        <stp>CCDBF</stp>
        <tr r="D25" s="2"/>
      </tp>
      <tp>
        <v>0.73599999999999999</v>
        <stp/>
        <stp>LAST</stp>
        <stp>ERDCF</stp>
        <tr r="D70" s="4"/>
      </tp>
      <tp>
        <v>3.86</v>
        <stp/>
        <stp>LAST</stp>
        <stp>MNDJF</stp>
        <tr r="D52" s="4"/>
      </tp>
      <tp>
        <v>6.21</v>
        <stp/>
        <stp>LAST</stp>
        <stp>MJDLF</stp>
        <tr r="D58" s="4"/>
      </tp>
      <tp>
        <v>14.24</v>
        <stp/>
        <stp>LAST</stp>
        <stp>DRD</stp>
        <tr r="D108" s="4"/>
      </tp>
      <tp>
        <v>7.84</v>
        <stp/>
        <stp>LAST</stp>
        <stp>DNA</stp>
        <tr r="D32" s="4"/>
      </tp>
      <tp>
        <v>29.39</v>
        <stp/>
        <stp>LAST</stp>
        <stp>DOW</stp>
        <tr r="D15" s="2"/>
      </tp>
      <tp>
        <v>1.59</v>
        <stp/>
        <stp>LAST</stp>
        <stp>FWEDF</stp>
        <tr r="D94" s="4"/>
      </tp>
      <tp>
        <v>2.5299999999999998</v>
        <stp/>
        <stp>LAST</stp>
        <stp>GNENY</stp>
        <tr r="D24" s="3"/>
      </tp>
      <tp>
        <v>1.046</v>
        <stp/>
        <stp>LAST</stp>
        <stp>ELEMF</stp>
        <tr r="D66" s="4"/>
      </tp>
      <tp>
        <v>201.89</v>
        <stp/>
        <stp>LAST</stp>
        <stp>EXP</stp>
        <tr r="D26" s="3"/>
      </tp>
      <tp>
        <v>4.99</v>
        <stp/>
        <stp>LAST</stp>
        <stp>EXK</stp>
        <tr r="D122" s="4"/>
      </tp>
      <tp>
        <v>15.84</v>
        <stp/>
        <stp>LAST</stp>
        <stp>ERO</stp>
        <tr r="D126" s="4"/>
      </tp>
      <tp>
        <v>21.96</v>
        <stp/>
        <stp>LAST</stp>
        <stp>ESI</stp>
        <tr r="D17" s="3"/>
      </tp>
      <tp>
        <v>6.93</v>
        <stp/>
        <stp>LAST</stp>
        <stp>EQX</stp>
        <tr r="D60" s="3"/>
      </tp>
      <tp>
        <v>2.42</v>
        <stp/>
        <stp>LAST</stp>
        <stp>EMX</stp>
        <tr r="D77" s="4"/>
      </tp>
      <tp>
        <v>79.95</v>
        <stp/>
        <stp>LAST</stp>
        <stp>EMN</stp>
        <tr r="D5" s="3"/>
      </tp>
      <tp>
        <v>266.35000000000002</v>
        <stp/>
        <stp>LAST</stp>
        <stp>ECL</stp>
        <tr r="D4" s="2"/>
      </tp>
      <tp>
        <v>21.26</v>
        <stp/>
        <stp>LAST</stp>
        <stp>EGO</stp>
        <tr r="D58" s="3"/>
      </tp>
      <tp>
        <v>3.1955</v>
        <stp/>
        <stp>LAST</stp>
        <stp>ABBRF</stp>
        <tr r="D97" s="4"/>
      </tp>
      <tp>
        <v>2.41</v>
        <stp/>
        <stp>LAST</stp>
        <stp>CXBMF</stp>
        <tr r="D109" s="4"/>
      </tp>
      <tp>
        <v>16.940000000000001</v>
        <stp/>
        <stp>LAST</stp>
        <stp>BVN</stp>
        <tr r="D49" s="3"/>
      </tp>
      <tp>
        <v>3.7</v>
        <stp/>
        <stp>LAST</stp>
        <stp>BTG</stp>
        <tr r="D67" s="3"/>
      </tp>
      <tp>
        <v>50.18</v>
        <stp/>
        <stp>LAST</stp>
        <stp>BHP</stp>
        <tr r="D41" s="2"/>
      </tp>
      <tp>
        <v>3.62</v>
        <stp/>
        <stp>LAST</stp>
        <stp>BAK</stp>
        <tr r="D27" s="4"/>
      </tp>
      <tp>
        <v>2.4700000000000002</v>
        <stp/>
        <stp>LAST</stp>
        <stp>FMCXF</stp>
        <tr r="D121" s="4"/>
      </tp>
      <tp>
        <v>5.8</v>
        <stp/>
        <stp>LAST</stp>
        <stp>CSCCF</stp>
        <tr r="D61" s="3"/>
      </tp>
      <tp>
        <v>253.08</v>
        <stp/>
        <stp>LAST</stp>
        <stp>CRS</stp>
        <tr r="D34" s="2"/>
      </tp>
      <tp>
        <v>93.18</v>
        <stp/>
        <stp>LAST</stp>
        <stp>CRH</stp>
        <tr r="D19" s="2"/>
      </tp>
      <tp>
        <v>10.86</v>
        <stp/>
        <stp>LAST</stp>
        <stp>CNL</stp>
        <tr r="D110" s="4"/>
      </tp>
      <tp>
        <v>29.12</v>
        <stp/>
        <stp>LAST</stp>
        <stp>CLW</stp>
        <tr r="D137" s="4"/>
      </tp>
      <tp>
        <v>7.78</v>
        <stp/>
        <stp>LAST</stp>
        <stp>CLF</stp>
        <tr r="D71" s="3"/>
      </tp>
      <tp>
        <v>20.29</v>
        <stp/>
        <stp>LAST</stp>
        <stp>CMP</stp>
        <tr r="D42" s="4"/>
      </tp>
      <tp>
        <v>50.65</v>
        <stp/>
        <stp>LAST</stp>
        <stp>CMC</stp>
        <tr r="D37" s="3"/>
      </tp>
      <tp>
        <v>76.62</v>
        <stp/>
        <stp>LAST</stp>
        <stp>CBT</stp>
        <tr r="D4" s="3"/>
      </tp>
      <tp>
        <v>100.65</v>
        <stp/>
        <stp>LAST</stp>
        <stp>CCK</stp>
        <tr r="D21" s="2"/>
      </tp>
      <tp>
        <v>9.32</v>
        <stp/>
        <stp>LAST</stp>
        <stp>CDE</stp>
        <tr r="D57" s="3"/>
      </tp>
      <tp>
        <v>10.68</v>
        <stp/>
        <stp>LAST</stp>
        <stp>AYASF</stp>
        <tr r="D119" s="4"/>
      </tp>
      <tp>
        <v>4.83</v>
        <stp/>
        <stp>LAST</stp>
        <stp>OCANF</stp>
        <tr r="D53" s="3"/>
      </tp>
      <tp>
        <v>51.82</v>
        <stp/>
        <stp>LAST</stp>
        <stp>ASH</stp>
        <tr r="D21" s="3"/>
      </tp>
      <tp>
        <v>279.92</v>
        <stp/>
        <stp>LAST</stp>
        <stp>APD</stp>
        <tr r="D16" s="2"/>
      </tp>
      <tp>
        <v>179.64</v>
        <stp/>
        <stp>LAST</stp>
        <stp>AVY</stp>
        <tr r="D22" s="2"/>
      </tp>
      <tp>
        <v>151.6</v>
        <stp/>
        <stp>LAST</stp>
        <stp>ATR</stp>
        <tr r="D24" s="2"/>
      </tp>
      <tp>
        <v>62.3</v>
        <stp/>
        <stp>LAST</stp>
        <stp>ALB</stp>
        <tr r="D25" s="3"/>
      </tp>
      <tp>
        <v>112.16</v>
        <stp/>
        <stp>LAST</stp>
        <stp>AMR</stp>
        <tr r="D39" s="4"/>
      </tp>
      <tp>
        <v>27.21</v>
        <stp/>
        <stp>LAST</stp>
        <stp>AGI</stp>
        <tr r="D49" s="2"/>
      </tp>
      <tp>
        <v>118.5</v>
        <stp/>
        <stp>LAST</stp>
        <stp>AEM</stp>
        <tr r="D33" s="2"/>
      </tp>
      <tp>
        <v>1.4</v>
        <stp/>
        <stp>LAST</stp>
        <stp>OGNRF</stp>
        <tr r="D67" s="4"/>
      </tp>
      <tp>
        <v>8.6999999999999993</v>
        <stp/>
        <stp>LAST</stp>
        <stp>JINFF</stp>
        <tr r="D42" s="3"/>
      </tp>
      <tp>
        <v>10.49</v>
        <stp/>
        <stp>LAST</stp>
        <stp>LUNMF</stp>
        <tr r="D43" s="3"/>
      </tp>
      <tp>
        <v>60.46</v>
        <stp/>
        <stp>LAST</stp>
        <stp>NTR</stp>
        <tr r="D12" s="2"/>
      </tp>
      <tp>
        <v>122.53</v>
        <stp/>
        <stp>LAST</stp>
        <stp>NUE</stp>
        <tr r="D40" s="2"/>
      </tp>
      <tp>
        <v>1.73</v>
        <stp/>
        <stp>LAST</stp>
        <stp>NMG</stp>
        <tr r="D112" s="4"/>
      </tp>
      <tp>
        <v>1.28</v>
        <stp/>
        <stp>LAST</stp>
        <stp>NAK</stp>
        <tr r="D75" s="4"/>
      </tp>
      <tp>
        <v>4.8600000000000003</v>
        <stp/>
        <stp>LAST</stp>
        <stp>NGD</stp>
        <tr r="D54" s="3"/>
      </tp>
      <tp>
        <v>648.5</v>
        <stp/>
        <stp>LAST</stp>
        <stp>NEU</stp>
        <tr r="D2" s="3"/>
      </tp>
      <tp>
        <v>53.28</v>
        <stp/>
        <stp>LAST</stp>
        <stp>NEM</stp>
        <tr r="D36" s="2"/>
      </tp>
      <tp>
        <v>0.86275199999999996</v>
        <stp/>
        <stp>LAST</stp>
        <stp>FGOVF</stp>
        <tr r="D76" s="4"/>
      </tp>
      <tp>
        <v>1.877</v>
        <stp/>
        <stp>LAST</stp>
        <stp>PROBF</stp>
        <tr r="D85" s="4"/>
      </tp>
      <tp>
        <v>0.88949999999999996</v>
        <stp/>
        <stp>LAST</stp>
        <stp>RIOFF</stp>
        <tr r="D74" s="4"/>
      </tp>
      <tp>
        <v>14.3</v>
        <stp/>
        <stp>LAST</stp>
        <stp>WDOFF</stp>
        <tr r="D47" s="3"/>
      </tp>
      <tp>
        <v>20.97</v>
        <stp/>
        <stp>LAST</stp>
        <stp>OLN</stp>
        <tr r="D20" s="3"/>
      </tp>
      <tp>
        <v>2.2200000000000002</v>
        <stp/>
        <stp>LAST</stp>
        <stp>ODV</stp>
        <tr r="D123" s="4"/>
      </tp>
      <tp>
        <v>11.61</v>
        <stp/>
        <stp>LAST</stp>
        <stp>OEC</stp>
        <tr r="D29" s="4"/>
      </tp>
      <tp>
        <v>6.67</v>
        <stp/>
        <stp>LAST</stp>
        <stp>FPLSF</stp>
        <tr r="D21" s="4"/>
      </tp>
      <tp>
        <v>15.49</v>
        <stp/>
        <stp>LAST</stp>
        <stp>TCLAF</stp>
        <tr r="D35" s="4"/>
      </tp>
      <tp>
        <v>0.69479999999999997</v>
        <stp/>
        <stp>LAST</stp>
        <stp>RMLFF</stp>
        <tr r="D69" s="4"/>
      </tp>
      <tp>
        <v>1.4710000000000001</v>
        <stp/>
        <stp>LAST</stp>
        <stp>ERLFF</stp>
        <tr r="D73" s="4"/>
      </tp>
      <tp>
        <v>56.349499999999999</v>
        <stp/>
        <stp>LAST</stp>
        <stp>STLJF</stp>
        <tr r="D76" s="3"/>
      </tp>
      <tp>
        <v>4.54</v>
        <stp/>
        <stp>LAST</stp>
        <stp>LZM</stp>
        <tr r="D125" s="4"/>
      </tp>
      <tp>
        <v>7.8</v>
        <stp/>
        <stp>LAST</stp>
        <stp>LXU</stp>
        <tr r="D23" s="4"/>
      </tp>
      <tp>
        <v>58.48</v>
        <stp/>
        <stp>LAST</stp>
        <stp>LYB</stp>
        <tr r="D5" s="2"/>
      </tp>
      <tp>
        <v>92.47</v>
        <stp/>
        <stp>LAST</stp>
        <stp>LPX</stp>
        <tr r="D75" s="3"/>
      </tp>
      <tp>
        <v>2.77</v>
        <stp/>
        <stp>LAST</stp>
        <stp>LAC</stp>
        <tr r="D129" s="4"/>
      </tp>
      <tp>
        <v>2.3704999999999998</v>
        <stp/>
        <stp>LAST</stp>
        <stp>ALMTF</stp>
        <tr r="D92" s="4"/>
      </tp>
      <tp>
        <v>3.1</v>
        <stp/>
        <stp>LAST</stp>
        <stp>FDMIF</stp>
        <tr r="D107" s="4"/>
      </tp>
      <tp>
        <v>60.343000000000004</v>
        <stp/>
        <stp>LAST</stp>
        <stp>EVMNY</stp>
        <tr r="D30" s="2"/>
      </tp>
      <tp>
        <v>15</v>
        <stp/>
        <stp>LAST</stp>
        <stp>DPMLF</stp>
        <tr r="D39" s="3"/>
      </tp>
      <tp>
        <v>3.8935</v>
        <stp/>
        <stp>LAST</stp>
        <stp>IPMLF</stp>
        <tr r="D60" s="4"/>
      </tp>
      <tp>
        <v>14.23</v>
        <stp/>
        <stp>LAST</stp>
        <stp>MYE</stp>
        <tr r="D36" s="4"/>
      </tp>
      <tp>
        <v>59.25</v>
        <stp/>
        <stp>LAST</stp>
        <stp>MTX</stp>
        <tr r="D5" s="4"/>
      </tp>
      <tp>
        <v>3.79</v>
        <stp/>
        <stp>LAST</stp>
        <stp>MTA</stp>
        <tr r="D72" s="4"/>
      </tp>
      <tp>
        <v>9.52</v>
        <stp/>
        <stp>LAST</stp>
        <stp>MUX</stp>
        <tr r="D118" s="4"/>
      </tp>
      <tp>
        <v>34.590000000000003</v>
        <stp/>
        <stp>LAST</stp>
        <stp>MOS</stp>
        <tr r="D13" s="2"/>
      </tp>
      <tp>
        <v>554.48</v>
        <stp/>
        <stp>LAST</stp>
        <stp>MLM</stp>
        <tr r="D17" s="2"/>
      </tp>
      <tp>
        <v>21.54</v>
        <stp/>
        <stp>LAST</stp>
        <stp>MAG</stp>
        <tr r="D105" s="4"/>
      </tp>
      <tp>
        <v>26.94</v>
        <stp/>
        <stp>LAST</stp>
        <stp>JHX</stp>
        <tr r="D20" s="2"/>
      </tp>
      <tp>
        <v>3.7909999999999999</v>
        <stp/>
        <stp>LAST</stp>
        <stp>MAKOF</stp>
        <tr r="D57" s="4"/>
      </tp>
      <tp>
        <v>6.59</v>
        <stp/>
        <stp>LAST</stp>
        <stp>KRO</stp>
        <tr r="D22" s="4"/>
      </tp>
      <tp>
        <v>120.18</v>
        <stp/>
        <stp>LAST</stp>
        <stp>KWR</stp>
        <tr r="D4" s="4"/>
      </tp>
      <tp>
        <v>92.75</v>
        <stp/>
        <stp>LAST</stp>
        <stp>KNF</stp>
        <tr r="D28" s="3"/>
      </tp>
      <tp>
        <v>32.880000000000003</v>
        <stp/>
        <stp>LAST</stp>
        <stp>KOP</stp>
        <tr r="D7" s="4"/>
      </tp>
      <tp>
        <v>15.08</v>
        <stp/>
        <stp>LAST</stp>
        <stp>KGC</stp>
        <tr r="D43" s="2"/>
      </tp>
      <tp>
        <v>11.63</v>
        <stp/>
        <stp>LAST</stp>
        <stp>HUN</stp>
        <tr r="D14" s="4"/>
      </tp>
      <tp>
        <v>14.92</v>
        <stp/>
        <stp>LAST</stp>
        <stp>HMY</stp>
        <tr r="D45" s="3"/>
      </tp>
      <tp>
        <v>9.7799999999999994</v>
        <stp/>
        <stp>LAST</stp>
        <stp>HBM</stp>
        <tr r="D46" s="3"/>
      </tp>
      <tp>
        <v>48.26</v>
        <stp/>
        <stp>LAST</stp>
        <stp>HCC</stp>
        <tr r="D73" s="3"/>
      </tp>
      <tp>
        <v>8.1095000000000006</v>
        <stp/>
        <stp>LAST</stp>
        <stp>CGIFF</stp>
        <tr r="D11" s="4"/>
      </tp>
      <tp>
        <v>13.98</v>
        <stp/>
        <stp>LAST</stp>
        <stp>GMINF</stp>
        <tr r="D63" s="3"/>
      </tp>
      <tp>
        <v>28.324999999999999</v>
        <stp/>
        <stp>LAST</stp>
        <stp>IPX</stp>
        <tr r="D93" s="4"/>
      </tp>
      <tp>
        <v>36.76</v>
        <stp/>
        <stp>LAST</stp>
        <stp>IPI</stp>
        <tr r="D13" s="4"/>
      </tp>
      <tp>
        <v>6.74</v>
        <stp/>
        <stp>LAST</stp>
        <stp>ICL</stp>
        <tr r="D23" s="3"/>
      </tp>
      <tp>
        <v>7.43</v>
        <stp/>
        <stp>LAST</stp>
        <stp>IAG</stp>
        <tr r="D62" s="3"/>
      </tp>
      <tp>
        <v>78.2</v>
        <stp/>
        <stp>LAST</stp>
        <stp>IFF</stp>
        <tr r="D11" s="2"/>
      </tp>
      <tp>
        <v>3.62</v>
        <stp/>
        <stp>LAST</stp>
        <stp>VZLA</stp>
        <tr r="D88" s="4"/>
      </tp>
      <tp>
        <v>30.94</v>
        <stp/>
        <stp>LAST</stp>
        <stp>AXTA</stp>
        <tr r="D11" s="3"/>
      </tp>
      <tp>
        <v>3.91</v>
        <stp/>
        <stp>LAST</stp>
        <stp>RYAM</stp>
        <tr r="D9" s="4"/>
      </tp>
      <tp>
        <v>2.04</v>
        <stp/>
        <stp>LAST</stp>
        <stp>GROY</stp>
        <tr r="D104" s="4"/>
      </tp>
      <tp>
        <v>5.99</v>
        <stp/>
        <stp>LAST</stp>
        <stp>TROX</stp>
        <tr r="D25" s="4"/>
      </tp>
      <tp>
        <v>10.88</v>
        <stp/>
        <stp>LAST</stp>
        <stp>ORLA</stp>
        <tr r="D38" s="3"/>
      </tp>
      <tp>
        <v>6.46</v>
        <stp/>
        <stp>LAST</stp>
        <stp>ARMN</stp>
        <tr r="D96" s="4"/>
      </tp>
      <tp>
        <v>12.85</v>
        <stp/>
        <stp>LAST</stp>
        <stp>CSTM</stp>
        <tr r="D120" s="4"/>
      </tp>
      <tp>
        <v>5.86</v>
        <stp/>
        <stp>LAST</stp>
        <stp>ASTL</stp>
        <tr r="D132" s="4"/>
      </tp>
      <tp>
        <v>12.79</v>
        <stp/>
        <stp>LAST</stp>
        <stp>SSRM</stp>
        <tr r="D66" s="3"/>
      </tp>
      <tp>
        <v>9.6199999999999992</v>
        <stp/>
        <stp>LAST</stp>
        <stp>ASPI</stp>
        <tr r="D24" s="4"/>
      </tp>
      <tp>
        <v>6.17</v>
        <stp/>
        <stp>LAST</stp>
        <stp>ASPN</stp>
        <tr r="D19" s="4"/>
      </tp>
      <tp>
        <v>0.83489999999999998</v>
        <stp/>
        <stp>LAST</stp>
        <stp>USAS</stp>
        <tr r="D84" s="4"/>
      </tp>
      <tp>
        <v>13.08</v>
        <stp/>
        <stp>LAST</stp>
        <stp>USAR</stp>
        <tr r="D87" s="4"/>
      </tp>
      <tp>
        <v>102.64</v>
        <stp/>
        <stp>LAST</stp>
        <stp>USLM</stp>
        <tr r="D27" s="3"/>
      </tp>
      <tp>
        <v>24.42</v>
        <stp/>
        <stp>LAST</stp>
        <stp>ASIX</stp>
        <tr r="D8" s="4"/>
      </tp>
      <tp>
        <v>17.13</v>
        <stp/>
        <stp>LAST</stp>
        <stp>PPTA</stp>
        <tr r="D117" s="4"/>
      </tp>
      <tp>
        <v>5.98</v>
        <stp/>
        <stp>LAST</stp>
        <stp>CPAC</stp>
        <tr r="D34" s="4"/>
      </tp>
      <tp>
        <v>37.57</v>
        <stp/>
        <stp>LAST</stp>
        <stp>AVNT</stp>
        <tr r="D14" s="3"/>
      </tp>
      <tp>
        <v>136.97</v>
        <stp/>
        <stp>LAST</stp>
        <stp>HWKN</stp>
        <tr r="D8" s="3"/>
      </tp>
      <tp>
        <v>72.010000000000005</v>
        <stp/>
        <stp>LAST</stp>
        <stp>CTVA</stp>
        <tr r="D9" s="2"/>
      </tp>
      <tp>
        <v>14.56</v>
        <stp/>
        <stp>LAST</stp>
        <stp>MTUS</stp>
        <tr r="D133" s="4"/>
      </tp>
      <tp>
        <v>1.68</v>
        <stp/>
        <stp>LAST</stp>
        <stp>ITRG</stp>
        <tr r="D64" s="4"/>
      </tp>
      <tp>
        <v>81.040000000000006</v>
        <stp/>
        <stp>LAST</stp>
        <stp>MTRN</stp>
        <tr r="D44" s="4"/>
      </tp>
      <tp>
        <v>12.26</v>
        <stp/>
        <stp>LAST</stp>
        <stp>MTAL</stp>
        <tr r="D49" s="4"/>
      </tp>
      <tp>
        <v>133.63</v>
        <stp/>
        <stp>LAST</stp>
        <stp>STLD</stp>
        <tr r="D54" s="2"/>
      </tp>
      <tp>
        <v>87.52</v>
        <stp/>
        <stp>LAST</stp>
        <stp>IOSP</stp>
        <tr r="D9" s="3"/>
      </tp>
      <tp>
        <v>11.8</v>
        <stp/>
        <stp>LAST</stp>
        <stp>LOMA</stp>
        <tr r="D33" s="4"/>
      </tp>
      <tp>
        <v>53.87</v>
        <stp/>
        <stp>LAST</stp>
        <stp>SLVM</stp>
        <tr r="D74" s="3"/>
      </tp>
      <tp>
        <v>4.47</v>
        <stp/>
        <stp>LAST</stp>
        <stp>SLSR</stp>
        <tr r="D115" s="4"/>
      </tp>
      <tp>
        <v>3.99</v>
        <stp/>
        <stp>LAST</stp>
        <stp>SLSN</stp>
        <tr r="D20" s="4"/>
      </tp>
      <tp>
        <v>54.36</v>
        <stp/>
        <stp>LAST</stp>
        <stp>SLGN</stp>
        <tr r="D31" s="3"/>
      </tp>
      <tp>
        <v>22.38</v>
        <stp/>
        <stp>LAST</stp>
        <stp>WLKP</stp>
        <tr r="D3" s="4"/>
      </tp>
      <tp>
        <v>4.1500000000000004</v>
        <stp/>
        <stp>LAST</stp>
        <stp>AMBP</stp>
        <tr r="D34" s="3"/>
      </tp>
      <tp>
        <v>9.18</v>
        <stp/>
        <stp>LAST</stp>
        <stp>AMCR</stp>
        <tr r="D27" s="2"/>
      </tp>
      <tp>
        <v>18.66</v>
        <stp/>
        <stp>LAST</stp>
        <stp>CMCL</stp>
        <tr r="D51" s="4"/>
      </tp>
      <tp>
        <v>6.84</v>
        <stp/>
        <stp>LAST</stp>
        <stp>SBSW</stp>
        <tr r="D64" s="3"/>
      </tp>
      <tp>
        <v>8.02</v>
        <stp/>
        <stp>LAST</stp>
        <stp>ECVT</stp>
        <tr r="D15" s="4"/>
      </tp>
      <tp>
        <v>168.07</v>
        <stp/>
        <stp>LAST</stp>
        <stp>BCPC</stp>
        <tr r="D6" s="3"/>
      </tp>
      <tp>
        <v>96.93</v>
        <stp/>
        <stp>LAST</stp>
        <stp>SCCO</stp>
        <tr r="D35" s="2"/>
      </tp>
      <tp>
        <v>6.48</v>
        <stp/>
        <stp>LAST</stp>
        <stp>MATV</stp>
        <tr r="D12" s="4"/>
      </tp>
      <tp>
        <v>0.64610000000000001</v>
        <stp/>
        <stp>LAST</stp>
        <stp>IAUX</stp>
        <tr r="D99" s="4"/>
      </tp>
      <tp>
        <v>13.41</v>
        <stp/>
        <stp>LAST</stp>
        <stp>MAGN</stp>
        <tr r="D134" s="4"/>
      </tp>
      <tp>
        <v>3.66</v>
        <stp/>
        <stp>LAST</stp>
        <stp>PACK</stp>
        <tr r="D38" s="4"/>
      </tp>
      <tp>
        <v>29.21</v>
        <stp/>
        <stp>LAST</stp>
        <stp>PAAS</stp>
        <tr r="D41" s="3"/>
      </tp>
      <tp>
        <v>9.1199999999999992</v>
        <stp/>
        <stp>LAST</stp>
        <stp>SAND</stp>
        <tr r="D51" s="3"/>
      </tp>
      <tp>
        <v>78.989999999999995</v>
        <stp/>
        <stp>LAST</stp>
        <stp>KALU</stp>
        <tr r="D131" s="4"/>
      </tp>
      <tp>
        <v>9.58</v>
        <stp/>
        <stp>LAST</stp>
        <stp>VALE</stp>
        <tr r="D50" s="2"/>
      </tp>
      <tp>
        <v>54.23</v>
        <stp/>
        <stp>LAST</stp>
        <stp>BALL</stp>
        <tr r="D26" s="2"/>
      </tp>
      <tp>
        <v>3.05</v>
        <stp/>
        <stp>LAST</stp>
        <stp>UAMY</stp>
        <tr r="D71" s="4"/>
      </tp>
      <tp>
        <v>24.24</v>
        <stp/>
        <stp>LAST</stp>
        <stp>TFPM</stp>
        <tr r="D48" s="3"/>
      </tp>
      <tp>
        <v>1.52</v>
        <stp/>
        <stp>LAST</stp>
        <stp>NFGC</stp>
        <tr r="D98" s="4"/>
      </tp>
      <tp>
        <v>43.32</v>
        <stp/>
        <stp>LAST</stp>
        <stp>NGVT</stp>
        <tr r="D6" s="4"/>
      </tp>
      <tp>
        <v>7.24</v>
        <stp/>
        <stp>LAST</stp>
        <stp>CGAU</stp>
        <tr r="D55" s="4"/>
      </tp>
      <tp>
        <v>176.77</v>
        <stp/>
        <stp>LAST</stp>
        <stp>RGLD</stp>
        <tr r="D32" s="2"/>
      </tp>
      <tp>
        <v>5.57</v>
        <stp/>
        <stp>LAST</stp>
        <stp>SGML</stp>
        <tr r="D103" s="4"/>
      </tp>
      <tp>
        <v>29.6</v>
        <stp/>
        <stp>LAST</stp>
        <stp>RDUS</stp>
        <tr r="D130" s="4"/>
      </tp>
      <tp>
        <v>10.050000000000001</v>
        <stp/>
        <stp>LAST</stp>
        <stp>METC</stp>
        <tr r="D47" s="4"/>
      </tp>
      <tp>
        <v>31.84</v>
        <stp/>
        <stp>LAST</stp>
        <stp>ZEUS</stp>
        <tr r="D40" s="4"/>
      </tp>
      <tp>
        <v>4.93</v>
        <stp/>
        <stp>LAST</stp>
        <stp>NEXA</stp>
        <tr r="D62" s="4"/>
      </tp>
      <tp>
        <v>38.99</v>
        <stp/>
        <stp>LAST</stp>
        <stp>TECK</stp>
        <tr r="D52" s="2"/>
      </tp>
      <tp>
        <v>20.12</v>
        <stp/>
        <stp>LAST</stp>
        <stp>CENX</stp>
        <tr r="D90" s="4"/>
      </tp>
      <tp>
        <v>26.17</v>
        <stp/>
        <stp>LAST</stp>
        <stp>WS</stp>
        <tr r="D45" s="4"/>
      </tp>
      <tp>
        <v>29.12</v>
        <stp/>
        <stp>LAST</stp>
        <stp>TX</stp>
        <tr r="D70" s="3"/>
      </tp>
      <tp>
        <v>8.65</v>
        <stp/>
        <stp>LAST</stp>
        <stp>TG</stp>
        <tr r="D53" s="4"/>
      </tp>
      <tp>
        <v>309.13</v>
        <stp/>
        <stp>LAST</stp>
        <stp>RS</stp>
        <tr r="D31" s="2"/>
      </tp>
      <tp>
        <v>43.99</v>
        <stp/>
        <stp>LAST</stp>
        <stp>SW</stp>
        <tr r="D29" s="2"/>
      </tp>
      <tp>
        <v>14.62</v>
        <stp/>
        <stp>LAST</stp>
        <stp>SA</stp>
        <tr r="D124" s="4"/>
      </tp>
      <tp>
        <v>4</v>
        <stp/>
        <stp>LAST</stp>
        <stp>DC</stp>
        <tr r="D106" s="4"/>
      </tp>
      <tp>
        <v>68.58</v>
        <stp/>
        <stp>LAST</stp>
        <stp>DD</stp>
        <tr r="D10" s="2"/>
      </tp>
      <tp>
        <v>6.77</v>
        <stp/>
        <stp>LAST</stp>
        <stp>CX</stp>
        <tr r="D29" s="3"/>
      </tp>
      <tp>
        <v>11.28</v>
        <stp/>
        <stp>LAST</stp>
        <stp>CC</stp>
        <tr r="D31" s="4"/>
      </tp>
      <tp>
        <v>92.85</v>
        <stp/>
        <stp>LAST</stp>
        <stp>CF</stp>
        <tr r="D2" s="2"/>
      </tp>
      <tp>
        <v>56.91</v>
        <stp/>
        <stp>LAST</stp>
        <stp>CE</stp>
        <tr r="D7" s="3"/>
      </tp>
      <tp>
        <v>46.38</v>
        <stp/>
        <stp>LAST</stp>
        <stp>AU</stp>
        <tr r="D38" s="2"/>
      </tp>
      <tp>
        <v>28.56</v>
        <stp/>
        <stp>LAST</stp>
        <stp>AA</stp>
        <tr r="D40" s="3"/>
      </tp>
      <tp>
        <v>8.33</v>
        <stp/>
        <stp>LAST</stp>
        <stp>AG</stp>
        <tr r="D56" s="3"/>
      </tp>
      <tp>
        <v>4.38</v>
        <stp/>
        <stp>LAST</stp>
        <stp>NG</stp>
        <tr r="D78" s="4"/>
      </tp>
      <tp>
        <v>25.99</v>
        <stp/>
        <stp>LAST</stp>
        <stp>OR</stp>
        <tr r="D50" s="3"/>
      </tp>
      <tp>
        <v>13.59</v>
        <stp/>
        <stp>LAST</stp>
        <stp>OI</stp>
        <tr r="D35" s="3"/>
      </tp>
      <tp>
        <v>27.69</v>
        <stp/>
        <stp>LAST</stp>
        <stp>MP</stp>
        <tr r="D68" s="3"/>
      </tp>
      <tp>
        <v>30.38</v>
        <stp/>
        <stp>LAST</stp>
        <stp>MT</stp>
        <tr r="D48" s="2"/>
      </tp>
      <tp>
        <v>6.22</v>
        <stp/>
        <stp>LAST</stp>
        <stp>HL</stp>
        <tr r="D59" s="3"/>
      </tp>
      <tp>
        <v>48</v>
        <stp/>
        <stp>LAST</stp>
        <stp>IP</stp>
        <tr r="D28" s="2"/>
      </tp>
      <tp>
        <v>8.27</v>
        <stp/>
        <stp>LAST</stp>
        <stp>IE</stp>
        <tr r="D127" s="4"/>
      </tp>
      <tp>
        <v>53.14</v>
        <stp/>
        <stp>LAST</stp>
        <stp>X</stp>
        <tr r="D56" s="2"/>
      </tp>
      <tp>
        <v>20.309999999999999</v>
        <stp/>
        <stp>LAST</stp>
        <stp>B</stp>
        <tr r="D4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2027083331" createdVersion="8" refreshedVersion="8" minRefreshableVersion="3" recordCount="56" xr:uid="{3432845B-C090-4238-AA0B-FA56B072311B}">
  <cacheSource type="worksheet">
    <worksheetSource name="Main_L"/>
  </cacheSource>
  <cacheFields count="26">
    <cacheField name="Industry" numFmtId="0">
      <sharedItems count="63">
        <s v="Chemicals"/>
        <s v="Construction Materials"/>
        <s v="Containers &amp; Packaging"/>
        <s v="Metals &amp; Mining"/>
        <s v="Paper &amp; Forest Produc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16" maxValue="124306"/>
    </cacheField>
    <cacheField name="Current Price" numFmtId="0">
      <sharedItems containsSemiMixedTypes="0" containsString="0" containsNumber="1" minValue="3.9750000000000001" maxValue="554.48"/>
    </cacheField>
    <cacheField name="Free CF" numFmtId="0">
      <sharedItems containsString="0" containsBlank="1" containsNumber="1" minValue="-19.46" maxValue="17.54"/>
    </cacheField>
    <cacheField name="BVPS" numFmtId="0">
      <sharedItems containsString="0" containsBlank="1" containsNumber="1" minValue="2.67" maxValue="498.84"/>
    </cacheField>
    <cacheField name="EPS" numFmtId="0">
      <sharedItems containsString="0" containsBlank="1" containsNumber="1" minValue="-3.26" maxValue="17.38"/>
    </cacheField>
    <cacheField name="P/FCF" numFmtId="2">
      <sharedItems containsMixedTypes="1" containsNumber="1" minValue="-4800" maxValue="261.83333333333337"/>
    </cacheField>
    <cacheField name="P/B" numFmtId="2">
      <sharedItems containsMixedTypes="1" containsNumber="1" minValue="9.6704354101515524E-2" maxValue="21.615338164251209"/>
    </cacheField>
    <cacheField name="ROE" numFmtId="0">
      <sharedItems containsSemiMixedTypes="0" containsString="0" containsNumber="1" minValue="-6.04" maxValue="70.22"/>
    </cacheField>
    <cacheField name="ROA" numFmtId="0">
      <sharedItems containsSemiMixedTypes="0" containsString="0" containsNumber="1" minValue="-1.48" maxValue="29.78"/>
    </cacheField>
    <cacheField name="A/E" numFmtId="0">
      <sharedItems containsSemiMixedTypes="0" containsString="0" containsNumber="1" minValue="1.04" maxValue="5.96"/>
    </cacheField>
    <cacheField name="P/E" numFmtId="2">
      <sharedItems containsMixedTypes="1" containsNumber="1" minValue="-259.93333333333334" maxValue="2286"/>
    </cacheField>
    <cacheField name="Preliminary Criteria" numFmtId="0">
      <sharedItems/>
    </cacheField>
    <cacheField name="P/FCF Z-Score" numFmtId="2">
      <sharedItems containsMixedTypes="1" containsNumber="1" minValue="-719.24908697444266" maxValue="11.637871224153086"/>
    </cacheField>
    <cacheField name="P/B Z-Score" numFmtId="2">
      <sharedItems containsMixedTypes="1" containsNumber="1" minValue="-1.5554337428056715" maxValue="12.877139465896997"/>
    </cacheField>
    <cacheField name="ROE Z-Score" numFmtId="2">
      <sharedItems containsMixedTypes="1" containsNumber="1" minValue="-1.7029864361323486" maxValue="6.4981896103014947"/>
    </cacheField>
    <cacheField name="ROA Z-Score" numFmtId="2">
      <sharedItems containsMixedTypes="1" containsNumber="1" minValue="-2.4601445518135616" maxValue="24.920782394747317"/>
    </cacheField>
    <cacheField name="A/E Z-Score" numFmtId="2">
      <sharedItems containsMixedTypes="1" containsNumber="1" minValue="-1.8894472118924672" maxValue="6.5816841939776562"/>
    </cacheField>
    <cacheField name="P/E Z-Score" numFmtId="2">
      <sharedItems containsMixedTypes="1" containsNumber="1" minValue="-24.838018854929" maxValue="125.30168721286802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2028935186" createdVersion="8" refreshedVersion="8" minRefreshableVersion="3" recordCount="76" xr:uid="{A2646FF5-8A5C-4026-A340-9C8CC354FDFF}">
  <cacheSource type="worksheet">
    <worksheetSource name="Main_M"/>
  </cacheSource>
  <cacheFields count="26">
    <cacheField name="Industry" numFmtId="0">
      <sharedItems count="64">
        <s v="Chemicals"/>
        <s v="Construction Materials"/>
        <s v="Containers &amp; Packaging"/>
        <s v="Metals &amp; Mining"/>
        <s v="Paper &amp; Forest Produc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07" maxValue="9938"/>
    </cacheField>
    <cacheField name="Current Price" numFmtId="0">
      <sharedItems containsSemiMixedTypes="0" containsString="0" containsNumber="1" minValue="2.5299999999999998" maxValue="648.5"/>
    </cacheField>
    <cacheField name="Free CF" numFmtId="0">
      <sharedItems containsSemiMixedTypes="0" containsString="0" containsNumber="1" minValue="-2.9" maxValue="50.39"/>
    </cacheField>
    <cacheField name="BVPS" numFmtId="0">
      <sharedItems containsSemiMixedTypes="0" containsString="0" containsNumber="1" minValue="-5.03" maxValue="161.06"/>
    </cacheField>
    <cacheField name="EPS" numFmtId="0">
      <sharedItems containsSemiMixedTypes="0" containsString="0" containsNumber="1" minValue="-15.1" maxValue="50.24"/>
    </cacheField>
    <cacheField name="P/FCF" numFmtId="2">
      <sharedItems containsSemiMixedTypes="0" containsString="0" containsNumber="1" minValue="-290" maxValue="346.5"/>
    </cacheField>
    <cacheField name="P/B" numFmtId="2">
      <sharedItems containsSemiMixedTypes="0" containsString="0" containsNumber="1" minValue="-12.996023856858848" maxValue="21.318181818181817"/>
    </cacheField>
    <cacheField name="ROE" numFmtId="0">
      <sharedItems containsSemiMixedTypes="0" containsString="0" containsNumber="1" minValue="-71.69" maxValue="43.4"/>
    </cacheField>
    <cacheField name="ROA" numFmtId="0">
      <sharedItems containsSemiMixedTypes="0" containsString="0" containsNumber="1" minValue="-46.25" maxValue="28.24"/>
    </cacheField>
    <cacheField name="A/E" numFmtId="0">
      <sharedItems containsSemiMixedTypes="0" containsString="0" containsNumber="1" minValue="-22.93" maxValue="8.83"/>
    </cacheField>
    <cacheField name="P/E" numFmtId="2">
      <sharedItems containsSemiMixedTypes="0" containsString="0" containsNumber="1" minValue="-1896.2499999999998" maxValue="1212"/>
    </cacheField>
    <cacheField name="Preliminary Criteria" numFmtId="0">
      <sharedItems/>
    </cacheField>
    <cacheField name="P/FCF Z-Score" numFmtId="2">
      <sharedItems containsSemiMixedTypes="0" containsString="0" containsNumber="1" minValue="-8.622946784812342" maxValue="10.007426259100221"/>
    </cacheField>
    <cacheField name="P/B Z-Score" numFmtId="2">
      <sharedItems containsSemiMixedTypes="0" containsString="0" containsNumber="1" minValue="-30.339709980404105" maxValue="15.979317135666218"/>
    </cacheField>
    <cacheField name="ROE Z-Score" numFmtId="2">
      <sharedItems containsSemiMixedTypes="0" containsString="0" containsNumber="1" minValue="-7.6753826705625867" maxValue="3.4313988919740614"/>
    </cacheField>
    <cacheField name="ROA Z-Score" numFmtId="2">
      <sharedItems containsSemiMixedTypes="0" containsString="0" containsNumber="1" minValue="-9.7999993150081863" maxValue="4.3930637198680991"/>
    </cacheField>
    <cacheField name="A/E Z-Score" numFmtId="2">
      <sharedItems containsSemiMixedTypes="0" containsString="0" containsNumber="1" minValue="-35.880260319427059" maxValue="5.7135285628506978"/>
    </cacheField>
    <cacheField name="P/E Z-Score" numFmtId="2">
      <sharedItems containsSemiMixedTypes="0" containsString="0" containsNumber="1" minValue="-551.23912058207941" maxValue="74.67949551235273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2030555556" createdVersion="8" refreshedVersion="8" minRefreshableVersion="3" recordCount="136" xr:uid="{FEEDC4AE-CB7E-4F82-B64E-6462C5DE2153}">
  <cacheSource type="worksheet">
    <worksheetSource name="Main_S"/>
  </cacheSource>
  <cacheFields count="26">
    <cacheField name="Industry" numFmtId="0">
      <sharedItems count="65">
        <s v="Chemicals"/>
        <s v="Construction Materials"/>
        <s v="Containers &amp; Packaging"/>
        <s v="Metals &amp; Mining"/>
        <s v="Paper &amp; Forest Produc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3" maxValue="1975"/>
    </cacheField>
    <cacheField name="Current Price" numFmtId="0">
      <sharedItems containsSemiMixedTypes="0" containsString="0" containsNumber="1" minValue="0.53600000000000003" maxValue="120.18"/>
    </cacheField>
    <cacheField name="Free CF" numFmtId="0">
      <sharedItems containsSemiMixedTypes="0" containsString="0" containsNumber="1" minValue="-7.6" maxValue="17.84"/>
    </cacheField>
    <cacheField name="BVPS" numFmtId="0">
      <sharedItems containsSemiMixedTypes="0" containsString="0" containsNumber="1" minValue="-0.93" maxValue="123.72"/>
    </cacheField>
    <cacheField name="EPS" numFmtId="0">
      <sharedItems containsSemiMixedTypes="0" containsString="0" containsNumber="1" minValue="-15.9" maxValue="7.13"/>
    </cacheField>
    <cacheField name="P/FCF" numFmtId="2">
      <sharedItems containsMixedTypes="1" containsNumber="1" minValue="-379" maxValue="621.33333333333337"/>
    </cacheField>
    <cacheField name="P/B" numFmtId="2">
      <sharedItems containsSemiMixedTypes="0" containsString="0" containsNumber="1" minValue="-87.399999999999991" maxValue="85.833333333333329"/>
    </cacheField>
    <cacheField name="ROE" numFmtId="0">
      <sharedItems containsSemiMixedTypes="0" containsString="0" containsNumber="1" minValue="-357.27" maxValue="1549.8"/>
    </cacheField>
    <cacheField name="ROA" numFmtId="0">
      <sharedItems containsSemiMixedTypes="0" containsString="0" containsNumber="1" minValue="-2134.1999999999998" maxValue="28.58"/>
    </cacheField>
    <cacheField name="A/E" numFmtId="0">
      <sharedItems containsSemiMixedTypes="0" containsString="0" containsNumber="1" minValue="-22.53" maxValue="40.71"/>
    </cacheField>
    <cacheField name="P/E" numFmtId="2">
      <sharedItems containsMixedTypes="1" containsNumber="1" minValue="-1005" maxValue="170.78"/>
    </cacheField>
    <cacheField name="Preliminary Criteria" numFmtId="0">
      <sharedItems/>
    </cacheField>
    <cacheField name="P/FCF Z-Score" numFmtId="2">
      <sharedItems containsMixedTypes="1" containsNumber="1" minValue="-12.783091632814539" maxValue="34.483724390102978"/>
    </cacheField>
    <cacheField name="P/B Z-Score" numFmtId="2">
      <sharedItems containsSemiMixedTypes="0" containsString="0" containsNumber="1" minValue="-39.321820938965068" maxValue="36.254738208171752"/>
    </cacheField>
    <cacheField name="ROE Z-Score" numFmtId="2">
      <sharedItems containsSemiMixedTypes="0" containsString="0" containsNumber="1" minValue="-17.631765101105014" maxValue="96.21193374120368"/>
    </cacheField>
    <cacheField name="ROA Z-Score" numFmtId="2">
      <sharedItems containsSemiMixedTypes="0" containsString="0" containsNumber="1" minValue="-249.84125405192106" maxValue="4.4419484594857597"/>
    </cacheField>
    <cacheField name="A/E Z-Score" numFmtId="2">
      <sharedItems containsSemiMixedTypes="0" containsString="0" containsNumber="1" minValue="-28.72414893959774" maxValue="67.515466596238554"/>
    </cacheField>
    <cacheField name="P/E Z-Score" numFmtId="2">
      <sharedItems containsMixedTypes="1" containsNumber="1" minValue="-37.135666262835315" maxValue="6.6534034120462628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s v="CF"/>
    <n v="14696"/>
    <n v="92.85"/>
    <n v="10.59"/>
    <n v="29.03"/>
    <n v="7.6"/>
    <n v="8.7677053824362599"/>
    <n v="3.1984154323114016"/>
    <n v="20.79"/>
    <n v="8.6999999999999993"/>
    <n v="2.78"/>
    <n v="12.217105263157894"/>
    <s v="NO"/>
    <n v="-0.90100677102525517"/>
    <n v="0.71411212189035922"/>
    <n v="1.2713898495984779"/>
    <n v="1.4593704701545769"/>
    <n v="0.73071413974671928"/>
    <n v="-1.0840067946755185"/>
    <x v="0"/>
    <x v="0"/>
    <x v="0"/>
    <x v="0"/>
    <x v="0"/>
    <x v="0"/>
  </r>
  <r>
    <x v="0"/>
    <s v="SHW"/>
    <n v="89918"/>
    <n v="357.95"/>
    <n v="8.69"/>
    <n v="16.559999999999999"/>
    <n v="10.59"/>
    <n v="41.191024165707709"/>
    <n v="21.615338164251209"/>
    <n v="70.22"/>
    <n v="9.89"/>
    <n v="5.96"/>
    <n v="33.800755429650614"/>
    <s v="NO"/>
    <n v="0.91585832595328287"/>
    <n v="12.877139465896997"/>
    <n v="6.4981896103014947"/>
    <n v="1.8844645121300863"/>
    <n v="6.5816841939776562"/>
    <n v="0.1156964011847558"/>
    <x v="0"/>
    <x v="1"/>
    <x v="1"/>
    <x v="0"/>
    <x v="1"/>
    <x v="0"/>
  </r>
  <r>
    <x v="0"/>
    <s v="ECL"/>
    <n v="75307"/>
    <n v="266.35000000000002"/>
    <n v="5.3"/>
    <n v="31.31"/>
    <n v="7.35"/>
    <n v="50.254716981132084"/>
    <n v="8.5068668157138312"/>
    <n v="24.77"/>
    <n v="7.76"/>
    <n v="2.52"/>
    <n v="36.238095238095241"/>
    <s v="NO"/>
    <n v="1.4237491817954666"/>
    <n v="4.2199551050222626"/>
    <n v="1.692240811516301"/>
    <n v="1.1235818991823261"/>
    <n v="0.25233294034419029"/>
    <n v="0.25117322438345396"/>
    <x v="0"/>
    <x v="1"/>
    <x v="0"/>
    <x v="0"/>
    <x v="0"/>
    <x v="0"/>
  </r>
  <r>
    <x v="0"/>
    <s v="LYB"/>
    <n v="18156"/>
    <n v="58.48"/>
    <n v="4.67"/>
    <n v="37.81"/>
    <n v="2.89"/>
    <n v="12.522483940042827"/>
    <n v="1.5466807722824647"/>
    <n v="7.44"/>
    <n v="3.85"/>
    <n v="2.88"/>
    <n v="20.235294117647058"/>
    <s v="NO"/>
    <n v="-0.69060492555721797"/>
    <n v="-0.37673753455816023"/>
    <n v="-0.14025847743743677"/>
    <n v="-0.27315566730863239"/>
    <n v="0.91470690874769234"/>
    <n v="-0.6383246825425356"/>
    <x v="0"/>
    <x v="0"/>
    <x v="0"/>
    <x v="0"/>
    <x v="0"/>
    <x v="0"/>
  </r>
  <r>
    <x v="0"/>
    <s v="RPM"/>
    <n v="14620"/>
    <n v="115.71"/>
    <n v="4.43"/>
    <n v="20.82"/>
    <n v="4.99"/>
    <n v="26.119638826185103"/>
    <n v="5.5576368876080684"/>
    <n v="25.68"/>
    <n v="8.56"/>
    <n v="2.48"/>
    <n v="23.188376753507011"/>
    <s v="NO"/>
    <n v="7.1321893099884501E-2"/>
    <n v="2.2722049416845862"/>
    <n v="1.7884655289397233"/>
    <n v="1.4093594063927526"/>
    <n v="0.17873583274380109"/>
    <n v="-0.47418086773123547"/>
    <x v="0"/>
    <x v="0"/>
    <x v="0"/>
    <x v="0"/>
    <x v="0"/>
    <x v="0"/>
  </r>
  <r>
    <x v="0"/>
    <s v="DSFIY"/>
    <n v="29466"/>
    <n v="11.18"/>
    <n v="3.97"/>
    <n v="88.24"/>
    <n v="0.97"/>
    <n v="2.8161209068010074"/>
    <n v="0.12669990933816863"/>
    <n v="1.22"/>
    <n v="0.94"/>
    <n v="1.5"/>
    <n v="11.525773195876289"/>
    <s v="NO"/>
    <n v="-1.2345082912669154"/>
    <n v="-1.3145307975990415"/>
    <n v="-0.79797028224368327"/>
    <n v="-1.3126713497865581"/>
    <n v="-1.624393303465733"/>
    <n v="-1.1224337189501723"/>
    <x v="0"/>
    <x v="0"/>
    <x v="0"/>
    <x v="0"/>
    <x v="0"/>
    <x v="0"/>
  </r>
  <r>
    <x v="0"/>
    <s v="PPG"/>
    <n v="25149"/>
    <n v="113.46"/>
    <n v="3.38"/>
    <n v="30.52"/>
    <n v="5.64"/>
    <n v="33.568047337278102"/>
    <n v="3.7175622542595019"/>
    <n v="17.649999999999999"/>
    <n v="6.3"/>
    <n v="3.05"/>
    <n v="20.117021276595743"/>
    <s v="NO"/>
    <n v="0.48869907593241019"/>
    <n v="1.056970539814764"/>
    <n v="0.93936170376381323"/>
    <n v="0.60203794852329806"/>
    <n v="1.2274946160493461"/>
    <n v="-0.64489874690598681"/>
    <x v="0"/>
    <x v="0"/>
    <x v="0"/>
    <x v="0"/>
    <x v="0"/>
    <x v="0"/>
  </r>
  <r>
    <x v="0"/>
    <s v="CTVA"/>
    <n v="48298"/>
    <n v="72.010000000000005"/>
    <n v="3.05"/>
    <n v="35.56"/>
    <n v="1.65"/>
    <n v="23.609836065573774"/>
    <n v="2.0250281214848145"/>
    <n v="4.66"/>
    <n v="3.08"/>
    <n v="1.73"/>
    <n v="43.642424242424248"/>
    <s v="NO"/>
    <n v="-6.9316795571547449E-2"/>
    <n v="-6.0824177426511916E-2"/>
    <n v="-0.43421970209360483"/>
    <n v="-0.54821651799866766"/>
    <n v="-1.2012099347634952"/>
    <n v="0.6627346192898973"/>
    <x v="0"/>
    <x v="0"/>
    <x v="0"/>
    <x v="0"/>
    <x v="0"/>
    <x v="0"/>
  </r>
  <r>
    <x v="0"/>
    <s v="DD"/>
    <n v="27956"/>
    <n v="68.58"/>
    <n v="2.67"/>
    <n v="54.56"/>
    <n v="0.03"/>
    <n v="25.685393258426966"/>
    <n v="1.2569648093841641"/>
    <n v="0.2"/>
    <n v="3.36"/>
    <n v="1.58"/>
    <n v="2286"/>
    <s v="NO"/>
    <n v="4.6988615533479203E-2"/>
    <n v="-0.56807368935540015"/>
    <n v="-0.90582655891609032"/>
    <n v="-0.44819439047501858"/>
    <n v="-1.4771990882649544"/>
    <n v="125.30168721286802"/>
    <x v="0"/>
    <x v="0"/>
    <x v="0"/>
    <x v="0"/>
    <x v="0"/>
    <x v="1"/>
  </r>
  <r>
    <x v="0"/>
    <s v="IFF"/>
    <n v="19583"/>
    <n v="78.2"/>
    <n v="2.2200000000000002"/>
    <n v="51.53"/>
    <n v="-3.26"/>
    <n v="35.225225225225223"/>
    <n v="1.5175625849019989"/>
    <n v="-6.04"/>
    <n v="1.68"/>
    <n v="2.14"/>
    <n v="-23.987730061349694"/>
    <s v="NO"/>
    <n v="0.58156028746419108"/>
    <n v="-0.39596796270684859"/>
    <n v="-1.5656531926766977"/>
    <n v="-1.0483271556169138"/>
    <n v="-0.4468395818595064"/>
    <n v="-3.0964123103948631"/>
    <x v="0"/>
    <x v="0"/>
    <x v="0"/>
    <x v="0"/>
    <x v="0"/>
    <x v="1"/>
  </r>
  <r>
    <x v="0"/>
    <s v="NTR"/>
    <n v="28776"/>
    <n v="60.46"/>
    <n v="1.7"/>
    <n v="49.24"/>
    <n v="1.06"/>
    <n v="35.564705882352939"/>
    <n v="1.2278635255889521"/>
    <n v="2.2599999999999998"/>
    <n v="2.83"/>
    <n v="2.21"/>
    <n v="57.037735849056602"/>
    <s v="NO"/>
    <n v="0.60058334186394347"/>
    <n v="-0.58729295392520808"/>
    <n v="-0.68799917661691545"/>
    <n v="-0.63752198900192592"/>
    <n v="-0.31804464355882567"/>
    <n v="1.407298120831882"/>
    <x v="0"/>
    <x v="0"/>
    <x v="0"/>
    <x v="0"/>
    <x v="0"/>
    <x v="0"/>
  </r>
  <r>
    <x v="0"/>
    <s v="MOS"/>
    <n v="11465"/>
    <n v="34.590000000000003"/>
    <n v="0.67"/>
    <n v="37.11"/>
    <n v="1.1499999999999999"/>
    <n v="51.626865671641795"/>
    <n v="0.93209377526273252"/>
    <n v="3.28"/>
    <n v="2.14"/>
    <n v="1.97"/>
    <n v="30.078260869565224"/>
    <s v="NO"/>
    <n v="1.5006385674970359"/>
    <n v="-0.78262719152337579"/>
    <n v="-0.58014289994450852"/>
    <n v="-0.88400508897091856"/>
    <n v="-0.75962728916116051"/>
    <n v="-9.1214319933210816E-2"/>
    <x v="0"/>
    <x v="0"/>
    <x v="0"/>
    <x v="0"/>
    <x v="0"/>
    <x v="0"/>
  </r>
  <r>
    <x v="0"/>
    <s v="NPPHY"/>
    <n v="18226"/>
    <n v="3.9750000000000001"/>
    <n v="0.26"/>
    <n v="4.22"/>
    <n v="0.38"/>
    <n v="15.288461538461538"/>
    <n v="0.94194312796208535"/>
    <n v="9.18"/>
    <n v="3.6"/>
    <n v="2.46"/>
    <n v="10.460526315789474"/>
    <s v="NO"/>
    <n v="-0.53561128683741188"/>
    <n v="-0.77612241610857569"/>
    <n v="4.3731641591963299E-2"/>
    <n v="-0.36246113831189058"/>
    <n v="0.14193727894360647"/>
    <n v="-1.1816442823424718"/>
    <x v="0"/>
    <x v="0"/>
    <x v="0"/>
    <x v="0"/>
    <x v="0"/>
    <x v="0"/>
  </r>
  <r>
    <x v="0"/>
    <s v="DOW"/>
    <n v="19608"/>
    <n v="29.39"/>
    <n v="-0.96"/>
    <n v="23.75"/>
    <n v="0.4"/>
    <n v="-30.614583333333336"/>
    <n v="1.2374736842105263"/>
    <n v="2.06"/>
    <n v="1.83"/>
    <n v="3.42"/>
    <n v="73.474999999999994"/>
    <s v="NO"/>
    <n v="-3.1078229913231707"/>
    <n v="-0.58094614866377692"/>
    <n v="-0.70914746616052449"/>
    <n v="-0.99474387301495881"/>
    <n v="1.9082678613529458"/>
    <n v="2.32094517223286"/>
    <x v="1"/>
    <x v="0"/>
    <x v="0"/>
    <x v="0"/>
    <x v="0"/>
    <x v="0"/>
  </r>
  <r>
    <x v="0"/>
    <s v="APD"/>
    <n v="62070"/>
    <n v="279.92"/>
    <n v="-19.46"/>
    <n v="66.069999999999993"/>
    <n v="6.94"/>
    <n v="-14.384378211716342"/>
    <n v="4.2367186317542007"/>
    <n v="9.58"/>
    <n v="4.7"/>
    <n v="2.64"/>
    <n v="40.334293948126799"/>
    <s v="NO"/>
    <n v="-2.1983512188813452"/>
    <n v="1.3998352684771926"/>
    <n v="8.6028220679181755E-2"/>
    <n v="3.0482934102445604E-2"/>
    <n v="0.47312426314535788"/>
    <n v="0.47885587515828071"/>
    <x v="0"/>
    <x v="0"/>
    <x v="0"/>
    <x v="0"/>
    <x v="0"/>
    <x v="0"/>
  </r>
  <r>
    <x v="1"/>
    <s v="MLM"/>
    <n v="33009"/>
    <n v="554.48"/>
    <n v="10.09"/>
    <n v="150.65"/>
    <n v="17.38"/>
    <n v="54.953419226957386"/>
    <n v="3.6805841354132096"/>
    <n v="11.87"/>
    <n v="5.79"/>
    <n v="1.95"/>
    <n v="31.903337169159958"/>
    <s v="NO"/>
    <n v="1.5458933684113638"/>
    <n v="-0.46417671580827008"/>
    <n v="-0.86712581142746348"/>
    <n v="-1.1565845346365666"/>
    <n v="-1.2092920083604375"/>
    <n v="0.42923784072729287"/>
    <x v="0"/>
    <x v="0"/>
    <x v="0"/>
    <x v="0"/>
    <x v="0"/>
    <x v="0"/>
  </r>
  <r>
    <x v="1"/>
    <s v="VMC"/>
    <n v="35017"/>
    <n v="266"/>
    <n v="6.57"/>
    <n v="61.58"/>
    <n v="7.11"/>
    <n v="40.48706240487062"/>
    <n v="4.319584280610588"/>
    <n v="12.08"/>
    <n v="5.98"/>
    <n v="2.0499999999999998"/>
    <n v="37.412095639943736"/>
    <s v="NO"/>
    <n v="0.16265343904603155"/>
    <n v="0.26851760027731364"/>
    <n v="-0.81074921068450123"/>
    <n v="-0.1265014334758704"/>
    <n v="-0.76140607933805349"/>
    <n v="1.2775214185965433"/>
    <x v="0"/>
    <x v="0"/>
    <x v="0"/>
    <x v="0"/>
    <x v="0"/>
    <x v="0"/>
  </r>
  <r>
    <x v="1"/>
    <s v="CRH"/>
    <n v="61500"/>
    <n v="93.18"/>
    <n v="3.42"/>
    <n v="31.21"/>
    <n v="4.74"/>
    <n v="27.245614035087723"/>
    <n v="2.9855815443768026"/>
    <n v="15.36"/>
    <n v="6.24"/>
    <n v="2.46"/>
    <n v="19.658227848101266"/>
    <s v="NO"/>
    <n v="-1.1034635476267125"/>
    <n v="-1.2610849042404284"/>
    <n v="6.9799600919857152E-2"/>
    <n v="1.2830859681124467"/>
    <n v="1.0749262296537239"/>
    <n v="-1.4563640061058796"/>
    <x v="0"/>
    <x v="0"/>
    <x v="0"/>
    <x v="0"/>
    <x v="0"/>
    <x v="0"/>
  </r>
  <r>
    <x v="1"/>
    <s v="JHX"/>
    <n v="10016"/>
    <n v="26.94"/>
    <n v="0.83"/>
    <n v="5.03"/>
    <n v="0.98"/>
    <n v="32.457831325301207"/>
    <n v="5.355864811133201"/>
    <n v="21.09"/>
    <n v="10.6"/>
    <n v="2.42"/>
    <n v="27.489795918367349"/>
    <s v="NO"/>
    <n v="-0.60508325983068256"/>
    <n v="1.4567440197713837"/>
    <n v="1.6080754211921056"/>
    <n v="24.920782394747317"/>
    <n v="0.89577185804476989"/>
    <n v="-0.25039525321795664"/>
    <x v="0"/>
    <x v="0"/>
    <x v="0"/>
    <x v="1"/>
    <x v="0"/>
    <x v="0"/>
  </r>
  <r>
    <x v="2"/>
    <s v="CCK"/>
    <n v="11465"/>
    <n v="100.65"/>
    <n v="8.15"/>
    <n v="23.41"/>
    <n v="4.63"/>
    <n v="12.349693251533742"/>
    <n v="4.2994446817599314"/>
    <n v="22.74"/>
    <n v="6.8"/>
    <n v="5.14"/>
    <n v="21.738660907127432"/>
    <s v="NO"/>
    <n v="-1.6292046162675873"/>
    <n v="1.2457403400172993"/>
    <n v="0.77293383954020956"/>
    <n v="0.42432462036276652"/>
    <n v="1.7640082554917986"/>
    <n v="-0.511506383404426"/>
    <x v="0"/>
    <x v="0"/>
    <x v="0"/>
    <x v="0"/>
    <x v="0"/>
    <x v="0"/>
  </r>
  <r>
    <x v="2"/>
    <s v="AVY"/>
    <n v="13894"/>
    <n v="179.64"/>
    <n v="7.18"/>
    <n v="27.63"/>
    <n v="8.69"/>
    <n v="25.01949860724234"/>
    <n v="6.5016286644951133"/>
    <n v="31.95"/>
    <n v="8.65"/>
    <n v="3.85"/>
    <n v="20.672036823935557"/>
    <s v="NO"/>
    <n v="0.26012280347803973"/>
    <n v="3.2899235990343416"/>
    <n v="1.8101442322792087"/>
    <n v="1.2345316076380028"/>
    <n v="0.67982954473161972"/>
    <n v="-0.6227232446243901"/>
    <x v="0"/>
    <x v="1"/>
    <x v="0"/>
    <x v="0"/>
    <x v="0"/>
    <x v="0"/>
  </r>
  <r>
    <x v="2"/>
    <s v="PKG"/>
    <n v="17381"/>
    <n v="196.59"/>
    <n v="5.93"/>
    <n v="50.39"/>
    <n v="9.56"/>
    <n v="33.151770657672849"/>
    <n v="3.9013693193093868"/>
    <n v="20.21"/>
    <n v="8.68"/>
    <n v="1.99"/>
    <n v="20.563807531380753"/>
    <s v="NO"/>
    <n v="1.4728110917623267"/>
    <n v="0.8762258043889658"/>
    <n v="0.48801068062276493"/>
    <n v="1.247670099323547"/>
    <n v="-0.88340487543422042"/>
    <n v="-0.63400830971872202"/>
    <x v="0"/>
    <x v="0"/>
    <x v="0"/>
    <x v="0"/>
    <x v="0"/>
    <x v="0"/>
  </r>
  <r>
    <x v="2"/>
    <s v="ATR"/>
    <n v="10461"/>
    <n v="151.6"/>
    <n v="5.36"/>
    <n v="38.39"/>
    <n v="5.47"/>
    <n v="28.283582089552237"/>
    <n v="3.9489450377702524"/>
    <n v="15.05"/>
    <n v="7.13"/>
    <n v="1.78"/>
    <n v="27.714808043875685"/>
    <s v="NO"/>
    <n v="0.74686448974145692"/>
    <n v="0.92038809417758638"/>
    <n v="-9.3097422149573311E-2"/>
    <n v="0.56884802890375463"/>
    <n v="-1.0598990841626217"/>
    <n v="0.11162629961999482"/>
    <x v="0"/>
    <x v="0"/>
    <x v="0"/>
    <x v="0"/>
    <x v="0"/>
    <x v="0"/>
  </r>
  <r>
    <x v="2"/>
    <s v="CCDBF"/>
    <n v="10235"/>
    <n v="56.89"/>
    <n v="2.5299999999999998"/>
    <n v="21.6"/>
    <n v="3.33"/>
    <n v="22.48616600790514"/>
    <n v="2.6337962962962962"/>
    <n v="16.68"/>
    <n v="6.96"/>
    <n v="1.87"/>
    <n v="17.084084084084083"/>
    <s v="YES"/>
    <n v="-0.11764896245573504"/>
    <n v="-0.30040229459788259"/>
    <n v="9.0469672330835749E-2"/>
    <n v="0.49439657601900322"/>
    <n v="-0.9842587089933067"/>
    <n v="-0.99683896938631422"/>
    <x v="0"/>
    <x v="0"/>
    <x v="0"/>
    <x v="0"/>
    <x v="0"/>
    <x v="0"/>
  </r>
  <r>
    <x v="2"/>
    <s v="BALL"/>
    <n v="14864"/>
    <n v="54.23"/>
    <n v="0.96"/>
    <n v="19.68"/>
    <n v="1.75"/>
    <n v="56.489583333333336"/>
    <n v="2.7555894308943087"/>
    <n v="8.2200000000000006"/>
    <n v="4.26"/>
    <n v="3.28"/>
    <n v="30.988571428571426"/>
    <s v="NO"/>
    <n v="4.9529568530502583"/>
    <n v="-0.1873474868432457"/>
    <n v="-0.86227733337730006"/>
    <n v="-0.68806767567999016"/>
    <n v="0.2007738353259588"/>
    <n v="0.4529815097265798"/>
    <x v="1"/>
    <x v="0"/>
    <x v="0"/>
    <x v="0"/>
    <x v="0"/>
    <x v="0"/>
  </r>
  <r>
    <x v="2"/>
    <s v="AMCR"/>
    <n v="20874"/>
    <n v="9.18"/>
    <n v="0.5"/>
    <n v="2.67"/>
    <n v="0.56000000000000005"/>
    <n v="18.36"/>
    <n v="3.4382022471910112"/>
    <n v="20.8"/>
    <n v="4.92"/>
    <n v="4.68"/>
    <n v="16.392857142857142"/>
    <s v="NO"/>
    <n v="-0.73294480625850178"/>
    <n v="0.44628971259323452"/>
    <n v="0.5544552117537106"/>
    <n v="-0.39902085859801395"/>
    <n v="1.3774018935153005"/>
    <n v="-1.0689131818528892"/>
    <x v="0"/>
    <x v="0"/>
    <x v="0"/>
    <x v="0"/>
    <x v="0"/>
    <x v="0"/>
  </r>
  <r>
    <x v="2"/>
    <s v="IP"/>
    <n v="25239"/>
    <n v="48"/>
    <n v="-0.01"/>
    <n v="34.28"/>
    <n v="1.05"/>
    <n v="-4800"/>
    <n v="1.4002333722287048"/>
    <n v="3.01"/>
    <n v="1.54"/>
    <n v="2.2799999999999998"/>
    <n v="45.714285714285715"/>
    <s v="NO"/>
    <n v="-719.24908697444266"/>
    <n v="-1.445460426930286"/>
    <n v="-1.4490163286183626"/>
    <n v="-1.8792909218360128"/>
    <n v="-0.63967477766642833"/>
    <n v="1.9884312974138825"/>
    <x v="1"/>
    <x v="0"/>
    <x v="0"/>
    <x v="0"/>
    <x v="0"/>
    <x v="0"/>
  </r>
  <r>
    <x v="2"/>
    <s v="SW"/>
    <n v="22619"/>
    <n v="43.99"/>
    <n v="-0.13"/>
    <n v="34.32"/>
    <n v="1.1299999999999999"/>
    <n v="-338.38461538461542"/>
    <n v="1.2817599067599068"/>
    <n v="4.2300000000000004"/>
    <n v="3.54"/>
    <n v="2.5"/>
    <n v="38.929203539823014"/>
    <s v="NO"/>
    <n v="-53.930872064791799"/>
    <n v="-1.5554337428056715"/>
    <n v="-1.3116225523814919"/>
    <n v="-1.0033914761330549"/>
    <n v="-0.45477608280810294"/>
    <n v="1.2809509822262848"/>
    <x v="1"/>
    <x v="0"/>
    <x v="0"/>
    <x v="0"/>
    <x v="0"/>
    <x v="0"/>
  </r>
  <r>
    <x v="3"/>
    <s v="EVMNY"/>
    <n v="11874"/>
    <n v="60.343000000000004"/>
    <m/>
    <m/>
    <m/>
    <s v=""/>
    <s v=""/>
    <n v="16.68"/>
    <n v="8.27"/>
    <n v="2.0699999999999998"/>
    <s v=""/>
    <s v="NO"/>
    <e v="#VALUE!"/>
    <e v="#VALUE!"/>
    <n v="0.55782633218491862"/>
    <n v="0.42254861355636025"/>
    <n v="0.99042736605177129"/>
    <e v="#VALUE!"/>
    <x v="1"/>
    <x v="1"/>
    <x v="0"/>
    <x v="0"/>
    <x v="0"/>
    <x v="1"/>
  </r>
  <r>
    <x v="3"/>
    <s v="RS"/>
    <n v="15399"/>
    <n v="309.13"/>
    <n v="17.54"/>
    <n v="134.28"/>
    <n v="14.01"/>
    <n v="17.624287343215506"/>
    <n v="2.3021298778671433"/>
    <n v="10.29"/>
    <n v="6.34"/>
    <n v="1.46"/>
    <n v="22.064953604568167"/>
    <s v="YES"/>
    <n v="-0.37643348667146986"/>
    <n v="-0.22648731536521663"/>
    <n v="-0.24520833093611183"/>
    <n v="-0.14807680276814733"/>
    <n v="-0.71512942282782632"/>
    <n v="1.4644292180649911E-2"/>
    <x v="0"/>
    <x v="0"/>
    <x v="0"/>
    <x v="0"/>
    <x v="0"/>
    <x v="0"/>
  </r>
  <r>
    <x v="3"/>
    <s v="RGLD"/>
    <n v="11723"/>
    <n v="176.77"/>
    <n v="5.6"/>
    <n v="48.73"/>
    <n v="6.04"/>
    <n v="31.566071428571433"/>
    <n v="3.6275395033860049"/>
    <n v="12.99"/>
    <n v="8.81"/>
    <n v="1.08"/>
    <n v="29.266556291390732"/>
    <s v="NO"/>
    <n v="0.30945774039130081"/>
    <n v="0.53540236428071597"/>
    <n v="9.4102090100943406E-2"/>
    <n v="0.58220546579223309"/>
    <n v="-1.7776074224577394"/>
    <n v="0.64932547283028175"/>
    <x v="0"/>
    <x v="0"/>
    <x v="0"/>
    <x v="0"/>
    <x v="0"/>
    <x v="0"/>
  </r>
  <r>
    <x v="3"/>
    <s v="AEM"/>
    <n v="59406"/>
    <n v="118.5"/>
    <n v="4.67"/>
    <n v="43.05"/>
    <n v="4.7"/>
    <n v="25.37473233404711"/>
    <n v="2.7526132404181185"/>
    <n v="11.45"/>
    <n v="7.81"/>
    <n v="1.41"/>
    <n v="25.212765957446809"/>
    <s v="NO"/>
    <n v="4.8636409054616777E-3"/>
    <n v="3.2465553371815753E-2"/>
    <n v="-9.943052041648813E-2"/>
    <n v="0.28654462831839472"/>
    <n v="-0.85492915962123606"/>
    <n v="0.2920627151997614"/>
    <x v="0"/>
    <x v="0"/>
    <x v="0"/>
    <x v="0"/>
    <x v="0"/>
    <x v="0"/>
  </r>
  <r>
    <x v="3"/>
    <s v="CRS"/>
    <n v="11698"/>
    <n v="253.08"/>
    <n v="4.54"/>
    <n v="35.799999999999997"/>
    <n v="7.05"/>
    <n v="55.744493392070488"/>
    <n v="7.0692737430167609"/>
    <n v="21.8"/>
    <n v="9.25"/>
    <n v="1.89"/>
    <n v="35.897872340425536"/>
    <s v="NO"/>
    <n v="1.4989588406418026"/>
    <n v="2.5138260506427232"/>
    <n v="1.2012594268922232"/>
    <n v="0.71229623428072175"/>
    <n v="0.48714831359549665"/>
    <n v="1.2337469804154528"/>
    <x v="0"/>
    <x v="0"/>
    <x v="0"/>
    <x v="0"/>
    <x v="0"/>
    <x v="0"/>
  </r>
  <r>
    <x v="3"/>
    <s v="SCCO"/>
    <n v="73098"/>
    <n v="96.93"/>
    <n v="4.2300000000000004"/>
    <n v="11.56"/>
    <n v="4.5199999999999996"/>
    <n v="22.914893617021274"/>
    <n v="8.3849480968858128"/>
    <n v="41.74"/>
    <n v="20.16"/>
    <n v="2.0699999999999998"/>
    <n v="21.444690265486731"/>
    <s v="NO"/>
    <n v="-0.11615256374007805"/>
    <n v="3.2701195712931792"/>
    <n v="3.7071297215140304"/>
    <n v="3.9379559711202967"/>
    <n v="0.99042736605177129"/>
    <n v="-4.0019854882367353E-2"/>
    <x v="0"/>
    <x v="1"/>
    <x v="1"/>
    <x v="1"/>
    <x v="0"/>
    <x v="0"/>
  </r>
  <r>
    <x v="3"/>
    <s v="NEM"/>
    <n v="58677"/>
    <n v="53.28"/>
    <n v="3.72"/>
    <n v="27.9"/>
    <n v="4.38"/>
    <n v="14.32258064516129"/>
    <n v="1.9096774193548389"/>
    <n v="16.66"/>
    <n v="7.86"/>
    <n v="1.78"/>
    <n v="12.164383561643836"/>
    <s v="NO"/>
    <n v="-0.53886690585692854"/>
    <n v="-0.45208208405806188"/>
    <n v="0.55531292165871826"/>
    <n v="0.30132767019208684"/>
    <n v="0.17958889264999572"/>
    <n v="-0.85789835661688307"/>
    <x v="0"/>
    <x v="0"/>
    <x v="0"/>
    <x v="0"/>
    <x v="0"/>
    <x v="0"/>
  </r>
  <r>
    <x v="3"/>
    <s v="RIO"/>
    <n v="96554"/>
    <n v="59.31"/>
    <n v="3.68"/>
    <n v="34.03"/>
    <n v="7.07"/>
    <n v="16.116847826086957"/>
    <n v="1.7428739347634441"/>
    <n v="20.25"/>
    <n v="8.48"/>
    <n v="1.86"/>
    <n v="8.3889674681753892"/>
    <s v="NO"/>
    <n v="-0.45059469400305041"/>
    <n v="-0.54796629297906807"/>
    <n v="1.0064701111116916"/>
    <n v="0.48463738942586654"/>
    <n v="0.40326847151945139"/>
    <n v="-1.1906278402956614"/>
    <x v="0"/>
    <x v="0"/>
    <x v="0"/>
    <x v="0"/>
    <x v="0"/>
    <x v="0"/>
  </r>
  <r>
    <x v="3"/>
    <s v="AU"/>
    <n v="22085"/>
    <n v="46.38"/>
    <n v="2.85"/>
    <n v="13.44"/>
    <n v="3.06"/>
    <n v="16.273684210526316"/>
    <n v="3.4508928571428577"/>
    <n v="24.68"/>
    <n v="9.1999999999999993"/>
    <n v="1.98"/>
    <n v="15.15686274509804"/>
    <s v="NO"/>
    <n v="-0.44287884504766517"/>
    <n v="0.43385997759099099"/>
    <n v="1.5631905426650818"/>
    <n v="0.69751319240702969"/>
    <n v="0.73878783982363427"/>
    <n v="-0.59416953071269507"/>
    <x v="0"/>
    <x v="0"/>
    <x v="0"/>
    <x v="0"/>
    <x v="0"/>
    <x v="0"/>
  </r>
  <r>
    <x v="3"/>
    <s v="LUGDF"/>
    <n v="11616"/>
    <n v="50.02"/>
    <n v="2.76"/>
    <n v="5.41"/>
    <n v="2.2200000000000002"/>
    <n v="18.123188405797105"/>
    <n v="9.245841035120149"/>
    <n v="47.31"/>
    <n v="29.78"/>
    <n v="1.24"/>
    <n v="22.531531531531531"/>
    <s v="NO"/>
    <n v="-0.35188914859378856"/>
    <n v="3.7649895588745919"/>
    <n v="4.4071145530608442"/>
    <n v="6.7822132276186204"/>
    <n v="-1.3302482647188287"/>
    <n v="5.5764059880695147E-2"/>
    <x v="0"/>
    <x v="1"/>
    <x v="1"/>
    <x v="1"/>
    <x v="0"/>
    <x v="0"/>
  </r>
  <r>
    <x v="3"/>
    <s v="NUE"/>
    <n v="25235"/>
    <n v="122.53"/>
    <n v="2.21"/>
    <n v="86.97"/>
    <n v="5.64"/>
    <n v="55.443438914027148"/>
    <n v="1.4088766241232609"/>
    <n v="7.4"/>
    <n v="3.87"/>
    <n v="1.73"/>
    <n v="21.725177304964539"/>
    <s v="NO"/>
    <n v="1.4841479223193204"/>
    <n v="-0.73995909211588928"/>
    <n v="-0.60839615197207064"/>
    <n v="-0.87835907132852753"/>
    <n v="3.9789155856585934E-2"/>
    <n v="-1.5300378799851065E-2"/>
    <x v="0"/>
    <x v="0"/>
    <x v="0"/>
    <x v="0"/>
    <x v="0"/>
    <x v="0"/>
  </r>
  <r>
    <x v="3"/>
    <s v="BHP"/>
    <n v="124306"/>
    <n v="50.18"/>
    <n v="2.04"/>
    <n v="8.9700000000000006"/>
    <n v="4.4800000000000004"/>
    <n v="24.598039215686274"/>
    <n v="5.5942028985507246"/>
    <n v="27.69"/>
    <n v="13.22"/>
    <n v="2.21"/>
    <n v="11.200892857142856"/>
    <s v="NO"/>
    <n v="-3.3347178652652507E-2"/>
    <n v="1.6659061083793418"/>
    <n v="1.9414588268582436"/>
    <n v="1.8860697590518596"/>
    <n v="1.3818666290733186"/>
    <n v="-0.94281131897685377"/>
    <x v="0"/>
    <x v="0"/>
    <x v="0"/>
    <x v="0"/>
    <x v="0"/>
    <x v="0"/>
  </r>
  <r>
    <x v="3"/>
    <s v="WPM"/>
    <n v="39370"/>
    <n v="89.13"/>
    <n v="1.94"/>
    <n v="16.45"/>
    <n v="1.36"/>
    <n v="45.943298969072167"/>
    <n v="5.4182370820668693"/>
    <n v="8.51"/>
    <n v="6.4"/>
    <n v="1.04"/>
    <n v="65.536764705882348"/>
    <s v="NO"/>
    <n v="1.0167713940199394"/>
    <n v="1.5647550853535084"/>
    <n v="-0.46890186776794807"/>
    <n v="-0.13033715251971689"/>
    <n v="-1.8894472118924672"/>
    <n v="3.8458387629954838"/>
    <x v="0"/>
    <x v="0"/>
    <x v="0"/>
    <x v="0"/>
    <x v="0"/>
    <x v="1"/>
  </r>
  <r>
    <x v="3"/>
    <s v="KGC"/>
    <n v="18095"/>
    <n v="15.08"/>
    <n v="1.27"/>
    <n v="5.85"/>
    <n v="0.98"/>
    <n v="11.874015748031496"/>
    <n v="2.5777777777777779"/>
    <n v="18.760000000000002"/>
    <n v="10.46"/>
    <n v="1.52"/>
    <n v="15.387755102040817"/>
    <s v="YES"/>
    <n v="-0.65932847458823807"/>
    <n v="-6.8035704546581546E-2"/>
    <n v="0.81922102690976129"/>
    <n v="1.0700458476240662"/>
    <n v="-0.54736973867573457"/>
    <n v="-0.5738208611067529"/>
    <x v="0"/>
    <x v="0"/>
    <x v="0"/>
    <x v="0"/>
    <x v="0"/>
    <x v="0"/>
  </r>
  <r>
    <x v="3"/>
    <s v="FCX"/>
    <n v="55265"/>
    <n v="42.34"/>
    <n v="1.1100000000000001"/>
    <n v="12.31"/>
    <n v="1.22"/>
    <n v="38.144144144144143"/>
    <n v="3.4394800974817223"/>
    <n v="14.06"/>
    <n v="7.5"/>
    <n v="3.17"/>
    <n v="34.704918032786885"/>
    <s v="NO"/>
    <n v="0.63307789825412519"/>
    <n v="0.42729954251138724"/>
    <n v="0.22856955325266529"/>
    <n v="0.19488976870150498"/>
    <n v="4.0660215755067837"/>
    <n v="1.1286112653032345"/>
    <x v="0"/>
    <x v="0"/>
    <x v="0"/>
    <x v="0"/>
    <x v="1"/>
    <x v="0"/>
  </r>
  <r>
    <x v="3"/>
    <s v="B"/>
    <n v="32945"/>
    <n v="20.309999999999999"/>
    <n v="0.95"/>
    <n v="14.22"/>
    <n v="1.32"/>
    <n v="21.378947368421052"/>
    <n v="1.4282700421940926"/>
    <n v="10.28"/>
    <n v="6.92"/>
    <n v="1.97"/>
    <n v="15.386363636363635"/>
    <s v="NO"/>
    <n v="-0.19171621116891935"/>
    <n v="-0.72881110827999296"/>
    <n v="-0.24646503619921201"/>
    <n v="2.3406482966678837E-2"/>
    <n v="0.71082789246495226"/>
    <n v="-0.57394349173735459"/>
    <x v="0"/>
    <x v="0"/>
    <x v="0"/>
    <x v="0"/>
    <x v="0"/>
    <x v="0"/>
  </r>
  <r>
    <x v="3"/>
    <s v="FNV"/>
    <n v="32519"/>
    <n v="167.15"/>
    <n v="0.92"/>
    <n v="32.659999999999997"/>
    <n v="3.21"/>
    <n v="181.68478260869566"/>
    <n v="5.1178812002449483"/>
    <n v="10.199999999999999"/>
    <n v="8.0299999999999994"/>
    <n v="1.06"/>
    <n v="52.071651090342684"/>
    <s v="NO"/>
    <n v="7.6948186372487433"/>
    <n v="1.392100502064594"/>
    <n v="-0.25651867830401365"/>
    <n v="0.35159001256263905"/>
    <n v="-1.8335273171751034"/>
    <n v="2.6591509410291803"/>
    <x v="1"/>
    <x v="0"/>
    <x v="0"/>
    <x v="0"/>
    <x v="0"/>
    <x v="0"/>
  </r>
  <r>
    <x v="3"/>
    <s v="GFI"/>
    <n v="20586"/>
    <n v="24.66"/>
    <n v="0.87"/>
    <n v="5.81"/>
    <n v="1.38"/>
    <n v="28.344827586206897"/>
    <n v="4.2444061962134256"/>
    <n v="25.84"/>
    <n v="13.51"/>
    <n v="1.95"/>
    <n v="17.869565217391305"/>
    <s v="NO"/>
    <n v="0.15098283659268838"/>
    <n v="0.88999792321861304"/>
    <n v="1.7089683531847055"/>
    <n v="1.9718114019192723"/>
    <n v="0.65490799774758834"/>
    <n v="-0.35509757926824514"/>
    <x v="0"/>
    <x v="0"/>
    <x v="0"/>
    <x v="0"/>
    <x v="0"/>
    <x v="0"/>
  </r>
  <r>
    <x v="3"/>
    <s v="MT"/>
    <n v="23287"/>
    <n v="30.38"/>
    <n v="0.59"/>
    <n v="66.67"/>
    <n v="1.53"/>
    <n v="51.491525423728817"/>
    <n v="0.45567721613919299"/>
    <n v="2.25"/>
    <n v="2.1800000000000002"/>
    <n v="1.79"/>
    <n v="19.856209150326798"/>
    <s v="NO"/>
    <n v="1.289726406643019"/>
    <n v="-1.2878899186355579"/>
    <n v="-1.2555993624686759"/>
    <n v="-1.3780258866593138"/>
    <n v="0.20754884000867768"/>
    <n v="-0.18001356370694721"/>
    <x v="0"/>
    <x v="0"/>
    <x v="0"/>
    <x v="0"/>
    <x v="0"/>
    <x v="0"/>
  </r>
  <r>
    <x v="3"/>
    <s v="AGI"/>
    <n v="10888"/>
    <n v="27.21"/>
    <n v="0.46"/>
    <n v="8.56"/>
    <n v="0.62"/>
    <n v="59.152173913043477"/>
    <n v="3.1787383177570092"/>
    <n v="7.85"/>
    <n v="6.46"/>
    <n v="1.49"/>
    <n v="43.887096774193552"/>
    <s v="NO"/>
    <n v="1.6666058332833757"/>
    <n v="0.27741646697011568"/>
    <n v="-0.55184441513256155"/>
    <n v="-0.1125975022712867"/>
    <n v="-0.63124958075178039"/>
    <n v="1.9378416960788056"/>
    <x v="0"/>
    <x v="0"/>
    <x v="0"/>
    <x v="0"/>
    <x v="0"/>
    <x v="0"/>
  </r>
  <r>
    <x v="3"/>
    <s v="VALE"/>
    <n v="38974"/>
    <n v="9.58"/>
    <n v="0.27"/>
    <n v="8.3000000000000007"/>
    <n v="1.29"/>
    <n v="35.481481481481481"/>
    <n v="1.1542168674698794"/>
    <n v="15"/>
    <n v="7.76"/>
    <n v="2.37"/>
    <n v="7.4263565891472867"/>
    <s v="NO"/>
    <n v="0.50208340359212489"/>
    <n v="-0.88634601784792588"/>
    <n v="0.34669984798408437"/>
    <n v="0.27176158644470289"/>
    <n v="1.8292257868122299"/>
    <n v="-1.2754632631558602"/>
    <x v="0"/>
    <x v="0"/>
    <x v="0"/>
    <x v="0"/>
    <x v="0"/>
    <x v="0"/>
  </r>
  <r>
    <x v="3"/>
    <s v="FQVLF"/>
    <n v="12346"/>
    <n v="15.71"/>
    <n v="0.06"/>
    <n v="13.7"/>
    <n v="0.16"/>
    <n v="261.83333333333337"/>
    <n v="1.1467153284671534"/>
    <n v="0.44"/>
    <n v="3.01"/>
    <n v="2.13"/>
    <n v="98.1875"/>
    <s v="NO"/>
    <n v="11.637871224153086"/>
    <n v="-0.89065815278160787"/>
    <n v="-1.4830630150898128"/>
    <n v="-1.1326273915560285"/>
    <n v="1.1581870502038629"/>
    <n v="6.723365908927545"/>
    <x v="1"/>
    <x v="0"/>
    <x v="0"/>
    <x v="0"/>
    <x v="0"/>
    <x v="1"/>
  </r>
  <r>
    <x v="3"/>
    <s v="TECK"/>
    <n v="18451"/>
    <n v="38.99"/>
    <n v="-0.09"/>
    <n v="35.869999999999997"/>
    <n v="-0.15"/>
    <n v="-433.22222222222229"/>
    <n v="1.086980763869529"/>
    <n v="-1.31"/>
    <n v="1.69"/>
    <n v="1.78"/>
    <n v="-259.93333333333334"/>
    <s v="NO"/>
    <n v="-22.556641110716793"/>
    <n v="-0.92499557376363595"/>
    <n v="-1.7029864361323486"/>
    <n v="-1.5228996970214947"/>
    <n v="0.17958889264999572"/>
    <n v="-24.838018854929"/>
    <x v="1"/>
    <x v="0"/>
    <x v="0"/>
    <x v="0"/>
    <x v="0"/>
    <x v="1"/>
  </r>
  <r>
    <x v="3"/>
    <s v="IVPAF"/>
    <n v="10483"/>
    <n v="8.23"/>
    <n v="-0.46"/>
    <n v="3.79"/>
    <n v="0.32"/>
    <n v="-17.891304347826086"/>
    <n v="2.1715039577836412"/>
    <n v="9.08"/>
    <n v="-1.48"/>
    <n v="1.29"/>
    <n v="25.71875"/>
    <s v="NO"/>
    <n v="-2.1236871104322743"/>
    <n v="-0.30157545301693633"/>
    <n v="-0.3972696677712364"/>
    <n v="-2.4601445518135616"/>
    <n v="-1.1904485279254189"/>
    <n v="0.33665536540318758"/>
    <x v="0"/>
    <x v="0"/>
    <x v="0"/>
    <x v="1"/>
    <x v="0"/>
    <x v="0"/>
  </r>
  <r>
    <x v="3"/>
    <s v="STLD"/>
    <n v="18270"/>
    <n v="133.63"/>
    <n v="-1.03"/>
    <n v="59.08"/>
    <n v="7.59"/>
    <n v="-129.73786407766988"/>
    <n v="2.2618483412322274"/>
    <n v="13.2"/>
    <n v="5.92"/>
    <n v="1.81"/>
    <n v="17.606060606060606"/>
    <s v="NO"/>
    <n v="-7.6261804517565714"/>
    <n v="-0.24964248675640643"/>
    <n v="0.12049290062604757"/>
    <n v="-0.27225435450715935"/>
    <n v="0.2634687347260416"/>
    <n v="-0.37832038467682561"/>
    <x v="1"/>
    <x v="0"/>
    <x v="0"/>
    <x v="0"/>
    <x v="0"/>
    <x v="0"/>
  </r>
  <r>
    <x v="3"/>
    <s v="PKX"/>
    <n v="13514"/>
    <n v="48.24"/>
    <n v="-6.35"/>
    <n v="498.84"/>
    <n v="7.09"/>
    <n v="-7.5968503937007883"/>
    <n v="9.6704354101515524E-2"/>
    <n v="1.1200000000000001"/>
    <n v="1.29"/>
    <n v="1.84"/>
    <n v="6.8039492242595205"/>
    <s v="NO"/>
    <n v="-1.6172328710532022"/>
    <n v="-1.4942394981117162"/>
    <n v="-1.3976070571989987"/>
    <n v="-1.6411640320110301"/>
    <n v="0.34734857680208747"/>
    <n v="-1.3303163643849543"/>
    <x v="0"/>
    <x v="0"/>
    <x v="0"/>
    <x v="0"/>
    <x v="0"/>
    <x v="0"/>
  </r>
  <r>
    <x v="3"/>
    <s v="X"/>
    <n v="12186"/>
    <n v="53.14"/>
    <n v="-6.36"/>
    <n v="49.63"/>
    <n v="0.43"/>
    <n v="-8.3553459119496853"/>
    <n v="1.0707233528107998"/>
    <n v="0.86"/>
    <n v="-0.06"/>
    <n v="1.79"/>
    <n v="123.58139534883722"/>
    <s v="NO"/>
    <n v="-1.6545484268348902"/>
    <n v="-0.93434087612520478"/>
    <n v="-1.4302813940396042"/>
    <n v="-2.0403061626007113"/>
    <n v="0.20754884000867768"/>
    <n v="8.9613437844335078"/>
    <x v="0"/>
    <x v="0"/>
    <x v="0"/>
    <x v="0"/>
    <x v="0"/>
    <x v="1"/>
  </r>
  <r>
    <x v="4"/>
    <s v="SUZ"/>
    <n v="10725"/>
    <n v="9.6199999999999992"/>
    <n v="0.92"/>
    <n v="5.43"/>
    <n v="-0.13"/>
    <n v="10.456521739130434"/>
    <n v="1.7716390423572743"/>
    <n v="-2.2000000000000002"/>
    <n v="6.02"/>
    <n v="4.04"/>
    <n v="-73.999999999999986"/>
    <s v="NO"/>
    <e v="#DIV/0!"/>
    <e v="#DIV/0!"/>
    <e v="#DIV/0!"/>
    <e v="#DIV/0!"/>
    <e v="#DIV/0!"/>
    <e v="#DIV/0!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">
  <r>
    <x v="0"/>
    <s v="NEU"/>
    <n v="6076"/>
    <n v="648.5"/>
    <n v="50.39"/>
    <n v="161.06"/>
    <n v="50.24"/>
    <n v="12.869616987497519"/>
    <n v="4.0264497702719479"/>
    <n v="35.979999999999997"/>
    <n v="12.81"/>
    <n v="2.13"/>
    <n v="12.908041401273884"/>
    <s v="NO"/>
    <n v="-0.52504842939883012"/>
    <n v="2.313179673609242"/>
    <n v="2.2227297764981278"/>
    <n v="2.6977552501733562"/>
    <n v="-0.12857623814149569"/>
    <n v="-0.15092211454232005"/>
    <x v="0"/>
    <x v="0"/>
    <x v="0"/>
    <x v="0"/>
    <x v="0"/>
    <x v="0"/>
  </r>
  <r>
    <x v="0"/>
    <s v="SMG"/>
    <n v="3438"/>
    <n v="65.37"/>
    <n v="6.68"/>
    <n v="-5.03"/>
    <n v="0.63"/>
    <n v="9.7859281437125762"/>
    <n v="-12.996023856858848"/>
    <n v="-13.35"/>
    <n v="6.69"/>
    <n v="-12.19"/>
    <n v="103.76190476190477"/>
    <s v="NO"/>
    <n v="-0.72800009677245536"/>
    <n v="-14.067888007443099"/>
    <n v="-1.0562807255393325"/>
    <n v="0.7687716919655021"/>
    <n v="-35.880260319427059"/>
    <n v="3.8883375825388686"/>
    <x v="0"/>
    <x v="1"/>
    <x v="1"/>
    <x v="1"/>
    <x v="1"/>
    <x v="1"/>
  </r>
  <r>
    <x v="0"/>
    <s v="CBT"/>
    <n v="4013"/>
    <n v="76.62"/>
    <n v="5.28"/>
    <n v="26.57"/>
    <n v="7.72"/>
    <n v="14.511363636363637"/>
    <n v="2.8837034249153182"/>
    <n v="30.68"/>
    <n v="11.06"/>
    <n v="2.65"/>
    <n v="9.924870466321245"/>
    <s v="NO"/>
    <n v="-0.41699757320950265"/>
    <n v="1.2134919527995731"/>
    <n v="1.8704338985172131"/>
    <n v="2.1461668144113064"/>
    <n v="1.1696692731901031"/>
    <n v="-0.28355051009252696"/>
    <x v="0"/>
    <x v="0"/>
    <x v="1"/>
    <x v="1"/>
    <x v="0"/>
    <x v="0"/>
  </r>
  <r>
    <x v="0"/>
    <s v="EMN"/>
    <n v="9049"/>
    <n v="79.95"/>
    <n v="4.95"/>
    <n v="50.87"/>
    <n v="7.86"/>
    <n v="16.151515151515152"/>
    <n v="1.5716532337330451"/>
    <n v="16.03"/>
    <n v="5.95"/>
    <n v="2.5499999999999998"/>
    <n v="10.17175572519084"/>
    <s v="NO"/>
    <n v="-0.3090517000659565"/>
    <n v="-4.9120253480412254E-2"/>
    <n v="0.89663491504166482"/>
    <n v="0.53552858198612097"/>
    <n v="0.92000667485710308"/>
    <n v="-0.27257427155881664"/>
    <x v="0"/>
    <x v="0"/>
    <x v="1"/>
    <x v="1"/>
    <x v="0"/>
    <x v="0"/>
  </r>
  <r>
    <x v="0"/>
    <s v="BCPC"/>
    <n v="5437"/>
    <n v="168.07"/>
    <n v="4.66"/>
    <n v="37.06"/>
    <n v="4.17"/>
    <n v="36.066523605150209"/>
    <n v="4.5350782514840793"/>
    <n v="11.94"/>
    <n v="7.54"/>
    <n v="1.34"/>
    <n v="40.304556354916066"/>
    <s v="NO"/>
    <n v="1.0016460960398792"/>
    <n v="2.8026430593516789"/>
    <n v="0.62476885071299615"/>
    <n v="1.036686075049926"/>
    <n v="-2.100910764972193"/>
    <n v="1.0670958606919754"/>
    <x v="0"/>
    <x v="1"/>
    <x v="1"/>
    <x v="1"/>
    <x v="0"/>
    <x v="0"/>
  </r>
  <r>
    <x v="0"/>
    <s v="CE"/>
    <n v="5780"/>
    <n v="56.91"/>
    <n v="4.59"/>
    <n v="47.4"/>
    <n v="-15.1"/>
    <n v="12.398692810457517"/>
    <n v="1.200632911392405"/>
    <n v="-24.98"/>
    <n v="2.66"/>
    <n v="4.47"/>
    <n v="-3.7688741721854302"/>
    <s v="NO"/>
    <n v="-0.55604210346210281"/>
    <n v="-0.40616054882392177"/>
    <n v="-1.8293375294861329"/>
    <n v="-0.50145767724653278"/>
    <n v="5.7135285628506978"/>
    <n v="-0.89235886203774395"/>
    <x v="0"/>
    <x v="0"/>
    <x v="1"/>
    <x v="1"/>
    <x v="1"/>
    <x v="0"/>
  </r>
  <r>
    <x v="0"/>
    <s v="HWKN"/>
    <n v="2777"/>
    <n v="136.97"/>
    <n v="3.36"/>
    <n v="22.25"/>
    <n v="4.03"/>
    <n v="40.764880952380956"/>
    <n v="6.1559550561797751"/>
    <n v="19.47"/>
    <n v="10.43"/>
    <n v="1.67"/>
    <n v="33.987593052109176"/>
    <s v="NO"/>
    <n v="1.3108664829992915"/>
    <n v="4.3624453079537489"/>
    <n v="1.1252948811273906"/>
    <n v="1.9475949775369683"/>
    <n v="-1.2770241904732944"/>
    <n v="0.78625083844248278"/>
    <x v="0"/>
    <x v="1"/>
    <x v="1"/>
    <x v="1"/>
    <x v="0"/>
    <x v="0"/>
  </r>
  <r>
    <x v="0"/>
    <s v="IOSP"/>
    <n v="2124"/>
    <n v="87.52"/>
    <n v="2.75"/>
    <n v="50.45"/>
    <n v="1.08"/>
    <n v="31.825454545454544"/>
    <n v="1.7347869177403368"/>
    <n v="2.2000000000000002"/>
    <n v="0.81"/>
    <n v="1.41"/>
    <n v="81.037037037037024"/>
    <s v="NO"/>
    <n v="0.72252194288587313"/>
    <n v="0.10786656155707287"/>
    <n v="-2.2657913727402425E-2"/>
    <n v="-1.0845654521949855"/>
    <n v="-1.9261469461390939"/>
    <n v="2.878015743409077"/>
    <x v="0"/>
    <x v="0"/>
    <x v="1"/>
    <x v="1"/>
    <x v="0"/>
    <x v="0"/>
  </r>
  <r>
    <x v="0"/>
    <s v="LNXSY"/>
    <n v="2634"/>
    <n v="6"/>
    <n v="2.0499999999999998"/>
    <n v="54.6"/>
    <n v="-1.7"/>
    <n v="2.9268292682926833"/>
    <n v="0.10989010989010989"/>
    <n v="-3.03"/>
    <n v="0.37"/>
    <n v="2.1800000000000002"/>
    <n v="-3.5294117647058822"/>
    <s v="NO"/>
    <n v="-1.1794287667735421"/>
    <n v="-1.4558042166838072"/>
    <n v="-0.37030082728215452"/>
    <n v="-1.223250544615158"/>
    <n v="-3.7449389749951382E-3"/>
    <n v="-0.88171263505608211"/>
    <x v="0"/>
    <x v="0"/>
    <x v="1"/>
    <x v="1"/>
    <x v="0"/>
    <x v="0"/>
  </r>
  <r>
    <x v="0"/>
    <s v="AXTA"/>
    <n v="6732"/>
    <n v="30.94"/>
    <n v="1.86"/>
    <n v="9.5"/>
    <n v="2.0499999999999998"/>
    <n v="16.634408602150536"/>
    <n v="3.256842105263158"/>
    <n v="23.15"/>
    <n v="6.78"/>
    <n v="3.57"/>
    <n v="15.092682926829271"/>
    <s v="NO"/>
    <n v="-0.27727027336080173"/>
    <n v="1.5725707865276175"/>
    <n v="1.3699078681028185"/>
    <n v="0.79713909723326459"/>
    <n v="3.4665651778537003"/>
    <n v="-5.3795430653062026E-2"/>
    <x v="0"/>
    <x v="0"/>
    <x v="1"/>
    <x v="1"/>
    <x v="1"/>
    <x v="0"/>
  </r>
  <r>
    <x v="0"/>
    <s v="SXT"/>
    <n v="4014"/>
    <n v="96.71"/>
    <n v="1.61"/>
    <n v="25.92"/>
    <n v="3.02"/>
    <n v="60.06832298136645"/>
    <n v="3.7310956790123453"/>
    <n v="11.88"/>
    <n v="6.16"/>
    <n v="1.91"/>
    <n v="32.023178807947019"/>
    <s v="NO"/>
    <n v="2.5813142954394563"/>
    <n v="2.0289545095832571"/>
    <n v="0.62078059549057074"/>
    <n v="0.60171919427756693"/>
    <n v="-0.677833954474095"/>
    <n v="0.69891520965011678"/>
    <x v="0"/>
    <x v="0"/>
    <x v="1"/>
    <x v="1"/>
    <x v="0"/>
    <x v="0"/>
  </r>
  <r>
    <x v="0"/>
    <s v="FMC"/>
    <n v="5066"/>
    <n v="44.06"/>
    <n v="1.61"/>
    <n v="35.08"/>
    <n v="3.07"/>
    <n v="27.366459627329192"/>
    <n v="1.2559863169897378"/>
    <n v="8.81"/>
    <n v="3.13"/>
    <n v="2.69"/>
    <n v="14.351791530944627"/>
    <s v="NO"/>
    <n v="0.42905509221189053"/>
    <n v="-0.3528928567523385"/>
    <n v="0.41671486994313511"/>
    <n v="-0.35331678307043946"/>
    <n v="1.269534312523303"/>
    <n v="-8.6734621619902655E-2"/>
    <x v="0"/>
    <x v="0"/>
    <x v="1"/>
    <x v="1"/>
    <x v="0"/>
    <x v="0"/>
  </r>
  <r>
    <x v="0"/>
    <s v="AVNT"/>
    <n v="3307"/>
    <n v="37.57"/>
    <n v="1.52"/>
    <n v="25.11"/>
    <n v="1.08"/>
    <n v="24.717105263157894"/>
    <n v="1.4962166467542812"/>
    <n v="4.3499999999999996"/>
    <n v="3.45"/>
    <n v="2.5299999999999998"/>
    <n v="34.787037037037038"/>
    <s v="NO"/>
    <n v="0.2546889635553462"/>
    <n v="-0.12171439367383197"/>
    <n v="0.12025456507617631"/>
    <n v="-0.25245489767395024"/>
    <n v="0.87007415519050313"/>
    <n v="0.82179321109399472"/>
    <x v="0"/>
    <x v="0"/>
    <x v="1"/>
    <x v="1"/>
    <x v="0"/>
    <x v="0"/>
  </r>
  <r>
    <x v="0"/>
    <s v="FUL"/>
    <n v="3025"/>
    <n v="57.13"/>
    <n v="1.33"/>
    <n v="32.79"/>
    <n v="1.99"/>
    <n v="42.954887218045116"/>
    <n v="1.742299481549253"/>
    <n v="6.35"/>
    <n v="4.72"/>
    <n v="2.79"/>
    <n v="28.708542713567841"/>
    <s v="NO"/>
    <n v="1.455000812268936"/>
    <n v="0.11509605234129935"/>
    <n v="0.25319640582369141"/>
    <n v="0.14784070999336577"/>
    <n v="1.519196910856303"/>
    <n v="0.55155024913795825"/>
    <x v="0"/>
    <x v="0"/>
    <x v="1"/>
    <x v="1"/>
    <x v="0"/>
    <x v="0"/>
  </r>
  <r>
    <x v="0"/>
    <s v="SQM"/>
    <n v="8692"/>
    <n v="33.54"/>
    <n v="1.32"/>
    <n v="18.39"/>
    <n v="2.11"/>
    <n v="25.409090909090907"/>
    <n v="1.8238172920065252"/>
    <n v="12.21"/>
    <n v="5.6"/>
    <n v="2.19"/>
    <n v="15.895734597156398"/>
    <s v="NO"/>
    <n v="0.30023170400523652"/>
    <n v="0.19354227581985797"/>
    <n v="0.64271599921391087"/>
    <n v="0.42521089483371077"/>
    <n v="2.1221320858304304E-2"/>
    <n v="-1.8092664401388462E-2"/>
    <x v="0"/>
    <x v="0"/>
    <x v="1"/>
    <x v="1"/>
    <x v="0"/>
    <x v="0"/>
  </r>
  <r>
    <x v="0"/>
    <s v="ESI"/>
    <n v="5185"/>
    <n v="21.96"/>
    <n v="1.1200000000000001"/>
    <n v="10.39"/>
    <n v="1.17"/>
    <n v="19.607142857142858"/>
    <n v="2.1135707410972087"/>
    <n v="11.69"/>
    <n v="4.5199999999999996"/>
    <n v="1.9"/>
    <n v="18.76923076923077"/>
    <s v="NO"/>
    <n v="-8.1621034973681561E-2"/>
    <n v="0.47237782959083341"/>
    <n v="0.60815112061955678"/>
    <n v="8.480203162056002E-2"/>
    <n v="-0.70280021430739503"/>
    <n v="0.10965971561029721"/>
    <x v="0"/>
    <x v="0"/>
    <x v="1"/>
    <x v="1"/>
    <x v="0"/>
    <x v="0"/>
  </r>
  <r>
    <x v="0"/>
    <s v="SASOF"/>
    <n v="2914"/>
    <n v="4.58"/>
    <n v="1.0900000000000001"/>
    <n v="12.32"/>
    <n v="-4.0999999999999996"/>
    <n v="4.2018348623853212"/>
    <n v="0.37175324675324672"/>
    <n v="-27.46"/>
    <n v="6.24"/>
    <n v="2.48"/>
    <n v="-1.1170731707317074"/>
    <s v="NO"/>
    <n v="-1.0955148168452504"/>
    <n v="-1.2038080695850177"/>
    <n v="-1.9941854120130518"/>
    <n v="0.6269346656266892"/>
    <n v="0.74524285602400364"/>
    <n v="-0.77446279781277427"/>
    <x v="0"/>
    <x v="0"/>
    <x v="1"/>
    <x v="0"/>
    <x v="0"/>
    <x v="0"/>
  </r>
  <r>
    <x v="0"/>
    <s v="SSL"/>
    <n v="2825"/>
    <n v="4.76"/>
    <n v="1.0900000000000001"/>
    <n v="12.32"/>
    <n v="-4.0999999999999996"/>
    <n v="4.3669724770642198"/>
    <n v="0.38636363636363635"/>
    <n v="-27.46"/>
    <n v="6.24"/>
    <n v="2.48"/>
    <n v="-1.1609756097560977"/>
    <s v="NO"/>
    <n v="-1.0846463550960264"/>
    <n v="-1.1897481987168448"/>
    <n v="-1.9941854120130518"/>
    <n v="0.6269346656266892"/>
    <n v="0.74524285602400364"/>
    <n v="-0.77641465044727243"/>
    <x v="0"/>
    <x v="0"/>
    <x v="1"/>
    <x v="0"/>
    <x v="0"/>
    <x v="0"/>
  </r>
  <r>
    <x v="0"/>
    <s v="OLN"/>
    <n v="2235"/>
    <n v="20.97"/>
    <n v="0.8"/>
    <n v="17.420000000000002"/>
    <n v="0.52"/>
    <n v="26.212499999999999"/>
    <n v="1.2037887485648677"/>
    <n v="2.75"/>
    <n v="2.4300000000000002"/>
    <n v="3.82"/>
    <n v="40.326923076923073"/>
    <s v="NO"/>
    <n v="0.35310773101157872"/>
    <n v="-0.40312362343664443"/>
    <n v="1.3901092478164224E-2"/>
    <n v="-0.57395215737525929"/>
    <n v="4.0907216736861995"/>
    <n v="1.0680902597787827"/>
    <x v="0"/>
    <x v="0"/>
    <x v="1"/>
    <x v="1"/>
    <x v="1"/>
    <x v="0"/>
  </r>
  <r>
    <x v="0"/>
    <s v="ASH"/>
    <n v="2262"/>
    <n v="51.82"/>
    <n v="0.69"/>
    <n v="56"/>
    <n v="-1.86"/>
    <n v="75.101449275362327"/>
    <n v="0.92535714285714288"/>
    <n v="-3.02"/>
    <n v="2.2799999999999998"/>
    <n v="2.04"/>
    <n v="-27.86021505376344"/>
    <s v="NO"/>
    <n v="3.5707130972523959"/>
    <n v="-0.67106394031120764"/>
    <n v="-0.36963611807841695"/>
    <n v="-0.62123116615486362"/>
    <n v="-0.3532725766411951"/>
    <n v="-1.9634325475379433"/>
    <x v="1"/>
    <x v="0"/>
    <x v="1"/>
    <x v="1"/>
    <x v="0"/>
    <x v="0"/>
  </r>
  <r>
    <x v="0"/>
    <s v="WLK"/>
    <n v="9109"/>
    <n v="75.95"/>
    <n v="0.65"/>
    <n v="81.180000000000007"/>
    <n v="3"/>
    <n v="116.84615384615384"/>
    <n v="0.93557526484355746"/>
    <n v="3.92"/>
    <n v="2.14"/>
    <n v="1.99"/>
    <n v="25.316666666666666"/>
    <s v="NO"/>
    <n v="6.3181230422398231"/>
    <n v="-0.66123083664489168"/>
    <n v="9.1672069315460569E-2"/>
    <n v="-0.66535824101582752"/>
    <n v="-0.47810387580769509"/>
    <n v="0.40075128796048787"/>
    <x v="1"/>
    <x v="0"/>
    <x v="1"/>
    <x v="1"/>
    <x v="0"/>
    <x v="0"/>
  </r>
  <r>
    <x v="0"/>
    <s v="ICL"/>
    <n v="8556"/>
    <n v="6.74"/>
    <n v="0.45"/>
    <n v="4.53"/>
    <n v="0.3"/>
    <n v="14.977777777777778"/>
    <n v="1.4878587196467992"/>
    <n v="7.3"/>
    <n v="4.1500000000000004"/>
    <n v="2"/>
    <n v="22.466666666666669"/>
    <s v="NO"/>
    <n v="-0.38630072521933645"/>
    <n v="-0.12975739451025287"/>
    <n v="0.31634378017876114"/>
    <n v="-3.181952336913027E-2"/>
    <n v="-0.45313761597439506"/>
    <n v="0.27404352110431524"/>
    <x v="0"/>
    <x v="0"/>
    <x v="1"/>
    <x v="1"/>
    <x v="0"/>
    <x v="0"/>
  </r>
  <r>
    <x v="0"/>
    <s v="GNENY"/>
    <n v="4821"/>
    <n v="2.5299999999999998"/>
    <n v="-0.42"/>
    <n v="2.88"/>
    <n v="-0.14000000000000001"/>
    <n v="-6.0238095238095237"/>
    <n v="0.87847222222222221"/>
    <n v="-5"/>
    <n v="-0.09"/>
    <n v="2.52"/>
    <n v="-18.071428571428569"/>
    <s v="NO"/>
    <n v="-1.768511245239998"/>
    <n v="-0.71618223950582693"/>
    <n v="-0.5012485404184569"/>
    <n v="-1.368239504872611"/>
    <n v="0.84510789535720365"/>
    <n v="-1.5282342052893323"/>
    <x v="0"/>
    <x v="0"/>
    <x v="1"/>
    <x v="1"/>
    <x v="0"/>
    <x v="0"/>
  </r>
  <r>
    <x v="0"/>
    <s v="ALB"/>
    <n v="6561"/>
    <n v="62.3"/>
    <n v="-2.59"/>
    <n v="66.239999999999995"/>
    <n v="-11.12"/>
    <n v="-24.054054054054053"/>
    <n v="0.9405193236714976"/>
    <n v="-9.99"/>
    <n v="-1.51"/>
    <n v="2.1800000000000002"/>
    <n v="-5.6025179856115113"/>
    <s v="NO"/>
    <n v="-2.9551641067770591"/>
    <n v="-0.65647306970375163"/>
    <n v="-0.83293843308350723"/>
    <n v="-1.8158141213195313"/>
    <n v="-3.7449389749951382E-3"/>
    <n v="-0.97388058583032477"/>
    <x v="1"/>
    <x v="0"/>
    <x v="1"/>
    <x v="1"/>
    <x v="0"/>
    <x v="0"/>
  </r>
  <r>
    <x v="1"/>
    <s v="EXP"/>
    <n v="6613"/>
    <n v="201.89"/>
    <n v="10.58"/>
    <n v="44.18"/>
    <n v="13.77"/>
    <n v="19.082230623818525"/>
    <n v="4.5697148030783161"/>
    <n v="33.520000000000003"/>
    <n v="12.06"/>
    <n v="2.2400000000000002"/>
    <n v="14.661583151779229"/>
    <s v="YES"/>
    <n v="-0.99358665516376421"/>
    <n v="-0.54293751959365144"/>
    <n v="1.3145005084985326"/>
    <n v="0.47358856785869868"/>
    <n v="-4.800153607373004E-2"/>
    <n v="-1.3400385524569796"/>
    <x v="0"/>
    <x v="0"/>
    <x v="1"/>
    <x v="1"/>
    <x v="0"/>
    <x v="0"/>
  </r>
  <r>
    <x v="1"/>
    <s v="USLM"/>
    <n v="2943"/>
    <n v="102.64"/>
    <n v="3.6"/>
    <n v="18.64"/>
    <n v="4.2"/>
    <n v="28.511111111111109"/>
    <n v="5.5064377682403434"/>
    <n v="25.44"/>
    <n v="16.57"/>
    <n v="1.1000000000000001"/>
    <n v="24.438095238095237"/>
    <s v="NO"/>
    <n v="-0.88324785045374954"/>
    <n v="0.10567527526510487"/>
    <n v="0.54289396228217623"/>
    <n v="1.3738559824183321"/>
    <n v="-16.464526873289024"/>
    <n v="0.27858280827136095"/>
    <x v="0"/>
    <x v="0"/>
    <x v="1"/>
    <x v="1"/>
    <x v="1"/>
    <x v="0"/>
  </r>
  <r>
    <x v="1"/>
    <s v="KNF"/>
    <n v="5331"/>
    <n v="92.75"/>
    <n v="0.65"/>
    <n v="24.85"/>
    <n v="3.18"/>
    <n v="142.69230769230768"/>
    <n v="3.732394366197183"/>
    <n v="13.75"/>
    <n v="6.57"/>
    <n v="2.33"/>
    <n v="29.166666666666664"/>
    <s v="NO"/>
    <n v="0.45292527933697785"/>
    <n v="-1.1227212645815687"/>
    <n v="-0.57345263737985408"/>
    <n v="-0.6223023647205449"/>
    <n v="1.2480399379169491"/>
    <n v="1.0614557441856187"/>
    <x v="0"/>
    <x v="0"/>
    <x v="1"/>
    <x v="1"/>
    <x v="0"/>
    <x v="0"/>
  </r>
  <r>
    <x v="1"/>
    <s v="CX"/>
    <n v="9938"/>
    <n v="6.77"/>
    <n v="0.03"/>
    <n v="0.89"/>
    <n v="0.05"/>
    <n v="225.66666666666666"/>
    <n v="7.6067415730337071"/>
    <n v="6.31"/>
    <n v="3.55"/>
    <n v="2.16"/>
    <n v="135.39999999999998"/>
    <s v="NO"/>
    <n v="1.4239092262805362"/>
    <n v="1.5599835089101139"/>
    <n v="-1.2839418334008554"/>
    <n v="-1.2251421855564859"/>
    <n v="-1.2000384018432253"/>
    <n v="18.649685681054876"/>
    <x v="0"/>
    <x v="0"/>
    <x v="1"/>
    <x v="1"/>
    <x v="0"/>
    <x v="1"/>
  </r>
  <r>
    <x v="2"/>
    <s v="GEF"/>
    <n v="3231"/>
    <n v="65.28"/>
    <n v="3.16"/>
    <n v="43.01"/>
    <n v="4.43"/>
    <n v="20.658227848101266"/>
    <n v="1.5177865612648223"/>
    <n v="10.78"/>
    <n v="4.45"/>
    <n v="3.23"/>
    <n v="14.735891647855532"/>
    <s v="NO"/>
    <n v="0.3579443375237169"/>
    <n v="-1.2029343215025379"/>
    <n v="-1.3794497487084801E-2"/>
    <n v="-4.3781196772053402E-2"/>
    <n v="-1.0657203203503374"/>
    <n v="0.41636458491098916"/>
    <x v="0"/>
    <x v="0"/>
    <x v="1"/>
    <x v="1"/>
    <x v="0"/>
    <x v="0"/>
  </r>
  <r>
    <x v="2"/>
    <s v="SLGN"/>
    <n v="5892"/>
    <n v="54.36"/>
    <n v="2.96"/>
    <n v="19.47"/>
    <n v="2.69"/>
    <n v="18.364864864864863"/>
    <n v="2.7919876733436055"/>
    <n v="14.52"/>
    <n v="4.75"/>
    <n v="4.21"/>
    <n v="20.208178438661712"/>
    <s v="NO"/>
    <n v="0.21874526870325689"/>
    <n v="1.7817583311946323"/>
    <n v="0.21051602686812329"/>
    <n v="0.16053105483086588"/>
    <n v="-0.60325275698059688"/>
    <n v="0.91809013332140066"/>
    <x v="0"/>
    <x v="0"/>
    <x v="1"/>
    <x v="1"/>
    <x v="0"/>
    <x v="0"/>
  </r>
  <r>
    <x v="2"/>
    <s v="SEE"/>
    <n v="4735"/>
    <n v="32.89"/>
    <n v="2.87"/>
    <n v="5.43"/>
    <n v="2.06"/>
    <n v="11.459930313588849"/>
    <n v="6.057090239410682"/>
    <n v="43.4"/>
    <n v="7"/>
    <n v="8.83"/>
    <n v="15.966019417475728"/>
    <s v="NO"/>
    <n v="-0.20035997840745062"/>
    <n v="9.429944749227305"/>
    <n v="1.9426251026377512"/>
    <n v="1.6928729418527615"/>
    <n v="1.5769514703338943"/>
    <n v="0.52914860983901113"/>
    <x v="0"/>
    <x v="1"/>
    <x v="1"/>
    <x v="1"/>
    <x v="0"/>
    <x v="0"/>
  </r>
  <r>
    <x v="2"/>
    <s v="SON"/>
    <n v="4492"/>
    <n v="45.5"/>
    <n v="0.61"/>
    <n v="24.82"/>
    <n v="0.82"/>
    <n v="74.590163934426229"/>
    <n v="1.8331990330378727"/>
    <n v="3.33"/>
    <n v="3.67"/>
    <n v="5.18"/>
    <n v="55.487804878048784"/>
    <s v="NO"/>
    <n v="3.6314232145162735"/>
    <n v="-0.46411116545127373"/>
    <n v="-0.46061626391657678"/>
    <n v="-0.57499305093964403"/>
    <n v="-0.14550425037993547"/>
    <n v="4.1526958109248326"/>
    <x v="1"/>
    <x v="0"/>
    <x v="1"/>
    <x v="1"/>
    <x v="0"/>
    <x v="1"/>
  </r>
  <r>
    <x v="2"/>
    <s v="AMBP"/>
    <n v="2331"/>
    <n v="4.1500000000000004"/>
    <n v="0.49"/>
    <n v="-0.38"/>
    <n v="-0.03"/>
    <n v="8.4693877551020424"/>
    <n v="-10.921052631578949"/>
    <n v="-4.12"/>
    <n v="2.2200000000000002"/>
    <n v="-22.93"/>
    <n v="-138.33333333333334"/>
    <s v="NO"/>
    <n v="-0.38187539591971137"/>
    <n v="-30.339709980404105"/>
    <n v="-0.90743803034606874"/>
    <n v="-1.5625022670204209"/>
    <n v="-13.410772828260962"/>
    <n v="-13.617757489515162"/>
    <x v="0"/>
    <x v="1"/>
    <x v="1"/>
    <x v="1"/>
    <x v="1"/>
    <x v="1"/>
  </r>
  <r>
    <x v="2"/>
    <s v="OI"/>
    <n v="2028"/>
    <n v="13.59"/>
    <n v="0.32"/>
    <n v="7.2"/>
    <n v="-1.26"/>
    <n v="42.46875"/>
    <n v="1.8875"/>
    <n v="-11.45"/>
    <n v="3.58"/>
    <n v="7.84"/>
    <n v="-10.785714285714285"/>
    <s v="NO"/>
    <n v="1.6817663387613482"/>
    <n v="-0.33691641135017053"/>
    <n v="-1.347062667651864"/>
    <n v="-0.63628672642051975"/>
    <n v="1.1097648501950745"/>
    <n v="-1.9235788834846637"/>
    <x v="0"/>
    <x v="0"/>
    <x v="1"/>
    <x v="1"/>
    <x v="0"/>
    <x v="0"/>
  </r>
  <r>
    <x v="2"/>
    <s v="GPK"/>
    <n v="6705"/>
    <n v="22.24"/>
    <n v="-1.73"/>
    <n v="10.46"/>
    <n v="2.0499999999999998"/>
    <n v="-12.855491329479769"/>
    <n v="2.1261950286806881"/>
    <n v="20.61"/>
    <n v="5.93"/>
    <n v="3.64"/>
    <n v="10.848780487804879"/>
    <s v="NO"/>
    <n v="-1.6762205706611601"/>
    <n v="0.22220356710935296"/>
    <n v="0.57577032989572141"/>
    <n v="0.96415924446901535"/>
    <n v="-0.87223899281809902"/>
    <n v="5.9975555413262285E-2"/>
    <x v="0"/>
    <x v="0"/>
    <x v="1"/>
    <x v="1"/>
    <x v="0"/>
    <x v="0"/>
  </r>
  <r>
    <x v="3"/>
    <s v="CMC"/>
    <n v="5265"/>
    <n v="50.65"/>
    <n v="3.73"/>
    <n v="35.42"/>
    <n v="0.63"/>
    <n v="13.579088471849866"/>
    <n v="1.429983060417843"/>
    <n v="1.78"/>
    <n v="4.78"/>
    <n v="1.67"/>
    <n v="80.396825396825392"/>
    <s v="NO"/>
    <n v="0.26282174081452131"/>
    <n v="-0.50410335206477397"/>
    <n v="-0.3272039996975033"/>
    <n v="-7.692230239257504E-2"/>
    <n v="-2.2026503242280508E-2"/>
    <n v="3.9058576268457808"/>
    <x v="0"/>
    <x v="0"/>
    <x v="1"/>
    <x v="1"/>
    <x v="0"/>
    <x v="1"/>
  </r>
  <r>
    <x v="3"/>
    <s v="ORLA"/>
    <n v="3437"/>
    <n v="10.88"/>
    <n v="1.61"/>
    <n v="1.38"/>
    <n v="0.01"/>
    <n v="6.7577639751552798"/>
    <n v="7.884057971014494"/>
    <n v="0.39"/>
    <n v="9.2799999999999994"/>
    <n v="4.08"/>
    <n v="1088"/>
    <s v="NO"/>
    <n v="6.3161379420963948E-2"/>
    <n v="4.845060335730162"/>
    <n v="-0.4662262993096235"/>
    <n v="0.78049189625077664"/>
    <n v="4.7419108005688155"/>
    <n v="66.924187560976264"/>
    <x v="0"/>
    <x v="1"/>
    <x v="1"/>
    <x v="1"/>
    <x v="1"/>
    <x v="1"/>
  </r>
  <r>
    <x v="3"/>
    <s v="DPMLF"/>
    <n v="2591"/>
    <n v="15"/>
    <n v="1.52"/>
    <n v="7.26"/>
    <n v="1.33"/>
    <n v="9.8684210526315788"/>
    <n v="2.0661157024793391"/>
    <n v="19.850000000000001"/>
    <n v="11.8"/>
    <n v="1.1499999999999999"/>
    <n v="11.278195488721805"/>
    <s v="NO"/>
    <n v="0.15421040026160854"/>
    <n v="2.3125983924113185E-2"/>
    <n v="1.4800858952600586"/>
    <n v="1.260643847491054"/>
    <n v="-1.0499299878820192"/>
    <n v="-0.41701543859424822"/>
    <x v="0"/>
    <x v="0"/>
    <x v="1"/>
    <x v="1"/>
    <x v="0"/>
    <x v="0"/>
  </r>
  <r>
    <x v="3"/>
    <s v="AA"/>
    <n v="6931"/>
    <n v="28.56"/>
    <n v="1.5"/>
    <n v="22.46"/>
    <n v="3.61"/>
    <n v="19.04"/>
    <n v="1.271593944790739"/>
    <n v="15.35"/>
    <n v="7.18"/>
    <n v="2.5099999999999998"/>
    <n v="7.9113573407202216"/>
    <s v="NO"/>
    <n v="0.42266277605291819"/>
    <n v="-0.63537689902398231"/>
    <n v="1.0300137022711802"/>
    <n v="0.38036527021721256"/>
    <n v="1.6384329719449893"/>
    <n v="-0.62758694391839598"/>
    <x v="0"/>
    <x v="0"/>
    <x v="1"/>
    <x v="1"/>
    <x v="0"/>
    <x v="0"/>
  </r>
  <r>
    <x v="3"/>
    <s v="PAAS"/>
    <n v="8834"/>
    <n v="29.21"/>
    <n v="1.47"/>
    <n v="13.3"/>
    <n v="0.86"/>
    <n v="19.870748299319729"/>
    <n v="2.1962406015037592"/>
    <n v="6.58"/>
    <n v="4.87"/>
    <n v="1.5"/>
    <n v="33.965116279069768"/>
    <s v="NO"/>
    <n v="0.4469788023245953"/>
    <n v="0.13097403254167458"/>
    <n v="0.15287300615730001"/>
    <n v="-5.9774018419708023E-2"/>
    <n v="-0.35807187322065642"/>
    <n v="1.0018882484834439"/>
    <x v="0"/>
    <x v="0"/>
    <x v="1"/>
    <x v="1"/>
    <x v="0"/>
    <x v="0"/>
  </r>
  <r>
    <x v="3"/>
    <s v="JINFF"/>
    <n v="3020"/>
    <n v="8.6999999999999993"/>
    <n v="0.93"/>
    <n v="4.68"/>
    <n v="0.44"/>
    <n v="9.3548387096774182"/>
    <n v="1.858974358974359"/>
    <n v="9.8800000000000008"/>
    <n v="5.16"/>
    <n v="1.64"/>
    <n v="19.77272727272727"/>
    <s v="NO"/>
    <n v="0.1391778305239767"/>
    <n v="-0.14855360893259009"/>
    <n v="0.48292594768247737"/>
    <n v="-4.5184367293586748E-3"/>
    <n v="-8.1328627356111627E-2"/>
    <n v="0.11425641533895971"/>
    <x v="0"/>
    <x v="0"/>
    <x v="1"/>
    <x v="1"/>
    <x v="0"/>
    <x v="0"/>
  </r>
  <r>
    <x v="3"/>
    <s v="LUNMF"/>
    <n v="8112"/>
    <n v="10.49"/>
    <n v="0.86"/>
    <n v="6.14"/>
    <n v="0.13"/>
    <n v="12.197674418604652"/>
    <n v="1.7084690553745929"/>
    <n v="3.93"/>
    <n v="4.99"/>
    <n v="2.16"/>
    <n v="80.692307692307693"/>
    <s v="NO"/>
    <n v="0.22238771231481724"/>
    <n v="-0.27329302023297664"/>
    <n v="-0.112169507491706"/>
    <n v="-3.6909639789218622E-2"/>
    <n v="0.94657485728362745"/>
    <n v="3.9243379187461427"/>
    <x v="0"/>
    <x v="0"/>
    <x v="1"/>
    <x v="1"/>
    <x v="0"/>
    <x v="1"/>
  </r>
  <r>
    <x v="3"/>
    <s v="SIM"/>
    <n v="4211"/>
    <n v="27.14"/>
    <n v="0.85"/>
    <n v="19.690000000000001"/>
    <n v="3.33"/>
    <n v="31.929411764705883"/>
    <n v="1.3783646521076689"/>
    <n v="19.989999999999998"/>
    <n v="5.0999999999999996"/>
    <n v="1.2"/>
    <n v="8.1501501501501501"/>
    <s v="NO"/>
    <n v="0.79993622380321816"/>
    <n v="-0.54688490002933421"/>
    <n v="1.4940881412641567"/>
    <n v="-1.5950626044603462E-2"/>
    <n v="-0.95109311435896726"/>
    <n v="-0.61265217154981977"/>
    <x v="0"/>
    <x v="0"/>
    <x v="1"/>
    <x v="1"/>
    <x v="0"/>
    <x v="0"/>
  </r>
  <r>
    <x v="3"/>
    <s v="HMY"/>
    <n v="9078"/>
    <n v="14.92"/>
    <n v="0.81"/>
    <n v="3.9"/>
    <n v="0.88"/>
    <n v="18.419753086419753"/>
    <n v="3.8256410256410258"/>
    <n v="24.78"/>
    <n v="16.66"/>
    <n v="1.5"/>
    <n v="16.954545454545453"/>
    <s v="NO"/>
    <n v="0.40450813130926477"/>
    <n v="1.4814277695075171"/>
    <n v="1.9731649866900964"/>
    <n v="2.1866511820258738"/>
    <n v="-0.35807187322065642"/>
    <n v="-6.2000583555960095E-2"/>
    <x v="0"/>
    <x v="0"/>
    <x v="0"/>
    <x v="1"/>
    <x v="0"/>
    <x v="0"/>
  </r>
  <r>
    <x v="3"/>
    <s v="HBM"/>
    <n v="3523"/>
    <n v="9.7799999999999994"/>
    <n v="0.7"/>
    <n v="6.72"/>
    <n v="0.39"/>
    <n v="13.971428571428572"/>
    <n v="1.4553571428571428"/>
    <n v="5.99"/>
    <n v="5.62"/>
    <n v="2.08"/>
    <n v="25.076923076923073"/>
    <s v="NO"/>
    <n v="0.2743055466515002"/>
    <n v="-0.48307320874050469"/>
    <n v="9.3863540854313768E-2"/>
    <n v="8.3128348020850618E-2"/>
    <n v="0.78843585964674445"/>
    <n v="0.44599570482232626"/>
    <x v="0"/>
    <x v="0"/>
    <x v="1"/>
    <x v="1"/>
    <x v="0"/>
    <x v="0"/>
  </r>
  <r>
    <x v="3"/>
    <s v="WDOFF"/>
    <n v="2007"/>
    <n v="14.3"/>
    <n v="0.69"/>
    <n v="2.95"/>
    <n v="0.86"/>
    <n v="20.724637681159422"/>
    <n v="4.8474576271186436"/>
    <n v="34.729999999999997"/>
    <n v="24.21"/>
    <n v="1.28"/>
    <n v="16.627906976744185"/>
    <s v="NO"/>
    <n v="0.47197216873765008"/>
    <n v="2.3283135487902999"/>
    <n v="2.9683246134099486"/>
    <n v="3.6252016708608306"/>
    <n v="-0.79295411672208427"/>
    <n v="-8.2429470524651077E-2"/>
    <x v="0"/>
    <x v="0"/>
    <x v="0"/>
    <x v="1"/>
    <x v="0"/>
    <x v="0"/>
  </r>
  <r>
    <x v="3"/>
    <s v="TFPM"/>
    <n v="4400"/>
    <n v="24.24"/>
    <n v="0.6"/>
    <n v="8.77"/>
    <n v="0.02"/>
    <n v="40.4"/>
    <n v="2.7639680729760547"/>
    <n v="0.28000000000000003"/>
    <n v="1.56"/>
    <n v="1.02"/>
    <n v="1212"/>
    <s v="NO"/>
    <n v="1.047870581579976"/>
    <n v="0.60150888331899433"/>
    <n v="-0.47722806402712936"/>
    <n v="-0.69044979564404019"/>
    <n v="-1.3069058590419536"/>
    <n v="74.67949551235273"/>
    <x v="0"/>
    <x v="0"/>
    <x v="1"/>
    <x v="1"/>
    <x v="0"/>
    <x v="1"/>
  </r>
  <r>
    <x v="3"/>
    <s v="BVN"/>
    <n v="3805"/>
    <n v="16.940000000000001"/>
    <n v="0.5"/>
    <n v="13.61"/>
    <n v="1.9"/>
    <n v="33.880000000000003"/>
    <n v="1.2446730345334314"/>
    <n v="14.55"/>
    <n v="3.52"/>
    <n v="1.54"/>
    <n v="8.915789473684212"/>
    <s v="NO"/>
    <n v="0.85702999674681057"/>
    <n v="-0.65768905957147483"/>
    <n v="0.95000086796204641"/>
    <n v="-0.31699827801271363"/>
    <n v="-0.27900237440221493"/>
    <n v="-0.5647669398265116"/>
    <x v="0"/>
    <x v="0"/>
    <x v="1"/>
    <x v="1"/>
    <x v="0"/>
    <x v="0"/>
  </r>
  <r>
    <x v="3"/>
    <s v="OR"/>
    <n v="4792"/>
    <n v="25.99"/>
    <n v="0.48"/>
    <n v="6.49"/>
    <n v="0.16"/>
    <n v="54.145833333333329"/>
    <n v="4.0046224961479195"/>
    <n v="2.5099999999999998"/>
    <n v="3.85"/>
    <n v="1.1399999999999999"/>
    <n v="162.4375"/>
    <s v="NO"/>
    <n v="1.4502115129223925"/>
    <n v="1.6297683444289055"/>
    <n v="-0.25419228839041869"/>
    <n v="-0.25412123677886778"/>
    <n v="-1.0696973625866295"/>
    <n v="9.0369116275416683"/>
    <x v="0"/>
    <x v="0"/>
    <x v="1"/>
    <x v="1"/>
    <x v="0"/>
    <x v="1"/>
  </r>
  <r>
    <x v="3"/>
    <s v="SAND"/>
    <n v="2592"/>
    <n v="9.1199999999999992"/>
    <n v="0.45"/>
    <n v="4.8"/>
    <n v="0.1"/>
    <n v="20.266666666666666"/>
    <n v="1.9"/>
    <n v="2.13"/>
    <n v="2.69"/>
    <n v="1.3"/>
    <n v="91.199999999999989"/>
    <s v="NO"/>
    <n v="0.45856734416058942"/>
    <n v="-0.11455138982562578"/>
    <n v="-0.29219838468725728"/>
    <n v="-0.47514356354026521"/>
    <n v="-0.75341936731286352"/>
    <n v="4.5815184808789127"/>
    <x v="0"/>
    <x v="0"/>
    <x v="1"/>
    <x v="1"/>
    <x v="0"/>
    <x v="1"/>
  </r>
  <r>
    <x v="3"/>
    <s v="GGB"/>
    <n v="5289"/>
    <n v="3.19"/>
    <n v="0.4"/>
    <n v="4.84"/>
    <n v="0.27"/>
    <n v="7.9749999999999996"/>
    <n v="0.65909090909090906"/>
    <n v="6.1"/>
    <n v="4.47"/>
    <n v="1.53"/>
    <n v="11.814814814814813"/>
    <s v="NO"/>
    <n v="9.8789912375160882E-2"/>
    <n v="-1.1430219205979275"/>
    <n v="0.10486530557181963"/>
    <n v="-0.1359886138546727"/>
    <n v="-0.2987697491068253"/>
    <n v="-0.38345376015464022"/>
    <x v="0"/>
    <x v="0"/>
    <x v="1"/>
    <x v="1"/>
    <x v="0"/>
    <x v="0"/>
  </r>
  <r>
    <x v="3"/>
    <s v="OCANF"/>
    <n v="3093"/>
    <n v="4.83"/>
    <n v="0.4"/>
    <n v="2.73"/>
    <n v="0.41"/>
    <n v="12.074999999999999"/>
    <n v="1.7692307692307692"/>
    <n v="16.09"/>
    <n v="10.130000000000001"/>
    <n v="1.36"/>
    <n v="11.780487804878049"/>
    <s v="NO"/>
    <n v="0.21879702860460551"/>
    <n v="-0.22293346322907487"/>
    <n v="1.1040255740071292"/>
    <n v="0.94244791155007679"/>
    <n v="-0.63481511908520127"/>
    <n v="-0.38560066767971735"/>
    <x v="0"/>
    <x v="0"/>
    <x v="1"/>
    <x v="1"/>
    <x v="0"/>
    <x v="0"/>
  </r>
  <r>
    <x v="3"/>
    <s v="NGD"/>
    <n v="3522"/>
    <n v="4.8600000000000003"/>
    <n v="0.21"/>
    <n v="1.31"/>
    <n v="0.17"/>
    <n v="23.142857142857146"/>
    <n v="3.7099236641221376"/>
    <n v="14.62"/>
    <n v="5.58"/>
    <n v="2.0499999999999998"/>
    <n v="28.588235294117649"/>
    <s v="NO"/>
    <n v="0.54275352093478757"/>
    <n v="1.3855207469119191"/>
    <n v="0.95700199096409555"/>
    <n v="7.550688847735415E-2"/>
    <n v="0.72913373553291283"/>
    <n v="0.66560302383663639"/>
    <x v="0"/>
    <x v="0"/>
    <x v="1"/>
    <x v="1"/>
    <x v="0"/>
    <x v="0"/>
  </r>
  <r>
    <x v="3"/>
    <s v="KNTNF"/>
    <n v="2499"/>
    <n v="11.473000000000001"/>
    <n v="0.19"/>
    <n v="2.29"/>
    <n v="0.74"/>
    <n v="60.38421052631579"/>
    <n v="5.0100436681222709"/>
    <n v="39.36"/>
    <n v="28.24"/>
    <n v="1.31"/>
    <n v="15.504054054054055"/>
    <s v="NO"/>
    <n v="1.6328089902105296"/>
    <n v="2.463065524670069"/>
    <n v="3.4313988919740614"/>
    <n v="4.3930637198680991"/>
    <n v="-0.73365199260825309"/>
    <n v="-0.15271838590784831"/>
    <x v="0"/>
    <x v="0"/>
    <x v="0"/>
    <x v="0"/>
    <x v="0"/>
    <x v="0"/>
  </r>
  <r>
    <x v="3"/>
    <s v="AG"/>
    <n v="2990"/>
    <n v="8.33"/>
    <n v="0.16"/>
    <n v="5"/>
    <n v="-0.26"/>
    <n v="52.0625"/>
    <n v="1.6659999999999999"/>
    <n v="-3.93"/>
    <n v="1.38"/>
    <n v="1.66"/>
    <n v="-32.03846153846154"/>
    <s v="NO"/>
    <n v="1.389232287196049"/>
    <n v="-0.30849154705697412"/>
    <n v="-0.89829560457894653"/>
    <n v="-0.72474636358977429"/>
    <n v="-4.1793877946890885E-2"/>
    <n v="-3.1261607181907212"/>
    <x v="0"/>
    <x v="0"/>
    <x v="1"/>
    <x v="1"/>
    <x v="0"/>
    <x v="1"/>
  </r>
  <r>
    <x v="3"/>
    <s v="CDE"/>
    <n v="5169"/>
    <n v="9.32"/>
    <n v="0.16"/>
    <n v="4.3"/>
    <n v="0.28000000000000003"/>
    <n v="58.25"/>
    <n v="2.1674418604651162"/>
    <n v="6.44"/>
    <n v="5.04"/>
    <n v="1.48"/>
    <n v="33.285714285714285"/>
    <s v="NO"/>
    <n v="1.5703405876032901"/>
    <n v="0.10710551816090833"/>
    <n v="0.1388707601532016"/>
    <n v="-2.738281535984808E-2"/>
    <n v="-0.39760662262987717"/>
    <n v="0.9593965413765827"/>
    <x v="0"/>
    <x v="0"/>
    <x v="1"/>
    <x v="1"/>
    <x v="0"/>
    <x v="0"/>
  </r>
  <r>
    <x v="3"/>
    <s v="EGO"/>
    <n v="4128"/>
    <n v="21.26"/>
    <n v="0.1"/>
    <n v="19.5"/>
    <n v="1.64"/>
    <n v="212.6"/>
    <n v="1.0902564102564103"/>
    <n v="9"/>
    <n v="5.42"/>
    <n v="1.49"/>
    <n v="12.963414634146343"/>
    <s v="NO"/>
    <n v="6.0881694632166505"/>
    <n v="-0.78567018944933598"/>
    <n v="0.39491182994243001"/>
    <n v="4.5021050303368282E-2"/>
    <n v="-0.3778392479252668"/>
    <n v="-0.31161710441422574"/>
    <x v="1"/>
    <x v="0"/>
    <x v="1"/>
    <x v="1"/>
    <x v="0"/>
    <x v="0"/>
  </r>
  <r>
    <x v="3"/>
    <s v="HL"/>
    <n v="3251"/>
    <n v="6.22"/>
    <n v="0.03"/>
    <n v="3.28"/>
    <n v="0.11"/>
    <n v="207.33333333333334"/>
    <n v="1.8963414634146343"/>
    <n v="3.49"/>
    <n v="3.34"/>
    <n v="1.46"/>
    <n v="56.54545454545454"/>
    <s v="NO"/>
    <n v="5.9340139805804535"/>
    <n v="-0.11758359991367044"/>
    <n v="-0.15617656636172964"/>
    <n v="-0.35129484595844773"/>
    <n v="-0.43714137203909792"/>
    <n v="2.4141259654355758"/>
    <x v="1"/>
    <x v="0"/>
    <x v="1"/>
    <x v="1"/>
    <x v="0"/>
    <x v="0"/>
  </r>
  <r>
    <x v="3"/>
    <s v="EQX"/>
    <n v="3024"/>
    <n v="6.93"/>
    <n v="0.02"/>
    <n v="7.29"/>
    <n v="0.64"/>
    <n v="346.5"/>
    <n v="0.95061728395061729"/>
    <n v="10.7"/>
    <n v="2.83"/>
    <n v="2.0099999999999998"/>
    <n v="10.828125"/>
    <s v="NO"/>
    <n v="10.007426259100221"/>
    <n v="-0.9014036685578557"/>
    <n v="0.56493910284933946"/>
    <n v="-0.44846845513802758"/>
    <n v="0.65006423671447133"/>
    <n v="-0.44516410988347488"/>
    <x v="1"/>
    <x v="0"/>
    <x v="1"/>
    <x v="1"/>
    <x v="0"/>
    <x v="0"/>
  </r>
  <r>
    <x v="3"/>
    <s v="CSCCF"/>
    <n v="4095"/>
    <n v="5.8"/>
    <n v="-0.02"/>
    <n v="4"/>
    <n v="0.11"/>
    <n v="-290"/>
    <n v="1.45"/>
    <n v="2.67"/>
    <n v="2.11"/>
    <n v="2.17"/>
    <n v="52.727272727272727"/>
    <s v="NO"/>
    <n v="-8.622946784812342"/>
    <n v="-0.48751323065514179"/>
    <n v="-0.23818972152859191"/>
    <n v="-0.58565472692096388"/>
    <n v="0.96634223198823732"/>
    <n v="2.1753261604811684"/>
    <x v="1"/>
    <x v="0"/>
    <x v="1"/>
    <x v="1"/>
    <x v="0"/>
    <x v="0"/>
  </r>
  <r>
    <x v="3"/>
    <s v="IAG"/>
    <n v="3945"/>
    <n v="7.43"/>
    <n v="-0.1"/>
    <n v="5.9"/>
    <n v="1.42"/>
    <n v="-74.3"/>
    <n v="1.2593220338983049"/>
    <n v="28.74"/>
    <n v="6.25"/>
    <n v="1.59"/>
    <n v="5.232394366197183"/>
    <s v="NO"/>
    <n v="-2.3094016700096089"/>
    <n v="-0.6455479089727334"/>
    <n v="2.3692285165203084"/>
    <n v="0.20316633583091986"/>
    <n v="-0.18016550087916305"/>
    <n v="-0.7951368056745387"/>
    <x v="0"/>
    <x v="0"/>
    <x v="1"/>
    <x v="1"/>
    <x v="0"/>
    <x v="0"/>
  </r>
  <r>
    <x v="3"/>
    <s v="GMINF"/>
    <n v="3336"/>
    <n v="13.98"/>
    <n v="-0.18"/>
    <n v="4.7699999999999996"/>
    <n v="0.47"/>
    <n v="-77.666666666666671"/>
    <n v="2.9308176100628933"/>
    <n v="13.81"/>
    <n v="7.65"/>
    <n v="1.44"/>
    <n v="29.744680851063833"/>
    <s v="NO"/>
    <n v="-2.4079440987833807"/>
    <n v="0.73979446219334977"/>
    <n v="0.8759889962260976"/>
    <n v="0.4699174198532961"/>
    <n v="-0.47667612144831867"/>
    <n v="0.73793037402307782"/>
    <x v="0"/>
    <x v="0"/>
    <x v="1"/>
    <x v="1"/>
    <x v="0"/>
    <x v="0"/>
  </r>
  <r>
    <x v="3"/>
    <s v="SBSW"/>
    <n v="4310"/>
    <n v="6.84"/>
    <n v="-0.21"/>
    <n v="0.82"/>
    <n v="-0.14000000000000001"/>
    <n v="-32.571428571428569"/>
    <n v="8.3414634146341466"/>
    <n v="-11.43"/>
    <n v="-3.65"/>
    <n v="3.14"/>
    <n v="-48.857142857142854"/>
    <s v="NO"/>
    <n v="-1.0880052013468642"/>
    <n v="5.2241598385253329"/>
    <n v="-1.6484159262270766"/>
    <n v="-1.6831449011844544"/>
    <n v="2.8837775783354425"/>
    <n v="-4.1780482420813359"/>
    <x v="0"/>
    <x v="1"/>
    <x v="1"/>
    <x v="1"/>
    <x v="0"/>
    <x v="1"/>
  </r>
  <r>
    <x v="3"/>
    <s v="NGXXF"/>
    <n v="2366"/>
    <n v="11.725"/>
    <n v="-0.23"/>
    <n v="0.55000000000000004"/>
    <n v="-0.28000000000000003"/>
    <n v="-50.978260869565212"/>
    <n v="21.318181818181817"/>
    <n v="-71.69"/>
    <n v="-46.25"/>
    <n v="1.1000000000000001"/>
    <n v="-41.874999999999993"/>
    <s v="NO"/>
    <n v="-1.6267737045220789"/>
    <n v="15.979317135666218"/>
    <n v="-7.6753826705625867"/>
    <n v="-9.7999993150081863"/>
    <n v="-1.1487668614050706"/>
    <n v="-3.7413654354874124"/>
    <x v="0"/>
    <x v="1"/>
    <x v="0"/>
    <x v="0"/>
    <x v="0"/>
    <x v="1"/>
  </r>
  <r>
    <x v="3"/>
    <s v="SSRM"/>
    <n v="2399"/>
    <n v="12.79"/>
    <n v="-0.27"/>
    <n v="15.64"/>
    <n v="0.42"/>
    <n v="-47.370370370370367"/>
    <n v="0.81777493606138096"/>
    <n v="1.51"/>
    <n v="4.8099999999999996"/>
    <n v="1.78"/>
    <n v="30.452380952380953"/>
    <s v="NO"/>
    <n v="-1.5211706473318385"/>
    <n v="-1.0115039499109326"/>
    <n v="-0.35420833127683604"/>
    <n v="-7.1206207734952814E-2"/>
    <n v="0.19541461850843361"/>
    <n v="0.78219192420803429"/>
    <x v="0"/>
    <x v="0"/>
    <x v="1"/>
    <x v="1"/>
    <x v="0"/>
    <x v="0"/>
  </r>
  <r>
    <x v="3"/>
    <s v="BTG"/>
    <n v="4453"/>
    <n v="3.7"/>
    <n v="-0.38"/>
    <n v="2.37"/>
    <n v="-0.47"/>
    <n v="-9.7368421052631575"/>
    <n v="1.5611814345991561"/>
    <n v="-17.239999999999998"/>
    <n v="6.82"/>
    <n v="1.63"/>
    <n v="-7.8723404255319158"/>
    <s v="NO"/>
    <n v="-0.41963620815261643"/>
    <n v="-0.39536560284588013"/>
    <n v="-2.2295091353971617"/>
    <n v="0.31177213432574447"/>
    <n v="-0.101096002060722"/>
    <n v="-1.6147436922146727"/>
    <x v="0"/>
    <x v="0"/>
    <x v="1"/>
    <x v="1"/>
    <x v="0"/>
    <x v="0"/>
  </r>
  <r>
    <x v="3"/>
    <s v="MP"/>
    <n v="3562"/>
    <n v="27.69"/>
    <n v="-1.06"/>
    <n v="6.34"/>
    <n v="-0.64"/>
    <n v="-26.122641509433961"/>
    <n v="4.3675078864353312"/>
    <n v="-9.6199999999999992"/>
    <n v="-4.3899999999999997"/>
    <n v="2.29"/>
    <n v="-43.265625"/>
    <s v="NO"/>
    <n v="-0.89924902122790673"/>
    <n v="1.9305292403660843"/>
    <n v="-1.4673868886026613"/>
    <n v="-1.8241419027391386"/>
    <n v="1.2035507284435618"/>
    <n v="-3.8283390251638885"/>
    <x v="0"/>
    <x v="0"/>
    <x v="1"/>
    <x v="1"/>
    <x v="0"/>
    <x v="1"/>
  </r>
  <r>
    <x v="3"/>
    <s v="ARGTF"/>
    <n v="3617"/>
    <n v="19.350000000000001"/>
    <n v="-1.38"/>
    <n v="1.85"/>
    <n v="-7.0000000000000007E-2"/>
    <n v="-14.021739130434785"/>
    <n v="10.45945945945946"/>
    <n v="-3.41"/>
    <n v="0.56000000000000005"/>
    <n v="3.12"/>
    <n v="-276.42857142857144"/>
    <s v="NO"/>
    <n v="-0.54505526555041472"/>
    <n v="6.9795636246312958"/>
    <n v="-0.84628726227800943"/>
    <n v="-0.88098628423145164"/>
    <n v="2.8442428289262218"/>
    <n v="-18.411003963904751"/>
    <x v="0"/>
    <x v="1"/>
    <x v="1"/>
    <x v="1"/>
    <x v="0"/>
    <x v="1"/>
  </r>
  <r>
    <x v="3"/>
    <s v="TX"/>
    <n v="5375"/>
    <n v="29.12"/>
    <n v="-1.51"/>
    <n v="61.68"/>
    <n v="-1.77"/>
    <n v="-19.284768211920529"/>
    <n v="0.47211413748378733"/>
    <n v="-1.03"/>
    <n v="1.7"/>
    <n v="1.96"/>
    <n v="-16.451977401129945"/>
    <s v="NO"/>
    <n v="-0.69910427596524571"/>
    <n v="-1.297989033777821"/>
    <n v="-0.60824908020833612"/>
    <n v="-0.66377468724180255"/>
    <n v="0.55122736319141996"/>
    <n v="-2.1513382636403096"/>
    <x v="0"/>
    <x v="0"/>
    <x v="1"/>
    <x v="1"/>
    <x v="0"/>
    <x v="0"/>
  </r>
  <r>
    <x v="3"/>
    <s v="CLF"/>
    <n v="2884"/>
    <n v="7.78"/>
    <n v="-2.19"/>
    <n v="12.65"/>
    <n v="-2.46"/>
    <n v="-3.5525114155251143"/>
    <n v="0.6150197628458498"/>
    <n v="-16.34"/>
    <n v="-3.04"/>
    <n v="3.33"/>
    <n v="-3.1626016260162602"/>
    <s v="NO"/>
    <n v="-0.23862067354658842"/>
    <n v="-1.1795482668890922"/>
    <n v="-2.1394946967993862"/>
    <n v="-1.5669176431461334"/>
    <n v="3.259357697723039"/>
    <n v="-1.3201834118857207"/>
    <x v="0"/>
    <x v="0"/>
    <x v="1"/>
    <x v="1"/>
    <x v="1"/>
    <x v="0"/>
  </r>
  <r>
    <x v="3"/>
    <s v="TORXF"/>
    <n v="2758"/>
    <n v="32.924999999999997"/>
    <n v="-2.31"/>
    <n v="19.420000000000002"/>
    <n v="1.5"/>
    <n v="-14.253246753246751"/>
    <n v="1.6954170957775487"/>
    <n v="8.1199999999999992"/>
    <n v="10.97"/>
    <n v="1.32"/>
    <n v="21.95"/>
    <s v="NO"/>
    <n v="-0.5518315002330485"/>
    <n v="-0.28411053773907902"/>
    <n v="0.30689771220238266"/>
    <n v="1.1024985619635024"/>
    <n v="-0.71388461790364277"/>
    <n v="0.25042916125938991"/>
    <x v="0"/>
    <x v="0"/>
    <x v="1"/>
    <x v="1"/>
    <x v="0"/>
    <x v="0"/>
  </r>
  <r>
    <x v="3"/>
    <s v="HCC"/>
    <n v="2389"/>
    <n v="48.26"/>
    <n v="-2.9"/>
    <n v="39.51"/>
    <n v="2.0099999999999998"/>
    <n v="-16.641379310344828"/>
    <n v="1.2214629207795495"/>
    <n v="5.2"/>
    <n v="2.1800000000000002"/>
    <n v="1.26"/>
    <n v="24.009950248756219"/>
    <s v="NO"/>
    <n v="-0.62173220787963124"/>
    <n v="-0.67692569679705317"/>
    <n v="1.4850866974044053E-2"/>
    <n v="-0.57231717271984506"/>
    <n v="-0.83248886613130502"/>
    <n v="0.37926423015954358"/>
    <x v="0"/>
    <x v="0"/>
    <x v="1"/>
    <x v="1"/>
    <x v="0"/>
    <x v="0"/>
  </r>
  <r>
    <x v="4"/>
    <s v="SLVM"/>
    <n v="2157"/>
    <n v="53.87"/>
    <n v="6.26"/>
    <n v="22.31"/>
    <n v="6.82"/>
    <n v="8.6054313099041533"/>
    <n v="2.4146122814881221"/>
    <n v="31.83"/>
    <n v="9.61"/>
    <n v="2.9"/>
    <n v="7.8988269794721404"/>
    <s v="NO"/>
    <n v="-1.0087688731506421"/>
    <n v="6.9756559838538276E-2"/>
    <n v="1.1296094570330055"/>
    <n v="0.43854132412318708"/>
    <n v="1.4944097141925599"/>
    <n v="-1.345260871499105"/>
    <x v="0"/>
    <x v="0"/>
    <x v="1"/>
    <x v="1"/>
    <x v="0"/>
    <x v="0"/>
  </r>
  <r>
    <x v="4"/>
    <s v="LPX"/>
    <n v="6268"/>
    <n v="92.47"/>
    <n v="5.08"/>
    <n v="24.17"/>
    <n v="5.71"/>
    <n v="18.202755905511811"/>
    <n v="3.8258171286719072"/>
    <n v="24.36"/>
    <n v="12.68"/>
    <n v="1.52"/>
    <n v="16.194395796847637"/>
    <s v="NO"/>
    <n v="-0.15529983938532441"/>
    <n v="1.4174241688595328"/>
    <n v="0.49456278579789348"/>
    <n v="1.1406648521848219"/>
    <n v="-0.687902884310861"/>
    <n v="1.050393444407224"/>
    <x v="0"/>
    <x v="0"/>
    <x v="1"/>
    <x v="1"/>
    <x v="0"/>
    <x v="0"/>
  </r>
  <r>
    <x v="4"/>
    <s v="STLJF"/>
    <n v="3154"/>
    <n v="56.349499999999999"/>
    <n v="3.89"/>
    <n v="24.96"/>
    <n v="4.1500000000000004"/>
    <n v="14.48573264781491"/>
    <n v="2.2575921474358975"/>
    <n v="17.95"/>
    <n v="7.71"/>
    <n v="2.14"/>
    <n v="13.578192771084336"/>
    <s v="NO"/>
    <n v="-0.48584656796858633"/>
    <n v="-8.0193994149857215E-2"/>
    <n v="-5.0370167698367427E-2"/>
    <n v="4.0023328146836018E-3"/>
    <n v="0.29255639907473407"/>
    <n v="0.29486742709188207"/>
    <x v="0"/>
    <x v="0"/>
    <x v="1"/>
    <x v="1"/>
    <x v="0"/>
    <x v="0"/>
  </r>
  <r>
    <x v="4"/>
    <s v="WFG"/>
    <n v="5838"/>
    <n v="75.849999999999994"/>
    <n v="1.97"/>
    <n v="87.36"/>
    <n v="-0.04"/>
    <n v="38.502538071065985"/>
    <n v="0.86824633699633691"/>
    <n v="0.03"/>
    <n v="0.77"/>
    <n v="1.26"/>
    <n v="-1896.2499999999998"/>
    <s v="NO"/>
    <n v="1.6499152805045534"/>
    <n v="-1.4069867345482141"/>
    <n v="-1.5738020751325319"/>
    <n v="-1.5832085091226926"/>
    <n v="-1.099063228956433"/>
    <n v="-551.23912058207941"/>
    <x v="0"/>
    <x v="0"/>
    <x v="1"/>
    <x v="1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UAN"/>
    <n v="875"/>
    <n v="82.36"/>
    <n v="11.79"/>
    <n v="28.54"/>
    <n v="7.13"/>
    <n v="6.9855810008481765"/>
    <n v="2.8857743517869658"/>
    <n v="25.16"/>
    <n v="7.62"/>
    <n v="3.36"/>
    <n v="11.551192145862553"/>
    <s v="NO"/>
    <n v="0.45468421131419773"/>
    <n v="1.2617847072624242"/>
    <n v="1.3508127702834243"/>
    <n v="1.4115392674132619"/>
    <n v="0.89774457956179265"/>
    <n v="0.48492402792630013"/>
    <x v="0"/>
    <x v="0"/>
    <x v="0"/>
    <x v="0"/>
    <x v="0"/>
    <x v="0"/>
  </r>
  <r>
    <x v="0"/>
    <s v="WLKP"/>
    <n v="779"/>
    <n v="22.38"/>
    <n v="10.53"/>
    <n v="14.39"/>
    <n v="1.49"/>
    <n v="2.1253561253561255"/>
    <n v="1.5552466990965947"/>
    <n v="38.979999999999997"/>
    <n v="16.03"/>
    <n v="2.7"/>
    <n v="15.020134228187919"/>
    <s v="NO"/>
    <n v="0.18547383829966566"/>
    <n v="1.0140249094800199E-2"/>
    <n v="2.3004271905958511"/>
    <n v="4.4419484594857597"/>
    <n v="0.14260940294358945"/>
    <n v="0.68318288264182647"/>
    <x v="0"/>
    <x v="0"/>
    <x v="0"/>
    <x v="1"/>
    <x v="0"/>
    <x v="0"/>
  </r>
  <r>
    <x v="0"/>
    <s v="KWR"/>
    <n v="1917"/>
    <n v="120.18"/>
    <n v="7.01"/>
    <n v="78.39"/>
    <n v="5.29"/>
    <n v="17.144079885877321"/>
    <n v="1.5331037122081899"/>
    <n v="6.79"/>
    <n v="4.28"/>
    <n v="1.92"/>
    <n v="22.718336483931949"/>
    <s v="NO"/>
    <n v="1.0173687257482205"/>
    <n v="-1.0689943175243482E-2"/>
    <n v="8.8553949651059366E-2"/>
    <n v="0.20802360730361391"/>
    <n v="-0.74982307851428776"/>
    <n v="1.123154702975361"/>
    <x v="0"/>
    <x v="0"/>
    <x v="0"/>
    <x v="0"/>
    <x v="0"/>
    <x v="0"/>
  </r>
  <r>
    <x v="0"/>
    <s v="MTX"/>
    <n v="1802"/>
    <n v="59.25"/>
    <n v="2.65"/>
    <n v="50.37"/>
    <n v="-0.74"/>
    <n v="22.358490566037737"/>
    <n v="1.1762954139368673"/>
    <n v="-1.18"/>
    <n v="5.03"/>
    <n v="2.13"/>
    <n v="-80.067567567567565"/>
    <s v="NO"/>
    <n v="1.3061976339198464"/>
    <n v="-0.3463440938097585"/>
    <n v="-0.45908909882144733"/>
    <n v="0.47827412978332529"/>
    <n v="-0.5095527950448594"/>
    <n v="-4.7513208963664315"/>
    <x v="0"/>
    <x v="0"/>
    <x v="0"/>
    <x v="0"/>
    <x v="0"/>
    <x v="1"/>
  </r>
  <r>
    <x v="0"/>
    <s v="NGVT"/>
    <n v="1509"/>
    <n v="43.32"/>
    <n v="2.62"/>
    <n v="6.44"/>
    <n v="-9.74"/>
    <n v="16.534351145038169"/>
    <n v="6.7267080745341614"/>
    <n v="-88.14"/>
    <n v="7.67"/>
    <n v="8.76"/>
    <n v="-4.4476386036960989"/>
    <s v="NO"/>
    <n v="0.98359553500828156"/>
    <n v="4.8750004104796991"/>
    <n v="-6.4343763629581074"/>
    <n v="1.4295559689119093"/>
    <n v="7.0761232973470936"/>
    <n v="-0.42944980303394165"/>
    <x v="0"/>
    <x v="1"/>
    <x v="1"/>
    <x v="0"/>
    <x v="1"/>
    <x v="0"/>
  </r>
  <r>
    <x v="0"/>
    <s v="KOP"/>
    <n v="615"/>
    <n v="32.880000000000003"/>
    <n v="2.13"/>
    <n v="24.9"/>
    <n v="1.22"/>
    <n v="15.436619718309862"/>
    <n v="1.3204819277108435"/>
    <n v="4.3"/>
    <n v="6.43"/>
    <n v="3.8"/>
    <n v="26.95081967213115"/>
    <s v="NO"/>
    <n v="0.92279162275527438"/>
    <n v="-0.21070598772245527"/>
    <n v="-8.2541557337214383E-2"/>
    <n v="0.98274177174545307"/>
    <n v="1.4011680306405949"/>
    <n v="1.365051872077877"/>
    <x v="0"/>
    <x v="0"/>
    <x v="0"/>
    <x v="0"/>
    <x v="0"/>
    <x v="0"/>
  </r>
  <r>
    <x v="0"/>
    <s v="ASIX"/>
    <n v="630"/>
    <n v="24.42"/>
    <n v="1.89"/>
    <n v="29.63"/>
    <n v="3.11"/>
    <n v="12.920634920634923"/>
    <n v="0.82416469794127578"/>
    <n v="11.26"/>
    <n v="4.43"/>
    <n v="2.0499999999999998"/>
    <n v="7.8520900321543419"/>
    <s v="NO"/>
    <n v="0.78342992175735715"/>
    <n v="-0.6775979826975872"/>
    <n v="0.39570130556976763"/>
    <n v="0.26207371179955602"/>
    <n v="-0.6010843316046417"/>
    <n v="0.27351094257205882"/>
    <x v="0"/>
    <x v="0"/>
    <x v="0"/>
    <x v="0"/>
    <x v="0"/>
    <x v="0"/>
  </r>
  <r>
    <x v="0"/>
    <s v="RYAM"/>
    <n v="257"/>
    <n v="3.91"/>
    <n v="1.81"/>
    <n v="10.31"/>
    <n v="-1.1100000000000001"/>
    <n v="2.160220994475138"/>
    <n v="0.37924345295829293"/>
    <n v="-10.029999999999999"/>
    <n v="1.62"/>
    <n v="3.08"/>
    <n v="-3.5225225225225225"/>
    <s v="NO"/>
    <n v="0.18740502145704618"/>
    <n v="-1.0961411144227746"/>
    <n v="-1.0671996357074804"/>
    <n v="-0.75046491242442925"/>
    <n v="0.57738420160255499"/>
    <n v="-0.37657706824056031"/>
    <x v="0"/>
    <x v="0"/>
    <x v="0"/>
    <x v="0"/>
    <x v="0"/>
    <x v="0"/>
  </r>
  <r>
    <x v="0"/>
    <s v="PRM"/>
    <n v="1783"/>
    <n v="13.01"/>
    <n v="1.3"/>
    <n v="8.18"/>
    <n v="0.9"/>
    <n v="10.007692307692308"/>
    <n v="1.5904645476772616"/>
    <n v="11.76"/>
    <n v="3.97"/>
    <n v="1.98"/>
    <n v="14.455555555555556"/>
    <s v="NO"/>
    <n v="0.62208052178318107"/>
    <n v="4.3270131751088153E-2"/>
    <n v="0.4300578330774531"/>
    <n v="9.6320058011999846E-2"/>
    <n v="-0.681174426094451"/>
    <n v="0.65091577688551727"/>
    <x v="0"/>
    <x v="0"/>
    <x v="0"/>
    <x v="0"/>
    <x v="0"/>
    <x v="0"/>
  </r>
  <r>
    <x v="0"/>
    <s v="CGIFF"/>
    <n v="933"/>
    <n v="8.1095000000000006"/>
    <n v="1.07"/>
    <n v="4.79"/>
    <n v="0.76"/>
    <n v="7.5789719626168228"/>
    <n v="1.6930062630480167"/>
    <n v="17.46"/>
    <n v="7.94"/>
    <n v="2.87"/>
    <n v="10.670394736842105"/>
    <s v="NO"/>
    <n v="0.4875524440099156"/>
    <n v="0.13973244090737516"/>
    <n v="0.82172224666506777"/>
    <n v="1.5268461570046057"/>
    <n v="0.33711391813312663"/>
    <n v="0.43458421786186169"/>
    <x v="0"/>
    <x v="0"/>
    <x v="0"/>
    <x v="0"/>
    <x v="0"/>
    <x v="0"/>
  </r>
  <r>
    <x v="0"/>
    <s v="MATV"/>
    <n v="313"/>
    <n v="6.48"/>
    <n v="0.63"/>
    <n v="7.85"/>
    <n v="-8.2200000000000006"/>
    <n v="10.285714285714286"/>
    <n v="0.82547770700636947"/>
    <n v="-66.84"/>
    <n v="0.81"/>
    <n v="4.79"/>
    <n v="-0.78832116788321172"/>
    <s v="NO"/>
    <n v="0.63748030313629334"/>
    <n v="-0.67636281819985933"/>
    <n v="-4.970788291130706"/>
    <n v="-1.0423354767025175"/>
    <n v="2.5338707955679003"/>
    <n v="-0.22031051311576175"/>
    <x v="0"/>
    <x v="0"/>
    <x v="1"/>
    <x v="0"/>
    <x v="0"/>
    <x v="0"/>
  </r>
  <r>
    <x v="0"/>
    <s v="IPI"/>
    <n v="503"/>
    <n v="36.76"/>
    <n v="0.49"/>
    <n v="39.99"/>
    <n v="-15.9"/>
    <n v="75.020408163265301"/>
    <n v="0.91922980745186289"/>
    <n v="-35.32"/>
    <n v="0.51"/>
    <n v="1.25"/>
    <n v="-2.3119496855345911"/>
    <s v="NO"/>
    <n v="4.2231685237852838"/>
    <n v="-0.58816901273711508"/>
    <n v="-2.8049527970462123"/>
    <n v="-1.150435685694402"/>
    <n v="-1.516399697202464"/>
    <n v="-0.30738975449617317"/>
    <x v="1"/>
    <x v="0"/>
    <x v="0"/>
    <x v="0"/>
    <x v="0"/>
    <x v="0"/>
  </r>
  <r>
    <x v="0"/>
    <s v="HUN"/>
    <n v="1936"/>
    <n v="11.63"/>
    <n v="0.44"/>
    <n v="17.100000000000001"/>
    <n v="-0.79"/>
    <n v="26.431818181818183"/>
    <n v="0.68011695906432745"/>
    <n v="-2.19"/>
    <n v="0.81"/>
    <n v="2.4500000000000002"/>
    <n v="-14.721518987341772"/>
    <s v="NO"/>
    <n v="1.5318213601766753"/>
    <n v="-0.81310554145620728"/>
    <n v="-0.52848928438697207"/>
    <n v="-1.0423354767025175"/>
    <n v="-0.14342664880573006"/>
    <n v="-1.016628173270812"/>
    <x v="0"/>
    <x v="0"/>
    <x v="0"/>
    <x v="0"/>
    <x v="0"/>
    <x v="0"/>
  </r>
  <r>
    <x v="0"/>
    <s v="ECVT"/>
    <n v="875"/>
    <n v="8.02"/>
    <n v="0.41"/>
    <n v="5.95"/>
    <n v="-0.1"/>
    <n v="19.560975609756099"/>
    <n v="1.3478991596638654"/>
    <n v="-1.63"/>
    <n v="3.11"/>
    <n v="2.56"/>
    <n v="-80.199999999999989"/>
    <s v="NO"/>
    <n v="1.151241831629306"/>
    <n v="-0.18491424535399956"/>
    <n v="-0.49000997357836423"/>
    <n v="-0.21356720776473601"/>
    <n v="-1.7570786036029615E-2"/>
    <n v="-4.7588897463956732"/>
    <x v="0"/>
    <x v="0"/>
    <x v="0"/>
    <x v="0"/>
    <x v="0"/>
    <x v="1"/>
  </r>
  <r>
    <x v="0"/>
    <s v="FTK"/>
    <n v="438"/>
    <n v="15.61"/>
    <n v="0.15"/>
    <n v="4.03"/>
    <n v="0.46"/>
    <n v="104.06666666666666"/>
    <n v="3.8734491315136474"/>
    <n v="12.8"/>
    <n v="5.95"/>
    <n v="1.42"/>
    <n v="33.934782608695649"/>
    <s v="NO"/>
    <n v="5.8320558256481529"/>
    <n v="2.1909030626886765"/>
    <n v="0.50151941029343894"/>
    <n v="0.80978143735843788"/>
    <n v="-1.3218951820129268"/>
    <n v="1.7642031004116716"/>
    <x v="1"/>
    <x v="0"/>
    <x v="0"/>
    <x v="0"/>
    <x v="0"/>
    <x v="0"/>
  </r>
  <r>
    <x v="0"/>
    <s v="SCL"/>
    <n v="1226"/>
    <n v="55.92"/>
    <n v="0.09"/>
    <n v="53.17"/>
    <n v="2.4500000000000002"/>
    <n v="621.33333333333337"/>
    <n v="1.0517208952416777"/>
    <n v="4.6500000000000004"/>
    <n v="2.0699999999999998"/>
    <n v="1.99"/>
    <n v="22.824489795918367"/>
    <s v="NO"/>
    <n v="34.483724390102978"/>
    <n v="-0.46353294414176904"/>
    <n v="-5.8491988081834499E-2"/>
    <n v="-0.58831459893660254"/>
    <n v="-0.66973298402447823"/>
    <n v="1.129221634494892"/>
    <x v="1"/>
    <x v="0"/>
    <x v="0"/>
    <x v="0"/>
    <x v="0"/>
    <x v="0"/>
  </r>
  <r>
    <x v="0"/>
    <s v="NNXPF"/>
    <n v="296"/>
    <n v="1.68"/>
    <n v="-0.03"/>
    <n v="0.41"/>
    <n v="-0.04"/>
    <n v="-56"/>
    <n v="4.0975609756097562"/>
    <n v="-9.3000000000000007"/>
    <n v="-2.93"/>
    <n v="1.49"/>
    <n v="-42"/>
    <s v="NO"/>
    <n v="-3.0341197412104663"/>
    <n v="2.4017279539304517"/>
    <n v="-1.0170391055462595"/>
    <n v="-2.389984748801345"/>
    <n v="-1.2418050875231172"/>
    <n v="-2.5756626787773222"/>
    <x v="1"/>
    <x v="0"/>
    <x v="0"/>
    <x v="0"/>
    <x v="0"/>
    <x v="0"/>
  </r>
  <r>
    <x v="0"/>
    <s v="ASPN"/>
    <n v="473"/>
    <n v="6.17"/>
    <n v="-0.06"/>
    <n v="3.83"/>
    <n v="-3.62"/>
    <n v="-102.83333333333334"/>
    <n v="1.6109660574412532"/>
    <n v="-70.97"/>
    <n v="-23.26"/>
    <n v="1.76"/>
    <n v="-1.7044198895027625"/>
    <s v="NO"/>
    <n v="-5.6282423300143734"/>
    <n v="6.2556165399680799E-2"/>
    <n v="-5.2545732083441878"/>
    <n v="-9.7155755781513893"/>
    <n v="-0.93288615163385213"/>
    <n v="-0.27266788289718513"/>
    <x v="1"/>
    <x v="0"/>
    <x v="1"/>
    <x v="1"/>
    <x v="0"/>
    <x v="0"/>
  </r>
  <r>
    <x v="0"/>
    <s v="SLSN"/>
    <n v="271"/>
    <n v="3.99"/>
    <n v="-0.09"/>
    <n v="0.22"/>
    <n v="0.05"/>
    <n v="-44.333333333333336"/>
    <n v="18.136363636363637"/>
    <n v="26.22"/>
    <n v="5.6"/>
    <n v="3.76"/>
    <n v="79.8"/>
    <s v="NO"/>
    <n v="-2.3878970322557564"/>
    <n v="15.608209994428559"/>
    <n v="1.4236486085997173"/>
    <n v="0.6836645268679058"/>
    <n v="1.3554022623607038"/>
    <n v="4.3855168195450638"/>
    <x v="0"/>
    <x v="1"/>
    <x v="0"/>
    <x v="0"/>
    <x v="0"/>
    <x v="1"/>
  </r>
  <r>
    <x v="0"/>
    <s v="FPLSF"/>
    <n v="521"/>
    <n v="6.67"/>
    <n v="-0.18"/>
    <n v="1.7"/>
    <n v="0.24"/>
    <n v="-37.055555555555557"/>
    <n v="3.9235294117647062"/>
    <n v="15.42"/>
    <n v="7.1"/>
    <n v="2.61"/>
    <n v="27.791666666666668"/>
    <s v="NO"/>
    <n v="-1.9847771519078186"/>
    <n v="2.2380142257772251"/>
    <n v="0.68154761443371081"/>
    <n v="1.2241655718273285"/>
    <n v="3.9636424313834087E-2"/>
    <n v="1.4131084144390154"/>
    <x v="0"/>
    <x v="0"/>
    <x v="0"/>
    <x v="0"/>
    <x v="0"/>
    <x v="0"/>
  </r>
  <r>
    <x v="0"/>
    <s v="KRO"/>
    <n v="728"/>
    <n v="6.59"/>
    <n v="-0.2"/>
    <n v="7.36"/>
    <n v="0.84"/>
    <n v="-32.949999999999996"/>
    <n v="0.89538043478260865"/>
    <n v="11.87"/>
    <n v="5.19"/>
    <n v="2.2999999999999998"/>
    <n v="7.8452380952380958"/>
    <s v="NO"/>
    <n v="-1.7573683033756609"/>
    <n v="-0.61060442403569792"/>
    <n v="0.43761626912914386"/>
    <n v="0.53592757457899709"/>
    <n v="-0.31504827985532219"/>
    <n v="0.27311933696626922"/>
    <x v="0"/>
    <x v="0"/>
    <x v="0"/>
    <x v="0"/>
    <x v="0"/>
    <x v="0"/>
  </r>
  <r>
    <x v="0"/>
    <s v="LXU"/>
    <n v="544"/>
    <n v="7.8"/>
    <n v="-0.36"/>
    <n v="6.83"/>
    <n v="-0.37"/>
    <n v="-21.666666666666668"/>
    <n v="1.1420204978038067"/>
    <n v="-5.28"/>
    <n v="-0.1"/>
    <n v="2.4"/>
    <n v="-21.081081081081081"/>
    <s v="NO"/>
    <n v="-1.132378626286606"/>
    <n v="-0.37858694779731766"/>
    <n v="-0.74081262438446838"/>
    <n v="-1.3702394439779009"/>
    <n v="-0.20063385915559426"/>
    <n v="-1.3800933068114216"/>
    <x v="0"/>
    <x v="0"/>
    <x v="0"/>
    <x v="0"/>
    <x v="0"/>
    <x v="0"/>
  </r>
  <r>
    <x v="0"/>
    <s v="ASPI"/>
    <n v="577"/>
    <n v="9.6199999999999992"/>
    <n v="-0.47"/>
    <n v="0.59"/>
    <n v="-0.59"/>
    <n v="-20.468085106382979"/>
    <n v="16.305084745762713"/>
    <n v="-115.46"/>
    <n v="-26.14"/>
    <n v="2.14"/>
    <n v="-16.305084745762713"/>
    <s v="NO"/>
    <n v="-1.0659885729046328"/>
    <n v="13.885502412857235"/>
    <n v="-8.3116170259780429"/>
    <n v="-10.75333758447348"/>
    <n v="-0.49811135297488635"/>
    <n v="-1.107132980263958"/>
    <x v="0"/>
    <x v="1"/>
    <x v="1"/>
    <x v="1"/>
    <x v="0"/>
    <x v="0"/>
  </r>
  <r>
    <x v="0"/>
    <s v="TROX"/>
    <n v="900"/>
    <n v="5.99"/>
    <n v="-0.68"/>
    <n v="10.56"/>
    <n v="-0.95"/>
    <n v="-8.8088235294117645"/>
    <n v="0.56723484848484851"/>
    <n v="-8.59"/>
    <n v="2.11"/>
    <n v="3.63"/>
    <n v="-6.3052631578947373"/>
    <s v="NO"/>
    <n v="-0.42017603570332696"/>
    <n v="-0.91929519324388731"/>
    <n v="-0.96825283648534621"/>
    <n v="-0.57390123773768453"/>
    <n v="1.2066635154510577"/>
    <n v="-0.535617766599359"/>
    <x v="0"/>
    <x v="0"/>
    <x v="0"/>
    <x v="0"/>
    <x v="0"/>
    <x v="0"/>
  </r>
  <r>
    <x v="0"/>
    <s v="NOPMF"/>
    <n v="287"/>
    <n v="8.3840000000000003"/>
    <n v="-0.89"/>
    <n v="9.65"/>
    <n v="-0.37"/>
    <n v="-9.4202247191011246"/>
    <n v="0.86880829015544037"/>
    <n v="-3.67"/>
    <n v="4.1500000000000004"/>
    <n v="1.54"/>
    <n v="-22.659459459459459"/>
    <s v="NO"/>
    <n v="-0.45404186425125759"/>
    <n v="-0.63560118189862036"/>
    <n v="-0.63018460580972113"/>
    <n v="0.16118018340713064"/>
    <n v="-1.1845978771732533"/>
    <n v="-1.47030164185381"/>
    <x v="0"/>
    <x v="0"/>
    <x v="0"/>
    <x v="0"/>
    <x v="0"/>
    <x v="0"/>
  </r>
  <r>
    <x v="0"/>
    <s v="BAK"/>
    <n v="1510"/>
    <n v="3.62"/>
    <n v="-0.97"/>
    <n v="-0.93"/>
    <n v="-2.04"/>
    <n v="-3.731958762886598"/>
    <n v="-3.89247311827957"/>
    <n v="1405.7"/>
    <n v="-0.61"/>
    <n v="-22.53"/>
    <n v="-1.7745098039215685"/>
    <s v="NO"/>
    <n v="-0.13896586692441718"/>
    <n v="-5.114599778127757"/>
    <n v="96.21193374120368"/>
    <n v="-1.5540097992641044"/>
    <n v="-28.72414893959774"/>
    <n v="-0.27667369960729482"/>
    <x v="0"/>
    <x v="1"/>
    <x v="1"/>
    <x v="0"/>
    <x v="1"/>
    <x v="0"/>
  </r>
  <r>
    <x v="0"/>
    <s v="PCT"/>
    <n v="1708"/>
    <n v="10.82"/>
    <n v="-1.19"/>
    <n v="1.33"/>
    <n v="-1.1599999999999999"/>
    <n v="-9.0924369747899174"/>
    <n v="8.1353383458646622"/>
    <n v="-67.72"/>
    <n v="-11.84"/>
    <n v="3.31"/>
    <n v="-9.3275862068965534"/>
    <s v="NO"/>
    <n v="-0.43588553132917685"/>
    <n v="6.2001170055034267"/>
    <n v="-5.0312557795442316"/>
    <n v="-5.6005609558603169"/>
    <n v="0.8405373692119289"/>
    <n v="-0.70835120868489798"/>
    <x v="0"/>
    <x v="1"/>
    <x v="1"/>
    <x v="1"/>
    <x v="0"/>
    <x v="0"/>
  </r>
  <r>
    <x v="0"/>
    <s v="OEC"/>
    <n v="613"/>
    <n v="11.61"/>
    <n v="-1.89"/>
    <n v="8.26"/>
    <n v="0.46"/>
    <n v="-6.1428571428571432"/>
    <n v="1.4055690072639224"/>
    <n v="5.55"/>
    <n v="4.5599999999999996"/>
    <n v="4.22"/>
    <n v="25.239130434782606"/>
    <s v="NO"/>
    <n v="-0.27250677682033897"/>
    <n v="-0.13066347874570841"/>
    <n v="3.3497614319993401E-3"/>
    <n v="0.30891713569603929"/>
    <n v="1.8817085975794516"/>
    <n v="1.2672244826975012"/>
    <x v="0"/>
    <x v="0"/>
    <x v="0"/>
    <x v="0"/>
    <x v="0"/>
    <x v="0"/>
  </r>
  <r>
    <x v="0"/>
    <s v="VHI"/>
    <n v="412"/>
    <n v="15.49"/>
    <n v="-3.57"/>
    <n v="37.549999999999997"/>
    <n v="4.1100000000000003"/>
    <n v="-4.3389355742296924"/>
    <n v="0.41251664447403463"/>
    <n v="12.8"/>
    <n v="5.63"/>
    <n v="2.6"/>
    <n v="3.7688564476885644"/>
    <s v="NO"/>
    <n v="-0.17258662686431658"/>
    <n v="-1.064840595653384"/>
    <n v="0.50151941029343894"/>
    <n v="0.69447454776709427"/>
    <n v="2.8194982243861546E-2"/>
    <n v="4.0143767571692641E-2"/>
    <x v="0"/>
    <x v="0"/>
    <x v="0"/>
    <x v="0"/>
    <x v="0"/>
    <x v="0"/>
  </r>
  <r>
    <x v="0"/>
    <s v="CC"/>
    <n v="1516"/>
    <n v="11.28"/>
    <n v="-5.32"/>
    <n v="3.87"/>
    <n v="0.18"/>
    <n v="-2.1203007518796988"/>
    <n v="2.9147286821705425"/>
    <n v="4.2"/>
    <n v="3.32"/>
    <n v="12.77"/>
    <n v="62.666666666666664"/>
    <s v="NO"/>
    <n v="-4.9695295000293939E-2"/>
    <n v="1.2890224178739089"/>
    <n v="-8.9412862838751453E-2"/>
    <n v="-0.13789706147041683"/>
    <n v="11.664141567406178"/>
    <n v="3.40630328310891"/>
    <x v="0"/>
    <x v="0"/>
    <x v="0"/>
    <x v="0"/>
    <x v="1"/>
    <x v="1"/>
  </r>
  <r>
    <x v="0"/>
    <s v="DNA"/>
    <n v="407"/>
    <n v="7.84"/>
    <n v="-6.52"/>
    <n v="11.84"/>
    <n v="-8.92"/>
    <n v="-1.2024539877300615"/>
    <n v="0.66216216216216217"/>
    <n v="-57.76"/>
    <n v="-16.989999999999998"/>
    <n v="2"/>
    <n v="-0.87892376681614348"/>
    <s v="NO"/>
    <n v="1.1447126283426283E-3"/>
    <n v="-0.82999584959424499"/>
    <n v="-4.3468737515911373"/>
    <n v="-7.4562812102210003"/>
    <n v="-0.65829154195450534"/>
    <n v="-0.22548868186934673"/>
    <x v="0"/>
    <x v="0"/>
    <x v="1"/>
    <x v="1"/>
    <x v="0"/>
    <x v="0"/>
  </r>
  <r>
    <x v="1"/>
    <s v="LOMA"/>
    <n v="1479"/>
    <n v="11.8"/>
    <n v="0.51"/>
    <n v="7.05"/>
    <n v="0.77"/>
    <n v="23.137254901960784"/>
    <n v="1.6737588652482271"/>
    <n v="13.9"/>
    <n v="5.42"/>
    <n v="1.76"/>
    <n v="15.324675324675326"/>
    <s v="YES"/>
    <n v="-0.99999999999999656"/>
    <n v="-1.0000000000000002"/>
    <n v="-0.99999999999998634"/>
    <n v="-0.99999999999999922"/>
    <n v="-1"/>
    <n v="-0.99999999999999989"/>
    <x v="0"/>
    <x v="0"/>
    <x v="0"/>
    <x v="0"/>
    <x v="0"/>
    <x v="0"/>
  </r>
  <r>
    <x v="1"/>
    <s v="CPAC"/>
    <n v="514"/>
    <n v="5.98"/>
    <n v="0.19"/>
    <n v="0.8"/>
    <n v="0.13"/>
    <n v="31.473684210526319"/>
    <n v="7.4750000000000005"/>
    <n v="16.14"/>
    <n v="7.65"/>
    <n v="2.52"/>
    <n v="46"/>
    <s v="NO"/>
    <n v="0.99999999999999656"/>
    <n v="1.0000000000000002"/>
    <n v="0.9999999999999879"/>
    <n v="0.99999999999999922"/>
    <n v="0.99999999999999944"/>
    <n v="0.99999999999999989"/>
    <x v="0"/>
    <x v="0"/>
    <x v="0"/>
    <x v="0"/>
    <x v="0"/>
    <x v="0"/>
  </r>
  <r>
    <x v="2"/>
    <s v="TCLAF"/>
    <n v="1300"/>
    <n v="15.49"/>
    <n v="2.2200000000000002"/>
    <n v="16.329999999999998"/>
    <n v="1.33"/>
    <n v="6.9774774774774766"/>
    <n v="0.9485609308022046"/>
    <n v="8.5"/>
    <n v="4.49"/>
    <n v="1.84"/>
    <n v="11.646616541353383"/>
    <s v="NO"/>
    <n v="-1.1590947049898122"/>
    <n v="-0.58054631334314688"/>
    <n v="1.3894123720489728"/>
    <n v="0.68631195671391221"/>
    <n v="-1.4029911171997664"/>
    <n v="-0.39728052630871658"/>
    <x v="0"/>
    <x v="0"/>
    <x v="0"/>
    <x v="0"/>
    <x v="0"/>
    <x v="0"/>
  </r>
  <r>
    <x v="2"/>
    <s v="MYE"/>
    <n v="474"/>
    <n v="14.23"/>
    <n v="1.1399999999999999"/>
    <n v="7.43"/>
    <n v="0.28000000000000003"/>
    <n v="12.482456140350878"/>
    <n v="1.9152086137281292"/>
    <n v="3.69"/>
    <n v="5.28"/>
    <n v="3.19"/>
    <n v="50.821428571428569"/>
    <s v="NO"/>
    <n v="-0.77660484148538722"/>
    <n v="1.2491471913304593"/>
    <n v="-0.92306981118824449"/>
    <n v="1.0538959877674652"/>
    <n v="12.455823577090625"/>
    <n v="1.2370118388819236"/>
    <x v="0"/>
    <x v="0"/>
    <x v="0"/>
    <x v="0"/>
    <x v="1"/>
    <x v="0"/>
  </r>
  <r>
    <x v="2"/>
    <s v="TRS"/>
    <n v="1072"/>
    <n v="26.82"/>
    <n v="0.64"/>
    <n v="16.86"/>
    <n v="0.77"/>
    <n v="41.90625"/>
    <n v="1.5907473309608542"/>
    <n v="4.6399999999999997"/>
    <n v="2.59"/>
    <n v="2.0299999999999998"/>
    <n v="34.831168831168831"/>
    <s v="NO"/>
    <n v="1.2677814470683981"/>
    <n v="0.63499923227220256"/>
    <n v="-0.46634256086072767"/>
    <n v="-0.19775090278197457"/>
    <n v="0.54750872866332312"/>
    <n v="0.56993118024700318"/>
    <x v="0"/>
    <x v="0"/>
    <x v="0"/>
    <x v="0"/>
    <x v="0"/>
    <x v="0"/>
  </r>
  <r>
    <x v="2"/>
    <s v="PACK"/>
    <n v="280"/>
    <n v="3.66"/>
    <n v="0.11"/>
    <n v="6.46"/>
    <n v="-0.28999999999999998"/>
    <n v="33.272727272727273"/>
    <n v="0.56656346749226005"/>
    <n v="-4.4000000000000004"/>
    <n v="-0.3"/>
    <n v="2.06"/>
    <n v="-12.620689655172415"/>
    <s v="NO"/>
    <n v="0.6679180994068018"/>
    <n v="-1.3036001102595154"/>
    <n v="-4.8124629218720463"/>
    <n v="-1.5424570416994019"/>
    <n v="0.85548238853644554"/>
    <n v="-1.4096624928202099"/>
    <x v="0"/>
    <x v="0"/>
    <x v="1"/>
    <x v="0"/>
    <x v="0"/>
    <x v="0"/>
  </r>
  <r>
    <x v="3"/>
    <s v="AMR"/>
    <n v="1462"/>
    <n v="112.16"/>
    <n v="17.84"/>
    <n v="123.72"/>
    <n v="2.04"/>
    <n v="6.2869955156950672"/>
    <n v="0.90656320724215966"/>
    <n v="1.66"/>
    <n v="0.98"/>
    <n v="1.49"/>
    <n v="54.980392156862742"/>
    <s v="NO"/>
    <n v="0.58368543013456242"/>
    <n v="-0.7962896864394986"/>
    <n v="0.34753664930216582"/>
    <n v="0.23590503651933323"/>
    <n v="-9.8697370910741544E-2"/>
    <n v="2.3407283400369572"/>
    <x v="0"/>
    <x v="0"/>
    <x v="0"/>
    <x v="0"/>
    <x v="0"/>
    <x v="0"/>
  </r>
  <r>
    <x v="3"/>
    <s v="ZEUS"/>
    <n v="331"/>
    <n v="31.84"/>
    <n v="4.46"/>
    <n v="51.44"/>
    <n v="1.43"/>
    <n v="7.1390134529147984"/>
    <n v="0.61897356143079318"/>
    <n v="2.95"/>
    <n v="2.4"/>
    <n v="1.85"/>
    <n v="22.265734265734267"/>
    <s v="NO"/>
    <n v="0.61324452232558346"/>
    <n v="-0.92175650889533978"/>
    <n v="0.41215453930307205"/>
    <n v="0.40221868028968766"/>
    <n v="0.5219323850345351"/>
    <n v="1.122350383459588"/>
    <x v="0"/>
    <x v="0"/>
    <x v="0"/>
    <x v="0"/>
    <x v="0"/>
    <x v="0"/>
  </r>
  <r>
    <x v="3"/>
    <s v="RYI"/>
    <n v="668"/>
    <n v="22"/>
    <n v="3.85"/>
    <n v="24.97"/>
    <n v="-0.21"/>
    <n v="5.7142857142857144"/>
    <n v="0.88105726872246704"/>
    <n v="-0.61"/>
    <n v="0.86"/>
    <n v="3.14"/>
    <n v="-104.76190476190476"/>
    <s v="NO"/>
    <n v="0.5638163862106732"/>
    <n v="-0.80741717001350344"/>
    <n v="0.23382919945560993"/>
    <n v="0.22185036239789482"/>
    <n v="2.7458556771717761"/>
    <n v="-3.6084854327789868"/>
    <x v="0"/>
    <x v="0"/>
    <x v="0"/>
    <x v="0"/>
    <x v="0"/>
    <x v="1"/>
  </r>
  <r>
    <x v="3"/>
    <s v="CMP"/>
    <n v="800"/>
    <n v="20.29"/>
    <n v="2.2200000000000002"/>
    <n v="5.68"/>
    <n v="-3.56"/>
    <n v="9.139639639639638"/>
    <n v="3.5721830985915495"/>
    <n v="-46.32"/>
    <n v="0.96"/>
    <n v="6.48"/>
    <n v="-5.6994382022471903"/>
    <s v="NO"/>
    <n v="0.68265232621072536"/>
    <n v="0.36664111622945428"/>
    <n v="-2.0558481276307639"/>
    <n v="0.23356259083242684"/>
    <n v="8.503920635108507"/>
    <n v="8.085547312728085E-2"/>
    <x v="0"/>
    <x v="0"/>
    <x v="0"/>
    <x v="0"/>
    <x v="1"/>
    <x v="0"/>
  </r>
  <r>
    <x v="3"/>
    <s v="LIFZF"/>
    <n v="1343"/>
    <n v="21.3995"/>
    <n v="2.13"/>
    <n v="6.87"/>
    <n v="1.48"/>
    <n v="10.046713615023474"/>
    <n v="3.1149199417758369"/>
    <n v="20.74"/>
    <n v="10.47"/>
    <n v="1.27"/>
    <n v="14.459121621621621"/>
    <s v="NO"/>
    <n v="0.71412147972401796"/>
    <n v="0.1671507793992299"/>
    <n v="1.3032803246644062"/>
    <n v="1.3473955149564203"/>
    <n v="-0.47797111065507714"/>
    <n v="0.83161206081601502"/>
    <x v="0"/>
    <x v="0"/>
    <x v="0"/>
    <x v="0"/>
    <x v="0"/>
    <x v="0"/>
  </r>
  <r>
    <x v="3"/>
    <s v="MTRN"/>
    <n v="1612"/>
    <n v="81.040000000000006"/>
    <n v="2.02"/>
    <n v="42.66"/>
    <n v="0.49"/>
    <n v="40.118811881188122"/>
    <n v="1.899671823722457"/>
    <n v="1.1399999999999999"/>
    <n v="4.95"/>
    <n v="1.97"/>
    <n v="165.38775510204084"/>
    <s v="NO"/>
    <n v="1.7574139812030785"/>
    <n v="-0.36302588755771437"/>
    <n v="0.32148912775141292"/>
    <n v="0.70088050537025381"/>
    <n v="0.72880897034962711"/>
    <n v="6.452582350673592"/>
    <x v="0"/>
    <x v="0"/>
    <x v="0"/>
    <x v="0"/>
    <x v="0"/>
    <x v="1"/>
  </r>
  <r>
    <x v="3"/>
    <s v="WS"/>
    <n v="1263"/>
    <n v="26.17"/>
    <n v="1.66"/>
    <n v="20.440000000000001"/>
    <n v="2.14"/>
    <n v="15.765060240963857"/>
    <n v="1.2803326810176126"/>
    <n v="10.67"/>
    <n v="5.35"/>
    <n v="1.78"/>
    <n v="12.228971962616823"/>
    <s v="NO"/>
    <n v="0.91250830670556504"/>
    <n v="-0.63322516416404317"/>
    <n v="0.79886005155655726"/>
    <n v="0.74772941910838175"/>
    <n v="0.40125437693406457"/>
    <n v="0.74855555466386547"/>
    <x v="0"/>
    <x v="0"/>
    <x v="0"/>
    <x v="0"/>
    <x v="0"/>
    <x v="0"/>
  </r>
  <r>
    <x v="3"/>
    <s v="SXC"/>
    <n v="689"/>
    <n v="8.35"/>
    <n v="1.44"/>
    <n v="8.09"/>
    <n v="1.0900000000000001"/>
    <n v="5.7986111111111107"/>
    <n v="1.0321384425216316"/>
    <n v="14.89"/>
    <n v="5.54"/>
    <n v="2.44"/>
    <n v="7.660550458715595"/>
    <s v="NO"/>
    <n v="0.56674189055737745"/>
    <n v="-0.74150494025988745"/>
    <n v="1.0102457072184363"/>
    <n v="0.76998265313399261"/>
    <n v="1.5390755961670712"/>
    <n v="0.57841579421670841"/>
    <x v="0"/>
    <x v="0"/>
    <x v="0"/>
    <x v="0"/>
    <x v="0"/>
    <x v="0"/>
  </r>
  <r>
    <x v="3"/>
    <s v="METC"/>
    <n v="495"/>
    <n v="10.050000000000001"/>
    <n v="0.8"/>
    <n v="6.5"/>
    <n v="-0.01"/>
    <n v="12.5625"/>
    <n v="1.5461538461538462"/>
    <n v="-0.08"/>
    <n v="-0.24"/>
    <n v="1.93"/>
    <n v="-1005"/>
    <s v="NO"/>
    <n v="0.8014017568612567"/>
    <n v="-0.5172552834089188"/>
    <n v="0.26037763488233884"/>
    <n v="9.3015849618042795E-2"/>
    <n v="0.65985010857792958"/>
    <n v="-37.135666262835315"/>
    <x v="0"/>
    <x v="0"/>
    <x v="0"/>
    <x v="0"/>
    <x v="0"/>
    <x v="1"/>
  </r>
  <r>
    <x v="3"/>
    <s v="METCB"/>
    <n v="408"/>
    <n v="7.75"/>
    <n v="0.8"/>
    <n v="6.5"/>
    <n v="-0.01"/>
    <n v="9.6875"/>
    <n v="1.1923076923076923"/>
    <n v="-0.08"/>
    <n v="-0.24"/>
    <n v="1.93"/>
    <n v="-775"/>
    <s v="NO"/>
    <n v="0.70165926748773921"/>
    <n v="-0.67162785282477822"/>
    <n v="0.26037763488233884"/>
    <n v="9.3015849618042795E-2"/>
    <n v="0.65985010857792958"/>
    <n v="-28.569875021937563"/>
    <x v="0"/>
    <x v="0"/>
    <x v="0"/>
    <x v="0"/>
    <x v="0"/>
    <x v="1"/>
  </r>
  <r>
    <x v="3"/>
    <s v="MTAL"/>
    <n v="1003"/>
    <n v="12.26"/>
    <n v="0.79"/>
    <n v="6.74"/>
    <n v="-1.1399999999999999"/>
    <n v="15.518987341772151"/>
    <n v="1.8189910979228485"/>
    <n v="-19.84"/>
    <n v="3.48"/>
    <n v="2.5299999999999998"/>
    <n v="-10.754385964912281"/>
    <s v="NO"/>
    <n v="0.90397128982461228"/>
    <n v="-0.39822449239951563"/>
    <n v="-0.72942818404627097"/>
    <n v="0.52871074738263324"/>
    <n v="1.6942330351533903"/>
    <n v="-0.1074037758667728"/>
    <x v="0"/>
    <x v="0"/>
    <x v="0"/>
    <x v="0"/>
    <x v="0"/>
    <x v="0"/>
  </r>
  <r>
    <x v="3"/>
    <s v="FSM"/>
    <n v="1796"/>
    <n v="6.97"/>
    <n v="0.77"/>
    <n v="4.76"/>
    <n v="0.52"/>
    <n v="9.0519480519480506"/>
    <n v="1.4642857142857142"/>
    <n v="12.69"/>
    <n v="8.2799999999999994"/>
    <n v="1.5"/>
    <n v="13.403846153846153"/>
    <s v="NO"/>
    <n v="0.67961003847038626"/>
    <n v="-0.55297191825824032"/>
    <n v="0.90004465450371263"/>
    <n v="1.0908977122401693"/>
    <n v="-8.1457655467817178E-2"/>
    <n v="0.79231088969164376"/>
    <x v="0"/>
    <x v="0"/>
    <x v="0"/>
    <x v="0"/>
    <x v="0"/>
    <x v="0"/>
  </r>
  <r>
    <x v="3"/>
    <s v="CMCL"/>
    <n v="330"/>
    <n v="18.66"/>
    <n v="0.77"/>
    <n v="11.46"/>
    <n v="1.28"/>
    <n v="24.233766233766232"/>
    <n v="1.6282722513089005"/>
    <n v="12.76"/>
    <n v="11.73"/>
    <n v="1.65"/>
    <n v="14.578125"/>
    <s v="NO"/>
    <n v="1.2063134606167074"/>
    <n v="-0.48142946175641055"/>
    <n v="0.90355105163554483"/>
    <n v="1.4949695932315237"/>
    <n v="0.17713807617604788"/>
    <n v="0.83604405253840963"/>
    <x v="0"/>
    <x v="0"/>
    <x v="0"/>
    <x v="0"/>
    <x v="0"/>
    <x v="0"/>
  </r>
  <r>
    <x v="3"/>
    <s v="MNDJF"/>
    <n v="336"/>
    <n v="3.86"/>
    <n v="0.67"/>
    <n v="2.71"/>
    <n v="0.59"/>
    <n v="5.7611940298507456"/>
    <n v="1.4243542435424354"/>
    <n v="25.14"/>
    <n v="18.989999999999998"/>
    <n v="1.45"/>
    <n v="6.5423728813559325"/>
    <s v="NO"/>
    <n v="0.56544377826868175"/>
    <n v="-0.57039283317335432"/>
    <n v="1.5236824300938538"/>
    <n v="2.3452773775785469"/>
    <n v="-0.16765623268243898"/>
    <n v="0.53677198683446647"/>
    <x v="0"/>
    <x v="0"/>
    <x v="0"/>
    <x v="0"/>
    <x v="0"/>
    <x v="0"/>
  </r>
  <r>
    <x v="3"/>
    <s v="TG"/>
    <n v="292"/>
    <n v="8.65"/>
    <n v="0.39"/>
    <n v="5.61"/>
    <n v="-0.03"/>
    <n v="22.179487179487179"/>
    <n v="1.5418894830659535"/>
    <n v="-0.51"/>
    <n v="3.37"/>
    <n v="1.96"/>
    <n v="-288.33333333333337"/>
    <s v="NO"/>
    <n v="1.1350442756630836"/>
    <n v="-0.51911569839335392"/>
    <n v="0.23883833821537012"/>
    <n v="0.51582729610464817"/>
    <n v="0.71156925490670275"/>
    <n v="-10.445157323806079"/>
    <x v="0"/>
    <x v="0"/>
    <x v="0"/>
    <x v="0"/>
    <x v="0"/>
    <x v="1"/>
  </r>
  <r>
    <x v="3"/>
    <s v="ATUSF"/>
    <n v="891"/>
    <n v="19.986000000000001"/>
    <n v="0.36"/>
    <n v="8.58"/>
    <n v="1.5"/>
    <n v="55.516666666666673"/>
    <n v="2.3293706293706293"/>
    <n v="17.38"/>
    <n v="2.2799999999999998"/>
    <n v="1.26"/>
    <n v="13.324"/>
    <s v="NO"/>
    <n v="2.2916123698345769"/>
    <n v="-0.17556105861492155"/>
    <n v="1.1349732623364646"/>
    <n v="0.38816400616824925"/>
    <n v="-0.49521082609800149"/>
    <n v="0.78933721366888399"/>
    <x v="0"/>
    <x v="0"/>
    <x v="0"/>
    <x v="0"/>
    <x v="0"/>
    <x v="0"/>
  </r>
  <r>
    <x v="3"/>
    <s v="CGAU"/>
    <n v="1480"/>
    <n v="7.24"/>
    <n v="0.32"/>
    <n v="7.98"/>
    <n v="0.18"/>
    <n v="22.625"/>
    <n v="0.90726817042606511"/>
    <n v="2.63"/>
    <n v="0.84"/>
    <n v="1.39"/>
    <n v="40.222222222222221"/>
    <s v="NO"/>
    <n v="1.1505004696685677"/>
    <n v="-0.79598213193633338"/>
    <n v="0.39612529527183948"/>
    <n v="0.2195079167109884"/>
    <n v="-0.27109452533998518"/>
    <n v="1.791096154133373"/>
    <x v="0"/>
    <x v="0"/>
    <x v="0"/>
    <x v="0"/>
    <x v="0"/>
    <x v="0"/>
  </r>
  <r>
    <x v="3"/>
    <s v="SID"/>
    <n v="1923"/>
    <n v="1.48"/>
    <n v="0.3"/>
    <n v="1.73"/>
    <n v="-0.35"/>
    <n v="4.9333333333333336"/>
    <n v="0.8554913294797688"/>
    <n v="-9.94"/>
    <n v="2.97"/>
    <n v="7.62"/>
    <n v="-4.2285714285714286"/>
    <s v="NO"/>
    <n v="0.53672277419037207"/>
    <n v="-0.81857083012122656"/>
    <n v="-0.23352344683001394"/>
    <n v="0.46897838236652006"/>
    <n v="10.469248195601883"/>
    <n v="0.13563433280762599"/>
    <x v="0"/>
    <x v="0"/>
    <x v="0"/>
    <x v="0"/>
    <x v="1"/>
    <x v="0"/>
  </r>
  <r>
    <x v="3"/>
    <s v="MAKOF"/>
    <n v="281"/>
    <n v="3.7909999999999999"/>
    <n v="0.3"/>
    <n v="0.97"/>
    <n v="0.26"/>
    <n v="12.636666666666667"/>
    <n v="3.9082474226804123"/>
    <n v="39.270000000000003"/>
    <n v="28.58"/>
    <n v="1.39"/>
    <n v="14.58076923076923"/>
    <s v="NO"/>
    <n v="0.80397482397842845"/>
    <n v="0.51325600135593785"/>
    <n v="2.2314737368479665"/>
    <n v="3.468480084450166"/>
    <n v="-0.27109452533998518"/>
    <n v="0.83614253048954867"/>
    <x v="0"/>
    <x v="0"/>
    <x v="0"/>
    <x v="1"/>
    <x v="0"/>
    <x v="0"/>
  </r>
  <r>
    <x v="3"/>
    <s v="MJDLF"/>
    <n v="477"/>
    <n v="6.21"/>
    <n v="0.27"/>
    <n v="4.5199999999999996"/>
    <n v="0.28999999999999998"/>
    <n v="23"/>
    <n v="1.3738938053097347"/>
    <n v="6.87"/>
    <n v="4.66"/>
    <n v="1.34"/>
    <n v="21.413793103448278"/>
    <s v="NO"/>
    <n v="1.1635103595868526"/>
    <n v="-0.59240722394505418"/>
    <n v="0.60851277868567077"/>
    <n v="0.66691504291011094"/>
    <n v="-0.35729310255460661"/>
    <n v="1.0906219045653724"/>
    <x v="0"/>
    <x v="0"/>
    <x v="0"/>
    <x v="0"/>
    <x v="0"/>
    <x v="0"/>
  </r>
  <r>
    <x v="3"/>
    <s v="SVM"/>
    <n v="848"/>
    <n v="4.38"/>
    <n v="0.26"/>
    <n v="3.23"/>
    <n v="0.28000000000000003"/>
    <n v="16.846153846153847"/>
    <n v="1.3560371517027863"/>
    <n v="11.01"/>
    <n v="7"/>
    <n v="1.62"/>
    <n v="15.642857142857141"/>
    <s v="NO"/>
    <n v="0.95001473015858784"/>
    <n v="-0.60019755165813182"/>
    <n v="0.81589112333974179"/>
    <n v="0.94098118827815991"/>
    <n v="0.12541892984727518"/>
    <n v="0.87569741455227046"/>
    <x v="0"/>
    <x v="0"/>
    <x v="0"/>
    <x v="0"/>
    <x v="0"/>
    <x v="0"/>
  </r>
  <r>
    <x v="3"/>
    <s v="IPMLF"/>
    <n v="547"/>
    <n v="3.8935"/>
    <n v="0.12"/>
    <n v="3.71"/>
    <n v="0.67"/>
    <n v="32.445833333333333"/>
    <n v="1.0494609164420485"/>
    <n v="19.940000000000001"/>
    <n v="8.76"/>
    <n v="1.96"/>
    <n v="5.8111940298507463"/>
    <s v="NO"/>
    <n v="1.4912150311952062"/>
    <n v="-0.73394765928150885"/>
    <n v="1.2632072145863251"/>
    <n v="1.1471164087259229"/>
    <n v="0.71156925490670275"/>
    <n v="0.50954100682684556"/>
    <x v="0"/>
    <x v="0"/>
    <x v="0"/>
    <x v="0"/>
    <x v="0"/>
    <x v="0"/>
  </r>
  <r>
    <x v="3"/>
    <s v="THXPF"/>
    <n v="329"/>
    <n v="0.53600000000000003"/>
    <n v="0.1"/>
    <n v="0.36"/>
    <n v="0.17"/>
    <n v="5.36"/>
    <n v="1.4888888888888889"/>
    <n v="62.83"/>
    <n v="27.26"/>
    <n v="1.23"/>
    <n v="3.1529411764705881"/>
    <s v="NO"/>
    <n v="0.55152513783073176"/>
    <n v="-0.54223828377332117"/>
    <n v="3.4116268286474623"/>
    <n v="3.3138786691143438"/>
    <n v="-0.54692997242677455"/>
    <n v="0.41054083722869239"/>
    <x v="0"/>
    <x v="0"/>
    <x v="1"/>
    <x v="1"/>
    <x v="0"/>
    <x v="0"/>
  </r>
  <r>
    <x v="3"/>
    <s v="NEXA"/>
    <n v="661"/>
    <n v="4.93"/>
    <n v="0.09"/>
    <n v="6.56"/>
    <n v="-1.27"/>
    <n v="54.777777777777779"/>
    <n v="0.7515243902439025"/>
    <n v="-11.58"/>
    <n v="3.84"/>
    <n v="5.38"/>
    <n v="-3.8818897637795273"/>
    <s v="NO"/>
    <n v="2.2659780682178079"/>
    <n v="-0.8639285183981531"/>
    <n v="-0.31567332249008079"/>
    <n v="0.57087476974694851"/>
    <n v="6.6075519363868285"/>
    <n v="0.14854564918873173"/>
    <x v="0"/>
    <x v="0"/>
    <x v="0"/>
    <x v="0"/>
    <x v="1"/>
    <x v="0"/>
  </r>
  <r>
    <x v="3"/>
    <s v="ASGOF"/>
    <n v="469"/>
    <n v="1.01"/>
    <n v="0.08"/>
    <n v="0.04"/>
    <n v="-0.16"/>
    <n v="12.625"/>
    <n v="25.25"/>
    <n v="-202.94"/>
    <n v="-4.6399999999999997"/>
    <n v="40.71"/>
    <n v="-6.3125"/>
    <s v="NO"/>
    <n v="0.80357007184763751"/>
    <n v="9.8240289047426241"/>
    <n v="-9.9011612531671442"/>
    <n v="-0.42232220150136529"/>
    <n v="67.515466596238554"/>
    <n v="5.8023475834584982E-2"/>
    <x v="0"/>
    <x v="1"/>
    <x v="1"/>
    <x v="0"/>
    <x v="1"/>
    <x v="0"/>
  </r>
  <r>
    <x v="3"/>
    <s v="ITRG"/>
    <n v="274"/>
    <n v="1.68"/>
    <n v="0.05"/>
    <n v="0.78"/>
    <n v="-0.03"/>
    <n v="33.599999999999994"/>
    <n v="2.1538461538461537"/>
    <n v="-3.37"/>
    <n v="-0.28999999999999998"/>
    <n v="1.82"/>
    <n v="-56"/>
    <s v="NO"/>
    <n v="1.5312565812770382"/>
    <n v="-0.25213717506429062"/>
    <n v="9.5576969686229238E-2"/>
    <n v="8.7159735400776789E-2"/>
    <n v="0.47021323870576204"/>
    <n v="-1.7924667514789248"/>
    <x v="0"/>
    <x v="0"/>
    <x v="0"/>
    <x v="0"/>
    <x v="0"/>
    <x v="0"/>
  </r>
  <r>
    <x v="3"/>
    <s v="ORZCF"/>
    <n v="484"/>
    <n v="0.96289999999999998"/>
    <n v="0.03"/>
    <n v="0.59"/>
    <n v="0.13"/>
    <n v="32.096666666666664"/>
    <n v="1.6320338983050848"/>
    <n v="28.9"/>
    <n v="15.54"/>
    <n v="1.69"/>
    <n v="7.4069230769230767"/>
    <s v="NO"/>
    <n v="1.4791013781379585"/>
    <n v="-0.47978836687456844"/>
    <n v="1.7120260474608364"/>
    <n v="1.941205496587193"/>
    <n v="0.24609693794774531"/>
    <n v="0.56897005854101201"/>
    <x v="0"/>
    <x v="0"/>
    <x v="0"/>
    <x v="0"/>
    <x v="0"/>
    <x v="0"/>
  </r>
  <r>
    <x v="3"/>
    <s v="ELEMF"/>
    <n v="261"/>
    <n v="1.046"/>
    <n v="0.02"/>
    <n v="0.82"/>
    <n v="0.02"/>
    <n v="52.300000000000004"/>
    <n v="1.275609756097561"/>
    <n v="2.3199999999999998"/>
    <n v="1.56"/>
    <n v="1.02"/>
    <n v="52.300000000000004"/>
    <s v="NO"/>
    <n v="2.1800164252021781"/>
    <n v="-0.63528563605879651"/>
    <n v="0.38059696511658292"/>
    <n v="0.30383596143961888"/>
    <n v="-0.90896399672818584"/>
    <n v="2.2409036458655405"/>
    <x v="0"/>
    <x v="0"/>
    <x v="0"/>
    <x v="0"/>
    <x v="0"/>
    <x v="0"/>
  </r>
  <r>
    <x v="3"/>
    <s v="OGNRF"/>
    <n v="269"/>
    <n v="1.4"/>
    <n v="0.01"/>
    <n v="0.23"/>
    <n v="0.01"/>
    <n v="140"/>
    <n v="6.0869565217391299"/>
    <n v="4"/>
    <n v="2.72"/>
    <n v="1.02"/>
    <n v="140"/>
    <s v="NO"/>
    <n v="5.2225960140917342"/>
    <n v="1.4637620842273042"/>
    <n v="0.46475049628055376"/>
    <n v="0.43969781128019009"/>
    <n v="-0.90896399672818584"/>
    <n v="5.5070770885904672"/>
    <x v="1"/>
    <x v="0"/>
    <x v="0"/>
    <x v="0"/>
    <x v="0"/>
    <x v="1"/>
  </r>
  <r>
    <x v="3"/>
    <s v="GLGDF"/>
    <n v="535"/>
    <n v="1.7078"/>
    <n v="0"/>
    <n v="0.87"/>
    <n v="0.01"/>
    <s v=""/>
    <n v="1.9629885057471264"/>
    <n v="1.17"/>
    <n v="2.48"/>
    <n v="1.1100000000000001"/>
    <n v="170.78"/>
    <s v="NO"/>
    <e v="#VALUE!"/>
    <n v="-0.33540269938739758"/>
    <n v="0.32299186937934099"/>
    <n v="0.41158846303731328"/>
    <n v="-0.75380655774186656"/>
    <n v="6.6534034120462628"/>
    <x v="1"/>
    <x v="0"/>
    <x v="0"/>
    <x v="0"/>
    <x v="0"/>
    <x v="1"/>
  </r>
  <r>
    <x v="3"/>
    <s v="RMLFF"/>
    <n v="360"/>
    <n v="0.69479999999999997"/>
    <n v="-0.01"/>
    <n v="-0.26"/>
    <n v="-7.0000000000000007E-2"/>
    <n v="-69.47999999999999"/>
    <n v="-2.6723076923076921"/>
    <n v="24.89"/>
    <n v="-2134.1999999999998"/>
    <n v="0"/>
    <n v="-9.9257142857142853"/>
    <s v="NO"/>
    <n v="-2.0449019594611091"/>
    <n v="-2.3576447848797302"/>
    <n v="1.5111595831944535"/>
    <n v="-249.84125405192106"/>
    <n v="-2.667414971906469"/>
    <n v="-7.654191233958052E-2"/>
    <x v="0"/>
    <x v="0"/>
    <x v="0"/>
    <x v="1"/>
    <x v="0"/>
    <x v="0"/>
  </r>
  <r>
    <x v="3"/>
    <s v="ERDCF"/>
    <n v="270"/>
    <n v="0.73599999999999999"/>
    <n v="-0.01"/>
    <n v="0.12"/>
    <n v="-0.02"/>
    <n v="-73.599999999999994"/>
    <n v="6.1333333333333337"/>
    <n v="-16.899999999999999"/>
    <n v="-6.03"/>
    <n v="1.02"/>
    <n v="-36.799999999999997"/>
    <s v="NO"/>
    <n v="-2.1878372833633324"/>
    <n v="1.4839949099604481"/>
    <n v="-0.58215950450932186"/>
    <n v="-0.58512217674136024"/>
    <n v="-0.90896399672818584"/>
    <n v="-1.077409395717025"/>
    <x v="0"/>
    <x v="0"/>
    <x v="0"/>
    <x v="0"/>
    <x v="0"/>
    <x v="0"/>
  </r>
  <r>
    <x v="3"/>
    <s v="UAMY"/>
    <n v="285"/>
    <n v="3.05"/>
    <n v="-0.01"/>
    <n v="0.28000000000000003"/>
    <n v="-0.01"/>
    <n v="-305"/>
    <n v="10.892857142857141"/>
    <n v="-2.97"/>
    <n v="-2.91"/>
    <n v="1.21"/>
    <n v="-305"/>
    <s v="NO"/>
    <n v="-10.215806688939656"/>
    <n v="3.5604338133817404"/>
    <n v="0.11561352472526991"/>
    <n v="-0.21970064958396171"/>
    <n v="-0.58140940331262325"/>
    <n v="-11.06586683401606"/>
    <x v="1"/>
    <x v="1"/>
    <x v="0"/>
    <x v="0"/>
    <x v="0"/>
    <x v="1"/>
  </r>
  <r>
    <x v="3"/>
    <s v="MTA"/>
    <n v="298"/>
    <n v="3.79"/>
    <n v="-0.01"/>
    <n v="2.74"/>
    <n v="-0.05"/>
    <n v="-379"/>
    <n v="1.3832116788321167"/>
    <n v="-1.77"/>
    <n v="-0.79"/>
    <n v="1.05"/>
    <n v="-75.8"/>
    <s v="NO"/>
    <n v="-12.783091632814539"/>
    <n v="-0.58834211242269607"/>
    <n v="0.17572318984239196"/>
    <n v="2.8598593228116771E-2"/>
    <n v="-0.85724485039941267"/>
    <n v="-2.5298696496083837"/>
    <x v="1"/>
    <x v="0"/>
    <x v="0"/>
    <x v="0"/>
    <x v="0"/>
    <x v="0"/>
  </r>
  <r>
    <x v="3"/>
    <s v="ERLFF"/>
    <n v="344"/>
    <n v="1.4710000000000001"/>
    <n v="-0.02"/>
    <n v="-0.33"/>
    <n v="-7.0000000000000007E-2"/>
    <n v="-73.55"/>
    <n v="-4.457575757575758"/>
    <n v="20.21"/>
    <n v="-41.09"/>
    <n v="-0.1"/>
    <n v="-21.014285714285712"/>
    <s v="NO"/>
    <n v="-2.1861026313742276"/>
    <n v="-3.1365042279905242"/>
    <n v="1.2767318892376776"/>
    <n v="-4.6914294658882811"/>
    <n v="-2.8398121263357128"/>
    <n v="-0.48950881676099894"/>
    <x v="0"/>
    <x v="1"/>
    <x v="0"/>
    <x v="1"/>
    <x v="0"/>
    <x v="0"/>
  </r>
  <r>
    <x v="3"/>
    <s v="RIOFF"/>
    <n v="366"/>
    <n v="0.88949999999999996"/>
    <n v="-0.02"/>
    <n v="0.28999999999999998"/>
    <n v="0"/>
    <n v="-44.474999999999994"/>
    <n v="3.067241379310345"/>
    <n v="-0.43"/>
    <n v="-4.3499999999999996"/>
    <n v="1.66"/>
    <s v=""/>
    <s v="NO"/>
    <n v="-1.1774024997098733"/>
    <n v="0.14635003841660316"/>
    <n v="0.24284564922317828"/>
    <n v="-0.38835673904122253"/>
    <n v="0.19437779161897223"/>
    <e v="#VALUE!"/>
    <x v="0"/>
    <x v="0"/>
    <x v="0"/>
    <x v="0"/>
    <x v="0"/>
    <x v="1"/>
  </r>
  <r>
    <x v="3"/>
    <s v="NAK"/>
    <n v="571"/>
    <n v="1.28"/>
    <n v="-0.02"/>
    <n v="7.0000000000000007E-2"/>
    <n v="-0.09"/>
    <n v="-64"/>
    <n v="18.285714285714285"/>
    <n v="-80.19"/>
    <n v="-8.68"/>
    <n v="2.33"/>
    <n v="-14.222222222222223"/>
    <s v="NO"/>
    <n v="-1.8547841014552395"/>
    <n v="6.7857178529630913"/>
    <n v="-3.7524434255615335"/>
    <n v="-0.8954962302564583"/>
    <n v="1.3494387262949037"/>
    <n v="-0.23655491255256914"/>
    <x v="0"/>
    <x v="1"/>
    <x v="1"/>
    <x v="0"/>
    <x v="0"/>
    <x v="0"/>
  </r>
  <r>
    <x v="3"/>
    <s v="FGOVF"/>
    <n v="397"/>
    <n v="0.86275199999999996"/>
    <n v="-0.03"/>
    <n v="0.23"/>
    <n v="0"/>
    <n v="-28.758399999999998"/>
    <n v="3.7510956521739129"/>
    <n v="-1.0900000000000001"/>
    <n v="-0.68"/>
    <n v="1.01"/>
    <s v=""/>
    <s v="NO"/>
    <n v="-0.63214587067063055"/>
    <n v="0.44469535052606451"/>
    <n v="0.20978533340876115"/>
    <n v="4.1482044506101969E-2"/>
    <n v="-0.92620371217111019"/>
    <e v="#VALUE!"/>
    <x v="0"/>
    <x v="0"/>
    <x v="0"/>
    <x v="0"/>
    <x v="0"/>
    <x v="1"/>
  </r>
  <r>
    <x v="3"/>
    <s v="EMX"/>
    <n v="253"/>
    <n v="2.42"/>
    <n v="-0.03"/>
    <n v="1.06"/>
    <n v="0"/>
    <n v="-80.666666666666671"/>
    <n v="2.283018867924528"/>
    <n v="0.17"/>
    <n v="1.17"/>
    <n v="1.36"/>
    <s v=""/>
    <s v="NO"/>
    <n v="-2.4330014311567898"/>
    <n v="-0.19578295571231571"/>
    <n v="0.27290048178173926"/>
    <n v="0.25815827054494406"/>
    <n v="-0.32281367166875785"/>
    <e v="#VALUE!"/>
    <x v="0"/>
    <x v="0"/>
    <x v="0"/>
    <x v="0"/>
    <x v="0"/>
    <x v="1"/>
  </r>
  <r>
    <x v="3"/>
    <s v="NG"/>
    <n v="1431"/>
    <n v="4.38"/>
    <n v="-0.04"/>
    <n v="-0.17"/>
    <n v="-0.13"/>
    <n v="-109.5"/>
    <n v="-25.764705882352938"/>
    <n v="122.97"/>
    <n v="-12.82"/>
    <n v="-1.82"/>
    <n v="-33.692307692307693"/>
    <s v="NO"/>
    <n v="-3.4333174115404717"/>
    <n v="-12.432172383451155"/>
    <n v="6.4241228787672284"/>
    <n v="-1.3803824874460831"/>
    <n v="-5.8050431825187001"/>
    <n v="-0.96167094550556387"/>
    <x v="1"/>
    <x v="1"/>
    <x v="1"/>
    <x v="0"/>
    <x v="1"/>
    <x v="0"/>
  </r>
  <r>
    <x v="3"/>
    <s v="LMGDF"/>
    <n v="379"/>
    <n v="0.90649999999999997"/>
    <n v="-0.05"/>
    <n v="-0.14000000000000001"/>
    <n v="-0.12"/>
    <n v="-18.13"/>
    <n v="-6.4749999999999988"/>
    <n v="134.74"/>
    <n v="-71.489999999999995"/>
    <n v="-0.28000000000000003"/>
    <n v="-7.5541666666666671"/>
    <s v="NO"/>
    <n v="-0.26341436665063311"/>
    <n v="-4.0166465172869064"/>
    <n v="7.0136985107910013"/>
    <n v="-8.2519469099860085"/>
    <n v="-3.1501270043083509"/>
    <n v="1.1780617323941285E-2"/>
    <x v="0"/>
    <x v="1"/>
    <x v="1"/>
    <x v="1"/>
    <x v="1"/>
    <x v="0"/>
  </r>
  <r>
    <x v="3"/>
    <s v="GAU"/>
    <n v="345"/>
    <n v="1.45"/>
    <n v="-0.05"/>
    <n v="0.85"/>
    <n v="-7.0000000000000007E-2"/>
    <n v="-28.999999999999996"/>
    <n v="1.7058823529411764"/>
    <n v="-7.86"/>
    <n v="8.0500000000000007"/>
    <n v="2.42"/>
    <n v="-20.714285714285712"/>
    <s v="NO"/>
    <n v="-0.6405277090819842"/>
    <n v="-0.44757047905623543"/>
    <n v="-0.12933336062700243"/>
    <n v="1.0639595868407461"/>
    <n v="1.5045961652812225"/>
    <n v="-0.47833604557721926"/>
    <x v="0"/>
    <x v="0"/>
    <x v="0"/>
    <x v="0"/>
    <x v="0"/>
    <x v="0"/>
  </r>
  <r>
    <x v="3"/>
    <s v="MWSNF"/>
    <n v="974"/>
    <n v="4.45"/>
    <n v="-0.06"/>
    <n v="0.32"/>
    <n v="-0.03"/>
    <n v="-74.166666666666671"/>
    <n v="13.90625"/>
    <n v="-9.81"/>
    <n v="-2.69"/>
    <n v="1.03"/>
    <n v="-148.33333333333334"/>
    <s v="NO"/>
    <n v="-2.2074966725731855"/>
    <n v="4.8750876338632709"/>
    <n v="-0.22701156644232579"/>
    <n v="-0.19393374702799129"/>
    <n v="-0.89172428128526149"/>
    <n v="-5.2311974380422264"/>
    <x v="0"/>
    <x v="1"/>
    <x v="0"/>
    <x v="0"/>
    <x v="0"/>
    <x v="1"/>
  </r>
  <r>
    <x v="3"/>
    <s v="DSVSF"/>
    <n v="1899"/>
    <n v="2.4700000000000002"/>
    <n v="-0.06"/>
    <n v="0.18"/>
    <n v="-0.05"/>
    <n v="-41.166666666666671"/>
    <n v="13.722222222222223"/>
    <n v="-24.9"/>
    <n v="-12.12"/>
    <n v="1.1000000000000001"/>
    <n v="-49.4"/>
    <s v="NO"/>
    <n v="-1.0626263597641159"/>
    <n v="4.794801779147444"/>
    <n v="-0.9828906052901355"/>
    <n v="-1.2983968884043593"/>
    <n v="-0.77104627318479091"/>
    <n v="-1.5466657854357717"/>
    <x v="0"/>
    <x v="1"/>
    <x v="0"/>
    <x v="0"/>
    <x v="0"/>
    <x v="0"/>
  </r>
  <r>
    <x v="3"/>
    <s v="ECRTF"/>
    <n v="463"/>
    <n v="1.75"/>
    <n v="-0.08"/>
    <n v="0.09"/>
    <n v="-0.17"/>
    <n v="-21.875"/>
    <n v="19.444444444444446"/>
    <n v="-357.27"/>
    <n v="-100.32"/>
    <n v="1.4"/>
    <n v="-10.294117647058822"/>
    <s v="NO"/>
    <n v="-0.39333980063457152"/>
    <n v="7.2912374125754136"/>
    <n v="-17.631765101105014"/>
    <n v="-11.628582367661586"/>
    <n v="-0.25385480989706083"/>
    <n v="-9.026220053837325E-2"/>
    <x v="0"/>
    <x v="1"/>
    <x v="1"/>
    <x v="1"/>
    <x v="0"/>
    <x v="0"/>
  </r>
  <r>
    <x v="3"/>
    <s v="USAS"/>
    <n v="403"/>
    <n v="0.83489999999999998"/>
    <n v="-0.09"/>
    <n v="0.09"/>
    <n v="-0.14000000000000001"/>
    <n v="-9.2766666666666673"/>
    <n v="9.2766666666666673"/>
    <n v="-85.01"/>
    <n v="-9.42"/>
    <n v="3.33"/>
    <n v="-5.9635714285714281"/>
    <s v="NO"/>
    <n v="4.3734678886830275E-2"/>
    <n v="2.8553379016046665"/>
    <n v="-3.9938839137819744"/>
    <n v="-0.98216672067199517"/>
    <n v="3.0734102705873383"/>
    <n v="7.1018472794766849E-2"/>
    <x v="0"/>
    <x v="0"/>
    <x v="1"/>
    <x v="0"/>
    <x v="1"/>
    <x v="0"/>
  </r>
  <r>
    <x v="3"/>
    <s v="PROBF"/>
    <n v="365"/>
    <n v="1.877"/>
    <n v="-0.09"/>
    <n v="0.05"/>
    <n v="-0.12"/>
    <n v="-20.855555555555558"/>
    <n v="37.54"/>
    <n v="-177.01"/>
    <n v="-89.06"/>
    <n v="1.9"/>
    <n v="-15.641666666666667"/>
    <s v="NO"/>
    <n v="-0.35797217396782677"/>
    <n v="15.185790951606073"/>
    <n v="-8.6022915727613309"/>
    <n v="-10.309785445933283"/>
    <n v="0.60813096224915653"/>
    <n v="-0.28941867250545261"/>
    <x v="0"/>
    <x v="1"/>
    <x v="1"/>
    <x v="1"/>
    <x v="0"/>
    <x v="0"/>
  </r>
  <r>
    <x v="3"/>
    <s v="GUYGF"/>
    <n v="544"/>
    <n v="2.3199999999999998"/>
    <n v="-0.1"/>
    <n v="0.3"/>
    <n v="-0.03"/>
    <n v="-23.199999999999996"/>
    <n v="7.7333333333333334"/>
    <n v="-10.54"/>
    <n v="-6.2"/>
    <n v="1.03"/>
    <n v="-77.333333333333329"/>
    <s v="NO"/>
    <n v="-0.43930807834584457"/>
    <n v="2.1820273977538993"/>
    <n v="-0.26357827938857498"/>
    <n v="-0.60503296508006466"/>
    <n v="-0.89172428128526149"/>
    <n v="-2.5869749245477021"/>
    <x v="0"/>
    <x v="0"/>
    <x v="0"/>
    <x v="0"/>
    <x v="0"/>
    <x v="0"/>
  </r>
  <r>
    <x v="3"/>
    <s v="USAR"/>
    <n v="813"/>
    <n v="13.08"/>
    <n v="-0.11"/>
    <n v="-0.67"/>
    <n v="0.13"/>
    <n v="-118.90909090909091"/>
    <n v="-19.522388059701491"/>
    <n v="359.61"/>
    <n v="-15.41"/>
    <n v="-1.4"/>
    <n v="100.61538461538461"/>
    <s v="NO"/>
    <n v="-3.7597473767628919"/>
    <n v="-9.7088344838619101"/>
    <n v="18.277748839863698"/>
    <n v="-1.6837292039004621"/>
    <n v="-5.0809751339158771"/>
    <n v="4.0402927690788779"/>
    <x v="1"/>
    <x v="1"/>
    <x v="1"/>
    <x v="0"/>
    <x v="1"/>
    <x v="1"/>
  </r>
  <r>
    <x v="3"/>
    <s v="VZLA"/>
    <n v="849"/>
    <n v="3.62"/>
    <n v="-0.11"/>
    <n v="0.88"/>
    <n v="-0.01"/>
    <n v="-32.909090909090907"/>
    <n v="4.1136363636363633"/>
    <n v="-1.63"/>
    <n v="-4.5199999999999996"/>
    <n v="1.01"/>
    <n v="-362"/>
    <s v="NO"/>
    <n v="-0.77614595550289311"/>
    <n v="0.60286109724390335"/>
    <n v="0.18273598410605621"/>
    <n v="-0.40826752737992689"/>
    <n v="-0.92620371217111019"/>
    <n v="-13.188693358934199"/>
    <x v="0"/>
    <x v="0"/>
    <x v="0"/>
    <x v="0"/>
    <x v="0"/>
    <x v="1"/>
  </r>
  <r>
    <x v="3"/>
    <s v="RUPRF"/>
    <n v="868"/>
    <n v="4.22"/>
    <n v="-0.12"/>
    <n v="0.61"/>
    <n v="-0.04"/>
    <n v="-35.166666666666664"/>
    <n v="6.918032786885246"/>
    <n v="-4.03"/>
    <n v="-2.64"/>
    <n v="1.0900000000000001"/>
    <n v="-105.49999999999999"/>
    <s v="NO"/>
    <n v="-0.85446812107155767"/>
    <n v="1.8263359797935752"/>
    <n v="6.25166538718121E-2"/>
    <n v="-0.18807763281072531"/>
    <n v="-0.78828598862771526"/>
    <n v="-3.6359739968025719"/>
    <x v="0"/>
    <x v="0"/>
    <x v="0"/>
    <x v="0"/>
    <x v="0"/>
    <x v="1"/>
  </r>
  <r>
    <x v="3"/>
    <s v="CENX"/>
    <n v="1445"/>
    <n v="20.12"/>
    <n v="-0.12"/>
    <n v="7.78"/>
    <n v="1.22"/>
    <n v="-167.66666666666669"/>
    <n v="2.5861182519280206"/>
    <n v="14.95"/>
    <n v="5.44"/>
    <n v="2.69"/>
    <n v="16.491803278688526"/>
    <s v="NO"/>
    <n v="-5.4512958921988828"/>
    <n v="-6.354969504692784E-2"/>
    <n v="1.0132511904742925"/>
    <n v="0.7582704246994606"/>
    <n v="1.9700684822401799"/>
    <n v="0.90731435096226387"/>
    <x v="1"/>
    <x v="0"/>
    <x v="0"/>
    <x v="0"/>
    <x v="0"/>
    <x v="0"/>
  </r>
  <r>
    <x v="3"/>
    <s v="TMC"/>
    <n v="1619"/>
    <n v="4.37"/>
    <n v="-0.12"/>
    <n v="-0.05"/>
    <n v="-0.23"/>
    <n v="-36.416666666666671"/>
    <n v="-87.399999999999991"/>
    <n v="1034.2"/>
    <n v="-71.78"/>
    <n v="-3.85"/>
    <n v="-19"/>
    <s v="NO"/>
    <n v="-0.89783442079917419"/>
    <n v="-39.321820938965068"/>
    <n v="52.068897999329842"/>
    <n v="-8.2859123724461536"/>
    <n v="-9.3047054174323431"/>
    <n v="-0.41449163881276402"/>
    <x v="0"/>
    <x v="1"/>
    <x v="1"/>
    <x v="1"/>
    <x v="1"/>
    <x v="0"/>
  </r>
  <r>
    <x v="3"/>
    <s v="ALMTF"/>
    <n v="548"/>
    <n v="2.3704999999999998"/>
    <n v="-0.13"/>
    <n v="0.04"/>
    <n v="-0.12"/>
    <n v="-18.234615384615381"/>
    <n v="59.262499999999996"/>
    <n v="-128.97"/>
    <n v="-2.23"/>
    <n v="15.42"/>
    <n v="-19.754166666666666"/>
    <s v="NO"/>
    <n v="-0.26704379235091352"/>
    <n v="24.662672649164353"/>
    <n v="-6.1959013125725448"/>
    <n v="-0.14005749622914407"/>
    <n v="23.916226241082875"/>
    <n v="-0.44257874414976572"/>
    <x v="0"/>
    <x v="1"/>
    <x v="1"/>
    <x v="0"/>
    <x v="1"/>
    <x v="0"/>
  </r>
  <r>
    <x v="3"/>
    <s v="IPX"/>
    <n v="764"/>
    <n v="28.324999999999999"/>
    <n v="-0.15"/>
    <n v="0.33"/>
    <n v="-0.11"/>
    <n v="-188.83333333333334"/>
    <n v="85.833333333333329"/>
    <n v="-40.65"/>
    <n v="-27.56"/>
    <n v="1.1000000000000001"/>
    <n v="-257.5"/>
    <s v="NO"/>
    <n v="-6.1856319009198515"/>
    <n v="36.254738208171752"/>
    <n v="-1.7718299599523621"/>
    <n v="-3.1067649586961004"/>
    <n v="-0.77104627318479091"/>
    <n v="-9.2968447299176109"/>
    <x v="1"/>
    <x v="1"/>
    <x v="0"/>
    <x v="0"/>
    <x v="0"/>
    <x v="1"/>
  </r>
  <r>
    <x v="3"/>
    <s v="FWEDF"/>
    <n v="281"/>
    <n v="1.59"/>
    <n v="-0.17"/>
    <n v="0.13"/>
    <n v="-0.14000000000000001"/>
    <n v="-9.3529411764705888"/>
    <n v="12.230769230769232"/>
    <n v="-110.43"/>
    <n v="-76.09"/>
    <n v="1.0900000000000001"/>
    <n v="-11.357142857142856"/>
    <s v="NO"/>
    <n v="4.1088484283843187E-2"/>
    <n v="4.1441251278656202"/>
    <n v="-5.2672069865130098"/>
    <n v="-8.7907094179744831"/>
    <n v="-0.78828598862771526"/>
    <n v="-0.12985199198790068"/>
    <x v="0"/>
    <x v="1"/>
    <x v="1"/>
    <x v="1"/>
    <x v="0"/>
    <x v="0"/>
  </r>
  <r>
    <x v="3"/>
    <s v="SNWGF"/>
    <n v="895"/>
    <n v="5.6"/>
    <n v="-0.17"/>
    <n v="0.25"/>
    <n v="-0.14000000000000001"/>
    <n v="-32.941176470588232"/>
    <n v="22.4"/>
    <n v="-64.22"/>
    <n v="-46.76"/>
    <n v="1.2"/>
    <n v="-39.999999999999993"/>
    <s v="NO"/>
    <n v="-0.7772591011643506"/>
    <n v="8.5806585358605378"/>
    <n v="-2.9524839656278346"/>
    <n v="-5.355512818126245"/>
    <n v="-0.59864911875554772"/>
    <n v="-1.1965856216773414"/>
    <x v="0"/>
    <x v="1"/>
    <x v="0"/>
    <x v="1"/>
    <x v="0"/>
    <x v="0"/>
  </r>
  <r>
    <x v="3"/>
    <s v="ARMN"/>
    <n v="1163"/>
    <n v="6.46"/>
    <n v="-0.18"/>
    <n v="4.8600000000000003"/>
    <n v="0.15"/>
    <n v="-35.888888888888893"/>
    <n v="1.3292181069958846"/>
    <n v="3.09"/>
    <n v="5.49"/>
    <n v="2.4700000000000002"/>
    <n v="43.06666666666667"/>
    <s v="NO"/>
    <n v="-0.87952420535862508"/>
    <n v="-0.61189790446875825"/>
    <n v="0.41916733356673624"/>
    <n v="0.76412653891672666"/>
    <n v="1.5907947424958448"/>
    <n v="1.8970305772092102"/>
    <x v="0"/>
    <x v="0"/>
    <x v="0"/>
    <x v="0"/>
    <x v="0"/>
    <x v="0"/>
  </r>
  <r>
    <x v="3"/>
    <s v="ABBRF"/>
    <n v="436"/>
    <n v="3.1955"/>
    <n v="-0.18"/>
    <n v="0.35"/>
    <n v="-0.18"/>
    <n v="-17.75277777777778"/>
    <n v="9.1300000000000008"/>
    <n v="-66.62"/>
    <n v="-36.24"/>
    <n v="1.1499999999999999"/>
    <n v="-17.75277777777778"/>
    <s v="NO"/>
    <n v="-0.25032738108838815"/>
    <n v="2.7913515902236004"/>
    <n v="-3.072703295862079"/>
    <n v="-4.123386386813479"/>
    <n v="-0.68484769597016948"/>
    <n v="-0.36804187713205044"/>
    <x v="0"/>
    <x v="0"/>
    <x v="1"/>
    <x v="1"/>
    <x v="0"/>
    <x v="0"/>
  </r>
  <r>
    <x v="3"/>
    <s v="NFGC"/>
    <n v="321"/>
    <n v="1.52"/>
    <n v="-0.19"/>
    <n v="0.2"/>
    <n v="-0.16"/>
    <n v="-8"/>
    <n v="7.6"/>
    <n v="-75.38"/>
    <n v="-46.76"/>
    <n v="1.07"/>
    <n v="-9.5"/>
    <s v="NO"/>
    <n v="8.8026126341969047E-2"/>
    <n v="2.1238580237711115"/>
    <n v="-3.5115038512170695"/>
    <n v="-5.355512818126245"/>
    <n v="-0.82276541951356397"/>
    <n v="-6.0687217993074125E-2"/>
    <x v="0"/>
    <x v="0"/>
    <x v="1"/>
    <x v="1"/>
    <x v="0"/>
    <x v="0"/>
  </r>
  <r>
    <x v="3"/>
    <s v="IAUX"/>
    <n v="397"/>
    <n v="0.64610000000000001"/>
    <n v="-0.21"/>
    <n v="0.72"/>
    <n v="-0.37"/>
    <n v="-3.0766666666666667"/>
    <n v="0.89736111111111116"/>
    <n v="-38.14"/>
    <n v="-8"/>
    <n v="2.0699999999999998"/>
    <n v="-1.7462162162162163"/>
    <s v="NO"/>
    <n v="0.25883152553580702"/>
    <n v="-0.8003042877240425"/>
    <n v="-1.646100577082382"/>
    <n v="-0.81585307690164066"/>
    <n v="0.9012061247788703"/>
    <n v="0.22808362208931801"/>
    <x v="0"/>
    <x v="0"/>
    <x v="0"/>
    <x v="0"/>
    <x v="0"/>
    <x v="0"/>
  </r>
  <r>
    <x v="3"/>
    <s v="MARIF"/>
    <n v="337"/>
    <n v="4.0999999999999996"/>
    <n v="-0.22"/>
    <n v="1.02"/>
    <n v="-0.13"/>
    <n v="-18.636363636363633"/>
    <n v="4.0196078431372548"/>
    <n v="-13.2"/>
    <n v="-8.59"/>
    <n v="1.02"/>
    <n v="-31.538461538461533"/>
    <s v="NO"/>
    <n v="-0.28098166043120198"/>
    <n v="0.56183924593919699"/>
    <n v="-0.39682137039819548"/>
    <n v="-0.88495522466537946"/>
    <n v="-0.90896399672818584"/>
    <n v="-0.88145617803227361"/>
    <x v="0"/>
    <x v="0"/>
    <x v="0"/>
    <x v="0"/>
    <x v="0"/>
    <x v="0"/>
  </r>
  <r>
    <x v="3"/>
    <s v="AMRQF"/>
    <n v="485"/>
    <n v="1.21"/>
    <n v="-0.24"/>
    <n v="0.35"/>
    <n v="-0.04"/>
    <n v="-5.041666666666667"/>
    <n v="3.4571428571428573"/>
    <n v="-11.37"/>
    <n v="-5.91"/>
    <n v="1.28"/>
    <n v="-30.25"/>
    <s v="NO"/>
    <n v="0.19065970236399418"/>
    <n v="0.31645247502021057"/>
    <n v="-0.30515413109458439"/>
    <n v="-0.57106750261992179"/>
    <n v="-0.46073139521215278"/>
    <n v="-0.83347055820450211"/>
    <x v="0"/>
    <x v="0"/>
    <x v="0"/>
    <x v="0"/>
    <x v="0"/>
    <x v="0"/>
  </r>
  <r>
    <x v="3"/>
    <s v="SLI"/>
    <n v="322"/>
    <n v="1.85"/>
    <n v="-0.24"/>
    <n v="1.33"/>
    <n v="0.61"/>
    <n v="-7.7083333333333339"/>
    <n v="1.3909774436090225"/>
    <n v="61.97"/>
    <n v="-9.59"/>
    <n v="1.1399999999999999"/>
    <n v="3.0327868852459017"/>
    <s v="NO"/>
    <n v="9.8144929611746159E-2"/>
    <n v="-0.5849541398559196"/>
    <n v="3.3685482353135248"/>
    <n v="-1.0020775090106995"/>
    <n v="-0.70208741141309383"/>
    <n v="0.40606598255335025"/>
    <x v="0"/>
    <x v="0"/>
    <x v="1"/>
    <x v="0"/>
    <x v="0"/>
    <x v="0"/>
  </r>
  <r>
    <x v="3"/>
    <s v="SGML"/>
    <n v="525"/>
    <n v="5.57"/>
    <n v="-0.25"/>
    <n v="0.66"/>
    <n v="-0.37"/>
    <n v="-22.28"/>
    <n v="8.4393939393939394"/>
    <n v="-37.479999999999997"/>
    <n v="0.12"/>
    <n v="3.28"/>
    <n v="-15.054054054054054"/>
    <s v="NO"/>
    <n v="-0.4073904817463192"/>
    <n v="2.4900606736172977"/>
    <n v="-1.6130402612679646"/>
    <n v="0.13517987198235801"/>
    <n v="2.9872116933727164"/>
    <n v="-0.26753446828737365"/>
    <x v="0"/>
    <x v="0"/>
    <x v="0"/>
    <x v="0"/>
    <x v="1"/>
    <x v="0"/>
  </r>
  <r>
    <x v="3"/>
    <s v="GROY"/>
    <n v="315"/>
    <n v="2.04"/>
    <n v="-0.26"/>
    <n v="3.27"/>
    <n v="-0.02"/>
    <n v="-7.8461538461538458"/>
    <n v="0.62385321100917435"/>
    <n v="-0.6"/>
    <n v="-0.27"/>
    <n v="1.33"/>
    <n v="-102"/>
    <s v="NO"/>
    <n v="9.3363517077675678E-2"/>
    <n v="-0.91962766268611618"/>
    <n v="0.23433011333158599"/>
    <n v="8.9502181087683194E-2"/>
    <n v="-0.37453281799753096"/>
    <n v="-3.5056249996584756"/>
    <x v="0"/>
    <x v="0"/>
    <x v="0"/>
    <x v="0"/>
    <x v="0"/>
    <x v="1"/>
  </r>
  <r>
    <x v="3"/>
    <s v="MAG"/>
    <n v="1941"/>
    <n v="21.54"/>
    <n v="-0.27"/>
    <n v="5.83"/>
    <n v="0.88"/>
    <n v="-79.777777777777771"/>
    <n v="3.6946826758147511"/>
    <n v="16.27"/>
    <n v="-1.71"/>
    <n v="1.06"/>
    <n v="24.477272727272727"/>
    <s v="NO"/>
    <n v="-2.4021631735727067"/>
    <n v="0.42008404413117767"/>
    <n v="1.0793718221031268"/>
    <n v="-7.9153908369577655E-2"/>
    <n v="-0.84000513495648832"/>
    <n v="1.2047137607759124"/>
    <x v="0"/>
    <x v="0"/>
    <x v="0"/>
    <x v="0"/>
    <x v="0"/>
    <x v="0"/>
  </r>
  <r>
    <x v="3"/>
    <s v="DC"/>
    <n v="342"/>
    <n v="4"/>
    <n v="-0.27"/>
    <n v="1.17"/>
    <n v="-0.31"/>
    <n v="-14.814814814814813"/>
    <n v="3.4188034188034191"/>
    <n v="-25.54"/>
    <n v="-15.71"/>
    <n v="1.02"/>
    <n v="-12.903225806451614"/>
    <s v="NO"/>
    <n v="-0.14840051513599808"/>
    <n v="0.29972611656728448"/>
    <n v="-1.0149490933526006"/>
    <n v="-1.718865889204058"/>
    <n v="-0.90896399672818584"/>
    <n v="-0.18743209540046732"/>
    <x v="0"/>
    <x v="0"/>
    <x v="0"/>
    <x v="0"/>
    <x v="0"/>
    <x v="0"/>
  </r>
  <r>
    <x v="3"/>
    <s v="FDMIF"/>
    <n v="324"/>
    <n v="3.1"/>
    <n v="-0.28000000000000003"/>
    <n v="0.69"/>
    <n v="-0.08"/>
    <n v="-11.071428571428571"/>
    <n v="4.4927536231884062"/>
    <n v="-14.97"/>
    <n v="-9.15"/>
    <n v="1.04"/>
    <n v="-38.75"/>
    <s v="NO"/>
    <n v="-1.8531067274459485E-2"/>
    <n v="0.76825869965049598"/>
    <n v="-0.48548312644595054"/>
    <n v="-0.95054370389875886"/>
    <n v="-0.87448456584233702"/>
    <n v="-1.1500324084115929"/>
    <x v="0"/>
    <x v="0"/>
    <x v="0"/>
    <x v="0"/>
    <x v="0"/>
    <x v="0"/>
  </r>
  <r>
    <x v="3"/>
    <s v="DRD"/>
    <n v="1295"/>
    <n v="14.24"/>
    <n v="-0.28999999999999998"/>
    <n v="4.72"/>
    <n v="1.05"/>
    <n v="-49.103448275862071"/>
    <n v="3.0169491525423733"/>
    <n v="24.45"/>
    <n v="14.15"/>
    <n v="1.34"/>
    <n v="13.561904761904762"/>
    <s v="NO"/>
    <n v="-1.3379774398737161"/>
    <n v="0.12440903331190334"/>
    <n v="1.4891193726515086"/>
    <n v="1.7784055213471981"/>
    <n v="-0.35729310255460661"/>
    <n v="0.79819739856319571"/>
    <x v="0"/>
    <x v="0"/>
    <x v="0"/>
    <x v="0"/>
    <x v="0"/>
    <x v="0"/>
  </r>
  <r>
    <x v="3"/>
    <s v="CXBMF"/>
    <n v="1975"/>
    <n v="2.41"/>
    <n v="-0.3"/>
    <n v="1.19"/>
    <n v="7.0000000000000007E-2"/>
    <n v="-8.033333333333335"/>
    <n v="2.0252100840336138"/>
    <n v="6.75"/>
    <n v="5.6"/>
    <n v="1.86"/>
    <n v="34.428571428571431"/>
    <s v="NO"/>
    <n v="8.6869691682565892E-2"/>
    <n v="-0.30825727245880269"/>
    <n v="0.60250181217395848"/>
    <n v="0.77700999019471173"/>
    <n v="0.53917210047745945"/>
    <n v="1.5753257053460936"/>
    <x v="0"/>
    <x v="0"/>
    <x v="0"/>
    <x v="0"/>
    <x v="0"/>
    <x v="0"/>
  </r>
  <r>
    <x v="3"/>
    <s v="CNL"/>
    <n v="938"/>
    <n v="10.86"/>
    <n v="-0.34"/>
    <n v="1"/>
    <n v="-0.55000000000000004"/>
    <n v="-31.941176470588232"/>
    <n v="10.86"/>
    <n v="-78.39"/>
    <n v="-29.01"/>
    <n v="1.06"/>
    <n v="-19.745454545454542"/>
    <s v="NO"/>
    <n v="-0.74256606138225756"/>
    <n v="3.5460992176502693"/>
    <n v="-3.6622789278858505"/>
    <n v="-3.2765922709968147"/>
    <n v="-0.84000513495648832"/>
    <n v="-0.44225428236033765"/>
    <x v="0"/>
    <x v="1"/>
    <x v="1"/>
    <x v="1"/>
    <x v="0"/>
    <x v="0"/>
  </r>
  <r>
    <x v="3"/>
    <s v="RSRBF"/>
    <n v="413"/>
    <n v="2.5099999999999998"/>
    <n v="-0.37"/>
    <n v="1.17"/>
    <n v="-7.0000000000000007E-2"/>
    <n v="-6.7837837837837833"/>
    <n v="2.1452991452991452"/>
    <n v="-5.75"/>
    <n v="8.2899999999999991"/>
    <n v="1.57"/>
    <n v="-35.857142857142854"/>
    <s v="NO"/>
    <n v="0.13022036391478489"/>
    <n v="-0.25586598108882824"/>
    <n v="-2.3640532796062822E-2"/>
    <n v="1.0920689350836228"/>
    <n v="3.9220352632653353E-2"/>
    <n v="-1.0422949719965746"/>
    <x v="0"/>
    <x v="0"/>
    <x v="0"/>
    <x v="0"/>
    <x v="0"/>
    <x v="0"/>
  </r>
  <r>
    <x v="3"/>
    <s v="NMG"/>
    <n v="271"/>
    <n v="1.73"/>
    <n v="-0.39"/>
    <n v="0.66"/>
    <n v="-0.3"/>
    <n v="-4.4358974358974361"/>
    <n v="2.6212121212121211"/>
    <n v="-46.88"/>
    <n v="-24.15"/>
    <n v="1.31"/>
    <n v="-5.7666666666666666"/>
    <s v="NO"/>
    <n v="0.21167567838583901"/>
    <n v="-4.8239281995253541E-2"/>
    <n v="-2.0838993046854211"/>
    <n v="-2.7073779690785589"/>
    <n v="-0.40901224888337967"/>
    <n v="7.83517122939619E-2"/>
    <x v="0"/>
    <x v="0"/>
    <x v="0"/>
    <x v="0"/>
    <x v="0"/>
    <x v="0"/>
  </r>
  <r>
    <x v="3"/>
    <s v="AAUCD"/>
    <n v="1651"/>
    <n v="14.91"/>
    <n v="-0.39"/>
    <n v="3.1"/>
    <n v="-1"/>
    <n v="-38.230769230769226"/>
    <n v="4.8096774193548386"/>
    <n v="-19.91"/>
    <n v="10.89"/>
    <n v="4.12"/>
    <n v="-14.91"/>
    <s v="NO"/>
    <n v="-0.960771153224381"/>
    <n v="0.90652314082487062"/>
    <n v="-0.73293458117810306"/>
    <n v="1.3965868743814549"/>
    <n v="4.4353477905783611"/>
    <n v="-0.26216952500723439"/>
    <x v="0"/>
    <x v="0"/>
    <x v="0"/>
    <x v="0"/>
    <x v="1"/>
    <x v="0"/>
  </r>
  <r>
    <x v="3"/>
    <s v="TGB"/>
    <n v="704"/>
    <n v="3.1"/>
    <n v="-0.39"/>
    <n v="1.1200000000000001"/>
    <n v="-0.14000000000000001"/>
    <n v="-7.9487179487179489"/>
    <n v="2.7678571428571428"/>
    <n v="-12.52"/>
    <n v="1.04"/>
    <n v="4.37"/>
    <n v="-22.142857142857142"/>
    <s v="NO"/>
    <n v="8.9805256587204577E-2"/>
    <n v="1.5737586305620856E-2"/>
    <n v="-0.36275922683182638"/>
    <n v="0.24293237358005243"/>
    <n v="4.8663406766514701"/>
    <n v="-0.53153971788093213"/>
    <x v="0"/>
    <x v="0"/>
    <x v="0"/>
    <x v="0"/>
    <x v="1"/>
    <x v="0"/>
  </r>
  <r>
    <x v="3"/>
    <s v="SLSR"/>
    <n v="732"/>
    <n v="4.47"/>
    <n v="-0.43"/>
    <n v="-0.19"/>
    <n v="-0.51"/>
    <n v="-10.395348837209301"/>
    <n v="-23.526315789473681"/>
    <n v="1549.8"/>
    <n v="-101.9"/>
    <n v="-1.27"/>
    <n v="-8.7647058823529402"/>
    <s v="NO"/>
    <n v="4.9241938406765183E-3"/>
    <n v="-11.455629255210704"/>
    <n v="77.896017444653282"/>
    <n v="-11.813635576927194"/>
    <n v="-4.8568588331578608"/>
    <n v="-3.3302974895574877E-2"/>
    <x v="0"/>
    <x v="1"/>
    <x v="1"/>
    <x v="1"/>
    <x v="1"/>
    <x v="0"/>
  </r>
  <r>
    <x v="3"/>
    <s v="MAUTF"/>
    <n v="1162"/>
    <n v="3.33"/>
    <n v="-0.44"/>
    <n v="0.35"/>
    <n v="-0.22"/>
    <n v="-7.5681818181818183"/>
    <n v="9.5142857142857142"/>
    <n v="-54.27"/>
    <n v="-20.76"/>
    <n v="1.92"/>
    <n v="-15.136363636363637"/>
    <s v="NO"/>
    <n v="0.10300721170241829"/>
    <n v="2.9590040359525629"/>
    <n v="-2.4540746590316975"/>
    <n v="-2.3103334251479244"/>
    <n v="0.64261039313500523"/>
    <n v="-0.27059988871863178"/>
    <x v="0"/>
    <x v="0"/>
    <x v="0"/>
    <x v="0"/>
    <x v="0"/>
    <x v="0"/>
  </r>
  <r>
    <x v="3"/>
    <s v="PPTA"/>
    <n v="995"/>
    <n v="17.13"/>
    <n v="-0.55000000000000004"/>
    <n v="1.44"/>
    <n v="-0.28999999999999998"/>
    <n v="-31.145454545454541"/>
    <n v="11.895833333333334"/>
    <n v="-22.84"/>
    <n v="-38.47"/>
    <n v="1.0900000000000001"/>
    <n v="-59.068965517241381"/>
    <s v="NO"/>
    <n v="-0.71496004897811083"/>
    <n v="3.9980025417790506"/>
    <n v="-0.879702346839076"/>
    <n v="-4.3845690809035425"/>
    <n v="-0.78828598862771526"/>
    <n v="-1.906762916462418"/>
    <x v="0"/>
    <x v="1"/>
    <x v="0"/>
    <x v="1"/>
    <x v="0"/>
    <x v="0"/>
  </r>
  <r>
    <x v="3"/>
    <s v="MUX"/>
    <n v="434"/>
    <n v="9.52"/>
    <n v="-0.56999999999999995"/>
    <n v="8.9"/>
    <n v="-0.56999999999999995"/>
    <n v="-16.701754385964914"/>
    <n v="1.0696629213483144"/>
    <n v="-6.15"/>
    <n v="-0.63"/>
    <n v="1.52"/>
    <n v="-16.701754385964914"/>
    <s v="NO"/>
    <n v="-0.2138641847443141"/>
    <n v="-0.72513412444204861"/>
    <n v="-4.3677087835103524E-2"/>
    <n v="4.7338158723367982E-2"/>
    <n v="-4.6978224581968459E-2"/>
    <n v="-0.32889906424696658"/>
    <x v="0"/>
    <x v="0"/>
    <x v="0"/>
    <x v="0"/>
    <x v="0"/>
    <x v="0"/>
  </r>
  <r>
    <x v="3"/>
    <s v="AYASF"/>
    <n v="1125"/>
    <n v="10.68"/>
    <n v="-0.57999999999999996"/>
    <n v="1.99"/>
    <n v="-0.09"/>
    <n v="-18.413793103448278"/>
    <n v="5.3668341708542711"/>
    <n v="-6.2"/>
    <n v="-0.28999999999999998"/>
    <n v="1.61"/>
    <n v="-118.66666666666667"/>
    <s v="NO"/>
    <n v="-0.27326001207844791"/>
    <n v="1.1495940866624124"/>
    <n v="-4.6181657214983601E-2"/>
    <n v="8.7159735400776789E-2"/>
    <n v="0.1081792144043508"/>
    <n v="-4.1263345098684585"/>
    <x v="0"/>
    <x v="0"/>
    <x v="0"/>
    <x v="0"/>
    <x v="0"/>
    <x v="1"/>
  </r>
  <r>
    <x v="3"/>
    <s v="CSTM"/>
    <n v="1735"/>
    <n v="12.85"/>
    <n v="-0.59"/>
    <n v="5.21"/>
    <n v="0.5"/>
    <n v="-21.779661016949152"/>
    <n v="2.4664107485604605"/>
    <n v="8.6999999999999993"/>
    <n v="3.66"/>
    <n v="6.94"/>
    <n v="25.7"/>
    <s v="NO"/>
    <n v="-0.39003220150280415"/>
    <n v="-0.11577452403642843"/>
    <n v="0.70018001798928176"/>
    <n v="0.54979275856479093"/>
    <n v="9.296947545483027"/>
    <n v="1.2502512675704083"/>
    <x v="0"/>
    <x v="0"/>
    <x v="0"/>
    <x v="0"/>
    <x v="1"/>
    <x v="0"/>
  </r>
  <r>
    <x v="3"/>
    <s v="FMCXF"/>
    <n v="1135"/>
    <n v="2.4700000000000002"/>
    <n v="-0.66"/>
    <n v="1.32"/>
    <n v="-0.03"/>
    <n v="-3.7424242424242427"/>
    <n v="1.8712121212121213"/>
    <n v="-2.81"/>
    <n v="-1.1599999999999999"/>
    <n v="1.5"/>
    <n v="-82.333333333333343"/>
    <s v="NO"/>
    <n v="0.2357343714748196"/>
    <n v="-0.37544201064843385"/>
    <n v="0.12362814674088619"/>
    <n v="-1.4736651979651629E-2"/>
    <n v="-8.1457655467817178E-2"/>
    <n v="-2.7731877776106968"/>
    <x v="0"/>
    <x v="0"/>
    <x v="0"/>
    <x v="0"/>
    <x v="0"/>
    <x v="0"/>
  </r>
  <r>
    <x v="3"/>
    <s v="EXK"/>
    <n v="1045"/>
    <n v="4.99"/>
    <n v="-0.69"/>
    <n v="1.72"/>
    <n v="-0.25"/>
    <n v="-7.2318840579710155"/>
    <n v="2.9011627906976747"/>
    <n v="-14.41"/>
    <n v="0.84"/>
    <n v="1.61"/>
    <n v="-19.96"/>
    <s v="NO"/>
    <n v="0.11467440327604045"/>
    <n v="7.3894881930023498E-2"/>
    <n v="-0.45743194939129367"/>
    <n v="0.2195079167109884"/>
    <n v="0.1081792144043508"/>
    <n v="-0.45024450660085902"/>
    <x v="0"/>
    <x v="0"/>
    <x v="0"/>
    <x v="0"/>
    <x v="0"/>
    <x v="0"/>
  </r>
  <r>
    <x v="3"/>
    <s v="ODV"/>
    <n v="253"/>
    <n v="2.2200000000000002"/>
    <n v="-0.7"/>
    <n v="2.71"/>
    <n v="-0.75"/>
    <n v="-3.1714285714285717"/>
    <n v="0.81918819188191894"/>
    <n v="-20.92"/>
    <n v="-5.43"/>
    <n v="1.53"/>
    <n v="-2.9600000000000004"/>
    <s v="NO"/>
    <n v="0.25554394700407529"/>
    <n v="-0.83440881102881104"/>
    <n v="-0.7835268826516808"/>
    <n v="-0.51484880613416817"/>
    <n v="-2.9738509139044095E-2"/>
    <n v="0.18287919381332288"/>
    <x v="0"/>
    <x v="0"/>
    <x v="0"/>
    <x v="0"/>
    <x v="0"/>
    <x v="0"/>
  </r>
  <r>
    <x v="3"/>
    <s v="SA"/>
    <n v="1234"/>
    <n v="14.62"/>
    <n v="-0.75"/>
    <n v="6.88"/>
    <n v="-0.1"/>
    <n v="-19.493333333333332"/>
    <n v="2.125"/>
    <n v="-1.46"/>
    <n v="-0.91"/>
    <n v="1.6"/>
    <n v="-146.19999999999999"/>
    <s v="NO"/>
    <n v="-0.31071254422021993"/>
    <n v="-0.26472189539710517"/>
    <n v="0.1912515199976485"/>
    <n v="1.4543919106678366E-2"/>
    <n v="9.0939498961426446E-2"/>
    <n v="-5.1517466207353477"/>
    <x v="0"/>
    <x v="0"/>
    <x v="0"/>
    <x v="0"/>
    <x v="0"/>
    <x v="1"/>
  </r>
  <r>
    <x v="3"/>
    <s v="LZM"/>
    <n v="316"/>
    <n v="4.54"/>
    <n v="-0.85"/>
    <n v="1.1299999999999999"/>
    <n v="-0.59"/>
    <n v="-5.3411764705882359"/>
    <n v="4.0176991150442483"/>
    <n v="-41.41"/>
    <n v="-16.32"/>
    <n v="1.75"/>
    <n v="-7.6949152542372889"/>
    <s v="NO"/>
    <n v="0.18026879682141633"/>
    <n v="0.56100652455214528"/>
    <n v="-1.8098994145265395"/>
    <n v="-1.7903104826547034"/>
    <n v="0.34953523060529151"/>
    <n v="6.538778112718838E-3"/>
    <x v="0"/>
    <x v="0"/>
    <x v="0"/>
    <x v="0"/>
    <x v="0"/>
    <x v="0"/>
  </r>
  <r>
    <x v="3"/>
    <s v="ERO"/>
    <n v="1461"/>
    <n v="15.84"/>
    <n v="-0.93"/>
    <n v="6.89"/>
    <n v="0.18"/>
    <n v="-17.032258064516128"/>
    <n v="2.2989840348330914"/>
    <n v="2.63"/>
    <n v="5.34"/>
    <n v="2.36"/>
    <n v="88"/>
    <s v="NO"/>
    <n v="-0.22533036201241943"/>
    <n v="-0.18881782747780185"/>
    <n v="0.39612529527183948"/>
    <n v="0.74655819626492859"/>
    <n v="1.4011578726236764"/>
    <n v="3.5704634167353224"/>
    <x v="0"/>
    <x v="0"/>
    <x v="0"/>
    <x v="0"/>
    <x v="0"/>
    <x v="1"/>
  </r>
  <r>
    <x v="3"/>
    <s v="IE"/>
    <n v="975"/>
    <n v="8.27"/>
    <n v="-1.1499999999999999"/>
    <n v="2.3199999999999998"/>
    <n v="-0.85"/>
    <n v="-7.1913043478260867"/>
    <n v="3.5646551724137931"/>
    <n v="-34.380000000000003"/>
    <n v="-21"/>
    <n v="1.35"/>
    <n v="-9.7294117647058815"/>
    <s v="NO"/>
    <n v="0.11608223677444426"/>
    <n v="0.36335690558083883"/>
    <n v="-1.4577569597153999"/>
    <n v="-2.3384427733908009"/>
    <n v="-0.3400533871116822"/>
    <n v="-6.9231101839493853E-2"/>
    <x v="0"/>
    <x v="0"/>
    <x v="0"/>
    <x v="0"/>
    <x v="0"/>
    <x v="0"/>
  </r>
  <r>
    <x v="3"/>
    <s v="SKE"/>
    <n v="1470"/>
    <n v="14.37"/>
    <n v="-1.21"/>
    <n v="0.89"/>
    <n v="-1.1000000000000001"/>
    <n v="-11.87603305785124"/>
    <n v="16.146067415730336"/>
    <n v="-137.38"/>
    <n v="-39.57"/>
    <n v="2.4700000000000002"/>
    <n v="-13.063636363636363"/>
    <s v="NO"/>
    <n v="-4.6445242730771642E-2"/>
    <n v="5.8522534606791119"/>
    <n v="-6.6171698822683762"/>
    <n v="-4.5134035936833943"/>
    <n v="1.5907947424958448"/>
    <n v="-0.19340619690342667"/>
    <x v="0"/>
    <x v="1"/>
    <x v="1"/>
    <x v="1"/>
    <x v="0"/>
    <x v="0"/>
  </r>
  <r>
    <x v="3"/>
    <s v="LAC"/>
    <n v="582"/>
    <n v="2.77"/>
    <n v="-1.3"/>
    <n v="2.86"/>
    <n v="-0.22"/>
    <n v="-2.1307692307692307"/>
    <n v="0.96853146853146854"/>
    <n v="-7.14"/>
    <n v="-2.4900000000000002"/>
    <n v="1.63"/>
    <n v="-12.590909090909092"/>
    <s v="NO"/>
    <n v="0.29164758290917653"/>
    <n v="-0.76925477419449173"/>
    <n v="-9.3267561556729175E-2"/>
    <n v="-0.1705092901589273"/>
    <n v="0.14265864529019914"/>
    <n v="-0.17580061806837996"/>
    <x v="0"/>
    <x v="0"/>
    <x v="0"/>
    <x v="0"/>
    <x v="0"/>
    <x v="0"/>
  </r>
  <r>
    <x v="3"/>
    <s v="RDUS"/>
    <n v="835"/>
    <n v="29.6"/>
    <n v="-1.36"/>
    <n v="19.25"/>
    <n v="-9.9600000000000009"/>
    <n v="-21.764705882352942"/>
    <n v="1.5376623376623377"/>
    <n v="-40.83"/>
    <n v="-3.36"/>
    <n v="2.69"/>
    <n v="-2.9718875502008033"/>
    <s v="NO"/>
    <n v="-0.38951336242331125"/>
    <n v="-0.520959876407323"/>
    <n v="-1.7808464097199306"/>
    <n v="-0.27240567753935568"/>
    <n v="1.9700684822401799"/>
    <n v="0.1824364708855587"/>
    <x v="0"/>
    <x v="0"/>
    <x v="0"/>
    <x v="0"/>
    <x v="0"/>
    <x v="0"/>
  </r>
  <r>
    <x v="3"/>
    <s v="KALU"/>
    <n v="1173"/>
    <n v="78.989999999999995"/>
    <n v="-1.75"/>
    <n v="47.29"/>
    <n v="3.06"/>
    <n v="-45.137142857142855"/>
    <n v="1.6703319940790864"/>
    <n v="7.06"/>
    <n v="2.87"/>
    <n v="3.22"/>
    <n v="25.813725490196077"/>
    <s v="NO"/>
    <n v="-1.2003742481941593"/>
    <n v="-0.46308004495526961"/>
    <n v="0.61803014232921505"/>
    <n v="0.45726615393198811"/>
    <n v="2.883773400715171"/>
    <n v="1.2544866971694884"/>
    <x v="0"/>
    <x v="0"/>
    <x v="0"/>
    <x v="0"/>
    <x v="0"/>
    <x v="0"/>
  </r>
  <r>
    <x v="3"/>
    <s v="ASTL"/>
    <n v="553"/>
    <n v="5.86"/>
    <n v="-2"/>
    <n v="10.01"/>
    <n v="-1.07"/>
    <n v="-2.93"/>
    <n v="0.58541458541458546"/>
    <n v="-10.4"/>
    <n v="-3.52"/>
    <n v="2.19"/>
    <n v="-5.4766355140186915"/>
    <s v="NO"/>
    <n v="0.26391983803718061"/>
    <n v="-0.9363972935930861"/>
    <n v="-0.25656548512491079"/>
    <n v="-0.29114524303460693"/>
    <n v="1.1080827100939628"/>
    <n v="8.9153217976307583E-2"/>
    <x v="0"/>
    <x v="0"/>
    <x v="0"/>
    <x v="0"/>
    <x v="0"/>
    <x v="0"/>
  </r>
  <r>
    <x v="3"/>
    <s v="MTUS"/>
    <n v="531"/>
    <n v="14.56"/>
    <n v="-2.48"/>
    <n v="16.29"/>
    <n v="-0.5"/>
    <n v="-5.870967741935484"/>
    <n v="0.89379987722529164"/>
    <n v="-3"/>
    <n v="-1.25"/>
    <n v="1.61"/>
    <n v="-29.12"/>
    <s v="NO"/>
    <n v="0.16188872716836061"/>
    <n v="-0.80185794831712565"/>
    <n v="0.11411078309734188"/>
    <n v="-2.5277657570730441E-2"/>
    <n v="0.1081792144043508"/>
    <n v="-0.79138645341226532"/>
    <x v="0"/>
    <x v="0"/>
    <x v="0"/>
    <x v="0"/>
    <x v="0"/>
    <x v="0"/>
  </r>
  <r>
    <x v="4"/>
    <s v="MAGN"/>
    <n v="428"/>
    <n v="13.41"/>
    <n v="3.82"/>
    <n v="30.7"/>
    <n v="-7.33"/>
    <n v="3.510471204188482"/>
    <n v="0.43680781758957654"/>
    <n v="-6.8"/>
    <n v="1.31"/>
    <n v="3.72"/>
    <n v="-1.829467939972715"/>
    <s v="NO"/>
    <n v="0.47878199100368241"/>
    <n v="-1.3286510304095582"/>
    <n v="1.3358566319756653"/>
    <n v="1.3272747628442969"/>
    <n v="13.482501465871923"/>
    <n v="1.4129096386623567"/>
    <x v="0"/>
    <x v="0"/>
    <x v="0"/>
    <x v="0"/>
    <x v="1"/>
    <x v="0"/>
  </r>
  <r>
    <x v="4"/>
    <s v="IFSPF"/>
    <n v="473"/>
    <n v="9.65"/>
    <n v="1.1200000000000001"/>
    <n v="20.13"/>
    <n v="-3.6"/>
    <n v="8.6160714285714288"/>
    <n v="0.47938400397416797"/>
    <n v="-16.760000000000002"/>
    <n v="-1.42"/>
    <n v="2.04"/>
    <n v="-2.6805555555555558"/>
    <s v="NO"/>
    <n v="1.4065294832614308"/>
    <n v="-0.4355483560106731"/>
    <n v="-0.84352617793058038"/>
    <n v="0.16311087447002198"/>
    <n v="1.014279926790365"/>
    <n v="-0.65387378918484795"/>
    <x v="0"/>
    <x v="0"/>
    <x v="0"/>
    <x v="0"/>
    <x v="0"/>
    <x v="0"/>
  </r>
  <r>
    <x v="4"/>
    <s v="CFPZF"/>
    <n v="1112"/>
    <n v="10.16"/>
    <n v="-2.12"/>
    <n v="19.59"/>
    <n v="-3.73"/>
    <n v="-4.7924528301886795"/>
    <n v="0.51863195507912196"/>
    <n v="-17.829999999999998"/>
    <n v="-5.29"/>
    <n v="1.72"/>
    <n v="-2.7238605898123325"/>
    <s v="NO"/>
    <n v="-1.0299567689392723"/>
    <n v="0.38773933302473507"/>
    <n v="-1.0776566605209092"/>
    <n v="-1.4871873848737305"/>
    <n v="-1.3606194139870746"/>
    <n v="-0.7590358494775109"/>
    <x v="0"/>
    <x v="0"/>
    <x v="0"/>
    <x v="0"/>
    <x v="0"/>
    <x v="0"/>
  </r>
  <r>
    <x v="4"/>
    <s v="CLW"/>
    <n v="468"/>
    <n v="29.12"/>
    <n v="-7.6"/>
    <n v="51.47"/>
    <n v="-4.6500000000000004"/>
    <n v="-3.8315789473684214"/>
    <n v="0.56576646590246749"/>
    <n v="-10.23"/>
    <n v="-1.81"/>
    <n v="1.95"/>
    <n v="-6.2623655913978489"/>
    <s v="NO"/>
    <n v="-0.85535470532584101"/>
    <n v="1.3764600533954974"/>
    <n v="0.58532620647582367"/>
    <n v="-3.1982524405887889E-3"/>
    <n v="0.34633948719670965"/>
    <n v="-9.3519508005699308"/>
    <x v="0"/>
    <x v="0"/>
    <x v="0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57" tableType="queryTable" totalsRowShown="0">
  <autoFilter ref="A1:Z57" xr:uid="{1B3BB95A-07C7-4768-8185-A2A759A39458}"/>
  <sortState xmlns:xlrd2="http://schemas.microsoft.com/office/spreadsheetml/2017/richdata2" ref="A2:Z57">
    <sortCondition ref="A1:A57"/>
  </sortState>
  <tableColumns count="26">
    <tableColumn id="1" xr3:uid="{FDA9EBBF-F574-44F1-B885-6A5ED1C1C8A3}" uniqueName="1" name="Industry" queryTableFieldId="1" dataDxfId="131"/>
    <tableColumn id="2" xr3:uid="{8F96E341-8F97-4BC1-90E1-73E9D5DAC8C9}" uniqueName="2" name="Symbol" queryTableFieldId="2" dataDxfId="130"/>
    <tableColumn id="3" xr3:uid="{F543FE77-4EA4-4170-A3F2-7D6D401D6817}" uniqueName="3" name="Market Cap (M)" queryTableFieldId="44" dataDxfId="129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28"/>
    <tableColumn id="9" xr3:uid="{92CA53A2-ADA4-45CE-B0FD-3AD68E123166}" uniqueName="9" name="P/B" queryTableFieldId="46" dataDxfId="127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26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25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24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23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22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21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20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77" tableType="queryTable" totalsRowShown="0">
  <autoFilter ref="A1:Z77" xr:uid="{8A05384F-F989-4428-B033-1A9B3ACA4EBB}"/>
  <sortState xmlns:xlrd2="http://schemas.microsoft.com/office/spreadsheetml/2017/richdata2" ref="A2:Z77">
    <sortCondition ref="A1:A77"/>
  </sortState>
  <tableColumns count="26">
    <tableColumn id="1" xr3:uid="{3547F496-7B67-42E8-9760-1F3941836443}" uniqueName="1" name="Industry" queryTableFieldId="1" dataDxfId="83"/>
    <tableColumn id="2" xr3:uid="{0A09E186-076D-4A57-B743-EBD7817F4082}" uniqueName="2" name="Symbol" queryTableFieldId="2" dataDxfId="82"/>
    <tableColumn id="3" xr3:uid="{C567BD69-49B3-415C-87A5-73BCB80F1796}" uniqueName="3" name="Market Cap (M)" queryTableFieldId="43" dataDxfId="81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80"/>
    <tableColumn id="9" xr3:uid="{F1DC44A8-3710-4CCA-B495-699F6ACADE85}" uniqueName="9" name="P/B" queryTableFieldId="45" dataDxfId="79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78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77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76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75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74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73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72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37" tableType="queryTable" totalsRowShown="0">
  <autoFilter ref="A1:Z137" xr:uid="{DE7CBD96-9DC7-4F09-9B11-F8C87451A82B}"/>
  <sortState xmlns:xlrd2="http://schemas.microsoft.com/office/spreadsheetml/2017/richdata2" ref="A2:Z137">
    <sortCondition ref="A1:A137"/>
  </sortState>
  <tableColumns count="26">
    <tableColumn id="1" xr3:uid="{261FC5A1-AB9E-4068-9D87-D85D75FE0DD5}" uniqueName="1" name="Industry" queryTableFieldId="1" dataDxfId="143"/>
    <tableColumn id="2" xr3:uid="{4D1C6415-A4DE-450C-A6A0-32BD8F91DEB2}" uniqueName="2" name="Symbol" queryTableFieldId="2" dataDxfId="142"/>
    <tableColumn id="3" xr3:uid="{1913483F-1018-45E5-BBAD-415B97CDE58A}" uniqueName="3" name="Market Cap (M)" queryTableFieldId="43" dataDxfId="14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40"/>
    <tableColumn id="9" xr3:uid="{A85952D4-A3AB-4C1A-90DC-2E32ECE72481}" uniqueName="9" name="P/B" queryTableFieldId="45" dataDxfId="13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3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3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3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3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3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3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3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7" tableType="queryTable" totalsRowShown="0">
  <autoFilter ref="A2:Y7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1:Y16" tableType="queryTable" totalsRowShown="0">
  <autoFilter ref="A11:Y16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71"/>
    <tableColumn id="3" xr3:uid="{BB549C0D-7552-41A2-B049-C1E0C569FC5B}" uniqueName="3" name="P/FCF Q3" queryTableFieldId="3" dataDxfId="70"/>
    <tableColumn id="4" xr3:uid="{F8874757-4F98-4408-A256-B3DBB97E40A5}" uniqueName="4" name="P/FCF LB" queryTableFieldId="4" dataDxfId="69"/>
    <tableColumn id="5" xr3:uid="{7F92E8F9-91DF-48EA-A8F2-F3E13D8104D3}" uniqueName="5" name="P/FCF UB" queryTableFieldId="5" dataDxfId="68"/>
    <tableColumn id="6" xr3:uid="{837AC52A-2B15-4BFB-A555-2456F010C7C9}" uniqueName="6" name="P/B Q1" queryTableFieldId="6" dataDxfId="67"/>
    <tableColumn id="7" xr3:uid="{C672A3A3-8D6C-4E08-B6E3-1D85CD510A41}" uniqueName="7" name="P/B Q3" queryTableFieldId="7" dataDxfId="66"/>
    <tableColumn id="8" xr3:uid="{47FBFC34-1D36-49FE-8583-28072989EA1C}" uniqueName="8" name="P/B LB" queryTableFieldId="8" dataDxfId="65"/>
    <tableColumn id="9" xr3:uid="{98DADD72-A76B-4DE4-AB34-515EBE2E4A04}" uniqueName="9" name="P/B UB" queryTableFieldId="9" dataDxfId="64"/>
    <tableColumn id="10" xr3:uid="{C06AFB5F-1921-4B19-AFA7-04514BD3BC35}" uniqueName="10" name="ROE Q1" queryTableFieldId="10" dataDxfId="63"/>
    <tableColumn id="11" xr3:uid="{38FF7E38-2AC1-4486-B824-BCBE4156ADA7}" uniqueName="11" name="ROE Q3" queryTableFieldId="11" dataDxfId="62"/>
    <tableColumn id="12" xr3:uid="{1BBD6DC1-3C0C-48AF-9986-81D1F4A26368}" uniqueName="12" name="ROE LB" queryTableFieldId="12" dataDxfId="61"/>
    <tableColumn id="13" xr3:uid="{5775303C-3550-4762-86D0-7A82C106A3F0}" uniqueName="13" name="ROE UB" queryTableFieldId="13" dataDxfId="60"/>
    <tableColumn id="14" xr3:uid="{9FE06177-2E94-4066-A65B-77414C97B4DC}" uniqueName="14" name="ROA Q1" queryTableFieldId="14" dataDxfId="59"/>
    <tableColumn id="15" xr3:uid="{386179E5-15F0-4AED-9E0C-1EB211C80CEE}" uniqueName="15" name="ROA Q3" queryTableFieldId="15" dataDxfId="58"/>
    <tableColumn id="16" xr3:uid="{C7DC1506-2223-42A0-AC4B-68B0E14D2B9D}" uniqueName="16" name="ROA LB" queryTableFieldId="16" dataDxfId="57"/>
    <tableColumn id="17" xr3:uid="{C45AE1E6-1326-44B3-972F-838B081A78FC}" uniqueName="17" name="ROA UB" queryTableFieldId="17" dataDxfId="56"/>
    <tableColumn id="18" xr3:uid="{17D85B47-F40C-47C3-996F-C47242CFB7D2}" uniqueName="18" name="P/E Q1" queryTableFieldId="18" dataDxfId="55"/>
    <tableColumn id="19" xr3:uid="{44248722-1EBA-4DF8-B99D-B6B2F31E253B}" uniqueName="19" name="P/E Q3" queryTableFieldId="19" dataDxfId="54"/>
    <tableColumn id="20" xr3:uid="{93299C7A-5544-43AE-ACC5-72F0CB129F08}" uniqueName="20" name="P/E LB" queryTableFieldId="20" dataDxfId="53"/>
    <tableColumn id="21" xr3:uid="{3E027012-2DA9-4754-8880-25FEEDEFA94A}" uniqueName="21" name="P/E UB" queryTableFieldId="21" dataDxfId="52"/>
    <tableColumn id="22" xr3:uid="{FF2638EF-6EA0-401C-B7D8-A2BC49ECD2B0}" uniqueName="22" name="A/E Q1" queryTableFieldId="22" dataDxfId="51"/>
    <tableColumn id="23" xr3:uid="{546FB46A-BFEC-4020-A8E1-97073EBE991F}" uniqueName="23" name="A/E Q3" queryTableFieldId="23" dataDxfId="50"/>
    <tableColumn id="24" xr3:uid="{41F03CE5-975A-469D-B609-D8C5D8D172FA}" uniqueName="24" name="A/E LB" queryTableFieldId="24" dataDxfId="49"/>
    <tableColumn id="25" xr3:uid="{1863137D-3C8C-4A15-9A63-5E253392AFAD}" uniqueName="25" name="A/E UB" queryTableFieldId="25" dataDxf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0:Y25" tableType="queryTable" totalsRowShown="0">
  <autoFilter ref="A20:Y25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47"/>
    <tableColumn id="3" xr3:uid="{6D66145B-6613-41BC-8233-7356853CCFEF}" uniqueName="3" name="P/FCF Q3" queryTableFieldId="3" dataDxfId="46"/>
    <tableColumn id="4" xr3:uid="{90A69125-3CA2-4D0A-8F1A-65993DFA9D46}" uniqueName="4" name="P/FCF LB" queryTableFieldId="4" dataDxfId="45"/>
    <tableColumn id="5" xr3:uid="{BED6E3D4-DC60-428F-B5E8-4C3C64096FD7}" uniqueName="5" name="P/FCF UB" queryTableFieldId="5" dataDxfId="44"/>
    <tableColumn id="6" xr3:uid="{FC33B186-B76E-4D86-8EBD-E25B773D256E}" uniqueName="6" name="P/B Q1" queryTableFieldId="6" dataDxfId="43"/>
    <tableColumn id="7" xr3:uid="{D82D1432-7C03-4449-BD2D-F895D50A5F32}" uniqueName="7" name="P/B Q3" queryTableFieldId="7" dataDxfId="42"/>
    <tableColumn id="8" xr3:uid="{D3389429-24FB-4947-AACF-CAA92D678F94}" uniqueName="8" name="P/B LB" queryTableFieldId="8" dataDxfId="41"/>
    <tableColumn id="9" xr3:uid="{452E932D-DD5B-4C62-A8B3-25C90C8C7751}" uniqueName="9" name="P/B UB" queryTableFieldId="9" dataDxfId="40"/>
    <tableColumn id="10" xr3:uid="{99E11285-9679-47B1-9540-1BD10239596C}" uniqueName="10" name="ROE Q1" queryTableFieldId="10" dataDxfId="39"/>
    <tableColumn id="11" xr3:uid="{B4F1825A-C678-4C01-BB96-B04FAB1938BD}" uniqueName="11" name="ROE Q3" queryTableFieldId="11" dataDxfId="38"/>
    <tableColumn id="12" xr3:uid="{9F07026D-928C-42B1-8DD2-9BD3176C8B6A}" uniqueName="12" name="ROE LB" queryTableFieldId="12" dataDxfId="37"/>
    <tableColumn id="13" xr3:uid="{47360B1B-7AC4-49FA-9F18-2F1F1B72CA28}" uniqueName="13" name="ROE UB" queryTableFieldId="13" dataDxfId="36"/>
    <tableColumn id="14" xr3:uid="{58B0248D-BCFF-4737-ADF5-EE087C03D561}" uniqueName="14" name="ROA Q1" queryTableFieldId="14" dataDxfId="35"/>
    <tableColumn id="15" xr3:uid="{CCD6E6AE-6BBB-4675-8C50-0F87AF280A3C}" uniqueName="15" name="ROA Q3" queryTableFieldId="15" dataDxfId="34"/>
    <tableColumn id="16" xr3:uid="{BB86731C-A605-4988-A848-B35835CAF73E}" uniqueName="16" name="ROA LB" queryTableFieldId="16" dataDxfId="33"/>
    <tableColumn id="17" xr3:uid="{9760AC7A-70E9-4457-8DC8-4BDA6646C74E}" uniqueName="17" name="ROA UB" queryTableFieldId="17" dataDxfId="32"/>
    <tableColumn id="18" xr3:uid="{931D5CA9-41B9-424B-87E6-FA364034B249}" uniqueName="18" name="P/E Q1" queryTableFieldId="18" dataDxfId="31"/>
    <tableColumn id="19" xr3:uid="{23E1DD3D-5F02-4A6D-9773-5EA3466661AF}" uniqueName="19" name="P/E Q3" queryTableFieldId="19" dataDxfId="30"/>
    <tableColumn id="20" xr3:uid="{478DC28A-5ACD-47E8-8720-6EEE2D43205B}" uniqueName="20" name="P/E LB" queryTableFieldId="20" dataDxfId="29"/>
    <tableColumn id="21" xr3:uid="{AC7D613F-0AC5-4542-BBED-886B4C332840}" uniqueName="21" name="P/E UB" queryTableFieldId="21" dataDxfId="28"/>
    <tableColumn id="22" xr3:uid="{1E3F527B-4B19-4D38-9A78-D4BBA95224B9}" uniqueName="22" name="A/E Q1" queryTableFieldId="22" dataDxfId="27"/>
    <tableColumn id="23" xr3:uid="{1256121C-1427-4F44-988A-E08E26F80A67}" uniqueName="23" name="A/E Q3" queryTableFieldId="23" dataDxfId="26"/>
    <tableColumn id="24" xr3:uid="{3F6A6F05-B80E-47C0-9039-80E1A481FF30}" uniqueName="24" name="A/E LB" queryTableFieldId="24" dataDxfId="25"/>
    <tableColumn id="25" xr3:uid="{08969B40-89DA-4EAE-925B-3C841EB86C63}" uniqueName="25" name="A/E UB" queryTableFieldId="25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57"/>
  <sheetViews>
    <sheetView workbookViewId="0">
      <selection activeCell="B24" sqref="B24"/>
    </sheetView>
  </sheetViews>
  <sheetFormatPr defaultRowHeight="15" x14ac:dyDescent="0.25"/>
  <cols>
    <col min="1" max="1" width="22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109</v>
      </c>
      <c r="C2" s="2">
        <v>14696</v>
      </c>
      <c r="D2">
        <f>RTD("tos.rtd", , "LAST", Main_L[[#This Row],[Symbol]])</f>
        <v>92.85</v>
      </c>
      <c r="E2">
        <v>10.59</v>
      </c>
      <c r="F2">
        <v>29.03</v>
      </c>
      <c r="G2">
        <v>7.6</v>
      </c>
      <c r="H2" s="1">
        <f>IF(ISNUMBER(Main_L[[#This Row],[Free CF]]),IF(Main_L[[#This Row],[Free CF]]&lt;&gt;0,Main_L[[#This Row],[Current Price]]/Main_L[[#This Row],[Free CF]],""),"")</f>
        <v>8.7677053824362599</v>
      </c>
      <c r="I2" s="1">
        <f>IF(ISNUMBER(Main_L[[#This Row],[BVPS]]),IF(Main_L[[#This Row],[BVPS]]&lt;&gt;0,Main_L[[#This Row],[Current Price]]/Main_L[[#This Row],[BVPS]],""),"")</f>
        <v>3.1984154323114016</v>
      </c>
      <c r="J2">
        <v>20.79</v>
      </c>
      <c r="K2">
        <v>8.6999999999999993</v>
      </c>
      <c r="L2">
        <v>2.78</v>
      </c>
      <c r="M2" s="1">
        <f>IF(ISNUMBER(Main_L[[#This Row],[EPS]]),IF(Main_L[[#This Row],[EPS]]&lt;&gt;0,Main_L[[#This Row],[Current Price]]/Main_L[[#This Row],[EPS]],""),"")</f>
        <v>12.217105263157894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-0.90100677102525517</v>
      </c>
      <c r="P2" s="1">
        <f>(Main_L[[#This Row],[P/B]]-VLOOKUP(Main_L[[#This Row],[Industry]], Mean_PB_L, 2, FALSE))/(VLOOKUP(Main_L[[#This Row],[Industry]], Mean_PB_L, 3, FALSE))</f>
        <v>0.71411212189035922</v>
      </c>
      <c r="Q2" s="1">
        <f>(Main_L[[#This Row],[ROE]]-VLOOKUP(Main_L[[#This Row],[Industry]], Mean_ROE_L, 2, FALSE))/(VLOOKUP(Main_L[[#This Row],[Industry]], Mean_ROE_L, 3, FALSE))</f>
        <v>1.2713898495984779</v>
      </c>
      <c r="R2" s="1">
        <f>(Main_L[[#This Row],[ROA]]-VLOOKUP(Main_L[[#This Row],[Industry]], Mean_ROA_L, 2, FALSE))/(VLOOKUP(Main_L[[#This Row],[Industry]], Mean_ROA_L, 3, FALSE))</f>
        <v>1.4593704701545769</v>
      </c>
      <c r="S2" s="1">
        <f>(Main_L[[#This Row],[A/E]]-VLOOKUP(Main_L[[#This Row],[Industry]], Mean_AE_L, 2, FALSE))/(VLOOKUP(Main_L[[#This Row],[Industry]], Mean_AE_L, 3, FALSE))</f>
        <v>0.73071413974671928</v>
      </c>
      <c r="T2" s="1">
        <f>(Main_L[[#This Row],[P/E]]-VLOOKUP(Main_L[[#This Row],[Industry]], Mean_PE_L, 2, FALSE))/(VLOOKUP(Main_L[[#This Row],[Industry]], Mean_PE_L, 3, FALSE))</f>
        <v>-1.0840067946755185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8" t="s">
        <v>105</v>
      </c>
      <c r="B3" s="68" t="s">
        <v>120</v>
      </c>
      <c r="C3" s="2">
        <v>89918</v>
      </c>
      <c r="D3">
        <f>RTD("tos.rtd", , "LAST", Main_L[[#This Row],[Symbol]])</f>
        <v>357.95</v>
      </c>
      <c r="E3">
        <v>8.69</v>
      </c>
      <c r="F3">
        <v>16.559999999999999</v>
      </c>
      <c r="G3">
        <v>10.59</v>
      </c>
      <c r="H3" s="1">
        <f>IF(ISNUMBER(Main_L[[#This Row],[Free CF]]),IF(Main_L[[#This Row],[Free CF]]&lt;&gt;0,Main_L[[#This Row],[Current Price]]/Main_L[[#This Row],[Free CF]],""),"")</f>
        <v>41.191024165707709</v>
      </c>
      <c r="I3" s="1">
        <f>IF(ISNUMBER(Main_L[[#This Row],[BVPS]]),IF(Main_L[[#This Row],[BVPS]]&lt;&gt;0,Main_L[[#This Row],[Current Price]]/Main_L[[#This Row],[BVPS]],""),"")</f>
        <v>21.615338164251209</v>
      </c>
      <c r="J3">
        <v>70.22</v>
      </c>
      <c r="K3">
        <v>9.89</v>
      </c>
      <c r="L3">
        <v>5.96</v>
      </c>
      <c r="M3" s="1">
        <f>IF(ISNUMBER(Main_L[[#This Row],[EPS]]),IF(Main_L[[#This Row],[EPS]]&lt;&gt;0,Main_L[[#This Row],[Current Price]]/Main_L[[#This Row],[EPS]],""),"")</f>
        <v>33.800755429650614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0.91585832595328287</v>
      </c>
      <c r="P3" s="1">
        <f>(Main_L[[#This Row],[P/B]]-VLOOKUP(Main_L[[#This Row],[Industry]], Mean_PB_L, 2, FALSE))/(VLOOKUP(Main_L[[#This Row],[Industry]], Mean_PB_L, 3, FALSE))</f>
        <v>12.877139465896997</v>
      </c>
      <c r="Q3" s="1">
        <f>(Main_L[[#This Row],[ROE]]-VLOOKUP(Main_L[[#This Row],[Industry]], Mean_ROE_L, 2, FALSE))/(VLOOKUP(Main_L[[#This Row],[Industry]], Mean_ROE_L, 3, FALSE))</f>
        <v>6.4981896103014947</v>
      </c>
      <c r="R3" s="1">
        <f>(Main_L[[#This Row],[ROA]]-VLOOKUP(Main_L[[#This Row],[Industry]], Mean_ROA_L, 2, FALSE))/(VLOOKUP(Main_L[[#This Row],[Industry]], Mean_ROA_L, 3, FALSE))</f>
        <v>1.8844645121300863</v>
      </c>
      <c r="S3" s="1">
        <f>(Main_L[[#This Row],[A/E]]-VLOOKUP(Main_L[[#This Row],[Industry]], Mean_AE_L, 2, FALSE))/(VLOOKUP(Main_L[[#This Row],[Industry]], Mean_AE_L, 3, FALSE))</f>
        <v>6.5816841939776562</v>
      </c>
      <c r="T3" s="1">
        <f>(Main_L[[#This Row],[P/E]]-VLOOKUP(Main_L[[#This Row],[Industry]], Mean_PE_L, 2, FALSE))/(VLOOKUP(Main_L[[#This Row],[Industry]], Mean_PE_L, 3, FALSE))</f>
        <v>0.1156964011847558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8" t="s">
        <v>105</v>
      </c>
      <c r="B4" s="68" t="s">
        <v>116</v>
      </c>
      <c r="C4" s="2">
        <v>75307</v>
      </c>
      <c r="D4">
        <f>RTD("tos.rtd", , "LAST", Main_L[[#This Row],[Symbol]])</f>
        <v>266.35000000000002</v>
      </c>
      <c r="E4">
        <v>5.3</v>
      </c>
      <c r="F4">
        <v>31.31</v>
      </c>
      <c r="G4">
        <v>7.35</v>
      </c>
      <c r="H4" s="1">
        <f>IF(ISNUMBER(Main_L[[#This Row],[Free CF]]),IF(Main_L[[#This Row],[Free CF]]&lt;&gt;0,Main_L[[#This Row],[Current Price]]/Main_L[[#This Row],[Free CF]],""),"")</f>
        <v>50.254716981132084</v>
      </c>
      <c r="I4" s="1">
        <f>IF(ISNUMBER(Main_L[[#This Row],[BVPS]]),IF(Main_L[[#This Row],[BVPS]]&lt;&gt;0,Main_L[[#This Row],[Current Price]]/Main_L[[#This Row],[BVPS]],""),"")</f>
        <v>8.5068668157138312</v>
      </c>
      <c r="J4">
        <v>24.77</v>
      </c>
      <c r="K4">
        <v>7.76</v>
      </c>
      <c r="L4">
        <v>2.52</v>
      </c>
      <c r="M4" s="1">
        <f>IF(ISNUMBER(Main_L[[#This Row],[EPS]]),IF(Main_L[[#This Row],[EPS]]&lt;&gt;0,Main_L[[#This Row],[Current Price]]/Main_L[[#This Row],[EPS]],""),"")</f>
        <v>36.238095238095241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1.4237491817954666</v>
      </c>
      <c r="P4" s="1">
        <f>(Main_L[[#This Row],[P/B]]-VLOOKUP(Main_L[[#This Row],[Industry]], Mean_PB_L, 2, FALSE))/(VLOOKUP(Main_L[[#This Row],[Industry]], Mean_PB_L, 3, FALSE))</f>
        <v>4.2199551050222626</v>
      </c>
      <c r="Q4" s="1">
        <f>(Main_L[[#This Row],[ROE]]-VLOOKUP(Main_L[[#This Row],[Industry]], Mean_ROE_L, 2, FALSE))/(VLOOKUP(Main_L[[#This Row],[Industry]], Mean_ROE_L, 3, FALSE))</f>
        <v>1.692240811516301</v>
      </c>
      <c r="R4" s="1">
        <f>(Main_L[[#This Row],[ROA]]-VLOOKUP(Main_L[[#This Row],[Industry]], Mean_ROA_L, 2, FALSE))/(VLOOKUP(Main_L[[#This Row],[Industry]], Mean_ROA_L, 3, FALSE))</f>
        <v>1.1235818991823261</v>
      </c>
      <c r="S4" s="1">
        <f>(Main_L[[#This Row],[A/E]]-VLOOKUP(Main_L[[#This Row],[Industry]], Mean_AE_L, 2, FALSE))/(VLOOKUP(Main_L[[#This Row],[Industry]], Mean_AE_L, 3, FALSE))</f>
        <v>0.25233294034419029</v>
      </c>
      <c r="T4" s="1">
        <f>(Main_L[[#This Row],[P/E]]-VLOOKUP(Main_L[[#This Row],[Industry]], Mean_PE_L, 2, FALSE))/(VLOOKUP(Main_L[[#This Row],[Industry]], Mean_PE_L, 3, FALSE))</f>
        <v>0.25117322438345396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s="68" t="s">
        <v>105</v>
      </c>
      <c r="B5" s="68" t="s">
        <v>107</v>
      </c>
      <c r="C5" s="2">
        <v>18156</v>
      </c>
      <c r="D5">
        <f>RTD("tos.rtd", , "LAST", Main_L[[#This Row],[Symbol]])</f>
        <v>58.48</v>
      </c>
      <c r="E5">
        <v>4.67</v>
      </c>
      <c r="F5">
        <v>37.81</v>
      </c>
      <c r="G5">
        <v>2.89</v>
      </c>
      <c r="H5" s="1">
        <f>IF(ISNUMBER(Main_L[[#This Row],[Free CF]]),IF(Main_L[[#This Row],[Free CF]]&lt;&gt;0,Main_L[[#This Row],[Current Price]]/Main_L[[#This Row],[Free CF]],""),"")</f>
        <v>12.522483940042827</v>
      </c>
      <c r="I5" s="1">
        <f>IF(ISNUMBER(Main_L[[#This Row],[BVPS]]),IF(Main_L[[#This Row],[BVPS]]&lt;&gt;0,Main_L[[#This Row],[Current Price]]/Main_L[[#This Row],[BVPS]],""),"")</f>
        <v>1.5466807722824647</v>
      </c>
      <c r="J5">
        <v>7.44</v>
      </c>
      <c r="K5">
        <v>3.85</v>
      </c>
      <c r="L5">
        <v>2.88</v>
      </c>
      <c r="M5" s="1">
        <f>IF(ISNUMBER(Main_L[[#This Row],[EPS]]),IF(Main_L[[#This Row],[EPS]]&lt;&gt;0,Main_L[[#This Row],[Current Price]]/Main_L[[#This Row],[EPS]],""),"")</f>
        <v>20.235294117647058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-0.69060492555721797</v>
      </c>
      <c r="P5" s="1">
        <f>(Main_L[[#This Row],[P/B]]-VLOOKUP(Main_L[[#This Row],[Industry]], Mean_PB_L, 2, FALSE))/(VLOOKUP(Main_L[[#This Row],[Industry]], Mean_PB_L, 3, FALSE))</f>
        <v>-0.37673753455816023</v>
      </c>
      <c r="Q5" s="1">
        <f>(Main_L[[#This Row],[ROE]]-VLOOKUP(Main_L[[#This Row],[Industry]], Mean_ROE_L, 2, FALSE))/(VLOOKUP(Main_L[[#This Row],[Industry]], Mean_ROE_L, 3, FALSE))</f>
        <v>-0.14025847743743677</v>
      </c>
      <c r="R5" s="1">
        <f>(Main_L[[#This Row],[ROA]]-VLOOKUP(Main_L[[#This Row],[Industry]], Mean_ROA_L, 2, FALSE))/(VLOOKUP(Main_L[[#This Row],[Industry]], Mean_ROA_L, 3, FALSE))</f>
        <v>-0.27315566730863239</v>
      </c>
      <c r="S5" s="1">
        <f>(Main_L[[#This Row],[A/E]]-VLOOKUP(Main_L[[#This Row],[Industry]], Mean_AE_L, 2, FALSE))/(VLOOKUP(Main_L[[#This Row],[Industry]], Mean_AE_L, 3, FALSE))</f>
        <v>0.91470690874769234</v>
      </c>
      <c r="T5" s="1">
        <f>(Main_L[[#This Row],[P/E]]-VLOOKUP(Main_L[[#This Row],[Industry]], Mean_PE_L, 2, FALSE))/(VLOOKUP(Main_L[[#This Row],[Industry]], Mean_PE_L, 3, FALSE))</f>
        <v>-0.6383246825425356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8" t="s">
        <v>105</v>
      </c>
      <c r="B6" s="68" t="s">
        <v>119</v>
      </c>
      <c r="C6" s="2">
        <v>14620</v>
      </c>
      <c r="D6">
        <f>RTD("tos.rtd", , "LAST", Main_L[[#This Row],[Symbol]])</f>
        <v>115.71</v>
      </c>
      <c r="E6">
        <v>4.43</v>
      </c>
      <c r="F6">
        <v>20.82</v>
      </c>
      <c r="G6">
        <v>4.99</v>
      </c>
      <c r="H6" s="1">
        <f>IF(ISNUMBER(Main_L[[#This Row],[Free CF]]),IF(Main_L[[#This Row],[Free CF]]&lt;&gt;0,Main_L[[#This Row],[Current Price]]/Main_L[[#This Row],[Free CF]],""),"")</f>
        <v>26.119638826185103</v>
      </c>
      <c r="I6" s="1">
        <f>IF(ISNUMBER(Main_L[[#This Row],[BVPS]]),IF(Main_L[[#This Row],[BVPS]]&lt;&gt;0,Main_L[[#This Row],[Current Price]]/Main_L[[#This Row],[BVPS]],""),"")</f>
        <v>5.5576368876080684</v>
      </c>
      <c r="J6">
        <v>25.68</v>
      </c>
      <c r="K6">
        <v>8.56</v>
      </c>
      <c r="L6">
        <v>2.48</v>
      </c>
      <c r="M6" s="1">
        <f>IF(ISNUMBER(Main_L[[#This Row],[EPS]]),IF(Main_L[[#This Row],[EPS]]&lt;&gt;0,Main_L[[#This Row],[Current Price]]/Main_L[[#This Row],[EPS]],""),"")</f>
        <v>23.188376753507011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7.1321893099884501E-2</v>
      </c>
      <c r="P6" s="1">
        <f>(Main_L[[#This Row],[P/B]]-VLOOKUP(Main_L[[#This Row],[Industry]], Mean_PB_L, 2, FALSE))/(VLOOKUP(Main_L[[#This Row],[Industry]], Mean_PB_L, 3, FALSE))</f>
        <v>2.2722049416845862</v>
      </c>
      <c r="Q6" s="1">
        <f>(Main_L[[#This Row],[ROE]]-VLOOKUP(Main_L[[#This Row],[Industry]], Mean_ROE_L, 2, FALSE))/(VLOOKUP(Main_L[[#This Row],[Industry]], Mean_ROE_L, 3, FALSE))</f>
        <v>1.7884655289397233</v>
      </c>
      <c r="R6" s="1">
        <f>(Main_L[[#This Row],[ROA]]-VLOOKUP(Main_L[[#This Row],[Industry]], Mean_ROA_L, 2, FALSE))/(VLOOKUP(Main_L[[#This Row],[Industry]], Mean_ROA_L, 3, FALSE))</f>
        <v>1.4093594063927526</v>
      </c>
      <c r="S6" s="1">
        <f>(Main_L[[#This Row],[A/E]]-VLOOKUP(Main_L[[#This Row],[Industry]], Mean_AE_L, 2, FALSE))/(VLOOKUP(Main_L[[#This Row],[Industry]], Mean_AE_L, 3, FALSE))</f>
        <v>0.17873583274380109</v>
      </c>
      <c r="T6" s="1">
        <f>(Main_L[[#This Row],[P/E]]-VLOOKUP(Main_L[[#This Row],[Industry]], Mean_PE_L, 2, FALSE))/(VLOOKUP(Main_L[[#This Row],[Industry]], Mean_PE_L, 3, FALSE))</f>
        <v>-0.47418086773123547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8" t="s">
        <v>105</v>
      </c>
      <c r="B7" s="68" t="s">
        <v>115</v>
      </c>
      <c r="C7" s="2">
        <v>29466</v>
      </c>
      <c r="D7">
        <f>RTD("tos.rtd", , "LAST", Main_L[[#This Row],[Symbol]])</f>
        <v>11.18</v>
      </c>
      <c r="E7">
        <v>3.97</v>
      </c>
      <c r="F7">
        <v>88.24</v>
      </c>
      <c r="G7">
        <v>0.97</v>
      </c>
      <c r="H7" s="1">
        <f>IF(ISNUMBER(Main_L[[#This Row],[Free CF]]),IF(Main_L[[#This Row],[Free CF]]&lt;&gt;0,Main_L[[#This Row],[Current Price]]/Main_L[[#This Row],[Free CF]],""),"")</f>
        <v>2.8161209068010074</v>
      </c>
      <c r="I7" s="1">
        <f>IF(ISNUMBER(Main_L[[#This Row],[BVPS]]),IF(Main_L[[#This Row],[BVPS]]&lt;&gt;0,Main_L[[#This Row],[Current Price]]/Main_L[[#This Row],[BVPS]],""),"")</f>
        <v>0.12669990933816863</v>
      </c>
      <c r="J7">
        <v>1.22</v>
      </c>
      <c r="K7">
        <v>0.94</v>
      </c>
      <c r="L7">
        <v>1.5</v>
      </c>
      <c r="M7" s="1">
        <f>IF(ISNUMBER(Main_L[[#This Row],[EPS]]),IF(Main_L[[#This Row],[EPS]]&lt;&gt;0,Main_L[[#This Row],[Current Price]]/Main_L[[#This Row],[EPS]],""),"")</f>
        <v>11.525773195876289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-1.2345082912669154</v>
      </c>
      <c r="P7" s="1">
        <f>(Main_L[[#This Row],[P/B]]-VLOOKUP(Main_L[[#This Row],[Industry]], Mean_PB_L, 2, FALSE))/(VLOOKUP(Main_L[[#This Row],[Industry]], Mean_PB_L, 3, FALSE))</f>
        <v>-1.3145307975990415</v>
      </c>
      <c r="Q7" s="1">
        <f>(Main_L[[#This Row],[ROE]]-VLOOKUP(Main_L[[#This Row],[Industry]], Mean_ROE_L, 2, FALSE))/(VLOOKUP(Main_L[[#This Row],[Industry]], Mean_ROE_L, 3, FALSE))</f>
        <v>-0.79797028224368327</v>
      </c>
      <c r="R7" s="1">
        <f>(Main_L[[#This Row],[ROA]]-VLOOKUP(Main_L[[#This Row],[Industry]], Mean_ROA_L, 2, FALSE))/(VLOOKUP(Main_L[[#This Row],[Industry]], Mean_ROA_L, 3, FALSE))</f>
        <v>-1.3126713497865581</v>
      </c>
      <c r="S7" s="1">
        <f>(Main_L[[#This Row],[A/E]]-VLOOKUP(Main_L[[#This Row],[Industry]], Mean_AE_L, 2, FALSE))/(VLOOKUP(Main_L[[#This Row],[Industry]], Mean_AE_L, 3, FALSE))</f>
        <v>-1.624393303465733</v>
      </c>
      <c r="T7" s="1">
        <f>(Main_L[[#This Row],[P/E]]-VLOOKUP(Main_L[[#This Row],[Industry]], Mean_PE_L, 2, FALSE))/(VLOOKUP(Main_L[[#This Row],[Industry]], Mean_PE_L, 3, FALSE))</f>
        <v>-1.1224337189501723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s="68" t="s">
        <v>105</v>
      </c>
      <c r="B8" s="68" t="s">
        <v>118</v>
      </c>
      <c r="C8" s="2">
        <v>25149</v>
      </c>
      <c r="D8">
        <f>RTD("tos.rtd", , "LAST", Main_L[[#This Row],[Symbol]])</f>
        <v>113.46</v>
      </c>
      <c r="E8">
        <v>3.38</v>
      </c>
      <c r="F8">
        <v>30.52</v>
      </c>
      <c r="G8">
        <v>5.64</v>
      </c>
      <c r="H8" s="1">
        <f>IF(ISNUMBER(Main_L[[#This Row],[Free CF]]),IF(Main_L[[#This Row],[Free CF]]&lt;&gt;0,Main_L[[#This Row],[Current Price]]/Main_L[[#This Row],[Free CF]],""),"")</f>
        <v>33.568047337278102</v>
      </c>
      <c r="I8" s="1">
        <f>IF(ISNUMBER(Main_L[[#This Row],[BVPS]]),IF(Main_L[[#This Row],[BVPS]]&lt;&gt;0,Main_L[[#This Row],[Current Price]]/Main_L[[#This Row],[BVPS]],""),"")</f>
        <v>3.7175622542595019</v>
      </c>
      <c r="J8">
        <v>17.649999999999999</v>
      </c>
      <c r="K8">
        <v>6.3</v>
      </c>
      <c r="L8">
        <v>3.05</v>
      </c>
      <c r="M8" s="1">
        <f>IF(ISNUMBER(Main_L[[#This Row],[EPS]]),IF(Main_L[[#This Row],[EPS]]&lt;&gt;0,Main_L[[#This Row],[Current Price]]/Main_L[[#This Row],[EPS]],""),"")</f>
        <v>20.117021276595743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0.48869907593241019</v>
      </c>
      <c r="P8" s="1">
        <f>(Main_L[[#This Row],[P/B]]-VLOOKUP(Main_L[[#This Row],[Industry]], Mean_PB_L, 2, FALSE))/(VLOOKUP(Main_L[[#This Row],[Industry]], Mean_PB_L, 3, FALSE))</f>
        <v>1.056970539814764</v>
      </c>
      <c r="Q8" s="1">
        <f>(Main_L[[#This Row],[ROE]]-VLOOKUP(Main_L[[#This Row],[Industry]], Mean_ROE_L, 2, FALSE))/(VLOOKUP(Main_L[[#This Row],[Industry]], Mean_ROE_L, 3, FALSE))</f>
        <v>0.93936170376381323</v>
      </c>
      <c r="R8" s="1">
        <f>(Main_L[[#This Row],[ROA]]-VLOOKUP(Main_L[[#This Row],[Industry]], Mean_ROA_L, 2, FALSE))/(VLOOKUP(Main_L[[#This Row],[Industry]], Mean_ROA_L, 3, FALSE))</f>
        <v>0.60203794852329806</v>
      </c>
      <c r="S8" s="1">
        <f>(Main_L[[#This Row],[A/E]]-VLOOKUP(Main_L[[#This Row],[Industry]], Mean_AE_L, 2, FALSE))/(VLOOKUP(Main_L[[#This Row],[Industry]], Mean_AE_L, 3, FALSE))</f>
        <v>1.2274946160493461</v>
      </c>
      <c r="T8" s="1">
        <f>(Main_L[[#This Row],[P/E]]-VLOOKUP(Main_L[[#This Row],[Industry]], Mean_PE_L, 2, FALSE))/(VLOOKUP(Main_L[[#This Row],[Industry]], Mean_PE_L, 3, FALSE))</f>
        <v>-0.64489874690598681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s="68" t="s">
        <v>105</v>
      </c>
      <c r="B9" s="68" t="s">
        <v>110</v>
      </c>
      <c r="C9" s="2">
        <v>48298</v>
      </c>
      <c r="D9">
        <f>RTD("tos.rtd", , "LAST", Main_L[[#This Row],[Symbol]])</f>
        <v>72.010000000000005</v>
      </c>
      <c r="E9">
        <v>3.05</v>
      </c>
      <c r="F9">
        <v>35.56</v>
      </c>
      <c r="G9">
        <v>1.65</v>
      </c>
      <c r="H9" s="1">
        <f>IF(ISNUMBER(Main_L[[#This Row],[Free CF]]),IF(Main_L[[#This Row],[Free CF]]&lt;&gt;0,Main_L[[#This Row],[Current Price]]/Main_L[[#This Row],[Free CF]],""),"")</f>
        <v>23.609836065573774</v>
      </c>
      <c r="I9" s="1">
        <f>IF(ISNUMBER(Main_L[[#This Row],[BVPS]]),IF(Main_L[[#This Row],[BVPS]]&lt;&gt;0,Main_L[[#This Row],[Current Price]]/Main_L[[#This Row],[BVPS]],""),"")</f>
        <v>2.0250281214848145</v>
      </c>
      <c r="J9">
        <v>4.66</v>
      </c>
      <c r="K9">
        <v>3.08</v>
      </c>
      <c r="L9">
        <v>1.73</v>
      </c>
      <c r="M9" s="1">
        <f>IF(ISNUMBER(Main_L[[#This Row],[EPS]]),IF(Main_L[[#This Row],[EPS]]&lt;&gt;0,Main_L[[#This Row],[Current Price]]/Main_L[[#This Row],[EPS]],""),"")</f>
        <v>43.642424242424248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-6.9316795571547449E-2</v>
      </c>
      <c r="P9" s="1">
        <f>(Main_L[[#This Row],[P/B]]-VLOOKUP(Main_L[[#This Row],[Industry]], Mean_PB_L, 2, FALSE))/(VLOOKUP(Main_L[[#This Row],[Industry]], Mean_PB_L, 3, FALSE))</f>
        <v>-6.0824177426511916E-2</v>
      </c>
      <c r="Q9" s="1">
        <f>(Main_L[[#This Row],[ROE]]-VLOOKUP(Main_L[[#This Row],[Industry]], Mean_ROE_L, 2, FALSE))/(VLOOKUP(Main_L[[#This Row],[Industry]], Mean_ROE_L, 3, FALSE))</f>
        <v>-0.43421970209360483</v>
      </c>
      <c r="R9" s="1">
        <f>(Main_L[[#This Row],[ROA]]-VLOOKUP(Main_L[[#This Row],[Industry]], Mean_ROA_L, 2, FALSE))/(VLOOKUP(Main_L[[#This Row],[Industry]], Mean_ROA_L, 3, FALSE))</f>
        <v>-0.54821651799866766</v>
      </c>
      <c r="S9" s="1">
        <f>(Main_L[[#This Row],[A/E]]-VLOOKUP(Main_L[[#This Row],[Industry]], Mean_AE_L, 2, FALSE))/(VLOOKUP(Main_L[[#This Row],[Industry]], Mean_AE_L, 3, FALSE))</f>
        <v>-1.2012099347634952</v>
      </c>
      <c r="T9" s="1">
        <f>(Main_L[[#This Row],[P/E]]-VLOOKUP(Main_L[[#This Row],[Industry]], Mean_PE_L, 2, FALSE))/(VLOOKUP(Main_L[[#This Row],[Industry]], Mean_PE_L, 3, FALSE))</f>
        <v>0.6627346192898973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s="68" t="s">
        <v>105</v>
      </c>
      <c r="B10" s="68" t="s">
        <v>114</v>
      </c>
      <c r="C10" s="2">
        <v>27956</v>
      </c>
      <c r="D10">
        <f>RTD("tos.rtd", , "LAST", Main_L[[#This Row],[Symbol]])</f>
        <v>68.58</v>
      </c>
      <c r="E10">
        <v>2.67</v>
      </c>
      <c r="F10">
        <v>54.56</v>
      </c>
      <c r="G10">
        <v>0.03</v>
      </c>
      <c r="H10" s="1">
        <f>IF(ISNUMBER(Main_L[[#This Row],[Free CF]]),IF(Main_L[[#This Row],[Free CF]]&lt;&gt;0,Main_L[[#This Row],[Current Price]]/Main_L[[#This Row],[Free CF]],""),"")</f>
        <v>25.685393258426966</v>
      </c>
      <c r="I10" s="1">
        <f>IF(ISNUMBER(Main_L[[#This Row],[BVPS]]),IF(Main_L[[#This Row],[BVPS]]&lt;&gt;0,Main_L[[#This Row],[Current Price]]/Main_L[[#This Row],[BVPS]],""),"")</f>
        <v>1.2569648093841641</v>
      </c>
      <c r="J10">
        <v>0.2</v>
      </c>
      <c r="K10">
        <v>3.36</v>
      </c>
      <c r="L10">
        <v>1.58</v>
      </c>
      <c r="M10" s="1">
        <f>IF(ISNUMBER(Main_L[[#This Row],[EPS]]),IF(Main_L[[#This Row],[EPS]]&lt;&gt;0,Main_L[[#This Row],[Current Price]]/Main_L[[#This Row],[EPS]],""),"")</f>
        <v>2286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4.6988615533479203E-2</v>
      </c>
      <c r="P10" s="1">
        <f>(Main_L[[#This Row],[P/B]]-VLOOKUP(Main_L[[#This Row],[Industry]], Mean_PB_L, 2, FALSE))/(VLOOKUP(Main_L[[#This Row],[Industry]], Mean_PB_L, 3, FALSE))</f>
        <v>-0.56807368935540015</v>
      </c>
      <c r="Q10" s="1">
        <f>(Main_L[[#This Row],[ROE]]-VLOOKUP(Main_L[[#This Row],[Industry]], Mean_ROE_L, 2, FALSE))/(VLOOKUP(Main_L[[#This Row],[Industry]], Mean_ROE_L, 3, FALSE))</f>
        <v>-0.90582655891609032</v>
      </c>
      <c r="R10" s="1">
        <f>(Main_L[[#This Row],[ROA]]-VLOOKUP(Main_L[[#This Row],[Industry]], Mean_ROA_L, 2, FALSE))/(VLOOKUP(Main_L[[#This Row],[Industry]], Mean_ROA_L, 3, FALSE))</f>
        <v>-0.44819439047501858</v>
      </c>
      <c r="S10" s="1">
        <f>(Main_L[[#This Row],[A/E]]-VLOOKUP(Main_L[[#This Row],[Industry]], Mean_AE_L, 2, FALSE))/(VLOOKUP(Main_L[[#This Row],[Industry]], Mean_AE_L, 3, FALSE))</f>
        <v>-1.4771990882649544</v>
      </c>
      <c r="T10" s="1">
        <f>(Main_L[[#This Row],[P/E]]-VLOOKUP(Main_L[[#This Row],[Industry]], Mean_PE_L, 2, FALSE))/(VLOOKUP(Main_L[[#This Row],[Industry]], Mean_PE_L, 3, FALSE))</f>
        <v>125.30168721286802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" spans="1:26" x14ac:dyDescent="0.25">
      <c r="A11" s="68" t="s">
        <v>105</v>
      </c>
      <c r="B11" s="68" t="s">
        <v>117</v>
      </c>
      <c r="C11" s="2">
        <v>19583</v>
      </c>
      <c r="D11">
        <f>RTD("tos.rtd", , "LAST", Main_L[[#This Row],[Symbol]])</f>
        <v>78.2</v>
      </c>
      <c r="E11">
        <v>2.2200000000000002</v>
      </c>
      <c r="F11">
        <v>51.53</v>
      </c>
      <c r="G11">
        <v>-3.26</v>
      </c>
      <c r="H11" s="1">
        <f>IF(ISNUMBER(Main_L[[#This Row],[Free CF]]),IF(Main_L[[#This Row],[Free CF]]&lt;&gt;0,Main_L[[#This Row],[Current Price]]/Main_L[[#This Row],[Free CF]],""),"")</f>
        <v>35.225225225225223</v>
      </c>
      <c r="I11" s="1">
        <f>IF(ISNUMBER(Main_L[[#This Row],[BVPS]]),IF(Main_L[[#This Row],[BVPS]]&lt;&gt;0,Main_L[[#This Row],[Current Price]]/Main_L[[#This Row],[BVPS]],""),"")</f>
        <v>1.5175625849019989</v>
      </c>
      <c r="J11">
        <v>-6.04</v>
      </c>
      <c r="K11">
        <v>1.68</v>
      </c>
      <c r="L11">
        <v>2.14</v>
      </c>
      <c r="M11" s="1">
        <f>IF(ISNUMBER(Main_L[[#This Row],[EPS]]),IF(Main_L[[#This Row],[EPS]]&lt;&gt;0,Main_L[[#This Row],[Current Price]]/Main_L[[#This Row],[EPS]],""),"")</f>
        <v>-23.987730061349694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0.58156028746419108</v>
      </c>
      <c r="P11" s="1">
        <f>(Main_L[[#This Row],[P/B]]-VLOOKUP(Main_L[[#This Row],[Industry]], Mean_PB_L, 2, FALSE))/(VLOOKUP(Main_L[[#This Row],[Industry]], Mean_PB_L, 3, FALSE))</f>
        <v>-0.39596796270684859</v>
      </c>
      <c r="Q11" s="1">
        <f>(Main_L[[#This Row],[ROE]]-VLOOKUP(Main_L[[#This Row],[Industry]], Mean_ROE_L, 2, FALSE))/(VLOOKUP(Main_L[[#This Row],[Industry]], Mean_ROE_L, 3, FALSE))</f>
        <v>-1.5656531926766977</v>
      </c>
      <c r="R11" s="1">
        <f>(Main_L[[#This Row],[ROA]]-VLOOKUP(Main_L[[#This Row],[Industry]], Mean_ROA_L, 2, FALSE))/(VLOOKUP(Main_L[[#This Row],[Industry]], Mean_ROA_L, 3, FALSE))</f>
        <v>-1.0483271556169138</v>
      </c>
      <c r="S11" s="1">
        <f>(Main_L[[#This Row],[A/E]]-VLOOKUP(Main_L[[#This Row],[Industry]], Mean_AE_L, 2, FALSE))/(VLOOKUP(Main_L[[#This Row],[Industry]], Mean_AE_L, 3, FALSE))</f>
        <v>-0.4468395818595064</v>
      </c>
      <c r="T11" s="1">
        <f>(Main_L[[#This Row],[P/E]]-VLOOKUP(Main_L[[#This Row],[Industry]], Mean_PE_L, 2, FALSE))/(VLOOKUP(Main_L[[#This Row],[Industry]], Mean_PE_L, 3, FALSE))</f>
        <v>-3.0964123103948631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" spans="1:26" x14ac:dyDescent="0.25">
      <c r="A12" s="68" t="s">
        <v>105</v>
      </c>
      <c r="B12" s="68" t="s">
        <v>112</v>
      </c>
      <c r="C12" s="2">
        <v>28776</v>
      </c>
      <c r="D12">
        <f>RTD("tos.rtd", , "LAST", Main_L[[#This Row],[Symbol]])</f>
        <v>60.46</v>
      </c>
      <c r="E12">
        <v>1.7</v>
      </c>
      <c r="F12">
        <v>49.24</v>
      </c>
      <c r="G12">
        <v>1.06</v>
      </c>
      <c r="H12" s="1">
        <f>IF(ISNUMBER(Main_L[[#This Row],[Free CF]]),IF(Main_L[[#This Row],[Free CF]]&lt;&gt;0,Main_L[[#This Row],[Current Price]]/Main_L[[#This Row],[Free CF]],""),"")</f>
        <v>35.564705882352939</v>
      </c>
      <c r="I12" s="1">
        <f>IF(ISNUMBER(Main_L[[#This Row],[BVPS]]),IF(Main_L[[#This Row],[BVPS]]&lt;&gt;0,Main_L[[#This Row],[Current Price]]/Main_L[[#This Row],[BVPS]],""),"")</f>
        <v>1.2278635255889521</v>
      </c>
      <c r="J12">
        <v>2.2599999999999998</v>
      </c>
      <c r="K12">
        <v>2.83</v>
      </c>
      <c r="L12">
        <v>2.21</v>
      </c>
      <c r="M12" s="1">
        <f>IF(ISNUMBER(Main_L[[#This Row],[EPS]]),IF(Main_L[[#This Row],[EPS]]&lt;&gt;0,Main_L[[#This Row],[Current Price]]/Main_L[[#This Row],[EPS]],""),"")</f>
        <v>57.037735849056602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0.60058334186394347</v>
      </c>
      <c r="P12" s="1">
        <f>(Main_L[[#This Row],[P/B]]-VLOOKUP(Main_L[[#This Row],[Industry]], Mean_PB_L, 2, FALSE))/(VLOOKUP(Main_L[[#This Row],[Industry]], Mean_PB_L, 3, FALSE))</f>
        <v>-0.58729295392520808</v>
      </c>
      <c r="Q12" s="1">
        <f>(Main_L[[#This Row],[ROE]]-VLOOKUP(Main_L[[#This Row],[Industry]], Mean_ROE_L, 2, FALSE))/(VLOOKUP(Main_L[[#This Row],[Industry]], Mean_ROE_L, 3, FALSE))</f>
        <v>-0.68799917661691545</v>
      </c>
      <c r="R12" s="1">
        <f>(Main_L[[#This Row],[ROA]]-VLOOKUP(Main_L[[#This Row],[Industry]], Mean_ROA_L, 2, FALSE))/(VLOOKUP(Main_L[[#This Row],[Industry]], Mean_ROA_L, 3, FALSE))</f>
        <v>-0.63752198900192592</v>
      </c>
      <c r="S12" s="1">
        <f>(Main_L[[#This Row],[A/E]]-VLOOKUP(Main_L[[#This Row],[Industry]], Mean_AE_L, 2, FALSE))/(VLOOKUP(Main_L[[#This Row],[Industry]], Mean_AE_L, 3, FALSE))</f>
        <v>-0.31804464355882567</v>
      </c>
      <c r="T12" s="1">
        <f>(Main_L[[#This Row],[P/E]]-VLOOKUP(Main_L[[#This Row],[Industry]], Mean_PE_L, 2, FALSE))/(VLOOKUP(Main_L[[#This Row],[Industry]], Mean_PE_L, 3, FALSE))</f>
        <v>1.407298120831882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s="68" t="s">
        <v>105</v>
      </c>
      <c r="B13" s="68" t="s">
        <v>111</v>
      </c>
      <c r="C13" s="2">
        <v>11465</v>
      </c>
      <c r="D13">
        <f>RTD("tos.rtd", , "LAST", Main_L[[#This Row],[Symbol]])</f>
        <v>34.590000000000003</v>
      </c>
      <c r="E13">
        <v>0.67</v>
      </c>
      <c r="F13">
        <v>37.11</v>
      </c>
      <c r="G13">
        <v>1.1499999999999999</v>
      </c>
      <c r="H13" s="1">
        <f>IF(ISNUMBER(Main_L[[#This Row],[Free CF]]),IF(Main_L[[#This Row],[Free CF]]&lt;&gt;0,Main_L[[#This Row],[Current Price]]/Main_L[[#This Row],[Free CF]],""),"")</f>
        <v>51.626865671641795</v>
      </c>
      <c r="I13" s="1">
        <f>IF(ISNUMBER(Main_L[[#This Row],[BVPS]]),IF(Main_L[[#This Row],[BVPS]]&lt;&gt;0,Main_L[[#This Row],[Current Price]]/Main_L[[#This Row],[BVPS]],""),"")</f>
        <v>0.93209377526273252</v>
      </c>
      <c r="J13">
        <v>3.28</v>
      </c>
      <c r="K13">
        <v>2.14</v>
      </c>
      <c r="L13">
        <v>1.97</v>
      </c>
      <c r="M13" s="1">
        <f>IF(ISNUMBER(Main_L[[#This Row],[EPS]]),IF(Main_L[[#This Row],[EPS]]&lt;&gt;0,Main_L[[#This Row],[Current Price]]/Main_L[[#This Row],[EPS]],""),"")</f>
        <v>30.078260869565224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1.5006385674970359</v>
      </c>
      <c r="P13" s="1">
        <f>(Main_L[[#This Row],[P/B]]-VLOOKUP(Main_L[[#This Row],[Industry]], Mean_PB_L, 2, FALSE))/(VLOOKUP(Main_L[[#This Row],[Industry]], Mean_PB_L, 3, FALSE))</f>
        <v>-0.78262719152337579</v>
      </c>
      <c r="Q13" s="1">
        <f>(Main_L[[#This Row],[ROE]]-VLOOKUP(Main_L[[#This Row],[Industry]], Mean_ROE_L, 2, FALSE))/(VLOOKUP(Main_L[[#This Row],[Industry]], Mean_ROE_L, 3, FALSE))</f>
        <v>-0.58014289994450852</v>
      </c>
      <c r="R13" s="1">
        <f>(Main_L[[#This Row],[ROA]]-VLOOKUP(Main_L[[#This Row],[Industry]], Mean_ROA_L, 2, FALSE))/(VLOOKUP(Main_L[[#This Row],[Industry]], Mean_ROA_L, 3, FALSE))</f>
        <v>-0.88400508897091856</v>
      </c>
      <c r="S13" s="1">
        <f>(Main_L[[#This Row],[A/E]]-VLOOKUP(Main_L[[#This Row],[Industry]], Mean_AE_L, 2, FALSE))/(VLOOKUP(Main_L[[#This Row],[Industry]], Mean_AE_L, 3, FALSE))</f>
        <v>-0.75962728916116051</v>
      </c>
      <c r="T13" s="1">
        <f>(Main_L[[#This Row],[P/E]]-VLOOKUP(Main_L[[#This Row],[Industry]], Mean_PE_L, 2, FALSE))/(VLOOKUP(Main_L[[#This Row],[Industry]], Mean_PE_L, 3, FALSE))</f>
        <v>-9.1214319933210816E-2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8" t="s">
        <v>105</v>
      </c>
      <c r="B14" s="68" t="s">
        <v>361</v>
      </c>
      <c r="C14" s="2">
        <v>18226</v>
      </c>
      <c r="D14">
        <f>RTD("tos.rtd", , "LAST", Main_L[[#This Row],[Symbol]])</f>
        <v>3.9750000000000001</v>
      </c>
      <c r="E14">
        <v>0.26</v>
      </c>
      <c r="F14">
        <v>4.22</v>
      </c>
      <c r="G14">
        <v>0.38</v>
      </c>
      <c r="H14" s="1">
        <f>IF(ISNUMBER(Main_L[[#This Row],[Free CF]]),IF(Main_L[[#This Row],[Free CF]]&lt;&gt;0,Main_L[[#This Row],[Current Price]]/Main_L[[#This Row],[Free CF]],""),"")</f>
        <v>15.288461538461538</v>
      </c>
      <c r="I14" s="1">
        <f>IF(ISNUMBER(Main_L[[#This Row],[BVPS]]),IF(Main_L[[#This Row],[BVPS]]&lt;&gt;0,Main_L[[#This Row],[Current Price]]/Main_L[[#This Row],[BVPS]],""),"")</f>
        <v>0.94194312796208535</v>
      </c>
      <c r="J14">
        <v>9.18</v>
      </c>
      <c r="K14">
        <v>3.6</v>
      </c>
      <c r="L14">
        <v>2.46</v>
      </c>
      <c r="M14" s="1">
        <f>IF(ISNUMBER(Main_L[[#This Row],[EPS]]),IF(Main_L[[#This Row],[EPS]]&lt;&gt;0,Main_L[[#This Row],[Current Price]]/Main_L[[#This Row],[EPS]],""),"")</f>
        <v>10.460526315789474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-0.53561128683741188</v>
      </c>
      <c r="P14" s="1">
        <f>(Main_L[[#This Row],[P/B]]-VLOOKUP(Main_L[[#This Row],[Industry]], Mean_PB_L, 2, FALSE))/(VLOOKUP(Main_L[[#This Row],[Industry]], Mean_PB_L, 3, FALSE))</f>
        <v>-0.77612241610857569</v>
      </c>
      <c r="Q14" s="1">
        <f>(Main_L[[#This Row],[ROE]]-VLOOKUP(Main_L[[#This Row],[Industry]], Mean_ROE_L, 2, FALSE))/(VLOOKUP(Main_L[[#This Row],[Industry]], Mean_ROE_L, 3, FALSE))</f>
        <v>4.3731641591963299E-2</v>
      </c>
      <c r="R14" s="1">
        <f>(Main_L[[#This Row],[ROA]]-VLOOKUP(Main_L[[#This Row],[Industry]], Mean_ROA_L, 2, FALSE))/(VLOOKUP(Main_L[[#This Row],[Industry]], Mean_ROA_L, 3, FALSE))</f>
        <v>-0.36246113831189058</v>
      </c>
      <c r="S14" s="1">
        <f>(Main_L[[#This Row],[A/E]]-VLOOKUP(Main_L[[#This Row],[Industry]], Mean_AE_L, 2, FALSE))/(VLOOKUP(Main_L[[#This Row],[Industry]], Mean_AE_L, 3, FALSE))</f>
        <v>0.14193727894360647</v>
      </c>
      <c r="T14" s="1">
        <f>(Main_L[[#This Row],[P/E]]-VLOOKUP(Main_L[[#This Row],[Industry]], Mean_PE_L, 2, FALSE))/(VLOOKUP(Main_L[[#This Row],[Industry]], Mean_PE_L, 3, FALSE))</f>
        <v>-1.1816442823424718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8" t="s">
        <v>105</v>
      </c>
      <c r="B15" s="68" t="s">
        <v>106</v>
      </c>
      <c r="C15" s="2">
        <v>19608</v>
      </c>
      <c r="D15">
        <f>RTD("tos.rtd", , "LAST", Main_L[[#This Row],[Symbol]])</f>
        <v>29.39</v>
      </c>
      <c r="E15">
        <v>-0.96</v>
      </c>
      <c r="F15">
        <v>23.75</v>
      </c>
      <c r="G15">
        <v>0.4</v>
      </c>
      <c r="H15" s="1">
        <f>IF(ISNUMBER(Main_L[[#This Row],[Free CF]]),IF(Main_L[[#This Row],[Free CF]]&lt;&gt;0,Main_L[[#This Row],[Current Price]]/Main_L[[#This Row],[Free CF]],""),"")</f>
        <v>-30.614583333333336</v>
      </c>
      <c r="I15" s="1">
        <f>IF(ISNUMBER(Main_L[[#This Row],[BVPS]]),IF(Main_L[[#This Row],[BVPS]]&lt;&gt;0,Main_L[[#This Row],[Current Price]]/Main_L[[#This Row],[BVPS]],""),"")</f>
        <v>1.2374736842105263</v>
      </c>
      <c r="J15">
        <v>2.06</v>
      </c>
      <c r="K15">
        <v>1.83</v>
      </c>
      <c r="L15">
        <v>3.42</v>
      </c>
      <c r="M15" s="1">
        <f>IF(ISNUMBER(Main_L[[#This Row],[EPS]]),IF(Main_L[[#This Row],[EPS]]&lt;&gt;0,Main_L[[#This Row],[Current Price]]/Main_L[[#This Row],[EPS]],""),"")</f>
        <v>73.474999999999994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-3.1078229913231707</v>
      </c>
      <c r="P15" s="1">
        <f>(Main_L[[#This Row],[P/B]]-VLOOKUP(Main_L[[#This Row],[Industry]], Mean_PB_L, 2, FALSE))/(VLOOKUP(Main_L[[#This Row],[Industry]], Mean_PB_L, 3, FALSE))</f>
        <v>-0.58094614866377692</v>
      </c>
      <c r="Q15" s="1">
        <f>(Main_L[[#This Row],[ROE]]-VLOOKUP(Main_L[[#This Row],[Industry]], Mean_ROE_L, 2, FALSE))/(VLOOKUP(Main_L[[#This Row],[Industry]], Mean_ROE_L, 3, FALSE))</f>
        <v>-0.70914746616052449</v>
      </c>
      <c r="R15" s="1">
        <f>(Main_L[[#This Row],[ROA]]-VLOOKUP(Main_L[[#This Row],[Industry]], Mean_ROA_L, 2, FALSE))/(VLOOKUP(Main_L[[#This Row],[Industry]], Mean_ROA_L, 3, FALSE))</f>
        <v>-0.99474387301495881</v>
      </c>
      <c r="S15" s="1">
        <f>(Main_L[[#This Row],[A/E]]-VLOOKUP(Main_L[[#This Row],[Industry]], Mean_AE_L, 2, FALSE))/(VLOOKUP(Main_L[[#This Row],[Industry]], Mean_AE_L, 3, FALSE))</f>
        <v>1.9082678613529458</v>
      </c>
      <c r="T15" s="1">
        <f>(Main_L[[#This Row],[P/E]]-VLOOKUP(Main_L[[#This Row],[Industry]], Mean_PE_L, 2, FALSE))/(VLOOKUP(Main_L[[#This Row],[Industry]], Mean_PE_L, 3, FALSE))</f>
        <v>2.32094517223286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8" t="s">
        <v>105</v>
      </c>
      <c r="B16" s="68" t="s">
        <v>113</v>
      </c>
      <c r="C16" s="2">
        <v>62070</v>
      </c>
      <c r="D16">
        <f>RTD("tos.rtd", , "LAST", Main_L[[#This Row],[Symbol]])</f>
        <v>279.92</v>
      </c>
      <c r="E16">
        <v>-19.46</v>
      </c>
      <c r="F16">
        <v>66.069999999999993</v>
      </c>
      <c r="G16">
        <v>6.94</v>
      </c>
      <c r="H16" s="1">
        <f>IF(ISNUMBER(Main_L[[#This Row],[Free CF]]),IF(Main_L[[#This Row],[Free CF]]&lt;&gt;0,Main_L[[#This Row],[Current Price]]/Main_L[[#This Row],[Free CF]],""),"")</f>
        <v>-14.384378211716342</v>
      </c>
      <c r="I16" s="1">
        <f>IF(ISNUMBER(Main_L[[#This Row],[BVPS]]),IF(Main_L[[#This Row],[BVPS]]&lt;&gt;0,Main_L[[#This Row],[Current Price]]/Main_L[[#This Row],[BVPS]],""),"")</f>
        <v>4.2367186317542007</v>
      </c>
      <c r="J16">
        <v>9.58</v>
      </c>
      <c r="K16">
        <v>4.7</v>
      </c>
      <c r="L16">
        <v>2.64</v>
      </c>
      <c r="M16" s="1">
        <f>IF(ISNUMBER(Main_L[[#This Row],[EPS]]),IF(Main_L[[#This Row],[EPS]]&lt;&gt;0,Main_L[[#This Row],[Current Price]]/Main_L[[#This Row],[EPS]],""),"")</f>
        <v>40.334293948126799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-2.1983512188813452</v>
      </c>
      <c r="P16" s="1">
        <f>(Main_L[[#This Row],[P/B]]-VLOOKUP(Main_L[[#This Row],[Industry]], Mean_PB_L, 2, FALSE))/(VLOOKUP(Main_L[[#This Row],[Industry]], Mean_PB_L, 3, FALSE))</f>
        <v>1.3998352684771926</v>
      </c>
      <c r="Q16" s="1">
        <f>(Main_L[[#This Row],[ROE]]-VLOOKUP(Main_L[[#This Row],[Industry]], Mean_ROE_L, 2, FALSE))/(VLOOKUP(Main_L[[#This Row],[Industry]], Mean_ROE_L, 3, FALSE))</f>
        <v>8.6028220679181755E-2</v>
      </c>
      <c r="R16" s="1">
        <f>(Main_L[[#This Row],[ROA]]-VLOOKUP(Main_L[[#This Row],[Industry]], Mean_ROA_L, 2, FALSE))/(VLOOKUP(Main_L[[#This Row],[Industry]], Mean_ROA_L, 3, FALSE))</f>
        <v>3.0482934102445604E-2</v>
      </c>
      <c r="S16" s="1">
        <f>(Main_L[[#This Row],[A/E]]-VLOOKUP(Main_L[[#This Row],[Industry]], Mean_AE_L, 2, FALSE))/(VLOOKUP(Main_L[[#This Row],[Industry]], Mean_AE_L, 3, FALSE))</f>
        <v>0.47312426314535788</v>
      </c>
      <c r="T16" s="1">
        <f>(Main_L[[#This Row],[P/E]]-VLOOKUP(Main_L[[#This Row],[Industry]], Mean_PE_L, 2, FALSE))/(VLOOKUP(Main_L[[#This Row],[Industry]], Mean_PE_L, 3, FALSE))</f>
        <v>0.47885587515828071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8" t="s">
        <v>121</v>
      </c>
      <c r="B17" s="68" t="s">
        <v>123</v>
      </c>
      <c r="C17" s="2">
        <v>33009</v>
      </c>
      <c r="D17">
        <f>RTD("tos.rtd", , "LAST", Main_L[[#This Row],[Symbol]])</f>
        <v>554.48</v>
      </c>
      <c r="E17">
        <v>10.09</v>
      </c>
      <c r="F17">
        <v>150.65</v>
      </c>
      <c r="G17">
        <v>17.38</v>
      </c>
      <c r="H17" s="1">
        <f>IF(ISNUMBER(Main_L[[#This Row],[Free CF]]),IF(Main_L[[#This Row],[Free CF]]&lt;&gt;0,Main_L[[#This Row],[Current Price]]/Main_L[[#This Row],[Free CF]],""),"")</f>
        <v>54.953419226957386</v>
      </c>
      <c r="I17" s="1">
        <f>IF(ISNUMBER(Main_L[[#This Row],[BVPS]]),IF(Main_L[[#This Row],[BVPS]]&lt;&gt;0,Main_L[[#This Row],[Current Price]]/Main_L[[#This Row],[BVPS]],""),"")</f>
        <v>3.6805841354132096</v>
      </c>
      <c r="J17">
        <v>11.87</v>
      </c>
      <c r="K17">
        <v>5.79</v>
      </c>
      <c r="L17">
        <v>1.95</v>
      </c>
      <c r="M17" s="1">
        <f>IF(ISNUMBER(Main_L[[#This Row],[EPS]]),IF(Main_L[[#This Row],[EPS]]&lt;&gt;0,Main_L[[#This Row],[Current Price]]/Main_L[[#This Row],[EPS]],""),"")</f>
        <v>31.903337169159958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1.5458933684113638</v>
      </c>
      <c r="P17" s="1">
        <f>(Main_L[[#This Row],[P/B]]-VLOOKUP(Main_L[[#This Row],[Industry]], Mean_PB_L, 2, FALSE))/(VLOOKUP(Main_L[[#This Row],[Industry]], Mean_PB_L, 3, FALSE))</f>
        <v>-0.46417671580827008</v>
      </c>
      <c r="Q17" s="1">
        <f>(Main_L[[#This Row],[ROE]]-VLOOKUP(Main_L[[#This Row],[Industry]], Mean_ROE_L, 2, FALSE))/(VLOOKUP(Main_L[[#This Row],[Industry]], Mean_ROE_L, 3, FALSE))</f>
        <v>-0.86712581142746348</v>
      </c>
      <c r="R17" s="1">
        <f>(Main_L[[#This Row],[ROA]]-VLOOKUP(Main_L[[#This Row],[Industry]], Mean_ROA_L, 2, FALSE))/(VLOOKUP(Main_L[[#This Row],[Industry]], Mean_ROA_L, 3, FALSE))</f>
        <v>-1.1565845346365666</v>
      </c>
      <c r="S17" s="1">
        <f>(Main_L[[#This Row],[A/E]]-VLOOKUP(Main_L[[#This Row],[Industry]], Mean_AE_L, 2, FALSE))/(VLOOKUP(Main_L[[#This Row],[Industry]], Mean_AE_L, 3, FALSE))</f>
        <v>-1.2092920083604375</v>
      </c>
      <c r="T17" s="1">
        <f>(Main_L[[#This Row],[P/E]]-VLOOKUP(Main_L[[#This Row],[Industry]], Mean_PE_L, 2, FALSE))/(VLOOKUP(Main_L[[#This Row],[Industry]], Mean_PE_L, 3, FALSE))</f>
        <v>0.42923784072729287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8" t="s">
        <v>121</v>
      </c>
      <c r="B18" s="68" t="s">
        <v>124</v>
      </c>
      <c r="C18" s="2">
        <v>35017</v>
      </c>
      <c r="D18">
        <f>RTD("tos.rtd", , "LAST", Main_L[[#This Row],[Symbol]])</f>
        <v>266</v>
      </c>
      <c r="E18">
        <v>6.57</v>
      </c>
      <c r="F18">
        <v>61.58</v>
      </c>
      <c r="G18">
        <v>7.11</v>
      </c>
      <c r="H18" s="1">
        <f>IF(ISNUMBER(Main_L[[#This Row],[Free CF]]),IF(Main_L[[#This Row],[Free CF]]&lt;&gt;0,Main_L[[#This Row],[Current Price]]/Main_L[[#This Row],[Free CF]],""),"")</f>
        <v>40.48706240487062</v>
      </c>
      <c r="I18" s="1">
        <f>IF(ISNUMBER(Main_L[[#This Row],[BVPS]]),IF(Main_L[[#This Row],[BVPS]]&lt;&gt;0,Main_L[[#This Row],[Current Price]]/Main_L[[#This Row],[BVPS]],""),"")</f>
        <v>4.319584280610588</v>
      </c>
      <c r="J18">
        <v>12.08</v>
      </c>
      <c r="K18">
        <v>5.98</v>
      </c>
      <c r="L18">
        <v>2.0499999999999998</v>
      </c>
      <c r="M18" s="1">
        <f>IF(ISNUMBER(Main_L[[#This Row],[EPS]]),IF(Main_L[[#This Row],[EPS]]&lt;&gt;0,Main_L[[#This Row],[Current Price]]/Main_L[[#This Row],[EPS]],""),"")</f>
        <v>37.412095639943736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0.16265343904603155</v>
      </c>
      <c r="P18" s="1">
        <f>(Main_L[[#This Row],[P/B]]-VLOOKUP(Main_L[[#This Row],[Industry]], Mean_PB_L, 2, FALSE))/(VLOOKUP(Main_L[[#This Row],[Industry]], Mean_PB_L, 3, FALSE))</f>
        <v>0.26851760027731364</v>
      </c>
      <c r="Q18" s="1">
        <f>(Main_L[[#This Row],[ROE]]-VLOOKUP(Main_L[[#This Row],[Industry]], Mean_ROE_L, 2, FALSE))/(VLOOKUP(Main_L[[#This Row],[Industry]], Mean_ROE_L, 3, FALSE))</f>
        <v>-0.81074921068450123</v>
      </c>
      <c r="R18" s="1">
        <f>(Main_L[[#This Row],[ROA]]-VLOOKUP(Main_L[[#This Row],[Industry]], Mean_ROA_L, 2, FALSE))/(VLOOKUP(Main_L[[#This Row],[Industry]], Mean_ROA_L, 3, FALSE))</f>
        <v>-0.1265014334758704</v>
      </c>
      <c r="S18" s="1">
        <f>(Main_L[[#This Row],[A/E]]-VLOOKUP(Main_L[[#This Row],[Industry]], Mean_AE_L, 2, FALSE))/(VLOOKUP(Main_L[[#This Row],[Industry]], Mean_AE_L, 3, FALSE))</f>
        <v>-0.76140607933805349</v>
      </c>
      <c r="T18" s="1">
        <f>(Main_L[[#This Row],[P/E]]-VLOOKUP(Main_L[[#This Row],[Industry]], Mean_PE_L, 2, FALSE))/(VLOOKUP(Main_L[[#This Row],[Industry]], Mean_PE_L, 3, FALSE))</f>
        <v>1.2775214185965433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8" t="s">
        <v>121</v>
      </c>
      <c r="B19" s="68" t="s">
        <v>122</v>
      </c>
      <c r="C19" s="2">
        <v>61500</v>
      </c>
      <c r="D19">
        <f>RTD("tos.rtd", , "LAST", Main_L[[#This Row],[Symbol]])</f>
        <v>93.18</v>
      </c>
      <c r="E19">
        <v>3.42</v>
      </c>
      <c r="F19">
        <v>31.21</v>
      </c>
      <c r="G19">
        <v>4.74</v>
      </c>
      <c r="H19" s="1">
        <f>IF(ISNUMBER(Main_L[[#This Row],[Free CF]]),IF(Main_L[[#This Row],[Free CF]]&lt;&gt;0,Main_L[[#This Row],[Current Price]]/Main_L[[#This Row],[Free CF]],""),"")</f>
        <v>27.245614035087723</v>
      </c>
      <c r="I19" s="1">
        <f>IF(ISNUMBER(Main_L[[#This Row],[BVPS]]),IF(Main_L[[#This Row],[BVPS]]&lt;&gt;0,Main_L[[#This Row],[Current Price]]/Main_L[[#This Row],[BVPS]],""),"")</f>
        <v>2.9855815443768026</v>
      </c>
      <c r="J19">
        <v>15.36</v>
      </c>
      <c r="K19">
        <v>6.24</v>
      </c>
      <c r="L19">
        <v>2.46</v>
      </c>
      <c r="M19" s="1">
        <f>IF(ISNUMBER(Main_L[[#This Row],[EPS]]),IF(Main_L[[#This Row],[EPS]]&lt;&gt;0,Main_L[[#This Row],[Current Price]]/Main_L[[#This Row],[EPS]],""),"")</f>
        <v>19.658227848101266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-1.1034635476267125</v>
      </c>
      <c r="P19" s="1">
        <f>(Main_L[[#This Row],[P/B]]-VLOOKUP(Main_L[[#This Row],[Industry]], Mean_PB_L, 2, FALSE))/(VLOOKUP(Main_L[[#This Row],[Industry]], Mean_PB_L, 3, FALSE))</f>
        <v>-1.2610849042404284</v>
      </c>
      <c r="Q19" s="1">
        <f>(Main_L[[#This Row],[ROE]]-VLOOKUP(Main_L[[#This Row],[Industry]], Mean_ROE_L, 2, FALSE))/(VLOOKUP(Main_L[[#This Row],[Industry]], Mean_ROE_L, 3, FALSE))</f>
        <v>6.9799600919857152E-2</v>
      </c>
      <c r="R19" s="1">
        <f>(Main_L[[#This Row],[ROA]]-VLOOKUP(Main_L[[#This Row],[Industry]], Mean_ROA_L, 2, FALSE))/(VLOOKUP(Main_L[[#This Row],[Industry]], Mean_ROA_L, 3, FALSE))</f>
        <v>1.2830859681124467</v>
      </c>
      <c r="S19" s="1">
        <f>(Main_L[[#This Row],[A/E]]-VLOOKUP(Main_L[[#This Row],[Industry]], Mean_AE_L, 2, FALSE))/(VLOOKUP(Main_L[[#This Row],[Industry]], Mean_AE_L, 3, FALSE))</f>
        <v>1.0749262296537239</v>
      </c>
      <c r="T19" s="1">
        <f>(Main_L[[#This Row],[P/E]]-VLOOKUP(Main_L[[#This Row],[Industry]], Mean_PE_L, 2, FALSE))/(VLOOKUP(Main_L[[#This Row],[Industry]], Mean_PE_L, 3, FALSE))</f>
        <v>-1.4563640061058796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8" t="s">
        <v>121</v>
      </c>
      <c r="B20" s="68" t="s">
        <v>180</v>
      </c>
      <c r="C20" s="2">
        <v>10016</v>
      </c>
      <c r="D20">
        <f>RTD("tos.rtd", , "LAST", Main_L[[#This Row],[Symbol]])</f>
        <v>26.94</v>
      </c>
      <c r="E20">
        <v>0.83</v>
      </c>
      <c r="F20">
        <v>5.03</v>
      </c>
      <c r="G20">
        <v>0.98</v>
      </c>
      <c r="H20" s="1">
        <f>IF(ISNUMBER(Main_L[[#This Row],[Free CF]]),IF(Main_L[[#This Row],[Free CF]]&lt;&gt;0,Main_L[[#This Row],[Current Price]]/Main_L[[#This Row],[Free CF]],""),"")</f>
        <v>32.457831325301207</v>
      </c>
      <c r="I20" s="1">
        <f>IF(ISNUMBER(Main_L[[#This Row],[BVPS]]),IF(Main_L[[#This Row],[BVPS]]&lt;&gt;0,Main_L[[#This Row],[Current Price]]/Main_L[[#This Row],[BVPS]],""),"")</f>
        <v>5.355864811133201</v>
      </c>
      <c r="J20">
        <v>21.09</v>
      </c>
      <c r="K20">
        <v>10.6</v>
      </c>
      <c r="L20">
        <v>2.42</v>
      </c>
      <c r="M20" s="1">
        <f>IF(ISNUMBER(Main_L[[#This Row],[EPS]]),IF(Main_L[[#This Row],[EPS]]&lt;&gt;0,Main_L[[#This Row],[Current Price]]/Main_L[[#This Row],[EPS]],""),"")</f>
        <v>27.489795918367349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-0.60508325983068256</v>
      </c>
      <c r="P20" s="1">
        <f>(Main_L[[#This Row],[P/B]]-VLOOKUP(Main_L[[#This Row],[Industry]], Mean_PB_L, 2, FALSE))/(VLOOKUP(Main_L[[#This Row],[Industry]], Mean_PB_L, 3, FALSE))</f>
        <v>1.4567440197713837</v>
      </c>
      <c r="Q20" s="1">
        <f>(Main_L[[#This Row],[ROE]]-VLOOKUP(Main_L[[#This Row],[Industry]], Mean_ROE_L, 2, FALSE))/(VLOOKUP(Main_L[[#This Row],[Industry]], Mean_ROE_L, 3, FALSE))</f>
        <v>1.6080754211921056</v>
      </c>
      <c r="R20" s="1">
        <f>(Main_L[[#This Row],[ROA]]-VLOOKUP(Main_L[[#This Row],[Industry]], Mean_ROA_L, 2, FALSE))/(VLOOKUP(Main_L[[#This Row],[Industry]], Mean_ROA_L, 3, FALSE))</f>
        <v>24.920782394747317</v>
      </c>
      <c r="S20" s="1">
        <f>(Main_L[[#This Row],[A/E]]-VLOOKUP(Main_L[[#This Row],[Industry]], Mean_AE_L, 2, FALSE))/(VLOOKUP(Main_L[[#This Row],[Industry]], Mean_AE_L, 3, FALSE))</f>
        <v>0.89577185804476989</v>
      </c>
      <c r="T20" s="1">
        <f>(Main_L[[#This Row],[P/E]]-VLOOKUP(Main_L[[#This Row],[Industry]], Mean_PE_L, 2, FALSE))/(VLOOKUP(Main_L[[#This Row],[Industry]], Mean_PE_L, 3, FALSE))</f>
        <v>-0.25039525321795664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s="68" t="s">
        <v>125</v>
      </c>
      <c r="B21" s="68" t="s">
        <v>127</v>
      </c>
      <c r="C21" s="2">
        <v>11465</v>
      </c>
      <c r="D21">
        <f>RTD("tos.rtd", , "LAST", Main_L[[#This Row],[Symbol]])</f>
        <v>100.65</v>
      </c>
      <c r="E21">
        <v>8.15</v>
      </c>
      <c r="F21">
        <v>23.41</v>
      </c>
      <c r="G21">
        <v>4.63</v>
      </c>
      <c r="H21" s="1">
        <f>IF(ISNUMBER(Main_L[[#This Row],[Free CF]]),IF(Main_L[[#This Row],[Free CF]]&lt;&gt;0,Main_L[[#This Row],[Current Price]]/Main_L[[#This Row],[Free CF]],""),"")</f>
        <v>12.349693251533742</v>
      </c>
      <c r="I21" s="1">
        <f>IF(ISNUMBER(Main_L[[#This Row],[BVPS]]),IF(Main_L[[#This Row],[BVPS]]&lt;&gt;0,Main_L[[#This Row],[Current Price]]/Main_L[[#This Row],[BVPS]],""),"")</f>
        <v>4.2994446817599314</v>
      </c>
      <c r="J21">
        <v>22.74</v>
      </c>
      <c r="K21">
        <v>6.8</v>
      </c>
      <c r="L21">
        <v>5.14</v>
      </c>
      <c r="M21" s="1">
        <f>IF(ISNUMBER(Main_L[[#This Row],[EPS]]),IF(Main_L[[#This Row],[EPS]]&lt;&gt;0,Main_L[[#This Row],[Current Price]]/Main_L[[#This Row],[EPS]],""),"")</f>
        <v>21.738660907127432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-1.6292046162675873</v>
      </c>
      <c r="P21" s="1">
        <f>(Main_L[[#This Row],[P/B]]-VLOOKUP(Main_L[[#This Row],[Industry]], Mean_PB_L, 2, FALSE))/(VLOOKUP(Main_L[[#This Row],[Industry]], Mean_PB_L, 3, FALSE))</f>
        <v>1.2457403400172993</v>
      </c>
      <c r="Q21" s="1">
        <f>(Main_L[[#This Row],[ROE]]-VLOOKUP(Main_L[[#This Row],[Industry]], Mean_ROE_L, 2, FALSE))/(VLOOKUP(Main_L[[#This Row],[Industry]], Mean_ROE_L, 3, FALSE))</f>
        <v>0.77293383954020956</v>
      </c>
      <c r="R21" s="1">
        <f>(Main_L[[#This Row],[ROA]]-VLOOKUP(Main_L[[#This Row],[Industry]], Mean_ROA_L, 2, FALSE))/(VLOOKUP(Main_L[[#This Row],[Industry]], Mean_ROA_L, 3, FALSE))</f>
        <v>0.42432462036276652</v>
      </c>
      <c r="S21" s="1">
        <f>(Main_L[[#This Row],[A/E]]-VLOOKUP(Main_L[[#This Row],[Industry]], Mean_AE_L, 2, FALSE))/(VLOOKUP(Main_L[[#This Row],[Industry]], Mean_AE_L, 3, FALSE))</f>
        <v>1.7640082554917986</v>
      </c>
      <c r="T21" s="1">
        <f>(Main_L[[#This Row],[P/E]]-VLOOKUP(Main_L[[#This Row],[Industry]], Mean_PE_L, 2, FALSE))/(VLOOKUP(Main_L[[#This Row],[Industry]], Mean_PE_L, 3, FALSE))</f>
        <v>-0.511506383404426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s="68" t="s">
        <v>125</v>
      </c>
      <c r="B22" s="68" t="s">
        <v>129</v>
      </c>
      <c r="C22" s="2">
        <v>13894</v>
      </c>
      <c r="D22">
        <f>RTD("tos.rtd", , "LAST", Main_L[[#This Row],[Symbol]])</f>
        <v>179.64</v>
      </c>
      <c r="E22">
        <v>7.18</v>
      </c>
      <c r="F22">
        <v>27.63</v>
      </c>
      <c r="G22">
        <v>8.69</v>
      </c>
      <c r="H22" s="1">
        <f>IF(ISNUMBER(Main_L[[#This Row],[Free CF]]),IF(Main_L[[#This Row],[Free CF]]&lt;&gt;0,Main_L[[#This Row],[Current Price]]/Main_L[[#This Row],[Free CF]],""),"")</f>
        <v>25.01949860724234</v>
      </c>
      <c r="I22" s="1">
        <f>IF(ISNUMBER(Main_L[[#This Row],[BVPS]]),IF(Main_L[[#This Row],[BVPS]]&lt;&gt;0,Main_L[[#This Row],[Current Price]]/Main_L[[#This Row],[BVPS]],""),"")</f>
        <v>6.5016286644951133</v>
      </c>
      <c r="J22">
        <v>31.95</v>
      </c>
      <c r="K22">
        <v>8.65</v>
      </c>
      <c r="L22">
        <v>3.85</v>
      </c>
      <c r="M22" s="1">
        <f>IF(ISNUMBER(Main_L[[#This Row],[EPS]]),IF(Main_L[[#This Row],[EPS]]&lt;&gt;0,Main_L[[#This Row],[Current Price]]/Main_L[[#This Row],[EPS]],""),"")</f>
        <v>20.672036823935557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0.26012280347803973</v>
      </c>
      <c r="P22" s="1">
        <f>(Main_L[[#This Row],[P/B]]-VLOOKUP(Main_L[[#This Row],[Industry]], Mean_PB_L, 2, FALSE))/(VLOOKUP(Main_L[[#This Row],[Industry]], Mean_PB_L, 3, FALSE))</f>
        <v>3.2899235990343416</v>
      </c>
      <c r="Q22" s="1">
        <f>(Main_L[[#This Row],[ROE]]-VLOOKUP(Main_L[[#This Row],[Industry]], Mean_ROE_L, 2, FALSE))/(VLOOKUP(Main_L[[#This Row],[Industry]], Mean_ROE_L, 3, FALSE))</f>
        <v>1.8101442322792087</v>
      </c>
      <c r="R22" s="1">
        <f>(Main_L[[#This Row],[ROA]]-VLOOKUP(Main_L[[#This Row],[Industry]], Mean_ROA_L, 2, FALSE))/(VLOOKUP(Main_L[[#This Row],[Industry]], Mean_ROA_L, 3, FALSE))</f>
        <v>1.2345316076380028</v>
      </c>
      <c r="S22" s="1">
        <f>(Main_L[[#This Row],[A/E]]-VLOOKUP(Main_L[[#This Row],[Industry]], Mean_AE_L, 2, FALSE))/(VLOOKUP(Main_L[[#This Row],[Industry]], Mean_AE_L, 3, FALSE))</f>
        <v>0.67982954473161972</v>
      </c>
      <c r="T22" s="1">
        <f>(Main_L[[#This Row],[P/E]]-VLOOKUP(Main_L[[#This Row],[Industry]], Mean_PE_L, 2, FALSE))/(VLOOKUP(Main_L[[#This Row],[Industry]], Mean_PE_L, 3, FALSE))</f>
        <v>-0.6227232446243901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8" t="s">
        <v>125</v>
      </c>
      <c r="B23" s="68" t="s">
        <v>131</v>
      </c>
      <c r="C23" s="2">
        <v>17381</v>
      </c>
      <c r="D23">
        <f>RTD("tos.rtd", , "LAST", Main_L[[#This Row],[Symbol]])</f>
        <v>196.59</v>
      </c>
      <c r="E23">
        <v>5.93</v>
      </c>
      <c r="F23">
        <v>50.39</v>
      </c>
      <c r="G23">
        <v>9.56</v>
      </c>
      <c r="H23" s="1">
        <f>IF(ISNUMBER(Main_L[[#This Row],[Free CF]]),IF(Main_L[[#This Row],[Free CF]]&lt;&gt;0,Main_L[[#This Row],[Current Price]]/Main_L[[#This Row],[Free CF]],""),"")</f>
        <v>33.151770657672849</v>
      </c>
      <c r="I23" s="1">
        <f>IF(ISNUMBER(Main_L[[#This Row],[BVPS]]),IF(Main_L[[#This Row],[BVPS]]&lt;&gt;0,Main_L[[#This Row],[Current Price]]/Main_L[[#This Row],[BVPS]],""),"")</f>
        <v>3.9013693193093868</v>
      </c>
      <c r="J23">
        <v>20.21</v>
      </c>
      <c r="K23">
        <v>8.68</v>
      </c>
      <c r="L23">
        <v>1.99</v>
      </c>
      <c r="M23" s="1">
        <f>IF(ISNUMBER(Main_L[[#This Row],[EPS]]),IF(Main_L[[#This Row],[EPS]]&lt;&gt;0,Main_L[[#This Row],[Current Price]]/Main_L[[#This Row],[EPS]],""),"")</f>
        <v>20.563807531380753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1.4728110917623267</v>
      </c>
      <c r="P23" s="1">
        <f>(Main_L[[#This Row],[P/B]]-VLOOKUP(Main_L[[#This Row],[Industry]], Mean_PB_L, 2, FALSE))/(VLOOKUP(Main_L[[#This Row],[Industry]], Mean_PB_L, 3, FALSE))</f>
        <v>0.8762258043889658</v>
      </c>
      <c r="Q23" s="1">
        <f>(Main_L[[#This Row],[ROE]]-VLOOKUP(Main_L[[#This Row],[Industry]], Mean_ROE_L, 2, FALSE))/(VLOOKUP(Main_L[[#This Row],[Industry]], Mean_ROE_L, 3, FALSE))</f>
        <v>0.48801068062276493</v>
      </c>
      <c r="R23" s="1">
        <f>(Main_L[[#This Row],[ROA]]-VLOOKUP(Main_L[[#This Row],[Industry]], Mean_ROA_L, 2, FALSE))/(VLOOKUP(Main_L[[#This Row],[Industry]], Mean_ROA_L, 3, FALSE))</f>
        <v>1.247670099323547</v>
      </c>
      <c r="S23" s="1">
        <f>(Main_L[[#This Row],[A/E]]-VLOOKUP(Main_L[[#This Row],[Industry]], Mean_AE_L, 2, FALSE))/(VLOOKUP(Main_L[[#This Row],[Industry]], Mean_AE_L, 3, FALSE))</f>
        <v>-0.88340487543422042</v>
      </c>
      <c r="T23" s="1">
        <f>(Main_L[[#This Row],[P/E]]-VLOOKUP(Main_L[[#This Row],[Industry]], Mean_PE_L, 2, FALSE))/(VLOOKUP(Main_L[[#This Row],[Industry]], Mean_PE_L, 3, FALSE))</f>
        <v>-0.63400830971872202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8" t="s">
        <v>125</v>
      </c>
      <c r="B24" s="68" t="s">
        <v>184</v>
      </c>
      <c r="C24" s="2">
        <v>10461</v>
      </c>
      <c r="D24">
        <f>RTD("tos.rtd", , "LAST", Main_L[[#This Row],[Symbol]])</f>
        <v>151.6</v>
      </c>
      <c r="E24">
        <v>5.36</v>
      </c>
      <c r="F24">
        <v>38.39</v>
      </c>
      <c r="G24">
        <v>5.47</v>
      </c>
      <c r="H24" s="1">
        <f>IF(ISNUMBER(Main_L[[#This Row],[Free CF]]),IF(Main_L[[#This Row],[Free CF]]&lt;&gt;0,Main_L[[#This Row],[Current Price]]/Main_L[[#This Row],[Free CF]],""),"")</f>
        <v>28.283582089552237</v>
      </c>
      <c r="I24" s="1">
        <f>IF(ISNUMBER(Main_L[[#This Row],[BVPS]]),IF(Main_L[[#This Row],[BVPS]]&lt;&gt;0,Main_L[[#This Row],[Current Price]]/Main_L[[#This Row],[BVPS]],""),"")</f>
        <v>3.9489450377702524</v>
      </c>
      <c r="J24">
        <v>15.05</v>
      </c>
      <c r="K24">
        <v>7.13</v>
      </c>
      <c r="L24">
        <v>1.78</v>
      </c>
      <c r="M24" s="1">
        <f>IF(ISNUMBER(Main_L[[#This Row],[EPS]]),IF(Main_L[[#This Row],[EPS]]&lt;&gt;0,Main_L[[#This Row],[Current Price]]/Main_L[[#This Row],[EPS]],""),"")</f>
        <v>27.714808043875685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0.74686448974145692</v>
      </c>
      <c r="P24" s="1">
        <f>(Main_L[[#This Row],[P/B]]-VLOOKUP(Main_L[[#This Row],[Industry]], Mean_PB_L, 2, FALSE))/(VLOOKUP(Main_L[[#This Row],[Industry]], Mean_PB_L, 3, FALSE))</f>
        <v>0.92038809417758638</v>
      </c>
      <c r="Q24" s="1">
        <f>(Main_L[[#This Row],[ROE]]-VLOOKUP(Main_L[[#This Row],[Industry]], Mean_ROE_L, 2, FALSE))/(VLOOKUP(Main_L[[#This Row],[Industry]], Mean_ROE_L, 3, FALSE))</f>
        <v>-9.3097422149573311E-2</v>
      </c>
      <c r="R24" s="1">
        <f>(Main_L[[#This Row],[ROA]]-VLOOKUP(Main_L[[#This Row],[Industry]], Mean_ROA_L, 2, FALSE))/(VLOOKUP(Main_L[[#This Row],[Industry]], Mean_ROA_L, 3, FALSE))</f>
        <v>0.56884802890375463</v>
      </c>
      <c r="S24" s="1">
        <f>(Main_L[[#This Row],[A/E]]-VLOOKUP(Main_L[[#This Row],[Industry]], Mean_AE_L, 2, FALSE))/(VLOOKUP(Main_L[[#This Row],[Industry]], Mean_AE_L, 3, FALSE))</f>
        <v>-1.0598990841626217</v>
      </c>
      <c r="T24" s="1">
        <f>(Main_L[[#This Row],[P/E]]-VLOOKUP(Main_L[[#This Row],[Industry]], Mean_PE_L, 2, FALSE))/(VLOOKUP(Main_L[[#This Row],[Industry]], Mean_PE_L, 3, FALSE))</f>
        <v>0.11162629961999482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s="68" t="s">
        <v>125</v>
      </c>
      <c r="B25" s="68" t="s">
        <v>359</v>
      </c>
      <c r="C25" s="2">
        <v>10235</v>
      </c>
      <c r="D25">
        <f>RTD("tos.rtd", , "LAST", Main_L[[#This Row],[Symbol]])</f>
        <v>56.89</v>
      </c>
      <c r="E25">
        <v>2.5299999999999998</v>
      </c>
      <c r="F25">
        <v>21.6</v>
      </c>
      <c r="G25">
        <v>3.33</v>
      </c>
      <c r="H25" s="1">
        <f>IF(ISNUMBER(Main_L[[#This Row],[Free CF]]),IF(Main_L[[#This Row],[Free CF]]&lt;&gt;0,Main_L[[#This Row],[Current Price]]/Main_L[[#This Row],[Free CF]],""),"")</f>
        <v>22.48616600790514</v>
      </c>
      <c r="I25" s="1">
        <f>IF(ISNUMBER(Main_L[[#This Row],[BVPS]]),IF(Main_L[[#This Row],[BVPS]]&lt;&gt;0,Main_L[[#This Row],[Current Price]]/Main_L[[#This Row],[BVPS]],""),"")</f>
        <v>2.6337962962962962</v>
      </c>
      <c r="J25">
        <v>16.68</v>
      </c>
      <c r="K25">
        <v>6.96</v>
      </c>
      <c r="L25">
        <v>1.87</v>
      </c>
      <c r="M25" s="1">
        <f>IF(ISNUMBER(Main_L[[#This Row],[EPS]]),IF(Main_L[[#This Row],[EPS]]&lt;&gt;0,Main_L[[#This Row],[Current Price]]/Main_L[[#This Row],[EPS]],""),"")</f>
        <v>17.084084084084083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5" s="1">
        <f>(Main_L[[#This Row],[P/FCF]]-VLOOKUP(Main_L[[#This Row],[Industry]], Mean_PFCF_L, 2, FALSE))/(VLOOKUP(Main_L[[#This Row],[Industry]], Mean_PFCF_L, 3, FALSE))</f>
        <v>-0.11764896245573504</v>
      </c>
      <c r="P25" s="1">
        <f>(Main_L[[#This Row],[P/B]]-VLOOKUP(Main_L[[#This Row],[Industry]], Mean_PB_L, 2, FALSE))/(VLOOKUP(Main_L[[#This Row],[Industry]], Mean_PB_L, 3, FALSE))</f>
        <v>-0.30040229459788259</v>
      </c>
      <c r="Q25" s="1">
        <f>(Main_L[[#This Row],[ROE]]-VLOOKUP(Main_L[[#This Row],[Industry]], Mean_ROE_L, 2, FALSE))/(VLOOKUP(Main_L[[#This Row],[Industry]], Mean_ROE_L, 3, FALSE))</f>
        <v>9.0469672330835749E-2</v>
      </c>
      <c r="R25" s="1">
        <f>(Main_L[[#This Row],[ROA]]-VLOOKUP(Main_L[[#This Row],[Industry]], Mean_ROA_L, 2, FALSE))/(VLOOKUP(Main_L[[#This Row],[Industry]], Mean_ROA_L, 3, FALSE))</f>
        <v>0.49439657601900322</v>
      </c>
      <c r="S25" s="1">
        <f>(Main_L[[#This Row],[A/E]]-VLOOKUP(Main_L[[#This Row],[Industry]], Mean_AE_L, 2, FALSE))/(VLOOKUP(Main_L[[#This Row],[Industry]], Mean_AE_L, 3, FALSE))</f>
        <v>-0.9842587089933067</v>
      </c>
      <c r="T25" s="1">
        <f>(Main_L[[#This Row],[P/E]]-VLOOKUP(Main_L[[#This Row],[Industry]], Mean_PE_L, 2, FALSE))/(VLOOKUP(Main_L[[#This Row],[Industry]], Mean_PE_L, 3, FALSE))</f>
        <v>-0.99683896938631422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s="68" t="s">
        <v>125</v>
      </c>
      <c r="B26" s="68" t="s">
        <v>126</v>
      </c>
      <c r="C26" s="2">
        <v>14864</v>
      </c>
      <c r="D26">
        <f>RTD("tos.rtd", , "LAST", Main_L[[#This Row],[Symbol]])</f>
        <v>54.23</v>
      </c>
      <c r="E26">
        <v>0.96</v>
      </c>
      <c r="F26">
        <v>19.68</v>
      </c>
      <c r="G26">
        <v>1.75</v>
      </c>
      <c r="H26" s="1">
        <f>IF(ISNUMBER(Main_L[[#This Row],[Free CF]]),IF(Main_L[[#This Row],[Free CF]]&lt;&gt;0,Main_L[[#This Row],[Current Price]]/Main_L[[#This Row],[Free CF]],""),"")</f>
        <v>56.489583333333336</v>
      </c>
      <c r="I26" s="1">
        <f>IF(ISNUMBER(Main_L[[#This Row],[BVPS]]),IF(Main_L[[#This Row],[BVPS]]&lt;&gt;0,Main_L[[#This Row],[Current Price]]/Main_L[[#This Row],[BVPS]],""),"")</f>
        <v>2.7555894308943087</v>
      </c>
      <c r="J26">
        <v>8.2200000000000006</v>
      </c>
      <c r="K26">
        <v>4.26</v>
      </c>
      <c r="L26">
        <v>3.28</v>
      </c>
      <c r="M26" s="1">
        <f>IF(ISNUMBER(Main_L[[#This Row],[EPS]]),IF(Main_L[[#This Row],[EPS]]&lt;&gt;0,Main_L[[#This Row],[Current Price]]/Main_L[[#This Row],[EPS]],""),"")</f>
        <v>30.988571428571426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4.9529568530502583</v>
      </c>
      <c r="P26" s="1">
        <f>(Main_L[[#This Row],[P/B]]-VLOOKUP(Main_L[[#This Row],[Industry]], Mean_PB_L, 2, FALSE))/(VLOOKUP(Main_L[[#This Row],[Industry]], Mean_PB_L, 3, FALSE))</f>
        <v>-0.1873474868432457</v>
      </c>
      <c r="Q26" s="1">
        <f>(Main_L[[#This Row],[ROE]]-VLOOKUP(Main_L[[#This Row],[Industry]], Mean_ROE_L, 2, FALSE))/(VLOOKUP(Main_L[[#This Row],[Industry]], Mean_ROE_L, 3, FALSE))</f>
        <v>-0.86227733337730006</v>
      </c>
      <c r="R26" s="1">
        <f>(Main_L[[#This Row],[ROA]]-VLOOKUP(Main_L[[#This Row],[Industry]], Mean_ROA_L, 2, FALSE))/(VLOOKUP(Main_L[[#This Row],[Industry]], Mean_ROA_L, 3, FALSE))</f>
        <v>-0.68806767567999016</v>
      </c>
      <c r="S26" s="1">
        <f>(Main_L[[#This Row],[A/E]]-VLOOKUP(Main_L[[#This Row],[Industry]], Mean_AE_L, 2, FALSE))/(VLOOKUP(Main_L[[#This Row],[Industry]], Mean_AE_L, 3, FALSE))</f>
        <v>0.2007738353259588</v>
      </c>
      <c r="T26" s="1">
        <f>(Main_L[[#This Row],[P/E]]-VLOOKUP(Main_L[[#This Row],[Industry]], Mean_PE_L, 2, FALSE))/(VLOOKUP(Main_L[[#This Row],[Industry]], Mean_PE_L, 3, FALSE))</f>
        <v>0.4529815097265798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s="68" t="s">
        <v>125</v>
      </c>
      <c r="B27" s="68" t="s">
        <v>128</v>
      </c>
      <c r="C27" s="2">
        <v>20874</v>
      </c>
      <c r="D27">
        <f>RTD("tos.rtd", , "LAST", Main_L[[#This Row],[Symbol]])</f>
        <v>9.18</v>
      </c>
      <c r="E27">
        <v>0.5</v>
      </c>
      <c r="F27">
        <v>2.67</v>
      </c>
      <c r="G27">
        <v>0.56000000000000005</v>
      </c>
      <c r="H27" s="1">
        <f>IF(ISNUMBER(Main_L[[#This Row],[Free CF]]),IF(Main_L[[#This Row],[Free CF]]&lt;&gt;0,Main_L[[#This Row],[Current Price]]/Main_L[[#This Row],[Free CF]],""),"")</f>
        <v>18.36</v>
      </c>
      <c r="I27" s="1">
        <f>IF(ISNUMBER(Main_L[[#This Row],[BVPS]]),IF(Main_L[[#This Row],[BVPS]]&lt;&gt;0,Main_L[[#This Row],[Current Price]]/Main_L[[#This Row],[BVPS]],""),"")</f>
        <v>3.4382022471910112</v>
      </c>
      <c r="J27">
        <v>20.8</v>
      </c>
      <c r="K27">
        <v>4.92</v>
      </c>
      <c r="L27">
        <v>4.68</v>
      </c>
      <c r="M27" s="1">
        <f>IF(ISNUMBER(Main_L[[#This Row],[EPS]]),IF(Main_L[[#This Row],[EPS]]&lt;&gt;0,Main_L[[#This Row],[Current Price]]/Main_L[[#This Row],[EPS]],""),"")</f>
        <v>16.392857142857142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-0.73294480625850178</v>
      </c>
      <c r="P27" s="1">
        <f>(Main_L[[#This Row],[P/B]]-VLOOKUP(Main_L[[#This Row],[Industry]], Mean_PB_L, 2, FALSE))/(VLOOKUP(Main_L[[#This Row],[Industry]], Mean_PB_L, 3, FALSE))</f>
        <v>0.44628971259323452</v>
      </c>
      <c r="Q27" s="1">
        <f>(Main_L[[#This Row],[ROE]]-VLOOKUP(Main_L[[#This Row],[Industry]], Mean_ROE_L, 2, FALSE))/(VLOOKUP(Main_L[[#This Row],[Industry]], Mean_ROE_L, 3, FALSE))</f>
        <v>0.5544552117537106</v>
      </c>
      <c r="R27" s="1">
        <f>(Main_L[[#This Row],[ROA]]-VLOOKUP(Main_L[[#This Row],[Industry]], Mean_ROA_L, 2, FALSE))/(VLOOKUP(Main_L[[#This Row],[Industry]], Mean_ROA_L, 3, FALSE))</f>
        <v>-0.39902085859801395</v>
      </c>
      <c r="S27" s="1">
        <f>(Main_L[[#This Row],[A/E]]-VLOOKUP(Main_L[[#This Row],[Industry]], Mean_AE_L, 2, FALSE))/(VLOOKUP(Main_L[[#This Row],[Industry]], Mean_AE_L, 3, FALSE))</f>
        <v>1.3774018935153005</v>
      </c>
      <c r="T27" s="1">
        <f>(Main_L[[#This Row],[P/E]]-VLOOKUP(Main_L[[#This Row],[Industry]], Mean_PE_L, 2, FALSE))/(VLOOKUP(Main_L[[#This Row],[Industry]], Mean_PE_L, 3, FALSE))</f>
        <v>-1.0689131818528892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s="68" t="s">
        <v>125</v>
      </c>
      <c r="B28" s="68" t="s">
        <v>130</v>
      </c>
      <c r="C28" s="2">
        <v>25239</v>
      </c>
      <c r="D28">
        <f>RTD("tos.rtd", , "LAST", Main_L[[#This Row],[Symbol]])</f>
        <v>48</v>
      </c>
      <c r="E28">
        <v>-0.01</v>
      </c>
      <c r="F28">
        <v>34.28</v>
      </c>
      <c r="G28">
        <v>1.05</v>
      </c>
      <c r="H28" s="1">
        <f>IF(ISNUMBER(Main_L[[#This Row],[Free CF]]),IF(Main_L[[#This Row],[Free CF]]&lt;&gt;0,Main_L[[#This Row],[Current Price]]/Main_L[[#This Row],[Free CF]],""),"")</f>
        <v>-4800</v>
      </c>
      <c r="I28" s="1">
        <f>IF(ISNUMBER(Main_L[[#This Row],[BVPS]]),IF(Main_L[[#This Row],[BVPS]]&lt;&gt;0,Main_L[[#This Row],[Current Price]]/Main_L[[#This Row],[BVPS]],""),"")</f>
        <v>1.4002333722287048</v>
      </c>
      <c r="J28">
        <v>3.01</v>
      </c>
      <c r="K28">
        <v>1.54</v>
      </c>
      <c r="L28">
        <v>2.2799999999999998</v>
      </c>
      <c r="M28" s="1">
        <f>IF(ISNUMBER(Main_L[[#This Row],[EPS]]),IF(Main_L[[#This Row],[EPS]]&lt;&gt;0,Main_L[[#This Row],[Current Price]]/Main_L[[#This Row],[EPS]],""),"")</f>
        <v>45.714285714285715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-719.24908697444266</v>
      </c>
      <c r="P28" s="1">
        <f>(Main_L[[#This Row],[P/B]]-VLOOKUP(Main_L[[#This Row],[Industry]], Mean_PB_L, 2, FALSE))/(VLOOKUP(Main_L[[#This Row],[Industry]], Mean_PB_L, 3, FALSE))</f>
        <v>-1.445460426930286</v>
      </c>
      <c r="Q28" s="1">
        <f>(Main_L[[#This Row],[ROE]]-VLOOKUP(Main_L[[#This Row],[Industry]], Mean_ROE_L, 2, FALSE))/(VLOOKUP(Main_L[[#This Row],[Industry]], Mean_ROE_L, 3, FALSE))</f>
        <v>-1.4490163286183626</v>
      </c>
      <c r="R28" s="1">
        <f>(Main_L[[#This Row],[ROA]]-VLOOKUP(Main_L[[#This Row],[Industry]], Mean_ROA_L, 2, FALSE))/(VLOOKUP(Main_L[[#This Row],[Industry]], Mean_ROA_L, 3, FALSE))</f>
        <v>-1.8792909218360128</v>
      </c>
      <c r="S28" s="1">
        <f>(Main_L[[#This Row],[A/E]]-VLOOKUP(Main_L[[#This Row],[Industry]], Mean_AE_L, 2, FALSE))/(VLOOKUP(Main_L[[#This Row],[Industry]], Mean_AE_L, 3, FALSE))</f>
        <v>-0.63967477766642833</v>
      </c>
      <c r="T28" s="1">
        <f>(Main_L[[#This Row],[P/E]]-VLOOKUP(Main_L[[#This Row],[Industry]], Mean_PE_L, 2, FALSE))/(VLOOKUP(Main_L[[#This Row],[Industry]], Mean_PE_L, 3, FALSE))</f>
        <v>1.9884312974138825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8" t="s">
        <v>125</v>
      </c>
      <c r="B29" s="68" t="s">
        <v>132</v>
      </c>
      <c r="C29" s="2">
        <v>22619</v>
      </c>
      <c r="D29">
        <f>RTD("tos.rtd", , "LAST", Main_L[[#This Row],[Symbol]])</f>
        <v>43.99</v>
      </c>
      <c r="E29">
        <v>-0.13</v>
      </c>
      <c r="F29">
        <v>34.32</v>
      </c>
      <c r="G29">
        <v>1.1299999999999999</v>
      </c>
      <c r="H29" s="1">
        <f>IF(ISNUMBER(Main_L[[#This Row],[Free CF]]),IF(Main_L[[#This Row],[Free CF]]&lt;&gt;0,Main_L[[#This Row],[Current Price]]/Main_L[[#This Row],[Free CF]],""),"")</f>
        <v>-338.38461538461542</v>
      </c>
      <c r="I29" s="1">
        <f>IF(ISNUMBER(Main_L[[#This Row],[BVPS]]),IF(Main_L[[#This Row],[BVPS]]&lt;&gt;0,Main_L[[#This Row],[Current Price]]/Main_L[[#This Row],[BVPS]],""),"")</f>
        <v>1.2817599067599068</v>
      </c>
      <c r="J29">
        <v>4.2300000000000004</v>
      </c>
      <c r="K29">
        <v>3.54</v>
      </c>
      <c r="L29">
        <v>2.5</v>
      </c>
      <c r="M29" s="1">
        <f>IF(ISNUMBER(Main_L[[#This Row],[EPS]]),IF(Main_L[[#This Row],[EPS]]&lt;&gt;0,Main_L[[#This Row],[Current Price]]/Main_L[[#This Row],[EPS]],""),"")</f>
        <v>38.929203539823014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-53.930872064791799</v>
      </c>
      <c r="P29" s="1">
        <f>(Main_L[[#This Row],[P/B]]-VLOOKUP(Main_L[[#This Row],[Industry]], Mean_PB_L, 2, FALSE))/(VLOOKUP(Main_L[[#This Row],[Industry]], Mean_PB_L, 3, FALSE))</f>
        <v>-1.5554337428056715</v>
      </c>
      <c r="Q29" s="1">
        <f>(Main_L[[#This Row],[ROE]]-VLOOKUP(Main_L[[#This Row],[Industry]], Mean_ROE_L, 2, FALSE))/(VLOOKUP(Main_L[[#This Row],[Industry]], Mean_ROE_L, 3, FALSE))</f>
        <v>-1.3116225523814919</v>
      </c>
      <c r="R29" s="1">
        <f>(Main_L[[#This Row],[ROA]]-VLOOKUP(Main_L[[#This Row],[Industry]], Mean_ROA_L, 2, FALSE))/(VLOOKUP(Main_L[[#This Row],[Industry]], Mean_ROA_L, 3, FALSE))</f>
        <v>-1.0033914761330549</v>
      </c>
      <c r="S29" s="1">
        <f>(Main_L[[#This Row],[A/E]]-VLOOKUP(Main_L[[#This Row],[Industry]], Mean_AE_L, 2, FALSE))/(VLOOKUP(Main_L[[#This Row],[Industry]], Mean_AE_L, 3, FALSE))</f>
        <v>-0.45477608280810294</v>
      </c>
      <c r="T29" s="1">
        <f>(Main_L[[#This Row],[P/E]]-VLOOKUP(Main_L[[#This Row],[Industry]], Mean_PE_L, 2, FALSE))/(VLOOKUP(Main_L[[#This Row],[Industry]], Mean_PE_L, 3, FALSE))</f>
        <v>1.2809509822262848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s="68" t="s">
        <v>133</v>
      </c>
      <c r="B30" s="68" t="s">
        <v>357</v>
      </c>
      <c r="C30" s="2">
        <v>11874</v>
      </c>
      <c r="D30">
        <f>RTD("tos.rtd", , "LAST", Main_L[[#This Row],[Symbol]])</f>
        <v>60.343000000000004</v>
      </c>
      <c r="H30" s="1" t="str">
        <f>IF(ISNUMBER(Main_L[[#This Row],[Free CF]]),IF(Main_L[[#This Row],[Free CF]]&lt;&gt;0,Main_L[[#This Row],[Current Price]]/Main_L[[#This Row],[Free CF]],""),"")</f>
        <v/>
      </c>
      <c r="I30" s="1" t="str">
        <f>IF(ISNUMBER(Main_L[[#This Row],[BVPS]]),IF(Main_L[[#This Row],[BVPS]]&lt;&gt;0,Main_L[[#This Row],[Current Price]]/Main_L[[#This Row],[BVPS]],""),"")</f>
        <v/>
      </c>
      <c r="J30">
        <v>16.68</v>
      </c>
      <c r="K30">
        <v>8.27</v>
      </c>
      <c r="L30">
        <v>2.0699999999999998</v>
      </c>
      <c r="M30" s="1" t="str">
        <f>IF(ISNUMBER(Main_L[[#This Row],[EPS]]),IF(Main_L[[#This Row],[EPS]]&lt;&gt;0,Main_L[[#This Row],[Current Price]]/Main_L[[#This Row],[EPS]],""),"")</f>
        <v/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 t="e">
        <f>(Main_L[[#This Row],[P/FCF]]-VLOOKUP(Main_L[[#This Row],[Industry]], Mean_PFCF_L, 2, FALSE))/(VLOOKUP(Main_L[[#This Row],[Industry]], Mean_PFCF_L, 3, FALSE))</f>
        <v>#VALUE!</v>
      </c>
      <c r="P30" s="1" t="e">
        <f>(Main_L[[#This Row],[P/B]]-VLOOKUP(Main_L[[#This Row],[Industry]], Mean_PB_L, 2, FALSE))/(VLOOKUP(Main_L[[#This Row],[Industry]], Mean_PB_L, 3, FALSE))</f>
        <v>#VALUE!</v>
      </c>
      <c r="Q30" s="1">
        <f>(Main_L[[#This Row],[ROE]]-VLOOKUP(Main_L[[#This Row],[Industry]], Mean_ROE_L, 2, FALSE))/(VLOOKUP(Main_L[[#This Row],[Industry]], Mean_ROE_L, 3, FALSE))</f>
        <v>0.55782633218491862</v>
      </c>
      <c r="R30" s="1">
        <f>(Main_L[[#This Row],[ROA]]-VLOOKUP(Main_L[[#This Row],[Industry]], Mean_ROA_L, 2, FALSE))/(VLOOKUP(Main_L[[#This Row],[Industry]], Mean_ROA_L, 3, FALSE))</f>
        <v>0.42254861355636025</v>
      </c>
      <c r="S30" s="1">
        <f>(Main_L[[#This Row],[A/E]]-VLOOKUP(Main_L[[#This Row],[Industry]], Mean_AE_L, 2, FALSE))/(VLOOKUP(Main_L[[#This Row],[Industry]], Mean_AE_L, 3, FALSE))</f>
        <v>0.99042736605177129</v>
      </c>
      <c r="T30" s="1" t="e">
        <f>(Main_L[[#This Row],[P/E]]-VLOOKUP(Main_L[[#This Row],[Industry]], Mean_PE_L, 2, FALSE))/(VLOOKUP(Main_L[[#This Row],[Industry]], Mean_PE_L, 3, FALSE))</f>
        <v>#VALUE!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1" spans="1:26" x14ac:dyDescent="0.25">
      <c r="A31" s="68" t="s">
        <v>133</v>
      </c>
      <c r="B31" s="68" t="s">
        <v>153</v>
      </c>
      <c r="C31" s="2">
        <v>15399</v>
      </c>
      <c r="D31">
        <f>RTD("tos.rtd", , "LAST", Main_L[[#This Row],[Symbol]])</f>
        <v>309.13</v>
      </c>
      <c r="E31">
        <v>17.54</v>
      </c>
      <c r="F31">
        <v>134.28</v>
      </c>
      <c r="G31">
        <v>14.01</v>
      </c>
      <c r="H31" s="1">
        <f>IF(ISNUMBER(Main_L[[#This Row],[Free CF]]),IF(Main_L[[#This Row],[Free CF]]&lt;&gt;0,Main_L[[#This Row],[Current Price]]/Main_L[[#This Row],[Free CF]],""),"")</f>
        <v>17.624287343215506</v>
      </c>
      <c r="I31" s="1">
        <f>IF(ISNUMBER(Main_L[[#This Row],[BVPS]]),IF(Main_L[[#This Row],[BVPS]]&lt;&gt;0,Main_L[[#This Row],[Current Price]]/Main_L[[#This Row],[BVPS]],""),"")</f>
        <v>2.3021298778671433</v>
      </c>
      <c r="J31">
        <v>10.29</v>
      </c>
      <c r="K31">
        <v>6.34</v>
      </c>
      <c r="L31">
        <v>1.46</v>
      </c>
      <c r="M31" s="1">
        <f>IF(ISNUMBER(Main_L[[#This Row],[EPS]]),IF(Main_L[[#This Row],[EPS]]&lt;&gt;0,Main_L[[#This Row],[Current Price]]/Main_L[[#This Row],[EPS]],""),"")</f>
        <v>22.064953604568167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1" s="1">
        <f>(Main_L[[#This Row],[P/FCF]]-VLOOKUP(Main_L[[#This Row],[Industry]], Mean_PFCF_L, 2, FALSE))/(VLOOKUP(Main_L[[#This Row],[Industry]], Mean_PFCF_L, 3, FALSE))</f>
        <v>-0.37643348667146986</v>
      </c>
      <c r="P31" s="1">
        <f>(Main_L[[#This Row],[P/B]]-VLOOKUP(Main_L[[#This Row],[Industry]], Mean_PB_L, 2, FALSE))/(VLOOKUP(Main_L[[#This Row],[Industry]], Mean_PB_L, 3, FALSE))</f>
        <v>-0.22648731536521663</v>
      </c>
      <c r="Q31" s="1">
        <f>(Main_L[[#This Row],[ROE]]-VLOOKUP(Main_L[[#This Row],[Industry]], Mean_ROE_L, 2, FALSE))/(VLOOKUP(Main_L[[#This Row],[Industry]], Mean_ROE_L, 3, FALSE))</f>
        <v>-0.24520833093611183</v>
      </c>
      <c r="R31" s="1">
        <f>(Main_L[[#This Row],[ROA]]-VLOOKUP(Main_L[[#This Row],[Industry]], Mean_ROA_L, 2, FALSE))/(VLOOKUP(Main_L[[#This Row],[Industry]], Mean_ROA_L, 3, FALSE))</f>
        <v>-0.14807680276814733</v>
      </c>
      <c r="S31" s="1">
        <f>(Main_L[[#This Row],[A/E]]-VLOOKUP(Main_L[[#This Row],[Industry]], Mean_AE_L, 2, FALSE))/(VLOOKUP(Main_L[[#This Row],[Industry]], Mean_AE_L, 3, FALSE))</f>
        <v>-0.71512942282782632</v>
      </c>
      <c r="T31" s="1">
        <f>(Main_L[[#This Row],[P/E]]-VLOOKUP(Main_L[[#This Row],[Industry]], Mean_PE_L, 2, FALSE))/(VLOOKUP(Main_L[[#This Row],[Industry]], Mean_PE_L, 3, FALSE))</f>
        <v>1.4644292180649911E-2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8" t="s">
        <v>133</v>
      </c>
      <c r="B32" s="68" t="s">
        <v>147</v>
      </c>
      <c r="C32" s="2">
        <v>11723</v>
      </c>
      <c r="D32">
        <f>RTD("tos.rtd", , "LAST", Main_L[[#This Row],[Symbol]])</f>
        <v>176.77</v>
      </c>
      <c r="E32">
        <v>5.6</v>
      </c>
      <c r="F32">
        <v>48.73</v>
      </c>
      <c r="G32">
        <v>6.04</v>
      </c>
      <c r="H32" s="1">
        <f>IF(ISNUMBER(Main_L[[#This Row],[Free CF]]),IF(Main_L[[#This Row],[Free CF]]&lt;&gt;0,Main_L[[#This Row],[Current Price]]/Main_L[[#This Row],[Free CF]],""),"")</f>
        <v>31.566071428571433</v>
      </c>
      <c r="I32" s="1">
        <f>IF(ISNUMBER(Main_L[[#This Row],[BVPS]]),IF(Main_L[[#This Row],[BVPS]]&lt;&gt;0,Main_L[[#This Row],[Current Price]]/Main_L[[#This Row],[BVPS]],""),"")</f>
        <v>3.6275395033860049</v>
      </c>
      <c r="J32">
        <v>12.99</v>
      </c>
      <c r="K32">
        <v>8.81</v>
      </c>
      <c r="L32">
        <v>1.08</v>
      </c>
      <c r="M32" s="1">
        <f>IF(ISNUMBER(Main_L[[#This Row],[EPS]]),IF(Main_L[[#This Row],[EPS]]&lt;&gt;0,Main_L[[#This Row],[Current Price]]/Main_L[[#This Row],[EPS]],""),"")</f>
        <v>29.266556291390732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0.30945774039130081</v>
      </c>
      <c r="P32" s="1">
        <f>(Main_L[[#This Row],[P/B]]-VLOOKUP(Main_L[[#This Row],[Industry]], Mean_PB_L, 2, FALSE))/(VLOOKUP(Main_L[[#This Row],[Industry]], Mean_PB_L, 3, FALSE))</f>
        <v>0.53540236428071597</v>
      </c>
      <c r="Q32" s="1">
        <f>(Main_L[[#This Row],[ROE]]-VLOOKUP(Main_L[[#This Row],[Industry]], Mean_ROE_L, 2, FALSE))/(VLOOKUP(Main_L[[#This Row],[Industry]], Mean_ROE_L, 3, FALSE))</f>
        <v>9.4102090100943406E-2</v>
      </c>
      <c r="R32" s="1">
        <f>(Main_L[[#This Row],[ROA]]-VLOOKUP(Main_L[[#This Row],[Industry]], Mean_ROA_L, 2, FALSE))/(VLOOKUP(Main_L[[#This Row],[Industry]], Mean_ROA_L, 3, FALSE))</f>
        <v>0.58220546579223309</v>
      </c>
      <c r="S32" s="1">
        <f>(Main_L[[#This Row],[A/E]]-VLOOKUP(Main_L[[#This Row],[Industry]], Mean_AE_L, 2, FALSE))/(VLOOKUP(Main_L[[#This Row],[Industry]], Mean_AE_L, 3, FALSE))</f>
        <v>-1.7776074224577394</v>
      </c>
      <c r="T32" s="1">
        <f>(Main_L[[#This Row],[P/E]]-VLOOKUP(Main_L[[#This Row],[Industry]], Mean_PE_L, 2, FALSE))/(VLOOKUP(Main_L[[#This Row],[Industry]], Mean_PE_L, 3, FALSE))</f>
        <v>0.64932547283028175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8" t="s">
        <v>133</v>
      </c>
      <c r="B33" s="68" t="s">
        <v>139</v>
      </c>
      <c r="C33" s="2">
        <v>59406</v>
      </c>
      <c r="D33">
        <f>RTD("tos.rtd", , "LAST", Main_L[[#This Row],[Symbol]])</f>
        <v>118.5</v>
      </c>
      <c r="E33">
        <v>4.67</v>
      </c>
      <c r="F33">
        <v>43.05</v>
      </c>
      <c r="G33">
        <v>4.7</v>
      </c>
      <c r="H33" s="1">
        <f>IF(ISNUMBER(Main_L[[#This Row],[Free CF]]),IF(Main_L[[#This Row],[Free CF]]&lt;&gt;0,Main_L[[#This Row],[Current Price]]/Main_L[[#This Row],[Free CF]],""),"")</f>
        <v>25.37473233404711</v>
      </c>
      <c r="I33" s="1">
        <f>IF(ISNUMBER(Main_L[[#This Row],[BVPS]]),IF(Main_L[[#This Row],[BVPS]]&lt;&gt;0,Main_L[[#This Row],[Current Price]]/Main_L[[#This Row],[BVPS]],""),"")</f>
        <v>2.7526132404181185</v>
      </c>
      <c r="J33">
        <v>11.45</v>
      </c>
      <c r="K33">
        <v>7.81</v>
      </c>
      <c r="L33">
        <v>1.41</v>
      </c>
      <c r="M33" s="1">
        <f>IF(ISNUMBER(Main_L[[#This Row],[EPS]]),IF(Main_L[[#This Row],[EPS]]&lt;&gt;0,Main_L[[#This Row],[Current Price]]/Main_L[[#This Row],[EPS]],""),"")</f>
        <v>25.212765957446809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4.8636409054616777E-3</v>
      </c>
      <c r="P33" s="1">
        <f>(Main_L[[#This Row],[P/B]]-VLOOKUP(Main_L[[#This Row],[Industry]], Mean_PB_L, 2, FALSE))/(VLOOKUP(Main_L[[#This Row],[Industry]], Mean_PB_L, 3, FALSE))</f>
        <v>3.2465553371815753E-2</v>
      </c>
      <c r="Q33" s="1">
        <f>(Main_L[[#This Row],[ROE]]-VLOOKUP(Main_L[[#This Row],[Industry]], Mean_ROE_L, 2, FALSE))/(VLOOKUP(Main_L[[#This Row],[Industry]], Mean_ROE_L, 3, FALSE))</f>
        <v>-9.943052041648813E-2</v>
      </c>
      <c r="R33" s="1">
        <f>(Main_L[[#This Row],[ROA]]-VLOOKUP(Main_L[[#This Row],[Industry]], Mean_ROA_L, 2, FALSE))/(VLOOKUP(Main_L[[#This Row],[Industry]], Mean_ROA_L, 3, FALSE))</f>
        <v>0.28654462831839472</v>
      </c>
      <c r="S33" s="1">
        <f>(Main_L[[#This Row],[A/E]]-VLOOKUP(Main_L[[#This Row],[Industry]], Mean_AE_L, 2, FALSE))/(VLOOKUP(Main_L[[#This Row],[Industry]], Mean_AE_L, 3, FALSE))</f>
        <v>-0.85492915962123606</v>
      </c>
      <c r="T33" s="1">
        <f>(Main_L[[#This Row],[P/E]]-VLOOKUP(Main_L[[#This Row],[Industry]], Mean_PE_L, 2, FALSE))/(VLOOKUP(Main_L[[#This Row],[Industry]], Mean_PE_L, 3, FALSE))</f>
        <v>0.2920627151997614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8" t="s">
        <v>133</v>
      </c>
      <c r="B34" s="68" t="s">
        <v>149</v>
      </c>
      <c r="C34" s="2">
        <v>11698</v>
      </c>
      <c r="D34">
        <f>RTD("tos.rtd", , "LAST", Main_L[[#This Row],[Symbol]])</f>
        <v>253.08</v>
      </c>
      <c r="E34">
        <v>4.54</v>
      </c>
      <c r="F34">
        <v>35.799999999999997</v>
      </c>
      <c r="G34">
        <v>7.05</v>
      </c>
      <c r="H34" s="1">
        <f>IF(ISNUMBER(Main_L[[#This Row],[Free CF]]),IF(Main_L[[#This Row],[Free CF]]&lt;&gt;0,Main_L[[#This Row],[Current Price]]/Main_L[[#This Row],[Free CF]],""),"")</f>
        <v>55.744493392070488</v>
      </c>
      <c r="I34" s="1">
        <f>IF(ISNUMBER(Main_L[[#This Row],[BVPS]]),IF(Main_L[[#This Row],[BVPS]]&lt;&gt;0,Main_L[[#This Row],[Current Price]]/Main_L[[#This Row],[BVPS]],""),"")</f>
        <v>7.0692737430167609</v>
      </c>
      <c r="J34">
        <v>21.8</v>
      </c>
      <c r="K34">
        <v>9.25</v>
      </c>
      <c r="L34">
        <v>1.89</v>
      </c>
      <c r="M34" s="1">
        <f>IF(ISNUMBER(Main_L[[#This Row],[EPS]]),IF(Main_L[[#This Row],[EPS]]&lt;&gt;0,Main_L[[#This Row],[Current Price]]/Main_L[[#This Row],[EPS]],""),"")</f>
        <v>35.897872340425536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1.4989588406418026</v>
      </c>
      <c r="P34" s="1">
        <f>(Main_L[[#This Row],[P/B]]-VLOOKUP(Main_L[[#This Row],[Industry]], Mean_PB_L, 2, FALSE))/(VLOOKUP(Main_L[[#This Row],[Industry]], Mean_PB_L, 3, FALSE))</f>
        <v>2.5138260506427232</v>
      </c>
      <c r="Q34" s="1">
        <f>(Main_L[[#This Row],[ROE]]-VLOOKUP(Main_L[[#This Row],[Industry]], Mean_ROE_L, 2, FALSE))/(VLOOKUP(Main_L[[#This Row],[Industry]], Mean_ROE_L, 3, FALSE))</f>
        <v>1.2012594268922232</v>
      </c>
      <c r="R34" s="1">
        <f>(Main_L[[#This Row],[ROA]]-VLOOKUP(Main_L[[#This Row],[Industry]], Mean_ROA_L, 2, FALSE))/(VLOOKUP(Main_L[[#This Row],[Industry]], Mean_ROA_L, 3, FALSE))</f>
        <v>0.71229623428072175</v>
      </c>
      <c r="S34" s="1">
        <f>(Main_L[[#This Row],[A/E]]-VLOOKUP(Main_L[[#This Row],[Industry]], Mean_AE_L, 2, FALSE))/(VLOOKUP(Main_L[[#This Row],[Industry]], Mean_AE_L, 3, FALSE))</f>
        <v>0.48714831359549665</v>
      </c>
      <c r="T34" s="1">
        <f>(Main_L[[#This Row],[P/E]]-VLOOKUP(Main_L[[#This Row],[Industry]], Mean_PE_L, 2, FALSE))/(VLOOKUP(Main_L[[#This Row],[Industry]], Mean_PE_L, 3, FALSE))</f>
        <v>1.2337469804154528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8" t="s">
        <v>133</v>
      </c>
      <c r="B35" s="68" t="s">
        <v>138</v>
      </c>
      <c r="C35" s="2">
        <v>73098</v>
      </c>
      <c r="D35">
        <f>RTD("tos.rtd", , "LAST", Main_L[[#This Row],[Symbol]])</f>
        <v>96.93</v>
      </c>
      <c r="E35">
        <v>4.2300000000000004</v>
      </c>
      <c r="F35">
        <v>11.56</v>
      </c>
      <c r="G35">
        <v>4.5199999999999996</v>
      </c>
      <c r="H35" s="1">
        <f>IF(ISNUMBER(Main_L[[#This Row],[Free CF]]),IF(Main_L[[#This Row],[Free CF]]&lt;&gt;0,Main_L[[#This Row],[Current Price]]/Main_L[[#This Row],[Free CF]],""),"")</f>
        <v>22.914893617021274</v>
      </c>
      <c r="I35" s="1">
        <f>IF(ISNUMBER(Main_L[[#This Row],[BVPS]]),IF(Main_L[[#This Row],[BVPS]]&lt;&gt;0,Main_L[[#This Row],[Current Price]]/Main_L[[#This Row],[BVPS]],""),"")</f>
        <v>8.3849480968858128</v>
      </c>
      <c r="J35">
        <v>41.74</v>
      </c>
      <c r="K35">
        <v>20.16</v>
      </c>
      <c r="L35">
        <v>2.0699999999999998</v>
      </c>
      <c r="M35" s="1">
        <f>IF(ISNUMBER(Main_L[[#This Row],[EPS]]),IF(Main_L[[#This Row],[EPS]]&lt;&gt;0,Main_L[[#This Row],[Current Price]]/Main_L[[#This Row],[EPS]],""),"")</f>
        <v>21.444690265486731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-0.11615256374007805</v>
      </c>
      <c r="P35" s="1">
        <f>(Main_L[[#This Row],[P/B]]-VLOOKUP(Main_L[[#This Row],[Industry]], Mean_PB_L, 2, FALSE))/(VLOOKUP(Main_L[[#This Row],[Industry]], Mean_PB_L, 3, FALSE))</f>
        <v>3.2701195712931792</v>
      </c>
      <c r="Q35" s="1">
        <f>(Main_L[[#This Row],[ROE]]-VLOOKUP(Main_L[[#This Row],[Industry]], Mean_ROE_L, 2, FALSE))/(VLOOKUP(Main_L[[#This Row],[Industry]], Mean_ROE_L, 3, FALSE))</f>
        <v>3.7071297215140304</v>
      </c>
      <c r="R35" s="1">
        <f>(Main_L[[#This Row],[ROA]]-VLOOKUP(Main_L[[#This Row],[Industry]], Mean_ROA_L, 2, FALSE))/(VLOOKUP(Main_L[[#This Row],[Industry]], Mean_ROA_L, 3, FALSE))</f>
        <v>3.9379559711202967</v>
      </c>
      <c r="S35" s="1">
        <f>(Main_L[[#This Row],[A/E]]-VLOOKUP(Main_L[[#This Row],[Industry]], Mean_AE_L, 2, FALSE))/(VLOOKUP(Main_L[[#This Row],[Industry]], Mean_AE_L, 3, FALSE))</f>
        <v>0.99042736605177129</v>
      </c>
      <c r="T35" s="1">
        <f>(Main_L[[#This Row],[P/E]]-VLOOKUP(Main_L[[#This Row],[Industry]], Mean_PE_L, 2, FALSE))/(VLOOKUP(Main_L[[#This Row],[Industry]], Mean_PE_L, 3, FALSE))</f>
        <v>-4.0019854882367353E-2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8" t="s">
        <v>133</v>
      </c>
      <c r="B36" s="68" t="s">
        <v>146</v>
      </c>
      <c r="C36" s="2">
        <v>58677</v>
      </c>
      <c r="D36">
        <f>RTD("tos.rtd", , "LAST", Main_L[[#This Row],[Symbol]])</f>
        <v>53.28</v>
      </c>
      <c r="E36">
        <v>3.72</v>
      </c>
      <c r="F36">
        <v>27.9</v>
      </c>
      <c r="G36">
        <v>4.38</v>
      </c>
      <c r="H36" s="1">
        <f>IF(ISNUMBER(Main_L[[#This Row],[Free CF]]),IF(Main_L[[#This Row],[Free CF]]&lt;&gt;0,Main_L[[#This Row],[Current Price]]/Main_L[[#This Row],[Free CF]],""),"")</f>
        <v>14.32258064516129</v>
      </c>
      <c r="I36" s="1">
        <f>IF(ISNUMBER(Main_L[[#This Row],[BVPS]]),IF(Main_L[[#This Row],[BVPS]]&lt;&gt;0,Main_L[[#This Row],[Current Price]]/Main_L[[#This Row],[BVPS]],""),"")</f>
        <v>1.9096774193548389</v>
      </c>
      <c r="J36">
        <v>16.66</v>
      </c>
      <c r="K36">
        <v>7.86</v>
      </c>
      <c r="L36">
        <v>1.78</v>
      </c>
      <c r="M36" s="1">
        <f>IF(ISNUMBER(Main_L[[#This Row],[EPS]]),IF(Main_L[[#This Row],[EPS]]&lt;&gt;0,Main_L[[#This Row],[Current Price]]/Main_L[[#This Row],[EPS]],""),"")</f>
        <v>12.164383561643836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-0.53886690585692854</v>
      </c>
      <c r="P36" s="1">
        <f>(Main_L[[#This Row],[P/B]]-VLOOKUP(Main_L[[#This Row],[Industry]], Mean_PB_L, 2, FALSE))/(VLOOKUP(Main_L[[#This Row],[Industry]], Mean_PB_L, 3, FALSE))</f>
        <v>-0.45208208405806188</v>
      </c>
      <c r="Q36" s="1">
        <f>(Main_L[[#This Row],[ROE]]-VLOOKUP(Main_L[[#This Row],[Industry]], Mean_ROE_L, 2, FALSE))/(VLOOKUP(Main_L[[#This Row],[Industry]], Mean_ROE_L, 3, FALSE))</f>
        <v>0.55531292165871826</v>
      </c>
      <c r="R36" s="1">
        <f>(Main_L[[#This Row],[ROA]]-VLOOKUP(Main_L[[#This Row],[Industry]], Mean_ROA_L, 2, FALSE))/(VLOOKUP(Main_L[[#This Row],[Industry]], Mean_ROA_L, 3, FALSE))</f>
        <v>0.30132767019208684</v>
      </c>
      <c r="S36" s="1">
        <f>(Main_L[[#This Row],[A/E]]-VLOOKUP(Main_L[[#This Row],[Industry]], Mean_AE_L, 2, FALSE))/(VLOOKUP(Main_L[[#This Row],[Industry]], Mean_AE_L, 3, FALSE))</f>
        <v>0.17958889264999572</v>
      </c>
      <c r="T36" s="1">
        <f>(Main_L[[#This Row],[P/E]]-VLOOKUP(Main_L[[#This Row],[Industry]], Mean_PE_L, 2, FALSE))/(VLOOKUP(Main_L[[#This Row],[Industry]], Mean_PE_L, 3, FALSE))</f>
        <v>-0.85789835661688307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8" t="s">
        <v>133</v>
      </c>
      <c r="B37" s="68" t="s">
        <v>135</v>
      </c>
      <c r="C37" s="2">
        <v>96554</v>
      </c>
      <c r="D37">
        <f>RTD("tos.rtd", , "LAST", Main_L[[#This Row],[Symbol]])</f>
        <v>59.31</v>
      </c>
      <c r="E37">
        <v>3.68</v>
      </c>
      <c r="F37">
        <v>34.03</v>
      </c>
      <c r="G37">
        <v>7.07</v>
      </c>
      <c r="H37" s="1">
        <f>IF(ISNUMBER(Main_L[[#This Row],[Free CF]]),IF(Main_L[[#This Row],[Free CF]]&lt;&gt;0,Main_L[[#This Row],[Current Price]]/Main_L[[#This Row],[Free CF]],""),"")</f>
        <v>16.116847826086957</v>
      </c>
      <c r="I37" s="1">
        <f>IF(ISNUMBER(Main_L[[#This Row],[BVPS]]),IF(Main_L[[#This Row],[BVPS]]&lt;&gt;0,Main_L[[#This Row],[Current Price]]/Main_L[[#This Row],[BVPS]],""),"")</f>
        <v>1.7428739347634441</v>
      </c>
      <c r="J37">
        <v>20.25</v>
      </c>
      <c r="K37">
        <v>8.48</v>
      </c>
      <c r="L37">
        <v>1.86</v>
      </c>
      <c r="M37" s="1">
        <f>IF(ISNUMBER(Main_L[[#This Row],[EPS]]),IF(Main_L[[#This Row],[EPS]]&lt;&gt;0,Main_L[[#This Row],[Current Price]]/Main_L[[#This Row],[EPS]],""),"")</f>
        <v>8.3889674681753892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-0.45059469400305041</v>
      </c>
      <c r="P37" s="1">
        <f>(Main_L[[#This Row],[P/B]]-VLOOKUP(Main_L[[#This Row],[Industry]], Mean_PB_L, 2, FALSE))/(VLOOKUP(Main_L[[#This Row],[Industry]], Mean_PB_L, 3, FALSE))</f>
        <v>-0.54796629297906807</v>
      </c>
      <c r="Q37" s="1">
        <f>(Main_L[[#This Row],[ROE]]-VLOOKUP(Main_L[[#This Row],[Industry]], Mean_ROE_L, 2, FALSE))/(VLOOKUP(Main_L[[#This Row],[Industry]], Mean_ROE_L, 3, FALSE))</f>
        <v>1.0064701111116916</v>
      </c>
      <c r="R37" s="1">
        <f>(Main_L[[#This Row],[ROA]]-VLOOKUP(Main_L[[#This Row],[Industry]], Mean_ROA_L, 2, FALSE))/(VLOOKUP(Main_L[[#This Row],[Industry]], Mean_ROA_L, 3, FALSE))</f>
        <v>0.48463738942586654</v>
      </c>
      <c r="S37" s="1">
        <f>(Main_L[[#This Row],[A/E]]-VLOOKUP(Main_L[[#This Row],[Industry]], Mean_AE_L, 2, FALSE))/(VLOOKUP(Main_L[[#This Row],[Industry]], Mean_AE_L, 3, FALSE))</f>
        <v>0.40326847151945139</v>
      </c>
      <c r="T37" s="1">
        <f>(Main_L[[#This Row],[P/E]]-VLOOKUP(Main_L[[#This Row],[Industry]], Mean_PE_L, 2, FALSE))/(VLOOKUP(Main_L[[#This Row],[Industry]], Mean_PE_L, 3, FALSE))</f>
        <v>-1.1906278402956614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8" t="s">
        <v>133</v>
      </c>
      <c r="B38" s="68" t="s">
        <v>141</v>
      </c>
      <c r="C38" s="2">
        <v>22085</v>
      </c>
      <c r="D38">
        <f>RTD("tos.rtd", , "LAST", Main_L[[#This Row],[Symbol]])</f>
        <v>46.38</v>
      </c>
      <c r="E38">
        <v>2.85</v>
      </c>
      <c r="F38">
        <v>13.44</v>
      </c>
      <c r="G38">
        <v>3.06</v>
      </c>
      <c r="H38" s="1">
        <f>IF(ISNUMBER(Main_L[[#This Row],[Free CF]]),IF(Main_L[[#This Row],[Free CF]]&lt;&gt;0,Main_L[[#This Row],[Current Price]]/Main_L[[#This Row],[Free CF]],""),"")</f>
        <v>16.273684210526316</v>
      </c>
      <c r="I38" s="1">
        <f>IF(ISNUMBER(Main_L[[#This Row],[BVPS]]),IF(Main_L[[#This Row],[BVPS]]&lt;&gt;0,Main_L[[#This Row],[Current Price]]/Main_L[[#This Row],[BVPS]],""),"")</f>
        <v>3.4508928571428577</v>
      </c>
      <c r="J38">
        <v>24.68</v>
      </c>
      <c r="K38">
        <v>9.1999999999999993</v>
      </c>
      <c r="L38">
        <v>1.98</v>
      </c>
      <c r="M38" s="1">
        <f>IF(ISNUMBER(Main_L[[#This Row],[EPS]]),IF(Main_L[[#This Row],[EPS]]&lt;&gt;0,Main_L[[#This Row],[Current Price]]/Main_L[[#This Row],[EPS]],""),"")</f>
        <v>15.15686274509804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-0.44287884504766517</v>
      </c>
      <c r="P38" s="1">
        <f>(Main_L[[#This Row],[P/B]]-VLOOKUP(Main_L[[#This Row],[Industry]], Mean_PB_L, 2, FALSE))/(VLOOKUP(Main_L[[#This Row],[Industry]], Mean_PB_L, 3, FALSE))</f>
        <v>0.43385997759099099</v>
      </c>
      <c r="Q38" s="1">
        <f>(Main_L[[#This Row],[ROE]]-VLOOKUP(Main_L[[#This Row],[Industry]], Mean_ROE_L, 2, FALSE))/(VLOOKUP(Main_L[[#This Row],[Industry]], Mean_ROE_L, 3, FALSE))</f>
        <v>1.5631905426650818</v>
      </c>
      <c r="R38" s="1">
        <f>(Main_L[[#This Row],[ROA]]-VLOOKUP(Main_L[[#This Row],[Industry]], Mean_ROA_L, 2, FALSE))/(VLOOKUP(Main_L[[#This Row],[Industry]], Mean_ROA_L, 3, FALSE))</f>
        <v>0.69751319240702969</v>
      </c>
      <c r="S38" s="1">
        <f>(Main_L[[#This Row],[A/E]]-VLOOKUP(Main_L[[#This Row],[Industry]], Mean_AE_L, 2, FALSE))/(VLOOKUP(Main_L[[#This Row],[Industry]], Mean_AE_L, 3, FALSE))</f>
        <v>0.73878783982363427</v>
      </c>
      <c r="T38" s="1">
        <f>(Main_L[[#This Row],[P/E]]-VLOOKUP(Main_L[[#This Row],[Industry]], Mean_PE_L, 2, FALSE))/(VLOOKUP(Main_L[[#This Row],[Industry]], Mean_PE_L, 3, FALSE))</f>
        <v>-0.59416953071269507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s="68" t="s">
        <v>133</v>
      </c>
      <c r="B39" s="68" t="s">
        <v>358</v>
      </c>
      <c r="C39" s="2">
        <v>11616</v>
      </c>
      <c r="D39">
        <f>RTD("tos.rtd", , "LAST", Main_L[[#This Row],[Symbol]])</f>
        <v>50.02</v>
      </c>
      <c r="E39">
        <v>2.76</v>
      </c>
      <c r="F39">
        <v>5.41</v>
      </c>
      <c r="G39">
        <v>2.2200000000000002</v>
      </c>
      <c r="H39" s="1">
        <f>IF(ISNUMBER(Main_L[[#This Row],[Free CF]]),IF(Main_L[[#This Row],[Free CF]]&lt;&gt;0,Main_L[[#This Row],[Current Price]]/Main_L[[#This Row],[Free CF]],""),"")</f>
        <v>18.123188405797105</v>
      </c>
      <c r="I39" s="1">
        <f>IF(ISNUMBER(Main_L[[#This Row],[BVPS]]),IF(Main_L[[#This Row],[BVPS]]&lt;&gt;0,Main_L[[#This Row],[Current Price]]/Main_L[[#This Row],[BVPS]],""),"")</f>
        <v>9.245841035120149</v>
      </c>
      <c r="J39">
        <v>47.31</v>
      </c>
      <c r="K39">
        <v>29.78</v>
      </c>
      <c r="L39">
        <v>1.24</v>
      </c>
      <c r="M39" s="1">
        <f>IF(ISNUMBER(Main_L[[#This Row],[EPS]]),IF(Main_L[[#This Row],[EPS]]&lt;&gt;0,Main_L[[#This Row],[Current Price]]/Main_L[[#This Row],[EPS]],""),"")</f>
        <v>22.531531531531531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-0.35188914859378856</v>
      </c>
      <c r="P39" s="1">
        <f>(Main_L[[#This Row],[P/B]]-VLOOKUP(Main_L[[#This Row],[Industry]], Mean_PB_L, 2, FALSE))/(VLOOKUP(Main_L[[#This Row],[Industry]], Mean_PB_L, 3, FALSE))</f>
        <v>3.7649895588745919</v>
      </c>
      <c r="Q39" s="1">
        <f>(Main_L[[#This Row],[ROE]]-VLOOKUP(Main_L[[#This Row],[Industry]], Mean_ROE_L, 2, FALSE))/(VLOOKUP(Main_L[[#This Row],[Industry]], Mean_ROE_L, 3, FALSE))</f>
        <v>4.4071145530608442</v>
      </c>
      <c r="R39" s="1">
        <f>(Main_L[[#This Row],[ROA]]-VLOOKUP(Main_L[[#This Row],[Industry]], Mean_ROA_L, 2, FALSE))/(VLOOKUP(Main_L[[#This Row],[Industry]], Mean_ROA_L, 3, FALSE))</f>
        <v>6.7822132276186204</v>
      </c>
      <c r="S39" s="1">
        <f>(Main_L[[#This Row],[A/E]]-VLOOKUP(Main_L[[#This Row],[Industry]], Mean_AE_L, 2, FALSE))/(VLOOKUP(Main_L[[#This Row],[Industry]], Mean_AE_L, 3, FALSE))</f>
        <v>-1.3302482647188287</v>
      </c>
      <c r="T39" s="1">
        <f>(Main_L[[#This Row],[P/E]]-VLOOKUP(Main_L[[#This Row],[Industry]], Mean_PE_L, 2, FALSE))/(VLOOKUP(Main_L[[#This Row],[Industry]], Mean_PE_L, 3, FALSE))</f>
        <v>5.5764059880695147E-2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8" t="s">
        <v>133</v>
      </c>
      <c r="B40" s="68" t="s">
        <v>151</v>
      </c>
      <c r="C40" s="2">
        <v>25235</v>
      </c>
      <c r="D40">
        <f>RTD("tos.rtd", , "LAST", Main_L[[#This Row],[Symbol]])</f>
        <v>122.53</v>
      </c>
      <c r="E40">
        <v>2.21</v>
      </c>
      <c r="F40">
        <v>86.97</v>
      </c>
      <c r="G40">
        <v>5.64</v>
      </c>
      <c r="H40" s="1">
        <f>IF(ISNUMBER(Main_L[[#This Row],[Free CF]]),IF(Main_L[[#This Row],[Free CF]]&lt;&gt;0,Main_L[[#This Row],[Current Price]]/Main_L[[#This Row],[Free CF]],""),"")</f>
        <v>55.443438914027148</v>
      </c>
      <c r="I40" s="1">
        <f>IF(ISNUMBER(Main_L[[#This Row],[BVPS]]),IF(Main_L[[#This Row],[BVPS]]&lt;&gt;0,Main_L[[#This Row],[Current Price]]/Main_L[[#This Row],[BVPS]],""),"")</f>
        <v>1.4088766241232609</v>
      </c>
      <c r="J40">
        <v>7.4</v>
      </c>
      <c r="K40">
        <v>3.87</v>
      </c>
      <c r="L40">
        <v>1.73</v>
      </c>
      <c r="M40" s="1">
        <f>IF(ISNUMBER(Main_L[[#This Row],[EPS]]),IF(Main_L[[#This Row],[EPS]]&lt;&gt;0,Main_L[[#This Row],[Current Price]]/Main_L[[#This Row],[EPS]],""),"")</f>
        <v>21.725177304964539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1.4841479223193204</v>
      </c>
      <c r="P40" s="1">
        <f>(Main_L[[#This Row],[P/B]]-VLOOKUP(Main_L[[#This Row],[Industry]], Mean_PB_L, 2, FALSE))/(VLOOKUP(Main_L[[#This Row],[Industry]], Mean_PB_L, 3, FALSE))</f>
        <v>-0.73995909211588928</v>
      </c>
      <c r="Q40" s="1">
        <f>(Main_L[[#This Row],[ROE]]-VLOOKUP(Main_L[[#This Row],[Industry]], Mean_ROE_L, 2, FALSE))/(VLOOKUP(Main_L[[#This Row],[Industry]], Mean_ROE_L, 3, FALSE))</f>
        <v>-0.60839615197207064</v>
      </c>
      <c r="R40" s="1">
        <f>(Main_L[[#This Row],[ROA]]-VLOOKUP(Main_L[[#This Row],[Industry]], Mean_ROA_L, 2, FALSE))/(VLOOKUP(Main_L[[#This Row],[Industry]], Mean_ROA_L, 3, FALSE))</f>
        <v>-0.87835907132852753</v>
      </c>
      <c r="S40" s="1">
        <f>(Main_L[[#This Row],[A/E]]-VLOOKUP(Main_L[[#This Row],[Industry]], Mean_AE_L, 2, FALSE))/(VLOOKUP(Main_L[[#This Row],[Industry]], Mean_AE_L, 3, FALSE))</f>
        <v>3.9789155856585934E-2</v>
      </c>
      <c r="T40" s="1">
        <f>(Main_L[[#This Row],[P/E]]-VLOOKUP(Main_L[[#This Row],[Industry]], Mean_PE_L, 2, FALSE))/(VLOOKUP(Main_L[[#This Row],[Industry]], Mean_PE_L, 3, FALSE))</f>
        <v>-1.5300378799851065E-2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s="68" t="s">
        <v>133</v>
      </c>
      <c r="B41" s="68" t="s">
        <v>134</v>
      </c>
      <c r="C41" s="2">
        <v>124306</v>
      </c>
      <c r="D41">
        <f>RTD("tos.rtd", , "LAST", Main_L[[#This Row],[Symbol]])</f>
        <v>50.18</v>
      </c>
      <c r="E41">
        <v>2.04</v>
      </c>
      <c r="F41">
        <v>8.9700000000000006</v>
      </c>
      <c r="G41">
        <v>4.4800000000000004</v>
      </c>
      <c r="H41" s="1">
        <f>IF(ISNUMBER(Main_L[[#This Row],[Free CF]]),IF(Main_L[[#This Row],[Free CF]]&lt;&gt;0,Main_L[[#This Row],[Current Price]]/Main_L[[#This Row],[Free CF]],""),"")</f>
        <v>24.598039215686274</v>
      </c>
      <c r="I41" s="1">
        <f>IF(ISNUMBER(Main_L[[#This Row],[BVPS]]),IF(Main_L[[#This Row],[BVPS]]&lt;&gt;0,Main_L[[#This Row],[Current Price]]/Main_L[[#This Row],[BVPS]],""),"")</f>
        <v>5.5942028985507246</v>
      </c>
      <c r="J41">
        <v>27.69</v>
      </c>
      <c r="K41">
        <v>13.22</v>
      </c>
      <c r="L41">
        <v>2.21</v>
      </c>
      <c r="M41" s="1">
        <f>IF(ISNUMBER(Main_L[[#This Row],[EPS]]),IF(Main_L[[#This Row],[EPS]]&lt;&gt;0,Main_L[[#This Row],[Current Price]]/Main_L[[#This Row],[EPS]],""),"")</f>
        <v>11.200892857142856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-3.3347178652652507E-2</v>
      </c>
      <c r="P41" s="1">
        <f>(Main_L[[#This Row],[P/B]]-VLOOKUP(Main_L[[#This Row],[Industry]], Mean_PB_L, 2, FALSE))/(VLOOKUP(Main_L[[#This Row],[Industry]], Mean_PB_L, 3, FALSE))</f>
        <v>1.6659061083793418</v>
      </c>
      <c r="Q41" s="1">
        <f>(Main_L[[#This Row],[ROE]]-VLOOKUP(Main_L[[#This Row],[Industry]], Mean_ROE_L, 2, FALSE))/(VLOOKUP(Main_L[[#This Row],[Industry]], Mean_ROE_L, 3, FALSE))</f>
        <v>1.9414588268582436</v>
      </c>
      <c r="R41" s="1">
        <f>(Main_L[[#This Row],[ROA]]-VLOOKUP(Main_L[[#This Row],[Industry]], Mean_ROA_L, 2, FALSE))/(VLOOKUP(Main_L[[#This Row],[Industry]], Mean_ROA_L, 3, FALSE))</f>
        <v>1.8860697590518596</v>
      </c>
      <c r="S41" s="1">
        <f>(Main_L[[#This Row],[A/E]]-VLOOKUP(Main_L[[#This Row],[Industry]], Mean_AE_L, 2, FALSE))/(VLOOKUP(Main_L[[#This Row],[Industry]], Mean_AE_L, 3, FALSE))</f>
        <v>1.3818666290733186</v>
      </c>
      <c r="T41" s="1">
        <f>(Main_L[[#This Row],[P/E]]-VLOOKUP(Main_L[[#This Row],[Industry]], Mean_PE_L, 2, FALSE))/(VLOOKUP(Main_L[[#This Row],[Industry]], Mean_PE_L, 3, FALSE))</f>
        <v>-0.94281131897685377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8" t="s">
        <v>133</v>
      </c>
      <c r="B42" s="68" t="s">
        <v>148</v>
      </c>
      <c r="C42" s="2">
        <v>39370</v>
      </c>
      <c r="D42">
        <f>RTD("tos.rtd", , "LAST", Main_L[[#This Row],[Symbol]])</f>
        <v>89.13</v>
      </c>
      <c r="E42">
        <v>1.94</v>
      </c>
      <c r="F42">
        <v>16.45</v>
      </c>
      <c r="G42">
        <v>1.36</v>
      </c>
      <c r="H42" s="1">
        <f>IF(ISNUMBER(Main_L[[#This Row],[Free CF]]),IF(Main_L[[#This Row],[Free CF]]&lt;&gt;0,Main_L[[#This Row],[Current Price]]/Main_L[[#This Row],[Free CF]],""),"")</f>
        <v>45.943298969072167</v>
      </c>
      <c r="I42" s="1">
        <f>IF(ISNUMBER(Main_L[[#This Row],[BVPS]]),IF(Main_L[[#This Row],[BVPS]]&lt;&gt;0,Main_L[[#This Row],[Current Price]]/Main_L[[#This Row],[BVPS]],""),"")</f>
        <v>5.4182370820668693</v>
      </c>
      <c r="J42">
        <v>8.51</v>
      </c>
      <c r="K42">
        <v>6.4</v>
      </c>
      <c r="L42">
        <v>1.04</v>
      </c>
      <c r="M42" s="1">
        <f>IF(ISNUMBER(Main_L[[#This Row],[EPS]]),IF(Main_L[[#This Row],[EPS]]&lt;&gt;0,Main_L[[#This Row],[Current Price]]/Main_L[[#This Row],[EPS]],""),"")</f>
        <v>65.536764705882348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1.0167713940199394</v>
      </c>
      <c r="P42" s="1">
        <f>(Main_L[[#This Row],[P/B]]-VLOOKUP(Main_L[[#This Row],[Industry]], Mean_PB_L, 2, FALSE))/(VLOOKUP(Main_L[[#This Row],[Industry]], Mean_PB_L, 3, FALSE))</f>
        <v>1.5647550853535084</v>
      </c>
      <c r="Q42" s="1">
        <f>(Main_L[[#This Row],[ROE]]-VLOOKUP(Main_L[[#This Row],[Industry]], Mean_ROE_L, 2, FALSE))/(VLOOKUP(Main_L[[#This Row],[Industry]], Mean_ROE_L, 3, FALSE))</f>
        <v>-0.46890186776794807</v>
      </c>
      <c r="R42" s="1">
        <f>(Main_L[[#This Row],[ROA]]-VLOOKUP(Main_L[[#This Row],[Industry]], Mean_ROA_L, 2, FALSE))/(VLOOKUP(Main_L[[#This Row],[Industry]], Mean_ROA_L, 3, FALSE))</f>
        <v>-0.13033715251971689</v>
      </c>
      <c r="S42" s="1">
        <f>(Main_L[[#This Row],[A/E]]-VLOOKUP(Main_L[[#This Row],[Industry]], Mean_AE_L, 2, FALSE))/(VLOOKUP(Main_L[[#This Row],[Industry]], Mean_AE_L, 3, FALSE))</f>
        <v>-1.8894472118924672</v>
      </c>
      <c r="T42" s="1">
        <f>(Main_L[[#This Row],[P/E]]-VLOOKUP(Main_L[[#This Row],[Industry]], Mean_PE_L, 2, FALSE))/(VLOOKUP(Main_L[[#This Row],[Industry]], Mean_PE_L, 3, FALSE))</f>
        <v>3.8458387629954838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3" spans="1:26" x14ac:dyDescent="0.25">
      <c r="A43" s="68" t="s">
        <v>133</v>
      </c>
      <c r="B43" s="68" t="s">
        <v>145</v>
      </c>
      <c r="C43" s="2">
        <v>18095</v>
      </c>
      <c r="D43">
        <f>RTD("tos.rtd", , "LAST", Main_L[[#This Row],[Symbol]])</f>
        <v>15.08</v>
      </c>
      <c r="E43">
        <v>1.27</v>
      </c>
      <c r="F43">
        <v>5.85</v>
      </c>
      <c r="G43">
        <v>0.98</v>
      </c>
      <c r="H43" s="1">
        <f>IF(ISNUMBER(Main_L[[#This Row],[Free CF]]),IF(Main_L[[#This Row],[Free CF]]&lt;&gt;0,Main_L[[#This Row],[Current Price]]/Main_L[[#This Row],[Free CF]],""),"")</f>
        <v>11.874015748031496</v>
      </c>
      <c r="I43" s="1">
        <f>IF(ISNUMBER(Main_L[[#This Row],[BVPS]]),IF(Main_L[[#This Row],[BVPS]]&lt;&gt;0,Main_L[[#This Row],[Current Price]]/Main_L[[#This Row],[BVPS]],""),"")</f>
        <v>2.5777777777777779</v>
      </c>
      <c r="J43">
        <v>18.760000000000002</v>
      </c>
      <c r="K43">
        <v>10.46</v>
      </c>
      <c r="L43">
        <v>1.52</v>
      </c>
      <c r="M43" s="1">
        <f>IF(ISNUMBER(Main_L[[#This Row],[EPS]]),IF(Main_L[[#This Row],[EPS]]&lt;&gt;0,Main_L[[#This Row],[Current Price]]/Main_L[[#This Row],[EPS]],""),"")</f>
        <v>15.387755102040817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3" s="1">
        <f>(Main_L[[#This Row],[P/FCF]]-VLOOKUP(Main_L[[#This Row],[Industry]], Mean_PFCF_L, 2, FALSE))/(VLOOKUP(Main_L[[#This Row],[Industry]], Mean_PFCF_L, 3, FALSE))</f>
        <v>-0.65932847458823807</v>
      </c>
      <c r="P43" s="1">
        <f>(Main_L[[#This Row],[P/B]]-VLOOKUP(Main_L[[#This Row],[Industry]], Mean_PB_L, 2, FALSE))/(VLOOKUP(Main_L[[#This Row],[Industry]], Mean_PB_L, 3, FALSE))</f>
        <v>-6.8035704546581546E-2</v>
      </c>
      <c r="Q43" s="1">
        <f>(Main_L[[#This Row],[ROE]]-VLOOKUP(Main_L[[#This Row],[Industry]], Mean_ROE_L, 2, FALSE))/(VLOOKUP(Main_L[[#This Row],[Industry]], Mean_ROE_L, 3, FALSE))</f>
        <v>0.81922102690976129</v>
      </c>
      <c r="R43" s="1">
        <f>(Main_L[[#This Row],[ROA]]-VLOOKUP(Main_L[[#This Row],[Industry]], Mean_ROA_L, 2, FALSE))/(VLOOKUP(Main_L[[#This Row],[Industry]], Mean_ROA_L, 3, FALSE))</f>
        <v>1.0700458476240662</v>
      </c>
      <c r="S43" s="1">
        <f>(Main_L[[#This Row],[A/E]]-VLOOKUP(Main_L[[#This Row],[Industry]], Mean_AE_L, 2, FALSE))/(VLOOKUP(Main_L[[#This Row],[Industry]], Mean_AE_L, 3, FALSE))</f>
        <v>-0.54736973867573457</v>
      </c>
      <c r="T43" s="1">
        <f>(Main_L[[#This Row],[P/E]]-VLOOKUP(Main_L[[#This Row],[Industry]], Mean_PE_L, 2, FALSE))/(VLOOKUP(Main_L[[#This Row],[Industry]], Mean_PE_L, 3, FALSE))</f>
        <v>-0.5738208611067529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8" t="s">
        <v>133</v>
      </c>
      <c r="B44" s="68" t="s">
        <v>137</v>
      </c>
      <c r="C44" s="2">
        <v>55265</v>
      </c>
      <c r="D44">
        <f>RTD("tos.rtd", , "LAST", Main_L[[#This Row],[Symbol]])</f>
        <v>42.34</v>
      </c>
      <c r="E44">
        <v>1.1100000000000001</v>
      </c>
      <c r="F44">
        <v>12.31</v>
      </c>
      <c r="G44">
        <v>1.22</v>
      </c>
      <c r="H44" s="1">
        <f>IF(ISNUMBER(Main_L[[#This Row],[Free CF]]),IF(Main_L[[#This Row],[Free CF]]&lt;&gt;0,Main_L[[#This Row],[Current Price]]/Main_L[[#This Row],[Free CF]],""),"")</f>
        <v>38.144144144144143</v>
      </c>
      <c r="I44" s="1">
        <f>IF(ISNUMBER(Main_L[[#This Row],[BVPS]]),IF(Main_L[[#This Row],[BVPS]]&lt;&gt;0,Main_L[[#This Row],[Current Price]]/Main_L[[#This Row],[BVPS]],""),"")</f>
        <v>3.4394800974817223</v>
      </c>
      <c r="J44">
        <v>14.06</v>
      </c>
      <c r="K44">
        <v>7.5</v>
      </c>
      <c r="L44">
        <v>3.17</v>
      </c>
      <c r="M44" s="1">
        <f>IF(ISNUMBER(Main_L[[#This Row],[EPS]]),IF(Main_L[[#This Row],[EPS]]&lt;&gt;0,Main_L[[#This Row],[Current Price]]/Main_L[[#This Row],[EPS]],""),"")</f>
        <v>34.704918032786885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0.63307789825412519</v>
      </c>
      <c r="P44" s="1">
        <f>(Main_L[[#This Row],[P/B]]-VLOOKUP(Main_L[[#This Row],[Industry]], Mean_PB_L, 2, FALSE))/(VLOOKUP(Main_L[[#This Row],[Industry]], Mean_PB_L, 3, FALSE))</f>
        <v>0.42729954251138724</v>
      </c>
      <c r="Q44" s="1">
        <f>(Main_L[[#This Row],[ROE]]-VLOOKUP(Main_L[[#This Row],[Industry]], Mean_ROE_L, 2, FALSE))/(VLOOKUP(Main_L[[#This Row],[Industry]], Mean_ROE_L, 3, FALSE))</f>
        <v>0.22856955325266529</v>
      </c>
      <c r="R44" s="1">
        <f>(Main_L[[#This Row],[ROA]]-VLOOKUP(Main_L[[#This Row],[Industry]], Mean_ROA_L, 2, FALSE))/(VLOOKUP(Main_L[[#This Row],[Industry]], Mean_ROA_L, 3, FALSE))</f>
        <v>0.19488976870150498</v>
      </c>
      <c r="S44" s="1">
        <f>(Main_L[[#This Row],[A/E]]-VLOOKUP(Main_L[[#This Row],[Industry]], Mean_AE_L, 2, FALSE))/(VLOOKUP(Main_L[[#This Row],[Industry]], Mean_AE_L, 3, FALSE))</f>
        <v>4.0660215755067837</v>
      </c>
      <c r="T44" s="1">
        <f>(Main_L[[#This Row],[P/E]]-VLOOKUP(Main_L[[#This Row],[Industry]], Mean_PE_L, 2, FALSE))/(VLOOKUP(Main_L[[#This Row],[Industry]], Mean_PE_L, 3, FALSE))</f>
        <v>1.1286112653032345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8" t="s">
        <v>133</v>
      </c>
      <c r="B45" s="68" t="s">
        <v>360</v>
      </c>
      <c r="C45" s="2">
        <v>32945</v>
      </c>
      <c r="D45">
        <f>RTD("tos.rtd", , "LAST", Main_L[[#This Row],[Symbol]])</f>
        <v>20.309999999999999</v>
      </c>
      <c r="E45">
        <v>0.95</v>
      </c>
      <c r="F45">
        <v>14.22</v>
      </c>
      <c r="G45">
        <v>1.32</v>
      </c>
      <c r="H45" s="1">
        <f>IF(ISNUMBER(Main_L[[#This Row],[Free CF]]),IF(Main_L[[#This Row],[Free CF]]&lt;&gt;0,Main_L[[#This Row],[Current Price]]/Main_L[[#This Row],[Free CF]],""),"")</f>
        <v>21.378947368421052</v>
      </c>
      <c r="I45" s="1">
        <f>IF(ISNUMBER(Main_L[[#This Row],[BVPS]]),IF(Main_L[[#This Row],[BVPS]]&lt;&gt;0,Main_L[[#This Row],[Current Price]]/Main_L[[#This Row],[BVPS]],""),"")</f>
        <v>1.4282700421940926</v>
      </c>
      <c r="J45">
        <v>10.28</v>
      </c>
      <c r="K45">
        <v>6.92</v>
      </c>
      <c r="L45">
        <v>1.97</v>
      </c>
      <c r="M45" s="1">
        <f>IF(ISNUMBER(Main_L[[#This Row],[EPS]]),IF(Main_L[[#This Row],[EPS]]&lt;&gt;0,Main_L[[#This Row],[Current Price]]/Main_L[[#This Row],[EPS]],""),"")</f>
        <v>15.386363636363635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-0.19171621116891935</v>
      </c>
      <c r="P45" s="1">
        <f>(Main_L[[#This Row],[P/B]]-VLOOKUP(Main_L[[#This Row],[Industry]], Mean_PB_L, 2, FALSE))/(VLOOKUP(Main_L[[#This Row],[Industry]], Mean_PB_L, 3, FALSE))</f>
        <v>-0.72881110827999296</v>
      </c>
      <c r="Q45" s="1">
        <f>(Main_L[[#This Row],[ROE]]-VLOOKUP(Main_L[[#This Row],[Industry]], Mean_ROE_L, 2, FALSE))/(VLOOKUP(Main_L[[#This Row],[Industry]], Mean_ROE_L, 3, FALSE))</f>
        <v>-0.24646503619921201</v>
      </c>
      <c r="R45" s="1">
        <f>(Main_L[[#This Row],[ROA]]-VLOOKUP(Main_L[[#This Row],[Industry]], Mean_ROA_L, 2, FALSE))/(VLOOKUP(Main_L[[#This Row],[Industry]], Mean_ROA_L, 3, FALSE))</f>
        <v>2.3406482966678837E-2</v>
      </c>
      <c r="S45" s="1">
        <f>(Main_L[[#This Row],[A/E]]-VLOOKUP(Main_L[[#This Row],[Industry]], Mean_AE_L, 2, FALSE))/(VLOOKUP(Main_L[[#This Row],[Industry]], Mean_AE_L, 3, FALSE))</f>
        <v>0.71082789246495226</v>
      </c>
      <c r="T45" s="1">
        <f>(Main_L[[#This Row],[P/E]]-VLOOKUP(Main_L[[#This Row],[Industry]], Mean_PE_L, 2, FALSE))/(VLOOKUP(Main_L[[#This Row],[Industry]], Mean_PE_L, 3, FALSE))</f>
        <v>-0.57394349173735459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s="68" t="s">
        <v>133</v>
      </c>
      <c r="B46" s="68" t="s">
        <v>142</v>
      </c>
      <c r="C46" s="2">
        <v>32519</v>
      </c>
      <c r="D46">
        <f>RTD("tos.rtd", , "LAST", Main_L[[#This Row],[Symbol]])</f>
        <v>167.15</v>
      </c>
      <c r="E46">
        <v>0.92</v>
      </c>
      <c r="F46">
        <v>32.659999999999997</v>
      </c>
      <c r="G46">
        <v>3.21</v>
      </c>
      <c r="H46" s="1">
        <f>IF(ISNUMBER(Main_L[[#This Row],[Free CF]]),IF(Main_L[[#This Row],[Free CF]]&lt;&gt;0,Main_L[[#This Row],[Current Price]]/Main_L[[#This Row],[Free CF]],""),"")</f>
        <v>181.68478260869566</v>
      </c>
      <c r="I46" s="1">
        <f>IF(ISNUMBER(Main_L[[#This Row],[BVPS]]),IF(Main_L[[#This Row],[BVPS]]&lt;&gt;0,Main_L[[#This Row],[Current Price]]/Main_L[[#This Row],[BVPS]],""),"")</f>
        <v>5.1178812002449483</v>
      </c>
      <c r="J46">
        <v>10.199999999999999</v>
      </c>
      <c r="K46">
        <v>8.0299999999999994</v>
      </c>
      <c r="L46">
        <v>1.06</v>
      </c>
      <c r="M46" s="1">
        <f>IF(ISNUMBER(Main_L[[#This Row],[EPS]]),IF(Main_L[[#This Row],[EPS]]&lt;&gt;0,Main_L[[#This Row],[Current Price]]/Main_L[[#This Row],[EPS]],""),"")</f>
        <v>52.071651090342684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7.6948186372487433</v>
      </c>
      <c r="P46" s="1">
        <f>(Main_L[[#This Row],[P/B]]-VLOOKUP(Main_L[[#This Row],[Industry]], Mean_PB_L, 2, FALSE))/(VLOOKUP(Main_L[[#This Row],[Industry]], Mean_PB_L, 3, FALSE))</f>
        <v>1.392100502064594</v>
      </c>
      <c r="Q46" s="1">
        <f>(Main_L[[#This Row],[ROE]]-VLOOKUP(Main_L[[#This Row],[Industry]], Mean_ROE_L, 2, FALSE))/(VLOOKUP(Main_L[[#This Row],[Industry]], Mean_ROE_L, 3, FALSE))</f>
        <v>-0.25651867830401365</v>
      </c>
      <c r="R46" s="1">
        <f>(Main_L[[#This Row],[ROA]]-VLOOKUP(Main_L[[#This Row],[Industry]], Mean_ROA_L, 2, FALSE))/(VLOOKUP(Main_L[[#This Row],[Industry]], Mean_ROA_L, 3, FALSE))</f>
        <v>0.35159001256263905</v>
      </c>
      <c r="S46" s="1">
        <f>(Main_L[[#This Row],[A/E]]-VLOOKUP(Main_L[[#This Row],[Industry]], Mean_AE_L, 2, FALSE))/(VLOOKUP(Main_L[[#This Row],[Industry]], Mean_AE_L, 3, FALSE))</f>
        <v>-1.8335273171751034</v>
      </c>
      <c r="T46" s="1">
        <f>(Main_L[[#This Row],[P/E]]-VLOOKUP(Main_L[[#This Row],[Industry]], Mean_PE_L, 2, FALSE))/(VLOOKUP(Main_L[[#This Row],[Industry]], Mean_PE_L, 3, FALSE))</f>
        <v>2.6591509410291803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s="68" t="s">
        <v>133</v>
      </c>
      <c r="B47" s="68" t="s">
        <v>143</v>
      </c>
      <c r="C47" s="2">
        <v>20586</v>
      </c>
      <c r="D47">
        <f>RTD("tos.rtd", , "LAST", Main_L[[#This Row],[Symbol]])</f>
        <v>24.66</v>
      </c>
      <c r="E47">
        <v>0.87</v>
      </c>
      <c r="F47">
        <v>5.81</v>
      </c>
      <c r="G47">
        <v>1.38</v>
      </c>
      <c r="H47" s="1">
        <f>IF(ISNUMBER(Main_L[[#This Row],[Free CF]]),IF(Main_L[[#This Row],[Free CF]]&lt;&gt;0,Main_L[[#This Row],[Current Price]]/Main_L[[#This Row],[Free CF]],""),"")</f>
        <v>28.344827586206897</v>
      </c>
      <c r="I47" s="1">
        <f>IF(ISNUMBER(Main_L[[#This Row],[BVPS]]),IF(Main_L[[#This Row],[BVPS]]&lt;&gt;0,Main_L[[#This Row],[Current Price]]/Main_L[[#This Row],[BVPS]],""),"")</f>
        <v>4.2444061962134256</v>
      </c>
      <c r="J47">
        <v>25.84</v>
      </c>
      <c r="K47">
        <v>13.51</v>
      </c>
      <c r="L47">
        <v>1.95</v>
      </c>
      <c r="M47" s="1">
        <f>IF(ISNUMBER(Main_L[[#This Row],[EPS]]),IF(Main_L[[#This Row],[EPS]]&lt;&gt;0,Main_L[[#This Row],[Current Price]]/Main_L[[#This Row],[EPS]],""),"")</f>
        <v>17.869565217391305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0.15098283659268838</v>
      </c>
      <c r="P47" s="1">
        <f>(Main_L[[#This Row],[P/B]]-VLOOKUP(Main_L[[#This Row],[Industry]], Mean_PB_L, 2, FALSE))/(VLOOKUP(Main_L[[#This Row],[Industry]], Mean_PB_L, 3, FALSE))</f>
        <v>0.88999792321861304</v>
      </c>
      <c r="Q47" s="1">
        <f>(Main_L[[#This Row],[ROE]]-VLOOKUP(Main_L[[#This Row],[Industry]], Mean_ROE_L, 2, FALSE))/(VLOOKUP(Main_L[[#This Row],[Industry]], Mean_ROE_L, 3, FALSE))</f>
        <v>1.7089683531847055</v>
      </c>
      <c r="R47" s="1">
        <f>(Main_L[[#This Row],[ROA]]-VLOOKUP(Main_L[[#This Row],[Industry]], Mean_ROA_L, 2, FALSE))/(VLOOKUP(Main_L[[#This Row],[Industry]], Mean_ROA_L, 3, FALSE))</f>
        <v>1.9718114019192723</v>
      </c>
      <c r="S47" s="1">
        <f>(Main_L[[#This Row],[A/E]]-VLOOKUP(Main_L[[#This Row],[Industry]], Mean_AE_L, 2, FALSE))/(VLOOKUP(Main_L[[#This Row],[Industry]], Mean_AE_L, 3, FALSE))</f>
        <v>0.65490799774758834</v>
      </c>
      <c r="T47" s="1">
        <f>(Main_L[[#This Row],[P/E]]-VLOOKUP(Main_L[[#This Row],[Industry]], Mean_PE_L, 2, FALSE))/(VLOOKUP(Main_L[[#This Row],[Industry]], Mean_PE_L, 3, FALSE))</f>
        <v>-0.35509757926824514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8" t="s">
        <v>133</v>
      </c>
      <c r="B48" s="68" t="s">
        <v>150</v>
      </c>
      <c r="C48" s="2">
        <v>23287</v>
      </c>
      <c r="D48">
        <f>RTD("tos.rtd", , "LAST", Main_L[[#This Row],[Symbol]])</f>
        <v>30.38</v>
      </c>
      <c r="E48">
        <v>0.59</v>
      </c>
      <c r="F48">
        <v>66.67</v>
      </c>
      <c r="G48">
        <v>1.53</v>
      </c>
      <c r="H48" s="1">
        <f>IF(ISNUMBER(Main_L[[#This Row],[Free CF]]),IF(Main_L[[#This Row],[Free CF]]&lt;&gt;0,Main_L[[#This Row],[Current Price]]/Main_L[[#This Row],[Free CF]],""),"")</f>
        <v>51.491525423728817</v>
      </c>
      <c r="I48" s="1">
        <f>IF(ISNUMBER(Main_L[[#This Row],[BVPS]]),IF(Main_L[[#This Row],[BVPS]]&lt;&gt;0,Main_L[[#This Row],[Current Price]]/Main_L[[#This Row],[BVPS]],""),"")</f>
        <v>0.45567721613919299</v>
      </c>
      <c r="J48">
        <v>2.25</v>
      </c>
      <c r="K48">
        <v>2.1800000000000002</v>
      </c>
      <c r="L48">
        <v>1.79</v>
      </c>
      <c r="M48" s="1">
        <f>IF(ISNUMBER(Main_L[[#This Row],[EPS]]),IF(Main_L[[#This Row],[EPS]]&lt;&gt;0,Main_L[[#This Row],[Current Price]]/Main_L[[#This Row],[EPS]],""),"")</f>
        <v>19.856209150326798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1.289726406643019</v>
      </c>
      <c r="P48" s="1">
        <f>(Main_L[[#This Row],[P/B]]-VLOOKUP(Main_L[[#This Row],[Industry]], Mean_PB_L, 2, FALSE))/(VLOOKUP(Main_L[[#This Row],[Industry]], Mean_PB_L, 3, FALSE))</f>
        <v>-1.2878899186355579</v>
      </c>
      <c r="Q48" s="1">
        <f>(Main_L[[#This Row],[ROE]]-VLOOKUP(Main_L[[#This Row],[Industry]], Mean_ROE_L, 2, FALSE))/(VLOOKUP(Main_L[[#This Row],[Industry]], Mean_ROE_L, 3, FALSE))</f>
        <v>-1.2555993624686759</v>
      </c>
      <c r="R48" s="1">
        <f>(Main_L[[#This Row],[ROA]]-VLOOKUP(Main_L[[#This Row],[Industry]], Mean_ROA_L, 2, FALSE))/(VLOOKUP(Main_L[[#This Row],[Industry]], Mean_ROA_L, 3, FALSE))</f>
        <v>-1.3780258866593138</v>
      </c>
      <c r="S48" s="1">
        <f>(Main_L[[#This Row],[A/E]]-VLOOKUP(Main_L[[#This Row],[Industry]], Mean_AE_L, 2, FALSE))/(VLOOKUP(Main_L[[#This Row],[Industry]], Mean_AE_L, 3, FALSE))</f>
        <v>0.20754884000867768</v>
      </c>
      <c r="T48" s="1">
        <f>(Main_L[[#This Row],[P/E]]-VLOOKUP(Main_L[[#This Row],[Industry]], Mean_PE_L, 2, FALSE))/(VLOOKUP(Main_L[[#This Row],[Industry]], Mean_PE_L, 3, FALSE))</f>
        <v>-0.18001356370694721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s="68" t="s">
        <v>133</v>
      </c>
      <c r="B49" s="68" t="s">
        <v>140</v>
      </c>
      <c r="C49" s="2">
        <v>10888</v>
      </c>
      <c r="D49">
        <f>RTD("tos.rtd", , "LAST", Main_L[[#This Row],[Symbol]])</f>
        <v>27.21</v>
      </c>
      <c r="E49">
        <v>0.46</v>
      </c>
      <c r="F49">
        <v>8.56</v>
      </c>
      <c r="G49">
        <v>0.62</v>
      </c>
      <c r="H49" s="1">
        <f>IF(ISNUMBER(Main_L[[#This Row],[Free CF]]),IF(Main_L[[#This Row],[Free CF]]&lt;&gt;0,Main_L[[#This Row],[Current Price]]/Main_L[[#This Row],[Free CF]],""),"")</f>
        <v>59.152173913043477</v>
      </c>
      <c r="I49" s="1">
        <f>IF(ISNUMBER(Main_L[[#This Row],[BVPS]]),IF(Main_L[[#This Row],[BVPS]]&lt;&gt;0,Main_L[[#This Row],[Current Price]]/Main_L[[#This Row],[BVPS]],""),"")</f>
        <v>3.1787383177570092</v>
      </c>
      <c r="J49">
        <v>7.85</v>
      </c>
      <c r="K49">
        <v>6.46</v>
      </c>
      <c r="L49">
        <v>1.49</v>
      </c>
      <c r="M49" s="1">
        <f>IF(ISNUMBER(Main_L[[#This Row],[EPS]]),IF(Main_L[[#This Row],[EPS]]&lt;&gt;0,Main_L[[#This Row],[Current Price]]/Main_L[[#This Row],[EPS]],""),"")</f>
        <v>43.887096774193552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1.6666058332833757</v>
      </c>
      <c r="P49" s="1">
        <f>(Main_L[[#This Row],[P/B]]-VLOOKUP(Main_L[[#This Row],[Industry]], Mean_PB_L, 2, FALSE))/(VLOOKUP(Main_L[[#This Row],[Industry]], Mean_PB_L, 3, FALSE))</f>
        <v>0.27741646697011568</v>
      </c>
      <c r="Q49" s="1">
        <f>(Main_L[[#This Row],[ROE]]-VLOOKUP(Main_L[[#This Row],[Industry]], Mean_ROE_L, 2, FALSE))/(VLOOKUP(Main_L[[#This Row],[Industry]], Mean_ROE_L, 3, FALSE))</f>
        <v>-0.55184441513256155</v>
      </c>
      <c r="R49" s="1">
        <f>(Main_L[[#This Row],[ROA]]-VLOOKUP(Main_L[[#This Row],[Industry]], Mean_ROA_L, 2, FALSE))/(VLOOKUP(Main_L[[#This Row],[Industry]], Mean_ROA_L, 3, FALSE))</f>
        <v>-0.1125975022712867</v>
      </c>
      <c r="S49" s="1">
        <f>(Main_L[[#This Row],[A/E]]-VLOOKUP(Main_L[[#This Row],[Industry]], Mean_AE_L, 2, FALSE))/(VLOOKUP(Main_L[[#This Row],[Industry]], Mean_AE_L, 3, FALSE))</f>
        <v>-0.63124958075178039</v>
      </c>
      <c r="T49" s="1">
        <f>(Main_L[[#This Row],[P/E]]-VLOOKUP(Main_L[[#This Row],[Industry]], Mean_PE_L, 2, FALSE))/(VLOOKUP(Main_L[[#This Row],[Industry]], Mean_PE_L, 3, FALSE))</f>
        <v>1.9378416960788056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s="68" t="s">
        <v>133</v>
      </c>
      <c r="B50" s="68" t="s">
        <v>155</v>
      </c>
      <c r="C50" s="2">
        <v>38974</v>
      </c>
      <c r="D50">
        <f>RTD("tos.rtd", , "LAST", Main_L[[#This Row],[Symbol]])</f>
        <v>9.58</v>
      </c>
      <c r="E50">
        <v>0.27</v>
      </c>
      <c r="F50">
        <v>8.3000000000000007</v>
      </c>
      <c r="G50">
        <v>1.29</v>
      </c>
      <c r="H50" s="1">
        <f>IF(ISNUMBER(Main_L[[#This Row],[Free CF]]),IF(Main_L[[#This Row],[Free CF]]&lt;&gt;0,Main_L[[#This Row],[Current Price]]/Main_L[[#This Row],[Free CF]],""),"")</f>
        <v>35.481481481481481</v>
      </c>
      <c r="I50" s="1">
        <f>IF(ISNUMBER(Main_L[[#This Row],[BVPS]]),IF(Main_L[[#This Row],[BVPS]]&lt;&gt;0,Main_L[[#This Row],[Current Price]]/Main_L[[#This Row],[BVPS]],""),"")</f>
        <v>1.1542168674698794</v>
      </c>
      <c r="J50">
        <v>15</v>
      </c>
      <c r="K50">
        <v>7.76</v>
      </c>
      <c r="L50">
        <v>2.37</v>
      </c>
      <c r="M50" s="1">
        <f>IF(ISNUMBER(Main_L[[#This Row],[EPS]]),IF(Main_L[[#This Row],[EPS]]&lt;&gt;0,Main_L[[#This Row],[Current Price]]/Main_L[[#This Row],[EPS]],""),"")</f>
        <v>7.4263565891472867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0.50208340359212489</v>
      </c>
      <c r="P50" s="1">
        <f>(Main_L[[#This Row],[P/B]]-VLOOKUP(Main_L[[#This Row],[Industry]], Mean_PB_L, 2, FALSE))/(VLOOKUP(Main_L[[#This Row],[Industry]], Mean_PB_L, 3, FALSE))</f>
        <v>-0.88634601784792588</v>
      </c>
      <c r="Q50" s="1">
        <f>(Main_L[[#This Row],[ROE]]-VLOOKUP(Main_L[[#This Row],[Industry]], Mean_ROE_L, 2, FALSE))/(VLOOKUP(Main_L[[#This Row],[Industry]], Mean_ROE_L, 3, FALSE))</f>
        <v>0.34669984798408437</v>
      </c>
      <c r="R50" s="1">
        <f>(Main_L[[#This Row],[ROA]]-VLOOKUP(Main_L[[#This Row],[Industry]], Mean_ROA_L, 2, FALSE))/(VLOOKUP(Main_L[[#This Row],[Industry]], Mean_ROA_L, 3, FALSE))</f>
        <v>0.27176158644470289</v>
      </c>
      <c r="S50" s="1">
        <f>(Main_L[[#This Row],[A/E]]-VLOOKUP(Main_L[[#This Row],[Industry]], Mean_AE_L, 2, FALSE))/(VLOOKUP(Main_L[[#This Row],[Industry]], Mean_AE_L, 3, FALSE))</f>
        <v>1.8292257868122299</v>
      </c>
      <c r="T50" s="1">
        <f>(Main_L[[#This Row],[P/E]]-VLOOKUP(Main_L[[#This Row],[Industry]], Mean_PE_L, 2, FALSE))/(VLOOKUP(Main_L[[#This Row],[Industry]], Mean_PE_L, 3, FALSE))</f>
        <v>-1.2754632631558602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s="68" t="s">
        <v>133</v>
      </c>
      <c r="B51" s="68" t="s">
        <v>362</v>
      </c>
      <c r="C51" s="2">
        <v>12346</v>
      </c>
      <c r="D51">
        <f>RTD("tos.rtd", , "LAST", Main_L[[#This Row],[Symbol]])</f>
        <v>15.71</v>
      </c>
      <c r="E51">
        <v>0.06</v>
      </c>
      <c r="F51">
        <v>13.7</v>
      </c>
      <c r="G51">
        <v>0.16</v>
      </c>
      <c r="H51" s="1">
        <f>IF(ISNUMBER(Main_L[[#This Row],[Free CF]]),IF(Main_L[[#This Row],[Free CF]]&lt;&gt;0,Main_L[[#This Row],[Current Price]]/Main_L[[#This Row],[Free CF]],""),"")</f>
        <v>261.83333333333337</v>
      </c>
      <c r="I51" s="1">
        <f>IF(ISNUMBER(Main_L[[#This Row],[BVPS]]),IF(Main_L[[#This Row],[BVPS]]&lt;&gt;0,Main_L[[#This Row],[Current Price]]/Main_L[[#This Row],[BVPS]],""),"")</f>
        <v>1.1467153284671534</v>
      </c>
      <c r="J51">
        <v>0.44</v>
      </c>
      <c r="K51">
        <v>3.01</v>
      </c>
      <c r="L51">
        <v>2.13</v>
      </c>
      <c r="M51" s="1">
        <f>IF(ISNUMBER(Main_L[[#This Row],[EPS]]),IF(Main_L[[#This Row],[EPS]]&lt;&gt;0,Main_L[[#This Row],[Current Price]]/Main_L[[#This Row],[EPS]],""),"")</f>
        <v>98.1875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11.637871224153086</v>
      </c>
      <c r="P51" s="1">
        <f>(Main_L[[#This Row],[P/B]]-VLOOKUP(Main_L[[#This Row],[Industry]], Mean_PB_L, 2, FALSE))/(VLOOKUP(Main_L[[#This Row],[Industry]], Mean_PB_L, 3, FALSE))</f>
        <v>-0.89065815278160787</v>
      </c>
      <c r="Q51" s="1">
        <f>(Main_L[[#This Row],[ROE]]-VLOOKUP(Main_L[[#This Row],[Industry]], Mean_ROE_L, 2, FALSE))/(VLOOKUP(Main_L[[#This Row],[Industry]], Mean_ROE_L, 3, FALSE))</f>
        <v>-1.4830630150898128</v>
      </c>
      <c r="R51" s="1">
        <f>(Main_L[[#This Row],[ROA]]-VLOOKUP(Main_L[[#This Row],[Industry]], Mean_ROA_L, 2, FALSE))/(VLOOKUP(Main_L[[#This Row],[Industry]], Mean_ROA_L, 3, FALSE))</f>
        <v>-1.1326273915560285</v>
      </c>
      <c r="S51" s="1">
        <f>(Main_L[[#This Row],[A/E]]-VLOOKUP(Main_L[[#This Row],[Industry]], Mean_AE_L, 2, FALSE))/(VLOOKUP(Main_L[[#This Row],[Industry]], Mean_AE_L, 3, FALSE))</f>
        <v>1.1581870502038629</v>
      </c>
      <c r="T51" s="1">
        <f>(Main_L[[#This Row],[P/E]]-VLOOKUP(Main_L[[#This Row],[Industry]], Mean_PE_L, 2, FALSE))/(VLOOKUP(Main_L[[#This Row],[Industry]], Mean_PE_L, 3, FALSE))</f>
        <v>6.723365908927545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2" spans="1:26" x14ac:dyDescent="0.25">
      <c r="A52" s="68" t="s">
        <v>133</v>
      </c>
      <c r="B52" s="68" t="s">
        <v>136</v>
      </c>
      <c r="C52" s="2">
        <v>18451</v>
      </c>
      <c r="D52">
        <f>RTD("tos.rtd", , "LAST", Main_L[[#This Row],[Symbol]])</f>
        <v>38.99</v>
      </c>
      <c r="E52">
        <v>-0.09</v>
      </c>
      <c r="F52">
        <v>35.869999999999997</v>
      </c>
      <c r="G52">
        <v>-0.15</v>
      </c>
      <c r="H52" s="1">
        <f>IF(ISNUMBER(Main_L[[#This Row],[Free CF]]),IF(Main_L[[#This Row],[Free CF]]&lt;&gt;0,Main_L[[#This Row],[Current Price]]/Main_L[[#This Row],[Free CF]],""),"")</f>
        <v>-433.22222222222229</v>
      </c>
      <c r="I52" s="1">
        <f>IF(ISNUMBER(Main_L[[#This Row],[BVPS]]),IF(Main_L[[#This Row],[BVPS]]&lt;&gt;0,Main_L[[#This Row],[Current Price]]/Main_L[[#This Row],[BVPS]],""),"")</f>
        <v>1.086980763869529</v>
      </c>
      <c r="J52">
        <v>-1.31</v>
      </c>
      <c r="K52">
        <v>1.69</v>
      </c>
      <c r="L52">
        <v>1.78</v>
      </c>
      <c r="M52" s="1">
        <f>IF(ISNUMBER(Main_L[[#This Row],[EPS]]),IF(Main_L[[#This Row],[EPS]]&lt;&gt;0,Main_L[[#This Row],[Current Price]]/Main_L[[#This Row],[EPS]],""),"")</f>
        <v>-259.93333333333334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-22.556641110716793</v>
      </c>
      <c r="P52" s="1">
        <f>(Main_L[[#This Row],[P/B]]-VLOOKUP(Main_L[[#This Row],[Industry]], Mean_PB_L, 2, FALSE))/(VLOOKUP(Main_L[[#This Row],[Industry]], Mean_PB_L, 3, FALSE))</f>
        <v>-0.92499557376363595</v>
      </c>
      <c r="Q52" s="1">
        <f>(Main_L[[#This Row],[ROE]]-VLOOKUP(Main_L[[#This Row],[Industry]], Mean_ROE_L, 2, FALSE))/(VLOOKUP(Main_L[[#This Row],[Industry]], Mean_ROE_L, 3, FALSE))</f>
        <v>-1.7029864361323486</v>
      </c>
      <c r="R52" s="1">
        <f>(Main_L[[#This Row],[ROA]]-VLOOKUP(Main_L[[#This Row],[Industry]], Mean_ROA_L, 2, FALSE))/(VLOOKUP(Main_L[[#This Row],[Industry]], Mean_ROA_L, 3, FALSE))</f>
        <v>-1.5228996970214947</v>
      </c>
      <c r="S52" s="1">
        <f>(Main_L[[#This Row],[A/E]]-VLOOKUP(Main_L[[#This Row],[Industry]], Mean_AE_L, 2, FALSE))/(VLOOKUP(Main_L[[#This Row],[Industry]], Mean_AE_L, 3, FALSE))</f>
        <v>0.17958889264999572</v>
      </c>
      <c r="T52" s="1">
        <f>(Main_L[[#This Row],[P/E]]-VLOOKUP(Main_L[[#This Row],[Industry]], Mean_PE_L, 2, FALSE))/(VLOOKUP(Main_L[[#This Row],[Industry]], Mean_PE_L, 3, FALSE))</f>
        <v>-24.838018854929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3" spans="1:26" x14ac:dyDescent="0.25">
      <c r="A53" s="68" t="s">
        <v>133</v>
      </c>
      <c r="B53" s="68" t="s">
        <v>363</v>
      </c>
      <c r="C53" s="2">
        <v>10483</v>
      </c>
      <c r="D53">
        <f>RTD("tos.rtd", , "LAST", Main_L[[#This Row],[Symbol]])</f>
        <v>8.23</v>
      </c>
      <c r="E53">
        <v>-0.46</v>
      </c>
      <c r="F53">
        <v>3.79</v>
      </c>
      <c r="G53">
        <v>0.32</v>
      </c>
      <c r="H53" s="1">
        <f>IF(ISNUMBER(Main_L[[#This Row],[Free CF]]),IF(Main_L[[#This Row],[Free CF]]&lt;&gt;0,Main_L[[#This Row],[Current Price]]/Main_L[[#This Row],[Free CF]],""),"")</f>
        <v>-17.891304347826086</v>
      </c>
      <c r="I53" s="1">
        <f>IF(ISNUMBER(Main_L[[#This Row],[BVPS]]),IF(Main_L[[#This Row],[BVPS]]&lt;&gt;0,Main_L[[#This Row],[Current Price]]/Main_L[[#This Row],[BVPS]],""),"")</f>
        <v>2.1715039577836412</v>
      </c>
      <c r="J53">
        <v>9.08</v>
      </c>
      <c r="K53">
        <v>-1.48</v>
      </c>
      <c r="L53">
        <v>1.29</v>
      </c>
      <c r="M53" s="1">
        <f>IF(ISNUMBER(Main_L[[#This Row],[EPS]]),IF(Main_L[[#This Row],[EPS]]&lt;&gt;0,Main_L[[#This Row],[Current Price]]/Main_L[[#This Row],[EPS]],""),"")</f>
        <v>25.71875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-2.1236871104322743</v>
      </c>
      <c r="P53" s="1">
        <f>(Main_L[[#This Row],[P/B]]-VLOOKUP(Main_L[[#This Row],[Industry]], Mean_PB_L, 2, FALSE))/(VLOOKUP(Main_L[[#This Row],[Industry]], Mean_PB_L, 3, FALSE))</f>
        <v>-0.30157545301693633</v>
      </c>
      <c r="Q53" s="1">
        <f>(Main_L[[#This Row],[ROE]]-VLOOKUP(Main_L[[#This Row],[Industry]], Mean_ROE_L, 2, FALSE))/(VLOOKUP(Main_L[[#This Row],[Industry]], Mean_ROE_L, 3, FALSE))</f>
        <v>-0.3972696677712364</v>
      </c>
      <c r="R53" s="1">
        <f>(Main_L[[#This Row],[ROA]]-VLOOKUP(Main_L[[#This Row],[Industry]], Mean_ROA_L, 2, FALSE))/(VLOOKUP(Main_L[[#This Row],[Industry]], Mean_ROA_L, 3, FALSE))</f>
        <v>-2.4601445518135616</v>
      </c>
      <c r="S53" s="1">
        <f>(Main_L[[#This Row],[A/E]]-VLOOKUP(Main_L[[#This Row],[Industry]], Mean_AE_L, 2, FALSE))/(VLOOKUP(Main_L[[#This Row],[Industry]], Mean_AE_L, 3, FALSE))</f>
        <v>-1.1904485279254189</v>
      </c>
      <c r="T53" s="1">
        <f>(Main_L[[#This Row],[P/E]]-VLOOKUP(Main_L[[#This Row],[Industry]], Mean_PE_L, 2, FALSE))/(VLOOKUP(Main_L[[#This Row],[Industry]], Mean_PE_L, 3, FALSE))</f>
        <v>0.33665536540318758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s="68" t="s">
        <v>133</v>
      </c>
      <c r="B54" s="68" t="s">
        <v>154</v>
      </c>
      <c r="C54" s="2">
        <v>18270</v>
      </c>
      <c r="D54">
        <f>RTD("tos.rtd", , "LAST", Main_L[[#This Row],[Symbol]])</f>
        <v>133.63</v>
      </c>
      <c r="E54">
        <v>-1.03</v>
      </c>
      <c r="F54">
        <v>59.08</v>
      </c>
      <c r="G54">
        <v>7.59</v>
      </c>
      <c r="H54" s="1">
        <f>IF(ISNUMBER(Main_L[[#This Row],[Free CF]]),IF(Main_L[[#This Row],[Free CF]]&lt;&gt;0,Main_L[[#This Row],[Current Price]]/Main_L[[#This Row],[Free CF]],""),"")</f>
        <v>-129.73786407766988</v>
      </c>
      <c r="I54" s="1">
        <f>IF(ISNUMBER(Main_L[[#This Row],[BVPS]]),IF(Main_L[[#This Row],[BVPS]]&lt;&gt;0,Main_L[[#This Row],[Current Price]]/Main_L[[#This Row],[BVPS]],""),"")</f>
        <v>2.2618483412322274</v>
      </c>
      <c r="J54">
        <v>13.2</v>
      </c>
      <c r="K54">
        <v>5.92</v>
      </c>
      <c r="L54">
        <v>1.81</v>
      </c>
      <c r="M54" s="1">
        <f>IF(ISNUMBER(Main_L[[#This Row],[EPS]]),IF(Main_L[[#This Row],[EPS]]&lt;&gt;0,Main_L[[#This Row],[Current Price]]/Main_L[[#This Row],[EPS]],""),"")</f>
        <v>17.606060606060606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-7.6261804517565714</v>
      </c>
      <c r="P54" s="1">
        <f>(Main_L[[#This Row],[P/B]]-VLOOKUP(Main_L[[#This Row],[Industry]], Mean_PB_L, 2, FALSE))/(VLOOKUP(Main_L[[#This Row],[Industry]], Mean_PB_L, 3, FALSE))</f>
        <v>-0.24964248675640643</v>
      </c>
      <c r="Q54" s="1">
        <f>(Main_L[[#This Row],[ROE]]-VLOOKUP(Main_L[[#This Row],[Industry]], Mean_ROE_L, 2, FALSE))/(VLOOKUP(Main_L[[#This Row],[Industry]], Mean_ROE_L, 3, FALSE))</f>
        <v>0.12049290062604757</v>
      </c>
      <c r="R54" s="1">
        <f>(Main_L[[#This Row],[ROA]]-VLOOKUP(Main_L[[#This Row],[Industry]], Mean_ROA_L, 2, FALSE))/(VLOOKUP(Main_L[[#This Row],[Industry]], Mean_ROA_L, 3, FALSE))</f>
        <v>-0.27225435450715935</v>
      </c>
      <c r="S54" s="1">
        <f>(Main_L[[#This Row],[A/E]]-VLOOKUP(Main_L[[#This Row],[Industry]], Mean_AE_L, 2, FALSE))/(VLOOKUP(Main_L[[#This Row],[Industry]], Mean_AE_L, 3, FALSE))</f>
        <v>0.2634687347260416</v>
      </c>
      <c r="T54" s="1">
        <f>(Main_L[[#This Row],[P/E]]-VLOOKUP(Main_L[[#This Row],[Industry]], Mean_PE_L, 2, FALSE))/(VLOOKUP(Main_L[[#This Row],[Industry]], Mean_PE_L, 3, FALSE))</f>
        <v>-0.37832038467682561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s="68" t="s">
        <v>133</v>
      </c>
      <c r="B55" s="68" t="s">
        <v>152</v>
      </c>
      <c r="C55" s="2">
        <v>13514</v>
      </c>
      <c r="D55">
        <f>RTD("tos.rtd", , "LAST", Main_L[[#This Row],[Symbol]])</f>
        <v>48.24</v>
      </c>
      <c r="E55">
        <v>-6.35</v>
      </c>
      <c r="F55">
        <v>498.84</v>
      </c>
      <c r="G55">
        <v>7.09</v>
      </c>
      <c r="H55" s="1">
        <f>IF(ISNUMBER(Main_L[[#This Row],[Free CF]]),IF(Main_L[[#This Row],[Free CF]]&lt;&gt;0,Main_L[[#This Row],[Current Price]]/Main_L[[#This Row],[Free CF]],""),"")</f>
        <v>-7.5968503937007883</v>
      </c>
      <c r="I55" s="1">
        <f>IF(ISNUMBER(Main_L[[#This Row],[BVPS]]),IF(Main_L[[#This Row],[BVPS]]&lt;&gt;0,Main_L[[#This Row],[Current Price]]/Main_L[[#This Row],[BVPS]],""),"")</f>
        <v>9.6704354101515524E-2</v>
      </c>
      <c r="J55">
        <v>1.1200000000000001</v>
      </c>
      <c r="K55">
        <v>1.29</v>
      </c>
      <c r="L55">
        <v>1.84</v>
      </c>
      <c r="M55" s="1">
        <f>IF(ISNUMBER(Main_L[[#This Row],[EPS]]),IF(Main_L[[#This Row],[EPS]]&lt;&gt;0,Main_L[[#This Row],[Current Price]]/Main_L[[#This Row],[EPS]],""),"")</f>
        <v>6.8039492242595205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-1.6172328710532022</v>
      </c>
      <c r="P55" s="1">
        <f>(Main_L[[#This Row],[P/B]]-VLOOKUP(Main_L[[#This Row],[Industry]], Mean_PB_L, 2, FALSE))/(VLOOKUP(Main_L[[#This Row],[Industry]], Mean_PB_L, 3, FALSE))</f>
        <v>-1.4942394981117162</v>
      </c>
      <c r="Q55" s="1">
        <f>(Main_L[[#This Row],[ROE]]-VLOOKUP(Main_L[[#This Row],[Industry]], Mean_ROE_L, 2, FALSE))/(VLOOKUP(Main_L[[#This Row],[Industry]], Mean_ROE_L, 3, FALSE))</f>
        <v>-1.3976070571989987</v>
      </c>
      <c r="R55" s="1">
        <f>(Main_L[[#This Row],[ROA]]-VLOOKUP(Main_L[[#This Row],[Industry]], Mean_ROA_L, 2, FALSE))/(VLOOKUP(Main_L[[#This Row],[Industry]], Mean_ROA_L, 3, FALSE))</f>
        <v>-1.6411640320110301</v>
      </c>
      <c r="S55" s="1">
        <f>(Main_L[[#This Row],[A/E]]-VLOOKUP(Main_L[[#This Row],[Industry]], Mean_AE_L, 2, FALSE))/(VLOOKUP(Main_L[[#This Row],[Industry]], Mean_AE_L, 3, FALSE))</f>
        <v>0.34734857680208747</v>
      </c>
      <c r="T55" s="1">
        <f>(Main_L[[#This Row],[P/E]]-VLOOKUP(Main_L[[#This Row],[Industry]], Mean_PE_L, 2, FALSE))/(VLOOKUP(Main_L[[#This Row],[Industry]], Mean_PE_L, 3, FALSE))</f>
        <v>-1.3303163643849543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s="68" t="s">
        <v>133</v>
      </c>
      <c r="B56" s="68" t="s">
        <v>216</v>
      </c>
      <c r="C56" s="2">
        <v>12186</v>
      </c>
      <c r="D56">
        <f>RTD("tos.rtd", , "LAST", Main_L[[#This Row],[Symbol]])</f>
        <v>53.14</v>
      </c>
      <c r="E56">
        <v>-6.36</v>
      </c>
      <c r="F56">
        <v>49.63</v>
      </c>
      <c r="G56">
        <v>0.43</v>
      </c>
      <c r="H56" s="1">
        <f>IF(ISNUMBER(Main_L[[#This Row],[Free CF]]),IF(Main_L[[#This Row],[Free CF]]&lt;&gt;0,Main_L[[#This Row],[Current Price]]/Main_L[[#This Row],[Free CF]],""),"")</f>
        <v>-8.3553459119496853</v>
      </c>
      <c r="I56" s="1">
        <f>IF(ISNUMBER(Main_L[[#This Row],[BVPS]]),IF(Main_L[[#This Row],[BVPS]]&lt;&gt;0,Main_L[[#This Row],[Current Price]]/Main_L[[#This Row],[BVPS]],""),"")</f>
        <v>1.0707233528107998</v>
      </c>
      <c r="J56">
        <v>0.86</v>
      </c>
      <c r="K56">
        <v>-0.06</v>
      </c>
      <c r="L56">
        <v>1.79</v>
      </c>
      <c r="M56" s="1">
        <f>IF(ISNUMBER(Main_L[[#This Row],[EPS]]),IF(Main_L[[#This Row],[EPS]]&lt;&gt;0,Main_L[[#This Row],[Current Price]]/Main_L[[#This Row],[EPS]],""),"")</f>
        <v>123.58139534883722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-1.6545484268348902</v>
      </c>
      <c r="P56" s="1">
        <f>(Main_L[[#This Row],[P/B]]-VLOOKUP(Main_L[[#This Row],[Industry]], Mean_PB_L, 2, FALSE))/(VLOOKUP(Main_L[[#This Row],[Industry]], Mean_PB_L, 3, FALSE))</f>
        <v>-0.93434087612520478</v>
      </c>
      <c r="Q56" s="1">
        <f>(Main_L[[#This Row],[ROE]]-VLOOKUP(Main_L[[#This Row],[Industry]], Mean_ROE_L, 2, FALSE))/(VLOOKUP(Main_L[[#This Row],[Industry]], Mean_ROE_L, 3, FALSE))</f>
        <v>-1.4302813940396042</v>
      </c>
      <c r="R56" s="1">
        <f>(Main_L[[#This Row],[ROA]]-VLOOKUP(Main_L[[#This Row],[Industry]], Mean_ROA_L, 2, FALSE))/(VLOOKUP(Main_L[[#This Row],[Industry]], Mean_ROA_L, 3, FALSE))</f>
        <v>-2.0403061626007113</v>
      </c>
      <c r="S56" s="1">
        <f>(Main_L[[#This Row],[A/E]]-VLOOKUP(Main_L[[#This Row],[Industry]], Mean_AE_L, 2, FALSE))/(VLOOKUP(Main_L[[#This Row],[Industry]], Mean_AE_L, 3, FALSE))</f>
        <v>0.20754884000867768</v>
      </c>
      <c r="T56" s="1">
        <f>(Main_L[[#This Row],[P/E]]-VLOOKUP(Main_L[[#This Row],[Industry]], Mean_PE_L, 2, FALSE))/(VLOOKUP(Main_L[[#This Row],[Industry]], Mean_PE_L, 3, FALSE))</f>
        <v>8.9613437844335078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7" spans="1:26" x14ac:dyDescent="0.25">
      <c r="A57" s="68" t="s">
        <v>156</v>
      </c>
      <c r="B57" s="68" t="s">
        <v>157</v>
      </c>
      <c r="C57" s="2">
        <v>10725</v>
      </c>
      <c r="D57">
        <f>RTD("tos.rtd", , "LAST", Main_L[[#This Row],[Symbol]])</f>
        <v>9.6199999999999992</v>
      </c>
      <c r="E57">
        <v>0.92</v>
      </c>
      <c r="F57">
        <v>5.43</v>
      </c>
      <c r="G57">
        <v>-0.13</v>
      </c>
      <c r="H57" s="1">
        <f>IF(ISNUMBER(Main_L[[#This Row],[Free CF]]),IF(Main_L[[#This Row],[Free CF]]&lt;&gt;0,Main_L[[#This Row],[Current Price]]/Main_L[[#This Row],[Free CF]],""),"")</f>
        <v>10.456521739130434</v>
      </c>
      <c r="I57" s="1">
        <f>IF(ISNUMBER(Main_L[[#This Row],[BVPS]]),IF(Main_L[[#This Row],[BVPS]]&lt;&gt;0,Main_L[[#This Row],[Current Price]]/Main_L[[#This Row],[BVPS]],""),"")</f>
        <v>1.7716390423572743</v>
      </c>
      <c r="J57">
        <v>-2.2000000000000002</v>
      </c>
      <c r="K57">
        <v>6.02</v>
      </c>
      <c r="L57">
        <v>4.04</v>
      </c>
      <c r="M57" s="1">
        <f>IF(ISNUMBER(Main_L[[#This Row],[EPS]]),IF(Main_L[[#This Row],[EPS]]&lt;&gt;0,Main_L[[#This Row],[Current Price]]/Main_L[[#This Row],[EPS]],""),"")</f>
        <v>-73.999999999999986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 t="e">
        <f>(Main_L[[#This Row],[P/FCF]]-VLOOKUP(Main_L[[#This Row],[Industry]], Mean_PFCF_L, 2, FALSE))/(VLOOKUP(Main_L[[#This Row],[Industry]], Mean_PFCF_L, 3, FALSE))</f>
        <v>#DIV/0!</v>
      </c>
      <c r="P57" s="1" t="e">
        <f>(Main_L[[#This Row],[P/B]]-VLOOKUP(Main_L[[#This Row],[Industry]], Mean_PB_L, 2, FALSE))/(VLOOKUP(Main_L[[#This Row],[Industry]], Mean_PB_L, 3, FALSE))</f>
        <v>#DIV/0!</v>
      </c>
      <c r="Q57" s="1" t="e">
        <f>(Main_L[[#This Row],[ROE]]-VLOOKUP(Main_L[[#This Row],[Industry]], Mean_ROE_L, 2, FALSE))/(VLOOKUP(Main_L[[#This Row],[Industry]], Mean_ROE_L, 3, FALSE))</f>
        <v>#DIV/0!</v>
      </c>
      <c r="R57" s="1" t="e">
        <f>(Main_L[[#This Row],[ROA]]-VLOOKUP(Main_L[[#This Row],[Industry]], Mean_ROA_L, 2, FALSE))/(VLOOKUP(Main_L[[#This Row],[Industry]], Mean_ROA_L, 3, FALSE))</f>
        <v>#DIV/0!</v>
      </c>
      <c r="S57" s="1" t="e">
        <f>(Main_L[[#This Row],[A/E]]-VLOOKUP(Main_L[[#This Row],[Industry]], Mean_AE_L, 2, FALSE))/(VLOOKUP(Main_L[[#This Row],[Industry]], Mean_AE_L, 3, FALSE))</f>
        <v>#DIV/0!</v>
      </c>
      <c r="T57" s="1" t="e">
        <f>(Main_L[[#This Row],[P/E]]-VLOOKUP(Main_L[[#This Row],[Industry]], Mean_PE_L, 2, FALSE))/(VLOOKUP(Main_L[[#This Row],[Industry]], Mean_PE_L, 3, FALSE))</f>
        <v>#DIV/0!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77"/>
  <sheetViews>
    <sheetView topLeftCell="H1" workbookViewId="0">
      <selection activeCell="B24" sqref="B24"/>
    </sheetView>
  </sheetViews>
  <sheetFormatPr defaultRowHeight="15" x14ac:dyDescent="0.25"/>
  <cols>
    <col min="1" max="1" width="22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175</v>
      </c>
      <c r="C2" s="2">
        <v>6076</v>
      </c>
      <c r="D2">
        <f>RTD("tos.rtd", , "LAST", Main_M[[#This Row],[Symbol]])</f>
        <v>648.5</v>
      </c>
      <c r="E2">
        <v>50.39</v>
      </c>
      <c r="F2">
        <v>161.06</v>
      </c>
      <c r="G2">
        <v>50.24</v>
      </c>
      <c r="H2" s="1">
        <f>IF(ISNUMBER(Main_M[[#This Row],[Free CF]]),IF(Main_M[[#This Row],[Free CF]]&lt;&gt;0,Main_M[[#This Row],[Current Price]]/Main_M[[#This Row],[Free CF]],""),"")</f>
        <v>12.869616987497519</v>
      </c>
      <c r="I2" s="1">
        <f>IF(ISNUMBER(Main_M[[#This Row],[BVPS]]),IF(Main_M[[#This Row],[BVPS]]&lt;&gt;0,Main_M[[#This Row],[Current Price]]/Main_M[[#This Row],[BVPS]],""),"")</f>
        <v>4.0264497702719479</v>
      </c>
      <c r="J2">
        <v>35.979999999999997</v>
      </c>
      <c r="K2">
        <v>12.81</v>
      </c>
      <c r="L2">
        <v>2.13</v>
      </c>
      <c r="M2" s="1">
        <f>IF(ISNUMBER(Main_M[[#This Row],[EPS]]),IF(Main_M[[#This Row],[EPS]]&lt;&gt;0,Main_M[[#This Row],[Current Price]]/Main_M[[#This Row],[EPS]],""),"")</f>
        <v>12.908041401273884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-0.52504842939883012</v>
      </c>
      <c r="P2" s="1">
        <f>(Main_M[[#This Row],[P/B]]-VLOOKUP(Main_M[[#This Row],[Industry]], Mean_PB_M, 2, FALSE))/(VLOOKUP(Main_M[[#This Row],[Industry]], Mean_PB_M, 3, FALSE))</f>
        <v>2.313179673609242</v>
      </c>
      <c r="Q2" s="1">
        <f>(Main_M[[#This Row],[ROE]]-VLOOKUP(Main_M[[#This Row],[Industry]], Mean_ROE_M, 2, FALSE))/(VLOOKUP(Main_M[[#This Row],[Industry]], Mean_ROE_M, 3, FALSE))</f>
        <v>2.2227297764981278</v>
      </c>
      <c r="R2" s="1">
        <f>(Main_M[[#This Row],[ROA]]-VLOOKUP(Main_M[[#This Row],[Industry]], Mean_ROA_M, 2, FALSE))/(VLOOKUP(Main_M[[#This Row],[Industry]], Mean_ROA_M, 3, FALSE))</f>
        <v>2.6977552501733562</v>
      </c>
      <c r="S2" s="1">
        <f>(Main_M[[#This Row],[A/E]]-VLOOKUP(Main_M[[#This Row],[Industry]], Mean_AE_M, 2, FALSE))/(VLOOKUP(Main_M[[#This Row],[Industry]], Mean_AE_M, 3, FALSE))</f>
        <v>-0.12857623814149569</v>
      </c>
      <c r="T2" s="1">
        <f>(Main_M[[#This Row],[P/E]]-VLOOKUP(Main_M[[#This Row],[Industry]], Mean_PE_M, 2, FALSE))/(VLOOKUP(Main_M[[#This Row],[Industry]], Mean_PE_M, 3, FALSE))</f>
        <v>-0.15092211454232005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s="68" t="s">
        <v>105</v>
      </c>
      <c r="B3" s="68" t="s">
        <v>164</v>
      </c>
      <c r="C3" s="2">
        <v>3438</v>
      </c>
      <c r="D3">
        <f>RTD("tos.rtd", , "LAST", Main_M[[#This Row],[Symbol]])</f>
        <v>65.37</v>
      </c>
      <c r="E3">
        <v>6.68</v>
      </c>
      <c r="F3">
        <v>-5.03</v>
      </c>
      <c r="G3">
        <v>0.63</v>
      </c>
      <c r="H3" s="1">
        <f>IF(ISNUMBER(Main_M[[#This Row],[Free CF]]),IF(Main_M[[#This Row],[Free CF]]&lt;&gt;0,Main_M[[#This Row],[Current Price]]/Main_M[[#This Row],[Free CF]],""),"")</f>
        <v>9.7859281437125762</v>
      </c>
      <c r="I3" s="1">
        <f>IF(ISNUMBER(Main_M[[#This Row],[BVPS]]),IF(Main_M[[#This Row],[BVPS]]&lt;&gt;0,Main_M[[#This Row],[Current Price]]/Main_M[[#This Row],[BVPS]],""),"")</f>
        <v>-12.996023856858848</v>
      </c>
      <c r="J3">
        <v>-13.35</v>
      </c>
      <c r="K3">
        <v>6.69</v>
      </c>
      <c r="L3">
        <v>-12.19</v>
      </c>
      <c r="M3" s="1">
        <f>IF(ISNUMBER(Main_M[[#This Row],[EPS]]),IF(Main_M[[#This Row],[EPS]]&lt;&gt;0,Main_M[[#This Row],[Current Price]]/Main_M[[#This Row],[EPS]],""),"")</f>
        <v>103.76190476190477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-0.72800009677245536</v>
      </c>
      <c r="P3" s="1">
        <f>(Main_M[[#This Row],[P/B]]-VLOOKUP(Main_M[[#This Row],[Industry]], Mean_PB_M, 2, FALSE))/(VLOOKUP(Main_M[[#This Row],[Industry]], Mean_PB_M, 3, FALSE))</f>
        <v>-14.067888007443099</v>
      </c>
      <c r="Q3" s="1">
        <f>(Main_M[[#This Row],[ROE]]-VLOOKUP(Main_M[[#This Row],[Industry]], Mean_ROE_M, 2, FALSE))/(VLOOKUP(Main_M[[#This Row],[Industry]], Mean_ROE_M, 3, FALSE))</f>
        <v>-1.0562807255393325</v>
      </c>
      <c r="R3" s="1">
        <f>(Main_M[[#This Row],[ROA]]-VLOOKUP(Main_M[[#This Row],[Industry]], Mean_ROA_M, 2, FALSE))/(VLOOKUP(Main_M[[#This Row],[Industry]], Mean_ROA_M, 3, FALSE))</f>
        <v>0.7687716919655021</v>
      </c>
      <c r="S3" s="1">
        <f>(Main_M[[#This Row],[A/E]]-VLOOKUP(Main_M[[#This Row],[Industry]], Mean_AE_M, 2, FALSE))/(VLOOKUP(Main_M[[#This Row],[Industry]], Mean_AE_M, 3, FALSE))</f>
        <v>-35.880260319427059</v>
      </c>
      <c r="T3" s="1">
        <f>(Main_M[[#This Row],[P/E]]-VLOOKUP(Main_M[[#This Row],[Industry]], Mean_PE_M, 2, FALSE))/(VLOOKUP(Main_M[[#This Row],[Industry]], Mean_PE_M, 3, FALSE))</f>
        <v>3.8883375825388686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" spans="1:26" x14ac:dyDescent="0.25">
      <c r="A4" s="68" t="s">
        <v>105</v>
      </c>
      <c r="B4" s="68" t="s">
        <v>158</v>
      </c>
      <c r="C4" s="2">
        <v>4013</v>
      </c>
      <c r="D4">
        <f>RTD("tos.rtd", , "LAST", Main_M[[#This Row],[Symbol]])</f>
        <v>76.62</v>
      </c>
      <c r="E4">
        <v>5.28</v>
      </c>
      <c r="F4">
        <v>26.57</v>
      </c>
      <c r="G4">
        <v>7.72</v>
      </c>
      <c r="H4" s="1">
        <f>IF(ISNUMBER(Main_M[[#This Row],[Free CF]]),IF(Main_M[[#This Row],[Free CF]]&lt;&gt;0,Main_M[[#This Row],[Current Price]]/Main_M[[#This Row],[Free CF]],""),"")</f>
        <v>14.511363636363637</v>
      </c>
      <c r="I4" s="1">
        <f>IF(ISNUMBER(Main_M[[#This Row],[BVPS]]),IF(Main_M[[#This Row],[BVPS]]&lt;&gt;0,Main_M[[#This Row],[Current Price]]/Main_M[[#This Row],[BVPS]],""),"")</f>
        <v>2.8837034249153182</v>
      </c>
      <c r="J4">
        <v>30.68</v>
      </c>
      <c r="K4">
        <v>11.06</v>
      </c>
      <c r="L4">
        <v>2.65</v>
      </c>
      <c r="M4" s="1">
        <f>IF(ISNUMBER(Main_M[[#This Row],[EPS]]),IF(Main_M[[#This Row],[EPS]]&lt;&gt;0,Main_M[[#This Row],[Current Price]]/Main_M[[#This Row],[EPS]],""),"")</f>
        <v>9.924870466321245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-0.41699757320950265</v>
      </c>
      <c r="P4" s="1">
        <f>(Main_M[[#This Row],[P/B]]-VLOOKUP(Main_M[[#This Row],[Industry]], Mean_PB_M, 2, FALSE))/(VLOOKUP(Main_M[[#This Row],[Industry]], Mean_PB_M, 3, FALSE))</f>
        <v>1.2134919527995731</v>
      </c>
      <c r="Q4" s="1">
        <f>(Main_M[[#This Row],[ROE]]-VLOOKUP(Main_M[[#This Row],[Industry]], Mean_ROE_M, 2, FALSE))/(VLOOKUP(Main_M[[#This Row],[Industry]], Mean_ROE_M, 3, FALSE))</f>
        <v>1.8704338985172131</v>
      </c>
      <c r="R4" s="1">
        <f>(Main_M[[#This Row],[ROA]]-VLOOKUP(Main_M[[#This Row],[Industry]], Mean_ROA_M, 2, FALSE))/(VLOOKUP(Main_M[[#This Row],[Industry]], Mean_ROA_M, 3, FALSE))</f>
        <v>2.1461668144113064</v>
      </c>
      <c r="S4" s="1">
        <f>(Main_M[[#This Row],[A/E]]-VLOOKUP(Main_M[[#This Row],[Industry]], Mean_AE_M, 2, FALSE))/(VLOOKUP(Main_M[[#This Row],[Industry]], Mean_AE_M, 3, FALSE))</f>
        <v>1.1696692731901031</v>
      </c>
      <c r="T4" s="1">
        <f>(Main_M[[#This Row],[P/E]]-VLOOKUP(Main_M[[#This Row],[Industry]], Mean_PE_M, 2, FALSE))/(VLOOKUP(Main_M[[#This Row],[Industry]], Mean_PE_M, 3, FALSE))</f>
        <v>-0.28355051009252696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8" t="s">
        <v>105</v>
      </c>
      <c r="B5" s="68" t="s">
        <v>171</v>
      </c>
      <c r="C5" s="2">
        <v>9049</v>
      </c>
      <c r="D5">
        <f>RTD("tos.rtd", , "LAST", Main_M[[#This Row],[Symbol]])</f>
        <v>79.95</v>
      </c>
      <c r="E5">
        <v>4.95</v>
      </c>
      <c r="F5">
        <v>50.87</v>
      </c>
      <c r="G5">
        <v>7.86</v>
      </c>
      <c r="H5" s="1">
        <f>IF(ISNUMBER(Main_M[[#This Row],[Free CF]]),IF(Main_M[[#This Row],[Free CF]]&lt;&gt;0,Main_M[[#This Row],[Current Price]]/Main_M[[#This Row],[Free CF]],""),"")</f>
        <v>16.151515151515152</v>
      </c>
      <c r="I5" s="1">
        <f>IF(ISNUMBER(Main_M[[#This Row],[BVPS]]),IF(Main_M[[#This Row],[BVPS]]&lt;&gt;0,Main_M[[#This Row],[Current Price]]/Main_M[[#This Row],[BVPS]],""),"")</f>
        <v>1.5716532337330451</v>
      </c>
      <c r="J5">
        <v>16.03</v>
      </c>
      <c r="K5">
        <v>5.95</v>
      </c>
      <c r="L5">
        <v>2.5499999999999998</v>
      </c>
      <c r="M5" s="1">
        <f>IF(ISNUMBER(Main_M[[#This Row],[EPS]]),IF(Main_M[[#This Row],[EPS]]&lt;&gt;0,Main_M[[#This Row],[Current Price]]/Main_M[[#This Row],[EPS]],""),"")</f>
        <v>10.17175572519084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-0.3090517000659565</v>
      </c>
      <c r="P5" s="1">
        <f>(Main_M[[#This Row],[P/B]]-VLOOKUP(Main_M[[#This Row],[Industry]], Mean_PB_M, 2, FALSE))/(VLOOKUP(Main_M[[#This Row],[Industry]], Mean_PB_M, 3, FALSE))</f>
        <v>-4.9120253480412254E-2</v>
      </c>
      <c r="Q5" s="1">
        <f>(Main_M[[#This Row],[ROE]]-VLOOKUP(Main_M[[#This Row],[Industry]], Mean_ROE_M, 2, FALSE))/(VLOOKUP(Main_M[[#This Row],[Industry]], Mean_ROE_M, 3, FALSE))</f>
        <v>0.89663491504166482</v>
      </c>
      <c r="R5" s="1">
        <f>(Main_M[[#This Row],[ROA]]-VLOOKUP(Main_M[[#This Row],[Industry]], Mean_ROA_M, 2, FALSE))/(VLOOKUP(Main_M[[#This Row],[Industry]], Mean_ROA_M, 3, FALSE))</f>
        <v>0.53552858198612097</v>
      </c>
      <c r="S5" s="1">
        <f>(Main_M[[#This Row],[A/E]]-VLOOKUP(Main_M[[#This Row],[Industry]], Mean_AE_M, 2, FALSE))/(VLOOKUP(Main_M[[#This Row],[Industry]], Mean_AE_M, 3, FALSE))</f>
        <v>0.92000667485710308</v>
      </c>
      <c r="T5" s="1">
        <f>(Main_M[[#This Row],[P/E]]-VLOOKUP(Main_M[[#This Row],[Industry]], Mean_PE_M, 2, FALSE))/(VLOOKUP(Main_M[[#This Row],[Industry]], Mean_PE_M, 3, FALSE))</f>
        <v>-0.27257427155881664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8" t="s">
        <v>105</v>
      </c>
      <c r="B6" s="68" t="s">
        <v>169</v>
      </c>
      <c r="C6" s="2">
        <v>5437</v>
      </c>
      <c r="D6">
        <f>RTD("tos.rtd", , "LAST", Main_M[[#This Row],[Symbol]])</f>
        <v>168.07</v>
      </c>
      <c r="E6">
        <v>4.66</v>
      </c>
      <c r="F6">
        <v>37.06</v>
      </c>
      <c r="G6">
        <v>4.17</v>
      </c>
      <c r="H6" s="1">
        <f>IF(ISNUMBER(Main_M[[#This Row],[Free CF]]),IF(Main_M[[#This Row],[Free CF]]&lt;&gt;0,Main_M[[#This Row],[Current Price]]/Main_M[[#This Row],[Free CF]],""),"")</f>
        <v>36.066523605150209</v>
      </c>
      <c r="I6" s="1">
        <f>IF(ISNUMBER(Main_M[[#This Row],[BVPS]]),IF(Main_M[[#This Row],[BVPS]]&lt;&gt;0,Main_M[[#This Row],[Current Price]]/Main_M[[#This Row],[BVPS]],""),"")</f>
        <v>4.5350782514840793</v>
      </c>
      <c r="J6">
        <v>11.94</v>
      </c>
      <c r="K6">
        <v>7.54</v>
      </c>
      <c r="L6">
        <v>1.34</v>
      </c>
      <c r="M6" s="1">
        <f>IF(ISNUMBER(Main_M[[#This Row],[EPS]]),IF(Main_M[[#This Row],[EPS]]&lt;&gt;0,Main_M[[#This Row],[Current Price]]/Main_M[[#This Row],[EPS]],""),"")</f>
        <v>40.304556354916066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1.0016460960398792</v>
      </c>
      <c r="P6" s="1">
        <f>(Main_M[[#This Row],[P/B]]-VLOOKUP(Main_M[[#This Row],[Industry]], Mean_PB_M, 2, FALSE))/(VLOOKUP(Main_M[[#This Row],[Industry]], Mean_PB_M, 3, FALSE))</f>
        <v>2.8026430593516789</v>
      </c>
      <c r="Q6" s="1">
        <f>(Main_M[[#This Row],[ROE]]-VLOOKUP(Main_M[[#This Row],[Industry]], Mean_ROE_M, 2, FALSE))/(VLOOKUP(Main_M[[#This Row],[Industry]], Mean_ROE_M, 3, FALSE))</f>
        <v>0.62476885071299615</v>
      </c>
      <c r="R6" s="1">
        <f>(Main_M[[#This Row],[ROA]]-VLOOKUP(Main_M[[#This Row],[Industry]], Mean_ROA_M, 2, FALSE))/(VLOOKUP(Main_M[[#This Row],[Industry]], Mean_ROA_M, 3, FALSE))</f>
        <v>1.036686075049926</v>
      </c>
      <c r="S6" s="1">
        <f>(Main_M[[#This Row],[A/E]]-VLOOKUP(Main_M[[#This Row],[Industry]], Mean_AE_M, 2, FALSE))/(VLOOKUP(Main_M[[#This Row],[Industry]], Mean_AE_M, 3, FALSE))</f>
        <v>-2.100910764972193</v>
      </c>
      <c r="T6" s="1">
        <f>(Main_M[[#This Row],[P/E]]-VLOOKUP(Main_M[[#This Row],[Industry]], Mean_PE_M, 2, FALSE))/(VLOOKUP(Main_M[[#This Row],[Industry]], Mean_PE_M, 3, FALSE))</f>
        <v>1.0670958606919754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8" t="s">
        <v>105</v>
      </c>
      <c r="B7" s="68" t="s">
        <v>170</v>
      </c>
      <c r="C7" s="2">
        <v>5780</v>
      </c>
      <c r="D7">
        <f>RTD("tos.rtd", , "LAST", Main_M[[#This Row],[Symbol]])</f>
        <v>56.91</v>
      </c>
      <c r="E7">
        <v>4.59</v>
      </c>
      <c r="F7">
        <v>47.4</v>
      </c>
      <c r="G7">
        <v>-15.1</v>
      </c>
      <c r="H7" s="1">
        <f>IF(ISNUMBER(Main_M[[#This Row],[Free CF]]),IF(Main_M[[#This Row],[Free CF]]&lt;&gt;0,Main_M[[#This Row],[Current Price]]/Main_M[[#This Row],[Free CF]],""),"")</f>
        <v>12.398692810457517</v>
      </c>
      <c r="I7" s="1">
        <f>IF(ISNUMBER(Main_M[[#This Row],[BVPS]]),IF(Main_M[[#This Row],[BVPS]]&lt;&gt;0,Main_M[[#This Row],[Current Price]]/Main_M[[#This Row],[BVPS]],""),"")</f>
        <v>1.200632911392405</v>
      </c>
      <c r="J7">
        <v>-24.98</v>
      </c>
      <c r="K7">
        <v>2.66</v>
      </c>
      <c r="L7">
        <v>4.47</v>
      </c>
      <c r="M7" s="1">
        <f>IF(ISNUMBER(Main_M[[#This Row],[EPS]]),IF(Main_M[[#This Row],[EPS]]&lt;&gt;0,Main_M[[#This Row],[Current Price]]/Main_M[[#This Row],[EPS]],""),"")</f>
        <v>-3.7688741721854302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-0.55604210346210281</v>
      </c>
      <c r="P7" s="1">
        <f>(Main_M[[#This Row],[P/B]]-VLOOKUP(Main_M[[#This Row],[Industry]], Mean_PB_M, 2, FALSE))/(VLOOKUP(Main_M[[#This Row],[Industry]], Mean_PB_M, 3, FALSE))</f>
        <v>-0.40616054882392177</v>
      </c>
      <c r="Q7" s="1">
        <f>(Main_M[[#This Row],[ROE]]-VLOOKUP(Main_M[[#This Row],[Industry]], Mean_ROE_M, 2, FALSE))/(VLOOKUP(Main_M[[#This Row],[Industry]], Mean_ROE_M, 3, FALSE))</f>
        <v>-1.8293375294861329</v>
      </c>
      <c r="R7" s="1">
        <f>(Main_M[[#This Row],[ROA]]-VLOOKUP(Main_M[[#This Row],[Industry]], Mean_ROA_M, 2, FALSE))/(VLOOKUP(Main_M[[#This Row],[Industry]], Mean_ROA_M, 3, FALSE))</f>
        <v>-0.50145767724653278</v>
      </c>
      <c r="S7" s="1">
        <f>(Main_M[[#This Row],[A/E]]-VLOOKUP(Main_M[[#This Row],[Industry]], Mean_AE_M, 2, FALSE))/(VLOOKUP(Main_M[[#This Row],[Industry]], Mean_AE_M, 3, FALSE))</f>
        <v>5.7135285628506978</v>
      </c>
      <c r="T7" s="1">
        <f>(Main_M[[#This Row],[P/E]]-VLOOKUP(Main_M[[#This Row],[Industry]], Mean_PE_M, 2, FALSE))/(VLOOKUP(Main_M[[#This Row],[Industry]], Mean_PE_M, 3, FALSE))</f>
        <v>-0.89235886203774395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8" t="s">
        <v>105</v>
      </c>
      <c r="B8" s="68" t="s">
        <v>159</v>
      </c>
      <c r="C8" s="2">
        <v>2777</v>
      </c>
      <c r="D8">
        <f>RTD("tos.rtd", , "LAST", Main_M[[#This Row],[Symbol]])</f>
        <v>136.97</v>
      </c>
      <c r="E8">
        <v>3.36</v>
      </c>
      <c r="F8">
        <v>22.25</v>
      </c>
      <c r="G8">
        <v>4.03</v>
      </c>
      <c r="H8" s="1">
        <f>IF(ISNUMBER(Main_M[[#This Row],[Free CF]]),IF(Main_M[[#This Row],[Free CF]]&lt;&gt;0,Main_M[[#This Row],[Current Price]]/Main_M[[#This Row],[Free CF]],""),"")</f>
        <v>40.764880952380956</v>
      </c>
      <c r="I8" s="1">
        <f>IF(ISNUMBER(Main_M[[#This Row],[BVPS]]),IF(Main_M[[#This Row],[BVPS]]&lt;&gt;0,Main_M[[#This Row],[Current Price]]/Main_M[[#This Row],[BVPS]],""),"")</f>
        <v>6.1559550561797751</v>
      </c>
      <c r="J8">
        <v>19.47</v>
      </c>
      <c r="K8">
        <v>10.43</v>
      </c>
      <c r="L8">
        <v>1.67</v>
      </c>
      <c r="M8" s="1">
        <f>IF(ISNUMBER(Main_M[[#This Row],[EPS]]),IF(Main_M[[#This Row],[EPS]]&lt;&gt;0,Main_M[[#This Row],[Current Price]]/Main_M[[#This Row],[EPS]],""),"")</f>
        <v>33.987593052109176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1.3108664829992915</v>
      </c>
      <c r="P8" s="1">
        <f>(Main_M[[#This Row],[P/B]]-VLOOKUP(Main_M[[#This Row],[Industry]], Mean_PB_M, 2, FALSE))/(VLOOKUP(Main_M[[#This Row],[Industry]], Mean_PB_M, 3, FALSE))</f>
        <v>4.3624453079537489</v>
      </c>
      <c r="Q8" s="1">
        <f>(Main_M[[#This Row],[ROE]]-VLOOKUP(Main_M[[#This Row],[Industry]], Mean_ROE_M, 2, FALSE))/(VLOOKUP(Main_M[[#This Row],[Industry]], Mean_ROE_M, 3, FALSE))</f>
        <v>1.1252948811273906</v>
      </c>
      <c r="R8" s="1">
        <f>(Main_M[[#This Row],[ROA]]-VLOOKUP(Main_M[[#This Row],[Industry]], Mean_ROA_M, 2, FALSE))/(VLOOKUP(Main_M[[#This Row],[Industry]], Mean_ROA_M, 3, FALSE))</f>
        <v>1.9475949775369683</v>
      </c>
      <c r="S8" s="1">
        <f>(Main_M[[#This Row],[A/E]]-VLOOKUP(Main_M[[#This Row],[Industry]], Mean_AE_M, 2, FALSE))/(VLOOKUP(Main_M[[#This Row],[Industry]], Mean_AE_M, 3, FALSE))</f>
        <v>-1.2770241904732944</v>
      </c>
      <c r="T8" s="1">
        <f>(Main_M[[#This Row],[P/E]]-VLOOKUP(Main_M[[#This Row],[Industry]], Mean_PE_M, 2, FALSE))/(VLOOKUP(Main_M[[#This Row],[Industry]], Mean_PE_M, 3, FALSE))</f>
        <v>0.78625083844248278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8" t="s">
        <v>105</v>
      </c>
      <c r="B9" s="68" t="s">
        <v>174</v>
      </c>
      <c r="C9" s="2">
        <v>2124</v>
      </c>
      <c r="D9">
        <f>RTD("tos.rtd", , "LAST", Main_M[[#This Row],[Symbol]])</f>
        <v>87.52</v>
      </c>
      <c r="E9">
        <v>2.75</v>
      </c>
      <c r="F9">
        <v>50.45</v>
      </c>
      <c r="G9">
        <v>1.08</v>
      </c>
      <c r="H9" s="1">
        <f>IF(ISNUMBER(Main_M[[#This Row],[Free CF]]),IF(Main_M[[#This Row],[Free CF]]&lt;&gt;0,Main_M[[#This Row],[Current Price]]/Main_M[[#This Row],[Free CF]],""),"")</f>
        <v>31.825454545454544</v>
      </c>
      <c r="I9" s="1">
        <f>IF(ISNUMBER(Main_M[[#This Row],[BVPS]]),IF(Main_M[[#This Row],[BVPS]]&lt;&gt;0,Main_M[[#This Row],[Current Price]]/Main_M[[#This Row],[BVPS]],""),"")</f>
        <v>1.7347869177403368</v>
      </c>
      <c r="J9">
        <v>2.2000000000000002</v>
      </c>
      <c r="K9">
        <v>0.81</v>
      </c>
      <c r="L9">
        <v>1.41</v>
      </c>
      <c r="M9" s="1">
        <f>IF(ISNUMBER(Main_M[[#This Row],[EPS]]),IF(Main_M[[#This Row],[EPS]]&lt;&gt;0,Main_M[[#This Row],[Current Price]]/Main_M[[#This Row],[EPS]],""),"")</f>
        <v>81.037037037037024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0.72252194288587313</v>
      </c>
      <c r="P9" s="1">
        <f>(Main_M[[#This Row],[P/B]]-VLOOKUP(Main_M[[#This Row],[Industry]], Mean_PB_M, 2, FALSE))/(VLOOKUP(Main_M[[#This Row],[Industry]], Mean_PB_M, 3, FALSE))</f>
        <v>0.10786656155707287</v>
      </c>
      <c r="Q9" s="1">
        <f>(Main_M[[#This Row],[ROE]]-VLOOKUP(Main_M[[#This Row],[Industry]], Mean_ROE_M, 2, FALSE))/(VLOOKUP(Main_M[[#This Row],[Industry]], Mean_ROE_M, 3, FALSE))</f>
        <v>-2.2657913727402425E-2</v>
      </c>
      <c r="R9" s="1">
        <f>(Main_M[[#This Row],[ROA]]-VLOOKUP(Main_M[[#This Row],[Industry]], Mean_ROA_M, 2, FALSE))/(VLOOKUP(Main_M[[#This Row],[Industry]], Mean_ROA_M, 3, FALSE))</f>
        <v>-1.0845654521949855</v>
      </c>
      <c r="S9" s="1">
        <f>(Main_M[[#This Row],[A/E]]-VLOOKUP(Main_M[[#This Row],[Industry]], Mean_AE_M, 2, FALSE))/(VLOOKUP(Main_M[[#This Row],[Industry]], Mean_AE_M, 3, FALSE))</f>
        <v>-1.9261469461390939</v>
      </c>
      <c r="T9" s="1">
        <f>(Main_M[[#This Row],[P/E]]-VLOOKUP(Main_M[[#This Row],[Industry]], Mean_PE_M, 2, FALSE))/(VLOOKUP(Main_M[[#This Row],[Industry]], Mean_PE_M, 3, FALSE))</f>
        <v>2.878015743409077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8" t="s">
        <v>105</v>
      </c>
      <c r="B10" s="68" t="s">
        <v>365</v>
      </c>
      <c r="C10" s="2">
        <v>2634</v>
      </c>
      <c r="D10">
        <f>RTD("tos.rtd", , "LAST", Main_M[[#This Row],[Symbol]])</f>
        <v>6</v>
      </c>
      <c r="E10">
        <v>2.0499999999999998</v>
      </c>
      <c r="F10">
        <v>54.6</v>
      </c>
      <c r="G10">
        <v>-1.7</v>
      </c>
      <c r="H10" s="1">
        <f>IF(ISNUMBER(Main_M[[#This Row],[Free CF]]),IF(Main_M[[#This Row],[Free CF]]&lt;&gt;0,Main_M[[#This Row],[Current Price]]/Main_M[[#This Row],[Free CF]],""),"")</f>
        <v>2.9268292682926833</v>
      </c>
      <c r="I10" s="1">
        <f>IF(ISNUMBER(Main_M[[#This Row],[BVPS]]),IF(Main_M[[#This Row],[BVPS]]&lt;&gt;0,Main_M[[#This Row],[Current Price]]/Main_M[[#This Row],[BVPS]],""),"")</f>
        <v>0.10989010989010989</v>
      </c>
      <c r="J10">
        <v>-3.03</v>
      </c>
      <c r="K10">
        <v>0.37</v>
      </c>
      <c r="L10">
        <v>2.1800000000000002</v>
      </c>
      <c r="M10" s="1">
        <f>IF(ISNUMBER(Main_M[[#This Row],[EPS]]),IF(Main_M[[#This Row],[EPS]]&lt;&gt;0,Main_M[[#This Row],[Current Price]]/Main_M[[#This Row],[EPS]],""),"")</f>
        <v>-3.5294117647058822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-1.1794287667735421</v>
      </c>
      <c r="P10" s="1">
        <f>(Main_M[[#This Row],[P/B]]-VLOOKUP(Main_M[[#This Row],[Industry]], Mean_PB_M, 2, FALSE))/(VLOOKUP(Main_M[[#This Row],[Industry]], Mean_PB_M, 3, FALSE))</f>
        <v>-1.4558042166838072</v>
      </c>
      <c r="Q10" s="1">
        <f>(Main_M[[#This Row],[ROE]]-VLOOKUP(Main_M[[#This Row],[Industry]], Mean_ROE_M, 2, FALSE))/(VLOOKUP(Main_M[[#This Row],[Industry]], Mean_ROE_M, 3, FALSE))</f>
        <v>-0.37030082728215452</v>
      </c>
      <c r="R10" s="1">
        <f>(Main_M[[#This Row],[ROA]]-VLOOKUP(Main_M[[#This Row],[Industry]], Mean_ROA_M, 2, FALSE))/(VLOOKUP(Main_M[[#This Row],[Industry]], Mean_ROA_M, 3, FALSE))</f>
        <v>-1.223250544615158</v>
      </c>
      <c r="S10" s="1">
        <f>(Main_M[[#This Row],[A/E]]-VLOOKUP(Main_M[[#This Row],[Industry]], Mean_AE_M, 2, FALSE))/(VLOOKUP(Main_M[[#This Row],[Industry]], Mean_AE_M, 3, FALSE))</f>
        <v>-3.7449389749951382E-3</v>
      </c>
      <c r="T10" s="1">
        <f>(Main_M[[#This Row],[P/E]]-VLOOKUP(Main_M[[#This Row],[Industry]], Mean_PE_M, 2, FALSE))/(VLOOKUP(Main_M[[#This Row],[Industry]], Mean_PE_M, 3, FALSE))</f>
        <v>-0.88171263505608211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8" t="s">
        <v>105</v>
      </c>
      <c r="B11" s="68" t="s">
        <v>168</v>
      </c>
      <c r="C11" s="2">
        <v>6732</v>
      </c>
      <c r="D11">
        <f>RTD("tos.rtd", , "LAST", Main_M[[#This Row],[Symbol]])</f>
        <v>30.94</v>
      </c>
      <c r="E11">
        <v>1.86</v>
      </c>
      <c r="F11">
        <v>9.5</v>
      </c>
      <c r="G11">
        <v>2.0499999999999998</v>
      </c>
      <c r="H11" s="1">
        <f>IF(ISNUMBER(Main_M[[#This Row],[Free CF]]),IF(Main_M[[#This Row],[Free CF]]&lt;&gt;0,Main_M[[#This Row],[Current Price]]/Main_M[[#This Row],[Free CF]],""),"")</f>
        <v>16.634408602150536</v>
      </c>
      <c r="I11" s="1">
        <f>IF(ISNUMBER(Main_M[[#This Row],[BVPS]]),IF(Main_M[[#This Row],[BVPS]]&lt;&gt;0,Main_M[[#This Row],[Current Price]]/Main_M[[#This Row],[BVPS]],""),"")</f>
        <v>3.256842105263158</v>
      </c>
      <c r="J11">
        <v>23.15</v>
      </c>
      <c r="K11">
        <v>6.78</v>
      </c>
      <c r="L11">
        <v>3.57</v>
      </c>
      <c r="M11" s="1">
        <f>IF(ISNUMBER(Main_M[[#This Row],[EPS]]),IF(Main_M[[#This Row],[EPS]]&lt;&gt;0,Main_M[[#This Row],[Current Price]]/Main_M[[#This Row],[EPS]],""),"")</f>
        <v>15.092682926829271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-0.27727027336080173</v>
      </c>
      <c r="P11" s="1">
        <f>(Main_M[[#This Row],[P/B]]-VLOOKUP(Main_M[[#This Row],[Industry]], Mean_PB_M, 2, FALSE))/(VLOOKUP(Main_M[[#This Row],[Industry]], Mean_PB_M, 3, FALSE))</f>
        <v>1.5725707865276175</v>
      </c>
      <c r="Q11" s="1">
        <f>(Main_M[[#This Row],[ROE]]-VLOOKUP(Main_M[[#This Row],[Industry]], Mean_ROE_M, 2, FALSE))/(VLOOKUP(Main_M[[#This Row],[Industry]], Mean_ROE_M, 3, FALSE))</f>
        <v>1.3699078681028185</v>
      </c>
      <c r="R11" s="1">
        <f>(Main_M[[#This Row],[ROA]]-VLOOKUP(Main_M[[#This Row],[Industry]], Mean_ROA_M, 2, FALSE))/(VLOOKUP(Main_M[[#This Row],[Industry]], Mean_ROA_M, 3, FALSE))</f>
        <v>0.79713909723326459</v>
      </c>
      <c r="S11" s="1">
        <f>(Main_M[[#This Row],[A/E]]-VLOOKUP(Main_M[[#This Row],[Industry]], Mean_AE_M, 2, FALSE))/(VLOOKUP(Main_M[[#This Row],[Industry]], Mean_AE_M, 3, FALSE))</f>
        <v>3.4665651778537003</v>
      </c>
      <c r="T11" s="1">
        <f>(Main_M[[#This Row],[P/E]]-VLOOKUP(Main_M[[#This Row],[Industry]], Mean_PE_M, 2, FALSE))/(VLOOKUP(Main_M[[#This Row],[Industry]], Mean_PE_M, 3, FALSE))</f>
        <v>-5.3795430653062026E-2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8" t="s">
        <v>105</v>
      </c>
      <c r="B12" s="68" t="s">
        <v>177</v>
      </c>
      <c r="C12" s="2">
        <v>4014</v>
      </c>
      <c r="D12">
        <f>RTD("tos.rtd", , "LAST", Main_M[[#This Row],[Symbol]])</f>
        <v>96.71</v>
      </c>
      <c r="E12">
        <v>1.61</v>
      </c>
      <c r="F12">
        <v>25.92</v>
      </c>
      <c r="G12">
        <v>3.02</v>
      </c>
      <c r="H12" s="1">
        <f>IF(ISNUMBER(Main_M[[#This Row],[Free CF]]),IF(Main_M[[#This Row],[Free CF]]&lt;&gt;0,Main_M[[#This Row],[Current Price]]/Main_M[[#This Row],[Free CF]],""),"")</f>
        <v>60.06832298136645</v>
      </c>
      <c r="I12" s="1">
        <f>IF(ISNUMBER(Main_M[[#This Row],[BVPS]]),IF(Main_M[[#This Row],[BVPS]]&lt;&gt;0,Main_M[[#This Row],[Current Price]]/Main_M[[#This Row],[BVPS]],""),"")</f>
        <v>3.7310956790123453</v>
      </c>
      <c r="J12">
        <v>11.88</v>
      </c>
      <c r="K12">
        <v>6.16</v>
      </c>
      <c r="L12">
        <v>1.91</v>
      </c>
      <c r="M12" s="1">
        <f>IF(ISNUMBER(Main_M[[#This Row],[EPS]]),IF(Main_M[[#This Row],[EPS]]&lt;&gt;0,Main_M[[#This Row],[Current Price]]/Main_M[[#This Row],[EPS]],""),"")</f>
        <v>32.023178807947019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2.5813142954394563</v>
      </c>
      <c r="P12" s="1">
        <f>(Main_M[[#This Row],[P/B]]-VLOOKUP(Main_M[[#This Row],[Industry]], Mean_PB_M, 2, FALSE))/(VLOOKUP(Main_M[[#This Row],[Industry]], Mean_PB_M, 3, FALSE))</f>
        <v>2.0289545095832571</v>
      </c>
      <c r="Q12" s="1">
        <f>(Main_M[[#This Row],[ROE]]-VLOOKUP(Main_M[[#This Row],[Industry]], Mean_ROE_M, 2, FALSE))/(VLOOKUP(Main_M[[#This Row],[Industry]], Mean_ROE_M, 3, FALSE))</f>
        <v>0.62078059549057074</v>
      </c>
      <c r="R12" s="1">
        <f>(Main_M[[#This Row],[ROA]]-VLOOKUP(Main_M[[#This Row],[Industry]], Mean_ROA_M, 2, FALSE))/(VLOOKUP(Main_M[[#This Row],[Industry]], Mean_ROA_M, 3, FALSE))</f>
        <v>0.60171919427756693</v>
      </c>
      <c r="S12" s="1">
        <f>(Main_M[[#This Row],[A/E]]-VLOOKUP(Main_M[[#This Row],[Industry]], Mean_AE_M, 2, FALSE))/(VLOOKUP(Main_M[[#This Row],[Industry]], Mean_AE_M, 3, FALSE))</f>
        <v>-0.677833954474095</v>
      </c>
      <c r="T12" s="1">
        <f>(Main_M[[#This Row],[P/E]]-VLOOKUP(Main_M[[#This Row],[Industry]], Mean_PE_M, 2, FALSE))/(VLOOKUP(Main_M[[#This Row],[Industry]], Mean_PE_M, 3, FALSE))</f>
        <v>0.69891520965011678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8" t="s">
        <v>105</v>
      </c>
      <c r="B13" s="68" t="s">
        <v>162</v>
      </c>
      <c r="C13" s="2">
        <v>5066</v>
      </c>
      <c r="D13">
        <f>RTD("tos.rtd", , "LAST", Main_M[[#This Row],[Symbol]])</f>
        <v>44.06</v>
      </c>
      <c r="E13">
        <v>1.61</v>
      </c>
      <c r="F13">
        <v>35.08</v>
      </c>
      <c r="G13">
        <v>3.07</v>
      </c>
      <c r="H13" s="1">
        <f>IF(ISNUMBER(Main_M[[#This Row],[Free CF]]),IF(Main_M[[#This Row],[Free CF]]&lt;&gt;0,Main_M[[#This Row],[Current Price]]/Main_M[[#This Row],[Free CF]],""),"")</f>
        <v>27.366459627329192</v>
      </c>
      <c r="I13" s="1">
        <f>IF(ISNUMBER(Main_M[[#This Row],[BVPS]]),IF(Main_M[[#This Row],[BVPS]]&lt;&gt;0,Main_M[[#This Row],[Current Price]]/Main_M[[#This Row],[BVPS]],""),"")</f>
        <v>1.2559863169897378</v>
      </c>
      <c r="J13">
        <v>8.81</v>
      </c>
      <c r="K13">
        <v>3.13</v>
      </c>
      <c r="L13">
        <v>2.69</v>
      </c>
      <c r="M13" s="1">
        <f>IF(ISNUMBER(Main_M[[#This Row],[EPS]]),IF(Main_M[[#This Row],[EPS]]&lt;&gt;0,Main_M[[#This Row],[Current Price]]/Main_M[[#This Row],[EPS]],""),"")</f>
        <v>14.351791530944627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0.42905509221189053</v>
      </c>
      <c r="P13" s="1">
        <f>(Main_M[[#This Row],[P/B]]-VLOOKUP(Main_M[[#This Row],[Industry]], Mean_PB_M, 2, FALSE))/(VLOOKUP(Main_M[[#This Row],[Industry]], Mean_PB_M, 3, FALSE))</f>
        <v>-0.3528928567523385</v>
      </c>
      <c r="Q13" s="1">
        <f>(Main_M[[#This Row],[ROE]]-VLOOKUP(Main_M[[#This Row],[Industry]], Mean_ROE_M, 2, FALSE))/(VLOOKUP(Main_M[[#This Row],[Industry]], Mean_ROE_M, 3, FALSE))</f>
        <v>0.41671486994313511</v>
      </c>
      <c r="R13" s="1">
        <f>(Main_M[[#This Row],[ROA]]-VLOOKUP(Main_M[[#This Row],[Industry]], Mean_ROA_M, 2, FALSE))/(VLOOKUP(Main_M[[#This Row],[Industry]], Mean_ROA_M, 3, FALSE))</f>
        <v>-0.35331678307043946</v>
      </c>
      <c r="S13" s="1">
        <f>(Main_M[[#This Row],[A/E]]-VLOOKUP(Main_M[[#This Row],[Industry]], Mean_AE_M, 2, FALSE))/(VLOOKUP(Main_M[[#This Row],[Industry]], Mean_AE_M, 3, FALSE))</f>
        <v>1.269534312523303</v>
      </c>
      <c r="T13" s="1">
        <f>(Main_M[[#This Row],[P/E]]-VLOOKUP(Main_M[[#This Row],[Industry]], Mean_PE_M, 2, FALSE))/(VLOOKUP(Main_M[[#This Row],[Industry]], Mean_PE_M, 3, FALSE))</f>
        <v>-8.6734621619902655E-2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8" t="s">
        <v>105</v>
      </c>
      <c r="B14" s="68" t="s">
        <v>167</v>
      </c>
      <c r="C14" s="2">
        <v>3307</v>
      </c>
      <c r="D14">
        <f>RTD("tos.rtd", , "LAST", Main_M[[#This Row],[Symbol]])</f>
        <v>37.57</v>
      </c>
      <c r="E14">
        <v>1.52</v>
      </c>
      <c r="F14">
        <v>25.11</v>
      </c>
      <c r="G14">
        <v>1.08</v>
      </c>
      <c r="H14" s="1">
        <f>IF(ISNUMBER(Main_M[[#This Row],[Free CF]]),IF(Main_M[[#This Row],[Free CF]]&lt;&gt;0,Main_M[[#This Row],[Current Price]]/Main_M[[#This Row],[Free CF]],""),"")</f>
        <v>24.717105263157894</v>
      </c>
      <c r="I14" s="1">
        <f>IF(ISNUMBER(Main_M[[#This Row],[BVPS]]),IF(Main_M[[#This Row],[BVPS]]&lt;&gt;0,Main_M[[#This Row],[Current Price]]/Main_M[[#This Row],[BVPS]],""),"")</f>
        <v>1.4962166467542812</v>
      </c>
      <c r="J14">
        <v>4.3499999999999996</v>
      </c>
      <c r="K14">
        <v>3.45</v>
      </c>
      <c r="L14">
        <v>2.5299999999999998</v>
      </c>
      <c r="M14" s="1">
        <f>IF(ISNUMBER(Main_M[[#This Row],[EPS]]),IF(Main_M[[#This Row],[EPS]]&lt;&gt;0,Main_M[[#This Row],[Current Price]]/Main_M[[#This Row],[EPS]],""),"")</f>
        <v>34.787037037037038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0.2546889635553462</v>
      </c>
      <c r="P14" s="1">
        <f>(Main_M[[#This Row],[P/B]]-VLOOKUP(Main_M[[#This Row],[Industry]], Mean_PB_M, 2, FALSE))/(VLOOKUP(Main_M[[#This Row],[Industry]], Mean_PB_M, 3, FALSE))</f>
        <v>-0.12171439367383197</v>
      </c>
      <c r="Q14" s="1">
        <f>(Main_M[[#This Row],[ROE]]-VLOOKUP(Main_M[[#This Row],[Industry]], Mean_ROE_M, 2, FALSE))/(VLOOKUP(Main_M[[#This Row],[Industry]], Mean_ROE_M, 3, FALSE))</f>
        <v>0.12025456507617631</v>
      </c>
      <c r="R14" s="1">
        <f>(Main_M[[#This Row],[ROA]]-VLOOKUP(Main_M[[#This Row],[Industry]], Mean_ROA_M, 2, FALSE))/(VLOOKUP(Main_M[[#This Row],[Industry]], Mean_ROA_M, 3, FALSE))</f>
        <v>-0.25245489767395024</v>
      </c>
      <c r="S14" s="1">
        <f>(Main_M[[#This Row],[A/E]]-VLOOKUP(Main_M[[#This Row],[Industry]], Mean_AE_M, 2, FALSE))/(VLOOKUP(Main_M[[#This Row],[Industry]], Mean_AE_M, 3, FALSE))</f>
        <v>0.87007415519050313</v>
      </c>
      <c r="T14" s="1">
        <f>(Main_M[[#This Row],[P/E]]-VLOOKUP(Main_M[[#This Row],[Industry]], Mean_PE_M, 2, FALSE))/(VLOOKUP(Main_M[[#This Row],[Industry]], Mean_PE_M, 3, FALSE))</f>
        <v>0.82179321109399472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s="68" t="s">
        <v>105</v>
      </c>
      <c r="B15" s="68" t="s">
        <v>173</v>
      </c>
      <c r="C15" s="2">
        <v>3025</v>
      </c>
      <c r="D15">
        <f>RTD("tos.rtd", , "LAST", Main_M[[#This Row],[Symbol]])</f>
        <v>57.13</v>
      </c>
      <c r="E15">
        <v>1.33</v>
      </c>
      <c r="F15">
        <v>32.79</v>
      </c>
      <c r="G15">
        <v>1.99</v>
      </c>
      <c r="H15" s="1">
        <f>IF(ISNUMBER(Main_M[[#This Row],[Free CF]]),IF(Main_M[[#This Row],[Free CF]]&lt;&gt;0,Main_M[[#This Row],[Current Price]]/Main_M[[#This Row],[Free CF]],""),"")</f>
        <v>42.954887218045116</v>
      </c>
      <c r="I15" s="1">
        <f>IF(ISNUMBER(Main_M[[#This Row],[BVPS]]),IF(Main_M[[#This Row],[BVPS]]&lt;&gt;0,Main_M[[#This Row],[Current Price]]/Main_M[[#This Row],[BVPS]],""),"")</f>
        <v>1.742299481549253</v>
      </c>
      <c r="J15">
        <v>6.35</v>
      </c>
      <c r="K15">
        <v>4.72</v>
      </c>
      <c r="L15">
        <v>2.79</v>
      </c>
      <c r="M15" s="1">
        <f>IF(ISNUMBER(Main_M[[#This Row],[EPS]]),IF(Main_M[[#This Row],[EPS]]&lt;&gt;0,Main_M[[#This Row],[Current Price]]/Main_M[[#This Row],[EPS]],""),"")</f>
        <v>28.708542713567841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1.455000812268936</v>
      </c>
      <c r="P15" s="1">
        <f>(Main_M[[#This Row],[P/B]]-VLOOKUP(Main_M[[#This Row],[Industry]], Mean_PB_M, 2, FALSE))/(VLOOKUP(Main_M[[#This Row],[Industry]], Mean_PB_M, 3, FALSE))</f>
        <v>0.11509605234129935</v>
      </c>
      <c r="Q15" s="1">
        <f>(Main_M[[#This Row],[ROE]]-VLOOKUP(Main_M[[#This Row],[Industry]], Mean_ROE_M, 2, FALSE))/(VLOOKUP(Main_M[[#This Row],[Industry]], Mean_ROE_M, 3, FALSE))</f>
        <v>0.25319640582369141</v>
      </c>
      <c r="R15" s="1">
        <f>(Main_M[[#This Row],[ROA]]-VLOOKUP(Main_M[[#This Row],[Industry]], Mean_ROA_M, 2, FALSE))/(VLOOKUP(Main_M[[#This Row],[Industry]], Mean_ROA_M, 3, FALSE))</f>
        <v>0.14784070999336577</v>
      </c>
      <c r="S15" s="1">
        <f>(Main_M[[#This Row],[A/E]]-VLOOKUP(Main_M[[#This Row],[Industry]], Mean_AE_M, 2, FALSE))/(VLOOKUP(Main_M[[#This Row],[Industry]], Mean_AE_M, 3, FALSE))</f>
        <v>1.519196910856303</v>
      </c>
      <c r="T15" s="1">
        <f>(Main_M[[#This Row],[P/E]]-VLOOKUP(Main_M[[#This Row],[Industry]], Mean_PE_M, 2, FALSE))/(VLOOKUP(Main_M[[#This Row],[Industry]], Mean_PE_M, 3, FALSE))</f>
        <v>0.55155024913795825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8" t="s">
        <v>105</v>
      </c>
      <c r="B16" s="68" t="s">
        <v>176</v>
      </c>
      <c r="C16" s="2">
        <v>8692</v>
      </c>
      <c r="D16">
        <f>RTD("tos.rtd", , "LAST", Main_M[[#This Row],[Symbol]])</f>
        <v>33.54</v>
      </c>
      <c r="E16">
        <v>1.32</v>
      </c>
      <c r="F16">
        <v>18.39</v>
      </c>
      <c r="G16">
        <v>2.11</v>
      </c>
      <c r="H16" s="1">
        <f>IF(ISNUMBER(Main_M[[#This Row],[Free CF]]),IF(Main_M[[#This Row],[Free CF]]&lt;&gt;0,Main_M[[#This Row],[Current Price]]/Main_M[[#This Row],[Free CF]],""),"")</f>
        <v>25.409090909090907</v>
      </c>
      <c r="I16" s="1">
        <f>IF(ISNUMBER(Main_M[[#This Row],[BVPS]]),IF(Main_M[[#This Row],[BVPS]]&lt;&gt;0,Main_M[[#This Row],[Current Price]]/Main_M[[#This Row],[BVPS]],""),"")</f>
        <v>1.8238172920065252</v>
      </c>
      <c r="J16">
        <v>12.21</v>
      </c>
      <c r="K16">
        <v>5.6</v>
      </c>
      <c r="L16">
        <v>2.19</v>
      </c>
      <c r="M16" s="1">
        <f>IF(ISNUMBER(Main_M[[#This Row],[EPS]]),IF(Main_M[[#This Row],[EPS]]&lt;&gt;0,Main_M[[#This Row],[Current Price]]/Main_M[[#This Row],[EPS]],""),"")</f>
        <v>15.895734597156398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0.30023170400523652</v>
      </c>
      <c r="P16" s="1">
        <f>(Main_M[[#This Row],[P/B]]-VLOOKUP(Main_M[[#This Row],[Industry]], Mean_PB_M, 2, FALSE))/(VLOOKUP(Main_M[[#This Row],[Industry]], Mean_PB_M, 3, FALSE))</f>
        <v>0.19354227581985797</v>
      </c>
      <c r="Q16" s="1">
        <f>(Main_M[[#This Row],[ROE]]-VLOOKUP(Main_M[[#This Row],[Industry]], Mean_ROE_M, 2, FALSE))/(VLOOKUP(Main_M[[#This Row],[Industry]], Mean_ROE_M, 3, FALSE))</f>
        <v>0.64271599921391087</v>
      </c>
      <c r="R16" s="1">
        <f>(Main_M[[#This Row],[ROA]]-VLOOKUP(Main_M[[#This Row],[Industry]], Mean_ROA_M, 2, FALSE))/(VLOOKUP(Main_M[[#This Row],[Industry]], Mean_ROA_M, 3, FALSE))</f>
        <v>0.42521089483371077</v>
      </c>
      <c r="S16" s="1">
        <f>(Main_M[[#This Row],[A/E]]-VLOOKUP(Main_M[[#This Row],[Industry]], Mean_AE_M, 2, FALSE))/(VLOOKUP(Main_M[[#This Row],[Industry]], Mean_AE_M, 3, FALSE))</f>
        <v>2.1221320858304304E-2</v>
      </c>
      <c r="T16" s="1">
        <f>(Main_M[[#This Row],[P/E]]-VLOOKUP(Main_M[[#This Row],[Industry]], Mean_PE_M, 2, FALSE))/(VLOOKUP(Main_M[[#This Row],[Industry]], Mean_PE_M, 3, FALSE))</f>
        <v>-1.8092664401388462E-2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8" t="s">
        <v>105</v>
      </c>
      <c r="B17" s="68" t="s">
        <v>172</v>
      </c>
      <c r="C17" s="2">
        <v>5185</v>
      </c>
      <c r="D17">
        <f>RTD("tos.rtd", , "LAST", Main_M[[#This Row],[Symbol]])</f>
        <v>21.96</v>
      </c>
      <c r="E17">
        <v>1.1200000000000001</v>
      </c>
      <c r="F17">
        <v>10.39</v>
      </c>
      <c r="G17">
        <v>1.17</v>
      </c>
      <c r="H17" s="1">
        <f>IF(ISNUMBER(Main_M[[#This Row],[Free CF]]),IF(Main_M[[#This Row],[Free CF]]&lt;&gt;0,Main_M[[#This Row],[Current Price]]/Main_M[[#This Row],[Free CF]],""),"")</f>
        <v>19.607142857142858</v>
      </c>
      <c r="I17" s="1">
        <f>IF(ISNUMBER(Main_M[[#This Row],[BVPS]]),IF(Main_M[[#This Row],[BVPS]]&lt;&gt;0,Main_M[[#This Row],[Current Price]]/Main_M[[#This Row],[BVPS]],""),"")</f>
        <v>2.1135707410972087</v>
      </c>
      <c r="J17">
        <v>11.69</v>
      </c>
      <c r="K17">
        <v>4.5199999999999996</v>
      </c>
      <c r="L17">
        <v>1.9</v>
      </c>
      <c r="M17" s="1">
        <f>IF(ISNUMBER(Main_M[[#This Row],[EPS]]),IF(Main_M[[#This Row],[EPS]]&lt;&gt;0,Main_M[[#This Row],[Current Price]]/Main_M[[#This Row],[EPS]],""),"")</f>
        <v>18.76923076923077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-8.1621034973681561E-2</v>
      </c>
      <c r="P17" s="1">
        <f>(Main_M[[#This Row],[P/B]]-VLOOKUP(Main_M[[#This Row],[Industry]], Mean_PB_M, 2, FALSE))/(VLOOKUP(Main_M[[#This Row],[Industry]], Mean_PB_M, 3, FALSE))</f>
        <v>0.47237782959083341</v>
      </c>
      <c r="Q17" s="1">
        <f>(Main_M[[#This Row],[ROE]]-VLOOKUP(Main_M[[#This Row],[Industry]], Mean_ROE_M, 2, FALSE))/(VLOOKUP(Main_M[[#This Row],[Industry]], Mean_ROE_M, 3, FALSE))</f>
        <v>0.60815112061955678</v>
      </c>
      <c r="R17" s="1">
        <f>(Main_M[[#This Row],[ROA]]-VLOOKUP(Main_M[[#This Row],[Industry]], Mean_ROA_M, 2, FALSE))/(VLOOKUP(Main_M[[#This Row],[Industry]], Mean_ROA_M, 3, FALSE))</f>
        <v>8.480203162056002E-2</v>
      </c>
      <c r="S17" s="1">
        <f>(Main_M[[#This Row],[A/E]]-VLOOKUP(Main_M[[#This Row],[Industry]], Mean_AE_M, 2, FALSE))/(VLOOKUP(Main_M[[#This Row],[Industry]], Mean_AE_M, 3, FALSE))</f>
        <v>-0.70280021430739503</v>
      </c>
      <c r="T17" s="1">
        <f>(Main_M[[#This Row],[P/E]]-VLOOKUP(Main_M[[#This Row],[Industry]], Mean_PE_M, 2, FALSE))/(VLOOKUP(Main_M[[#This Row],[Industry]], Mean_PE_M, 3, FALSE))</f>
        <v>0.10965971561029721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8" t="s">
        <v>105</v>
      </c>
      <c r="B18" s="68" t="s">
        <v>367</v>
      </c>
      <c r="C18" s="2">
        <v>2914</v>
      </c>
      <c r="D18">
        <f>RTD("tos.rtd", , "LAST", Main_M[[#This Row],[Symbol]])</f>
        <v>4.58</v>
      </c>
      <c r="E18">
        <v>1.0900000000000001</v>
      </c>
      <c r="F18">
        <v>12.32</v>
      </c>
      <c r="G18">
        <v>-4.0999999999999996</v>
      </c>
      <c r="H18" s="1">
        <f>IF(ISNUMBER(Main_M[[#This Row],[Free CF]]),IF(Main_M[[#This Row],[Free CF]]&lt;&gt;0,Main_M[[#This Row],[Current Price]]/Main_M[[#This Row],[Free CF]],""),"")</f>
        <v>4.2018348623853212</v>
      </c>
      <c r="I18" s="1">
        <f>IF(ISNUMBER(Main_M[[#This Row],[BVPS]]),IF(Main_M[[#This Row],[BVPS]]&lt;&gt;0,Main_M[[#This Row],[Current Price]]/Main_M[[#This Row],[BVPS]],""),"")</f>
        <v>0.37175324675324672</v>
      </c>
      <c r="J18">
        <v>-27.46</v>
      </c>
      <c r="K18">
        <v>6.24</v>
      </c>
      <c r="L18">
        <v>2.48</v>
      </c>
      <c r="M18" s="1">
        <f>IF(ISNUMBER(Main_M[[#This Row],[EPS]]),IF(Main_M[[#This Row],[EPS]]&lt;&gt;0,Main_M[[#This Row],[Current Price]]/Main_M[[#This Row],[EPS]],""),"")</f>
        <v>-1.1170731707317074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-1.0955148168452504</v>
      </c>
      <c r="P18" s="1">
        <f>(Main_M[[#This Row],[P/B]]-VLOOKUP(Main_M[[#This Row],[Industry]], Mean_PB_M, 2, FALSE))/(VLOOKUP(Main_M[[#This Row],[Industry]], Mean_PB_M, 3, FALSE))</f>
        <v>-1.2038080695850177</v>
      </c>
      <c r="Q18" s="1">
        <f>(Main_M[[#This Row],[ROE]]-VLOOKUP(Main_M[[#This Row],[Industry]], Mean_ROE_M, 2, FALSE))/(VLOOKUP(Main_M[[#This Row],[Industry]], Mean_ROE_M, 3, FALSE))</f>
        <v>-1.9941854120130518</v>
      </c>
      <c r="R18" s="1">
        <f>(Main_M[[#This Row],[ROA]]-VLOOKUP(Main_M[[#This Row],[Industry]], Mean_ROA_M, 2, FALSE))/(VLOOKUP(Main_M[[#This Row],[Industry]], Mean_ROA_M, 3, FALSE))</f>
        <v>0.6269346656266892</v>
      </c>
      <c r="S18" s="1">
        <f>(Main_M[[#This Row],[A/E]]-VLOOKUP(Main_M[[#This Row],[Industry]], Mean_AE_M, 2, FALSE))/(VLOOKUP(Main_M[[#This Row],[Industry]], Mean_AE_M, 3, FALSE))</f>
        <v>0.74524285602400364</v>
      </c>
      <c r="T18" s="1">
        <f>(Main_M[[#This Row],[P/E]]-VLOOKUP(Main_M[[#This Row],[Industry]], Mean_PE_M, 2, FALSE))/(VLOOKUP(Main_M[[#This Row],[Industry]], Mean_PE_M, 3, FALSE))</f>
        <v>-0.77446279781277427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s="68" t="s">
        <v>105</v>
      </c>
      <c r="B19" s="68" t="s">
        <v>161</v>
      </c>
      <c r="C19" s="2">
        <v>2825</v>
      </c>
      <c r="D19">
        <f>RTD("tos.rtd", , "LAST", Main_M[[#This Row],[Symbol]])</f>
        <v>4.76</v>
      </c>
      <c r="E19">
        <v>1.0900000000000001</v>
      </c>
      <c r="F19">
        <v>12.32</v>
      </c>
      <c r="G19">
        <v>-4.0999999999999996</v>
      </c>
      <c r="H19" s="1">
        <f>IF(ISNUMBER(Main_M[[#This Row],[Free CF]]),IF(Main_M[[#This Row],[Free CF]]&lt;&gt;0,Main_M[[#This Row],[Current Price]]/Main_M[[#This Row],[Free CF]],""),"")</f>
        <v>4.3669724770642198</v>
      </c>
      <c r="I19" s="1">
        <f>IF(ISNUMBER(Main_M[[#This Row],[BVPS]]),IF(Main_M[[#This Row],[BVPS]]&lt;&gt;0,Main_M[[#This Row],[Current Price]]/Main_M[[#This Row],[BVPS]],""),"")</f>
        <v>0.38636363636363635</v>
      </c>
      <c r="J19">
        <v>-27.46</v>
      </c>
      <c r="K19">
        <v>6.24</v>
      </c>
      <c r="L19">
        <v>2.48</v>
      </c>
      <c r="M19" s="1">
        <f>IF(ISNUMBER(Main_M[[#This Row],[EPS]]),IF(Main_M[[#This Row],[EPS]]&lt;&gt;0,Main_M[[#This Row],[Current Price]]/Main_M[[#This Row],[EPS]],""),"")</f>
        <v>-1.1609756097560977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-1.0846463550960264</v>
      </c>
      <c r="P19" s="1">
        <f>(Main_M[[#This Row],[P/B]]-VLOOKUP(Main_M[[#This Row],[Industry]], Mean_PB_M, 2, FALSE))/(VLOOKUP(Main_M[[#This Row],[Industry]], Mean_PB_M, 3, FALSE))</f>
        <v>-1.1897481987168448</v>
      </c>
      <c r="Q19" s="1">
        <f>(Main_M[[#This Row],[ROE]]-VLOOKUP(Main_M[[#This Row],[Industry]], Mean_ROE_M, 2, FALSE))/(VLOOKUP(Main_M[[#This Row],[Industry]], Mean_ROE_M, 3, FALSE))</f>
        <v>-1.9941854120130518</v>
      </c>
      <c r="R19" s="1">
        <f>(Main_M[[#This Row],[ROA]]-VLOOKUP(Main_M[[#This Row],[Industry]], Mean_ROA_M, 2, FALSE))/(VLOOKUP(Main_M[[#This Row],[Industry]], Mean_ROA_M, 3, FALSE))</f>
        <v>0.6269346656266892</v>
      </c>
      <c r="S19" s="1">
        <f>(Main_M[[#This Row],[A/E]]-VLOOKUP(Main_M[[#This Row],[Industry]], Mean_AE_M, 2, FALSE))/(VLOOKUP(Main_M[[#This Row],[Industry]], Mean_AE_M, 3, FALSE))</f>
        <v>0.74524285602400364</v>
      </c>
      <c r="T19" s="1">
        <f>(Main_M[[#This Row],[P/E]]-VLOOKUP(Main_M[[#This Row],[Industry]], Mean_PE_M, 2, FALSE))/(VLOOKUP(Main_M[[#This Row],[Industry]], Mean_PE_M, 3, FALSE))</f>
        <v>-0.77641465044727243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8" t="s">
        <v>105</v>
      </c>
      <c r="B20" s="68" t="s">
        <v>160</v>
      </c>
      <c r="C20" s="2">
        <v>2235</v>
      </c>
      <c r="D20">
        <f>RTD("tos.rtd", , "LAST", Main_M[[#This Row],[Symbol]])</f>
        <v>20.97</v>
      </c>
      <c r="E20">
        <v>0.8</v>
      </c>
      <c r="F20">
        <v>17.420000000000002</v>
      </c>
      <c r="G20">
        <v>0.52</v>
      </c>
      <c r="H20" s="1">
        <f>IF(ISNUMBER(Main_M[[#This Row],[Free CF]]),IF(Main_M[[#This Row],[Free CF]]&lt;&gt;0,Main_M[[#This Row],[Current Price]]/Main_M[[#This Row],[Free CF]],""),"")</f>
        <v>26.212499999999999</v>
      </c>
      <c r="I20" s="1">
        <f>IF(ISNUMBER(Main_M[[#This Row],[BVPS]]),IF(Main_M[[#This Row],[BVPS]]&lt;&gt;0,Main_M[[#This Row],[Current Price]]/Main_M[[#This Row],[BVPS]],""),"")</f>
        <v>1.2037887485648677</v>
      </c>
      <c r="J20">
        <v>2.75</v>
      </c>
      <c r="K20">
        <v>2.4300000000000002</v>
      </c>
      <c r="L20">
        <v>3.82</v>
      </c>
      <c r="M20" s="1">
        <f>IF(ISNUMBER(Main_M[[#This Row],[EPS]]),IF(Main_M[[#This Row],[EPS]]&lt;&gt;0,Main_M[[#This Row],[Current Price]]/Main_M[[#This Row],[EPS]],""),"")</f>
        <v>40.326923076923073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0.35310773101157872</v>
      </c>
      <c r="P20" s="1">
        <f>(Main_M[[#This Row],[P/B]]-VLOOKUP(Main_M[[#This Row],[Industry]], Mean_PB_M, 2, FALSE))/(VLOOKUP(Main_M[[#This Row],[Industry]], Mean_PB_M, 3, FALSE))</f>
        <v>-0.40312362343664443</v>
      </c>
      <c r="Q20" s="1">
        <f>(Main_M[[#This Row],[ROE]]-VLOOKUP(Main_M[[#This Row],[Industry]], Mean_ROE_M, 2, FALSE))/(VLOOKUP(Main_M[[#This Row],[Industry]], Mean_ROE_M, 3, FALSE))</f>
        <v>1.3901092478164224E-2</v>
      </c>
      <c r="R20" s="1">
        <f>(Main_M[[#This Row],[ROA]]-VLOOKUP(Main_M[[#This Row],[Industry]], Mean_ROA_M, 2, FALSE))/(VLOOKUP(Main_M[[#This Row],[Industry]], Mean_ROA_M, 3, FALSE))</f>
        <v>-0.57395215737525929</v>
      </c>
      <c r="S20" s="1">
        <f>(Main_M[[#This Row],[A/E]]-VLOOKUP(Main_M[[#This Row],[Industry]], Mean_AE_M, 2, FALSE))/(VLOOKUP(Main_M[[#This Row],[Industry]], Mean_AE_M, 3, FALSE))</f>
        <v>4.0907216736861995</v>
      </c>
      <c r="T20" s="1">
        <f>(Main_M[[#This Row],[P/E]]-VLOOKUP(Main_M[[#This Row],[Industry]], Mean_PE_M, 2, FALSE))/(VLOOKUP(Main_M[[#This Row],[Industry]], Mean_PE_M, 3, FALSE))</f>
        <v>1.0680902597787827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8" t="s">
        <v>105</v>
      </c>
      <c r="B21" s="68" t="s">
        <v>166</v>
      </c>
      <c r="C21" s="2">
        <v>2262</v>
      </c>
      <c r="D21">
        <f>RTD("tos.rtd", , "LAST", Main_M[[#This Row],[Symbol]])</f>
        <v>51.82</v>
      </c>
      <c r="E21">
        <v>0.69</v>
      </c>
      <c r="F21">
        <v>56</v>
      </c>
      <c r="G21">
        <v>-1.86</v>
      </c>
      <c r="H21" s="1">
        <f>IF(ISNUMBER(Main_M[[#This Row],[Free CF]]),IF(Main_M[[#This Row],[Free CF]]&lt;&gt;0,Main_M[[#This Row],[Current Price]]/Main_M[[#This Row],[Free CF]],""),"")</f>
        <v>75.101449275362327</v>
      </c>
      <c r="I21" s="1">
        <f>IF(ISNUMBER(Main_M[[#This Row],[BVPS]]),IF(Main_M[[#This Row],[BVPS]]&lt;&gt;0,Main_M[[#This Row],[Current Price]]/Main_M[[#This Row],[BVPS]],""),"")</f>
        <v>0.92535714285714288</v>
      </c>
      <c r="J21">
        <v>-3.02</v>
      </c>
      <c r="K21">
        <v>2.2799999999999998</v>
      </c>
      <c r="L21">
        <v>2.04</v>
      </c>
      <c r="M21" s="1">
        <f>IF(ISNUMBER(Main_M[[#This Row],[EPS]]),IF(Main_M[[#This Row],[EPS]]&lt;&gt;0,Main_M[[#This Row],[Current Price]]/Main_M[[#This Row],[EPS]],""),"")</f>
        <v>-27.86021505376344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3.5707130972523959</v>
      </c>
      <c r="P21" s="1">
        <f>(Main_M[[#This Row],[P/B]]-VLOOKUP(Main_M[[#This Row],[Industry]], Mean_PB_M, 2, FALSE))/(VLOOKUP(Main_M[[#This Row],[Industry]], Mean_PB_M, 3, FALSE))</f>
        <v>-0.67106394031120764</v>
      </c>
      <c r="Q21" s="1">
        <f>(Main_M[[#This Row],[ROE]]-VLOOKUP(Main_M[[#This Row],[Industry]], Mean_ROE_M, 2, FALSE))/(VLOOKUP(Main_M[[#This Row],[Industry]], Mean_ROE_M, 3, FALSE))</f>
        <v>-0.36963611807841695</v>
      </c>
      <c r="R21" s="1">
        <f>(Main_M[[#This Row],[ROA]]-VLOOKUP(Main_M[[#This Row],[Industry]], Mean_ROA_M, 2, FALSE))/(VLOOKUP(Main_M[[#This Row],[Industry]], Mean_ROA_M, 3, FALSE))</f>
        <v>-0.62123116615486362</v>
      </c>
      <c r="S21" s="1">
        <f>(Main_M[[#This Row],[A/E]]-VLOOKUP(Main_M[[#This Row],[Industry]], Mean_AE_M, 2, FALSE))/(VLOOKUP(Main_M[[#This Row],[Industry]], Mean_AE_M, 3, FALSE))</f>
        <v>-0.3532725766411951</v>
      </c>
      <c r="T21" s="1">
        <f>(Main_M[[#This Row],[P/E]]-VLOOKUP(Main_M[[#This Row],[Industry]], Mean_PE_M, 2, FALSE))/(VLOOKUP(Main_M[[#This Row],[Industry]], Mean_PE_M, 3, FALSE))</f>
        <v>-1.9634325475379433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8" t="s">
        <v>105</v>
      </c>
      <c r="B22" s="68" t="s">
        <v>108</v>
      </c>
      <c r="C22" s="2">
        <v>9109</v>
      </c>
      <c r="D22">
        <f>RTD("tos.rtd", , "LAST", Main_M[[#This Row],[Symbol]])</f>
        <v>75.95</v>
      </c>
      <c r="E22">
        <v>0.65</v>
      </c>
      <c r="F22">
        <v>81.180000000000007</v>
      </c>
      <c r="G22">
        <v>3</v>
      </c>
      <c r="H22" s="1">
        <f>IF(ISNUMBER(Main_M[[#This Row],[Free CF]]),IF(Main_M[[#This Row],[Free CF]]&lt;&gt;0,Main_M[[#This Row],[Current Price]]/Main_M[[#This Row],[Free CF]],""),"")</f>
        <v>116.84615384615384</v>
      </c>
      <c r="I22" s="1">
        <f>IF(ISNUMBER(Main_M[[#This Row],[BVPS]]),IF(Main_M[[#This Row],[BVPS]]&lt;&gt;0,Main_M[[#This Row],[Current Price]]/Main_M[[#This Row],[BVPS]],""),"")</f>
        <v>0.93557526484355746</v>
      </c>
      <c r="J22">
        <v>3.92</v>
      </c>
      <c r="K22">
        <v>2.14</v>
      </c>
      <c r="L22">
        <v>1.99</v>
      </c>
      <c r="M22" s="1">
        <f>IF(ISNUMBER(Main_M[[#This Row],[EPS]]),IF(Main_M[[#This Row],[EPS]]&lt;&gt;0,Main_M[[#This Row],[Current Price]]/Main_M[[#This Row],[EPS]],""),"")</f>
        <v>25.316666666666666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6.3181230422398231</v>
      </c>
      <c r="P22" s="1">
        <f>(Main_M[[#This Row],[P/B]]-VLOOKUP(Main_M[[#This Row],[Industry]], Mean_PB_M, 2, FALSE))/(VLOOKUP(Main_M[[#This Row],[Industry]], Mean_PB_M, 3, FALSE))</f>
        <v>-0.66123083664489168</v>
      </c>
      <c r="Q22" s="1">
        <f>(Main_M[[#This Row],[ROE]]-VLOOKUP(Main_M[[#This Row],[Industry]], Mean_ROE_M, 2, FALSE))/(VLOOKUP(Main_M[[#This Row],[Industry]], Mean_ROE_M, 3, FALSE))</f>
        <v>9.1672069315460569E-2</v>
      </c>
      <c r="R22" s="1">
        <f>(Main_M[[#This Row],[ROA]]-VLOOKUP(Main_M[[#This Row],[Industry]], Mean_ROA_M, 2, FALSE))/(VLOOKUP(Main_M[[#This Row],[Industry]], Mean_ROA_M, 3, FALSE))</f>
        <v>-0.66535824101582752</v>
      </c>
      <c r="S22" s="1">
        <f>(Main_M[[#This Row],[A/E]]-VLOOKUP(Main_M[[#This Row],[Industry]], Mean_AE_M, 2, FALSE))/(VLOOKUP(Main_M[[#This Row],[Industry]], Mean_AE_M, 3, FALSE))</f>
        <v>-0.47810387580769509</v>
      </c>
      <c r="T22" s="1">
        <f>(Main_M[[#This Row],[P/E]]-VLOOKUP(Main_M[[#This Row],[Industry]], Mean_PE_M, 2, FALSE))/(VLOOKUP(Main_M[[#This Row],[Industry]], Mean_PE_M, 3, FALSE))</f>
        <v>0.40075128796048787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8" t="s">
        <v>105</v>
      </c>
      <c r="B23" s="68" t="s">
        <v>163</v>
      </c>
      <c r="C23" s="2">
        <v>8556</v>
      </c>
      <c r="D23">
        <f>RTD("tos.rtd", , "LAST", Main_M[[#This Row],[Symbol]])</f>
        <v>6.74</v>
      </c>
      <c r="E23">
        <v>0.45</v>
      </c>
      <c r="F23">
        <v>4.53</v>
      </c>
      <c r="G23">
        <v>0.3</v>
      </c>
      <c r="H23" s="1">
        <f>IF(ISNUMBER(Main_M[[#This Row],[Free CF]]),IF(Main_M[[#This Row],[Free CF]]&lt;&gt;0,Main_M[[#This Row],[Current Price]]/Main_M[[#This Row],[Free CF]],""),"")</f>
        <v>14.977777777777778</v>
      </c>
      <c r="I23" s="1">
        <f>IF(ISNUMBER(Main_M[[#This Row],[BVPS]]),IF(Main_M[[#This Row],[BVPS]]&lt;&gt;0,Main_M[[#This Row],[Current Price]]/Main_M[[#This Row],[BVPS]],""),"")</f>
        <v>1.4878587196467992</v>
      </c>
      <c r="J23">
        <v>7.3</v>
      </c>
      <c r="K23">
        <v>4.1500000000000004</v>
      </c>
      <c r="L23">
        <v>2</v>
      </c>
      <c r="M23" s="1">
        <f>IF(ISNUMBER(Main_M[[#This Row],[EPS]]),IF(Main_M[[#This Row],[EPS]]&lt;&gt;0,Main_M[[#This Row],[Current Price]]/Main_M[[#This Row],[EPS]],""),"")</f>
        <v>22.466666666666669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-0.38630072521933645</v>
      </c>
      <c r="P23" s="1">
        <f>(Main_M[[#This Row],[P/B]]-VLOOKUP(Main_M[[#This Row],[Industry]], Mean_PB_M, 2, FALSE))/(VLOOKUP(Main_M[[#This Row],[Industry]], Mean_PB_M, 3, FALSE))</f>
        <v>-0.12975739451025287</v>
      </c>
      <c r="Q23" s="1">
        <f>(Main_M[[#This Row],[ROE]]-VLOOKUP(Main_M[[#This Row],[Industry]], Mean_ROE_M, 2, FALSE))/(VLOOKUP(Main_M[[#This Row],[Industry]], Mean_ROE_M, 3, FALSE))</f>
        <v>0.31634378017876114</v>
      </c>
      <c r="R23" s="1">
        <f>(Main_M[[#This Row],[ROA]]-VLOOKUP(Main_M[[#This Row],[Industry]], Mean_ROA_M, 2, FALSE))/(VLOOKUP(Main_M[[#This Row],[Industry]], Mean_ROA_M, 3, FALSE))</f>
        <v>-3.181952336913027E-2</v>
      </c>
      <c r="S23" s="1">
        <f>(Main_M[[#This Row],[A/E]]-VLOOKUP(Main_M[[#This Row],[Industry]], Mean_AE_M, 2, FALSE))/(VLOOKUP(Main_M[[#This Row],[Industry]], Mean_AE_M, 3, FALSE))</f>
        <v>-0.45313761597439506</v>
      </c>
      <c r="T23" s="1">
        <f>(Main_M[[#This Row],[P/E]]-VLOOKUP(Main_M[[#This Row],[Industry]], Mean_PE_M, 2, FALSE))/(VLOOKUP(Main_M[[#This Row],[Industry]], Mean_PE_M, 3, FALSE))</f>
        <v>0.27404352110431524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8" t="s">
        <v>105</v>
      </c>
      <c r="B24" s="68" t="s">
        <v>376</v>
      </c>
      <c r="C24" s="2">
        <v>4821</v>
      </c>
      <c r="D24">
        <f>RTD("tos.rtd", , "LAST", Main_M[[#This Row],[Symbol]])</f>
        <v>2.5299999999999998</v>
      </c>
      <c r="E24">
        <v>-0.42</v>
      </c>
      <c r="F24">
        <v>2.88</v>
      </c>
      <c r="G24">
        <v>-0.14000000000000001</v>
      </c>
      <c r="H24" s="1">
        <f>IF(ISNUMBER(Main_M[[#This Row],[Free CF]]),IF(Main_M[[#This Row],[Free CF]]&lt;&gt;0,Main_M[[#This Row],[Current Price]]/Main_M[[#This Row],[Free CF]],""),"")</f>
        <v>-6.0238095238095237</v>
      </c>
      <c r="I24" s="1">
        <f>IF(ISNUMBER(Main_M[[#This Row],[BVPS]]),IF(Main_M[[#This Row],[BVPS]]&lt;&gt;0,Main_M[[#This Row],[Current Price]]/Main_M[[#This Row],[BVPS]],""),"")</f>
        <v>0.87847222222222221</v>
      </c>
      <c r="J24">
        <v>-5</v>
      </c>
      <c r="K24">
        <v>-0.09</v>
      </c>
      <c r="L24">
        <v>2.52</v>
      </c>
      <c r="M24" s="1">
        <f>IF(ISNUMBER(Main_M[[#This Row],[EPS]]),IF(Main_M[[#This Row],[EPS]]&lt;&gt;0,Main_M[[#This Row],[Current Price]]/Main_M[[#This Row],[EPS]],""),"")</f>
        <v>-18.071428571428569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-1.768511245239998</v>
      </c>
      <c r="P24" s="1">
        <f>(Main_M[[#This Row],[P/B]]-VLOOKUP(Main_M[[#This Row],[Industry]], Mean_PB_M, 2, FALSE))/(VLOOKUP(Main_M[[#This Row],[Industry]], Mean_PB_M, 3, FALSE))</f>
        <v>-0.71618223950582693</v>
      </c>
      <c r="Q24" s="1">
        <f>(Main_M[[#This Row],[ROE]]-VLOOKUP(Main_M[[#This Row],[Industry]], Mean_ROE_M, 2, FALSE))/(VLOOKUP(Main_M[[#This Row],[Industry]], Mean_ROE_M, 3, FALSE))</f>
        <v>-0.5012485404184569</v>
      </c>
      <c r="R24" s="1">
        <f>(Main_M[[#This Row],[ROA]]-VLOOKUP(Main_M[[#This Row],[Industry]], Mean_ROA_M, 2, FALSE))/(VLOOKUP(Main_M[[#This Row],[Industry]], Mean_ROA_M, 3, FALSE))</f>
        <v>-1.368239504872611</v>
      </c>
      <c r="S24" s="1">
        <f>(Main_M[[#This Row],[A/E]]-VLOOKUP(Main_M[[#This Row],[Industry]], Mean_AE_M, 2, FALSE))/(VLOOKUP(Main_M[[#This Row],[Industry]], Mean_AE_M, 3, FALSE))</f>
        <v>0.84510789535720365</v>
      </c>
      <c r="T24" s="1">
        <f>(Main_M[[#This Row],[P/E]]-VLOOKUP(Main_M[[#This Row],[Industry]], Mean_PE_M, 2, FALSE))/(VLOOKUP(Main_M[[#This Row],[Industry]], Mean_PE_M, 3, FALSE))</f>
        <v>-1.5282342052893323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8" t="s">
        <v>105</v>
      </c>
      <c r="B25" s="68" t="s">
        <v>165</v>
      </c>
      <c r="C25" s="2">
        <v>6561</v>
      </c>
      <c r="D25">
        <f>RTD("tos.rtd", , "LAST", Main_M[[#This Row],[Symbol]])</f>
        <v>62.3</v>
      </c>
      <c r="E25">
        <v>-2.59</v>
      </c>
      <c r="F25">
        <v>66.239999999999995</v>
      </c>
      <c r="G25">
        <v>-11.12</v>
      </c>
      <c r="H25" s="1">
        <f>IF(ISNUMBER(Main_M[[#This Row],[Free CF]]),IF(Main_M[[#This Row],[Free CF]]&lt;&gt;0,Main_M[[#This Row],[Current Price]]/Main_M[[#This Row],[Free CF]],""),"")</f>
        <v>-24.054054054054053</v>
      </c>
      <c r="I25" s="1">
        <f>IF(ISNUMBER(Main_M[[#This Row],[BVPS]]),IF(Main_M[[#This Row],[BVPS]]&lt;&gt;0,Main_M[[#This Row],[Current Price]]/Main_M[[#This Row],[BVPS]],""),"")</f>
        <v>0.9405193236714976</v>
      </c>
      <c r="J25">
        <v>-9.99</v>
      </c>
      <c r="K25">
        <v>-1.51</v>
      </c>
      <c r="L25">
        <v>2.1800000000000002</v>
      </c>
      <c r="M25" s="1">
        <f>IF(ISNUMBER(Main_M[[#This Row],[EPS]]),IF(Main_M[[#This Row],[EPS]]&lt;&gt;0,Main_M[[#This Row],[Current Price]]/Main_M[[#This Row],[EPS]],""),"")</f>
        <v>-5.6025179856115113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-2.9551641067770591</v>
      </c>
      <c r="P25" s="1">
        <f>(Main_M[[#This Row],[P/B]]-VLOOKUP(Main_M[[#This Row],[Industry]], Mean_PB_M, 2, FALSE))/(VLOOKUP(Main_M[[#This Row],[Industry]], Mean_PB_M, 3, FALSE))</f>
        <v>-0.65647306970375163</v>
      </c>
      <c r="Q25" s="1">
        <f>(Main_M[[#This Row],[ROE]]-VLOOKUP(Main_M[[#This Row],[Industry]], Mean_ROE_M, 2, FALSE))/(VLOOKUP(Main_M[[#This Row],[Industry]], Mean_ROE_M, 3, FALSE))</f>
        <v>-0.83293843308350723</v>
      </c>
      <c r="R25" s="1">
        <f>(Main_M[[#This Row],[ROA]]-VLOOKUP(Main_M[[#This Row],[Industry]], Mean_ROA_M, 2, FALSE))/(VLOOKUP(Main_M[[#This Row],[Industry]], Mean_ROA_M, 3, FALSE))</f>
        <v>-1.8158141213195313</v>
      </c>
      <c r="S25" s="1">
        <f>(Main_M[[#This Row],[A/E]]-VLOOKUP(Main_M[[#This Row],[Industry]], Mean_AE_M, 2, FALSE))/(VLOOKUP(Main_M[[#This Row],[Industry]], Mean_AE_M, 3, FALSE))</f>
        <v>-3.7449389749951382E-3</v>
      </c>
      <c r="T25" s="1">
        <f>(Main_M[[#This Row],[P/E]]-VLOOKUP(Main_M[[#This Row],[Industry]], Mean_PE_M, 2, FALSE))/(VLOOKUP(Main_M[[#This Row],[Industry]], Mean_PE_M, 3, FALSE))</f>
        <v>-0.97388058583032477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8" t="s">
        <v>121</v>
      </c>
      <c r="B26" s="68" t="s">
        <v>179</v>
      </c>
      <c r="C26" s="2">
        <v>6613</v>
      </c>
      <c r="D26">
        <f>RTD("tos.rtd", , "LAST", Main_M[[#This Row],[Symbol]])</f>
        <v>201.89</v>
      </c>
      <c r="E26">
        <v>10.58</v>
      </c>
      <c r="F26">
        <v>44.18</v>
      </c>
      <c r="G26">
        <v>13.77</v>
      </c>
      <c r="H26" s="1">
        <f>IF(ISNUMBER(Main_M[[#This Row],[Free CF]]),IF(Main_M[[#This Row],[Free CF]]&lt;&gt;0,Main_M[[#This Row],[Current Price]]/Main_M[[#This Row],[Free CF]],""),"")</f>
        <v>19.082230623818525</v>
      </c>
      <c r="I26" s="1">
        <f>IF(ISNUMBER(Main_M[[#This Row],[BVPS]]),IF(Main_M[[#This Row],[BVPS]]&lt;&gt;0,Main_M[[#This Row],[Current Price]]/Main_M[[#This Row],[BVPS]],""),"")</f>
        <v>4.5697148030783161</v>
      </c>
      <c r="J26">
        <v>33.520000000000003</v>
      </c>
      <c r="K26">
        <v>12.06</v>
      </c>
      <c r="L26">
        <v>2.2400000000000002</v>
      </c>
      <c r="M26" s="1">
        <f>IF(ISNUMBER(Main_M[[#This Row],[EPS]]),IF(Main_M[[#This Row],[EPS]]&lt;&gt;0,Main_M[[#This Row],[Current Price]]/Main_M[[#This Row],[EPS]],""),"")</f>
        <v>14.661583151779229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26" s="1">
        <f>(Main_M[[#This Row],[P/FCF]]-VLOOKUP(Main_M[[#This Row],[Industry]], Mean_PFCF_M, 2, FALSE))/(VLOOKUP(Main_M[[#This Row],[Industry]], Mean_PFCF_M, 3, FALSE))</f>
        <v>-0.99358665516376421</v>
      </c>
      <c r="P26" s="1">
        <f>(Main_M[[#This Row],[P/B]]-VLOOKUP(Main_M[[#This Row],[Industry]], Mean_PB_M, 2, FALSE))/(VLOOKUP(Main_M[[#This Row],[Industry]], Mean_PB_M, 3, FALSE))</f>
        <v>-0.54293751959365144</v>
      </c>
      <c r="Q26" s="1">
        <f>(Main_M[[#This Row],[ROE]]-VLOOKUP(Main_M[[#This Row],[Industry]], Mean_ROE_M, 2, FALSE))/(VLOOKUP(Main_M[[#This Row],[Industry]], Mean_ROE_M, 3, FALSE))</f>
        <v>1.3145005084985326</v>
      </c>
      <c r="R26" s="1">
        <f>(Main_M[[#This Row],[ROA]]-VLOOKUP(Main_M[[#This Row],[Industry]], Mean_ROA_M, 2, FALSE))/(VLOOKUP(Main_M[[#This Row],[Industry]], Mean_ROA_M, 3, FALSE))</f>
        <v>0.47358856785869868</v>
      </c>
      <c r="S26" s="1">
        <f>(Main_M[[#This Row],[A/E]]-VLOOKUP(Main_M[[#This Row],[Industry]], Mean_AE_M, 2, FALSE))/(VLOOKUP(Main_M[[#This Row],[Industry]], Mean_AE_M, 3, FALSE))</f>
        <v>-4.800153607373004E-2</v>
      </c>
      <c r="T26" s="1">
        <f>(Main_M[[#This Row],[P/E]]-VLOOKUP(Main_M[[#This Row],[Industry]], Mean_PE_M, 2, FALSE))/(VLOOKUP(Main_M[[#This Row],[Industry]], Mean_PE_M, 3, FALSE))</f>
        <v>-1.3400385524569796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8" t="s">
        <v>121</v>
      </c>
      <c r="B27" s="68" t="s">
        <v>182</v>
      </c>
      <c r="C27" s="2">
        <v>2943</v>
      </c>
      <c r="D27">
        <f>RTD("tos.rtd", , "LAST", Main_M[[#This Row],[Symbol]])</f>
        <v>102.64</v>
      </c>
      <c r="E27">
        <v>3.6</v>
      </c>
      <c r="F27">
        <v>18.64</v>
      </c>
      <c r="G27">
        <v>4.2</v>
      </c>
      <c r="H27" s="1">
        <f>IF(ISNUMBER(Main_M[[#This Row],[Free CF]]),IF(Main_M[[#This Row],[Free CF]]&lt;&gt;0,Main_M[[#This Row],[Current Price]]/Main_M[[#This Row],[Free CF]],""),"")</f>
        <v>28.511111111111109</v>
      </c>
      <c r="I27" s="1">
        <f>IF(ISNUMBER(Main_M[[#This Row],[BVPS]]),IF(Main_M[[#This Row],[BVPS]]&lt;&gt;0,Main_M[[#This Row],[Current Price]]/Main_M[[#This Row],[BVPS]],""),"")</f>
        <v>5.5064377682403434</v>
      </c>
      <c r="J27">
        <v>25.44</v>
      </c>
      <c r="K27">
        <v>16.57</v>
      </c>
      <c r="L27">
        <v>1.1000000000000001</v>
      </c>
      <c r="M27" s="1">
        <f>IF(ISNUMBER(Main_M[[#This Row],[EPS]]),IF(Main_M[[#This Row],[EPS]]&lt;&gt;0,Main_M[[#This Row],[Current Price]]/Main_M[[#This Row],[EPS]],""),"")</f>
        <v>24.438095238095237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-0.88324785045374954</v>
      </c>
      <c r="P27" s="1">
        <f>(Main_M[[#This Row],[P/B]]-VLOOKUP(Main_M[[#This Row],[Industry]], Mean_PB_M, 2, FALSE))/(VLOOKUP(Main_M[[#This Row],[Industry]], Mean_PB_M, 3, FALSE))</f>
        <v>0.10567527526510487</v>
      </c>
      <c r="Q27" s="1">
        <f>(Main_M[[#This Row],[ROE]]-VLOOKUP(Main_M[[#This Row],[Industry]], Mean_ROE_M, 2, FALSE))/(VLOOKUP(Main_M[[#This Row],[Industry]], Mean_ROE_M, 3, FALSE))</f>
        <v>0.54289396228217623</v>
      </c>
      <c r="R27" s="1">
        <f>(Main_M[[#This Row],[ROA]]-VLOOKUP(Main_M[[#This Row],[Industry]], Mean_ROA_M, 2, FALSE))/(VLOOKUP(Main_M[[#This Row],[Industry]], Mean_ROA_M, 3, FALSE))</f>
        <v>1.3738559824183321</v>
      </c>
      <c r="S27" s="1">
        <f>(Main_M[[#This Row],[A/E]]-VLOOKUP(Main_M[[#This Row],[Industry]], Mean_AE_M, 2, FALSE))/(VLOOKUP(Main_M[[#This Row],[Industry]], Mean_AE_M, 3, FALSE))</f>
        <v>-16.464526873289024</v>
      </c>
      <c r="T27" s="1">
        <f>(Main_M[[#This Row],[P/E]]-VLOOKUP(Main_M[[#This Row],[Industry]], Mean_PE_M, 2, FALSE))/(VLOOKUP(Main_M[[#This Row],[Industry]], Mean_PE_M, 3, FALSE))</f>
        <v>0.27858280827136095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8" t="s">
        <v>121</v>
      </c>
      <c r="B28" s="68" t="s">
        <v>181</v>
      </c>
      <c r="C28" s="2">
        <v>5331</v>
      </c>
      <c r="D28">
        <f>RTD("tos.rtd", , "LAST", Main_M[[#This Row],[Symbol]])</f>
        <v>92.75</v>
      </c>
      <c r="E28">
        <v>0.65</v>
      </c>
      <c r="F28">
        <v>24.85</v>
      </c>
      <c r="G28">
        <v>3.18</v>
      </c>
      <c r="H28" s="1">
        <f>IF(ISNUMBER(Main_M[[#This Row],[Free CF]]),IF(Main_M[[#This Row],[Free CF]]&lt;&gt;0,Main_M[[#This Row],[Current Price]]/Main_M[[#This Row],[Free CF]],""),"")</f>
        <v>142.69230769230768</v>
      </c>
      <c r="I28" s="1">
        <f>IF(ISNUMBER(Main_M[[#This Row],[BVPS]]),IF(Main_M[[#This Row],[BVPS]]&lt;&gt;0,Main_M[[#This Row],[Current Price]]/Main_M[[#This Row],[BVPS]],""),"")</f>
        <v>3.732394366197183</v>
      </c>
      <c r="J28">
        <v>13.75</v>
      </c>
      <c r="K28">
        <v>6.57</v>
      </c>
      <c r="L28">
        <v>2.33</v>
      </c>
      <c r="M28" s="1">
        <f>IF(ISNUMBER(Main_M[[#This Row],[EPS]]),IF(Main_M[[#This Row],[EPS]]&lt;&gt;0,Main_M[[#This Row],[Current Price]]/Main_M[[#This Row],[EPS]],""),"")</f>
        <v>29.166666666666664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0.45292527933697785</v>
      </c>
      <c r="P28" s="1">
        <f>(Main_M[[#This Row],[P/B]]-VLOOKUP(Main_M[[#This Row],[Industry]], Mean_PB_M, 2, FALSE))/(VLOOKUP(Main_M[[#This Row],[Industry]], Mean_PB_M, 3, FALSE))</f>
        <v>-1.1227212645815687</v>
      </c>
      <c r="Q28" s="1">
        <f>(Main_M[[#This Row],[ROE]]-VLOOKUP(Main_M[[#This Row],[Industry]], Mean_ROE_M, 2, FALSE))/(VLOOKUP(Main_M[[#This Row],[Industry]], Mean_ROE_M, 3, FALSE))</f>
        <v>-0.57345263737985408</v>
      </c>
      <c r="R28" s="1">
        <f>(Main_M[[#This Row],[ROA]]-VLOOKUP(Main_M[[#This Row],[Industry]], Mean_ROA_M, 2, FALSE))/(VLOOKUP(Main_M[[#This Row],[Industry]], Mean_ROA_M, 3, FALSE))</f>
        <v>-0.6223023647205449</v>
      </c>
      <c r="S28" s="1">
        <f>(Main_M[[#This Row],[A/E]]-VLOOKUP(Main_M[[#This Row],[Industry]], Mean_AE_M, 2, FALSE))/(VLOOKUP(Main_M[[#This Row],[Industry]], Mean_AE_M, 3, FALSE))</f>
        <v>1.2480399379169491</v>
      </c>
      <c r="T28" s="1">
        <f>(Main_M[[#This Row],[P/E]]-VLOOKUP(Main_M[[#This Row],[Industry]], Mean_PE_M, 2, FALSE))/(VLOOKUP(Main_M[[#This Row],[Industry]], Mean_PE_M, 3, FALSE))</f>
        <v>1.0614557441856187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8" t="s">
        <v>121</v>
      </c>
      <c r="B29" s="68" t="s">
        <v>178</v>
      </c>
      <c r="C29" s="2">
        <v>9938</v>
      </c>
      <c r="D29">
        <f>RTD("tos.rtd", , "LAST", Main_M[[#This Row],[Symbol]])</f>
        <v>6.77</v>
      </c>
      <c r="E29">
        <v>0.03</v>
      </c>
      <c r="F29">
        <v>0.89</v>
      </c>
      <c r="G29">
        <v>0.05</v>
      </c>
      <c r="H29" s="1">
        <f>IF(ISNUMBER(Main_M[[#This Row],[Free CF]]),IF(Main_M[[#This Row],[Free CF]]&lt;&gt;0,Main_M[[#This Row],[Current Price]]/Main_M[[#This Row],[Free CF]],""),"")</f>
        <v>225.66666666666666</v>
      </c>
      <c r="I29" s="1">
        <f>IF(ISNUMBER(Main_M[[#This Row],[BVPS]]),IF(Main_M[[#This Row],[BVPS]]&lt;&gt;0,Main_M[[#This Row],[Current Price]]/Main_M[[#This Row],[BVPS]],""),"")</f>
        <v>7.6067415730337071</v>
      </c>
      <c r="J29">
        <v>6.31</v>
      </c>
      <c r="K29">
        <v>3.55</v>
      </c>
      <c r="L29">
        <v>2.16</v>
      </c>
      <c r="M29" s="1">
        <f>IF(ISNUMBER(Main_M[[#This Row],[EPS]]),IF(Main_M[[#This Row],[EPS]]&lt;&gt;0,Main_M[[#This Row],[Current Price]]/Main_M[[#This Row],[EPS]],""),"")</f>
        <v>135.39999999999998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1.4239092262805362</v>
      </c>
      <c r="P29" s="1">
        <f>(Main_M[[#This Row],[P/B]]-VLOOKUP(Main_M[[#This Row],[Industry]], Mean_PB_M, 2, FALSE))/(VLOOKUP(Main_M[[#This Row],[Industry]], Mean_PB_M, 3, FALSE))</f>
        <v>1.5599835089101139</v>
      </c>
      <c r="Q29" s="1">
        <f>(Main_M[[#This Row],[ROE]]-VLOOKUP(Main_M[[#This Row],[Industry]], Mean_ROE_M, 2, FALSE))/(VLOOKUP(Main_M[[#This Row],[Industry]], Mean_ROE_M, 3, FALSE))</f>
        <v>-1.2839418334008554</v>
      </c>
      <c r="R29" s="1">
        <f>(Main_M[[#This Row],[ROA]]-VLOOKUP(Main_M[[#This Row],[Industry]], Mean_ROA_M, 2, FALSE))/(VLOOKUP(Main_M[[#This Row],[Industry]], Mean_ROA_M, 3, FALSE))</f>
        <v>-1.2251421855564859</v>
      </c>
      <c r="S29" s="1">
        <f>(Main_M[[#This Row],[A/E]]-VLOOKUP(Main_M[[#This Row],[Industry]], Mean_AE_M, 2, FALSE))/(VLOOKUP(Main_M[[#This Row],[Industry]], Mean_AE_M, 3, FALSE))</f>
        <v>-1.2000384018432253</v>
      </c>
      <c r="T29" s="1">
        <f>(Main_M[[#This Row],[P/E]]-VLOOKUP(Main_M[[#This Row],[Industry]], Mean_PE_M, 2, FALSE))/(VLOOKUP(Main_M[[#This Row],[Industry]], Mean_PE_M, 3, FALSE))</f>
        <v>18.649685681054876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0" spans="1:26" x14ac:dyDescent="0.25">
      <c r="A30" s="68" t="s">
        <v>125</v>
      </c>
      <c r="B30" s="68" t="s">
        <v>185</v>
      </c>
      <c r="C30" s="2">
        <v>3231</v>
      </c>
      <c r="D30">
        <f>RTD("tos.rtd", , "LAST", Main_M[[#This Row],[Symbol]])</f>
        <v>65.28</v>
      </c>
      <c r="E30">
        <v>3.16</v>
      </c>
      <c r="F30">
        <v>43.01</v>
      </c>
      <c r="G30">
        <v>4.43</v>
      </c>
      <c r="H30" s="1">
        <f>IF(ISNUMBER(Main_M[[#This Row],[Free CF]]),IF(Main_M[[#This Row],[Free CF]]&lt;&gt;0,Main_M[[#This Row],[Current Price]]/Main_M[[#This Row],[Free CF]],""),"")</f>
        <v>20.658227848101266</v>
      </c>
      <c r="I30" s="1">
        <f>IF(ISNUMBER(Main_M[[#This Row],[BVPS]]),IF(Main_M[[#This Row],[BVPS]]&lt;&gt;0,Main_M[[#This Row],[Current Price]]/Main_M[[#This Row],[BVPS]],""),"")</f>
        <v>1.5177865612648223</v>
      </c>
      <c r="J30">
        <v>10.78</v>
      </c>
      <c r="K30">
        <v>4.45</v>
      </c>
      <c r="L30">
        <v>3.23</v>
      </c>
      <c r="M30" s="1">
        <f>IF(ISNUMBER(Main_M[[#This Row],[EPS]]),IF(Main_M[[#This Row],[EPS]]&lt;&gt;0,Main_M[[#This Row],[Current Price]]/Main_M[[#This Row],[EPS]],""),"")</f>
        <v>14.735891647855532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0.3579443375237169</v>
      </c>
      <c r="P30" s="1">
        <f>(Main_M[[#This Row],[P/B]]-VLOOKUP(Main_M[[#This Row],[Industry]], Mean_PB_M, 2, FALSE))/(VLOOKUP(Main_M[[#This Row],[Industry]], Mean_PB_M, 3, FALSE))</f>
        <v>-1.2029343215025379</v>
      </c>
      <c r="Q30" s="1">
        <f>(Main_M[[#This Row],[ROE]]-VLOOKUP(Main_M[[#This Row],[Industry]], Mean_ROE_M, 2, FALSE))/(VLOOKUP(Main_M[[#This Row],[Industry]], Mean_ROE_M, 3, FALSE))</f>
        <v>-1.3794497487084801E-2</v>
      </c>
      <c r="R30" s="1">
        <f>(Main_M[[#This Row],[ROA]]-VLOOKUP(Main_M[[#This Row],[Industry]], Mean_ROA_M, 2, FALSE))/(VLOOKUP(Main_M[[#This Row],[Industry]], Mean_ROA_M, 3, FALSE))</f>
        <v>-4.3781196772053402E-2</v>
      </c>
      <c r="S30" s="1">
        <f>(Main_M[[#This Row],[A/E]]-VLOOKUP(Main_M[[#This Row],[Industry]], Mean_AE_M, 2, FALSE))/(VLOOKUP(Main_M[[#This Row],[Industry]], Mean_AE_M, 3, FALSE))</f>
        <v>-1.0657203203503374</v>
      </c>
      <c r="T30" s="1">
        <f>(Main_M[[#This Row],[P/E]]-VLOOKUP(Main_M[[#This Row],[Industry]], Mean_PE_M, 2, FALSE))/(VLOOKUP(Main_M[[#This Row],[Industry]], Mean_PE_M, 3, FALSE))</f>
        <v>0.41636458491098916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8" t="s">
        <v>125</v>
      </c>
      <c r="B31" s="68" t="s">
        <v>186</v>
      </c>
      <c r="C31" s="2">
        <v>5892</v>
      </c>
      <c r="D31">
        <f>RTD("tos.rtd", , "LAST", Main_M[[#This Row],[Symbol]])</f>
        <v>54.36</v>
      </c>
      <c r="E31">
        <v>2.96</v>
      </c>
      <c r="F31">
        <v>19.47</v>
      </c>
      <c r="G31">
        <v>2.69</v>
      </c>
      <c r="H31" s="1">
        <f>IF(ISNUMBER(Main_M[[#This Row],[Free CF]]),IF(Main_M[[#This Row],[Free CF]]&lt;&gt;0,Main_M[[#This Row],[Current Price]]/Main_M[[#This Row],[Free CF]],""),"")</f>
        <v>18.364864864864863</v>
      </c>
      <c r="I31" s="1">
        <f>IF(ISNUMBER(Main_M[[#This Row],[BVPS]]),IF(Main_M[[#This Row],[BVPS]]&lt;&gt;0,Main_M[[#This Row],[Current Price]]/Main_M[[#This Row],[BVPS]],""),"")</f>
        <v>2.7919876733436055</v>
      </c>
      <c r="J31">
        <v>14.52</v>
      </c>
      <c r="K31">
        <v>4.75</v>
      </c>
      <c r="L31">
        <v>4.21</v>
      </c>
      <c r="M31" s="1">
        <f>IF(ISNUMBER(Main_M[[#This Row],[EPS]]),IF(Main_M[[#This Row],[EPS]]&lt;&gt;0,Main_M[[#This Row],[Current Price]]/Main_M[[#This Row],[EPS]],""),"")</f>
        <v>20.208178438661712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0.21874526870325689</v>
      </c>
      <c r="P31" s="1">
        <f>(Main_M[[#This Row],[P/B]]-VLOOKUP(Main_M[[#This Row],[Industry]], Mean_PB_M, 2, FALSE))/(VLOOKUP(Main_M[[#This Row],[Industry]], Mean_PB_M, 3, FALSE))</f>
        <v>1.7817583311946323</v>
      </c>
      <c r="Q31" s="1">
        <f>(Main_M[[#This Row],[ROE]]-VLOOKUP(Main_M[[#This Row],[Industry]], Mean_ROE_M, 2, FALSE))/(VLOOKUP(Main_M[[#This Row],[Industry]], Mean_ROE_M, 3, FALSE))</f>
        <v>0.21051602686812329</v>
      </c>
      <c r="R31" s="1">
        <f>(Main_M[[#This Row],[ROA]]-VLOOKUP(Main_M[[#This Row],[Industry]], Mean_ROA_M, 2, FALSE))/(VLOOKUP(Main_M[[#This Row],[Industry]], Mean_ROA_M, 3, FALSE))</f>
        <v>0.16053105483086588</v>
      </c>
      <c r="S31" s="1">
        <f>(Main_M[[#This Row],[A/E]]-VLOOKUP(Main_M[[#This Row],[Industry]], Mean_AE_M, 2, FALSE))/(VLOOKUP(Main_M[[#This Row],[Industry]], Mean_AE_M, 3, FALSE))</f>
        <v>-0.60325275698059688</v>
      </c>
      <c r="T31" s="1">
        <f>(Main_M[[#This Row],[P/E]]-VLOOKUP(Main_M[[#This Row],[Industry]], Mean_PE_M, 2, FALSE))/(VLOOKUP(Main_M[[#This Row],[Industry]], Mean_PE_M, 3, FALSE))</f>
        <v>0.91809013332140066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8" t="s">
        <v>125</v>
      </c>
      <c r="B32" s="68" t="s">
        <v>188</v>
      </c>
      <c r="C32" s="2">
        <v>4735</v>
      </c>
      <c r="D32">
        <f>RTD("tos.rtd", , "LAST", Main_M[[#This Row],[Symbol]])</f>
        <v>32.89</v>
      </c>
      <c r="E32">
        <v>2.87</v>
      </c>
      <c r="F32">
        <v>5.43</v>
      </c>
      <c r="G32">
        <v>2.06</v>
      </c>
      <c r="H32" s="1">
        <f>IF(ISNUMBER(Main_M[[#This Row],[Free CF]]),IF(Main_M[[#This Row],[Free CF]]&lt;&gt;0,Main_M[[#This Row],[Current Price]]/Main_M[[#This Row],[Free CF]],""),"")</f>
        <v>11.459930313588849</v>
      </c>
      <c r="I32" s="1">
        <f>IF(ISNUMBER(Main_M[[#This Row],[BVPS]]),IF(Main_M[[#This Row],[BVPS]]&lt;&gt;0,Main_M[[#This Row],[Current Price]]/Main_M[[#This Row],[BVPS]],""),"")</f>
        <v>6.057090239410682</v>
      </c>
      <c r="J32">
        <v>43.4</v>
      </c>
      <c r="K32">
        <v>7</v>
      </c>
      <c r="L32">
        <v>8.83</v>
      </c>
      <c r="M32" s="1">
        <f>IF(ISNUMBER(Main_M[[#This Row],[EPS]]),IF(Main_M[[#This Row],[EPS]]&lt;&gt;0,Main_M[[#This Row],[Current Price]]/Main_M[[#This Row],[EPS]],""),"")</f>
        <v>15.966019417475728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-0.20035997840745062</v>
      </c>
      <c r="P32" s="1">
        <f>(Main_M[[#This Row],[P/B]]-VLOOKUP(Main_M[[#This Row],[Industry]], Mean_PB_M, 2, FALSE))/(VLOOKUP(Main_M[[#This Row],[Industry]], Mean_PB_M, 3, FALSE))</f>
        <v>9.429944749227305</v>
      </c>
      <c r="Q32" s="1">
        <f>(Main_M[[#This Row],[ROE]]-VLOOKUP(Main_M[[#This Row],[Industry]], Mean_ROE_M, 2, FALSE))/(VLOOKUP(Main_M[[#This Row],[Industry]], Mean_ROE_M, 3, FALSE))</f>
        <v>1.9426251026377512</v>
      </c>
      <c r="R32" s="1">
        <f>(Main_M[[#This Row],[ROA]]-VLOOKUP(Main_M[[#This Row],[Industry]], Mean_ROA_M, 2, FALSE))/(VLOOKUP(Main_M[[#This Row],[Industry]], Mean_ROA_M, 3, FALSE))</f>
        <v>1.6928729418527615</v>
      </c>
      <c r="S32" s="1">
        <f>(Main_M[[#This Row],[A/E]]-VLOOKUP(Main_M[[#This Row],[Industry]], Mean_AE_M, 2, FALSE))/(VLOOKUP(Main_M[[#This Row],[Industry]], Mean_AE_M, 3, FALSE))</f>
        <v>1.5769514703338943</v>
      </c>
      <c r="T32" s="1">
        <f>(Main_M[[#This Row],[P/E]]-VLOOKUP(Main_M[[#This Row],[Industry]], Mean_PE_M, 2, FALSE))/(VLOOKUP(Main_M[[#This Row],[Industry]], Mean_PE_M, 3, FALSE))</f>
        <v>0.52914860983901113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8" t="s">
        <v>125</v>
      </c>
      <c r="B33" s="68" t="s">
        <v>189</v>
      </c>
      <c r="C33" s="2">
        <v>4492</v>
      </c>
      <c r="D33">
        <f>RTD("tos.rtd", , "LAST", Main_M[[#This Row],[Symbol]])</f>
        <v>45.5</v>
      </c>
      <c r="E33">
        <v>0.61</v>
      </c>
      <c r="F33">
        <v>24.82</v>
      </c>
      <c r="G33">
        <v>0.82</v>
      </c>
      <c r="H33" s="1">
        <f>IF(ISNUMBER(Main_M[[#This Row],[Free CF]]),IF(Main_M[[#This Row],[Free CF]]&lt;&gt;0,Main_M[[#This Row],[Current Price]]/Main_M[[#This Row],[Free CF]],""),"")</f>
        <v>74.590163934426229</v>
      </c>
      <c r="I33" s="1">
        <f>IF(ISNUMBER(Main_M[[#This Row],[BVPS]]),IF(Main_M[[#This Row],[BVPS]]&lt;&gt;0,Main_M[[#This Row],[Current Price]]/Main_M[[#This Row],[BVPS]],""),"")</f>
        <v>1.8331990330378727</v>
      </c>
      <c r="J33">
        <v>3.33</v>
      </c>
      <c r="K33">
        <v>3.67</v>
      </c>
      <c r="L33">
        <v>5.18</v>
      </c>
      <c r="M33" s="1">
        <f>IF(ISNUMBER(Main_M[[#This Row],[EPS]]),IF(Main_M[[#This Row],[EPS]]&lt;&gt;0,Main_M[[#This Row],[Current Price]]/Main_M[[#This Row],[EPS]],""),"")</f>
        <v>55.487804878048784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3.6314232145162735</v>
      </c>
      <c r="P33" s="1">
        <f>(Main_M[[#This Row],[P/B]]-VLOOKUP(Main_M[[#This Row],[Industry]], Mean_PB_M, 2, FALSE))/(VLOOKUP(Main_M[[#This Row],[Industry]], Mean_PB_M, 3, FALSE))</f>
        <v>-0.46411116545127373</v>
      </c>
      <c r="Q33" s="1">
        <f>(Main_M[[#This Row],[ROE]]-VLOOKUP(Main_M[[#This Row],[Industry]], Mean_ROE_M, 2, FALSE))/(VLOOKUP(Main_M[[#This Row],[Industry]], Mean_ROE_M, 3, FALSE))</f>
        <v>-0.46061626391657678</v>
      </c>
      <c r="R33" s="1">
        <f>(Main_M[[#This Row],[ROA]]-VLOOKUP(Main_M[[#This Row],[Industry]], Mean_ROA_M, 2, FALSE))/(VLOOKUP(Main_M[[#This Row],[Industry]], Mean_ROA_M, 3, FALSE))</f>
        <v>-0.57499305093964403</v>
      </c>
      <c r="S33" s="1">
        <f>(Main_M[[#This Row],[A/E]]-VLOOKUP(Main_M[[#This Row],[Industry]], Mean_AE_M, 2, FALSE))/(VLOOKUP(Main_M[[#This Row],[Industry]], Mean_AE_M, 3, FALSE))</f>
        <v>-0.14550425037993547</v>
      </c>
      <c r="T33" s="1">
        <f>(Main_M[[#This Row],[P/E]]-VLOOKUP(Main_M[[#This Row],[Industry]], Mean_PE_M, 2, FALSE))/(VLOOKUP(Main_M[[#This Row],[Industry]], Mean_PE_M, 3, FALSE))</f>
        <v>4.1526958109248326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4" spans="1:26" x14ac:dyDescent="0.25">
      <c r="A34" s="68" t="s">
        <v>125</v>
      </c>
      <c r="B34" s="68" t="s">
        <v>183</v>
      </c>
      <c r="C34" s="2">
        <v>2331</v>
      </c>
      <c r="D34">
        <f>RTD("tos.rtd", , "LAST", Main_M[[#This Row],[Symbol]])</f>
        <v>4.1500000000000004</v>
      </c>
      <c r="E34">
        <v>0.49</v>
      </c>
      <c r="F34">
        <v>-0.38</v>
      </c>
      <c r="G34">
        <v>-0.03</v>
      </c>
      <c r="H34" s="1">
        <f>IF(ISNUMBER(Main_M[[#This Row],[Free CF]]),IF(Main_M[[#This Row],[Free CF]]&lt;&gt;0,Main_M[[#This Row],[Current Price]]/Main_M[[#This Row],[Free CF]],""),"")</f>
        <v>8.4693877551020424</v>
      </c>
      <c r="I34" s="1">
        <f>IF(ISNUMBER(Main_M[[#This Row],[BVPS]]),IF(Main_M[[#This Row],[BVPS]]&lt;&gt;0,Main_M[[#This Row],[Current Price]]/Main_M[[#This Row],[BVPS]],""),"")</f>
        <v>-10.921052631578949</v>
      </c>
      <c r="J34">
        <v>-4.12</v>
      </c>
      <c r="K34">
        <v>2.2200000000000002</v>
      </c>
      <c r="L34">
        <v>-22.93</v>
      </c>
      <c r="M34" s="1">
        <f>IF(ISNUMBER(Main_M[[#This Row],[EPS]]),IF(Main_M[[#This Row],[EPS]]&lt;&gt;0,Main_M[[#This Row],[Current Price]]/Main_M[[#This Row],[EPS]],""),"")</f>
        <v>-138.33333333333334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-0.38187539591971137</v>
      </c>
      <c r="P34" s="1">
        <f>(Main_M[[#This Row],[P/B]]-VLOOKUP(Main_M[[#This Row],[Industry]], Mean_PB_M, 2, FALSE))/(VLOOKUP(Main_M[[#This Row],[Industry]], Mean_PB_M, 3, FALSE))</f>
        <v>-30.339709980404105</v>
      </c>
      <c r="Q34" s="1">
        <f>(Main_M[[#This Row],[ROE]]-VLOOKUP(Main_M[[#This Row],[Industry]], Mean_ROE_M, 2, FALSE))/(VLOOKUP(Main_M[[#This Row],[Industry]], Mean_ROE_M, 3, FALSE))</f>
        <v>-0.90743803034606874</v>
      </c>
      <c r="R34" s="1">
        <f>(Main_M[[#This Row],[ROA]]-VLOOKUP(Main_M[[#This Row],[Industry]], Mean_ROA_M, 2, FALSE))/(VLOOKUP(Main_M[[#This Row],[Industry]], Mean_ROA_M, 3, FALSE))</f>
        <v>-1.5625022670204209</v>
      </c>
      <c r="S34" s="1">
        <f>(Main_M[[#This Row],[A/E]]-VLOOKUP(Main_M[[#This Row],[Industry]], Mean_AE_M, 2, FALSE))/(VLOOKUP(Main_M[[#This Row],[Industry]], Mean_AE_M, 3, FALSE))</f>
        <v>-13.410772828260962</v>
      </c>
      <c r="T34" s="1">
        <f>(Main_M[[#This Row],[P/E]]-VLOOKUP(Main_M[[#This Row],[Industry]], Mean_PE_M, 2, FALSE))/(VLOOKUP(Main_M[[#This Row],[Industry]], Mean_PE_M, 3, FALSE))</f>
        <v>-13.617757489515162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5" spans="1:26" x14ac:dyDescent="0.25">
      <c r="A35" s="68" t="s">
        <v>125</v>
      </c>
      <c r="B35" s="68" t="s">
        <v>249</v>
      </c>
      <c r="C35" s="2">
        <v>2028</v>
      </c>
      <c r="D35">
        <f>RTD("tos.rtd", , "LAST", Main_M[[#This Row],[Symbol]])</f>
        <v>13.59</v>
      </c>
      <c r="E35">
        <v>0.32</v>
      </c>
      <c r="F35">
        <v>7.2</v>
      </c>
      <c r="G35">
        <v>-1.26</v>
      </c>
      <c r="H35" s="1">
        <f>IF(ISNUMBER(Main_M[[#This Row],[Free CF]]),IF(Main_M[[#This Row],[Free CF]]&lt;&gt;0,Main_M[[#This Row],[Current Price]]/Main_M[[#This Row],[Free CF]],""),"")</f>
        <v>42.46875</v>
      </c>
      <c r="I35" s="1">
        <f>IF(ISNUMBER(Main_M[[#This Row],[BVPS]]),IF(Main_M[[#This Row],[BVPS]]&lt;&gt;0,Main_M[[#This Row],[Current Price]]/Main_M[[#This Row],[BVPS]],""),"")</f>
        <v>1.8875</v>
      </c>
      <c r="J35">
        <v>-11.45</v>
      </c>
      <c r="K35">
        <v>3.58</v>
      </c>
      <c r="L35">
        <v>7.84</v>
      </c>
      <c r="M35" s="1">
        <f>IF(ISNUMBER(Main_M[[#This Row],[EPS]]),IF(Main_M[[#This Row],[EPS]]&lt;&gt;0,Main_M[[#This Row],[Current Price]]/Main_M[[#This Row],[EPS]],""),"")</f>
        <v>-10.785714285714285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1.6817663387613482</v>
      </c>
      <c r="P35" s="1">
        <f>(Main_M[[#This Row],[P/B]]-VLOOKUP(Main_M[[#This Row],[Industry]], Mean_PB_M, 2, FALSE))/(VLOOKUP(Main_M[[#This Row],[Industry]], Mean_PB_M, 3, FALSE))</f>
        <v>-0.33691641135017053</v>
      </c>
      <c r="Q35" s="1">
        <f>(Main_M[[#This Row],[ROE]]-VLOOKUP(Main_M[[#This Row],[Industry]], Mean_ROE_M, 2, FALSE))/(VLOOKUP(Main_M[[#This Row],[Industry]], Mean_ROE_M, 3, FALSE))</f>
        <v>-1.347062667651864</v>
      </c>
      <c r="R35" s="1">
        <f>(Main_M[[#This Row],[ROA]]-VLOOKUP(Main_M[[#This Row],[Industry]], Mean_ROA_M, 2, FALSE))/(VLOOKUP(Main_M[[#This Row],[Industry]], Mean_ROA_M, 3, FALSE))</f>
        <v>-0.63628672642051975</v>
      </c>
      <c r="S35" s="1">
        <f>(Main_M[[#This Row],[A/E]]-VLOOKUP(Main_M[[#This Row],[Industry]], Mean_AE_M, 2, FALSE))/(VLOOKUP(Main_M[[#This Row],[Industry]], Mean_AE_M, 3, FALSE))</f>
        <v>1.1097648501950745</v>
      </c>
      <c r="T35" s="1">
        <f>(Main_M[[#This Row],[P/E]]-VLOOKUP(Main_M[[#This Row],[Industry]], Mean_PE_M, 2, FALSE))/(VLOOKUP(Main_M[[#This Row],[Industry]], Mean_PE_M, 3, FALSE))</f>
        <v>-1.9235788834846637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8" t="s">
        <v>125</v>
      </c>
      <c r="B36" s="68" t="s">
        <v>187</v>
      </c>
      <c r="C36" s="2">
        <v>6705</v>
      </c>
      <c r="D36">
        <f>RTD("tos.rtd", , "LAST", Main_M[[#This Row],[Symbol]])</f>
        <v>22.24</v>
      </c>
      <c r="E36">
        <v>-1.73</v>
      </c>
      <c r="F36">
        <v>10.46</v>
      </c>
      <c r="G36">
        <v>2.0499999999999998</v>
      </c>
      <c r="H36" s="1">
        <f>IF(ISNUMBER(Main_M[[#This Row],[Free CF]]),IF(Main_M[[#This Row],[Free CF]]&lt;&gt;0,Main_M[[#This Row],[Current Price]]/Main_M[[#This Row],[Free CF]],""),"")</f>
        <v>-12.855491329479769</v>
      </c>
      <c r="I36" s="1">
        <f>IF(ISNUMBER(Main_M[[#This Row],[BVPS]]),IF(Main_M[[#This Row],[BVPS]]&lt;&gt;0,Main_M[[#This Row],[Current Price]]/Main_M[[#This Row],[BVPS]],""),"")</f>
        <v>2.1261950286806881</v>
      </c>
      <c r="J36">
        <v>20.61</v>
      </c>
      <c r="K36">
        <v>5.93</v>
      </c>
      <c r="L36">
        <v>3.64</v>
      </c>
      <c r="M36" s="1">
        <f>IF(ISNUMBER(Main_M[[#This Row],[EPS]]),IF(Main_M[[#This Row],[EPS]]&lt;&gt;0,Main_M[[#This Row],[Current Price]]/Main_M[[#This Row],[EPS]],""),"")</f>
        <v>10.848780487804879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-1.6762205706611601</v>
      </c>
      <c r="P36" s="1">
        <f>(Main_M[[#This Row],[P/B]]-VLOOKUP(Main_M[[#This Row],[Industry]], Mean_PB_M, 2, FALSE))/(VLOOKUP(Main_M[[#This Row],[Industry]], Mean_PB_M, 3, FALSE))</f>
        <v>0.22220356710935296</v>
      </c>
      <c r="Q36" s="1">
        <f>(Main_M[[#This Row],[ROE]]-VLOOKUP(Main_M[[#This Row],[Industry]], Mean_ROE_M, 2, FALSE))/(VLOOKUP(Main_M[[#This Row],[Industry]], Mean_ROE_M, 3, FALSE))</f>
        <v>0.57577032989572141</v>
      </c>
      <c r="R36" s="1">
        <f>(Main_M[[#This Row],[ROA]]-VLOOKUP(Main_M[[#This Row],[Industry]], Mean_ROA_M, 2, FALSE))/(VLOOKUP(Main_M[[#This Row],[Industry]], Mean_ROA_M, 3, FALSE))</f>
        <v>0.96415924446901535</v>
      </c>
      <c r="S36" s="1">
        <f>(Main_M[[#This Row],[A/E]]-VLOOKUP(Main_M[[#This Row],[Industry]], Mean_AE_M, 2, FALSE))/(VLOOKUP(Main_M[[#This Row],[Industry]], Mean_AE_M, 3, FALSE))</f>
        <v>-0.87223899281809902</v>
      </c>
      <c r="T36" s="1">
        <f>(Main_M[[#This Row],[P/E]]-VLOOKUP(Main_M[[#This Row],[Industry]], Mean_PE_M, 2, FALSE))/(VLOOKUP(Main_M[[#This Row],[Industry]], Mean_PE_M, 3, FALSE))</f>
        <v>5.9975555413262285E-2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8" t="s">
        <v>133</v>
      </c>
      <c r="B37" s="68" t="s">
        <v>210</v>
      </c>
      <c r="C37" s="2">
        <v>5265</v>
      </c>
      <c r="D37">
        <f>RTD("tos.rtd", , "LAST", Main_M[[#This Row],[Symbol]])</f>
        <v>50.65</v>
      </c>
      <c r="E37">
        <v>3.73</v>
      </c>
      <c r="F37">
        <v>35.42</v>
      </c>
      <c r="G37">
        <v>0.63</v>
      </c>
      <c r="H37" s="1">
        <f>IF(ISNUMBER(Main_M[[#This Row],[Free CF]]),IF(Main_M[[#This Row],[Free CF]]&lt;&gt;0,Main_M[[#This Row],[Current Price]]/Main_M[[#This Row],[Free CF]],""),"")</f>
        <v>13.579088471849866</v>
      </c>
      <c r="I37" s="1">
        <f>IF(ISNUMBER(Main_M[[#This Row],[BVPS]]),IF(Main_M[[#This Row],[BVPS]]&lt;&gt;0,Main_M[[#This Row],[Current Price]]/Main_M[[#This Row],[BVPS]],""),"")</f>
        <v>1.429983060417843</v>
      </c>
      <c r="J37">
        <v>1.78</v>
      </c>
      <c r="K37">
        <v>4.78</v>
      </c>
      <c r="L37">
        <v>1.67</v>
      </c>
      <c r="M37" s="1">
        <f>IF(ISNUMBER(Main_M[[#This Row],[EPS]]),IF(Main_M[[#This Row],[EPS]]&lt;&gt;0,Main_M[[#This Row],[Current Price]]/Main_M[[#This Row],[EPS]],""),"")</f>
        <v>80.396825396825392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0.26282174081452131</v>
      </c>
      <c r="P37" s="1">
        <f>(Main_M[[#This Row],[P/B]]-VLOOKUP(Main_M[[#This Row],[Industry]], Mean_PB_M, 2, FALSE))/(VLOOKUP(Main_M[[#This Row],[Industry]], Mean_PB_M, 3, FALSE))</f>
        <v>-0.50410335206477397</v>
      </c>
      <c r="Q37" s="1">
        <f>(Main_M[[#This Row],[ROE]]-VLOOKUP(Main_M[[#This Row],[Industry]], Mean_ROE_M, 2, FALSE))/(VLOOKUP(Main_M[[#This Row],[Industry]], Mean_ROE_M, 3, FALSE))</f>
        <v>-0.3272039996975033</v>
      </c>
      <c r="R37" s="1">
        <f>(Main_M[[#This Row],[ROA]]-VLOOKUP(Main_M[[#This Row],[Industry]], Mean_ROA_M, 2, FALSE))/(VLOOKUP(Main_M[[#This Row],[Industry]], Mean_ROA_M, 3, FALSE))</f>
        <v>-7.692230239257504E-2</v>
      </c>
      <c r="S37" s="1">
        <f>(Main_M[[#This Row],[A/E]]-VLOOKUP(Main_M[[#This Row],[Industry]], Mean_AE_M, 2, FALSE))/(VLOOKUP(Main_M[[#This Row],[Industry]], Mean_AE_M, 3, FALSE))</f>
        <v>-2.2026503242280508E-2</v>
      </c>
      <c r="T37" s="1">
        <f>(Main_M[[#This Row],[P/E]]-VLOOKUP(Main_M[[#This Row],[Industry]], Mean_PE_M, 2, FALSE))/(VLOOKUP(Main_M[[#This Row],[Industry]], Mean_PE_M, 3, FALSE))</f>
        <v>3.9058576268457808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8" spans="1:26" x14ac:dyDescent="0.25">
      <c r="A38" s="68" t="s">
        <v>133</v>
      </c>
      <c r="B38" s="68" t="s">
        <v>201</v>
      </c>
      <c r="C38" s="2">
        <v>3437</v>
      </c>
      <c r="D38">
        <f>RTD("tos.rtd", , "LAST", Main_M[[#This Row],[Symbol]])</f>
        <v>10.88</v>
      </c>
      <c r="E38">
        <v>1.61</v>
      </c>
      <c r="F38">
        <v>1.38</v>
      </c>
      <c r="G38">
        <v>0.01</v>
      </c>
      <c r="H38" s="1">
        <f>IF(ISNUMBER(Main_M[[#This Row],[Free CF]]),IF(Main_M[[#This Row],[Free CF]]&lt;&gt;0,Main_M[[#This Row],[Current Price]]/Main_M[[#This Row],[Free CF]],""),"")</f>
        <v>6.7577639751552798</v>
      </c>
      <c r="I38" s="1">
        <f>IF(ISNUMBER(Main_M[[#This Row],[BVPS]]),IF(Main_M[[#This Row],[BVPS]]&lt;&gt;0,Main_M[[#This Row],[Current Price]]/Main_M[[#This Row],[BVPS]],""),"")</f>
        <v>7.884057971014494</v>
      </c>
      <c r="J38">
        <v>0.39</v>
      </c>
      <c r="K38">
        <v>9.2799999999999994</v>
      </c>
      <c r="L38">
        <v>4.08</v>
      </c>
      <c r="M38" s="1">
        <f>IF(ISNUMBER(Main_M[[#This Row],[EPS]]),IF(Main_M[[#This Row],[EPS]]&lt;&gt;0,Main_M[[#This Row],[Current Price]]/Main_M[[#This Row],[EPS]],""),"")</f>
        <v>1088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6.3161379420963948E-2</v>
      </c>
      <c r="P38" s="1">
        <f>(Main_M[[#This Row],[P/B]]-VLOOKUP(Main_M[[#This Row],[Industry]], Mean_PB_M, 2, FALSE))/(VLOOKUP(Main_M[[#This Row],[Industry]], Mean_PB_M, 3, FALSE))</f>
        <v>4.845060335730162</v>
      </c>
      <c r="Q38" s="1">
        <f>(Main_M[[#This Row],[ROE]]-VLOOKUP(Main_M[[#This Row],[Industry]], Mean_ROE_M, 2, FALSE))/(VLOOKUP(Main_M[[#This Row],[Industry]], Mean_ROE_M, 3, FALSE))</f>
        <v>-0.4662262993096235</v>
      </c>
      <c r="R38" s="1">
        <f>(Main_M[[#This Row],[ROA]]-VLOOKUP(Main_M[[#This Row],[Industry]], Mean_ROA_M, 2, FALSE))/(VLOOKUP(Main_M[[#This Row],[Industry]], Mean_ROA_M, 3, FALSE))</f>
        <v>0.78049189625077664</v>
      </c>
      <c r="S38" s="1">
        <f>(Main_M[[#This Row],[A/E]]-VLOOKUP(Main_M[[#This Row],[Industry]], Mean_AE_M, 2, FALSE))/(VLOOKUP(Main_M[[#This Row],[Industry]], Mean_AE_M, 3, FALSE))</f>
        <v>4.7419108005688155</v>
      </c>
      <c r="T38" s="1">
        <f>(Main_M[[#This Row],[P/E]]-VLOOKUP(Main_M[[#This Row],[Industry]], Mean_PE_M, 2, FALSE))/(VLOOKUP(Main_M[[#This Row],[Industry]], Mean_PE_M, 3, FALSE))</f>
        <v>66.924187560976264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9" spans="1:26" x14ac:dyDescent="0.25">
      <c r="A39" s="68" t="s">
        <v>133</v>
      </c>
      <c r="B39" s="68" t="s">
        <v>366</v>
      </c>
      <c r="C39" s="2">
        <v>2591</v>
      </c>
      <c r="D39">
        <f>RTD("tos.rtd", , "LAST", Main_M[[#This Row],[Symbol]])</f>
        <v>15</v>
      </c>
      <c r="E39">
        <v>1.52</v>
      </c>
      <c r="F39">
        <v>7.26</v>
      </c>
      <c r="G39">
        <v>1.33</v>
      </c>
      <c r="H39" s="1">
        <f>IF(ISNUMBER(Main_M[[#This Row],[Free CF]]),IF(Main_M[[#This Row],[Free CF]]&lt;&gt;0,Main_M[[#This Row],[Current Price]]/Main_M[[#This Row],[Free CF]],""),"")</f>
        <v>9.8684210526315788</v>
      </c>
      <c r="I39" s="1">
        <f>IF(ISNUMBER(Main_M[[#This Row],[BVPS]]),IF(Main_M[[#This Row],[BVPS]]&lt;&gt;0,Main_M[[#This Row],[Current Price]]/Main_M[[#This Row],[BVPS]],""),"")</f>
        <v>2.0661157024793391</v>
      </c>
      <c r="J39">
        <v>19.850000000000001</v>
      </c>
      <c r="K39">
        <v>11.8</v>
      </c>
      <c r="L39">
        <v>1.1499999999999999</v>
      </c>
      <c r="M39" s="1">
        <f>IF(ISNUMBER(Main_M[[#This Row],[EPS]]),IF(Main_M[[#This Row],[EPS]]&lt;&gt;0,Main_M[[#This Row],[Current Price]]/Main_M[[#This Row],[EPS]],""),"")</f>
        <v>11.278195488721805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0.15421040026160854</v>
      </c>
      <c r="P39" s="1">
        <f>(Main_M[[#This Row],[P/B]]-VLOOKUP(Main_M[[#This Row],[Industry]], Mean_PB_M, 2, FALSE))/(VLOOKUP(Main_M[[#This Row],[Industry]], Mean_PB_M, 3, FALSE))</f>
        <v>2.3125983924113185E-2</v>
      </c>
      <c r="Q39" s="1">
        <f>(Main_M[[#This Row],[ROE]]-VLOOKUP(Main_M[[#This Row],[Industry]], Mean_ROE_M, 2, FALSE))/(VLOOKUP(Main_M[[#This Row],[Industry]], Mean_ROE_M, 3, FALSE))</f>
        <v>1.4800858952600586</v>
      </c>
      <c r="R39" s="1">
        <f>(Main_M[[#This Row],[ROA]]-VLOOKUP(Main_M[[#This Row],[Industry]], Mean_ROA_M, 2, FALSE))/(VLOOKUP(Main_M[[#This Row],[Industry]], Mean_ROA_M, 3, FALSE))</f>
        <v>1.260643847491054</v>
      </c>
      <c r="S39" s="1">
        <f>(Main_M[[#This Row],[A/E]]-VLOOKUP(Main_M[[#This Row],[Industry]], Mean_AE_M, 2, FALSE))/(VLOOKUP(Main_M[[#This Row],[Industry]], Mean_AE_M, 3, FALSE))</f>
        <v>-1.0499299878820192</v>
      </c>
      <c r="T39" s="1">
        <f>(Main_M[[#This Row],[P/E]]-VLOOKUP(Main_M[[#This Row],[Industry]], Mean_PE_M, 2, FALSE))/(VLOOKUP(Main_M[[#This Row],[Industry]], Mean_PE_M, 3, FALSE))</f>
        <v>-0.41701543859424822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8" t="s">
        <v>133</v>
      </c>
      <c r="B40" s="68" t="s">
        <v>190</v>
      </c>
      <c r="C40" s="2">
        <v>6931</v>
      </c>
      <c r="D40">
        <f>RTD("tos.rtd", , "LAST", Main_M[[#This Row],[Symbol]])</f>
        <v>28.56</v>
      </c>
      <c r="E40">
        <v>1.5</v>
      </c>
      <c r="F40">
        <v>22.46</v>
      </c>
      <c r="G40">
        <v>3.61</v>
      </c>
      <c r="H40" s="1">
        <f>IF(ISNUMBER(Main_M[[#This Row],[Free CF]]),IF(Main_M[[#This Row],[Free CF]]&lt;&gt;0,Main_M[[#This Row],[Current Price]]/Main_M[[#This Row],[Free CF]],""),"")</f>
        <v>19.04</v>
      </c>
      <c r="I40" s="1">
        <f>IF(ISNUMBER(Main_M[[#This Row],[BVPS]]),IF(Main_M[[#This Row],[BVPS]]&lt;&gt;0,Main_M[[#This Row],[Current Price]]/Main_M[[#This Row],[BVPS]],""),"")</f>
        <v>1.271593944790739</v>
      </c>
      <c r="J40">
        <v>15.35</v>
      </c>
      <c r="K40">
        <v>7.18</v>
      </c>
      <c r="L40">
        <v>2.5099999999999998</v>
      </c>
      <c r="M40" s="1">
        <f>IF(ISNUMBER(Main_M[[#This Row],[EPS]]),IF(Main_M[[#This Row],[EPS]]&lt;&gt;0,Main_M[[#This Row],[Current Price]]/Main_M[[#This Row],[EPS]],""),"")</f>
        <v>7.9113573407202216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0.42266277605291819</v>
      </c>
      <c r="P40" s="1">
        <f>(Main_M[[#This Row],[P/B]]-VLOOKUP(Main_M[[#This Row],[Industry]], Mean_PB_M, 2, FALSE))/(VLOOKUP(Main_M[[#This Row],[Industry]], Mean_PB_M, 3, FALSE))</f>
        <v>-0.63537689902398231</v>
      </c>
      <c r="Q40" s="1">
        <f>(Main_M[[#This Row],[ROE]]-VLOOKUP(Main_M[[#This Row],[Industry]], Mean_ROE_M, 2, FALSE))/(VLOOKUP(Main_M[[#This Row],[Industry]], Mean_ROE_M, 3, FALSE))</f>
        <v>1.0300137022711802</v>
      </c>
      <c r="R40" s="1">
        <f>(Main_M[[#This Row],[ROA]]-VLOOKUP(Main_M[[#This Row],[Industry]], Mean_ROA_M, 2, FALSE))/(VLOOKUP(Main_M[[#This Row],[Industry]], Mean_ROA_M, 3, FALSE))</f>
        <v>0.38036527021721256</v>
      </c>
      <c r="S40" s="1">
        <f>(Main_M[[#This Row],[A/E]]-VLOOKUP(Main_M[[#This Row],[Industry]], Mean_AE_M, 2, FALSE))/(VLOOKUP(Main_M[[#This Row],[Industry]], Mean_AE_M, 3, FALSE))</f>
        <v>1.6384329719449893</v>
      </c>
      <c r="T40" s="1">
        <f>(Main_M[[#This Row],[P/E]]-VLOOKUP(Main_M[[#This Row],[Industry]], Mean_PE_M, 2, FALSE))/(VLOOKUP(Main_M[[#This Row],[Industry]], Mean_PE_M, 3, FALSE))</f>
        <v>-0.62758694391839598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8" t="s">
        <v>133</v>
      </c>
      <c r="B41" s="68" t="s">
        <v>208</v>
      </c>
      <c r="C41" s="2">
        <v>8834</v>
      </c>
      <c r="D41">
        <f>RTD("tos.rtd", , "LAST", Main_M[[#This Row],[Symbol]])</f>
        <v>29.21</v>
      </c>
      <c r="E41">
        <v>1.47</v>
      </c>
      <c r="F41">
        <v>13.3</v>
      </c>
      <c r="G41">
        <v>0.86</v>
      </c>
      <c r="H41" s="1">
        <f>IF(ISNUMBER(Main_M[[#This Row],[Free CF]]),IF(Main_M[[#This Row],[Free CF]]&lt;&gt;0,Main_M[[#This Row],[Current Price]]/Main_M[[#This Row],[Free CF]],""),"")</f>
        <v>19.870748299319729</v>
      </c>
      <c r="I41" s="1">
        <f>IF(ISNUMBER(Main_M[[#This Row],[BVPS]]),IF(Main_M[[#This Row],[BVPS]]&lt;&gt;0,Main_M[[#This Row],[Current Price]]/Main_M[[#This Row],[BVPS]],""),"")</f>
        <v>2.1962406015037592</v>
      </c>
      <c r="J41">
        <v>6.58</v>
      </c>
      <c r="K41">
        <v>4.87</v>
      </c>
      <c r="L41">
        <v>1.5</v>
      </c>
      <c r="M41" s="1">
        <f>IF(ISNUMBER(Main_M[[#This Row],[EPS]]),IF(Main_M[[#This Row],[EPS]]&lt;&gt;0,Main_M[[#This Row],[Current Price]]/Main_M[[#This Row],[EPS]],""),"")</f>
        <v>33.965116279069768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0.4469788023245953</v>
      </c>
      <c r="P41" s="1">
        <f>(Main_M[[#This Row],[P/B]]-VLOOKUP(Main_M[[#This Row],[Industry]], Mean_PB_M, 2, FALSE))/(VLOOKUP(Main_M[[#This Row],[Industry]], Mean_PB_M, 3, FALSE))</f>
        <v>0.13097403254167458</v>
      </c>
      <c r="Q41" s="1">
        <f>(Main_M[[#This Row],[ROE]]-VLOOKUP(Main_M[[#This Row],[Industry]], Mean_ROE_M, 2, FALSE))/(VLOOKUP(Main_M[[#This Row],[Industry]], Mean_ROE_M, 3, FALSE))</f>
        <v>0.15287300615730001</v>
      </c>
      <c r="R41" s="1">
        <f>(Main_M[[#This Row],[ROA]]-VLOOKUP(Main_M[[#This Row],[Industry]], Mean_ROA_M, 2, FALSE))/(VLOOKUP(Main_M[[#This Row],[Industry]], Mean_ROA_M, 3, FALSE))</f>
        <v>-5.9774018419708023E-2</v>
      </c>
      <c r="S41" s="1">
        <f>(Main_M[[#This Row],[A/E]]-VLOOKUP(Main_M[[#This Row],[Industry]], Mean_AE_M, 2, FALSE))/(VLOOKUP(Main_M[[#This Row],[Industry]], Mean_AE_M, 3, FALSE))</f>
        <v>-0.35807187322065642</v>
      </c>
      <c r="T41" s="1">
        <f>(Main_M[[#This Row],[P/E]]-VLOOKUP(Main_M[[#This Row],[Industry]], Mean_PE_M, 2, FALSE))/(VLOOKUP(Main_M[[#This Row],[Industry]], Mean_PE_M, 3, FALSE))</f>
        <v>1.0018882484834439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8" t="s">
        <v>133</v>
      </c>
      <c r="B42" s="68" t="s">
        <v>368</v>
      </c>
      <c r="C42" s="2">
        <v>3020</v>
      </c>
      <c r="D42">
        <f>RTD("tos.rtd", , "LAST", Main_M[[#This Row],[Symbol]])</f>
        <v>8.6999999999999993</v>
      </c>
      <c r="E42">
        <v>0.93</v>
      </c>
      <c r="F42">
        <v>4.68</v>
      </c>
      <c r="G42">
        <v>0.44</v>
      </c>
      <c r="H42" s="1">
        <f>IF(ISNUMBER(Main_M[[#This Row],[Free CF]]),IF(Main_M[[#This Row],[Free CF]]&lt;&gt;0,Main_M[[#This Row],[Current Price]]/Main_M[[#This Row],[Free CF]],""),"")</f>
        <v>9.3548387096774182</v>
      </c>
      <c r="I42" s="1">
        <f>IF(ISNUMBER(Main_M[[#This Row],[BVPS]]),IF(Main_M[[#This Row],[BVPS]]&lt;&gt;0,Main_M[[#This Row],[Current Price]]/Main_M[[#This Row],[BVPS]],""),"")</f>
        <v>1.858974358974359</v>
      </c>
      <c r="J42">
        <v>9.8800000000000008</v>
      </c>
      <c r="K42">
        <v>5.16</v>
      </c>
      <c r="L42">
        <v>1.64</v>
      </c>
      <c r="M42" s="1">
        <f>IF(ISNUMBER(Main_M[[#This Row],[EPS]]),IF(Main_M[[#This Row],[EPS]]&lt;&gt;0,Main_M[[#This Row],[Current Price]]/Main_M[[#This Row],[EPS]],""),"")</f>
        <v>19.77272727272727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0.1391778305239767</v>
      </c>
      <c r="P42" s="1">
        <f>(Main_M[[#This Row],[P/B]]-VLOOKUP(Main_M[[#This Row],[Industry]], Mean_PB_M, 2, FALSE))/(VLOOKUP(Main_M[[#This Row],[Industry]], Mean_PB_M, 3, FALSE))</f>
        <v>-0.14855360893259009</v>
      </c>
      <c r="Q42" s="1">
        <f>(Main_M[[#This Row],[ROE]]-VLOOKUP(Main_M[[#This Row],[Industry]], Mean_ROE_M, 2, FALSE))/(VLOOKUP(Main_M[[#This Row],[Industry]], Mean_ROE_M, 3, FALSE))</f>
        <v>0.48292594768247737</v>
      </c>
      <c r="R42" s="1">
        <f>(Main_M[[#This Row],[ROA]]-VLOOKUP(Main_M[[#This Row],[Industry]], Mean_ROA_M, 2, FALSE))/(VLOOKUP(Main_M[[#This Row],[Industry]], Mean_ROA_M, 3, FALSE))</f>
        <v>-4.5184367293586748E-3</v>
      </c>
      <c r="S42" s="1">
        <f>(Main_M[[#This Row],[A/E]]-VLOOKUP(Main_M[[#This Row],[Industry]], Mean_AE_M, 2, FALSE))/(VLOOKUP(Main_M[[#This Row],[Industry]], Mean_AE_M, 3, FALSE))</f>
        <v>-8.1328627356111627E-2</v>
      </c>
      <c r="T42" s="1">
        <f>(Main_M[[#This Row],[P/E]]-VLOOKUP(Main_M[[#This Row],[Industry]], Mean_PE_M, 2, FALSE))/(VLOOKUP(Main_M[[#This Row],[Industry]], Mean_PE_M, 3, FALSE))</f>
        <v>0.11425641533895971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8" t="s">
        <v>133</v>
      </c>
      <c r="B43" s="68" t="s">
        <v>369</v>
      </c>
      <c r="C43" s="2">
        <v>8112</v>
      </c>
      <c r="D43">
        <f>RTD("tos.rtd", , "LAST", Main_M[[#This Row],[Symbol]])</f>
        <v>10.49</v>
      </c>
      <c r="E43">
        <v>0.86</v>
      </c>
      <c r="F43">
        <v>6.14</v>
      </c>
      <c r="G43">
        <v>0.13</v>
      </c>
      <c r="H43" s="1">
        <f>IF(ISNUMBER(Main_M[[#This Row],[Free CF]]),IF(Main_M[[#This Row],[Free CF]]&lt;&gt;0,Main_M[[#This Row],[Current Price]]/Main_M[[#This Row],[Free CF]],""),"")</f>
        <v>12.197674418604652</v>
      </c>
      <c r="I43" s="1">
        <f>IF(ISNUMBER(Main_M[[#This Row],[BVPS]]),IF(Main_M[[#This Row],[BVPS]]&lt;&gt;0,Main_M[[#This Row],[Current Price]]/Main_M[[#This Row],[BVPS]],""),"")</f>
        <v>1.7084690553745929</v>
      </c>
      <c r="J43">
        <v>3.93</v>
      </c>
      <c r="K43">
        <v>4.99</v>
      </c>
      <c r="L43">
        <v>2.16</v>
      </c>
      <c r="M43" s="1">
        <f>IF(ISNUMBER(Main_M[[#This Row],[EPS]]),IF(Main_M[[#This Row],[EPS]]&lt;&gt;0,Main_M[[#This Row],[Current Price]]/Main_M[[#This Row],[EPS]],""),"")</f>
        <v>80.692307692307693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0.22238771231481724</v>
      </c>
      <c r="P43" s="1">
        <f>(Main_M[[#This Row],[P/B]]-VLOOKUP(Main_M[[#This Row],[Industry]], Mean_PB_M, 2, FALSE))/(VLOOKUP(Main_M[[#This Row],[Industry]], Mean_PB_M, 3, FALSE))</f>
        <v>-0.27329302023297664</v>
      </c>
      <c r="Q43" s="1">
        <f>(Main_M[[#This Row],[ROE]]-VLOOKUP(Main_M[[#This Row],[Industry]], Mean_ROE_M, 2, FALSE))/(VLOOKUP(Main_M[[#This Row],[Industry]], Mean_ROE_M, 3, FALSE))</f>
        <v>-0.112169507491706</v>
      </c>
      <c r="R43" s="1">
        <f>(Main_M[[#This Row],[ROA]]-VLOOKUP(Main_M[[#This Row],[Industry]], Mean_ROA_M, 2, FALSE))/(VLOOKUP(Main_M[[#This Row],[Industry]], Mean_ROA_M, 3, FALSE))</f>
        <v>-3.6909639789218622E-2</v>
      </c>
      <c r="S43" s="1">
        <f>(Main_M[[#This Row],[A/E]]-VLOOKUP(Main_M[[#This Row],[Industry]], Mean_AE_M, 2, FALSE))/(VLOOKUP(Main_M[[#This Row],[Industry]], Mean_AE_M, 3, FALSE))</f>
        <v>0.94657485728362745</v>
      </c>
      <c r="T43" s="1">
        <f>(Main_M[[#This Row],[P/E]]-VLOOKUP(Main_M[[#This Row],[Industry]], Mean_PE_M, 2, FALSE))/(VLOOKUP(Main_M[[#This Row],[Industry]], Mean_PE_M, 3, FALSE))</f>
        <v>3.9243379187461427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4" spans="1:26" x14ac:dyDescent="0.25">
      <c r="A44" s="68" t="s">
        <v>133</v>
      </c>
      <c r="B44" s="68" t="s">
        <v>214</v>
      </c>
      <c r="C44" s="2">
        <v>4211</v>
      </c>
      <c r="D44">
        <f>RTD("tos.rtd", , "LAST", Main_M[[#This Row],[Symbol]])</f>
        <v>27.14</v>
      </c>
      <c r="E44">
        <v>0.85</v>
      </c>
      <c r="F44">
        <v>19.690000000000001</v>
      </c>
      <c r="G44">
        <v>3.33</v>
      </c>
      <c r="H44" s="1">
        <f>IF(ISNUMBER(Main_M[[#This Row],[Free CF]]),IF(Main_M[[#This Row],[Free CF]]&lt;&gt;0,Main_M[[#This Row],[Current Price]]/Main_M[[#This Row],[Free CF]],""),"")</f>
        <v>31.929411764705883</v>
      </c>
      <c r="I44" s="1">
        <f>IF(ISNUMBER(Main_M[[#This Row],[BVPS]]),IF(Main_M[[#This Row],[BVPS]]&lt;&gt;0,Main_M[[#This Row],[Current Price]]/Main_M[[#This Row],[BVPS]],""),"")</f>
        <v>1.3783646521076689</v>
      </c>
      <c r="J44">
        <v>19.989999999999998</v>
      </c>
      <c r="K44">
        <v>5.0999999999999996</v>
      </c>
      <c r="L44">
        <v>1.2</v>
      </c>
      <c r="M44" s="1">
        <f>IF(ISNUMBER(Main_M[[#This Row],[EPS]]),IF(Main_M[[#This Row],[EPS]]&lt;&gt;0,Main_M[[#This Row],[Current Price]]/Main_M[[#This Row],[EPS]],""),"")</f>
        <v>8.1501501501501501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0.79993622380321816</v>
      </c>
      <c r="P44" s="1">
        <f>(Main_M[[#This Row],[P/B]]-VLOOKUP(Main_M[[#This Row],[Industry]], Mean_PB_M, 2, FALSE))/(VLOOKUP(Main_M[[#This Row],[Industry]], Mean_PB_M, 3, FALSE))</f>
        <v>-0.54688490002933421</v>
      </c>
      <c r="Q44" s="1">
        <f>(Main_M[[#This Row],[ROE]]-VLOOKUP(Main_M[[#This Row],[Industry]], Mean_ROE_M, 2, FALSE))/(VLOOKUP(Main_M[[#This Row],[Industry]], Mean_ROE_M, 3, FALSE))</f>
        <v>1.4940881412641567</v>
      </c>
      <c r="R44" s="1">
        <f>(Main_M[[#This Row],[ROA]]-VLOOKUP(Main_M[[#This Row],[Industry]], Mean_ROA_M, 2, FALSE))/(VLOOKUP(Main_M[[#This Row],[Industry]], Mean_ROA_M, 3, FALSE))</f>
        <v>-1.5950626044603462E-2</v>
      </c>
      <c r="S44" s="1">
        <f>(Main_M[[#This Row],[A/E]]-VLOOKUP(Main_M[[#This Row],[Industry]], Mean_AE_M, 2, FALSE))/(VLOOKUP(Main_M[[#This Row],[Industry]], Mean_AE_M, 3, FALSE))</f>
        <v>-0.95109311435896726</v>
      </c>
      <c r="T44" s="1">
        <f>(Main_M[[#This Row],[P/E]]-VLOOKUP(Main_M[[#This Row],[Industry]], Mean_PE_M, 2, FALSE))/(VLOOKUP(Main_M[[#This Row],[Industry]], Mean_PE_M, 3, FALSE))</f>
        <v>-0.61265217154981977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8" t="s">
        <v>133</v>
      </c>
      <c r="B45" s="68" t="s">
        <v>144</v>
      </c>
      <c r="C45" s="2">
        <v>9078</v>
      </c>
      <c r="D45">
        <f>RTD("tos.rtd", , "LAST", Main_M[[#This Row],[Symbol]])</f>
        <v>14.92</v>
      </c>
      <c r="E45">
        <v>0.81</v>
      </c>
      <c r="F45">
        <v>3.9</v>
      </c>
      <c r="G45">
        <v>0.88</v>
      </c>
      <c r="H45" s="1">
        <f>IF(ISNUMBER(Main_M[[#This Row],[Free CF]]),IF(Main_M[[#This Row],[Free CF]]&lt;&gt;0,Main_M[[#This Row],[Current Price]]/Main_M[[#This Row],[Free CF]],""),"")</f>
        <v>18.419753086419753</v>
      </c>
      <c r="I45" s="1">
        <f>IF(ISNUMBER(Main_M[[#This Row],[BVPS]]),IF(Main_M[[#This Row],[BVPS]]&lt;&gt;0,Main_M[[#This Row],[Current Price]]/Main_M[[#This Row],[BVPS]],""),"")</f>
        <v>3.8256410256410258</v>
      </c>
      <c r="J45">
        <v>24.78</v>
      </c>
      <c r="K45">
        <v>16.66</v>
      </c>
      <c r="L45">
        <v>1.5</v>
      </c>
      <c r="M45" s="1">
        <f>IF(ISNUMBER(Main_M[[#This Row],[EPS]]),IF(Main_M[[#This Row],[EPS]]&lt;&gt;0,Main_M[[#This Row],[Current Price]]/Main_M[[#This Row],[EPS]],""),"")</f>
        <v>16.954545454545453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0.40450813130926477</v>
      </c>
      <c r="P45" s="1">
        <f>(Main_M[[#This Row],[P/B]]-VLOOKUP(Main_M[[#This Row],[Industry]], Mean_PB_M, 2, FALSE))/(VLOOKUP(Main_M[[#This Row],[Industry]], Mean_PB_M, 3, FALSE))</f>
        <v>1.4814277695075171</v>
      </c>
      <c r="Q45" s="1">
        <f>(Main_M[[#This Row],[ROE]]-VLOOKUP(Main_M[[#This Row],[Industry]], Mean_ROE_M, 2, FALSE))/(VLOOKUP(Main_M[[#This Row],[Industry]], Mean_ROE_M, 3, FALSE))</f>
        <v>1.9731649866900964</v>
      </c>
      <c r="R45" s="1">
        <f>(Main_M[[#This Row],[ROA]]-VLOOKUP(Main_M[[#This Row],[Industry]], Mean_ROA_M, 2, FALSE))/(VLOOKUP(Main_M[[#This Row],[Industry]], Mean_ROA_M, 3, FALSE))</f>
        <v>2.1866511820258738</v>
      </c>
      <c r="S45" s="1">
        <f>(Main_M[[#This Row],[A/E]]-VLOOKUP(Main_M[[#This Row],[Industry]], Mean_AE_M, 2, FALSE))/(VLOOKUP(Main_M[[#This Row],[Industry]], Mean_AE_M, 3, FALSE))</f>
        <v>-0.35807187322065642</v>
      </c>
      <c r="T45" s="1">
        <f>(Main_M[[#This Row],[P/E]]-VLOOKUP(Main_M[[#This Row],[Industry]], Mean_PE_M, 2, FALSE))/(VLOOKUP(Main_M[[#This Row],[Industry]], Mean_PE_M, 3, FALSE))</f>
        <v>-6.2000583555960095E-2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8" t="s">
        <v>133</v>
      </c>
      <c r="B46" s="68" t="s">
        <v>191</v>
      </c>
      <c r="C46" s="2">
        <v>3523</v>
      </c>
      <c r="D46">
        <f>RTD("tos.rtd", , "LAST", Main_M[[#This Row],[Symbol]])</f>
        <v>9.7799999999999994</v>
      </c>
      <c r="E46">
        <v>0.7</v>
      </c>
      <c r="F46">
        <v>6.72</v>
      </c>
      <c r="G46">
        <v>0.39</v>
      </c>
      <c r="H46" s="1">
        <f>IF(ISNUMBER(Main_M[[#This Row],[Free CF]]),IF(Main_M[[#This Row],[Free CF]]&lt;&gt;0,Main_M[[#This Row],[Current Price]]/Main_M[[#This Row],[Free CF]],""),"")</f>
        <v>13.971428571428572</v>
      </c>
      <c r="I46" s="1">
        <f>IF(ISNUMBER(Main_M[[#This Row],[BVPS]]),IF(Main_M[[#This Row],[BVPS]]&lt;&gt;0,Main_M[[#This Row],[Current Price]]/Main_M[[#This Row],[BVPS]],""),"")</f>
        <v>1.4553571428571428</v>
      </c>
      <c r="J46">
        <v>5.99</v>
      </c>
      <c r="K46">
        <v>5.62</v>
      </c>
      <c r="L46">
        <v>2.08</v>
      </c>
      <c r="M46" s="1">
        <f>IF(ISNUMBER(Main_M[[#This Row],[EPS]]),IF(Main_M[[#This Row],[EPS]]&lt;&gt;0,Main_M[[#This Row],[Current Price]]/Main_M[[#This Row],[EPS]],""),"")</f>
        <v>25.076923076923073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0.2743055466515002</v>
      </c>
      <c r="P46" s="1">
        <f>(Main_M[[#This Row],[P/B]]-VLOOKUP(Main_M[[#This Row],[Industry]], Mean_PB_M, 2, FALSE))/(VLOOKUP(Main_M[[#This Row],[Industry]], Mean_PB_M, 3, FALSE))</f>
        <v>-0.48307320874050469</v>
      </c>
      <c r="Q46" s="1">
        <f>(Main_M[[#This Row],[ROE]]-VLOOKUP(Main_M[[#This Row],[Industry]], Mean_ROE_M, 2, FALSE))/(VLOOKUP(Main_M[[#This Row],[Industry]], Mean_ROE_M, 3, FALSE))</f>
        <v>9.3863540854313768E-2</v>
      </c>
      <c r="R46" s="1">
        <f>(Main_M[[#This Row],[ROA]]-VLOOKUP(Main_M[[#This Row],[Industry]], Mean_ROA_M, 2, FALSE))/(VLOOKUP(Main_M[[#This Row],[Industry]], Mean_ROA_M, 3, FALSE))</f>
        <v>8.3128348020850618E-2</v>
      </c>
      <c r="S46" s="1">
        <f>(Main_M[[#This Row],[A/E]]-VLOOKUP(Main_M[[#This Row],[Industry]], Mean_AE_M, 2, FALSE))/(VLOOKUP(Main_M[[#This Row],[Industry]], Mean_AE_M, 3, FALSE))</f>
        <v>0.78843585964674445</v>
      </c>
      <c r="T46" s="1">
        <f>(Main_M[[#This Row],[P/E]]-VLOOKUP(Main_M[[#This Row],[Industry]], Mean_PE_M, 2, FALSE))/(VLOOKUP(Main_M[[#This Row],[Industry]], Mean_PE_M, 3, FALSE))</f>
        <v>0.44599570482232626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8" t="s">
        <v>133</v>
      </c>
      <c r="B47" s="68" t="s">
        <v>370</v>
      </c>
      <c r="C47" s="2">
        <v>2007</v>
      </c>
      <c r="D47">
        <f>RTD("tos.rtd", , "LAST", Main_M[[#This Row],[Symbol]])</f>
        <v>14.3</v>
      </c>
      <c r="E47">
        <v>0.69</v>
      </c>
      <c r="F47">
        <v>2.95</v>
      </c>
      <c r="G47">
        <v>0.86</v>
      </c>
      <c r="H47" s="1">
        <f>IF(ISNUMBER(Main_M[[#This Row],[Free CF]]),IF(Main_M[[#This Row],[Free CF]]&lt;&gt;0,Main_M[[#This Row],[Current Price]]/Main_M[[#This Row],[Free CF]],""),"")</f>
        <v>20.724637681159422</v>
      </c>
      <c r="I47" s="1">
        <f>IF(ISNUMBER(Main_M[[#This Row],[BVPS]]),IF(Main_M[[#This Row],[BVPS]]&lt;&gt;0,Main_M[[#This Row],[Current Price]]/Main_M[[#This Row],[BVPS]],""),"")</f>
        <v>4.8474576271186436</v>
      </c>
      <c r="J47">
        <v>34.729999999999997</v>
      </c>
      <c r="K47">
        <v>24.21</v>
      </c>
      <c r="L47">
        <v>1.28</v>
      </c>
      <c r="M47" s="1">
        <f>IF(ISNUMBER(Main_M[[#This Row],[EPS]]),IF(Main_M[[#This Row],[EPS]]&lt;&gt;0,Main_M[[#This Row],[Current Price]]/Main_M[[#This Row],[EPS]],""),"")</f>
        <v>16.627906976744185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0.47197216873765008</v>
      </c>
      <c r="P47" s="1">
        <f>(Main_M[[#This Row],[P/B]]-VLOOKUP(Main_M[[#This Row],[Industry]], Mean_PB_M, 2, FALSE))/(VLOOKUP(Main_M[[#This Row],[Industry]], Mean_PB_M, 3, FALSE))</f>
        <v>2.3283135487902999</v>
      </c>
      <c r="Q47" s="1">
        <f>(Main_M[[#This Row],[ROE]]-VLOOKUP(Main_M[[#This Row],[Industry]], Mean_ROE_M, 2, FALSE))/(VLOOKUP(Main_M[[#This Row],[Industry]], Mean_ROE_M, 3, FALSE))</f>
        <v>2.9683246134099486</v>
      </c>
      <c r="R47" s="1">
        <f>(Main_M[[#This Row],[ROA]]-VLOOKUP(Main_M[[#This Row],[Industry]], Mean_ROA_M, 2, FALSE))/(VLOOKUP(Main_M[[#This Row],[Industry]], Mean_ROA_M, 3, FALSE))</f>
        <v>3.6252016708608306</v>
      </c>
      <c r="S47" s="1">
        <f>(Main_M[[#This Row],[A/E]]-VLOOKUP(Main_M[[#This Row],[Industry]], Mean_AE_M, 2, FALSE))/(VLOOKUP(Main_M[[#This Row],[Industry]], Mean_AE_M, 3, FALSE))</f>
        <v>-0.79295411672208427</v>
      </c>
      <c r="T47" s="1">
        <f>(Main_M[[#This Row],[P/E]]-VLOOKUP(Main_M[[#This Row],[Industry]], Mean_PE_M, 2, FALSE))/(VLOOKUP(Main_M[[#This Row],[Industry]], Mean_PE_M, 3, FALSE))</f>
        <v>-8.2429470524651077E-2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8" t="s">
        <v>133</v>
      </c>
      <c r="B48" s="68" t="s">
        <v>204</v>
      </c>
      <c r="C48" s="2">
        <v>4400</v>
      </c>
      <c r="D48">
        <f>RTD("tos.rtd", , "LAST", Main_M[[#This Row],[Symbol]])</f>
        <v>24.24</v>
      </c>
      <c r="E48">
        <v>0.6</v>
      </c>
      <c r="F48">
        <v>8.77</v>
      </c>
      <c r="G48">
        <v>0.02</v>
      </c>
      <c r="H48" s="1">
        <f>IF(ISNUMBER(Main_M[[#This Row],[Free CF]]),IF(Main_M[[#This Row],[Free CF]]&lt;&gt;0,Main_M[[#This Row],[Current Price]]/Main_M[[#This Row],[Free CF]],""),"")</f>
        <v>40.4</v>
      </c>
      <c r="I48" s="1">
        <f>IF(ISNUMBER(Main_M[[#This Row],[BVPS]]),IF(Main_M[[#This Row],[BVPS]]&lt;&gt;0,Main_M[[#This Row],[Current Price]]/Main_M[[#This Row],[BVPS]],""),"")</f>
        <v>2.7639680729760547</v>
      </c>
      <c r="J48">
        <v>0.28000000000000003</v>
      </c>
      <c r="K48">
        <v>1.56</v>
      </c>
      <c r="L48">
        <v>1.02</v>
      </c>
      <c r="M48" s="1">
        <f>IF(ISNUMBER(Main_M[[#This Row],[EPS]]),IF(Main_M[[#This Row],[EPS]]&lt;&gt;0,Main_M[[#This Row],[Current Price]]/Main_M[[#This Row],[EPS]],""),"")</f>
        <v>1212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1.047870581579976</v>
      </c>
      <c r="P48" s="1">
        <f>(Main_M[[#This Row],[P/B]]-VLOOKUP(Main_M[[#This Row],[Industry]], Mean_PB_M, 2, FALSE))/(VLOOKUP(Main_M[[#This Row],[Industry]], Mean_PB_M, 3, FALSE))</f>
        <v>0.60150888331899433</v>
      </c>
      <c r="Q48" s="1">
        <f>(Main_M[[#This Row],[ROE]]-VLOOKUP(Main_M[[#This Row],[Industry]], Mean_ROE_M, 2, FALSE))/(VLOOKUP(Main_M[[#This Row],[Industry]], Mean_ROE_M, 3, FALSE))</f>
        <v>-0.47722806402712936</v>
      </c>
      <c r="R48" s="1">
        <f>(Main_M[[#This Row],[ROA]]-VLOOKUP(Main_M[[#This Row],[Industry]], Mean_ROA_M, 2, FALSE))/(VLOOKUP(Main_M[[#This Row],[Industry]], Mean_ROA_M, 3, FALSE))</f>
        <v>-0.69044979564404019</v>
      </c>
      <c r="S48" s="1">
        <f>(Main_M[[#This Row],[A/E]]-VLOOKUP(Main_M[[#This Row],[Industry]], Mean_AE_M, 2, FALSE))/(VLOOKUP(Main_M[[#This Row],[Industry]], Mean_AE_M, 3, FALSE))</f>
        <v>-1.3069058590419536</v>
      </c>
      <c r="T48" s="1">
        <f>(Main_M[[#This Row],[P/E]]-VLOOKUP(Main_M[[#This Row],[Industry]], Mean_PE_M, 2, FALSE))/(VLOOKUP(Main_M[[#This Row],[Industry]], Mean_PE_M, 3, FALSE))</f>
        <v>74.67949551235273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9" spans="1:26" x14ac:dyDescent="0.25">
      <c r="A49" s="68" t="s">
        <v>133</v>
      </c>
      <c r="B49" s="68" t="s">
        <v>194</v>
      </c>
      <c r="C49" s="2">
        <v>3805</v>
      </c>
      <c r="D49">
        <f>RTD("tos.rtd", , "LAST", Main_M[[#This Row],[Symbol]])</f>
        <v>16.940000000000001</v>
      </c>
      <c r="E49">
        <v>0.5</v>
      </c>
      <c r="F49">
        <v>13.61</v>
      </c>
      <c r="G49">
        <v>1.9</v>
      </c>
      <c r="H49" s="1">
        <f>IF(ISNUMBER(Main_M[[#This Row],[Free CF]]),IF(Main_M[[#This Row],[Free CF]]&lt;&gt;0,Main_M[[#This Row],[Current Price]]/Main_M[[#This Row],[Free CF]],""),"")</f>
        <v>33.880000000000003</v>
      </c>
      <c r="I49" s="1">
        <f>IF(ISNUMBER(Main_M[[#This Row],[BVPS]]),IF(Main_M[[#This Row],[BVPS]]&lt;&gt;0,Main_M[[#This Row],[Current Price]]/Main_M[[#This Row],[BVPS]],""),"")</f>
        <v>1.2446730345334314</v>
      </c>
      <c r="J49">
        <v>14.55</v>
      </c>
      <c r="K49">
        <v>3.52</v>
      </c>
      <c r="L49">
        <v>1.54</v>
      </c>
      <c r="M49" s="1">
        <f>IF(ISNUMBER(Main_M[[#This Row],[EPS]]),IF(Main_M[[#This Row],[EPS]]&lt;&gt;0,Main_M[[#This Row],[Current Price]]/Main_M[[#This Row],[EPS]],""),"")</f>
        <v>8.915789473684212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0.85702999674681057</v>
      </c>
      <c r="P49" s="1">
        <f>(Main_M[[#This Row],[P/B]]-VLOOKUP(Main_M[[#This Row],[Industry]], Mean_PB_M, 2, FALSE))/(VLOOKUP(Main_M[[#This Row],[Industry]], Mean_PB_M, 3, FALSE))</f>
        <v>-0.65768905957147483</v>
      </c>
      <c r="Q49" s="1">
        <f>(Main_M[[#This Row],[ROE]]-VLOOKUP(Main_M[[#This Row],[Industry]], Mean_ROE_M, 2, FALSE))/(VLOOKUP(Main_M[[#This Row],[Industry]], Mean_ROE_M, 3, FALSE))</f>
        <v>0.95000086796204641</v>
      </c>
      <c r="R49" s="1">
        <f>(Main_M[[#This Row],[ROA]]-VLOOKUP(Main_M[[#This Row],[Industry]], Mean_ROA_M, 2, FALSE))/(VLOOKUP(Main_M[[#This Row],[Industry]], Mean_ROA_M, 3, FALSE))</f>
        <v>-0.31699827801271363</v>
      </c>
      <c r="S49" s="1">
        <f>(Main_M[[#This Row],[A/E]]-VLOOKUP(Main_M[[#This Row],[Industry]], Mean_AE_M, 2, FALSE))/(VLOOKUP(Main_M[[#This Row],[Industry]], Mean_AE_M, 3, FALSE))</f>
        <v>-0.27900237440221493</v>
      </c>
      <c r="T49" s="1">
        <f>(Main_M[[#This Row],[P/E]]-VLOOKUP(Main_M[[#This Row],[Industry]], Mean_PE_M, 2, FALSE))/(VLOOKUP(Main_M[[#This Row],[Industry]], Mean_PE_M, 3, FALSE))</f>
        <v>-0.5647669398265116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8" t="s">
        <v>133</v>
      </c>
      <c r="B50" s="68" t="s">
        <v>200</v>
      </c>
      <c r="C50" s="2">
        <v>4792</v>
      </c>
      <c r="D50">
        <f>RTD("tos.rtd", , "LAST", Main_M[[#This Row],[Symbol]])</f>
        <v>25.99</v>
      </c>
      <c r="E50">
        <v>0.48</v>
      </c>
      <c r="F50">
        <v>6.49</v>
      </c>
      <c r="G50">
        <v>0.16</v>
      </c>
      <c r="H50" s="1">
        <f>IF(ISNUMBER(Main_M[[#This Row],[Free CF]]),IF(Main_M[[#This Row],[Free CF]]&lt;&gt;0,Main_M[[#This Row],[Current Price]]/Main_M[[#This Row],[Free CF]],""),"")</f>
        <v>54.145833333333329</v>
      </c>
      <c r="I50" s="1">
        <f>IF(ISNUMBER(Main_M[[#This Row],[BVPS]]),IF(Main_M[[#This Row],[BVPS]]&lt;&gt;0,Main_M[[#This Row],[Current Price]]/Main_M[[#This Row],[BVPS]],""),"")</f>
        <v>4.0046224961479195</v>
      </c>
      <c r="J50">
        <v>2.5099999999999998</v>
      </c>
      <c r="K50">
        <v>3.85</v>
      </c>
      <c r="L50">
        <v>1.1399999999999999</v>
      </c>
      <c r="M50" s="1">
        <f>IF(ISNUMBER(Main_M[[#This Row],[EPS]]),IF(Main_M[[#This Row],[EPS]]&lt;&gt;0,Main_M[[#This Row],[Current Price]]/Main_M[[#This Row],[EPS]],""),"")</f>
        <v>162.4375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1.4502115129223925</v>
      </c>
      <c r="P50" s="1">
        <f>(Main_M[[#This Row],[P/B]]-VLOOKUP(Main_M[[#This Row],[Industry]], Mean_PB_M, 2, FALSE))/(VLOOKUP(Main_M[[#This Row],[Industry]], Mean_PB_M, 3, FALSE))</f>
        <v>1.6297683444289055</v>
      </c>
      <c r="Q50" s="1">
        <f>(Main_M[[#This Row],[ROE]]-VLOOKUP(Main_M[[#This Row],[Industry]], Mean_ROE_M, 2, FALSE))/(VLOOKUP(Main_M[[#This Row],[Industry]], Mean_ROE_M, 3, FALSE))</f>
        <v>-0.25419228839041869</v>
      </c>
      <c r="R50" s="1">
        <f>(Main_M[[#This Row],[ROA]]-VLOOKUP(Main_M[[#This Row],[Industry]], Mean_ROA_M, 2, FALSE))/(VLOOKUP(Main_M[[#This Row],[Industry]], Mean_ROA_M, 3, FALSE))</f>
        <v>-0.25412123677886778</v>
      </c>
      <c r="S50" s="1">
        <f>(Main_M[[#This Row],[A/E]]-VLOOKUP(Main_M[[#This Row],[Industry]], Mean_AE_M, 2, FALSE))/(VLOOKUP(Main_M[[#This Row],[Industry]], Mean_AE_M, 3, FALSE))</f>
        <v>-1.0696973625866295</v>
      </c>
      <c r="T50" s="1">
        <f>(Main_M[[#This Row],[P/E]]-VLOOKUP(Main_M[[#This Row],[Industry]], Mean_PE_M, 2, FALSE))/(VLOOKUP(Main_M[[#This Row],[Industry]], Mean_PE_M, 3, FALSE))</f>
        <v>9.0369116275416683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1" spans="1:26" x14ac:dyDescent="0.25">
      <c r="A51" s="68" t="s">
        <v>133</v>
      </c>
      <c r="B51" s="68" t="s">
        <v>202</v>
      </c>
      <c r="C51" s="2">
        <v>2592</v>
      </c>
      <c r="D51">
        <f>RTD("tos.rtd", , "LAST", Main_M[[#This Row],[Symbol]])</f>
        <v>9.1199999999999992</v>
      </c>
      <c r="E51">
        <v>0.45</v>
      </c>
      <c r="F51">
        <v>4.8</v>
      </c>
      <c r="G51">
        <v>0.1</v>
      </c>
      <c r="H51" s="1">
        <f>IF(ISNUMBER(Main_M[[#This Row],[Free CF]]),IF(Main_M[[#This Row],[Free CF]]&lt;&gt;0,Main_M[[#This Row],[Current Price]]/Main_M[[#This Row],[Free CF]],""),"")</f>
        <v>20.266666666666666</v>
      </c>
      <c r="I51" s="1">
        <f>IF(ISNUMBER(Main_M[[#This Row],[BVPS]]),IF(Main_M[[#This Row],[BVPS]]&lt;&gt;0,Main_M[[#This Row],[Current Price]]/Main_M[[#This Row],[BVPS]],""),"")</f>
        <v>1.9</v>
      </c>
      <c r="J51">
        <v>2.13</v>
      </c>
      <c r="K51">
        <v>2.69</v>
      </c>
      <c r="L51">
        <v>1.3</v>
      </c>
      <c r="M51" s="1">
        <f>IF(ISNUMBER(Main_M[[#This Row],[EPS]]),IF(Main_M[[#This Row],[EPS]]&lt;&gt;0,Main_M[[#This Row],[Current Price]]/Main_M[[#This Row],[EPS]],""),"")</f>
        <v>91.199999999999989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0.45856734416058942</v>
      </c>
      <c r="P51" s="1">
        <f>(Main_M[[#This Row],[P/B]]-VLOOKUP(Main_M[[#This Row],[Industry]], Mean_PB_M, 2, FALSE))/(VLOOKUP(Main_M[[#This Row],[Industry]], Mean_PB_M, 3, FALSE))</f>
        <v>-0.11455138982562578</v>
      </c>
      <c r="Q51" s="1">
        <f>(Main_M[[#This Row],[ROE]]-VLOOKUP(Main_M[[#This Row],[Industry]], Mean_ROE_M, 2, FALSE))/(VLOOKUP(Main_M[[#This Row],[Industry]], Mean_ROE_M, 3, FALSE))</f>
        <v>-0.29219838468725728</v>
      </c>
      <c r="R51" s="1">
        <f>(Main_M[[#This Row],[ROA]]-VLOOKUP(Main_M[[#This Row],[Industry]], Mean_ROA_M, 2, FALSE))/(VLOOKUP(Main_M[[#This Row],[Industry]], Mean_ROA_M, 3, FALSE))</f>
        <v>-0.47514356354026521</v>
      </c>
      <c r="S51" s="1">
        <f>(Main_M[[#This Row],[A/E]]-VLOOKUP(Main_M[[#This Row],[Industry]], Mean_AE_M, 2, FALSE))/(VLOOKUP(Main_M[[#This Row],[Industry]], Mean_AE_M, 3, FALSE))</f>
        <v>-0.75341936731286352</v>
      </c>
      <c r="T51" s="1">
        <f>(Main_M[[#This Row],[P/E]]-VLOOKUP(Main_M[[#This Row],[Industry]], Mean_PE_M, 2, FALSE))/(VLOOKUP(Main_M[[#This Row],[Industry]], Mean_PE_M, 3, FALSE))</f>
        <v>4.5815184808789127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2" spans="1:26" x14ac:dyDescent="0.25">
      <c r="A52" s="68" t="s">
        <v>133</v>
      </c>
      <c r="B52" s="68" t="s">
        <v>211</v>
      </c>
      <c r="C52" s="2">
        <v>5289</v>
      </c>
      <c r="D52">
        <f>RTD("tos.rtd", , "LAST", Main_M[[#This Row],[Symbol]])</f>
        <v>3.19</v>
      </c>
      <c r="E52">
        <v>0.4</v>
      </c>
      <c r="F52">
        <v>4.84</v>
      </c>
      <c r="G52">
        <v>0.27</v>
      </c>
      <c r="H52" s="1">
        <f>IF(ISNUMBER(Main_M[[#This Row],[Free CF]]),IF(Main_M[[#This Row],[Free CF]]&lt;&gt;0,Main_M[[#This Row],[Current Price]]/Main_M[[#This Row],[Free CF]],""),"")</f>
        <v>7.9749999999999996</v>
      </c>
      <c r="I52" s="1">
        <f>IF(ISNUMBER(Main_M[[#This Row],[BVPS]]),IF(Main_M[[#This Row],[BVPS]]&lt;&gt;0,Main_M[[#This Row],[Current Price]]/Main_M[[#This Row],[BVPS]],""),"")</f>
        <v>0.65909090909090906</v>
      </c>
      <c r="J52">
        <v>6.1</v>
      </c>
      <c r="K52">
        <v>4.47</v>
      </c>
      <c r="L52">
        <v>1.53</v>
      </c>
      <c r="M52" s="1">
        <f>IF(ISNUMBER(Main_M[[#This Row],[EPS]]),IF(Main_M[[#This Row],[EPS]]&lt;&gt;0,Main_M[[#This Row],[Current Price]]/Main_M[[#This Row],[EPS]],""),"")</f>
        <v>11.814814814814813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9.8789912375160882E-2</v>
      </c>
      <c r="P52" s="1">
        <f>(Main_M[[#This Row],[P/B]]-VLOOKUP(Main_M[[#This Row],[Industry]], Mean_PB_M, 2, FALSE))/(VLOOKUP(Main_M[[#This Row],[Industry]], Mean_PB_M, 3, FALSE))</f>
        <v>-1.1430219205979275</v>
      </c>
      <c r="Q52" s="1">
        <f>(Main_M[[#This Row],[ROE]]-VLOOKUP(Main_M[[#This Row],[Industry]], Mean_ROE_M, 2, FALSE))/(VLOOKUP(Main_M[[#This Row],[Industry]], Mean_ROE_M, 3, FALSE))</f>
        <v>0.10486530557181963</v>
      </c>
      <c r="R52" s="1">
        <f>(Main_M[[#This Row],[ROA]]-VLOOKUP(Main_M[[#This Row],[Industry]], Mean_ROA_M, 2, FALSE))/(VLOOKUP(Main_M[[#This Row],[Industry]], Mean_ROA_M, 3, FALSE))</f>
        <v>-0.1359886138546727</v>
      </c>
      <c r="S52" s="1">
        <f>(Main_M[[#This Row],[A/E]]-VLOOKUP(Main_M[[#This Row],[Industry]], Mean_AE_M, 2, FALSE))/(VLOOKUP(Main_M[[#This Row],[Industry]], Mean_AE_M, 3, FALSE))</f>
        <v>-0.2987697491068253</v>
      </c>
      <c r="T52" s="1">
        <f>(Main_M[[#This Row],[P/E]]-VLOOKUP(Main_M[[#This Row],[Industry]], Mean_PE_M, 2, FALSE))/(VLOOKUP(Main_M[[#This Row],[Industry]], Mean_PE_M, 3, FALSE))</f>
        <v>-0.38345376015464022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8" t="s">
        <v>133</v>
      </c>
      <c r="B53" s="68" t="s">
        <v>371</v>
      </c>
      <c r="C53" s="2">
        <v>3093</v>
      </c>
      <c r="D53">
        <f>RTD("tos.rtd", , "LAST", Main_M[[#This Row],[Symbol]])</f>
        <v>4.83</v>
      </c>
      <c r="E53">
        <v>0.4</v>
      </c>
      <c r="F53">
        <v>2.73</v>
      </c>
      <c r="G53">
        <v>0.41</v>
      </c>
      <c r="H53" s="1">
        <f>IF(ISNUMBER(Main_M[[#This Row],[Free CF]]),IF(Main_M[[#This Row],[Free CF]]&lt;&gt;0,Main_M[[#This Row],[Current Price]]/Main_M[[#This Row],[Free CF]],""),"")</f>
        <v>12.074999999999999</v>
      </c>
      <c r="I53" s="1">
        <f>IF(ISNUMBER(Main_M[[#This Row],[BVPS]]),IF(Main_M[[#This Row],[BVPS]]&lt;&gt;0,Main_M[[#This Row],[Current Price]]/Main_M[[#This Row],[BVPS]],""),"")</f>
        <v>1.7692307692307692</v>
      </c>
      <c r="J53">
        <v>16.09</v>
      </c>
      <c r="K53">
        <v>10.130000000000001</v>
      </c>
      <c r="L53">
        <v>1.36</v>
      </c>
      <c r="M53" s="1">
        <f>IF(ISNUMBER(Main_M[[#This Row],[EPS]]),IF(Main_M[[#This Row],[EPS]]&lt;&gt;0,Main_M[[#This Row],[Current Price]]/Main_M[[#This Row],[EPS]],""),"")</f>
        <v>11.780487804878049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0.21879702860460551</v>
      </c>
      <c r="P53" s="1">
        <f>(Main_M[[#This Row],[P/B]]-VLOOKUP(Main_M[[#This Row],[Industry]], Mean_PB_M, 2, FALSE))/(VLOOKUP(Main_M[[#This Row],[Industry]], Mean_PB_M, 3, FALSE))</f>
        <v>-0.22293346322907487</v>
      </c>
      <c r="Q53" s="1">
        <f>(Main_M[[#This Row],[ROE]]-VLOOKUP(Main_M[[#This Row],[Industry]], Mean_ROE_M, 2, FALSE))/(VLOOKUP(Main_M[[#This Row],[Industry]], Mean_ROE_M, 3, FALSE))</f>
        <v>1.1040255740071292</v>
      </c>
      <c r="R53" s="1">
        <f>(Main_M[[#This Row],[ROA]]-VLOOKUP(Main_M[[#This Row],[Industry]], Mean_ROA_M, 2, FALSE))/(VLOOKUP(Main_M[[#This Row],[Industry]], Mean_ROA_M, 3, FALSE))</f>
        <v>0.94244791155007679</v>
      </c>
      <c r="S53" s="1">
        <f>(Main_M[[#This Row],[A/E]]-VLOOKUP(Main_M[[#This Row],[Industry]], Mean_AE_M, 2, FALSE))/(VLOOKUP(Main_M[[#This Row],[Industry]], Mean_AE_M, 3, FALSE))</f>
        <v>-0.63481511908520127</v>
      </c>
      <c r="T53" s="1">
        <f>(Main_M[[#This Row],[P/E]]-VLOOKUP(Main_M[[#This Row],[Industry]], Mean_PE_M, 2, FALSE))/(VLOOKUP(Main_M[[#This Row],[Industry]], Mean_PE_M, 3, FALSE))</f>
        <v>-0.38560066767971735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8" t="s">
        <v>133</v>
      </c>
      <c r="B54" s="68" t="s">
        <v>199</v>
      </c>
      <c r="C54" s="2">
        <v>3522</v>
      </c>
      <c r="D54">
        <f>RTD("tos.rtd", , "LAST", Main_M[[#This Row],[Symbol]])</f>
        <v>4.8600000000000003</v>
      </c>
      <c r="E54">
        <v>0.21</v>
      </c>
      <c r="F54">
        <v>1.31</v>
      </c>
      <c r="G54">
        <v>0.17</v>
      </c>
      <c r="H54" s="1">
        <f>IF(ISNUMBER(Main_M[[#This Row],[Free CF]]),IF(Main_M[[#This Row],[Free CF]]&lt;&gt;0,Main_M[[#This Row],[Current Price]]/Main_M[[#This Row],[Free CF]],""),"")</f>
        <v>23.142857142857146</v>
      </c>
      <c r="I54" s="1">
        <f>IF(ISNUMBER(Main_M[[#This Row],[BVPS]]),IF(Main_M[[#This Row],[BVPS]]&lt;&gt;0,Main_M[[#This Row],[Current Price]]/Main_M[[#This Row],[BVPS]],""),"")</f>
        <v>3.7099236641221376</v>
      </c>
      <c r="J54">
        <v>14.62</v>
      </c>
      <c r="K54">
        <v>5.58</v>
      </c>
      <c r="L54">
        <v>2.0499999999999998</v>
      </c>
      <c r="M54" s="1">
        <f>IF(ISNUMBER(Main_M[[#This Row],[EPS]]),IF(Main_M[[#This Row],[EPS]]&lt;&gt;0,Main_M[[#This Row],[Current Price]]/Main_M[[#This Row],[EPS]],""),"")</f>
        <v>28.588235294117649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0.54275352093478757</v>
      </c>
      <c r="P54" s="1">
        <f>(Main_M[[#This Row],[P/B]]-VLOOKUP(Main_M[[#This Row],[Industry]], Mean_PB_M, 2, FALSE))/(VLOOKUP(Main_M[[#This Row],[Industry]], Mean_PB_M, 3, FALSE))</f>
        <v>1.3855207469119191</v>
      </c>
      <c r="Q54" s="1">
        <f>(Main_M[[#This Row],[ROE]]-VLOOKUP(Main_M[[#This Row],[Industry]], Mean_ROE_M, 2, FALSE))/(VLOOKUP(Main_M[[#This Row],[Industry]], Mean_ROE_M, 3, FALSE))</f>
        <v>0.95700199096409555</v>
      </c>
      <c r="R54" s="1">
        <f>(Main_M[[#This Row],[ROA]]-VLOOKUP(Main_M[[#This Row],[Industry]], Mean_ROA_M, 2, FALSE))/(VLOOKUP(Main_M[[#This Row],[Industry]], Mean_ROA_M, 3, FALSE))</f>
        <v>7.550688847735415E-2</v>
      </c>
      <c r="S54" s="1">
        <f>(Main_M[[#This Row],[A/E]]-VLOOKUP(Main_M[[#This Row],[Industry]], Mean_AE_M, 2, FALSE))/(VLOOKUP(Main_M[[#This Row],[Industry]], Mean_AE_M, 3, FALSE))</f>
        <v>0.72913373553291283</v>
      </c>
      <c r="T54" s="1">
        <f>(Main_M[[#This Row],[P/E]]-VLOOKUP(Main_M[[#This Row],[Industry]], Mean_PE_M, 2, FALSE))/(VLOOKUP(Main_M[[#This Row],[Industry]], Mean_PE_M, 3, FALSE))</f>
        <v>0.66560302383663639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8" t="s">
        <v>133</v>
      </c>
      <c r="B55" s="68" t="s">
        <v>372</v>
      </c>
      <c r="C55" s="2">
        <v>2499</v>
      </c>
      <c r="D55">
        <f>RTD("tos.rtd", , "LAST", Main_M[[#This Row],[Symbol]])</f>
        <v>11.473000000000001</v>
      </c>
      <c r="E55">
        <v>0.19</v>
      </c>
      <c r="F55">
        <v>2.29</v>
      </c>
      <c r="G55">
        <v>0.74</v>
      </c>
      <c r="H55" s="1">
        <f>IF(ISNUMBER(Main_M[[#This Row],[Free CF]]),IF(Main_M[[#This Row],[Free CF]]&lt;&gt;0,Main_M[[#This Row],[Current Price]]/Main_M[[#This Row],[Free CF]],""),"")</f>
        <v>60.38421052631579</v>
      </c>
      <c r="I55" s="1">
        <f>IF(ISNUMBER(Main_M[[#This Row],[BVPS]]),IF(Main_M[[#This Row],[BVPS]]&lt;&gt;0,Main_M[[#This Row],[Current Price]]/Main_M[[#This Row],[BVPS]],""),"")</f>
        <v>5.0100436681222709</v>
      </c>
      <c r="J55">
        <v>39.36</v>
      </c>
      <c r="K55">
        <v>28.24</v>
      </c>
      <c r="L55">
        <v>1.31</v>
      </c>
      <c r="M55" s="1">
        <f>IF(ISNUMBER(Main_M[[#This Row],[EPS]]),IF(Main_M[[#This Row],[EPS]]&lt;&gt;0,Main_M[[#This Row],[Current Price]]/Main_M[[#This Row],[EPS]],""),"")</f>
        <v>15.504054054054055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1.6328089902105296</v>
      </c>
      <c r="P55" s="1">
        <f>(Main_M[[#This Row],[P/B]]-VLOOKUP(Main_M[[#This Row],[Industry]], Mean_PB_M, 2, FALSE))/(VLOOKUP(Main_M[[#This Row],[Industry]], Mean_PB_M, 3, FALSE))</f>
        <v>2.463065524670069</v>
      </c>
      <c r="Q55" s="1">
        <f>(Main_M[[#This Row],[ROE]]-VLOOKUP(Main_M[[#This Row],[Industry]], Mean_ROE_M, 2, FALSE))/(VLOOKUP(Main_M[[#This Row],[Industry]], Mean_ROE_M, 3, FALSE))</f>
        <v>3.4313988919740614</v>
      </c>
      <c r="R55" s="1">
        <f>(Main_M[[#This Row],[ROA]]-VLOOKUP(Main_M[[#This Row],[Industry]], Mean_ROA_M, 2, FALSE))/(VLOOKUP(Main_M[[#This Row],[Industry]], Mean_ROA_M, 3, FALSE))</f>
        <v>4.3930637198680991</v>
      </c>
      <c r="S55" s="1">
        <f>(Main_M[[#This Row],[A/E]]-VLOOKUP(Main_M[[#This Row],[Industry]], Mean_AE_M, 2, FALSE))/(VLOOKUP(Main_M[[#This Row],[Industry]], Mean_AE_M, 3, FALSE))</f>
        <v>-0.73365199260825309</v>
      </c>
      <c r="T55" s="1">
        <f>(Main_M[[#This Row],[P/E]]-VLOOKUP(Main_M[[#This Row],[Industry]], Mean_PE_M, 2, FALSE))/(VLOOKUP(Main_M[[#This Row],[Industry]], Mean_PE_M, 3, FALSE))</f>
        <v>-0.15271838590784831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s="68" t="s">
        <v>133</v>
      </c>
      <c r="B56" s="68" t="s">
        <v>206</v>
      </c>
      <c r="C56" s="2">
        <v>2990</v>
      </c>
      <c r="D56">
        <f>RTD("tos.rtd", , "LAST", Main_M[[#This Row],[Symbol]])</f>
        <v>8.33</v>
      </c>
      <c r="E56">
        <v>0.16</v>
      </c>
      <c r="F56">
        <v>5</v>
      </c>
      <c r="G56">
        <v>-0.26</v>
      </c>
      <c r="H56" s="1">
        <f>IF(ISNUMBER(Main_M[[#This Row],[Free CF]]),IF(Main_M[[#This Row],[Free CF]]&lt;&gt;0,Main_M[[#This Row],[Current Price]]/Main_M[[#This Row],[Free CF]],""),"")</f>
        <v>52.0625</v>
      </c>
      <c r="I56" s="1">
        <f>IF(ISNUMBER(Main_M[[#This Row],[BVPS]]),IF(Main_M[[#This Row],[BVPS]]&lt;&gt;0,Main_M[[#This Row],[Current Price]]/Main_M[[#This Row],[BVPS]],""),"")</f>
        <v>1.6659999999999999</v>
      </c>
      <c r="J56">
        <v>-3.93</v>
      </c>
      <c r="K56">
        <v>1.38</v>
      </c>
      <c r="L56">
        <v>1.66</v>
      </c>
      <c r="M56" s="1">
        <f>IF(ISNUMBER(Main_M[[#This Row],[EPS]]),IF(Main_M[[#This Row],[EPS]]&lt;&gt;0,Main_M[[#This Row],[Current Price]]/Main_M[[#This Row],[EPS]],""),"")</f>
        <v>-32.03846153846154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1.389232287196049</v>
      </c>
      <c r="P56" s="1">
        <f>(Main_M[[#This Row],[P/B]]-VLOOKUP(Main_M[[#This Row],[Industry]], Mean_PB_M, 2, FALSE))/(VLOOKUP(Main_M[[#This Row],[Industry]], Mean_PB_M, 3, FALSE))</f>
        <v>-0.30849154705697412</v>
      </c>
      <c r="Q56" s="1">
        <f>(Main_M[[#This Row],[ROE]]-VLOOKUP(Main_M[[#This Row],[Industry]], Mean_ROE_M, 2, FALSE))/(VLOOKUP(Main_M[[#This Row],[Industry]], Mean_ROE_M, 3, FALSE))</f>
        <v>-0.89829560457894653</v>
      </c>
      <c r="R56" s="1">
        <f>(Main_M[[#This Row],[ROA]]-VLOOKUP(Main_M[[#This Row],[Industry]], Mean_ROA_M, 2, FALSE))/(VLOOKUP(Main_M[[#This Row],[Industry]], Mean_ROA_M, 3, FALSE))</f>
        <v>-0.72474636358977429</v>
      </c>
      <c r="S56" s="1">
        <f>(Main_M[[#This Row],[A/E]]-VLOOKUP(Main_M[[#This Row],[Industry]], Mean_AE_M, 2, FALSE))/(VLOOKUP(Main_M[[#This Row],[Industry]], Mean_AE_M, 3, FALSE))</f>
        <v>-4.1793877946890885E-2</v>
      </c>
      <c r="T56" s="1">
        <f>(Main_M[[#This Row],[P/E]]-VLOOKUP(Main_M[[#This Row],[Industry]], Mean_PE_M, 2, FALSE))/(VLOOKUP(Main_M[[#This Row],[Industry]], Mean_PE_M, 3, FALSE))</f>
        <v>-3.1261607181907212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7" spans="1:26" x14ac:dyDescent="0.25">
      <c r="A57" s="68" t="s">
        <v>133</v>
      </c>
      <c r="B57" s="68" t="s">
        <v>195</v>
      </c>
      <c r="C57" s="2">
        <v>5169</v>
      </c>
      <c r="D57">
        <f>RTD("tos.rtd", , "LAST", Main_M[[#This Row],[Symbol]])</f>
        <v>9.32</v>
      </c>
      <c r="E57">
        <v>0.16</v>
      </c>
      <c r="F57">
        <v>4.3</v>
      </c>
      <c r="G57">
        <v>0.28000000000000003</v>
      </c>
      <c r="H57" s="1">
        <f>IF(ISNUMBER(Main_M[[#This Row],[Free CF]]),IF(Main_M[[#This Row],[Free CF]]&lt;&gt;0,Main_M[[#This Row],[Current Price]]/Main_M[[#This Row],[Free CF]],""),"")</f>
        <v>58.25</v>
      </c>
      <c r="I57" s="1">
        <f>IF(ISNUMBER(Main_M[[#This Row],[BVPS]]),IF(Main_M[[#This Row],[BVPS]]&lt;&gt;0,Main_M[[#This Row],[Current Price]]/Main_M[[#This Row],[BVPS]],""),"")</f>
        <v>2.1674418604651162</v>
      </c>
      <c r="J57">
        <v>6.44</v>
      </c>
      <c r="K57">
        <v>5.04</v>
      </c>
      <c r="L57">
        <v>1.48</v>
      </c>
      <c r="M57" s="1">
        <f>IF(ISNUMBER(Main_M[[#This Row],[EPS]]),IF(Main_M[[#This Row],[EPS]]&lt;&gt;0,Main_M[[#This Row],[Current Price]]/Main_M[[#This Row],[EPS]],""),"")</f>
        <v>33.285714285714285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1.5703405876032901</v>
      </c>
      <c r="P57" s="1">
        <f>(Main_M[[#This Row],[P/B]]-VLOOKUP(Main_M[[#This Row],[Industry]], Mean_PB_M, 2, FALSE))/(VLOOKUP(Main_M[[#This Row],[Industry]], Mean_PB_M, 3, FALSE))</f>
        <v>0.10710551816090833</v>
      </c>
      <c r="Q57" s="1">
        <f>(Main_M[[#This Row],[ROE]]-VLOOKUP(Main_M[[#This Row],[Industry]], Mean_ROE_M, 2, FALSE))/(VLOOKUP(Main_M[[#This Row],[Industry]], Mean_ROE_M, 3, FALSE))</f>
        <v>0.1388707601532016</v>
      </c>
      <c r="R57" s="1">
        <f>(Main_M[[#This Row],[ROA]]-VLOOKUP(Main_M[[#This Row],[Industry]], Mean_ROA_M, 2, FALSE))/(VLOOKUP(Main_M[[#This Row],[Industry]], Mean_ROA_M, 3, FALSE))</f>
        <v>-2.738281535984808E-2</v>
      </c>
      <c r="S57" s="1">
        <f>(Main_M[[#This Row],[A/E]]-VLOOKUP(Main_M[[#This Row],[Industry]], Mean_AE_M, 2, FALSE))/(VLOOKUP(Main_M[[#This Row],[Industry]], Mean_AE_M, 3, FALSE))</f>
        <v>-0.39760662262987717</v>
      </c>
      <c r="T57" s="1">
        <f>(Main_M[[#This Row],[P/E]]-VLOOKUP(Main_M[[#This Row],[Industry]], Mean_PE_M, 2, FALSE))/(VLOOKUP(Main_M[[#This Row],[Industry]], Mean_PE_M, 3, FALSE))</f>
        <v>0.9593965413765827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8" t="s">
        <v>133</v>
      </c>
      <c r="B58" s="68" t="s">
        <v>196</v>
      </c>
      <c r="C58" s="2">
        <v>4128</v>
      </c>
      <c r="D58">
        <f>RTD("tos.rtd", , "LAST", Main_M[[#This Row],[Symbol]])</f>
        <v>21.26</v>
      </c>
      <c r="E58">
        <v>0.1</v>
      </c>
      <c r="F58">
        <v>19.5</v>
      </c>
      <c r="G58">
        <v>1.64</v>
      </c>
      <c r="H58" s="1">
        <f>IF(ISNUMBER(Main_M[[#This Row],[Free CF]]),IF(Main_M[[#This Row],[Free CF]]&lt;&gt;0,Main_M[[#This Row],[Current Price]]/Main_M[[#This Row],[Free CF]],""),"")</f>
        <v>212.6</v>
      </c>
      <c r="I58" s="1">
        <f>IF(ISNUMBER(Main_M[[#This Row],[BVPS]]),IF(Main_M[[#This Row],[BVPS]]&lt;&gt;0,Main_M[[#This Row],[Current Price]]/Main_M[[#This Row],[BVPS]],""),"")</f>
        <v>1.0902564102564103</v>
      </c>
      <c r="J58">
        <v>9</v>
      </c>
      <c r="K58">
        <v>5.42</v>
      </c>
      <c r="L58">
        <v>1.49</v>
      </c>
      <c r="M58" s="1">
        <f>IF(ISNUMBER(Main_M[[#This Row],[EPS]]),IF(Main_M[[#This Row],[EPS]]&lt;&gt;0,Main_M[[#This Row],[Current Price]]/Main_M[[#This Row],[EPS]],""),"")</f>
        <v>12.963414634146343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6.0881694632166505</v>
      </c>
      <c r="P58" s="1">
        <f>(Main_M[[#This Row],[P/B]]-VLOOKUP(Main_M[[#This Row],[Industry]], Mean_PB_M, 2, FALSE))/(VLOOKUP(Main_M[[#This Row],[Industry]], Mean_PB_M, 3, FALSE))</f>
        <v>-0.78567018944933598</v>
      </c>
      <c r="Q58" s="1">
        <f>(Main_M[[#This Row],[ROE]]-VLOOKUP(Main_M[[#This Row],[Industry]], Mean_ROE_M, 2, FALSE))/(VLOOKUP(Main_M[[#This Row],[Industry]], Mean_ROE_M, 3, FALSE))</f>
        <v>0.39491182994243001</v>
      </c>
      <c r="R58" s="1">
        <f>(Main_M[[#This Row],[ROA]]-VLOOKUP(Main_M[[#This Row],[Industry]], Mean_ROA_M, 2, FALSE))/(VLOOKUP(Main_M[[#This Row],[Industry]], Mean_ROA_M, 3, FALSE))</f>
        <v>4.5021050303368282E-2</v>
      </c>
      <c r="S58" s="1">
        <f>(Main_M[[#This Row],[A/E]]-VLOOKUP(Main_M[[#This Row],[Industry]], Mean_AE_M, 2, FALSE))/(VLOOKUP(Main_M[[#This Row],[Industry]], Mean_AE_M, 3, FALSE))</f>
        <v>-0.3778392479252668</v>
      </c>
      <c r="T58" s="1">
        <f>(Main_M[[#This Row],[P/E]]-VLOOKUP(Main_M[[#This Row],[Industry]], Mean_PE_M, 2, FALSE))/(VLOOKUP(Main_M[[#This Row],[Industry]], Mean_PE_M, 3, FALSE))</f>
        <v>-0.31161710441422574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s="68" t="s">
        <v>133</v>
      </c>
      <c r="B59" s="68" t="s">
        <v>207</v>
      </c>
      <c r="C59" s="2">
        <v>3251</v>
      </c>
      <c r="D59">
        <f>RTD("tos.rtd", , "LAST", Main_M[[#This Row],[Symbol]])</f>
        <v>6.22</v>
      </c>
      <c r="E59">
        <v>0.03</v>
      </c>
      <c r="F59">
        <v>3.28</v>
      </c>
      <c r="G59">
        <v>0.11</v>
      </c>
      <c r="H59" s="1">
        <f>IF(ISNUMBER(Main_M[[#This Row],[Free CF]]),IF(Main_M[[#This Row],[Free CF]]&lt;&gt;0,Main_M[[#This Row],[Current Price]]/Main_M[[#This Row],[Free CF]],""),"")</f>
        <v>207.33333333333334</v>
      </c>
      <c r="I59" s="1">
        <f>IF(ISNUMBER(Main_M[[#This Row],[BVPS]]),IF(Main_M[[#This Row],[BVPS]]&lt;&gt;0,Main_M[[#This Row],[Current Price]]/Main_M[[#This Row],[BVPS]],""),"")</f>
        <v>1.8963414634146343</v>
      </c>
      <c r="J59">
        <v>3.49</v>
      </c>
      <c r="K59">
        <v>3.34</v>
      </c>
      <c r="L59">
        <v>1.46</v>
      </c>
      <c r="M59" s="1">
        <f>IF(ISNUMBER(Main_M[[#This Row],[EPS]]),IF(Main_M[[#This Row],[EPS]]&lt;&gt;0,Main_M[[#This Row],[Current Price]]/Main_M[[#This Row],[EPS]],""),"")</f>
        <v>56.54545454545454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5.9340139805804535</v>
      </c>
      <c r="P59" s="1">
        <f>(Main_M[[#This Row],[P/B]]-VLOOKUP(Main_M[[#This Row],[Industry]], Mean_PB_M, 2, FALSE))/(VLOOKUP(Main_M[[#This Row],[Industry]], Mean_PB_M, 3, FALSE))</f>
        <v>-0.11758359991367044</v>
      </c>
      <c r="Q59" s="1">
        <f>(Main_M[[#This Row],[ROE]]-VLOOKUP(Main_M[[#This Row],[Industry]], Mean_ROE_M, 2, FALSE))/(VLOOKUP(Main_M[[#This Row],[Industry]], Mean_ROE_M, 3, FALSE))</f>
        <v>-0.15617656636172964</v>
      </c>
      <c r="R59" s="1">
        <f>(Main_M[[#This Row],[ROA]]-VLOOKUP(Main_M[[#This Row],[Industry]], Mean_ROA_M, 2, FALSE))/(VLOOKUP(Main_M[[#This Row],[Industry]], Mean_ROA_M, 3, FALSE))</f>
        <v>-0.35129484595844773</v>
      </c>
      <c r="S59" s="1">
        <f>(Main_M[[#This Row],[A/E]]-VLOOKUP(Main_M[[#This Row],[Industry]], Mean_AE_M, 2, FALSE))/(VLOOKUP(Main_M[[#This Row],[Industry]], Mean_AE_M, 3, FALSE))</f>
        <v>-0.43714137203909792</v>
      </c>
      <c r="T59" s="1">
        <f>(Main_M[[#This Row],[P/E]]-VLOOKUP(Main_M[[#This Row],[Industry]], Mean_PE_M, 2, FALSE))/(VLOOKUP(Main_M[[#This Row],[Industry]], Mean_PE_M, 3, FALSE))</f>
        <v>2.4141259654355758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s="68" t="s">
        <v>133</v>
      </c>
      <c r="B60" s="68" t="s">
        <v>197</v>
      </c>
      <c r="C60" s="2">
        <v>3024</v>
      </c>
      <c r="D60">
        <f>RTD("tos.rtd", , "LAST", Main_M[[#This Row],[Symbol]])</f>
        <v>6.93</v>
      </c>
      <c r="E60">
        <v>0.02</v>
      </c>
      <c r="F60">
        <v>7.29</v>
      </c>
      <c r="G60">
        <v>0.64</v>
      </c>
      <c r="H60" s="1">
        <f>IF(ISNUMBER(Main_M[[#This Row],[Free CF]]),IF(Main_M[[#This Row],[Free CF]]&lt;&gt;0,Main_M[[#This Row],[Current Price]]/Main_M[[#This Row],[Free CF]],""),"")</f>
        <v>346.5</v>
      </c>
      <c r="I60" s="1">
        <f>IF(ISNUMBER(Main_M[[#This Row],[BVPS]]),IF(Main_M[[#This Row],[BVPS]]&lt;&gt;0,Main_M[[#This Row],[Current Price]]/Main_M[[#This Row],[BVPS]],""),"")</f>
        <v>0.95061728395061729</v>
      </c>
      <c r="J60">
        <v>10.7</v>
      </c>
      <c r="K60">
        <v>2.83</v>
      </c>
      <c r="L60">
        <v>2.0099999999999998</v>
      </c>
      <c r="M60" s="1">
        <f>IF(ISNUMBER(Main_M[[#This Row],[EPS]]),IF(Main_M[[#This Row],[EPS]]&lt;&gt;0,Main_M[[#This Row],[Current Price]]/Main_M[[#This Row],[EPS]],""),"")</f>
        <v>10.828125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10.007426259100221</v>
      </c>
      <c r="P60" s="1">
        <f>(Main_M[[#This Row],[P/B]]-VLOOKUP(Main_M[[#This Row],[Industry]], Mean_PB_M, 2, FALSE))/(VLOOKUP(Main_M[[#This Row],[Industry]], Mean_PB_M, 3, FALSE))</f>
        <v>-0.9014036685578557</v>
      </c>
      <c r="Q60" s="1">
        <f>(Main_M[[#This Row],[ROE]]-VLOOKUP(Main_M[[#This Row],[Industry]], Mean_ROE_M, 2, FALSE))/(VLOOKUP(Main_M[[#This Row],[Industry]], Mean_ROE_M, 3, FALSE))</f>
        <v>0.56493910284933946</v>
      </c>
      <c r="R60" s="1">
        <f>(Main_M[[#This Row],[ROA]]-VLOOKUP(Main_M[[#This Row],[Industry]], Mean_ROA_M, 2, FALSE))/(VLOOKUP(Main_M[[#This Row],[Industry]], Mean_ROA_M, 3, FALSE))</f>
        <v>-0.44846845513802758</v>
      </c>
      <c r="S60" s="1">
        <f>(Main_M[[#This Row],[A/E]]-VLOOKUP(Main_M[[#This Row],[Industry]], Mean_AE_M, 2, FALSE))/(VLOOKUP(Main_M[[#This Row],[Industry]], Mean_AE_M, 3, FALSE))</f>
        <v>0.65006423671447133</v>
      </c>
      <c r="T60" s="1">
        <f>(Main_M[[#This Row],[P/E]]-VLOOKUP(Main_M[[#This Row],[Industry]], Mean_PE_M, 2, FALSE))/(VLOOKUP(Main_M[[#This Row],[Industry]], Mean_PE_M, 3, FALSE))</f>
        <v>-0.44516410988347488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s="68" t="s">
        <v>133</v>
      </c>
      <c r="B61" s="68" t="s">
        <v>373</v>
      </c>
      <c r="C61" s="2">
        <v>4095</v>
      </c>
      <c r="D61">
        <f>RTD("tos.rtd", , "LAST", Main_M[[#This Row],[Symbol]])</f>
        <v>5.8</v>
      </c>
      <c r="E61">
        <v>-0.02</v>
      </c>
      <c r="F61">
        <v>4</v>
      </c>
      <c r="G61">
        <v>0.11</v>
      </c>
      <c r="H61" s="1">
        <f>IF(ISNUMBER(Main_M[[#This Row],[Free CF]]),IF(Main_M[[#This Row],[Free CF]]&lt;&gt;0,Main_M[[#This Row],[Current Price]]/Main_M[[#This Row],[Free CF]],""),"")</f>
        <v>-290</v>
      </c>
      <c r="I61" s="1">
        <f>IF(ISNUMBER(Main_M[[#This Row],[BVPS]]),IF(Main_M[[#This Row],[BVPS]]&lt;&gt;0,Main_M[[#This Row],[Current Price]]/Main_M[[#This Row],[BVPS]],""),"")</f>
        <v>1.45</v>
      </c>
      <c r="J61">
        <v>2.67</v>
      </c>
      <c r="K61">
        <v>2.11</v>
      </c>
      <c r="L61">
        <v>2.17</v>
      </c>
      <c r="M61" s="1">
        <f>IF(ISNUMBER(Main_M[[#This Row],[EPS]]),IF(Main_M[[#This Row],[EPS]]&lt;&gt;0,Main_M[[#This Row],[Current Price]]/Main_M[[#This Row],[EPS]],""),"")</f>
        <v>52.727272727272727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-8.622946784812342</v>
      </c>
      <c r="P61" s="1">
        <f>(Main_M[[#This Row],[P/B]]-VLOOKUP(Main_M[[#This Row],[Industry]], Mean_PB_M, 2, FALSE))/(VLOOKUP(Main_M[[#This Row],[Industry]], Mean_PB_M, 3, FALSE))</f>
        <v>-0.48751323065514179</v>
      </c>
      <c r="Q61" s="1">
        <f>(Main_M[[#This Row],[ROE]]-VLOOKUP(Main_M[[#This Row],[Industry]], Mean_ROE_M, 2, FALSE))/(VLOOKUP(Main_M[[#This Row],[Industry]], Mean_ROE_M, 3, FALSE))</f>
        <v>-0.23818972152859191</v>
      </c>
      <c r="R61" s="1">
        <f>(Main_M[[#This Row],[ROA]]-VLOOKUP(Main_M[[#This Row],[Industry]], Mean_ROA_M, 2, FALSE))/(VLOOKUP(Main_M[[#This Row],[Industry]], Mean_ROA_M, 3, FALSE))</f>
        <v>-0.58565472692096388</v>
      </c>
      <c r="S61" s="1">
        <f>(Main_M[[#This Row],[A/E]]-VLOOKUP(Main_M[[#This Row],[Industry]], Mean_AE_M, 2, FALSE))/(VLOOKUP(Main_M[[#This Row],[Industry]], Mean_AE_M, 3, FALSE))</f>
        <v>0.96634223198823732</v>
      </c>
      <c r="T61" s="1">
        <f>(Main_M[[#This Row],[P/E]]-VLOOKUP(Main_M[[#This Row],[Industry]], Mean_PE_M, 2, FALSE))/(VLOOKUP(Main_M[[#This Row],[Industry]], Mean_PE_M, 3, FALSE))</f>
        <v>2.1753261604811684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s="68" t="s">
        <v>133</v>
      </c>
      <c r="B62" s="68" t="s">
        <v>198</v>
      </c>
      <c r="C62" s="2">
        <v>3945</v>
      </c>
      <c r="D62">
        <f>RTD("tos.rtd", , "LAST", Main_M[[#This Row],[Symbol]])</f>
        <v>7.43</v>
      </c>
      <c r="E62">
        <v>-0.1</v>
      </c>
      <c r="F62">
        <v>5.9</v>
      </c>
      <c r="G62">
        <v>1.42</v>
      </c>
      <c r="H62" s="1">
        <f>IF(ISNUMBER(Main_M[[#This Row],[Free CF]]),IF(Main_M[[#This Row],[Free CF]]&lt;&gt;0,Main_M[[#This Row],[Current Price]]/Main_M[[#This Row],[Free CF]],""),"")</f>
        <v>-74.3</v>
      </c>
      <c r="I62" s="1">
        <f>IF(ISNUMBER(Main_M[[#This Row],[BVPS]]),IF(Main_M[[#This Row],[BVPS]]&lt;&gt;0,Main_M[[#This Row],[Current Price]]/Main_M[[#This Row],[BVPS]],""),"")</f>
        <v>1.2593220338983049</v>
      </c>
      <c r="J62">
        <v>28.74</v>
      </c>
      <c r="K62">
        <v>6.25</v>
      </c>
      <c r="L62">
        <v>1.59</v>
      </c>
      <c r="M62" s="1">
        <f>IF(ISNUMBER(Main_M[[#This Row],[EPS]]),IF(Main_M[[#This Row],[EPS]]&lt;&gt;0,Main_M[[#This Row],[Current Price]]/Main_M[[#This Row],[EPS]],""),"")</f>
        <v>5.232394366197183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-2.3094016700096089</v>
      </c>
      <c r="P62" s="1">
        <f>(Main_M[[#This Row],[P/B]]-VLOOKUP(Main_M[[#This Row],[Industry]], Mean_PB_M, 2, FALSE))/(VLOOKUP(Main_M[[#This Row],[Industry]], Mean_PB_M, 3, FALSE))</f>
        <v>-0.6455479089727334</v>
      </c>
      <c r="Q62" s="1">
        <f>(Main_M[[#This Row],[ROE]]-VLOOKUP(Main_M[[#This Row],[Industry]], Mean_ROE_M, 2, FALSE))/(VLOOKUP(Main_M[[#This Row],[Industry]], Mean_ROE_M, 3, FALSE))</f>
        <v>2.3692285165203084</v>
      </c>
      <c r="R62" s="1">
        <f>(Main_M[[#This Row],[ROA]]-VLOOKUP(Main_M[[#This Row],[Industry]], Mean_ROA_M, 2, FALSE))/(VLOOKUP(Main_M[[#This Row],[Industry]], Mean_ROA_M, 3, FALSE))</f>
        <v>0.20316633583091986</v>
      </c>
      <c r="S62" s="1">
        <f>(Main_M[[#This Row],[A/E]]-VLOOKUP(Main_M[[#This Row],[Industry]], Mean_AE_M, 2, FALSE))/(VLOOKUP(Main_M[[#This Row],[Industry]], Mean_AE_M, 3, FALSE))</f>
        <v>-0.18016550087916305</v>
      </c>
      <c r="T62" s="1">
        <f>(Main_M[[#This Row],[P/E]]-VLOOKUP(Main_M[[#This Row],[Industry]], Mean_PE_M, 2, FALSE))/(VLOOKUP(Main_M[[#This Row],[Industry]], Mean_PE_M, 3, FALSE))</f>
        <v>-0.7951368056745387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s="68" t="s">
        <v>133</v>
      </c>
      <c r="B63" s="68" t="s">
        <v>374</v>
      </c>
      <c r="C63" s="2">
        <v>3336</v>
      </c>
      <c r="D63">
        <f>RTD("tos.rtd", , "LAST", Main_M[[#This Row],[Symbol]])</f>
        <v>13.98</v>
      </c>
      <c r="E63">
        <v>-0.18</v>
      </c>
      <c r="F63">
        <v>4.7699999999999996</v>
      </c>
      <c r="G63">
        <v>0.47</v>
      </c>
      <c r="H63" s="1">
        <f>IF(ISNUMBER(Main_M[[#This Row],[Free CF]]),IF(Main_M[[#This Row],[Free CF]]&lt;&gt;0,Main_M[[#This Row],[Current Price]]/Main_M[[#This Row],[Free CF]],""),"")</f>
        <v>-77.666666666666671</v>
      </c>
      <c r="I63" s="1">
        <f>IF(ISNUMBER(Main_M[[#This Row],[BVPS]]),IF(Main_M[[#This Row],[BVPS]]&lt;&gt;0,Main_M[[#This Row],[Current Price]]/Main_M[[#This Row],[BVPS]],""),"")</f>
        <v>2.9308176100628933</v>
      </c>
      <c r="J63">
        <v>13.81</v>
      </c>
      <c r="K63">
        <v>7.65</v>
      </c>
      <c r="L63">
        <v>1.44</v>
      </c>
      <c r="M63" s="1">
        <f>IF(ISNUMBER(Main_M[[#This Row],[EPS]]),IF(Main_M[[#This Row],[EPS]]&lt;&gt;0,Main_M[[#This Row],[Current Price]]/Main_M[[#This Row],[EPS]],""),"")</f>
        <v>29.744680851063833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-2.4079440987833807</v>
      </c>
      <c r="P63" s="1">
        <f>(Main_M[[#This Row],[P/B]]-VLOOKUP(Main_M[[#This Row],[Industry]], Mean_PB_M, 2, FALSE))/(VLOOKUP(Main_M[[#This Row],[Industry]], Mean_PB_M, 3, FALSE))</f>
        <v>0.73979446219334977</v>
      </c>
      <c r="Q63" s="1">
        <f>(Main_M[[#This Row],[ROE]]-VLOOKUP(Main_M[[#This Row],[Industry]], Mean_ROE_M, 2, FALSE))/(VLOOKUP(Main_M[[#This Row],[Industry]], Mean_ROE_M, 3, FALSE))</f>
        <v>0.8759889962260976</v>
      </c>
      <c r="R63" s="1">
        <f>(Main_M[[#This Row],[ROA]]-VLOOKUP(Main_M[[#This Row],[Industry]], Mean_ROA_M, 2, FALSE))/(VLOOKUP(Main_M[[#This Row],[Industry]], Mean_ROA_M, 3, FALSE))</f>
        <v>0.4699174198532961</v>
      </c>
      <c r="S63" s="1">
        <f>(Main_M[[#This Row],[A/E]]-VLOOKUP(Main_M[[#This Row],[Industry]], Mean_AE_M, 2, FALSE))/(VLOOKUP(Main_M[[#This Row],[Industry]], Mean_AE_M, 3, FALSE))</f>
        <v>-0.47667612144831867</v>
      </c>
      <c r="T63" s="1">
        <f>(Main_M[[#This Row],[P/E]]-VLOOKUP(Main_M[[#This Row],[Industry]], Mean_PE_M, 2, FALSE))/(VLOOKUP(Main_M[[#This Row],[Industry]], Mean_PE_M, 3, FALSE))</f>
        <v>0.73793037402307782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s="68" t="s">
        <v>133</v>
      </c>
      <c r="B64" s="68" t="s">
        <v>205</v>
      </c>
      <c r="C64" s="2">
        <v>4310</v>
      </c>
      <c r="D64">
        <f>RTD("tos.rtd", , "LAST", Main_M[[#This Row],[Symbol]])</f>
        <v>6.84</v>
      </c>
      <c r="E64">
        <v>-0.21</v>
      </c>
      <c r="F64">
        <v>0.82</v>
      </c>
      <c r="G64">
        <v>-0.14000000000000001</v>
      </c>
      <c r="H64" s="1">
        <f>IF(ISNUMBER(Main_M[[#This Row],[Free CF]]),IF(Main_M[[#This Row],[Free CF]]&lt;&gt;0,Main_M[[#This Row],[Current Price]]/Main_M[[#This Row],[Free CF]],""),"")</f>
        <v>-32.571428571428569</v>
      </c>
      <c r="I64" s="1">
        <f>IF(ISNUMBER(Main_M[[#This Row],[BVPS]]),IF(Main_M[[#This Row],[BVPS]]&lt;&gt;0,Main_M[[#This Row],[Current Price]]/Main_M[[#This Row],[BVPS]],""),"")</f>
        <v>8.3414634146341466</v>
      </c>
      <c r="J64">
        <v>-11.43</v>
      </c>
      <c r="K64">
        <v>-3.65</v>
      </c>
      <c r="L64">
        <v>3.14</v>
      </c>
      <c r="M64" s="1">
        <f>IF(ISNUMBER(Main_M[[#This Row],[EPS]]),IF(Main_M[[#This Row],[EPS]]&lt;&gt;0,Main_M[[#This Row],[Current Price]]/Main_M[[#This Row],[EPS]],""),"")</f>
        <v>-48.857142857142854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-1.0880052013468642</v>
      </c>
      <c r="P64" s="1">
        <f>(Main_M[[#This Row],[P/B]]-VLOOKUP(Main_M[[#This Row],[Industry]], Mean_PB_M, 2, FALSE))/(VLOOKUP(Main_M[[#This Row],[Industry]], Mean_PB_M, 3, FALSE))</f>
        <v>5.2241598385253329</v>
      </c>
      <c r="Q64" s="1">
        <f>(Main_M[[#This Row],[ROE]]-VLOOKUP(Main_M[[#This Row],[Industry]], Mean_ROE_M, 2, FALSE))/(VLOOKUP(Main_M[[#This Row],[Industry]], Mean_ROE_M, 3, FALSE))</f>
        <v>-1.6484159262270766</v>
      </c>
      <c r="R64" s="1">
        <f>(Main_M[[#This Row],[ROA]]-VLOOKUP(Main_M[[#This Row],[Industry]], Mean_ROA_M, 2, FALSE))/(VLOOKUP(Main_M[[#This Row],[Industry]], Mean_ROA_M, 3, FALSE))</f>
        <v>-1.6831449011844544</v>
      </c>
      <c r="S64" s="1">
        <f>(Main_M[[#This Row],[A/E]]-VLOOKUP(Main_M[[#This Row],[Industry]], Mean_AE_M, 2, FALSE))/(VLOOKUP(Main_M[[#This Row],[Industry]], Mean_AE_M, 3, FALSE))</f>
        <v>2.8837775783354425</v>
      </c>
      <c r="T64" s="1">
        <f>(Main_M[[#This Row],[P/E]]-VLOOKUP(Main_M[[#This Row],[Industry]], Mean_PE_M, 2, FALSE))/(VLOOKUP(Main_M[[#This Row],[Industry]], Mean_PE_M, 3, FALSE))</f>
        <v>-4.1780482420813359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5" spans="1:26" x14ac:dyDescent="0.25">
      <c r="A65" s="68" t="s">
        <v>133</v>
      </c>
      <c r="B65" s="68" t="s">
        <v>375</v>
      </c>
      <c r="C65" s="2">
        <v>2366</v>
      </c>
      <c r="D65">
        <f>RTD("tos.rtd", , "LAST", Main_M[[#This Row],[Symbol]])</f>
        <v>11.725</v>
      </c>
      <c r="E65">
        <v>-0.23</v>
      </c>
      <c r="F65">
        <v>0.55000000000000004</v>
      </c>
      <c r="G65">
        <v>-0.28000000000000003</v>
      </c>
      <c r="H65" s="1">
        <f>IF(ISNUMBER(Main_M[[#This Row],[Free CF]]),IF(Main_M[[#This Row],[Free CF]]&lt;&gt;0,Main_M[[#This Row],[Current Price]]/Main_M[[#This Row],[Free CF]],""),"")</f>
        <v>-50.978260869565212</v>
      </c>
      <c r="I65" s="1">
        <f>IF(ISNUMBER(Main_M[[#This Row],[BVPS]]),IF(Main_M[[#This Row],[BVPS]]&lt;&gt;0,Main_M[[#This Row],[Current Price]]/Main_M[[#This Row],[BVPS]],""),"")</f>
        <v>21.318181818181817</v>
      </c>
      <c r="J65">
        <v>-71.69</v>
      </c>
      <c r="K65">
        <v>-46.25</v>
      </c>
      <c r="L65">
        <v>1.1000000000000001</v>
      </c>
      <c r="M65" s="1">
        <f>IF(ISNUMBER(Main_M[[#This Row],[EPS]]),IF(Main_M[[#This Row],[EPS]]&lt;&gt;0,Main_M[[#This Row],[Current Price]]/Main_M[[#This Row],[EPS]],""),"")</f>
        <v>-41.874999999999993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-1.6267737045220789</v>
      </c>
      <c r="P65" s="1">
        <f>(Main_M[[#This Row],[P/B]]-VLOOKUP(Main_M[[#This Row],[Industry]], Mean_PB_M, 2, FALSE))/(VLOOKUP(Main_M[[#This Row],[Industry]], Mean_PB_M, 3, FALSE))</f>
        <v>15.979317135666218</v>
      </c>
      <c r="Q65" s="1">
        <f>(Main_M[[#This Row],[ROE]]-VLOOKUP(Main_M[[#This Row],[Industry]], Mean_ROE_M, 2, FALSE))/(VLOOKUP(Main_M[[#This Row],[Industry]], Mean_ROE_M, 3, FALSE))</f>
        <v>-7.6753826705625867</v>
      </c>
      <c r="R65" s="1">
        <f>(Main_M[[#This Row],[ROA]]-VLOOKUP(Main_M[[#This Row],[Industry]], Mean_ROA_M, 2, FALSE))/(VLOOKUP(Main_M[[#This Row],[Industry]], Mean_ROA_M, 3, FALSE))</f>
        <v>-9.7999993150081863</v>
      </c>
      <c r="S65" s="1">
        <f>(Main_M[[#This Row],[A/E]]-VLOOKUP(Main_M[[#This Row],[Industry]], Mean_AE_M, 2, FALSE))/(VLOOKUP(Main_M[[#This Row],[Industry]], Mean_AE_M, 3, FALSE))</f>
        <v>-1.1487668614050706</v>
      </c>
      <c r="T65" s="1">
        <f>(Main_M[[#This Row],[P/E]]-VLOOKUP(Main_M[[#This Row],[Industry]], Mean_PE_M, 2, FALSE))/(VLOOKUP(Main_M[[#This Row],[Industry]], Mean_PE_M, 3, FALSE))</f>
        <v>-3.7413654354874124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6" spans="1:26" x14ac:dyDescent="0.25">
      <c r="A66" s="68" t="s">
        <v>133</v>
      </c>
      <c r="B66" s="68" t="s">
        <v>203</v>
      </c>
      <c r="C66" s="2">
        <v>2399</v>
      </c>
      <c r="D66">
        <f>RTD("tos.rtd", , "LAST", Main_M[[#This Row],[Symbol]])</f>
        <v>12.79</v>
      </c>
      <c r="E66">
        <v>-0.27</v>
      </c>
      <c r="F66">
        <v>15.64</v>
      </c>
      <c r="G66">
        <v>0.42</v>
      </c>
      <c r="H66" s="1">
        <f>IF(ISNUMBER(Main_M[[#This Row],[Free CF]]),IF(Main_M[[#This Row],[Free CF]]&lt;&gt;0,Main_M[[#This Row],[Current Price]]/Main_M[[#This Row],[Free CF]],""),"")</f>
        <v>-47.370370370370367</v>
      </c>
      <c r="I66" s="1">
        <f>IF(ISNUMBER(Main_M[[#This Row],[BVPS]]),IF(Main_M[[#This Row],[BVPS]]&lt;&gt;0,Main_M[[#This Row],[Current Price]]/Main_M[[#This Row],[BVPS]],""),"")</f>
        <v>0.81777493606138096</v>
      </c>
      <c r="J66">
        <v>1.51</v>
      </c>
      <c r="K66">
        <v>4.8099999999999996</v>
      </c>
      <c r="L66">
        <v>1.78</v>
      </c>
      <c r="M66" s="1">
        <f>IF(ISNUMBER(Main_M[[#This Row],[EPS]]),IF(Main_M[[#This Row],[EPS]]&lt;&gt;0,Main_M[[#This Row],[Current Price]]/Main_M[[#This Row],[EPS]],""),"")</f>
        <v>30.452380952380953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-1.5211706473318385</v>
      </c>
      <c r="P66" s="1">
        <f>(Main_M[[#This Row],[P/B]]-VLOOKUP(Main_M[[#This Row],[Industry]], Mean_PB_M, 2, FALSE))/(VLOOKUP(Main_M[[#This Row],[Industry]], Mean_PB_M, 3, FALSE))</f>
        <v>-1.0115039499109326</v>
      </c>
      <c r="Q66" s="1">
        <f>(Main_M[[#This Row],[ROE]]-VLOOKUP(Main_M[[#This Row],[Industry]], Mean_ROE_M, 2, FALSE))/(VLOOKUP(Main_M[[#This Row],[Industry]], Mean_ROE_M, 3, FALSE))</f>
        <v>-0.35420833127683604</v>
      </c>
      <c r="R66" s="1">
        <f>(Main_M[[#This Row],[ROA]]-VLOOKUP(Main_M[[#This Row],[Industry]], Mean_ROA_M, 2, FALSE))/(VLOOKUP(Main_M[[#This Row],[Industry]], Mean_ROA_M, 3, FALSE))</f>
        <v>-7.1206207734952814E-2</v>
      </c>
      <c r="S66" s="1">
        <f>(Main_M[[#This Row],[A/E]]-VLOOKUP(Main_M[[#This Row],[Industry]], Mean_AE_M, 2, FALSE))/(VLOOKUP(Main_M[[#This Row],[Industry]], Mean_AE_M, 3, FALSE))</f>
        <v>0.19541461850843361</v>
      </c>
      <c r="T66" s="1">
        <f>(Main_M[[#This Row],[P/E]]-VLOOKUP(Main_M[[#This Row],[Industry]], Mean_PE_M, 2, FALSE))/(VLOOKUP(Main_M[[#This Row],[Industry]], Mean_PE_M, 3, FALSE))</f>
        <v>0.78219192420803429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s="68" t="s">
        <v>133</v>
      </c>
      <c r="B67" s="68" t="s">
        <v>193</v>
      </c>
      <c r="C67" s="2">
        <v>4453</v>
      </c>
      <c r="D67">
        <f>RTD("tos.rtd", , "LAST", Main_M[[#This Row],[Symbol]])</f>
        <v>3.7</v>
      </c>
      <c r="E67">
        <v>-0.38</v>
      </c>
      <c r="F67">
        <v>2.37</v>
      </c>
      <c r="G67">
        <v>-0.47</v>
      </c>
      <c r="H67" s="1">
        <f>IF(ISNUMBER(Main_M[[#This Row],[Free CF]]),IF(Main_M[[#This Row],[Free CF]]&lt;&gt;0,Main_M[[#This Row],[Current Price]]/Main_M[[#This Row],[Free CF]],""),"")</f>
        <v>-9.7368421052631575</v>
      </c>
      <c r="I67" s="1">
        <f>IF(ISNUMBER(Main_M[[#This Row],[BVPS]]),IF(Main_M[[#This Row],[BVPS]]&lt;&gt;0,Main_M[[#This Row],[Current Price]]/Main_M[[#This Row],[BVPS]],""),"")</f>
        <v>1.5611814345991561</v>
      </c>
      <c r="J67">
        <v>-17.239999999999998</v>
      </c>
      <c r="K67">
        <v>6.82</v>
      </c>
      <c r="L67">
        <v>1.63</v>
      </c>
      <c r="M67" s="1">
        <f>IF(ISNUMBER(Main_M[[#This Row],[EPS]]),IF(Main_M[[#This Row],[EPS]]&lt;&gt;0,Main_M[[#This Row],[Current Price]]/Main_M[[#This Row],[EPS]],""),"")</f>
        <v>-7.8723404255319158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-0.41963620815261643</v>
      </c>
      <c r="P67" s="1">
        <f>(Main_M[[#This Row],[P/B]]-VLOOKUP(Main_M[[#This Row],[Industry]], Mean_PB_M, 2, FALSE))/(VLOOKUP(Main_M[[#This Row],[Industry]], Mean_PB_M, 3, FALSE))</f>
        <v>-0.39536560284588013</v>
      </c>
      <c r="Q67" s="1">
        <f>(Main_M[[#This Row],[ROE]]-VLOOKUP(Main_M[[#This Row],[Industry]], Mean_ROE_M, 2, FALSE))/(VLOOKUP(Main_M[[#This Row],[Industry]], Mean_ROE_M, 3, FALSE))</f>
        <v>-2.2295091353971617</v>
      </c>
      <c r="R67" s="1">
        <f>(Main_M[[#This Row],[ROA]]-VLOOKUP(Main_M[[#This Row],[Industry]], Mean_ROA_M, 2, FALSE))/(VLOOKUP(Main_M[[#This Row],[Industry]], Mean_ROA_M, 3, FALSE))</f>
        <v>0.31177213432574447</v>
      </c>
      <c r="S67" s="1">
        <f>(Main_M[[#This Row],[A/E]]-VLOOKUP(Main_M[[#This Row],[Industry]], Mean_AE_M, 2, FALSE))/(VLOOKUP(Main_M[[#This Row],[Industry]], Mean_AE_M, 3, FALSE))</f>
        <v>-0.101096002060722</v>
      </c>
      <c r="T67" s="1">
        <f>(Main_M[[#This Row],[P/E]]-VLOOKUP(Main_M[[#This Row],[Industry]], Mean_PE_M, 2, FALSE))/(VLOOKUP(Main_M[[#This Row],[Industry]], Mean_PE_M, 3, FALSE))</f>
        <v>-1.6147436922146727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s="68" t="s">
        <v>133</v>
      </c>
      <c r="B68" s="68" t="s">
        <v>192</v>
      </c>
      <c r="C68" s="2">
        <v>3562</v>
      </c>
      <c r="D68">
        <f>RTD("tos.rtd", , "LAST", Main_M[[#This Row],[Symbol]])</f>
        <v>27.69</v>
      </c>
      <c r="E68">
        <v>-1.06</v>
      </c>
      <c r="F68">
        <v>6.34</v>
      </c>
      <c r="G68">
        <v>-0.64</v>
      </c>
      <c r="H68" s="1">
        <f>IF(ISNUMBER(Main_M[[#This Row],[Free CF]]),IF(Main_M[[#This Row],[Free CF]]&lt;&gt;0,Main_M[[#This Row],[Current Price]]/Main_M[[#This Row],[Free CF]],""),"")</f>
        <v>-26.122641509433961</v>
      </c>
      <c r="I68" s="1">
        <f>IF(ISNUMBER(Main_M[[#This Row],[BVPS]]),IF(Main_M[[#This Row],[BVPS]]&lt;&gt;0,Main_M[[#This Row],[Current Price]]/Main_M[[#This Row],[BVPS]],""),"")</f>
        <v>4.3675078864353312</v>
      </c>
      <c r="J68">
        <v>-9.6199999999999992</v>
      </c>
      <c r="K68">
        <v>-4.3899999999999997</v>
      </c>
      <c r="L68">
        <v>2.29</v>
      </c>
      <c r="M68" s="1">
        <f>IF(ISNUMBER(Main_M[[#This Row],[EPS]]),IF(Main_M[[#This Row],[EPS]]&lt;&gt;0,Main_M[[#This Row],[Current Price]]/Main_M[[#This Row],[EPS]],""),"")</f>
        <v>-43.265625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-0.89924902122790673</v>
      </c>
      <c r="P68" s="1">
        <f>(Main_M[[#This Row],[P/B]]-VLOOKUP(Main_M[[#This Row],[Industry]], Mean_PB_M, 2, FALSE))/(VLOOKUP(Main_M[[#This Row],[Industry]], Mean_PB_M, 3, FALSE))</f>
        <v>1.9305292403660843</v>
      </c>
      <c r="Q68" s="1">
        <f>(Main_M[[#This Row],[ROE]]-VLOOKUP(Main_M[[#This Row],[Industry]], Mean_ROE_M, 2, FALSE))/(VLOOKUP(Main_M[[#This Row],[Industry]], Mean_ROE_M, 3, FALSE))</f>
        <v>-1.4673868886026613</v>
      </c>
      <c r="R68" s="1">
        <f>(Main_M[[#This Row],[ROA]]-VLOOKUP(Main_M[[#This Row],[Industry]], Mean_ROA_M, 2, FALSE))/(VLOOKUP(Main_M[[#This Row],[Industry]], Mean_ROA_M, 3, FALSE))</f>
        <v>-1.8241419027391386</v>
      </c>
      <c r="S68" s="1">
        <f>(Main_M[[#This Row],[A/E]]-VLOOKUP(Main_M[[#This Row],[Industry]], Mean_AE_M, 2, FALSE))/(VLOOKUP(Main_M[[#This Row],[Industry]], Mean_AE_M, 3, FALSE))</f>
        <v>1.2035507284435618</v>
      </c>
      <c r="T68" s="1">
        <f>(Main_M[[#This Row],[P/E]]-VLOOKUP(Main_M[[#This Row],[Industry]], Mean_PE_M, 2, FALSE))/(VLOOKUP(Main_M[[#This Row],[Industry]], Mean_PE_M, 3, FALSE))</f>
        <v>-3.8283390251638885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9" spans="1:26" x14ac:dyDescent="0.25">
      <c r="A69" s="68" t="s">
        <v>133</v>
      </c>
      <c r="B69" s="68" t="s">
        <v>377</v>
      </c>
      <c r="C69" s="2">
        <v>3617</v>
      </c>
      <c r="D69">
        <f>RTD("tos.rtd", , "LAST", Main_M[[#This Row],[Symbol]])</f>
        <v>19.350000000000001</v>
      </c>
      <c r="E69">
        <v>-1.38</v>
      </c>
      <c r="F69">
        <v>1.85</v>
      </c>
      <c r="G69">
        <v>-7.0000000000000007E-2</v>
      </c>
      <c r="H69" s="1">
        <f>IF(ISNUMBER(Main_M[[#This Row],[Free CF]]),IF(Main_M[[#This Row],[Free CF]]&lt;&gt;0,Main_M[[#This Row],[Current Price]]/Main_M[[#This Row],[Free CF]],""),"")</f>
        <v>-14.021739130434785</v>
      </c>
      <c r="I69" s="1">
        <f>IF(ISNUMBER(Main_M[[#This Row],[BVPS]]),IF(Main_M[[#This Row],[BVPS]]&lt;&gt;0,Main_M[[#This Row],[Current Price]]/Main_M[[#This Row],[BVPS]],""),"")</f>
        <v>10.45945945945946</v>
      </c>
      <c r="J69">
        <v>-3.41</v>
      </c>
      <c r="K69">
        <v>0.56000000000000005</v>
      </c>
      <c r="L69">
        <v>3.12</v>
      </c>
      <c r="M69" s="1">
        <f>IF(ISNUMBER(Main_M[[#This Row],[EPS]]),IF(Main_M[[#This Row],[EPS]]&lt;&gt;0,Main_M[[#This Row],[Current Price]]/Main_M[[#This Row],[EPS]],""),"")</f>
        <v>-276.42857142857144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-0.54505526555041472</v>
      </c>
      <c r="P69" s="1">
        <f>(Main_M[[#This Row],[P/B]]-VLOOKUP(Main_M[[#This Row],[Industry]], Mean_PB_M, 2, FALSE))/(VLOOKUP(Main_M[[#This Row],[Industry]], Mean_PB_M, 3, FALSE))</f>
        <v>6.9795636246312958</v>
      </c>
      <c r="Q69" s="1">
        <f>(Main_M[[#This Row],[ROE]]-VLOOKUP(Main_M[[#This Row],[Industry]], Mean_ROE_M, 2, FALSE))/(VLOOKUP(Main_M[[#This Row],[Industry]], Mean_ROE_M, 3, FALSE))</f>
        <v>-0.84628726227800943</v>
      </c>
      <c r="R69" s="1">
        <f>(Main_M[[#This Row],[ROA]]-VLOOKUP(Main_M[[#This Row],[Industry]], Mean_ROA_M, 2, FALSE))/(VLOOKUP(Main_M[[#This Row],[Industry]], Mean_ROA_M, 3, FALSE))</f>
        <v>-0.88098628423145164</v>
      </c>
      <c r="S69" s="1">
        <f>(Main_M[[#This Row],[A/E]]-VLOOKUP(Main_M[[#This Row],[Industry]], Mean_AE_M, 2, FALSE))/(VLOOKUP(Main_M[[#This Row],[Industry]], Mean_AE_M, 3, FALSE))</f>
        <v>2.8442428289262218</v>
      </c>
      <c r="T69" s="1">
        <f>(Main_M[[#This Row],[P/E]]-VLOOKUP(Main_M[[#This Row],[Industry]], Mean_PE_M, 2, FALSE))/(VLOOKUP(Main_M[[#This Row],[Industry]], Mean_PE_M, 3, FALSE))</f>
        <v>-18.411003963904751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0" spans="1:26" x14ac:dyDescent="0.25">
      <c r="A70" s="68" t="s">
        <v>133</v>
      </c>
      <c r="B70" s="68" t="s">
        <v>215</v>
      </c>
      <c r="C70" s="2">
        <v>5375</v>
      </c>
      <c r="D70">
        <f>RTD("tos.rtd", , "LAST", Main_M[[#This Row],[Symbol]])</f>
        <v>29.12</v>
      </c>
      <c r="E70">
        <v>-1.51</v>
      </c>
      <c r="F70">
        <v>61.68</v>
      </c>
      <c r="G70">
        <v>-1.77</v>
      </c>
      <c r="H70" s="1">
        <f>IF(ISNUMBER(Main_M[[#This Row],[Free CF]]),IF(Main_M[[#This Row],[Free CF]]&lt;&gt;0,Main_M[[#This Row],[Current Price]]/Main_M[[#This Row],[Free CF]],""),"")</f>
        <v>-19.284768211920529</v>
      </c>
      <c r="I70" s="1">
        <f>IF(ISNUMBER(Main_M[[#This Row],[BVPS]]),IF(Main_M[[#This Row],[BVPS]]&lt;&gt;0,Main_M[[#This Row],[Current Price]]/Main_M[[#This Row],[BVPS]],""),"")</f>
        <v>0.47211413748378733</v>
      </c>
      <c r="J70">
        <v>-1.03</v>
      </c>
      <c r="K70">
        <v>1.7</v>
      </c>
      <c r="L70">
        <v>1.96</v>
      </c>
      <c r="M70" s="1">
        <f>IF(ISNUMBER(Main_M[[#This Row],[EPS]]),IF(Main_M[[#This Row],[EPS]]&lt;&gt;0,Main_M[[#This Row],[Current Price]]/Main_M[[#This Row],[EPS]],""),"")</f>
        <v>-16.451977401129945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-0.69910427596524571</v>
      </c>
      <c r="P70" s="1">
        <f>(Main_M[[#This Row],[P/B]]-VLOOKUP(Main_M[[#This Row],[Industry]], Mean_PB_M, 2, FALSE))/(VLOOKUP(Main_M[[#This Row],[Industry]], Mean_PB_M, 3, FALSE))</f>
        <v>-1.297989033777821</v>
      </c>
      <c r="Q70" s="1">
        <f>(Main_M[[#This Row],[ROE]]-VLOOKUP(Main_M[[#This Row],[Industry]], Mean_ROE_M, 2, FALSE))/(VLOOKUP(Main_M[[#This Row],[Industry]], Mean_ROE_M, 3, FALSE))</f>
        <v>-0.60824908020833612</v>
      </c>
      <c r="R70" s="1">
        <f>(Main_M[[#This Row],[ROA]]-VLOOKUP(Main_M[[#This Row],[Industry]], Mean_ROA_M, 2, FALSE))/(VLOOKUP(Main_M[[#This Row],[Industry]], Mean_ROA_M, 3, FALSE))</f>
        <v>-0.66377468724180255</v>
      </c>
      <c r="S70" s="1">
        <f>(Main_M[[#This Row],[A/E]]-VLOOKUP(Main_M[[#This Row],[Industry]], Mean_AE_M, 2, FALSE))/(VLOOKUP(Main_M[[#This Row],[Industry]], Mean_AE_M, 3, FALSE))</f>
        <v>0.55122736319141996</v>
      </c>
      <c r="T70" s="1">
        <f>(Main_M[[#This Row],[P/E]]-VLOOKUP(Main_M[[#This Row],[Industry]], Mean_PE_M, 2, FALSE))/(VLOOKUP(Main_M[[#This Row],[Industry]], Mean_PE_M, 3, FALSE))</f>
        <v>-2.1513382636403096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s="68" t="s">
        <v>133</v>
      </c>
      <c r="B71" s="68" t="s">
        <v>209</v>
      </c>
      <c r="C71" s="2">
        <v>2884</v>
      </c>
      <c r="D71">
        <f>RTD("tos.rtd", , "LAST", Main_M[[#This Row],[Symbol]])</f>
        <v>7.78</v>
      </c>
      <c r="E71">
        <v>-2.19</v>
      </c>
      <c r="F71">
        <v>12.65</v>
      </c>
      <c r="G71">
        <v>-2.46</v>
      </c>
      <c r="H71" s="1">
        <f>IF(ISNUMBER(Main_M[[#This Row],[Free CF]]),IF(Main_M[[#This Row],[Free CF]]&lt;&gt;0,Main_M[[#This Row],[Current Price]]/Main_M[[#This Row],[Free CF]],""),"")</f>
        <v>-3.5525114155251143</v>
      </c>
      <c r="I71" s="1">
        <f>IF(ISNUMBER(Main_M[[#This Row],[BVPS]]),IF(Main_M[[#This Row],[BVPS]]&lt;&gt;0,Main_M[[#This Row],[Current Price]]/Main_M[[#This Row],[BVPS]],""),"")</f>
        <v>0.6150197628458498</v>
      </c>
      <c r="J71">
        <v>-16.34</v>
      </c>
      <c r="K71">
        <v>-3.04</v>
      </c>
      <c r="L71">
        <v>3.33</v>
      </c>
      <c r="M71" s="1">
        <f>IF(ISNUMBER(Main_M[[#This Row],[EPS]]),IF(Main_M[[#This Row],[EPS]]&lt;&gt;0,Main_M[[#This Row],[Current Price]]/Main_M[[#This Row],[EPS]],""),"")</f>
        <v>-3.1626016260162602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-0.23862067354658842</v>
      </c>
      <c r="P71" s="1">
        <f>(Main_M[[#This Row],[P/B]]-VLOOKUP(Main_M[[#This Row],[Industry]], Mean_PB_M, 2, FALSE))/(VLOOKUP(Main_M[[#This Row],[Industry]], Mean_PB_M, 3, FALSE))</f>
        <v>-1.1795482668890922</v>
      </c>
      <c r="Q71" s="1">
        <f>(Main_M[[#This Row],[ROE]]-VLOOKUP(Main_M[[#This Row],[Industry]], Mean_ROE_M, 2, FALSE))/(VLOOKUP(Main_M[[#This Row],[Industry]], Mean_ROE_M, 3, FALSE))</f>
        <v>-2.1394946967993862</v>
      </c>
      <c r="R71" s="1">
        <f>(Main_M[[#This Row],[ROA]]-VLOOKUP(Main_M[[#This Row],[Industry]], Mean_ROA_M, 2, FALSE))/(VLOOKUP(Main_M[[#This Row],[Industry]], Mean_ROA_M, 3, FALSE))</f>
        <v>-1.5669176431461334</v>
      </c>
      <c r="S71" s="1">
        <f>(Main_M[[#This Row],[A/E]]-VLOOKUP(Main_M[[#This Row],[Industry]], Mean_AE_M, 2, FALSE))/(VLOOKUP(Main_M[[#This Row],[Industry]], Mean_AE_M, 3, FALSE))</f>
        <v>3.259357697723039</v>
      </c>
      <c r="T71" s="1">
        <f>(Main_M[[#This Row],[P/E]]-VLOOKUP(Main_M[[#This Row],[Industry]], Mean_PE_M, 2, FALSE))/(VLOOKUP(Main_M[[#This Row],[Industry]], Mean_PE_M, 3, FALSE))</f>
        <v>-1.3201834118857207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s="68" t="s">
        <v>133</v>
      </c>
      <c r="B72" s="68" t="s">
        <v>378</v>
      </c>
      <c r="C72" s="2">
        <v>2758</v>
      </c>
      <c r="D72">
        <f>RTD("tos.rtd", , "LAST", Main_M[[#This Row],[Symbol]])</f>
        <v>32.924999999999997</v>
      </c>
      <c r="E72">
        <v>-2.31</v>
      </c>
      <c r="F72">
        <v>19.420000000000002</v>
      </c>
      <c r="G72">
        <v>1.5</v>
      </c>
      <c r="H72" s="1">
        <f>IF(ISNUMBER(Main_M[[#This Row],[Free CF]]),IF(Main_M[[#This Row],[Free CF]]&lt;&gt;0,Main_M[[#This Row],[Current Price]]/Main_M[[#This Row],[Free CF]],""),"")</f>
        <v>-14.253246753246751</v>
      </c>
      <c r="I72" s="1">
        <f>IF(ISNUMBER(Main_M[[#This Row],[BVPS]]),IF(Main_M[[#This Row],[BVPS]]&lt;&gt;0,Main_M[[#This Row],[Current Price]]/Main_M[[#This Row],[BVPS]],""),"")</f>
        <v>1.6954170957775487</v>
      </c>
      <c r="J72">
        <v>8.1199999999999992</v>
      </c>
      <c r="K72">
        <v>10.97</v>
      </c>
      <c r="L72">
        <v>1.32</v>
      </c>
      <c r="M72" s="1">
        <f>IF(ISNUMBER(Main_M[[#This Row],[EPS]]),IF(Main_M[[#This Row],[EPS]]&lt;&gt;0,Main_M[[#This Row],[Current Price]]/Main_M[[#This Row],[EPS]],""),"")</f>
        <v>21.95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-0.5518315002330485</v>
      </c>
      <c r="P72" s="1">
        <f>(Main_M[[#This Row],[P/B]]-VLOOKUP(Main_M[[#This Row],[Industry]], Mean_PB_M, 2, FALSE))/(VLOOKUP(Main_M[[#This Row],[Industry]], Mean_PB_M, 3, FALSE))</f>
        <v>-0.28411053773907902</v>
      </c>
      <c r="Q72" s="1">
        <f>(Main_M[[#This Row],[ROE]]-VLOOKUP(Main_M[[#This Row],[Industry]], Mean_ROE_M, 2, FALSE))/(VLOOKUP(Main_M[[#This Row],[Industry]], Mean_ROE_M, 3, FALSE))</f>
        <v>0.30689771220238266</v>
      </c>
      <c r="R72" s="1">
        <f>(Main_M[[#This Row],[ROA]]-VLOOKUP(Main_M[[#This Row],[Industry]], Mean_ROA_M, 2, FALSE))/(VLOOKUP(Main_M[[#This Row],[Industry]], Mean_ROA_M, 3, FALSE))</f>
        <v>1.1024985619635024</v>
      </c>
      <c r="S72" s="1">
        <f>(Main_M[[#This Row],[A/E]]-VLOOKUP(Main_M[[#This Row],[Industry]], Mean_AE_M, 2, FALSE))/(VLOOKUP(Main_M[[#This Row],[Industry]], Mean_AE_M, 3, FALSE))</f>
        <v>-0.71388461790364277</v>
      </c>
      <c r="T72" s="1">
        <f>(Main_M[[#This Row],[P/E]]-VLOOKUP(Main_M[[#This Row],[Industry]], Mean_PE_M, 2, FALSE))/(VLOOKUP(Main_M[[#This Row],[Industry]], Mean_PE_M, 3, FALSE))</f>
        <v>0.25042916125938991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s="68" t="s">
        <v>133</v>
      </c>
      <c r="B73" s="68" t="s">
        <v>212</v>
      </c>
      <c r="C73" s="2">
        <v>2389</v>
      </c>
      <c r="D73">
        <f>RTD("tos.rtd", , "LAST", Main_M[[#This Row],[Symbol]])</f>
        <v>48.26</v>
      </c>
      <c r="E73">
        <v>-2.9</v>
      </c>
      <c r="F73">
        <v>39.51</v>
      </c>
      <c r="G73">
        <v>2.0099999999999998</v>
      </c>
      <c r="H73" s="1">
        <f>IF(ISNUMBER(Main_M[[#This Row],[Free CF]]),IF(Main_M[[#This Row],[Free CF]]&lt;&gt;0,Main_M[[#This Row],[Current Price]]/Main_M[[#This Row],[Free CF]],""),"")</f>
        <v>-16.641379310344828</v>
      </c>
      <c r="I73" s="1">
        <f>IF(ISNUMBER(Main_M[[#This Row],[BVPS]]),IF(Main_M[[#This Row],[BVPS]]&lt;&gt;0,Main_M[[#This Row],[Current Price]]/Main_M[[#This Row],[BVPS]],""),"")</f>
        <v>1.2214629207795495</v>
      </c>
      <c r="J73">
        <v>5.2</v>
      </c>
      <c r="K73">
        <v>2.1800000000000002</v>
      </c>
      <c r="L73">
        <v>1.26</v>
      </c>
      <c r="M73" s="1">
        <f>IF(ISNUMBER(Main_M[[#This Row],[EPS]]),IF(Main_M[[#This Row],[EPS]]&lt;&gt;0,Main_M[[#This Row],[Current Price]]/Main_M[[#This Row],[EPS]],""),"")</f>
        <v>24.009950248756219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-0.62173220787963124</v>
      </c>
      <c r="P73" s="1">
        <f>(Main_M[[#This Row],[P/B]]-VLOOKUP(Main_M[[#This Row],[Industry]], Mean_PB_M, 2, FALSE))/(VLOOKUP(Main_M[[#This Row],[Industry]], Mean_PB_M, 3, FALSE))</f>
        <v>-0.67692569679705317</v>
      </c>
      <c r="Q73" s="1">
        <f>(Main_M[[#This Row],[ROE]]-VLOOKUP(Main_M[[#This Row],[Industry]], Mean_ROE_M, 2, FALSE))/(VLOOKUP(Main_M[[#This Row],[Industry]], Mean_ROE_M, 3, FALSE))</f>
        <v>1.4850866974044053E-2</v>
      </c>
      <c r="R73" s="1">
        <f>(Main_M[[#This Row],[ROA]]-VLOOKUP(Main_M[[#This Row],[Industry]], Mean_ROA_M, 2, FALSE))/(VLOOKUP(Main_M[[#This Row],[Industry]], Mean_ROA_M, 3, FALSE))</f>
        <v>-0.57231717271984506</v>
      </c>
      <c r="S73" s="1">
        <f>(Main_M[[#This Row],[A/E]]-VLOOKUP(Main_M[[#This Row],[Industry]], Mean_AE_M, 2, FALSE))/(VLOOKUP(Main_M[[#This Row],[Industry]], Mean_AE_M, 3, FALSE))</f>
        <v>-0.83248886613130502</v>
      </c>
      <c r="T73" s="1">
        <f>(Main_M[[#This Row],[P/E]]-VLOOKUP(Main_M[[#This Row],[Industry]], Mean_PE_M, 2, FALSE))/(VLOOKUP(Main_M[[#This Row],[Industry]], Mean_PE_M, 3, FALSE))</f>
        <v>0.37926423015954358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s="68" t="s">
        <v>156</v>
      </c>
      <c r="B74" s="68" t="s">
        <v>219</v>
      </c>
      <c r="C74" s="2">
        <v>2157</v>
      </c>
      <c r="D74">
        <f>RTD("tos.rtd", , "LAST", Main_M[[#This Row],[Symbol]])</f>
        <v>53.87</v>
      </c>
      <c r="E74">
        <v>6.26</v>
      </c>
      <c r="F74">
        <v>22.31</v>
      </c>
      <c r="G74">
        <v>6.82</v>
      </c>
      <c r="H74" s="1">
        <f>IF(ISNUMBER(Main_M[[#This Row],[Free CF]]),IF(Main_M[[#This Row],[Free CF]]&lt;&gt;0,Main_M[[#This Row],[Current Price]]/Main_M[[#This Row],[Free CF]],""),"")</f>
        <v>8.6054313099041533</v>
      </c>
      <c r="I74" s="1">
        <f>IF(ISNUMBER(Main_M[[#This Row],[BVPS]]),IF(Main_M[[#This Row],[BVPS]]&lt;&gt;0,Main_M[[#This Row],[Current Price]]/Main_M[[#This Row],[BVPS]],""),"")</f>
        <v>2.4146122814881221</v>
      </c>
      <c r="J74">
        <v>31.83</v>
      </c>
      <c r="K74">
        <v>9.61</v>
      </c>
      <c r="L74">
        <v>2.9</v>
      </c>
      <c r="M74" s="1">
        <f>IF(ISNUMBER(Main_M[[#This Row],[EPS]]),IF(Main_M[[#This Row],[EPS]]&lt;&gt;0,Main_M[[#This Row],[Current Price]]/Main_M[[#This Row],[EPS]],""),"")</f>
        <v>7.8988269794721404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-1.0087688731506421</v>
      </c>
      <c r="P74" s="1">
        <f>(Main_M[[#This Row],[P/B]]-VLOOKUP(Main_M[[#This Row],[Industry]], Mean_PB_M, 2, FALSE))/(VLOOKUP(Main_M[[#This Row],[Industry]], Mean_PB_M, 3, FALSE))</f>
        <v>6.9756559838538276E-2</v>
      </c>
      <c r="Q74" s="1">
        <f>(Main_M[[#This Row],[ROE]]-VLOOKUP(Main_M[[#This Row],[Industry]], Mean_ROE_M, 2, FALSE))/(VLOOKUP(Main_M[[#This Row],[Industry]], Mean_ROE_M, 3, FALSE))</f>
        <v>1.1296094570330055</v>
      </c>
      <c r="R74" s="1">
        <f>(Main_M[[#This Row],[ROA]]-VLOOKUP(Main_M[[#This Row],[Industry]], Mean_ROA_M, 2, FALSE))/(VLOOKUP(Main_M[[#This Row],[Industry]], Mean_ROA_M, 3, FALSE))</f>
        <v>0.43854132412318708</v>
      </c>
      <c r="S74" s="1">
        <f>(Main_M[[#This Row],[A/E]]-VLOOKUP(Main_M[[#This Row],[Industry]], Mean_AE_M, 2, FALSE))/(VLOOKUP(Main_M[[#This Row],[Industry]], Mean_AE_M, 3, FALSE))</f>
        <v>1.4944097141925599</v>
      </c>
      <c r="T74" s="1">
        <f>(Main_M[[#This Row],[P/E]]-VLOOKUP(Main_M[[#This Row],[Industry]], Mean_PE_M, 2, FALSE))/(VLOOKUP(Main_M[[#This Row],[Industry]], Mean_PE_M, 3, FALSE))</f>
        <v>-1.345260871499105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s="68" t="s">
        <v>156</v>
      </c>
      <c r="B75" s="68" t="s">
        <v>217</v>
      </c>
      <c r="C75" s="2">
        <v>6268</v>
      </c>
      <c r="D75">
        <f>RTD("tos.rtd", , "LAST", Main_M[[#This Row],[Symbol]])</f>
        <v>92.47</v>
      </c>
      <c r="E75">
        <v>5.08</v>
      </c>
      <c r="F75">
        <v>24.17</v>
      </c>
      <c r="G75">
        <v>5.71</v>
      </c>
      <c r="H75" s="1">
        <f>IF(ISNUMBER(Main_M[[#This Row],[Free CF]]),IF(Main_M[[#This Row],[Free CF]]&lt;&gt;0,Main_M[[#This Row],[Current Price]]/Main_M[[#This Row],[Free CF]],""),"")</f>
        <v>18.202755905511811</v>
      </c>
      <c r="I75" s="1">
        <f>IF(ISNUMBER(Main_M[[#This Row],[BVPS]]),IF(Main_M[[#This Row],[BVPS]]&lt;&gt;0,Main_M[[#This Row],[Current Price]]/Main_M[[#This Row],[BVPS]],""),"")</f>
        <v>3.8258171286719072</v>
      </c>
      <c r="J75">
        <v>24.36</v>
      </c>
      <c r="K75">
        <v>12.68</v>
      </c>
      <c r="L75">
        <v>1.52</v>
      </c>
      <c r="M75" s="1">
        <f>IF(ISNUMBER(Main_M[[#This Row],[EPS]]),IF(Main_M[[#This Row],[EPS]]&lt;&gt;0,Main_M[[#This Row],[Current Price]]/Main_M[[#This Row],[EPS]],""),"")</f>
        <v>16.194395796847637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-0.15529983938532441</v>
      </c>
      <c r="P75" s="1">
        <f>(Main_M[[#This Row],[P/B]]-VLOOKUP(Main_M[[#This Row],[Industry]], Mean_PB_M, 2, FALSE))/(VLOOKUP(Main_M[[#This Row],[Industry]], Mean_PB_M, 3, FALSE))</f>
        <v>1.4174241688595328</v>
      </c>
      <c r="Q75" s="1">
        <f>(Main_M[[#This Row],[ROE]]-VLOOKUP(Main_M[[#This Row],[Industry]], Mean_ROE_M, 2, FALSE))/(VLOOKUP(Main_M[[#This Row],[Industry]], Mean_ROE_M, 3, FALSE))</f>
        <v>0.49456278579789348</v>
      </c>
      <c r="R75" s="1">
        <f>(Main_M[[#This Row],[ROA]]-VLOOKUP(Main_M[[#This Row],[Industry]], Mean_ROA_M, 2, FALSE))/(VLOOKUP(Main_M[[#This Row],[Industry]], Mean_ROA_M, 3, FALSE))</f>
        <v>1.1406648521848219</v>
      </c>
      <c r="S75" s="1">
        <f>(Main_M[[#This Row],[A/E]]-VLOOKUP(Main_M[[#This Row],[Industry]], Mean_AE_M, 2, FALSE))/(VLOOKUP(Main_M[[#This Row],[Industry]], Mean_AE_M, 3, FALSE))</f>
        <v>-0.687902884310861</v>
      </c>
      <c r="T75" s="1">
        <f>(Main_M[[#This Row],[P/E]]-VLOOKUP(Main_M[[#This Row],[Industry]], Mean_PE_M, 2, FALSE))/(VLOOKUP(Main_M[[#This Row],[Industry]], Mean_PE_M, 3, FALSE))</f>
        <v>1.050393444407224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s="68" t="s">
        <v>156</v>
      </c>
      <c r="B76" s="68" t="s">
        <v>364</v>
      </c>
      <c r="C76" s="2">
        <v>3154</v>
      </c>
      <c r="D76">
        <f>RTD("tos.rtd", , "LAST", Main_M[[#This Row],[Symbol]])</f>
        <v>56.349499999999999</v>
      </c>
      <c r="E76">
        <v>3.89</v>
      </c>
      <c r="F76">
        <v>24.96</v>
      </c>
      <c r="G76">
        <v>4.1500000000000004</v>
      </c>
      <c r="H76" s="1">
        <f>IF(ISNUMBER(Main_M[[#This Row],[Free CF]]),IF(Main_M[[#This Row],[Free CF]]&lt;&gt;0,Main_M[[#This Row],[Current Price]]/Main_M[[#This Row],[Free CF]],""),"")</f>
        <v>14.48573264781491</v>
      </c>
      <c r="I76" s="1">
        <f>IF(ISNUMBER(Main_M[[#This Row],[BVPS]]),IF(Main_M[[#This Row],[BVPS]]&lt;&gt;0,Main_M[[#This Row],[Current Price]]/Main_M[[#This Row],[BVPS]],""),"")</f>
        <v>2.2575921474358975</v>
      </c>
      <c r="J76">
        <v>17.95</v>
      </c>
      <c r="K76">
        <v>7.71</v>
      </c>
      <c r="L76">
        <v>2.14</v>
      </c>
      <c r="M76" s="1">
        <f>IF(ISNUMBER(Main_M[[#This Row],[EPS]]),IF(Main_M[[#This Row],[EPS]]&lt;&gt;0,Main_M[[#This Row],[Current Price]]/Main_M[[#This Row],[EPS]],""),"")</f>
        <v>13.578192771084336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-0.48584656796858633</v>
      </c>
      <c r="P76" s="1">
        <f>(Main_M[[#This Row],[P/B]]-VLOOKUP(Main_M[[#This Row],[Industry]], Mean_PB_M, 2, FALSE))/(VLOOKUP(Main_M[[#This Row],[Industry]], Mean_PB_M, 3, FALSE))</f>
        <v>-8.0193994149857215E-2</v>
      </c>
      <c r="Q76" s="1">
        <f>(Main_M[[#This Row],[ROE]]-VLOOKUP(Main_M[[#This Row],[Industry]], Mean_ROE_M, 2, FALSE))/(VLOOKUP(Main_M[[#This Row],[Industry]], Mean_ROE_M, 3, FALSE))</f>
        <v>-5.0370167698367427E-2</v>
      </c>
      <c r="R76" s="1">
        <f>(Main_M[[#This Row],[ROA]]-VLOOKUP(Main_M[[#This Row],[Industry]], Mean_ROA_M, 2, FALSE))/(VLOOKUP(Main_M[[#This Row],[Industry]], Mean_ROA_M, 3, FALSE))</f>
        <v>4.0023328146836018E-3</v>
      </c>
      <c r="S76" s="1">
        <f>(Main_M[[#This Row],[A/E]]-VLOOKUP(Main_M[[#This Row],[Industry]], Mean_AE_M, 2, FALSE))/(VLOOKUP(Main_M[[#This Row],[Industry]], Mean_AE_M, 3, FALSE))</f>
        <v>0.29255639907473407</v>
      </c>
      <c r="T76" s="1">
        <f>(Main_M[[#This Row],[P/E]]-VLOOKUP(Main_M[[#This Row],[Industry]], Mean_PE_M, 2, FALSE))/(VLOOKUP(Main_M[[#This Row],[Industry]], Mean_PE_M, 3, FALSE))</f>
        <v>0.29486742709188207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s="68" t="s">
        <v>156</v>
      </c>
      <c r="B77" s="68" t="s">
        <v>218</v>
      </c>
      <c r="C77" s="2">
        <v>5838</v>
      </c>
      <c r="D77">
        <f>RTD("tos.rtd", , "LAST", Main_M[[#This Row],[Symbol]])</f>
        <v>75.849999999999994</v>
      </c>
      <c r="E77">
        <v>1.97</v>
      </c>
      <c r="F77">
        <v>87.36</v>
      </c>
      <c r="G77">
        <v>-0.04</v>
      </c>
      <c r="H77" s="1">
        <f>IF(ISNUMBER(Main_M[[#This Row],[Free CF]]),IF(Main_M[[#This Row],[Free CF]]&lt;&gt;0,Main_M[[#This Row],[Current Price]]/Main_M[[#This Row],[Free CF]],""),"")</f>
        <v>38.502538071065985</v>
      </c>
      <c r="I77" s="1">
        <f>IF(ISNUMBER(Main_M[[#This Row],[BVPS]]),IF(Main_M[[#This Row],[BVPS]]&lt;&gt;0,Main_M[[#This Row],[Current Price]]/Main_M[[#This Row],[BVPS]],""),"")</f>
        <v>0.86824633699633691</v>
      </c>
      <c r="J77">
        <v>0.03</v>
      </c>
      <c r="K77">
        <v>0.77</v>
      </c>
      <c r="L77">
        <v>1.26</v>
      </c>
      <c r="M77" s="1">
        <f>IF(ISNUMBER(Main_M[[#This Row],[EPS]]),IF(Main_M[[#This Row],[EPS]]&lt;&gt;0,Main_M[[#This Row],[Current Price]]/Main_M[[#This Row],[EPS]],""),"")</f>
        <v>-1896.2499999999998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1.6499152805045534</v>
      </c>
      <c r="P77" s="1">
        <f>(Main_M[[#This Row],[P/B]]-VLOOKUP(Main_M[[#This Row],[Industry]], Mean_PB_M, 2, FALSE))/(VLOOKUP(Main_M[[#This Row],[Industry]], Mean_PB_M, 3, FALSE))</f>
        <v>-1.4069867345482141</v>
      </c>
      <c r="Q77" s="1">
        <f>(Main_M[[#This Row],[ROE]]-VLOOKUP(Main_M[[#This Row],[Industry]], Mean_ROE_M, 2, FALSE))/(VLOOKUP(Main_M[[#This Row],[Industry]], Mean_ROE_M, 3, FALSE))</f>
        <v>-1.5738020751325319</v>
      </c>
      <c r="R77" s="1">
        <f>(Main_M[[#This Row],[ROA]]-VLOOKUP(Main_M[[#This Row],[Industry]], Mean_ROA_M, 2, FALSE))/(VLOOKUP(Main_M[[#This Row],[Industry]], Mean_ROA_M, 3, FALSE))</f>
        <v>-1.5832085091226926</v>
      </c>
      <c r="S77" s="1">
        <f>(Main_M[[#This Row],[A/E]]-VLOOKUP(Main_M[[#This Row],[Industry]], Mean_AE_M, 2, FALSE))/(VLOOKUP(Main_M[[#This Row],[Industry]], Mean_AE_M, 3, FALSE))</f>
        <v>-1.099063228956433</v>
      </c>
      <c r="T77" s="1">
        <f>(Main_M[[#This Row],[P/E]]-VLOOKUP(Main_M[[#This Row],[Industry]], Mean_PE_M, 2, FALSE))/(VLOOKUP(Main_M[[#This Row],[Industry]], Mean_PE_M, 3, FALSE))</f>
        <v>-551.23912058207941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37"/>
  <sheetViews>
    <sheetView workbookViewId="0">
      <selection activeCell="B24" sqref="B24"/>
    </sheetView>
  </sheetViews>
  <sheetFormatPr defaultRowHeight="15" x14ac:dyDescent="0.25"/>
  <cols>
    <col min="1" max="1" width="22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710937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233</v>
      </c>
      <c r="C2" s="2">
        <v>875</v>
      </c>
      <c r="D2">
        <f>RTD("tos.rtd", , "LAST", Main_S[[#This Row],[Symbol]])</f>
        <v>82.36</v>
      </c>
      <c r="E2">
        <v>11.79</v>
      </c>
      <c r="F2">
        <v>28.54</v>
      </c>
      <c r="G2">
        <v>7.13</v>
      </c>
      <c r="H2" s="1">
        <f>IF(ISNUMBER(Main_S[[#This Row],[Free CF]]),IF(Main_S[[#This Row],[Free CF]]&lt;&gt;0,Main_S[[#This Row],[Current Price]]/Main_S[[#This Row],[Free CF]],""),"")</f>
        <v>6.9855810008481765</v>
      </c>
      <c r="I2" s="1">
        <f>IF(ISNUMBER(Main_S[[#This Row],[BVPS]]),IF(Main_S[[#This Row],[BVPS]]&lt;&gt;0,Main_S[[#This Row],[Current Price]]/Main_S[[#This Row],[BVPS]],""),"")</f>
        <v>2.8857743517869658</v>
      </c>
      <c r="J2">
        <v>25.16</v>
      </c>
      <c r="K2">
        <v>7.62</v>
      </c>
      <c r="L2">
        <v>3.36</v>
      </c>
      <c r="M2" s="1">
        <f>IF(ISNUMBER(Main_S[[#This Row],[EPS]]),IF(Main_S[[#This Row],[EPS]]&lt;&gt;0,Main_S[[#This Row],[Current Price]]/Main_S[[#This Row],[EPS]],""),"")</f>
        <v>11.551192145862553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0.45468421131419773</v>
      </c>
      <c r="P2" s="1">
        <f>(Main_S[[#This Row],[P/B]]-VLOOKUP(Main_S[[#This Row],[Industry]], Mean_PB_S, 2, FALSE))/(VLOOKUP(Main_S[[#This Row],[Industry]], Mean_PB_S, 3, FALSE))</f>
        <v>1.2617847072624242</v>
      </c>
      <c r="Q2" s="1">
        <f>(Main_S[[#This Row],[ROE]]-VLOOKUP(Main_S[[#This Row],[Industry]], Mean_ROE_S, 2, FALSE))/(VLOOKUP(Main_S[[#This Row],[Industry]], Mean_ROE_S, 3, FALSE))</f>
        <v>1.3508127702834243</v>
      </c>
      <c r="R2" s="1">
        <f>(Main_S[[#This Row],[ROA]]-VLOOKUP(Main_S[[#This Row],[Industry]], Mean_ROA_S, 2, FALSE))/(VLOOKUP(Main_S[[#This Row],[Industry]], Mean_ROA_S, 3, FALSE))</f>
        <v>1.4115392674132619</v>
      </c>
      <c r="S2" s="1">
        <f>(Main_S[[#This Row],[A/E]]-VLOOKUP(Main_S[[#This Row],[Industry]], Mean_AE_S, 2, FALSE))/(VLOOKUP(Main_S[[#This Row],[Industry]], Mean_AE_S, 3, FALSE))</f>
        <v>0.89774457956179265</v>
      </c>
      <c r="T2" s="1">
        <f>(Main_S[[#This Row],[P/E]]-VLOOKUP(Main_S[[#This Row],[Industry]], Mean_PE_S, 2, FALSE))/(VLOOKUP(Main_S[[#This Row],[Industry]], Mean_PE_S, 3, FALSE))</f>
        <v>0.48492402792630013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8" t="s">
        <v>105</v>
      </c>
      <c r="B3" s="68" t="s">
        <v>228</v>
      </c>
      <c r="C3" s="2">
        <v>779</v>
      </c>
      <c r="D3">
        <f>RTD("tos.rtd", , "LAST", Main_S[[#This Row],[Symbol]])</f>
        <v>22.38</v>
      </c>
      <c r="E3">
        <v>10.53</v>
      </c>
      <c r="F3">
        <v>14.39</v>
      </c>
      <c r="G3">
        <v>1.49</v>
      </c>
      <c r="H3" s="1">
        <f>IF(ISNUMBER(Main_S[[#This Row],[Free CF]]),IF(Main_S[[#This Row],[Free CF]]&lt;&gt;0,Main_S[[#This Row],[Current Price]]/Main_S[[#This Row],[Free CF]],""),"")</f>
        <v>2.1253561253561255</v>
      </c>
      <c r="I3" s="1">
        <f>IF(ISNUMBER(Main_S[[#This Row],[BVPS]]),IF(Main_S[[#This Row],[BVPS]]&lt;&gt;0,Main_S[[#This Row],[Current Price]]/Main_S[[#This Row],[BVPS]],""),"")</f>
        <v>1.5552466990965947</v>
      </c>
      <c r="J3">
        <v>38.979999999999997</v>
      </c>
      <c r="K3">
        <v>16.03</v>
      </c>
      <c r="L3">
        <v>2.7</v>
      </c>
      <c r="M3" s="1">
        <f>IF(ISNUMBER(Main_S[[#This Row],[EPS]]),IF(Main_S[[#This Row],[EPS]]&lt;&gt;0,Main_S[[#This Row],[Current Price]]/Main_S[[#This Row],[EPS]],""),"")</f>
        <v>15.020134228187919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0.18547383829966566</v>
      </c>
      <c r="P3" s="1">
        <f>(Main_S[[#This Row],[P/B]]-VLOOKUP(Main_S[[#This Row],[Industry]], Mean_PB_S, 2, FALSE))/(VLOOKUP(Main_S[[#This Row],[Industry]], Mean_PB_S, 3, FALSE))</f>
        <v>1.0140249094800199E-2</v>
      </c>
      <c r="Q3" s="1">
        <f>(Main_S[[#This Row],[ROE]]-VLOOKUP(Main_S[[#This Row],[Industry]], Mean_ROE_S, 2, FALSE))/(VLOOKUP(Main_S[[#This Row],[Industry]], Mean_ROE_S, 3, FALSE))</f>
        <v>2.3004271905958511</v>
      </c>
      <c r="R3" s="1">
        <f>(Main_S[[#This Row],[ROA]]-VLOOKUP(Main_S[[#This Row],[Industry]], Mean_ROA_S, 2, FALSE))/(VLOOKUP(Main_S[[#This Row],[Industry]], Mean_ROA_S, 3, FALSE))</f>
        <v>4.4419484594857597</v>
      </c>
      <c r="S3" s="1">
        <f>(Main_S[[#This Row],[A/E]]-VLOOKUP(Main_S[[#This Row],[Industry]], Mean_AE_S, 2, FALSE))/(VLOOKUP(Main_S[[#This Row],[Industry]], Mean_AE_S, 3, FALSE))</f>
        <v>0.14260940294358945</v>
      </c>
      <c r="T3" s="1">
        <f>(Main_S[[#This Row],[P/E]]-VLOOKUP(Main_S[[#This Row],[Industry]], Mean_PE_S, 2, FALSE))/(VLOOKUP(Main_S[[#This Row],[Industry]], Mean_PE_S, 3, FALSE))</f>
        <v>0.68318288264182647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8" t="s">
        <v>105</v>
      </c>
      <c r="B4" s="68" t="s">
        <v>239</v>
      </c>
      <c r="C4" s="2">
        <v>1917</v>
      </c>
      <c r="D4">
        <f>RTD("tos.rtd", , "LAST", Main_S[[#This Row],[Symbol]])</f>
        <v>120.18</v>
      </c>
      <c r="E4">
        <v>7.01</v>
      </c>
      <c r="F4">
        <v>78.39</v>
      </c>
      <c r="G4">
        <v>5.29</v>
      </c>
      <c r="H4" s="1">
        <f>IF(ISNUMBER(Main_S[[#This Row],[Free CF]]),IF(Main_S[[#This Row],[Free CF]]&lt;&gt;0,Main_S[[#This Row],[Current Price]]/Main_S[[#This Row],[Free CF]],""),"")</f>
        <v>17.144079885877321</v>
      </c>
      <c r="I4" s="1">
        <f>IF(ISNUMBER(Main_S[[#This Row],[BVPS]]),IF(Main_S[[#This Row],[BVPS]]&lt;&gt;0,Main_S[[#This Row],[Current Price]]/Main_S[[#This Row],[BVPS]],""),"")</f>
        <v>1.5331037122081899</v>
      </c>
      <c r="J4">
        <v>6.79</v>
      </c>
      <c r="K4">
        <v>4.28</v>
      </c>
      <c r="L4">
        <v>1.92</v>
      </c>
      <c r="M4" s="1">
        <f>IF(ISNUMBER(Main_S[[#This Row],[EPS]]),IF(Main_S[[#This Row],[EPS]]&lt;&gt;0,Main_S[[#This Row],[Current Price]]/Main_S[[#This Row],[EPS]],""),"")</f>
        <v>22.718336483931949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1.0173687257482205</v>
      </c>
      <c r="P4" s="1">
        <f>(Main_S[[#This Row],[P/B]]-VLOOKUP(Main_S[[#This Row],[Industry]], Mean_PB_S, 2, FALSE))/(VLOOKUP(Main_S[[#This Row],[Industry]], Mean_PB_S, 3, FALSE))</f>
        <v>-1.0689943175243482E-2</v>
      </c>
      <c r="Q4" s="1">
        <f>(Main_S[[#This Row],[ROE]]-VLOOKUP(Main_S[[#This Row],[Industry]], Mean_ROE_S, 2, FALSE))/(VLOOKUP(Main_S[[#This Row],[Industry]], Mean_ROE_S, 3, FALSE))</f>
        <v>8.8553949651059366E-2</v>
      </c>
      <c r="R4" s="1">
        <f>(Main_S[[#This Row],[ROA]]-VLOOKUP(Main_S[[#This Row],[Industry]], Mean_ROA_S, 2, FALSE))/(VLOOKUP(Main_S[[#This Row],[Industry]], Mean_ROA_S, 3, FALSE))</f>
        <v>0.20802360730361391</v>
      </c>
      <c r="S4" s="1">
        <f>(Main_S[[#This Row],[A/E]]-VLOOKUP(Main_S[[#This Row],[Industry]], Mean_AE_S, 2, FALSE))/(VLOOKUP(Main_S[[#This Row],[Industry]], Mean_AE_S, 3, FALSE))</f>
        <v>-0.74982307851428776</v>
      </c>
      <c r="T4" s="1">
        <f>(Main_S[[#This Row],[P/E]]-VLOOKUP(Main_S[[#This Row],[Industry]], Mean_PE_S, 2, FALSE))/(VLOOKUP(Main_S[[#This Row],[Industry]], Mean_PE_S, 3, FALSE))</f>
        <v>1.123154702975361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8" t="s">
        <v>105</v>
      </c>
      <c r="B5" s="68" t="s">
        <v>240</v>
      </c>
      <c r="C5" s="2">
        <v>1802</v>
      </c>
      <c r="D5">
        <f>RTD("tos.rtd", , "LAST", Main_S[[#This Row],[Symbol]])</f>
        <v>59.25</v>
      </c>
      <c r="E5">
        <v>2.65</v>
      </c>
      <c r="F5">
        <v>50.37</v>
      </c>
      <c r="G5">
        <v>-0.74</v>
      </c>
      <c r="H5" s="1">
        <f>IF(ISNUMBER(Main_S[[#This Row],[Free CF]]),IF(Main_S[[#This Row],[Free CF]]&lt;&gt;0,Main_S[[#This Row],[Current Price]]/Main_S[[#This Row],[Free CF]],""),"")</f>
        <v>22.358490566037737</v>
      </c>
      <c r="I5" s="1">
        <f>IF(ISNUMBER(Main_S[[#This Row],[BVPS]]),IF(Main_S[[#This Row],[BVPS]]&lt;&gt;0,Main_S[[#This Row],[Current Price]]/Main_S[[#This Row],[BVPS]],""),"")</f>
        <v>1.1762954139368673</v>
      </c>
      <c r="J5">
        <v>-1.18</v>
      </c>
      <c r="K5">
        <v>5.03</v>
      </c>
      <c r="L5">
        <v>2.13</v>
      </c>
      <c r="M5" s="1">
        <f>IF(ISNUMBER(Main_S[[#This Row],[EPS]]),IF(Main_S[[#This Row],[EPS]]&lt;&gt;0,Main_S[[#This Row],[Current Price]]/Main_S[[#This Row],[EPS]],""),"")</f>
        <v>-80.067567567567565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1.3061976339198464</v>
      </c>
      <c r="P5" s="1">
        <f>(Main_S[[#This Row],[P/B]]-VLOOKUP(Main_S[[#This Row],[Industry]], Mean_PB_S, 2, FALSE))/(VLOOKUP(Main_S[[#This Row],[Industry]], Mean_PB_S, 3, FALSE))</f>
        <v>-0.3463440938097585</v>
      </c>
      <c r="Q5" s="1">
        <f>(Main_S[[#This Row],[ROE]]-VLOOKUP(Main_S[[#This Row],[Industry]], Mean_ROE_S, 2, FALSE))/(VLOOKUP(Main_S[[#This Row],[Industry]], Mean_ROE_S, 3, FALSE))</f>
        <v>-0.45908909882144733</v>
      </c>
      <c r="R5" s="1">
        <f>(Main_S[[#This Row],[ROA]]-VLOOKUP(Main_S[[#This Row],[Industry]], Mean_ROA_S, 2, FALSE))/(VLOOKUP(Main_S[[#This Row],[Industry]], Mean_ROA_S, 3, FALSE))</f>
        <v>0.47827412978332529</v>
      </c>
      <c r="S5" s="1">
        <f>(Main_S[[#This Row],[A/E]]-VLOOKUP(Main_S[[#This Row],[Industry]], Mean_AE_S, 2, FALSE))/(VLOOKUP(Main_S[[#This Row],[Industry]], Mean_AE_S, 3, FALSE))</f>
        <v>-0.5095527950448594</v>
      </c>
      <c r="T5" s="1">
        <f>(Main_S[[#This Row],[P/E]]-VLOOKUP(Main_S[[#This Row],[Industry]], Mean_PE_S, 2, FALSE))/(VLOOKUP(Main_S[[#This Row],[Industry]], Mean_PE_S, 3, FALSE))</f>
        <v>-4.7513208963664315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" spans="1:26" x14ac:dyDescent="0.25">
      <c r="A6" s="68" t="s">
        <v>105</v>
      </c>
      <c r="B6" s="68" t="s">
        <v>241</v>
      </c>
      <c r="C6" s="2">
        <v>1509</v>
      </c>
      <c r="D6">
        <f>RTD("tos.rtd", , "LAST", Main_S[[#This Row],[Symbol]])</f>
        <v>43.32</v>
      </c>
      <c r="E6">
        <v>2.62</v>
      </c>
      <c r="F6">
        <v>6.44</v>
      </c>
      <c r="G6">
        <v>-9.74</v>
      </c>
      <c r="H6" s="1">
        <f>IF(ISNUMBER(Main_S[[#This Row],[Free CF]]),IF(Main_S[[#This Row],[Free CF]]&lt;&gt;0,Main_S[[#This Row],[Current Price]]/Main_S[[#This Row],[Free CF]],""),"")</f>
        <v>16.534351145038169</v>
      </c>
      <c r="I6" s="1">
        <f>IF(ISNUMBER(Main_S[[#This Row],[BVPS]]),IF(Main_S[[#This Row],[BVPS]]&lt;&gt;0,Main_S[[#This Row],[Current Price]]/Main_S[[#This Row],[BVPS]],""),"")</f>
        <v>6.7267080745341614</v>
      </c>
      <c r="J6">
        <v>-88.14</v>
      </c>
      <c r="K6">
        <v>7.67</v>
      </c>
      <c r="L6">
        <v>8.76</v>
      </c>
      <c r="M6" s="1">
        <f>IF(ISNUMBER(Main_S[[#This Row],[EPS]]),IF(Main_S[[#This Row],[EPS]]&lt;&gt;0,Main_S[[#This Row],[Current Price]]/Main_S[[#This Row],[EPS]],""),"")</f>
        <v>-4.4476386036960989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0.98359553500828156</v>
      </c>
      <c r="P6" s="1">
        <f>(Main_S[[#This Row],[P/B]]-VLOOKUP(Main_S[[#This Row],[Industry]], Mean_PB_S, 2, FALSE))/(VLOOKUP(Main_S[[#This Row],[Industry]], Mean_PB_S, 3, FALSE))</f>
        <v>4.8750004104796991</v>
      </c>
      <c r="Q6" s="1">
        <f>(Main_S[[#This Row],[ROE]]-VLOOKUP(Main_S[[#This Row],[Industry]], Mean_ROE_S, 2, FALSE))/(VLOOKUP(Main_S[[#This Row],[Industry]], Mean_ROE_S, 3, FALSE))</f>
        <v>-6.4343763629581074</v>
      </c>
      <c r="R6" s="1">
        <f>(Main_S[[#This Row],[ROA]]-VLOOKUP(Main_S[[#This Row],[Industry]], Mean_ROA_S, 2, FALSE))/(VLOOKUP(Main_S[[#This Row],[Industry]], Mean_ROA_S, 3, FALSE))</f>
        <v>1.4295559689119093</v>
      </c>
      <c r="S6" s="1">
        <f>(Main_S[[#This Row],[A/E]]-VLOOKUP(Main_S[[#This Row],[Industry]], Mean_AE_S, 2, FALSE))/(VLOOKUP(Main_S[[#This Row],[Industry]], Mean_AE_S, 3, FALSE))</f>
        <v>7.0761232973470936</v>
      </c>
      <c r="T6" s="1">
        <f>(Main_S[[#This Row],[P/E]]-VLOOKUP(Main_S[[#This Row],[Industry]], Mean_PE_S, 2, FALSE))/(VLOOKUP(Main_S[[#This Row],[Industry]], Mean_PE_S, 3, FALSE))</f>
        <v>-0.42944980303394165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8" t="s">
        <v>105</v>
      </c>
      <c r="B7" s="68" t="s">
        <v>222</v>
      </c>
      <c r="C7" s="2">
        <v>615</v>
      </c>
      <c r="D7">
        <f>RTD("tos.rtd", , "LAST", Main_S[[#This Row],[Symbol]])</f>
        <v>32.880000000000003</v>
      </c>
      <c r="E7">
        <v>2.13</v>
      </c>
      <c r="F7">
        <v>24.9</v>
      </c>
      <c r="G7">
        <v>1.22</v>
      </c>
      <c r="H7" s="1">
        <f>IF(ISNUMBER(Main_S[[#This Row],[Free CF]]),IF(Main_S[[#This Row],[Free CF]]&lt;&gt;0,Main_S[[#This Row],[Current Price]]/Main_S[[#This Row],[Free CF]],""),"")</f>
        <v>15.436619718309862</v>
      </c>
      <c r="I7" s="1">
        <f>IF(ISNUMBER(Main_S[[#This Row],[BVPS]]),IF(Main_S[[#This Row],[BVPS]]&lt;&gt;0,Main_S[[#This Row],[Current Price]]/Main_S[[#This Row],[BVPS]],""),"")</f>
        <v>1.3204819277108435</v>
      </c>
      <c r="J7">
        <v>4.3</v>
      </c>
      <c r="K7">
        <v>6.43</v>
      </c>
      <c r="L7">
        <v>3.8</v>
      </c>
      <c r="M7" s="1">
        <f>IF(ISNUMBER(Main_S[[#This Row],[EPS]]),IF(Main_S[[#This Row],[EPS]]&lt;&gt;0,Main_S[[#This Row],[Current Price]]/Main_S[[#This Row],[EPS]],""),"")</f>
        <v>26.95081967213115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0.92279162275527438</v>
      </c>
      <c r="P7" s="1">
        <f>(Main_S[[#This Row],[P/B]]-VLOOKUP(Main_S[[#This Row],[Industry]], Mean_PB_S, 2, FALSE))/(VLOOKUP(Main_S[[#This Row],[Industry]], Mean_PB_S, 3, FALSE))</f>
        <v>-0.21070598772245527</v>
      </c>
      <c r="Q7" s="1">
        <f>(Main_S[[#This Row],[ROE]]-VLOOKUP(Main_S[[#This Row],[Industry]], Mean_ROE_S, 2, FALSE))/(VLOOKUP(Main_S[[#This Row],[Industry]], Mean_ROE_S, 3, FALSE))</f>
        <v>-8.2541557337214383E-2</v>
      </c>
      <c r="R7" s="1">
        <f>(Main_S[[#This Row],[ROA]]-VLOOKUP(Main_S[[#This Row],[Industry]], Mean_ROA_S, 2, FALSE))/(VLOOKUP(Main_S[[#This Row],[Industry]], Mean_ROA_S, 3, FALSE))</f>
        <v>0.98274177174545307</v>
      </c>
      <c r="S7" s="1">
        <f>(Main_S[[#This Row],[A/E]]-VLOOKUP(Main_S[[#This Row],[Industry]], Mean_AE_S, 2, FALSE))/(VLOOKUP(Main_S[[#This Row],[Industry]], Mean_AE_S, 3, FALSE))</f>
        <v>1.4011680306405949</v>
      </c>
      <c r="T7" s="1">
        <f>(Main_S[[#This Row],[P/E]]-VLOOKUP(Main_S[[#This Row],[Industry]], Mean_PE_S, 2, FALSE))/(VLOOKUP(Main_S[[#This Row],[Industry]], Mean_PE_S, 3, FALSE))</f>
        <v>1.365051872077877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8" t="s">
        <v>105</v>
      </c>
      <c r="B8" s="68" t="s">
        <v>220</v>
      </c>
      <c r="C8" s="2">
        <v>630</v>
      </c>
      <c r="D8">
        <f>RTD("tos.rtd", , "LAST", Main_S[[#This Row],[Symbol]])</f>
        <v>24.42</v>
      </c>
      <c r="E8">
        <v>1.89</v>
      </c>
      <c r="F8">
        <v>29.63</v>
      </c>
      <c r="G8">
        <v>3.11</v>
      </c>
      <c r="H8" s="1">
        <f>IF(ISNUMBER(Main_S[[#This Row],[Free CF]]),IF(Main_S[[#This Row],[Free CF]]&lt;&gt;0,Main_S[[#This Row],[Current Price]]/Main_S[[#This Row],[Free CF]],""),"")</f>
        <v>12.920634920634923</v>
      </c>
      <c r="I8" s="1">
        <f>IF(ISNUMBER(Main_S[[#This Row],[BVPS]]),IF(Main_S[[#This Row],[BVPS]]&lt;&gt;0,Main_S[[#This Row],[Current Price]]/Main_S[[#This Row],[BVPS]],""),"")</f>
        <v>0.82416469794127578</v>
      </c>
      <c r="J8">
        <v>11.26</v>
      </c>
      <c r="K8">
        <v>4.43</v>
      </c>
      <c r="L8">
        <v>2.0499999999999998</v>
      </c>
      <c r="M8" s="1">
        <f>IF(ISNUMBER(Main_S[[#This Row],[EPS]]),IF(Main_S[[#This Row],[EPS]]&lt;&gt;0,Main_S[[#This Row],[Current Price]]/Main_S[[#This Row],[EPS]],""),"")</f>
        <v>7.8520900321543419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0.78342992175735715</v>
      </c>
      <c r="P8" s="1">
        <f>(Main_S[[#This Row],[P/B]]-VLOOKUP(Main_S[[#This Row],[Industry]], Mean_PB_S, 2, FALSE))/(VLOOKUP(Main_S[[#This Row],[Industry]], Mean_PB_S, 3, FALSE))</f>
        <v>-0.6775979826975872</v>
      </c>
      <c r="Q8" s="1">
        <f>(Main_S[[#This Row],[ROE]]-VLOOKUP(Main_S[[#This Row],[Industry]], Mean_ROE_S, 2, FALSE))/(VLOOKUP(Main_S[[#This Row],[Industry]], Mean_ROE_S, 3, FALSE))</f>
        <v>0.39570130556976763</v>
      </c>
      <c r="R8" s="1">
        <f>(Main_S[[#This Row],[ROA]]-VLOOKUP(Main_S[[#This Row],[Industry]], Mean_ROA_S, 2, FALSE))/(VLOOKUP(Main_S[[#This Row],[Industry]], Mean_ROA_S, 3, FALSE))</f>
        <v>0.26207371179955602</v>
      </c>
      <c r="S8" s="1">
        <f>(Main_S[[#This Row],[A/E]]-VLOOKUP(Main_S[[#This Row],[Industry]], Mean_AE_S, 2, FALSE))/(VLOOKUP(Main_S[[#This Row],[Industry]], Mean_AE_S, 3, FALSE))</f>
        <v>-0.6010843316046417</v>
      </c>
      <c r="T8" s="1">
        <f>(Main_S[[#This Row],[P/E]]-VLOOKUP(Main_S[[#This Row],[Industry]], Mean_PE_S, 2, FALSE))/(VLOOKUP(Main_S[[#This Row],[Industry]], Mean_PE_S, 3, FALSE))</f>
        <v>0.27351094257205882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8" t="s">
        <v>105</v>
      </c>
      <c r="B9" s="68" t="s">
        <v>243</v>
      </c>
      <c r="C9" s="2">
        <v>257</v>
      </c>
      <c r="D9">
        <f>RTD("tos.rtd", , "LAST", Main_S[[#This Row],[Symbol]])</f>
        <v>3.91</v>
      </c>
      <c r="E9">
        <v>1.81</v>
      </c>
      <c r="F9">
        <v>10.31</v>
      </c>
      <c r="G9">
        <v>-1.1100000000000001</v>
      </c>
      <c r="H9" s="1">
        <f>IF(ISNUMBER(Main_S[[#This Row],[Free CF]]),IF(Main_S[[#This Row],[Free CF]]&lt;&gt;0,Main_S[[#This Row],[Current Price]]/Main_S[[#This Row],[Free CF]],""),"")</f>
        <v>2.160220994475138</v>
      </c>
      <c r="I9" s="1">
        <f>IF(ISNUMBER(Main_S[[#This Row],[BVPS]]),IF(Main_S[[#This Row],[BVPS]]&lt;&gt;0,Main_S[[#This Row],[Current Price]]/Main_S[[#This Row],[BVPS]],""),"")</f>
        <v>0.37924345295829293</v>
      </c>
      <c r="J9">
        <v>-10.029999999999999</v>
      </c>
      <c r="K9">
        <v>1.62</v>
      </c>
      <c r="L9">
        <v>3.08</v>
      </c>
      <c r="M9" s="1">
        <f>IF(ISNUMBER(Main_S[[#This Row],[EPS]]),IF(Main_S[[#This Row],[EPS]]&lt;&gt;0,Main_S[[#This Row],[Current Price]]/Main_S[[#This Row],[EPS]],""),"")</f>
        <v>-3.5225225225225225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0.18740502145704618</v>
      </c>
      <c r="P9" s="1">
        <f>(Main_S[[#This Row],[P/B]]-VLOOKUP(Main_S[[#This Row],[Industry]], Mean_PB_S, 2, FALSE))/(VLOOKUP(Main_S[[#This Row],[Industry]], Mean_PB_S, 3, FALSE))</f>
        <v>-1.0961411144227746</v>
      </c>
      <c r="Q9" s="1">
        <f>(Main_S[[#This Row],[ROE]]-VLOOKUP(Main_S[[#This Row],[Industry]], Mean_ROE_S, 2, FALSE))/(VLOOKUP(Main_S[[#This Row],[Industry]], Mean_ROE_S, 3, FALSE))</f>
        <v>-1.0671996357074804</v>
      </c>
      <c r="R9" s="1">
        <f>(Main_S[[#This Row],[ROA]]-VLOOKUP(Main_S[[#This Row],[Industry]], Mean_ROA_S, 2, FALSE))/(VLOOKUP(Main_S[[#This Row],[Industry]], Mean_ROA_S, 3, FALSE))</f>
        <v>-0.75046491242442925</v>
      </c>
      <c r="S9" s="1">
        <f>(Main_S[[#This Row],[A/E]]-VLOOKUP(Main_S[[#This Row],[Industry]], Mean_AE_S, 2, FALSE))/(VLOOKUP(Main_S[[#This Row],[Industry]], Mean_AE_S, 3, FALSE))</f>
        <v>0.57738420160255499</v>
      </c>
      <c r="T9" s="1">
        <f>(Main_S[[#This Row],[P/E]]-VLOOKUP(Main_S[[#This Row],[Industry]], Mean_PE_S, 2, FALSE))/(VLOOKUP(Main_S[[#This Row],[Industry]], Mean_PE_S, 3, FALSE))</f>
        <v>-0.37657706824056031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8" t="s">
        <v>105</v>
      </c>
      <c r="B10" s="68" t="s">
        <v>242</v>
      </c>
      <c r="C10" s="2">
        <v>1783</v>
      </c>
      <c r="D10">
        <f>RTD("tos.rtd", , "LAST", Main_S[[#This Row],[Symbol]])</f>
        <v>13.01</v>
      </c>
      <c r="E10">
        <v>1.3</v>
      </c>
      <c r="F10">
        <v>8.18</v>
      </c>
      <c r="G10">
        <v>0.9</v>
      </c>
      <c r="H10" s="1">
        <f>IF(ISNUMBER(Main_S[[#This Row],[Free CF]]),IF(Main_S[[#This Row],[Free CF]]&lt;&gt;0,Main_S[[#This Row],[Current Price]]/Main_S[[#This Row],[Free CF]],""),"")</f>
        <v>10.007692307692308</v>
      </c>
      <c r="I10" s="1">
        <f>IF(ISNUMBER(Main_S[[#This Row],[BVPS]]),IF(Main_S[[#This Row],[BVPS]]&lt;&gt;0,Main_S[[#This Row],[Current Price]]/Main_S[[#This Row],[BVPS]],""),"")</f>
        <v>1.5904645476772616</v>
      </c>
      <c r="J10">
        <v>11.76</v>
      </c>
      <c r="K10">
        <v>3.97</v>
      </c>
      <c r="L10">
        <v>1.98</v>
      </c>
      <c r="M10" s="1">
        <f>IF(ISNUMBER(Main_S[[#This Row],[EPS]]),IF(Main_S[[#This Row],[EPS]]&lt;&gt;0,Main_S[[#This Row],[Current Price]]/Main_S[[#This Row],[EPS]],""),"")</f>
        <v>14.455555555555556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0.62208052178318107</v>
      </c>
      <c r="P10" s="1">
        <f>(Main_S[[#This Row],[P/B]]-VLOOKUP(Main_S[[#This Row],[Industry]], Mean_PB_S, 2, FALSE))/(VLOOKUP(Main_S[[#This Row],[Industry]], Mean_PB_S, 3, FALSE))</f>
        <v>4.3270131751088153E-2</v>
      </c>
      <c r="Q10" s="1">
        <f>(Main_S[[#This Row],[ROE]]-VLOOKUP(Main_S[[#This Row],[Industry]], Mean_ROE_S, 2, FALSE))/(VLOOKUP(Main_S[[#This Row],[Industry]], Mean_ROE_S, 3, FALSE))</f>
        <v>0.4300578330774531</v>
      </c>
      <c r="R10" s="1">
        <f>(Main_S[[#This Row],[ROA]]-VLOOKUP(Main_S[[#This Row],[Industry]], Mean_ROA_S, 2, FALSE))/(VLOOKUP(Main_S[[#This Row],[Industry]], Mean_ROA_S, 3, FALSE))</f>
        <v>9.6320058011999846E-2</v>
      </c>
      <c r="S10" s="1">
        <f>(Main_S[[#This Row],[A/E]]-VLOOKUP(Main_S[[#This Row],[Industry]], Mean_AE_S, 2, FALSE))/(VLOOKUP(Main_S[[#This Row],[Industry]], Mean_AE_S, 3, FALSE))</f>
        <v>-0.681174426094451</v>
      </c>
      <c r="T10" s="1">
        <f>(Main_S[[#This Row],[P/E]]-VLOOKUP(Main_S[[#This Row],[Industry]], Mean_PE_S, 2, FALSE))/(VLOOKUP(Main_S[[#This Row],[Industry]], Mean_PE_S, 3, FALSE))</f>
        <v>0.65091577688551727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8" t="s">
        <v>105</v>
      </c>
      <c r="B11" s="68" t="s">
        <v>315</v>
      </c>
      <c r="C11" s="2">
        <v>933</v>
      </c>
      <c r="D11">
        <f>RTD("tos.rtd", , "LAST", Main_S[[#This Row],[Symbol]])</f>
        <v>8.1095000000000006</v>
      </c>
      <c r="E11">
        <v>1.07</v>
      </c>
      <c r="F11">
        <v>4.79</v>
      </c>
      <c r="G11">
        <v>0.76</v>
      </c>
      <c r="H11" s="1">
        <f>IF(ISNUMBER(Main_S[[#This Row],[Free CF]]),IF(Main_S[[#This Row],[Free CF]]&lt;&gt;0,Main_S[[#This Row],[Current Price]]/Main_S[[#This Row],[Free CF]],""),"")</f>
        <v>7.5789719626168228</v>
      </c>
      <c r="I11" s="1">
        <f>IF(ISNUMBER(Main_S[[#This Row],[BVPS]]),IF(Main_S[[#This Row],[BVPS]]&lt;&gt;0,Main_S[[#This Row],[Current Price]]/Main_S[[#This Row],[BVPS]],""),"")</f>
        <v>1.6930062630480167</v>
      </c>
      <c r="J11">
        <v>17.46</v>
      </c>
      <c r="K11">
        <v>7.94</v>
      </c>
      <c r="L11">
        <v>2.87</v>
      </c>
      <c r="M11" s="1">
        <f>IF(ISNUMBER(Main_S[[#This Row],[EPS]]),IF(Main_S[[#This Row],[EPS]]&lt;&gt;0,Main_S[[#This Row],[Current Price]]/Main_S[[#This Row],[EPS]],""),"")</f>
        <v>10.670394736842105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0.4875524440099156</v>
      </c>
      <c r="P11" s="1">
        <f>(Main_S[[#This Row],[P/B]]-VLOOKUP(Main_S[[#This Row],[Industry]], Mean_PB_S, 2, FALSE))/(VLOOKUP(Main_S[[#This Row],[Industry]], Mean_PB_S, 3, FALSE))</f>
        <v>0.13973244090737516</v>
      </c>
      <c r="Q11" s="1">
        <f>(Main_S[[#This Row],[ROE]]-VLOOKUP(Main_S[[#This Row],[Industry]], Mean_ROE_S, 2, FALSE))/(VLOOKUP(Main_S[[#This Row],[Industry]], Mean_ROE_S, 3, FALSE))</f>
        <v>0.82172224666506777</v>
      </c>
      <c r="R11" s="1">
        <f>(Main_S[[#This Row],[ROA]]-VLOOKUP(Main_S[[#This Row],[Industry]], Mean_ROA_S, 2, FALSE))/(VLOOKUP(Main_S[[#This Row],[Industry]], Mean_ROA_S, 3, FALSE))</f>
        <v>1.5268461570046057</v>
      </c>
      <c r="S11" s="1">
        <f>(Main_S[[#This Row],[A/E]]-VLOOKUP(Main_S[[#This Row],[Industry]], Mean_AE_S, 2, FALSE))/(VLOOKUP(Main_S[[#This Row],[Industry]], Mean_AE_S, 3, FALSE))</f>
        <v>0.33711391813312663</v>
      </c>
      <c r="T11" s="1">
        <f>(Main_S[[#This Row],[P/E]]-VLOOKUP(Main_S[[#This Row],[Industry]], Mean_PE_S, 2, FALSE))/(VLOOKUP(Main_S[[#This Row],[Industry]], Mean_PE_S, 3, FALSE))</f>
        <v>0.43458421786186169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8" t="s">
        <v>105</v>
      </c>
      <c r="B12" s="68" t="s">
        <v>224</v>
      </c>
      <c r="C12" s="2">
        <v>313</v>
      </c>
      <c r="D12">
        <f>RTD("tos.rtd", , "LAST", Main_S[[#This Row],[Symbol]])</f>
        <v>6.48</v>
      </c>
      <c r="E12">
        <v>0.63</v>
      </c>
      <c r="F12">
        <v>7.85</v>
      </c>
      <c r="G12">
        <v>-8.2200000000000006</v>
      </c>
      <c r="H12" s="1">
        <f>IF(ISNUMBER(Main_S[[#This Row],[Free CF]]),IF(Main_S[[#This Row],[Free CF]]&lt;&gt;0,Main_S[[#This Row],[Current Price]]/Main_S[[#This Row],[Free CF]],""),"")</f>
        <v>10.285714285714286</v>
      </c>
      <c r="I12" s="1">
        <f>IF(ISNUMBER(Main_S[[#This Row],[BVPS]]),IF(Main_S[[#This Row],[BVPS]]&lt;&gt;0,Main_S[[#This Row],[Current Price]]/Main_S[[#This Row],[BVPS]],""),"")</f>
        <v>0.82547770700636947</v>
      </c>
      <c r="J12">
        <v>-66.84</v>
      </c>
      <c r="K12">
        <v>0.81</v>
      </c>
      <c r="L12">
        <v>4.79</v>
      </c>
      <c r="M12" s="1">
        <f>IF(ISNUMBER(Main_S[[#This Row],[EPS]]),IF(Main_S[[#This Row],[EPS]]&lt;&gt;0,Main_S[[#This Row],[Current Price]]/Main_S[[#This Row],[EPS]],""),"")</f>
        <v>-0.78832116788321172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0.63748030313629334</v>
      </c>
      <c r="P12" s="1">
        <f>(Main_S[[#This Row],[P/B]]-VLOOKUP(Main_S[[#This Row],[Industry]], Mean_PB_S, 2, FALSE))/(VLOOKUP(Main_S[[#This Row],[Industry]], Mean_PB_S, 3, FALSE))</f>
        <v>-0.67636281819985933</v>
      </c>
      <c r="Q12" s="1">
        <f>(Main_S[[#This Row],[ROE]]-VLOOKUP(Main_S[[#This Row],[Industry]], Mean_ROE_S, 2, FALSE))/(VLOOKUP(Main_S[[#This Row],[Industry]], Mean_ROE_S, 3, FALSE))</f>
        <v>-4.970788291130706</v>
      </c>
      <c r="R12" s="1">
        <f>(Main_S[[#This Row],[ROA]]-VLOOKUP(Main_S[[#This Row],[Industry]], Mean_ROA_S, 2, FALSE))/(VLOOKUP(Main_S[[#This Row],[Industry]], Mean_ROA_S, 3, FALSE))</f>
        <v>-1.0423354767025175</v>
      </c>
      <c r="S12" s="1">
        <f>(Main_S[[#This Row],[A/E]]-VLOOKUP(Main_S[[#This Row],[Industry]], Mean_AE_S, 2, FALSE))/(VLOOKUP(Main_S[[#This Row],[Industry]], Mean_AE_S, 3, FALSE))</f>
        <v>2.5338707955679003</v>
      </c>
      <c r="T12" s="1">
        <f>(Main_S[[#This Row],[P/E]]-VLOOKUP(Main_S[[#This Row],[Industry]], Mean_PE_S, 2, FALSE))/(VLOOKUP(Main_S[[#This Row],[Industry]], Mean_PE_S, 3, FALSE))</f>
        <v>-0.22031051311576175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8" t="s">
        <v>105</v>
      </c>
      <c r="B13" s="68" t="s">
        <v>232</v>
      </c>
      <c r="C13" s="2">
        <v>503</v>
      </c>
      <c r="D13">
        <f>RTD("tos.rtd", , "LAST", Main_S[[#This Row],[Symbol]])</f>
        <v>36.76</v>
      </c>
      <c r="E13">
        <v>0.49</v>
      </c>
      <c r="F13">
        <v>39.99</v>
      </c>
      <c r="G13">
        <v>-15.9</v>
      </c>
      <c r="H13" s="1">
        <f>IF(ISNUMBER(Main_S[[#This Row],[Free CF]]),IF(Main_S[[#This Row],[Free CF]]&lt;&gt;0,Main_S[[#This Row],[Current Price]]/Main_S[[#This Row],[Free CF]],""),"")</f>
        <v>75.020408163265301</v>
      </c>
      <c r="I13" s="1">
        <f>IF(ISNUMBER(Main_S[[#This Row],[BVPS]]),IF(Main_S[[#This Row],[BVPS]]&lt;&gt;0,Main_S[[#This Row],[Current Price]]/Main_S[[#This Row],[BVPS]],""),"")</f>
        <v>0.91922980745186289</v>
      </c>
      <c r="J13">
        <v>-35.32</v>
      </c>
      <c r="K13">
        <v>0.51</v>
      </c>
      <c r="L13">
        <v>1.25</v>
      </c>
      <c r="M13" s="1">
        <f>IF(ISNUMBER(Main_S[[#This Row],[EPS]]),IF(Main_S[[#This Row],[EPS]]&lt;&gt;0,Main_S[[#This Row],[Current Price]]/Main_S[[#This Row],[EPS]],""),"")</f>
        <v>-2.3119496855345911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4.2231685237852838</v>
      </c>
      <c r="P13" s="1">
        <f>(Main_S[[#This Row],[P/B]]-VLOOKUP(Main_S[[#This Row],[Industry]], Mean_PB_S, 2, FALSE))/(VLOOKUP(Main_S[[#This Row],[Industry]], Mean_PB_S, 3, FALSE))</f>
        <v>-0.58816901273711508</v>
      </c>
      <c r="Q13" s="1">
        <f>(Main_S[[#This Row],[ROE]]-VLOOKUP(Main_S[[#This Row],[Industry]], Mean_ROE_S, 2, FALSE))/(VLOOKUP(Main_S[[#This Row],[Industry]], Mean_ROE_S, 3, FALSE))</f>
        <v>-2.8049527970462123</v>
      </c>
      <c r="R13" s="1">
        <f>(Main_S[[#This Row],[ROA]]-VLOOKUP(Main_S[[#This Row],[Industry]], Mean_ROA_S, 2, FALSE))/(VLOOKUP(Main_S[[#This Row],[Industry]], Mean_ROA_S, 3, FALSE))</f>
        <v>-1.150435685694402</v>
      </c>
      <c r="S13" s="1">
        <f>(Main_S[[#This Row],[A/E]]-VLOOKUP(Main_S[[#This Row],[Industry]], Mean_AE_S, 2, FALSE))/(VLOOKUP(Main_S[[#This Row],[Industry]], Mean_AE_S, 3, FALSE))</f>
        <v>-1.516399697202464</v>
      </c>
      <c r="T13" s="1">
        <f>(Main_S[[#This Row],[P/E]]-VLOOKUP(Main_S[[#This Row],[Industry]], Mean_PE_S, 2, FALSE))/(VLOOKUP(Main_S[[#This Row],[Industry]], Mean_PE_S, 3, FALSE))</f>
        <v>-0.30738975449617317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8" t="s">
        <v>105</v>
      </c>
      <c r="B14" s="68" t="s">
        <v>230</v>
      </c>
      <c r="C14" s="2">
        <v>1936</v>
      </c>
      <c r="D14">
        <f>RTD("tos.rtd", , "LAST", Main_S[[#This Row],[Symbol]])</f>
        <v>11.63</v>
      </c>
      <c r="E14">
        <v>0.44</v>
      </c>
      <c r="F14">
        <v>17.100000000000001</v>
      </c>
      <c r="G14">
        <v>-0.79</v>
      </c>
      <c r="H14" s="1">
        <f>IF(ISNUMBER(Main_S[[#This Row],[Free CF]]),IF(Main_S[[#This Row],[Free CF]]&lt;&gt;0,Main_S[[#This Row],[Current Price]]/Main_S[[#This Row],[Free CF]],""),"")</f>
        <v>26.431818181818183</v>
      </c>
      <c r="I14" s="1">
        <f>IF(ISNUMBER(Main_S[[#This Row],[BVPS]]),IF(Main_S[[#This Row],[BVPS]]&lt;&gt;0,Main_S[[#This Row],[Current Price]]/Main_S[[#This Row],[BVPS]],""),"")</f>
        <v>0.68011695906432745</v>
      </c>
      <c r="J14">
        <v>-2.19</v>
      </c>
      <c r="K14">
        <v>0.81</v>
      </c>
      <c r="L14">
        <v>2.4500000000000002</v>
      </c>
      <c r="M14" s="1">
        <f>IF(ISNUMBER(Main_S[[#This Row],[EPS]]),IF(Main_S[[#This Row],[EPS]]&lt;&gt;0,Main_S[[#This Row],[Current Price]]/Main_S[[#This Row],[EPS]],""),"")</f>
        <v>-14.721518987341772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1.5318213601766753</v>
      </c>
      <c r="P14" s="1">
        <f>(Main_S[[#This Row],[P/B]]-VLOOKUP(Main_S[[#This Row],[Industry]], Mean_PB_S, 2, FALSE))/(VLOOKUP(Main_S[[#This Row],[Industry]], Mean_PB_S, 3, FALSE))</f>
        <v>-0.81310554145620728</v>
      </c>
      <c r="Q14" s="1">
        <f>(Main_S[[#This Row],[ROE]]-VLOOKUP(Main_S[[#This Row],[Industry]], Mean_ROE_S, 2, FALSE))/(VLOOKUP(Main_S[[#This Row],[Industry]], Mean_ROE_S, 3, FALSE))</f>
        <v>-0.52848928438697207</v>
      </c>
      <c r="R14" s="1">
        <f>(Main_S[[#This Row],[ROA]]-VLOOKUP(Main_S[[#This Row],[Industry]], Mean_ROA_S, 2, FALSE))/(VLOOKUP(Main_S[[#This Row],[Industry]], Mean_ROA_S, 3, FALSE))</f>
        <v>-1.0423354767025175</v>
      </c>
      <c r="S14" s="1">
        <f>(Main_S[[#This Row],[A/E]]-VLOOKUP(Main_S[[#This Row],[Industry]], Mean_AE_S, 2, FALSE))/(VLOOKUP(Main_S[[#This Row],[Industry]], Mean_AE_S, 3, FALSE))</f>
        <v>-0.14342664880573006</v>
      </c>
      <c r="T14" s="1">
        <f>(Main_S[[#This Row],[P/E]]-VLOOKUP(Main_S[[#This Row],[Industry]], Mean_PE_S, 2, FALSE))/(VLOOKUP(Main_S[[#This Row],[Industry]], Mean_PE_S, 3, FALSE))</f>
        <v>-1.016628173270812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8" t="s">
        <v>105</v>
      </c>
      <c r="B15" s="68" t="s">
        <v>237</v>
      </c>
      <c r="C15" s="2">
        <v>875</v>
      </c>
      <c r="D15">
        <f>RTD("tos.rtd", , "LAST", Main_S[[#This Row],[Symbol]])</f>
        <v>8.02</v>
      </c>
      <c r="E15">
        <v>0.41</v>
      </c>
      <c r="F15">
        <v>5.95</v>
      </c>
      <c r="G15">
        <v>-0.1</v>
      </c>
      <c r="H15" s="1">
        <f>IF(ISNUMBER(Main_S[[#This Row],[Free CF]]),IF(Main_S[[#This Row],[Free CF]]&lt;&gt;0,Main_S[[#This Row],[Current Price]]/Main_S[[#This Row],[Free CF]],""),"")</f>
        <v>19.560975609756099</v>
      </c>
      <c r="I15" s="1">
        <f>IF(ISNUMBER(Main_S[[#This Row],[BVPS]]),IF(Main_S[[#This Row],[BVPS]]&lt;&gt;0,Main_S[[#This Row],[Current Price]]/Main_S[[#This Row],[BVPS]],""),"")</f>
        <v>1.3478991596638654</v>
      </c>
      <c r="J15">
        <v>-1.63</v>
      </c>
      <c r="K15">
        <v>3.11</v>
      </c>
      <c r="L15">
        <v>2.56</v>
      </c>
      <c r="M15" s="1">
        <f>IF(ISNUMBER(Main_S[[#This Row],[EPS]]),IF(Main_S[[#This Row],[EPS]]&lt;&gt;0,Main_S[[#This Row],[Current Price]]/Main_S[[#This Row],[EPS]],""),"")</f>
        <v>-80.199999999999989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1.151241831629306</v>
      </c>
      <c r="P15" s="1">
        <f>(Main_S[[#This Row],[P/B]]-VLOOKUP(Main_S[[#This Row],[Industry]], Mean_PB_S, 2, FALSE))/(VLOOKUP(Main_S[[#This Row],[Industry]], Mean_PB_S, 3, FALSE))</f>
        <v>-0.18491424535399956</v>
      </c>
      <c r="Q15" s="1">
        <f>(Main_S[[#This Row],[ROE]]-VLOOKUP(Main_S[[#This Row],[Industry]], Mean_ROE_S, 2, FALSE))/(VLOOKUP(Main_S[[#This Row],[Industry]], Mean_ROE_S, 3, FALSE))</f>
        <v>-0.49000997357836423</v>
      </c>
      <c r="R15" s="1">
        <f>(Main_S[[#This Row],[ROA]]-VLOOKUP(Main_S[[#This Row],[Industry]], Mean_ROA_S, 2, FALSE))/(VLOOKUP(Main_S[[#This Row],[Industry]], Mean_ROA_S, 3, FALSE))</f>
        <v>-0.21356720776473601</v>
      </c>
      <c r="S15" s="1">
        <f>(Main_S[[#This Row],[A/E]]-VLOOKUP(Main_S[[#This Row],[Industry]], Mean_AE_S, 2, FALSE))/(VLOOKUP(Main_S[[#This Row],[Industry]], Mean_AE_S, 3, FALSE))</f>
        <v>-1.7570786036029615E-2</v>
      </c>
      <c r="T15" s="1">
        <f>(Main_S[[#This Row],[P/E]]-VLOOKUP(Main_S[[#This Row],[Industry]], Mean_PE_S, 2, FALSE))/(VLOOKUP(Main_S[[#This Row],[Industry]], Mean_PE_S, 3, FALSE))</f>
        <v>-4.7588897463956732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" spans="1:26" x14ac:dyDescent="0.25">
      <c r="A16" s="68" t="s">
        <v>105</v>
      </c>
      <c r="B16" s="68" t="s">
        <v>238</v>
      </c>
      <c r="C16" s="2">
        <v>438</v>
      </c>
      <c r="D16">
        <f>RTD("tos.rtd", , "LAST", Main_S[[#This Row],[Symbol]])</f>
        <v>15.61</v>
      </c>
      <c r="E16">
        <v>0.15</v>
      </c>
      <c r="F16">
        <v>4.03</v>
      </c>
      <c r="G16">
        <v>0.46</v>
      </c>
      <c r="H16" s="1">
        <f>IF(ISNUMBER(Main_S[[#This Row],[Free CF]]),IF(Main_S[[#This Row],[Free CF]]&lt;&gt;0,Main_S[[#This Row],[Current Price]]/Main_S[[#This Row],[Free CF]],""),"")</f>
        <v>104.06666666666666</v>
      </c>
      <c r="I16" s="1">
        <f>IF(ISNUMBER(Main_S[[#This Row],[BVPS]]),IF(Main_S[[#This Row],[BVPS]]&lt;&gt;0,Main_S[[#This Row],[Current Price]]/Main_S[[#This Row],[BVPS]],""),"")</f>
        <v>3.8734491315136474</v>
      </c>
      <c r="J16">
        <v>12.8</v>
      </c>
      <c r="K16">
        <v>5.95</v>
      </c>
      <c r="L16">
        <v>1.42</v>
      </c>
      <c r="M16" s="1">
        <f>IF(ISNUMBER(Main_S[[#This Row],[EPS]]),IF(Main_S[[#This Row],[EPS]]&lt;&gt;0,Main_S[[#This Row],[Current Price]]/Main_S[[#This Row],[EPS]],""),"")</f>
        <v>33.934782608695649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5.8320558256481529</v>
      </c>
      <c r="P16" s="1">
        <f>(Main_S[[#This Row],[P/B]]-VLOOKUP(Main_S[[#This Row],[Industry]], Mean_PB_S, 2, FALSE))/(VLOOKUP(Main_S[[#This Row],[Industry]], Mean_PB_S, 3, FALSE))</f>
        <v>2.1909030626886765</v>
      </c>
      <c r="Q16" s="1">
        <f>(Main_S[[#This Row],[ROE]]-VLOOKUP(Main_S[[#This Row],[Industry]], Mean_ROE_S, 2, FALSE))/(VLOOKUP(Main_S[[#This Row],[Industry]], Mean_ROE_S, 3, FALSE))</f>
        <v>0.50151941029343894</v>
      </c>
      <c r="R16" s="1">
        <f>(Main_S[[#This Row],[ROA]]-VLOOKUP(Main_S[[#This Row],[Industry]], Mean_ROA_S, 2, FALSE))/(VLOOKUP(Main_S[[#This Row],[Industry]], Mean_ROA_S, 3, FALSE))</f>
        <v>0.80978143735843788</v>
      </c>
      <c r="S16" s="1">
        <f>(Main_S[[#This Row],[A/E]]-VLOOKUP(Main_S[[#This Row],[Industry]], Mean_AE_S, 2, FALSE))/(VLOOKUP(Main_S[[#This Row],[Industry]], Mean_AE_S, 3, FALSE))</f>
        <v>-1.3218951820129268</v>
      </c>
      <c r="T16" s="1">
        <f>(Main_S[[#This Row],[P/E]]-VLOOKUP(Main_S[[#This Row],[Industry]], Mean_PE_S, 2, FALSE))/(VLOOKUP(Main_S[[#This Row],[Industry]], Mean_PE_S, 3, FALSE))</f>
        <v>1.7642031004116716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8" t="s">
        <v>105</v>
      </c>
      <c r="B17" s="68" t="s">
        <v>244</v>
      </c>
      <c r="C17" s="2">
        <v>1226</v>
      </c>
      <c r="D17">
        <f>RTD("tos.rtd", , "LAST", Main_S[[#This Row],[Symbol]])</f>
        <v>55.92</v>
      </c>
      <c r="E17">
        <v>0.09</v>
      </c>
      <c r="F17">
        <v>53.17</v>
      </c>
      <c r="G17">
        <v>2.4500000000000002</v>
      </c>
      <c r="H17" s="1">
        <f>IF(ISNUMBER(Main_S[[#This Row],[Free CF]]),IF(Main_S[[#This Row],[Free CF]]&lt;&gt;0,Main_S[[#This Row],[Current Price]]/Main_S[[#This Row],[Free CF]],""),"")</f>
        <v>621.33333333333337</v>
      </c>
      <c r="I17" s="1">
        <f>IF(ISNUMBER(Main_S[[#This Row],[BVPS]]),IF(Main_S[[#This Row],[BVPS]]&lt;&gt;0,Main_S[[#This Row],[Current Price]]/Main_S[[#This Row],[BVPS]],""),"")</f>
        <v>1.0517208952416777</v>
      </c>
      <c r="J17">
        <v>4.6500000000000004</v>
      </c>
      <c r="K17">
        <v>2.0699999999999998</v>
      </c>
      <c r="L17">
        <v>1.99</v>
      </c>
      <c r="M17" s="1">
        <f>IF(ISNUMBER(Main_S[[#This Row],[EPS]]),IF(Main_S[[#This Row],[EPS]]&lt;&gt;0,Main_S[[#This Row],[Current Price]]/Main_S[[#This Row],[EPS]],""),"")</f>
        <v>22.824489795918367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34.483724390102978</v>
      </c>
      <c r="P17" s="1">
        <f>(Main_S[[#This Row],[P/B]]-VLOOKUP(Main_S[[#This Row],[Industry]], Mean_PB_S, 2, FALSE))/(VLOOKUP(Main_S[[#This Row],[Industry]], Mean_PB_S, 3, FALSE))</f>
        <v>-0.46353294414176904</v>
      </c>
      <c r="Q17" s="1">
        <f>(Main_S[[#This Row],[ROE]]-VLOOKUP(Main_S[[#This Row],[Industry]], Mean_ROE_S, 2, FALSE))/(VLOOKUP(Main_S[[#This Row],[Industry]], Mean_ROE_S, 3, FALSE))</f>
        <v>-5.8491988081834499E-2</v>
      </c>
      <c r="R17" s="1">
        <f>(Main_S[[#This Row],[ROA]]-VLOOKUP(Main_S[[#This Row],[Industry]], Mean_ROA_S, 2, FALSE))/(VLOOKUP(Main_S[[#This Row],[Industry]], Mean_ROA_S, 3, FALSE))</f>
        <v>-0.58831459893660254</v>
      </c>
      <c r="S17" s="1">
        <f>(Main_S[[#This Row],[A/E]]-VLOOKUP(Main_S[[#This Row],[Industry]], Mean_AE_S, 2, FALSE))/(VLOOKUP(Main_S[[#This Row],[Industry]], Mean_AE_S, 3, FALSE))</f>
        <v>-0.66973298402447823</v>
      </c>
      <c r="T17" s="1">
        <f>(Main_S[[#This Row],[P/E]]-VLOOKUP(Main_S[[#This Row],[Industry]], Mean_PE_S, 2, FALSE))/(VLOOKUP(Main_S[[#This Row],[Industry]], Mean_PE_S, 3, FALSE))</f>
        <v>1.129221634494892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8" t="s">
        <v>105</v>
      </c>
      <c r="B18" s="68" t="s">
        <v>331</v>
      </c>
      <c r="C18" s="2">
        <v>296</v>
      </c>
      <c r="D18">
        <f>RTD("tos.rtd", , "LAST", Main_S[[#This Row],[Symbol]])</f>
        <v>1.68</v>
      </c>
      <c r="E18">
        <v>-0.03</v>
      </c>
      <c r="F18">
        <v>0.41</v>
      </c>
      <c r="G18">
        <v>-0.04</v>
      </c>
      <c r="H18" s="1">
        <f>IF(ISNUMBER(Main_S[[#This Row],[Free CF]]),IF(Main_S[[#This Row],[Free CF]]&lt;&gt;0,Main_S[[#This Row],[Current Price]]/Main_S[[#This Row],[Free CF]],""),"")</f>
        <v>-56</v>
      </c>
      <c r="I18" s="1">
        <f>IF(ISNUMBER(Main_S[[#This Row],[BVPS]]),IF(Main_S[[#This Row],[BVPS]]&lt;&gt;0,Main_S[[#This Row],[Current Price]]/Main_S[[#This Row],[BVPS]],""),"")</f>
        <v>4.0975609756097562</v>
      </c>
      <c r="J18">
        <v>-9.3000000000000007</v>
      </c>
      <c r="K18">
        <v>-2.93</v>
      </c>
      <c r="L18">
        <v>1.49</v>
      </c>
      <c r="M18" s="1">
        <f>IF(ISNUMBER(Main_S[[#This Row],[EPS]]),IF(Main_S[[#This Row],[EPS]]&lt;&gt;0,Main_S[[#This Row],[Current Price]]/Main_S[[#This Row],[EPS]],""),"")</f>
        <v>-42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-3.0341197412104663</v>
      </c>
      <c r="P18" s="1">
        <f>(Main_S[[#This Row],[P/B]]-VLOOKUP(Main_S[[#This Row],[Industry]], Mean_PB_S, 2, FALSE))/(VLOOKUP(Main_S[[#This Row],[Industry]], Mean_PB_S, 3, FALSE))</f>
        <v>2.4017279539304517</v>
      </c>
      <c r="Q18" s="1">
        <f>(Main_S[[#This Row],[ROE]]-VLOOKUP(Main_S[[#This Row],[Industry]], Mean_ROE_S, 2, FALSE))/(VLOOKUP(Main_S[[#This Row],[Industry]], Mean_ROE_S, 3, FALSE))</f>
        <v>-1.0170391055462595</v>
      </c>
      <c r="R18" s="1">
        <f>(Main_S[[#This Row],[ROA]]-VLOOKUP(Main_S[[#This Row],[Industry]], Mean_ROA_S, 2, FALSE))/(VLOOKUP(Main_S[[#This Row],[Industry]], Mean_ROA_S, 3, FALSE))</f>
        <v>-2.389984748801345</v>
      </c>
      <c r="S18" s="1">
        <f>(Main_S[[#This Row],[A/E]]-VLOOKUP(Main_S[[#This Row],[Industry]], Mean_AE_S, 2, FALSE))/(VLOOKUP(Main_S[[#This Row],[Industry]], Mean_AE_S, 3, FALSE))</f>
        <v>-1.2418050875231172</v>
      </c>
      <c r="T18" s="1">
        <f>(Main_S[[#This Row],[P/E]]-VLOOKUP(Main_S[[#This Row],[Industry]], Mean_PE_S, 2, FALSE))/(VLOOKUP(Main_S[[#This Row],[Industry]], Mean_PE_S, 3, FALSE))</f>
        <v>-2.5756626787773222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8" t="s">
        <v>105</v>
      </c>
      <c r="B19" s="68" t="s">
        <v>235</v>
      </c>
      <c r="C19" s="2">
        <v>473</v>
      </c>
      <c r="D19">
        <f>RTD("tos.rtd", , "LAST", Main_S[[#This Row],[Symbol]])</f>
        <v>6.17</v>
      </c>
      <c r="E19">
        <v>-0.06</v>
      </c>
      <c r="F19">
        <v>3.83</v>
      </c>
      <c r="G19">
        <v>-3.62</v>
      </c>
      <c r="H19" s="1">
        <f>IF(ISNUMBER(Main_S[[#This Row],[Free CF]]),IF(Main_S[[#This Row],[Free CF]]&lt;&gt;0,Main_S[[#This Row],[Current Price]]/Main_S[[#This Row],[Free CF]],""),"")</f>
        <v>-102.83333333333334</v>
      </c>
      <c r="I19" s="1">
        <f>IF(ISNUMBER(Main_S[[#This Row],[BVPS]]),IF(Main_S[[#This Row],[BVPS]]&lt;&gt;0,Main_S[[#This Row],[Current Price]]/Main_S[[#This Row],[BVPS]],""),"")</f>
        <v>1.6109660574412532</v>
      </c>
      <c r="J19">
        <v>-70.97</v>
      </c>
      <c r="K19">
        <v>-23.26</v>
      </c>
      <c r="L19">
        <v>1.76</v>
      </c>
      <c r="M19" s="1">
        <f>IF(ISNUMBER(Main_S[[#This Row],[EPS]]),IF(Main_S[[#This Row],[EPS]]&lt;&gt;0,Main_S[[#This Row],[Current Price]]/Main_S[[#This Row],[EPS]],""),"")</f>
        <v>-1.7044198895027625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-5.6282423300143734</v>
      </c>
      <c r="P19" s="1">
        <f>(Main_S[[#This Row],[P/B]]-VLOOKUP(Main_S[[#This Row],[Industry]], Mean_PB_S, 2, FALSE))/(VLOOKUP(Main_S[[#This Row],[Industry]], Mean_PB_S, 3, FALSE))</f>
        <v>6.2556165399680799E-2</v>
      </c>
      <c r="Q19" s="1">
        <f>(Main_S[[#This Row],[ROE]]-VLOOKUP(Main_S[[#This Row],[Industry]], Mean_ROE_S, 2, FALSE))/(VLOOKUP(Main_S[[#This Row],[Industry]], Mean_ROE_S, 3, FALSE))</f>
        <v>-5.2545732083441878</v>
      </c>
      <c r="R19" s="1">
        <f>(Main_S[[#This Row],[ROA]]-VLOOKUP(Main_S[[#This Row],[Industry]], Mean_ROA_S, 2, FALSE))/(VLOOKUP(Main_S[[#This Row],[Industry]], Mean_ROA_S, 3, FALSE))</f>
        <v>-9.7155755781513893</v>
      </c>
      <c r="S19" s="1">
        <f>(Main_S[[#This Row],[A/E]]-VLOOKUP(Main_S[[#This Row],[Industry]], Mean_AE_S, 2, FALSE))/(VLOOKUP(Main_S[[#This Row],[Industry]], Mean_AE_S, 3, FALSE))</f>
        <v>-0.93288615163385213</v>
      </c>
      <c r="T19" s="1">
        <f>(Main_S[[#This Row],[P/E]]-VLOOKUP(Main_S[[#This Row],[Industry]], Mean_PE_S, 2, FALSE))/(VLOOKUP(Main_S[[#This Row],[Industry]], Mean_PE_S, 3, FALSE))</f>
        <v>-0.27266788289718513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8" t="s">
        <v>105</v>
      </c>
      <c r="B20" s="68" t="s">
        <v>337</v>
      </c>
      <c r="C20" s="2">
        <v>271</v>
      </c>
      <c r="D20">
        <f>RTD("tos.rtd", , "LAST", Main_S[[#This Row],[Symbol]])</f>
        <v>3.99</v>
      </c>
      <c r="E20">
        <v>-0.09</v>
      </c>
      <c r="F20">
        <v>0.22</v>
      </c>
      <c r="G20">
        <v>0.05</v>
      </c>
      <c r="H20" s="1">
        <f>IF(ISNUMBER(Main_S[[#This Row],[Free CF]]),IF(Main_S[[#This Row],[Free CF]]&lt;&gt;0,Main_S[[#This Row],[Current Price]]/Main_S[[#This Row],[Free CF]],""),"")</f>
        <v>-44.333333333333336</v>
      </c>
      <c r="I20" s="1">
        <f>IF(ISNUMBER(Main_S[[#This Row],[BVPS]]),IF(Main_S[[#This Row],[BVPS]]&lt;&gt;0,Main_S[[#This Row],[Current Price]]/Main_S[[#This Row],[BVPS]],""),"")</f>
        <v>18.136363636363637</v>
      </c>
      <c r="J20">
        <v>26.22</v>
      </c>
      <c r="K20">
        <v>5.6</v>
      </c>
      <c r="L20">
        <v>3.76</v>
      </c>
      <c r="M20" s="1">
        <f>IF(ISNUMBER(Main_S[[#This Row],[EPS]]),IF(Main_S[[#This Row],[EPS]]&lt;&gt;0,Main_S[[#This Row],[Current Price]]/Main_S[[#This Row],[EPS]],""),"")</f>
        <v>79.8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-2.3878970322557564</v>
      </c>
      <c r="P20" s="1">
        <f>(Main_S[[#This Row],[P/B]]-VLOOKUP(Main_S[[#This Row],[Industry]], Mean_PB_S, 2, FALSE))/(VLOOKUP(Main_S[[#This Row],[Industry]], Mean_PB_S, 3, FALSE))</f>
        <v>15.608209994428559</v>
      </c>
      <c r="Q20" s="1">
        <f>(Main_S[[#This Row],[ROE]]-VLOOKUP(Main_S[[#This Row],[Industry]], Mean_ROE_S, 2, FALSE))/(VLOOKUP(Main_S[[#This Row],[Industry]], Mean_ROE_S, 3, FALSE))</f>
        <v>1.4236486085997173</v>
      </c>
      <c r="R20" s="1">
        <f>(Main_S[[#This Row],[ROA]]-VLOOKUP(Main_S[[#This Row],[Industry]], Mean_ROA_S, 2, FALSE))/(VLOOKUP(Main_S[[#This Row],[Industry]], Mean_ROA_S, 3, FALSE))</f>
        <v>0.6836645268679058</v>
      </c>
      <c r="S20" s="1">
        <f>(Main_S[[#This Row],[A/E]]-VLOOKUP(Main_S[[#This Row],[Industry]], Mean_AE_S, 2, FALSE))/(VLOOKUP(Main_S[[#This Row],[Industry]], Mean_AE_S, 3, FALSE))</f>
        <v>1.3554022623607038</v>
      </c>
      <c r="T20" s="1">
        <f>(Main_S[[#This Row],[P/E]]-VLOOKUP(Main_S[[#This Row],[Industry]], Mean_PE_S, 2, FALSE))/(VLOOKUP(Main_S[[#This Row],[Industry]], Mean_PE_S, 3, FALSE))</f>
        <v>4.3855168195450638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" spans="1:26" x14ac:dyDescent="0.25">
      <c r="A21" s="68" t="s">
        <v>105</v>
      </c>
      <c r="B21" s="68" t="s">
        <v>344</v>
      </c>
      <c r="C21" s="2">
        <v>521</v>
      </c>
      <c r="D21">
        <f>RTD("tos.rtd", , "LAST", Main_S[[#This Row],[Symbol]])</f>
        <v>6.67</v>
      </c>
      <c r="E21">
        <v>-0.18</v>
      </c>
      <c r="F21">
        <v>1.7</v>
      </c>
      <c r="G21">
        <v>0.24</v>
      </c>
      <c r="H21" s="1">
        <f>IF(ISNUMBER(Main_S[[#This Row],[Free CF]]),IF(Main_S[[#This Row],[Free CF]]&lt;&gt;0,Main_S[[#This Row],[Current Price]]/Main_S[[#This Row],[Free CF]],""),"")</f>
        <v>-37.055555555555557</v>
      </c>
      <c r="I21" s="1">
        <f>IF(ISNUMBER(Main_S[[#This Row],[BVPS]]),IF(Main_S[[#This Row],[BVPS]]&lt;&gt;0,Main_S[[#This Row],[Current Price]]/Main_S[[#This Row],[BVPS]],""),"")</f>
        <v>3.9235294117647062</v>
      </c>
      <c r="J21">
        <v>15.42</v>
      </c>
      <c r="K21">
        <v>7.1</v>
      </c>
      <c r="L21">
        <v>2.61</v>
      </c>
      <c r="M21" s="1">
        <f>IF(ISNUMBER(Main_S[[#This Row],[EPS]]),IF(Main_S[[#This Row],[EPS]]&lt;&gt;0,Main_S[[#This Row],[Current Price]]/Main_S[[#This Row],[EPS]],""),"")</f>
        <v>27.791666666666668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-1.9847771519078186</v>
      </c>
      <c r="P21" s="1">
        <f>(Main_S[[#This Row],[P/B]]-VLOOKUP(Main_S[[#This Row],[Industry]], Mean_PB_S, 2, FALSE))/(VLOOKUP(Main_S[[#This Row],[Industry]], Mean_PB_S, 3, FALSE))</f>
        <v>2.2380142257772251</v>
      </c>
      <c r="Q21" s="1">
        <f>(Main_S[[#This Row],[ROE]]-VLOOKUP(Main_S[[#This Row],[Industry]], Mean_ROE_S, 2, FALSE))/(VLOOKUP(Main_S[[#This Row],[Industry]], Mean_ROE_S, 3, FALSE))</f>
        <v>0.68154761443371081</v>
      </c>
      <c r="R21" s="1">
        <f>(Main_S[[#This Row],[ROA]]-VLOOKUP(Main_S[[#This Row],[Industry]], Mean_ROA_S, 2, FALSE))/(VLOOKUP(Main_S[[#This Row],[Industry]], Mean_ROA_S, 3, FALSE))</f>
        <v>1.2241655718273285</v>
      </c>
      <c r="S21" s="1">
        <f>(Main_S[[#This Row],[A/E]]-VLOOKUP(Main_S[[#This Row],[Industry]], Mean_AE_S, 2, FALSE))/(VLOOKUP(Main_S[[#This Row],[Industry]], Mean_AE_S, 3, FALSE))</f>
        <v>3.9636424313834087E-2</v>
      </c>
      <c r="T21" s="1">
        <f>(Main_S[[#This Row],[P/E]]-VLOOKUP(Main_S[[#This Row],[Industry]], Mean_PE_S, 2, FALSE))/(VLOOKUP(Main_S[[#This Row],[Industry]], Mean_PE_S, 3, FALSE))</f>
        <v>1.4131084144390154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8" t="s">
        <v>105</v>
      </c>
      <c r="B22" s="68" t="s">
        <v>223</v>
      </c>
      <c r="C22" s="2">
        <v>728</v>
      </c>
      <c r="D22">
        <f>RTD("tos.rtd", , "LAST", Main_S[[#This Row],[Symbol]])</f>
        <v>6.59</v>
      </c>
      <c r="E22">
        <v>-0.2</v>
      </c>
      <c r="F22">
        <v>7.36</v>
      </c>
      <c r="G22">
        <v>0.84</v>
      </c>
      <c r="H22" s="1">
        <f>IF(ISNUMBER(Main_S[[#This Row],[Free CF]]),IF(Main_S[[#This Row],[Free CF]]&lt;&gt;0,Main_S[[#This Row],[Current Price]]/Main_S[[#This Row],[Free CF]],""),"")</f>
        <v>-32.949999999999996</v>
      </c>
      <c r="I22" s="1">
        <f>IF(ISNUMBER(Main_S[[#This Row],[BVPS]]),IF(Main_S[[#This Row],[BVPS]]&lt;&gt;0,Main_S[[#This Row],[Current Price]]/Main_S[[#This Row],[BVPS]],""),"")</f>
        <v>0.89538043478260865</v>
      </c>
      <c r="J22">
        <v>11.87</v>
      </c>
      <c r="K22">
        <v>5.19</v>
      </c>
      <c r="L22">
        <v>2.2999999999999998</v>
      </c>
      <c r="M22" s="1">
        <f>IF(ISNUMBER(Main_S[[#This Row],[EPS]]),IF(Main_S[[#This Row],[EPS]]&lt;&gt;0,Main_S[[#This Row],[Current Price]]/Main_S[[#This Row],[EPS]],""),"")</f>
        <v>7.8452380952380958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-1.7573683033756609</v>
      </c>
      <c r="P22" s="1">
        <f>(Main_S[[#This Row],[P/B]]-VLOOKUP(Main_S[[#This Row],[Industry]], Mean_PB_S, 2, FALSE))/(VLOOKUP(Main_S[[#This Row],[Industry]], Mean_PB_S, 3, FALSE))</f>
        <v>-0.61060442403569792</v>
      </c>
      <c r="Q22" s="1">
        <f>(Main_S[[#This Row],[ROE]]-VLOOKUP(Main_S[[#This Row],[Industry]], Mean_ROE_S, 2, FALSE))/(VLOOKUP(Main_S[[#This Row],[Industry]], Mean_ROE_S, 3, FALSE))</f>
        <v>0.43761626912914386</v>
      </c>
      <c r="R22" s="1">
        <f>(Main_S[[#This Row],[ROA]]-VLOOKUP(Main_S[[#This Row],[Industry]], Mean_ROA_S, 2, FALSE))/(VLOOKUP(Main_S[[#This Row],[Industry]], Mean_ROA_S, 3, FALSE))</f>
        <v>0.53592757457899709</v>
      </c>
      <c r="S22" s="1">
        <f>(Main_S[[#This Row],[A/E]]-VLOOKUP(Main_S[[#This Row],[Industry]], Mean_AE_S, 2, FALSE))/(VLOOKUP(Main_S[[#This Row],[Industry]], Mean_AE_S, 3, FALSE))</f>
        <v>-0.31504827985532219</v>
      </c>
      <c r="T22" s="1">
        <f>(Main_S[[#This Row],[P/E]]-VLOOKUP(Main_S[[#This Row],[Industry]], Mean_PE_S, 2, FALSE))/(VLOOKUP(Main_S[[#This Row],[Industry]], Mean_PE_S, 3, FALSE))</f>
        <v>0.27311933696626922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8" t="s">
        <v>105</v>
      </c>
      <c r="B23" s="68" t="s">
        <v>231</v>
      </c>
      <c r="C23" s="2">
        <v>544</v>
      </c>
      <c r="D23">
        <f>RTD("tos.rtd", , "LAST", Main_S[[#This Row],[Symbol]])</f>
        <v>7.8</v>
      </c>
      <c r="E23">
        <v>-0.36</v>
      </c>
      <c r="F23">
        <v>6.83</v>
      </c>
      <c r="G23">
        <v>-0.37</v>
      </c>
      <c r="H23" s="1">
        <f>IF(ISNUMBER(Main_S[[#This Row],[Free CF]]),IF(Main_S[[#This Row],[Free CF]]&lt;&gt;0,Main_S[[#This Row],[Current Price]]/Main_S[[#This Row],[Free CF]],""),"")</f>
        <v>-21.666666666666668</v>
      </c>
      <c r="I23" s="1">
        <f>IF(ISNUMBER(Main_S[[#This Row],[BVPS]]),IF(Main_S[[#This Row],[BVPS]]&lt;&gt;0,Main_S[[#This Row],[Current Price]]/Main_S[[#This Row],[BVPS]],""),"")</f>
        <v>1.1420204978038067</v>
      </c>
      <c r="J23">
        <v>-5.28</v>
      </c>
      <c r="K23">
        <v>-0.1</v>
      </c>
      <c r="L23">
        <v>2.4</v>
      </c>
      <c r="M23" s="1">
        <f>IF(ISNUMBER(Main_S[[#This Row],[EPS]]),IF(Main_S[[#This Row],[EPS]]&lt;&gt;0,Main_S[[#This Row],[Current Price]]/Main_S[[#This Row],[EPS]],""),"")</f>
        <v>-21.081081081081081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-1.132378626286606</v>
      </c>
      <c r="P23" s="1">
        <f>(Main_S[[#This Row],[P/B]]-VLOOKUP(Main_S[[#This Row],[Industry]], Mean_PB_S, 2, FALSE))/(VLOOKUP(Main_S[[#This Row],[Industry]], Mean_PB_S, 3, FALSE))</f>
        <v>-0.37858694779731766</v>
      </c>
      <c r="Q23" s="1">
        <f>(Main_S[[#This Row],[ROE]]-VLOOKUP(Main_S[[#This Row],[Industry]], Mean_ROE_S, 2, FALSE))/(VLOOKUP(Main_S[[#This Row],[Industry]], Mean_ROE_S, 3, FALSE))</f>
        <v>-0.74081262438446838</v>
      </c>
      <c r="R23" s="1">
        <f>(Main_S[[#This Row],[ROA]]-VLOOKUP(Main_S[[#This Row],[Industry]], Mean_ROA_S, 2, FALSE))/(VLOOKUP(Main_S[[#This Row],[Industry]], Mean_ROA_S, 3, FALSE))</f>
        <v>-1.3702394439779009</v>
      </c>
      <c r="S23" s="1">
        <f>(Main_S[[#This Row],[A/E]]-VLOOKUP(Main_S[[#This Row],[Industry]], Mean_AE_S, 2, FALSE))/(VLOOKUP(Main_S[[#This Row],[Industry]], Mean_AE_S, 3, FALSE))</f>
        <v>-0.20063385915559426</v>
      </c>
      <c r="T23" s="1">
        <f>(Main_S[[#This Row],[P/E]]-VLOOKUP(Main_S[[#This Row],[Industry]], Mean_PE_S, 2, FALSE))/(VLOOKUP(Main_S[[#This Row],[Industry]], Mean_PE_S, 3, FALSE))</f>
        <v>-1.3800933068114216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8" t="s">
        <v>105</v>
      </c>
      <c r="B24" s="68" t="s">
        <v>234</v>
      </c>
      <c r="C24" s="2">
        <v>577</v>
      </c>
      <c r="D24">
        <f>RTD("tos.rtd", , "LAST", Main_S[[#This Row],[Symbol]])</f>
        <v>9.6199999999999992</v>
      </c>
      <c r="E24">
        <v>-0.47</v>
      </c>
      <c r="F24">
        <v>0.59</v>
      </c>
      <c r="G24">
        <v>-0.59</v>
      </c>
      <c r="H24" s="1">
        <f>IF(ISNUMBER(Main_S[[#This Row],[Free CF]]),IF(Main_S[[#This Row],[Free CF]]&lt;&gt;0,Main_S[[#This Row],[Current Price]]/Main_S[[#This Row],[Free CF]],""),"")</f>
        <v>-20.468085106382979</v>
      </c>
      <c r="I24" s="1">
        <f>IF(ISNUMBER(Main_S[[#This Row],[BVPS]]),IF(Main_S[[#This Row],[BVPS]]&lt;&gt;0,Main_S[[#This Row],[Current Price]]/Main_S[[#This Row],[BVPS]],""),"")</f>
        <v>16.305084745762713</v>
      </c>
      <c r="J24">
        <v>-115.46</v>
      </c>
      <c r="K24">
        <v>-26.14</v>
      </c>
      <c r="L24">
        <v>2.14</v>
      </c>
      <c r="M24" s="1">
        <f>IF(ISNUMBER(Main_S[[#This Row],[EPS]]),IF(Main_S[[#This Row],[EPS]]&lt;&gt;0,Main_S[[#This Row],[Current Price]]/Main_S[[#This Row],[EPS]],""),"")</f>
        <v>-16.305084745762713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-1.0659885729046328</v>
      </c>
      <c r="P24" s="1">
        <f>(Main_S[[#This Row],[P/B]]-VLOOKUP(Main_S[[#This Row],[Industry]], Mean_PB_S, 2, FALSE))/(VLOOKUP(Main_S[[#This Row],[Industry]], Mean_PB_S, 3, FALSE))</f>
        <v>13.885502412857235</v>
      </c>
      <c r="Q24" s="1">
        <f>(Main_S[[#This Row],[ROE]]-VLOOKUP(Main_S[[#This Row],[Industry]], Mean_ROE_S, 2, FALSE))/(VLOOKUP(Main_S[[#This Row],[Industry]], Mean_ROE_S, 3, FALSE))</f>
        <v>-8.3116170259780429</v>
      </c>
      <c r="R24" s="1">
        <f>(Main_S[[#This Row],[ROA]]-VLOOKUP(Main_S[[#This Row],[Industry]], Mean_ROA_S, 2, FALSE))/(VLOOKUP(Main_S[[#This Row],[Industry]], Mean_ROA_S, 3, FALSE))</f>
        <v>-10.75333758447348</v>
      </c>
      <c r="S24" s="1">
        <f>(Main_S[[#This Row],[A/E]]-VLOOKUP(Main_S[[#This Row],[Industry]], Mean_AE_S, 2, FALSE))/(VLOOKUP(Main_S[[#This Row],[Industry]], Mean_AE_S, 3, FALSE))</f>
        <v>-0.49811135297488635</v>
      </c>
      <c r="T24" s="1">
        <f>(Main_S[[#This Row],[P/E]]-VLOOKUP(Main_S[[#This Row],[Industry]], Mean_PE_S, 2, FALSE))/(VLOOKUP(Main_S[[#This Row],[Industry]], Mean_PE_S, 3, FALSE))</f>
        <v>-1.107132980263958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8" t="s">
        <v>105</v>
      </c>
      <c r="B25" s="68" t="s">
        <v>227</v>
      </c>
      <c r="C25" s="2">
        <v>900</v>
      </c>
      <c r="D25">
        <f>RTD("tos.rtd", , "LAST", Main_S[[#This Row],[Symbol]])</f>
        <v>5.99</v>
      </c>
      <c r="E25">
        <v>-0.68</v>
      </c>
      <c r="F25">
        <v>10.56</v>
      </c>
      <c r="G25">
        <v>-0.95</v>
      </c>
      <c r="H25" s="1">
        <f>IF(ISNUMBER(Main_S[[#This Row],[Free CF]]),IF(Main_S[[#This Row],[Free CF]]&lt;&gt;0,Main_S[[#This Row],[Current Price]]/Main_S[[#This Row],[Free CF]],""),"")</f>
        <v>-8.8088235294117645</v>
      </c>
      <c r="I25" s="1">
        <f>IF(ISNUMBER(Main_S[[#This Row],[BVPS]]),IF(Main_S[[#This Row],[BVPS]]&lt;&gt;0,Main_S[[#This Row],[Current Price]]/Main_S[[#This Row],[BVPS]],""),"")</f>
        <v>0.56723484848484851</v>
      </c>
      <c r="J25">
        <v>-8.59</v>
      </c>
      <c r="K25">
        <v>2.11</v>
      </c>
      <c r="L25">
        <v>3.63</v>
      </c>
      <c r="M25" s="1">
        <f>IF(ISNUMBER(Main_S[[#This Row],[EPS]]),IF(Main_S[[#This Row],[EPS]]&lt;&gt;0,Main_S[[#This Row],[Current Price]]/Main_S[[#This Row],[EPS]],""),"")</f>
        <v>-6.3052631578947373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-0.42017603570332696</v>
      </c>
      <c r="P25" s="1">
        <f>(Main_S[[#This Row],[P/B]]-VLOOKUP(Main_S[[#This Row],[Industry]], Mean_PB_S, 2, FALSE))/(VLOOKUP(Main_S[[#This Row],[Industry]], Mean_PB_S, 3, FALSE))</f>
        <v>-0.91929519324388731</v>
      </c>
      <c r="Q25" s="1">
        <f>(Main_S[[#This Row],[ROE]]-VLOOKUP(Main_S[[#This Row],[Industry]], Mean_ROE_S, 2, FALSE))/(VLOOKUP(Main_S[[#This Row],[Industry]], Mean_ROE_S, 3, FALSE))</f>
        <v>-0.96825283648534621</v>
      </c>
      <c r="R25" s="1">
        <f>(Main_S[[#This Row],[ROA]]-VLOOKUP(Main_S[[#This Row],[Industry]], Mean_ROA_S, 2, FALSE))/(VLOOKUP(Main_S[[#This Row],[Industry]], Mean_ROA_S, 3, FALSE))</f>
        <v>-0.57390123773768453</v>
      </c>
      <c r="S25" s="1">
        <f>(Main_S[[#This Row],[A/E]]-VLOOKUP(Main_S[[#This Row],[Industry]], Mean_AE_S, 2, FALSE))/(VLOOKUP(Main_S[[#This Row],[Industry]], Mean_AE_S, 3, FALSE))</f>
        <v>1.2066635154510577</v>
      </c>
      <c r="T25" s="1">
        <f>(Main_S[[#This Row],[P/E]]-VLOOKUP(Main_S[[#This Row],[Industry]], Mean_PE_S, 2, FALSE))/(VLOOKUP(Main_S[[#This Row],[Industry]], Mean_PE_S, 3, FALSE))</f>
        <v>-0.535617766599359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8" t="s">
        <v>105</v>
      </c>
      <c r="B26" s="68" t="s">
        <v>355</v>
      </c>
      <c r="C26" s="2">
        <v>287</v>
      </c>
      <c r="D26">
        <f>RTD("tos.rtd", , "LAST", Main_S[[#This Row],[Symbol]])</f>
        <v>8.3840000000000003</v>
      </c>
      <c r="E26">
        <v>-0.89</v>
      </c>
      <c r="F26">
        <v>9.65</v>
      </c>
      <c r="G26">
        <v>-0.37</v>
      </c>
      <c r="H26" s="1">
        <f>IF(ISNUMBER(Main_S[[#This Row],[Free CF]]),IF(Main_S[[#This Row],[Free CF]]&lt;&gt;0,Main_S[[#This Row],[Current Price]]/Main_S[[#This Row],[Free CF]],""),"")</f>
        <v>-9.4202247191011246</v>
      </c>
      <c r="I26" s="1">
        <f>IF(ISNUMBER(Main_S[[#This Row],[BVPS]]),IF(Main_S[[#This Row],[BVPS]]&lt;&gt;0,Main_S[[#This Row],[Current Price]]/Main_S[[#This Row],[BVPS]],""),"")</f>
        <v>0.86880829015544037</v>
      </c>
      <c r="J26">
        <v>-3.67</v>
      </c>
      <c r="K26">
        <v>4.1500000000000004</v>
      </c>
      <c r="L26">
        <v>1.54</v>
      </c>
      <c r="M26" s="1">
        <f>IF(ISNUMBER(Main_S[[#This Row],[EPS]]),IF(Main_S[[#This Row],[EPS]]&lt;&gt;0,Main_S[[#This Row],[Current Price]]/Main_S[[#This Row],[EPS]],""),"")</f>
        <v>-22.659459459459459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-0.45404186425125759</v>
      </c>
      <c r="P26" s="1">
        <f>(Main_S[[#This Row],[P/B]]-VLOOKUP(Main_S[[#This Row],[Industry]], Mean_PB_S, 2, FALSE))/(VLOOKUP(Main_S[[#This Row],[Industry]], Mean_PB_S, 3, FALSE))</f>
        <v>-0.63560118189862036</v>
      </c>
      <c r="Q26" s="1">
        <f>(Main_S[[#This Row],[ROE]]-VLOOKUP(Main_S[[#This Row],[Industry]], Mean_ROE_S, 2, FALSE))/(VLOOKUP(Main_S[[#This Row],[Industry]], Mean_ROE_S, 3, FALSE))</f>
        <v>-0.63018460580972113</v>
      </c>
      <c r="R26" s="1">
        <f>(Main_S[[#This Row],[ROA]]-VLOOKUP(Main_S[[#This Row],[Industry]], Mean_ROA_S, 2, FALSE))/(VLOOKUP(Main_S[[#This Row],[Industry]], Mean_ROA_S, 3, FALSE))</f>
        <v>0.16118018340713064</v>
      </c>
      <c r="S26" s="1">
        <f>(Main_S[[#This Row],[A/E]]-VLOOKUP(Main_S[[#This Row],[Industry]], Mean_AE_S, 2, FALSE))/(VLOOKUP(Main_S[[#This Row],[Industry]], Mean_AE_S, 3, FALSE))</f>
        <v>-1.1845978771732533</v>
      </c>
      <c r="T26" s="1">
        <f>(Main_S[[#This Row],[P/E]]-VLOOKUP(Main_S[[#This Row],[Industry]], Mean_PE_S, 2, FALSE))/(VLOOKUP(Main_S[[#This Row],[Industry]], Mean_PE_S, 3, FALSE))</f>
        <v>-1.47030164185381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8" t="s">
        <v>105</v>
      </c>
      <c r="B27" s="68" t="s">
        <v>221</v>
      </c>
      <c r="C27" s="2">
        <v>1510</v>
      </c>
      <c r="D27">
        <f>RTD("tos.rtd", , "LAST", Main_S[[#This Row],[Symbol]])</f>
        <v>3.62</v>
      </c>
      <c r="E27">
        <v>-0.97</v>
      </c>
      <c r="F27">
        <v>-0.93</v>
      </c>
      <c r="G27">
        <v>-2.04</v>
      </c>
      <c r="H27" s="1">
        <f>IF(ISNUMBER(Main_S[[#This Row],[Free CF]]),IF(Main_S[[#This Row],[Free CF]]&lt;&gt;0,Main_S[[#This Row],[Current Price]]/Main_S[[#This Row],[Free CF]],""),"")</f>
        <v>-3.731958762886598</v>
      </c>
      <c r="I27" s="1">
        <f>IF(ISNUMBER(Main_S[[#This Row],[BVPS]]),IF(Main_S[[#This Row],[BVPS]]&lt;&gt;0,Main_S[[#This Row],[Current Price]]/Main_S[[#This Row],[BVPS]],""),"")</f>
        <v>-3.89247311827957</v>
      </c>
      <c r="J27">
        <v>1405.7</v>
      </c>
      <c r="K27">
        <v>-0.61</v>
      </c>
      <c r="L27">
        <v>-22.53</v>
      </c>
      <c r="M27" s="1">
        <f>IF(ISNUMBER(Main_S[[#This Row],[EPS]]),IF(Main_S[[#This Row],[EPS]]&lt;&gt;0,Main_S[[#This Row],[Current Price]]/Main_S[[#This Row],[EPS]],""),"")</f>
        <v>-1.7745098039215685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-0.13896586692441718</v>
      </c>
      <c r="P27" s="1">
        <f>(Main_S[[#This Row],[P/B]]-VLOOKUP(Main_S[[#This Row],[Industry]], Mean_PB_S, 2, FALSE))/(VLOOKUP(Main_S[[#This Row],[Industry]], Mean_PB_S, 3, FALSE))</f>
        <v>-5.114599778127757</v>
      </c>
      <c r="Q27" s="1">
        <f>(Main_S[[#This Row],[ROE]]-VLOOKUP(Main_S[[#This Row],[Industry]], Mean_ROE_S, 2, FALSE))/(VLOOKUP(Main_S[[#This Row],[Industry]], Mean_ROE_S, 3, FALSE))</f>
        <v>96.21193374120368</v>
      </c>
      <c r="R27" s="1">
        <f>(Main_S[[#This Row],[ROA]]-VLOOKUP(Main_S[[#This Row],[Industry]], Mean_ROA_S, 2, FALSE))/(VLOOKUP(Main_S[[#This Row],[Industry]], Mean_ROA_S, 3, FALSE))</f>
        <v>-1.5540097992641044</v>
      </c>
      <c r="S27" s="1">
        <f>(Main_S[[#This Row],[A/E]]-VLOOKUP(Main_S[[#This Row],[Industry]], Mean_AE_S, 2, FALSE))/(VLOOKUP(Main_S[[#This Row],[Industry]], Mean_AE_S, 3, FALSE))</f>
        <v>-28.72414893959774</v>
      </c>
      <c r="T27" s="1">
        <f>(Main_S[[#This Row],[P/E]]-VLOOKUP(Main_S[[#This Row],[Industry]], Mean_PE_S, 2, FALSE))/(VLOOKUP(Main_S[[#This Row],[Industry]], Mean_PE_S, 3, FALSE))</f>
        <v>-0.27667369960729482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8" t="s">
        <v>105</v>
      </c>
      <c r="B28" s="68" t="s">
        <v>226</v>
      </c>
      <c r="C28" s="2">
        <v>1708</v>
      </c>
      <c r="D28">
        <f>RTD("tos.rtd", , "LAST", Main_S[[#This Row],[Symbol]])</f>
        <v>10.82</v>
      </c>
      <c r="E28">
        <v>-1.19</v>
      </c>
      <c r="F28">
        <v>1.33</v>
      </c>
      <c r="G28">
        <v>-1.1599999999999999</v>
      </c>
      <c r="H28" s="1">
        <f>IF(ISNUMBER(Main_S[[#This Row],[Free CF]]),IF(Main_S[[#This Row],[Free CF]]&lt;&gt;0,Main_S[[#This Row],[Current Price]]/Main_S[[#This Row],[Free CF]],""),"")</f>
        <v>-9.0924369747899174</v>
      </c>
      <c r="I28" s="1">
        <f>IF(ISNUMBER(Main_S[[#This Row],[BVPS]]),IF(Main_S[[#This Row],[BVPS]]&lt;&gt;0,Main_S[[#This Row],[Current Price]]/Main_S[[#This Row],[BVPS]],""),"")</f>
        <v>8.1353383458646622</v>
      </c>
      <c r="J28">
        <v>-67.72</v>
      </c>
      <c r="K28">
        <v>-11.84</v>
      </c>
      <c r="L28">
        <v>3.31</v>
      </c>
      <c r="M28" s="1">
        <f>IF(ISNUMBER(Main_S[[#This Row],[EPS]]),IF(Main_S[[#This Row],[EPS]]&lt;&gt;0,Main_S[[#This Row],[Current Price]]/Main_S[[#This Row],[EPS]],""),"")</f>
        <v>-9.3275862068965534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-0.43588553132917685</v>
      </c>
      <c r="P28" s="1">
        <f>(Main_S[[#This Row],[P/B]]-VLOOKUP(Main_S[[#This Row],[Industry]], Mean_PB_S, 2, FALSE))/(VLOOKUP(Main_S[[#This Row],[Industry]], Mean_PB_S, 3, FALSE))</f>
        <v>6.2001170055034267</v>
      </c>
      <c r="Q28" s="1">
        <f>(Main_S[[#This Row],[ROE]]-VLOOKUP(Main_S[[#This Row],[Industry]], Mean_ROE_S, 2, FALSE))/(VLOOKUP(Main_S[[#This Row],[Industry]], Mean_ROE_S, 3, FALSE))</f>
        <v>-5.0312557795442316</v>
      </c>
      <c r="R28" s="1">
        <f>(Main_S[[#This Row],[ROA]]-VLOOKUP(Main_S[[#This Row],[Industry]], Mean_ROA_S, 2, FALSE))/(VLOOKUP(Main_S[[#This Row],[Industry]], Mean_ROA_S, 3, FALSE))</f>
        <v>-5.6005609558603169</v>
      </c>
      <c r="S28" s="1">
        <f>(Main_S[[#This Row],[A/E]]-VLOOKUP(Main_S[[#This Row],[Industry]], Mean_AE_S, 2, FALSE))/(VLOOKUP(Main_S[[#This Row],[Industry]], Mean_AE_S, 3, FALSE))</f>
        <v>0.8405373692119289</v>
      </c>
      <c r="T28" s="1">
        <f>(Main_S[[#This Row],[P/E]]-VLOOKUP(Main_S[[#This Row],[Industry]], Mean_PE_S, 2, FALSE))/(VLOOKUP(Main_S[[#This Row],[Industry]], Mean_PE_S, 3, FALSE))</f>
        <v>-0.70835120868489798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8" t="s">
        <v>105</v>
      </c>
      <c r="B29" s="68" t="s">
        <v>225</v>
      </c>
      <c r="C29" s="2">
        <v>613</v>
      </c>
      <c r="D29">
        <f>RTD("tos.rtd", , "LAST", Main_S[[#This Row],[Symbol]])</f>
        <v>11.61</v>
      </c>
      <c r="E29">
        <v>-1.89</v>
      </c>
      <c r="F29">
        <v>8.26</v>
      </c>
      <c r="G29">
        <v>0.46</v>
      </c>
      <c r="H29" s="1">
        <f>IF(ISNUMBER(Main_S[[#This Row],[Free CF]]),IF(Main_S[[#This Row],[Free CF]]&lt;&gt;0,Main_S[[#This Row],[Current Price]]/Main_S[[#This Row],[Free CF]],""),"")</f>
        <v>-6.1428571428571432</v>
      </c>
      <c r="I29" s="1">
        <f>IF(ISNUMBER(Main_S[[#This Row],[BVPS]]),IF(Main_S[[#This Row],[BVPS]]&lt;&gt;0,Main_S[[#This Row],[Current Price]]/Main_S[[#This Row],[BVPS]],""),"")</f>
        <v>1.4055690072639224</v>
      </c>
      <c r="J29">
        <v>5.55</v>
      </c>
      <c r="K29">
        <v>4.5599999999999996</v>
      </c>
      <c r="L29">
        <v>4.22</v>
      </c>
      <c r="M29" s="1">
        <f>IF(ISNUMBER(Main_S[[#This Row],[EPS]]),IF(Main_S[[#This Row],[EPS]]&lt;&gt;0,Main_S[[#This Row],[Current Price]]/Main_S[[#This Row],[EPS]],""),"")</f>
        <v>25.239130434782606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-0.27250677682033897</v>
      </c>
      <c r="P29" s="1">
        <f>(Main_S[[#This Row],[P/B]]-VLOOKUP(Main_S[[#This Row],[Industry]], Mean_PB_S, 2, FALSE))/(VLOOKUP(Main_S[[#This Row],[Industry]], Mean_PB_S, 3, FALSE))</f>
        <v>-0.13066347874570841</v>
      </c>
      <c r="Q29" s="1">
        <f>(Main_S[[#This Row],[ROE]]-VLOOKUP(Main_S[[#This Row],[Industry]], Mean_ROE_S, 2, FALSE))/(VLOOKUP(Main_S[[#This Row],[Industry]], Mean_ROE_S, 3, FALSE))</f>
        <v>3.3497614319993401E-3</v>
      </c>
      <c r="R29" s="1">
        <f>(Main_S[[#This Row],[ROA]]-VLOOKUP(Main_S[[#This Row],[Industry]], Mean_ROA_S, 2, FALSE))/(VLOOKUP(Main_S[[#This Row],[Industry]], Mean_ROA_S, 3, FALSE))</f>
        <v>0.30891713569603929</v>
      </c>
      <c r="S29" s="1">
        <f>(Main_S[[#This Row],[A/E]]-VLOOKUP(Main_S[[#This Row],[Industry]], Mean_AE_S, 2, FALSE))/(VLOOKUP(Main_S[[#This Row],[Industry]], Mean_AE_S, 3, FALSE))</f>
        <v>1.8817085975794516</v>
      </c>
      <c r="T29" s="1">
        <f>(Main_S[[#This Row],[P/E]]-VLOOKUP(Main_S[[#This Row],[Industry]], Mean_PE_S, 2, FALSE))/(VLOOKUP(Main_S[[#This Row],[Industry]], Mean_PE_S, 3, FALSE))</f>
        <v>1.2672244826975012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8" t="s">
        <v>105</v>
      </c>
      <c r="B30" s="68" t="s">
        <v>245</v>
      </c>
      <c r="C30" s="2">
        <v>412</v>
      </c>
      <c r="D30">
        <f>RTD("tos.rtd", , "LAST", Main_S[[#This Row],[Symbol]])</f>
        <v>15.49</v>
      </c>
      <c r="E30">
        <v>-3.57</v>
      </c>
      <c r="F30">
        <v>37.549999999999997</v>
      </c>
      <c r="G30">
        <v>4.1100000000000003</v>
      </c>
      <c r="H30" s="1">
        <f>IF(ISNUMBER(Main_S[[#This Row],[Free CF]]),IF(Main_S[[#This Row],[Free CF]]&lt;&gt;0,Main_S[[#This Row],[Current Price]]/Main_S[[#This Row],[Free CF]],""),"")</f>
        <v>-4.3389355742296924</v>
      </c>
      <c r="I30" s="1">
        <f>IF(ISNUMBER(Main_S[[#This Row],[BVPS]]),IF(Main_S[[#This Row],[BVPS]]&lt;&gt;0,Main_S[[#This Row],[Current Price]]/Main_S[[#This Row],[BVPS]],""),"")</f>
        <v>0.41251664447403463</v>
      </c>
      <c r="J30">
        <v>12.8</v>
      </c>
      <c r="K30">
        <v>5.63</v>
      </c>
      <c r="L30">
        <v>2.6</v>
      </c>
      <c r="M30" s="1">
        <f>IF(ISNUMBER(Main_S[[#This Row],[EPS]]),IF(Main_S[[#This Row],[EPS]]&lt;&gt;0,Main_S[[#This Row],[Current Price]]/Main_S[[#This Row],[EPS]],""),"")</f>
        <v>3.7688564476885644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-0.17258662686431658</v>
      </c>
      <c r="P30" s="1">
        <f>(Main_S[[#This Row],[P/B]]-VLOOKUP(Main_S[[#This Row],[Industry]], Mean_PB_S, 2, FALSE))/(VLOOKUP(Main_S[[#This Row],[Industry]], Mean_PB_S, 3, FALSE))</f>
        <v>-1.064840595653384</v>
      </c>
      <c r="Q30" s="1">
        <f>(Main_S[[#This Row],[ROE]]-VLOOKUP(Main_S[[#This Row],[Industry]], Mean_ROE_S, 2, FALSE))/(VLOOKUP(Main_S[[#This Row],[Industry]], Mean_ROE_S, 3, FALSE))</f>
        <v>0.50151941029343894</v>
      </c>
      <c r="R30" s="1">
        <f>(Main_S[[#This Row],[ROA]]-VLOOKUP(Main_S[[#This Row],[Industry]], Mean_ROA_S, 2, FALSE))/(VLOOKUP(Main_S[[#This Row],[Industry]], Mean_ROA_S, 3, FALSE))</f>
        <v>0.69447454776709427</v>
      </c>
      <c r="S30" s="1">
        <f>(Main_S[[#This Row],[A/E]]-VLOOKUP(Main_S[[#This Row],[Industry]], Mean_AE_S, 2, FALSE))/(VLOOKUP(Main_S[[#This Row],[Industry]], Mean_AE_S, 3, FALSE))</f>
        <v>2.8194982243861546E-2</v>
      </c>
      <c r="T30" s="1">
        <f>(Main_S[[#This Row],[P/E]]-VLOOKUP(Main_S[[#This Row],[Industry]], Mean_PE_S, 2, FALSE))/(VLOOKUP(Main_S[[#This Row],[Industry]], Mean_PE_S, 3, FALSE))</f>
        <v>4.0143767571692641E-2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8" t="s">
        <v>105</v>
      </c>
      <c r="B31" s="68" t="s">
        <v>229</v>
      </c>
      <c r="C31" s="2">
        <v>1516</v>
      </c>
      <c r="D31">
        <f>RTD("tos.rtd", , "LAST", Main_S[[#This Row],[Symbol]])</f>
        <v>11.28</v>
      </c>
      <c r="E31">
        <v>-5.32</v>
      </c>
      <c r="F31">
        <v>3.87</v>
      </c>
      <c r="G31">
        <v>0.18</v>
      </c>
      <c r="H31" s="1">
        <f>IF(ISNUMBER(Main_S[[#This Row],[Free CF]]),IF(Main_S[[#This Row],[Free CF]]&lt;&gt;0,Main_S[[#This Row],[Current Price]]/Main_S[[#This Row],[Free CF]],""),"")</f>
        <v>-2.1203007518796988</v>
      </c>
      <c r="I31" s="1">
        <f>IF(ISNUMBER(Main_S[[#This Row],[BVPS]]),IF(Main_S[[#This Row],[BVPS]]&lt;&gt;0,Main_S[[#This Row],[Current Price]]/Main_S[[#This Row],[BVPS]],""),"")</f>
        <v>2.9147286821705425</v>
      </c>
      <c r="J31">
        <v>4.2</v>
      </c>
      <c r="K31">
        <v>3.32</v>
      </c>
      <c r="L31">
        <v>12.77</v>
      </c>
      <c r="M31" s="1">
        <f>IF(ISNUMBER(Main_S[[#This Row],[EPS]]),IF(Main_S[[#This Row],[EPS]]&lt;&gt;0,Main_S[[#This Row],[Current Price]]/Main_S[[#This Row],[EPS]],""),"")</f>
        <v>62.666666666666664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-4.9695295000293939E-2</v>
      </c>
      <c r="P31" s="1">
        <f>(Main_S[[#This Row],[P/B]]-VLOOKUP(Main_S[[#This Row],[Industry]], Mean_PB_S, 2, FALSE))/(VLOOKUP(Main_S[[#This Row],[Industry]], Mean_PB_S, 3, FALSE))</f>
        <v>1.2890224178739089</v>
      </c>
      <c r="Q31" s="1">
        <f>(Main_S[[#This Row],[ROE]]-VLOOKUP(Main_S[[#This Row],[Industry]], Mean_ROE_S, 2, FALSE))/(VLOOKUP(Main_S[[#This Row],[Industry]], Mean_ROE_S, 3, FALSE))</f>
        <v>-8.9412862838751453E-2</v>
      </c>
      <c r="R31" s="1">
        <f>(Main_S[[#This Row],[ROA]]-VLOOKUP(Main_S[[#This Row],[Industry]], Mean_ROA_S, 2, FALSE))/(VLOOKUP(Main_S[[#This Row],[Industry]], Mean_ROA_S, 3, FALSE))</f>
        <v>-0.13789706147041683</v>
      </c>
      <c r="S31" s="1">
        <f>(Main_S[[#This Row],[A/E]]-VLOOKUP(Main_S[[#This Row],[Industry]], Mean_AE_S, 2, FALSE))/(VLOOKUP(Main_S[[#This Row],[Industry]], Mean_AE_S, 3, FALSE))</f>
        <v>11.664141567406178</v>
      </c>
      <c r="T31" s="1">
        <f>(Main_S[[#This Row],[P/E]]-VLOOKUP(Main_S[[#This Row],[Industry]], Mean_PE_S, 2, FALSE))/(VLOOKUP(Main_S[[#This Row],[Industry]], Mean_PE_S, 3, FALSE))</f>
        <v>3.40630328310891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2" spans="1:26" x14ac:dyDescent="0.25">
      <c r="A32" s="68" t="s">
        <v>105</v>
      </c>
      <c r="B32" s="68" t="s">
        <v>236</v>
      </c>
      <c r="C32" s="2">
        <v>407</v>
      </c>
      <c r="D32">
        <f>RTD("tos.rtd", , "LAST", Main_S[[#This Row],[Symbol]])</f>
        <v>7.84</v>
      </c>
      <c r="E32">
        <v>-6.52</v>
      </c>
      <c r="F32">
        <v>11.84</v>
      </c>
      <c r="G32">
        <v>-8.92</v>
      </c>
      <c r="H32" s="1">
        <f>IF(ISNUMBER(Main_S[[#This Row],[Free CF]]),IF(Main_S[[#This Row],[Free CF]]&lt;&gt;0,Main_S[[#This Row],[Current Price]]/Main_S[[#This Row],[Free CF]],""),"")</f>
        <v>-1.2024539877300615</v>
      </c>
      <c r="I32" s="1">
        <f>IF(ISNUMBER(Main_S[[#This Row],[BVPS]]),IF(Main_S[[#This Row],[BVPS]]&lt;&gt;0,Main_S[[#This Row],[Current Price]]/Main_S[[#This Row],[BVPS]],""),"")</f>
        <v>0.66216216216216217</v>
      </c>
      <c r="J32">
        <v>-57.76</v>
      </c>
      <c r="K32">
        <v>-16.989999999999998</v>
      </c>
      <c r="L32">
        <v>2</v>
      </c>
      <c r="M32" s="1">
        <f>IF(ISNUMBER(Main_S[[#This Row],[EPS]]),IF(Main_S[[#This Row],[EPS]]&lt;&gt;0,Main_S[[#This Row],[Current Price]]/Main_S[[#This Row],[EPS]],""),"")</f>
        <v>-0.87892376681614348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1.1447126283426283E-3</v>
      </c>
      <c r="P32" s="1">
        <f>(Main_S[[#This Row],[P/B]]-VLOOKUP(Main_S[[#This Row],[Industry]], Mean_PB_S, 2, FALSE))/(VLOOKUP(Main_S[[#This Row],[Industry]], Mean_PB_S, 3, FALSE))</f>
        <v>-0.82999584959424499</v>
      </c>
      <c r="Q32" s="1">
        <f>(Main_S[[#This Row],[ROE]]-VLOOKUP(Main_S[[#This Row],[Industry]], Mean_ROE_S, 2, FALSE))/(VLOOKUP(Main_S[[#This Row],[Industry]], Mean_ROE_S, 3, FALSE))</f>
        <v>-4.3468737515911373</v>
      </c>
      <c r="R32" s="1">
        <f>(Main_S[[#This Row],[ROA]]-VLOOKUP(Main_S[[#This Row],[Industry]], Mean_ROA_S, 2, FALSE))/(VLOOKUP(Main_S[[#This Row],[Industry]], Mean_ROA_S, 3, FALSE))</f>
        <v>-7.4562812102210003</v>
      </c>
      <c r="S32" s="1">
        <f>(Main_S[[#This Row],[A/E]]-VLOOKUP(Main_S[[#This Row],[Industry]], Mean_AE_S, 2, FALSE))/(VLOOKUP(Main_S[[#This Row],[Industry]], Mean_AE_S, 3, FALSE))</f>
        <v>-0.65829154195450534</v>
      </c>
      <c r="T32" s="1">
        <f>(Main_S[[#This Row],[P/E]]-VLOOKUP(Main_S[[#This Row],[Industry]], Mean_PE_S, 2, FALSE))/(VLOOKUP(Main_S[[#This Row],[Industry]], Mean_PE_S, 3, FALSE))</f>
        <v>-0.22548868186934673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8" t="s">
        <v>121</v>
      </c>
      <c r="B33" s="68" t="s">
        <v>247</v>
      </c>
      <c r="C33" s="2">
        <v>1479</v>
      </c>
      <c r="D33">
        <f>RTD("tos.rtd", , "LAST", Main_S[[#This Row],[Symbol]])</f>
        <v>11.8</v>
      </c>
      <c r="E33">
        <v>0.51</v>
      </c>
      <c r="F33">
        <v>7.05</v>
      </c>
      <c r="G33">
        <v>0.77</v>
      </c>
      <c r="H33" s="1">
        <f>IF(ISNUMBER(Main_S[[#This Row],[Free CF]]),IF(Main_S[[#This Row],[Free CF]]&lt;&gt;0,Main_S[[#This Row],[Current Price]]/Main_S[[#This Row],[Free CF]],""),"")</f>
        <v>23.137254901960784</v>
      </c>
      <c r="I33" s="1">
        <f>IF(ISNUMBER(Main_S[[#This Row],[BVPS]]),IF(Main_S[[#This Row],[BVPS]]&lt;&gt;0,Main_S[[#This Row],[Current Price]]/Main_S[[#This Row],[BVPS]],""),"")</f>
        <v>1.6737588652482271</v>
      </c>
      <c r="J33">
        <v>13.9</v>
      </c>
      <c r="K33">
        <v>5.42</v>
      </c>
      <c r="L33">
        <v>1.76</v>
      </c>
      <c r="M33" s="1">
        <f>IF(ISNUMBER(Main_S[[#This Row],[EPS]]),IF(Main_S[[#This Row],[EPS]]&lt;&gt;0,Main_S[[#This Row],[Current Price]]/Main_S[[#This Row],[EPS]],""),"")</f>
        <v>15.324675324675326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33" s="1">
        <f>(Main_S[[#This Row],[P/FCF]]-VLOOKUP(Main_S[[#This Row],[Industry]], Mean_PFCF_S, 2, FALSE))/(VLOOKUP(Main_S[[#This Row],[Industry]], Mean_PFCF_S, 3, FALSE))</f>
        <v>-0.99999999999999656</v>
      </c>
      <c r="P33" s="1">
        <f>(Main_S[[#This Row],[P/B]]-VLOOKUP(Main_S[[#This Row],[Industry]], Mean_PB_S, 2, FALSE))/(VLOOKUP(Main_S[[#This Row],[Industry]], Mean_PB_S, 3, FALSE))</f>
        <v>-1.0000000000000002</v>
      </c>
      <c r="Q33" s="1">
        <f>(Main_S[[#This Row],[ROE]]-VLOOKUP(Main_S[[#This Row],[Industry]], Mean_ROE_S, 2, FALSE))/(VLOOKUP(Main_S[[#This Row],[Industry]], Mean_ROE_S, 3, FALSE))</f>
        <v>-0.99999999999998634</v>
      </c>
      <c r="R33" s="1">
        <f>(Main_S[[#This Row],[ROA]]-VLOOKUP(Main_S[[#This Row],[Industry]], Mean_ROA_S, 2, FALSE))/(VLOOKUP(Main_S[[#This Row],[Industry]], Mean_ROA_S, 3, FALSE))</f>
        <v>-0.99999999999999922</v>
      </c>
      <c r="S33" s="1">
        <f>(Main_S[[#This Row],[A/E]]-VLOOKUP(Main_S[[#This Row],[Industry]], Mean_AE_S, 2, FALSE))/(VLOOKUP(Main_S[[#This Row],[Industry]], Mean_AE_S, 3, FALSE))</f>
        <v>-1</v>
      </c>
      <c r="T33" s="1">
        <f>(Main_S[[#This Row],[P/E]]-VLOOKUP(Main_S[[#This Row],[Industry]], Mean_PE_S, 2, FALSE))/(VLOOKUP(Main_S[[#This Row],[Industry]], Mean_PE_S, 3, FALSE))</f>
        <v>-0.99999999999999989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8" t="s">
        <v>121</v>
      </c>
      <c r="B34" s="68" t="s">
        <v>246</v>
      </c>
      <c r="C34" s="2">
        <v>514</v>
      </c>
      <c r="D34">
        <f>RTD("tos.rtd", , "LAST", Main_S[[#This Row],[Symbol]])</f>
        <v>5.98</v>
      </c>
      <c r="E34">
        <v>0.19</v>
      </c>
      <c r="F34">
        <v>0.8</v>
      </c>
      <c r="G34">
        <v>0.13</v>
      </c>
      <c r="H34" s="1">
        <f>IF(ISNUMBER(Main_S[[#This Row],[Free CF]]),IF(Main_S[[#This Row],[Free CF]]&lt;&gt;0,Main_S[[#This Row],[Current Price]]/Main_S[[#This Row],[Free CF]],""),"")</f>
        <v>31.473684210526319</v>
      </c>
      <c r="I34" s="1">
        <f>IF(ISNUMBER(Main_S[[#This Row],[BVPS]]),IF(Main_S[[#This Row],[BVPS]]&lt;&gt;0,Main_S[[#This Row],[Current Price]]/Main_S[[#This Row],[BVPS]],""),"")</f>
        <v>7.4750000000000005</v>
      </c>
      <c r="J34">
        <v>16.14</v>
      </c>
      <c r="K34">
        <v>7.65</v>
      </c>
      <c r="L34">
        <v>2.52</v>
      </c>
      <c r="M34" s="1">
        <f>IF(ISNUMBER(Main_S[[#This Row],[EPS]]),IF(Main_S[[#This Row],[EPS]]&lt;&gt;0,Main_S[[#This Row],[Current Price]]/Main_S[[#This Row],[EPS]],""),"")</f>
        <v>46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0.99999999999999656</v>
      </c>
      <c r="P34" s="1">
        <f>(Main_S[[#This Row],[P/B]]-VLOOKUP(Main_S[[#This Row],[Industry]], Mean_PB_S, 2, FALSE))/(VLOOKUP(Main_S[[#This Row],[Industry]], Mean_PB_S, 3, FALSE))</f>
        <v>1.0000000000000002</v>
      </c>
      <c r="Q34" s="1">
        <f>(Main_S[[#This Row],[ROE]]-VLOOKUP(Main_S[[#This Row],[Industry]], Mean_ROE_S, 2, FALSE))/(VLOOKUP(Main_S[[#This Row],[Industry]], Mean_ROE_S, 3, FALSE))</f>
        <v>0.9999999999999879</v>
      </c>
      <c r="R34" s="1">
        <f>(Main_S[[#This Row],[ROA]]-VLOOKUP(Main_S[[#This Row],[Industry]], Mean_ROA_S, 2, FALSE))/(VLOOKUP(Main_S[[#This Row],[Industry]], Mean_ROA_S, 3, FALSE))</f>
        <v>0.99999999999999922</v>
      </c>
      <c r="S34" s="1">
        <f>(Main_S[[#This Row],[A/E]]-VLOOKUP(Main_S[[#This Row],[Industry]], Mean_AE_S, 2, FALSE))/(VLOOKUP(Main_S[[#This Row],[Industry]], Mean_AE_S, 3, FALSE))</f>
        <v>0.99999999999999944</v>
      </c>
      <c r="T34" s="1">
        <f>(Main_S[[#This Row],[P/E]]-VLOOKUP(Main_S[[#This Row],[Industry]], Mean_PE_S, 2, FALSE))/(VLOOKUP(Main_S[[#This Row],[Industry]], Mean_PE_S, 3, FALSE))</f>
        <v>0.99999999999999989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8" t="s">
        <v>125</v>
      </c>
      <c r="B35" s="68" t="s">
        <v>312</v>
      </c>
      <c r="C35" s="2">
        <v>1300</v>
      </c>
      <c r="D35">
        <f>RTD("tos.rtd", , "LAST", Main_S[[#This Row],[Symbol]])</f>
        <v>15.49</v>
      </c>
      <c r="E35">
        <v>2.2200000000000002</v>
      </c>
      <c r="F35">
        <v>16.329999999999998</v>
      </c>
      <c r="G35">
        <v>1.33</v>
      </c>
      <c r="H35" s="1">
        <f>IF(ISNUMBER(Main_S[[#This Row],[Free CF]]),IF(Main_S[[#This Row],[Free CF]]&lt;&gt;0,Main_S[[#This Row],[Current Price]]/Main_S[[#This Row],[Free CF]],""),"")</f>
        <v>6.9774774774774766</v>
      </c>
      <c r="I35" s="1">
        <f>IF(ISNUMBER(Main_S[[#This Row],[BVPS]]),IF(Main_S[[#This Row],[BVPS]]&lt;&gt;0,Main_S[[#This Row],[Current Price]]/Main_S[[#This Row],[BVPS]],""),"")</f>
        <v>0.9485609308022046</v>
      </c>
      <c r="J35">
        <v>8.5</v>
      </c>
      <c r="K35">
        <v>4.49</v>
      </c>
      <c r="L35">
        <v>1.84</v>
      </c>
      <c r="M35" s="1">
        <f>IF(ISNUMBER(Main_S[[#This Row],[EPS]]),IF(Main_S[[#This Row],[EPS]]&lt;&gt;0,Main_S[[#This Row],[Current Price]]/Main_S[[#This Row],[EPS]],""),"")</f>
        <v>11.646616541353383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-1.1590947049898122</v>
      </c>
      <c r="P35" s="1">
        <f>(Main_S[[#This Row],[P/B]]-VLOOKUP(Main_S[[#This Row],[Industry]], Mean_PB_S, 2, FALSE))/(VLOOKUP(Main_S[[#This Row],[Industry]], Mean_PB_S, 3, FALSE))</f>
        <v>-0.58054631334314688</v>
      </c>
      <c r="Q35" s="1">
        <f>(Main_S[[#This Row],[ROE]]-VLOOKUP(Main_S[[#This Row],[Industry]], Mean_ROE_S, 2, FALSE))/(VLOOKUP(Main_S[[#This Row],[Industry]], Mean_ROE_S, 3, FALSE))</f>
        <v>1.3894123720489728</v>
      </c>
      <c r="R35" s="1">
        <f>(Main_S[[#This Row],[ROA]]-VLOOKUP(Main_S[[#This Row],[Industry]], Mean_ROA_S, 2, FALSE))/(VLOOKUP(Main_S[[#This Row],[Industry]], Mean_ROA_S, 3, FALSE))</f>
        <v>0.68631195671391221</v>
      </c>
      <c r="S35" s="1">
        <f>(Main_S[[#This Row],[A/E]]-VLOOKUP(Main_S[[#This Row],[Industry]], Mean_AE_S, 2, FALSE))/(VLOOKUP(Main_S[[#This Row],[Industry]], Mean_AE_S, 3, FALSE))</f>
        <v>-1.4029911171997664</v>
      </c>
      <c r="T35" s="1">
        <f>(Main_S[[#This Row],[P/E]]-VLOOKUP(Main_S[[#This Row],[Industry]], Mean_PE_S, 2, FALSE))/(VLOOKUP(Main_S[[#This Row],[Industry]], Mean_PE_S, 3, FALSE))</f>
        <v>-0.39728052630871658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8" t="s">
        <v>125</v>
      </c>
      <c r="B36" s="68" t="s">
        <v>248</v>
      </c>
      <c r="C36" s="2">
        <v>474</v>
      </c>
      <c r="D36">
        <f>RTD("tos.rtd", , "LAST", Main_S[[#This Row],[Symbol]])</f>
        <v>14.23</v>
      </c>
      <c r="E36">
        <v>1.1399999999999999</v>
      </c>
      <c r="F36">
        <v>7.43</v>
      </c>
      <c r="G36">
        <v>0.28000000000000003</v>
      </c>
      <c r="H36" s="1">
        <f>IF(ISNUMBER(Main_S[[#This Row],[Free CF]]),IF(Main_S[[#This Row],[Free CF]]&lt;&gt;0,Main_S[[#This Row],[Current Price]]/Main_S[[#This Row],[Free CF]],""),"")</f>
        <v>12.482456140350878</v>
      </c>
      <c r="I36" s="1">
        <f>IF(ISNUMBER(Main_S[[#This Row],[BVPS]]),IF(Main_S[[#This Row],[BVPS]]&lt;&gt;0,Main_S[[#This Row],[Current Price]]/Main_S[[#This Row],[BVPS]],""),"")</f>
        <v>1.9152086137281292</v>
      </c>
      <c r="J36">
        <v>3.69</v>
      </c>
      <c r="K36">
        <v>5.28</v>
      </c>
      <c r="L36">
        <v>3.19</v>
      </c>
      <c r="M36" s="1">
        <f>IF(ISNUMBER(Main_S[[#This Row],[EPS]]),IF(Main_S[[#This Row],[EPS]]&lt;&gt;0,Main_S[[#This Row],[Current Price]]/Main_S[[#This Row],[EPS]],""),"")</f>
        <v>50.821428571428569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-0.77660484148538722</v>
      </c>
      <c r="P36" s="1">
        <f>(Main_S[[#This Row],[P/B]]-VLOOKUP(Main_S[[#This Row],[Industry]], Mean_PB_S, 2, FALSE))/(VLOOKUP(Main_S[[#This Row],[Industry]], Mean_PB_S, 3, FALSE))</f>
        <v>1.2491471913304593</v>
      </c>
      <c r="Q36" s="1">
        <f>(Main_S[[#This Row],[ROE]]-VLOOKUP(Main_S[[#This Row],[Industry]], Mean_ROE_S, 2, FALSE))/(VLOOKUP(Main_S[[#This Row],[Industry]], Mean_ROE_S, 3, FALSE))</f>
        <v>-0.92306981118824449</v>
      </c>
      <c r="R36" s="1">
        <f>(Main_S[[#This Row],[ROA]]-VLOOKUP(Main_S[[#This Row],[Industry]], Mean_ROA_S, 2, FALSE))/(VLOOKUP(Main_S[[#This Row],[Industry]], Mean_ROA_S, 3, FALSE))</f>
        <v>1.0538959877674652</v>
      </c>
      <c r="S36" s="1">
        <f>(Main_S[[#This Row],[A/E]]-VLOOKUP(Main_S[[#This Row],[Industry]], Mean_AE_S, 2, FALSE))/(VLOOKUP(Main_S[[#This Row],[Industry]], Mean_AE_S, 3, FALSE))</f>
        <v>12.455823577090625</v>
      </c>
      <c r="T36" s="1">
        <f>(Main_S[[#This Row],[P/E]]-VLOOKUP(Main_S[[#This Row],[Industry]], Mean_PE_S, 2, FALSE))/(VLOOKUP(Main_S[[#This Row],[Industry]], Mean_PE_S, 3, FALSE))</f>
        <v>1.2370118388819236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8" t="s">
        <v>125</v>
      </c>
      <c r="B37" s="68" t="s">
        <v>250</v>
      </c>
      <c r="C37" s="2">
        <v>1072</v>
      </c>
      <c r="D37">
        <f>RTD("tos.rtd", , "LAST", Main_S[[#This Row],[Symbol]])</f>
        <v>26.82</v>
      </c>
      <c r="E37">
        <v>0.64</v>
      </c>
      <c r="F37">
        <v>16.86</v>
      </c>
      <c r="G37">
        <v>0.77</v>
      </c>
      <c r="H37" s="1">
        <f>IF(ISNUMBER(Main_S[[#This Row],[Free CF]]),IF(Main_S[[#This Row],[Free CF]]&lt;&gt;0,Main_S[[#This Row],[Current Price]]/Main_S[[#This Row],[Free CF]],""),"")</f>
        <v>41.90625</v>
      </c>
      <c r="I37" s="1">
        <f>IF(ISNUMBER(Main_S[[#This Row],[BVPS]]),IF(Main_S[[#This Row],[BVPS]]&lt;&gt;0,Main_S[[#This Row],[Current Price]]/Main_S[[#This Row],[BVPS]],""),"")</f>
        <v>1.5907473309608542</v>
      </c>
      <c r="J37">
        <v>4.6399999999999997</v>
      </c>
      <c r="K37">
        <v>2.59</v>
      </c>
      <c r="L37">
        <v>2.0299999999999998</v>
      </c>
      <c r="M37" s="1">
        <f>IF(ISNUMBER(Main_S[[#This Row],[EPS]]),IF(Main_S[[#This Row],[EPS]]&lt;&gt;0,Main_S[[#This Row],[Current Price]]/Main_S[[#This Row],[EPS]],""),"")</f>
        <v>34.831168831168831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1.2677814470683981</v>
      </c>
      <c r="P37" s="1">
        <f>(Main_S[[#This Row],[P/B]]-VLOOKUP(Main_S[[#This Row],[Industry]], Mean_PB_S, 2, FALSE))/(VLOOKUP(Main_S[[#This Row],[Industry]], Mean_PB_S, 3, FALSE))</f>
        <v>0.63499923227220256</v>
      </c>
      <c r="Q37" s="1">
        <f>(Main_S[[#This Row],[ROE]]-VLOOKUP(Main_S[[#This Row],[Industry]], Mean_ROE_S, 2, FALSE))/(VLOOKUP(Main_S[[#This Row],[Industry]], Mean_ROE_S, 3, FALSE))</f>
        <v>-0.46634256086072767</v>
      </c>
      <c r="R37" s="1">
        <f>(Main_S[[#This Row],[ROA]]-VLOOKUP(Main_S[[#This Row],[Industry]], Mean_ROA_S, 2, FALSE))/(VLOOKUP(Main_S[[#This Row],[Industry]], Mean_ROA_S, 3, FALSE))</f>
        <v>-0.19775090278197457</v>
      </c>
      <c r="S37" s="1">
        <f>(Main_S[[#This Row],[A/E]]-VLOOKUP(Main_S[[#This Row],[Industry]], Mean_AE_S, 2, FALSE))/(VLOOKUP(Main_S[[#This Row],[Industry]], Mean_AE_S, 3, FALSE))</f>
        <v>0.54750872866332312</v>
      </c>
      <c r="T37" s="1">
        <f>(Main_S[[#This Row],[P/E]]-VLOOKUP(Main_S[[#This Row],[Industry]], Mean_PE_S, 2, FALSE))/(VLOOKUP(Main_S[[#This Row],[Industry]], Mean_PE_S, 3, FALSE))</f>
        <v>0.56993118024700318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8" t="s">
        <v>125</v>
      </c>
      <c r="B38" s="68" t="s">
        <v>251</v>
      </c>
      <c r="C38" s="2">
        <v>280</v>
      </c>
      <c r="D38">
        <f>RTD("tos.rtd", , "LAST", Main_S[[#This Row],[Symbol]])</f>
        <v>3.66</v>
      </c>
      <c r="E38">
        <v>0.11</v>
      </c>
      <c r="F38">
        <v>6.46</v>
      </c>
      <c r="G38">
        <v>-0.28999999999999998</v>
      </c>
      <c r="H38" s="1">
        <f>IF(ISNUMBER(Main_S[[#This Row],[Free CF]]),IF(Main_S[[#This Row],[Free CF]]&lt;&gt;0,Main_S[[#This Row],[Current Price]]/Main_S[[#This Row],[Free CF]],""),"")</f>
        <v>33.272727272727273</v>
      </c>
      <c r="I38" s="1">
        <f>IF(ISNUMBER(Main_S[[#This Row],[BVPS]]),IF(Main_S[[#This Row],[BVPS]]&lt;&gt;0,Main_S[[#This Row],[Current Price]]/Main_S[[#This Row],[BVPS]],""),"")</f>
        <v>0.56656346749226005</v>
      </c>
      <c r="J38">
        <v>-4.4000000000000004</v>
      </c>
      <c r="K38">
        <v>-0.3</v>
      </c>
      <c r="L38">
        <v>2.06</v>
      </c>
      <c r="M38" s="1">
        <f>IF(ISNUMBER(Main_S[[#This Row],[EPS]]),IF(Main_S[[#This Row],[EPS]]&lt;&gt;0,Main_S[[#This Row],[Current Price]]/Main_S[[#This Row],[EPS]],""),"")</f>
        <v>-12.620689655172415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0.6679180994068018</v>
      </c>
      <c r="P38" s="1">
        <f>(Main_S[[#This Row],[P/B]]-VLOOKUP(Main_S[[#This Row],[Industry]], Mean_PB_S, 2, FALSE))/(VLOOKUP(Main_S[[#This Row],[Industry]], Mean_PB_S, 3, FALSE))</f>
        <v>-1.3036001102595154</v>
      </c>
      <c r="Q38" s="1">
        <f>(Main_S[[#This Row],[ROE]]-VLOOKUP(Main_S[[#This Row],[Industry]], Mean_ROE_S, 2, FALSE))/(VLOOKUP(Main_S[[#This Row],[Industry]], Mean_ROE_S, 3, FALSE))</f>
        <v>-4.8124629218720463</v>
      </c>
      <c r="R38" s="1">
        <f>(Main_S[[#This Row],[ROA]]-VLOOKUP(Main_S[[#This Row],[Industry]], Mean_ROA_S, 2, FALSE))/(VLOOKUP(Main_S[[#This Row],[Industry]], Mean_ROA_S, 3, FALSE))</f>
        <v>-1.5424570416994019</v>
      </c>
      <c r="S38" s="1">
        <f>(Main_S[[#This Row],[A/E]]-VLOOKUP(Main_S[[#This Row],[Industry]], Mean_AE_S, 2, FALSE))/(VLOOKUP(Main_S[[#This Row],[Industry]], Mean_AE_S, 3, FALSE))</f>
        <v>0.85548238853644554</v>
      </c>
      <c r="T38" s="1">
        <f>(Main_S[[#This Row],[P/E]]-VLOOKUP(Main_S[[#This Row],[Industry]], Mean_PE_S, 2, FALSE))/(VLOOKUP(Main_S[[#This Row],[Industry]], Mean_PE_S, 3, FALSE))</f>
        <v>-1.4096624928202099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8" t="s">
        <v>133</v>
      </c>
      <c r="B39" s="68" t="s">
        <v>299</v>
      </c>
      <c r="C39" s="2">
        <v>1462</v>
      </c>
      <c r="D39">
        <f>RTD("tos.rtd", , "LAST", Main_S[[#This Row],[Symbol]])</f>
        <v>112.16</v>
      </c>
      <c r="E39">
        <v>17.84</v>
      </c>
      <c r="F39">
        <v>123.72</v>
      </c>
      <c r="G39">
        <v>2.04</v>
      </c>
      <c r="H39" s="1">
        <f>IF(ISNUMBER(Main_S[[#This Row],[Free CF]]),IF(Main_S[[#This Row],[Free CF]]&lt;&gt;0,Main_S[[#This Row],[Current Price]]/Main_S[[#This Row],[Free CF]],""),"")</f>
        <v>6.2869955156950672</v>
      </c>
      <c r="I39" s="1">
        <f>IF(ISNUMBER(Main_S[[#This Row],[BVPS]]),IF(Main_S[[#This Row],[BVPS]]&lt;&gt;0,Main_S[[#This Row],[Current Price]]/Main_S[[#This Row],[BVPS]],""),"")</f>
        <v>0.90656320724215966</v>
      </c>
      <c r="J39">
        <v>1.66</v>
      </c>
      <c r="K39">
        <v>0.98</v>
      </c>
      <c r="L39">
        <v>1.49</v>
      </c>
      <c r="M39" s="1">
        <f>IF(ISNUMBER(Main_S[[#This Row],[EPS]]),IF(Main_S[[#This Row],[EPS]]&lt;&gt;0,Main_S[[#This Row],[Current Price]]/Main_S[[#This Row],[EPS]],""),"")</f>
        <v>54.980392156862742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0.58368543013456242</v>
      </c>
      <c r="P39" s="1">
        <f>(Main_S[[#This Row],[P/B]]-VLOOKUP(Main_S[[#This Row],[Industry]], Mean_PB_S, 2, FALSE))/(VLOOKUP(Main_S[[#This Row],[Industry]], Mean_PB_S, 3, FALSE))</f>
        <v>-0.7962896864394986</v>
      </c>
      <c r="Q39" s="1">
        <f>(Main_S[[#This Row],[ROE]]-VLOOKUP(Main_S[[#This Row],[Industry]], Mean_ROE_S, 2, FALSE))/(VLOOKUP(Main_S[[#This Row],[Industry]], Mean_ROE_S, 3, FALSE))</f>
        <v>0.34753664930216582</v>
      </c>
      <c r="R39" s="1">
        <f>(Main_S[[#This Row],[ROA]]-VLOOKUP(Main_S[[#This Row],[Industry]], Mean_ROA_S, 2, FALSE))/(VLOOKUP(Main_S[[#This Row],[Industry]], Mean_ROA_S, 3, FALSE))</f>
        <v>0.23590503651933323</v>
      </c>
      <c r="S39" s="1">
        <f>(Main_S[[#This Row],[A/E]]-VLOOKUP(Main_S[[#This Row],[Industry]], Mean_AE_S, 2, FALSE))/(VLOOKUP(Main_S[[#This Row],[Industry]], Mean_AE_S, 3, FALSE))</f>
        <v>-9.8697370910741544E-2</v>
      </c>
      <c r="T39" s="1">
        <f>(Main_S[[#This Row],[P/E]]-VLOOKUP(Main_S[[#This Row],[Industry]], Mean_PE_S, 2, FALSE))/(VLOOKUP(Main_S[[#This Row],[Industry]], Mean_PE_S, 3, FALSE))</f>
        <v>2.3407283400369572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8" t="s">
        <v>133</v>
      </c>
      <c r="B40" s="68" t="s">
        <v>308</v>
      </c>
      <c r="C40" s="2">
        <v>331</v>
      </c>
      <c r="D40">
        <f>RTD("tos.rtd", , "LAST", Main_S[[#This Row],[Symbol]])</f>
        <v>31.84</v>
      </c>
      <c r="E40">
        <v>4.46</v>
      </c>
      <c r="F40">
        <v>51.44</v>
      </c>
      <c r="G40">
        <v>1.43</v>
      </c>
      <c r="H40" s="1">
        <f>IF(ISNUMBER(Main_S[[#This Row],[Free CF]]),IF(Main_S[[#This Row],[Free CF]]&lt;&gt;0,Main_S[[#This Row],[Current Price]]/Main_S[[#This Row],[Free CF]],""),"")</f>
        <v>7.1390134529147984</v>
      </c>
      <c r="I40" s="1">
        <f>IF(ISNUMBER(Main_S[[#This Row],[BVPS]]),IF(Main_S[[#This Row],[BVPS]]&lt;&gt;0,Main_S[[#This Row],[Current Price]]/Main_S[[#This Row],[BVPS]],""),"")</f>
        <v>0.61897356143079318</v>
      </c>
      <c r="J40">
        <v>2.95</v>
      </c>
      <c r="K40">
        <v>2.4</v>
      </c>
      <c r="L40">
        <v>1.85</v>
      </c>
      <c r="M40" s="1">
        <f>IF(ISNUMBER(Main_S[[#This Row],[EPS]]),IF(Main_S[[#This Row],[EPS]]&lt;&gt;0,Main_S[[#This Row],[Current Price]]/Main_S[[#This Row],[EPS]],""),"")</f>
        <v>22.265734265734267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0.61324452232558346</v>
      </c>
      <c r="P40" s="1">
        <f>(Main_S[[#This Row],[P/B]]-VLOOKUP(Main_S[[#This Row],[Industry]], Mean_PB_S, 2, FALSE))/(VLOOKUP(Main_S[[#This Row],[Industry]], Mean_PB_S, 3, FALSE))</f>
        <v>-0.92175650889533978</v>
      </c>
      <c r="Q40" s="1">
        <f>(Main_S[[#This Row],[ROE]]-VLOOKUP(Main_S[[#This Row],[Industry]], Mean_ROE_S, 2, FALSE))/(VLOOKUP(Main_S[[#This Row],[Industry]], Mean_ROE_S, 3, FALSE))</f>
        <v>0.41215453930307205</v>
      </c>
      <c r="R40" s="1">
        <f>(Main_S[[#This Row],[ROA]]-VLOOKUP(Main_S[[#This Row],[Industry]], Mean_ROA_S, 2, FALSE))/(VLOOKUP(Main_S[[#This Row],[Industry]], Mean_ROA_S, 3, FALSE))</f>
        <v>0.40221868028968766</v>
      </c>
      <c r="S40" s="1">
        <f>(Main_S[[#This Row],[A/E]]-VLOOKUP(Main_S[[#This Row],[Industry]], Mean_AE_S, 2, FALSE))/(VLOOKUP(Main_S[[#This Row],[Industry]], Mean_AE_S, 3, FALSE))</f>
        <v>0.5219323850345351</v>
      </c>
      <c r="T40" s="1">
        <f>(Main_S[[#This Row],[P/E]]-VLOOKUP(Main_S[[#This Row],[Industry]], Mean_PE_S, 2, FALSE))/(VLOOKUP(Main_S[[#This Row],[Industry]], Mean_PE_S, 3, FALSE))</f>
        <v>1.122350383459588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8" t="s">
        <v>133</v>
      </c>
      <c r="B41" s="68" t="s">
        <v>305</v>
      </c>
      <c r="C41" s="2">
        <v>668</v>
      </c>
      <c r="D41">
        <f>RTD("tos.rtd", , "LAST", Main_S[[#This Row],[Symbol]])</f>
        <v>22</v>
      </c>
      <c r="E41">
        <v>3.85</v>
      </c>
      <c r="F41">
        <v>24.97</v>
      </c>
      <c r="G41">
        <v>-0.21</v>
      </c>
      <c r="H41" s="1">
        <f>IF(ISNUMBER(Main_S[[#This Row],[Free CF]]),IF(Main_S[[#This Row],[Free CF]]&lt;&gt;0,Main_S[[#This Row],[Current Price]]/Main_S[[#This Row],[Free CF]],""),"")</f>
        <v>5.7142857142857144</v>
      </c>
      <c r="I41" s="1">
        <f>IF(ISNUMBER(Main_S[[#This Row],[BVPS]]),IF(Main_S[[#This Row],[BVPS]]&lt;&gt;0,Main_S[[#This Row],[Current Price]]/Main_S[[#This Row],[BVPS]],""),"")</f>
        <v>0.88105726872246704</v>
      </c>
      <c r="J41">
        <v>-0.61</v>
      </c>
      <c r="K41">
        <v>0.86</v>
      </c>
      <c r="L41">
        <v>3.14</v>
      </c>
      <c r="M41" s="1">
        <f>IF(ISNUMBER(Main_S[[#This Row],[EPS]]),IF(Main_S[[#This Row],[EPS]]&lt;&gt;0,Main_S[[#This Row],[Current Price]]/Main_S[[#This Row],[EPS]],""),"")</f>
        <v>-104.76190476190476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0.5638163862106732</v>
      </c>
      <c r="P41" s="1">
        <f>(Main_S[[#This Row],[P/B]]-VLOOKUP(Main_S[[#This Row],[Industry]], Mean_PB_S, 2, FALSE))/(VLOOKUP(Main_S[[#This Row],[Industry]], Mean_PB_S, 3, FALSE))</f>
        <v>-0.80741717001350344</v>
      </c>
      <c r="Q41" s="1">
        <f>(Main_S[[#This Row],[ROE]]-VLOOKUP(Main_S[[#This Row],[Industry]], Mean_ROE_S, 2, FALSE))/(VLOOKUP(Main_S[[#This Row],[Industry]], Mean_ROE_S, 3, FALSE))</f>
        <v>0.23382919945560993</v>
      </c>
      <c r="R41" s="1">
        <f>(Main_S[[#This Row],[ROA]]-VLOOKUP(Main_S[[#This Row],[Industry]], Mean_ROA_S, 2, FALSE))/(VLOOKUP(Main_S[[#This Row],[Industry]], Mean_ROA_S, 3, FALSE))</f>
        <v>0.22185036239789482</v>
      </c>
      <c r="S41" s="1">
        <f>(Main_S[[#This Row],[A/E]]-VLOOKUP(Main_S[[#This Row],[Industry]], Mean_AE_S, 2, FALSE))/(VLOOKUP(Main_S[[#This Row],[Industry]], Mean_AE_S, 3, FALSE))</f>
        <v>2.7458556771717761</v>
      </c>
      <c r="T41" s="1">
        <f>(Main_S[[#This Row],[P/E]]-VLOOKUP(Main_S[[#This Row],[Industry]], Mean_PE_S, 2, FALSE))/(VLOOKUP(Main_S[[#This Row],[Industry]], Mean_PE_S, 3, FALSE))</f>
        <v>-3.6084854327789868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2" spans="1:26" x14ac:dyDescent="0.25">
      <c r="A42" s="68" t="s">
        <v>133</v>
      </c>
      <c r="B42" s="68" t="s">
        <v>256</v>
      </c>
      <c r="C42" s="2">
        <v>800</v>
      </c>
      <c r="D42">
        <f>RTD("tos.rtd", , "LAST", Main_S[[#This Row],[Symbol]])</f>
        <v>20.29</v>
      </c>
      <c r="E42">
        <v>2.2200000000000002</v>
      </c>
      <c r="F42">
        <v>5.68</v>
      </c>
      <c r="G42">
        <v>-3.56</v>
      </c>
      <c r="H42" s="1">
        <f>IF(ISNUMBER(Main_S[[#This Row],[Free CF]]),IF(Main_S[[#This Row],[Free CF]]&lt;&gt;0,Main_S[[#This Row],[Current Price]]/Main_S[[#This Row],[Free CF]],""),"")</f>
        <v>9.139639639639638</v>
      </c>
      <c r="I42" s="1">
        <f>IF(ISNUMBER(Main_S[[#This Row],[BVPS]]),IF(Main_S[[#This Row],[BVPS]]&lt;&gt;0,Main_S[[#This Row],[Current Price]]/Main_S[[#This Row],[BVPS]],""),"")</f>
        <v>3.5721830985915495</v>
      </c>
      <c r="J42">
        <v>-46.32</v>
      </c>
      <c r="K42">
        <v>0.96</v>
      </c>
      <c r="L42">
        <v>6.48</v>
      </c>
      <c r="M42" s="1">
        <f>IF(ISNUMBER(Main_S[[#This Row],[EPS]]),IF(Main_S[[#This Row],[EPS]]&lt;&gt;0,Main_S[[#This Row],[Current Price]]/Main_S[[#This Row],[EPS]],""),"")</f>
        <v>-5.6994382022471903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0.68265232621072536</v>
      </c>
      <c r="P42" s="1">
        <f>(Main_S[[#This Row],[P/B]]-VLOOKUP(Main_S[[#This Row],[Industry]], Mean_PB_S, 2, FALSE))/(VLOOKUP(Main_S[[#This Row],[Industry]], Mean_PB_S, 3, FALSE))</f>
        <v>0.36664111622945428</v>
      </c>
      <c r="Q42" s="1">
        <f>(Main_S[[#This Row],[ROE]]-VLOOKUP(Main_S[[#This Row],[Industry]], Mean_ROE_S, 2, FALSE))/(VLOOKUP(Main_S[[#This Row],[Industry]], Mean_ROE_S, 3, FALSE))</f>
        <v>-2.0558481276307639</v>
      </c>
      <c r="R42" s="1">
        <f>(Main_S[[#This Row],[ROA]]-VLOOKUP(Main_S[[#This Row],[Industry]], Mean_ROA_S, 2, FALSE))/(VLOOKUP(Main_S[[#This Row],[Industry]], Mean_ROA_S, 3, FALSE))</f>
        <v>0.23356259083242684</v>
      </c>
      <c r="S42" s="1">
        <f>(Main_S[[#This Row],[A/E]]-VLOOKUP(Main_S[[#This Row],[Industry]], Mean_AE_S, 2, FALSE))/(VLOOKUP(Main_S[[#This Row],[Industry]], Mean_AE_S, 3, FALSE))</f>
        <v>8.503920635108507</v>
      </c>
      <c r="T42" s="1">
        <f>(Main_S[[#This Row],[P/E]]-VLOOKUP(Main_S[[#This Row],[Industry]], Mean_PE_S, 2, FALSE))/(VLOOKUP(Main_S[[#This Row],[Industry]], Mean_PE_S, 3, FALSE))</f>
        <v>8.085547312728085E-2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8" t="s">
        <v>133</v>
      </c>
      <c r="B43" s="68" t="s">
        <v>313</v>
      </c>
      <c r="C43" s="2">
        <v>1343</v>
      </c>
      <c r="D43">
        <f>RTD("tos.rtd", , "LAST", Main_S[[#This Row],[Symbol]])</f>
        <v>21.3995</v>
      </c>
      <c r="E43">
        <v>2.13</v>
      </c>
      <c r="F43">
        <v>6.87</v>
      </c>
      <c r="G43">
        <v>1.48</v>
      </c>
      <c r="H43" s="1">
        <f>IF(ISNUMBER(Main_S[[#This Row],[Free CF]]),IF(Main_S[[#This Row],[Free CF]]&lt;&gt;0,Main_S[[#This Row],[Current Price]]/Main_S[[#This Row],[Free CF]],""),"")</f>
        <v>10.046713615023474</v>
      </c>
      <c r="I43" s="1">
        <f>IF(ISNUMBER(Main_S[[#This Row],[BVPS]]),IF(Main_S[[#This Row],[BVPS]]&lt;&gt;0,Main_S[[#This Row],[Current Price]]/Main_S[[#This Row],[BVPS]],""),"")</f>
        <v>3.1149199417758369</v>
      </c>
      <c r="J43">
        <v>20.74</v>
      </c>
      <c r="K43">
        <v>10.47</v>
      </c>
      <c r="L43">
        <v>1.27</v>
      </c>
      <c r="M43" s="1">
        <f>IF(ISNUMBER(Main_S[[#This Row],[EPS]]),IF(Main_S[[#This Row],[EPS]]&lt;&gt;0,Main_S[[#This Row],[Current Price]]/Main_S[[#This Row],[EPS]],""),"")</f>
        <v>14.459121621621621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0.71412147972401796</v>
      </c>
      <c r="P43" s="1">
        <f>(Main_S[[#This Row],[P/B]]-VLOOKUP(Main_S[[#This Row],[Industry]], Mean_PB_S, 2, FALSE))/(VLOOKUP(Main_S[[#This Row],[Industry]], Mean_PB_S, 3, FALSE))</f>
        <v>0.1671507793992299</v>
      </c>
      <c r="Q43" s="1">
        <f>(Main_S[[#This Row],[ROE]]-VLOOKUP(Main_S[[#This Row],[Industry]], Mean_ROE_S, 2, FALSE))/(VLOOKUP(Main_S[[#This Row],[Industry]], Mean_ROE_S, 3, FALSE))</f>
        <v>1.3032803246644062</v>
      </c>
      <c r="R43" s="1">
        <f>(Main_S[[#This Row],[ROA]]-VLOOKUP(Main_S[[#This Row],[Industry]], Mean_ROA_S, 2, FALSE))/(VLOOKUP(Main_S[[#This Row],[Industry]], Mean_ROA_S, 3, FALSE))</f>
        <v>1.3473955149564203</v>
      </c>
      <c r="S43" s="1">
        <f>(Main_S[[#This Row],[A/E]]-VLOOKUP(Main_S[[#This Row],[Industry]], Mean_AE_S, 2, FALSE))/(VLOOKUP(Main_S[[#This Row],[Industry]], Mean_AE_S, 3, FALSE))</f>
        <v>-0.47797111065507714</v>
      </c>
      <c r="T43" s="1">
        <f>(Main_S[[#This Row],[P/E]]-VLOOKUP(Main_S[[#This Row],[Industry]], Mean_PE_S, 2, FALSE))/(VLOOKUP(Main_S[[#This Row],[Industry]], Mean_PE_S, 3, FALSE))</f>
        <v>0.83161206081601502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8" t="s">
        <v>133</v>
      </c>
      <c r="B44" s="68" t="s">
        <v>261</v>
      </c>
      <c r="C44" s="2">
        <v>1612</v>
      </c>
      <c r="D44">
        <f>RTD("tos.rtd", , "LAST", Main_S[[#This Row],[Symbol]])</f>
        <v>81.040000000000006</v>
      </c>
      <c r="E44">
        <v>2.02</v>
      </c>
      <c r="F44">
        <v>42.66</v>
      </c>
      <c r="G44">
        <v>0.49</v>
      </c>
      <c r="H44" s="1">
        <f>IF(ISNUMBER(Main_S[[#This Row],[Free CF]]),IF(Main_S[[#This Row],[Free CF]]&lt;&gt;0,Main_S[[#This Row],[Current Price]]/Main_S[[#This Row],[Free CF]],""),"")</f>
        <v>40.118811881188122</v>
      </c>
      <c r="I44" s="1">
        <f>IF(ISNUMBER(Main_S[[#This Row],[BVPS]]),IF(Main_S[[#This Row],[BVPS]]&lt;&gt;0,Main_S[[#This Row],[Current Price]]/Main_S[[#This Row],[BVPS]],""),"")</f>
        <v>1.899671823722457</v>
      </c>
      <c r="J44">
        <v>1.1399999999999999</v>
      </c>
      <c r="K44">
        <v>4.95</v>
      </c>
      <c r="L44">
        <v>1.97</v>
      </c>
      <c r="M44" s="1">
        <f>IF(ISNUMBER(Main_S[[#This Row],[EPS]]),IF(Main_S[[#This Row],[EPS]]&lt;&gt;0,Main_S[[#This Row],[Current Price]]/Main_S[[#This Row],[EPS]],""),"")</f>
        <v>165.38775510204084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1.7574139812030785</v>
      </c>
      <c r="P44" s="1">
        <f>(Main_S[[#This Row],[P/B]]-VLOOKUP(Main_S[[#This Row],[Industry]], Mean_PB_S, 2, FALSE))/(VLOOKUP(Main_S[[#This Row],[Industry]], Mean_PB_S, 3, FALSE))</f>
        <v>-0.36302588755771437</v>
      </c>
      <c r="Q44" s="1">
        <f>(Main_S[[#This Row],[ROE]]-VLOOKUP(Main_S[[#This Row],[Industry]], Mean_ROE_S, 2, FALSE))/(VLOOKUP(Main_S[[#This Row],[Industry]], Mean_ROE_S, 3, FALSE))</f>
        <v>0.32148912775141292</v>
      </c>
      <c r="R44" s="1">
        <f>(Main_S[[#This Row],[ROA]]-VLOOKUP(Main_S[[#This Row],[Industry]], Mean_ROA_S, 2, FALSE))/(VLOOKUP(Main_S[[#This Row],[Industry]], Mean_ROA_S, 3, FALSE))</f>
        <v>0.70088050537025381</v>
      </c>
      <c r="S44" s="1">
        <f>(Main_S[[#This Row],[A/E]]-VLOOKUP(Main_S[[#This Row],[Industry]], Mean_AE_S, 2, FALSE))/(VLOOKUP(Main_S[[#This Row],[Industry]], Mean_AE_S, 3, FALSE))</f>
        <v>0.72880897034962711</v>
      </c>
      <c r="T44" s="1">
        <f>(Main_S[[#This Row],[P/E]]-VLOOKUP(Main_S[[#This Row],[Industry]], Mean_PE_S, 2, FALSE))/(VLOOKUP(Main_S[[#This Row],[Industry]], Mean_PE_S, 3, FALSE))</f>
        <v>6.452582350673592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5" spans="1:26" x14ac:dyDescent="0.25">
      <c r="A45" s="68" t="s">
        <v>133</v>
      </c>
      <c r="B45" s="68" t="s">
        <v>307</v>
      </c>
      <c r="C45" s="2">
        <v>1263</v>
      </c>
      <c r="D45">
        <f>RTD("tos.rtd", , "LAST", Main_S[[#This Row],[Symbol]])</f>
        <v>26.17</v>
      </c>
      <c r="E45">
        <v>1.66</v>
      </c>
      <c r="F45">
        <v>20.440000000000001</v>
      </c>
      <c r="G45">
        <v>2.14</v>
      </c>
      <c r="H45" s="1">
        <f>IF(ISNUMBER(Main_S[[#This Row],[Free CF]]),IF(Main_S[[#This Row],[Free CF]]&lt;&gt;0,Main_S[[#This Row],[Current Price]]/Main_S[[#This Row],[Free CF]],""),"")</f>
        <v>15.765060240963857</v>
      </c>
      <c r="I45" s="1">
        <f>IF(ISNUMBER(Main_S[[#This Row],[BVPS]]),IF(Main_S[[#This Row],[BVPS]]&lt;&gt;0,Main_S[[#This Row],[Current Price]]/Main_S[[#This Row],[BVPS]],""),"")</f>
        <v>1.2803326810176126</v>
      </c>
      <c r="J45">
        <v>10.67</v>
      </c>
      <c r="K45">
        <v>5.35</v>
      </c>
      <c r="L45">
        <v>1.78</v>
      </c>
      <c r="M45" s="1">
        <f>IF(ISNUMBER(Main_S[[#This Row],[EPS]]),IF(Main_S[[#This Row],[EPS]]&lt;&gt;0,Main_S[[#This Row],[Current Price]]/Main_S[[#This Row],[EPS]],""),"")</f>
        <v>12.228971962616823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0.91250830670556504</v>
      </c>
      <c r="P45" s="1">
        <f>(Main_S[[#This Row],[P/B]]-VLOOKUP(Main_S[[#This Row],[Industry]], Mean_PB_S, 2, FALSE))/(VLOOKUP(Main_S[[#This Row],[Industry]], Mean_PB_S, 3, FALSE))</f>
        <v>-0.63322516416404317</v>
      </c>
      <c r="Q45" s="1">
        <f>(Main_S[[#This Row],[ROE]]-VLOOKUP(Main_S[[#This Row],[Industry]], Mean_ROE_S, 2, FALSE))/(VLOOKUP(Main_S[[#This Row],[Industry]], Mean_ROE_S, 3, FALSE))</f>
        <v>0.79886005155655726</v>
      </c>
      <c r="R45" s="1">
        <f>(Main_S[[#This Row],[ROA]]-VLOOKUP(Main_S[[#This Row],[Industry]], Mean_ROA_S, 2, FALSE))/(VLOOKUP(Main_S[[#This Row],[Industry]], Mean_ROA_S, 3, FALSE))</f>
        <v>0.74772941910838175</v>
      </c>
      <c r="S45" s="1">
        <f>(Main_S[[#This Row],[A/E]]-VLOOKUP(Main_S[[#This Row],[Industry]], Mean_AE_S, 2, FALSE))/(VLOOKUP(Main_S[[#This Row],[Industry]], Mean_AE_S, 3, FALSE))</f>
        <v>0.40125437693406457</v>
      </c>
      <c r="T45" s="1">
        <f>(Main_S[[#This Row],[P/E]]-VLOOKUP(Main_S[[#This Row],[Industry]], Mean_PE_S, 2, FALSE))/(VLOOKUP(Main_S[[#This Row],[Industry]], Mean_PE_S, 3, FALSE))</f>
        <v>0.74855555466386547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8" t="s">
        <v>133</v>
      </c>
      <c r="B46" s="68" t="s">
        <v>306</v>
      </c>
      <c r="C46" s="2">
        <v>689</v>
      </c>
      <c r="D46">
        <f>RTD("tos.rtd", , "LAST", Main_S[[#This Row],[Symbol]])</f>
        <v>8.35</v>
      </c>
      <c r="E46">
        <v>1.44</v>
      </c>
      <c r="F46">
        <v>8.09</v>
      </c>
      <c r="G46">
        <v>1.0900000000000001</v>
      </c>
      <c r="H46" s="1">
        <f>IF(ISNUMBER(Main_S[[#This Row],[Free CF]]),IF(Main_S[[#This Row],[Free CF]]&lt;&gt;0,Main_S[[#This Row],[Current Price]]/Main_S[[#This Row],[Free CF]],""),"")</f>
        <v>5.7986111111111107</v>
      </c>
      <c r="I46" s="1">
        <f>IF(ISNUMBER(Main_S[[#This Row],[BVPS]]),IF(Main_S[[#This Row],[BVPS]]&lt;&gt;0,Main_S[[#This Row],[Current Price]]/Main_S[[#This Row],[BVPS]],""),"")</f>
        <v>1.0321384425216316</v>
      </c>
      <c r="J46">
        <v>14.89</v>
      </c>
      <c r="K46">
        <v>5.54</v>
      </c>
      <c r="L46">
        <v>2.44</v>
      </c>
      <c r="M46" s="1">
        <f>IF(ISNUMBER(Main_S[[#This Row],[EPS]]),IF(Main_S[[#This Row],[EPS]]&lt;&gt;0,Main_S[[#This Row],[Current Price]]/Main_S[[#This Row],[EPS]],""),"")</f>
        <v>7.660550458715595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0.56674189055737745</v>
      </c>
      <c r="P46" s="1">
        <f>(Main_S[[#This Row],[P/B]]-VLOOKUP(Main_S[[#This Row],[Industry]], Mean_PB_S, 2, FALSE))/(VLOOKUP(Main_S[[#This Row],[Industry]], Mean_PB_S, 3, FALSE))</f>
        <v>-0.74150494025988745</v>
      </c>
      <c r="Q46" s="1">
        <f>(Main_S[[#This Row],[ROE]]-VLOOKUP(Main_S[[#This Row],[Industry]], Mean_ROE_S, 2, FALSE))/(VLOOKUP(Main_S[[#This Row],[Industry]], Mean_ROE_S, 3, FALSE))</f>
        <v>1.0102457072184363</v>
      </c>
      <c r="R46" s="1">
        <f>(Main_S[[#This Row],[ROA]]-VLOOKUP(Main_S[[#This Row],[Industry]], Mean_ROA_S, 2, FALSE))/(VLOOKUP(Main_S[[#This Row],[Industry]], Mean_ROA_S, 3, FALSE))</f>
        <v>0.76998265313399261</v>
      </c>
      <c r="S46" s="1">
        <f>(Main_S[[#This Row],[A/E]]-VLOOKUP(Main_S[[#This Row],[Industry]], Mean_AE_S, 2, FALSE))/(VLOOKUP(Main_S[[#This Row],[Industry]], Mean_AE_S, 3, FALSE))</f>
        <v>1.5390755961670712</v>
      </c>
      <c r="T46" s="1">
        <f>(Main_S[[#This Row],[P/E]]-VLOOKUP(Main_S[[#This Row],[Industry]], Mean_PE_S, 2, FALSE))/(VLOOKUP(Main_S[[#This Row],[Industry]], Mean_PE_S, 3, FALSE))</f>
        <v>0.57841579421670841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8" t="s">
        <v>133</v>
      </c>
      <c r="B47" s="68" t="s">
        <v>301</v>
      </c>
      <c r="C47" s="2">
        <v>495</v>
      </c>
      <c r="D47">
        <f>RTD("tos.rtd", , "LAST", Main_S[[#This Row],[Symbol]])</f>
        <v>10.050000000000001</v>
      </c>
      <c r="E47">
        <v>0.8</v>
      </c>
      <c r="F47">
        <v>6.5</v>
      </c>
      <c r="G47">
        <v>-0.01</v>
      </c>
      <c r="H47" s="1">
        <f>IF(ISNUMBER(Main_S[[#This Row],[Free CF]]),IF(Main_S[[#This Row],[Free CF]]&lt;&gt;0,Main_S[[#This Row],[Current Price]]/Main_S[[#This Row],[Free CF]],""),"")</f>
        <v>12.5625</v>
      </c>
      <c r="I47" s="1">
        <f>IF(ISNUMBER(Main_S[[#This Row],[BVPS]]),IF(Main_S[[#This Row],[BVPS]]&lt;&gt;0,Main_S[[#This Row],[Current Price]]/Main_S[[#This Row],[BVPS]],""),"")</f>
        <v>1.5461538461538462</v>
      </c>
      <c r="J47">
        <v>-0.08</v>
      </c>
      <c r="K47">
        <v>-0.24</v>
      </c>
      <c r="L47">
        <v>1.93</v>
      </c>
      <c r="M47" s="1">
        <f>IF(ISNUMBER(Main_S[[#This Row],[EPS]]),IF(Main_S[[#This Row],[EPS]]&lt;&gt;0,Main_S[[#This Row],[Current Price]]/Main_S[[#This Row],[EPS]],""),"")</f>
        <v>-1005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0.8014017568612567</v>
      </c>
      <c r="P47" s="1">
        <f>(Main_S[[#This Row],[P/B]]-VLOOKUP(Main_S[[#This Row],[Industry]], Mean_PB_S, 2, FALSE))/(VLOOKUP(Main_S[[#This Row],[Industry]], Mean_PB_S, 3, FALSE))</f>
        <v>-0.5172552834089188</v>
      </c>
      <c r="Q47" s="1">
        <f>(Main_S[[#This Row],[ROE]]-VLOOKUP(Main_S[[#This Row],[Industry]], Mean_ROE_S, 2, FALSE))/(VLOOKUP(Main_S[[#This Row],[Industry]], Mean_ROE_S, 3, FALSE))</f>
        <v>0.26037763488233884</v>
      </c>
      <c r="R47" s="1">
        <f>(Main_S[[#This Row],[ROA]]-VLOOKUP(Main_S[[#This Row],[Industry]], Mean_ROA_S, 2, FALSE))/(VLOOKUP(Main_S[[#This Row],[Industry]], Mean_ROA_S, 3, FALSE))</f>
        <v>9.3015849618042795E-2</v>
      </c>
      <c r="S47" s="1">
        <f>(Main_S[[#This Row],[A/E]]-VLOOKUP(Main_S[[#This Row],[Industry]], Mean_AE_S, 2, FALSE))/(VLOOKUP(Main_S[[#This Row],[Industry]], Mean_AE_S, 3, FALSE))</f>
        <v>0.65985010857792958</v>
      </c>
      <c r="T47" s="1">
        <f>(Main_S[[#This Row],[P/E]]-VLOOKUP(Main_S[[#This Row],[Industry]], Mean_PE_S, 2, FALSE))/(VLOOKUP(Main_S[[#This Row],[Industry]], Mean_PE_S, 3, FALSE))</f>
        <v>-37.135666262835315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8" spans="1:26" x14ac:dyDescent="0.25">
      <c r="A48" s="68" t="s">
        <v>133</v>
      </c>
      <c r="B48" s="68" t="s">
        <v>302</v>
      </c>
      <c r="C48" s="2">
        <v>408</v>
      </c>
      <c r="D48">
        <f>RTD("tos.rtd", , "LAST", Main_S[[#This Row],[Symbol]])</f>
        <v>7.75</v>
      </c>
      <c r="E48">
        <v>0.8</v>
      </c>
      <c r="F48">
        <v>6.5</v>
      </c>
      <c r="G48">
        <v>-0.01</v>
      </c>
      <c r="H48" s="1">
        <f>IF(ISNUMBER(Main_S[[#This Row],[Free CF]]),IF(Main_S[[#This Row],[Free CF]]&lt;&gt;0,Main_S[[#This Row],[Current Price]]/Main_S[[#This Row],[Free CF]],""),"")</f>
        <v>9.6875</v>
      </c>
      <c r="I48" s="1">
        <f>IF(ISNUMBER(Main_S[[#This Row],[BVPS]]),IF(Main_S[[#This Row],[BVPS]]&lt;&gt;0,Main_S[[#This Row],[Current Price]]/Main_S[[#This Row],[BVPS]],""),"")</f>
        <v>1.1923076923076923</v>
      </c>
      <c r="J48">
        <v>-0.08</v>
      </c>
      <c r="K48">
        <v>-0.24</v>
      </c>
      <c r="L48">
        <v>1.93</v>
      </c>
      <c r="M48" s="1">
        <f>IF(ISNUMBER(Main_S[[#This Row],[EPS]]),IF(Main_S[[#This Row],[EPS]]&lt;&gt;0,Main_S[[#This Row],[Current Price]]/Main_S[[#This Row],[EPS]],""),"")</f>
        <v>-775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0.70165926748773921</v>
      </c>
      <c r="P48" s="1">
        <f>(Main_S[[#This Row],[P/B]]-VLOOKUP(Main_S[[#This Row],[Industry]], Mean_PB_S, 2, FALSE))/(VLOOKUP(Main_S[[#This Row],[Industry]], Mean_PB_S, 3, FALSE))</f>
        <v>-0.67162785282477822</v>
      </c>
      <c r="Q48" s="1">
        <f>(Main_S[[#This Row],[ROE]]-VLOOKUP(Main_S[[#This Row],[Industry]], Mean_ROE_S, 2, FALSE))/(VLOOKUP(Main_S[[#This Row],[Industry]], Mean_ROE_S, 3, FALSE))</f>
        <v>0.26037763488233884</v>
      </c>
      <c r="R48" s="1">
        <f>(Main_S[[#This Row],[ROA]]-VLOOKUP(Main_S[[#This Row],[Industry]], Mean_ROA_S, 2, FALSE))/(VLOOKUP(Main_S[[#This Row],[Industry]], Mean_ROA_S, 3, FALSE))</f>
        <v>9.3015849618042795E-2</v>
      </c>
      <c r="S48" s="1">
        <f>(Main_S[[#This Row],[A/E]]-VLOOKUP(Main_S[[#This Row],[Industry]], Mean_AE_S, 2, FALSE))/(VLOOKUP(Main_S[[#This Row],[Industry]], Mean_AE_S, 3, FALSE))</f>
        <v>0.65985010857792958</v>
      </c>
      <c r="T48" s="1">
        <f>(Main_S[[#This Row],[P/E]]-VLOOKUP(Main_S[[#This Row],[Industry]], Mean_PE_S, 2, FALSE))/(VLOOKUP(Main_S[[#This Row],[Industry]], Mean_PE_S, 3, FALSE))</f>
        <v>-28.569875021937563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9" spans="1:26" x14ac:dyDescent="0.25">
      <c r="A49" s="68" t="s">
        <v>133</v>
      </c>
      <c r="B49" s="68" t="s">
        <v>274</v>
      </c>
      <c r="C49" s="2">
        <v>1003</v>
      </c>
      <c r="D49">
        <f>RTD("tos.rtd", , "LAST", Main_S[[#This Row],[Symbol]])</f>
        <v>12.26</v>
      </c>
      <c r="E49">
        <v>0.79</v>
      </c>
      <c r="F49">
        <v>6.74</v>
      </c>
      <c r="G49">
        <v>-1.1399999999999999</v>
      </c>
      <c r="H49" s="1">
        <f>IF(ISNUMBER(Main_S[[#This Row],[Free CF]]),IF(Main_S[[#This Row],[Free CF]]&lt;&gt;0,Main_S[[#This Row],[Current Price]]/Main_S[[#This Row],[Free CF]],""),"")</f>
        <v>15.518987341772151</v>
      </c>
      <c r="I49" s="1">
        <f>IF(ISNUMBER(Main_S[[#This Row],[BVPS]]),IF(Main_S[[#This Row],[BVPS]]&lt;&gt;0,Main_S[[#This Row],[Current Price]]/Main_S[[#This Row],[BVPS]],""),"")</f>
        <v>1.8189910979228485</v>
      </c>
      <c r="J49">
        <v>-19.84</v>
      </c>
      <c r="K49">
        <v>3.48</v>
      </c>
      <c r="L49">
        <v>2.5299999999999998</v>
      </c>
      <c r="M49" s="1">
        <f>IF(ISNUMBER(Main_S[[#This Row],[EPS]]),IF(Main_S[[#This Row],[EPS]]&lt;&gt;0,Main_S[[#This Row],[Current Price]]/Main_S[[#This Row],[EPS]],""),"")</f>
        <v>-10.754385964912281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0.90397128982461228</v>
      </c>
      <c r="P49" s="1">
        <f>(Main_S[[#This Row],[P/B]]-VLOOKUP(Main_S[[#This Row],[Industry]], Mean_PB_S, 2, FALSE))/(VLOOKUP(Main_S[[#This Row],[Industry]], Mean_PB_S, 3, FALSE))</f>
        <v>-0.39822449239951563</v>
      </c>
      <c r="Q49" s="1">
        <f>(Main_S[[#This Row],[ROE]]-VLOOKUP(Main_S[[#This Row],[Industry]], Mean_ROE_S, 2, FALSE))/(VLOOKUP(Main_S[[#This Row],[Industry]], Mean_ROE_S, 3, FALSE))</f>
        <v>-0.72942818404627097</v>
      </c>
      <c r="R49" s="1">
        <f>(Main_S[[#This Row],[ROA]]-VLOOKUP(Main_S[[#This Row],[Industry]], Mean_ROA_S, 2, FALSE))/(VLOOKUP(Main_S[[#This Row],[Industry]], Mean_ROA_S, 3, FALSE))</f>
        <v>0.52871074738263324</v>
      </c>
      <c r="S49" s="1">
        <f>(Main_S[[#This Row],[A/E]]-VLOOKUP(Main_S[[#This Row],[Industry]], Mean_AE_S, 2, FALSE))/(VLOOKUP(Main_S[[#This Row],[Industry]], Mean_AE_S, 3, FALSE))</f>
        <v>1.6942330351533903</v>
      </c>
      <c r="T49" s="1">
        <f>(Main_S[[#This Row],[P/E]]-VLOOKUP(Main_S[[#This Row],[Industry]], Mean_PE_S, 2, FALSE))/(VLOOKUP(Main_S[[#This Row],[Industry]], Mean_PE_S, 3, FALSE))</f>
        <v>-0.1074037758667728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8" t="s">
        <v>133</v>
      </c>
      <c r="B50" s="68" t="s">
        <v>296</v>
      </c>
      <c r="C50" s="2">
        <v>1796</v>
      </c>
      <c r="D50">
        <f>RTD("tos.rtd", , "LAST", Main_S[[#This Row],[Symbol]])</f>
        <v>6.97</v>
      </c>
      <c r="E50">
        <v>0.77</v>
      </c>
      <c r="F50">
        <v>4.76</v>
      </c>
      <c r="G50">
        <v>0.52</v>
      </c>
      <c r="H50" s="1">
        <f>IF(ISNUMBER(Main_S[[#This Row],[Free CF]]),IF(Main_S[[#This Row],[Free CF]]&lt;&gt;0,Main_S[[#This Row],[Current Price]]/Main_S[[#This Row],[Free CF]],""),"")</f>
        <v>9.0519480519480506</v>
      </c>
      <c r="I50" s="1">
        <f>IF(ISNUMBER(Main_S[[#This Row],[BVPS]]),IF(Main_S[[#This Row],[BVPS]]&lt;&gt;0,Main_S[[#This Row],[Current Price]]/Main_S[[#This Row],[BVPS]],""),"")</f>
        <v>1.4642857142857142</v>
      </c>
      <c r="J50">
        <v>12.69</v>
      </c>
      <c r="K50">
        <v>8.2799999999999994</v>
      </c>
      <c r="L50">
        <v>1.5</v>
      </c>
      <c r="M50" s="1">
        <f>IF(ISNUMBER(Main_S[[#This Row],[EPS]]),IF(Main_S[[#This Row],[EPS]]&lt;&gt;0,Main_S[[#This Row],[Current Price]]/Main_S[[#This Row],[EPS]],""),"")</f>
        <v>13.403846153846153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0.67961003847038626</v>
      </c>
      <c r="P50" s="1">
        <f>(Main_S[[#This Row],[P/B]]-VLOOKUP(Main_S[[#This Row],[Industry]], Mean_PB_S, 2, FALSE))/(VLOOKUP(Main_S[[#This Row],[Industry]], Mean_PB_S, 3, FALSE))</f>
        <v>-0.55297191825824032</v>
      </c>
      <c r="Q50" s="1">
        <f>(Main_S[[#This Row],[ROE]]-VLOOKUP(Main_S[[#This Row],[Industry]], Mean_ROE_S, 2, FALSE))/(VLOOKUP(Main_S[[#This Row],[Industry]], Mean_ROE_S, 3, FALSE))</f>
        <v>0.90004465450371263</v>
      </c>
      <c r="R50" s="1">
        <f>(Main_S[[#This Row],[ROA]]-VLOOKUP(Main_S[[#This Row],[Industry]], Mean_ROA_S, 2, FALSE))/(VLOOKUP(Main_S[[#This Row],[Industry]], Mean_ROA_S, 3, FALSE))</f>
        <v>1.0908977122401693</v>
      </c>
      <c r="S50" s="1">
        <f>(Main_S[[#This Row],[A/E]]-VLOOKUP(Main_S[[#This Row],[Industry]], Mean_AE_S, 2, FALSE))/(VLOOKUP(Main_S[[#This Row],[Industry]], Mean_AE_S, 3, FALSE))</f>
        <v>-8.1457655467817178E-2</v>
      </c>
      <c r="T50" s="1">
        <f>(Main_S[[#This Row],[P/E]]-VLOOKUP(Main_S[[#This Row],[Industry]], Mean_PE_S, 2, FALSE))/(VLOOKUP(Main_S[[#This Row],[Industry]], Mean_PE_S, 3, FALSE))</f>
        <v>0.79231088969164376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8" t="s">
        <v>133</v>
      </c>
      <c r="B51" s="68" t="s">
        <v>279</v>
      </c>
      <c r="C51" s="2">
        <v>330</v>
      </c>
      <c r="D51">
        <f>RTD("tos.rtd", , "LAST", Main_S[[#This Row],[Symbol]])</f>
        <v>18.66</v>
      </c>
      <c r="E51">
        <v>0.77</v>
      </c>
      <c r="F51">
        <v>11.46</v>
      </c>
      <c r="G51">
        <v>1.28</v>
      </c>
      <c r="H51" s="1">
        <f>IF(ISNUMBER(Main_S[[#This Row],[Free CF]]),IF(Main_S[[#This Row],[Free CF]]&lt;&gt;0,Main_S[[#This Row],[Current Price]]/Main_S[[#This Row],[Free CF]],""),"")</f>
        <v>24.233766233766232</v>
      </c>
      <c r="I51" s="1">
        <f>IF(ISNUMBER(Main_S[[#This Row],[BVPS]]),IF(Main_S[[#This Row],[BVPS]]&lt;&gt;0,Main_S[[#This Row],[Current Price]]/Main_S[[#This Row],[BVPS]],""),"")</f>
        <v>1.6282722513089005</v>
      </c>
      <c r="J51">
        <v>12.76</v>
      </c>
      <c r="K51">
        <v>11.73</v>
      </c>
      <c r="L51">
        <v>1.65</v>
      </c>
      <c r="M51" s="1">
        <f>IF(ISNUMBER(Main_S[[#This Row],[EPS]]),IF(Main_S[[#This Row],[EPS]]&lt;&gt;0,Main_S[[#This Row],[Current Price]]/Main_S[[#This Row],[EPS]],""),"")</f>
        <v>14.578125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1.2063134606167074</v>
      </c>
      <c r="P51" s="1">
        <f>(Main_S[[#This Row],[P/B]]-VLOOKUP(Main_S[[#This Row],[Industry]], Mean_PB_S, 2, FALSE))/(VLOOKUP(Main_S[[#This Row],[Industry]], Mean_PB_S, 3, FALSE))</f>
        <v>-0.48142946175641055</v>
      </c>
      <c r="Q51" s="1">
        <f>(Main_S[[#This Row],[ROE]]-VLOOKUP(Main_S[[#This Row],[Industry]], Mean_ROE_S, 2, FALSE))/(VLOOKUP(Main_S[[#This Row],[Industry]], Mean_ROE_S, 3, FALSE))</f>
        <v>0.90355105163554483</v>
      </c>
      <c r="R51" s="1">
        <f>(Main_S[[#This Row],[ROA]]-VLOOKUP(Main_S[[#This Row],[Industry]], Mean_ROA_S, 2, FALSE))/(VLOOKUP(Main_S[[#This Row],[Industry]], Mean_ROA_S, 3, FALSE))</f>
        <v>1.4949695932315237</v>
      </c>
      <c r="S51" s="1">
        <f>(Main_S[[#This Row],[A/E]]-VLOOKUP(Main_S[[#This Row],[Industry]], Mean_AE_S, 2, FALSE))/(VLOOKUP(Main_S[[#This Row],[Industry]], Mean_AE_S, 3, FALSE))</f>
        <v>0.17713807617604788</v>
      </c>
      <c r="T51" s="1">
        <f>(Main_S[[#This Row],[P/E]]-VLOOKUP(Main_S[[#This Row],[Industry]], Mean_PE_S, 2, FALSE))/(VLOOKUP(Main_S[[#This Row],[Industry]], Mean_PE_S, 3, FALSE))</f>
        <v>0.83604405253840963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8" t="s">
        <v>133</v>
      </c>
      <c r="B52" s="68" t="s">
        <v>316</v>
      </c>
      <c r="C52" s="2">
        <v>336</v>
      </c>
      <c r="D52">
        <f>RTD("tos.rtd", , "LAST", Main_S[[#This Row],[Symbol]])</f>
        <v>3.86</v>
      </c>
      <c r="E52">
        <v>0.67</v>
      </c>
      <c r="F52">
        <v>2.71</v>
      </c>
      <c r="G52">
        <v>0.59</v>
      </c>
      <c r="H52" s="1">
        <f>IF(ISNUMBER(Main_S[[#This Row],[Free CF]]),IF(Main_S[[#This Row],[Free CF]]&lt;&gt;0,Main_S[[#This Row],[Current Price]]/Main_S[[#This Row],[Free CF]],""),"")</f>
        <v>5.7611940298507456</v>
      </c>
      <c r="I52" s="1">
        <f>IF(ISNUMBER(Main_S[[#This Row],[BVPS]]),IF(Main_S[[#This Row],[BVPS]]&lt;&gt;0,Main_S[[#This Row],[Current Price]]/Main_S[[#This Row],[BVPS]],""),"")</f>
        <v>1.4243542435424354</v>
      </c>
      <c r="J52">
        <v>25.14</v>
      </c>
      <c r="K52">
        <v>18.989999999999998</v>
      </c>
      <c r="L52">
        <v>1.45</v>
      </c>
      <c r="M52" s="1">
        <f>IF(ISNUMBER(Main_S[[#This Row],[EPS]]),IF(Main_S[[#This Row],[EPS]]&lt;&gt;0,Main_S[[#This Row],[Current Price]]/Main_S[[#This Row],[EPS]],""),"")</f>
        <v>6.5423728813559325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0.56544377826868175</v>
      </c>
      <c r="P52" s="1">
        <f>(Main_S[[#This Row],[P/B]]-VLOOKUP(Main_S[[#This Row],[Industry]], Mean_PB_S, 2, FALSE))/(VLOOKUP(Main_S[[#This Row],[Industry]], Mean_PB_S, 3, FALSE))</f>
        <v>-0.57039283317335432</v>
      </c>
      <c r="Q52" s="1">
        <f>(Main_S[[#This Row],[ROE]]-VLOOKUP(Main_S[[#This Row],[Industry]], Mean_ROE_S, 2, FALSE))/(VLOOKUP(Main_S[[#This Row],[Industry]], Mean_ROE_S, 3, FALSE))</f>
        <v>1.5236824300938538</v>
      </c>
      <c r="R52" s="1">
        <f>(Main_S[[#This Row],[ROA]]-VLOOKUP(Main_S[[#This Row],[Industry]], Mean_ROA_S, 2, FALSE))/(VLOOKUP(Main_S[[#This Row],[Industry]], Mean_ROA_S, 3, FALSE))</f>
        <v>2.3452773775785469</v>
      </c>
      <c r="S52" s="1">
        <f>(Main_S[[#This Row],[A/E]]-VLOOKUP(Main_S[[#This Row],[Industry]], Mean_AE_S, 2, FALSE))/(VLOOKUP(Main_S[[#This Row],[Industry]], Mean_AE_S, 3, FALSE))</f>
        <v>-0.16765623268243898</v>
      </c>
      <c r="T52" s="1">
        <f>(Main_S[[#This Row],[P/E]]-VLOOKUP(Main_S[[#This Row],[Industry]], Mean_PE_S, 2, FALSE))/(VLOOKUP(Main_S[[#This Row],[Industry]], Mean_PE_S, 3, FALSE))</f>
        <v>0.53677198683446647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8" t="s">
        <v>133</v>
      </c>
      <c r="B53" s="68" t="s">
        <v>255</v>
      </c>
      <c r="C53" s="2">
        <v>292</v>
      </c>
      <c r="D53">
        <f>RTD("tos.rtd", , "LAST", Main_S[[#This Row],[Symbol]])</f>
        <v>8.65</v>
      </c>
      <c r="E53">
        <v>0.39</v>
      </c>
      <c r="F53">
        <v>5.61</v>
      </c>
      <c r="G53">
        <v>-0.03</v>
      </c>
      <c r="H53" s="1">
        <f>IF(ISNUMBER(Main_S[[#This Row],[Free CF]]),IF(Main_S[[#This Row],[Free CF]]&lt;&gt;0,Main_S[[#This Row],[Current Price]]/Main_S[[#This Row],[Free CF]],""),"")</f>
        <v>22.179487179487179</v>
      </c>
      <c r="I53" s="1">
        <f>IF(ISNUMBER(Main_S[[#This Row],[BVPS]]),IF(Main_S[[#This Row],[BVPS]]&lt;&gt;0,Main_S[[#This Row],[Current Price]]/Main_S[[#This Row],[BVPS]],""),"")</f>
        <v>1.5418894830659535</v>
      </c>
      <c r="J53">
        <v>-0.51</v>
      </c>
      <c r="K53">
        <v>3.37</v>
      </c>
      <c r="L53">
        <v>1.96</v>
      </c>
      <c r="M53" s="1">
        <f>IF(ISNUMBER(Main_S[[#This Row],[EPS]]),IF(Main_S[[#This Row],[EPS]]&lt;&gt;0,Main_S[[#This Row],[Current Price]]/Main_S[[#This Row],[EPS]],""),"")</f>
        <v>-288.33333333333337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1.1350442756630836</v>
      </c>
      <c r="P53" s="1">
        <f>(Main_S[[#This Row],[P/B]]-VLOOKUP(Main_S[[#This Row],[Industry]], Mean_PB_S, 2, FALSE))/(VLOOKUP(Main_S[[#This Row],[Industry]], Mean_PB_S, 3, FALSE))</f>
        <v>-0.51911569839335392</v>
      </c>
      <c r="Q53" s="1">
        <f>(Main_S[[#This Row],[ROE]]-VLOOKUP(Main_S[[#This Row],[Industry]], Mean_ROE_S, 2, FALSE))/(VLOOKUP(Main_S[[#This Row],[Industry]], Mean_ROE_S, 3, FALSE))</f>
        <v>0.23883833821537012</v>
      </c>
      <c r="R53" s="1">
        <f>(Main_S[[#This Row],[ROA]]-VLOOKUP(Main_S[[#This Row],[Industry]], Mean_ROA_S, 2, FALSE))/(VLOOKUP(Main_S[[#This Row],[Industry]], Mean_ROA_S, 3, FALSE))</f>
        <v>0.51582729610464817</v>
      </c>
      <c r="S53" s="1">
        <f>(Main_S[[#This Row],[A/E]]-VLOOKUP(Main_S[[#This Row],[Industry]], Mean_AE_S, 2, FALSE))/(VLOOKUP(Main_S[[#This Row],[Industry]], Mean_AE_S, 3, FALSE))</f>
        <v>0.71156925490670275</v>
      </c>
      <c r="T53" s="1">
        <f>(Main_S[[#This Row],[P/E]]-VLOOKUP(Main_S[[#This Row],[Industry]], Mean_PE_S, 2, FALSE))/(VLOOKUP(Main_S[[#This Row],[Industry]], Mean_PE_S, 3, FALSE))</f>
        <v>-10.445157323806079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4" spans="1:26" x14ac:dyDescent="0.25">
      <c r="A54" s="68" t="s">
        <v>133</v>
      </c>
      <c r="B54" s="68" t="s">
        <v>317</v>
      </c>
      <c r="C54" s="2">
        <v>891</v>
      </c>
      <c r="D54">
        <f>RTD("tos.rtd", , "LAST", Main_S[[#This Row],[Symbol]])</f>
        <v>19.986000000000001</v>
      </c>
      <c r="E54">
        <v>0.36</v>
      </c>
      <c r="F54">
        <v>8.58</v>
      </c>
      <c r="G54">
        <v>1.5</v>
      </c>
      <c r="H54" s="1">
        <f>IF(ISNUMBER(Main_S[[#This Row],[Free CF]]),IF(Main_S[[#This Row],[Free CF]]&lt;&gt;0,Main_S[[#This Row],[Current Price]]/Main_S[[#This Row],[Free CF]],""),"")</f>
        <v>55.516666666666673</v>
      </c>
      <c r="I54" s="1">
        <f>IF(ISNUMBER(Main_S[[#This Row],[BVPS]]),IF(Main_S[[#This Row],[BVPS]]&lt;&gt;0,Main_S[[#This Row],[Current Price]]/Main_S[[#This Row],[BVPS]],""),"")</f>
        <v>2.3293706293706293</v>
      </c>
      <c r="J54">
        <v>17.38</v>
      </c>
      <c r="K54">
        <v>2.2799999999999998</v>
      </c>
      <c r="L54">
        <v>1.26</v>
      </c>
      <c r="M54" s="1">
        <f>IF(ISNUMBER(Main_S[[#This Row],[EPS]]),IF(Main_S[[#This Row],[EPS]]&lt;&gt;0,Main_S[[#This Row],[Current Price]]/Main_S[[#This Row],[EPS]],""),"")</f>
        <v>13.324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2.2916123698345769</v>
      </c>
      <c r="P54" s="1">
        <f>(Main_S[[#This Row],[P/B]]-VLOOKUP(Main_S[[#This Row],[Industry]], Mean_PB_S, 2, FALSE))/(VLOOKUP(Main_S[[#This Row],[Industry]], Mean_PB_S, 3, FALSE))</f>
        <v>-0.17556105861492155</v>
      </c>
      <c r="Q54" s="1">
        <f>(Main_S[[#This Row],[ROE]]-VLOOKUP(Main_S[[#This Row],[Industry]], Mean_ROE_S, 2, FALSE))/(VLOOKUP(Main_S[[#This Row],[Industry]], Mean_ROE_S, 3, FALSE))</f>
        <v>1.1349732623364646</v>
      </c>
      <c r="R54" s="1">
        <f>(Main_S[[#This Row],[ROA]]-VLOOKUP(Main_S[[#This Row],[Industry]], Mean_ROA_S, 2, FALSE))/(VLOOKUP(Main_S[[#This Row],[Industry]], Mean_ROA_S, 3, FALSE))</f>
        <v>0.38816400616824925</v>
      </c>
      <c r="S54" s="1">
        <f>(Main_S[[#This Row],[A/E]]-VLOOKUP(Main_S[[#This Row],[Industry]], Mean_AE_S, 2, FALSE))/(VLOOKUP(Main_S[[#This Row],[Industry]], Mean_AE_S, 3, FALSE))</f>
        <v>-0.49521082609800149</v>
      </c>
      <c r="T54" s="1">
        <f>(Main_S[[#This Row],[P/E]]-VLOOKUP(Main_S[[#This Row],[Industry]], Mean_PE_S, 2, FALSE))/(VLOOKUP(Main_S[[#This Row],[Industry]], Mean_PE_S, 3, FALSE))</f>
        <v>0.78933721366888399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s="68" t="s">
        <v>133</v>
      </c>
      <c r="B55" s="68" t="s">
        <v>278</v>
      </c>
      <c r="C55" s="2">
        <v>1480</v>
      </c>
      <c r="D55">
        <f>RTD("tos.rtd", , "LAST", Main_S[[#This Row],[Symbol]])</f>
        <v>7.24</v>
      </c>
      <c r="E55">
        <v>0.32</v>
      </c>
      <c r="F55">
        <v>7.98</v>
      </c>
      <c r="G55">
        <v>0.18</v>
      </c>
      <c r="H55" s="1">
        <f>IF(ISNUMBER(Main_S[[#This Row],[Free CF]]),IF(Main_S[[#This Row],[Free CF]]&lt;&gt;0,Main_S[[#This Row],[Current Price]]/Main_S[[#This Row],[Free CF]],""),"")</f>
        <v>22.625</v>
      </c>
      <c r="I55" s="1">
        <f>IF(ISNUMBER(Main_S[[#This Row],[BVPS]]),IF(Main_S[[#This Row],[BVPS]]&lt;&gt;0,Main_S[[#This Row],[Current Price]]/Main_S[[#This Row],[BVPS]],""),"")</f>
        <v>0.90726817042606511</v>
      </c>
      <c r="J55">
        <v>2.63</v>
      </c>
      <c r="K55">
        <v>0.84</v>
      </c>
      <c r="L55">
        <v>1.39</v>
      </c>
      <c r="M55" s="1">
        <f>IF(ISNUMBER(Main_S[[#This Row],[EPS]]),IF(Main_S[[#This Row],[EPS]]&lt;&gt;0,Main_S[[#This Row],[Current Price]]/Main_S[[#This Row],[EPS]],""),"")</f>
        <v>40.222222222222221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1.1505004696685677</v>
      </c>
      <c r="P55" s="1">
        <f>(Main_S[[#This Row],[P/B]]-VLOOKUP(Main_S[[#This Row],[Industry]], Mean_PB_S, 2, FALSE))/(VLOOKUP(Main_S[[#This Row],[Industry]], Mean_PB_S, 3, FALSE))</f>
        <v>-0.79598213193633338</v>
      </c>
      <c r="Q55" s="1">
        <f>(Main_S[[#This Row],[ROE]]-VLOOKUP(Main_S[[#This Row],[Industry]], Mean_ROE_S, 2, FALSE))/(VLOOKUP(Main_S[[#This Row],[Industry]], Mean_ROE_S, 3, FALSE))</f>
        <v>0.39612529527183948</v>
      </c>
      <c r="R55" s="1">
        <f>(Main_S[[#This Row],[ROA]]-VLOOKUP(Main_S[[#This Row],[Industry]], Mean_ROA_S, 2, FALSE))/(VLOOKUP(Main_S[[#This Row],[Industry]], Mean_ROA_S, 3, FALSE))</f>
        <v>0.2195079167109884</v>
      </c>
      <c r="S55" s="1">
        <f>(Main_S[[#This Row],[A/E]]-VLOOKUP(Main_S[[#This Row],[Industry]], Mean_AE_S, 2, FALSE))/(VLOOKUP(Main_S[[#This Row],[Industry]], Mean_AE_S, 3, FALSE))</f>
        <v>-0.27109452533998518</v>
      </c>
      <c r="T55" s="1">
        <f>(Main_S[[#This Row],[P/E]]-VLOOKUP(Main_S[[#This Row],[Industry]], Mean_PE_S, 2, FALSE))/(VLOOKUP(Main_S[[#This Row],[Industry]], Mean_PE_S, 3, FALSE))</f>
        <v>1.791096154133373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s="68" t="s">
        <v>133</v>
      </c>
      <c r="B56" s="68" t="s">
        <v>213</v>
      </c>
      <c r="C56" s="2">
        <v>1923</v>
      </c>
      <c r="D56">
        <f>RTD("tos.rtd", , "LAST", Main_S[[#This Row],[Symbol]])</f>
        <v>1.48</v>
      </c>
      <c r="E56">
        <v>0.3</v>
      </c>
      <c r="F56">
        <v>1.73</v>
      </c>
      <c r="G56">
        <v>-0.35</v>
      </c>
      <c r="H56" s="1">
        <f>IF(ISNUMBER(Main_S[[#This Row],[Free CF]]),IF(Main_S[[#This Row],[Free CF]]&lt;&gt;0,Main_S[[#This Row],[Current Price]]/Main_S[[#This Row],[Free CF]],""),"")</f>
        <v>4.9333333333333336</v>
      </c>
      <c r="I56" s="1">
        <f>IF(ISNUMBER(Main_S[[#This Row],[BVPS]]),IF(Main_S[[#This Row],[BVPS]]&lt;&gt;0,Main_S[[#This Row],[Current Price]]/Main_S[[#This Row],[BVPS]],""),"")</f>
        <v>0.8554913294797688</v>
      </c>
      <c r="J56">
        <v>-9.94</v>
      </c>
      <c r="K56">
        <v>2.97</v>
      </c>
      <c r="L56">
        <v>7.62</v>
      </c>
      <c r="M56" s="1">
        <f>IF(ISNUMBER(Main_S[[#This Row],[EPS]]),IF(Main_S[[#This Row],[EPS]]&lt;&gt;0,Main_S[[#This Row],[Current Price]]/Main_S[[#This Row],[EPS]],""),"")</f>
        <v>-4.2285714285714286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0.53672277419037207</v>
      </c>
      <c r="P56" s="1">
        <f>(Main_S[[#This Row],[P/B]]-VLOOKUP(Main_S[[#This Row],[Industry]], Mean_PB_S, 2, FALSE))/(VLOOKUP(Main_S[[#This Row],[Industry]], Mean_PB_S, 3, FALSE))</f>
        <v>-0.81857083012122656</v>
      </c>
      <c r="Q56" s="1">
        <f>(Main_S[[#This Row],[ROE]]-VLOOKUP(Main_S[[#This Row],[Industry]], Mean_ROE_S, 2, FALSE))/(VLOOKUP(Main_S[[#This Row],[Industry]], Mean_ROE_S, 3, FALSE))</f>
        <v>-0.23352344683001394</v>
      </c>
      <c r="R56" s="1">
        <f>(Main_S[[#This Row],[ROA]]-VLOOKUP(Main_S[[#This Row],[Industry]], Mean_ROA_S, 2, FALSE))/(VLOOKUP(Main_S[[#This Row],[Industry]], Mean_ROA_S, 3, FALSE))</f>
        <v>0.46897838236652006</v>
      </c>
      <c r="S56" s="1">
        <f>(Main_S[[#This Row],[A/E]]-VLOOKUP(Main_S[[#This Row],[Industry]], Mean_AE_S, 2, FALSE))/(VLOOKUP(Main_S[[#This Row],[Industry]], Mean_AE_S, 3, FALSE))</f>
        <v>10.469248195601883</v>
      </c>
      <c r="T56" s="1">
        <f>(Main_S[[#This Row],[P/E]]-VLOOKUP(Main_S[[#This Row],[Industry]], Mean_PE_S, 2, FALSE))/(VLOOKUP(Main_S[[#This Row],[Industry]], Mean_PE_S, 3, FALSE))</f>
        <v>0.13563433280762599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s="68" t="s">
        <v>133</v>
      </c>
      <c r="B57" s="68" t="s">
        <v>318</v>
      </c>
      <c r="C57" s="2">
        <v>281</v>
      </c>
      <c r="D57">
        <f>RTD("tos.rtd", , "LAST", Main_S[[#This Row],[Symbol]])</f>
        <v>3.7909999999999999</v>
      </c>
      <c r="E57">
        <v>0.3</v>
      </c>
      <c r="F57">
        <v>0.97</v>
      </c>
      <c r="G57">
        <v>0.26</v>
      </c>
      <c r="H57" s="1">
        <f>IF(ISNUMBER(Main_S[[#This Row],[Free CF]]),IF(Main_S[[#This Row],[Free CF]]&lt;&gt;0,Main_S[[#This Row],[Current Price]]/Main_S[[#This Row],[Free CF]],""),"")</f>
        <v>12.636666666666667</v>
      </c>
      <c r="I57" s="1">
        <f>IF(ISNUMBER(Main_S[[#This Row],[BVPS]]),IF(Main_S[[#This Row],[BVPS]]&lt;&gt;0,Main_S[[#This Row],[Current Price]]/Main_S[[#This Row],[BVPS]],""),"")</f>
        <v>3.9082474226804123</v>
      </c>
      <c r="J57">
        <v>39.270000000000003</v>
      </c>
      <c r="K57">
        <v>28.58</v>
      </c>
      <c r="L57">
        <v>1.39</v>
      </c>
      <c r="M57" s="1">
        <f>IF(ISNUMBER(Main_S[[#This Row],[EPS]]),IF(Main_S[[#This Row],[EPS]]&lt;&gt;0,Main_S[[#This Row],[Current Price]]/Main_S[[#This Row],[EPS]],""),"")</f>
        <v>14.58076923076923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0.80397482397842845</v>
      </c>
      <c r="P57" s="1">
        <f>(Main_S[[#This Row],[P/B]]-VLOOKUP(Main_S[[#This Row],[Industry]], Mean_PB_S, 2, FALSE))/(VLOOKUP(Main_S[[#This Row],[Industry]], Mean_PB_S, 3, FALSE))</f>
        <v>0.51325600135593785</v>
      </c>
      <c r="Q57" s="1">
        <f>(Main_S[[#This Row],[ROE]]-VLOOKUP(Main_S[[#This Row],[Industry]], Mean_ROE_S, 2, FALSE))/(VLOOKUP(Main_S[[#This Row],[Industry]], Mean_ROE_S, 3, FALSE))</f>
        <v>2.2314737368479665</v>
      </c>
      <c r="R57" s="1">
        <f>(Main_S[[#This Row],[ROA]]-VLOOKUP(Main_S[[#This Row],[Industry]], Mean_ROA_S, 2, FALSE))/(VLOOKUP(Main_S[[#This Row],[Industry]], Mean_ROA_S, 3, FALSE))</f>
        <v>3.468480084450166</v>
      </c>
      <c r="S57" s="1">
        <f>(Main_S[[#This Row],[A/E]]-VLOOKUP(Main_S[[#This Row],[Industry]], Mean_AE_S, 2, FALSE))/(VLOOKUP(Main_S[[#This Row],[Industry]], Mean_AE_S, 3, FALSE))</f>
        <v>-0.27109452533998518</v>
      </c>
      <c r="T57" s="1">
        <f>(Main_S[[#This Row],[P/E]]-VLOOKUP(Main_S[[#This Row],[Industry]], Mean_PE_S, 2, FALSE))/(VLOOKUP(Main_S[[#This Row],[Industry]], Mean_PE_S, 3, FALSE))</f>
        <v>0.83614253048954867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8" t="s">
        <v>133</v>
      </c>
      <c r="B58" s="68" t="s">
        <v>319</v>
      </c>
      <c r="C58" s="2">
        <v>477</v>
      </c>
      <c r="D58">
        <f>RTD("tos.rtd", , "LAST", Main_S[[#This Row],[Symbol]])</f>
        <v>6.21</v>
      </c>
      <c r="E58">
        <v>0.27</v>
      </c>
      <c r="F58">
        <v>4.5199999999999996</v>
      </c>
      <c r="G58">
        <v>0.28999999999999998</v>
      </c>
      <c r="H58" s="1">
        <f>IF(ISNUMBER(Main_S[[#This Row],[Free CF]]),IF(Main_S[[#This Row],[Free CF]]&lt;&gt;0,Main_S[[#This Row],[Current Price]]/Main_S[[#This Row],[Free CF]],""),"")</f>
        <v>23</v>
      </c>
      <c r="I58" s="1">
        <f>IF(ISNUMBER(Main_S[[#This Row],[BVPS]]),IF(Main_S[[#This Row],[BVPS]]&lt;&gt;0,Main_S[[#This Row],[Current Price]]/Main_S[[#This Row],[BVPS]],""),"")</f>
        <v>1.3738938053097347</v>
      </c>
      <c r="J58">
        <v>6.87</v>
      </c>
      <c r="K58">
        <v>4.66</v>
      </c>
      <c r="L58">
        <v>1.34</v>
      </c>
      <c r="M58" s="1">
        <f>IF(ISNUMBER(Main_S[[#This Row],[EPS]]),IF(Main_S[[#This Row],[EPS]]&lt;&gt;0,Main_S[[#This Row],[Current Price]]/Main_S[[#This Row],[EPS]],""),"")</f>
        <v>21.413793103448278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1.1635103595868526</v>
      </c>
      <c r="P58" s="1">
        <f>(Main_S[[#This Row],[P/B]]-VLOOKUP(Main_S[[#This Row],[Industry]], Mean_PB_S, 2, FALSE))/(VLOOKUP(Main_S[[#This Row],[Industry]], Mean_PB_S, 3, FALSE))</f>
        <v>-0.59240722394505418</v>
      </c>
      <c r="Q58" s="1">
        <f>(Main_S[[#This Row],[ROE]]-VLOOKUP(Main_S[[#This Row],[Industry]], Mean_ROE_S, 2, FALSE))/(VLOOKUP(Main_S[[#This Row],[Industry]], Mean_ROE_S, 3, FALSE))</f>
        <v>0.60851277868567077</v>
      </c>
      <c r="R58" s="1">
        <f>(Main_S[[#This Row],[ROA]]-VLOOKUP(Main_S[[#This Row],[Industry]], Mean_ROA_S, 2, FALSE))/(VLOOKUP(Main_S[[#This Row],[Industry]], Mean_ROA_S, 3, FALSE))</f>
        <v>0.66691504291011094</v>
      </c>
      <c r="S58" s="1">
        <f>(Main_S[[#This Row],[A/E]]-VLOOKUP(Main_S[[#This Row],[Industry]], Mean_AE_S, 2, FALSE))/(VLOOKUP(Main_S[[#This Row],[Industry]], Mean_AE_S, 3, FALSE))</f>
        <v>-0.35729310255460661</v>
      </c>
      <c r="T58" s="1">
        <f>(Main_S[[#This Row],[P/E]]-VLOOKUP(Main_S[[#This Row],[Industry]], Mean_PE_S, 2, FALSE))/(VLOOKUP(Main_S[[#This Row],[Industry]], Mean_PE_S, 3, FALSE))</f>
        <v>1.0906219045653724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8" t="s">
        <v>133</v>
      </c>
      <c r="B59" s="68" t="s">
        <v>298</v>
      </c>
      <c r="C59" s="2">
        <v>848</v>
      </c>
      <c r="D59">
        <f>RTD("tos.rtd", , "LAST", Main_S[[#This Row],[Symbol]])</f>
        <v>4.38</v>
      </c>
      <c r="E59">
        <v>0.26</v>
      </c>
      <c r="F59">
        <v>3.23</v>
      </c>
      <c r="G59">
        <v>0.28000000000000003</v>
      </c>
      <c r="H59" s="1">
        <f>IF(ISNUMBER(Main_S[[#This Row],[Free CF]]),IF(Main_S[[#This Row],[Free CF]]&lt;&gt;0,Main_S[[#This Row],[Current Price]]/Main_S[[#This Row],[Free CF]],""),"")</f>
        <v>16.846153846153847</v>
      </c>
      <c r="I59" s="1">
        <f>IF(ISNUMBER(Main_S[[#This Row],[BVPS]]),IF(Main_S[[#This Row],[BVPS]]&lt;&gt;0,Main_S[[#This Row],[Current Price]]/Main_S[[#This Row],[BVPS]],""),"")</f>
        <v>1.3560371517027863</v>
      </c>
      <c r="J59">
        <v>11.01</v>
      </c>
      <c r="K59">
        <v>7</v>
      </c>
      <c r="L59">
        <v>1.62</v>
      </c>
      <c r="M59" s="1">
        <f>IF(ISNUMBER(Main_S[[#This Row],[EPS]]),IF(Main_S[[#This Row],[EPS]]&lt;&gt;0,Main_S[[#This Row],[Current Price]]/Main_S[[#This Row],[EPS]],""),"")</f>
        <v>15.642857142857141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0.95001473015858784</v>
      </c>
      <c r="P59" s="1">
        <f>(Main_S[[#This Row],[P/B]]-VLOOKUP(Main_S[[#This Row],[Industry]], Mean_PB_S, 2, FALSE))/(VLOOKUP(Main_S[[#This Row],[Industry]], Mean_PB_S, 3, FALSE))</f>
        <v>-0.60019755165813182</v>
      </c>
      <c r="Q59" s="1">
        <f>(Main_S[[#This Row],[ROE]]-VLOOKUP(Main_S[[#This Row],[Industry]], Mean_ROE_S, 2, FALSE))/(VLOOKUP(Main_S[[#This Row],[Industry]], Mean_ROE_S, 3, FALSE))</f>
        <v>0.81589112333974179</v>
      </c>
      <c r="R59" s="1">
        <f>(Main_S[[#This Row],[ROA]]-VLOOKUP(Main_S[[#This Row],[Industry]], Mean_ROA_S, 2, FALSE))/(VLOOKUP(Main_S[[#This Row],[Industry]], Mean_ROA_S, 3, FALSE))</f>
        <v>0.94098118827815991</v>
      </c>
      <c r="S59" s="1">
        <f>(Main_S[[#This Row],[A/E]]-VLOOKUP(Main_S[[#This Row],[Industry]], Mean_AE_S, 2, FALSE))/(VLOOKUP(Main_S[[#This Row],[Industry]], Mean_AE_S, 3, FALSE))</f>
        <v>0.12541892984727518</v>
      </c>
      <c r="T59" s="1">
        <f>(Main_S[[#This Row],[P/E]]-VLOOKUP(Main_S[[#This Row],[Industry]], Mean_PE_S, 2, FALSE))/(VLOOKUP(Main_S[[#This Row],[Industry]], Mean_PE_S, 3, FALSE))</f>
        <v>0.87569741455227046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8" t="s">
        <v>133</v>
      </c>
      <c r="B60" s="68" t="s">
        <v>320</v>
      </c>
      <c r="C60" s="2">
        <v>547</v>
      </c>
      <c r="D60">
        <f>RTD("tos.rtd", , "LAST", Main_S[[#This Row],[Symbol]])</f>
        <v>3.8935</v>
      </c>
      <c r="E60">
        <v>0.12</v>
      </c>
      <c r="F60">
        <v>3.71</v>
      </c>
      <c r="G60">
        <v>0.67</v>
      </c>
      <c r="H60" s="1">
        <f>IF(ISNUMBER(Main_S[[#This Row],[Free CF]]),IF(Main_S[[#This Row],[Free CF]]&lt;&gt;0,Main_S[[#This Row],[Current Price]]/Main_S[[#This Row],[Free CF]],""),"")</f>
        <v>32.445833333333333</v>
      </c>
      <c r="I60" s="1">
        <f>IF(ISNUMBER(Main_S[[#This Row],[BVPS]]),IF(Main_S[[#This Row],[BVPS]]&lt;&gt;0,Main_S[[#This Row],[Current Price]]/Main_S[[#This Row],[BVPS]],""),"")</f>
        <v>1.0494609164420485</v>
      </c>
      <c r="J60">
        <v>19.940000000000001</v>
      </c>
      <c r="K60">
        <v>8.76</v>
      </c>
      <c r="L60">
        <v>1.96</v>
      </c>
      <c r="M60" s="1">
        <f>IF(ISNUMBER(Main_S[[#This Row],[EPS]]),IF(Main_S[[#This Row],[EPS]]&lt;&gt;0,Main_S[[#This Row],[Current Price]]/Main_S[[#This Row],[EPS]],""),"")</f>
        <v>5.8111940298507463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1.4912150311952062</v>
      </c>
      <c r="P60" s="1">
        <f>(Main_S[[#This Row],[P/B]]-VLOOKUP(Main_S[[#This Row],[Industry]], Mean_PB_S, 2, FALSE))/(VLOOKUP(Main_S[[#This Row],[Industry]], Mean_PB_S, 3, FALSE))</f>
        <v>-0.73394765928150885</v>
      </c>
      <c r="Q60" s="1">
        <f>(Main_S[[#This Row],[ROE]]-VLOOKUP(Main_S[[#This Row],[Industry]], Mean_ROE_S, 2, FALSE))/(VLOOKUP(Main_S[[#This Row],[Industry]], Mean_ROE_S, 3, FALSE))</f>
        <v>1.2632072145863251</v>
      </c>
      <c r="R60" s="1">
        <f>(Main_S[[#This Row],[ROA]]-VLOOKUP(Main_S[[#This Row],[Industry]], Mean_ROA_S, 2, FALSE))/(VLOOKUP(Main_S[[#This Row],[Industry]], Mean_ROA_S, 3, FALSE))</f>
        <v>1.1471164087259229</v>
      </c>
      <c r="S60" s="1">
        <f>(Main_S[[#This Row],[A/E]]-VLOOKUP(Main_S[[#This Row],[Industry]], Mean_AE_S, 2, FALSE))/(VLOOKUP(Main_S[[#This Row],[Industry]], Mean_AE_S, 3, FALSE))</f>
        <v>0.71156925490670275</v>
      </c>
      <c r="T60" s="1">
        <f>(Main_S[[#This Row],[P/E]]-VLOOKUP(Main_S[[#This Row],[Industry]], Mean_PE_S, 2, FALSE))/(VLOOKUP(Main_S[[#This Row],[Industry]], Mean_PE_S, 3, FALSE))</f>
        <v>0.50954100682684556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8" t="s">
        <v>133</v>
      </c>
      <c r="B61" s="68" t="s">
        <v>321</v>
      </c>
      <c r="C61" s="2">
        <v>329</v>
      </c>
      <c r="D61">
        <f>RTD("tos.rtd", , "LAST", Main_S[[#This Row],[Symbol]])</f>
        <v>0.53600000000000003</v>
      </c>
      <c r="E61">
        <v>0.1</v>
      </c>
      <c r="F61">
        <v>0.36</v>
      </c>
      <c r="G61">
        <v>0.17</v>
      </c>
      <c r="H61" s="1">
        <f>IF(ISNUMBER(Main_S[[#This Row],[Free CF]]),IF(Main_S[[#This Row],[Free CF]]&lt;&gt;0,Main_S[[#This Row],[Current Price]]/Main_S[[#This Row],[Free CF]],""),"")</f>
        <v>5.36</v>
      </c>
      <c r="I61" s="1">
        <f>IF(ISNUMBER(Main_S[[#This Row],[BVPS]]),IF(Main_S[[#This Row],[BVPS]]&lt;&gt;0,Main_S[[#This Row],[Current Price]]/Main_S[[#This Row],[BVPS]],""),"")</f>
        <v>1.4888888888888889</v>
      </c>
      <c r="J61">
        <v>62.83</v>
      </c>
      <c r="K61">
        <v>27.26</v>
      </c>
      <c r="L61">
        <v>1.23</v>
      </c>
      <c r="M61" s="1">
        <f>IF(ISNUMBER(Main_S[[#This Row],[EPS]]),IF(Main_S[[#This Row],[EPS]]&lt;&gt;0,Main_S[[#This Row],[Current Price]]/Main_S[[#This Row],[EPS]],""),"")</f>
        <v>3.1529411764705881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0.55152513783073176</v>
      </c>
      <c r="P61" s="1">
        <f>(Main_S[[#This Row],[P/B]]-VLOOKUP(Main_S[[#This Row],[Industry]], Mean_PB_S, 2, FALSE))/(VLOOKUP(Main_S[[#This Row],[Industry]], Mean_PB_S, 3, FALSE))</f>
        <v>-0.54223828377332117</v>
      </c>
      <c r="Q61" s="1">
        <f>(Main_S[[#This Row],[ROE]]-VLOOKUP(Main_S[[#This Row],[Industry]], Mean_ROE_S, 2, FALSE))/(VLOOKUP(Main_S[[#This Row],[Industry]], Mean_ROE_S, 3, FALSE))</f>
        <v>3.4116268286474623</v>
      </c>
      <c r="R61" s="1">
        <f>(Main_S[[#This Row],[ROA]]-VLOOKUP(Main_S[[#This Row],[Industry]], Mean_ROA_S, 2, FALSE))/(VLOOKUP(Main_S[[#This Row],[Industry]], Mean_ROA_S, 3, FALSE))</f>
        <v>3.3138786691143438</v>
      </c>
      <c r="S61" s="1">
        <f>(Main_S[[#This Row],[A/E]]-VLOOKUP(Main_S[[#This Row],[Industry]], Mean_AE_S, 2, FALSE))/(VLOOKUP(Main_S[[#This Row],[Industry]], Mean_AE_S, 3, FALSE))</f>
        <v>-0.54692997242677455</v>
      </c>
      <c r="T61" s="1">
        <f>(Main_S[[#This Row],[P/E]]-VLOOKUP(Main_S[[#This Row],[Industry]], Mean_PE_S, 2, FALSE))/(VLOOKUP(Main_S[[#This Row],[Industry]], Mean_PE_S, 3, FALSE))</f>
        <v>0.41054083722869239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s="68" t="s">
        <v>133</v>
      </c>
      <c r="B62" s="68" t="s">
        <v>263</v>
      </c>
      <c r="C62" s="2">
        <v>661</v>
      </c>
      <c r="D62">
        <f>RTD("tos.rtd", , "LAST", Main_S[[#This Row],[Symbol]])</f>
        <v>4.93</v>
      </c>
      <c r="E62">
        <v>0.09</v>
      </c>
      <c r="F62">
        <v>6.56</v>
      </c>
      <c r="G62">
        <v>-1.27</v>
      </c>
      <c r="H62" s="1">
        <f>IF(ISNUMBER(Main_S[[#This Row],[Free CF]]),IF(Main_S[[#This Row],[Free CF]]&lt;&gt;0,Main_S[[#This Row],[Current Price]]/Main_S[[#This Row],[Free CF]],""),"")</f>
        <v>54.777777777777779</v>
      </c>
      <c r="I62" s="1">
        <f>IF(ISNUMBER(Main_S[[#This Row],[BVPS]]),IF(Main_S[[#This Row],[BVPS]]&lt;&gt;0,Main_S[[#This Row],[Current Price]]/Main_S[[#This Row],[BVPS]],""),"")</f>
        <v>0.7515243902439025</v>
      </c>
      <c r="J62">
        <v>-11.58</v>
      </c>
      <c r="K62">
        <v>3.84</v>
      </c>
      <c r="L62">
        <v>5.38</v>
      </c>
      <c r="M62" s="1">
        <f>IF(ISNUMBER(Main_S[[#This Row],[EPS]]),IF(Main_S[[#This Row],[EPS]]&lt;&gt;0,Main_S[[#This Row],[Current Price]]/Main_S[[#This Row],[EPS]],""),"")</f>
        <v>-3.8818897637795273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2.2659780682178079</v>
      </c>
      <c r="P62" s="1">
        <f>(Main_S[[#This Row],[P/B]]-VLOOKUP(Main_S[[#This Row],[Industry]], Mean_PB_S, 2, FALSE))/(VLOOKUP(Main_S[[#This Row],[Industry]], Mean_PB_S, 3, FALSE))</f>
        <v>-0.8639285183981531</v>
      </c>
      <c r="Q62" s="1">
        <f>(Main_S[[#This Row],[ROE]]-VLOOKUP(Main_S[[#This Row],[Industry]], Mean_ROE_S, 2, FALSE))/(VLOOKUP(Main_S[[#This Row],[Industry]], Mean_ROE_S, 3, FALSE))</f>
        <v>-0.31567332249008079</v>
      </c>
      <c r="R62" s="1">
        <f>(Main_S[[#This Row],[ROA]]-VLOOKUP(Main_S[[#This Row],[Industry]], Mean_ROA_S, 2, FALSE))/(VLOOKUP(Main_S[[#This Row],[Industry]], Mean_ROA_S, 3, FALSE))</f>
        <v>0.57087476974694851</v>
      </c>
      <c r="S62" s="1">
        <f>(Main_S[[#This Row],[A/E]]-VLOOKUP(Main_S[[#This Row],[Industry]], Mean_AE_S, 2, FALSE))/(VLOOKUP(Main_S[[#This Row],[Industry]], Mean_AE_S, 3, FALSE))</f>
        <v>6.6075519363868285</v>
      </c>
      <c r="T62" s="1">
        <f>(Main_S[[#This Row],[P/E]]-VLOOKUP(Main_S[[#This Row],[Industry]], Mean_PE_S, 2, FALSE))/(VLOOKUP(Main_S[[#This Row],[Industry]], Mean_PE_S, 3, FALSE))</f>
        <v>0.14854564918873173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8" t="s">
        <v>133</v>
      </c>
      <c r="B63" s="68" t="s">
        <v>322</v>
      </c>
      <c r="C63" s="2">
        <v>469</v>
      </c>
      <c r="D63">
        <f>RTD("tos.rtd", , "LAST", Main_S[[#This Row],[Symbol]])</f>
        <v>1.01</v>
      </c>
      <c r="E63">
        <v>0.08</v>
      </c>
      <c r="F63">
        <v>0.04</v>
      </c>
      <c r="G63">
        <v>-0.16</v>
      </c>
      <c r="H63" s="1">
        <f>IF(ISNUMBER(Main_S[[#This Row],[Free CF]]),IF(Main_S[[#This Row],[Free CF]]&lt;&gt;0,Main_S[[#This Row],[Current Price]]/Main_S[[#This Row],[Free CF]],""),"")</f>
        <v>12.625</v>
      </c>
      <c r="I63" s="1">
        <f>IF(ISNUMBER(Main_S[[#This Row],[BVPS]]),IF(Main_S[[#This Row],[BVPS]]&lt;&gt;0,Main_S[[#This Row],[Current Price]]/Main_S[[#This Row],[BVPS]],""),"")</f>
        <v>25.25</v>
      </c>
      <c r="J63">
        <v>-202.94</v>
      </c>
      <c r="K63">
        <v>-4.6399999999999997</v>
      </c>
      <c r="L63">
        <v>40.71</v>
      </c>
      <c r="M63" s="1">
        <f>IF(ISNUMBER(Main_S[[#This Row],[EPS]]),IF(Main_S[[#This Row],[EPS]]&lt;&gt;0,Main_S[[#This Row],[Current Price]]/Main_S[[#This Row],[EPS]],""),"")</f>
        <v>-6.3125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0.80357007184763751</v>
      </c>
      <c r="P63" s="1">
        <f>(Main_S[[#This Row],[P/B]]-VLOOKUP(Main_S[[#This Row],[Industry]], Mean_PB_S, 2, FALSE))/(VLOOKUP(Main_S[[#This Row],[Industry]], Mean_PB_S, 3, FALSE))</f>
        <v>9.8240289047426241</v>
      </c>
      <c r="Q63" s="1">
        <f>(Main_S[[#This Row],[ROE]]-VLOOKUP(Main_S[[#This Row],[Industry]], Mean_ROE_S, 2, FALSE))/(VLOOKUP(Main_S[[#This Row],[Industry]], Mean_ROE_S, 3, FALSE))</f>
        <v>-9.9011612531671442</v>
      </c>
      <c r="R63" s="1">
        <f>(Main_S[[#This Row],[ROA]]-VLOOKUP(Main_S[[#This Row],[Industry]], Mean_ROA_S, 2, FALSE))/(VLOOKUP(Main_S[[#This Row],[Industry]], Mean_ROA_S, 3, FALSE))</f>
        <v>-0.42232220150136529</v>
      </c>
      <c r="S63" s="1">
        <f>(Main_S[[#This Row],[A/E]]-VLOOKUP(Main_S[[#This Row],[Industry]], Mean_AE_S, 2, FALSE))/(VLOOKUP(Main_S[[#This Row],[Industry]], Mean_AE_S, 3, FALSE))</f>
        <v>67.515466596238554</v>
      </c>
      <c r="T63" s="1">
        <f>(Main_S[[#This Row],[P/E]]-VLOOKUP(Main_S[[#This Row],[Industry]], Mean_PE_S, 2, FALSE))/(VLOOKUP(Main_S[[#This Row],[Industry]], Mean_PE_S, 3, FALSE))</f>
        <v>5.8023475834584982E-2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s="68" t="s">
        <v>133</v>
      </c>
      <c r="B64" s="68" t="s">
        <v>285</v>
      </c>
      <c r="C64" s="2">
        <v>274</v>
      </c>
      <c r="D64">
        <f>RTD("tos.rtd", , "LAST", Main_S[[#This Row],[Symbol]])</f>
        <v>1.68</v>
      </c>
      <c r="E64">
        <v>0.05</v>
      </c>
      <c r="F64">
        <v>0.78</v>
      </c>
      <c r="G64">
        <v>-0.03</v>
      </c>
      <c r="H64" s="1">
        <f>IF(ISNUMBER(Main_S[[#This Row],[Free CF]]),IF(Main_S[[#This Row],[Free CF]]&lt;&gt;0,Main_S[[#This Row],[Current Price]]/Main_S[[#This Row],[Free CF]],""),"")</f>
        <v>33.599999999999994</v>
      </c>
      <c r="I64" s="1">
        <f>IF(ISNUMBER(Main_S[[#This Row],[BVPS]]),IF(Main_S[[#This Row],[BVPS]]&lt;&gt;0,Main_S[[#This Row],[Current Price]]/Main_S[[#This Row],[BVPS]],""),"")</f>
        <v>2.1538461538461537</v>
      </c>
      <c r="J64">
        <v>-3.37</v>
      </c>
      <c r="K64">
        <v>-0.28999999999999998</v>
      </c>
      <c r="L64">
        <v>1.82</v>
      </c>
      <c r="M64" s="1">
        <f>IF(ISNUMBER(Main_S[[#This Row],[EPS]]),IF(Main_S[[#This Row],[EPS]]&lt;&gt;0,Main_S[[#This Row],[Current Price]]/Main_S[[#This Row],[EPS]],""),"")</f>
        <v>-56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1.5312565812770382</v>
      </c>
      <c r="P64" s="1">
        <f>(Main_S[[#This Row],[P/B]]-VLOOKUP(Main_S[[#This Row],[Industry]], Mean_PB_S, 2, FALSE))/(VLOOKUP(Main_S[[#This Row],[Industry]], Mean_PB_S, 3, FALSE))</f>
        <v>-0.25213717506429062</v>
      </c>
      <c r="Q64" s="1">
        <f>(Main_S[[#This Row],[ROE]]-VLOOKUP(Main_S[[#This Row],[Industry]], Mean_ROE_S, 2, FALSE))/(VLOOKUP(Main_S[[#This Row],[Industry]], Mean_ROE_S, 3, FALSE))</f>
        <v>9.5576969686229238E-2</v>
      </c>
      <c r="R64" s="1">
        <f>(Main_S[[#This Row],[ROA]]-VLOOKUP(Main_S[[#This Row],[Industry]], Mean_ROA_S, 2, FALSE))/(VLOOKUP(Main_S[[#This Row],[Industry]], Mean_ROA_S, 3, FALSE))</f>
        <v>8.7159735400776789E-2</v>
      </c>
      <c r="S64" s="1">
        <f>(Main_S[[#This Row],[A/E]]-VLOOKUP(Main_S[[#This Row],[Industry]], Mean_AE_S, 2, FALSE))/(VLOOKUP(Main_S[[#This Row],[Industry]], Mean_AE_S, 3, FALSE))</f>
        <v>0.47021323870576204</v>
      </c>
      <c r="T64" s="1">
        <f>(Main_S[[#This Row],[P/E]]-VLOOKUP(Main_S[[#This Row],[Industry]], Mean_PE_S, 2, FALSE))/(VLOOKUP(Main_S[[#This Row],[Industry]], Mean_PE_S, 3, FALSE))</f>
        <v>-1.7924667514789248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8" t="s">
        <v>133</v>
      </c>
      <c r="B65" s="68" t="s">
        <v>289</v>
      </c>
      <c r="C65" s="2">
        <v>484</v>
      </c>
      <c r="D65">
        <f>RTD("tos.rtd", , "LAST", Main_S[[#This Row],[Symbol]])</f>
        <v>0.96289999999999998</v>
      </c>
      <c r="E65">
        <v>0.03</v>
      </c>
      <c r="F65">
        <v>0.59</v>
      </c>
      <c r="G65">
        <v>0.13</v>
      </c>
      <c r="H65" s="1">
        <f>IF(ISNUMBER(Main_S[[#This Row],[Free CF]]),IF(Main_S[[#This Row],[Free CF]]&lt;&gt;0,Main_S[[#This Row],[Current Price]]/Main_S[[#This Row],[Free CF]],""),"")</f>
        <v>32.096666666666664</v>
      </c>
      <c r="I65" s="1">
        <f>IF(ISNUMBER(Main_S[[#This Row],[BVPS]]),IF(Main_S[[#This Row],[BVPS]]&lt;&gt;0,Main_S[[#This Row],[Current Price]]/Main_S[[#This Row],[BVPS]],""),"")</f>
        <v>1.6320338983050848</v>
      </c>
      <c r="J65">
        <v>28.9</v>
      </c>
      <c r="K65">
        <v>15.54</v>
      </c>
      <c r="L65">
        <v>1.69</v>
      </c>
      <c r="M65" s="1">
        <f>IF(ISNUMBER(Main_S[[#This Row],[EPS]]),IF(Main_S[[#This Row],[EPS]]&lt;&gt;0,Main_S[[#This Row],[Current Price]]/Main_S[[#This Row],[EPS]],""),"")</f>
        <v>7.4069230769230767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1.4791013781379585</v>
      </c>
      <c r="P65" s="1">
        <f>(Main_S[[#This Row],[P/B]]-VLOOKUP(Main_S[[#This Row],[Industry]], Mean_PB_S, 2, FALSE))/(VLOOKUP(Main_S[[#This Row],[Industry]], Mean_PB_S, 3, FALSE))</f>
        <v>-0.47978836687456844</v>
      </c>
      <c r="Q65" s="1">
        <f>(Main_S[[#This Row],[ROE]]-VLOOKUP(Main_S[[#This Row],[Industry]], Mean_ROE_S, 2, FALSE))/(VLOOKUP(Main_S[[#This Row],[Industry]], Mean_ROE_S, 3, FALSE))</f>
        <v>1.7120260474608364</v>
      </c>
      <c r="R65" s="1">
        <f>(Main_S[[#This Row],[ROA]]-VLOOKUP(Main_S[[#This Row],[Industry]], Mean_ROA_S, 2, FALSE))/(VLOOKUP(Main_S[[#This Row],[Industry]], Mean_ROA_S, 3, FALSE))</f>
        <v>1.941205496587193</v>
      </c>
      <c r="S65" s="1">
        <f>(Main_S[[#This Row],[A/E]]-VLOOKUP(Main_S[[#This Row],[Industry]], Mean_AE_S, 2, FALSE))/(VLOOKUP(Main_S[[#This Row],[Industry]], Mean_AE_S, 3, FALSE))</f>
        <v>0.24609693794774531</v>
      </c>
      <c r="T65" s="1">
        <f>(Main_S[[#This Row],[P/E]]-VLOOKUP(Main_S[[#This Row],[Industry]], Mean_PE_S, 2, FALSE))/(VLOOKUP(Main_S[[#This Row],[Industry]], Mean_PE_S, 3, FALSE))</f>
        <v>0.56897005854101201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8" t="s">
        <v>133</v>
      </c>
      <c r="B66" s="68" t="s">
        <v>323</v>
      </c>
      <c r="C66" s="2">
        <v>261</v>
      </c>
      <c r="D66">
        <f>RTD("tos.rtd", , "LAST", Main_S[[#This Row],[Symbol]])</f>
        <v>1.046</v>
      </c>
      <c r="E66">
        <v>0.02</v>
      </c>
      <c r="F66">
        <v>0.82</v>
      </c>
      <c r="G66">
        <v>0.02</v>
      </c>
      <c r="H66" s="1">
        <f>IF(ISNUMBER(Main_S[[#This Row],[Free CF]]),IF(Main_S[[#This Row],[Free CF]]&lt;&gt;0,Main_S[[#This Row],[Current Price]]/Main_S[[#This Row],[Free CF]],""),"")</f>
        <v>52.300000000000004</v>
      </c>
      <c r="I66" s="1">
        <f>IF(ISNUMBER(Main_S[[#This Row],[BVPS]]),IF(Main_S[[#This Row],[BVPS]]&lt;&gt;0,Main_S[[#This Row],[Current Price]]/Main_S[[#This Row],[BVPS]],""),"")</f>
        <v>1.275609756097561</v>
      </c>
      <c r="J66">
        <v>2.3199999999999998</v>
      </c>
      <c r="K66">
        <v>1.56</v>
      </c>
      <c r="L66">
        <v>1.02</v>
      </c>
      <c r="M66" s="1">
        <f>IF(ISNUMBER(Main_S[[#This Row],[EPS]]),IF(Main_S[[#This Row],[EPS]]&lt;&gt;0,Main_S[[#This Row],[Current Price]]/Main_S[[#This Row],[EPS]],""),"")</f>
        <v>52.300000000000004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2.1800164252021781</v>
      </c>
      <c r="P66" s="1">
        <f>(Main_S[[#This Row],[P/B]]-VLOOKUP(Main_S[[#This Row],[Industry]], Mean_PB_S, 2, FALSE))/(VLOOKUP(Main_S[[#This Row],[Industry]], Mean_PB_S, 3, FALSE))</f>
        <v>-0.63528563605879651</v>
      </c>
      <c r="Q66" s="1">
        <f>(Main_S[[#This Row],[ROE]]-VLOOKUP(Main_S[[#This Row],[Industry]], Mean_ROE_S, 2, FALSE))/(VLOOKUP(Main_S[[#This Row],[Industry]], Mean_ROE_S, 3, FALSE))</f>
        <v>0.38059696511658292</v>
      </c>
      <c r="R66" s="1">
        <f>(Main_S[[#This Row],[ROA]]-VLOOKUP(Main_S[[#This Row],[Industry]], Mean_ROA_S, 2, FALSE))/(VLOOKUP(Main_S[[#This Row],[Industry]], Mean_ROA_S, 3, FALSE))</f>
        <v>0.30383596143961888</v>
      </c>
      <c r="S66" s="1">
        <f>(Main_S[[#This Row],[A/E]]-VLOOKUP(Main_S[[#This Row],[Industry]], Mean_AE_S, 2, FALSE))/(VLOOKUP(Main_S[[#This Row],[Industry]], Mean_AE_S, 3, FALSE))</f>
        <v>-0.90896399672818584</v>
      </c>
      <c r="T66" s="1">
        <f>(Main_S[[#This Row],[P/E]]-VLOOKUP(Main_S[[#This Row],[Industry]], Mean_PE_S, 2, FALSE))/(VLOOKUP(Main_S[[#This Row],[Industry]], Mean_PE_S, 3, FALSE))</f>
        <v>2.2409036458655405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8" t="s">
        <v>133</v>
      </c>
      <c r="B67" s="68" t="s">
        <v>324</v>
      </c>
      <c r="C67" s="2">
        <v>269</v>
      </c>
      <c r="D67">
        <f>RTD("tos.rtd", , "LAST", Main_S[[#This Row],[Symbol]])</f>
        <v>1.4</v>
      </c>
      <c r="E67">
        <v>0.01</v>
      </c>
      <c r="F67">
        <v>0.23</v>
      </c>
      <c r="G67">
        <v>0.01</v>
      </c>
      <c r="H67" s="1">
        <f>IF(ISNUMBER(Main_S[[#This Row],[Free CF]]),IF(Main_S[[#This Row],[Free CF]]&lt;&gt;0,Main_S[[#This Row],[Current Price]]/Main_S[[#This Row],[Free CF]],""),"")</f>
        <v>140</v>
      </c>
      <c r="I67" s="1">
        <f>IF(ISNUMBER(Main_S[[#This Row],[BVPS]]),IF(Main_S[[#This Row],[BVPS]]&lt;&gt;0,Main_S[[#This Row],[Current Price]]/Main_S[[#This Row],[BVPS]],""),"")</f>
        <v>6.0869565217391299</v>
      </c>
      <c r="J67">
        <v>4</v>
      </c>
      <c r="K67">
        <v>2.72</v>
      </c>
      <c r="L67">
        <v>1.02</v>
      </c>
      <c r="M67" s="1">
        <f>IF(ISNUMBER(Main_S[[#This Row],[EPS]]),IF(Main_S[[#This Row],[EPS]]&lt;&gt;0,Main_S[[#This Row],[Current Price]]/Main_S[[#This Row],[EPS]],""),"")</f>
        <v>140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5.2225960140917342</v>
      </c>
      <c r="P67" s="1">
        <f>(Main_S[[#This Row],[P/B]]-VLOOKUP(Main_S[[#This Row],[Industry]], Mean_PB_S, 2, FALSE))/(VLOOKUP(Main_S[[#This Row],[Industry]], Mean_PB_S, 3, FALSE))</f>
        <v>1.4637620842273042</v>
      </c>
      <c r="Q67" s="1">
        <f>(Main_S[[#This Row],[ROE]]-VLOOKUP(Main_S[[#This Row],[Industry]], Mean_ROE_S, 2, FALSE))/(VLOOKUP(Main_S[[#This Row],[Industry]], Mean_ROE_S, 3, FALSE))</f>
        <v>0.46475049628055376</v>
      </c>
      <c r="R67" s="1">
        <f>(Main_S[[#This Row],[ROA]]-VLOOKUP(Main_S[[#This Row],[Industry]], Mean_ROA_S, 2, FALSE))/(VLOOKUP(Main_S[[#This Row],[Industry]], Mean_ROA_S, 3, FALSE))</f>
        <v>0.43969781128019009</v>
      </c>
      <c r="S67" s="1">
        <f>(Main_S[[#This Row],[A/E]]-VLOOKUP(Main_S[[#This Row],[Industry]], Mean_AE_S, 2, FALSE))/(VLOOKUP(Main_S[[#This Row],[Industry]], Mean_AE_S, 3, FALSE))</f>
        <v>-0.90896399672818584</v>
      </c>
      <c r="T67" s="1">
        <f>(Main_S[[#This Row],[P/E]]-VLOOKUP(Main_S[[#This Row],[Industry]], Mean_PE_S, 2, FALSE))/(VLOOKUP(Main_S[[#This Row],[Industry]], Mean_PE_S, 3, FALSE))</f>
        <v>5.5070770885904672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s="68" t="s">
        <v>133</v>
      </c>
      <c r="B68" s="68" t="s">
        <v>325</v>
      </c>
      <c r="C68" s="2">
        <v>535</v>
      </c>
      <c r="D68">
        <f>RTD("tos.rtd", , "LAST", Main_S[[#This Row],[Symbol]])</f>
        <v>1.7078</v>
      </c>
      <c r="E68">
        <v>0</v>
      </c>
      <c r="F68">
        <v>0.87</v>
      </c>
      <c r="G68">
        <v>0.01</v>
      </c>
      <c r="H68" s="1" t="str">
        <f>IF(ISNUMBER(Main_S[[#This Row],[Free CF]]),IF(Main_S[[#This Row],[Free CF]]&lt;&gt;0,Main_S[[#This Row],[Current Price]]/Main_S[[#This Row],[Free CF]],""),"")</f>
        <v/>
      </c>
      <c r="I68" s="1">
        <f>IF(ISNUMBER(Main_S[[#This Row],[BVPS]]),IF(Main_S[[#This Row],[BVPS]]&lt;&gt;0,Main_S[[#This Row],[Current Price]]/Main_S[[#This Row],[BVPS]],""),"")</f>
        <v>1.9629885057471264</v>
      </c>
      <c r="J68">
        <v>1.17</v>
      </c>
      <c r="K68">
        <v>2.48</v>
      </c>
      <c r="L68">
        <v>1.1100000000000001</v>
      </c>
      <c r="M68" s="1">
        <f>IF(ISNUMBER(Main_S[[#This Row],[EPS]]),IF(Main_S[[#This Row],[EPS]]&lt;&gt;0,Main_S[[#This Row],[Current Price]]/Main_S[[#This Row],[EPS]],""),"")</f>
        <v>170.78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 t="e">
        <f>(Main_S[[#This Row],[P/FCF]]-VLOOKUP(Main_S[[#This Row],[Industry]], Mean_PFCF_S, 2, FALSE))/(VLOOKUP(Main_S[[#This Row],[Industry]], Mean_PFCF_S, 3, FALSE))</f>
        <v>#VALUE!</v>
      </c>
      <c r="P68" s="1">
        <f>(Main_S[[#This Row],[P/B]]-VLOOKUP(Main_S[[#This Row],[Industry]], Mean_PB_S, 2, FALSE))/(VLOOKUP(Main_S[[#This Row],[Industry]], Mean_PB_S, 3, FALSE))</f>
        <v>-0.33540269938739758</v>
      </c>
      <c r="Q68" s="1">
        <f>(Main_S[[#This Row],[ROE]]-VLOOKUP(Main_S[[#This Row],[Industry]], Mean_ROE_S, 2, FALSE))/(VLOOKUP(Main_S[[#This Row],[Industry]], Mean_ROE_S, 3, FALSE))</f>
        <v>0.32299186937934099</v>
      </c>
      <c r="R68" s="1">
        <f>(Main_S[[#This Row],[ROA]]-VLOOKUP(Main_S[[#This Row],[Industry]], Mean_ROA_S, 2, FALSE))/(VLOOKUP(Main_S[[#This Row],[Industry]], Mean_ROA_S, 3, FALSE))</f>
        <v>0.41158846303731328</v>
      </c>
      <c r="S68" s="1">
        <f>(Main_S[[#This Row],[A/E]]-VLOOKUP(Main_S[[#This Row],[Industry]], Mean_AE_S, 2, FALSE))/(VLOOKUP(Main_S[[#This Row],[Industry]], Mean_AE_S, 3, FALSE))</f>
        <v>-0.75380655774186656</v>
      </c>
      <c r="T68" s="1">
        <f>(Main_S[[#This Row],[P/E]]-VLOOKUP(Main_S[[#This Row],[Industry]], Mean_PE_S, 2, FALSE))/(VLOOKUP(Main_S[[#This Row],[Industry]], Mean_PE_S, 3, FALSE))</f>
        <v>6.6534034120462628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9" spans="1:26" x14ac:dyDescent="0.25">
      <c r="A69" s="68" t="s">
        <v>133</v>
      </c>
      <c r="B69" s="68" t="s">
        <v>326</v>
      </c>
      <c r="C69" s="2">
        <v>360</v>
      </c>
      <c r="D69">
        <f>RTD("tos.rtd", , "LAST", Main_S[[#This Row],[Symbol]])</f>
        <v>0.69479999999999997</v>
      </c>
      <c r="E69">
        <v>-0.01</v>
      </c>
      <c r="F69">
        <v>-0.26</v>
      </c>
      <c r="G69">
        <v>-7.0000000000000007E-2</v>
      </c>
      <c r="H69" s="1">
        <f>IF(ISNUMBER(Main_S[[#This Row],[Free CF]]),IF(Main_S[[#This Row],[Free CF]]&lt;&gt;0,Main_S[[#This Row],[Current Price]]/Main_S[[#This Row],[Free CF]],""),"")</f>
        <v>-69.47999999999999</v>
      </c>
      <c r="I69" s="1">
        <f>IF(ISNUMBER(Main_S[[#This Row],[BVPS]]),IF(Main_S[[#This Row],[BVPS]]&lt;&gt;0,Main_S[[#This Row],[Current Price]]/Main_S[[#This Row],[BVPS]],""),"")</f>
        <v>-2.6723076923076921</v>
      </c>
      <c r="J69">
        <v>24.89</v>
      </c>
      <c r="K69">
        <v>-2134.1999999999998</v>
      </c>
      <c r="L69">
        <v>0</v>
      </c>
      <c r="M69" s="1">
        <f>IF(ISNUMBER(Main_S[[#This Row],[EPS]]),IF(Main_S[[#This Row],[EPS]]&lt;&gt;0,Main_S[[#This Row],[Current Price]]/Main_S[[#This Row],[EPS]],""),"")</f>
        <v>-9.9257142857142853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-2.0449019594611091</v>
      </c>
      <c r="P69" s="1">
        <f>(Main_S[[#This Row],[P/B]]-VLOOKUP(Main_S[[#This Row],[Industry]], Mean_PB_S, 2, FALSE))/(VLOOKUP(Main_S[[#This Row],[Industry]], Mean_PB_S, 3, FALSE))</f>
        <v>-2.3576447848797302</v>
      </c>
      <c r="Q69" s="1">
        <f>(Main_S[[#This Row],[ROE]]-VLOOKUP(Main_S[[#This Row],[Industry]], Mean_ROE_S, 2, FALSE))/(VLOOKUP(Main_S[[#This Row],[Industry]], Mean_ROE_S, 3, FALSE))</f>
        <v>1.5111595831944535</v>
      </c>
      <c r="R69" s="1">
        <f>(Main_S[[#This Row],[ROA]]-VLOOKUP(Main_S[[#This Row],[Industry]], Mean_ROA_S, 2, FALSE))/(VLOOKUP(Main_S[[#This Row],[Industry]], Mean_ROA_S, 3, FALSE))</f>
        <v>-249.84125405192106</v>
      </c>
      <c r="S69" s="1">
        <f>(Main_S[[#This Row],[A/E]]-VLOOKUP(Main_S[[#This Row],[Industry]], Mean_AE_S, 2, FALSE))/(VLOOKUP(Main_S[[#This Row],[Industry]], Mean_AE_S, 3, FALSE))</f>
        <v>-2.667414971906469</v>
      </c>
      <c r="T69" s="1">
        <f>(Main_S[[#This Row],[P/E]]-VLOOKUP(Main_S[[#This Row],[Industry]], Mean_PE_S, 2, FALSE))/(VLOOKUP(Main_S[[#This Row],[Industry]], Mean_PE_S, 3, FALSE))</f>
        <v>-7.654191233958052E-2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8" t="s">
        <v>133</v>
      </c>
      <c r="B70" s="68" t="s">
        <v>327</v>
      </c>
      <c r="C70" s="2">
        <v>270</v>
      </c>
      <c r="D70">
        <f>RTD("tos.rtd", , "LAST", Main_S[[#This Row],[Symbol]])</f>
        <v>0.73599999999999999</v>
      </c>
      <c r="E70">
        <v>-0.01</v>
      </c>
      <c r="F70">
        <v>0.12</v>
      </c>
      <c r="G70">
        <v>-0.02</v>
      </c>
      <c r="H70" s="1">
        <f>IF(ISNUMBER(Main_S[[#This Row],[Free CF]]),IF(Main_S[[#This Row],[Free CF]]&lt;&gt;0,Main_S[[#This Row],[Current Price]]/Main_S[[#This Row],[Free CF]],""),"")</f>
        <v>-73.599999999999994</v>
      </c>
      <c r="I70" s="1">
        <f>IF(ISNUMBER(Main_S[[#This Row],[BVPS]]),IF(Main_S[[#This Row],[BVPS]]&lt;&gt;0,Main_S[[#This Row],[Current Price]]/Main_S[[#This Row],[BVPS]],""),"")</f>
        <v>6.1333333333333337</v>
      </c>
      <c r="J70">
        <v>-16.899999999999999</v>
      </c>
      <c r="K70">
        <v>-6.03</v>
      </c>
      <c r="L70">
        <v>1.02</v>
      </c>
      <c r="M70" s="1">
        <f>IF(ISNUMBER(Main_S[[#This Row],[EPS]]),IF(Main_S[[#This Row],[EPS]]&lt;&gt;0,Main_S[[#This Row],[Current Price]]/Main_S[[#This Row],[EPS]],""),"")</f>
        <v>-36.799999999999997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-2.1878372833633324</v>
      </c>
      <c r="P70" s="1">
        <f>(Main_S[[#This Row],[P/B]]-VLOOKUP(Main_S[[#This Row],[Industry]], Mean_PB_S, 2, FALSE))/(VLOOKUP(Main_S[[#This Row],[Industry]], Mean_PB_S, 3, FALSE))</f>
        <v>1.4839949099604481</v>
      </c>
      <c r="Q70" s="1">
        <f>(Main_S[[#This Row],[ROE]]-VLOOKUP(Main_S[[#This Row],[Industry]], Mean_ROE_S, 2, FALSE))/(VLOOKUP(Main_S[[#This Row],[Industry]], Mean_ROE_S, 3, FALSE))</f>
        <v>-0.58215950450932186</v>
      </c>
      <c r="R70" s="1">
        <f>(Main_S[[#This Row],[ROA]]-VLOOKUP(Main_S[[#This Row],[Industry]], Mean_ROA_S, 2, FALSE))/(VLOOKUP(Main_S[[#This Row],[Industry]], Mean_ROA_S, 3, FALSE))</f>
        <v>-0.58512217674136024</v>
      </c>
      <c r="S70" s="1">
        <f>(Main_S[[#This Row],[A/E]]-VLOOKUP(Main_S[[#This Row],[Industry]], Mean_AE_S, 2, FALSE))/(VLOOKUP(Main_S[[#This Row],[Industry]], Mean_AE_S, 3, FALSE))</f>
        <v>-0.90896399672818584</v>
      </c>
      <c r="T70" s="1">
        <f>(Main_S[[#This Row],[P/E]]-VLOOKUP(Main_S[[#This Row],[Industry]], Mean_PE_S, 2, FALSE))/(VLOOKUP(Main_S[[#This Row],[Industry]], Mean_PE_S, 3, FALSE))</f>
        <v>-1.077409395717025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s="68" t="s">
        <v>133</v>
      </c>
      <c r="B71" s="68" t="s">
        <v>269</v>
      </c>
      <c r="C71" s="2">
        <v>285</v>
      </c>
      <c r="D71">
        <f>RTD("tos.rtd", , "LAST", Main_S[[#This Row],[Symbol]])</f>
        <v>3.05</v>
      </c>
      <c r="E71">
        <v>-0.01</v>
      </c>
      <c r="F71">
        <v>0.28000000000000003</v>
      </c>
      <c r="G71">
        <v>-0.01</v>
      </c>
      <c r="H71" s="1">
        <f>IF(ISNUMBER(Main_S[[#This Row],[Free CF]]),IF(Main_S[[#This Row],[Free CF]]&lt;&gt;0,Main_S[[#This Row],[Current Price]]/Main_S[[#This Row],[Free CF]],""),"")</f>
        <v>-305</v>
      </c>
      <c r="I71" s="1">
        <f>IF(ISNUMBER(Main_S[[#This Row],[BVPS]]),IF(Main_S[[#This Row],[BVPS]]&lt;&gt;0,Main_S[[#This Row],[Current Price]]/Main_S[[#This Row],[BVPS]],""),"")</f>
        <v>10.892857142857141</v>
      </c>
      <c r="J71">
        <v>-2.97</v>
      </c>
      <c r="K71">
        <v>-2.91</v>
      </c>
      <c r="L71">
        <v>1.21</v>
      </c>
      <c r="M71" s="1">
        <f>IF(ISNUMBER(Main_S[[#This Row],[EPS]]),IF(Main_S[[#This Row],[EPS]]&lt;&gt;0,Main_S[[#This Row],[Current Price]]/Main_S[[#This Row],[EPS]],""),"")</f>
        <v>-305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-10.215806688939656</v>
      </c>
      <c r="P71" s="1">
        <f>(Main_S[[#This Row],[P/B]]-VLOOKUP(Main_S[[#This Row],[Industry]], Mean_PB_S, 2, FALSE))/(VLOOKUP(Main_S[[#This Row],[Industry]], Mean_PB_S, 3, FALSE))</f>
        <v>3.5604338133817404</v>
      </c>
      <c r="Q71" s="1">
        <f>(Main_S[[#This Row],[ROE]]-VLOOKUP(Main_S[[#This Row],[Industry]], Mean_ROE_S, 2, FALSE))/(VLOOKUP(Main_S[[#This Row],[Industry]], Mean_ROE_S, 3, FALSE))</f>
        <v>0.11561352472526991</v>
      </c>
      <c r="R71" s="1">
        <f>(Main_S[[#This Row],[ROA]]-VLOOKUP(Main_S[[#This Row],[Industry]], Mean_ROA_S, 2, FALSE))/(VLOOKUP(Main_S[[#This Row],[Industry]], Mean_ROA_S, 3, FALSE))</f>
        <v>-0.21970064958396171</v>
      </c>
      <c r="S71" s="1">
        <f>(Main_S[[#This Row],[A/E]]-VLOOKUP(Main_S[[#This Row],[Industry]], Mean_AE_S, 2, FALSE))/(VLOOKUP(Main_S[[#This Row],[Industry]], Mean_AE_S, 3, FALSE))</f>
        <v>-0.58140940331262325</v>
      </c>
      <c r="T71" s="1">
        <f>(Main_S[[#This Row],[P/E]]-VLOOKUP(Main_S[[#This Row],[Industry]], Mean_PE_S, 2, FALSE))/(VLOOKUP(Main_S[[#This Row],[Industry]], Mean_PE_S, 3, FALSE))</f>
        <v>-11.06586683401606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2" spans="1:26" x14ac:dyDescent="0.25">
      <c r="A72" s="68" t="s">
        <v>133</v>
      </c>
      <c r="B72" s="68" t="s">
        <v>294</v>
      </c>
      <c r="C72" s="2">
        <v>298</v>
      </c>
      <c r="D72">
        <f>RTD("tos.rtd", , "LAST", Main_S[[#This Row],[Symbol]])</f>
        <v>3.79</v>
      </c>
      <c r="E72">
        <v>-0.01</v>
      </c>
      <c r="F72">
        <v>2.74</v>
      </c>
      <c r="G72">
        <v>-0.05</v>
      </c>
      <c r="H72" s="1">
        <f>IF(ISNUMBER(Main_S[[#This Row],[Free CF]]),IF(Main_S[[#This Row],[Free CF]]&lt;&gt;0,Main_S[[#This Row],[Current Price]]/Main_S[[#This Row],[Free CF]],""),"")</f>
        <v>-379</v>
      </c>
      <c r="I72" s="1">
        <f>IF(ISNUMBER(Main_S[[#This Row],[BVPS]]),IF(Main_S[[#This Row],[BVPS]]&lt;&gt;0,Main_S[[#This Row],[Current Price]]/Main_S[[#This Row],[BVPS]],""),"")</f>
        <v>1.3832116788321167</v>
      </c>
      <c r="J72">
        <v>-1.77</v>
      </c>
      <c r="K72">
        <v>-0.79</v>
      </c>
      <c r="L72">
        <v>1.05</v>
      </c>
      <c r="M72" s="1">
        <f>IF(ISNUMBER(Main_S[[#This Row],[EPS]]),IF(Main_S[[#This Row],[EPS]]&lt;&gt;0,Main_S[[#This Row],[Current Price]]/Main_S[[#This Row],[EPS]],""),"")</f>
        <v>-75.8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-12.783091632814539</v>
      </c>
      <c r="P72" s="1">
        <f>(Main_S[[#This Row],[P/B]]-VLOOKUP(Main_S[[#This Row],[Industry]], Mean_PB_S, 2, FALSE))/(VLOOKUP(Main_S[[#This Row],[Industry]], Mean_PB_S, 3, FALSE))</f>
        <v>-0.58834211242269607</v>
      </c>
      <c r="Q72" s="1">
        <f>(Main_S[[#This Row],[ROE]]-VLOOKUP(Main_S[[#This Row],[Industry]], Mean_ROE_S, 2, FALSE))/(VLOOKUP(Main_S[[#This Row],[Industry]], Mean_ROE_S, 3, FALSE))</f>
        <v>0.17572318984239196</v>
      </c>
      <c r="R72" s="1">
        <f>(Main_S[[#This Row],[ROA]]-VLOOKUP(Main_S[[#This Row],[Industry]], Mean_ROA_S, 2, FALSE))/(VLOOKUP(Main_S[[#This Row],[Industry]], Mean_ROA_S, 3, FALSE))</f>
        <v>2.8598593228116771E-2</v>
      </c>
      <c r="S72" s="1">
        <f>(Main_S[[#This Row],[A/E]]-VLOOKUP(Main_S[[#This Row],[Industry]], Mean_AE_S, 2, FALSE))/(VLOOKUP(Main_S[[#This Row],[Industry]], Mean_AE_S, 3, FALSE))</f>
        <v>-0.85724485039941267</v>
      </c>
      <c r="T72" s="1">
        <f>(Main_S[[#This Row],[P/E]]-VLOOKUP(Main_S[[#This Row],[Industry]], Mean_PE_S, 2, FALSE))/(VLOOKUP(Main_S[[#This Row],[Industry]], Mean_PE_S, 3, FALSE))</f>
        <v>-2.5298696496083837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8" t="s">
        <v>133</v>
      </c>
      <c r="B73" s="68" t="s">
        <v>328</v>
      </c>
      <c r="C73" s="2">
        <v>344</v>
      </c>
      <c r="D73">
        <f>RTD("tos.rtd", , "LAST", Main_S[[#This Row],[Symbol]])</f>
        <v>1.4710000000000001</v>
      </c>
      <c r="E73">
        <v>-0.02</v>
      </c>
      <c r="F73">
        <v>-0.33</v>
      </c>
      <c r="G73">
        <v>-7.0000000000000007E-2</v>
      </c>
      <c r="H73" s="1">
        <f>IF(ISNUMBER(Main_S[[#This Row],[Free CF]]),IF(Main_S[[#This Row],[Free CF]]&lt;&gt;0,Main_S[[#This Row],[Current Price]]/Main_S[[#This Row],[Free CF]],""),"")</f>
        <v>-73.55</v>
      </c>
      <c r="I73" s="1">
        <f>IF(ISNUMBER(Main_S[[#This Row],[BVPS]]),IF(Main_S[[#This Row],[BVPS]]&lt;&gt;0,Main_S[[#This Row],[Current Price]]/Main_S[[#This Row],[BVPS]],""),"")</f>
        <v>-4.457575757575758</v>
      </c>
      <c r="J73">
        <v>20.21</v>
      </c>
      <c r="K73">
        <v>-41.09</v>
      </c>
      <c r="L73">
        <v>-0.1</v>
      </c>
      <c r="M73" s="1">
        <f>IF(ISNUMBER(Main_S[[#This Row],[EPS]]),IF(Main_S[[#This Row],[EPS]]&lt;&gt;0,Main_S[[#This Row],[Current Price]]/Main_S[[#This Row],[EPS]],""),"")</f>
        <v>-21.014285714285712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-2.1861026313742276</v>
      </c>
      <c r="P73" s="1">
        <f>(Main_S[[#This Row],[P/B]]-VLOOKUP(Main_S[[#This Row],[Industry]], Mean_PB_S, 2, FALSE))/(VLOOKUP(Main_S[[#This Row],[Industry]], Mean_PB_S, 3, FALSE))</f>
        <v>-3.1365042279905242</v>
      </c>
      <c r="Q73" s="1">
        <f>(Main_S[[#This Row],[ROE]]-VLOOKUP(Main_S[[#This Row],[Industry]], Mean_ROE_S, 2, FALSE))/(VLOOKUP(Main_S[[#This Row],[Industry]], Mean_ROE_S, 3, FALSE))</f>
        <v>1.2767318892376776</v>
      </c>
      <c r="R73" s="1">
        <f>(Main_S[[#This Row],[ROA]]-VLOOKUP(Main_S[[#This Row],[Industry]], Mean_ROA_S, 2, FALSE))/(VLOOKUP(Main_S[[#This Row],[Industry]], Mean_ROA_S, 3, FALSE))</f>
        <v>-4.6914294658882811</v>
      </c>
      <c r="S73" s="1">
        <f>(Main_S[[#This Row],[A/E]]-VLOOKUP(Main_S[[#This Row],[Industry]], Mean_AE_S, 2, FALSE))/(VLOOKUP(Main_S[[#This Row],[Industry]], Mean_AE_S, 3, FALSE))</f>
        <v>-2.8398121263357128</v>
      </c>
      <c r="T73" s="1">
        <f>(Main_S[[#This Row],[P/E]]-VLOOKUP(Main_S[[#This Row],[Industry]], Mean_PE_S, 2, FALSE))/(VLOOKUP(Main_S[[#This Row],[Industry]], Mean_PE_S, 3, FALSE))</f>
        <v>-0.48950881676099894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8" t="s">
        <v>133</v>
      </c>
      <c r="B74" s="68" t="s">
        <v>329</v>
      </c>
      <c r="C74" s="2">
        <v>366</v>
      </c>
      <c r="D74">
        <f>RTD("tos.rtd", , "LAST", Main_S[[#This Row],[Symbol]])</f>
        <v>0.88949999999999996</v>
      </c>
      <c r="E74">
        <v>-0.02</v>
      </c>
      <c r="F74">
        <v>0.28999999999999998</v>
      </c>
      <c r="G74">
        <v>0</v>
      </c>
      <c r="H74" s="1">
        <f>IF(ISNUMBER(Main_S[[#This Row],[Free CF]]),IF(Main_S[[#This Row],[Free CF]]&lt;&gt;0,Main_S[[#This Row],[Current Price]]/Main_S[[#This Row],[Free CF]],""),"")</f>
        <v>-44.474999999999994</v>
      </c>
      <c r="I74" s="1">
        <f>IF(ISNUMBER(Main_S[[#This Row],[BVPS]]),IF(Main_S[[#This Row],[BVPS]]&lt;&gt;0,Main_S[[#This Row],[Current Price]]/Main_S[[#This Row],[BVPS]],""),"")</f>
        <v>3.067241379310345</v>
      </c>
      <c r="J74">
        <v>-0.43</v>
      </c>
      <c r="K74">
        <v>-4.3499999999999996</v>
      </c>
      <c r="L74">
        <v>1.66</v>
      </c>
      <c r="M74" s="1" t="str">
        <f>IF(ISNUMBER(Main_S[[#This Row],[EPS]]),IF(Main_S[[#This Row],[EPS]]&lt;&gt;0,Main_S[[#This Row],[Current Price]]/Main_S[[#This Row],[EPS]],""),"")</f>
        <v/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-1.1774024997098733</v>
      </c>
      <c r="P74" s="1">
        <f>(Main_S[[#This Row],[P/B]]-VLOOKUP(Main_S[[#This Row],[Industry]], Mean_PB_S, 2, FALSE))/(VLOOKUP(Main_S[[#This Row],[Industry]], Mean_PB_S, 3, FALSE))</f>
        <v>0.14635003841660316</v>
      </c>
      <c r="Q74" s="1">
        <f>(Main_S[[#This Row],[ROE]]-VLOOKUP(Main_S[[#This Row],[Industry]], Mean_ROE_S, 2, FALSE))/(VLOOKUP(Main_S[[#This Row],[Industry]], Mean_ROE_S, 3, FALSE))</f>
        <v>0.24284564922317828</v>
      </c>
      <c r="R74" s="1">
        <f>(Main_S[[#This Row],[ROA]]-VLOOKUP(Main_S[[#This Row],[Industry]], Mean_ROA_S, 2, FALSE))/(VLOOKUP(Main_S[[#This Row],[Industry]], Mean_ROA_S, 3, FALSE))</f>
        <v>-0.38835673904122253</v>
      </c>
      <c r="S74" s="1">
        <f>(Main_S[[#This Row],[A/E]]-VLOOKUP(Main_S[[#This Row],[Industry]], Mean_AE_S, 2, FALSE))/(VLOOKUP(Main_S[[#This Row],[Industry]], Mean_AE_S, 3, FALSE))</f>
        <v>0.19437779161897223</v>
      </c>
      <c r="T74" s="1" t="e">
        <f>(Main_S[[#This Row],[P/E]]-VLOOKUP(Main_S[[#This Row],[Industry]], Mean_PE_S, 2, FALSE))/(VLOOKUP(Main_S[[#This Row],[Industry]], Mean_PE_S, 3, FALSE))</f>
        <v>#VALUE!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5" spans="1:26" x14ac:dyDescent="0.25">
      <c r="A75" s="68" t="s">
        <v>133</v>
      </c>
      <c r="B75" s="68" t="s">
        <v>262</v>
      </c>
      <c r="C75" s="2">
        <v>571</v>
      </c>
      <c r="D75">
        <f>RTD("tos.rtd", , "LAST", Main_S[[#This Row],[Symbol]])</f>
        <v>1.28</v>
      </c>
      <c r="E75">
        <v>-0.02</v>
      </c>
      <c r="F75">
        <v>7.0000000000000007E-2</v>
      </c>
      <c r="G75">
        <v>-0.09</v>
      </c>
      <c r="H75" s="1">
        <f>IF(ISNUMBER(Main_S[[#This Row],[Free CF]]),IF(Main_S[[#This Row],[Free CF]]&lt;&gt;0,Main_S[[#This Row],[Current Price]]/Main_S[[#This Row],[Free CF]],""),"")</f>
        <v>-64</v>
      </c>
      <c r="I75" s="1">
        <f>IF(ISNUMBER(Main_S[[#This Row],[BVPS]]),IF(Main_S[[#This Row],[BVPS]]&lt;&gt;0,Main_S[[#This Row],[Current Price]]/Main_S[[#This Row],[BVPS]],""),"")</f>
        <v>18.285714285714285</v>
      </c>
      <c r="J75">
        <v>-80.19</v>
      </c>
      <c r="K75">
        <v>-8.68</v>
      </c>
      <c r="L75">
        <v>2.33</v>
      </c>
      <c r="M75" s="1">
        <f>IF(ISNUMBER(Main_S[[#This Row],[EPS]]),IF(Main_S[[#This Row],[EPS]]&lt;&gt;0,Main_S[[#This Row],[Current Price]]/Main_S[[#This Row],[EPS]],""),"")</f>
        <v>-14.222222222222223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-1.8547841014552395</v>
      </c>
      <c r="P75" s="1">
        <f>(Main_S[[#This Row],[P/B]]-VLOOKUP(Main_S[[#This Row],[Industry]], Mean_PB_S, 2, FALSE))/(VLOOKUP(Main_S[[#This Row],[Industry]], Mean_PB_S, 3, FALSE))</f>
        <v>6.7857178529630913</v>
      </c>
      <c r="Q75" s="1">
        <f>(Main_S[[#This Row],[ROE]]-VLOOKUP(Main_S[[#This Row],[Industry]], Mean_ROE_S, 2, FALSE))/(VLOOKUP(Main_S[[#This Row],[Industry]], Mean_ROE_S, 3, FALSE))</f>
        <v>-3.7524434255615335</v>
      </c>
      <c r="R75" s="1">
        <f>(Main_S[[#This Row],[ROA]]-VLOOKUP(Main_S[[#This Row],[Industry]], Mean_ROA_S, 2, FALSE))/(VLOOKUP(Main_S[[#This Row],[Industry]], Mean_ROA_S, 3, FALSE))</f>
        <v>-0.8954962302564583</v>
      </c>
      <c r="S75" s="1">
        <f>(Main_S[[#This Row],[A/E]]-VLOOKUP(Main_S[[#This Row],[Industry]], Mean_AE_S, 2, FALSE))/(VLOOKUP(Main_S[[#This Row],[Industry]], Mean_AE_S, 3, FALSE))</f>
        <v>1.3494387262949037</v>
      </c>
      <c r="T75" s="1">
        <f>(Main_S[[#This Row],[P/E]]-VLOOKUP(Main_S[[#This Row],[Industry]], Mean_PE_S, 2, FALSE))/(VLOOKUP(Main_S[[#This Row],[Industry]], Mean_PE_S, 3, FALSE))</f>
        <v>-0.23655491255256914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8" t="s">
        <v>133</v>
      </c>
      <c r="B76" s="68" t="s">
        <v>330</v>
      </c>
      <c r="C76" s="2">
        <v>397</v>
      </c>
      <c r="D76">
        <f>RTD("tos.rtd", , "LAST", Main_S[[#This Row],[Symbol]])</f>
        <v>0.86275199999999996</v>
      </c>
      <c r="E76">
        <v>-0.03</v>
      </c>
      <c r="F76">
        <v>0.23</v>
      </c>
      <c r="G76">
        <v>0</v>
      </c>
      <c r="H76" s="1">
        <f>IF(ISNUMBER(Main_S[[#This Row],[Free CF]]),IF(Main_S[[#This Row],[Free CF]]&lt;&gt;0,Main_S[[#This Row],[Current Price]]/Main_S[[#This Row],[Free CF]],""),"")</f>
        <v>-28.758399999999998</v>
      </c>
      <c r="I76" s="1">
        <f>IF(ISNUMBER(Main_S[[#This Row],[BVPS]]),IF(Main_S[[#This Row],[BVPS]]&lt;&gt;0,Main_S[[#This Row],[Current Price]]/Main_S[[#This Row],[BVPS]],""),"")</f>
        <v>3.7510956521739129</v>
      </c>
      <c r="J76">
        <v>-1.0900000000000001</v>
      </c>
      <c r="K76">
        <v>-0.68</v>
      </c>
      <c r="L76">
        <v>1.01</v>
      </c>
      <c r="M76" s="1" t="str">
        <f>IF(ISNUMBER(Main_S[[#This Row],[EPS]]),IF(Main_S[[#This Row],[EPS]]&lt;&gt;0,Main_S[[#This Row],[Current Price]]/Main_S[[#This Row],[EPS]],""),"")</f>
        <v/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-0.63214587067063055</v>
      </c>
      <c r="P76" s="1">
        <f>(Main_S[[#This Row],[P/B]]-VLOOKUP(Main_S[[#This Row],[Industry]], Mean_PB_S, 2, FALSE))/(VLOOKUP(Main_S[[#This Row],[Industry]], Mean_PB_S, 3, FALSE))</f>
        <v>0.44469535052606451</v>
      </c>
      <c r="Q76" s="1">
        <f>(Main_S[[#This Row],[ROE]]-VLOOKUP(Main_S[[#This Row],[Industry]], Mean_ROE_S, 2, FALSE))/(VLOOKUP(Main_S[[#This Row],[Industry]], Mean_ROE_S, 3, FALSE))</f>
        <v>0.20978533340876115</v>
      </c>
      <c r="R76" s="1">
        <f>(Main_S[[#This Row],[ROA]]-VLOOKUP(Main_S[[#This Row],[Industry]], Mean_ROA_S, 2, FALSE))/(VLOOKUP(Main_S[[#This Row],[Industry]], Mean_ROA_S, 3, FALSE))</f>
        <v>4.1482044506101969E-2</v>
      </c>
      <c r="S76" s="1">
        <f>(Main_S[[#This Row],[A/E]]-VLOOKUP(Main_S[[#This Row],[Industry]], Mean_AE_S, 2, FALSE))/(VLOOKUP(Main_S[[#This Row],[Industry]], Mean_AE_S, 3, FALSE))</f>
        <v>-0.92620371217111019</v>
      </c>
      <c r="T76" s="1" t="e">
        <f>(Main_S[[#This Row],[P/E]]-VLOOKUP(Main_S[[#This Row],[Industry]], Mean_PE_S, 2, FALSE))/(VLOOKUP(Main_S[[#This Row],[Industry]], Mean_PE_S, 3, FALSE))</f>
        <v>#VALUE!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7" spans="1:26" x14ac:dyDescent="0.25">
      <c r="A77" s="68" t="s">
        <v>133</v>
      </c>
      <c r="B77" s="68" t="s">
        <v>332</v>
      </c>
      <c r="C77" s="2">
        <v>253</v>
      </c>
      <c r="D77">
        <f>RTD("tos.rtd", , "LAST", Main_S[[#This Row],[Symbol]])</f>
        <v>2.42</v>
      </c>
      <c r="E77">
        <v>-0.03</v>
      </c>
      <c r="F77">
        <v>1.06</v>
      </c>
      <c r="G77">
        <v>0</v>
      </c>
      <c r="H77" s="1">
        <f>IF(ISNUMBER(Main_S[[#This Row],[Free CF]]),IF(Main_S[[#This Row],[Free CF]]&lt;&gt;0,Main_S[[#This Row],[Current Price]]/Main_S[[#This Row],[Free CF]],""),"")</f>
        <v>-80.666666666666671</v>
      </c>
      <c r="I77" s="1">
        <f>IF(ISNUMBER(Main_S[[#This Row],[BVPS]]),IF(Main_S[[#This Row],[BVPS]]&lt;&gt;0,Main_S[[#This Row],[Current Price]]/Main_S[[#This Row],[BVPS]],""),"")</f>
        <v>2.283018867924528</v>
      </c>
      <c r="J77">
        <v>0.17</v>
      </c>
      <c r="K77">
        <v>1.17</v>
      </c>
      <c r="L77">
        <v>1.36</v>
      </c>
      <c r="M77" s="1" t="str">
        <f>IF(ISNUMBER(Main_S[[#This Row],[EPS]]),IF(Main_S[[#This Row],[EPS]]&lt;&gt;0,Main_S[[#This Row],[Current Price]]/Main_S[[#This Row],[EPS]],""),"")</f>
        <v/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-2.4330014311567898</v>
      </c>
      <c r="P77" s="1">
        <f>(Main_S[[#This Row],[P/B]]-VLOOKUP(Main_S[[#This Row],[Industry]], Mean_PB_S, 2, FALSE))/(VLOOKUP(Main_S[[#This Row],[Industry]], Mean_PB_S, 3, FALSE))</f>
        <v>-0.19578295571231571</v>
      </c>
      <c r="Q77" s="1">
        <f>(Main_S[[#This Row],[ROE]]-VLOOKUP(Main_S[[#This Row],[Industry]], Mean_ROE_S, 2, FALSE))/(VLOOKUP(Main_S[[#This Row],[Industry]], Mean_ROE_S, 3, FALSE))</f>
        <v>0.27290048178173926</v>
      </c>
      <c r="R77" s="1">
        <f>(Main_S[[#This Row],[ROA]]-VLOOKUP(Main_S[[#This Row],[Industry]], Mean_ROA_S, 2, FALSE))/(VLOOKUP(Main_S[[#This Row],[Industry]], Mean_ROA_S, 3, FALSE))</f>
        <v>0.25815827054494406</v>
      </c>
      <c r="S77" s="1">
        <f>(Main_S[[#This Row],[A/E]]-VLOOKUP(Main_S[[#This Row],[Industry]], Mean_AE_S, 2, FALSE))/(VLOOKUP(Main_S[[#This Row],[Industry]], Mean_AE_S, 3, FALSE))</f>
        <v>-0.32281367166875785</v>
      </c>
      <c r="T77" s="1" t="e">
        <f>(Main_S[[#This Row],[P/E]]-VLOOKUP(Main_S[[#This Row],[Industry]], Mean_PE_S, 2, FALSE))/(VLOOKUP(Main_S[[#This Row],[Industry]], Mean_PE_S, 3, FALSE))</f>
        <v>#VALUE!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8" spans="1:26" x14ac:dyDescent="0.25">
      <c r="A78" s="68" t="s">
        <v>133</v>
      </c>
      <c r="B78" s="68" t="s">
        <v>287</v>
      </c>
      <c r="C78" s="2">
        <v>1431</v>
      </c>
      <c r="D78">
        <f>RTD("tos.rtd", , "LAST", Main_S[[#This Row],[Symbol]])</f>
        <v>4.38</v>
      </c>
      <c r="E78">
        <v>-0.04</v>
      </c>
      <c r="F78">
        <v>-0.17</v>
      </c>
      <c r="G78">
        <v>-0.13</v>
      </c>
      <c r="H78" s="1">
        <f>IF(ISNUMBER(Main_S[[#This Row],[Free CF]]),IF(Main_S[[#This Row],[Free CF]]&lt;&gt;0,Main_S[[#This Row],[Current Price]]/Main_S[[#This Row],[Free CF]],""),"")</f>
        <v>-109.5</v>
      </c>
      <c r="I78" s="1">
        <f>IF(ISNUMBER(Main_S[[#This Row],[BVPS]]),IF(Main_S[[#This Row],[BVPS]]&lt;&gt;0,Main_S[[#This Row],[Current Price]]/Main_S[[#This Row],[BVPS]],""),"")</f>
        <v>-25.764705882352938</v>
      </c>
      <c r="J78">
        <v>122.97</v>
      </c>
      <c r="K78">
        <v>-12.82</v>
      </c>
      <c r="L78">
        <v>-1.82</v>
      </c>
      <c r="M78" s="1">
        <f>IF(ISNUMBER(Main_S[[#This Row],[EPS]]),IF(Main_S[[#This Row],[EPS]]&lt;&gt;0,Main_S[[#This Row],[Current Price]]/Main_S[[#This Row],[EPS]],""),"")</f>
        <v>-33.692307692307693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-3.4333174115404717</v>
      </c>
      <c r="P78" s="1">
        <f>(Main_S[[#This Row],[P/B]]-VLOOKUP(Main_S[[#This Row],[Industry]], Mean_PB_S, 2, FALSE))/(VLOOKUP(Main_S[[#This Row],[Industry]], Mean_PB_S, 3, FALSE))</f>
        <v>-12.432172383451155</v>
      </c>
      <c r="Q78" s="1">
        <f>(Main_S[[#This Row],[ROE]]-VLOOKUP(Main_S[[#This Row],[Industry]], Mean_ROE_S, 2, FALSE))/(VLOOKUP(Main_S[[#This Row],[Industry]], Mean_ROE_S, 3, FALSE))</f>
        <v>6.4241228787672284</v>
      </c>
      <c r="R78" s="1">
        <f>(Main_S[[#This Row],[ROA]]-VLOOKUP(Main_S[[#This Row],[Industry]], Mean_ROA_S, 2, FALSE))/(VLOOKUP(Main_S[[#This Row],[Industry]], Mean_ROA_S, 3, FALSE))</f>
        <v>-1.3803824874460831</v>
      </c>
      <c r="S78" s="1">
        <f>(Main_S[[#This Row],[A/E]]-VLOOKUP(Main_S[[#This Row],[Industry]], Mean_AE_S, 2, FALSE))/(VLOOKUP(Main_S[[#This Row],[Industry]], Mean_AE_S, 3, FALSE))</f>
        <v>-5.8050431825187001</v>
      </c>
      <c r="T78" s="1">
        <f>(Main_S[[#This Row],[P/E]]-VLOOKUP(Main_S[[#This Row],[Industry]], Mean_PE_S, 2, FALSE))/(VLOOKUP(Main_S[[#This Row],[Industry]], Mean_PE_S, 3, FALSE))</f>
        <v>-0.96167094550556387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8" t="s">
        <v>133</v>
      </c>
      <c r="B79" s="68" t="s">
        <v>333</v>
      </c>
      <c r="C79" s="2">
        <v>379</v>
      </c>
      <c r="D79">
        <f>RTD("tos.rtd", , "LAST", Main_S[[#This Row],[Symbol]])</f>
        <v>0.90649999999999997</v>
      </c>
      <c r="E79">
        <v>-0.05</v>
      </c>
      <c r="F79">
        <v>-0.14000000000000001</v>
      </c>
      <c r="G79">
        <v>-0.12</v>
      </c>
      <c r="H79" s="1">
        <f>IF(ISNUMBER(Main_S[[#This Row],[Free CF]]),IF(Main_S[[#This Row],[Free CF]]&lt;&gt;0,Main_S[[#This Row],[Current Price]]/Main_S[[#This Row],[Free CF]],""),"")</f>
        <v>-18.13</v>
      </c>
      <c r="I79" s="1">
        <f>IF(ISNUMBER(Main_S[[#This Row],[BVPS]]),IF(Main_S[[#This Row],[BVPS]]&lt;&gt;0,Main_S[[#This Row],[Current Price]]/Main_S[[#This Row],[BVPS]],""),"")</f>
        <v>-6.4749999999999988</v>
      </c>
      <c r="J79">
        <v>134.74</v>
      </c>
      <c r="K79">
        <v>-71.489999999999995</v>
      </c>
      <c r="L79">
        <v>-0.28000000000000003</v>
      </c>
      <c r="M79" s="1">
        <f>IF(ISNUMBER(Main_S[[#This Row],[EPS]]),IF(Main_S[[#This Row],[EPS]]&lt;&gt;0,Main_S[[#This Row],[Current Price]]/Main_S[[#This Row],[EPS]],""),"")</f>
        <v>-7.5541666666666671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-0.26341436665063311</v>
      </c>
      <c r="P79" s="1">
        <f>(Main_S[[#This Row],[P/B]]-VLOOKUP(Main_S[[#This Row],[Industry]], Mean_PB_S, 2, FALSE))/(VLOOKUP(Main_S[[#This Row],[Industry]], Mean_PB_S, 3, FALSE))</f>
        <v>-4.0166465172869064</v>
      </c>
      <c r="Q79" s="1">
        <f>(Main_S[[#This Row],[ROE]]-VLOOKUP(Main_S[[#This Row],[Industry]], Mean_ROE_S, 2, FALSE))/(VLOOKUP(Main_S[[#This Row],[Industry]], Mean_ROE_S, 3, FALSE))</f>
        <v>7.0136985107910013</v>
      </c>
      <c r="R79" s="1">
        <f>(Main_S[[#This Row],[ROA]]-VLOOKUP(Main_S[[#This Row],[Industry]], Mean_ROA_S, 2, FALSE))/(VLOOKUP(Main_S[[#This Row],[Industry]], Mean_ROA_S, 3, FALSE))</f>
        <v>-8.2519469099860085</v>
      </c>
      <c r="S79" s="1">
        <f>(Main_S[[#This Row],[A/E]]-VLOOKUP(Main_S[[#This Row],[Industry]], Mean_AE_S, 2, FALSE))/(VLOOKUP(Main_S[[#This Row],[Industry]], Mean_AE_S, 3, FALSE))</f>
        <v>-3.1501270043083509</v>
      </c>
      <c r="T79" s="1">
        <f>(Main_S[[#This Row],[P/E]]-VLOOKUP(Main_S[[#This Row],[Industry]], Mean_PE_S, 2, FALSE))/(VLOOKUP(Main_S[[#This Row],[Industry]], Mean_PE_S, 3, FALSE))</f>
        <v>1.1780617323941285E-2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8" t="s">
        <v>133</v>
      </c>
      <c r="B80" s="68" t="s">
        <v>282</v>
      </c>
      <c r="C80" s="2">
        <v>345</v>
      </c>
      <c r="D80">
        <f>RTD("tos.rtd", , "LAST", Main_S[[#This Row],[Symbol]])</f>
        <v>1.45</v>
      </c>
      <c r="E80">
        <v>-0.05</v>
      </c>
      <c r="F80">
        <v>0.85</v>
      </c>
      <c r="G80">
        <v>-7.0000000000000007E-2</v>
      </c>
      <c r="H80" s="1">
        <f>IF(ISNUMBER(Main_S[[#This Row],[Free CF]]),IF(Main_S[[#This Row],[Free CF]]&lt;&gt;0,Main_S[[#This Row],[Current Price]]/Main_S[[#This Row],[Free CF]],""),"")</f>
        <v>-28.999999999999996</v>
      </c>
      <c r="I80" s="1">
        <f>IF(ISNUMBER(Main_S[[#This Row],[BVPS]]),IF(Main_S[[#This Row],[BVPS]]&lt;&gt;0,Main_S[[#This Row],[Current Price]]/Main_S[[#This Row],[BVPS]],""),"")</f>
        <v>1.7058823529411764</v>
      </c>
      <c r="J80">
        <v>-7.86</v>
      </c>
      <c r="K80">
        <v>8.0500000000000007</v>
      </c>
      <c r="L80">
        <v>2.42</v>
      </c>
      <c r="M80" s="1">
        <f>IF(ISNUMBER(Main_S[[#This Row],[EPS]]),IF(Main_S[[#This Row],[EPS]]&lt;&gt;0,Main_S[[#This Row],[Current Price]]/Main_S[[#This Row],[EPS]],""),"")</f>
        <v>-20.714285714285712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-0.6405277090819842</v>
      </c>
      <c r="P80" s="1">
        <f>(Main_S[[#This Row],[P/B]]-VLOOKUP(Main_S[[#This Row],[Industry]], Mean_PB_S, 2, FALSE))/(VLOOKUP(Main_S[[#This Row],[Industry]], Mean_PB_S, 3, FALSE))</f>
        <v>-0.44757047905623543</v>
      </c>
      <c r="Q80" s="1">
        <f>(Main_S[[#This Row],[ROE]]-VLOOKUP(Main_S[[#This Row],[Industry]], Mean_ROE_S, 2, FALSE))/(VLOOKUP(Main_S[[#This Row],[Industry]], Mean_ROE_S, 3, FALSE))</f>
        <v>-0.12933336062700243</v>
      </c>
      <c r="R80" s="1">
        <f>(Main_S[[#This Row],[ROA]]-VLOOKUP(Main_S[[#This Row],[Industry]], Mean_ROA_S, 2, FALSE))/(VLOOKUP(Main_S[[#This Row],[Industry]], Mean_ROA_S, 3, FALSE))</f>
        <v>1.0639595868407461</v>
      </c>
      <c r="S80" s="1">
        <f>(Main_S[[#This Row],[A/E]]-VLOOKUP(Main_S[[#This Row],[Industry]], Mean_AE_S, 2, FALSE))/(VLOOKUP(Main_S[[#This Row],[Industry]], Mean_AE_S, 3, FALSE))</f>
        <v>1.5045961652812225</v>
      </c>
      <c r="T80" s="1">
        <f>(Main_S[[#This Row],[P/E]]-VLOOKUP(Main_S[[#This Row],[Industry]], Mean_PE_S, 2, FALSE))/(VLOOKUP(Main_S[[#This Row],[Industry]], Mean_PE_S, 3, FALSE))</f>
        <v>-0.47833604557721926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8" t="s">
        <v>133</v>
      </c>
      <c r="B81" s="68" t="s">
        <v>334</v>
      </c>
      <c r="C81" s="2">
        <v>974</v>
      </c>
      <c r="D81">
        <f>RTD("tos.rtd", , "LAST", Main_S[[#This Row],[Symbol]])</f>
        <v>4.45</v>
      </c>
      <c r="E81">
        <v>-0.06</v>
      </c>
      <c r="F81">
        <v>0.32</v>
      </c>
      <c r="G81">
        <v>-0.03</v>
      </c>
      <c r="H81" s="1">
        <f>IF(ISNUMBER(Main_S[[#This Row],[Free CF]]),IF(Main_S[[#This Row],[Free CF]]&lt;&gt;0,Main_S[[#This Row],[Current Price]]/Main_S[[#This Row],[Free CF]],""),"")</f>
        <v>-74.166666666666671</v>
      </c>
      <c r="I81" s="1">
        <f>IF(ISNUMBER(Main_S[[#This Row],[BVPS]]),IF(Main_S[[#This Row],[BVPS]]&lt;&gt;0,Main_S[[#This Row],[Current Price]]/Main_S[[#This Row],[BVPS]],""),"")</f>
        <v>13.90625</v>
      </c>
      <c r="J81">
        <v>-9.81</v>
      </c>
      <c r="K81">
        <v>-2.69</v>
      </c>
      <c r="L81">
        <v>1.03</v>
      </c>
      <c r="M81" s="1">
        <f>IF(ISNUMBER(Main_S[[#This Row],[EPS]]),IF(Main_S[[#This Row],[EPS]]&lt;&gt;0,Main_S[[#This Row],[Current Price]]/Main_S[[#This Row],[EPS]],""),"")</f>
        <v>-148.33333333333334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-2.2074966725731855</v>
      </c>
      <c r="P81" s="1">
        <f>(Main_S[[#This Row],[P/B]]-VLOOKUP(Main_S[[#This Row],[Industry]], Mean_PB_S, 2, FALSE))/(VLOOKUP(Main_S[[#This Row],[Industry]], Mean_PB_S, 3, FALSE))</f>
        <v>4.8750876338632709</v>
      </c>
      <c r="Q81" s="1">
        <f>(Main_S[[#This Row],[ROE]]-VLOOKUP(Main_S[[#This Row],[Industry]], Mean_ROE_S, 2, FALSE))/(VLOOKUP(Main_S[[#This Row],[Industry]], Mean_ROE_S, 3, FALSE))</f>
        <v>-0.22701156644232579</v>
      </c>
      <c r="R81" s="1">
        <f>(Main_S[[#This Row],[ROA]]-VLOOKUP(Main_S[[#This Row],[Industry]], Mean_ROA_S, 2, FALSE))/(VLOOKUP(Main_S[[#This Row],[Industry]], Mean_ROA_S, 3, FALSE))</f>
        <v>-0.19393374702799129</v>
      </c>
      <c r="S81" s="1">
        <f>(Main_S[[#This Row],[A/E]]-VLOOKUP(Main_S[[#This Row],[Industry]], Mean_AE_S, 2, FALSE))/(VLOOKUP(Main_S[[#This Row],[Industry]], Mean_AE_S, 3, FALSE))</f>
        <v>-0.89172428128526149</v>
      </c>
      <c r="T81" s="1">
        <f>(Main_S[[#This Row],[P/E]]-VLOOKUP(Main_S[[#This Row],[Industry]], Mean_PE_S, 2, FALSE))/(VLOOKUP(Main_S[[#This Row],[Industry]], Mean_PE_S, 3, FALSE))</f>
        <v>-5.2311974380422264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2" spans="1:26" x14ac:dyDescent="0.25">
      <c r="A82" s="68" t="s">
        <v>133</v>
      </c>
      <c r="B82" s="68" t="s">
        <v>335</v>
      </c>
      <c r="C82" s="2">
        <v>1899</v>
      </c>
      <c r="D82">
        <f>RTD("tos.rtd", , "LAST", Main_S[[#This Row],[Symbol]])</f>
        <v>2.4700000000000002</v>
      </c>
      <c r="E82">
        <v>-0.06</v>
      </c>
      <c r="F82">
        <v>0.18</v>
      </c>
      <c r="G82">
        <v>-0.05</v>
      </c>
      <c r="H82" s="1">
        <f>IF(ISNUMBER(Main_S[[#This Row],[Free CF]]),IF(Main_S[[#This Row],[Free CF]]&lt;&gt;0,Main_S[[#This Row],[Current Price]]/Main_S[[#This Row],[Free CF]],""),"")</f>
        <v>-41.166666666666671</v>
      </c>
      <c r="I82" s="1">
        <f>IF(ISNUMBER(Main_S[[#This Row],[BVPS]]),IF(Main_S[[#This Row],[BVPS]]&lt;&gt;0,Main_S[[#This Row],[Current Price]]/Main_S[[#This Row],[BVPS]],""),"")</f>
        <v>13.722222222222223</v>
      </c>
      <c r="J82">
        <v>-24.9</v>
      </c>
      <c r="K82">
        <v>-12.12</v>
      </c>
      <c r="L82">
        <v>1.1000000000000001</v>
      </c>
      <c r="M82" s="1">
        <f>IF(ISNUMBER(Main_S[[#This Row],[EPS]]),IF(Main_S[[#This Row],[EPS]]&lt;&gt;0,Main_S[[#This Row],[Current Price]]/Main_S[[#This Row],[EPS]],""),"")</f>
        <v>-49.4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-1.0626263597641159</v>
      </c>
      <c r="P82" s="1">
        <f>(Main_S[[#This Row],[P/B]]-VLOOKUP(Main_S[[#This Row],[Industry]], Mean_PB_S, 2, FALSE))/(VLOOKUP(Main_S[[#This Row],[Industry]], Mean_PB_S, 3, FALSE))</f>
        <v>4.794801779147444</v>
      </c>
      <c r="Q82" s="1">
        <f>(Main_S[[#This Row],[ROE]]-VLOOKUP(Main_S[[#This Row],[Industry]], Mean_ROE_S, 2, FALSE))/(VLOOKUP(Main_S[[#This Row],[Industry]], Mean_ROE_S, 3, FALSE))</f>
        <v>-0.9828906052901355</v>
      </c>
      <c r="R82" s="1">
        <f>(Main_S[[#This Row],[ROA]]-VLOOKUP(Main_S[[#This Row],[Industry]], Mean_ROA_S, 2, FALSE))/(VLOOKUP(Main_S[[#This Row],[Industry]], Mean_ROA_S, 3, FALSE))</f>
        <v>-1.2983968884043593</v>
      </c>
      <c r="S82" s="1">
        <f>(Main_S[[#This Row],[A/E]]-VLOOKUP(Main_S[[#This Row],[Industry]], Mean_AE_S, 2, FALSE))/(VLOOKUP(Main_S[[#This Row],[Industry]], Mean_AE_S, 3, FALSE))</f>
        <v>-0.77104627318479091</v>
      </c>
      <c r="T82" s="1">
        <f>(Main_S[[#This Row],[P/E]]-VLOOKUP(Main_S[[#This Row],[Industry]], Mean_PE_S, 2, FALSE))/(VLOOKUP(Main_S[[#This Row],[Industry]], Mean_PE_S, 3, FALSE))</f>
        <v>-1.5466657854357717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s="68" t="s">
        <v>133</v>
      </c>
      <c r="B83" s="68" t="s">
        <v>336</v>
      </c>
      <c r="C83" s="2">
        <v>463</v>
      </c>
      <c r="D83">
        <f>RTD("tos.rtd", , "LAST", Main_S[[#This Row],[Symbol]])</f>
        <v>1.75</v>
      </c>
      <c r="E83">
        <v>-0.08</v>
      </c>
      <c r="F83">
        <v>0.09</v>
      </c>
      <c r="G83">
        <v>-0.17</v>
      </c>
      <c r="H83" s="1">
        <f>IF(ISNUMBER(Main_S[[#This Row],[Free CF]]),IF(Main_S[[#This Row],[Free CF]]&lt;&gt;0,Main_S[[#This Row],[Current Price]]/Main_S[[#This Row],[Free CF]],""),"")</f>
        <v>-21.875</v>
      </c>
      <c r="I83" s="1">
        <f>IF(ISNUMBER(Main_S[[#This Row],[BVPS]]),IF(Main_S[[#This Row],[BVPS]]&lt;&gt;0,Main_S[[#This Row],[Current Price]]/Main_S[[#This Row],[BVPS]],""),"")</f>
        <v>19.444444444444446</v>
      </c>
      <c r="J83">
        <v>-357.27</v>
      </c>
      <c r="K83">
        <v>-100.32</v>
      </c>
      <c r="L83">
        <v>1.4</v>
      </c>
      <c r="M83" s="1">
        <f>IF(ISNUMBER(Main_S[[#This Row],[EPS]]),IF(Main_S[[#This Row],[EPS]]&lt;&gt;0,Main_S[[#This Row],[Current Price]]/Main_S[[#This Row],[EPS]],""),"")</f>
        <v>-10.294117647058822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-0.39333980063457152</v>
      </c>
      <c r="P83" s="1">
        <f>(Main_S[[#This Row],[P/B]]-VLOOKUP(Main_S[[#This Row],[Industry]], Mean_PB_S, 2, FALSE))/(VLOOKUP(Main_S[[#This Row],[Industry]], Mean_PB_S, 3, FALSE))</f>
        <v>7.2912374125754136</v>
      </c>
      <c r="Q83" s="1">
        <f>(Main_S[[#This Row],[ROE]]-VLOOKUP(Main_S[[#This Row],[Industry]], Mean_ROE_S, 2, FALSE))/(VLOOKUP(Main_S[[#This Row],[Industry]], Mean_ROE_S, 3, FALSE))</f>
        <v>-17.631765101105014</v>
      </c>
      <c r="R83" s="1">
        <f>(Main_S[[#This Row],[ROA]]-VLOOKUP(Main_S[[#This Row],[Industry]], Mean_ROA_S, 2, FALSE))/(VLOOKUP(Main_S[[#This Row],[Industry]], Mean_ROA_S, 3, FALSE))</f>
        <v>-11.628582367661586</v>
      </c>
      <c r="S83" s="1">
        <f>(Main_S[[#This Row],[A/E]]-VLOOKUP(Main_S[[#This Row],[Industry]], Mean_AE_S, 2, FALSE))/(VLOOKUP(Main_S[[#This Row],[Industry]], Mean_AE_S, 3, FALSE))</f>
        <v>-0.25385480989706083</v>
      </c>
      <c r="T83" s="1">
        <f>(Main_S[[#This Row],[P/E]]-VLOOKUP(Main_S[[#This Row],[Industry]], Mean_PE_S, 2, FALSE))/(VLOOKUP(Main_S[[#This Row],[Industry]], Mean_PE_S, 3, FALSE))</f>
        <v>-9.026220053837325E-2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8" t="s">
        <v>133</v>
      </c>
      <c r="B84" s="68" t="s">
        <v>271</v>
      </c>
      <c r="C84" s="2">
        <v>403</v>
      </c>
      <c r="D84">
        <f>RTD("tos.rtd", , "LAST", Main_S[[#This Row],[Symbol]])</f>
        <v>0.83489999999999998</v>
      </c>
      <c r="E84">
        <v>-0.09</v>
      </c>
      <c r="F84">
        <v>0.09</v>
      </c>
      <c r="G84">
        <v>-0.14000000000000001</v>
      </c>
      <c r="H84" s="1">
        <f>IF(ISNUMBER(Main_S[[#This Row],[Free CF]]),IF(Main_S[[#This Row],[Free CF]]&lt;&gt;0,Main_S[[#This Row],[Current Price]]/Main_S[[#This Row],[Free CF]],""),"")</f>
        <v>-9.2766666666666673</v>
      </c>
      <c r="I84" s="1">
        <f>IF(ISNUMBER(Main_S[[#This Row],[BVPS]]),IF(Main_S[[#This Row],[BVPS]]&lt;&gt;0,Main_S[[#This Row],[Current Price]]/Main_S[[#This Row],[BVPS]],""),"")</f>
        <v>9.2766666666666673</v>
      </c>
      <c r="J84">
        <v>-85.01</v>
      </c>
      <c r="K84">
        <v>-9.42</v>
      </c>
      <c r="L84">
        <v>3.33</v>
      </c>
      <c r="M84" s="1">
        <f>IF(ISNUMBER(Main_S[[#This Row],[EPS]]),IF(Main_S[[#This Row],[EPS]]&lt;&gt;0,Main_S[[#This Row],[Current Price]]/Main_S[[#This Row],[EPS]],""),"")</f>
        <v>-5.9635714285714281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4.3734678886830275E-2</v>
      </c>
      <c r="P84" s="1">
        <f>(Main_S[[#This Row],[P/B]]-VLOOKUP(Main_S[[#This Row],[Industry]], Mean_PB_S, 2, FALSE))/(VLOOKUP(Main_S[[#This Row],[Industry]], Mean_PB_S, 3, FALSE))</f>
        <v>2.8553379016046665</v>
      </c>
      <c r="Q84" s="1">
        <f>(Main_S[[#This Row],[ROE]]-VLOOKUP(Main_S[[#This Row],[Industry]], Mean_ROE_S, 2, FALSE))/(VLOOKUP(Main_S[[#This Row],[Industry]], Mean_ROE_S, 3, FALSE))</f>
        <v>-3.9938839137819744</v>
      </c>
      <c r="R84" s="1">
        <f>(Main_S[[#This Row],[ROA]]-VLOOKUP(Main_S[[#This Row],[Industry]], Mean_ROA_S, 2, FALSE))/(VLOOKUP(Main_S[[#This Row],[Industry]], Mean_ROA_S, 3, FALSE))</f>
        <v>-0.98216672067199517</v>
      </c>
      <c r="S84" s="1">
        <f>(Main_S[[#This Row],[A/E]]-VLOOKUP(Main_S[[#This Row],[Industry]], Mean_AE_S, 2, FALSE))/(VLOOKUP(Main_S[[#This Row],[Industry]], Mean_AE_S, 3, FALSE))</f>
        <v>3.0734102705873383</v>
      </c>
      <c r="T84" s="1">
        <f>(Main_S[[#This Row],[P/E]]-VLOOKUP(Main_S[[#This Row],[Industry]], Mean_PE_S, 2, FALSE))/(VLOOKUP(Main_S[[#This Row],[Industry]], Mean_PE_S, 3, FALSE))</f>
        <v>7.1018472794766849E-2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8" t="s">
        <v>133</v>
      </c>
      <c r="B85" s="68" t="s">
        <v>338</v>
      </c>
      <c r="C85" s="2">
        <v>365</v>
      </c>
      <c r="D85">
        <f>RTD("tos.rtd", , "LAST", Main_S[[#This Row],[Symbol]])</f>
        <v>1.877</v>
      </c>
      <c r="E85">
        <v>-0.09</v>
      </c>
      <c r="F85">
        <v>0.05</v>
      </c>
      <c r="G85">
        <v>-0.12</v>
      </c>
      <c r="H85" s="1">
        <f>IF(ISNUMBER(Main_S[[#This Row],[Free CF]]),IF(Main_S[[#This Row],[Free CF]]&lt;&gt;0,Main_S[[#This Row],[Current Price]]/Main_S[[#This Row],[Free CF]],""),"")</f>
        <v>-20.855555555555558</v>
      </c>
      <c r="I85" s="1">
        <f>IF(ISNUMBER(Main_S[[#This Row],[BVPS]]),IF(Main_S[[#This Row],[BVPS]]&lt;&gt;0,Main_S[[#This Row],[Current Price]]/Main_S[[#This Row],[BVPS]],""),"")</f>
        <v>37.54</v>
      </c>
      <c r="J85">
        <v>-177.01</v>
      </c>
      <c r="K85">
        <v>-89.06</v>
      </c>
      <c r="L85">
        <v>1.9</v>
      </c>
      <c r="M85" s="1">
        <f>IF(ISNUMBER(Main_S[[#This Row],[EPS]]),IF(Main_S[[#This Row],[EPS]]&lt;&gt;0,Main_S[[#This Row],[Current Price]]/Main_S[[#This Row],[EPS]],""),"")</f>
        <v>-15.641666666666667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-0.35797217396782677</v>
      </c>
      <c r="P85" s="1">
        <f>(Main_S[[#This Row],[P/B]]-VLOOKUP(Main_S[[#This Row],[Industry]], Mean_PB_S, 2, FALSE))/(VLOOKUP(Main_S[[#This Row],[Industry]], Mean_PB_S, 3, FALSE))</f>
        <v>15.185790951606073</v>
      </c>
      <c r="Q85" s="1">
        <f>(Main_S[[#This Row],[ROE]]-VLOOKUP(Main_S[[#This Row],[Industry]], Mean_ROE_S, 2, FALSE))/(VLOOKUP(Main_S[[#This Row],[Industry]], Mean_ROE_S, 3, FALSE))</f>
        <v>-8.6022915727613309</v>
      </c>
      <c r="R85" s="1">
        <f>(Main_S[[#This Row],[ROA]]-VLOOKUP(Main_S[[#This Row],[Industry]], Mean_ROA_S, 2, FALSE))/(VLOOKUP(Main_S[[#This Row],[Industry]], Mean_ROA_S, 3, FALSE))</f>
        <v>-10.309785445933283</v>
      </c>
      <c r="S85" s="1">
        <f>(Main_S[[#This Row],[A/E]]-VLOOKUP(Main_S[[#This Row],[Industry]], Mean_AE_S, 2, FALSE))/(VLOOKUP(Main_S[[#This Row],[Industry]], Mean_AE_S, 3, FALSE))</f>
        <v>0.60813096224915653</v>
      </c>
      <c r="T85" s="1">
        <f>(Main_S[[#This Row],[P/E]]-VLOOKUP(Main_S[[#This Row],[Industry]], Mean_PE_S, 2, FALSE))/(VLOOKUP(Main_S[[#This Row],[Industry]], Mean_PE_S, 3, FALSE))</f>
        <v>-0.28941867250545261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s="68" t="s">
        <v>133</v>
      </c>
      <c r="B86" s="68" t="s">
        <v>339</v>
      </c>
      <c r="C86" s="2">
        <v>544</v>
      </c>
      <c r="D86">
        <f>RTD("tos.rtd", , "LAST", Main_S[[#This Row],[Symbol]])</f>
        <v>2.3199999999999998</v>
      </c>
      <c r="E86">
        <v>-0.1</v>
      </c>
      <c r="F86">
        <v>0.3</v>
      </c>
      <c r="G86">
        <v>-0.03</v>
      </c>
      <c r="H86" s="1">
        <f>IF(ISNUMBER(Main_S[[#This Row],[Free CF]]),IF(Main_S[[#This Row],[Free CF]]&lt;&gt;0,Main_S[[#This Row],[Current Price]]/Main_S[[#This Row],[Free CF]],""),"")</f>
        <v>-23.199999999999996</v>
      </c>
      <c r="I86" s="1">
        <f>IF(ISNUMBER(Main_S[[#This Row],[BVPS]]),IF(Main_S[[#This Row],[BVPS]]&lt;&gt;0,Main_S[[#This Row],[Current Price]]/Main_S[[#This Row],[BVPS]],""),"")</f>
        <v>7.7333333333333334</v>
      </c>
      <c r="J86">
        <v>-10.54</v>
      </c>
      <c r="K86">
        <v>-6.2</v>
      </c>
      <c r="L86">
        <v>1.03</v>
      </c>
      <c r="M86" s="1">
        <f>IF(ISNUMBER(Main_S[[#This Row],[EPS]]),IF(Main_S[[#This Row],[EPS]]&lt;&gt;0,Main_S[[#This Row],[Current Price]]/Main_S[[#This Row],[EPS]],""),"")</f>
        <v>-77.333333333333329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-0.43930807834584457</v>
      </c>
      <c r="P86" s="1">
        <f>(Main_S[[#This Row],[P/B]]-VLOOKUP(Main_S[[#This Row],[Industry]], Mean_PB_S, 2, FALSE))/(VLOOKUP(Main_S[[#This Row],[Industry]], Mean_PB_S, 3, FALSE))</f>
        <v>2.1820273977538993</v>
      </c>
      <c r="Q86" s="1">
        <f>(Main_S[[#This Row],[ROE]]-VLOOKUP(Main_S[[#This Row],[Industry]], Mean_ROE_S, 2, FALSE))/(VLOOKUP(Main_S[[#This Row],[Industry]], Mean_ROE_S, 3, FALSE))</f>
        <v>-0.26357827938857498</v>
      </c>
      <c r="R86" s="1">
        <f>(Main_S[[#This Row],[ROA]]-VLOOKUP(Main_S[[#This Row],[Industry]], Mean_ROA_S, 2, FALSE))/(VLOOKUP(Main_S[[#This Row],[Industry]], Mean_ROA_S, 3, FALSE))</f>
        <v>-0.60503296508006466</v>
      </c>
      <c r="S86" s="1">
        <f>(Main_S[[#This Row],[A/E]]-VLOOKUP(Main_S[[#This Row],[Industry]], Mean_AE_S, 2, FALSE))/(VLOOKUP(Main_S[[#This Row],[Industry]], Mean_AE_S, 3, FALSE))</f>
        <v>-0.89172428128526149</v>
      </c>
      <c r="T86" s="1">
        <f>(Main_S[[#This Row],[P/E]]-VLOOKUP(Main_S[[#This Row],[Industry]], Mean_PE_S, 2, FALSE))/(VLOOKUP(Main_S[[#This Row],[Industry]], Mean_PE_S, 3, FALSE))</f>
        <v>-2.5869749245477021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8" t="s">
        <v>133</v>
      </c>
      <c r="B87" s="68" t="s">
        <v>270</v>
      </c>
      <c r="C87" s="2">
        <v>813</v>
      </c>
      <c r="D87">
        <f>RTD("tos.rtd", , "LAST", Main_S[[#This Row],[Symbol]])</f>
        <v>13.08</v>
      </c>
      <c r="E87">
        <v>-0.11</v>
      </c>
      <c r="F87">
        <v>-0.67</v>
      </c>
      <c r="G87">
        <v>0.13</v>
      </c>
      <c r="H87" s="1">
        <f>IF(ISNUMBER(Main_S[[#This Row],[Free CF]]),IF(Main_S[[#This Row],[Free CF]]&lt;&gt;0,Main_S[[#This Row],[Current Price]]/Main_S[[#This Row],[Free CF]],""),"")</f>
        <v>-118.90909090909091</v>
      </c>
      <c r="I87" s="1">
        <f>IF(ISNUMBER(Main_S[[#This Row],[BVPS]]),IF(Main_S[[#This Row],[BVPS]]&lt;&gt;0,Main_S[[#This Row],[Current Price]]/Main_S[[#This Row],[BVPS]],""),"")</f>
        <v>-19.522388059701491</v>
      </c>
      <c r="J87">
        <v>359.61</v>
      </c>
      <c r="K87">
        <v>-15.41</v>
      </c>
      <c r="L87">
        <v>-1.4</v>
      </c>
      <c r="M87" s="1">
        <f>IF(ISNUMBER(Main_S[[#This Row],[EPS]]),IF(Main_S[[#This Row],[EPS]]&lt;&gt;0,Main_S[[#This Row],[Current Price]]/Main_S[[#This Row],[EPS]],""),"")</f>
        <v>100.61538461538461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-3.7597473767628919</v>
      </c>
      <c r="P87" s="1">
        <f>(Main_S[[#This Row],[P/B]]-VLOOKUP(Main_S[[#This Row],[Industry]], Mean_PB_S, 2, FALSE))/(VLOOKUP(Main_S[[#This Row],[Industry]], Mean_PB_S, 3, FALSE))</f>
        <v>-9.7088344838619101</v>
      </c>
      <c r="Q87" s="1">
        <f>(Main_S[[#This Row],[ROE]]-VLOOKUP(Main_S[[#This Row],[Industry]], Mean_ROE_S, 2, FALSE))/(VLOOKUP(Main_S[[#This Row],[Industry]], Mean_ROE_S, 3, FALSE))</f>
        <v>18.277748839863698</v>
      </c>
      <c r="R87" s="1">
        <f>(Main_S[[#This Row],[ROA]]-VLOOKUP(Main_S[[#This Row],[Industry]], Mean_ROA_S, 2, FALSE))/(VLOOKUP(Main_S[[#This Row],[Industry]], Mean_ROA_S, 3, FALSE))</f>
        <v>-1.6837292039004621</v>
      </c>
      <c r="S87" s="1">
        <f>(Main_S[[#This Row],[A/E]]-VLOOKUP(Main_S[[#This Row],[Industry]], Mean_AE_S, 2, FALSE))/(VLOOKUP(Main_S[[#This Row],[Industry]], Mean_AE_S, 3, FALSE))</f>
        <v>-5.0809751339158771</v>
      </c>
      <c r="T87" s="1">
        <f>(Main_S[[#This Row],[P/E]]-VLOOKUP(Main_S[[#This Row],[Industry]], Mean_PE_S, 2, FALSE))/(VLOOKUP(Main_S[[#This Row],[Industry]], Mean_PE_S, 3, FALSE))</f>
        <v>4.0402927690788779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8" spans="1:26" x14ac:dyDescent="0.25">
      <c r="A88" s="68" t="s">
        <v>133</v>
      </c>
      <c r="B88" s="68" t="s">
        <v>272</v>
      </c>
      <c r="C88" s="2">
        <v>849</v>
      </c>
      <c r="D88">
        <f>RTD("tos.rtd", , "LAST", Main_S[[#This Row],[Symbol]])</f>
        <v>3.62</v>
      </c>
      <c r="E88">
        <v>-0.11</v>
      </c>
      <c r="F88">
        <v>0.88</v>
      </c>
      <c r="G88">
        <v>-0.01</v>
      </c>
      <c r="H88" s="1">
        <f>IF(ISNUMBER(Main_S[[#This Row],[Free CF]]),IF(Main_S[[#This Row],[Free CF]]&lt;&gt;0,Main_S[[#This Row],[Current Price]]/Main_S[[#This Row],[Free CF]],""),"")</f>
        <v>-32.909090909090907</v>
      </c>
      <c r="I88" s="1">
        <f>IF(ISNUMBER(Main_S[[#This Row],[BVPS]]),IF(Main_S[[#This Row],[BVPS]]&lt;&gt;0,Main_S[[#This Row],[Current Price]]/Main_S[[#This Row],[BVPS]],""),"")</f>
        <v>4.1136363636363633</v>
      </c>
      <c r="J88">
        <v>-1.63</v>
      </c>
      <c r="K88">
        <v>-4.5199999999999996</v>
      </c>
      <c r="L88">
        <v>1.01</v>
      </c>
      <c r="M88" s="1">
        <f>IF(ISNUMBER(Main_S[[#This Row],[EPS]]),IF(Main_S[[#This Row],[EPS]]&lt;&gt;0,Main_S[[#This Row],[Current Price]]/Main_S[[#This Row],[EPS]],""),"")</f>
        <v>-362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-0.77614595550289311</v>
      </c>
      <c r="P88" s="1">
        <f>(Main_S[[#This Row],[P/B]]-VLOOKUP(Main_S[[#This Row],[Industry]], Mean_PB_S, 2, FALSE))/(VLOOKUP(Main_S[[#This Row],[Industry]], Mean_PB_S, 3, FALSE))</f>
        <v>0.60286109724390335</v>
      </c>
      <c r="Q88" s="1">
        <f>(Main_S[[#This Row],[ROE]]-VLOOKUP(Main_S[[#This Row],[Industry]], Mean_ROE_S, 2, FALSE))/(VLOOKUP(Main_S[[#This Row],[Industry]], Mean_ROE_S, 3, FALSE))</f>
        <v>0.18273598410605621</v>
      </c>
      <c r="R88" s="1">
        <f>(Main_S[[#This Row],[ROA]]-VLOOKUP(Main_S[[#This Row],[Industry]], Mean_ROA_S, 2, FALSE))/(VLOOKUP(Main_S[[#This Row],[Industry]], Mean_ROA_S, 3, FALSE))</f>
        <v>-0.40826752737992689</v>
      </c>
      <c r="S88" s="1">
        <f>(Main_S[[#This Row],[A/E]]-VLOOKUP(Main_S[[#This Row],[Industry]], Mean_AE_S, 2, FALSE))/(VLOOKUP(Main_S[[#This Row],[Industry]], Mean_AE_S, 3, FALSE))</f>
        <v>-0.92620371217111019</v>
      </c>
      <c r="T88" s="1">
        <f>(Main_S[[#This Row],[P/E]]-VLOOKUP(Main_S[[#This Row],[Industry]], Mean_PE_S, 2, FALSE))/(VLOOKUP(Main_S[[#This Row],[Industry]], Mean_PE_S, 3, FALSE))</f>
        <v>-13.188693358934199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9" spans="1:26" x14ac:dyDescent="0.25">
      <c r="A89" s="68" t="s">
        <v>133</v>
      </c>
      <c r="B89" s="68" t="s">
        <v>340</v>
      </c>
      <c r="C89" s="2">
        <v>868</v>
      </c>
      <c r="D89">
        <f>RTD("tos.rtd", , "LAST", Main_S[[#This Row],[Symbol]])</f>
        <v>4.22</v>
      </c>
      <c r="E89">
        <v>-0.12</v>
      </c>
      <c r="F89">
        <v>0.61</v>
      </c>
      <c r="G89">
        <v>-0.04</v>
      </c>
      <c r="H89" s="1">
        <f>IF(ISNUMBER(Main_S[[#This Row],[Free CF]]),IF(Main_S[[#This Row],[Free CF]]&lt;&gt;0,Main_S[[#This Row],[Current Price]]/Main_S[[#This Row],[Free CF]],""),"")</f>
        <v>-35.166666666666664</v>
      </c>
      <c r="I89" s="1">
        <f>IF(ISNUMBER(Main_S[[#This Row],[BVPS]]),IF(Main_S[[#This Row],[BVPS]]&lt;&gt;0,Main_S[[#This Row],[Current Price]]/Main_S[[#This Row],[BVPS]],""),"")</f>
        <v>6.918032786885246</v>
      </c>
      <c r="J89">
        <v>-4.03</v>
      </c>
      <c r="K89">
        <v>-2.64</v>
      </c>
      <c r="L89">
        <v>1.0900000000000001</v>
      </c>
      <c r="M89" s="1">
        <f>IF(ISNUMBER(Main_S[[#This Row],[EPS]]),IF(Main_S[[#This Row],[EPS]]&lt;&gt;0,Main_S[[#This Row],[Current Price]]/Main_S[[#This Row],[EPS]],""),"")</f>
        <v>-105.49999999999999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-0.85446812107155767</v>
      </c>
      <c r="P89" s="1">
        <f>(Main_S[[#This Row],[P/B]]-VLOOKUP(Main_S[[#This Row],[Industry]], Mean_PB_S, 2, FALSE))/(VLOOKUP(Main_S[[#This Row],[Industry]], Mean_PB_S, 3, FALSE))</f>
        <v>1.8263359797935752</v>
      </c>
      <c r="Q89" s="1">
        <f>(Main_S[[#This Row],[ROE]]-VLOOKUP(Main_S[[#This Row],[Industry]], Mean_ROE_S, 2, FALSE))/(VLOOKUP(Main_S[[#This Row],[Industry]], Mean_ROE_S, 3, FALSE))</f>
        <v>6.25166538718121E-2</v>
      </c>
      <c r="R89" s="1">
        <f>(Main_S[[#This Row],[ROA]]-VLOOKUP(Main_S[[#This Row],[Industry]], Mean_ROA_S, 2, FALSE))/(VLOOKUP(Main_S[[#This Row],[Industry]], Mean_ROA_S, 3, FALSE))</f>
        <v>-0.18807763281072531</v>
      </c>
      <c r="S89" s="1">
        <f>(Main_S[[#This Row],[A/E]]-VLOOKUP(Main_S[[#This Row],[Industry]], Mean_AE_S, 2, FALSE))/(VLOOKUP(Main_S[[#This Row],[Industry]], Mean_AE_S, 3, FALSE))</f>
        <v>-0.78828598862771526</v>
      </c>
      <c r="T89" s="1">
        <f>(Main_S[[#This Row],[P/E]]-VLOOKUP(Main_S[[#This Row],[Industry]], Mean_PE_S, 2, FALSE))/(VLOOKUP(Main_S[[#This Row],[Industry]], Mean_PE_S, 3, FALSE))</f>
        <v>-3.6359739968025719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0" spans="1:26" x14ac:dyDescent="0.25">
      <c r="A90" s="68" t="s">
        <v>133</v>
      </c>
      <c r="B90" s="68" t="s">
        <v>252</v>
      </c>
      <c r="C90" s="2">
        <v>1445</v>
      </c>
      <c r="D90">
        <f>RTD("tos.rtd", , "LAST", Main_S[[#This Row],[Symbol]])</f>
        <v>20.12</v>
      </c>
      <c r="E90">
        <v>-0.12</v>
      </c>
      <c r="F90">
        <v>7.78</v>
      </c>
      <c r="G90">
        <v>1.22</v>
      </c>
      <c r="H90" s="1">
        <f>IF(ISNUMBER(Main_S[[#This Row],[Free CF]]),IF(Main_S[[#This Row],[Free CF]]&lt;&gt;0,Main_S[[#This Row],[Current Price]]/Main_S[[#This Row],[Free CF]],""),"")</f>
        <v>-167.66666666666669</v>
      </c>
      <c r="I90" s="1">
        <f>IF(ISNUMBER(Main_S[[#This Row],[BVPS]]),IF(Main_S[[#This Row],[BVPS]]&lt;&gt;0,Main_S[[#This Row],[Current Price]]/Main_S[[#This Row],[BVPS]],""),"")</f>
        <v>2.5861182519280206</v>
      </c>
      <c r="J90">
        <v>14.95</v>
      </c>
      <c r="K90">
        <v>5.44</v>
      </c>
      <c r="L90">
        <v>2.69</v>
      </c>
      <c r="M90" s="1">
        <f>IF(ISNUMBER(Main_S[[#This Row],[EPS]]),IF(Main_S[[#This Row],[EPS]]&lt;&gt;0,Main_S[[#This Row],[Current Price]]/Main_S[[#This Row],[EPS]],""),"")</f>
        <v>16.491803278688526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-5.4512958921988828</v>
      </c>
      <c r="P90" s="1">
        <f>(Main_S[[#This Row],[P/B]]-VLOOKUP(Main_S[[#This Row],[Industry]], Mean_PB_S, 2, FALSE))/(VLOOKUP(Main_S[[#This Row],[Industry]], Mean_PB_S, 3, FALSE))</f>
        <v>-6.354969504692784E-2</v>
      </c>
      <c r="Q90" s="1">
        <f>(Main_S[[#This Row],[ROE]]-VLOOKUP(Main_S[[#This Row],[Industry]], Mean_ROE_S, 2, FALSE))/(VLOOKUP(Main_S[[#This Row],[Industry]], Mean_ROE_S, 3, FALSE))</f>
        <v>1.0132511904742925</v>
      </c>
      <c r="R90" s="1">
        <f>(Main_S[[#This Row],[ROA]]-VLOOKUP(Main_S[[#This Row],[Industry]], Mean_ROA_S, 2, FALSE))/(VLOOKUP(Main_S[[#This Row],[Industry]], Mean_ROA_S, 3, FALSE))</f>
        <v>0.7582704246994606</v>
      </c>
      <c r="S90" s="1">
        <f>(Main_S[[#This Row],[A/E]]-VLOOKUP(Main_S[[#This Row],[Industry]], Mean_AE_S, 2, FALSE))/(VLOOKUP(Main_S[[#This Row],[Industry]], Mean_AE_S, 3, FALSE))</f>
        <v>1.9700684822401799</v>
      </c>
      <c r="T90" s="1">
        <f>(Main_S[[#This Row],[P/E]]-VLOOKUP(Main_S[[#This Row],[Industry]], Mean_PE_S, 2, FALSE))/(VLOOKUP(Main_S[[#This Row],[Industry]], Mean_PE_S, 3, FALSE))</f>
        <v>0.90731435096226387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8" t="s">
        <v>133</v>
      </c>
      <c r="B91" s="68" t="s">
        <v>268</v>
      </c>
      <c r="C91" s="2">
        <v>1619</v>
      </c>
      <c r="D91">
        <f>RTD("tos.rtd", , "LAST", Main_S[[#This Row],[Symbol]])</f>
        <v>4.37</v>
      </c>
      <c r="E91">
        <v>-0.12</v>
      </c>
      <c r="F91">
        <v>-0.05</v>
      </c>
      <c r="G91">
        <v>-0.23</v>
      </c>
      <c r="H91" s="1">
        <f>IF(ISNUMBER(Main_S[[#This Row],[Free CF]]),IF(Main_S[[#This Row],[Free CF]]&lt;&gt;0,Main_S[[#This Row],[Current Price]]/Main_S[[#This Row],[Free CF]],""),"")</f>
        <v>-36.416666666666671</v>
      </c>
      <c r="I91" s="1">
        <f>IF(ISNUMBER(Main_S[[#This Row],[BVPS]]),IF(Main_S[[#This Row],[BVPS]]&lt;&gt;0,Main_S[[#This Row],[Current Price]]/Main_S[[#This Row],[BVPS]],""),"")</f>
        <v>-87.399999999999991</v>
      </c>
      <c r="J91">
        <v>1034.2</v>
      </c>
      <c r="K91">
        <v>-71.78</v>
      </c>
      <c r="L91">
        <v>-3.85</v>
      </c>
      <c r="M91" s="1">
        <f>IF(ISNUMBER(Main_S[[#This Row],[EPS]]),IF(Main_S[[#This Row],[EPS]]&lt;&gt;0,Main_S[[#This Row],[Current Price]]/Main_S[[#This Row],[EPS]],""),"")</f>
        <v>-19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-0.89783442079917419</v>
      </c>
      <c r="P91" s="1">
        <f>(Main_S[[#This Row],[P/B]]-VLOOKUP(Main_S[[#This Row],[Industry]], Mean_PB_S, 2, FALSE))/(VLOOKUP(Main_S[[#This Row],[Industry]], Mean_PB_S, 3, FALSE))</f>
        <v>-39.321820938965068</v>
      </c>
      <c r="Q91" s="1">
        <f>(Main_S[[#This Row],[ROE]]-VLOOKUP(Main_S[[#This Row],[Industry]], Mean_ROE_S, 2, FALSE))/(VLOOKUP(Main_S[[#This Row],[Industry]], Mean_ROE_S, 3, FALSE))</f>
        <v>52.068897999329842</v>
      </c>
      <c r="R91" s="1">
        <f>(Main_S[[#This Row],[ROA]]-VLOOKUP(Main_S[[#This Row],[Industry]], Mean_ROA_S, 2, FALSE))/(VLOOKUP(Main_S[[#This Row],[Industry]], Mean_ROA_S, 3, FALSE))</f>
        <v>-8.2859123724461536</v>
      </c>
      <c r="S91" s="1">
        <f>(Main_S[[#This Row],[A/E]]-VLOOKUP(Main_S[[#This Row],[Industry]], Mean_AE_S, 2, FALSE))/(VLOOKUP(Main_S[[#This Row],[Industry]], Mean_AE_S, 3, FALSE))</f>
        <v>-9.3047054174323431</v>
      </c>
      <c r="T91" s="1">
        <f>(Main_S[[#This Row],[P/E]]-VLOOKUP(Main_S[[#This Row],[Industry]], Mean_PE_S, 2, FALSE))/(VLOOKUP(Main_S[[#This Row],[Industry]], Mean_PE_S, 3, FALSE))</f>
        <v>-0.41449163881276402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s="68" t="s">
        <v>133</v>
      </c>
      <c r="B92" s="68" t="s">
        <v>341</v>
      </c>
      <c r="C92" s="2">
        <v>548</v>
      </c>
      <c r="D92">
        <f>RTD("tos.rtd", , "LAST", Main_S[[#This Row],[Symbol]])</f>
        <v>2.3704999999999998</v>
      </c>
      <c r="E92">
        <v>-0.13</v>
      </c>
      <c r="F92">
        <v>0.04</v>
      </c>
      <c r="G92">
        <v>-0.12</v>
      </c>
      <c r="H92" s="1">
        <f>IF(ISNUMBER(Main_S[[#This Row],[Free CF]]),IF(Main_S[[#This Row],[Free CF]]&lt;&gt;0,Main_S[[#This Row],[Current Price]]/Main_S[[#This Row],[Free CF]],""),"")</f>
        <v>-18.234615384615381</v>
      </c>
      <c r="I92" s="1">
        <f>IF(ISNUMBER(Main_S[[#This Row],[BVPS]]),IF(Main_S[[#This Row],[BVPS]]&lt;&gt;0,Main_S[[#This Row],[Current Price]]/Main_S[[#This Row],[BVPS]],""),"")</f>
        <v>59.262499999999996</v>
      </c>
      <c r="J92">
        <v>-128.97</v>
      </c>
      <c r="K92">
        <v>-2.23</v>
      </c>
      <c r="L92">
        <v>15.42</v>
      </c>
      <c r="M92" s="1">
        <f>IF(ISNUMBER(Main_S[[#This Row],[EPS]]),IF(Main_S[[#This Row],[EPS]]&lt;&gt;0,Main_S[[#This Row],[Current Price]]/Main_S[[#This Row],[EPS]],""),"")</f>
        <v>-19.754166666666666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-0.26704379235091352</v>
      </c>
      <c r="P92" s="1">
        <f>(Main_S[[#This Row],[P/B]]-VLOOKUP(Main_S[[#This Row],[Industry]], Mean_PB_S, 2, FALSE))/(VLOOKUP(Main_S[[#This Row],[Industry]], Mean_PB_S, 3, FALSE))</f>
        <v>24.662672649164353</v>
      </c>
      <c r="Q92" s="1">
        <f>(Main_S[[#This Row],[ROE]]-VLOOKUP(Main_S[[#This Row],[Industry]], Mean_ROE_S, 2, FALSE))/(VLOOKUP(Main_S[[#This Row],[Industry]], Mean_ROE_S, 3, FALSE))</f>
        <v>-6.1959013125725448</v>
      </c>
      <c r="R92" s="1">
        <f>(Main_S[[#This Row],[ROA]]-VLOOKUP(Main_S[[#This Row],[Industry]], Mean_ROA_S, 2, FALSE))/(VLOOKUP(Main_S[[#This Row],[Industry]], Mean_ROA_S, 3, FALSE))</f>
        <v>-0.14005749622914407</v>
      </c>
      <c r="S92" s="1">
        <f>(Main_S[[#This Row],[A/E]]-VLOOKUP(Main_S[[#This Row],[Industry]], Mean_AE_S, 2, FALSE))/(VLOOKUP(Main_S[[#This Row],[Industry]], Mean_AE_S, 3, FALSE))</f>
        <v>23.916226241082875</v>
      </c>
      <c r="T92" s="1">
        <f>(Main_S[[#This Row],[P/E]]-VLOOKUP(Main_S[[#This Row],[Industry]], Mean_PE_S, 2, FALSE))/(VLOOKUP(Main_S[[#This Row],[Industry]], Mean_PE_S, 3, FALSE))</f>
        <v>-0.44257874414976572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s="68" t="s">
        <v>133</v>
      </c>
      <c r="B93" s="68" t="s">
        <v>293</v>
      </c>
      <c r="C93" s="2">
        <v>764</v>
      </c>
      <c r="D93">
        <f>RTD("tos.rtd", , "LAST", Main_S[[#This Row],[Symbol]])</f>
        <v>28.324999999999999</v>
      </c>
      <c r="E93">
        <v>-0.15</v>
      </c>
      <c r="F93">
        <v>0.33</v>
      </c>
      <c r="G93">
        <v>-0.11</v>
      </c>
      <c r="H93" s="1">
        <f>IF(ISNUMBER(Main_S[[#This Row],[Free CF]]),IF(Main_S[[#This Row],[Free CF]]&lt;&gt;0,Main_S[[#This Row],[Current Price]]/Main_S[[#This Row],[Free CF]],""),"")</f>
        <v>-188.83333333333334</v>
      </c>
      <c r="I93" s="1">
        <f>IF(ISNUMBER(Main_S[[#This Row],[BVPS]]),IF(Main_S[[#This Row],[BVPS]]&lt;&gt;0,Main_S[[#This Row],[Current Price]]/Main_S[[#This Row],[BVPS]],""),"")</f>
        <v>85.833333333333329</v>
      </c>
      <c r="J93">
        <v>-40.65</v>
      </c>
      <c r="K93">
        <v>-27.56</v>
      </c>
      <c r="L93">
        <v>1.1000000000000001</v>
      </c>
      <c r="M93" s="1">
        <f>IF(ISNUMBER(Main_S[[#This Row],[EPS]]),IF(Main_S[[#This Row],[EPS]]&lt;&gt;0,Main_S[[#This Row],[Current Price]]/Main_S[[#This Row],[EPS]],""),"")</f>
        <v>-257.5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-6.1856319009198515</v>
      </c>
      <c r="P93" s="1">
        <f>(Main_S[[#This Row],[P/B]]-VLOOKUP(Main_S[[#This Row],[Industry]], Mean_PB_S, 2, FALSE))/(VLOOKUP(Main_S[[#This Row],[Industry]], Mean_PB_S, 3, FALSE))</f>
        <v>36.254738208171752</v>
      </c>
      <c r="Q93" s="1">
        <f>(Main_S[[#This Row],[ROE]]-VLOOKUP(Main_S[[#This Row],[Industry]], Mean_ROE_S, 2, FALSE))/(VLOOKUP(Main_S[[#This Row],[Industry]], Mean_ROE_S, 3, FALSE))</f>
        <v>-1.7718299599523621</v>
      </c>
      <c r="R93" s="1">
        <f>(Main_S[[#This Row],[ROA]]-VLOOKUP(Main_S[[#This Row],[Industry]], Mean_ROA_S, 2, FALSE))/(VLOOKUP(Main_S[[#This Row],[Industry]], Mean_ROA_S, 3, FALSE))</f>
        <v>-3.1067649586961004</v>
      </c>
      <c r="S93" s="1">
        <f>(Main_S[[#This Row],[A/E]]-VLOOKUP(Main_S[[#This Row],[Industry]], Mean_AE_S, 2, FALSE))/(VLOOKUP(Main_S[[#This Row],[Industry]], Mean_AE_S, 3, FALSE))</f>
        <v>-0.77104627318479091</v>
      </c>
      <c r="T93" s="1">
        <f>(Main_S[[#This Row],[P/E]]-VLOOKUP(Main_S[[#This Row],[Industry]], Mean_PE_S, 2, FALSE))/(VLOOKUP(Main_S[[#This Row],[Industry]], Mean_PE_S, 3, FALSE))</f>
        <v>-9.2968447299176109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4" spans="1:26" x14ac:dyDescent="0.25">
      <c r="A94" s="68" t="s">
        <v>133</v>
      </c>
      <c r="B94" s="68" t="s">
        <v>342</v>
      </c>
      <c r="C94" s="2">
        <v>281</v>
      </c>
      <c r="D94">
        <f>RTD("tos.rtd", , "LAST", Main_S[[#This Row],[Symbol]])</f>
        <v>1.59</v>
      </c>
      <c r="E94">
        <v>-0.17</v>
      </c>
      <c r="F94">
        <v>0.13</v>
      </c>
      <c r="G94">
        <v>-0.14000000000000001</v>
      </c>
      <c r="H94" s="1">
        <f>IF(ISNUMBER(Main_S[[#This Row],[Free CF]]),IF(Main_S[[#This Row],[Free CF]]&lt;&gt;0,Main_S[[#This Row],[Current Price]]/Main_S[[#This Row],[Free CF]],""),"")</f>
        <v>-9.3529411764705888</v>
      </c>
      <c r="I94" s="1">
        <f>IF(ISNUMBER(Main_S[[#This Row],[BVPS]]),IF(Main_S[[#This Row],[BVPS]]&lt;&gt;0,Main_S[[#This Row],[Current Price]]/Main_S[[#This Row],[BVPS]],""),"")</f>
        <v>12.230769230769232</v>
      </c>
      <c r="J94">
        <v>-110.43</v>
      </c>
      <c r="K94">
        <v>-76.09</v>
      </c>
      <c r="L94">
        <v>1.0900000000000001</v>
      </c>
      <c r="M94" s="1">
        <f>IF(ISNUMBER(Main_S[[#This Row],[EPS]]),IF(Main_S[[#This Row],[EPS]]&lt;&gt;0,Main_S[[#This Row],[Current Price]]/Main_S[[#This Row],[EPS]],""),"")</f>
        <v>-11.357142857142856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4.1088484283843187E-2</v>
      </c>
      <c r="P94" s="1">
        <f>(Main_S[[#This Row],[P/B]]-VLOOKUP(Main_S[[#This Row],[Industry]], Mean_PB_S, 2, FALSE))/(VLOOKUP(Main_S[[#This Row],[Industry]], Mean_PB_S, 3, FALSE))</f>
        <v>4.1441251278656202</v>
      </c>
      <c r="Q94" s="1">
        <f>(Main_S[[#This Row],[ROE]]-VLOOKUP(Main_S[[#This Row],[Industry]], Mean_ROE_S, 2, FALSE))/(VLOOKUP(Main_S[[#This Row],[Industry]], Mean_ROE_S, 3, FALSE))</f>
        <v>-5.2672069865130098</v>
      </c>
      <c r="R94" s="1">
        <f>(Main_S[[#This Row],[ROA]]-VLOOKUP(Main_S[[#This Row],[Industry]], Mean_ROA_S, 2, FALSE))/(VLOOKUP(Main_S[[#This Row],[Industry]], Mean_ROA_S, 3, FALSE))</f>
        <v>-8.7907094179744831</v>
      </c>
      <c r="S94" s="1">
        <f>(Main_S[[#This Row],[A/E]]-VLOOKUP(Main_S[[#This Row],[Industry]], Mean_AE_S, 2, FALSE))/(VLOOKUP(Main_S[[#This Row],[Industry]], Mean_AE_S, 3, FALSE))</f>
        <v>-0.78828598862771526</v>
      </c>
      <c r="T94" s="1">
        <f>(Main_S[[#This Row],[P/E]]-VLOOKUP(Main_S[[#This Row],[Industry]], Mean_PE_S, 2, FALSE))/(VLOOKUP(Main_S[[#This Row],[Industry]], Mean_PE_S, 3, FALSE))</f>
        <v>-0.12985199198790068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8" t="s">
        <v>133</v>
      </c>
      <c r="B95" s="68" t="s">
        <v>343</v>
      </c>
      <c r="C95" s="2">
        <v>895</v>
      </c>
      <c r="D95">
        <f>RTD("tos.rtd", , "LAST", Main_S[[#This Row],[Symbol]])</f>
        <v>5.6</v>
      </c>
      <c r="E95">
        <v>-0.17</v>
      </c>
      <c r="F95">
        <v>0.25</v>
      </c>
      <c r="G95">
        <v>-0.14000000000000001</v>
      </c>
      <c r="H95" s="1">
        <f>IF(ISNUMBER(Main_S[[#This Row],[Free CF]]),IF(Main_S[[#This Row],[Free CF]]&lt;&gt;0,Main_S[[#This Row],[Current Price]]/Main_S[[#This Row],[Free CF]],""),"")</f>
        <v>-32.941176470588232</v>
      </c>
      <c r="I95" s="1">
        <f>IF(ISNUMBER(Main_S[[#This Row],[BVPS]]),IF(Main_S[[#This Row],[BVPS]]&lt;&gt;0,Main_S[[#This Row],[Current Price]]/Main_S[[#This Row],[BVPS]],""),"")</f>
        <v>22.4</v>
      </c>
      <c r="J95">
        <v>-64.22</v>
      </c>
      <c r="K95">
        <v>-46.76</v>
      </c>
      <c r="L95">
        <v>1.2</v>
      </c>
      <c r="M95" s="1">
        <f>IF(ISNUMBER(Main_S[[#This Row],[EPS]]),IF(Main_S[[#This Row],[EPS]]&lt;&gt;0,Main_S[[#This Row],[Current Price]]/Main_S[[#This Row],[EPS]],""),"")</f>
        <v>-39.999999999999993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-0.7772591011643506</v>
      </c>
      <c r="P95" s="1">
        <f>(Main_S[[#This Row],[P/B]]-VLOOKUP(Main_S[[#This Row],[Industry]], Mean_PB_S, 2, FALSE))/(VLOOKUP(Main_S[[#This Row],[Industry]], Mean_PB_S, 3, FALSE))</f>
        <v>8.5806585358605378</v>
      </c>
      <c r="Q95" s="1">
        <f>(Main_S[[#This Row],[ROE]]-VLOOKUP(Main_S[[#This Row],[Industry]], Mean_ROE_S, 2, FALSE))/(VLOOKUP(Main_S[[#This Row],[Industry]], Mean_ROE_S, 3, FALSE))</f>
        <v>-2.9524839656278346</v>
      </c>
      <c r="R95" s="1">
        <f>(Main_S[[#This Row],[ROA]]-VLOOKUP(Main_S[[#This Row],[Industry]], Mean_ROA_S, 2, FALSE))/(VLOOKUP(Main_S[[#This Row],[Industry]], Mean_ROA_S, 3, FALSE))</f>
        <v>-5.355512818126245</v>
      </c>
      <c r="S95" s="1">
        <f>(Main_S[[#This Row],[A/E]]-VLOOKUP(Main_S[[#This Row],[Industry]], Mean_AE_S, 2, FALSE))/(VLOOKUP(Main_S[[#This Row],[Industry]], Mean_AE_S, 3, FALSE))</f>
        <v>-0.59864911875554772</v>
      </c>
      <c r="T95" s="1">
        <f>(Main_S[[#This Row],[P/E]]-VLOOKUP(Main_S[[#This Row],[Industry]], Mean_PE_S, 2, FALSE))/(VLOOKUP(Main_S[[#This Row],[Industry]], Mean_PE_S, 3, FALSE))</f>
        <v>-1.1965856216773414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8" t="s">
        <v>133</v>
      </c>
      <c r="B96" s="68" t="s">
        <v>277</v>
      </c>
      <c r="C96" s="2">
        <v>1163</v>
      </c>
      <c r="D96">
        <f>RTD("tos.rtd", , "LAST", Main_S[[#This Row],[Symbol]])</f>
        <v>6.46</v>
      </c>
      <c r="E96">
        <v>-0.18</v>
      </c>
      <c r="F96">
        <v>4.8600000000000003</v>
      </c>
      <c r="G96">
        <v>0.15</v>
      </c>
      <c r="H96" s="1">
        <f>IF(ISNUMBER(Main_S[[#This Row],[Free CF]]),IF(Main_S[[#This Row],[Free CF]]&lt;&gt;0,Main_S[[#This Row],[Current Price]]/Main_S[[#This Row],[Free CF]],""),"")</f>
        <v>-35.888888888888893</v>
      </c>
      <c r="I96" s="1">
        <f>IF(ISNUMBER(Main_S[[#This Row],[BVPS]]),IF(Main_S[[#This Row],[BVPS]]&lt;&gt;0,Main_S[[#This Row],[Current Price]]/Main_S[[#This Row],[BVPS]],""),"")</f>
        <v>1.3292181069958846</v>
      </c>
      <c r="J96">
        <v>3.09</v>
      </c>
      <c r="K96">
        <v>5.49</v>
      </c>
      <c r="L96">
        <v>2.4700000000000002</v>
      </c>
      <c r="M96" s="1">
        <f>IF(ISNUMBER(Main_S[[#This Row],[EPS]]),IF(Main_S[[#This Row],[EPS]]&lt;&gt;0,Main_S[[#This Row],[Current Price]]/Main_S[[#This Row],[EPS]],""),"")</f>
        <v>43.06666666666667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-0.87952420535862508</v>
      </c>
      <c r="P96" s="1">
        <f>(Main_S[[#This Row],[P/B]]-VLOOKUP(Main_S[[#This Row],[Industry]], Mean_PB_S, 2, FALSE))/(VLOOKUP(Main_S[[#This Row],[Industry]], Mean_PB_S, 3, FALSE))</f>
        <v>-0.61189790446875825</v>
      </c>
      <c r="Q96" s="1">
        <f>(Main_S[[#This Row],[ROE]]-VLOOKUP(Main_S[[#This Row],[Industry]], Mean_ROE_S, 2, FALSE))/(VLOOKUP(Main_S[[#This Row],[Industry]], Mean_ROE_S, 3, FALSE))</f>
        <v>0.41916733356673624</v>
      </c>
      <c r="R96" s="1">
        <f>(Main_S[[#This Row],[ROA]]-VLOOKUP(Main_S[[#This Row],[Industry]], Mean_ROA_S, 2, FALSE))/(VLOOKUP(Main_S[[#This Row],[Industry]], Mean_ROA_S, 3, FALSE))</f>
        <v>0.76412653891672666</v>
      </c>
      <c r="S96" s="1">
        <f>(Main_S[[#This Row],[A/E]]-VLOOKUP(Main_S[[#This Row],[Industry]], Mean_AE_S, 2, FALSE))/(VLOOKUP(Main_S[[#This Row],[Industry]], Mean_AE_S, 3, FALSE))</f>
        <v>1.5907947424958448</v>
      </c>
      <c r="T96" s="1">
        <f>(Main_S[[#This Row],[P/E]]-VLOOKUP(Main_S[[#This Row],[Industry]], Mean_PE_S, 2, FALSE))/(VLOOKUP(Main_S[[#This Row],[Industry]], Mean_PE_S, 3, FALSE))</f>
        <v>1.8970305772092102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8" t="s">
        <v>133</v>
      </c>
      <c r="B97" s="68" t="s">
        <v>345</v>
      </c>
      <c r="C97" s="2">
        <v>436</v>
      </c>
      <c r="D97">
        <f>RTD("tos.rtd", , "LAST", Main_S[[#This Row],[Symbol]])</f>
        <v>3.1955</v>
      </c>
      <c r="E97">
        <v>-0.18</v>
      </c>
      <c r="F97">
        <v>0.35</v>
      </c>
      <c r="G97">
        <v>-0.18</v>
      </c>
      <c r="H97" s="1">
        <f>IF(ISNUMBER(Main_S[[#This Row],[Free CF]]),IF(Main_S[[#This Row],[Free CF]]&lt;&gt;0,Main_S[[#This Row],[Current Price]]/Main_S[[#This Row],[Free CF]],""),"")</f>
        <v>-17.75277777777778</v>
      </c>
      <c r="I97" s="1">
        <f>IF(ISNUMBER(Main_S[[#This Row],[BVPS]]),IF(Main_S[[#This Row],[BVPS]]&lt;&gt;0,Main_S[[#This Row],[Current Price]]/Main_S[[#This Row],[BVPS]],""),"")</f>
        <v>9.1300000000000008</v>
      </c>
      <c r="J97">
        <v>-66.62</v>
      </c>
      <c r="K97">
        <v>-36.24</v>
      </c>
      <c r="L97">
        <v>1.1499999999999999</v>
      </c>
      <c r="M97" s="1">
        <f>IF(ISNUMBER(Main_S[[#This Row],[EPS]]),IF(Main_S[[#This Row],[EPS]]&lt;&gt;0,Main_S[[#This Row],[Current Price]]/Main_S[[#This Row],[EPS]],""),"")</f>
        <v>-17.75277777777778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-0.25032738108838815</v>
      </c>
      <c r="P97" s="1">
        <f>(Main_S[[#This Row],[P/B]]-VLOOKUP(Main_S[[#This Row],[Industry]], Mean_PB_S, 2, FALSE))/(VLOOKUP(Main_S[[#This Row],[Industry]], Mean_PB_S, 3, FALSE))</f>
        <v>2.7913515902236004</v>
      </c>
      <c r="Q97" s="1">
        <f>(Main_S[[#This Row],[ROE]]-VLOOKUP(Main_S[[#This Row],[Industry]], Mean_ROE_S, 2, FALSE))/(VLOOKUP(Main_S[[#This Row],[Industry]], Mean_ROE_S, 3, FALSE))</f>
        <v>-3.072703295862079</v>
      </c>
      <c r="R97" s="1">
        <f>(Main_S[[#This Row],[ROA]]-VLOOKUP(Main_S[[#This Row],[Industry]], Mean_ROA_S, 2, FALSE))/(VLOOKUP(Main_S[[#This Row],[Industry]], Mean_ROA_S, 3, FALSE))</f>
        <v>-4.123386386813479</v>
      </c>
      <c r="S97" s="1">
        <f>(Main_S[[#This Row],[A/E]]-VLOOKUP(Main_S[[#This Row],[Industry]], Mean_AE_S, 2, FALSE))/(VLOOKUP(Main_S[[#This Row],[Industry]], Mean_AE_S, 3, FALSE))</f>
        <v>-0.68484769597016948</v>
      </c>
      <c r="T97" s="1">
        <f>(Main_S[[#This Row],[P/E]]-VLOOKUP(Main_S[[#This Row],[Industry]], Mean_PE_S, 2, FALSE))/(VLOOKUP(Main_S[[#This Row],[Industry]], Mean_PE_S, 3, FALSE))</f>
        <v>-0.36804187713205044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8" t="s">
        <v>133</v>
      </c>
      <c r="B98" s="68" t="s">
        <v>346</v>
      </c>
      <c r="C98" s="2">
        <v>321</v>
      </c>
      <c r="D98">
        <f>RTD("tos.rtd", , "LAST", Main_S[[#This Row],[Symbol]])</f>
        <v>1.52</v>
      </c>
      <c r="E98">
        <v>-0.19</v>
      </c>
      <c r="F98">
        <v>0.2</v>
      </c>
      <c r="G98">
        <v>-0.16</v>
      </c>
      <c r="H98" s="1">
        <f>IF(ISNUMBER(Main_S[[#This Row],[Free CF]]),IF(Main_S[[#This Row],[Free CF]]&lt;&gt;0,Main_S[[#This Row],[Current Price]]/Main_S[[#This Row],[Free CF]],""),"")</f>
        <v>-8</v>
      </c>
      <c r="I98" s="1">
        <f>IF(ISNUMBER(Main_S[[#This Row],[BVPS]]),IF(Main_S[[#This Row],[BVPS]]&lt;&gt;0,Main_S[[#This Row],[Current Price]]/Main_S[[#This Row],[BVPS]],""),"")</f>
        <v>7.6</v>
      </c>
      <c r="J98">
        <v>-75.38</v>
      </c>
      <c r="K98">
        <v>-46.76</v>
      </c>
      <c r="L98">
        <v>1.07</v>
      </c>
      <c r="M98" s="1">
        <f>IF(ISNUMBER(Main_S[[#This Row],[EPS]]),IF(Main_S[[#This Row],[EPS]]&lt;&gt;0,Main_S[[#This Row],[Current Price]]/Main_S[[#This Row],[EPS]],""),"")</f>
        <v>-9.5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8.8026126341969047E-2</v>
      </c>
      <c r="P98" s="1">
        <f>(Main_S[[#This Row],[P/B]]-VLOOKUP(Main_S[[#This Row],[Industry]], Mean_PB_S, 2, FALSE))/(VLOOKUP(Main_S[[#This Row],[Industry]], Mean_PB_S, 3, FALSE))</f>
        <v>2.1238580237711115</v>
      </c>
      <c r="Q98" s="1">
        <f>(Main_S[[#This Row],[ROE]]-VLOOKUP(Main_S[[#This Row],[Industry]], Mean_ROE_S, 2, FALSE))/(VLOOKUP(Main_S[[#This Row],[Industry]], Mean_ROE_S, 3, FALSE))</f>
        <v>-3.5115038512170695</v>
      </c>
      <c r="R98" s="1">
        <f>(Main_S[[#This Row],[ROA]]-VLOOKUP(Main_S[[#This Row],[Industry]], Mean_ROA_S, 2, FALSE))/(VLOOKUP(Main_S[[#This Row],[Industry]], Mean_ROA_S, 3, FALSE))</f>
        <v>-5.355512818126245</v>
      </c>
      <c r="S98" s="1">
        <f>(Main_S[[#This Row],[A/E]]-VLOOKUP(Main_S[[#This Row],[Industry]], Mean_AE_S, 2, FALSE))/(VLOOKUP(Main_S[[#This Row],[Industry]], Mean_AE_S, 3, FALSE))</f>
        <v>-0.82276541951356397</v>
      </c>
      <c r="T98" s="1">
        <f>(Main_S[[#This Row],[P/E]]-VLOOKUP(Main_S[[#This Row],[Industry]], Mean_PE_S, 2, FALSE))/(VLOOKUP(Main_S[[#This Row],[Industry]], Mean_PE_S, 3, FALSE))</f>
        <v>-6.0687217993074125E-2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8" t="s">
        <v>133</v>
      </c>
      <c r="B99" s="68" t="s">
        <v>284</v>
      </c>
      <c r="C99" s="2">
        <v>397</v>
      </c>
      <c r="D99">
        <f>RTD("tos.rtd", , "LAST", Main_S[[#This Row],[Symbol]])</f>
        <v>0.64610000000000001</v>
      </c>
      <c r="E99">
        <v>-0.21</v>
      </c>
      <c r="F99">
        <v>0.72</v>
      </c>
      <c r="G99">
        <v>-0.37</v>
      </c>
      <c r="H99" s="1">
        <f>IF(ISNUMBER(Main_S[[#This Row],[Free CF]]),IF(Main_S[[#This Row],[Free CF]]&lt;&gt;0,Main_S[[#This Row],[Current Price]]/Main_S[[#This Row],[Free CF]],""),"")</f>
        <v>-3.0766666666666667</v>
      </c>
      <c r="I99" s="1">
        <f>IF(ISNUMBER(Main_S[[#This Row],[BVPS]]),IF(Main_S[[#This Row],[BVPS]]&lt;&gt;0,Main_S[[#This Row],[Current Price]]/Main_S[[#This Row],[BVPS]],""),"")</f>
        <v>0.89736111111111116</v>
      </c>
      <c r="J99">
        <v>-38.14</v>
      </c>
      <c r="K99">
        <v>-8</v>
      </c>
      <c r="L99">
        <v>2.0699999999999998</v>
      </c>
      <c r="M99" s="1">
        <f>IF(ISNUMBER(Main_S[[#This Row],[EPS]]),IF(Main_S[[#This Row],[EPS]]&lt;&gt;0,Main_S[[#This Row],[Current Price]]/Main_S[[#This Row],[EPS]],""),"")</f>
        <v>-1.7462162162162163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0.25883152553580702</v>
      </c>
      <c r="P99" s="1">
        <f>(Main_S[[#This Row],[P/B]]-VLOOKUP(Main_S[[#This Row],[Industry]], Mean_PB_S, 2, FALSE))/(VLOOKUP(Main_S[[#This Row],[Industry]], Mean_PB_S, 3, FALSE))</f>
        <v>-0.8003042877240425</v>
      </c>
      <c r="Q99" s="1">
        <f>(Main_S[[#This Row],[ROE]]-VLOOKUP(Main_S[[#This Row],[Industry]], Mean_ROE_S, 2, FALSE))/(VLOOKUP(Main_S[[#This Row],[Industry]], Mean_ROE_S, 3, FALSE))</f>
        <v>-1.646100577082382</v>
      </c>
      <c r="R99" s="1">
        <f>(Main_S[[#This Row],[ROA]]-VLOOKUP(Main_S[[#This Row],[Industry]], Mean_ROA_S, 2, FALSE))/(VLOOKUP(Main_S[[#This Row],[Industry]], Mean_ROA_S, 3, FALSE))</f>
        <v>-0.81585307690164066</v>
      </c>
      <c r="S99" s="1">
        <f>(Main_S[[#This Row],[A/E]]-VLOOKUP(Main_S[[#This Row],[Industry]], Mean_AE_S, 2, FALSE))/(VLOOKUP(Main_S[[#This Row],[Industry]], Mean_AE_S, 3, FALSE))</f>
        <v>0.9012061247788703</v>
      </c>
      <c r="T99" s="1">
        <f>(Main_S[[#This Row],[P/E]]-VLOOKUP(Main_S[[#This Row],[Industry]], Mean_PE_S, 2, FALSE))/(VLOOKUP(Main_S[[#This Row],[Industry]], Mean_PE_S, 3, FALSE))</f>
        <v>0.22808362208931801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s="68" t="s">
        <v>133</v>
      </c>
      <c r="B100" s="68" t="s">
        <v>347</v>
      </c>
      <c r="C100" s="2">
        <v>337</v>
      </c>
      <c r="D100">
        <f>RTD("tos.rtd", , "LAST", Main_S[[#This Row],[Symbol]])</f>
        <v>4.0999999999999996</v>
      </c>
      <c r="E100">
        <v>-0.22</v>
      </c>
      <c r="F100">
        <v>1.02</v>
      </c>
      <c r="G100">
        <v>-0.13</v>
      </c>
      <c r="H100" s="1">
        <f>IF(ISNUMBER(Main_S[[#This Row],[Free CF]]),IF(Main_S[[#This Row],[Free CF]]&lt;&gt;0,Main_S[[#This Row],[Current Price]]/Main_S[[#This Row],[Free CF]],""),"")</f>
        <v>-18.636363636363633</v>
      </c>
      <c r="I100" s="1">
        <f>IF(ISNUMBER(Main_S[[#This Row],[BVPS]]),IF(Main_S[[#This Row],[BVPS]]&lt;&gt;0,Main_S[[#This Row],[Current Price]]/Main_S[[#This Row],[BVPS]],""),"")</f>
        <v>4.0196078431372548</v>
      </c>
      <c r="J100">
        <v>-13.2</v>
      </c>
      <c r="K100">
        <v>-8.59</v>
      </c>
      <c r="L100">
        <v>1.02</v>
      </c>
      <c r="M100" s="1">
        <f>IF(ISNUMBER(Main_S[[#This Row],[EPS]]),IF(Main_S[[#This Row],[EPS]]&lt;&gt;0,Main_S[[#This Row],[Current Price]]/Main_S[[#This Row],[EPS]],""),"")</f>
        <v>-31.538461538461533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-0.28098166043120198</v>
      </c>
      <c r="P100" s="1">
        <f>(Main_S[[#This Row],[P/B]]-VLOOKUP(Main_S[[#This Row],[Industry]], Mean_PB_S, 2, FALSE))/(VLOOKUP(Main_S[[#This Row],[Industry]], Mean_PB_S, 3, FALSE))</f>
        <v>0.56183924593919699</v>
      </c>
      <c r="Q100" s="1">
        <f>(Main_S[[#This Row],[ROE]]-VLOOKUP(Main_S[[#This Row],[Industry]], Mean_ROE_S, 2, FALSE))/(VLOOKUP(Main_S[[#This Row],[Industry]], Mean_ROE_S, 3, FALSE))</f>
        <v>-0.39682137039819548</v>
      </c>
      <c r="R100" s="1">
        <f>(Main_S[[#This Row],[ROA]]-VLOOKUP(Main_S[[#This Row],[Industry]], Mean_ROA_S, 2, FALSE))/(VLOOKUP(Main_S[[#This Row],[Industry]], Mean_ROA_S, 3, FALSE))</f>
        <v>-0.88495522466537946</v>
      </c>
      <c r="S100" s="1">
        <f>(Main_S[[#This Row],[A/E]]-VLOOKUP(Main_S[[#This Row],[Industry]], Mean_AE_S, 2, FALSE))/(VLOOKUP(Main_S[[#This Row],[Industry]], Mean_AE_S, 3, FALSE))</f>
        <v>-0.90896399672818584</v>
      </c>
      <c r="T100" s="1">
        <f>(Main_S[[#This Row],[P/E]]-VLOOKUP(Main_S[[#This Row],[Industry]], Mean_PE_S, 2, FALSE))/(VLOOKUP(Main_S[[#This Row],[Industry]], Mean_PE_S, 3, FALSE))</f>
        <v>-0.88145617803227361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8" t="s">
        <v>133</v>
      </c>
      <c r="B101" s="68" t="s">
        <v>276</v>
      </c>
      <c r="C101" s="2">
        <v>485</v>
      </c>
      <c r="D101">
        <f>RTD("tos.rtd", , "LAST", Main_S[[#This Row],[Symbol]])</f>
        <v>1.21</v>
      </c>
      <c r="E101">
        <v>-0.24</v>
      </c>
      <c r="F101">
        <v>0.35</v>
      </c>
      <c r="G101">
        <v>-0.04</v>
      </c>
      <c r="H101" s="1">
        <f>IF(ISNUMBER(Main_S[[#This Row],[Free CF]]),IF(Main_S[[#This Row],[Free CF]]&lt;&gt;0,Main_S[[#This Row],[Current Price]]/Main_S[[#This Row],[Free CF]],""),"")</f>
        <v>-5.041666666666667</v>
      </c>
      <c r="I101" s="1">
        <f>IF(ISNUMBER(Main_S[[#This Row],[BVPS]]),IF(Main_S[[#This Row],[BVPS]]&lt;&gt;0,Main_S[[#This Row],[Current Price]]/Main_S[[#This Row],[BVPS]],""),"")</f>
        <v>3.4571428571428573</v>
      </c>
      <c r="J101">
        <v>-11.37</v>
      </c>
      <c r="K101">
        <v>-5.91</v>
      </c>
      <c r="L101">
        <v>1.28</v>
      </c>
      <c r="M101" s="1">
        <f>IF(ISNUMBER(Main_S[[#This Row],[EPS]]),IF(Main_S[[#This Row],[EPS]]&lt;&gt;0,Main_S[[#This Row],[Current Price]]/Main_S[[#This Row],[EPS]],""),"")</f>
        <v>-30.25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0.19065970236399418</v>
      </c>
      <c r="P101" s="1">
        <f>(Main_S[[#This Row],[P/B]]-VLOOKUP(Main_S[[#This Row],[Industry]], Mean_PB_S, 2, FALSE))/(VLOOKUP(Main_S[[#This Row],[Industry]], Mean_PB_S, 3, FALSE))</f>
        <v>0.31645247502021057</v>
      </c>
      <c r="Q101" s="1">
        <f>(Main_S[[#This Row],[ROE]]-VLOOKUP(Main_S[[#This Row],[Industry]], Mean_ROE_S, 2, FALSE))/(VLOOKUP(Main_S[[#This Row],[Industry]], Mean_ROE_S, 3, FALSE))</f>
        <v>-0.30515413109458439</v>
      </c>
      <c r="R101" s="1">
        <f>(Main_S[[#This Row],[ROA]]-VLOOKUP(Main_S[[#This Row],[Industry]], Mean_ROA_S, 2, FALSE))/(VLOOKUP(Main_S[[#This Row],[Industry]], Mean_ROA_S, 3, FALSE))</f>
        <v>-0.57106750261992179</v>
      </c>
      <c r="S101" s="1">
        <f>(Main_S[[#This Row],[A/E]]-VLOOKUP(Main_S[[#This Row],[Industry]], Mean_AE_S, 2, FALSE))/(VLOOKUP(Main_S[[#This Row],[Industry]], Mean_AE_S, 3, FALSE))</f>
        <v>-0.46073139521215278</v>
      </c>
      <c r="T101" s="1">
        <f>(Main_S[[#This Row],[P/E]]-VLOOKUP(Main_S[[#This Row],[Industry]], Mean_PE_S, 2, FALSE))/(VLOOKUP(Main_S[[#This Row],[Industry]], Mean_PE_S, 3, FALSE))</f>
        <v>-0.83347055820450211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8" t="s">
        <v>133</v>
      </c>
      <c r="B102" s="68" t="s">
        <v>266</v>
      </c>
      <c r="C102" s="2">
        <v>322</v>
      </c>
      <c r="D102">
        <f>RTD("tos.rtd", , "LAST", Main_S[[#This Row],[Symbol]])</f>
        <v>1.85</v>
      </c>
      <c r="E102">
        <v>-0.24</v>
      </c>
      <c r="F102">
        <v>1.33</v>
      </c>
      <c r="G102">
        <v>0.61</v>
      </c>
      <c r="H102" s="1">
        <f>IF(ISNUMBER(Main_S[[#This Row],[Free CF]]),IF(Main_S[[#This Row],[Free CF]]&lt;&gt;0,Main_S[[#This Row],[Current Price]]/Main_S[[#This Row],[Free CF]],""),"")</f>
        <v>-7.7083333333333339</v>
      </c>
      <c r="I102" s="1">
        <f>IF(ISNUMBER(Main_S[[#This Row],[BVPS]]),IF(Main_S[[#This Row],[BVPS]]&lt;&gt;0,Main_S[[#This Row],[Current Price]]/Main_S[[#This Row],[BVPS]],""),"")</f>
        <v>1.3909774436090225</v>
      </c>
      <c r="J102">
        <v>61.97</v>
      </c>
      <c r="K102">
        <v>-9.59</v>
      </c>
      <c r="L102">
        <v>1.1399999999999999</v>
      </c>
      <c r="M102" s="1">
        <f>IF(ISNUMBER(Main_S[[#This Row],[EPS]]),IF(Main_S[[#This Row],[EPS]]&lt;&gt;0,Main_S[[#This Row],[Current Price]]/Main_S[[#This Row],[EPS]],""),"")</f>
        <v>3.0327868852459017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9.8144929611746159E-2</v>
      </c>
      <c r="P102" s="1">
        <f>(Main_S[[#This Row],[P/B]]-VLOOKUP(Main_S[[#This Row],[Industry]], Mean_PB_S, 2, FALSE))/(VLOOKUP(Main_S[[#This Row],[Industry]], Mean_PB_S, 3, FALSE))</f>
        <v>-0.5849541398559196</v>
      </c>
      <c r="Q102" s="1">
        <f>(Main_S[[#This Row],[ROE]]-VLOOKUP(Main_S[[#This Row],[Industry]], Mean_ROE_S, 2, FALSE))/(VLOOKUP(Main_S[[#This Row],[Industry]], Mean_ROE_S, 3, FALSE))</f>
        <v>3.3685482353135248</v>
      </c>
      <c r="R102" s="1">
        <f>(Main_S[[#This Row],[ROA]]-VLOOKUP(Main_S[[#This Row],[Industry]], Mean_ROA_S, 2, FALSE))/(VLOOKUP(Main_S[[#This Row],[Industry]], Mean_ROA_S, 3, FALSE))</f>
        <v>-1.0020775090106995</v>
      </c>
      <c r="S102" s="1">
        <f>(Main_S[[#This Row],[A/E]]-VLOOKUP(Main_S[[#This Row],[Industry]], Mean_AE_S, 2, FALSE))/(VLOOKUP(Main_S[[#This Row],[Industry]], Mean_AE_S, 3, FALSE))</f>
        <v>-0.70208741141309383</v>
      </c>
      <c r="T102" s="1">
        <f>(Main_S[[#This Row],[P/E]]-VLOOKUP(Main_S[[#This Row],[Industry]], Mean_PE_S, 2, FALSE))/(VLOOKUP(Main_S[[#This Row],[Industry]], Mean_PE_S, 3, FALSE))</f>
        <v>0.40606598255335025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8" t="s">
        <v>133</v>
      </c>
      <c r="B103" s="68" t="s">
        <v>265</v>
      </c>
      <c r="C103" s="2">
        <v>525</v>
      </c>
      <c r="D103">
        <f>RTD("tos.rtd", , "LAST", Main_S[[#This Row],[Symbol]])</f>
        <v>5.57</v>
      </c>
      <c r="E103">
        <v>-0.25</v>
      </c>
      <c r="F103">
        <v>0.66</v>
      </c>
      <c r="G103">
        <v>-0.37</v>
      </c>
      <c r="H103" s="1">
        <f>IF(ISNUMBER(Main_S[[#This Row],[Free CF]]),IF(Main_S[[#This Row],[Free CF]]&lt;&gt;0,Main_S[[#This Row],[Current Price]]/Main_S[[#This Row],[Free CF]],""),"")</f>
        <v>-22.28</v>
      </c>
      <c r="I103" s="1">
        <f>IF(ISNUMBER(Main_S[[#This Row],[BVPS]]),IF(Main_S[[#This Row],[BVPS]]&lt;&gt;0,Main_S[[#This Row],[Current Price]]/Main_S[[#This Row],[BVPS]],""),"")</f>
        <v>8.4393939393939394</v>
      </c>
      <c r="J103">
        <v>-37.479999999999997</v>
      </c>
      <c r="K103">
        <v>0.12</v>
      </c>
      <c r="L103">
        <v>3.28</v>
      </c>
      <c r="M103" s="1">
        <f>IF(ISNUMBER(Main_S[[#This Row],[EPS]]),IF(Main_S[[#This Row],[EPS]]&lt;&gt;0,Main_S[[#This Row],[Current Price]]/Main_S[[#This Row],[EPS]],""),"")</f>
        <v>-15.054054054054054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-0.4073904817463192</v>
      </c>
      <c r="P103" s="1">
        <f>(Main_S[[#This Row],[P/B]]-VLOOKUP(Main_S[[#This Row],[Industry]], Mean_PB_S, 2, FALSE))/(VLOOKUP(Main_S[[#This Row],[Industry]], Mean_PB_S, 3, FALSE))</f>
        <v>2.4900606736172977</v>
      </c>
      <c r="Q103" s="1">
        <f>(Main_S[[#This Row],[ROE]]-VLOOKUP(Main_S[[#This Row],[Industry]], Mean_ROE_S, 2, FALSE))/(VLOOKUP(Main_S[[#This Row],[Industry]], Mean_ROE_S, 3, FALSE))</f>
        <v>-1.6130402612679646</v>
      </c>
      <c r="R103" s="1">
        <f>(Main_S[[#This Row],[ROA]]-VLOOKUP(Main_S[[#This Row],[Industry]], Mean_ROA_S, 2, FALSE))/(VLOOKUP(Main_S[[#This Row],[Industry]], Mean_ROA_S, 3, FALSE))</f>
        <v>0.13517987198235801</v>
      </c>
      <c r="S103" s="1">
        <f>(Main_S[[#This Row],[A/E]]-VLOOKUP(Main_S[[#This Row],[Industry]], Mean_AE_S, 2, FALSE))/(VLOOKUP(Main_S[[#This Row],[Industry]], Mean_AE_S, 3, FALSE))</f>
        <v>2.9872116933727164</v>
      </c>
      <c r="T103" s="1">
        <f>(Main_S[[#This Row],[P/E]]-VLOOKUP(Main_S[[#This Row],[Industry]], Mean_PE_S, 2, FALSE))/(VLOOKUP(Main_S[[#This Row],[Industry]], Mean_PE_S, 3, FALSE))</f>
        <v>-0.26753446828737365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8" t="s">
        <v>133</v>
      </c>
      <c r="B104" s="68" t="s">
        <v>283</v>
      </c>
      <c r="C104" s="2">
        <v>315</v>
      </c>
      <c r="D104">
        <f>RTD("tos.rtd", , "LAST", Main_S[[#This Row],[Symbol]])</f>
        <v>2.04</v>
      </c>
      <c r="E104">
        <v>-0.26</v>
      </c>
      <c r="F104">
        <v>3.27</v>
      </c>
      <c r="G104">
        <v>-0.02</v>
      </c>
      <c r="H104" s="1">
        <f>IF(ISNUMBER(Main_S[[#This Row],[Free CF]]),IF(Main_S[[#This Row],[Free CF]]&lt;&gt;0,Main_S[[#This Row],[Current Price]]/Main_S[[#This Row],[Free CF]],""),"")</f>
        <v>-7.8461538461538458</v>
      </c>
      <c r="I104" s="1">
        <f>IF(ISNUMBER(Main_S[[#This Row],[BVPS]]),IF(Main_S[[#This Row],[BVPS]]&lt;&gt;0,Main_S[[#This Row],[Current Price]]/Main_S[[#This Row],[BVPS]],""),"")</f>
        <v>0.62385321100917435</v>
      </c>
      <c r="J104">
        <v>-0.6</v>
      </c>
      <c r="K104">
        <v>-0.27</v>
      </c>
      <c r="L104">
        <v>1.33</v>
      </c>
      <c r="M104" s="1">
        <f>IF(ISNUMBER(Main_S[[#This Row],[EPS]]),IF(Main_S[[#This Row],[EPS]]&lt;&gt;0,Main_S[[#This Row],[Current Price]]/Main_S[[#This Row],[EPS]],""),"")</f>
        <v>-102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9.3363517077675678E-2</v>
      </c>
      <c r="P104" s="1">
        <f>(Main_S[[#This Row],[P/B]]-VLOOKUP(Main_S[[#This Row],[Industry]], Mean_PB_S, 2, FALSE))/(VLOOKUP(Main_S[[#This Row],[Industry]], Mean_PB_S, 3, FALSE))</f>
        <v>-0.91962766268611618</v>
      </c>
      <c r="Q104" s="1">
        <f>(Main_S[[#This Row],[ROE]]-VLOOKUP(Main_S[[#This Row],[Industry]], Mean_ROE_S, 2, FALSE))/(VLOOKUP(Main_S[[#This Row],[Industry]], Mean_ROE_S, 3, FALSE))</f>
        <v>0.23433011333158599</v>
      </c>
      <c r="R104" s="1">
        <f>(Main_S[[#This Row],[ROA]]-VLOOKUP(Main_S[[#This Row],[Industry]], Mean_ROA_S, 2, FALSE))/(VLOOKUP(Main_S[[#This Row],[Industry]], Mean_ROA_S, 3, FALSE))</f>
        <v>8.9502181087683194E-2</v>
      </c>
      <c r="S104" s="1">
        <f>(Main_S[[#This Row],[A/E]]-VLOOKUP(Main_S[[#This Row],[Industry]], Mean_AE_S, 2, FALSE))/(VLOOKUP(Main_S[[#This Row],[Industry]], Mean_AE_S, 3, FALSE))</f>
        <v>-0.37453281799753096</v>
      </c>
      <c r="T104" s="1">
        <f>(Main_S[[#This Row],[P/E]]-VLOOKUP(Main_S[[#This Row],[Industry]], Mean_PE_S, 2, FALSE))/(VLOOKUP(Main_S[[#This Row],[Industry]], Mean_PE_S, 3, FALSE))</f>
        <v>-3.5056249996584756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5" spans="1:26" x14ac:dyDescent="0.25">
      <c r="A105" s="68" t="s">
        <v>133</v>
      </c>
      <c r="B105" s="68" t="s">
        <v>297</v>
      </c>
      <c r="C105" s="2">
        <v>1941</v>
      </c>
      <c r="D105">
        <f>RTD("tos.rtd", , "LAST", Main_S[[#This Row],[Symbol]])</f>
        <v>21.54</v>
      </c>
      <c r="E105">
        <v>-0.27</v>
      </c>
      <c r="F105">
        <v>5.83</v>
      </c>
      <c r="G105">
        <v>0.88</v>
      </c>
      <c r="H105" s="1">
        <f>IF(ISNUMBER(Main_S[[#This Row],[Free CF]]),IF(Main_S[[#This Row],[Free CF]]&lt;&gt;0,Main_S[[#This Row],[Current Price]]/Main_S[[#This Row],[Free CF]],""),"")</f>
        <v>-79.777777777777771</v>
      </c>
      <c r="I105" s="1">
        <f>IF(ISNUMBER(Main_S[[#This Row],[BVPS]]),IF(Main_S[[#This Row],[BVPS]]&lt;&gt;0,Main_S[[#This Row],[Current Price]]/Main_S[[#This Row],[BVPS]],""),"")</f>
        <v>3.6946826758147511</v>
      </c>
      <c r="J105">
        <v>16.27</v>
      </c>
      <c r="K105">
        <v>-1.71</v>
      </c>
      <c r="L105">
        <v>1.06</v>
      </c>
      <c r="M105" s="1">
        <f>IF(ISNUMBER(Main_S[[#This Row],[EPS]]),IF(Main_S[[#This Row],[EPS]]&lt;&gt;0,Main_S[[#This Row],[Current Price]]/Main_S[[#This Row],[EPS]],""),"")</f>
        <v>24.477272727272727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-2.4021631735727067</v>
      </c>
      <c r="P105" s="1">
        <f>(Main_S[[#This Row],[P/B]]-VLOOKUP(Main_S[[#This Row],[Industry]], Mean_PB_S, 2, FALSE))/(VLOOKUP(Main_S[[#This Row],[Industry]], Mean_PB_S, 3, FALSE))</f>
        <v>0.42008404413117767</v>
      </c>
      <c r="Q105" s="1">
        <f>(Main_S[[#This Row],[ROE]]-VLOOKUP(Main_S[[#This Row],[Industry]], Mean_ROE_S, 2, FALSE))/(VLOOKUP(Main_S[[#This Row],[Industry]], Mean_ROE_S, 3, FALSE))</f>
        <v>1.0793718221031268</v>
      </c>
      <c r="R105" s="1">
        <f>(Main_S[[#This Row],[ROA]]-VLOOKUP(Main_S[[#This Row],[Industry]], Mean_ROA_S, 2, FALSE))/(VLOOKUP(Main_S[[#This Row],[Industry]], Mean_ROA_S, 3, FALSE))</f>
        <v>-7.9153908369577655E-2</v>
      </c>
      <c r="S105" s="1">
        <f>(Main_S[[#This Row],[A/E]]-VLOOKUP(Main_S[[#This Row],[Industry]], Mean_AE_S, 2, FALSE))/(VLOOKUP(Main_S[[#This Row],[Industry]], Mean_AE_S, 3, FALSE))</f>
        <v>-0.84000513495648832</v>
      </c>
      <c r="T105" s="1">
        <f>(Main_S[[#This Row],[P/E]]-VLOOKUP(Main_S[[#This Row],[Industry]], Mean_PE_S, 2, FALSE))/(VLOOKUP(Main_S[[#This Row],[Industry]], Mean_PE_S, 3, FALSE))</f>
        <v>1.2047137607759124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8" t="s">
        <v>133</v>
      </c>
      <c r="B106" s="68" t="s">
        <v>280</v>
      </c>
      <c r="C106" s="2">
        <v>342</v>
      </c>
      <c r="D106">
        <f>RTD("tos.rtd", , "LAST", Main_S[[#This Row],[Symbol]])</f>
        <v>4</v>
      </c>
      <c r="E106">
        <v>-0.27</v>
      </c>
      <c r="F106">
        <v>1.17</v>
      </c>
      <c r="G106">
        <v>-0.31</v>
      </c>
      <c r="H106" s="1">
        <f>IF(ISNUMBER(Main_S[[#This Row],[Free CF]]),IF(Main_S[[#This Row],[Free CF]]&lt;&gt;0,Main_S[[#This Row],[Current Price]]/Main_S[[#This Row],[Free CF]],""),"")</f>
        <v>-14.814814814814813</v>
      </c>
      <c r="I106" s="1">
        <f>IF(ISNUMBER(Main_S[[#This Row],[BVPS]]),IF(Main_S[[#This Row],[BVPS]]&lt;&gt;0,Main_S[[#This Row],[Current Price]]/Main_S[[#This Row],[BVPS]],""),"")</f>
        <v>3.4188034188034191</v>
      </c>
      <c r="J106">
        <v>-25.54</v>
      </c>
      <c r="K106">
        <v>-15.71</v>
      </c>
      <c r="L106">
        <v>1.02</v>
      </c>
      <c r="M106" s="1">
        <f>IF(ISNUMBER(Main_S[[#This Row],[EPS]]),IF(Main_S[[#This Row],[EPS]]&lt;&gt;0,Main_S[[#This Row],[Current Price]]/Main_S[[#This Row],[EPS]],""),"")</f>
        <v>-12.903225806451614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-0.14840051513599808</v>
      </c>
      <c r="P106" s="1">
        <f>(Main_S[[#This Row],[P/B]]-VLOOKUP(Main_S[[#This Row],[Industry]], Mean_PB_S, 2, FALSE))/(VLOOKUP(Main_S[[#This Row],[Industry]], Mean_PB_S, 3, FALSE))</f>
        <v>0.29972611656728448</v>
      </c>
      <c r="Q106" s="1">
        <f>(Main_S[[#This Row],[ROE]]-VLOOKUP(Main_S[[#This Row],[Industry]], Mean_ROE_S, 2, FALSE))/(VLOOKUP(Main_S[[#This Row],[Industry]], Mean_ROE_S, 3, FALSE))</f>
        <v>-1.0149490933526006</v>
      </c>
      <c r="R106" s="1">
        <f>(Main_S[[#This Row],[ROA]]-VLOOKUP(Main_S[[#This Row],[Industry]], Mean_ROA_S, 2, FALSE))/(VLOOKUP(Main_S[[#This Row],[Industry]], Mean_ROA_S, 3, FALSE))</f>
        <v>-1.718865889204058</v>
      </c>
      <c r="S106" s="1">
        <f>(Main_S[[#This Row],[A/E]]-VLOOKUP(Main_S[[#This Row],[Industry]], Mean_AE_S, 2, FALSE))/(VLOOKUP(Main_S[[#This Row],[Industry]], Mean_AE_S, 3, FALSE))</f>
        <v>-0.90896399672818584</v>
      </c>
      <c r="T106" s="1">
        <f>(Main_S[[#This Row],[P/E]]-VLOOKUP(Main_S[[#This Row],[Industry]], Mean_PE_S, 2, FALSE))/(VLOOKUP(Main_S[[#This Row],[Industry]], Mean_PE_S, 3, FALSE))</f>
        <v>-0.18743209540046732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s="68" t="s">
        <v>133</v>
      </c>
      <c r="B107" s="68" t="s">
        <v>348</v>
      </c>
      <c r="C107" s="2">
        <v>324</v>
      </c>
      <c r="D107">
        <f>RTD("tos.rtd", , "LAST", Main_S[[#This Row],[Symbol]])</f>
        <v>3.1</v>
      </c>
      <c r="E107">
        <v>-0.28000000000000003</v>
      </c>
      <c r="F107">
        <v>0.69</v>
      </c>
      <c r="G107">
        <v>-0.08</v>
      </c>
      <c r="H107" s="1">
        <f>IF(ISNUMBER(Main_S[[#This Row],[Free CF]]),IF(Main_S[[#This Row],[Free CF]]&lt;&gt;0,Main_S[[#This Row],[Current Price]]/Main_S[[#This Row],[Free CF]],""),"")</f>
        <v>-11.071428571428571</v>
      </c>
      <c r="I107" s="1">
        <f>IF(ISNUMBER(Main_S[[#This Row],[BVPS]]),IF(Main_S[[#This Row],[BVPS]]&lt;&gt;0,Main_S[[#This Row],[Current Price]]/Main_S[[#This Row],[BVPS]],""),"")</f>
        <v>4.4927536231884062</v>
      </c>
      <c r="J107">
        <v>-14.97</v>
      </c>
      <c r="K107">
        <v>-9.15</v>
      </c>
      <c r="L107">
        <v>1.04</v>
      </c>
      <c r="M107" s="1">
        <f>IF(ISNUMBER(Main_S[[#This Row],[EPS]]),IF(Main_S[[#This Row],[EPS]]&lt;&gt;0,Main_S[[#This Row],[Current Price]]/Main_S[[#This Row],[EPS]],""),"")</f>
        <v>-38.75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-1.8531067274459485E-2</v>
      </c>
      <c r="P107" s="1">
        <f>(Main_S[[#This Row],[P/B]]-VLOOKUP(Main_S[[#This Row],[Industry]], Mean_PB_S, 2, FALSE))/(VLOOKUP(Main_S[[#This Row],[Industry]], Mean_PB_S, 3, FALSE))</f>
        <v>0.76825869965049598</v>
      </c>
      <c r="Q107" s="1">
        <f>(Main_S[[#This Row],[ROE]]-VLOOKUP(Main_S[[#This Row],[Industry]], Mean_ROE_S, 2, FALSE))/(VLOOKUP(Main_S[[#This Row],[Industry]], Mean_ROE_S, 3, FALSE))</f>
        <v>-0.48548312644595054</v>
      </c>
      <c r="R107" s="1">
        <f>(Main_S[[#This Row],[ROA]]-VLOOKUP(Main_S[[#This Row],[Industry]], Mean_ROA_S, 2, FALSE))/(VLOOKUP(Main_S[[#This Row],[Industry]], Mean_ROA_S, 3, FALSE))</f>
        <v>-0.95054370389875886</v>
      </c>
      <c r="S107" s="1">
        <f>(Main_S[[#This Row],[A/E]]-VLOOKUP(Main_S[[#This Row],[Industry]], Mean_AE_S, 2, FALSE))/(VLOOKUP(Main_S[[#This Row],[Industry]], Mean_AE_S, 3, FALSE))</f>
        <v>-0.87448456584233702</v>
      </c>
      <c r="T107" s="1">
        <f>(Main_S[[#This Row],[P/E]]-VLOOKUP(Main_S[[#This Row],[Industry]], Mean_PE_S, 2, FALSE))/(VLOOKUP(Main_S[[#This Row],[Industry]], Mean_PE_S, 3, FALSE))</f>
        <v>-1.1500324084115929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8" t="s">
        <v>133</v>
      </c>
      <c r="B108" s="68" t="s">
        <v>281</v>
      </c>
      <c r="C108" s="2">
        <v>1295</v>
      </c>
      <c r="D108">
        <f>RTD("tos.rtd", , "LAST", Main_S[[#This Row],[Symbol]])</f>
        <v>14.24</v>
      </c>
      <c r="E108">
        <v>-0.28999999999999998</v>
      </c>
      <c r="F108">
        <v>4.72</v>
      </c>
      <c r="G108">
        <v>1.05</v>
      </c>
      <c r="H108" s="1">
        <f>IF(ISNUMBER(Main_S[[#This Row],[Free CF]]),IF(Main_S[[#This Row],[Free CF]]&lt;&gt;0,Main_S[[#This Row],[Current Price]]/Main_S[[#This Row],[Free CF]],""),"")</f>
        <v>-49.103448275862071</v>
      </c>
      <c r="I108" s="1">
        <f>IF(ISNUMBER(Main_S[[#This Row],[BVPS]]),IF(Main_S[[#This Row],[BVPS]]&lt;&gt;0,Main_S[[#This Row],[Current Price]]/Main_S[[#This Row],[BVPS]],""),"")</f>
        <v>3.0169491525423733</v>
      </c>
      <c r="J108">
        <v>24.45</v>
      </c>
      <c r="K108">
        <v>14.15</v>
      </c>
      <c r="L108">
        <v>1.34</v>
      </c>
      <c r="M108" s="1">
        <f>IF(ISNUMBER(Main_S[[#This Row],[EPS]]),IF(Main_S[[#This Row],[EPS]]&lt;&gt;0,Main_S[[#This Row],[Current Price]]/Main_S[[#This Row],[EPS]],""),"")</f>
        <v>13.561904761904762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-1.3379774398737161</v>
      </c>
      <c r="P108" s="1">
        <f>(Main_S[[#This Row],[P/B]]-VLOOKUP(Main_S[[#This Row],[Industry]], Mean_PB_S, 2, FALSE))/(VLOOKUP(Main_S[[#This Row],[Industry]], Mean_PB_S, 3, FALSE))</f>
        <v>0.12440903331190334</v>
      </c>
      <c r="Q108" s="1">
        <f>(Main_S[[#This Row],[ROE]]-VLOOKUP(Main_S[[#This Row],[Industry]], Mean_ROE_S, 2, FALSE))/(VLOOKUP(Main_S[[#This Row],[Industry]], Mean_ROE_S, 3, FALSE))</f>
        <v>1.4891193726515086</v>
      </c>
      <c r="R108" s="1">
        <f>(Main_S[[#This Row],[ROA]]-VLOOKUP(Main_S[[#This Row],[Industry]], Mean_ROA_S, 2, FALSE))/(VLOOKUP(Main_S[[#This Row],[Industry]], Mean_ROA_S, 3, FALSE))</f>
        <v>1.7784055213471981</v>
      </c>
      <c r="S108" s="1">
        <f>(Main_S[[#This Row],[A/E]]-VLOOKUP(Main_S[[#This Row],[Industry]], Mean_AE_S, 2, FALSE))/(VLOOKUP(Main_S[[#This Row],[Industry]], Mean_AE_S, 3, FALSE))</f>
        <v>-0.35729310255460661</v>
      </c>
      <c r="T108" s="1">
        <f>(Main_S[[#This Row],[P/E]]-VLOOKUP(Main_S[[#This Row],[Industry]], Mean_PE_S, 2, FALSE))/(VLOOKUP(Main_S[[#This Row],[Industry]], Mean_PE_S, 3, FALSE))</f>
        <v>0.79819739856319571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8" t="s">
        <v>133</v>
      </c>
      <c r="B109" s="68" t="s">
        <v>349</v>
      </c>
      <c r="C109" s="2">
        <v>1975</v>
      </c>
      <c r="D109">
        <f>RTD("tos.rtd", , "LAST", Main_S[[#This Row],[Symbol]])</f>
        <v>2.41</v>
      </c>
      <c r="E109">
        <v>-0.3</v>
      </c>
      <c r="F109">
        <v>1.19</v>
      </c>
      <c r="G109">
        <v>7.0000000000000007E-2</v>
      </c>
      <c r="H109" s="1">
        <f>IF(ISNUMBER(Main_S[[#This Row],[Free CF]]),IF(Main_S[[#This Row],[Free CF]]&lt;&gt;0,Main_S[[#This Row],[Current Price]]/Main_S[[#This Row],[Free CF]],""),"")</f>
        <v>-8.033333333333335</v>
      </c>
      <c r="I109" s="1">
        <f>IF(ISNUMBER(Main_S[[#This Row],[BVPS]]),IF(Main_S[[#This Row],[BVPS]]&lt;&gt;0,Main_S[[#This Row],[Current Price]]/Main_S[[#This Row],[BVPS]],""),"")</f>
        <v>2.0252100840336138</v>
      </c>
      <c r="J109">
        <v>6.75</v>
      </c>
      <c r="K109">
        <v>5.6</v>
      </c>
      <c r="L109">
        <v>1.86</v>
      </c>
      <c r="M109" s="1">
        <f>IF(ISNUMBER(Main_S[[#This Row],[EPS]]),IF(Main_S[[#This Row],[EPS]]&lt;&gt;0,Main_S[[#This Row],[Current Price]]/Main_S[[#This Row],[EPS]],""),"")</f>
        <v>34.428571428571431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8.6869691682565892E-2</v>
      </c>
      <c r="P109" s="1">
        <f>(Main_S[[#This Row],[P/B]]-VLOOKUP(Main_S[[#This Row],[Industry]], Mean_PB_S, 2, FALSE))/(VLOOKUP(Main_S[[#This Row],[Industry]], Mean_PB_S, 3, FALSE))</f>
        <v>-0.30825727245880269</v>
      </c>
      <c r="Q109" s="1">
        <f>(Main_S[[#This Row],[ROE]]-VLOOKUP(Main_S[[#This Row],[Industry]], Mean_ROE_S, 2, FALSE))/(VLOOKUP(Main_S[[#This Row],[Industry]], Mean_ROE_S, 3, FALSE))</f>
        <v>0.60250181217395848</v>
      </c>
      <c r="R109" s="1">
        <f>(Main_S[[#This Row],[ROA]]-VLOOKUP(Main_S[[#This Row],[Industry]], Mean_ROA_S, 2, FALSE))/(VLOOKUP(Main_S[[#This Row],[Industry]], Mean_ROA_S, 3, FALSE))</f>
        <v>0.77700999019471173</v>
      </c>
      <c r="S109" s="1">
        <f>(Main_S[[#This Row],[A/E]]-VLOOKUP(Main_S[[#This Row],[Industry]], Mean_AE_S, 2, FALSE))/(VLOOKUP(Main_S[[#This Row],[Industry]], Mean_AE_S, 3, FALSE))</f>
        <v>0.53917210047745945</v>
      </c>
      <c r="T109" s="1">
        <f>(Main_S[[#This Row],[P/E]]-VLOOKUP(Main_S[[#This Row],[Industry]], Mean_PE_S, 2, FALSE))/(VLOOKUP(Main_S[[#This Row],[Industry]], Mean_PE_S, 3, FALSE))</f>
        <v>1.5753257053460936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8" t="s">
        <v>133</v>
      </c>
      <c r="B110" s="68" t="s">
        <v>257</v>
      </c>
      <c r="C110" s="2">
        <v>938</v>
      </c>
      <c r="D110">
        <f>RTD("tos.rtd", , "LAST", Main_S[[#This Row],[Symbol]])</f>
        <v>10.86</v>
      </c>
      <c r="E110">
        <v>-0.34</v>
      </c>
      <c r="F110">
        <v>1</v>
      </c>
      <c r="G110">
        <v>-0.55000000000000004</v>
      </c>
      <c r="H110" s="1">
        <f>IF(ISNUMBER(Main_S[[#This Row],[Free CF]]),IF(Main_S[[#This Row],[Free CF]]&lt;&gt;0,Main_S[[#This Row],[Current Price]]/Main_S[[#This Row],[Free CF]],""),"")</f>
        <v>-31.941176470588232</v>
      </c>
      <c r="I110" s="1">
        <f>IF(ISNUMBER(Main_S[[#This Row],[BVPS]]),IF(Main_S[[#This Row],[BVPS]]&lt;&gt;0,Main_S[[#This Row],[Current Price]]/Main_S[[#This Row],[BVPS]],""),"")</f>
        <v>10.86</v>
      </c>
      <c r="J110">
        <v>-78.39</v>
      </c>
      <c r="K110">
        <v>-29.01</v>
      </c>
      <c r="L110">
        <v>1.06</v>
      </c>
      <c r="M110" s="1">
        <f>IF(ISNUMBER(Main_S[[#This Row],[EPS]]),IF(Main_S[[#This Row],[EPS]]&lt;&gt;0,Main_S[[#This Row],[Current Price]]/Main_S[[#This Row],[EPS]],""),"")</f>
        <v>-19.745454545454542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-0.74256606138225756</v>
      </c>
      <c r="P110" s="1">
        <f>(Main_S[[#This Row],[P/B]]-VLOOKUP(Main_S[[#This Row],[Industry]], Mean_PB_S, 2, FALSE))/(VLOOKUP(Main_S[[#This Row],[Industry]], Mean_PB_S, 3, FALSE))</f>
        <v>3.5460992176502693</v>
      </c>
      <c r="Q110" s="1">
        <f>(Main_S[[#This Row],[ROE]]-VLOOKUP(Main_S[[#This Row],[Industry]], Mean_ROE_S, 2, FALSE))/(VLOOKUP(Main_S[[#This Row],[Industry]], Mean_ROE_S, 3, FALSE))</f>
        <v>-3.6622789278858505</v>
      </c>
      <c r="R110" s="1">
        <f>(Main_S[[#This Row],[ROA]]-VLOOKUP(Main_S[[#This Row],[Industry]], Mean_ROA_S, 2, FALSE))/(VLOOKUP(Main_S[[#This Row],[Industry]], Mean_ROA_S, 3, FALSE))</f>
        <v>-3.2765922709968147</v>
      </c>
      <c r="S110" s="1">
        <f>(Main_S[[#This Row],[A/E]]-VLOOKUP(Main_S[[#This Row],[Industry]], Mean_AE_S, 2, FALSE))/(VLOOKUP(Main_S[[#This Row],[Industry]], Mean_AE_S, 3, FALSE))</f>
        <v>-0.84000513495648832</v>
      </c>
      <c r="T110" s="1">
        <f>(Main_S[[#This Row],[P/E]]-VLOOKUP(Main_S[[#This Row],[Industry]], Mean_PE_S, 2, FALSE))/(VLOOKUP(Main_S[[#This Row],[Industry]], Mean_PE_S, 3, FALSE))</f>
        <v>-0.44225428236033765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s="68" t="s">
        <v>133</v>
      </c>
      <c r="B111" s="68" t="s">
        <v>350</v>
      </c>
      <c r="C111" s="2">
        <v>413</v>
      </c>
      <c r="D111">
        <f>RTD("tos.rtd", , "LAST", Main_S[[#This Row],[Symbol]])</f>
        <v>2.5099999999999998</v>
      </c>
      <c r="E111">
        <v>-0.37</v>
      </c>
      <c r="F111">
        <v>1.17</v>
      </c>
      <c r="G111">
        <v>-7.0000000000000007E-2</v>
      </c>
      <c r="H111" s="1">
        <f>IF(ISNUMBER(Main_S[[#This Row],[Free CF]]),IF(Main_S[[#This Row],[Free CF]]&lt;&gt;0,Main_S[[#This Row],[Current Price]]/Main_S[[#This Row],[Free CF]],""),"")</f>
        <v>-6.7837837837837833</v>
      </c>
      <c r="I111" s="1">
        <f>IF(ISNUMBER(Main_S[[#This Row],[BVPS]]),IF(Main_S[[#This Row],[BVPS]]&lt;&gt;0,Main_S[[#This Row],[Current Price]]/Main_S[[#This Row],[BVPS]],""),"")</f>
        <v>2.1452991452991452</v>
      </c>
      <c r="J111">
        <v>-5.75</v>
      </c>
      <c r="K111">
        <v>8.2899999999999991</v>
      </c>
      <c r="L111">
        <v>1.57</v>
      </c>
      <c r="M111" s="1">
        <f>IF(ISNUMBER(Main_S[[#This Row],[EPS]]),IF(Main_S[[#This Row],[EPS]]&lt;&gt;0,Main_S[[#This Row],[Current Price]]/Main_S[[#This Row],[EPS]],""),"")</f>
        <v>-35.857142857142854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0.13022036391478489</v>
      </c>
      <c r="P111" s="1">
        <f>(Main_S[[#This Row],[P/B]]-VLOOKUP(Main_S[[#This Row],[Industry]], Mean_PB_S, 2, FALSE))/(VLOOKUP(Main_S[[#This Row],[Industry]], Mean_PB_S, 3, FALSE))</f>
        <v>-0.25586598108882824</v>
      </c>
      <c r="Q111" s="1">
        <f>(Main_S[[#This Row],[ROE]]-VLOOKUP(Main_S[[#This Row],[Industry]], Mean_ROE_S, 2, FALSE))/(VLOOKUP(Main_S[[#This Row],[Industry]], Mean_ROE_S, 3, FALSE))</f>
        <v>-2.3640532796062822E-2</v>
      </c>
      <c r="R111" s="1">
        <f>(Main_S[[#This Row],[ROA]]-VLOOKUP(Main_S[[#This Row],[Industry]], Mean_ROA_S, 2, FALSE))/(VLOOKUP(Main_S[[#This Row],[Industry]], Mean_ROA_S, 3, FALSE))</f>
        <v>1.0920689350836228</v>
      </c>
      <c r="S111" s="1">
        <f>(Main_S[[#This Row],[A/E]]-VLOOKUP(Main_S[[#This Row],[Industry]], Mean_AE_S, 2, FALSE))/(VLOOKUP(Main_S[[#This Row],[Industry]], Mean_AE_S, 3, FALSE))</f>
        <v>3.9220352632653353E-2</v>
      </c>
      <c r="T111" s="1">
        <f>(Main_S[[#This Row],[P/E]]-VLOOKUP(Main_S[[#This Row],[Industry]], Mean_PE_S, 2, FALSE))/(VLOOKUP(Main_S[[#This Row],[Industry]], Mean_PE_S, 3, FALSE))</f>
        <v>-1.0422949719965746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8" t="s">
        <v>133</v>
      </c>
      <c r="B112" s="68" t="s">
        <v>264</v>
      </c>
      <c r="C112" s="2">
        <v>271</v>
      </c>
      <c r="D112">
        <f>RTD("tos.rtd", , "LAST", Main_S[[#This Row],[Symbol]])</f>
        <v>1.73</v>
      </c>
      <c r="E112">
        <v>-0.39</v>
      </c>
      <c r="F112">
        <v>0.66</v>
      </c>
      <c r="G112">
        <v>-0.3</v>
      </c>
      <c r="H112" s="1">
        <f>IF(ISNUMBER(Main_S[[#This Row],[Free CF]]),IF(Main_S[[#This Row],[Free CF]]&lt;&gt;0,Main_S[[#This Row],[Current Price]]/Main_S[[#This Row],[Free CF]],""),"")</f>
        <v>-4.4358974358974361</v>
      </c>
      <c r="I112" s="1">
        <f>IF(ISNUMBER(Main_S[[#This Row],[BVPS]]),IF(Main_S[[#This Row],[BVPS]]&lt;&gt;0,Main_S[[#This Row],[Current Price]]/Main_S[[#This Row],[BVPS]],""),"")</f>
        <v>2.6212121212121211</v>
      </c>
      <c r="J112">
        <v>-46.88</v>
      </c>
      <c r="K112">
        <v>-24.15</v>
      </c>
      <c r="L112">
        <v>1.31</v>
      </c>
      <c r="M112" s="1">
        <f>IF(ISNUMBER(Main_S[[#This Row],[EPS]]),IF(Main_S[[#This Row],[EPS]]&lt;&gt;0,Main_S[[#This Row],[Current Price]]/Main_S[[#This Row],[EPS]],""),"")</f>
        <v>-5.7666666666666666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0.21167567838583901</v>
      </c>
      <c r="P112" s="1">
        <f>(Main_S[[#This Row],[P/B]]-VLOOKUP(Main_S[[#This Row],[Industry]], Mean_PB_S, 2, FALSE))/(VLOOKUP(Main_S[[#This Row],[Industry]], Mean_PB_S, 3, FALSE))</f>
        <v>-4.8239281995253541E-2</v>
      </c>
      <c r="Q112" s="1">
        <f>(Main_S[[#This Row],[ROE]]-VLOOKUP(Main_S[[#This Row],[Industry]], Mean_ROE_S, 2, FALSE))/(VLOOKUP(Main_S[[#This Row],[Industry]], Mean_ROE_S, 3, FALSE))</f>
        <v>-2.0838993046854211</v>
      </c>
      <c r="R112" s="1">
        <f>(Main_S[[#This Row],[ROA]]-VLOOKUP(Main_S[[#This Row],[Industry]], Mean_ROA_S, 2, FALSE))/(VLOOKUP(Main_S[[#This Row],[Industry]], Mean_ROA_S, 3, FALSE))</f>
        <v>-2.7073779690785589</v>
      </c>
      <c r="S112" s="1">
        <f>(Main_S[[#This Row],[A/E]]-VLOOKUP(Main_S[[#This Row],[Industry]], Mean_AE_S, 2, FALSE))/(VLOOKUP(Main_S[[#This Row],[Industry]], Mean_AE_S, 3, FALSE))</f>
        <v>-0.40901224888337967</v>
      </c>
      <c r="T112" s="1">
        <f>(Main_S[[#This Row],[P/E]]-VLOOKUP(Main_S[[#This Row],[Industry]], Mean_PE_S, 2, FALSE))/(VLOOKUP(Main_S[[#This Row],[Industry]], Mean_PE_S, 3, FALSE))</f>
        <v>7.83517122939619E-2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s="68" t="s">
        <v>133</v>
      </c>
      <c r="B113" s="68" t="s">
        <v>351</v>
      </c>
      <c r="C113" s="2">
        <v>1651</v>
      </c>
      <c r="D113">
        <f>RTD("tos.rtd", , "LAST", Main_S[[#This Row],[Symbol]])</f>
        <v>14.91</v>
      </c>
      <c r="E113">
        <v>-0.39</v>
      </c>
      <c r="F113">
        <v>3.1</v>
      </c>
      <c r="G113">
        <v>-1</v>
      </c>
      <c r="H113" s="1">
        <f>IF(ISNUMBER(Main_S[[#This Row],[Free CF]]),IF(Main_S[[#This Row],[Free CF]]&lt;&gt;0,Main_S[[#This Row],[Current Price]]/Main_S[[#This Row],[Free CF]],""),"")</f>
        <v>-38.230769230769226</v>
      </c>
      <c r="I113" s="1">
        <f>IF(ISNUMBER(Main_S[[#This Row],[BVPS]]),IF(Main_S[[#This Row],[BVPS]]&lt;&gt;0,Main_S[[#This Row],[Current Price]]/Main_S[[#This Row],[BVPS]],""),"")</f>
        <v>4.8096774193548386</v>
      </c>
      <c r="J113">
        <v>-19.91</v>
      </c>
      <c r="K113">
        <v>10.89</v>
      </c>
      <c r="L113">
        <v>4.12</v>
      </c>
      <c r="M113" s="1">
        <f>IF(ISNUMBER(Main_S[[#This Row],[EPS]]),IF(Main_S[[#This Row],[EPS]]&lt;&gt;0,Main_S[[#This Row],[Current Price]]/Main_S[[#This Row],[EPS]],""),"")</f>
        <v>-14.91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-0.960771153224381</v>
      </c>
      <c r="P113" s="1">
        <f>(Main_S[[#This Row],[P/B]]-VLOOKUP(Main_S[[#This Row],[Industry]], Mean_PB_S, 2, FALSE))/(VLOOKUP(Main_S[[#This Row],[Industry]], Mean_PB_S, 3, FALSE))</f>
        <v>0.90652314082487062</v>
      </c>
      <c r="Q113" s="1">
        <f>(Main_S[[#This Row],[ROE]]-VLOOKUP(Main_S[[#This Row],[Industry]], Mean_ROE_S, 2, FALSE))/(VLOOKUP(Main_S[[#This Row],[Industry]], Mean_ROE_S, 3, FALSE))</f>
        <v>-0.73293458117810306</v>
      </c>
      <c r="R113" s="1">
        <f>(Main_S[[#This Row],[ROA]]-VLOOKUP(Main_S[[#This Row],[Industry]], Mean_ROA_S, 2, FALSE))/(VLOOKUP(Main_S[[#This Row],[Industry]], Mean_ROA_S, 3, FALSE))</f>
        <v>1.3965868743814549</v>
      </c>
      <c r="S113" s="1">
        <f>(Main_S[[#This Row],[A/E]]-VLOOKUP(Main_S[[#This Row],[Industry]], Mean_AE_S, 2, FALSE))/(VLOOKUP(Main_S[[#This Row],[Industry]], Mean_AE_S, 3, FALSE))</f>
        <v>4.4353477905783611</v>
      </c>
      <c r="T113" s="1">
        <f>(Main_S[[#This Row],[P/E]]-VLOOKUP(Main_S[[#This Row],[Industry]], Mean_PE_S, 2, FALSE))/(VLOOKUP(Main_S[[#This Row],[Industry]], Mean_PE_S, 3, FALSE))</f>
        <v>-0.26216952500723439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8" t="s">
        <v>133</v>
      </c>
      <c r="B114" s="68" t="s">
        <v>275</v>
      </c>
      <c r="C114" s="2">
        <v>704</v>
      </c>
      <c r="D114">
        <f>RTD("tos.rtd", , "LAST", Main_S[[#This Row],[Symbol]])</f>
        <v>3.1</v>
      </c>
      <c r="E114">
        <v>-0.39</v>
      </c>
      <c r="F114">
        <v>1.1200000000000001</v>
      </c>
      <c r="G114">
        <v>-0.14000000000000001</v>
      </c>
      <c r="H114" s="1">
        <f>IF(ISNUMBER(Main_S[[#This Row],[Free CF]]),IF(Main_S[[#This Row],[Free CF]]&lt;&gt;0,Main_S[[#This Row],[Current Price]]/Main_S[[#This Row],[Free CF]],""),"")</f>
        <v>-7.9487179487179489</v>
      </c>
      <c r="I114" s="1">
        <f>IF(ISNUMBER(Main_S[[#This Row],[BVPS]]),IF(Main_S[[#This Row],[BVPS]]&lt;&gt;0,Main_S[[#This Row],[Current Price]]/Main_S[[#This Row],[BVPS]],""),"")</f>
        <v>2.7678571428571428</v>
      </c>
      <c r="J114">
        <v>-12.52</v>
      </c>
      <c r="K114">
        <v>1.04</v>
      </c>
      <c r="L114">
        <v>4.37</v>
      </c>
      <c r="M114" s="1">
        <f>IF(ISNUMBER(Main_S[[#This Row],[EPS]]),IF(Main_S[[#This Row],[EPS]]&lt;&gt;0,Main_S[[#This Row],[Current Price]]/Main_S[[#This Row],[EPS]],""),"")</f>
        <v>-22.142857142857142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8.9805256587204577E-2</v>
      </c>
      <c r="P114" s="1">
        <f>(Main_S[[#This Row],[P/B]]-VLOOKUP(Main_S[[#This Row],[Industry]], Mean_PB_S, 2, FALSE))/(VLOOKUP(Main_S[[#This Row],[Industry]], Mean_PB_S, 3, FALSE))</f>
        <v>1.5737586305620856E-2</v>
      </c>
      <c r="Q114" s="1">
        <f>(Main_S[[#This Row],[ROE]]-VLOOKUP(Main_S[[#This Row],[Industry]], Mean_ROE_S, 2, FALSE))/(VLOOKUP(Main_S[[#This Row],[Industry]], Mean_ROE_S, 3, FALSE))</f>
        <v>-0.36275922683182638</v>
      </c>
      <c r="R114" s="1">
        <f>(Main_S[[#This Row],[ROA]]-VLOOKUP(Main_S[[#This Row],[Industry]], Mean_ROA_S, 2, FALSE))/(VLOOKUP(Main_S[[#This Row],[Industry]], Mean_ROA_S, 3, FALSE))</f>
        <v>0.24293237358005243</v>
      </c>
      <c r="S114" s="1">
        <f>(Main_S[[#This Row],[A/E]]-VLOOKUP(Main_S[[#This Row],[Industry]], Mean_AE_S, 2, FALSE))/(VLOOKUP(Main_S[[#This Row],[Industry]], Mean_AE_S, 3, FALSE))</f>
        <v>4.8663406766514701</v>
      </c>
      <c r="T114" s="1">
        <f>(Main_S[[#This Row],[P/E]]-VLOOKUP(Main_S[[#This Row],[Industry]], Mean_PE_S, 2, FALSE))/(VLOOKUP(Main_S[[#This Row],[Industry]], Mean_PE_S, 3, FALSE))</f>
        <v>-0.53153971788093213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8" t="s">
        <v>133</v>
      </c>
      <c r="B115" s="68" t="s">
        <v>267</v>
      </c>
      <c r="C115" s="2">
        <v>732</v>
      </c>
      <c r="D115">
        <f>RTD("tos.rtd", , "LAST", Main_S[[#This Row],[Symbol]])</f>
        <v>4.47</v>
      </c>
      <c r="E115">
        <v>-0.43</v>
      </c>
      <c r="F115">
        <v>-0.19</v>
      </c>
      <c r="G115">
        <v>-0.51</v>
      </c>
      <c r="H115" s="1">
        <f>IF(ISNUMBER(Main_S[[#This Row],[Free CF]]),IF(Main_S[[#This Row],[Free CF]]&lt;&gt;0,Main_S[[#This Row],[Current Price]]/Main_S[[#This Row],[Free CF]],""),"")</f>
        <v>-10.395348837209301</v>
      </c>
      <c r="I115" s="1">
        <f>IF(ISNUMBER(Main_S[[#This Row],[BVPS]]),IF(Main_S[[#This Row],[BVPS]]&lt;&gt;0,Main_S[[#This Row],[Current Price]]/Main_S[[#This Row],[BVPS]],""),"")</f>
        <v>-23.526315789473681</v>
      </c>
      <c r="J115">
        <v>1549.8</v>
      </c>
      <c r="K115">
        <v>-101.9</v>
      </c>
      <c r="L115">
        <v>-1.27</v>
      </c>
      <c r="M115" s="1">
        <f>IF(ISNUMBER(Main_S[[#This Row],[EPS]]),IF(Main_S[[#This Row],[EPS]]&lt;&gt;0,Main_S[[#This Row],[Current Price]]/Main_S[[#This Row],[EPS]],""),"")</f>
        <v>-8.7647058823529402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4.9241938406765183E-3</v>
      </c>
      <c r="P115" s="1">
        <f>(Main_S[[#This Row],[P/B]]-VLOOKUP(Main_S[[#This Row],[Industry]], Mean_PB_S, 2, FALSE))/(VLOOKUP(Main_S[[#This Row],[Industry]], Mean_PB_S, 3, FALSE))</f>
        <v>-11.455629255210704</v>
      </c>
      <c r="Q115" s="1">
        <f>(Main_S[[#This Row],[ROE]]-VLOOKUP(Main_S[[#This Row],[Industry]], Mean_ROE_S, 2, FALSE))/(VLOOKUP(Main_S[[#This Row],[Industry]], Mean_ROE_S, 3, FALSE))</f>
        <v>77.896017444653282</v>
      </c>
      <c r="R115" s="1">
        <f>(Main_S[[#This Row],[ROA]]-VLOOKUP(Main_S[[#This Row],[Industry]], Mean_ROA_S, 2, FALSE))/(VLOOKUP(Main_S[[#This Row],[Industry]], Mean_ROA_S, 3, FALSE))</f>
        <v>-11.813635576927194</v>
      </c>
      <c r="S115" s="1">
        <f>(Main_S[[#This Row],[A/E]]-VLOOKUP(Main_S[[#This Row],[Industry]], Mean_AE_S, 2, FALSE))/(VLOOKUP(Main_S[[#This Row],[Industry]], Mean_AE_S, 3, FALSE))</f>
        <v>-4.8568588331578608</v>
      </c>
      <c r="T115" s="1">
        <f>(Main_S[[#This Row],[P/E]]-VLOOKUP(Main_S[[#This Row],[Industry]], Mean_PE_S, 2, FALSE))/(VLOOKUP(Main_S[[#This Row],[Industry]], Mean_PE_S, 3, FALSE))</f>
        <v>-3.3302974895574877E-2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s="68" t="s">
        <v>133</v>
      </c>
      <c r="B116" s="68" t="s">
        <v>352</v>
      </c>
      <c r="C116" s="2">
        <v>1162</v>
      </c>
      <c r="D116">
        <f>RTD("tos.rtd", , "LAST", Main_S[[#This Row],[Symbol]])</f>
        <v>3.33</v>
      </c>
      <c r="E116">
        <v>-0.44</v>
      </c>
      <c r="F116">
        <v>0.35</v>
      </c>
      <c r="G116">
        <v>-0.22</v>
      </c>
      <c r="H116" s="1">
        <f>IF(ISNUMBER(Main_S[[#This Row],[Free CF]]),IF(Main_S[[#This Row],[Free CF]]&lt;&gt;0,Main_S[[#This Row],[Current Price]]/Main_S[[#This Row],[Free CF]],""),"")</f>
        <v>-7.5681818181818183</v>
      </c>
      <c r="I116" s="1">
        <f>IF(ISNUMBER(Main_S[[#This Row],[BVPS]]),IF(Main_S[[#This Row],[BVPS]]&lt;&gt;0,Main_S[[#This Row],[Current Price]]/Main_S[[#This Row],[BVPS]],""),"")</f>
        <v>9.5142857142857142</v>
      </c>
      <c r="J116">
        <v>-54.27</v>
      </c>
      <c r="K116">
        <v>-20.76</v>
      </c>
      <c r="L116">
        <v>1.92</v>
      </c>
      <c r="M116" s="1">
        <f>IF(ISNUMBER(Main_S[[#This Row],[EPS]]),IF(Main_S[[#This Row],[EPS]]&lt;&gt;0,Main_S[[#This Row],[Current Price]]/Main_S[[#This Row],[EPS]],""),"")</f>
        <v>-15.136363636363637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0.10300721170241829</v>
      </c>
      <c r="P116" s="1">
        <f>(Main_S[[#This Row],[P/B]]-VLOOKUP(Main_S[[#This Row],[Industry]], Mean_PB_S, 2, FALSE))/(VLOOKUP(Main_S[[#This Row],[Industry]], Mean_PB_S, 3, FALSE))</f>
        <v>2.9590040359525629</v>
      </c>
      <c r="Q116" s="1">
        <f>(Main_S[[#This Row],[ROE]]-VLOOKUP(Main_S[[#This Row],[Industry]], Mean_ROE_S, 2, FALSE))/(VLOOKUP(Main_S[[#This Row],[Industry]], Mean_ROE_S, 3, FALSE))</f>
        <v>-2.4540746590316975</v>
      </c>
      <c r="R116" s="1">
        <f>(Main_S[[#This Row],[ROA]]-VLOOKUP(Main_S[[#This Row],[Industry]], Mean_ROA_S, 2, FALSE))/(VLOOKUP(Main_S[[#This Row],[Industry]], Mean_ROA_S, 3, FALSE))</f>
        <v>-2.3103334251479244</v>
      </c>
      <c r="S116" s="1">
        <f>(Main_S[[#This Row],[A/E]]-VLOOKUP(Main_S[[#This Row],[Industry]], Mean_AE_S, 2, FALSE))/(VLOOKUP(Main_S[[#This Row],[Industry]], Mean_AE_S, 3, FALSE))</f>
        <v>0.64261039313500523</v>
      </c>
      <c r="T116" s="1">
        <f>(Main_S[[#This Row],[P/E]]-VLOOKUP(Main_S[[#This Row],[Industry]], Mean_PE_S, 2, FALSE))/(VLOOKUP(Main_S[[#This Row],[Industry]], Mean_PE_S, 3, FALSE))</f>
        <v>-0.27059988871863178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8" t="s">
        <v>133</v>
      </c>
      <c r="B117" s="68" t="s">
        <v>290</v>
      </c>
      <c r="C117" s="2">
        <v>995</v>
      </c>
      <c r="D117">
        <f>RTD("tos.rtd", , "LAST", Main_S[[#This Row],[Symbol]])</f>
        <v>17.13</v>
      </c>
      <c r="E117">
        <v>-0.55000000000000004</v>
      </c>
      <c r="F117">
        <v>1.44</v>
      </c>
      <c r="G117">
        <v>-0.28999999999999998</v>
      </c>
      <c r="H117" s="1">
        <f>IF(ISNUMBER(Main_S[[#This Row],[Free CF]]),IF(Main_S[[#This Row],[Free CF]]&lt;&gt;0,Main_S[[#This Row],[Current Price]]/Main_S[[#This Row],[Free CF]],""),"")</f>
        <v>-31.145454545454541</v>
      </c>
      <c r="I117" s="1">
        <f>IF(ISNUMBER(Main_S[[#This Row],[BVPS]]),IF(Main_S[[#This Row],[BVPS]]&lt;&gt;0,Main_S[[#This Row],[Current Price]]/Main_S[[#This Row],[BVPS]],""),"")</f>
        <v>11.895833333333334</v>
      </c>
      <c r="J117">
        <v>-22.84</v>
      </c>
      <c r="K117">
        <v>-38.47</v>
      </c>
      <c r="L117">
        <v>1.0900000000000001</v>
      </c>
      <c r="M117" s="1">
        <f>IF(ISNUMBER(Main_S[[#This Row],[EPS]]),IF(Main_S[[#This Row],[EPS]]&lt;&gt;0,Main_S[[#This Row],[Current Price]]/Main_S[[#This Row],[EPS]],""),"")</f>
        <v>-59.068965517241381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-0.71496004897811083</v>
      </c>
      <c r="P117" s="1">
        <f>(Main_S[[#This Row],[P/B]]-VLOOKUP(Main_S[[#This Row],[Industry]], Mean_PB_S, 2, FALSE))/(VLOOKUP(Main_S[[#This Row],[Industry]], Mean_PB_S, 3, FALSE))</f>
        <v>3.9980025417790506</v>
      </c>
      <c r="Q117" s="1">
        <f>(Main_S[[#This Row],[ROE]]-VLOOKUP(Main_S[[#This Row],[Industry]], Mean_ROE_S, 2, FALSE))/(VLOOKUP(Main_S[[#This Row],[Industry]], Mean_ROE_S, 3, FALSE))</f>
        <v>-0.879702346839076</v>
      </c>
      <c r="R117" s="1">
        <f>(Main_S[[#This Row],[ROA]]-VLOOKUP(Main_S[[#This Row],[Industry]], Mean_ROA_S, 2, FALSE))/(VLOOKUP(Main_S[[#This Row],[Industry]], Mean_ROA_S, 3, FALSE))</f>
        <v>-4.3845690809035425</v>
      </c>
      <c r="S117" s="1">
        <f>(Main_S[[#This Row],[A/E]]-VLOOKUP(Main_S[[#This Row],[Industry]], Mean_AE_S, 2, FALSE))/(VLOOKUP(Main_S[[#This Row],[Industry]], Mean_AE_S, 3, FALSE))</f>
        <v>-0.78828598862771526</v>
      </c>
      <c r="T117" s="1">
        <f>(Main_S[[#This Row],[P/E]]-VLOOKUP(Main_S[[#This Row],[Industry]], Mean_PE_S, 2, FALSE))/(VLOOKUP(Main_S[[#This Row],[Industry]], Mean_PE_S, 3, FALSE))</f>
        <v>-1.906762916462418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s="68" t="s">
        <v>133</v>
      </c>
      <c r="B118" s="68" t="s">
        <v>286</v>
      </c>
      <c r="C118" s="2">
        <v>434</v>
      </c>
      <c r="D118">
        <f>RTD("tos.rtd", , "LAST", Main_S[[#This Row],[Symbol]])</f>
        <v>9.52</v>
      </c>
      <c r="E118">
        <v>-0.56999999999999995</v>
      </c>
      <c r="F118">
        <v>8.9</v>
      </c>
      <c r="G118">
        <v>-0.56999999999999995</v>
      </c>
      <c r="H118" s="1">
        <f>IF(ISNUMBER(Main_S[[#This Row],[Free CF]]),IF(Main_S[[#This Row],[Free CF]]&lt;&gt;0,Main_S[[#This Row],[Current Price]]/Main_S[[#This Row],[Free CF]],""),"")</f>
        <v>-16.701754385964914</v>
      </c>
      <c r="I118" s="1">
        <f>IF(ISNUMBER(Main_S[[#This Row],[BVPS]]),IF(Main_S[[#This Row],[BVPS]]&lt;&gt;0,Main_S[[#This Row],[Current Price]]/Main_S[[#This Row],[BVPS]],""),"")</f>
        <v>1.0696629213483144</v>
      </c>
      <c r="J118">
        <v>-6.15</v>
      </c>
      <c r="K118">
        <v>-0.63</v>
      </c>
      <c r="L118">
        <v>1.52</v>
      </c>
      <c r="M118" s="1">
        <f>IF(ISNUMBER(Main_S[[#This Row],[EPS]]),IF(Main_S[[#This Row],[EPS]]&lt;&gt;0,Main_S[[#This Row],[Current Price]]/Main_S[[#This Row],[EPS]],""),"")</f>
        <v>-16.701754385964914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-0.2138641847443141</v>
      </c>
      <c r="P118" s="1">
        <f>(Main_S[[#This Row],[P/B]]-VLOOKUP(Main_S[[#This Row],[Industry]], Mean_PB_S, 2, FALSE))/(VLOOKUP(Main_S[[#This Row],[Industry]], Mean_PB_S, 3, FALSE))</f>
        <v>-0.72513412444204861</v>
      </c>
      <c r="Q118" s="1">
        <f>(Main_S[[#This Row],[ROE]]-VLOOKUP(Main_S[[#This Row],[Industry]], Mean_ROE_S, 2, FALSE))/(VLOOKUP(Main_S[[#This Row],[Industry]], Mean_ROE_S, 3, FALSE))</f>
        <v>-4.3677087835103524E-2</v>
      </c>
      <c r="R118" s="1">
        <f>(Main_S[[#This Row],[ROA]]-VLOOKUP(Main_S[[#This Row],[Industry]], Mean_ROA_S, 2, FALSE))/(VLOOKUP(Main_S[[#This Row],[Industry]], Mean_ROA_S, 3, FALSE))</f>
        <v>4.7338158723367982E-2</v>
      </c>
      <c r="S118" s="1">
        <f>(Main_S[[#This Row],[A/E]]-VLOOKUP(Main_S[[#This Row],[Industry]], Mean_AE_S, 2, FALSE))/(VLOOKUP(Main_S[[#This Row],[Industry]], Mean_AE_S, 3, FALSE))</f>
        <v>-4.6978224581968459E-2</v>
      </c>
      <c r="T118" s="1">
        <f>(Main_S[[#This Row],[P/E]]-VLOOKUP(Main_S[[#This Row],[Industry]], Mean_PE_S, 2, FALSE))/(VLOOKUP(Main_S[[#This Row],[Industry]], Mean_PE_S, 3, FALSE))</f>
        <v>-0.32889906424696658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s="68" t="s">
        <v>133</v>
      </c>
      <c r="B119" s="68" t="s">
        <v>353</v>
      </c>
      <c r="C119" s="2">
        <v>1125</v>
      </c>
      <c r="D119">
        <f>RTD("tos.rtd", , "LAST", Main_S[[#This Row],[Symbol]])</f>
        <v>10.68</v>
      </c>
      <c r="E119">
        <v>-0.57999999999999996</v>
      </c>
      <c r="F119">
        <v>1.99</v>
      </c>
      <c r="G119">
        <v>-0.09</v>
      </c>
      <c r="H119" s="1">
        <f>IF(ISNUMBER(Main_S[[#This Row],[Free CF]]),IF(Main_S[[#This Row],[Free CF]]&lt;&gt;0,Main_S[[#This Row],[Current Price]]/Main_S[[#This Row],[Free CF]],""),"")</f>
        <v>-18.413793103448278</v>
      </c>
      <c r="I119" s="1">
        <f>IF(ISNUMBER(Main_S[[#This Row],[BVPS]]),IF(Main_S[[#This Row],[BVPS]]&lt;&gt;0,Main_S[[#This Row],[Current Price]]/Main_S[[#This Row],[BVPS]],""),"")</f>
        <v>5.3668341708542711</v>
      </c>
      <c r="J119">
        <v>-6.2</v>
      </c>
      <c r="K119">
        <v>-0.28999999999999998</v>
      </c>
      <c r="L119">
        <v>1.61</v>
      </c>
      <c r="M119" s="1">
        <f>IF(ISNUMBER(Main_S[[#This Row],[EPS]]),IF(Main_S[[#This Row],[EPS]]&lt;&gt;0,Main_S[[#This Row],[Current Price]]/Main_S[[#This Row],[EPS]],""),"")</f>
        <v>-118.66666666666667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-0.27326001207844791</v>
      </c>
      <c r="P119" s="1">
        <f>(Main_S[[#This Row],[P/B]]-VLOOKUP(Main_S[[#This Row],[Industry]], Mean_PB_S, 2, FALSE))/(VLOOKUP(Main_S[[#This Row],[Industry]], Mean_PB_S, 3, FALSE))</f>
        <v>1.1495940866624124</v>
      </c>
      <c r="Q119" s="1">
        <f>(Main_S[[#This Row],[ROE]]-VLOOKUP(Main_S[[#This Row],[Industry]], Mean_ROE_S, 2, FALSE))/(VLOOKUP(Main_S[[#This Row],[Industry]], Mean_ROE_S, 3, FALSE))</f>
        <v>-4.6181657214983601E-2</v>
      </c>
      <c r="R119" s="1">
        <f>(Main_S[[#This Row],[ROA]]-VLOOKUP(Main_S[[#This Row],[Industry]], Mean_ROA_S, 2, FALSE))/(VLOOKUP(Main_S[[#This Row],[Industry]], Mean_ROA_S, 3, FALSE))</f>
        <v>8.7159735400776789E-2</v>
      </c>
      <c r="S119" s="1">
        <f>(Main_S[[#This Row],[A/E]]-VLOOKUP(Main_S[[#This Row],[Industry]], Mean_AE_S, 2, FALSE))/(VLOOKUP(Main_S[[#This Row],[Industry]], Mean_AE_S, 3, FALSE))</f>
        <v>0.1081792144043508</v>
      </c>
      <c r="T119" s="1">
        <f>(Main_S[[#This Row],[P/E]]-VLOOKUP(Main_S[[#This Row],[Industry]], Mean_PE_S, 2, FALSE))/(VLOOKUP(Main_S[[#This Row],[Industry]], Mean_PE_S, 3, FALSE))</f>
        <v>-4.1263345098684585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0" spans="1:26" x14ac:dyDescent="0.25">
      <c r="A120" s="68" t="s">
        <v>133</v>
      </c>
      <c r="B120" s="68" t="s">
        <v>253</v>
      </c>
      <c r="C120" s="2">
        <v>1735</v>
      </c>
      <c r="D120">
        <f>RTD("tos.rtd", , "LAST", Main_S[[#This Row],[Symbol]])</f>
        <v>12.85</v>
      </c>
      <c r="E120">
        <v>-0.59</v>
      </c>
      <c r="F120">
        <v>5.21</v>
      </c>
      <c r="G120">
        <v>0.5</v>
      </c>
      <c r="H120" s="1">
        <f>IF(ISNUMBER(Main_S[[#This Row],[Free CF]]),IF(Main_S[[#This Row],[Free CF]]&lt;&gt;0,Main_S[[#This Row],[Current Price]]/Main_S[[#This Row],[Free CF]],""),"")</f>
        <v>-21.779661016949152</v>
      </c>
      <c r="I120" s="1">
        <f>IF(ISNUMBER(Main_S[[#This Row],[BVPS]]),IF(Main_S[[#This Row],[BVPS]]&lt;&gt;0,Main_S[[#This Row],[Current Price]]/Main_S[[#This Row],[BVPS]],""),"")</f>
        <v>2.4664107485604605</v>
      </c>
      <c r="J120">
        <v>8.6999999999999993</v>
      </c>
      <c r="K120">
        <v>3.66</v>
      </c>
      <c r="L120">
        <v>6.94</v>
      </c>
      <c r="M120" s="1">
        <f>IF(ISNUMBER(Main_S[[#This Row],[EPS]]),IF(Main_S[[#This Row],[EPS]]&lt;&gt;0,Main_S[[#This Row],[Current Price]]/Main_S[[#This Row],[EPS]],""),"")</f>
        <v>25.7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-0.39003220150280415</v>
      </c>
      <c r="P120" s="1">
        <f>(Main_S[[#This Row],[P/B]]-VLOOKUP(Main_S[[#This Row],[Industry]], Mean_PB_S, 2, FALSE))/(VLOOKUP(Main_S[[#This Row],[Industry]], Mean_PB_S, 3, FALSE))</f>
        <v>-0.11577452403642843</v>
      </c>
      <c r="Q120" s="1">
        <f>(Main_S[[#This Row],[ROE]]-VLOOKUP(Main_S[[#This Row],[Industry]], Mean_ROE_S, 2, FALSE))/(VLOOKUP(Main_S[[#This Row],[Industry]], Mean_ROE_S, 3, FALSE))</f>
        <v>0.70018001798928176</v>
      </c>
      <c r="R120" s="1">
        <f>(Main_S[[#This Row],[ROA]]-VLOOKUP(Main_S[[#This Row],[Industry]], Mean_ROA_S, 2, FALSE))/(VLOOKUP(Main_S[[#This Row],[Industry]], Mean_ROA_S, 3, FALSE))</f>
        <v>0.54979275856479093</v>
      </c>
      <c r="S120" s="1">
        <f>(Main_S[[#This Row],[A/E]]-VLOOKUP(Main_S[[#This Row],[Industry]], Mean_AE_S, 2, FALSE))/(VLOOKUP(Main_S[[#This Row],[Industry]], Mean_AE_S, 3, FALSE))</f>
        <v>9.296947545483027</v>
      </c>
      <c r="T120" s="1">
        <f>(Main_S[[#This Row],[P/E]]-VLOOKUP(Main_S[[#This Row],[Industry]], Mean_PE_S, 2, FALSE))/(VLOOKUP(Main_S[[#This Row],[Industry]], Mean_PE_S, 3, FALSE))</f>
        <v>1.2502512675704083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s="68" t="s">
        <v>133</v>
      </c>
      <c r="B121" s="68" t="s">
        <v>354</v>
      </c>
      <c r="C121" s="2">
        <v>1135</v>
      </c>
      <c r="D121">
        <f>RTD("tos.rtd", , "LAST", Main_S[[#This Row],[Symbol]])</f>
        <v>2.4700000000000002</v>
      </c>
      <c r="E121">
        <v>-0.66</v>
      </c>
      <c r="F121">
        <v>1.32</v>
      </c>
      <c r="G121">
        <v>-0.03</v>
      </c>
      <c r="H121" s="1">
        <f>IF(ISNUMBER(Main_S[[#This Row],[Free CF]]),IF(Main_S[[#This Row],[Free CF]]&lt;&gt;0,Main_S[[#This Row],[Current Price]]/Main_S[[#This Row],[Free CF]],""),"")</f>
        <v>-3.7424242424242427</v>
      </c>
      <c r="I121" s="1">
        <f>IF(ISNUMBER(Main_S[[#This Row],[BVPS]]),IF(Main_S[[#This Row],[BVPS]]&lt;&gt;0,Main_S[[#This Row],[Current Price]]/Main_S[[#This Row],[BVPS]],""),"")</f>
        <v>1.8712121212121213</v>
      </c>
      <c r="J121">
        <v>-2.81</v>
      </c>
      <c r="K121">
        <v>-1.1599999999999999</v>
      </c>
      <c r="L121">
        <v>1.5</v>
      </c>
      <c r="M121" s="1">
        <f>IF(ISNUMBER(Main_S[[#This Row],[EPS]]),IF(Main_S[[#This Row],[EPS]]&lt;&gt;0,Main_S[[#This Row],[Current Price]]/Main_S[[#This Row],[EPS]],""),"")</f>
        <v>-82.333333333333343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0.2357343714748196</v>
      </c>
      <c r="P121" s="1">
        <f>(Main_S[[#This Row],[P/B]]-VLOOKUP(Main_S[[#This Row],[Industry]], Mean_PB_S, 2, FALSE))/(VLOOKUP(Main_S[[#This Row],[Industry]], Mean_PB_S, 3, FALSE))</f>
        <v>-0.37544201064843385</v>
      </c>
      <c r="Q121" s="1">
        <f>(Main_S[[#This Row],[ROE]]-VLOOKUP(Main_S[[#This Row],[Industry]], Mean_ROE_S, 2, FALSE))/(VLOOKUP(Main_S[[#This Row],[Industry]], Mean_ROE_S, 3, FALSE))</f>
        <v>0.12362814674088619</v>
      </c>
      <c r="R121" s="1">
        <f>(Main_S[[#This Row],[ROA]]-VLOOKUP(Main_S[[#This Row],[Industry]], Mean_ROA_S, 2, FALSE))/(VLOOKUP(Main_S[[#This Row],[Industry]], Mean_ROA_S, 3, FALSE))</f>
        <v>-1.4736651979651629E-2</v>
      </c>
      <c r="S121" s="1">
        <f>(Main_S[[#This Row],[A/E]]-VLOOKUP(Main_S[[#This Row],[Industry]], Mean_AE_S, 2, FALSE))/(VLOOKUP(Main_S[[#This Row],[Industry]], Mean_AE_S, 3, FALSE))</f>
        <v>-8.1457655467817178E-2</v>
      </c>
      <c r="T121" s="1">
        <f>(Main_S[[#This Row],[P/E]]-VLOOKUP(Main_S[[#This Row],[Industry]], Mean_PE_S, 2, FALSE))/(VLOOKUP(Main_S[[#This Row],[Industry]], Mean_PE_S, 3, FALSE))</f>
        <v>-2.7731877776106968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8" t="s">
        <v>133</v>
      </c>
      <c r="B122" s="68" t="s">
        <v>295</v>
      </c>
      <c r="C122" s="2">
        <v>1045</v>
      </c>
      <c r="D122">
        <f>RTD("tos.rtd", , "LAST", Main_S[[#This Row],[Symbol]])</f>
        <v>4.99</v>
      </c>
      <c r="E122">
        <v>-0.69</v>
      </c>
      <c r="F122">
        <v>1.72</v>
      </c>
      <c r="G122">
        <v>-0.25</v>
      </c>
      <c r="H122" s="1">
        <f>IF(ISNUMBER(Main_S[[#This Row],[Free CF]]),IF(Main_S[[#This Row],[Free CF]]&lt;&gt;0,Main_S[[#This Row],[Current Price]]/Main_S[[#This Row],[Free CF]],""),"")</f>
        <v>-7.2318840579710155</v>
      </c>
      <c r="I122" s="1">
        <f>IF(ISNUMBER(Main_S[[#This Row],[BVPS]]),IF(Main_S[[#This Row],[BVPS]]&lt;&gt;0,Main_S[[#This Row],[Current Price]]/Main_S[[#This Row],[BVPS]],""),"")</f>
        <v>2.9011627906976747</v>
      </c>
      <c r="J122">
        <v>-14.41</v>
      </c>
      <c r="K122">
        <v>0.84</v>
      </c>
      <c r="L122">
        <v>1.61</v>
      </c>
      <c r="M122" s="1">
        <f>IF(ISNUMBER(Main_S[[#This Row],[EPS]]),IF(Main_S[[#This Row],[EPS]]&lt;&gt;0,Main_S[[#This Row],[Current Price]]/Main_S[[#This Row],[EPS]],""),"")</f>
        <v>-19.96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0.11467440327604045</v>
      </c>
      <c r="P122" s="1">
        <f>(Main_S[[#This Row],[P/B]]-VLOOKUP(Main_S[[#This Row],[Industry]], Mean_PB_S, 2, FALSE))/(VLOOKUP(Main_S[[#This Row],[Industry]], Mean_PB_S, 3, FALSE))</f>
        <v>7.3894881930023498E-2</v>
      </c>
      <c r="Q122" s="1">
        <f>(Main_S[[#This Row],[ROE]]-VLOOKUP(Main_S[[#This Row],[Industry]], Mean_ROE_S, 2, FALSE))/(VLOOKUP(Main_S[[#This Row],[Industry]], Mean_ROE_S, 3, FALSE))</f>
        <v>-0.45743194939129367</v>
      </c>
      <c r="R122" s="1">
        <f>(Main_S[[#This Row],[ROA]]-VLOOKUP(Main_S[[#This Row],[Industry]], Mean_ROA_S, 2, FALSE))/(VLOOKUP(Main_S[[#This Row],[Industry]], Mean_ROA_S, 3, FALSE))</f>
        <v>0.2195079167109884</v>
      </c>
      <c r="S122" s="1">
        <f>(Main_S[[#This Row],[A/E]]-VLOOKUP(Main_S[[#This Row],[Industry]], Mean_AE_S, 2, FALSE))/(VLOOKUP(Main_S[[#This Row],[Industry]], Mean_AE_S, 3, FALSE))</f>
        <v>0.1081792144043508</v>
      </c>
      <c r="T122" s="1">
        <f>(Main_S[[#This Row],[P/E]]-VLOOKUP(Main_S[[#This Row],[Industry]], Mean_PE_S, 2, FALSE))/(VLOOKUP(Main_S[[#This Row],[Industry]], Mean_PE_S, 3, FALSE))</f>
        <v>-0.45024450660085902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8" t="s">
        <v>133</v>
      </c>
      <c r="B123" s="68" t="s">
        <v>288</v>
      </c>
      <c r="C123" s="2">
        <v>253</v>
      </c>
      <c r="D123">
        <f>RTD("tos.rtd", , "LAST", Main_S[[#This Row],[Symbol]])</f>
        <v>2.2200000000000002</v>
      </c>
      <c r="E123">
        <v>-0.7</v>
      </c>
      <c r="F123">
        <v>2.71</v>
      </c>
      <c r="G123">
        <v>-0.75</v>
      </c>
      <c r="H123" s="1">
        <f>IF(ISNUMBER(Main_S[[#This Row],[Free CF]]),IF(Main_S[[#This Row],[Free CF]]&lt;&gt;0,Main_S[[#This Row],[Current Price]]/Main_S[[#This Row],[Free CF]],""),"")</f>
        <v>-3.1714285714285717</v>
      </c>
      <c r="I123" s="1">
        <f>IF(ISNUMBER(Main_S[[#This Row],[BVPS]]),IF(Main_S[[#This Row],[BVPS]]&lt;&gt;0,Main_S[[#This Row],[Current Price]]/Main_S[[#This Row],[BVPS]],""),"")</f>
        <v>0.81918819188191894</v>
      </c>
      <c r="J123">
        <v>-20.92</v>
      </c>
      <c r="K123">
        <v>-5.43</v>
      </c>
      <c r="L123">
        <v>1.53</v>
      </c>
      <c r="M123" s="1">
        <f>IF(ISNUMBER(Main_S[[#This Row],[EPS]]),IF(Main_S[[#This Row],[EPS]]&lt;&gt;0,Main_S[[#This Row],[Current Price]]/Main_S[[#This Row],[EPS]],""),"")</f>
        <v>-2.9600000000000004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0.25554394700407529</v>
      </c>
      <c r="P123" s="1">
        <f>(Main_S[[#This Row],[P/B]]-VLOOKUP(Main_S[[#This Row],[Industry]], Mean_PB_S, 2, FALSE))/(VLOOKUP(Main_S[[#This Row],[Industry]], Mean_PB_S, 3, FALSE))</f>
        <v>-0.83440881102881104</v>
      </c>
      <c r="Q123" s="1">
        <f>(Main_S[[#This Row],[ROE]]-VLOOKUP(Main_S[[#This Row],[Industry]], Mean_ROE_S, 2, FALSE))/(VLOOKUP(Main_S[[#This Row],[Industry]], Mean_ROE_S, 3, FALSE))</f>
        <v>-0.7835268826516808</v>
      </c>
      <c r="R123" s="1">
        <f>(Main_S[[#This Row],[ROA]]-VLOOKUP(Main_S[[#This Row],[Industry]], Mean_ROA_S, 2, FALSE))/(VLOOKUP(Main_S[[#This Row],[Industry]], Mean_ROA_S, 3, FALSE))</f>
        <v>-0.51484880613416817</v>
      </c>
      <c r="S123" s="1">
        <f>(Main_S[[#This Row],[A/E]]-VLOOKUP(Main_S[[#This Row],[Industry]], Mean_AE_S, 2, FALSE))/(VLOOKUP(Main_S[[#This Row],[Industry]], Mean_AE_S, 3, FALSE))</f>
        <v>-2.9738509139044095E-2</v>
      </c>
      <c r="T123" s="1">
        <f>(Main_S[[#This Row],[P/E]]-VLOOKUP(Main_S[[#This Row],[Industry]], Mean_PE_S, 2, FALSE))/(VLOOKUP(Main_S[[#This Row],[Industry]], Mean_PE_S, 3, FALSE))</f>
        <v>0.18287919381332288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s="68" t="s">
        <v>133</v>
      </c>
      <c r="B124" s="68" t="s">
        <v>291</v>
      </c>
      <c r="C124" s="2">
        <v>1234</v>
      </c>
      <c r="D124">
        <f>RTD("tos.rtd", , "LAST", Main_S[[#This Row],[Symbol]])</f>
        <v>14.62</v>
      </c>
      <c r="E124">
        <v>-0.75</v>
      </c>
      <c r="F124">
        <v>6.88</v>
      </c>
      <c r="G124">
        <v>-0.1</v>
      </c>
      <c r="H124" s="1">
        <f>IF(ISNUMBER(Main_S[[#This Row],[Free CF]]),IF(Main_S[[#This Row],[Free CF]]&lt;&gt;0,Main_S[[#This Row],[Current Price]]/Main_S[[#This Row],[Free CF]],""),"")</f>
        <v>-19.493333333333332</v>
      </c>
      <c r="I124" s="1">
        <f>IF(ISNUMBER(Main_S[[#This Row],[BVPS]]),IF(Main_S[[#This Row],[BVPS]]&lt;&gt;0,Main_S[[#This Row],[Current Price]]/Main_S[[#This Row],[BVPS]],""),"")</f>
        <v>2.125</v>
      </c>
      <c r="J124">
        <v>-1.46</v>
      </c>
      <c r="K124">
        <v>-0.91</v>
      </c>
      <c r="L124">
        <v>1.6</v>
      </c>
      <c r="M124" s="1">
        <f>IF(ISNUMBER(Main_S[[#This Row],[EPS]]),IF(Main_S[[#This Row],[EPS]]&lt;&gt;0,Main_S[[#This Row],[Current Price]]/Main_S[[#This Row],[EPS]],""),"")</f>
        <v>-146.19999999999999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-0.31071254422021993</v>
      </c>
      <c r="P124" s="1">
        <f>(Main_S[[#This Row],[P/B]]-VLOOKUP(Main_S[[#This Row],[Industry]], Mean_PB_S, 2, FALSE))/(VLOOKUP(Main_S[[#This Row],[Industry]], Mean_PB_S, 3, FALSE))</f>
        <v>-0.26472189539710517</v>
      </c>
      <c r="Q124" s="1">
        <f>(Main_S[[#This Row],[ROE]]-VLOOKUP(Main_S[[#This Row],[Industry]], Mean_ROE_S, 2, FALSE))/(VLOOKUP(Main_S[[#This Row],[Industry]], Mean_ROE_S, 3, FALSE))</f>
        <v>0.1912515199976485</v>
      </c>
      <c r="R124" s="1">
        <f>(Main_S[[#This Row],[ROA]]-VLOOKUP(Main_S[[#This Row],[Industry]], Mean_ROA_S, 2, FALSE))/(VLOOKUP(Main_S[[#This Row],[Industry]], Mean_ROA_S, 3, FALSE))</f>
        <v>1.4543919106678366E-2</v>
      </c>
      <c r="S124" s="1">
        <f>(Main_S[[#This Row],[A/E]]-VLOOKUP(Main_S[[#This Row],[Industry]], Mean_AE_S, 2, FALSE))/(VLOOKUP(Main_S[[#This Row],[Industry]], Mean_AE_S, 3, FALSE))</f>
        <v>9.0939498961426446E-2</v>
      </c>
      <c r="T124" s="1">
        <f>(Main_S[[#This Row],[P/E]]-VLOOKUP(Main_S[[#This Row],[Industry]], Mean_PE_S, 2, FALSE))/(VLOOKUP(Main_S[[#This Row],[Industry]], Mean_PE_S, 3, FALSE))</f>
        <v>-5.1517466207353477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5" spans="1:26" x14ac:dyDescent="0.25">
      <c r="A125" s="68" t="s">
        <v>133</v>
      </c>
      <c r="B125" s="68" t="s">
        <v>260</v>
      </c>
      <c r="C125" s="2">
        <v>316</v>
      </c>
      <c r="D125">
        <f>RTD("tos.rtd", , "LAST", Main_S[[#This Row],[Symbol]])</f>
        <v>4.54</v>
      </c>
      <c r="E125">
        <v>-0.85</v>
      </c>
      <c r="F125">
        <v>1.1299999999999999</v>
      </c>
      <c r="G125">
        <v>-0.59</v>
      </c>
      <c r="H125" s="1">
        <f>IF(ISNUMBER(Main_S[[#This Row],[Free CF]]),IF(Main_S[[#This Row],[Free CF]]&lt;&gt;0,Main_S[[#This Row],[Current Price]]/Main_S[[#This Row],[Free CF]],""),"")</f>
        <v>-5.3411764705882359</v>
      </c>
      <c r="I125" s="1">
        <f>IF(ISNUMBER(Main_S[[#This Row],[BVPS]]),IF(Main_S[[#This Row],[BVPS]]&lt;&gt;0,Main_S[[#This Row],[Current Price]]/Main_S[[#This Row],[BVPS]],""),"")</f>
        <v>4.0176991150442483</v>
      </c>
      <c r="J125">
        <v>-41.41</v>
      </c>
      <c r="K125">
        <v>-16.32</v>
      </c>
      <c r="L125">
        <v>1.75</v>
      </c>
      <c r="M125" s="1">
        <f>IF(ISNUMBER(Main_S[[#This Row],[EPS]]),IF(Main_S[[#This Row],[EPS]]&lt;&gt;0,Main_S[[#This Row],[Current Price]]/Main_S[[#This Row],[EPS]],""),"")</f>
        <v>-7.6949152542372889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0.18026879682141633</v>
      </c>
      <c r="P125" s="1">
        <f>(Main_S[[#This Row],[P/B]]-VLOOKUP(Main_S[[#This Row],[Industry]], Mean_PB_S, 2, FALSE))/(VLOOKUP(Main_S[[#This Row],[Industry]], Mean_PB_S, 3, FALSE))</f>
        <v>0.56100652455214528</v>
      </c>
      <c r="Q125" s="1">
        <f>(Main_S[[#This Row],[ROE]]-VLOOKUP(Main_S[[#This Row],[Industry]], Mean_ROE_S, 2, FALSE))/(VLOOKUP(Main_S[[#This Row],[Industry]], Mean_ROE_S, 3, FALSE))</f>
        <v>-1.8098994145265395</v>
      </c>
      <c r="R125" s="1">
        <f>(Main_S[[#This Row],[ROA]]-VLOOKUP(Main_S[[#This Row],[Industry]], Mean_ROA_S, 2, FALSE))/(VLOOKUP(Main_S[[#This Row],[Industry]], Mean_ROA_S, 3, FALSE))</f>
        <v>-1.7903104826547034</v>
      </c>
      <c r="S125" s="1">
        <f>(Main_S[[#This Row],[A/E]]-VLOOKUP(Main_S[[#This Row],[Industry]], Mean_AE_S, 2, FALSE))/(VLOOKUP(Main_S[[#This Row],[Industry]], Mean_AE_S, 3, FALSE))</f>
        <v>0.34953523060529151</v>
      </c>
      <c r="T125" s="1">
        <f>(Main_S[[#This Row],[P/E]]-VLOOKUP(Main_S[[#This Row],[Industry]], Mean_PE_S, 2, FALSE))/(VLOOKUP(Main_S[[#This Row],[Industry]], Mean_PE_S, 3, FALSE))</f>
        <v>6.538778112718838E-3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8" t="s">
        <v>133</v>
      </c>
      <c r="B126" s="68" t="s">
        <v>273</v>
      </c>
      <c r="C126" s="2">
        <v>1461</v>
      </c>
      <c r="D126">
        <f>RTD("tos.rtd", , "LAST", Main_S[[#This Row],[Symbol]])</f>
        <v>15.84</v>
      </c>
      <c r="E126">
        <v>-0.93</v>
      </c>
      <c r="F126">
        <v>6.89</v>
      </c>
      <c r="G126">
        <v>0.18</v>
      </c>
      <c r="H126" s="1">
        <f>IF(ISNUMBER(Main_S[[#This Row],[Free CF]]),IF(Main_S[[#This Row],[Free CF]]&lt;&gt;0,Main_S[[#This Row],[Current Price]]/Main_S[[#This Row],[Free CF]],""),"")</f>
        <v>-17.032258064516128</v>
      </c>
      <c r="I126" s="1">
        <f>IF(ISNUMBER(Main_S[[#This Row],[BVPS]]),IF(Main_S[[#This Row],[BVPS]]&lt;&gt;0,Main_S[[#This Row],[Current Price]]/Main_S[[#This Row],[BVPS]],""),"")</f>
        <v>2.2989840348330914</v>
      </c>
      <c r="J126">
        <v>2.63</v>
      </c>
      <c r="K126">
        <v>5.34</v>
      </c>
      <c r="L126">
        <v>2.36</v>
      </c>
      <c r="M126" s="1">
        <f>IF(ISNUMBER(Main_S[[#This Row],[EPS]]),IF(Main_S[[#This Row],[EPS]]&lt;&gt;0,Main_S[[#This Row],[Current Price]]/Main_S[[#This Row],[EPS]],""),"")</f>
        <v>88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-0.22533036201241943</v>
      </c>
      <c r="P126" s="1">
        <f>(Main_S[[#This Row],[P/B]]-VLOOKUP(Main_S[[#This Row],[Industry]], Mean_PB_S, 2, FALSE))/(VLOOKUP(Main_S[[#This Row],[Industry]], Mean_PB_S, 3, FALSE))</f>
        <v>-0.18881782747780185</v>
      </c>
      <c r="Q126" s="1">
        <f>(Main_S[[#This Row],[ROE]]-VLOOKUP(Main_S[[#This Row],[Industry]], Mean_ROE_S, 2, FALSE))/(VLOOKUP(Main_S[[#This Row],[Industry]], Mean_ROE_S, 3, FALSE))</f>
        <v>0.39612529527183948</v>
      </c>
      <c r="R126" s="1">
        <f>(Main_S[[#This Row],[ROA]]-VLOOKUP(Main_S[[#This Row],[Industry]], Mean_ROA_S, 2, FALSE))/(VLOOKUP(Main_S[[#This Row],[Industry]], Mean_ROA_S, 3, FALSE))</f>
        <v>0.74655819626492859</v>
      </c>
      <c r="S126" s="1">
        <f>(Main_S[[#This Row],[A/E]]-VLOOKUP(Main_S[[#This Row],[Industry]], Mean_AE_S, 2, FALSE))/(VLOOKUP(Main_S[[#This Row],[Industry]], Mean_AE_S, 3, FALSE))</f>
        <v>1.4011578726236764</v>
      </c>
      <c r="T126" s="1">
        <f>(Main_S[[#This Row],[P/E]]-VLOOKUP(Main_S[[#This Row],[Industry]], Mean_PE_S, 2, FALSE))/(VLOOKUP(Main_S[[#This Row],[Industry]], Mean_PE_S, 3, FALSE))</f>
        <v>3.5704634167353224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7" spans="1:26" x14ac:dyDescent="0.25">
      <c r="A127" s="68" t="s">
        <v>133</v>
      </c>
      <c r="B127" s="68" t="s">
        <v>258</v>
      </c>
      <c r="C127" s="2">
        <v>975</v>
      </c>
      <c r="D127">
        <f>RTD("tos.rtd", , "LAST", Main_S[[#This Row],[Symbol]])</f>
        <v>8.27</v>
      </c>
      <c r="E127">
        <v>-1.1499999999999999</v>
      </c>
      <c r="F127">
        <v>2.3199999999999998</v>
      </c>
      <c r="G127">
        <v>-0.85</v>
      </c>
      <c r="H127" s="1">
        <f>IF(ISNUMBER(Main_S[[#This Row],[Free CF]]),IF(Main_S[[#This Row],[Free CF]]&lt;&gt;0,Main_S[[#This Row],[Current Price]]/Main_S[[#This Row],[Free CF]],""),"")</f>
        <v>-7.1913043478260867</v>
      </c>
      <c r="I127" s="1">
        <f>IF(ISNUMBER(Main_S[[#This Row],[BVPS]]),IF(Main_S[[#This Row],[BVPS]]&lt;&gt;0,Main_S[[#This Row],[Current Price]]/Main_S[[#This Row],[BVPS]],""),"")</f>
        <v>3.5646551724137931</v>
      </c>
      <c r="J127">
        <v>-34.380000000000003</v>
      </c>
      <c r="K127">
        <v>-21</v>
      </c>
      <c r="L127">
        <v>1.35</v>
      </c>
      <c r="M127" s="1">
        <f>IF(ISNUMBER(Main_S[[#This Row],[EPS]]),IF(Main_S[[#This Row],[EPS]]&lt;&gt;0,Main_S[[#This Row],[Current Price]]/Main_S[[#This Row],[EPS]],""),"")</f>
        <v>-9.7294117647058815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0.11608223677444426</v>
      </c>
      <c r="P127" s="1">
        <f>(Main_S[[#This Row],[P/B]]-VLOOKUP(Main_S[[#This Row],[Industry]], Mean_PB_S, 2, FALSE))/(VLOOKUP(Main_S[[#This Row],[Industry]], Mean_PB_S, 3, FALSE))</f>
        <v>0.36335690558083883</v>
      </c>
      <c r="Q127" s="1">
        <f>(Main_S[[#This Row],[ROE]]-VLOOKUP(Main_S[[#This Row],[Industry]], Mean_ROE_S, 2, FALSE))/(VLOOKUP(Main_S[[#This Row],[Industry]], Mean_ROE_S, 3, FALSE))</f>
        <v>-1.4577569597153999</v>
      </c>
      <c r="R127" s="1">
        <f>(Main_S[[#This Row],[ROA]]-VLOOKUP(Main_S[[#This Row],[Industry]], Mean_ROA_S, 2, FALSE))/(VLOOKUP(Main_S[[#This Row],[Industry]], Mean_ROA_S, 3, FALSE))</f>
        <v>-2.3384427733908009</v>
      </c>
      <c r="S127" s="1">
        <f>(Main_S[[#This Row],[A/E]]-VLOOKUP(Main_S[[#This Row],[Industry]], Mean_AE_S, 2, FALSE))/(VLOOKUP(Main_S[[#This Row],[Industry]], Mean_AE_S, 3, FALSE))</f>
        <v>-0.3400533871116822</v>
      </c>
      <c r="T127" s="1">
        <f>(Main_S[[#This Row],[P/E]]-VLOOKUP(Main_S[[#This Row],[Industry]], Mean_PE_S, 2, FALSE))/(VLOOKUP(Main_S[[#This Row],[Industry]], Mean_PE_S, 3, FALSE))</f>
        <v>-6.9231101839493853E-2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s="68" t="s">
        <v>133</v>
      </c>
      <c r="B128" s="68" t="s">
        <v>292</v>
      </c>
      <c r="C128" s="2">
        <v>1470</v>
      </c>
      <c r="D128">
        <f>RTD("tos.rtd", , "LAST", Main_S[[#This Row],[Symbol]])</f>
        <v>14.37</v>
      </c>
      <c r="E128">
        <v>-1.21</v>
      </c>
      <c r="F128">
        <v>0.89</v>
      </c>
      <c r="G128">
        <v>-1.1000000000000001</v>
      </c>
      <c r="H128" s="1">
        <f>IF(ISNUMBER(Main_S[[#This Row],[Free CF]]),IF(Main_S[[#This Row],[Free CF]]&lt;&gt;0,Main_S[[#This Row],[Current Price]]/Main_S[[#This Row],[Free CF]],""),"")</f>
        <v>-11.87603305785124</v>
      </c>
      <c r="I128" s="1">
        <f>IF(ISNUMBER(Main_S[[#This Row],[BVPS]]),IF(Main_S[[#This Row],[BVPS]]&lt;&gt;0,Main_S[[#This Row],[Current Price]]/Main_S[[#This Row],[BVPS]],""),"")</f>
        <v>16.146067415730336</v>
      </c>
      <c r="J128">
        <v>-137.38</v>
      </c>
      <c r="K128">
        <v>-39.57</v>
      </c>
      <c r="L128">
        <v>2.4700000000000002</v>
      </c>
      <c r="M128" s="1">
        <f>IF(ISNUMBER(Main_S[[#This Row],[EPS]]),IF(Main_S[[#This Row],[EPS]]&lt;&gt;0,Main_S[[#This Row],[Current Price]]/Main_S[[#This Row],[EPS]],""),"")</f>
        <v>-13.063636363636363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-4.6445242730771642E-2</v>
      </c>
      <c r="P128" s="1">
        <f>(Main_S[[#This Row],[P/B]]-VLOOKUP(Main_S[[#This Row],[Industry]], Mean_PB_S, 2, FALSE))/(VLOOKUP(Main_S[[#This Row],[Industry]], Mean_PB_S, 3, FALSE))</f>
        <v>5.8522534606791119</v>
      </c>
      <c r="Q128" s="1">
        <f>(Main_S[[#This Row],[ROE]]-VLOOKUP(Main_S[[#This Row],[Industry]], Mean_ROE_S, 2, FALSE))/(VLOOKUP(Main_S[[#This Row],[Industry]], Mean_ROE_S, 3, FALSE))</f>
        <v>-6.6171698822683762</v>
      </c>
      <c r="R128" s="1">
        <f>(Main_S[[#This Row],[ROA]]-VLOOKUP(Main_S[[#This Row],[Industry]], Mean_ROA_S, 2, FALSE))/(VLOOKUP(Main_S[[#This Row],[Industry]], Mean_ROA_S, 3, FALSE))</f>
        <v>-4.5134035936833943</v>
      </c>
      <c r="S128" s="1">
        <f>(Main_S[[#This Row],[A/E]]-VLOOKUP(Main_S[[#This Row],[Industry]], Mean_AE_S, 2, FALSE))/(VLOOKUP(Main_S[[#This Row],[Industry]], Mean_AE_S, 3, FALSE))</f>
        <v>1.5907947424958448</v>
      </c>
      <c r="T128" s="1">
        <f>(Main_S[[#This Row],[P/E]]-VLOOKUP(Main_S[[#This Row],[Industry]], Mean_PE_S, 2, FALSE))/(VLOOKUP(Main_S[[#This Row],[Industry]], Mean_PE_S, 3, FALSE))</f>
        <v>-0.19340619690342667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8" t="s">
        <v>133</v>
      </c>
      <c r="B129" s="68" t="s">
        <v>259</v>
      </c>
      <c r="C129" s="2">
        <v>582</v>
      </c>
      <c r="D129">
        <f>RTD("tos.rtd", , "LAST", Main_S[[#This Row],[Symbol]])</f>
        <v>2.77</v>
      </c>
      <c r="E129">
        <v>-1.3</v>
      </c>
      <c r="F129">
        <v>2.86</v>
      </c>
      <c r="G129">
        <v>-0.22</v>
      </c>
      <c r="H129" s="1">
        <f>IF(ISNUMBER(Main_S[[#This Row],[Free CF]]),IF(Main_S[[#This Row],[Free CF]]&lt;&gt;0,Main_S[[#This Row],[Current Price]]/Main_S[[#This Row],[Free CF]],""),"")</f>
        <v>-2.1307692307692307</v>
      </c>
      <c r="I129" s="1">
        <f>IF(ISNUMBER(Main_S[[#This Row],[BVPS]]),IF(Main_S[[#This Row],[BVPS]]&lt;&gt;0,Main_S[[#This Row],[Current Price]]/Main_S[[#This Row],[BVPS]],""),"")</f>
        <v>0.96853146853146854</v>
      </c>
      <c r="J129">
        <v>-7.14</v>
      </c>
      <c r="K129">
        <v>-2.4900000000000002</v>
      </c>
      <c r="L129">
        <v>1.63</v>
      </c>
      <c r="M129" s="1">
        <f>IF(ISNUMBER(Main_S[[#This Row],[EPS]]),IF(Main_S[[#This Row],[EPS]]&lt;&gt;0,Main_S[[#This Row],[Current Price]]/Main_S[[#This Row],[EPS]],""),"")</f>
        <v>-12.590909090909092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0.29164758290917653</v>
      </c>
      <c r="P129" s="1">
        <f>(Main_S[[#This Row],[P/B]]-VLOOKUP(Main_S[[#This Row],[Industry]], Mean_PB_S, 2, FALSE))/(VLOOKUP(Main_S[[#This Row],[Industry]], Mean_PB_S, 3, FALSE))</f>
        <v>-0.76925477419449173</v>
      </c>
      <c r="Q129" s="1">
        <f>(Main_S[[#This Row],[ROE]]-VLOOKUP(Main_S[[#This Row],[Industry]], Mean_ROE_S, 2, FALSE))/(VLOOKUP(Main_S[[#This Row],[Industry]], Mean_ROE_S, 3, FALSE))</f>
        <v>-9.3267561556729175E-2</v>
      </c>
      <c r="R129" s="1">
        <f>(Main_S[[#This Row],[ROA]]-VLOOKUP(Main_S[[#This Row],[Industry]], Mean_ROA_S, 2, FALSE))/(VLOOKUP(Main_S[[#This Row],[Industry]], Mean_ROA_S, 3, FALSE))</f>
        <v>-0.1705092901589273</v>
      </c>
      <c r="S129" s="1">
        <f>(Main_S[[#This Row],[A/E]]-VLOOKUP(Main_S[[#This Row],[Industry]], Mean_AE_S, 2, FALSE))/(VLOOKUP(Main_S[[#This Row],[Industry]], Mean_AE_S, 3, FALSE))</f>
        <v>0.14265864529019914</v>
      </c>
      <c r="T129" s="1">
        <f>(Main_S[[#This Row],[P/E]]-VLOOKUP(Main_S[[#This Row],[Industry]], Mean_PE_S, 2, FALSE))/(VLOOKUP(Main_S[[#This Row],[Industry]], Mean_PE_S, 3, FALSE))</f>
        <v>-0.17580061806837996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s="68" t="s">
        <v>133</v>
      </c>
      <c r="B130" s="68" t="s">
        <v>304</v>
      </c>
      <c r="C130" s="2">
        <v>835</v>
      </c>
      <c r="D130">
        <f>RTD("tos.rtd", , "LAST", Main_S[[#This Row],[Symbol]])</f>
        <v>29.6</v>
      </c>
      <c r="E130">
        <v>-1.36</v>
      </c>
      <c r="F130">
        <v>19.25</v>
      </c>
      <c r="G130">
        <v>-9.9600000000000009</v>
      </c>
      <c r="H130" s="1">
        <f>IF(ISNUMBER(Main_S[[#This Row],[Free CF]]),IF(Main_S[[#This Row],[Free CF]]&lt;&gt;0,Main_S[[#This Row],[Current Price]]/Main_S[[#This Row],[Free CF]],""),"")</f>
        <v>-21.764705882352942</v>
      </c>
      <c r="I130" s="1">
        <f>IF(ISNUMBER(Main_S[[#This Row],[BVPS]]),IF(Main_S[[#This Row],[BVPS]]&lt;&gt;0,Main_S[[#This Row],[Current Price]]/Main_S[[#This Row],[BVPS]],""),"")</f>
        <v>1.5376623376623377</v>
      </c>
      <c r="J130">
        <v>-40.83</v>
      </c>
      <c r="K130">
        <v>-3.36</v>
      </c>
      <c r="L130">
        <v>2.69</v>
      </c>
      <c r="M130" s="1">
        <f>IF(ISNUMBER(Main_S[[#This Row],[EPS]]),IF(Main_S[[#This Row],[EPS]]&lt;&gt;0,Main_S[[#This Row],[Current Price]]/Main_S[[#This Row],[EPS]],""),"")</f>
        <v>-2.9718875502008033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-0.38951336242331125</v>
      </c>
      <c r="P130" s="1">
        <f>(Main_S[[#This Row],[P/B]]-VLOOKUP(Main_S[[#This Row],[Industry]], Mean_PB_S, 2, FALSE))/(VLOOKUP(Main_S[[#This Row],[Industry]], Mean_PB_S, 3, FALSE))</f>
        <v>-0.520959876407323</v>
      </c>
      <c r="Q130" s="1">
        <f>(Main_S[[#This Row],[ROE]]-VLOOKUP(Main_S[[#This Row],[Industry]], Mean_ROE_S, 2, FALSE))/(VLOOKUP(Main_S[[#This Row],[Industry]], Mean_ROE_S, 3, FALSE))</f>
        <v>-1.7808464097199306</v>
      </c>
      <c r="R130" s="1">
        <f>(Main_S[[#This Row],[ROA]]-VLOOKUP(Main_S[[#This Row],[Industry]], Mean_ROA_S, 2, FALSE))/(VLOOKUP(Main_S[[#This Row],[Industry]], Mean_ROA_S, 3, FALSE))</f>
        <v>-0.27240567753935568</v>
      </c>
      <c r="S130" s="1">
        <f>(Main_S[[#This Row],[A/E]]-VLOOKUP(Main_S[[#This Row],[Industry]], Mean_AE_S, 2, FALSE))/(VLOOKUP(Main_S[[#This Row],[Industry]], Mean_AE_S, 3, FALSE))</f>
        <v>1.9700684822401799</v>
      </c>
      <c r="T130" s="1">
        <f>(Main_S[[#This Row],[P/E]]-VLOOKUP(Main_S[[#This Row],[Industry]], Mean_PE_S, 2, FALSE))/(VLOOKUP(Main_S[[#This Row],[Industry]], Mean_PE_S, 3, FALSE))</f>
        <v>0.1824364708855587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s="68" t="s">
        <v>133</v>
      </c>
      <c r="B131" s="68" t="s">
        <v>254</v>
      </c>
      <c r="C131" s="2">
        <v>1173</v>
      </c>
      <c r="D131">
        <f>RTD("tos.rtd", , "LAST", Main_S[[#This Row],[Symbol]])</f>
        <v>78.989999999999995</v>
      </c>
      <c r="E131">
        <v>-1.75</v>
      </c>
      <c r="F131">
        <v>47.29</v>
      </c>
      <c r="G131">
        <v>3.06</v>
      </c>
      <c r="H131" s="1">
        <f>IF(ISNUMBER(Main_S[[#This Row],[Free CF]]),IF(Main_S[[#This Row],[Free CF]]&lt;&gt;0,Main_S[[#This Row],[Current Price]]/Main_S[[#This Row],[Free CF]],""),"")</f>
        <v>-45.137142857142855</v>
      </c>
      <c r="I131" s="1">
        <f>IF(ISNUMBER(Main_S[[#This Row],[BVPS]]),IF(Main_S[[#This Row],[BVPS]]&lt;&gt;0,Main_S[[#This Row],[Current Price]]/Main_S[[#This Row],[BVPS]],""),"")</f>
        <v>1.6703319940790864</v>
      </c>
      <c r="J131">
        <v>7.06</v>
      </c>
      <c r="K131">
        <v>2.87</v>
      </c>
      <c r="L131">
        <v>3.22</v>
      </c>
      <c r="M131" s="1">
        <f>IF(ISNUMBER(Main_S[[#This Row],[EPS]]),IF(Main_S[[#This Row],[EPS]]&lt;&gt;0,Main_S[[#This Row],[Current Price]]/Main_S[[#This Row],[EPS]],""),"")</f>
        <v>25.813725490196077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-1.2003742481941593</v>
      </c>
      <c r="P131" s="1">
        <f>(Main_S[[#This Row],[P/B]]-VLOOKUP(Main_S[[#This Row],[Industry]], Mean_PB_S, 2, FALSE))/(VLOOKUP(Main_S[[#This Row],[Industry]], Mean_PB_S, 3, FALSE))</f>
        <v>-0.46308004495526961</v>
      </c>
      <c r="Q131" s="1">
        <f>(Main_S[[#This Row],[ROE]]-VLOOKUP(Main_S[[#This Row],[Industry]], Mean_ROE_S, 2, FALSE))/(VLOOKUP(Main_S[[#This Row],[Industry]], Mean_ROE_S, 3, FALSE))</f>
        <v>0.61803014232921505</v>
      </c>
      <c r="R131" s="1">
        <f>(Main_S[[#This Row],[ROA]]-VLOOKUP(Main_S[[#This Row],[Industry]], Mean_ROA_S, 2, FALSE))/(VLOOKUP(Main_S[[#This Row],[Industry]], Mean_ROA_S, 3, FALSE))</f>
        <v>0.45726615393198811</v>
      </c>
      <c r="S131" s="1">
        <f>(Main_S[[#This Row],[A/E]]-VLOOKUP(Main_S[[#This Row],[Industry]], Mean_AE_S, 2, FALSE))/(VLOOKUP(Main_S[[#This Row],[Industry]], Mean_AE_S, 3, FALSE))</f>
        <v>2.883773400715171</v>
      </c>
      <c r="T131" s="1">
        <f>(Main_S[[#This Row],[P/E]]-VLOOKUP(Main_S[[#This Row],[Industry]], Mean_PE_S, 2, FALSE))/(VLOOKUP(Main_S[[#This Row],[Industry]], Mean_PE_S, 3, FALSE))</f>
        <v>1.2544866971694884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2" spans="1:26" x14ac:dyDescent="0.25">
      <c r="A132" s="68" t="s">
        <v>133</v>
      </c>
      <c r="B132" s="68" t="s">
        <v>300</v>
      </c>
      <c r="C132" s="2">
        <v>553</v>
      </c>
      <c r="D132">
        <f>RTD("tos.rtd", , "LAST", Main_S[[#This Row],[Symbol]])</f>
        <v>5.86</v>
      </c>
      <c r="E132">
        <v>-2</v>
      </c>
      <c r="F132">
        <v>10.01</v>
      </c>
      <c r="G132">
        <v>-1.07</v>
      </c>
      <c r="H132" s="1">
        <f>IF(ISNUMBER(Main_S[[#This Row],[Free CF]]),IF(Main_S[[#This Row],[Free CF]]&lt;&gt;0,Main_S[[#This Row],[Current Price]]/Main_S[[#This Row],[Free CF]],""),"")</f>
        <v>-2.93</v>
      </c>
      <c r="I132" s="1">
        <f>IF(ISNUMBER(Main_S[[#This Row],[BVPS]]),IF(Main_S[[#This Row],[BVPS]]&lt;&gt;0,Main_S[[#This Row],[Current Price]]/Main_S[[#This Row],[BVPS]],""),"")</f>
        <v>0.58541458541458546</v>
      </c>
      <c r="J132">
        <v>-10.4</v>
      </c>
      <c r="K132">
        <v>-3.52</v>
      </c>
      <c r="L132">
        <v>2.19</v>
      </c>
      <c r="M132" s="1">
        <f>IF(ISNUMBER(Main_S[[#This Row],[EPS]]),IF(Main_S[[#This Row],[EPS]]&lt;&gt;0,Main_S[[#This Row],[Current Price]]/Main_S[[#This Row],[EPS]],""),"")</f>
        <v>-5.4766355140186915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0.26391983803718061</v>
      </c>
      <c r="P132" s="1">
        <f>(Main_S[[#This Row],[P/B]]-VLOOKUP(Main_S[[#This Row],[Industry]], Mean_PB_S, 2, FALSE))/(VLOOKUP(Main_S[[#This Row],[Industry]], Mean_PB_S, 3, FALSE))</f>
        <v>-0.9363972935930861</v>
      </c>
      <c r="Q132" s="1">
        <f>(Main_S[[#This Row],[ROE]]-VLOOKUP(Main_S[[#This Row],[Industry]], Mean_ROE_S, 2, FALSE))/(VLOOKUP(Main_S[[#This Row],[Industry]], Mean_ROE_S, 3, FALSE))</f>
        <v>-0.25656548512491079</v>
      </c>
      <c r="R132" s="1">
        <f>(Main_S[[#This Row],[ROA]]-VLOOKUP(Main_S[[#This Row],[Industry]], Mean_ROA_S, 2, FALSE))/(VLOOKUP(Main_S[[#This Row],[Industry]], Mean_ROA_S, 3, FALSE))</f>
        <v>-0.29114524303460693</v>
      </c>
      <c r="S132" s="1">
        <f>(Main_S[[#This Row],[A/E]]-VLOOKUP(Main_S[[#This Row],[Industry]], Mean_AE_S, 2, FALSE))/(VLOOKUP(Main_S[[#This Row],[Industry]], Mean_AE_S, 3, FALSE))</f>
        <v>1.1080827100939628</v>
      </c>
      <c r="T132" s="1">
        <f>(Main_S[[#This Row],[P/E]]-VLOOKUP(Main_S[[#This Row],[Industry]], Mean_PE_S, 2, FALSE))/(VLOOKUP(Main_S[[#This Row],[Industry]], Mean_PE_S, 3, FALSE))</f>
        <v>8.9153217976307583E-2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s="68" t="s">
        <v>133</v>
      </c>
      <c r="B133" s="68" t="s">
        <v>303</v>
      </c>
      <c r="C133" s="2">
        <v>531</v>
      </c>
      <c r="D133">
        <f>RTD("tos.rtd", , "LAST", Main_S[[#This Row],[Symbol]])</f>
        <v>14.56</v>
      </c>
      <c r="E133">
        <v>-2.48</v>
      </c>
      <c r="F133">
        <v>16.29</v>
      </c>
      <c r="G133">
        <v>-0.5</v>
      </c>
      <c r="H133" s="1">
        <f>IF(ISNUMBER(Main_S[[#This Row],[Free CF]]),IF(Main_S[[#This Row],[Free CF]]&lt;&gt;0,Main_S[[#This Row],[Current Price]]/Main_S[[#This Row],[Free CF]],""),"")</f>
        <v>-5.870967741935484</v>
      </c>
      <c r="I133" s="1">
        <f>IF(ISNUMBER(Main_S[[#This Row],[BVPS]]),IF(Main_S[[#This Row],[BVPS]]&lt;&gt;0,Main_S[[#This Row],[Current Price]]/Main_S[[#This Row],[BVPS]],""),"")</f>
        <v>0.89379987722529164</v>
      </c>
      <c r="J133">
        <v>-3</v>
      </c>
      <c r="K133">
        <v>-1.25</v>
      </c>
      <c r="L133">
        <v>1.61</v>
      </c>
      <c r="M133" s="1">
        <f>IF(ISNUMBER(Main_S[[#This Row],[EPS]]),IF(Main_S[[#This Row],[EPS]]&lt;&gt;0,Main_S[[#This Row],[Current Price]]/Main_S[[#This Row],[EPS]],""),"")</f>
        <v>-29.12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0.16188872716836061</v>
      </c>
      <c r="P133" s="1">
        <f>(Main_S[[#This Row],[P/B]]-VLOOKUP(Main_S[[#This Row],[Industry]], Mean_PB_S, 2, FALSE))/(VLOOKUP(Main_S[[#This Row],[Industry]], Mean_PB_S, 3, FALSE))</f>
        <v>-0.80185794831712565</v>
      </c>
      <c r="Q133" s="1">
        <f>(Main_S[[#This Row],[ROE]]-VLOOKUP(Main_S[[#This Row],[Industry]], Mean_ROE_S, 2, FALSE))/(VLOOKUP(Main_S[[#This Row],[Industry]], Mean_ROE_S, 3, FALSE))</f>
        <v>0.11411078309734188</v>
      </c>
      <c r="R133" s="1">
        <f>(Main_S[[#This Row],[ROA]]-VLOOKUP(Main_S[[#This Row],[Industry]], Mean_ROA_S, 2, FALSE))/(VLOOKUP(Main_S[[#This Row],[Industry]], Mean_ROA_S, 3, FALSE))</f>
        <v>-2.5277657570730441E-2</v>
      </c>
      <c r="S133" s="1">
        <f>(Main_S[[#This Row],[A/E]]-VLOOKUP(Main_S[[#This Row],[Industry]], Mean_AE_S, 2, FALSE))/(VLOOKUP(Main_S[[#This Row],[Industry]], Mean_AE_S, 3, FALSE))</f>
        <v>0.1081792144043508</v>
      </c>
      <c r="T133" s="1">
        <f>(Main_S[[#This Row],[P/E]]-VLOOKUP(Main_S[[#This Row],[Industry]], Mean_PE_S, 2, FALSE))/(VLOOKUP(Main_S[[#This Row],[Industry]], Mean_PE_S, 3, FALSE))</f>
        <v>-0.79138645341226532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s="68" t="s">
        <v>156</v>
      </c>
      <c r="B134" s="68" t="s">
        <v>310</v>
      </c>
      <c r="C134" s="2">
        <v>428</v>
      </c>
      <c r="D134">
        <f>RTD("tos.rtd", , "LAST", Main_S[[#This Row],[Symbol]])</f>
        <v>13.41</v>
      </c>
      <c r="E134">
        <v>3.82</v>
      </c>
      <c r="F134">
        <v>30.7</v>
      </c>
      <c r="G134">
        <v>-7.33</v>
      </c>
      <c r="H134" s="1">
        <f>IF(ISNUMBER(Main_S[[#This Row],[Free CF]]),IF(Main_S[[#This Row],[Free CF]]&lt;&gt;0,Main_S[[#This Row],[Current Price]]/Main_S[[#This Row],[Free CF]],""),"")</f>
        <v>3.510471204188482</v>
      </c>
      <c r="I134" s="1">
        <f>IF(ISNUMBER(Main_S[[#This Row],[BVPS]]),IF(Main_S[[#This Row],[BVPS]]&lt;&gt;0,Main_S[[#This Row],[Current Price]]/Main_S[[#This Row],[BVPS]],""),"")</f>
        <v>0.43680781758957654</v>
      </c>
      <c r="J134">
        <v>-6.8</v>
      </c>
      <c r="K134">
        <v>1.31</v>
      </c>
      <c r="L134">
        <v>3.72</v>
      </c>
      <c r="M134" s="1">
        <f>IF(ISNUMBER(Main_S[[#This Row],[EPS]]),IF(Main_S[[#This Row],[EPS]]&lt;&gt;0,Main_S[[#This Row],[Current Price]]/Main_S[[#This Row],[EPS]],""),"")</f>
        <v>-1.829467939972715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0.47878199100368241</v>
      </c>
      <c r="P134" s="1">
        <f>(Main_S[[#This Row],[P/B]]-VLOOKUP(Main_S[[#This Row],[Industry]], Mean_PB_S, 2, FALSE))/(VLOOKUP(Main_S[[#This Row],[Industry]], Mean_PB_S, 3, FALSE))</f>
        <v>-1.3286510304095582</v>
      </c>
      <c r="Q134" s="1">
        <f>(Main_S[[#This Row],[ROE]]-VLOOKUP(Main_S[[#This Row],[Industry]], Mean_ROE_S, 2, FALSE))/(VLOOKUP(Main_S[[#This Row],[Industry]], Mean_ROE_S, 3, FALSE))</f>
        <v>1.3358566319756653</v>
      </c>
      <c r="R134" s="1">
        <f>(Main_S[[#This Row],[ROA]]-VLOOKUP(Main_S[[#This Row],[Industry]], Mean_ROA_S, 2, FALSE))/(VLOOKUP(Main_S[[#This Row],[Industry]], Mean_ROA_S, 3, FALSE))</f>
        <v>1.3272747628442969</v>
      </c>
      <c r="S134" s="1">
        <f>(Main_S[[#This Row],[A/E]]-VLOOKUP(Main_S[[#This Row],[Industry]], Mean_AE_S, 2, FALSE))/(VLOOKUP(Main_S[[#This Row],[Industry]], Mean_AE_S, 3, FALSE))</f>
        <v>13.482501465871923</v>
      </c>
      <c r="T134" s="1">
        <f>(Main_S[[#This Row],[P/E]]-VLOOKUP(Main_S[[#This Row],[Industry]], Mean_PE_S, 2, FALSE))/(VLOOKUP(Main_S[[#This Row],[Industry]], Mean_PE_S, 3, FALSE))</f>
        <v>1.4129096386623567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s="68" t="s">
        <v>156</v>
      </c>
      <c r="B135" s="68" t="s">
        <v>314</v>
      </c>
      <c r="C135" s="2">
        <v>473</v>
      </c>
      <c r="D135">
        <f>RTD("tos.rtd", , "LAST", Main_S[[#This Row],[Symbol]])</f>
        <v>9.65</v>
      </c>
      <c r="E135">
        <v>1.1200000000000001</v>
      </c>
      <c r="F135">
        <v>20.13</v>
      </c>
      <c r="G135">
        <v>-3.6</v>
      </c>
      <c r="H135" s="1">
        <f>IF(ISNUMBER(Main_S[[#This Row],[Free CF]]),IF(Main_S[[#This Row],[Free CF]]&lt;&gt;0,Main_S[[#This Row],[Current Price]]/Main_S[[#This Row],[Free CF]],""),"")</f>
        <v>8.6160714285714288</v>
      </c>
      <c r="I135" s="1">
        <f>IF(ISNUMBER(Main_S[[#This Row],[BVPS]]),IF(Main_S[[#This Row],[BVPS]]&lt;&gt;0,Main_S[[#This Row],[Current Price]]/Main_S[[#This Row],[BVPS]],""),"")</f>
        <v>0.47938400397416797</v>
      </c>
      <c r="J135">
        <v>-16.760000000000002</v>
      </c>
      <c r="K135">
        <v>-1.42</v>
      </c>
      <c r="L135">
        <v>2.04</v>
      </c>
      <c r="M135" s="1">
        <f>IF(ISNUMBER(Main_S[[#This Row],[EPS]]),IF(Main_S[[#This Row],[EPS]]&lt;&gt;0,Main_S[[#This Row],[Current Price]]/Main_S[[#This Row],[EPS]],""),"")</f>
        <v>-2.6805555555555558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1.4065294832614308</v>
      </c>
      <c r="P135" s="1">
        <f>(Main_S[[#This Row],[P/B]]-VLOOKUP(Main_S[[#This Row],[Industry]], Mean_PB_S, 2, FALSE))/(VLOOKUP(Main_S[[#This Row],[Industry]], Mean_PB_S, 3, FALSE))</f>
        <v>-0.4355483560106731</v>
      </c>
      <c r="Q135" s="1">
        <f>(Main_S[[#This Row],[ROE]]-VLOOKUP(Main_S[[#This Row],[Industry]], Mean_ROE_S, 2, FALSE))/(VLOOKUP(Main_S[[#This Row],[Industry]], Mean_ROE_S, 3, FALSE))</f>
        <v>-0.84352617793058038</v>
      </c>
      <c r="R135" s="1">
        <f>(Main_S[[#This Row],[ROA]]-VLOOKUP(Main_S[[#This Row],[Industry]], Mean_ROA_S, 2, FALSE))/(VLOOKUP(Main_S[[#This Row],[Industry]], Mean_ROA_S, 3, FALSE))</f>
        <v>0.16311087447002198</v>
      </c>
      <c r="S135" s="1">
        <f>(Main_S[[#This Row],[A/E]]-VLOOKUP(Main_S[[#This Row],[Industry]], Mean_AE_S, 2, FALSE))/(VLOOKUP(Main_S[[#This Row],[Industry]], Mean_AE_S, 3, FALSE))</f>
        <v>1.014279926790365</v>
      </c>
      <c r="T135" s="1">
        <f>(Main_S[[#This Row],[P/E]]-VLOOKUP(Main_S[[#This Row],[Industry]], Mean_PE_S, 2, FALSE))/(VLOOKUP(Main_S[[#This Row],[Industry]], Mean_PE_S, 3, FALSE))</f>
        <v>-0.65387378918484795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s="68" t="s">
        <v>156</v>
      </c>
      <c r="B136" s="68" t="s">
        <v>356</v>
      </c>
      <c r="C136" s="2">
        <v>1112</v>
      </c>
      <c r="D136">
        <f>RTD("tos.rtd", , "LAST", Main_S[[#This Row],[Symbol]])</f>
        <v>10.16</v>
      </c>
      <c r="E136">
        <v>-2.12</v>
      </c>
      <c r="F136">
        <v>19.59</v>
      </c>
      <c r="G136">
        <v>-3.73</v>
      </c>
      <c r="H136" s="1">
        <f>IF(ISNUMBER(Main_S[[#This Row],[Free CF]]),IF(Main_S[[#This Row],[Free CF]]&lt;&gt;0,Main_S[[#This Row],[Current Price]]/Main_S[[#This Row],[Free CF]],""),"")</f>
        <v>-4.7924528301886795</v>
      </c>
      <c r="I136" s="1">
        <f>IF(ISNUMBER(Main_S[[#This Row],[BVPS]]),IF(Main_S[[#This Row],[BVPS]]&lt;&gt;0,Main_S[[#This Row],[Current Price]]/Main_S[[#This Row],[BVPS]],""),"")</f>
        <v>0.51863195507912196</v>
      </c>
      <c r="J136">
        <v>-17.829999999999998</v>
      </c>
      <c r="K136">
        <v>-5.29</v>
      </c>
      <c r="L136">
        <v>1.72</v>
      </c>
      <c r="M136" s="1">
        <f>IF(ISNUMBER(Main_S[[#This Row],[EPS]]),IF(Main_S[[#This Row],[EPS]]&lt;&gt;0,Main_S[[#This Row],[Current Price]]/Main_S[[#This Row],[EPS]],""),"")</f>
        <v>-2.7238605898123325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-1.0299567689392723</v>
      </c>
      <c r="P136" s="1">
        <f>(Main_S[[#This Row],[P/B]]-VLOOKUP(Main_S[[#This Row],[Industry]], Mean_PB_S, 2, FALSE))/(VLOOKUP(Main_S[[#This Row],[Industry]], Mean_PB_S, 3, FALSE))</f>
        <v>0.38773933302473507</v>
      </c>
      <c r="Q136" s="1">
        <f>(Main_S[[#This Row],[ROE]]-VLOOKUP(Main_S[[#This Row],[Industry]], Mean_ROE_S, 2, FALSE))/(VLOOKUP(Main_S[[#This Row],[Industry]], Mean_ROE_S, 3, FALSE))</f>
        <v>-1.0776566605209092</v>
      </c>
      <c r="R136" s="1">
        <f>(Main_S[[#This Row],[ROA]]-VLOOKUP(Main_S[[#This Row],[Industry]], Mean_ROA_S, 2, FALSE))/(VLOOKUP(Main_S[[#This Row],[Industry]], Mean_ROA_S, 3, FALSE))</f>
        <v>-1.4871873848737305</v>
      </c>
      <c r="S136" s="1">
        <f>(Main_S[[#This Row],[A/E]]-VLOOKUP(Main_S[[#This Row],[Industry]], Mean_AE_S, 2, FALSE))/(VLOOKUP(Main_S[[#This Row],[Industry]], Mean_AE_S, 3, FALSE))</f>
        <v>-1.3606194139870746</v>
      </c>
      <c r="T136" s="1">
        <f>(Main_S[[#This Row],[P/E]]-VLOOKUP(Main_S[[#This Row],[Industry]], Mean_PE_S, 2, FALSE))/(VLOOKUP(Main_S[[#This Row],[Industry]], Mean_PE_S, 3, FALSE))</f>
        <v>-0.7590358494775109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s="68" t="s">
        <v>156</v>
      </c>
      <c r="B137" s="68" t="s">
        <v>309</v>
      </c>
      <c r="C137" s="2">
        <v>468</v>
      </c>
      <c r="D137">
        <f>RTD("tos.rtd", , "LAST", Main_S[[#This Row],[Symbol]])</f>
        <v>29.12</v>
      </c>
      <c r="E137">
        <v>-7.6</v>
      </c>
      <c r="F137">
        <v>51.47</v>
      </c>
      <c r="G137">
        <v>-4.6500000000000004</v>
      </c>
      <c r="H137" s="1">
        <f>IF(ISNUMBER(Main_S[[#This Row],[Free CF]]),IF(Main_S[[#This Row],[Free CF]]&lt;&gt;0,Main_S[[#This Row],[Current Price]]/Main_S[[#This Row],[Free CF]],""),"")</f>
        <v>-3.8315789473684214</v>
      </c>
      <c r="I137" s="1">
        <f>IF(ISNUMBER(Main_S[[#This Row],[BVPS]]),IF(Main_S[[#This Row],[BVPS]]&lt;&gt;0,Main_S[[#This Row],[Current Price]]/Main_S[[#This Row],[BVPS]],""),"")</f>
        <v>0.56576646590246749</v>
      </c>
      <c r="J137">
        <v>-10.23</v>
      </c>
      <c r="K137">
        <v>-1.81</v>
      </c>
      <c r="L137">
        <v>1.95</v>
      </c>
      <c r="M137" s="1">
        <f>IF(ISNUMBER(Main_S[[#This Row],[EPS]]),IF(Main_S[[#This Row],[EPS]]&lt;&gt;0,Main_S[[#This Row],[Current Price]]/Main_S[[#This Row],[EPS]],""),"")</f>
        <v>-6.2623655913978489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-0.85535470532584101</v>
      </c>
      <c r="P137" s="1">
        <f>(Main_S[[#This Row],[P/B]]-VLOOKUP(Main_S[[#This Row],[Industry]], Mean_PB_S, 2, FALSE))/(VLOOKUP(Main_S[[#This Row],[Industry]], Mean_PB_S, 3, FALSE))</f>
        <v>1.3764600533954974</v>
      </c>
      <c r="Q137" s="1">
        <f>(Main_S[[#This Row],[ROE]]-VLOOKUP(Main_S[[#This Row],[Industry]], Mean_ROE_S, 2, FALSE))/(VLOOKUP(Main_S[[#This Row],[Industry]], Mean_ROE_S, 3, FALSE))</f>
        <v>0.58532620647582367</v>
      </c>
      <c r="R137" s="1">
        <f>(Main_S[[#This Row],[ROA]]-VLOOKUP(Main_S[[#This Row],[Industry]], Mean_ROA_S, 2, FALSE))/(VLOOKUP(Main_S[[#This Row],[Industry]], Mean_ROA_S, 3, FALSE))</f>
        <v>-3.1982524405887889E-3</v>
      </c>
      <c r="S137" s="1">
        <f>(Main_S[[#This Row],[A/E]]-VLOOKUP(Main_S[[#This Row],[Industry]], Mean_AE_S, 2, FALSE))/(VLOOKUP(Main_S[[#This Row],[Industry]], Mean_AE_S, 3, FALSE))</f>
        <v>0.34633948719670965</v>
      </c>
      <c r="T137" s="1">
        <f>(Main_S[[#This Row],[P/E]]-VLOOKUP(Main_S[[#This Row],[Industry]], Mean_PE_S, 2, FALSE))/(VLOOKUP(Main_S[[#This Row],[Industry]], Mean_PE_S, 3, FALSE))</f>
        <v>-9.3519508005699308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5"/>
  <sheetViews>
    <sheetView topLeftCell="A5" workbookViewId="0">
      <selection activeCell="B24" sqref="B24"/>
    </sheetView>
  </sheetViews>
  <sheetFormatPr defaultRowHeight="15" x14ac:dyDescent="0.25"/>
  <cols>
    <col min="1" max="1" width="22.42578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133</v>
      </c>
      <c r="B3" s="1" cm="1">
        <f t="array" ref="B3">_xlfn.QUARTILE.INC(IF(Quartile_L[[#This Row],[Industry]]=Main_L[Industry],Main_L[P/FCF]),1)</f>
        <v>14.771147440392706</v>
      </c>
      <c r="C3" s="1" cm="1">
        <f t="array" ref="C3">_xlfn.QUARTILE.INC(IF(Quartile_L[[#This Row],[Industry]]=Main_L[Industry],Main_L[P/FCF]),3)</f>
        <v>43.993510262840161</v>
      </c>
      <c r="D3" s="1">
        <f>Quartile_L[[#This Row],[P/FCF Q1]]-1.5*(Quartile_L[[#This Row],[P/FCF Q3]]-Quartile_L[[#This Row],[P/FCF Q1]])</f>
        <v>-29.062396793278477</v>
      </c>
      <c r="E3" s="1">
        <f>Quartile_L[[#This Row],[P/FCF Q3]]+1.5*(Quartile_L[[#This Row],[P/FCF Q3]]-Quartile_L[[#This Row],[P/FCF Q1]])</f>
        <v>87.827054496511352</v>
      </c>
      <c r="F3" s="1" cm="1">
        <f t="array" ref="F3">_xlfn.QUARTILE.INC(IF(Quartile_L[[#This Row],[Industry]]=Main_L[Industry],Main_L[P/B]),1)</f>
        <v>1.4137249786409689</v>
      </c>
      <c r="G3" s="1" cm="1">
        <f t="array" ref="G3">_xlfn.QUARTILE.INC(IF(Quartile_L[[#This Row],[Industry]]=Main_L[Industry],Main_L[P/B]),3)</f>
        <v>4.0901895230065701</v>
      </c>
      <c r="H3" s="1">
        <f>Quartile_L[[#This Row],[P/B Q1]]-1.5*(Quartile_L[[#This Row],[P/B Q3]]-Quartile_L[[#This Row],[P/B Q1]])</f>
        <v>-2.6009718379074331</v>
      </c>
      <c r="I3" s="1">
        <f>Quartile_L[[#This Row],[P/B Q3]]+1.5*(Quartile_L[[#This Row],[P/B Q3]]-Quartile_L[[#This Row],[P/B Q1]])</f>
        <v>8.1048863395549731</v>
      </c>
      <c r="J3" s="1" cm="1">
        <f t="array" ref="J3">_xlfn.QUARTILE.INC(IF(Quartile_L[[#This Row],[Industry]]=Main_L[Industry],Main_L[ROE]),1)</f>
        <v>8.18</v>
      </c>
      <c r="K3" s="1" cm="1">
        <f t="array" ref="K3">_xlfn.QUARTILE.INC(IF(Quartile_L[[#This Row],[Industry]]=Main_L[Industry],Main_L[ROE]),3)</f>
        <v>19.505000000000003</v>
      </c>
      <c r="L3" s="1">
        <f>Quartile_L[[#This Row],[ROE Q1]]-1.5*(Quartile_L[[#This Row],[ROE Q3]]-Quartile_L[[#This Row],[ROE Q1]])</f>
        <v>-8.8075000000000045</v>
      </c>
      <c r="M3" s="1">
        <f>Quartile_L[[#This Row],[ROE Q3]]+1.5*(Quartile_L[[#This Row],[ROE Q3]]-Quartile_L[[#This Row],[ROE Q1]])</f>
        <v>36.492500000000007</v>
      </c>
      <c r="N3" s="1" cm="1">
        <f t="array" ref="N3">_xlfn.QUARTILE.INC(IF(Quartile_L[[#This Row],[Industry]]=Main_L[Industry],Main_L[ROA]),1)</f>
        <v>4.8949999999999996</v>
      </c>
      <c r="O3" s="1" cm="1">
        <f t="array" ref="O3">_xlfn.QUARTILE.INC(IF(Quartile_L[[#This Row],[Industry]]=Main_L[Industry],Main_L[ROA]),3)</f>
        <v>9.004999999999999</v>
      </c>
      <c r="P3" s="1">
        <f>Quartile_L[[#This Row],[ROA Q1]]-1.5*(Quartile_L[[#This Row],[ROA Q3]]-Quartile_L[[#This Row],[ROA Q1]])</f>
        <v>-1.2699999999999996</v>
      </c>
      <c r="Q3" s="1">
        <f>Quartile_L[[#This Row],[ROA Q3]]+1.5*(Quartile_L[[#This Row],[ROA Q3]]-Quartile_L[[#This Row],[ROA Q1]])</f>
        <v>15.169999999999998</v>
      </c>
      <c r="R3" s="1" cm="1">
        <f t="array" ref="R3">_xlfn.QUARTILE.INC(IF(Quartile_L[[#This Row],[Industry]]=Main_L[Industry],Main_L[P/E]),1)</f>
        <v>15.214237967914439</v>
      </c>
      <c r="S3" s="1" cm="1">
        <f t="array" ref="S3">_xlfn.QUARTILE.INC(IF(Quartile_L[[#This Row],[Industry]]=Main_L[Industry],Main_L[P/E]),3)</f>
        <v>33.345327597437844</v>
      </c>
      <c r="T3" s="1">
        <f>Quartile_L[[#This Row],[P/E Q1]]-1.5*(Quartile_L[[#This Row],[P/E Q3]]-Quartile_L[[#This Row],[P/E Q1]])</f>
        <v>-11.982396476370671</v>
      </c>
      <c r="U3" s="1">
        <f>Quartile_L[[#This Row],[P/E Q3]]+1.5*(Quartile_L[[#This Row],[P/E Q3]]-Quartile_L[[#This Row],[P/E Q1]])</f>
        <v>60.541962041722954</v>
      </c>
      <c r="V3" s="1" cm="1">
        <f t="array" ref="V3">_xlfn.QUARTILE.INC(IF(Quartile_L[[#This Row],[Industry]]=Main_L[Industry],Main_L[A/E]),1)</f>
        <v>1.4750000000000001</v>
      </c>
      <c r="W3" s="1" cm="1">
        <f t="array" ref="W3">_xlfn.QUARTILE.INC(IF(Quartile_L[[#This Row],[Industry]]=Main_L[Industry],Main_L[A/E]),3)</f>
        <v>1.9750000000000001</v>
      </c>
      <c r="X3" s="1">
        <f>Quartile_L[[#This Row],[A/E Q1]]-1.5*(Quartile_L[[#This Row],[A/E Q3]]-Quartile_L[[#This Row],[A/E Q1]])</f>
        <v>0.72500000000000009</v>
      </c>
      <c r="Y3" s="1">
        <f>Quartile_L[[#This Row],[A/E Q3]]+1.5*(Quartile_L[[#This Row],[A/E Q3]]-Quartile_L[[#This Row],[A/E Q1]])</f>
        <v>2.7250000000000001</v>
      </c>
    </row>
    <row r="4" spans="1:25" x14ac:dyDescent="0.25">
      <c r="A4" t="s">
        <v>105</v>
      </c>
      <c r="B4" s="1" cm="1">
        <f t="array" ref="B4">_xlfn.QUARTILE.INC(IF(Quartile_L[[#This Row],[Industry]]=Main_L[Industry],Main_L[P/FCF]),1)</f>
        <v>10.645094661239543</v>
      </c>
      <c r="C4" s="1" cm="1">
        <f t="array" ref="C4">_xlfn.QUARTILE.INC(IF(Quartile_L[[#This Row],[Industry]]=Main_L[Industry],Main_L[P/FCF]),3)</f>
        <v>35.394965553789078</v>
      </c>
      <c r="D4" s="1">
        <f>Quartile_L[[#This Row],[P/FCF Q1]]-1.5*(Quartile_L[[#This Row],[P/FCF Q3]]-Quartile_L[[#This Row],[P/FCF Q1]])</f>
        <v>-26.479711677584756</v>
      </c>
      <c r="E4" s="1">
        <f>Quartile_L[[#This Row],[P/FCF Q3]]+1.5*(Quartile_L[[#This Row],[P/FCF Q3]]-Quartile_L[[#This Row],[P/FCF Q1]])</f>
        <v>72.519771892613377</v>
      </c>
      <c r="F4" s="1" cm="1">
        <f t="array" ref="F4">_xlfn.QUARTILE.INC(IF(Quartile_L[[#This Row],[Industry]]=Main_L[Industry],Main_L[P/B]),1)</f>
        <v>1.2326686048997391</v>
      </c>
      <c r="G4" s="1" cm="1">
        <f t="array" ref="G4">_xlfn.QUARTILE.INC(IF(Quartile_L[[#This Row],[Industry]]=Main_L[Industry],Main_L[P/B]),3)</f>
        <v>3.9771404430068511</v>
      </c>
      <c r="H4" s="1">
        <f>Quartile_L[[#This Row],[P/B Q1]]-1.5*(Quartile_L[[#This Row],[P/B Q3]]-Quartile_L[[#This Row],[P/B Q1]])</f>
        <v>-2.8840391522609292</v>
      </c>
      <c r="I4" s="1">
        <f>Quartile_L[[#This Row],[P/B Q3]]+1.5*(Quartile_L[[#This Row],[P/B Q3]]-Quartile_L[[#This Row],[P/B Q1]])</f>
        <v>8.0938482001675194</v>
      </c>
      <c r="J4" s="1" cm="1">
        <f t="array" ref="J4">_xlfn.QUARTILE.INC(IF(Quartile_L[[#This Row],[Industry]]=Main_L[Industry],Main_L[ROE]),1)</f>
        <v>2.16</v>
      </c>
      <c r="K4" s="1" cm="1">
        <f t="array" ref="K4">_xlfn.QUARTILE.INC(IF(Quartile_L[[#This Row],[Industry]]=Main_L[Industry],Main_L[ROE]),3)</f>
        <v>19.22</v>
      </c>
      <c r="L4" s="1">
        <f>Quartile_L[[#This Row],[ROE Q1]]-1.5*(Quartile_L[[#This Row],[ROE Q3]]-Quartile_L[[#This Row],[ROE Q1]])</f>
        <v>-23.429999999999996</v>
      </c>
      <c r="M4" s="1">
        <f>Quartile_L[[#This Row],[ROE Q3]]+1.5*(Quartile_L[[#This Row],[ROE Q3]]-Quartile_L[[#This Row],[ROE Q1]])</f>
        <v>44.809999999999995</v>
      </c>
      <c r="N4" s="1" cm="1">
        <f t="array" ref="N4">_xlfn.QUARTILE.INC(IF(Quartile_L[[#This Row],[Industry]]=Main_L[Industry],Main_L[ROA]),1)</f>
        <v>2.4850000000000003</v>
      </c>
      <c r="O4" s="1" cm="1">
        <f t="array" ref="O4">_xlfn.QUARTILE.INC(IF(Quartile_L[[#This Row],[Industry]]=Main_L[Industry],Main_L[ROA]),3)</f>
        <v>7.0299999999999994</v>
      </c>
      <c r="P4" s="1">
        <f>Quartile_L[[#This Row],[ROA Q1]]-1.5*(Quartile_L[[#This Row],[ROA Q3]]-Quartile_L[[#This Row],[ROA Q1]])</f>
        <v>-4.3324999999999987</v>
      </c>
      <c r="Q4" s="1">
        <f>Quartile_L[[#This Row],[ROA Q3]]+1.5*(Quartile_L[[#This Row],[ROA Q3]]-Quartile_L[[#This Row],[ROA Q1]])</f>
        <v>13.847499999999998</v>
      </c>
      <c r="R4" s="1" cm="1">
        <f t="array" ref="R4">_xlfn.QUARTILE.INC(IF(Quartile_L[[#This Row],[Industry]]=Main_L[Industry],Main_L[P/E]),1)</f>
        <v>16.16706326987682</v>
      </c>
      <c r="S4" s="1" cm="1">
        <f t="array" ref="S4">_xlfn.QUARTILE.INC(IF(Quartile_L[[#This Row],[Industry]]=Main_L[Industry],Main_L[P/E]),3)</f>
        <v>41.988359095275527</v>
      </c>
      <c r="T4" s="1">
        <f>Quartile_L[[#This Row],[P/E Q1]]-1.5*(Quartile_L[[#This Row],[P/E Q3]]-Quartile_L[[#This Row],[P/E Q1]])</f>
        <v>-22.56488046822124</v>
      </c>
      <c r="U4" s="1">
        <f>Quartile_L[[#This Row],[P/E Q3]]+1.5*(Quartile_L[[#This Row],[P/E Q3]]-Quartile_L[[#This Row],[P/E Q1]])</f>
        <v>80.72030283337358</v>
      </c>
      <c r="V4" s="1" cm="1">
        <f t="array" ref="V4">_xlfn.QUARTILE.INC(IF(Quartile_L[[#This Row],[Industry]]=Main_L[Industry],Main_L[A/E]),1)</f>
        <v>2.0550000000000002</v>
      </c>
      <c r="W4" s="1" cm="1">
        <f t="array" ref="W4">_xlfn.QUARTILE.INC(IF(Quartile_L[[#This Row],[Industry]]=Main_L[Industry],Main_L[A/E]),3)</f>
        <v>2.83</v>
      </c>
      <c r="X4" s="1">
        <f>Quartile_L[[#This Row],[A/E Q1]]-1.5*(Quartile_L[[#This Row],[A/E Q3]]-Quartile_L[[#This Row],[A/E Q1]])</f>
        <v>0.89250000000000029</v>
      </c>
      <c r="Y4" s="1">
        <f>Quartile_L[[#This Row],[A/E Q3]]+1.5*(Quartile_L[[#This Row],[A/E Q3]]-Quartile_L[[#This Row],[A/E Q1]])</f>
        <v>3.9924999999999997</v>
      </c>
    </row>
    <row r="5" spans="1:25" x14ac:dyDescent="0.25">
      <c r="A5" t="s">
        <v>121</v>
      </c>
      <c r="B5" s="1" cm="1">
        <f t="array" ref="B5">_xlfn.QUARTILE.INC(IF(Quartile_L[[#This Row],[Industry]]=Main_L[Industry],Main_L[P/FCF]),1)</f>
        <v>31.154777002747835</v>
      </c>
      <c r="C5" s="1" cm="1">
        <f t="array" ref="C5">_xlfn.QUARTILE.INC(IF(Quartile_L[[#This Row],[Industry]]=Main_L[Industry],Main_L[P/FCF]),3)</f>
        <v>44.103651610392312</v>
      </c>
      <c r="D5" s="1">
        <f>Quartile_L[[#This Row],[P/FCF Q1]]-1.5*(Quartile_L[[#This Row],[P/FCF Q3]]-Quartile_L[[#This Row],[P/FCF Q1]])</f>
        <v>11.73146509128112</v>
      </c>
      <c r="E5" s="1">
        <f>Quartile_L[[#This Row],[P/FCF Q3]]+1.5*(Quartile_L[[#This Row],[P/FCF Q3]]-Quartile_L[[#This Row],[P/FCF Q1]])</f>
        <v>63.526963521859031</v>
      </c>
      <c r="F5" s="1" cm="1">
        <f t="array" ref="F5">_xlfn.QUARTILE.INC(IF(Quartile_L[[#This Row],[Industry]]=Main_L[Industry],Main_L[P/B]),1)</f>
        <v>3.5068334876541076</v>
      </c>
      <c r="G5" s="1" cm="1">
        <f t="array" ref="G5">_xlfn.QUARTILE.INC(IF(Quartile_L[[#This Row],[Industry]]=Main_L[Industry],Main_L[P/B]),3)</f>
        <v>4.5786544132412414</v>
      </c>
      <c r="H5" s="1">
        <f>Quartile_L[[#This Row],[P/B Q1]]-1.5*(Quartile_L[[#This Row],[P/B Q3]]-Quartile_L[[#This Row],[P/B Q1]])</f>
        <v>1.8991020992734069</v>
      </c>
      <c r="I5" s="1">
        <f>Quartile_L[[#This Row],[P/B Q3]]+1.5*(Quartile_L[[#This Row],[P/B Q3]]-Quartile_L[[#This Row],[P/B Q1]])</f>
        <v>6.1863858016219417</v>
      </c>
      <c r="J5" s="1" cm="1">
        <f t="array" ref="J5">_xlfn.QUARTILE.INC(IF(Quartile_L[[#This Row],[Industry]]=Main_L[Industry],Main_L[ROE]),1)</f>
        <v>12.0275</v>
      </c>
      <c r="K5" s="1" cm="1">
        <f t="array" ref="K5">_xlfn.QUARTILE.INC(IF(Quartile_L[[#This Row],[Industry]]=Main_L[Industry],Main_L[ROE]),3)</f>
        <v>16.7925</v>
      </c>
      <c r="L5" s="1">
        <f>Quartile_L[[#This Row],[ROE Q1]]-1.5*(Quartile_L[[#This Row],[ROE Q3]]-Quartile_L[[#This Row],[ROE Q1]])</f>
        <v>4.879999999999999</v>
      </c>
      <c r="M5" s="1">
        <f>Quartile_L[[#This Row],[ROE Q3]]+1.5*(Quartile_L[[#This Row],[ROE Q3]]-Quartile_L[[#This Row],[ROE Q1]])</f>
        <v>23.94</v>
      </c>
      <c r="N5" s="1" cm="1">
        <f t="array" ref="N5">_xlfn.QUARTILE.INC(IF(Quartile_L[[#This Row],[Industry]]=Main_L[Industry],Main_L[ROA]),1)</f>
        <v>5.9325000000000001</v>
      </c>
      <c r="O5" s="1" cm="1">
        <f t="array" ref="O5">_xlfn.QUARTILE.INC(IF(Quartile_L[[#This Row],[Industry]]=Main_L[Industry],Main_L[ROA]),3)</f>
        <v>7.33</v>
      </c>
      <c r="P5" s="1">
        <f>Quartile_L[[#This Row],[ROA Q1]]-1.5*(Quartile_L[[#This Row],[ROA Q3]]-Quartile_L[[#This Row],[ROA Q1]])</f>
        <v>3.8362500000000002</v>
      </c>
      <c r="Q5" s="1">
        <f>Quartile_L[[#This Row],[ROA Q3]]+1.5*(Quartile_L[[#This Row],[ROA Q3]]-Quartile_L[[#This Row],[ROA Q1]])</f>
        <v>9.4262499999999996</v>
      </c>
      <c r="R5" s="1" cm="1">
        <f t="array" ref="R5">_xlfn.QUARTILE.INC(IF(Quartile_L[[#This Row],[Industry]]=Main_L[Industry],Main_L[P/E]),1)</f>
        <v>25.531903900800828</v>
      </c>
      <c r="S5" s="1" cm="1">
        <f t="array" ref="S5">_xlfn.QUARTILE.INC(IF(Quartile_L[[#This Row],[Industry]]=Main_L[Industry],Main_L[P/E]),3)</f>
        <v>33.280526786855901</v>
      </c>
      <c r="T5" s="1">
        <f>Quartile_L[[#This Row],[P/E Q1]]-1.5*(Quartile_L[[#This Row],[P/E Q3]]-Quartile_L[[#This Row],[P/E Q1]])</f>
        <v>13.908969571718217</v>
      </c>
      <c r="U5" s="1">
        <f>Quartile_L[[#This Row],[P/E Q3]]+1.5*(Quartile_L[[#This Row],[P/E Q3]]-Quartile_L[[#This Row],[P/E Q1]])</f>
        <v>44.903461115938512</v>
      </c>
      <c r="V5" s="1" cm="1">
        <f t="array" ref="V5">_xlfn.QUARTILE.INC(IF(Quartile_L[[#This Row],[Industry]]=Main_L[Industry],Main_L[A/E]),1)</f>
        <v>2.0249999999999999</v>
      </c>
      <c r="W5" s="1" cm="1">
        <f t="array" ref="W5">_xlfn.QUARTILE.INC(IF(Quartile_L[[#This Row],[Industry]]=Main_L[Industry],Main_L[A/E]),3)</f>
        <v>2.4299999999999997</v>
      </c>
      <c r="X5" s="1">
        <f>Quartile_L[[#This Row],[A/E Q1]]-1.5*(Quartile_L[[#This Row],[A/E Q3]]-Quartile_L[[#This Row],[A/E Q1]])</f>
        <v>1.4175000000000002</v>
      </c>
      <c r="Y5" s="1">
        <f>Quartile_L[[#This Row],[A/E Q3]]+1.5*(Quartile_L[[#This Row],[A/E Q3]]-Quartile_L[[#This Row],[A/E Q1]])</f>
        <v>3.0374999999999996</v>
      </c>
    </row>
    <row r="6" spans="1:25" x14ac:dyDescent="0.25">
      <c r="A6" t="s">
        <v>125</v>
      </c>
      <c r="B6" s="1" cm="1">
        <f t="array" ref="B6">_xlfn.QUARTILE.INC(IF(Quartile_L[[#This Row],[Industry]]=Main_L[Industry],Main_L[P/FCF]),1)</f>
        <v>12.349693251533742</v>
      </c>
      <c r="C6" s="1" cm="1">
        <f t="array" ref="C6">_xlfn.QUARTILE.INC(IF(Quartile_L[[#This Row],[Industry]]=Main_L[Industry],Main_L[P/FCF]),3)</f>
        <v>28.283582089552237</v>
      </c>
      <c r="D6" s="1">
        <f>Quartile_L[[#This Row],[P/FCF Q1]]-1.5*(Quartile_L[[#This Row],[P/FCF Q3]]-Quartile_L[[#This Row],[P/FCF Q1]])</f>
        <v>-11.551140005494</v>
      </c>
      <c r="E6" s="1">
        <f>Quartile_L[[#This Row],[P/FCF Q3]]+1.5*(Quartile_L[[#This Row],[P/FCF Q3]]-Quartile_L[[#This Row],[P/FCF Q1]])</f>
        <v>52.184415346579982</v>
      </c>
      <c r="F6" s="1" cm="1">
        <f t="array" ref="F6">_xlfn.QUARTILE.INC(IF(Quartile_L[[#This Row],[Industry]]=Main_L[Industry],Main_L[P/B]),1)</f>
        <v>2.6337962962962962</v>
      </c>
      <c r="G6" s="1" cm="1">
        <f t="array" ref="G6">_xlfn.QUARTILE.INC(IF(Quartile_L[[#This Row],[Industry]]=Main_L[Industry],Main_L[P/B]),3)</f>
        <v>3.9489450377702524</v>
      </c>
      <c r="H6" s="1">
        <f>Quartile_L[[#This Row],[P/B Q1]]-1.5*(Quartile_L[[#This Row],[P/B Q3]]-Quartile_L[[#This Row],[P/B Q1]])</f>
        <v>0.66107318408536186</v>
      </c>
      <c r="I6" s="1">
        <f>Quartile_L[[#This Row],[P/B Q3]]+1.5*(Quartile_L[[#This Row],[P/B Q3]]-Quartile_L[[#This Row],[P/B Q1]])</f>
        <v>5.921668149981187</v>
      </c>
      <c r="J6" s="1" cm="1">
        <f t="array" ref="J6">_xlfn.QUARTILE.INC(IF(Quartile_L[[#This Row],[Industry]]=Main_L[Industry],Main_L[ROE]),1)</f>
        <v>8.2200000000000006</v>
      </c>
      <c r="K6" s="1" cm="1">
        <f t="array" ref="K6">_xlfn.QUARTILE.INC(IF(Quartile_L[[#This Row],[Industry]]=Main_L[Industry],Main_L[ROE]),3)</f>
        <v>20.8</v>
      </c>
      <c r="L6" s="1">
        <f>Quartile_L[[#This Row],[ROE Q1]]-1.5*(Quartile_L[[#This Row],[ROE Q3]]-Quartile_L[[#This Row],[ROE Q1]])</f>
        <v>-10.65</v>
      </c>
      <c r="M6" s="1">
        <f>Quartile_L[[#This Row],[ROE Q3]]+1.5*(Quartile_L[[#This Row],[ROE Q3]]-Quartile_L[[#This Row],[ROE Q1]])</f>
        <v>39.67</v>
      </c>
      <c r="N6" s="1" cm="1">
        <f t="array" ref="N6">_xlfn.QUARTILE.INC(IF(Quartile_L[[#This Row],[Industry]]=Main_L[Industry],Main_L[ROA]),1)</f>
        <v>4.26</v>
      </c>
      <c r="O6" s="1" cm="1">
        <f t="array" ref="O6">_xlfn.QUARTILE.INC(IF(Quartile_L[[#This Row],[Industry]]=Main_L[Industry],Main_L[ROA]),3)</f>
        <v>7.13</v>
      </c>
      <c r="P6" s="1">
        <f>Quartile_L[[#This Row],[ROA Q1]]-1.5*(Quartile_L[[#This Row],[ROA Q3]]-Quartile_L[[#This Row],[ROA Q1]])</f>
        <v>-4.4999999999999929E-2</v>
      </c>
      <c r="Q6" s="1">
        <f>Quartile_L[[#This Row],[ROA Q3]]+1.5*(Quartile_L[[#This Row],[ROA Q3]]-Quartile_L[[#This Row],[ROA Q1]])</f>
        <v>11.434999999999999</v>
      </c>
      <c r="R6" s="1" cm="1">
        <f t="array" ref="R6">_xlfn.QUARTILE.INC(IF(Quartile_L[[#This Row],[Industry]]=Main_L[Industry],Main_L[P/E]),1)</f>
        <v>20.563807531380753</v>
      </c>
      <c r="S6" s="1" cm="1">
        <f t="array" ref="S6">_xlfn.QUARTILE.INC(IF(Quartile_L[[#This Row],[Industry]]=Main_L[Industry],Main_L[P/E]),3)</f>
        <v>30.988571428571426</v>
      </c>
      <c r="T6" s="1">
        <f>Quartile_L[[#This Row],[P/E Q1]]-1.5*(Quartile_L[[#This Row],[P/E Q3]]-Quartile_L[[#This Row],[P/E Q1]])</f>
        <v>4.9266616855947447</v>
      </c>
      <c r="U6" s="1">
        <f>Quartile_L[[#This Row],[P/E Q3]]+1.5*(Quartile_L[[#This Row],[P/E Q3]]-Quartile_L[[#This Row],[P/E Q1]])</f>
        <v>46.625717274357434</v>
      </c>
      <c r="V6" s="1" cm="1">
        <f t="array" ref="V6">_xlfn.QUARTILE.INC(IF(Quartile_L[[#This Row],[Industry]]=Main_L[Industry],Main_L[A/E]),1)</f>
        <v>1.99</v>
      </c>
      <c r="W6" s="1" cm="1">
        <f t="array" ref="W6">_xlfn.QUARTILE.INC(IF(Quartile_L[[#This Row],[Industry]]=Main_L[Industry],Main_L[A/E]),3)</f>
        <v>3.85</v>
      </c>
      <c r="X6" s="1">
        <f>Quartile_L[[#This Row],[A/E Q1]]-1.5*(Quartile_L[[#This Row],[A/E Q3]]-Quartile_L[[#This Row],[A/E Q1]])</f>
        <v>-0.8</v>
      </c>
      <c r="Y6" s="1">
        <f>Quartile_L[[#This Row],[A/E Q3]]+1.5*(Quartile_L[[#This Row],[A/E Q3]]-Quartile_L[[#This Row],[A/E Q1]])</f>
        <v>6.6400000000000006</v>
      </c>
    </row>
    <row r="7" spans="1:25" x14ac:dyDescent="0.25">
      <c r="A7" t="s">
        <v>156</v>
      </c>
      <c r="B7" s="1" cm="1">
        <f t="array" ref="B7">_xlfn.QUARTILE.INC(IF(Quartile_L[[#This Row],[Industry]]=Main_L[Industry],Main_L[P/FCF]),1)</f>
        <v>10.456521739130434</v>
      </c>
      <c r="C7" s="1" cm="1">
        <f t="array" ref="C7">_xlfn.QUARTILE.INC(IF(Quartile_L[[#This Row],[Industry]]=Main_L[Industry],Main_L[P/FCF]),3)</f>
        <v>10.456521739130434</v>
      </c>
      <c r="D7" s="1">
        <f>Quartile_L[[#This Row],[P/FCF Q1]]-1.5*(Quartile_L[[#This Row],[P/FCF Q3]]-Quartile_L[[#This Row],[P/FCF Q1]])</f>
        <v>10.456521739130434</v>
      </c>
      <c r="E7" s="1">
        <f>Quartile_L[[#This Row],[P/FCF Q3]]+1.5*(Quartile_L[[#This Row],[P/FCF Q3]]-Quartile_L[[#This Row],[P/FCF Q1]])</f>
        <v>10.456521739130434</v>
      </c>
      <c r="F7" s="1" cm="1">
        <f t="array" ref="F7">_xlfn.QUARTILE.INC(IF(Quartile_L[[#This Row],[Industry]]=Main_L[Industry],Main_L[P/B]),1)</f>
        <v>1.7716390423572743</v>
      </c>
      <c r="G7" s="1" cm="1">
        <f t="array" ref="G7">_xlfn.QUARTILE.INC(IF(Quartile_L[[#This Row],[Industry]]=Main_L[Industry],Main_L[P/B]),3)</f>
        <v>1.7716390423572743</v>
      </c>
      <c r="H7" s="1">
        <f>Quartile_L[[#This Row],[P/B Q1]]-1.5*(Quartile_L[[#This Row],[P/B Q3]]-Quartile_L[[#This Row],[P/B Q1]])</f>
        <v>1.7716390423572743</v>
      </c>
      <c r="I7" s="1">
        <f>Quartile_L[[#This Row],[P/B Q3]]+1.5*(Quartile_L[[#This Row],[P/B Q3]]-Quartile_L[[#This Row],[P/B Q1]])</f>
        <v>1.7716390423572743</v>
      </c>
      <c r="J7" s="1" cm="1">
        <f t="array" ref="J7">_xlfn.QUARTILE.INC(IF(Quartile_L[[#This Row],[Industry]]=Main_L[Industry],Main_L[ROE]),1)</f>
        <v>-2.2000000000000002</v>
      </c>
      <c r="K7" s="1" cm="1">
        <f t="array" ref="K7">_xlfn.QUARTILE.INC(IF(Quartile_L[[#This Row],[Industry]]=Main_L[Industry],Main_L[ROE]),3)</f>
        <v>-2.2000000000000002</v>
      </c>
      <c r="L7" s="1">
        <f>Quartile_L[[#This Row],[ROE Q1]]-1.5*(Quartile_L[[#This Row],[ROE Q3]]-Quartile_L[[#This Row],[ROE Q1]])</f>
        <v>-2.2000000000000002</v>
      </c>
      <c r="M7" s="1">
        <f>Quartile_L[[#This Row],[ROE Q3]]+1.5*(Quartile_L[[#This Row],[ROE Q3]]-Quartile_L[[#This Row],[ROE Q1]])</f>
        <v>-2.2000000000000002</v>
      </c>
      <c r="N7" s="1" cm="1">
        <f t="array" ref="N7">_xlfn.QUARTILE.INC(IF(Quartile_L[[#This Row],[Industry]]=Main_L[Industry],Main_L[ROA]),1)</f>
        <v>6.02</v>
      </c>
      <c r="O7" s="1" cm="1">
        <f t="array" ref="O7">_xlfn.QUARTILE.INC(IF(Quartile_L[[#This Row],[Industry]]=Main_L[Industry],Main_L[ROA]),3)</f>
        <v>6.02</v>
      </c>
      <c r="P7" s="1">
        <f>Quartile_L[[#This Row],[ROA Q1]]-1.5*(Quartile_L[[#This Row],[ROA Q3]]-Quartile_L[[#This Row],[ROA Q1]])</f>
        <v>6.02</v>
      </c>
      <c r="Q7" s="1">
        <f>Quartile_L[[#This Row],[ROA Q3]]+1.5*(Quartile_L[[#This Row],[ROA Q3]]-Quartile_L[[#This Row],[ROA Q1]])</f>
        <v>6.02</v>
      </c>
      <c r="R7" s="1" cm="1">
        <f t="array" ref="R7">_xlfn.QUARTILE.INC(IF(Quartile_L[[#This Row],[Industry]]=Main_L[Industry],Main_L[P/E]),1)</f>
        <v>-73.999999999999986</v>
      </c>
      <c r="S7" s="1" cm="1">
        <f t="array" ref="S7">_xlfn.QUARTILE.INC(IF(Quartile_L[[#This Row],[Industry]]=Main_L[Industry],Main_L[P/E]),3)</f>
        <v>-73.999999999999986</v>
      </c>
      <c r="T7" s="1">
        <f>Quartile_L[[#This Row],[P/E Q1]]-1.5*(Quartile_L[[#This Row],[P/E Q3]]-Quartile_L[[#This Row],[P/E Q1]])</f>
        <v>-73.999999999999986</v>
      </c>
      <c r="U7" s="1">
        <f>Quartile_L[[#This Row],[P/E Q3]]+1.5*(Quartile_L[[#This Row],[P/E Q3]]-Quartile_L[[#This Row],[P/E Q1]])</f>
        <v>-73.999999999999986</v>
      </c>
      <c r="V7" s="1" cm="1">
        <f t="array" ref="V7">_xlfn.QUARTILE.INC(IF(Quartile_L[[#This Row],[Industry]]=Main_L[Industry],Main_L[A/E]),1)</f>
        <v>4.04</v>
      </c>
      <c r="W7" s="1" cm="1">
        <f t="array" ref="W7">_xlfn.QUARTILE.INC(IF(Quartile_L[[#This Row],[Industry]]=Main_L[Industry],Main_L[A/E]),3)</f>
        <v>4.04</v>
      </c>
      <c r="X7" s="1">
        <f>Quartile_L[[#This Row],[A/E Q1]]-1.5*(Quartile_L[[#This Row],[A/E Q3]]-Quartile_L[[#This Row],[A/E Q1]])</f>
        <v>4.04</v>
      </c>
      <c r="Y7" s="1">
        <f>Quartile_L[[#This Row],[A/E Q3]]+1.5*(Quartile_L[[#This Row],[A/E Q3]]-Quartile_L[[#This Row],[A/E Q1]])</f>
        <v>4.04</v>
      </c>
    </row>
    <row r="10" spans="1:25" x14ac:dyDescent="0.25">
      <c r="A10" t="s">
        <v>22</v>
      </c>
    </row>
    <row r="11" spans="1:25" x14ac:dyDescent="0.25">
      <c r="A11" t="s">
        <v>1</v>
      </c>
      <c r="B11" t="s">
        <v>2</v>
      </c>
      <c r="C11" t="s">
        <v>3</v>
      </c>
      <c r="D11" t="s">
        <v>4</v>
      </c>
      <c r="E11" t="s">
        <v>5</v>
      </c>
      <c r="F11" t="s">
        <v>72</v>
      </c>
      <c r="G11" t="s">
        <v>73</v>
      </c>
      <c r="H11" t="s">
        <v>74</v>
      </c>
      <c r="I11" t="s">
        <v>75</v>
      </c>
      <c r="J11" t="s">
        <v>6</v>
      </c>
      <c r="K11" t="s">
        <v>7</v>
      </c>
      <c r="L11" t="s">
        <v>8</v>
      </c>
      <c r="M11" t="s">
        <v>9</v>
      </c>
      <c r="N11" t="s">
        <v>10</v>
      </c>
      <c r="O11" t="s">
        <v>11</v>
      </c>
      <c r="P11" t="s">
        <v>12</v>
      </c>
      <c r="Q11" t="s">
        <v>13</v>
      </c>
      <c r="R11" t="s">
        <v>14</v>
      </c>
      <c r="S11" t="s">
        <v>15</v>
      </c>
      <c r="T11" t="s">
        <v>16</v>
      </c>
      <c r="U11" t="s">
        <v>17</v>
      </c>
      <c r="V11" t="s">
        <v>18</v>
      </c>
      <c r="W11" t="s">
        <v>19</v>
      </c>
      <c r="X11" t="s">
        <v>20</v>
      </c>
      <c r="Y11" t="s">
        <v>21</v>
      </c>
    </row>
    <row r="12" spans="1:25" x14ac:dyDescent="0.25">
      <c r="A12" t="s">
        <v>133</v>
      </c>
      <c r="B12" s="1" cm="1">
        <f t="array" ref="B12">_xlfn.QUARTILE.INC(IF(Quartile_M[[#This Row],[Industry]]=Main_M[Industry],Main_M[P/FCF]),1)</f>
        <v>-14.253246753246751</v>
      </c>
      <c r="C12" s="1" cm="1">
        <f t="array" ref="C12">_xlfn.QUARTILE.INC(IF(Quartile_M[[#This Row],[Industry]]=Main_M[Industry],Main_M[P/FCF]),3)</f>
        <v>31.929411764705883</v>
      </c>
      <c r="D12" s="1">
        <f>Quartile_M[[#This Row],[P/FCF Q1]]-1.5*(Quartile_M[[#This Row],[P/FCF Q3]]-Quartile_M[[#This Row],[P/FCF Q1]])</f>
        <v>-83.527234530175704</v>
      </c>
      <c r="E12" s="1">
        <f>Quartile_M[[#This Row],[P/FCF Q3]]+1.5*(Quartile_M[[#This Row],[P/FCF Q3]]-Quartile_M[[#This Row],[P/FCF Q1]])</f>
        <v>101.20339954163484</v>
      </c>
      <c r="F12" s="1" cm="1">
        <f t="array" ref="F12">_xlfn.QUARTILE.INC(IF(Quartile_M[[#This Row],[Industry]]=Main_M[Industry],Main_M[P/B]),1)</f>
        <v>1.271593944790739</v>
      </c>
      <c r="G12" s="1" cm="1">
        <f t="array" ref="G12">_xlfn.QUARTILE.INC(IF(Quartile_M[[#This Row],[Industry]]=Main_M[Industry],Main_M[P/B]),3)</f>
        <v>3.7099236641221376</v>
      </c>
      <c r="H12" s="1">
        <f>Quartile_M[[#This Row],[P/B Q1]]-1.5*(Quartile_M[[#This Row],[P/B Q3]]-Quartile_M[[#This Row],[P/B Q1]])</f>
        <v>-2.3859006342063589</v>
      </c>
      <c r="I12" s="1">
        <f>Quartile_M[[#This Row],[P/B Q3]]+1.5*(Quartile_M[[#This Row],[P/B Q3]]-Quartile_M[[#This Row],[P/B Q1]])</f>
        <v>7.3674182431192357</v>
      </c>
      <c r="J12" s="1" cm="1">
        <f t="array" ref="J12">_xlfn.QUARTILE.INC(IF(Quartile_M[[#This Row],[Industry]]=Main_M[Industry],Main_M[ROE]),1)</f>
        <v>0.39</v>
      </c>
      <c r="K12" s="1" cm="1">
        <f t="array" ref="K12">_xlfn.QUARTILE.INC(IF(Quartile_M[[#This Row],[Industry]]=Main_M[Industry],Main_M[ROE]),3)</f>
        <v>14.55</v>
      </c>
      <c r="L12" s="1">
        <f>Quartile_M[[#This Row],[ROE Q1]]-1.5*(Quartile_M[[#This Row],[ROE Q3]]-Quartile_M[[#This Row],[ROE Q1]])</f>
        <v>-20.85</v>
      </c>
      <c r="M12" s="1">
        <f>Quartile_M[[#This Row],[ROE Q3]]+1.5*(Quartile_M[[#This Row],[ROE Q3]]-Quartile_M[[#This Row],[ROE Q1]])</f>
        <v>35.790000000000006</v>
      </c>
      <c r="N12" s="1" cm="1">
        <f t="array" ref="N12">_xlfn.QUARTILE.INC(IF(Quartile_M[[#This Row],[Industry]]=Main_M[Industry],Main_M[ROA]),1)</f>
        <v>2.1800000000000002</v>
      </c>
      <c r="O12" s="1" cm="1">
        <f t="array" ref="O12">_xlfn.QUARTILE.INC(IF(Quartile_M[[#This Row],[Industry]]=Main_M[Industry],Main_M[ROA]),3)</f>
        <v>6.82</v>
      </c>
      <c r="P12" s="1">
        <f>Quartile_M[[#This Row],[ROA Q1]]-1.5*(Quartile_M[[#This Row],[ROA Q3]]-Quartile_M[[#This Row],[ROA Q1]])</f>
        <v>-4.7800000000000011</v>
      </c>
      <c r="Q12" s="1">
        <f>Quartile_M[[#This Row],[ROA Q3]]+1.5*(Quartile_M[[#This Row],[ROA Q3]]-Quartile_M[[#This Row],[ROA Q1]])</f>
        <v>13.780000000000001</v>
      </c>
      <c r="R12" s="1" cm="1">
        <f t="array" ref="R12">_xlfn.QUARTILE.INC(IF(Quartile_M[[#This Row],[Industry]]=Main_M[Industry],Main_M[P/E]),1)</f>
        <v>7.9113573407202216</v>
      </c>
      <c r="S12" s="1" cm="1">
        <f t="array" ref="S12">_xlfn.QUARTILE.INC(IF(Quartile_M[[#This Row],[Industry]]=Main_M[Industry],Main_M[P/E]),3)</f>
        <v>33.285714285714285</v>
      </c>
      <c r="T12" s="1">
        <f>Quartile_M[[#This Row],[P/E Q1]]-1.5*(Quartile_M[[#This Row],[P/E Q3]]-Quartile_M[[#This Row],[P/E Q1]])</f>
        <v>-30.150178076770871</v>
      </c>
      <c r="U12" s="1">
        <f>Quartile_M[[#This Row],[P/E Q3]]+1.5*(Quartile_M[[#This Row],[P/E Q3]]-Quartile_M[[#This Row],[P/E Q1]])</f>
        <v>71.347249703205378</v>
      </c>
      <c r="V12" s="1" cm="1">
        <f t="array" ref="V12">_xlfn.QUARTILE.INC(IF(Quartile_M[[#This Row],[Industry]]=Main_M[Industry],Main_M[A/E]),1)</f>
        <v>1.32</v>
      </c>
      <c r="W12" s="1" cm="1">
        <f t="array" ref="W12">_xlfn.QUARTILE.INC(IF(Quartile_M[[#This Row],[Industry]]=Main_M[Industry],Main_M[A/E]),3)</f>
        <v>2.0499999999999998</v>
      </c>
      <c r="X12" s="1">
        <f>Quartile_M[[#This Row],[A/E Q1]]-1.5*(Quartile_M[[#This Row],[A/E Q3]]-Quartile_M[[#This Row],[A/E Q1]])</f>
        <v>0.22500000000000031</v>
      </c>
      <c r="Y12" s="1">
        <f>Quartile_M[[#This Row],[A/E Q3]]+1.5*(Quartile_M[[#This Row],[A/E Q3]]-Quartile_M[[#This Row],[A/E Q1]])</f>
        <v>3.1449999999999996</v>
      </c>
    </row>
    <row r="13" spans="1:25" x14ac:dyDescent="0.25">
      <c r="A13" t="s">
        <v>105</v>
      </c>
      <c r="B13" s="1" cm="1">
        <f t="array" ref="B13">_xlfn.QUARTILE.INC(IF(Quartile_M[[#This Row],[Industry]]=Main_M[Industry],Main_M[P/FCF]),1)</f>
        <v>11.745501643771281</v>
      </c>
      <c r="C13" s="1" cm="1">
        <f t="array" ref="C13">_xlfn.QUARTILE.INC(IF(Quartile_M[[#This Row],[Industry]]=Main_M[Industry],Main_M[P/FCF]),3)</f>
        <v>32.885721810378463</v>
      </c>
      <c r="D13" s="1">
        <f>Quartile_M[[#This Row],[P/FCF Q1]]-1.5*(Quartile_M[[#This Row],[P/FCF Q3]]-Quartile_M[[#This Row],[P/FCF Q1]])</f>
        <v>-19.964828606139495</v>
      </c>
      <c r="E13" s="1">
        <f>Quartile_M[[#This Row],[P/FCF Q3]]+1.5*(Quartile_M[[#This Row],[P/FCF Q3]]-Quartile_M[[#This Row],[P/FCF Q1]])</f>
        <v>64.596052060289239</v>
      </c>
      <c r="F13" s="1" cm="1">
        <f t="array" ref="F13">_xlfn.QUARTILE.INC(IF(Quartile_M[[#This Row],[Industry]]=Main_M[Industry],Main_M[P/B]),1)</f>
        <v>0.93302073434695387</v>
      </c>
      <c r="G13" s="1" cm="1">
        <f t="array" ref="G13">_xlfn.QUARTILE.INC(IF(Quartile_M[[#This Row],[Industry]]=Main_M[Industry],Main_M[P/B]),3)</f>
        <v>2.3061039120517361</v>
      </c>
      <c r="H13" s="1">
        <f>Quartile_M[[#This Row],[P/B Q1]]-1.5*(Quartile_M[[#This Row],[P/B Q3]]-Quartile_M[[#This Row],[P/B Q1]])</f>
        <v>-1.1266040322102198</v>
      </c>
      <c r="I13" s="1">
        <f>Quartile_M[[#This Row],[P/B Q3]]+1.5*(Quartile_M[[#This Row],[P/B Q3]]-Quartile_M[[#This Row],[P/B Q1]])</f>
        <v>4.3657286786089102</v>
      </c>
      <c r="J13" s="1" cm="1">
        <f t="array" ref="J13">_xlfn.QUARTILE.INC(IF(Quartile_M[[#This Row],[Industry]]=Main_M[Industry],Main_M[ROE]),1)</f>
        <v>-3.5225</v>
      </c>
      <c r="K13" s="1" cm="1">
        <f t="array" ref="K13">_xlfn.QUARTILE.INC(IF(Quartile_M[[#This Row],[Industry]]=Main_M[Industry],Main_M[ROE]),3)</f>
        <v>12.0075</v>
      </c>
      <c r="L13" s="1">
        <f>Quartile_M[[#This Row],[ROE Q1]]-1.5*(Quartile_M[[#This Row],[ROE Q3]]-Quartile_M[[#This Row],[ROE Q1]])</f>
        <v>-26.817500000000003</v>
      </c>
      <c r="M13" s="1">
        <f>Quartile_M[[#This Row],[ROE Q3]]+1.5*(Quartile_M[[#This Row],[ROE Q3]]-Quartile_M[[#This Row],[ROE Q1]])</f>
        <v>35.302500000000002</v>
      </c>
      <c r="N13" s="1" cm="1">
        <f t="array" ref="N13">_xlfn.QUARTILE.INC(IF(Quartile_M[[#This Row],[Industry]]=Main_M[Industry],Main_M[ROA]),1)</f>
        <v>2.3925000000000001</v>
      </c>
      <c r="O13" s="1" cm="1">
        <f t="array" ref="O13">_xlfn.QUARTILE.INC(IF(Quartile_M[[#This Row],[Industry]]=Main_M[Industry],Main_M[ROA]),3)</f>
        <v>6.3525</v>
      </c>
      <c r="P13" s="1">
        <f>Quartile_M[[#This Row],[ROA Q1]]-1.5*(Quartile_M[[#This Row],[ROA Q3]]-Quartile_M[[#This Row],[ROA Q1]])</f>
        <v>-3.5474999999999994</v>
      </c>
      <c r="Q13" s="1">
        <f>Quartile_M[[#This Row],[ROA Q3]]+1.5*(Quartile_M[[#This Row],[ROA Q3]]-Quartile_M[[#This Row],[ROA Q1]])</f>
        <v>12.2925</v>
      </c>
      <c r="R13" s="1" cm="1">
        <f t="array" ref="R13">_xlfn.QUARTILE.INC(IF(Quartile_M[[#This Row],[Industry]]=Main_M[Industry],Main_M[P/E]),1)</f>
        <v>-1.128048780487805</v>
      </c>
      <c r="S13" s="1" cm="1">
        <f t="array" ref="S13">_xlfn.QUARTILE.INC(IF(Quartile_M[[#This Row],[Industry]]=Main_M[Industry],Main_M[P/E]),3)</f>
        <v>32.514282368987558</v>
      </c>
      <c r="T13" s="1">
        <f>Quartile_M[[#This Row],[P/E Q1]]-1.5*(Quartile_M[[#This Row],[P/E Q3]]-Quartile_M[[#This Row],[P/E Q1]])</f>
        <v>-51.591545504700846</v>
      </c>
      <c r="U13" s="1">
        <f>Quartile_M[[#This Row],[P/E Q3]]+1.5*(Quartile_M[[#This Row],[P/E Q3]]-Quartile_M[[#This Row],[P/E Q1]])</f>
        <v>82.97777909320061</v>
      </c>
      <c r="V13" s="1" cm="1">
        <f t="array" ref="V13">_xlfn.QUARTILE.INC(IF(Quartile_M[[#This Row],[Industry]]=Main_M[Industry],Main_M[A/E]),1)</f>
        <v>1.97</v>
      </c>
      <c r="W13" s="1" cm="1">
        <f t="array" ref="W13">_xlfn.QUARTILE.INC(IF(Quartile_M[[#This Row],[Industry]]=Main_M[Industry],Main_M[A/E]),3)</f>
        <v>2.5749999999999997</v>
      </c>
      <c r="X13" s="1">
        <f>Quartile_M[[#This Row],[A/E Q1]]-1.5*(Quartile_M[[#This Row],[A/E Q3]]-Quartile_M[[#This Row],[A/E Q1]])</f>
        <v>1.0625000000000004</v>
      </c>
      <c r="Y13" s="1">
        <f>Quartile_M[[#This Row],[A/E Q3]]+1.5*(Quartile_M[[#This Row],[A/E Q3]]-Quartile_M[[#This Row],[A/E Q1]])</f>
        <v>3.4824999999999995</v>
      </c>
    </row>
    <row r="14" spans="1:25" x14ac:dyDescent="0.25">
      <c r="A14" t="s">
        <v>121</v>
      </c>
      <c r="B14" s="1" cm="1">
        <f t="array" ref="B14">_xlfn.QUARTILE.INC(IF(Quartile_M[[#This Row],[Industry]]=Main_M[Industry],Main_M[P/FCF]),1)</f>
        <v>26.153890989287962</v>
      </c>
      <c r="C14" s="1" cm="1">
        <f t="array" ref="C14">_xlfn.QUARTILE.INC(IF(Quartile_M[[#This Row],[Industry]]=Main_M[Industry],Main_M[P/FCF]),3)</f>
        <v>163.43589743589743</v>
      </c>
      <c r="D14" s="1">
        <f>Quartile_M[[#This Row],[P/FCF Q1]]-1.5*(Quartile_M[[#This Row],[P/FCF Q3]]-Quartile_M[[#This Row],[P/FCF Q1]])</f>
        <v>-179.76911868062626</v>
      </c>
      <c r="E14" s="1">
        <f>Quartile_M[[#This Row],[P/FCF Q3]]+1.5*(Quartile_M[[#This Row],[P/FCF Q3]]-Quartile_M[[#This Row],[P/FCF Q1]])</f>
        <v>369.35890710581168</v>
      </c>
      <c r="F14" s="1" cm="1">
        <f t="array" ref="F14">_xlfn.QUARTILE.INC(IF(Quartile_M[[#This Row],[Industry]]=Main_M[Industry],Main_M[P/B]),1)</f>
        <v>4.3603846938580331</v>
      </c>
      <c r="G14" s="1" cm="1">
        <f t="array" ref="G14">_xlfn.QUARTILE.INC(IF(Quartile_M[[#This Row],[Industry]]=Main_M[Industry],Main_M[P/B]),3)</f>
        <v>6.0315137194386841</v>
      </c>
      <c r="H14" s="1">
        <f>Quartile_M[[#This Row],[P/B Q1]]-1.5*(Quartile_M[[#This Row],[P/B Q3]]-Quartile_M[[#This Row],[P/B Q1]])</f>
        <v>1.8536911554870565</v>
      </c>
      <c r="I14" s="1">
        <f>Quartile_M[[#This Row],[P/B Q3]]+1.5*(Quartile_M[[#This Row],[P/B Q3]]-Quartile_M[[#This Row],[P/B Q1]])</f>
        <v>8.5382072578096597</v>
      </c>
      <c r="J14" s="1" cm="1">
        <f t="array" ref="J14">_xlfn.QUARTILE.INC(IF(Quartile_M[[#This Row],[Industry]]=Main_M[Industry],Main_M[ROE]),1)</f>
        <v>11.89</v>
      </c>
      <c r="K14" s="1" cm="1">
        <f t="array" ref="K14">_xlfn.QUARTILE.INC(IF(Quartile_M[[#This Row],[Industry]]=Main_M[Industry],Main_M[ROE]),3)</f>
        <v>27.46</v>
      </c>
      <c r="L14" s="1">
        <f>Quartile_M[[#This Row],[ROE Q1]]-1.5*(Quartile_M[[#This Row],[ROE Q3]]-Quartile_M[[#This Row],[ROE Q1]])</f>
        <v>-11.465</v>
      </c>
      <c r="M14" s="1">
        <f>Quartile_M[[#This Row],[ROE Q3]]+1.5*(Quartile_M[[#This Row],[ROE Q3]]-Quartile_M[[#This Row],[ROE Q1]])</f>
        <v>50.814999999999998</v>
      </c>
      <c r="N14" s="1" cm="1">
        <f t="array" ref="N14">_xlfn.QUARTILE.INC(IF(Quartile_M[[#This Row],[Industry]]=Main_M[Industry],Main_M[ROA]),1)</f>
        <v>5.8150000000000004</v>
      </c>
      <c r="O14" s="1" cm="1">
        <f t="array" ref="O14">_xlfn.QUARTILE.INC(IF(Quartile_M[[#This Row],[Industry]]=Main_M[Industry],Main_M[ROA]),3)</f>
        <v>13.1875</v>
      </c>
      <c r="P14" s="1">
        <f>Quartile_M[[#This Row],[ROA Q1]]-1.5*(Quartile_M[[#This Row],[ROA Q3]]-Quartile_M[[#This Row],[ROA Q1]])</f>
        <v>-5.2437499999999995</v>
      </c>
      <c r="Q14" s="1">
        <f>Quartile_M[[#This Row],[ROA Q3]]+1.5*(Quartile_M[[#This Row],[ROA Q3]]-Quartile_M[[#This Row],[ROA Q1]])</f>
        <v>24.24625</v>
      </c>
      <c r="R14" s="1" cm="1">
        <f t="array" ref="R14">_xlfn.QUARTILE.INC(IF(Quartile_M[[#This Row],[Industry]]=Main_M[Industry],Main_M[P/E]),1)</f>
        <v>21.993967216516236</v>
      </c>
      <c r="S14" s="1" cm="1">
        <f t="array" ref="S14">_xlfn.QUARTILE.INC(IF(Quartile_M[[#This Row],[Industry]]=Main_M[Industry],Main_M[P/E]),3)</f>
        <v>55.724999999999994</v>
      </c>
      <c r="T14" s="1">
        <f>Quartile_M[[#This Row],[P/E Q1]]-1.5*(Quartile_M[[#This Row],[P/E Q3]]-Quartile_M[[#This Row],[P/E Q1]])</f>
        <v>-28.602581958709397</v>
      </c>
      <c r="U14" s="1">
        <f>Quartile_M[[#This Row],[P/E Q3]]+1.5*(Quartile_M[[#This Row],[P/E Q3]]-Quartile_M[[#This Row],[P/E Q1]])</f>
        <v>106.32154917522563</v>
      </c>
      <c r="V14" s="1" cm="1">
        <f t="array" ref="V14">_xlfn.QUARTILE.INC(IF(Quartile_M[[#This Row],[Industry]]=Main_M[Industry],Main_M[A/E]),1)</f>
        <v>1.895</v>
      </c>
      <c r="W14" s="1" cm="1">
        <f t="array" ref="W14">_xlfn.QUARTILE.INC(IF(Quartile_M[[#This Row],[Industry]]=Main_M[Industry],Main_M[A/E]),3)</f>
        <v>2.2625000000000002</v>
      </c>
      <c r="X14" s="1">
        <f>Quartile_M[[#This Row],[A/E Q1]]-1.5*(Quartile_M[[#This Row],[A/E Q3]]-Quartile_M[[#This Row],[A/E Q1]])</f>
        <v>1.3437499999999998</v>
      </c>
      <c r="Y14" s="1">
        <f>Quartile_M[[#This Row],[A/E Q3]]+1.5*(Quartile_M[[#This Row],[A/E Q3]]-Quartile_M[[#This Row],[A/E Q1]])</f>
        <v>2.8137500000000006</v>
      </c>
    </row>
    <row r="15" spans="1:25" x14ac:dyDescent="0.25">
      <c r="A15" t="s">
        <v>125</v>
      </c>
      <c r="B15" s="1" cm="1">
        <f t="array" ref="B15">_xlfn.QUARTILE.INC(IF(Quartile_M[[#This Row],[Industry]]=Main_M[Industry],Main_M[P/FCF]),1)</f>
        <v>9.9646590343454449</v>
      </c>
      <c r="C15" s="1" cm="1">
        <f t="array" ref="C15">_xlfn.QUARTILE.INC(IF(Quartile_M[[#This Row],[Industry]]=Main_M[Industry],Main_M[P/FCF]),3)</f>
        <v>31.563488924050631</v>
      </c>
      <c r="D15" s="1">
        <f>Quartile_M[[#This Row],[P/FCF Q1]]-1.5*(Quartile_M[[#This Row],[P/FCF Q3]]-Quartile_M[[#This Row],[P/FCF Q1]])</f>
        <v>-22.433585800212335</v>
      </c>
      <c r="E15" s="1">
        <f>Quartile_M[[#This Row],[P/FCF Q3]]+1.5*(Quartile_M[[#This Row],[P/FCF Q3]]-Quartile_M[[#This Row],[P/FCF Q1]])</f>
        <v>63.96173375860841</v>
      </c>
      <c r="F15" s="1" cm="1">
        <f t="array" ref="F15">_xlfn.QUARTILE.INC(IF(Quartile_M[[#This Row],[Industry]]=Main_M[Industry],Main_M[P/B]),1)</f>
        <v>1.6754927971513474</v>
      </c>
      <c r="G15" s="1" cm="1">
        <f t="array" ref="G15">_xlfn.QUARTILE.INC(IF(Quartile_M[[#This Row],[Industry]]=Main_M[Industry],Main_M[P/B]),3)</f>
        <v>2.4590913510121468</v>
      </c>
      <c r="H15" s="1">
        <f>Quartile_M[[#This Row],[P/B Q1]]-1.5*(Quartile_M[[#This Row],[P/B Q3]]-Quartile_M[[#This Row],[P/B Q1]])</f>
        <v>0.50009496636014816</v>
      </c>
      <c r="I15" s="1">
        <f>Quartile_M[[#This Row],[P/B Q3]]+1.5*(Quartile_M[[#This Row],[P/B Q3]]-Quartile_M[[#This Row],[P/B Q1]])</f>
        <v>3.634489181803346</v>
      </c>
      <c r="J15" s="1" cm="1">
        <f t="array" ref="J15">_xlfn.QUARTILE.INC(IF(Quartile_M[[#This Row],[Industry]]=Main_M[Industry],Main_M[ROE]),1)</f>
        <v>-0.39500000000000002</v>
      </c>
      <c r="K15" s="1" cm="1">
        <f t="array" ref="K15">_xlfn.QUARTILE.INC(IF(Quartile_M[[#This Row],[Industry]]=Main_M[Industry],Main_M[ROE]),3)</f>
        <v>17.564999999999998</v>
      </c>
      <c r="L15" s="1">
        <f>Quartile_M[[#This Row],[ROE Q1]]-1.5*(Quartile_M[[#This Row],[ROE Q3]]-Quartile_M[[#This Row],[ROE Q1]])</f>
        <v>-27.334999999999997</v>
      </c>
      <c r="M15" s="1">
        <f>Quartile_M[[#This Row],[ROE Q3]]+1.5*(Quartile_M[[#This Row],[ROE Q3]]-Quartile_M[[#This Row],[ROE Q1]])</f>
        <v>44.504999999999995</v>
      </c>
      <c r="N15" s="1" cm="1">
        <f t="array" ref="N15">_xlfn.QUARTILE.INC(IF(Quartile_M[[#This Row],[Industry]]=Main_M[Industry],Main_M[ROA]),1)</f>
        <v>3.625</v>
      </c>
      <c r="O15" s="1" cm="1">
        <f t="array" ref="O15">_xlfn.QUARTILE.INC(IF(Quartile_M[[#This Row],[Industry]]=Main_M[Industry],Main_M[ROA]),3)</f>
        <v>5.34</v>
      </c>
      <c r="P15" s="1">
        <f>Quartile_M[[#This Row],[ROA Q1]]-1.5*(Quartile_M[[#This Row],[ROA Q3]]-Quartile_M[[#This Row],[ROA Q1]])</f>
        <v>1.0525000000000002</v>
      </c>
      <c r="Q15" s="1">
        <f>Quartile_M[[#This Row],[ROA Q3]]+1.5*(Quartile_M[[#This Row],[ROA Q3]]-Quartile_M[[#This Row],[ROA Q1]])</f>
        <v>7.9124999999999996</v>
      </c>
      <c r="R15" s="1" cm="1">
        <f t="array" ref="R15">_xlfn.QUARTILE.INC(IF(Quartile_M[[#This Row],[Industry]]=Main_M[Industry],Main_M[P/E]),1)</f>
        <v>3.153310104529794E-2</v>
      </c>
      <c r="S15" s="1" cm="1">
        <f t="array" ref="S15">_xlfn.QUARTILE.INC(IF(Quartile_M[[#This Row],[Industry]]=Main_M[Industry],Main_M[P/E]),3)</f>
        <v>18.08709892806872</v>
      </c>
      <c r="T15" s="1">
        <f>Quartile_M[[#This Row],[P/E Q1]]-1.5*(Quartile_M[[#This Row],[P/E Q3]]-Quartile_M[[#This Row],[P/E Q1]])</f>
        <v>-27.051815639489835</v>
      </c>
      <c r="U15" s="1">
        <f>Quartile_M[[#This Row],[P/E Q3]]+1.5*(Quartile_M[[#This Row],[P/E Q3]]-Quartile_M[[#This Row],[P/E Q1]])</f>
        <v>45.170447668603856</v>
      </c>
      <c r="V15" s="1" cm="1">
        <f t="array" ref="V15">_xlfn.QUARTILE.INC(IF(Quartile_M[[#This Row],[Industry]]=Main_M[Industry],Main_M[A/E]),1)</f>
        <v>3.4350000000000001</v>
      </c>
      <c r="W15" s="1" cm="1">
        <f t="array" ref="W15">_xlfn.QUARTILE.INC(IF(Quartile_M[[#This Row],[Industry]]=Main_M[Industry],Main_M[A/E]),3)</f>
        <v>6.51</v>
      </c>
      <c r="X15" s="1">
        <f>Quartile_M[[#This Row],[A/E Q1]]-1.5*(Quartile_M[[#This Row],[A/E Q3]]-Quartile_M[[#This Row],[A/E Q1]])</f>
        <v>-1.1774999999999998</v>
      </c>
      <c r="Y15" s="1">
        <f>Quartile_M[[#This Row],[A/E Q3]]+1.5*(Quartile_M[[#This Row],[A/E Q3]]-Quartile_M[[#This Row],[A/E Q1]])</f>
        <v>11.122499999999999</v>
      </c>
    </row>
    <row r="16" spans="1:25" x14ac:dyDescent="0.25">
      <c r="A16" t="s">
        <v>156</v>
      </c>
      <c r="B16" s="1" cm="1">
        <f t="array" ref="B16">_xlfn.QUARTILE.INC(IF(Quartile_M[[#This Row],[Industry]]=Main_M[Industry],Main_M[P/FCF]),1)</f>
        <v>13.01565731333722</v>
      </c>
      <c r="C16" s="1" cm="1">
        <f t="array" ref="C16">_xlfn.QUARTILE.INC(IF(Quartile_M[[#This Row],[Industry]]=Main_M[Industry],Main_M[P/FCF]),3)</f>
        <v>23.277701446900355</v>
      </c>
      <c r="D16" s="1">
        <f>Quartile_M[[#This Row],[P/FCF Q1]]-1.5*(Quartile_M[[#This Row],[P/FCF Q3]]-Quartile_M[[#This Row],[P/FCF Q1]])</f>
        <v>-2.3774088870074817</v>
      </c>
      <c r="E16" s="1">
        <f>Quartile_M[[#This Row],[P/FCF Q3]]+1.5*(Quartile_M[[#This Row],[P/FCF Q3]]-Quartile_M[[#This Row],[P/FCF Q1]])</f>
        <v>38.670767647245057</v>
      </c>
      <c r="F16" s="1" cm="1">
        <f t="array" ref="F16">_xlfn.QUARTILE.INC(IF(Quartile_M[[#This Row],[Industry]]=Main_M[Industry],Main_M[P/B]),1)</f>
        <v>1.9102556948260074</v>
      </c>
      <c r="G16" s="1" cm="1">
        <f t="array" ref="G16">_xlfn.QUARTILE.INC(IF(Quartile_M[[#This Row],[Industry]]=Main_M[Industry],Main_M[P/B]),3)</f>
        <v>2.7674134932840682</v>
      </c>
      <c r="H16" s="1">
        <f>Quartile_M[[#This Row],[P/B Q1]]-1.5*(Quartile_M[[#This Row],[P/B Q3]]-Quartile_M[[#This Row],[P/B Q1]])</f>
        <v>0.62451899713891623</v>
      </c>
      <c r="I16" s="1">
        <f>Quartile_M[[#This Row],[P/B Q3]]+1.5*(Quartile_M[[#This Row],[P/B Q3]]-Quartile_M[[#This Row],[P/B Q1]])</f>
        <v>4.0531501909711594</v>
      </c>
      <c r="J16" s="1" cm="1">
        <f t="array" ref="J16">_xlfn.QUARTILE.INC(IF(Quartile_M[[#This Row],[Industry]]=Main_M[Industry],Main_M[ROE]),1)</f>
        <v>13.469999999999997</v>
      </c>
      <c r="K16" s="1" cm="1">
        <f t="array" ref="K16">_xlfn.QUARTILE.INC(IF(Quartile_M[[#This Row],[Industry]]=Main_M[Industry],Main_M[ROE]),3)</f>
        <v>26.227499999999999</v>
      </c>
      <c r="L16" s="1">
        <f>Quartile_M[[#This Row],[ROE Q1]]-1.5*(Quartile_M[[#This Row],[ROE Q3]]-Quartile_M[[#This Row],[ROE Q1]])</f>
        <v>-5.6662500000000069</v>
      </c>
      <c r="M16" s="1">
        <f>Quartile_M[[#This Row],[ROE Q3]]+1.5*(Quartile_M[[#This Row],[ROE Q3]]-Quartile_M[[#This Row],[ROE Q1]])</f>
        <v>45.363750000000003</v>
      </c>
      <c r="N16" s="1" cm="1">
        <f t="array" ref="N16">_xlfn.QUARTILE.INC(IF(Quartile_M[[#This Row],[Industry]]=Main_M[Industry],Main_M[ROA]),1)</f>
        <v>5.9749999999999996</v>
      </c>
      <c r="O16" s="1" cm="1">
        <f t="array" ref="O16">_xlfn.QUARTILE.INC(IF(Quartile_M[[#This Row],[Industry]]=Main_M[Industry],Main_M[ROA]),3)</f>
        <v>10.3775</v>
      </c>
      <c r="P16" s="1">
        <f>Quartile_M[[#This Row],[ROA Q1]]-1.5*(Quartile_M[[#This Row],[ROA Q3]]-Quartile_M[[#This Row],[ROA Q1]])</f>
        <v>-0.62875000000000014</v>
      </c>
      <c r="Q16" s="1">
        <f>Quartile_M[[#This Row],[ROA Q3]]+1.5*(Quartile_M[[#This Row],[ROA Q3]]-Quartile_M[[#This Row],[ROA Q1]])</f>
        <v>16.981249999999999</v>
      </c>
      <c r="R16" s="1" cm="1">
        <f t="array" ref="R16">_xlfn.QUARTILE.INC(IF(Quartile_M[[#This Row],[Industry]]=Main_M[Industry],Main_M[P/E]),1)</f>
        <v>-468.13837976539571</v>
      </c>
      <c r="S16" s="1" cm="1">
        <f t="array" ref="S16">_xlfn.QUARTILE.INC(IF(Quartile_M[[#This Row],[Industry]]=Main_M[Industry],Main_M[P/E]),3)</f>
        <v>14.23224352752516</v>
      </c>
      <c r="T16" s="1">
        <f>Quartile_M[[#This Row],[P/E Q1]]-1.5*(Quartile_M[[#This Row],[P/E Q3]]-Quartile_M[[#This Row],[P/E Q1]])</f>
        <v>-1191.6943147047771</v>
      </c>
      <c r="U16" s="1">
        <f>Quartile_M[[#This Row],[P/E Q3]]+1.5*(Quartile_M[[#This Row],[P/E Q3]]-Quartile_M[[#This Row],[P/E Q1]])</f>
        <v>737.78817846690652</v>
      </c>
      <c r="V16" s="1" cm="1">
        <f t="array" ref="V16">_xlfn.QUARTILE.INC(IF(Quartile_M[[#This Row],[Industry]]=Main_M[Industry],Main_M[A/E]),1)</f>
        <v>1.4550000000000001</v>
      </c>
      <c r="W16" s="1" cm="1">
        <f t="array" ref="W16">_xlfn.QUARTILE.INC(IF(Quartile_M[[#This Row],[Industry]]=Main_M[Industry],Main_M[A/E]),3)</f>
        <v>2.33</v>
      </c>
      <c r="X16" s="1">
        <f>Quartile_M[[#This Row],[A/E Q1]]-1.5*(Quartile_M[[#This Row],[A/E Q3]]-Quartile_M[[#This Row],[A/E Q1]])</f>
        <v>0.14250000000000007</v>
      </c>
      <c r="Y16" s="1">
        <f>Quartile_M[[#This Row],[A/E Q3]]+1.5*(Quartile_M[[#This Row],[A/E Q3]]-Quartile_M[[#This Row],[A/E Q1]])</f>
        <v>3.6425000000000001</v>
      </c>
    </row>
    <row r="19" spans="1:25" x14ac:dyDescent="0.25">
      <c r="A19" t="s">
        <v>23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133</v>
      </c>
      <c r="B21" s="1" cm="1">
        <f t="array" ref="B21">_xlfn.QUARTILE.INC(IF(Quartile_S[[#This Row],[Industry]]=Main_S[Industry],Main_S[P/FCF]),1)</f>
        <v>-31.742245989304809</v>
      </c>
      <c r="C21" s="1" cm="1">
        <f t="array" ref="C21">_xlfn.QUARTILE.INC(IF(Quartile_S[[#This Row],[Industry]]=Main_S[Industry],Main_S[P/FCF]),3)</f>
        <v>6.1648994145490779</v>
      </c>
      <c r="D21" s="1">
        <f>Quartile_S[[#This Row],[P/FCF Q1]]-1.5*(Quartile_S[[#This Row],[P/FCF Q3]]-Quartile_S[[#This Row],[P/FCF Q1]])</f>
        <v>-88.602964095085639</v>
      </c>
      <c r="E21" s="1">
        <f>Quartile_S[[#This Row],[P/FCF Q3]]+1.5*(Quartile_S[[#This Row],[P/FCF Q3]]-Quartile_S[[#This Row],[P/FCF Q1]])</f>
        <v>63.025617520329909</v>
      </c>
      <c r="F21" s="1" cm="1">
        <f t="array" ref="F21">_xlfn.QUARTILE.INC(IF(Quartile_S[[#This Row],[Industry]]=Main_S[Industry],Main_S[P/B]),1)</f>
        <v>1.2779712185575867</v>
      </c>
      <c r="G21" s="1" cm="1">
        <f t="array" ref="G21">_xlfn.QUARTILE.INC(IF(Quartile_S[[#This Row],[Industry]]=Main_S[Industry],Main_S[P/B]),3)</f>
        <v>5.0882557951045548</v>
      </c>
      <c r="H21" s="1">
        <f>Quartile_S[[#This Row],[P/B Q1]]-1.5*(Quartile_S[[#This Row],[P/B Q3]]-Quartile_S[[#This Row],[P/B Q1]])</f>
        <v>-4.4374556462628654</v>
      </c>
      <c r="I21" s="1">
        <f>Quartile_S[[#This Row],[P/B Q3]]+1.5*(Quartile_S[[#This Row],[P/B Q3]]-Quartile_S[[#This Row],[P/B Q1]])</f>
        <v>10.803682659925007</v>
      </c>
      <c r="J21" s="1" cm="1">
        <f t="array" ref="J21">_xlfn.QUARTILE.INC(IF(Quartile_S[[#This Row],[Industry]]=Main_S[Industry],Main_S[ROE]),1)</f>
        <v>-21.880000000000003</v>
      </c>
      <c r="K21" s="1" cm="1">
        <f t="array" ref="K21">_xlfn.QUARTILE.INC(IF(Quartile_S[[#This Row],[Industry]]=Main_S[Industry],Main_S[ROE]),3)</f>
        <v>7.879999999999999</v>
      </c>
      <c r="L21" s="1">
        <f>Quartile_S[[#This Row],[ROE Q1]]-1.5*(Quartile_S[[#This Row],[ROE Q3]]-Quartile_S[[#This Row],[ROE Q1]])</f>
        <v>-66.52000000000001</v>
      </c>
      <c r="M21" s="1">
        <f>Quartile_S[[#This Row],[ROE Q3]]+1.5*(Quartile_S[[#This Row],[ROE Q3]]-Quartile_S[[#This Row],[ROE Q1]])</f>
        <v>52.519999999999996</v>
      </c>
      <c r="N21" s="1" cm="1">
        <f t="array" ref="N21">_xlfn.QUARTILE.INC(IF(Quartile_S[[#This Row],[Industry]]=Main_S[Industry],Main_S[ROA]),1)</f>
        <v>-9.504999999999999</v>
      </c>
      <c r="O21" s="1" cm="1">
        <f t="array" ref="O21">_xlfn.QUARTILE.INC(IF(Quartile_S[[#This Row],[Industry]]=Main_S[Industry],Main_S[ROA]),3)</f>
        <v>3.4249999999999998</v>
      </c>
      <c r="P21" s="1">
        <f>Quartile_S[[#This Row],[ROA Q1]]-1.5*(Quartile_S[[#This Row],[ROA Q3]]-Quartile_S[[#This Row],[ROA Q1]])</f>
        <v>-28.9</v>
      </c>
      <c r="Q21" s="1">
        <f>Quartile_S[[#This Row],[ROA Q3]]+1.5*(Quartile_S[[#This Row],[ROA Q3]]-Quartile_S[[#This Row],[ROA Q1]])</f>
        <v>22.82</v>
      </c>
      <c r="R21" s="1" cm="1">
        <f t="array" ref="R21">_xlfn.QUARTILE.INC(IF(Quartile_S[[#This Row],[Industry]]=Main_S[Industry],Main_S[P/E]),1)</f>
        <v>-32.076923076923073</v>
      </c>
      <c r="S21" s="1" cm="1">
        <f t="array" ref="S21">_xlfn.QUARTILE.INC(IF(Quartile_S[[#This Row],[Industry]]=Main_S[Industry],Main_S[P/E]),3)</f>
        <v>12.502728971962618</v>
      </c>
      <c r="T21" s="1">
        <f>Quartile_S[[#This Row],[P/E Q1]]-1.5*(Quartile_S[[#This Row],[P/E Q3]]-Quartile_S[[#This Row],[P/E Q1]])</f>
        <v>-98.946401150251603</v>
      </c>
      <c r="U21" s="1">
        <f>Quartile_S[[#This Row],[P/E Q3]]+1.5*(Quartile_S[[#This Row],[P/E Q3]]-Quartile_S[[#This Row],[P/E Q1]])</f>
        <v>79.372207045291162</v>
      </c>
      <c r="V21" s="1" cm="1">
        <f t="array" ref="V21">_xlfn.QUARTILE.INC(IF(Quartile_S[[#This Row],[Industry]]=Main_S[Industry],Main_S[A/E]),1)</f>
        <v>1.0950000000000002</v>
      </c>
      <c r="W21" s="1" cm="1">
        <f t="array" ref="W21">_xlfn.QUARTILE.INC(IF(Quartile_S[[#This Row],[Industry]]=Main_S[Industry],Main_S[A/E]),3)</f>
        <v>1.9649999999999999</v>
      </c>
      <c r="X21" s="1">
        <f>Quartile_S[[#This Row],[A/E Q1]]-1.5*(Quartile_S[[#This Row],[A/E Q3]]-Quartile_S[[#This Row],[A/E Q1]])</f>
        <v>-0.2099999999999993</v>
      </c>
      <c r="Y21" s="1">
        <f>Quartile_S[[#This Row],[A/E Q3]]+1.5*(Quartile_S[[#This Row],[A/E Q3]]-Quartile_S[[#This Row],[A/E Q1]])</f>
        <v>3.2699999999999996</v>
      </c>
    </row>
    <row r="22" spans="1:25" x14ac:dyDescent="0.25">
      <c r="A22" t="s">
        <v>105</v>
      </c>
      <c r="B22" s="1" cm="1">
        <f t="array" ref="B22">_xlfn.QUARTILE.INC(IF(Quartile_S[[#This Row],[Industry]]=Main_S[Industry],Main_S[P/FCF]),1)</f>
        <v>-9.2563308469455201</v>
      </c>
      <c r="C22" s="1" cm="1">
        <f t="array" ref="C22">_xlfn.QUARTILE.INC(IF(Quartile_S[[#This Row],[Industry]]=Main_S[Industry],Main_S[P/FCF]),3)</f>
        <v>15.985485431674014</v>
      </c>
      <c r="D22" s="1">
        <f>Quartile_S[[#This Row],[P/FCF Q1]]-1.5*(Quartile_S[[#This Row],[P/FCF Q3]]-Quartile_S[[#This Row],[P/FCF Q1]])</f>
        <v>-47.119055264874817</v>
      </c>
      <c r="E22" s="1">
        <f>Quartile_S[[#This Row],[P/FCF Q3]]+1.5*(Quartile_S[[#This Row],[P/FCF Q3]]-Quartile_S[[#This Row],[P/FCF Q1]])</f>
        <v>53.848209849603315</v>
      </c>
      <c r="F22" s="1" cm="1">
        <f t="array" ref="F22">_xlfn.QUARTILE.INC(IF(Quartile_S[[#This Row],[Industry]]=Main_S[Industry],Main_S[P/B]),1)</f>
        <v>0.84714299858090492</v>
      </c>
      <c r="G22" s="1" cm="1">
        <f t="array" ref="G22">_xlfn.QUARTILE.INC(IF(Quartile_S[[#This Row],[Industry]]=Main_S[Industry],Main_S[P/B]),3)</f>
        <v>2.9002515169787539</v>
      </c>
      <c r="H22" s="1">
        <f>Quartile_S[[#This Row],[P/B Q1]]-1.5*(Quartile_S[[#This Row],[P/B Q3]]-Quartile_S[[#This Row],[P/B Q1]])</f>
        <v>-2.2325197790158686</v>
      </c>
      <c r="I22" s="1">
        <f>Quartile_S[[#This Row],[P/B Q3]]+1.5*(Quartile_S[[#This Row],[P/B Q3]]-Quartile_S[[#This Row],[P/B Q1]])</f>
        <v>5.9799142945755275</v>
      </c>
      <c r="J22" s="1" cm="1">
        <f t="array" ref="J22">_xlfn.QUARTILE.INC(IF(Quartile_S[[#This Row],[Industry]]=Main_S[Industry],Main_S[ROE]),1)</f>
        <v>-9.6649999999999991</v>
      </c>
      <c r="K22" s="1" cm="1">
        <f t="array" ref="K22">_xlfn.QUARTILE.INC(IF(Quartile_S[[#This Row],[Industry]]=Main_S[Industry],Main_S[ROE]),3)</f>
        <v>12.335000000000001</v>
      </c>
      <c r="L22" s="1">
        <f>Quartile_S[[#This Row],[ROE Q1]]-1.5*(Quartile_S[[#This Row],[ROE Q3]]-Quartile_S[[#This Row],[ROE Q1]])</f>
        <v>-42.664999999999999</v>
      </c>
      <c r="M22" s="1">
        <f>Quartile_S[[#This Row],[ROE Q3]]+1.5*(Quartile_S[[#This Row],[ROE Q3]]-Quartile_S[[#This Row],[ROE Q1]])</f>
        <v>45.335000000000001</v>
      </c>
      <c r="N22" s="1" cm="1">
        <f t="array" ref="N22">_xlfn.QUARTILE.INC(IF(Quartile_S[[#This Row],[Industry]]=Main_S[Industry],Main_S[ROA]),1)</f>
        <v>0.66</v>
      </c>
      <c r="O22" s="1" cm="1">
        <f t="array" ref="O22">_xlfn.QUARTILE.INC(IF(Quartile_S[[#This Row],[Industry]]=Main_S[Industry],Main_S[ROA]),3)</f>
        <v>5.6150000000000002</v>
      </c>
      <c r="P22" s="1">
        <f>Quartile_S[[#This Row],[ROA Q1]]-1.5*(Quartile_S[[#This Row],[ROA Q3]]-Quartile_S[[#This Row],[ROA Q1]])</f>
        <v>-6.7725</v>
      </c>
      <c r="Q22" s="1">
        <f>Quartile_S[[#This Row],[ROA Q3]]+1.5*(Quartile_S[[#This Row],[ROA Q3]]-Quartile_S[[#This Row],[ROA Q1]])</f>
        <v>13.047499999999999</v>
      </c>
      <c r="R22" s="1" cm="1">
        <f t="array" ref="R22">_xlfn.QUARTILE.INC(IF(Quartile_S[[#This Row],[Industry]]=Main_S[Industry],Main_S[P/E]),1)</f>
        <v>-7.8164246823956454</v>
      </c>
      <c r="S22" s="1" cm="1">
        <f t="array" ref="S22">_xlfn.QUARTILE.INC(IF(Quartile_S[[#This Row],[Industry]]=Main_S[Industry],Main_S[P/E]),3)</f>
        <v>18.869235356059935</v>
      </c>
      <c r="T22" s="1">
        <f>Quartile_S[[#This Row],[P/E Q1]]-1.5*(Quartile_S[[#This Row],[P/E Q3]]-Quartile_S[[#This Row],[P/E Q1]])</f>
        <v>-47.84491474007902</v>
      </c>
      <c r="U22" s="1">
        <f>Quartile_S[[#This Row],[P/E Q3]]+1.5*(Quartile_S[[#This Row],[P/E Q3]]-Quartile_S[[#This Row],[P/E Q1]])</f>
        <v>58.897725413743302</v>
      </c>
      <c r="V22" s="1" cm="1">
        <f t="array" ref="V22">_xlfn.QUARTILE.INC(IF(Quartile_S[[#This Row],[Industry]]=Main_S[Industry],Main_S[A/E]),1)</f>
        <v>1.9849999999999999</v>
      </c>
      <c r="W22" s="1" cm="1">
        <f t="array" ref="W22">_xlfn.QUARTILE.INC(IF(Quartile_S[[#This Row],[Industry]]=Main_S[Industry],Main_S[A/E]),3)</f>
        <v>3.335</v>
      </c>
      <c r="X22" s="1">
        <f>Quartile_S[[#This Row],[A/E Q1]]-1.5*(Quartile_S[[#This Row],[A/E Q3]]-Quartile_S[[#This Row],[A/E Q1]])</f>
        <v>-4.000000000000048E-2</v>
      </c>
      <c r="Y22" s="1">
        <f>Quartile_S[[#This Row],[A/E Q3]]+1.5*(Quartile_S[[#This Row],[A/E Q3]]-Quartile_S[[#This Row],[A/E Q1]])</f>
        <v>5.36</v>
      </c>
    </row>
    <row r="23" spans="1:25" x14ac:dyDescent="0.25">
      <c r="A23" t="s">
        <v>121</v>
      </c>
      <c r="B23" s="1" cm="1">
        <f t="array" ref="B23">_xlfn.QUARTILE.INC(IF(Quartile_S[[#This Row],[Industry]]=Main_S[Industry],Main_S[P/FCF]),1)</f>
        <v>25.221362229102169</v>
      </c>
      <c r="C23" s="1" cm="1">
        <f t="array" ref="C23">_xlfn.QUARTILE.INC(IF(Quartile_S[[#This Row],[Industry]]=Main_S[Industry],Main_S[P/FCF]),3)</f>
        <v>29.389576883384933</v>
      </c>
      <c r="D23" s="1">
        <f>Quartile_S[[#This Row],[P/FCF Q1]]-1.5*(Quartile_S[[#This Row],[P/FCF Q3]]-Quartile_S[[#This Row],[P/FCF Q1]])</f>
        <v>18.969040247678024</v>
      </c>
      <c r="E23" s="1">
        <f>Quartile_S[[#This Row],[P/FCF Q3]]+1.5*(Quartile_S[[#This Row],[P/FCF Q3]]-Quartile_S[[#This Row],[P/FCF Q1]])</f>
        <v>35.641898864809079</v>
      </c>
      <c r="F23" s="1" cm="1">
        <f t="array" ref="F23">_xlfn.QUARTILE.INC(IF(Quartile_S[[#This Row],[Industry]]=Main_S[Industry],Main_S[P/B]),1)</f>
        <v>3.1240691489361705</v>
      </c>
      <c r="G23" s="1" cm="1">
        <f t="array" ref="G23">_xlfn.QUARTILE.INC(IF(Quartile_S[[#This Row],[Industry]]=Main_S[Industry],Main_S[P/B]),3)</f>
        <v>6.0246897163120572</v>
      </c>
      <c r="H23" s="1">
        <f>Quartile_S[[#This Row],[P/B Q1]]-1.5*(Quartile_S[[#This Row],[P/B Q3]]-Quartile_S[[#This Row],[P/B Q1]])</f>
        <v>-1.2268617021276595</v>
      </c>
      <c r="I23" s="1">
        <f>Quartile_S[[#This Row],[P/B Q3]]+1.5*(Quartile_S[[#This Row],[P/B Q3]]-Quartile_S[[#This Row],[P/B Q1]])</f>
        <v>10.375620567375886</v>
      </c>
      <c r="J23" s="1" cm="1">
        <f t="array" ref="J23">_xlfn.QUARTILE.INC(IF(Quartile_S[[#This Row],[Industry]]=Main_S[Industry],Main_S[ROE]),1)</f>
        <v>14.46</v>
      </c>
      <c r="K23" s="1" cm="1">
        <f t="array" ref="K23">_xlfn.QUARTILE.INC(IF(Quartile_S[[#This Row],[Industry]]=Main_S[Industry],Main_S[ROE]),3)</f>
        <v>15.58</v>
      </c>
      <c r="L23" s="1">
        <f>Quartile_S[[#This Row],[ROE Q1]]-1.5*(Quartile_S[[#This Row],[ROE Q3]]-Quartile_S[[#This Row],[ROE Q1]])</f>
        <v>12.780000000000001</v>
      </c>
      <c r="M23" s="1">
        <f>Quartile_S[[#This Row],[ROE Q3]]+1.5*(Quartile_S[[#This Row],[ROE Q3]]-Quartile_S[[#This Row],[ROE Q1]])</f>
        <v>17.259999999999998</v>
      </c>
      <c r="N23" s="1" cm="1">
        <f t="array" ref="N23">_xlfn.QUARTILE.INC(IF(Quartile_S[[#This Row],[Industry]]=Main_S[Industry],Main_S[ROA]),1)</f>
        <v>5.9775</v>
      </c>
      <c r="O23" s="1" cm="1">
        <f t="array" ref="O23">_xlfn.QUARTILE.INC(IF(Quartile_S[[#This Row],[Industry]]=Main_S[Industry],Main_S[ROA]),3)</f>
        <v>7.0925000000000002</v>
      </c>
      <c r="P23" s="1">
        <f>Quartile_S[[#This Row],[ROA Q1]]-1.5*(Quartile_S[[#This Row],[ROA Q3]]-Quartile_S[[#This Row],[ROA Q1]])</f>
        <v>4.3049999999999997</v>
      </c>
      <c r="Q23" s="1">
        <f>Quartile_S[[#This Row],[ROA Q3]]+1.5*(Quartile_S[[#This Row],[ROA Q3]]-Quartile_S[[#This Row],[ROA Q1]])</f>
        <v>8.7650000000000006</v>
      </c>
      <c r="R23" s="1" cm="1">
        <f t="array" ref="R23">_xlfn.QUARTILE.INC(IF(Quartile_S[[#This Row],[Industry]]=Main_S[Industry],Main_S[P/E]),1)</f>
        <v>22.993506493506494</v>
      </c>
      <c r="S23" s="1" cm="1">
        <f t="array" ref="S23">_xlfn.QUARTILE.INC(IF(Quartile_S[[#This Row],[Industry]]=Main_S[Industry],Main_S[P/E]),3)</f>
        <v>38.331168831168831</v>
      </c>
      <c r="T23" s="1">
        <f>Quartile_S[[#This Row],[P/E Q1]]-1.5*(Quartile_S[[#This Row],[P/E Q3]]-Quartile_S[[#This Row],[P/E Q1]])</f>
        <v>-1.2987012987011326E-2</v>
      </c>
      <c r="U23" s="1">
        <f>Quartile_S[[#This Row],[P/E Q3]]+1.5*(Quartile_S[[#This Row],[P/E Q3]]-Quartile_S[[#This Row],[P/E Q1]])</f>
        <v>61.337662337662337</v>
      </c>
      <c r="V23" s="1" cm="1">
        <f t="array" ref="V23">_xlfn.QUARTILE.INC(IF(Quartile_S[[#This Row],[Industry]]=Main_S[Industry],Main_S[A/E]),1)</f>
        <v>1.95</v>
      </c>
      <c r="W23" s="1" cm="1">
        <f t="array" ref="W23">_xlfn.QUARTILE.INC(IF(Quartile_S[[#This Row],[Industry]]=Main_S[Industry],Main_S[A/E]),3)</f>
        <v>2.33</v>
      </c>
      <c r="X23" s="1">
        <f>Quartile_S[[#This Row],[A/E Q1]]-1.5*(Quartile_S[[#This Row],[A/E Q3]]-Quartile_S[[#This Row],[A/E Q1]])</f>
        <v>1.38</v>
      </c>
      <c r="Y23" s="1">
        <f>Quartile_S[[#This Row],[A/E Q3]]+1.5*(Quartile_S[[#This Row],[A/E Q3]]-Quartile_S[[#This Row],[A/E Q1]])</f>
        <v>2.9000000000000004</v>
      </c>
    </row>
    <row r="24" spans="1:25" x14ac:dyDescent="0.25">
      <c r="A24" t="s">
        <v>125</v>
      </c>
      <c r="B24" s="1" cm="1">
        <f t="array" ref="B24">_xlfn.QUARTILE.INC(IF(Quartile_S[[#This Row],[Industry]]=Main_S[Industry],Main_S[P/FCF]),1)</f>
        <v>11.106211474632527</v>
      </c>
      <c r="C24" s="1" cm="1">
        <f t="array" ref="C24">_xlfn.QUARTILE.INC(IF(Quartile_S[[#This Row],[Industry]]=Main_S[Industry],Main_S[P/FCF]),3)</f>
        <v>35.431107954545453</v>
      </c>
      <c r="D24" s="1">
        <f>Quartile_S[[#This Row],[P/FCF Q1]]-1.5*(Quartile_S[[#This Row],[P/FCF Q3]]-Quartile_S[[#This Row],[P/FCF Q1]])</f>
        <v>-25.381133245236864</v>
      </c>
      <c r="E24" s="1">
        <f>Quartile_S[[#This Row],[P/FCF Q3]]+1.5*(Quartile_S[[#This Row],[P/FCF Q3]]-Quartile_S[[#This Row],[P/FCF Q1]])</f>
        <v>71.918452674414851</v>
      </c>
      <c r="F24" s="1" cm="1">
        <f t="array" ref="F24">_xlfn.QUARTILE.INC(IF(Quartile_S[[#This Row],[Industry]]=Main_S[Industry],Main_S[P/B]),1)</f>
        <v>0.85306156497471841</v>
      </c>
      <c r="G24" s="1" cm="1">
        <f t="array" ref="G24">_xlfn.QUARTILE.INC(IF(Quartile_S[[#This Row],[Industry]]=Main_S[Industry],Main_S[P/B]),3)</f>
        <v>1.6718626516526729</v>
      </c>
      <c r="H24" s="1">
        <f>Quartile_S[[#This Row],[P/B Q1]]-1.5*(Quartile_S[[#This Row],[P/B Q3]]-Quartile_S[[#This Row],[P/B Q1]])</f>
        <v>-0.37514006504221342</v>
      </c>
      <c r="I24" s="1">
        <f>Quartile_S[[#This Row],[P/B Q3]]+1.5*(Quartile_S[[#This Row],[P/B Q3]]-Quartile_S[[#This Row],[P/B Q1]])</f>
        <v>2.9000642816696045</v>
      </c>
      <c r="J24" s="1" cm="1">
        <f t="array" ref="J24">_xlfn.QUARTILE.INC(IF(Quartile_S[[#This Row],[Industry]]=Main_S[Industry],Main_S[ROE]),1)</f>
        <v>1.6674999999999995</v>
      </c>
      <c r="K24" s="1" cm="1">
        <f t="array" ref="K24">_xlfn.QUARTILE.INC(IF(Quartile_S[[#This Row],[Industry]]=Main_S[Industry],Main_S[ROE]),3)</f>
        <v>5.6049999999999995</v>
      </c>
      <c r="L24" s="1">
        <f>Quartile_S[[#This Row],[ROE Q1]]-1.5*(Quartile_S[[#This Row],[ROE Q3]]-Quartile_S[[#This Row],[ROE Q1]])</f>
        <v>-4.2387500000000005</v>
      </c>
      <c r="M24" s="1">
        <f>Quartile_S[[#This Row],[ROE Q3]]+1.5*(Quartile_S[[#This Row],[ROE Q3]]-Quartile_S[[#This Row],[ROE Q1]])</f>
        <v>11.51125</v>
      </c>
      <c r="N24" s="1" cm="1">
        <f t="array" ref="N24">_xlfn.QUARTILE.INC(IF(Quartile_S[[#This Row],[Industry]]=Main_S[Industry],Main_S[ROA]),1)</f>
        <v>1.8674999999999995</v>
      </c>
      <c r="O24" s="1" cm="1">
        <f t="array" ref="O24">_xlfn.QUARTILE.INC(IF(Quartile_S[[#This Row],[Industry]]=Main_S[Industry],Main_S[ROA]),3)</f>
        <v>4.6875</v>
      </c>
      <c r="P24" s="1">
        <f>Quartile_S[[#This Row],[ROA Q1]]-1.5*(Quartile_S[[#This Row],[ROA Q3]]-Quartile_S[[#This Row],[ROA Q1]])</f>
        <v>-2.3625000000000007</v>
      </c>
      <c r="Q24" s="1">
        <f>Quartile_S[[#This Row],[ROA Q3]]+1.5*(Quartile_S[[#This Row],[ROA Q3]]-Quartile_S[[#This Row],[ROA Q1]])</f>
        <v>8.9175000000000004</v>
      </c>
      <c r="R24" s="1" cm="1">
        <f t="array" ref="R24">_xlfn.QUARTILE.INC(IF(Quartile_S[[#This Row],[Industry]]=Main_S[Industry],Main_S[P/E]),1)</f>
        <v>5.5797899922219347</v>
      </c>
      <c r="S24" s="1" cm="1">
        <f t="array" ref="S24">_xlfn.QUARTILE.INC(IF(Quartile_S[[#This Row],[Industry]]=Main_S[Industry],Main_S[P/E]),3)</f>
        <v>38.828733766233768</v>
      </c>
      <c r="T24" s="1">
        <f>Quartile_S[[#This Row],[P/E Q1]]-1.5*(Quartile_S[[#This Row],[P/E Q3]]-Quartile_S[[#This Row],[P/E Q1]])</f>
        <v>-44.293625668795819</v>
      </c>
      <c r="U24" s="1">
        <f>Quartile_S[[#This Row],[P/E Q3]]+1.5*(Quartile_S[[#This Row],[P/E Q3]]-Quartile_S[[#This Row],[P/E Q1]])</f>
        <v>88.702149427251527</v>
      </c>
      <c r="V24" s="1" cm="1">
        <f t="array" ref="V24">_xlfn.QUARTILE.INC(IF(Quartile_S[[#This Row],[Industry]]=Main_S[Industry],Main_S[A/E]),1)</f>
        <v>1.9824999999999999</v>
      </c>
      <c r="W24" s="1" cm="1">
        <f t="array" ref="W24">_xlfn.QUARTILE.INC(IF(Quartile_S[[#This Row],[Industry]]=Main_S[Industry],Main_S[A/E]),3)</f>
        <v>2.3425000000000002</v>
      </c>
      <c r="X24" s="1">
        <f>Quartile_S[[#This Row],[A/E Q1]]-1.5*(Quartile_S[[#This Row],[A/E Q3]]-Quartile_S[[#This Row],[A/E Q1]])</f>
        <v>1.4424999999999994</v>
      </c>
      <c r="Y24" s="1">
        <f>Quartile_S[[#This Row],[A/E Q3]]+1.5*(Quartile_S[[#This Row],[A/E Q3]]-Quartile_S[[#This Row],[A/E Q1]])</f>
        <v>2.8825000000000007</v>
      </c>
    </row>
    <row r="25" spans="1:25" x14ac:dyDescent="0.25">
      <c r="A25" t="s">
        <v>156</v>
      </c>
      <c r="B25" s="1" cm="1">
        <f t="array" ref="B25">_xlfn.QUARTILE.INC(IF(Quartile_S[[#This Row],[Industry]]=Main_S[Industry],Main_S[P/FCF]),1)</f>
        <v>-4.0717974180734862</v>
      </c>
      <c r="C25" s="1" cm="1">
        <f t="array" ref="C25">_xlfn.QUARTILE.INC(IF(Quartile_S[[#This Row],[Industry]]=Main_S[Industry],Main_S[P/FCF]),3)</f>
        <v>4.7868712602842187</v>
      </c>
      <c r="D25" s="1">
        <f>Quartile_S[[#This Row],[P/FCF Q1]]-1.5*(Quartile_S[[#This Row],[P/FCF Q3]]-Quartile_S[[#This Row],[P/FCF Q1]])</f>
        <v>-17.359800435610044</v>
      </c>
      <c r="E25" s="1">
        <f>Quartile_S[[#This Row],[P/FCF Q3]]+1.5*(Quartile_S[[#This Row],[P/FCF Q3]]-Quartile_S[[#This Row],[P/FCF Q1]])</f>
        <v>18.074874277820776</v>
      </c>
      <c r="F25" s="1" cm="1">
        <f t="array" ref="F25">_xlfn.QUARTILE.INC(IF(Quartile_S[[#This Row],[Industry]]=Main_S[Industry],Main_S[P/B]),1)</f>
        <v>0.4687399573780201</v>
      </c>
      <c r="G25" s="1" cm="1">
        <f t="array" ref="G25">_xlfn.QUARTILE.INC(IF(Quartile_S[[#This Row],[Industry]]=Main_S[Industry],Main_S[P/B]),3)</f>
        <v>0.53041558278495837</v>
      </c>
      <c r="H25" s="1">
        <f>Quartile_S[[#This Row],[P/B Q1]]-1.5*(Quartile_S[[#This Row],[P/B Q3]]-Quartile_S[[#This Row],[P/B Q1]])</f>
        <v>0.37622651926761269</v>
      </c>
      <c r="I25" s="1">
        <f>Quartile_S[[#This Row],[P/B Q3]]+1.5*(Quartile_S[[#This Row],[P/B Q3]]-Quartile_S[[#This Row],[P/B Q1]])</f>
        <v>0.62292902089536573</v>
      </c>
      <c r="J25" s="1" cm="1">
        <f t="array" ref="J25">_xlfn.QUARTILE.INC(IF(Quartile_S[[#This Row],[Industry]]=Main_S[Industry],Main_S[ROE]),1)</f>
        <v>-17.0275</v>
      </c>
      <c r="K25" s="1" cm="1">
        <f t="array" ref="K25">_xlfn.QUARTILE.INC(IF(Quartile_S[[#This Row],[Industry]]=Main_S[Industry],Main_S[ROE]),3)</f>
        <v>-9.3725000000000005</v>
      </c>
      <c r="L25" s="1">
        <f>Quartile_S[[#This Row],[ROE Q1]]-1.5*(Quartile_S[[#This Row],[ROE Q3]]-Quartile_S[[#This Row],[ROE Q1]])</f>
        <v>-28.509999999999998</v>
      </c>
      <c r="M25" s="1">
        <f>Quartile_S[[#This Row],[ROE Q3]]+1.5*(Quartile_S[[#This Row],[ROE Q3]]-Quartile_S[[#This Row],[ROE Q1]])</f>
        <v>2.1099999999999977</v>
      </c>
      <c r="N25" s="1" cm="1">
        <f t="array" ref="N25">_xlfn.QUARTILE.INC(IF(Quartile_S[[#This Row],[Industry]]=Main_S[Industry],Main_S[ROA]),1)</f>
        <v>-2.68</v>
      </c>
      <c r="O25" s="1" cm="1">
        <f t="array" ref="O25">_xlfn.QUARTILE.INC(IF(Quartile_S[[#This Row],[Industry]]=Main_S[Industry],Main_S[ROA]),3)</f>
        <v>-0.73749999999999993</v>
      </c>
      <c r="P25" s="1">
        <f>Quartile_S[[#This Row],[ROA Q1]]-1.5*(Quartile_S[[#This Row],[ROA Q3]]-Quartile_S[[#This Row],[ROA Q1]])</f>
        <v>-5.59375</v>
      </c>
      <c r="Q25" s="1">
        <f>Quartile_S[[#This Row],[ROA Q3]]+1.5*(Quartile_S[[#This Row],[ROA Q3]]-Quartile_S[[#This Row],[ROA Q1]])</f>
        <v>2.1762500000000005</v>
      </c>
      <c r="R25" s="1" cm="1">
        <f t="array" ref="R25">_xlfn.QUARTILE.INC(IF(Quartile_S[[#This Row],[Industry]]=Main_S[Industry],Main_S[P/E]),1)</f>
        <v>-3.6084868402087116</v>
      </c>
      <c r="S25" s="1" cm="1">
        <f t="array" ref="S25">_xlfn.QUARTILE.INC(IF(Quartile_S[[#This Row],[Industry]]=Main_S[Industry],Main_S[P/E]),3)</f>
        <v>-2.4677836516598455</v>
      </c>
      <c r="T25" s="1">
        <f>Quartile_S[[#This Row],[P/E Q1]]-1.5*(Quartile_S[[#This Row],[P/E Q3]]-Quartile_S[[#This Row],[P/E Q1]])</f>
        <v>-5.3195416230320109</v>
      </c>
      <c r="U25" s="1">
        <f>Quartile_S[[#This Row],[P/E Q3]]+1.5*(Quartile_S[[#This Row],[P/E Q3]]-Quartile_S[[#This Row],[P/E Q1]])</f>
        <v>-0.75672886883654633</v>
      </c>
      <c r="V25" s="1" cm="1">
        <f t="array" ref="V25">_xlfn.QUARTILE.INC(IF(Quartile_S[[#This Row],[Industry]]=Main_S[Industry],Main_S[A/E]),1)</f>
        <v>1.8925000000000001</v>
      </c>
      <c r="W25" s="1" cm="1">
        <f t="array" ref="W25">_xlfn.QUARTILE.INC(IF(Quartile_S[[#This Row],[Industry]]=Main_S[Industry],Main_S[A/E]),3)</f>
        <v>2.46</v>
      </c>
      <c r="X25" s="1">
        <f>Quartile_S[[#This Row],[A/E Q1]]-1.5*(Quartile_S[[#This Row],[A/E Q3]]-Quartile_S[[#This Row],[A/E Q1]])</f>
        <v>1.0412500000000002</v>
      </c>
      <c r="Y25" s="1">
        <f>Quartile_S[[#This Row],[A/E Q3]]+1.5*(Quartile_S[[#This Row],[A/E Q3]]-Quartile_S[[#This Row],[A/E Q1]])</f>
        <v>3.3112499999999998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9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6.85546875" bestFit="1" customWidth="1"/>
    <col min="5" max="5" width="22.42578125" bestFit="1" customWidth="1"/>
    <col min="6" max="6" width="14" bestFit="1" customWidth="1"/>
    <col min="7" max="7" width="14.5703125" bestFit="1" customWidth="1"/>
    <col min="9" max="9" width="22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24.846846212110641</v>
      </c>
      <c r="C5" s="1">
        <v>17.845749162770367</v>
      </c>
      <c r="E5" s="6" t="s">
        <v>105</v>
      </c>
      <c r="F5" s="1">
        <v>2.1171264243345442</v>
      </c>
      <c r="G5" s="1">
        <v>1.5141725995555533</v>
      </c>
      <c r="I5" s="6" t="s">
        <v>105</v>
      </c>
      <c r="J5" s="1">
        <v>8.7664285714285715</v>
      </c>
      <c r="K5" s="1">
        <v>9.4570295903877426</v>
      </c>
    </row>
    <row r="6" spans="1:11" x14ac:dyDescent="0.25">
      <c r="A6" s="6" t="s">
        <v>121</v>
      </c>
      <c r="B6" s="1">
        <v>38.785981748054233</v>
      </c>
      <c r="C6" s="1">
        <v>10.458313496433204</v>
      </c>
      <c r="E6" s="6" t="s">
        <v>121</v>
      </c>
      <c r="F6" s="1">
        <v>4.0854036928834505</v>
      </c>
      <c r="G6" s="1">
        <v>0.87212379183072408</v>
      </c>
      <c r="I6" s="6" t="s">
        <v>121</v>
      </c>
      <c r="J6" s="1">
        <v>15.100000000000001</v>
      </c>
      <c r="K6" s="1">
        <v>3.7249496640894275</v>
      </c>
    </row>
    <row r="7" spans="1:11" x14ac:dyDescent="0.25">
      <c r="A7" s="6" t="s">
        <v>125</v>
      </c>
      <c r="B7" s="1">
        <v>23.275118435651052</v>
      </c>
      <c r="C7" s="1">
        <v>6.7059871271091911</v>
      </c>
      <c r="E7" s="6" t="s">
        <v>125</v>
      </c>
      <c r="F7" s="1">
        <v>2.9574175365262247</v>
      </c>
      <c r="G7" s="1">
        <v>1.0772928371373687</v>
      </c>
      <c r="I7" s="6" t="s">
        <v>125</v>
      </c>
      <c r="J7" s="1">
        <v>15.876666666666665</v>
      </c>
      <c r="K7" s="1">
        <v>8.8795870774865833</v>
      </c>
    </row>
    <row r="8" spans="1:11" x14ac:dyDescent="0.25">
      <c r="A8" s="6" t="s">
        <v>133</v>
      </c>
      <c r="B8" s="1">
        <v>25.275871423311994</v>
      </c>
      <c r="C8" s="1">
        <v>20.326523412552728</v>
      </c>
      <c r="E8" s="6" t="s">
        <v>133</v>
      </c>
      <c r="F8" s="1">
        <v>2.6961350414263721</v>
      </c>
      <c r="G8" s="1">
        <v>1.7396345703682579</v>
      </c>
      <c r="I8" s="6" t="s">
        <v>133</v>
      </c>
      <c r="J8" s="1">
        <v>12.241199999999999</v>
      </c>
      <c r="K8" s="1">
        <v>7.9573152859491483</v>
      </c>
    </row>
    <row r="9" spans="1:11" x14ac:dyDescent="0.25">
      <c r="A9" s="6" t="s">
        <v>156</v>
      </c>
      <c r="B9" s="1">
        <v>10.456521739130434</v>
      </c>
      <c r="C9" s="1">
        <v>0</v>
      </c>
      <c r="E9" s="6" t="s">
        <v>156</v>
      </c>
      <c r="F9" s="1">
        <v>1.7716390423572743</v>
      </c>
      <c r="G9" s="1">
        <v>0</v>
      </c>
      <c r="I9" s="6" t="s">
        <v>156</v>
      </c>
      <c r="J9" s="1">
        <v>-2.2000000000000002</v>
      </c>
      <c r="K9" s="1">
        <v>0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4.6146666666666665</v>
      </c>
      <c r="C25" s="1">
        <v>2.7993805664031379</v>
      </c>
      <c r="E25" s="6" t="s">
        <v>105</v>
      </c>
      <c r="F25" s="1">
        <v>2.3828571428571435</v>
      </c>
      <c r="G25" s="1">
        <v>0.54349961981098971</v>
      </c>
      <c r="I25" s="6" t="s">
        <v>105</v>
      </c>
      <c r="J25" s="1">
        <v>31.71928173073017</v>
      </c>
      <c r="K25" s="1">
        <v>17.990824931507895</v>
      </c>
    </row>
    <row r="26" spans="1:11" x14ac:dyDescent="0.25">
      <c r="A26" s="6" t="s">
        <v>121</v>
      </c>
      <c r="B26" s="1">
        <v>6.003333333333333</v>
      </c>
      <c r="C26" s="1">
        <v>0.18445113776345681</v>
      </c>
      <c r="E26" s="6" t="s">
        <v>121</v>
      </c>
      <c r="F26" s="1">
        <v>2.2199999999999998</v>
      </c>
      <c r="G26" s="1">
        <v>0.22327113561766343</v>
      </c>
      <c r="I26" s="6" t="s">
        <v>121</v>
      </c>
      <c r="J26" s="1">
        <v>29.115864143893077</v>
      </c>
      <c r="K26" s="1">
        <v>6.4940057953507457</v>
      </c>
    </row>
    <row r="27" spans="1:11" x14ac:dyDescent="0.25">
      <c r="A27" s="6" t="s">
        <v>125</v>
      </c>
      <c r="B27" s="1">
        <v>5.8311111111111105</v>
      </c>
      <c r="C27" s="1">
        <v>2.2833671260002784</v>
      </c>
      <c r="E27" s="6" t="s">
        <v>125</v>
      </c>
      <c r="F27" s="1">
        <v>3.0411111111111113</v>
      </c>
      <c r="G27" s="1">
        <v>1.1898407404582845</v>
      </c>
      <c r="I27" s="6" t="s">
        <v>125</v>
      </c>
      <c r="J27" s="1">
        <v>26.644257246215645</v>
      </c>
      <c r="K27" s="1">
        <v>9.5904889914337001</v>
      </c>
    </row>
    <row r="28" spans="1:11" x14ac:dyDescent="0.25">
      <c r="A28" s="6" t="s">
        <v>133</v>
      </c>
      <c r="B28" s="1">
        <v>6.8408333333333333</v>
      </c>
      <c r="C28" s="1">
        <v>3.382253830247254</v>
      </c>
      <c r="E28" s="6" t="s">
        <v>133</v>
      </c>
      <c r="F28" s="1">
        <v>1.7157692307692307</v>
      </c>
      <c r="G28" s="1">
        <v>0.35765446449937138</v>
      </c>
      <c r="I28" s="6" t="s">
        <v>133</v>
      </c>
      <c r="J28" s="1">
        <v>21.898787697763058</v>
      </c>
      <c r="K28" s="1">
        <v>11.34680357065467</v>
      </c>
    </row>
    <row r="29" spans="1:11" x14ac:dyDescent="0.25">
      <c r="A29" s="6" t="s">
        <v>156</v>
      </c>
      <c r="B29" s="1">
        <v>6.02</v>
      </c>
      <c r="C29" s="1">
        <v>0</v>
      </c>
      <c r="E29" s="6" t="s">
        <v>156</v>
      </c>
      <c r="F29" s="1">
        <v>4.04</v>
      </c>
      <c r="G29" s="1">
        <v>0</v>
      </c>
      <c r="I29" s="6" t="s">
        <v>156</v>
      </c>
      <c r="J29" s="1">
        <v>-73.999999999999986</v>
      </c>
      <c r="K29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9"/>
  <sheetViews>
    <sheetView workbookViewId="0">
      <selection activeCell="G13" sqref="G13"/>
    </sheetView>
  </sheetViews>
  <sheetFormatPr defaultRowHeight="15" x14ac:dyDescent="0.25"/>
  <cols>
    <col min="1" max="1" width="22.42578125" bestFit="1" customWidth="1"/>
    <col min="2" max="2" width="14.85546875" bestFit="1" customWidth="1"/>
    <col min="3" max="3" width="15.42578125" bestFit="1" customWidth="1"/>
    <col min="5" max="5" width="22.42578125" bestFit="1" customWidth="1"/>
    <col min="6" max="6" width="14" bestFit="1" customWidth="1"/>
    <col min="7" max="7" width="14.5703125" bestFit="1" customWidth="1"/>
    <col min="9" max="9" width="22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20.847309435834546</v>
      </c>
      <c r="C5" s="1">
        <v>15.194203051842903</v>
      </c>
      <c r="E5" s="6" t="s">
        <v>105</v>
      </c>
      <c r="F5" s="1">
        <v>1.6226968064542209</v>
      </c>
      <c r="G5" s="1">
        <v>1.0391553199441546</v>
      </c>
      <c r="I5" s="6" t="s">
        <v>105</v>
      </c>
      <c r="J5" s="1">
        <v>2.5408695652173892</v>
      </c>
      <c r="K5" s="1">
        <v>15.044172615289915</v>
      </c>
    </row>
    <row r="6" spans="1:11" x14ac:dyDescent="0.25">
      <c r="A6" s="6" t="s">
        <v>121</v>
      </c>
      <c r="B6" s="1">
        <v>103.98807902347599</v>
      </c>
      <c r="C6" s="1">
        <v>85.453893687474263</v>
      </c>
      <c r="E6" s="6" t="s">
        <v>121</v>
      </c>
      <c r="F6" s="1">
        <v>5.3538221276373879</v>
      </c>
      <c r="G6" s="1">
        <v>1.4441943985486914</v>
      </c>
      <c r="I6" s="6" t="s">
        <v>121</v>
      </c>
      <c r="J6" s="1">
        <v>19.755000000000003</v>
      </c>
      <c r="K6" s="1">
        <v>10.471658178149246</v>
      </c>
    </row>
    <row r="7" spans="1:11" x14ac:dyDescent="0.25">
      <c r="A7" s="6" t="s">
        <v>125</v>
      </c>
      <c r="B7" s="1">
        <v>14.760944908696208</v>
      </c>
      <c r="C7" s="1">
        <v>16.475419000068165</v>
      </c>
      <c r="E7" s="6" t="s">
        <v>125</v>
      </c>
      <c r="F7" s="1">
        <v>2.0313336592653974</v>
      </c>
      <c r="G7" s="1">
        <v>0.42691200078082714</v>
      </c>
      <c r="I7" s="6" t="s">
        <v>125</v>
      </c>
      <c r="J7" s="1">
        <v>11.009999999999996</v>
      </c>
      <c r="K7" s="1">
        <v>16.673314864520151</v>
      </c>
    </row>
    <row r="8" spans="1:11" x14ac:dyDescent="0.25">
      <c r="A8" s="6" t="s">
        <v>133</v>
      </c>
      <c r="B8" s="1">
        <v>4.5998781450280326</v>
      </c>
      <c r="C8" s="1">
        <v>34.164640638152711</v>
      </c>
      <c r="E8" s="6" t="s">
        <v>133</v>
      </c>
      <c r="F8" s="1">
        <v>2.0382128673187632</v>
      </c>
      <c r="G8" s="1">
        <v>1.206557751321532</v>
      </c>
      <c r="I8" s="6" t="s">
        <v>133</v>
      </c>
      <c r="J8" s="1">
        <v>5.0515151515151491</v>
      </c>
      <c r="K8" s="1">
        <v>9.9983959686911845</v>
      </c>
    </row>
    <row r="9" spans="1:11" x14ac:dyDescent="0.25">
      <c r="A9" s="6" t="s">
        <v>156</v>
      </c>
      <c r="B9" s="1">
        <v>19.949114483574213</v>
      </c>
      <c r="C9" s="1">
        <v>11.245076524061302</v>
      </c>
      <c r="E9" s="6" t="s">
        <v>156</v>
      </c>
      <c r="F9" s="1">
        <v>2.341566973648066</v>
      </c>
      <c r="G9" s="1">
        <v>1.0471460749946693</v>
      </c>
      <c r="I9" s="6" t="s">
        <v>156</v>
      </c>
      <c r="J9" s="1">
        <v>18.5425</v>
      </c>
      <c r="K9" s="1">
        <v>11.762914976739395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4.2509523809523806</v>
      </c>
      <c r="C25" s="1">
        <v>3.1726553468842735</v>
      </c>
      <c r="E25" s="6" t="s">
        <v>105</v>
      </c>
      <c r="F25" s="1">
        <v>2.1815000000000002</v>
      </c>
      <c r="G25" s="1">
        <v>0.40054057222708261</v>
      </c>
      <c r="I25" s="6" t="s">
        <v>105</v>
      </c>
      <c r="J25" s="1">
        <v>16.302687500071087</v>
      </c>
      <c r="K25" s="1">
        <v>22.492701676567822</v>
      </c>
    </row>
    <row r="26" spans="1:11" x14ac:dyDescent="0.25">
      <c r="A26" s="6" t="s">
        <v>121</v>
      </c>
      <c r="B26" s="1">
        <v>9.6875</v>
      </c>
      <c r="C26" s="1">
        <v>5.0096226155270429</v>
      </c>
      <c r="E26" s="6" t="s">
        <v>121</v>
      </c>
      <c r="F26" s="1">
        <v>2.2433333333333336</v>
      </c>
      <c r="G26" s="1">
        <v>6.9442222186669872E-2</v>
      </c>
      <c r="I26" s="6" t="s">
        <v>121</v>
      </c>
      <c r="J26" s="1">
        <v>22.755448352180377</v>
      </c>
      <c r="K26" s="1">
        <v>6.0400241362914011</v>
      </c>
    </row>
    <row r="27" spans="1:11" x14ac:dyDescent="0.25">
      <c r="A27" s="6" t="s">
        <v>125</v>
      </c>
      <c r="B27" s="1">
        <v>4.5142857142857133</v>
      </c>
      <c r="C27" s="1">
        <v>1.4683407267374724</v>
      </c>
      <c r="E27" s="6" t="s">
        <v>125</v>
      </c>
      <c r="F27" s="1">
        <v>5.4883333333333333</v>
      </c>
      <c r="G27" s="1">
        <v>2.1190675360219693</v>
      </c>
      <c r="I27" s="6" t="s">
        <v>125</v>
      </c>
      <c r="J27" s="1">
        <v>10.194631141216714</v>
      </c>
      <c r="K27" s="1">
        <v>10.906932700843548</v>
      </c>
    </row>
    <row r="28" spans="1:11" x14ac:dyDescent="0.25">
      <c r="A28" s="6" t="s">
        <v>133</v>
      </c>
      <c r="B28" s="1">
        <v>5.1837142857142862</v>
      </c>
      <c r="C28" s="1">
        <v>5.2483385592635958</v>
      </c>
      <c r="E28" s="6" t="s">
        <v>133</v>
      </c>
      <c r="F28" s="1">
        <v>1.6811428571428573</v>
      </c>
      <c r="G28" s="1">
        <v>0.50588407157920134</v>
      </c>
      <c r="I28" s="6" t="s">
        <v>133</v>
      </c>
      <c r="J28" s="1">
        <v>17.94587583228687</v>
      </c>
      <c r="K28" s="1">
        <v>15.989049148975633</v>
      </c>
    </row>
    <row r="29" spans="1:11" x14ac:dyDescent="0.25">
      <c r="A29" s="6" t="s">
        <v>156</v>
      </c>
      <c r="B29" s="1">
        <v>7.6924999999999999</v>
      </c>
      <c r="C29" s="1">
        <v>4.3724499711260281</v>
      </c>
      <c r="E29" s="6" t="s">
        <v>156</v>
      </c>
      <c r="F29" s="1">
        <v>1.9550000000000001</v>
      </c>
      <c r="G29" s="1">
        <v>0.63235670313518411</v>
      </c>
      <c r="I29" s="6" t="s">
        <v>156</v>
      </c>
      <c r="J29" s="1">
        <v>12.55713851580137</v>
      </c>
      <c r="K29" s="1">
        <v>3.4627570272955257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9"/>
  <sheetViews>
    <sheetView workbookViewId="0">
      <selection activeCell="F12" sqref="F12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6.85546875" bestFit="1" customWidth="1"/>
    <col min="5" max="5" width="22.42578125" bestFit="1" customWidth="1"/>
    <col min="6" max="6" width="14" bestFit="1" customWidth="1"/>
    <col min="7" max="7" width="14.5703125" bestFit="1" customWidth="1"/>
    <col min="9" max="9" width="22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-1.2231202077172847</v>
      </c>
      <c r="C5" s="1">
        <v>18.053631518981977</v>
      </c>
      <c r="E5" s="6" t="s">
        <v>105</v>
      </c>
      <c r="F5" s="1">
        <v>1.5444673745545823</v>
      </c>
      <c r="G5" s="1">
        <v>1.063023643821529</v>
      </c>
      <c r="I5" s="6" t="s">
        <v>105</v>
      </c>
      <c r="J5" s="1">
        <v>5.5012499999999998</v>
      </c>
      <c r="K5" s="1">
        <v>14.553275207692366</v>
      </c>
    </row>
    <row r="6" spans="1:11" x14ac:dyDescent="0.25">
      <c r="A6" s="6" t="s">
        <v>121</v>
      </c>
      <c r="B6" s="1">
        <v>27.305469556243551</v>
      </c>
      <c r="C6" s="1">
        <v>4.1682146542827816</v>
      </c>
      <c r="E6" s="6" t="s">
        <v>121</v>
      </c>
      <c r="F6" s="1">
        <v>4.5743794326241138</v>
      </c>
      <c r="G6" s="1">
        <v>2.9006205673758862</v>
      </c>
      <c r="I6" s="6" t="s">
        <v>121</v>
      </c>
      <c r="J6" s="1">
        <v>15.02</v>
      </c>
      <c r="K6" s="1">
        <v>1.1200000000000145</v>
      </c>
    </row>
    <row r="7" spans="1:11" x14ac:dyDescent="0.25">
      <c r="A7" s="6" t="s">
        <v>125</v>
      </c>
      <c r="B7" s="1">
        <v>23.659727722638905</v>
      </c>
      <c r="C7" s="1">
        <v>14.392482489433903</v>
      </c>
      <c r="E7" s="6" t="s">
        <v>125</v>
      </c>
      <c r="F7" s="1">
        <v>1.2552700857458621</v>
      </c>
      <c r="G7" s="1">
        <v>0.52831126112477633</v>
      </c>
      <c r="I7" s="6" t="s">
        <v>125</v>
      </c>
      <c r="J7" s="1">
        <v>5.6099999999999994</v>
      </c>
      <c r="K7" s="1">
        <v>2.0800160255792917</v>
      </c>
    </row>
    <row r="8" spans="1:11" x14ac:dyDescent="0.25">
      <c r="A8" s="6" t="s">
        <v>133</v>
      </c>
      <c r="B8" s="1">
        <v>-10.537284910600546</v>
      </c>
      <c r="C8" s="1">
        <v>28.824225443518358</v>
      </c>
      <c r="E8" s="6" t="s">
        <v>133</v>
      </c>
      <c r="F8" s="1">
        <v>2.7317841254413056</v>
      </c>
      <c r="G8" s="1">
        <v>2.2921569238958424</v>
      </c>
      <c r="I8" s="6" t="s">
        <v>133</v>
      </c>
      <c r="J8" s="1">
        <v>-5.2780519480519503</v>
      </c>
      <c r="K8" s="1">
        <v>19.96351165260749</v>
      </c>
    </row>
    <row r="9" spans="1:11" x14ac:dyDescent="0.25">
      <c r="A9" s="6" t="s">
        <v>156</v>
      </c>
      <c r="B9" s="1">
        <v>0.8756277138007027</v>
      </c>
      <c r="C9" s="1">
        <v>5.503221800102156</v>
      </c>
      <c r="E9" s="6" t="s">
        <v>156</v>
      </c>
      <c r="F9" s="1">
        <v>0.50014756063633348</v>
      </c>
      <c r="G9" s="1">
        <v>4.7672219113270388E-2</v>
      </c>
      <c r="I9" s="6" t="s">
        <v>156</v>
      </c>
      <c r="J9" s="1">
        <v>-12.904999999999999</v>
      </c>
      <c r="K9" s="1">
        <v>4.5701012023805347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3.7026923076923075</v>
      </c>
      <c r="C25" s="1">
        <v>2.7752027752557074</v>
      </c>
      <c r="E25" s="6" t="s">
        <v>105</v>
      </c>
      <c r="F25" s="1">
        <v>2.5753571428571429</v>
      </c>
      <c r="G25" s="1">
        <v>0.87401570001776796</v>
      </c>
      <c r="I25" s="6" t="s">
        <v>105</v>
      </c>
      <c r="J25" s="1">
        <v>3.0664595490867521</v>
      </c>
      <c r="K25" s="1">
        <v>17.49703480988434</v>
      </c>
    </row>
    <row r="26" spans="1:11" x14ac:dyDescent="0.25">
      <c r="A26" s="6" t="s">
        <v>121</v>
      </c>
      <c r="B26" s="1">
        <v>6.5350000000000001</v>
      </c>
      <c r="C26" s="1">
        <v>1.1150000000000011</v>
      </c>
      <c r="E26" s="6" t="s">
        <v>121</v>
      </c>
      <c r="F26" s="1">
        <v>2.14</v>
      </c>
      <c r="G26" s="1">
        <v>0.38000000000000012</v>
      </c>
      <c r="I26" s="6" t="s">
        <v>121</v>
      </c>
      <c r="J26" s="1">
        <v>30.662337662337663</v>
      </c>
      <c r="K26" s="1">
        <v>15.337662337662339</v>
      </c>
    </row>
    <row r="27" spans="1:11" x14ac:dyDescent="0.25">
      <c r="A27" s="6" t="s">
        <v>125</v>
      </c>
      <c r="B27" s="1">
        <v>3.0149999999999997</v>
      </c>
      <c r="C27" s="1">
        <v>2.1491684438405483</v>
      </c>
      <c r="E27" s="6" t="s">
        <v>125</v>
      </c>
      <c r="F27" s="1">
        <v>1.9766666666666666</v>
      </c>
      <c r="G27" s="1">
        <v>9.7410927974683009E-2</v>
      </c>
      <c r="I27" s="6" t="s">
        <v>125</v>
      </c>
      <c r="J27" s="1">
        <v>21.169631072194591</v>
      </c>
      <c r="K27" s="1">
        <v>23.970504216058945</v>
      </c>
    </row>
    <row r="28" spans="1:11" x14ac:dyDescent="0.25">
      <c r="A28" s="6" t="s">
        <v>133</v>
      </c>
      <c r="B28" s="1">
        <v>-1.0341772151898736</v>
      </c>
      <c r="C28" s="1">
        <v>8.538084836627915</v>
      </c>
      <c r="E28" s="6" t="s">
        <v>133</v>
      </c>
      <c r="F28" s="1">
        <v>1.5472499999999998</v>
      </c>
      <c r="G28" s="1">
        <v>0.58005597790213381</v>
      </c>
      <c r="I28" s="6" t="s">
        <v>133</v>
      </c>
      <c r="J28" s="1">
        <v>-7.8704879390751827</v>
      </c>
      <c r="K28" s="1">
        <v>26.85099292425604</v>
      </c>
    </row>
    <row r="29" spans="1:11" x14ac:dyDescent="0.25">
      <c r="A29" s="6" t="s">
        <v>156</v>
      </c>
      <c r="B29" s="1">
        <v>-1.8024999999999998</v>
      </c>
      <c r="C29" s="1">
        <v>2.3450306501195248</v>
      </c>
      <c r="E29" s="6" t="s">
        <v>156</v>
      </c>
      <c r="F29" s="1">
        <v>1.9033333333333333</v>
      </c>
      <c r="G29" s="1">
        <v>0.13474255287604983</v>
      </c>
      <c r="I29" s="6" t="s">
        <v>156</v>
      </c>
      <c r="J29" s="1">
        <v>-2.4112946951135341</v>
      </c>
      <c r="K29" s="1">
        <v>0.41179332295563625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1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1" sqref="J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Materials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4/5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311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3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_xlfn._xlws.FILTER(_xlfn._xlws.FILTER(Main_L[], Main_L[Preliminary Criteria]="YES"), COUNTIF($A$8:$S$8,Main_L[#Headers]))</f>
        <v>Containers &amp; Packaging</v>
      </c>
      <c r="B9" t="str">
        <v>CCDBF</v>
      </c>
      <c r="C9" s="9">
        <v>10235</v>
      </c>
      <c r="D9" s="1">
        <v>56.89</v>
      </c>
      <c r="E9" s="1">
        <v>2.5299999999999998</v>
      </c>
      <c r="F9" s="1">
        <v>21.6</v>
      </c>
      <c r="G9" s="1">
        <v>3.33</v>
      </c>
      <c r="H9" s="1">
        <v>22.48616600790514</v>
      </c>
      <c r="I9" s="1">
        <v>2.6337962962962962</v>
      </c>
      <c r="J9" s="1">
        <v>16.68</v>
      </c>
      <c r="K9" s="1">
        <v>6.96</v>
      </c>
      <c r="L9" s="1">
        <v>1.87</v>
      </c>
      <c r="M9" s="1">
        <v>17.084084084084083</v>
      </c>
      <c r="N9" s="1">
        <v>-0.11764896245573504</v>
      </c>
      <c r="O9" s="1">
        <v>-0.30040229459788259</v>
      </c>
      <c r="P9" s="1">
        <v>9.0469672330835749E-2</v>
      </c>
      <c r="Q9" s="1">
        <v>0.49439657601900322</v>
      </c>
      <c r="R9" s="1">
        <v>-0.9842587089933067</v>
      </c>
      <c r="S9" s="1">
        <v>-0.99683896938631422</v>
      </c>
      <c r="T9">
        <f t="shared" ref="T9:T11" si="0">SUM(IF($I9&lt;(0.7*VLOOKUP($A9, Mean_PB_L, 2, FALSE)),1,0), IF($J9&gt;VLOOKUP($A9, Mean_ROE_L, 2, FALSE),1,0), IF($K9&gt;VLOOKUP($A9, Mean_ROA_L, 2,FALSE),1,0), IF($M9&lt;VLOOKUP($A9, Mean_PE_L, 2, FALSE),1,0), IF(AND($M9&gt;1,$M9&lt;25),1,0))</f>
        <v>4</v>
      </c>
    </row>
    <row r="10" spans="1:20" x14ac:dyDescent="0.25">
      <c r="A10" t="str">
        <v>Metals &amp; Mining</v>
      </c>
      <c r="B10" t="str">
        <v>RS</v>
      </c>
      <c r="C10" s="2">
        <v>15399</v>
      </c>
      <c r="D10" s="1">
        <v>309.13</v>
      </c>
      <c r="E10" s="1">
        <v>17.54</v>
      </c>
      <c r="F10" s="1">
        <v>134.28</v>
      </c>
      <c r="G10" s="1">
        <v>14.01</v>
      </c>
      <c r="H10" s="1">
        <v>17.624287343215506</v>
      </c>
      <c r="I10" s="1">
        <v>2.3021298778671433</v>
      </c>
      <c r="J10" s="1">
        <v>10.29</v>
      </c>
      <c r="K10" s="1">
        <v>6.34</v>
      </c>
      <c r="L10" s="1">
        <v>1.46</v>
      </c>
      <c r="M10" s="1">
        <v>22.064953604568167</v>
      </c>
      <c r="N10" s="1">
        <v>-0.37643348667146986</v>
      </c>
      <c r="O10" s="1">
        <v>-0.22648731536521663</v>
      </c>
      <c r="P10" s="1">
        <v>-0.24520833093611183</v>
      </c>
      <c r="Q10" s="1">
        <v>-0.14807680276814733</v>
      </c>
      <c r="R10" s="1">
        <v>-0.71512942282782632</v>
      </c>
      <c r="S10" s="1">
        <v>1.4644292180649911E-2</v>
      </c>
      <c r="T10">
        <f t="shared" si="0"/>
        <v>1</v>
      </c>
    </row>
    <row r="11" spans="1:20" x14ac:dyDescent="0.25">
      <c r="A11" t="str">
        <v>Metals &amp; Mining</v>
      </c>
      <c r="B11" t="str">
        <v>KGC</v>
      </c>
      <c r="C11" s="2">
        <v>18095</v>
      </c>
      <c r="D11" s="1">
        <v>15.08</v>
      </c>
      <c r="E11" s="1">
        <v>1.27</v>
      </c>
      <c r="F11" s="1">
        <v>5.85</v>
      </c>
      <c r="G11" s="1">
        <v>0.98</v>
      </c>
      <c r="H11" s="1">
        <v>11.874015748031496</v>
      </c>
      <c r="I11" s="1">
        <v>2.5777777777777779</v>
      </c>
      <c r="J11" s="1">
        <v>18.760000000000002</v>
      </c>
      <c r="K11" s="1">
        <v>10.46</v>
      </c>
      <c r="L11" s="1">
        <v>1.52</v>
      </c>
      <c r="M11" s="1">
        <v>15.387755102040817</v>
      </c>
      <c r="N11" s="1">
        <v>-0.65932847458823807</v>
      </c>
      <c r="O11" s="1">
        <v>-6.8035704546581546E-2</v>
      </c>
      <c r="P11" s="1">
        <v>0.81922102690976129</v>
      </c>
      <c r="Q11" s="1">
        <v>1.0700458476240662</v>
      </c>
      <c r="R11" s="1">
        <v>-0.54736973867573457</v>
      </c>
      <c r="S11" s="1">
        <v>-0.5738208611067529</v>
      </c>
      <c r="T11">
        <f t="shared" si="0"/>
        <v>4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19" priority="1">
      <formula>$I9 &lt; (0.7*VLOOKUP($A9, Mean_PB_L, 2, FALSE))</formula>
    </cfRule>
  </conditionalFormatting>
  <conditionalFormatting sqref="J9:J1048576">
    <cfRule type="expression" dxfId="118" priority="3">
      <formula>$J9 &gt; VLOOKUP($A9, Mean_ROE_L, 2, FALSE)</formula>
    </cfRule>
  </conditionalFormatting>
  <conditionalFormatting sqref="K9:K1048576">
    <cfRule type="expression" dxfId="117" priority="4">
      <formula>$K9 &gt; VLOOKUP($A9, Mean_ROA_L, 2, FALSE)</formula>
    </cfRule>
  </conditionalFormatting>
  <conditionalFormatting sqref="M9:M1048576">
    <cfRule type="expression" dxfId="116" priority="5">
      <formula>AND($M9&gt;1, $M9&lt;25, $M9 &lt; VLOOKUP($A9, Mean_PE_L, 2, FALSE))</formula>
    </cfRule>
    <cfRule type="expression" dxfId="115" priority="6">
      <formula>AND($M9&gt;1, $M9&lt;25)</formula>
    </cfRule>
    <cfRule type="expression" dxfId="114" priority="9">
      <formula xml:space="preserve"> $M9 &lt; VLOOKUP($A9, Mean_PE_L, 2, FALSE)</formula>
    </cfRule>
  </conditionalFormatting>
  <conditionalFormatting sqref="N9:N1048576">
    <cfRule type="expression" dxfId="113" priority="10">
      <formula>$N9&lt;0</formula>
    </cfRule>
  </conditionalFormatting>
  <conditionalFormatting sqref="O9:O1048576">
    <cfRule type="expression" dxfId="112" priority="11">
      <formula>$O9&lt;0</formula>
    </cfRule>
  </conditionalFormatting>
  <conditionalFormatting sqref="P9:P1048576">
    <cfRule type="expression" dxfId="111" priority="12">
      <formula>$P9&gt;0</formula>
    </cfRule>
  </conditionalFormatting>
  <conditionalFormatting sqref="Q9:Q1048576">
    <cfRule type="expression" dxfId="110" priority="14">
      <formula>$Q9&gt;0</formula>
    </cfRule>
  </conditionalFormatting>
  <conditionalFormatting sqref="R9:R1048576">
    <cfRule type="expression" dxfId="109" priority="15">
      <formula>$R9&lt;0</formula>
    </cfRule>
  </conditionalFormatting>
  <conditionalFormatting sqref="S9:S1048576">
    <cfRule type="expression" dxfId="10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H22" sqref="H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Materials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4/5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311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_xlfn._xlws.FILTER(_xlfn._xlws.FILTER(Main_M[], Main_M[Preliminary Criteria]="YES"), COUNTIF($A$8:$S$8,Main_M[#Headers]))</f>
        <v>Construction Materials</v>
      </c>
      <c r="B9" t="str">
        <v>EXP</v>
      </c>
      <c r="C9" s="2">
        <v>6613</v>
      </c>
      <c r="D9" s="1">
        <v>201.89</v>
      </c>
      <c r="E9" s="1">
        <v>10.58</v>
      </c>
      <c r="F9" s="1">
        <v>44.18</v>
      </c>
      <c r="G9" s="1">
        <v>13.77</v>
      </c>
      <c r="H9" s="1">
        <v>19.082230623818525</v>
      </c>
      <c r="I9" s="1">
        <v>4.5697148030783161</v>
      </c>
      <c r="J9" s="1">
        <v>33.520000000000003</v>
      </c>
      <c r="K9" s="1">
        <v>12.06</v>
      </c>
      <c r="L9" s="1">
        <v>2.2400000000000002</v>
      </c>
      <c r="M9" s="1">
        <v>14.661583151779229</v>
      </c>
      <c r="N9" s="1">
        <v>-0.99358665516376421</v>
      </c>
      <c r="O9" s="1">
        <v>-0.54293751959365144</v>
      </c>
      <c r="P9" s="1">
        <v>1.3145005084985326</v>
      </c>
      <c r="Q9" s="1">
        <v>0.47358856785869868</v>
      </c>
      <c r="R9" s="1">
        <v>-4.800153607373004E-2</v>
      </c>
      <c r="S9" s="1">
        <v>-1.3400385524569796</v>
      </c>
      <c r="T9">
        <f t="shared" ref="T9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07" priority="1">
      <formula>$I9 &lt; (0.7*VLOOKUP($A9, Mean_PB_M, 2, FALSE))</formula>
    </cfRule>
  </conditionalFormatting>
  <conditionalFormatting sqref="J9:J1048576">
    <cfRule type="expression" dxfId="106" priority="3">
      <formula>$J9 &gt; VLOOKUP($A9, Mean_ROE_M, 2, FALSE)</formula>
    </cfRule>
  </conditionalFormatting>
  <conditionalFormatting sqref="K9:K1048576">
    <cfRule type="expression" dxfId="105" priority="4">
      <formula>$K9 &gt; VLOOKUP($A9, Mean_ROA_M, 2, FALSE)</formula>
    </cfRule>
  </conditionalFormatting>
  <conditionalFormatting sqref="M9:M1048576">
    <cfRule type="expression" dxfId="104" priority="5">
      <formula>AND($M9&gt;1, $M9&lt;25, $M9 &lt; VLOOKUP($A9, Mean_PE_M, 2, FALSE))</formula>
    </cfRule>
    <cfRule type="expression" dxfId="103" priority="6">
      <formula>AND($M9&gt;1, $M9&lt;25)</formula>
    </cfRule>
    <cfRule type="expression" dxfId="102" priority="7">
      <formula xml:space="preserve"> $M9 &lt; VLOOKUP($A9, Mean_PE_M, 2, FALSE)</formula>
    </cfRule>
  </conditionalFormatting>
  <conditionalFormatting sqref="N9:N1048576">
    <cfRule type="expression" dxfId="101" priority="8">
      <formula>$N9&lt;0</formula>
    </cfRule>
  </conditionalFormatting>
  <conditionalFormatting sqref="O9:O1048576">
    <cfRule type="expression" dxfId="100" priority="9">
      <formula>$O9&lt;0</formula>
    </cfRule>
  </conditionalFormatting>
  <conditionalFormatting sqref="P9:P1048576">
    <cfRule type="expression" dxfId="99" priority="10">
      <formula>$P9&gt;0</formula>
    </cfRule>
  </conditionalFormatting>
  <conditionalFormatting sqref="Q9:Q1048576">
    <cfRule type="expression" dxfId="98" priority="11">
      <formula>$Q9&gt;0</formula>
    </cfRule>
  </conditionalFormatting>
  <conditionalFormatting sqref="R9:R1048576">
    <cfRule type="expression" dxfId="97" priority="12">
      <formula>$R9&lt;0</formula>
    </cfRule>
  </conditionalFormatting>
  <conditionalFormatting sqref="S9:S1048576">
    <cfRule type="expression" dxfId="9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21" sqref="K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Materials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3/5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311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_xlfn._xlws.FILTER(_xlfn._xlws.FILTER(Main_S[], Main_S[Preliminary Criteria]="YES"), COUNTIF($A$8:$S$8,Main_S[#Headers]))</f>
        <v>Construction Materials</v>
      </c>
      <c r="B9" t="str">
        <v>LOMA</v>
      </c>
      <c r="C9">
        <v>1479</v>
      </c>
      <c r="D9">
        <v>11.8</v>
      </c>
      <c r="E9">
        <v>0.51</v>
      </c>
      <c r="F9">
        <v>7.05</v>
      </c>
      <c r="G9">
        <v>0.77</v>
      </c>
      <c r="H9" s="1">
        <v>23.137254901960784</v>
      </c>
      <c r="I9" s="1">
        <v>1.6737588652482271</v>
      </c>
      <c r="J9" s="1">
        <v>13.9</v>
      </c>
      <c r="K9" s="1">
        <v>5.42</v>
      </c>
      <c r="L9" s="1">
        <v>1.76</v>
      </c>
      <c r="M9" s="1">
        <v>15.324675324675326</v>
      </c>
      <c r="N9" s="1">
        <v>-0.99999999999999656</v>
      </c>
      <c r="O9" s="1">
        <v>-1.0000000000000002</v>
      </c>
      <c r="P9" s="1">
        <v>-0.99999999999998634</v>
      </c>
      <c r="Q9" s="1">
        <v>-0.99999999999999922</v>
      </c>
      <c r="R9" s="1">
        <v>-1</v>
      </c>
      <c r="S9" s="1">
        <v>-0.99999999999999989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3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95" priority="1">
      <formula>$I9 &lt; (0.7*VLOOKUP($A9, Mean_PB_S, 2, FALSE))</formula>
    </cfRule>
  </conditionalFormatting>
  <conditionalFormatting sqref="J9:J1048576">
    <cfRule type="expression" dxfId="94" priority="3">
      <formula>$J9 &gt; VLOOKUP($A9, Mean_ROE_S, 2, FALSE)</formula>
    </cfRule>
  </conditionalFormatting>
  <conditionalFormatting sqref="K9:K1048576">
    <cfRule type="expression" dxfId="93" priority="4">
      <formula>$K9 &gt; VLOOKUP($A9, Mean_ROA_S, 2, FALSE)</formula>
    </cfRule>
  </conditionalFormatting>
  <conditionalFormatting sqref="M9:M1048576">
    <cfRule type="expression" dxfId="92" priority="5">
      <formula>AND($M9&gt;1, $M9&lt;25, $M9 &lt; VLOOKUP($A9, Mean_PE_S, 2, FALSE))</formula>
    </cfRule>
    <cfRule type="expression" dxfId="91" priority="6">
      <formula>AND($M9&gt;1, $M9&lt;25)</formula>
    </cfRule>
    <cfRule type="expression" dxfId="90" priority="7">
      <formula xml:space="preserve"> $M9 &lt; VLOOKUP($A9, Mean_PE_S, 2, FALSE)</formula>
    </cfRule>
  </conditionalFormatting>
  <conditionalFormatting sqref="N9:N1048576">
    <cfRule type="expression" dxfId="89" priority="8">
      <formula>$N9&lt;0</formula>
    </cfRule>
  </conditionalFormatting>
  <conditionalFormatting sqref="O9:O1048576">
    <cfRule type="expression" dxfId="88" priority="9">
      <formula>$O9&lt;0</formula>
    </cfRule>
  </conditionalFormatting>
  <conditionalFormatting sqref="P9:P1048576">
    <cfRule type="expression" dxfId="87" priority="10">
      <formula>$P9&gt;0</formula>
    </cfRule>
  </conditionalFormatting>
  <conditionalFormatting sqref="Q9:Q1048576">
    <cfRule type="expression" dxfId="86" priority="11">
      <formula>$Q9&gt;0</formula>
    </cfRule>
  </conditionalFormatting>
  <conditionalFormatting sqref="R9:R1048576">
    <cfRule type="expression" dxfId="85" priority="12">
      <formula>$R9&lt;0</formula>
    </cfRule>
  </conditionalFormatting>
  <conditionalFormatting sqref="S9:S1048576">
    <cfRule type="expression" dxfId="8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2025-06-09T20:51:05Z</dcterms:modified>
</cp:coreProperties>
</file>
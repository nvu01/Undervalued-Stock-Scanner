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7ED99505-5785-4163-8B05-B6EBC56F90F0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Main_L!$A$1:$M$45</definedName>
    <definedName name="ExternalData_1" localSheetId="2" hidden="1">Main_M!$A$1:$M$52</definedName>
    <definedName name="ExternalData_1" localSheetId="3" hidden="1">Main_S!$A$1:$M$71</definedName>
    <definedName name="ExternalData_5" localSheetId="4" hidden="1">'Quartile Tables'!$A$2:$Y$7</definedName>
    <definedName name="ExternalData_6" localSheetId="4" hidden="1">'Quartile Tables'!$A$11:$Y$16</definedName>
    <definedName name="ExternalData_7" localSheetId="4" hidden="1">'Quartile Tables'!$A$20:$Y$25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5" i="1" l="1"/>
  <c r="Y24" i="1"/>
  <c r="Y23" i="1"/>
  <c r="Y22" i="1"/>
  <c r="Y21" i="1"/>
  <c r="X25" i="1"/>
  <c r="X24" i="1"/>
  <c r="X23" i="1"/>
  <c r="Y59" i="4" s="1"/>
  <c r="X22" i="1"/>
  <c r="Y70" i="4" s="1"/>
  <c r="X21" i="1"/>
  <c r="Y5" i="4" s="1"/>
  <c r="W25" i="1" a="1"/>
  <c r="W25" i="1"/>
  <c r="W24" i="1" a="1"/>
  <c r="W24" i="1" s="1"/>
  <c r="W23" i="1" a="1"/>
  <c r="W23" i="1" s="1"/>
  <c r="W22" i="1" a="1"/>
  <c r="W22" i="1" s="1"/>
  <c r="W21" i="1" a="1"/>
  <c r="W21" i="1" s="1"/>
  <c r="V25" i="1" a="1"/>
  <c r="V25" i="1" s="1"/>
  <c r="V24" i="1" a="1"/>
  <c r="V24" i="1"/>
  <c r="V23" i="1" a="1"/>
  <c r="V23" i="1" s="1"/>
  <c r="V22" i="1" a="1"/>
  <c r="V22" i="1"/>
  <c r="V21" i="1" a="1"/>
  <c r="V21" i="1" s="1"/>
  <c r="Q25" i="1"/>
  <c r="Q24" i="1"/>
  <c r="Q23" i="1"/>
  <c r="X61" i="4" s="1"/>
  <c r="Q22" i="1"/>
  <c r="Q21" i="1"/>
  <c r="P25" i="1"/>
  <c r="P24" i="1"/>
  <c r="P23" i="1"/>
  <c r="P22" i="1"/>
  <c r="P21" i="1"/>
  <c r="O25" i="1" a="1"/>
  <c r="O25" i="1"/>
  <c r="O24" i="1" a="1"/>
  <c r="O24" i="1"/>
  <c r="O23" i="1" a="1"/>
  <c r="O23" i="1"/>
  <c r="O22" i="1" a="1"/>
  <c r="O22" i="1" s="1"/>
  <c r="O21" i="1" a="1"/>
  <c r="O21" i="1" s="1"/>
  <c r="N25" i="1" a="1"/>
  <c r="N25" i="1" s="1"/>
  <c r="N24" i="1" a="1"/>
  <c r="N24" i="1"/>
  <c r="N23" i="1" a="1"/>
  <c r="N23" i="1" s="1"/>
  <c r="N22" i="1" a="1"/>
  <c r="N22" i="1" s="1"/>
  <c r="N21" i="1" a="1"/>
  <c r="N21" i="1" s="1"/>
  <c r="M25" i="1"/>
  <c r="M24" i="1"/>
  <c r="W9" i="4" s="1"/>
  <c r="M23" i="1"/>
  <c r="W46" i="4" s="1"/>
  <c r="M22" i="1"/>
  <c r="M21" i="1"/>
  <c r="L25" i="1"/>
  <c r="L24" i="1"/>
  <c r="L23" i="1"/>
  <c r="W50" i="4" s="1"/>
  <c r="L22" i="1"/>
  <c r="L21" i="1"/>
  <c r="W2" i="4" s="1"/>
  <c r="K25" i="1" a="1"/>
  <c r="K25" i="1" s="1"/>
  <c r="K24" i="1" a="1"/>
  <c r="K24" i="1" s="1"/>
  <c r="K23" i="1" a="1"/>
  <c r="K23" i="1" s="1"/>
  <c r="K22" i="1" a="1"/>
  <c r="K22" i="1" s="1"/>
  <c r="K21" i="1" a="1"/>
  <c r="K21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Y16" i="1"/>
  <c r="Y15" i="1"/>
  <c r="Y14" i="1"/>
  <c r="Y44" i="3" s="1"/>
  <c r="Y13" i="1"/>
  <c r="Y12" i="1"/>
  <c r="X16" i="1"/>
  <c r="X15" i="1"/>
  <c r="X14" i="1"/>
  <c r="X13" i="1"/>
  <c r="X12" i="1"/>
  <c r="W16" i="1" a="1"/>
  <c r="W16" i="1" s="1"/>
  <c r="W15" i="1" a="1"/>
  <c r="W15" i="1"/>
  <c r="W14" i="1" a="1"/>
  <c r="W14" i="1" s="1"/>
  <c r="W13" i="1" a="1"/>
  <c r="W13" i="1" s="1"/>
  <c r="W12" i="1" a="1"/>
  <c r="W12" i="1" s="1"/>
  <c r="V16" i="1" a="1"/>
  <c r="V16" i="1" s="1"/>
  <c r="V15" i="1" a="1"/>
  <c r="V15" i="1" s="1"/>
  <c r="V14" i="1" a="1"/>
  <c r="V14" i="1"/>
  <c r="V13" i="1" a="1"/>
  <c r="V13" i="1"/>
  <c r="V12" i="1" a="1"/>
  <c r="V12" i="1"/>
  <c r="Q16" i="1"/>
  <c r="Q15" i="1"/>
  <c r="Q14" i="1"/>
  <c r="Q13" i="1"/>
  <c r="Q12" i="1"/>
  <c r="P16" i="1"/>
  <c r="P15" i="1"/>
  <c r="P14" i="1"/>
  <c r="P13" i="1"/>
  <c r="P12" i="1"/>
  <c r="O16" i="1" a="1"/>
  <c r="O16" i="1"/>
  <c r="O15" i="1" a="1"/>
  <c r="O15" i="1" s="1"/>
  <c r="O14" i="1" a="1"/>
  <c r="O14" i="1"/>
  <c r="O13" i="1" a="1"/>
  <c r="O13" i="1" s="1"/>
  <c r="O12" i="1" a="1"/>
  <c r="O12" i="1" s="1"/>
  <c r="N16" i="1" a="1"/>
  <c r="N16" i="1" s="1"/>
  <c r="N15" i="1" a="1"/>
  <c r="N15" i="1" s="1"/>
  <c r="N14" i="1" a="1"/>
  <c r="N14" i="1" s="1"/>
  <c r="N13" i="1" a="1"/>
  <c r="N13" i="1" s="1"/>
  <c r="N12" i="1" a="1"/>
  <c r="N12" i="1" s="1"/>
  <c r="M16" i="1"/>
  <c r="M15" i="1"/>
  <c r="M14" i="1"/>
  <c r="M13" i="1"/>
  <c r="M12" i="1"/>
  <c r="L16" i="1"/>
  <c r="L15" i="1"/>
  <c r="L14" i="1"/>
  <c r="L13" i="1"/>
  <c r="L12" i="1"/>
  <c r="K16" i="1" a="1"/>
  <c r="K16" i="1"/>
  <c r="K15" i="1" a="1"/>
  <c r="K15" i="1"/>
  <c r="K14" i="1" a="1"/>
  <c r="K14" i="1"/>
  <c r="K13" i="1" a="1"/>
  <c r="K13" i="1"/>
  <c r="K12" i="1" a="1"/>
  <c r="K12" i="1"/>
  <c r="J16" i="1" a="1"/>
  <c r="J16" i="1"/>
  <c r="J15" i="1" a="1"/>
  <c r="J15" i="1" s="1"/>
  <c r="J14" i="1" a="1"/>
  <c r="J14" i="1" s="1"/>
  <c r="J13" i="1" a="1"/>
  <c r="J13" i="1"/>
  <c r="J12" i="1" a="1"/>
  <c r="J12" i="1"/>
  <c r="Y7" i="1"/>
  <c r="Y28" i="2" s="1"/>
  <c r="Y6" i="1"/>
  <c r="Y5" i="1"/>
  <c r="Y41" i="2" s="1"/>
  <c r="Y4" i="1"/>
  <c r="Y3" i="1"/>
  <c r="X7" i="1"/>
  <c r="X6" i="1"/>
  <c r="X5" i="1"/>
  <c r="X4" i="1"/>
  <c r="X3" i="1"/>
  <c r="W7" i="1" a="1"/>
  <c r="W7" i="1" s="1"/>
  <c r="W6" i="1" a="1"/>
  <c r="W6" i="1"/>
  <c r="W5" i="1" a="1"/>
  <c r="W5" i="1" s="1"/>
  <c r="W4" i="1" a="1"/>
  <c r="W4" i="1"/>
  <c r="W3" i="1" a="1"/>
  <c r="W3" i="1"/>
  <c r="V7" i="1" a="1"/>
  <c r="V7" i="1"/>
  <c r="V6" i="1" a="1"/>
  <c r="V6" i="1" s="1"/>
  <c r="V5" i="1" a="1"/>
  <c r="V5" i="1"/>
  <c r="V4" i="1" a="1"/>
  <c r="V4" i="1" s="1"/>
  <c r="V3" i="1" a="1"/>
  <c r="V3" i="1"/>
  <c r="Q7" i="1"/>
  <c r="X28" i="2" s="1"/>
  <c r="Q6" i="1"/>
  <c r="X23" i="2" s="1"/>
  <c r="Q5" i="1"/>
  <c r="X34" i="2" s="1"/>
  <c r="Q4" i="1"/>
  <c r="Q3" i="1"/>
  <c r="P7" i="1"/>
  <c r="X25" i="2" s="1"/>
  <c r="P6" i="1"/>
  <c r="P5" i="1"/>
  <c r="X40" i="2" s="1"/>
  <c r="P4" i="1"/>
  <c r="P3" i="1"/>
  <c r="X2" i="2" s="1"/>
  <c r="O7" i="1" a="1"/>
  <c r="O7" i="1"/>
  <c r="O6" i="1" a="1"/>
  <c r="O6" i="1"/>
  <c r="O5" i="1" a="1"/>
  <c r="O5" i="1" s="1"/>
  <c r="O4" i="1" a="1"/>
  <c r="O4" i="1" s="1"/>
  <c r="O3" i="1" a="1"/>
  <c r="O3" i="1"/>
  <c r="N7" i="1" a="1"/>
  <c r="N7" i="1"/>
  <c r="N6" i="1" a="1"/>
  <c r="N6" i="1"/>
  <c r="N5" i="1" a="1"/>
  <c r="N5" i="1" s="1"/>
  <c r="N4" i="1" a="1"/>
  <c r="N4" i="1" s="1"/>
  <c r="N3" i="1" a="1"/>
  <c r="N3" i="1" s="1"/>
  <c r="M7" i="1"/>
  <c r="M6" i="1"/>
  <c r="M5" i="1"/>
  <c r="M4" i="1"/>
  <c r="M3" i="1"/>
  <c r="L7" i="1"/>
  <c r="L6" i="1"/>
  <c r="L5" i="1"/>
  <c r="L4" i="1"/>
  <c r="L3" i="1"/>
  <c r="K7" i="1" a="1"/>
  <c r="K7" i="1" s="1"/>
  <c r="K6" i="1" a="1"/>
  <c r="K6" i="1" s="1"/>
  <c r="K5" i="1" a="1"/>
  <c r="K5" i="1" s="1"/>
  <c r="K4" i="1" a="1"/>
  <c r="K4" i="1" s="1"/>
  <c r="K3" i="1" a="1"/>
  <c r="K3" i="1"/>
  <c r="J7" i="1" a="1"/>
  <c r="J7" i="1"/>
  <c r="J6" i="1" a="1"/>
  <c r="J6" i="1"/>
  <c r="J5" i="1" a="1"/>
  <c r="J5" i="1" s="1"/>
  <c r="J4" i="1" a="1"/>
  <c r="J4" i="1" s="1"/>
  <c r="J3" i="1" a="1"/>
  <c r="J3" i="1" s="1"/>
  <c r="M64" i="4"/>
  <c r="M61" i="4"/>
  <c r="T61" i="4" s="1"/>
  <c r="M59" i="4"/>
  <c r="M52" i="4"/>
  <c r="M35" i="4"/>
  <c r="M20" i="4"/>
  <c r="T20" i="4" s="1"/>
  <c r="M19" i="4"/>
  <c r="M17" i="4"/>
  <c r="T17" i="4" s="1"/>
  <c r="M16" i="4"/>
  <c r="I52" i="4"/>
  <c r="I47" i="4"/>
  <c r="P47" i="4" s="1"/>
  <c r="I46" i="4"/>
  <c r="P46" i="4" s="1"/>
  <c r="I45" i="4"/>
  <c r="I44" i="4"/>
  <c r="P44" i="4" s="1"/>
  <c r="I43" i="4"/>
  <c r="P43" i="4" s="1"/>
  <c r="I42" i="4"/>
  <c r="P42" i="4" s="1"/>
  <c r="I41" i="4"/>
  <c r="P41" i="4" s="1"/>
  <c r="I24" i="4"/>
  <c r="I23" i="4"/>
  <c r="I21" i="4"/>
  <c r="P21" i="4" s="1"/>
  <c r="I18" i="4"/>
  <c r="H59" i="4"/>
  <c r="N59" i="4" s="1"/>
  <c r="H56" i="4"/>
  <c r="O56" i="4" s="1"/>
  <c r="H52" i="4"/>
  <c r="H44" i="4"/>
  <c r="H40" i="4"/>
  <c r="O40" i="4" s="1"/>
  <c r="H39" i="4"/>
  <c r="N39" i="4" s="1"/>
  <c r="H19" i="4"/>
  <c r="H18" i="4"/>
  <c r="H17" i="4"/>
  <c r="H16" i="4"/>
  <c r="N16" i="4" s="1"/>
  <c r="H15" i="4"/>
  <c r="H8" i="4"/>
  <c r="O8" i="4" s="1"/>
  <c r="H4" i="4"/>
  <c r="H2" i="4"/>
  <c r="D71" i="4"/>
  <c r="I71" i="4" s="1"/>
  <c r="P71" i="4" s="1"/>
  <c r="D70" i="4"/>
  <c r="I70" i="4" s="1"/>
  <c r="P70" i="4" s="1"/>
  <c r="D69" i="4"/>
  <c r="I69" i="4" s="1"/>
  <c r="D68" i="4"/>
  <c r="H68" i="4" s="1"/>
  <c r="D67" i="4"/>
  <c r="I67" i="4" s="1"/>
  <c r="P67" i="4" s="1"/>
  <c r="D66" i="4"/>
  <c r="D65" i="4"/>
  <c r="D64" i="4"/>
  <c r="H64" i="4" s="1"/>
  <c r="O64" i="4" s="1"/>
  <c r="D63" i="4"/>
  <c r="I63" i="4" s="1"/>
  <c r="D62" i="4"/>
  <c r="M62" i="4" s="1"/>
  <c r="D61" i="4"/>
  <c r="I61" i="4" s="1"/>
  <c r="P61" i="4" s="1"/>
  <c r="D60" i="4"/>
  <c r="I60" i="4" s="1"/>
  <c r="D59" i="4"/>
  <c r="I59" i="4" s="1"/>
  <c r="D58" i="4"/>
  <c r="I58" i="4" s="1"/>
  <c r="P58" i="4" s="1"/>
  <c r="D57" i="4"/>
  <c r="I57" i="4" s="1"/>
  <c r="P57" i="4" s="1"/>
  <c r="D56" i="4"/>
  <c r="I56" i="4" s="1"/>
  <c r="D55" i="4"/>
  <c r="I55" i="4" s="1"/>
  <c r="D54" i="4"/>
  <c r="H54" i="4" s="1"/>
  <c r="D53" i="4"/>
  <c r="I53" i="4" s="1"/>
  <c r="P53" i="4" s="1"/>
  <c r="D52" i="4"/>
  <c r="D51" i="4"/>
  <c r="D50" i="4"/>
  <c r="I50" i="4" s="1"/>
  <c r="D49" i="4"/>
  <c r="I49" i="4" s="1"/>
  <c r="D48" i="4"/>
  <c r="I48" i="4" s="1"/>
  <c r="D47" i="4"/>
  <c r="D46" i="4"/>
  <c r="D45" i="4"/>
  <c r="D44" i="4"/>
  <c r="M44" i="4" s="1"/>
  <c r="T44" i="4" s="1"/>
  <c r="D43" i="4"/>
  <c r="D42" i="4"/>
  <c r="M42" i="4" s="1"/>
  <c r="T42" i="4" s="1"/>
  <c r="D41" i="4"/>
  <c r="H41" i="4" s="1"/>
  <c r="D40" i="4"/>
  <c r="I40" i="4" s="1"/>
  <c r="D39" i="4"/>
  <c r="I39" i="4" s="1"/>
  <c r="D38" i="4"/>
  <c r="I38" i="4" s="1"/>
  <c r="P38" i="4" s="1"/>
  <c r="D37" i="4"/>
  <c r="I37" i="4" s="1"/>
  <c r="P37" i="4" s="1"/>
  <c r="D36" i="4"/>
  <c r="I36" i="4" s="1"/>
  <c r="P36" i="4" s="1"/>
  <c r="D35" i="4"/>
  <c r="I35" i="4" s="1"/>
  <c r="P35" i="4" s="1"/>
  <c r="D34" i="4"/>
  <c r="I34" i="4" s="1"/>
  <c r="P34" i="4" s="1"/>
  <c r="D33" i="4"/>
  <c r="I33" i="4" s="1"/>
  <c r="D32" i="4"/>
  <c r="I32" i="4" s="1"/>
  <c r="P32" i="4" s="1"/>
  <c r="D31" i="4"/>
  <c r="I31" i="4" s="1"/>
  <c r="P31" i="4" s="1"/>
  <c r="D30" i="4"/>
  <c r="D29" i="4"/>
  <c r="D28" i="4"/>
  <c r="I28" i="4" s="1"/>
  <c r="P28" i="4" s="1"/>
  <c r="D27" i="4"/>
  <c r="D26" i="4"/>
  <c r="D25" i="4"/>
  <c r="D24" i="4"/>
  <c r="M24" i="4" s="1"/>
  <c r="D23" i="4"/>
  <c r="D22" i="4"/>
  <c r="M22" i="4" s="1"/>
  <c r="D21" i="4"/>
  <c r="M21" i="4" s="1"/>
  <c r="D20" i="4"/>
  <c r="I20" i="4" s="1"/>
  <c r="D19" i="4"/>
  <c r="I19" i="4" s="1"/>
  <c r="D18" i="4"/>
  <c r="M18" i="4" s="1"/>
  <c r="T18" i="4" s="1"/>
  <c r="D17" i="4"/>
  <c r="I17" i="4" s="1"/>
  <c r="D16" i="4"/>
  <c r="I16" i="4" s="1"/>
  <c r="D15" i="4"/>
  <c r="I15" i="4" s="1"/>
  <c r="D14" i="4"/>
  <c r="I14" i="4" s="1"/>
  <c r="D13" i="4"/>
  <c r="I13" i="4" s="1"/>
  <c r="D12" i="4"/>
  <c r="H12" i="4" s="1"/>
  <c r="D11" i="4"/>
  <c r="H11" i="4" s="1"/>
  <c r="D10" i="4"/>
  <c r="D9" i="4"/>
  <c r="D8" i="4"/>
  <c r="I8" i="4" s="1"/>
  <c r="D7" i="4"/>
  <c r="D6" i="4"/>
  <c r="D5" i="4"/>
  <c r="D4" i="4"/>
  <c r="M4" i="4" s="1"/>
  <c r="D3" i="4"/>
  <c r="I3" i="4" s="1"/>
  <c r="D2" i="4"/>
  <c r="I2" i="4" s="1"/>
  <c r="M42" i="3"/>
  <c r="T42" i="3" s="1"/>
  <c r="M40" i="3"/>
  <c r="T40" i="3" s="1"/>
  <c r="M39" i="3"/>
  <c r="M38" i="3"/>
  <c r="T38" i="3" s="1"/>
  <c r="M37" i="3"/>
  <c r="T37" i="3" s="1"/>
  <c r="M36" i="3"/>
  <c r="M35" i="3"/>
  <c r="M34" i="3"/>
  <c r="T34" i="3" s="1"/>
  <c r="M33" i="3"/>
  <c r="T33" i="3" s="1"/>
  <c r="M22" i="3"/>
  <c r="M20" i="3"/>
  <c r="T20" i="3" s="1"/>
  <c r="M2" i="3"/>
  <c r="T2" i="3" s="1"/>
  <c r="I44" i="3"/>
  <c r="P44" i="3" s="1"/>
  <c r="I43" i="3"/>
  <c r="P43" i="3" s="1"/>
  <c r="I40" i="3"/>
  <c r="I37" i="3"/>
  <c r="P37" i="3" s="1"/>
  <c r="I34" i="3"/>
  <c r="P34" i="3" s="1"/>
  <c r="I33" i="3"/>
  <c r="N33" i="3" s="1"/>
  <c r="I28" i="3"/>
  <c r="I24" i="3"/>
  <c r="H45" i="3"/>
  <c r="H44" i="3"/>
  <c r="H42" i="3"/>
  <c r="O42" i="3" s="1"/>
  <c r="H41" i="3"/>
  <c r="N41" i="3" s="1"/>
  <c r="H40" i="3"/>
  <c r="O40" i="3" s="1"/>
  <c r="H39" i="3"/>
  <c r="H37" i="3"/>
  <c r="N37" i="3" s="1"/>
  <c r="H36" i="3"/>
  <c r="O36" i="3" s="1"/>
  <c r="H34" i="3"/>
  <c r="N34" i="3" s="1"/>
  <c r="H2" i="3"/>
  <c r="O2" i="3" s="1"/>
  <c r="D52" i="3"/>
  <c r="I52" i="3" s="1"/>
  <c r="D51" i="3"/>
  <c r="M51" i="3" s="1"/>
  <c r="T51" i="3" s="1"/>
  <c r="D50" i="3"/>
  <c r="D49" i="3"/>
  <c r="D48" i="3"/>
  <c r="D47" i="3"/>
  <c r="H47" i="3" s="1"/>
  <c r="D46" i="3"/>
  <c r="D45" i="3"/>
  <c r="D44" i="3"/>
  <c r="M44" i="3" s="1"/>
  <c r="D43" i="3"/>
  <c r="H43" i="3" s="1"/>
  <c r="O43" i="3" s="1"/>
  <c r="D42" i="3"/>
  <c r="I42" i="3" s="1"/>
  <c r="P42" i="3" s="1"/>
  <c r="D41" i="3"/>
  <c r="I41" i="3" s="1"/>
  <c r="D40" i="3"/>
  <c r="D39" i="3"/>
  <c r="I39" i="3" s="1"/>
  <c r="P39" i="3" s="1"/>
  <c r="D38" i="3"/>
  <c r="I38" i="3" s="1"/>
  <c r="D37" i="3"/>
  <c r="D36" i="3"/>
  <c r="I36" i="3" s="1"/>
  <c r="D35" i="3"/>
  <c r="D34" i="3"/>
  <c r="D33" i="3"/>
  <c r="H33" i="3" s="1"/>
  <c r="O33" i="3" s="1"/>
  <c r="D32" i="3"/>
  <c r="H32" i="3" s="1"/>
  <c r="D31" i="3"/>
  <c r="M31" i="3" s="1"/>
  <c r="T31" i="3" s="1"/>
  <c r="D30" i="3"/>
  <c r="D29" i="3"/>
  <c r="H29" i="3" s="1"/>
  <c r="D28" i="3"/>
  <c r="D27" i="3"/>
  <c r="M27" i="3" s="1"/>
  <c r="D26" i="3"/>
  <c r="I26" i="3" s="1"/>
  <c r="P26" i="3" s="1"/>
  <c r="D25" i="3"/>
  <c r="H25" i="3" s="1"/>
  <c r="D24" i="3"/>
  <c r="M24" i="3" s="1"/>
  <c r="D23" i="3"/>
  <c r="M23" i="3" s="1"/>
  <c r="T23" i="3" s="1"/>
  <c r="D22" i="3"/>
  <c r="I22" i="3" s="1"/>
  <c r="D21" i="3"/>
  <c r="I21" i="3" s="1"/>
  <c r="D20" i="3"/>
  <c r="I20" i="3" s="1"/>
  <c r="P20" i="3" s="1"/>
  <c r="D19" i="3"/>
  <c r="I19" i="3" s="1"/>
  <c r="D18" i="3"/>
  <c r="I18" i="3" s="1"/>
  <c r="P18" i="3" s="1"/>
  <c r="D17" i="3"/>
  <c r="M17" i="3" s="1"/>
  <c r="T17" i="3" s="1"/>
  <c r="D16" i="3"/>
  <c r="H16" i="3" s="1"/>
  <c r="D15" i="3"/>
  <c r="D14" i="3"/>
  <c r="I14" i="3" s="1"/>
  <c r="P14" i="3" s="1"/>
  <c r="D13" i="3"/>
  <c r="H13" i="3" s="1"/>
  <c r="D12" i="3"/>
  <c r="D11" i="3"/>
  <c r="D10" i="3"/>
  <c r="D9" i="3"/>
  <c r="M9" i="3" s="1"/>
  <c r="D8" i="3"/>
  <c r="I8" i="3" s="1"/>
  <c r="D7" i="3"/>
  <c r="I7" i="3" s="1"/>
  <c r="D6" i="3"/>
  <c r="I6" i="3" s="1"/>
  <c r="D5" i="3"/>
  <c r="H5" i="3" s="1"/>
  <c r="D4" i="3"/>
  <c r="M4" i="3" s="1"/>
  <c r="D3" i="3"/>
  <c r="H3" i="3" s="1"/>
  <c r="D2" i="3"/>
  <c r="I2" i="3" s="1"/>
  <c r="M31" i="2"/>
  <c r="M13" i="2"/>
  <c r="M12" i="2"/>
  <c r="T12" i="2" s="1"/>
  <c r="I37" i="2"/>
  <c r="D45" i="2"/>
  <c r="D44" i="2"/>
  <c r="D43" i="2"/>
  <c r="D42" i="2"/>
  <c r="D41" i="2"/>
  <c r="I41" i="2" s="1"/>
  <c r="P41" i="2" s="1"/>
  <c r="D40" i="2"/>
  <c r="I40" i="2" s="1"/>
  <c r="D39" i="2"/>
  <c r="M39" i="2" s="1"/>
  <c r="D38" i="2"/>
  <c r="M38" i="2" s="1"/>
  <c r="D37" i="2"/>
  <c r="M37" i="2" s="1"/>
  <c r="T37" i="2" s="1"/>
  <c r="D36" i="2"/>
  <c r="M36" i="2" s="1"/>
  <c r="T36" i="2" s="1"/>
  <c r="D35" i="2"/>
  <c r="H35" i="2" s="1"/>
  <c r="D34" i="2"/>
  <c r="I34" i="2" s="1"/>
  <c r="D33" i="2"/>
  <c r="H33" i="2" s="1"/>
  <c r="D32" i="2"/>
  <c r="M32" i="2" s="1"/>
  <c r="D31" i="2"/>
  <c r="D30" i="2"/>
  <c r="I30" i="2" s="1"/>
  <c r="P30" i="2" s="1"/>
  <c r="D29" i="2"/>
  <c r="M29" i="2" s="1"/>
  <c r="D28" i="2"/>
  <c r="H28" i="2" s="1"/>
  <c r="O28" i="2" s="1"/>
  <c r="D27" i="2"/>
  <c r="D26" i="2"/>
  <c r="I26" i="2" s="1"/>
  <c r="P26" i="2" s="1"/>
  <c r="D25" i="2"/>
  <c r="D24" i="2"/>
  <c r="D23" i="2"/>
  <c r="D22" i="2"/>
  <c r="I22" i="2" s="1"/>
  <c r="D21" i="2"/>
  <c r="D20" i="2"/>
  <c r="H20" i="2" s="1"/>
  <c r="O20" i="2" s="1"/>
  <c r="D19" i="2"/>
  <c r="H19" i="2" s="1"/>
  <c r="O19" i="2" s="1"/>
  <c r="D18" i="2"/>
  <c r="H18" i="2" s="1"/>
  <c r="D17" i="2"/>
  <c r="H17" i="2" s="1"/>
  <c r="D16" i="2"/>
  <c r="M16" i="2" s="1"/>
  <c r="T16" i="2" s="1"/>
  <c r="D15" i="2"/>
  <c r="H15" i="2" s="1"/>
  <c r="D14" i="2"/>
  <c r="H14" i="2" s="1"/>
  <c r="D13" i="2"/>
  <c r="H13" i="2" s="1"/>
  <c r="D12" i="2"/>
  <c r="D11" i="2"/>
  <c r="D10" i="2"/>
  <c r="M10" i="2" s="1"/>
  <c r="D9" i="2"/>
  <c r="D8" i="2"/>
  <c r="D7" i="2"/>
  <c r="D6" i="2"/>
  <c r="M6" i="2" s="1"/>
  <c r="T6" i="2" s="1"/>
  <c r="D5" i="2"/>
  <c r="H5" i="2" s="1"/>
  <c r="D4" i="2"/>
  <c r="M4" i="2" s="1"/>
  <c r="T4" i="2" s="1"/>
  <c r="D3" i="2"/>
  <c r="M3" i="2" s="1"/>
  <c r="T3" i="2" s="1"/>
  <c r="D2" i="2"/>
  <c r="N52" i="4"/>
  <c r="N19" i="4"/>
  <c r="O52" i="4"/>
  <c r="O16" i="4"/>
  <c r="O18" i="4"/>
  <c r="O19" i="4"/>
  <c r="P3" i="4"/>
  <c r="P52" i="4"/>
  <c r="P59" i="4"/>
  <c r="P60" i="4"/>
  <c r="P63" i="4"/>
  <c r="P8" i="4"/>
  <c r="P40" i="4"/>
  <c r="Q2" i="4"/>
  <c r="Q3" i="4"/>
  <c r="Q4" i="4"/>
  <c r="Q5" i="4"/>
  <c r="Q6" i="4"/>
  <c r="Q7" i="4"/>
  <c r="Q70" i="4"/>
  <c r="Q71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R2" i="4"/>
  <c r="R3" i="4"/>
  <c r="R4" i="4"/>
  <c r="R5" i="4"/>
  <c r="R6" i="4"/>
  <c r="R7" i="4"/>
  <c r="R70" i="4"/>
  <c r="R71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S2" i="4"/>
  <c r="S3" i="4"/>
  <c r="S4" i="4"/>
  <c r="S5" i="4"/>
  <c r="S6" i="4"/>
  <c r="S7" i="4"/>
  <c r="S70" i="4"/>
  <c r="S71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T52" i="4"/>
  <c r="T59" i="4"/>
  <c r="T16" i="4"/>
  <c r="T19" i="4"/>
  <c r="T22" i="4"/>
  <c r="W3" i="4"/>
  <c r="W4" i="4"/>
  <c r="W5" i="4"/>
  <c r="W6" i="4"/>
  <c r="W7" i="4"/>
  <c r="W70" i="4"/>
  <c r="W71" i="4"/>
  <c r="W43" i="4"/>
  <c r="W44" i="4"/>
  <c r="W45" i="4"/>
  <c r="W48" i="4"/>
  <c r="W49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8" i="4"/>
  <c r="W11" i="4"/>
  <c r="W12" i="4"/>
  <c r="W13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X2" i="4"/>
  <c r="X3" i="4"/>
  <c r="X4" i="4"/>
  <c r="X5" i="4"/>
  <c r="X6" i="4"/>
  <c r="X7" i="4"/>
  <c r="X70" i="4"/>
  <c r="X71" i="4"/>
  <c r="X43" i="4"/>
  <c r="X44" i="4"/>
  <c r="X45" i="4"/>
  <c r="X46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2" i="4"/>
  <c r="X63" i="4"/>
  <c r="X64" i="4"/>
  <c r="X65" i="4"/>
  <c r="X66" i="4"/>
  <c r="X67" i="4"/>
  <c r="X68" i="4"/>
  <c r="X69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Y2" i="4"/>
  <c r="Y3" i="4"/>
  <c r="Y4" i="4"/>
  <c r="Y6" i="4"/>
  <c r="Y7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60" i="4"/>
  <c r="Y61" i="4"/>
  <c r="Y62" i="4"/>
  <c r="Y63" i="4"/>
  <c r="Y64" i="4"/>
  <c r="Y65" i="4"/>
  <c r="Y66" i="4"/>
  <c r="Y67" i="4"/>
  <c r="Y68" i="4"/>
  <c r="Y69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N2" i="3"/>
  <c r="N42" i="3"/>
  <c r="O13" i="3"/>
  <c r="O16" i="3"/>
  <c r="P2" i="3"/>
  <c r="P38" i="3"/>
  <c r="P40" i="3"/>
  <c r="P41" i="3"/>
  <c r="P19" i="3"/>
  <c r="P21" i="3"/>
  <c r="P22" i="3"/>
  <c r="Q2" i="3"/>
  <c r="Q3" i="3"/>
  <c r="Q4" i="3"/>
  <c r="Q5" i="3"/>
  <c r="Q6" i="3"/>
  <c r="Q7" i="3"/>
  <c r="Q8" i="3"/>
  <c r="Q9" i="3"/>
  <c r="Q10" i="3"/>
  <c r="Q11" i="3"/>
  <c r="Q12" i="3"/>
  <c r="Q45" i="3"/>
  <c r="Q46" i="3"/>
  <c r="Q47" i="3"/>
  <c r="Q48" i="3"/>
  <c r="Q49" i="3"/>
  <c r="Q50" i="3"/>
  <c r="Q51" i="3"/>
  <c r="Q52" i="3"/>
  <c r="Q35" i="3"/>
  <c r="Q36" i="3"/>
  <c r="Q37" i="3"/>
  <c r="Q38" i="3"/>
  <c r="Q39" i="3"/>
  <c r="Q40" i="3"/>
  <c r="Q41" i="3"/>
  <c r="Q42" i="3"/>
  <c r="Q43" i="3"/>
  <c r="Q44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R2" i="3"/>
  <c r="R3" i="3"/>
  <c r="R4" i="3"/>
  <c r="R5" i="3"/>
  <c r="R6" i="3"/>
  <c r="R7" i="3"/>
  <c r="R8" i="3"/>
  <c r="R9" i="3"/>
  <c r="R10" i="3"/>
  <c r="R11" i="3"/>
  <c r="R12" i="3"/>
  <c r="R45" i="3"/>
  <c r="R46" i="3"/>
  <c r="R47" i="3"/>
  <c r="R48" i="3"/>
  <c r="R49" i="3"/>
  <c r="R50" i="3"/>
  <c r="R51" i="3"/>
  <c r="R52" i="3"/>
  <c r="R35" i="3"/>
  <c r="R36" i="3"/>
  <c r="R37" i="3"/>
  <c r="R38" i="3"/>
  <c r="R39" i="3"/>
  <c r="R40" i="3"/>
  <c r="R41" i="3"/>
  <c r="R42" i="3"/>
  <c r="R43" i="3"/>
  <c r="R44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S2" i="3"/>
  <c r="S3" i="3"/>
  <c r="S4" i="3"/>
  <c r="S5" i="3"/>
  <c r="S6" i="3"/>
  <c r="S7" i="3"/>
  <c r="S8" i="3"/>
  <c r="S9" i="3"/>
  <c r="S10" i="3"/>
  <c r="S11" i="3"/>
  <c r="S12" i="3"/>
  <c r="S45" i="3"/>
  <c r="S46" i="3"/>
  <c r="S47" i="3"/>
  <c r="S48" i="3"/>
  <c r="S49" i="3"/>
  <c r="S50" i="3"/>
  <c r="S51" i="3"/>
  <c r="S52" i="3"/>
  <c r="S35" i="3"/>
  <c r="S36" i="3"/>
  <c r="S37" i="3"/>
  <c r="S38" i="3"/>
  <c r="S39" i="3"/>
  <c r="S40" i="3"/>
  <c r="S41" i="3"/>
  <c r="S42" i="3"/>
  <c r="S43" i="3"/>
  <c r="S44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T4" i="3"/>
  <c r="T22" i="3"/>
  <c r="W2" i="3"/>
  <c r="W3" i="3"/>
  <c r="W4" i="3"/>
  <c r="W5" i="3"/>
  <c r="W6" i="3"/>
  <c r="W7" i="3"/>
  <c r="W8" i="3"/>
  <c r="W9" i="3"/>
  <c r="W10" i="3"/>
  <c r="W11" i="3"/>
  <c r="W12" i="3"/>
  <c r="W45" i="3"/>
  <c r="W46" i="3"/>
  <c r="W47" i="3"/>
  <c r="W48" i="3"/>
  <c r="W49" i="3"/>
  <c r="W50" i="3"/>
  <c r="W51" i="3"/>
  <c r="W52" i="3"/>
  <c r="W35" i="3"/>
  <c r="W36" i="3"/>
  <c r="W37" i="3"/>
  <c r="W38" i="3"/>
  <c r="W39" i="3"/>
  <c r="W40" i="3"/>
  <c r="W41" i="3"/>
  <c r="W42" i="3"/>
  <c r="W43" i="3"/>
  <c r="W44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X2" i="3"/>
  <c r="X3" i="3"/>
  <c r="X4" i="3"/>
  <c r="X5" i="3"/>
  <c r="X6" i="3"/>
  <c r="X7" i="3"/>
  <c r="X8" i="3"/>
  <c r="X9" i="3"/>
  <c r="X10" i="3"/>
  <c r="X11" i="3"/>
  <c r="X12" i="3"/>
  <c r="X45" i="3"/>
  <c r="X46" i="3"/>
  <c r="X47" i="3"/>
  <c r="X48" i="3"/>
  <c r="X49" i="3"/>
  <c r="X50" i="3"/>
  <c r="X51" i="3"/>
  <c r="X52" i="3"/>
  <c r="X35" i="3"/>
  <c r="X36" i="3"/>
  <c r="X37" i="3"/>
  <c r="X38" i="3"/>
  <c r="X39" i="3"/>
  <c r="X40" i="3"/>
  <c r="X41" i="3"/>
  <c r="X42" i="3"/>
  <c r="X43" i="3"/>
  <c r="X44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Y2" i="3"/>
  <c r="Y3" i="3"/>
  <c r="Y4" i="3"/>
  <c r="Y5" i="3"/>
  <c r="Y6" i="3"/>
  <c r="Y7" i="3"/>
  <c r="Y8" i="3"/>
  <c r="Y9" i="3"/>
  <c r="Y10" i="3"/>
  <c r="Y11" i="3"/>
  <c r="Y12" i="3"/>
  <c r="Y45" i="3"/>
  <c r="Y46" i="3"/>
  <c r="Y47" i="3"/>
  <c r="Y48" i="3"/>
  <c r="Y49" i="3"/>
  <c r="Y50" i="3"/>
  <c r="Y51" i="3"/>
  <c r="Y52" i="3"/>
  <c r="Y35" i="3"/>
  <c r="Y36" i="3"/>
  <c r="Y37" i="3"/>
  <c r="Y38" i="3"/>
  <c r="Y39" i="3"/>
  <c r="Y40" i="3"/>
  <c r="Y41" i="3"/>
  <c r="Y42" i="3"/>
  <c r="Y43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P34" i="2"/>
  <c r="Q2" i="2"/>
  <c r="Q3" i="2"/>
  <c r="Q4" i="2"/>
  <c r="Q5" i="2"/>
  <c r="Q6" i="2"/>
  <c r="Q7" i="2"/>
  <c r="Q8" i="2"/>
  <c r="Q9" i="2"/>
  <c r="Q42" i="2"/>
  <c r="Q43" i="2"/>
  <c r="Q44" i="2"/>
  <c r="Q45" i="2"/>
  <c r="Q32" i="2"/>
  <c r="Q33" i="2"/>
  <c r="Q34" i="2"/>
  <c r="Q35" i="2"/>
  <c r="Q36" i="2"/>
  <c r="Q37" i="2"/>
  <c r="Q38" i="2"/>
  <c r="Q39" i="2"/>
  <c r="Q40" i="2"/>
  <c r="Q41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R2" i="2"/>
  <c r="R3" i="2"/>
  <c r="R4" i="2"/>
  <c r="R5" i="2"/>
  <c r="R6" i="2"/>
  <c r="R7" i="2"/>
  <c r="R8" i="2"/>
  <c r="R9" i="2"/>
  <c r="R42" i="2"/>
  <c r="R43" i="2"/>
  <c r="R44" i="2"/>
  <c r="R45" i="2"/>
  <c r="R32" i="2"/>
  <c r="R33" i="2"/>
  <c r="R34" i="2"/>
  <c r="R35" i="2"/>
  <c r="R36" i="2"/>
  <c r="R37" i="2"/>
  <c r="R38" i="2"/>
  <c r="R39" i="2"/>
  <c r="R40" i="2"/>
  <c r="R41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S2" i="2"/>
  <c r="S3" i="2"/>
  <c r="S4" i="2"/>
  <c r="S5" i="2"/>
  <c r="S6" i="2"/>
  <c r="S7" i="2"/>
  <c r="S8" i="2"/>
  <c r="S9" i="2"/>
  <c r="S42" i="2"/>
  <c r="S43" i="2"/>
  <c r="S44" i="2"/>
  <c r="S45" i="2"/>
  <c r="S32" i="2"/>
  <c r="S33" i="2"/>
  <c r="S34" i="2"/>
  <c r="S35" i="2"/>
  <c r="S36" i="2"/>
  <c r="S37" i="2"/>
  <c r="S38" i="2"/>
  <c r="S39" i="2"/>
  <c r="S40" i="2"/>
  <c r="S41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T13" i="2"/>
  <c r="W2" i="2"/>
  <c r="W3" i="2"/>
  <c r="W4" i="2"/>
  <c r="W5" i="2"/>
  <c r="W6" i="2"/>
  <c r="W7" i="2"/>
  <c r="W8" i="2"/>
  <c r="W9" i="2"/>
  <c r="W42" i="2"/>
  <c r="W43" i="2"/>
  <c r="W44" i="2"/>
  <c r="W45" i="2"/>
  <c r="W32" i="2"/>
  <c r="W33" i="2"/>
  <c r="W34" i="2"/>
  <c r="W35" i="2"/>
  <c r="W36" i="2"/>
  <c r="W37" i="2"/>
  <c r="W38" i="2"/>
  <c r="W39" i="2"/>
  <c r="W40" i="2"/>
  <c r="W41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X3" i="2"/>
  <c r="X4" i="2"/>
  <c r="X5" i="2"/>
  <c r="X6" i="2"/>
  <c r="X7" i="2"/>
  <c r="X8" i="2"/>
  <c r="X9" i="2"/>
  <c r="X42" i="2"/>
  <c r="X43" i="2"/>
  <c r="X44" i="2"/>
  <c r="X45" i="2"/>
  <c r="X32" i="2"/>
  <c r="X33" i="2"/>
  <c r="X35" i="2"/>
  <c r="X36" i="2"/>
  <c r="X37" i="2"/>
  <c r="X38" i="2"/>
  <c r="X39" i="2"/>
  <c r="X41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9" i="2"/>
  <c r="X30" i="2"/>
  <c r="X31" i="2"/>
  <c r="Y2" i="2"/>
  <c r="Y3" i="2"/>
  <c r="Y4" i="2"/>
  <c r="Y5" i="2"/>
  <c r="Y6" i="2"/>
  <c r="Y7" i="2"/>
  <c r="Y8" i="2"/>
  <c r="Y9" i="2"/>
  <c r="Y42" i="2"/>
  <c r="Y43" i="2"/>
  <c r="Y44" i="2"/>
  <c r="Y45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30" i="2"/>
  <c r="Y31" i="2"/>
  <c r="C1" i="12" a="1"/>
  <c r="C1" i="12" s="1"/>
  <c r="C1" i="11" a="1"/>
  <c r="C1" i="11" s="1"/>
  <c r="C1" i="9" a="1"/>
  <c r="C1" i="9" s="1"/>
  <c r="O3" i="3" l="1"/>
  <c r="I38" i="2"/>
  <c r="I16" i="2"/>
  <c r="P16" i="2" s="1"/>
  <c r="M40" i="2"/>
  <c r="T40" i="2" s="1"/>
  <c r="H21" i="3"/>
  <c r="I23" i="3"/>
  <c r="P23" i="3" s="1"/>
  <c r="H33" i="4"/>
  <c r="N33" i="4" s="1"/>
  <c r="M11" i="4"/>
  <c r="T11" i="4" s="1"/>
  <c r="M57" i="4"/>
  <c r="T57" i="4" s="1"/>
  <c r="N40" i="4"/>
  <c r="I18" i="2"/>
  <c r="N18" i="2" s="1"/>
  <c r="H22" i="3"/>
  <c r="M21" i="3"/>
  <c r="T21" i="3" s="1"/>
  <c r="H35" i="4"/>
  <c r="I22" i="4"/>
  <c r="N22" i="4" s="1"/>
  <c r="M12" i="4"/>
  <c r="T12" i="4" s="1"/>
  <c r="M58" i="4"/>
  <c r="T58" i="4" s="1"/>
  <c r="I19" i="2"/>
  <c r="P19" i="2" s="1"/>
  <c r="H23" i="3"/>
  <c r="I25" i="3"/>
  <c r="P25" i="3" s="1"/>
  <c r="H36" i="4"/>
  <c r="M13" i="4"/>
  <c r="T13" i="4" s="1"/>
  <c r="I35" i="2"/>
  <c r="P35" i="2" s="1"/>
  <c r="H24" i="3"/>
  <c r="O24" i="3" s="1"/>
  <c r="H37" i="4"/>
  <c r="N37" i="4" s="1"/>
  <c r="M15" i="4"/>
  <c r="T15" i="4" s="1"/>
  <c r="M60" i="4"/>
  <c r="T60" i="4" s="1"/>
  <c r="H13" i="4"/>
  <c r="O13" i="4" s="1"/>
  <c r="H55" i="4"/>
  <c r="O55" i="4" s="1"/>
  <c r="M32" i="4"/>
  <c r="T32" i="4" s="1"/>
  <c r="I64" i="4"/>
  <c r="P64" i="4" s="1"/>
  <c r="M37" i="4"/>
  <c r="M14" i="2"/>
  <c r="T14" i="2" s="1"/>
  <c r="M41" i="3"/>
  <c r="T41" i="3" s="1"/>
  <c r="N20" i="4"/>
  <c r="M38" i="4"/>
  <c r="M19" i="2"/>
  <c r="T19" i="2" s="1"/>
  <c r="N41" i="4"/>
  <c r="H14" i="3"/>
  <c r="M13" i="3"/>
  <c r="H21" i="4"/>
  <c r="O21" i="4" s="1"/>
  <c r="M40" i="4"/>
  <c r="T40" i="4" s="1"/>
  <c r="H39" i="2"/>
  <c r="H17" i="3"/>
  <c r="M14" i="3"/>
  <c r="T14" i="3" s="1"/>
  <c r="H22" i="4"/>
  <c r="O22" i="4" s="1"/>
  <c r="M33" i="4"/>
  <c r="T33" i="4" s="1"/>
  <c r="M36" i="4"/>
  <c r="H16" i="2"/>
  <c r="I3" i="3"/>
  <c r="P3" i="3" s="1"/>
  <c r="H61" i="4"/>
  <c r="O61" i="4" s="1"/>
  <c r="O41" i="3"/>
  <c r="H37" i="2"/>
  <c r="O37" i="2" s="1"/>
  <c r="H40" i="2"/>
  <c r="O40" i="2" s="1"/>
  <c r="M35" i="2"/>
  <c r="T35" i="2" s="1"/>
  <c r="H18" i="3"/>
  <c r="O18" i="3" s="1"/>
  <c r="M16" i="3"/>
  <c r="T16" i="3" s="1"/>
  <c r="H24" i="4"/>
  <c r="N24" i="4" s="1"/>
  <c r="I4" i="4"/>
  <c r="P4" i="4" s="1"/>
  <c r="M2" i="4"/>
  <c r="I39" i="2"/>
  <c r="P39" i="2" s="1"/>
  <c r="M3" i="3"/>
  <c r="T3" i="3" s="1"/>
  <c r="H34" i="2"/>
  <c r="H4" i="3"/>
  <c r="O4" i="3" s="1"/>
  <c r="M5" i="3"/>
  <c r="M43" i="3"/>
  <c r="T43" i="3" s="1"/>
  <c r="H20" i="4"/>
  <c r="O20" i="4" s="1"/>
  <c r="H62" i="4"/>
  <c r="O62" i="4" s="1"/>
  <c r="I13" i="2"/>
  <c r="P13" i="2" s="1"/>
  <c r="H19" i="3"/>
  <c r="I17" i="3"/>
  <c r="P17" i="3" s="1"/>
  <c r="H28" i="4"/>
  <c r="O28" i="4" s="1"/>
  <c r="M55" i="4"/>
  <c r="T55" i="4" s="1"/>
  <c r="H57" i="4"/>
  <c r="N57" i="4" s="1"/>
  <c r="H58" i="4"/>
  <c r="O58" i="4" s="1"/>
  <c r="M18" i="2"/>
  <c r="T18" i="2" s="1"/>
  <c r="H60" i="4"/>
  <c r="N60" i="4" s="1"/>
  <c r="M39" i="4"/>
  <c r="T39" i="4" s="1"/>
  <c r="I4" i="3"/>
  <c r="P4" i="3" s="1"/>
  <c r="I14" i="2"/>
  <c r="P14" i="2" s="1"/>
  <c r="H20" i="3"/>
  <c r="M19" i="3"/>
  <c r="T19" i="3" s="1"/>
  <c r="H32" i="4"/>
  <c r="M8" i="4"/>
  <c r="T8" i="4" s="1"/>
  <c r="M56" i="4"/>
  <c r="T56" i="4" s="1"/>
  <c r="M25" i="3"/>
  <c r="T25" i="3" s="1"/>
  <c r="I36" i="2"/>
  <c r="P36" i="2" s="1"/>
  <c r="H36" i="2"/>
  <c r="M20" i="2"/>
  <c r="T20" i="2" s="1"/>
  <c r="H53" i="4"/>
  <c r="M33" i="2"/>
  <c r="T33" i="2" s="1"/>
  <c r="M53" i="4"/>
  <c r="T53" i="4" s="1"/>
  <c r="I33" i="2"/>
  <c r="P33" i="2" s="1"/>
  <c r="O37" i="3"/>
  <c r="M30" i="2"/>
  <c r="T30" i="2" s="1"/>
  <c r="I17" i="2"/>
  <c r="N17" i="2" s="1"/>
  <c r="I20" i="2"/>
  <c r="P20" i="2" s="1"/>
  <c r="H30" i="2"/>
  <c r="N30" i="2" s="1"/>
  <c r="M26" i="2"/>
  <c r="T26" i="2" s="1"/>
  <c r="M15" i="2"/>
  <c r="T15" i="2" s="1"/>
  <c r="I15" i="2"/>
  <c r="P15" i="2" s="1"/>
  <c r="O15" i="2"/>
  <c r="I27" i="3"/>
  <c r="P27" i="3" s="1"/>
  <c r="M17" i="2"/>
  <c r="T17" i="2" s="1"/>
  <c r="P7" i="3"/>
  <c r="O54" i="4"/>
  <c r="O47" i="3"/>
  <c r="T9" i="3"/>
  <c r="O5" i="2"/>
  <c r="P50" i="4"/>
  <c r="P48" i="4"/>
  <c r="P6" i="3"/>
  <c r="N25" i="3"/>
  <c r="O25" i="3"/>
  <c r="P49" i="4"/>
  <c r="H49" i="3"/>
  <c r="M49" i="3"/>
  <c r="M23" i="2"/>
  <c r="I23" i="2"/>
  <c r="M44" i="2"/>
  <c r="H44" i="2"/>
  <c r="I29" i="2"/>
  <c r="H29" i="2"/>
  <c r="T32" i="2"/>
  <c r="P36" i="3"/>
  <c r="H6" i="2"/>
  <c r="I2" i="2"/>
  <c r="M2" i="2"/>
  <c r="P69" i="4"/>
  <c r="M7" i="2"/>
  <c r="I7" i="2"/>
  <c r="H7" i="2"/>
  <c r="M10" i="3"/>
  <c r="H10" i="3"/>
  <c r="I10" i="3"/>
  <c r="O29" i="3"/>
  <c r="P14" i="4"/>
  <c r="M30" i="3"/>
  <c r="H30" i="3"/>
  <c r="T39" i="3"/>
  <c r="O53" i="4"/>
  <c r="N53" i="4"/>
  <c r="H3" i="2"/>
  <c r="O33" i="2"/>
  <c r="P33" i="3"/>
  <c r="T24" i="4"/>
  <c r="N4" i="4"/>
  <c r="N34" i="2"/>
  <c r="O34" i="2"/>
  <c r="T2" i="4"/>
  <c r="P38" i="2"/>
  <c r="P37" i="2"/>
  <c r="N8" i="4"/>
  <c r="I32" i="3"/>
  <c r="O13" i="2"/>
  <c r="M65" i="4"/>
  <c r="H65" i="4"/>
  <c r="I65" i="4"/>
  <c r="P65" i="4" s="1"/>
  <c r="M24" i="2"/>
  <c r="I24" i="2"/>
  <c r="M5" i="2"/>
  <c r="I5" i="2"/>
  <c r="N5" i="2" s="1"/>
  <c r="H12" i="3"/>
  <c r="I12" i="3"/>
  <c r="P23" i="4"/>
  <c r="I4" i="2"/>
  <c r="I6" i="2"/>
  <c r="I31" i="3"/>
  <c r="H51" i="3"/>
  <c r="O14" i="2"/>
  <c r="O21" i="3"/>
  <c r="N21" i="3"/>
  <c r="M5" i="4"/>
  <c r="H5" i="4"/>
  <c r="I5" i="4"/>
  <c r="O22" i="3"/>
  <c r="N22" i="3"/>
  <c r="I5" i="3"/>
  <c r="M6" i="4"/>
  <c r="H6" i="4"/>
  <c r="I6" i="4"/>
  <c r="M26" i="4"/>
  <c r="H26" i="4"/>
  <c r="I26" i="4"/>
  <c r="M46" i="4"/>
  <c r="H46" i="4"/>
  <c r="M66" i="4"/>
  <c r="H66" i="4"/>
  <c r="I66" i="4"/>
  <c r="H31" i="4"/>
  <c r="M42" i="2"/>
  <c r="H42" i="2"/>
  <c r="P52" i="3"/>
  <c r="T36" i="4"/>
  <c r="H14" i="4"/>
  <c r="M14" i="4"/>
  <c r="M11" i="3"/>
  <c r="H11" i="3"/>
  <c r="P22" i="4"/>
  <c r="H2" i="2"/>
  <c r="M8" i="2"/>
  <c r="I8" i="2"/>
  <c r="P8" i="2" s="1"/>
  <c r="H8" i="2"/>
  <c r="I35" i="3"/>
  <c r="H35" i="3"/>
  <c r="N44" i="3"/>
  <c r="I30" i="3"/>
  <c r="T21" i="4"/>
  <c r="H10" i="2"/>
  <c r="O10" i="2" s="1"/>
  <c r="I10" i="2"/>
  <c r="P10" i="2" s="1"/>
  <c r="O19" i="3"/>
  <c r="N19" i="3"/>
  <c r="P45" i="4"/>
  <c r="M25" i="4"/>
  <c r="H25" i="4"/>
  <c r="I25" i="4"/>
  <c r="N61" i="4"/>
  <c r="P33" i="4"/>
  <c r="N58" i="4"/>
  <c r="H22" i="2"/>
  <c r="M7" i="4"/>
  <c r="H7" i="4"/>
  <c r="I7" i="4"/>
  <c r="M27" i="4"/>
  <c r="H27" i="4"/>
  <c r="O27" i="4" s="1"/>
  <c r="I27" i="4"/>
  <c r="M47" i="4"/>
  <c r="H47" i="4"/>
  <c r="M67" i="4"/>
  <c r="H67" i="4"/>
  <c r="M28" i="4"/>
  <c r="M43" i="2"/>
  <c r="H43" i="2"/>
  <c r="P18" i="4"/>
  <c r="T37" i="4"/>
  <c r="I9" i="2"/>
  <c r="H9" i="2"/>
  <c r="I3" i="2"/>
  <c r="O45" i="3"/>
  <c r="M45" i="4"/>
  <c r="H45" i="4"/>
  <c r="T13" i="3"/>
  <c r="O4" i="4"/>
  <c r="H23" i="2"/>
  <c r="T24" i="3"/>
  <c r="T44" i="3"/>
  <c r="N24" i="3"/>
  <c r="H48" i="4"/>
  <c r="M48" i="4"/>
  <c r="T48" i="4" s="1"/>
  <c r="O68" i="4"/>
  <c r="M31" i="4"/>
  <c r="T31" i="4" s="1"/>
  <c r="T64" i="4"/>
  <c r="M50" i="3"/>
  <c r="H50" i="3"/>
  <c r="T36" i="3"/>
  <c r="M45" i="2"/>
  <c r="I45" i="2"/>
  <c r="H45" i="2"/>
  <c r="H52" i="3"/>
  <c r="N52" i="3" s="1"/>
  <c r="M52" i="3"/>
  <c r="T4" i="4"/>
  <c r="M27" i="2"/>
  <c r="I27" i="2"/>
  <c r="T31" i="2"/>
  <c r="M28" i="2"/>
  <c r="I28" i="2"/>
  <c r="P40" i="2"/>
  <c r="N28" i="2"/>
  <c r="T10" i="2"/>
  <c r="I44" i="2"/>
  <c r="O59" i="4"/>
  <c r="M9" i="2"/>
  <c r="N56" i="4"/>
  <c r="O18" i="2"/>
  <c r="T38" i="2"/>
  <c r="H24" i="2"/>
  <c r="O5" i="3"/>
  <c r="I45" i="3"/>
  <c r="P45" i="3" s="1"/>
  <c r="M45" i="3"/>
  <c r="P8" i="3"/>
  <c r="M29" i="3"/>
  <c r="M9" i="4"/>
  <c r="H9" i="4"/>
  <c r="M29" i="4"/>
  <c r="H29" i="4"/>
  <c r="I29" i="4"/>
  <c r="M49" i="4"/>
  <c r="T49" i="4" s="1"/>
  <c r="H49" i="4"/>
  <c r="M69" i="4"/>
  <c r="H69" i="4"/>
  <c r="H34" i="4"/>
  <c r="I9" i="4"/>
  <c r="M68" i="4"/>
  <c r="T35" i="3"/>
  <c r="M22" i="2"/>
  <c r="M54" i="4"/>
  <c r="I54" i="4"/>
  <c r="M25" i="2"/>
  <c r="I25" i="2"/>
  <c r="T29" i="2"/>
  <c r="T5" i="3"/>
  <c r="M12" i="3"/>
  <c r="O32" i="3"/>
  <c r="H4" i="2"/>
  <c r="I15" i="3"/>
  <c r="H15" i="3"/>
  <c r="M15" i="3"/>
  <c r="N18" i="4"/>
  <c r="N16" i="3"/>
  <c r="I29" i="3"/>
  <c r="N29" i="3" s="1"/>
  <c r="I42" i="2"/>
  <c r="O44" i="3"/>
  <c r="I43" i="2"/>
  <c r="P2" i="4"/>
  <c r="H25" i="2"/>
  <c r="M6" i="3"/>
  <c r="H6" i="3"/>
  <c r="M26" i="3"/>
  <c r="H26" i="3"/>
  <c r="M46" i="3"/>
  <c r="H46" i="3"/>
  <c r="I46" i="3"/>
  <c r="P46" i="3" s="1"/>
  <c r="H27" i="3"/>
  <c r="I11" i="3"/>
  <c r="I49" i="3"/>
  <c r="M32" i="3"/>
  <c r="M10" i="4"/>
  <c r="H10" i="4"/>
  <c r="M30" i="4"/>
  <c r="T30" i="4" s="1"/>
  <c r="H30" i="4"/>
  <c r="I30" i="4"/>
  <c r="P30" i="4" s="1"/>
  <c r="M50" i="4"/>
  <c r="H50" i="4"/>
  <c r="M70" i="4"/>
  <c r="H70" i="4"/>
  <c r="I10" i="4"/>
  <c r="P10" i="4" s="1"/>
  <c r="P24" i="4"/>
  <c r="P17" i="4"/>
  <c r="H26" i="2"/>
  <c r="M7" i="3"/>
  <c r="H7" i="3"/>
  <c r="T27" i="3"/>
  <c r="P22" i="2"/>
  <c r="H9" i="3"/>
  <c r="I9" i="3"/>
  <c r="N36" i="3"/>
  <c r="P13" i="4"/>
  <c r="T38" i="4"/>
  <c r="P24" i="3"/>
  <c r="M47" i="3"/>
  <c r="I47" i="3"/>
  <c r="H31" i="3"/>
  <c r="I50" i="3"/>
  <c r="O11" i="4"/>
  <c r="M51" i="4"/>
  <c r="T51" i="4" s="1"/>
  <c r="H51" i="4"/>
  <c r="I51" i="4"/>
  <c r="M71" i="4"/>
  <c r="H71" i="4"/>
  <c r="O71" i="4" s="1"/>
  <c r="N36" i="4"/>
  <c r="O36" i="4"/>
  <c r="I11" i="4"/>
  <c r="M34" i="4"/>
  <c r="T34" i="4" s="1"/>
  <c r="P28" i="3"/>
  <c r="N2" i="4"/>
  <c r="M21" i="2"/>
  <c r="H21" i="2"/>
  <c r="M41" i="2"/>
  <c r="H41" i="2"/>
  <c r="H27" i="2"/>
  <c r="I21" i="2"/>
  <c r="M8" i="3"/>
  <c r="H8" i="3"/>
  <c r="M28" i="3"/>
  <c r="H28" i="3"/>
  <c r="M48" i="3"/>
  <c r="H48" i="3"/>
  <c r="I48" i="3"/>
  <c r="I51" i="3"/>
  <c r="O12" i="4"/>
  <c r="O2" i="4"/>
  <c r="I12" i="4"/>
  <c r="N12" i="4" s="1"/>
  <c r="I68" i="4"/>
  <c r="T35" i="4"/>
  <c r="P55" i="4"/>
  <c r="O37" i="4"/>
  <c r="N64" i="4"/>
  <c r="I11" i="2"/>
  <c r="P11" i="2" s="1"/>
  <c r="H11" i="2"/>
  <c r="I31" i="2"/>
  <c r="H31" i="2"/>
  <c r="O34" i="3"/>
  <c r="P15" i="4"/>
  <c r="I12" i="2"/>
  <c r="H12" i="2"/>
  <c r="I32" i="2"/>
  <c r="H32" i="2"/>
  <c r="H38" i="2"/>
  <c r="M34" i="2"/>
  <c r="P16" i="4"/>
  <c r="P56" i="4"/>
  <c r="H38" i="4"/>
  <c r="M41" i="4"/>
  <c r="N40" i="3"/>
  <c r="O39" i="4"/>
  <c r="M11" i="2"/>
  <c r="H38" i="3"/>
  <c r="I13" i="3"/>
  <c r="M18" i="3"/>
  <c r="T18" i="3" s="1"/>
  <c r="P39" i="4"/>
  <c r="N15" i="4"/>
  <c r="O39" i="3"/>
  <c r="H42" i="4"/>
  <c r="I62" i="4"/>
  <c r="T39" i="2"/>
  <c r="I16" i="3"/>
  <c r="N17" i="4"/>
  <c r="O17" i="4"/>
  <c r="N44" i="4"/>
  <c r="M3" i="4"/>
  <c r="H3" i="4"/>
  <c r="M23" i="4"/>
  <c r="T23" i="4" s="1"/>
  <c r="H23" i="4"/>
  <c r="M43" i="4"/>
  <c r="H43" i="4"/>
  <c r="M63" i="4"/>
  <c r="H63" i="4"/>
  <c r="P20" i="4"/>
  <c r="N13" i="4"/>
  <c r="T62" i="4"/>
  <c r="P19" i="4"/>
  <c r="N43" i="3"/>
  <c r="N36" i="2"/>
  <c r="Y71" i="4"/>
  <c r="X47" i="4"/>
  <c r="W14" i="4"/>
  <c r="W10" i="4"/>
  <c r="W47" i="4"/>
  <c r="W53" i="4"/>
  <c r="W52" i="4"/>
  <c r="W51" i="4"/>
  <c r="Y29" i="2"/>
  <c r="Y40" i="2"/>
  <c r="Y39" i="2"/>
  <c r="Y38" i="2"/>
  <c r="Y37" i="2"/>
  <c r="Y36" i="2"/>
  <c r="Y35" i="2"/>
  <c r="Y34" i="2"/>
  <c r="Y33" i="2"/>
  <c r="Y32" i="2"/>
  <c r="X24" i="2"/>
  <c r="X27" i="2"/>
  <c r="X26" i="2"/>
  <c r="T45" i="4"/>
  <c r="N55" i="4"/>
  <c r="O44" i="4"/>
  <c r="O41" i="4"/>
  <c r="O15" i="4"/>
  <c r="N39" i="3"/>
  <c r="O52" i="3"/>
  <c r="N39" i="2"/>
  <c r="N24" i="2"/>
  <c r="P24" i="2"/>
  <c r="N19" i="2"/>
  <c r="O39" i="2"/>
  <c r="N37" i="2"/>
  <c r="O36" i="2"/>
  <c r="O35" i="2"/>
  <c r="O17" i="2"/>
  <c r="N10" i="2"/>
  <c r="A2" i="15" a="1"/>
  <c r="A2" i="15" s="1"/>
  <c r="N14" i="2" l="1"/>
  <c r="R15" i="1" a="1"/>
  <c r="R15" i="1" s="1"/>
  <c r="O60" i="4"/>
  <c r="O35" i="4"/>
  <c r="N35" i="4"/>
  <c r="O57" i="4"/>
  <c r="B13" i="1" a="1"/>
  <c r="B13" i="1" s="1"/>
  <c r="B24" i="1" a="1"/>
  <c r="B24" i="1" s="1"/>
  <c r="O24" i="4"/>
  <c r="O33" i="4"/>
  <c r="N4" i="3"/>
  <c r="O16" i="2"/>
  <c r="N16" i="2"/>
  <c r="N21" i="4"/>
  <c r="N40" i="2"/>
  <c r="N13" i="2"/>
  <c r="O17" i="3"/>
  <c r="N17" i="3"/>
  <c r="G16" i="1" a="1"/>
  <c r="G16" i="1" s="1"/>
  <c r="N18" i="3"/>
  <c r="O32" i="4"/>
  <c r="N32" i="4"/>
  <c r="S15" i="1" a="1"/>
  <c r="S15" i="1" s="1"/>
  <c r="U15" i="1" s="1"/>
  <c r="N71" i="4"/>
  <c r="O20" i="3"/>
  <c r="N20" i="3"/>
  <c r="N28" i="4"/>
  <c r="P18" i="2"/>
  <c r="O23" i="3"/>
  <c r="N23" i="3"/>
  <c r="N35" i="2"/>
  <c r="O14" i="3"/>
  <c r="N14" i="3"/>
  <c r="N3" i="3"/>
  <c r="N15" i="2"/>
  <c r="N20" i="2"/>
  <c r="N33" i="2"/>
  <c r="P17" i="2"/>
  <c r="O30" i="2"/>
  <c r="C23" i="1" a="1"/>
  <c r="C23" i="1" s="1"/>
  <c r="R21" i="1" a="1"/>
  <c r="R21" i="1" s="1"/>
  <c r="F23" i="1" a="1"/>
  <c r="F23" i="1" s="1"/>
  <c r="F25" i="1" a="1"/>
  <c r="F25" i="1" s="1"/>
  <c r="T41" i="2"/>
  <c r="P6" i="2"/>
  <c r="N10" i="4"/>
  <c r="P35" i="3"/>
  <c r="P32" i="3"/>
  <c r="N32" i="3"/>
  <c r="S25" i="1" a="1"/>
  <c r="S25" i="1" s="1"/>
  <c r="P7" i="2"/>
  <c r="N65" i="4"/>
  <c r="O65" i="4"/>
  <c r="O21" i="2"/>
  <c r="N21" i="2"/>
  <c r="T65" i="4"/>
  <c r="C25" i="1" a="1"/>
  <c r="C25" i="1" s="1"/>
  <c r="T23" i="2"/>
  <c r="N8" i="2"/>
  <c r="O8" i="2"/>
  <c r="S24" i="1" a="1"/>
  <c r="S24" i="1" s="1"/>
  <c r="T7" i="2"/>
  <c r="T49" i="3"/>
  <c r="C21" i="1" a="1"/>
  <c r="C21" i="1" s="1"/>
  <c r="C22" i="1" a="1"/>
  <c r="C22" i="1" s="1"/>
  <c r="S22" i="1" a="1"/>
  <c r="S22" i="1" s="1"/>
  <c r="F24" i="1" a="1"/>
  <c r="F24" i="1" s="1"/>
  <c r="T28" i="4"/>
  <c r="P31" i="2"/>
  <c r="T25" i="4"/>
  <c r="N49" i="3"/>
  <c r="O49" i="3"/>
  <c r="O23" i="4"/>
  <c r="N23" i="4"/>
  <c r="N29" i="2"/>
  <c r="O29" i="2"/>
  <c r="P9" i="3"/>
  <c r="P31" i="3"/>
  <c r="T3" i="4"/>
  <c r="O10" i="3"/>
  <c r="N10" i="3"/>
  <c r="C12" i="1" a="1"/>
  <c r="C12" i="1" s="1"/>
  <c r="O7" i="3"/>
  <c r="N7" i="3"/>
  <c r="O69" i="4"/>
  <c r="N69" i="4"/>
  <c r="T69" i="4"/>
  <c r="T32" i="3"/>
  <c r="O49" i="4"/>
  <c r="N49" i="4"/>
  <c r="O10" i="4"/>
  <c r="P27" i="2"/>
  <c r="T67" i="4"/>
  <c r="T8" i="2"/>
  <c r="N66" i="4"/>
  <c r="O66" i="4"/>
  <c r="P5" i="4"/>
  <c r="R22" i="1" a="1"/>
  <c r="R22" i="1" s="1"/>
  <c r="O25" i="2"/>
  <c r="N25" i="2"/>
  <c r="N5" i="3"/>
  <c r="G14" i="1" a="1"/>
  <c r="G14" i="1" s="1"/>
  <c r="P5" i="3"/>
  <c r="G13" i="1" a="1"/>
  <c r="G13" i="1" s="1"/>
  <c r="G15" i="1" a="1"/>
  <c r="G15" i="1" s="1"/>
  <c r="P30" i="3"/>
  <c r="C13" i="1" a="1"/>
  <c r="C13" i="1" s="1"/>
  <c r="C14" i="1" a="1"/>
  <c r="C14" i="1" s="1"/>
  <c r="O15" i="3"/>
  <c r="N15" i="3"/>
  <c r="N31" i="2"/>
  <c r="O31" i="2"/>
  <c r="T10" i="4"/>
  <c r="N25" i="4"/>
  <c r="O25" i="4"/>
  <c r="S12" i="1" a="1"/>
  <c r="S12" i="1" s="1"/>
  <c r="P49" i="3"/>
  <c r="T34" i="2"/>
  <c r="T12" i="3"/>
  <c r="P29" i="4"/>
  <c r="T27" i="2"/>
  <c r="O47" i="4"/>
  <c r="N47" i="4"/>
  <c r="O2" i="2"/>
  <c r="C7" i="1" a="1"/>
  <c r="C7" i="1" s="1"/>
  <c r="C5" i="1" a="1"/>
  <c r="C5" i="1" s="1"/>
  <c r="C4" i="1" a="1"/>
  <c r="C4" i="1" s="1"/>
  <c r="C6" i="1" a="1"/>
  <c r="C6" i="1" s="1"/>
  <c r="C3" i="1" a="1"/>
  <c r="C3" i="1" s="1"/>
  <c r="B7" i="1" a="1"/>
  <c r="B7" i="1" s="1"/>
  <c r="B6" i="1" a="1"/>
  <c r="B6" i="1" s="1"/>
  <c r="B4" i="1" a="1"/>
  <c r="B4" i="1" s="1"/>
  <c r="B3" i="1" a="1"/>
  <c r="B3" i="1" s="1"/>
  <c r="B5" i="1" a="1"/>
  <c r="B5" i="1" s="1"/>
  <c r="T66" i="4"/>
  <c r="O5" i="4"/>
  <c r="N5" i="4"/>
  <c r="R23" i="1" a="1"/>
  <c r="R23" i="1" s="1"/>
  <c r="O3" i="2"/>
  <c r="N3" i="2"/>
  <c r="T50" i="4"/>
  <c r="N50" i="3"/>
  <c r="O50" i="3"/>
  <c r="T21" i="2"/>
  <c r="N43" i="2"/>
  <c r="O43" i="2"/>
  <c r="S23" i="1" a="1"/>
  <c r="S23" i="1" s="1"/>
  <c r="P13" i="3"/>
  <c r="S14" i="1" a="1"/>
  <c r="S14" i="1" s="1"/>
  <c r="N48" i="3"/>
  <c r="P48" i="3"/>
  <c r="O27" i="3"/>
  <c r="N27" i="3"/>
  <c r="N29" i="4"/>
  <c r="O29" i="4"/>
  <c r="T9" i="2"/>
  <c r="T47" i="4"/>
  <c r="N46" i="4"/>
  <c r="O46" i="4"/>
  <c r="T5" i="4"/>
  <c r="P12" i="3"/>
  <c r="S7" i="1" a="1"/>
  <c r="S7" i="1" s="1"/>
  <c r="S6" i="1" a="1"/>
  <c r="S6" i="1" s="1"/>
  <c r="S5" i="1" a="1"/>
  <c r="S5" i="1" s="1"/>
  <c r="S3" i="1" a="1"/>
  <c r="S3" i="1" s="1"/>
  <c r="R7" i="1" a="1"/>
  <c r="R7" i="1" s="1"/>
  <c r="S4" i="1" a="1"/>
  <c r="S4" i="1" s="1"/>
  <c r="R6" i="1" a="1"/>
  <c r="R6" i="1" s="1"/>
  <c r="R5" i="1" a="1"/>
  <c r="R5" i="1" s="1"/>
  <c r="R4" i="1" a="1"/>
  <c r="R4" i="1" s="1"/>
  <c r="R3" i="1" a="1"/>
  <c r="R3" i="1" s="1"/>
  <c r="T2" i="2"/>
  <c r="O27" i="2"/>
  <c r="N27" i="2"/>
  <c r="P12" i="4"/>
  <c r="T70" i="4"/>
  <c r="N44" i="2"/>
  <c r="O44" i="2"/>
  <c r="T50" i="3"/>
  <c r="T42" i="2"/>
  <c r="T44" i="2"/>
  <c r="O34" i="4"/>
  <c r="N34" i="4"/>
  <c r="N7" i="2"/>
  <c r="O7" i="2"/>
  <c r="F15" i="1" a="1"/>
  <c r="F15" i="1" s="1"/>
  <c r="P15" i="3"/>
  <c r="P51" i="3"/>
  <c r="P11" i="3"/>
  <c r="P16" i="3"/>
  <c r="N38" i="3"/>
  <c r="O38" i="3"/>
  <c r="N38" i="2"/>
  <c r="O38" i="2"/>
  <c r="T71" i="4"/>
  <c r="T11" i="2"/>
  <c r="N32" i="2"/>
  <c r="O32" i="2"/>
  <c r="O48" i="3"/>
  <c r="P51" i="4"/>
  <c r="S13" i="1" a="1"/>
  <c r="S13" i="1" s="1"/>
  <c r="N13" i="3"/>
  <c r="G21" i="1" a="1"/>
  <c r="G21" i="1" s="1"/>
  <c r="T29" i="4"/>
  <c r="O48" i="4"/>
  <c r="N48" i="4"/>
  <c r="N45" i="3"/>
  <c r="P27" i="4"/>
  <c r="T46" i="4"/>
  <c r="N12" i="3"/>
  <c r="O12" i="3"/>
  <c r="N2" i="2"/>
  <c r="G7" i="1" a="1"/>
  <c r="G7" i="1" s="1"/>
  <c r="G5" i="1" a="1"/>
  <c r="G5" i="1" s="1"/>
  <c r="G4" i="1" a="1"/>
  <c r="G4" i="1" s="1"/>
  <c r="F7" i="1" a="1"/>
  <c r="F7" i="1" s="1"/>
  <c r="P2" i="2"/>
  <c r="F4" i="1" a="1"/>
  <c r="F4" i="1" s="1"/>
  <c r="F6" i="1" a="1"/>
  <c r="F6" i="1" s="1"/>
  <c r="F5" i="1" a="1"/>
  <c r="F5" i="1" s="1"/>
  <c r="F3" i="1" a="1"/>
  <c r="F3" i="1" s="1"/>
  <c r="G6" i="1" a="1"/>
  <c r="G6" i="1" s="1"/>
  <c r="G3" i="1" a="1"/>
  <c r="G3" i="1" s="1"/>
  <c r="T47" i="3"/>
  <c r="P29" i="2"/>
  <c r="O9" i="3"/>
  <c r="N9" i="3"/>
  <c r="N42" i="2"/>
  <c r="O42" i="2"/>
  <c r="P10" i="3"/>
  <c r="T41" i="4"/>
  <c r="O23" i="2"/>
  <c r="N23" i="2"/>
  <c r="F12" i="1" a="1"/>
  <c r="F12" i="1" s="1"/>
  <c r="P23" i="2"/>
  <c r="N38" i="4"/>
  <c r="T15" i="3"/>
  <c r="R16" i="1" a="1"/>
  <c r="R16" i="1" s="1"/>
  <c r="N11" i="2"/>
  <c r="O11" i="2"/>
  <c r="O38" i="4"/>
  <c r="P32" i="2"/>
  <c r="T48" i="3"/>
  <c r="O51" i="4"/>
  <c r="N51" i="4"/>
  <c r="O46" i="3"/>
  <c r="N46" i="3"/>
  <c r="G22" i="1" a="1"/>
  <c r="G22" i="1" s="1"/>
  <c r="O9" i="4"/>
  <c r="N9" i="4"/>
  <c r="T52" i="3"/>
  <c r="P3" i="2"/>
  <c r="N27" i="4"/>
  <c r="P26" i="4"/>
  <c r="P5" i="2"/>
  <c r="O6" i="2"/>
  <c r="N6" i="2"/>
  <c r="N68" i="4"/>
  <c r="P68" i="4"/>
  <c r="N47" i="3"/>
  <c r="P47" i="3"/>
  <c r="O3" i="4"/>
  <c r="N3" i="4"/>
  <c r="B22" i="1" a="1"/>
  <c r="B22" i="1" s="1"/>
  <c r="B23" i="1" a="1"/>
  <c r="B23" i="1" s="1"/>
  <c r="B21" i="1" a="1"/>
  <c r="B21" i="1" s="1"/>
  <c r="C24" i="1" a="1"/>
  <c r="C24" i="1" s="1"/>
  <c r="B25" i="1" a="1"/>
  <c r="B25" i="1" s="1"/>
  <c r="O50" i="4"/>
  <c r="N50" i="4"/>
  <c r="P29" i="3"/>
  <c r="F14" i="1" a="1"/>
  <c r="F14" i="1" s="1"/>
  <c r="B15" i="1" a="1"/>
  <c r="B15" i="1" s="1"/>
  <c r="T68" i="4"/>
  <c r="P9" i="4"/>
  <c r="T28" i="2"/>
  <c r="T7" i="3"/>
  <c r="O45" i="4"/>
  <c r="N45" i="4"/>
  <c r="F22" i="1" a="1"/>
  <c r="F22" i="1" s="1"/>
  <c r="P66" i="4"/>
  <c r="N12" i="2"/>
  <c r="O12" i="2"/>
  <c r="N28" i="3"/>
  <c r="O28" i="3"/>
  <c r="S16" i="1" a="1"/>
  <c r="S16" i="1" s="1"/>
  <c r="T46" i="3"/>
  <c r="G23" i="1" a="1"/>
  <c r="G23" i="1" s="1"/>
  <c r="T9" i="4"/>
  <c r="O9" i="2"/>
  <c r="N9" i="2"/>
  <c r="T27" i="4"/>
  <c r="O11" i="3"/>
  <c r="N11" i="3"/>
  <c r="O26" i="4"/>
  <c r="N26" i="4"/>
  <c r="T5" i="2"/>
  <c r="O70" i="4"/>
  <c r="N70" i="4"/>
  <c r="N41" i="2"/>
  <c r="O41" i="2"/>
  <c r="P42" i="2"/>
  <c r="T28" i="3"/>
  <c r="R13" i="1" a="1"/>
  <c r="R13" i="1" s="1"/>
  <c r="N26" i="3"/>
  <c r="O26" i="3"/>
  <c r="G24" i="1" a="1"/>
  <c r="G24" i="1" s="1"/>
  <c r="P25" i="2"/>
  <c r="T29" i="3"/>
  <c r="P44" i="2"/>
  <c r="N45" i="2"/>
  <c r="O45" i="2"/>
  <c r="P9" i="2"/>
  <c r="P7" i="4"/>
  <c r="T11" i="3"/>
  <c r="T26" i="4"/>
  <c r="G12" i="1" a="1"/>
  <c r="G12" i="1" s="1"/>
  <c r="T22" i="2"/>
  <c r="B16" i="1" a="1"/>
  <c r="B16" i="1" s="1"/>
  <c r="F13" i="1" a="1"/>
  <c r="F13" i="1" s="1"/>
  <c r="T43" i="2"/>
  <c r="B14" i="1" a="1"/>
  <c r="B14" i="1" s="1"/>
  <c r="O67" i="4"/>
  <c r="N67" i="4"/>
  <c r="T63" i="4"/>
  <c r="G25" i="1" a="1"/>
  <c r="G25" i="1" s="1"/>
  <c r="R25" i="1" a="1"/>
  <c r="R25" i="1" s="1"/>
  <c r="C16" i="1" a="1"/>
  <c r="C16" i="1" s="1"/>
  <c r="S21" i="1" a="1"/>
  <c r="S21" i="1" s="1"/>
  <c r="N4" i="2"/>
  <c r="N30" i="4"/>
  <c r="O30" i="4"/>
  <c r="O24" i="2"/>
  <c r="T10" i="3"/>
  <c r="F21" i="1" a="1"/>
  <c r="F21" i="1" s="1"/>
  <c r="P28" i="2"/>
  <c r="O35" i="3"/>
  <c r="N35" i="3"/>
  <c r="R14" i="1" a="1"/>
  <c r="R14" i="1" s="1"/>
  <c r="P25" i="4"/>
  <c r="P11" i="4"/>
  <c r="N11" i="4"/>
  <c r="N31" i="4"/>
  <c r="O31" i="4"/>
  <c r="O26" i="2"/>
  <c r="N26" i="2"/>
  <c r="O4" i="2"/>
  <c r="P4" i="2"/>
  <c r="N8" i="3"/>
  <c r="O8" i="3"/>
  <c r="N7" i="4"/>
  <c r="O7" i="4"/>
  <c r="T14" i="4"/>
  <c r="P6" i="4"/>
  <c r="O30" i="3"/>
  <c r="N30" i="3"/>
  <c r="O43" i="4"/>
  <c r="N43" i="4"/>
  <c r="P62" i="4"/>
  <c r="N62" i="4"/>
  <c r="T8" i="3"/>
  <c r="P50" i="3"/>
  <c r="O6" i="3"/>
  <c r="N6" i="3"/>
  <c r="P43" i="2"/>
  <c r="N54" i="4"/>
  <c r="P54" i="4"/>
  <c r="T45" i="2"/>
  <c r="T7" i="4"/>
  <c r="O14" i="4"/>
  <c r="N14" i="4"/>
  <c r="N6" i="4"/>
  <c r="O6" i="4"/>
  <c r="T24" i="2"/>
  <c r="T30" i="3"/>
  <c r="R24" i="1" a="1"/>
  <c r="R24" i="1" s="1"/>
  <c r="N63" i="4"/>
  <c r="O63" i="4"/>
  <c r="P12" i="2"/>
  <c r="F16" i="1" a="1"/>
  <c r="F16" i="1" s="1"/>
  <c r="H16" i="1" s="1"/>
  <c r="T26" i="3"/>
  <c r="T25" i="2"/>
  <c r="P45" i="2"/>
  <c r="T43" i="4"/>
  <c r="O42" i="4"/>
  <c r="N42" i="4"/>
  <c r="P21" i="2"/>
  <c r="O31" i="3"/>
  <c r="N31" i="3"/>
  <c r="T6" i="3"/>
  <c r="R12" i="1" a="1"/>
  <c r="R12" i="1" s="1"/>
  <c r="T54" i="4"/>
  <c r="T45" i="3"/>
  <c r="O22" i="2"/>
  <c r="N22" i="2"/>
  <c r="T6" i="4"/>
  <c r="N51" i="3"/>
  <c r="O51" i="3"/>
  <c r="B12" i="1" a="1"/>
  <c r="B12" i="1" s="1"/>
  <c r="C15" i="1" a="1"/>
  <c r="C15" i="1" s="1"/>
  <c r="D21" i="1" l="1"/>
  <c r="T15" i="1"/>
  <c r="Z18" i="3" s="1"/>
  <c r="E13" i="1"/>
  <c r="U16" i="1"/>
  <c r="E24" i="1"/>
  <c r="I25" i="1"/>
  <c r="D15" i="1"/>
  <c r="H14" i="1"/>
  <c r="T12" i="1"/>
  <c r="U21" i="1"/>
  <c r="I23" i="1"/>
  <c r="I5" i="1"/>
  <c r="D5" i="1"/>
  <c r="D23" i="1"/>
  <c r="I3" i="1"/>
  <c r="T25" i="1"/>
  <c r="D14" i="1"/>
  <c r="U13" i="1"/>
  <c r="H13" i="1"/>
  <c r="V50" i="3" s="1"/>
  <c r="Z13" i="3"/>
  <c r="T24" i="1"/>
  <c r="E22" i="1"/>
  <c r="T23" i="1"/>
  <c r="E25" i="1"/>
  <c r="D4" i="1"/>
  <c r="D6" i="1"/>
  <c r="D7" i="1"/>
  <c r="I24" i="1"/>
  <c r="I21" i="1"/>
  <c r="H15" i="1"/>
  <c r="T14" i="1"/>
  <c r="H22" i="1"/>
  <c r="E23" i="1"/>
  <c r="U22" i="1"/>
  <c r="D16" i="1"/>
  <c r="E12" i="1"/>
  <c r="T21" i="1"/>
  <c r="Z2" i="4" s="1"/>
  <c r="U5" i="1"/>
  <c r="I12" i="1"/>
  <c r="H25" i="1"/>
  <c r="V30" i="4" s="1"/>
  <c r="H7" i="1"/>
  <c r="D3" i="1"/>
  <c r="U4" i="1"/>
  <c r="U3" i="1"/>
  <c r="H6" i="1"/>
  <c r="U6" i="1"/>
  <c r="U7" i="1"/>
  <c r="H4" i="1"/>
  <c r="E14" i="1"/>
  <c r="H21" i="1"/>
  <c r="I4" i="1"/>
  <c r="I16" i="1"/>
  <c r="V32" i="3" s="1"/>
  <c r="U14" i="1"/>
  <c r="I7" i="1"/>
  <c r="H24" i="1"/>
  <c r="I15" i="1"/>
  <c r="D13" i="1"/>
  <c r="U23" i="1"/>
  <c r="E21" i="1"/>
  <c r="U2" i="4" s="1"/>
  <c r="D25" i="1"/>
  <c r="U25" i="1"/>
  <c r="Z16" i="3"/>
  <c r="T13" i="1"/>
  <c r="T16" i="1"/>
  <c r="U12" i="1"/>
  <c r="I14" i="1"/>
  <c r="Z20" i="3"/>
  <c r="D22" i="1"/>
  <c r="E3" i="1"/>
  <c r="Z19" i="3"/>
  <c r="E15" i="1"/>
  <c r="Z15" i="3"/>
  <c r="T3" i="1"/>
  <c r="E6" i="1"/>
  <c r="Z21" i="3"/>
  <c r="I13" i="1"/>
  <c r="T4" i="1"/>
  <c r="E4" i="1"/>
  <c r="U24" i="1"/>
  <c r="Z17" i="3"/>
  <c r="E16" i="1"/>
  <c r="I22" i="1"/>
  <c r="T5" i="1"/>
  <c r="E5" i="1"/>
  <c r="Z22" i="3"/>
  <c r="D12" i="1"/>
  <c r="T6" i="1"/>
  <c r="E7" i="1"/>
  <c r="T22" i="1"/>
  <c r="Z14" i="3"/>
  <c r="I6" i="1"/>
  <c r="H12" i="1"/>
  <c r="H3" i="1"/>
  <c r="T7" i="1"/>
  <c r="H23" i="1"/>
  <c r="H5" i="1"/>
  <c r="D24" i="1"/>
  <c r="V36" i="3" l="1"/>
  <c r="Z49" i="4"/>
  <c r="V25" i="3"/>
  <c r="Z10" i="3"/>
  <c r="U32" i="2"/>
  <c r="Z30" i="4"/>
  <c r="U15" i="3"/>
  <c r="Z42" i="3"/>
  <c r="Z35" i="3"/>
  <c r="Z39" i="3"/>
  <c r="U30" i="3"/>
  <c r="U2" i="3"/>
  <c r="Z36" i="3"/>
  <c r="U69" i="4"/>
  <c r="V47" i="3"/>
  <c r="U39" i="3"/>
  <c r="V31" i="4"/>
  <c r="V19" i="2"/>
  <c r="U15" i="2"/>
  <c r="Z60" i="4"/>
  <c r="Z51" i="4"/>
  <c r="U33" i="3"/>
  <c r="Z14" i="4"/>
  <c r="V52" i="3"/>
  <c r="Z40" i="3"/>
  <c r="Z37" i="3"/>
  <c r="V46" i="3"/>
  <c r="U31" i="3"/>
  <c r="Z41" i="3"/>
  <c r="Z43" i="3"/>
  <c r="U29" i="2"/>
  <c r="U49" i="4"/>
  <c r="Z68" i="4"/>
  <c r="U57" i="4"/>
  <c r="V33" i="3"/>
  <c r="V16" i="3"/>
  <c r="U61" i="4"/>
  <c r="V23" i="3"/>
  <c r="V28" i="3"/>
  <c r="U64" i="4"/>
  <c r="V24" i="3"/>
  <c r="U40" i="3"/>
  <c r="Z38" i="3"/>
  <c r="Z24" i="4"/>
  <c r="U55" i="4"/>
  <c r="V40" i="4"/>
  <c r="V33" i="4"/>
  <c r="U44" i="4"/>
  <c r="V22" i="4"/>
  <c r="Z39" i="4"/>
  <c r="V32" i="4"/>
  <c r="Z37" i="4"/>
  <c r="Z34" i="4"/>
  <c r="Z32" i="4"/>
  <c r="U47" i="4"/>
  <c r="U48" i="4"/>
  <c r="Z42" i="4"/>
  <c r="U41" i="2"/>
  <c r="Z33" i="4"/>
  <c r="Z45" i="4"/>
  <c r="V39" i="4"/>
  <c r="U7" i="4"/>
  <c r="Z35" i="4"/>
  <c r="V24" i="4"/>
  <c r="Z8" i="4"/>
  <c r="Z36" i="4"/>
  <c r="V34" i="4"/>
  <c r="U59" i="4"/>
  <c r="Z3" i="4"/>
  <c r="Z62" i="4"/>
  <c r="U65" i="4"/>
  <c r="U54" i="4"/>
  <c r="Z64" i="4"/>
  <c r="U6" i="4"/>
  <c r="U45" i="4"/>
  <c r="V42" i="4"/>
  <c r="Z4" i="4"/>
  <c r="U51" i="4"/>
  <c r="Z59" i="4"/>
  <c r="U5" i="4"/>
  <c r="V38" i="4"/>
  <c r="Z43" i="4"/>
  <c r="Z67" i="4"/>
  <c r="Z56" i="4"/>
  <c r="Z44" i="4"/>
  <c r="Z57" i="4"/>
  <c r="Z53" i="4"/>
  <c r="V28" i="4"/>
  <c r="Z48" i="4"/>
  <c r="V70" i="4"/>
  <c r="V35" i="4"/>
  <c r="Z63" i="4"/>
  <c r="V27" i="4"/>
  <c r="Z55" i="4"/>
  <c r="U34" i="3"/>
  <c r="U23" i="3"/>
  <c r="Z11" i="4"/>
  <c r="Z12" i="4"/>
  <c r="U58" i="4"/>
  <c r="V31" i="2"/>
  <c r="U66" i="4"/>
  <c r="V26" i="4"/>
  <c r="V29" i="4"/>
  <c r="Z16" i="4"/>
  <c r="Z58" i="4"/>
  <c r="U56" i="4"/>
  <c r="U29" i="3"/>
  <c r="U28" i="2"/>
  <c r="U30" i="2"/>
  <c r="U25" i="2"/>
  <c r="U32" i="3"/>
  <c r="U25" i="3"/>
  <c r="U31" i="2"/>
  <c r="Z21" i="4"/>
  <c r="Z50" i="4"/>
  <c r="Z61" i="4"/>
  <c r="Z38" i="4"/>
  <c r="U50" i="4"/>
  <c r="U52" i="4"/>
  <c r="U20" i="2"/>
  <c r="V37" i="4"/>
  <c r="V10" i="2"/>
  <c r="Z52" i="4"/>
  <c r="Z22" i="4"/>
  <c r="U60" i="4"/>
  <c r="U46" i="4"/>
  <c r="V36" i="4"/>
  <c r="Z7" i="4"/>
  <c r="Z5" i="4"/>
  <c r="Z6" i="4"/>
  <c r="V43" i="2"/>
  <c r="U2" i="2"/>
  <c r="V26" i="3"/>
  <c r="U62" i="4"/>
  <c r="Z47" i="4"/>
  <c r="U43" i="4"/>
  <c r="U67" i="4"/>
  <c r="Z40" i="4"/>
  <c r="U44" i="3"/>
  <c r="Z69" i="4"/>
  <c r="Z44" i="3"/>
  <c r="V27" i="3"/>
  <c r="U53" i="4"/>
  <c r="Z46" i="4"/>
  <c r="V41" i="4"/>
  <c r="U43" i="3"/>
  <c r="V51" i="3"/>
  <c r="V34" i="3"/>
  <c r="V25" i="4"/>
  <c r="U68" i="4"/>
  <c r="V23" i="4"/>
  <c r="U63" i="4"/>
  <c r="U33" i="2"/>
  <c r="U40" i="2"/>
  <c r="U39" i="2"/>
  <c r="U17" i="2"/>
  <c r="U10" i="2"/>
  <c r="U35" i="2"/>
  <c r="U34" i="2"/>
  <c r="V45" i="2"/>
  <c r="V28" i="2"/>
  <c r="U14" i="2"/>
  <c r="V21" i="2"/>
  <c r="U13" i="2"/>
  <c r="U16" i="2"/>
  <c r="V43" i="3"/>
  <c r="Z9" i="3"/>
  <c r="V41" i="3"/>
  <c r="V2" i="3"/>
  <c r="V3" i="3"/>
  <c r="V4" i="3"/>
  <c r="V8" i="3"/>
  <c r="V7" i="3"/>
  <c r="V6" i="3"/>
  <c r="V9" i="3"/>
  <c r="V5" i="3"/>
  <c r="V10" i="3"/>
  <c r="V11" i="3"/>
  <c r="V12" i="3"/>
  <c r="V44" i="3"/>
  <c r="Z25" i="3"/>
  <c r="Z33" i="3"/>
  <c r="Z34" i="3"/>
  <c r="Z31" i="3"/>
  <c r="Z24" i="3"/>
  <c r="Z27" i="3"/>
  <c r="Z23" i="3"/>
  <c r="Z30" i="3"/>
  <c r="Z29" i="3"/>
  <c r="Z32" i="3"/>
  <c r="Z28" i="3"/>
  <c r="Z26" i="3"/>
  <c r="Z2" i="3"/>
  <c r="V42" i="3"/>
  <c r="U45" i="3"/>
  <c r="U47" i="3"/>
  <c r="U52" i="3"/>
  <c r="U49" i="3"/>
  <c r="U46" i="3"/>
  <c r="U51" i="3"/>
  <c r="U50" i="3"/>
  <c r="U48" i="3"/>
  <c r="Z19" i="4"/>
  <c r="U23" i="4"/>
  <c r="U32" i="4"/>
  <c r="U36" i="4"/>
  <c r="U40" i="4"/>
  <c r="U22" i="4"/>
  <c r="U28" i="4"/>
  <c r="U35" i="4"/>
  <c r="U39" i="4"/>
  <c r="U33" i="4"/>
  <c r="U37" i="4"/>
  <c r="U41" i="4"/>
  <c r="U24" i="4"/>
  <c r="U42" i="4"/>
  <c r="U26" i="4"/>
  <c r="U29" i="4"/>
  <c r="U30" i="4"/>
  <c r="U34" i="4"/>
  <c r="U38" i="4"/>
  <c r="U31" i="4"/>
  <c r="U27" i="4"/>
  <c r="U25" i="4"/>
  <c r="U20" i="3"/>
  <c r="V22" i="2"/>
  <c r="U13" i="3"/>
  <c r="Z5" i="3"/>
  <c r="U18" i="3"/>
  <c r="Z17" i="4"/>
  <c r="U71" i="4"/>
  <c r="U70" i="4"/>
  <c r="V33" i="2"/>
  <c r="V38" i="2"/>
  <c r="V40" i="2"/>
  <c r="V37" i="2"/>
  <c r="V34" i="2"/>
  <c r="V39" i="2"/>
  <c r="V36" i="2"/>
  <c r="V35" i="2"/>
  <c r="V32" i="2"/>
  <c r="Z15" i="4"/>
  <c r="V13" i="2"/>
  <c r="V22" i="3"/>
  <c r="U22" i="3"/>
  <c r="V26" i="2"/>
  <c r="U37" i="2"/>
  <c r="U24" i="3"/>
  <c r="V12" i="2"/>
  <c r="V23" i="2"/>
  <c r="V11" i="2"/>
  <c r="U9" i="2"/>
  <c r="Z13" i="4"/>
  <c r="Z20" i="4"/>
  <c r="U4" i="3"/>
  <c r="U3" i="3"/>
  <c r="U5" i="3"/>
  <c r="U8" i="3"/>
  <c r="U6" i="3"/>
  <c r="U9" i="3"/>
  <c r="U12" i="3"/>
  <c r="U11" i="3"/>
  <c r="U7" i="3"/>
  <c r="U10" i="3"/>
  <c r="V16" i="2"/>
  <c r="V21" i="3"/>
  <c r="U17" i="3"/>
  <c r="V30" i="2"/>
  <c r="U36" i="2"/>
  <c r="Z4" i="3"/>
  <c r="V40" i="3"/>
  <c r="U16" i="3"/>
  <c r="Z18" i="4"/>
  <c r="Z8" i="3"/>
  <c r="V20" i="2"/>
  <c r="U24" i="2"/>
  <c r="U12" i="2"/>
  <c r="U11" i="2"/>
  <c r="U22" i="2"/>
  <c r="U23" i="2"/>
  <c r="U21" i="2"/>
  <c r="V18" i="3"/>
  <c r="U14" i="3"/>
  <c r="V15" i="3"/>
  <c r="Z54" i="4"/>
  <c r="V13" i="3"/>
  <c r="Z3" i="3"/>
  <c r="V44" i="2"/>
  <c r="V4" i="4"/>
  <c r="V2" i="4"/>
  <c r="V3" i="4"/>
  <c r="V5" i="4"/>
  <c r="V7" i="4"/>
  <c r="V6" i="4"/>
  <c r="V38" i="3"/>
  <c r="U7" i="2"/>
  <c r="V18" i="2"/>
  <c r="V14" i="2"/>
  <c r="U5" i="2"/>
  <c r="Z71" i="4"/>
  <c r="Z70" i="4"/>
  <c r="V71" i="4"/>
  <c r="U26" i="3"/>
  <c r="U28" i="3"/>
  <c r="U27" i="3"/>
  <c r="Z3" i="2"/>
  <c r="Z4" i="2"/>
  <c r="Z6" i="2"/>
  <c r="Z2" i="2"/>
  <c r="Z8" i="2"/>
  <c r="Z9" i="2"/>
  <c r="Z7" i="2"/>
  <c r="Z5" i="2"/>
  <c r="V17" i="3"/>
  <c r="Z12" i="3"/>
  <c r="U8" i="2"/>
  <c r="V8" i="2"/>
  <c r="V2" i="2"/>
  <c r="V6" i="2"/>
  <c r="V9" i="2"/>
  <c r="V3" i="2"/>
  <c r="V4" i="2"/>
  <c r="V7" i="2"/>
  <c r="V5" i="2"/>
  <c r="U35" i="3"/>
  <c r="U38" i="3"/>
  <c r="U15" i="4"/>
  <c r="U19" i="4"/>
  <c r="U21" i="4"/>
  <c r="U20" i="4"/>
  <c r="U13" i="4"/>
  <c r="U11" i="4"/>
  <c r="U12" i="4"/>
  <c r="U18" i="4"/>
  <c r="U16" i="4"/>
  <c r="U8" i="4"/>
  <c r="U14" i="4"/>
  <c r="U10" i="4"/>
  <c r="U9" i="4"/>
  <c r="U19" i="3"/>
  <c r="V45" i="3"/>
  <c r="V48" i="3"/>
  <c r="V42" i="2"/>
  <c r="Z10" i="4"/>
  <c r="V35" i="3"/>
  <c r="V14" i="3"/>
  <c r="Z31" i="4"/>
  <c r="Z27" i="4"/>
  <c r="Z26" i="4"/>
  <c r="Z23" i="4"/>
  <c r="Z41" i="4"/>
  <c r="Z29" i="4"/>
  <c r="Z25" i="4"/>
  <c r="Z28" i="4"/>
  <c r="U42" i="3"/>
  <c r="Z66" i="4"/>
  <c r="Z7" i="3"/>
  <c r="V8" i="4"/>
  <c r="V14" i="4"/>
  <c r="V21" i="4"/>
  <c r="V13" i="4"/>
  <c r="V19" i="4"/>
  <c r="V20" i="4"/>
  <c r="V17" i="4"/>
  <c r="V10" i="4"/>
  <c r="V15" i="4"/>
  <c r="V16" i="4"/>
  <c r="V18" i="4"/>
  <c r="V9" i="4"/>
  <c r="V11" i="4"/>
  <c r="V12" i="4"/>
  <c r="V24" i="2"/>
  <c r="V20" i="3"/>
  <c r="V49" i="3"/>
  <c r="Z65" i="4"/>
  <c r="U37" i="3"/>
  <c r="V25" i="2"/>
  <c r="U43" i="2"/>
  <c r="U45" i="2"/>
  <c r="U44" i="2"/>
  <c r="Z9" i="4"/>
  <c r="V15" i="2"/>
  <c r="U26" i="2"/>
  <c r="U27" i="2"/>
  <c r="Z6" i="3"/>
  <c r="Z13" i="2"/>
  <c r="Z16" i="2"/>
  <c r="Z17" i="2"/>
  <c r="Z19" i="2"/>
  <c r="Z12" i="2"/>
  <c r="Z15" i="2"/>
  <c r="Z14" i="2"/>
  <c r="Z10" i="2"/>
  <c r="Z18" i="2"/>
  <c r="Z20" i="2"/>
  <c r="Z23" i="2"/>
  <c r="Z24" i="2"/>
  <c r="Z22" i="2"/>
  <c r="Z21" i="2"/>
  <c r="Z11" i="2"/>
  <c r="Z37" i="2"/>
  <c r="Z36" i="2"/>
  <c r="Z32" i="2"/>
  <c r="Z40" i="2"/>
  <c r="Z39" i="2"/>
  <c r="Z33" i="2"/>
  <c r="Z38" i="2"/>
  <c r="Z35" i="2"/>
  <c r="Z34" i="2"/>
  <c r="Z41" i="2"/>
  <c r="U4" i="4"/>
  <c r="Z11" i="3"/>
  <c r="V41" i="2"/>
  <c r="U19" i="2"/>
  <c r="V39" i="3"/>
  <c r="U36" i="3"/>
  <c r="V29" i="3"/>
  <c r="V31" i="3"/>
  <c r="V30" i="3"/>
  <c r="U3" i="4"/>
  <c r="U3" i="2"/>
  <c r="U6" i="2"/>
  <c r="U4" i="2"/>
  <c r="Z51" i="3"/>
  <c r="Z46" i="3"/>
  <c r="Z45" i="3"/>
  <c r="Z50" i="3"/>
  <c r="Z47" i="3"/>
  <c r="Z52" i="3"/>
  <c r="Z49" i="3"/>
  <c r="Z48" i="3"/>
  <c r="V17" i="2"/>
  <c r="V37" i="3"/>
  <c r="V29" i="2"/>
  <c r="U21" i="3"/>
  <c r="Z42" i="2"/>
  <c r="Z44" i="2"/>
  <c r="Z45" i="2"/>
  <c r="Z43" i="2"/>
  <c r="V19" i="3"/>
  <c r="V64" i="4"/>
  <c r="V60" i="4"/>
  <c r="V63" i="4"/>
  <c r="V48" i="4"/>
  <c r="V57" i="4"/>
  <c r="V67" i="4"/>
  <c r="V47" i="4"/>
  <c r="V46" i="4"/>
  <c r="V55" i="4"/>
  <c r="V61" i="4"/>
  <c r="V53" i="4"/>
  <c r="V56" i="4"/>
  <c r="V58" i="4"/>
  <c r="V43" i="4"/>
  <c r="V50" i="4"/>
  <c r="V45" i="4"/>
  <c r="V49" i="4"/>
  <c r="V59" i="4"/>
  <c r="V52" i="4"/>
  <c r="V69" i="4"/>
  <c r="V44" i="4"/>
  <c r="V66" i="4"/>
  <c r="V54" i="4"/>
  <c r="V65" i="4"/>
  <c r="V68" i="4"/>
  <c r="V62" i="4"/>
  <c r="V51" i="4"/>
  <c r="Z29" i="2"/>
  <c r="Z31" i="2"/>
  <c r="Z26" i="2"/>
  <c r="Z30" i="2"/>
  <c r="Z28" i="2"/>
  <c r="Z27" i="2"/>
  <c r="Z25" i="2"/>
  <c r="U38" i="2"/>
  <c r="U17" i="4"/>
  <c r="U18" i="2"/>
  <c r="U41" i="3"/>
  <c r="V27" i="2"/>
  <c r="U42" i="2"/>
  <c r="A9" i="12" l="1" a="1"/>
  <c r="A9" i="11" a="1"/>
  <c r="A9" i="9" a="1"/>
  <c r="A6" i="11" l="1"/>
  <c r="A9" i="11"/>
  <c r="T9" i="11" s="1"/>
  <c r="T2" i="11" s="1"/>
  <c r="A9" i="9"/>
  <c r="T9" i="9" s="1"/>
  <c r="T10" i="9"/>
  <c r="T11" i="9"/>
  <c r="T12" i="9"/>
  <c r="A6" i="9"/>
  <c r="A6" i="12"/>
  <c r="T10" i="12"/>
  <c r="A9" i="12"/>
  <c r="T9" i="12" s="1"/>
  <c r="T2" i="12" s="1"/>
  <c r="T2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<sst xmlns="http://schemas.openxmlformats.org/spreadsheetml/2006/main" count="835" uniqueCount="275">
  <si>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</si>
  <si>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</si>
  <si>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</si>
  <si>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</si>
  <si>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</si>
  <si>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</si>
  <si>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</si>
  <si>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</si>
  <si>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</si>
  <si>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</si>
  <si>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</si>
  <si>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</si>
  <si>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</si>
  <si>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</si>
  <si>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</si>
  <si>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</si>
  <si>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</si>
  <si>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</si>
  <si>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</si>
  <si>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</si>
  <si>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</si>
  <si>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</si>
  <si>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</si>
  <si>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</si>
  <si>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</si>
  <si>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</si>
  <si>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</si>
  <si>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</si>
  <si>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</si>
  <si>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</si>
  <si>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</si>
  <si>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</si>
  <si>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</si>
  <si>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</si>
  <si>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</si>
  <si>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</si>
  <si>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</si>
  <si>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</si>
  <si>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</si>
  <si>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</si>
  <si>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</si>
  <si>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</si>
  <si>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</si>
  <si>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</si>
  <si>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</si>
  <si>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</si>
  <si>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</si>
  <si>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</si>
  <si>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</si>
  <si>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</si>
  <si>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</si>
  <si>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</si>
  <si>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</si>
  <si>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</si>
  <si>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</si>
  <si>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</si>
  <si>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</si>
  <si>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</si>
  <si>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</si>
  <si>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</si>
  <si>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</si>
  <si>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</si>
  <si>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</si>
  <si>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</si>
  <si>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</si>
  <si>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</si>
  <si>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</si>
  <si>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</si>
  <si>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</si>
  <si>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</si>
  <si>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</si>
  <si>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</si>
  <si>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</si>
  <si>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</si>
  <si>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</si>
  <si>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</si>
  <si>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</si>
  <si>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</si>
  <si>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</si>
  <si>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</si>
  <si>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</si>
  <si>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</si>
  <si>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</si>
  <si>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</si>
  <si>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</si>
  <si>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</si>
  <si>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</si>
  <si>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</si>
  <si>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</si>
  <si>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</si>
  <si>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</si>
  <si>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</si>
  <si>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</si>
  <si>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</si>
  <si>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</si>
  <si>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</si>
  <si>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</si>
  <si>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</si>
  <si>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</si>
  <si>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</si>
  <si>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</si>
  <si>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</si>
  <si>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</si>
  <si>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</si>
  <si>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</si>
  <si>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Diversified Telecommunication Services</t>
  </si>
  <si>
    <t>Wireless Telecommunication Services</t>
  </si>
  <si>
    <t>Media</t>
  </si>
  <si>
    <t>Entertainment</t>
  </si>
  <si>
    <t>Interactive Media &amp; Services</t>
  </si>
  <si>
    <t>BCE</t>
  </si>
  <si>
    <t>CHT</t>
  </si>
  <si>
    <t>T</t>
  </si>
  <si>
    <t>TEF</t>
  </si>
  <si>
    <t>TLK</t>
  </si>
  <si>
    <t>TU</t>
  </si>
  <si>
    <t>VIV</t>
  </si>
  <si>
    <t>VZ</t>
  </si>
  <si>
    <t>AMX</t>
  </si>
  <si>
    <t>RCI</t>
  </si>
  <si>
    <t>TMUS</t>
  </si>
  <si>
    <t>VOD</t>
  </si>
  <si>
    <t>OMC</t>
  </si>
  <si>
    <t>TTD</t>
  </si>
  <si>
    <t>FOX</t>
  </si>
  <si>
    <t>FOXA</t>
  </si>
  <si>
    <t>CHTR</t>
  </si>
  <si>
    <t>CMCSA</t>
  </si>
  <si>
    <t>LBRDA</t>
  </si>
  <si>
    <t>LBRDK</t>
  </si>
  <si>
    <t>NWS</t>
  </si>
  <si>
    <t>NWSA</t>
  </si>
  <si>
    <t>DIS</t>
  </si>
  <si>
    <t>FWONA</t>
  </si>
  <si>
    <t>FWONK</t>
  </si>
  <si>
    <t>LYV</t>
  </si>
  <si>
    <t>NFLX</t>
  </si>
  <si>
    <t>SPOT</t>
  </si>
  <si>
    <t>TKO</t>
  </si>
  <si>
    <t>TME</t>
  </si>
  <si>
    <t>WBD</t>
  </si>
  <si>
    <t>WMG</t>
  </si>
  <si>
    <t>EA</t>
  </si>
  <si>
    <t>NTES</t>
  </si>
  <si>
    <t>RBLX</t>
  </si>
  <si>
    <t>SE</t>
  </si>
  <si>
    <t>TTWO</t>
  </si>
  <si>
    <t>BIDU</t>
  </si>
  <si>
    <t>GOOG</t>
  </si>
  <si>
    <t>GOOGL</t>
  </si>
  <si>
    <t>META</t>
  </si>
  <si>
    <t>PINS</t>
  </si>
  <si>
    <t>RDDT</t>
  </si>
  <si>
    <t>SNAP</t>
  </si>
  <si>
    <t>ASTS</t>
  </si>
  <si>
    <t>CCOI</t>
  </si>
  <si>
    <t>GSAT</t>
  </si>
  <si>
    <t>IRDM</t>
  </si>
  <si>
    <t>LBTYA</t>
  </si>
  <si>
    <t>LBTYB</t>
  </si>
  <si>
    <t>LUMN</t>
  </si>
  <si>
    <t>FYBR</t>
  </si>
  <si>
    <t>KT</t>
  </si>
  <si>
    <t>SNRE</t>
  </si>
  <si>
    <t>TEO</t>
  </si>
  <si>
    <t>PHI</t>
  </si>
  <si>
    <t>SKM</t>
  </si>
  <si>
    <t>TDS</t>
  </si>
  <si>
    <t>TIGO</t>
  </si>
  <si>
    <t>TIMB</t>
  </si>
  <si>
    <t>TKC</t>
  </si>
  <si>
    <t>USM</t>
  </si>
  <si>
    <t>VEON</t>
  </si>
  <si>
    <t>IPG</t>
  </si>
  <si>
    <t>WPP</t>
  </si>
  <si>
    <t>NMAX</t>
  </si>
  <si>
    <t>NXST</t>
  </si>
  <si>
    <t>TGNA</t>
  </si>
  <si>
    <t>SATS</t>
  </si>
  <si>
    <t>SIRI</t>
  </si>
  <si>
    <t>NYT</t>
  </si>
  <si>
    <t>WLY</t>
  </si>
  <si>
    <t>WLYB</t>
  </si>
  <si>
    <t>BATRA</t>
  </si>
  <si>
    <t>BATRK</t>
  </si>
  <si>
    <t>CNK</t>
  </si>
  <si>
    <t>LION</t>
  </si>
  <si>
    <t>LLYVA</t>
  </si>
  <si>
    <t>LLYVK</t>
  </si>
  <si>
    <t>MANU</t>
  </si>
  <si>
    <t>MSGS</t>
  </si>
  <si>
    <t>ROKU</t>
  </si>
  <si>
    <t>PLTK</t>
  </si>
  <si>
    <t>ATHM</t>
  </si>
  <si>
    <t>BILI</t>
  </si>
  <si>
    <t>BZ</t>
  </si>
  <si>
    <t>CARG</t>
  </si>
  <si>
    <t>DJT</t>
  </si>
  <si>
    <t>GRND</t>
  </si>
  <si>
    <t>JOYY</t>
  </si>
  <si>
    <t>MTCH</t>
  </si>
  <si>
    <t>RUM</t>
  </si>
  <si>
    <t>WB</t>
  </si>
  <si>
    <t>YELP</t>
  </si>
  <si>
    <t>ZI</t>
  </si>
  <si>
    <t>ATEX</t>
  </si>
  <si>
    <t>BAND</t>
  </si>
  <si>
    <t>SIFY</t>
  </si>
  <si>
    <t>IDT</t>
  </si>
  <si>
    <t>IHS</t>
  </si>
  <si>
    <t>SHEN</t>
  </si>
  <si>
    <t>GOGO</t>
  </si>
  <si>
    <t>SPOK</t>
  </si>
  <si>
    <t>ADV</t>
  </si>
  <si>
    <t>AMBR</t>
  </si>
  <si>
    <t>BOC</t>
  </si>
  <si>
    <t>CCO</t>
  </si>
  <si>
    <t>CRTO</t>
  </si>
  <si>
    <t>EEX</t>
  </si>
  <si>
    <t>GAMB</t>
  </si>
  <si>
    <t>IAS</t>
  </si>
  <si>
    <t>IBTA</t>
  </si>
  <si>
    <t>LZMH</t>
  </si>
  <si>
    <t>MGNI</t>
  </si>
  <si>
    <t>NCMI</t>
  </si>
  <si>
    <t>NEXN</t>
  </si>
  <si>
    <t>PERI</t>
  </si>
  <si>
    <t>PUBM</t>
  </si>
  <si>
    <t>STGW</t>
  </si>
  <si>
    <t>THRY</t>
  </si>
  <si>
    <t>TTGT</t>
  </si>
  <si>
    <t>AMCX</t>
  </si>
  <si>
    <t>GTN</t>
  </si>
  <si>
    <t>SBGI</t>
  </si>
  <si>
    <t>ATUS</t>
  </si>
  <si>
    <t>CABO</t>
  </si>
  <si>
    <t>TV</t>
  </si>
  <si>
    <t>WOW</t>
  </si>
  <si>
    <t>GCI</t>
  </si>
  <si>
    <t>SCHL</t>
  </si>
  <si>
    <t>AMC</t>
  </si>
  <si>
    <t>CURI</t>
  </si>
  <si>
    <t>IMAX</t>
  </si>
  <si>
    <t>IQ</t>
  </si>
  <si>
    <t>MCS</t>
  </si>
  <si>
    <t>MSGE</t>
  </si>
  <si>
    <t>RSVR</t>
  </si>
  <si>
    <t>SPHR</t>
  </si>
  <si>
    <t>DDI</t>
  </si>
  <si>
    <t>GCL</t>
  </si>
  <si>
    <t>GDEV</t>
  </si>
  <si>
    <t>GRVY</t>
  </si>
  <si>
    <t>HUYA</t>
  </si>
  <si>
    <t>SOHU</t>
  </si>
  <si>
    <t>ANGI</t>
  </si>
  <si>
    <t>BMBL</t>
  </si>
  <si>
    <t>CARS</t>
  </si>
  <si>
    <t>EVER</t>
  </si>
  <si>
    <t>GETY</t>
  </si>
  <si>
    <t>KIND</t>
  </si>
  <si>
    <t>MAX</t>
  </si>
  <si>
    <t>MOMO</t>
  </si>
  <si>
    <t>OB</t>
  </si>
  <si>
    <t>QNST</t>
  </si>
  <si>
    <t>SSTK</t>
  </si>
  <si>
    <t>TBLA</t>
  </si>
  <si>
    <t>TRIP</t>
  </si>
  <si>
    <t>TRVG</t>
  </si>
  <si>
    <t>VMEO</t>
  </si>
  <si>
    <t>VTEX</t>
  </si>
  <si>
    <t>WBTN</t>
  </si>
  <si>
    <t>YALA</t>
  </si>
  <si>
    <t>ZD</t>
  </si>
  <si>
    <t>ZH</t>
  </si>
  <si>
    <t>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</si>
</sst>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8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0" fillId="0" borderId="0" xfId="0" applyNumberFormat="1" applyAlignment="1">
      <alignment horizontal="center" vertical="center"/>
    </xf>
    <xf numFmtId="2" fontId="9" fillId="0" borderId="3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 wrapText="1"/>
    </xf>
    <xf numFmtId="2" fontId="9" fillId="0" borderId="10" xfId="0" applyNumberFormat="1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2" fontId="7" fillId="0" borderId="11" xfId="0" applyNumberFormat="1" applyFont="1" applyBorder="1" applyAlignment="1">
      <alignment horizontal="center" vertical="center"/>
    </xf>
    <xf numFmtId="2" fontId="8" fillId="0" borderId="11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5" fillId="0" borderId="15" xfId="0" applyNumberFormat="1" applyFont="1" applyBorder="1" applyAlignment="1">
      <alignment horizontal="center" vertical="center" wrapText="1"/>
    </xf>
    <xf numFmtId="2" fontId="9" fillId="0" borderId="27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2" fontId="9" fillId="0" borderId="28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4" fillId="0" borderId="34" xfId="0" applyNumberFormat="1" applyFont="1" applyBorder="1" applyAlignment="1">
      <alignment horizontal="center" vertical="center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3" fontId="10" fillId="0" borderId="14" xfId="0" applyNumberFormat="1" applyFont="1" applyBorder="1" applyAlignment="1">
      <alignment horizontal="left" vertical="center" wrapText="1"/>
    </xf>
    <xf numFmtId="3" fontId="10" fillId="0" borderId="22" xfId="0" applyNumberFormat="1" applyFont="1" applyBorder="1" applyAlignment="1">
      <alignment horizontal="left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40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1" fillId="0" borderId="40" xfId="0" applyNumberFormat="1" applyFont="1" applyBorder="1" applyAlignment="1">
      <alignment horizontal="center"/>
    </xf>
    <xf numFmtId="2" fontId="5" fillId="0" borderId="6" xfId="0" applyNumberFormat="1" applyFont="1" applyBorder="1" applyAlignment="1">
      <alignment horizontal="center" vertical="center" wrapText="1"/>
    </xf>
    <xf numFmtId="2" fontId="5" fillId="0" borderId="13" xfId="0" applyNumberFormat="1" applyFont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3" fontId="10" fillId="0" borderId="18" xfId="0" applyNumberFormat="1" applyFont="1" applyBorder="1" applyAlignment="1">
      <alignment horizontal="left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10.1</v>
        <stp/>
        <stp>LAST</stp>
        <stp>VIV</stp>
        <tr r="D8" s="2"/>
      </tp>
      <tp>
        <v>9.06</v>
        <stp/>
        <stp>LAST</stp>
        <stp>VOD</stp>
        <tr r="D45" s="2"/>
      </tp>
      <tp>
        <v>40.51</v>
        <stp/>
        <stp>LAST</stp>
        <stp>WPP</stp>
        <tr r="D36" s="3"/>
      </tp>
      <tp>
        <v>4.4400000000000004</v>
        <stp/>
        <stp>LAST</stp>
        <stp>WOW</stp>
        <tr r="D67" s="4"/>
      </tp>
      <tp>
        <v>43.38</v>
        <stp/>
        <stp>LAST</stp>
        <stp>WLY</stp>
        <tr r="D43" s="3"/>
      </tp>
      <tp>
        <v>27.48</v>
        <stp/>
        <stp>LAST</stp>
        <stp>WMG</stp>
        <tr r="D19" s="2"/>
      </tp>
      <tp>
        <v>9.18</v>
        <stp/>
        <stp>LAST</stp>
        <stp>WBD</stp>
        <tr r="D18" s="2"/>
      </tp>
      <tp>
        <v>44.33</v>
        <stp/>
        <stp>LAST</stp>
        <stp>BATRA</stp>
        <tr r="D13" s="3"/>
      </tp>
      <tp>
        <v>41.38</v>
        <stp/>
        <stp>LAST</stp>
        <stp>BATRK</stp>
        <tr r="D14" s="3"/>
      </tp>
      <tp>
        <v>9.15</v>
        <stp/>
        <stp>LAST</stp>
        <stp>LBTYB</stp>
        <tr r="D7" s="3"/>
      </tp>
      <tp>
        <v>9.08</v>
        <stp/>
        <stp>LAST</stp>
        <stp>LBTYA</stp>
        <tr r="D6" s="3"/>
      </tp>
      <tp>
        <v>78.14</v>
        <stp/>
        <stp>LAST</stp>
        <stp>TTD</stp>
        <tr r="D33" s="2"/>
      </tp>
      <tp>
        <v>6.33</v>
        <stp/>
        <stp>LAST</stp>
        <stp>TKC</stp>
        <tr r="D50" s="3"/>
      </tp>
      <tp>
        <v>164.48</v>
        <stp/>
        <stp>LAST</stp>
        <stp>TKO</stp>
        <tr r="D16" s="2"/>
      </tp>
      <tp>
        <v>16.05</v>
        <stp/>
        <stp>LAST</stp>
        <stp>TLK</stp>
        <tr r="D6" s="2"/>
      </tp>
      <tp>
        <v>14.69</v>
        <stp/>
        <stp>LAST</stp>
        <stp>TME</stp>
        <tr r="D17" s="2"/>
      </tp>
      <tp>
        <v>33.24</v>
        <stp/>
        <stp>LAST</stp>
        <stp>TDS</stp>
        <tr r="D47" s="3"/>
      </tp>
      <tp>
        <v>4.87</v>
        <stp/>
        <stp>LAST</stp>
        <stp>TEF</stp>
        <tr r="D5" s="2"/>
      </tp>
      <tp>
        <v>10.89</v>
        <stp/>
        <stp>LAST</stp>
        <stp>TEO</stp>
        <tr r="D12" s="3"/>
      </tp>
      <tp>
        <v>59.85</v>
        <stp/>
        <stp>LAST</stp>
        <stp>USM</stp>
        <tr r="D51" s="3"/>
      </tp>
      <tp>
        <v>95.25</v>
        <stp/>
        <stp>LAST</stp>
        <stp>LBRDK</stp>
        <tr r="D39" s="2"/>
      </tp>
      <tp>
        <v>94.48</v>
        <stp/>
        <stp>LAST</stp>
        <stp>LBRDA</stp>
        <tr r="D38" s="2"/>
      </tp>
      <tp>
        <v>10.56</v>
        <stp/>
        <stp>LAST</stp>
        <stp>RUM</stp>
        <tr r="D31" s="3"/>
      </tp>
      <tp>
        <v>25.43</v>
        <stp/>
        <stp>LAST</stp>
        <stp>RCI</stp>
        <tr r="D43" s="2"/>
      </tp>
      <tp>
        <v>20.18</v>
        <stp/>
        <stp>LAST</stp>
        <stp>SKM</stp>
        <tr r="D46" s="3"/>
      </tp>
      <tp>
        <v>23.33</v>
        <stp/>
        <stp>LAST</stp>
        <stp>PHI</stp>
        <tr r="D45" s="3"/>
      </tp>
      <tp>
        <v>4.8899999999999997</v>
        <stp/>
        <stp>LAST</stp>
        <stp>ZIP</stp>
        <tr r="D42" s="4"/>
      </tp>
      <tp>
        <v>77.430000000000007</v>
        <stp/>
        <stp>LAST</stp>
        <stp>LLYVK</stp>
        <tr r="D18" s="3"/>
      </tp>
      <tp>
        <v>76.67</v>
        <stp/>
        <stp>LAST</stp>
        <stp>LLYVA</stp>
        <tr r="D17" s="3"/>
      </tp>
      <tp>
        <v>51.08</v>
        <stp/>
        <stp>LAST</stp>
        <stp>FOX</stp>
        <tr r="D34" s="2"/>
      </tp>
      <tp>
        <v>4.55</v>
        <stp/>
        <stp>LAST</stp>
        <stp>GTN</stp>
        <tr r="D62" s="4"/>
      </tp>
      <tp>
        <v>2.2200000000000002</v>
        <stp/>
        <stp>LAST</stp>
        <stp>GCL</stp>
        <tr r="D17" s="4"/>
      </tp>
      <tp>
        <v>3.71</v>
        <stp/>
        <stp>LAST</stp>
        <stp>GCI</stp>
        <tr r="D68" s="4"/>
      </tp>
      <tp>
        <v>26.32</v>
        <stp/>
        <stp>LAST</stp>
        <stp>DJT</stp>
        <tr r="D27" s="3"/>
      </tp>
      <tp>
        <v>111.38</v>
        <stp/>
        <stp>LAST</stp>
        <stp>DIS</stp>
        <tr r="D10" s="2"/>
      </tp>
      <tp>
        <v>10.199999999999999</v>
        <stp/>
        <stp>LAST</stp>
        <stp>DDI</stp>
        <tr r="D16" s="4"/>
      </tp>
      <tp>
        <v>4.6500000000000004</v>
        <stp/>
        <stp>LAST</stp>
        <stp>EEX</stp>
        <tr r="D48" s="4"/>
      </tp>
      <tp>
        <v>15.43</v>
        <stp/>
        <stp>LAST</stp>
        <stp>BOC</stp>
        <tr r="D45" s="4"/>
      </tp>
      <tp>
        <v>21.98</v>
        <stp/>
        <stp>LAST</stp>
        <stp>BCE</stp>
        <tr r="D2" s="2"/>
      </tp>
      <tp>
        <v>34.79</v>
        <stp/>
        <stp>LAST</stp>
        <stp>CMCSA</stp>
        <tr r="D37" s="2"/>
      </tp>
      <tp>
        <v>42.76</v>
        <stp/>
        <stp>LAST</stp>
        <stp>CHT</stp>
        <tr r="D3" s="2"/>
      </tp>
      <tp>
        <v>30.63</v>
        <stp/>
        <stp>LAST</stp>
        <stp>CNK</stp>
        <tr r="D15" s="3"/>
      </tp>
      <tp>
        <v>1.17</v>
        <stp/>
        <stp>LAST</stp>
        <stp>CCO</stp>
        <tr r="D46" s="4"/>
      </tp>
      <tp>
        <v>17.239999999999998</v>
        <stp/>
        <stp>LAST</stp>
        <stp>AMX</stp>
        <tr r="D42" s="2"/>
      </tp>
      <tp>
        <v>2.74</v>
        <stp/>
        <stp>LAST</stp>
        <stp>AMC</stp>
        <tr r="D8" s="4"/>
      </tp>
      <tp>
        <v>1.1299999999999999</v>
        <stp/>
        <stp>LAST</stp>
        <stp>ADV</stp>
        <tr r="D43" s="4"/>
      </tp>
      <tp>
        <v>54.69</v>
        <stp/>
        <stp>LAST</stp>
        <stp>NYT</stp>
        <tr r="D42" s="3"/>
      </tp>
      <tp>
        <v>32.85</v>
        <stp/>
        <stp>LAST</stp>
        <stp>NWS</stp>
        <tr r="D40" s="2"/>
      </tp>
      <tp>
        <v>159.53</v>
        <stp/>
        <stp>LAST</stp>
        <stp>GOOGL</stp>
        <tr r="D27" s="2"/>
      </tp>
      <tp>
        <v>88.53</v>
        <stp/>
        <stp>LAST</stp>
        <stp>FWONA</stp>
        <tr r="D11" s="2"/>
      </tp>
      <tp>
        <v>96.48</v>
        <stp/>
        <stp>LAST</stp>
        <stp>FWONK</stp>
        <tr r="D12" s="2"/>
      </tp>
      <tp>
        <v>77.430000000000007</v>
        <stp/>
        <stp>LAST</stp>
        <stp>OMC</stp>
        <tr r="D32" s="2"/>
      </tp>
      <tp>
        <v>143</v>
        <stp/>
        <stp>LAST</stp>
        <stp>LYV</stp>
        <tr r="D13" s="2"/>
      </tp>
      <tp>
        <v>17.399999999999999</v>
        <stp/>
        <stp>LAST</stp>
        <stp>MCS</stp>
        <tr r="D12" s="4"/>
      </tp>
      <tp>
        <v>10.36</v>
        <stp/>
        <stp>LAST</stp>
        <stp>MAX</stp>
        <tr r="D28" s="4"/>
      </tp>
      <tp>
        <v>25.63</v>
        <stp/>
        <stp>LAST</stp>
        <stp>IPG</stp>
        <tr r="D35" s="3"/>
      </tp>
      <tp>
        <v>6.07</v>
        <stp/>
        <stp>LAST</stp>
        <stp>IHS</stp>
        <tr r="D6" s="4"/>
      </tp>
      <tp>
        <v>8.15</v>
        <stp/>
        <stp>LAST</stp>
        <stp>IAS</stp>
        <tr r="D50" s="4"/>
      </tp>
      <tp>
        <v>57.74</v>
        <stp/>
        <stp>LAST</stp>
        <stp>IDT</stp>
        <tr r="D5" s="4"/>
      </tp>
      <tp>
        <v>11.81</v>
        <stp/>
        <stp>LAST</stp>
        <stp>LZMH</stp>
        <tr r="D52" s="4"/>
      </tp>
      <tp>
        <v>174.42</v>
        <stp/>
        <stp>LAST</stp>
        <stp>NXST</stp>
        <tr r="D38" s="3"/>
      </tp>
      <tp>
        <v>36.590000000000003</v>
        <stp/>
        <stp>LAST</stp>
        <stp>FYBR</stp>
        <tr r="D9" s="3"/>
      </tp>
      <tp>
        <v>64.22</v>
        <stp/>
        <stp>LAST</stp>
        <stp>GRVY</stp>
        <tr r="D19" s="4"/>
      </tp>
      <tp>
        <v>4.75</v>
        <stp/>
        <stp>LAST</stp>
        <stp>TRVG</stp>
        <tr r="D35" s="4"/>
      </tp>
      <tp>
        <v>29.93</v>
        <stp/>
        <stp>LAST</stp>
        <stp>CRTO</stp>
        <tr r="D47" s="4"/>
      </tp>
      <tp>
        <v>25.66</v>
        <stp/>
        <stp>LAST</stp>
        <stp>IRDM</stp>
        <tr r="D5" s="3"/>
      </tp>
      <tp>
        <v>23.83</v>
        <stp/>
        <stp>LAST</stp>
        <stp>GRND</stp>
        <tr r="D28" s="3"/>
      </tp>
      <tp>
        <v>15.67</v>
        <stp/>
        <stp>LAST</stp>
        <stp>TRIP</stp>
        <tr r="D34" s="4"/>
      </tp>
      <tp>
        <v>7.37</v>
        <stp/>
        <stp>LAST</stp>
        <stp>RSVR</stp>
        <tr r="D14" s="4"/>
      </tp>
      <tp>
        <v>26.55</v>
        <stp/>
        <stp>LAST</stp>
        <stp>ASTS</stp>
        <tr r="D2" s="3"/>
      </tp>
      <tp>
        <v>19.34</v>
        <stp/>
        <stp>LAST</stp>
        <stp>SSTK</stp>
        <tr r="D32" s="4"/>
      </tp>
      <tp>
        <v>196.76</v>
        <stp/>
        <stp>LAST</stp>
        <stp>MSGS</stp>
        <tr r="D20" s="3"/>
      </tp>
      <tp>
        <v>37.64</v>
        <stp/>
        <stp>LAST</stp>
        <stp>MSGE</stp>
        <tr r="D13" s="4"/>
      </tp>
      <tp>
        <v>18.920000000000002</v>
        <stp/>
        <stp>LAST</stp>
        <stp>GSAT</stp>
        <tr r="D4" s="3"/>
      </tp>
      <tp>
        <v>620.07000000000005</v>
        <stp/>
        <stp>LAST</stp>
        <stp>SPOT</stp>
        <tr r="D15" s="2"/>
      </tp>
      <tp>
        <v>16.41</v>
        <stp/>
        <stp>LAST</stp>
        <stp>SPOK</stp>
        <tr r="D71" s="4"/>
      </tp>
      <tp>
        <v>37.56</v>
        <stp/>
        <stp>LAST</stp>
        <stp>SPHR</stp>
        <tr r="D15" s="4"/>
      </tp>
      <tp>
        <v>24.9</v>
        <stp/>
        <stp>LAST</stp>
        <stp>EVER</stp>
        <tr r="D25" s="4"/>
      </tp>
      <tp>
        <v>28.22</v>
        <stp/>
        <stp>LAST</stp>
        <stp>NWSA</stp>
        <tr r="D41" s="2"/>
      </tp>
      <tp>
        <v>226.16</v>
        <stp/>
        <stp>LAST</stp>
        <stp>TTWO</stp>
        <tr r="D24" s="2"/>
      </tp>
      <tp>
        <v>2.73</v>
        <stp/>
        <stp>LAST</stp>
        <stp>ATUS</stp>
        <tr r="D64" s="4"/>
      </tp>
      <tp>
        <v>5.41</v>
        <stp/>
        <stp>LAST</stp>
        <stp>STGW</stp>
        <tr r="D58" s="4"/>
      </tp>
      <tp>
        <v>8.74</v>
        <stp/>
        <stp>LAST</stp>
        <stp>TTGT</stp>
        <tr r="D60" s="4"/>
      </tp>
      <tp>
        <v>106.4</v>
        <stp/>
        <stp>LAST</stp>
        <stp>NTES</stp>
        <tr r="D21" s="2"/>
      </tp>
      <tp>
        <v>6.51</v>
        <stp/>
        <stp>LAST</stp>
        <stp>VTEX</stp>
        <tr r="D37" s="4"/>
      </tp>
      <tp>
        <v>28.39</v>
        <stp/>
        <stp>LAST</stp>
        <stp>ATEX</stp>
        <tr r="D2" s="4"/>
      </tp>
      <tp>
        <v>28.8</v>
        <stp/>
        <stp>LAST</stp>
        <stp>MTCH</stp>
        <tr r="D30" s="3"/>
      </tp>
      <tp>
        <v>26.11</v>
        <stp/>
        <stp>LAST</stp>
        <stp>ATHM</stp>
        <tr r="D23" s="3"/>
      </tp>
      <tp>
        <v>5.71</v>
        <stp/>
        <stp>LAST</stp>
        <stp>CURI</stp>
        <tr r="D9" s="4"/>
      </tp>
      <tp>
        <v>3.74</v>
        <stp/>
        <stp>LAST</stp>
        <stp>HUYA</stp>
        <tr r="D20" s="4"/>
      </tp>
      <tp>
        <v>11.58</v>
        <stp/>
        <stp>LAST</stp>
        <stp>PUBM</stp>
        <tr r="D57" s="4"/>
      </tp>
      <tp>
        <v>4.3899999999999997</v>
        <stp/>
        <stp>LAST</stp>
        <stp>LUMN</stp>
        <tr r="D8" s="3"/>
      </tp>
      <tp>
        <v>411.13</v>
        <stp/>
        <stp>LAST</stp>
        <stp>CHTR</stp>
        <tr r="D36" s="2"/>
      </tp>
      <tp>
        <v>14.92</v>
        <stp/>
        <stp>LAST</stp>
        <stp>THRY</stp>
        <tr r="D59" s="4"/>
      </tp>
      <tp>
        <v>11.99</v>
        <stp/>
        <stp>LAST</stp>
        <stp>SHEN</stp>
        <tr r="D7" s="4"/>
      </tp>
      <tp>
        <v>21.79</v>
        <stp/>
        <stp>LAST</stp>
        <stp>SIRI</stp>
        <tr r="D41" s="3"/>
      </tp>
      <tp>
        <v>4.4400000000000004</v>
        <stp/>
        <stp>LAST</stp>
        <stp>SIFY</stp>
        <tr r="D4" s="4"/>
      </tp>
      <tp>
        <v>34.619999999999997</v>
        <stp/>
        <stp>LAST</stp>
        <stp>TIGO</stp>
        <tr r="D48" s="3"/>
      </tp>
      <tp>
        <v>91.09</v>
        <stp/>
        <stp>LAST</stp>
        <stp>BIDU</stp>
        <tr r="D25" s="2"/>
      </tp>
      <tp>
        <v>32.93</v>
        <stp/>
        <stp>LAST</stp>
        <stp>PINS</stp>
        <tr r="D29" s="2"/>
      </tp>
      <tp>
        <v>1.39</v>
        <stp/>
        <stp>LAST</stp>
        <stp>KIND</stp>
        <tr r="D27" s="4"/>
      </tp>
      <tp>
        <v>7.02</v>
        <stp/>
        <stp>LAST</stp>
        <stp>LION</stp>
        <tr r="D16" s="3"/>
      </tp>
      <tp>
        <v>18.399999999999999</v>
        <stp/>
        <stp>LAST</stp>
        <stp>BILI</stp>
        <tr r="D24" s="3"/>
      </tp>
      <tp>
        <v>17.39</v>
        <stp/>
        <stp>LAST</stp>
        <stp>TIMB</stp>
        <tr r="D49" s="3"/>
      </tp>
      <tp>
        <v>53.75</v>
        <stp/>
        <stp>LAST</stp>
        <stp>SNRE</stp>
        <tr r="D11" s="3"/>
      </tp>
      <tp>
        <v>16.38</v>
        <stp/>
        <stp>LAST</stp>
        <stp>QNST</stp>
        <tr r="D31" s="4"/>
      </tp>
      <tp>
        <v>16.600000000000001</v>
        <stp/>
        <stp>LAST</stp>
        <stp>ANGI</stp>
        <tr r="D22" s="4"/>
      </tp>
      <tp>
        <v>9.1</v>
        <stp/>
        <stp>LAST</stp>
        <stp>SNAP</stp>
        <tr r="D31" s="2"/>
      </tp>
      <tp>
        <v>55.24</v>
        <stp/>
        <stp>LAST</stp>
        <stp>FOXA</stp>
        <tr r="D35" s="2"/>
      </tp>
      <tp>
        <v>42.45</v>
        <stp/>
        <stp>LAST</stp>
        <stp>JOYY</stp>
        <tr r="D29" s="3"/>
      </tp>
      <tp>
        <v>11.86</v>
        <stp/>
        <stp>LAST</stp>
        <stp>GOGO</stp>
        <tr r="D70" s="4"/>
      </tp>
      <tp>
        <v>160.88999999999999</v>
        <stp/>
        <stp>LAST</stp>
        <stp>GOOG</stp>
        <tr r="D26" s="2"/>
      </tp>
      <tp>
        <v>6.4</v>
        <stp/>
        <stp>LAST</stp>
        <stp>MOMO</stp>
        <tr r="D29" s="4"/>
      </tp>
      <tp>
        <v>71.400000000000006</v>
        <stp/>
        <stp>LAST</stp>
        <stp>ROKU</stp>
        <tr r="D21" s="3"/>
      </tp>
      <tp>
        <v>10.73</v>
        <stp/>
        <stp>LAST</stp>
        <stp>SOHU</stp>
        <tr r="D21" s="4"/>
      </tp>
      <tp>
        <v>5.08</v>
        <stp/>
        <stp>LAST</stp>
        <stp>PLTK</stp>
        <tr r="D22" s="3"/>
      </tp>
      <tp>
        <v>44</v>
        <stp/>
        <stp>LAST</stp>
        <stp>WLYB</stp>
        <tr r="D44" s="3"/>
      </tp>
      <tp>
        <v>237.34</v>
        <stp/>
        <stp>LAST</stp>
        <stp>TMUS</stp>
        <tr r="D44" s="2"/>
      </tp>
      <tp>
        <v>4.8600000000000003</v>
        <stp/>
        <stp>LAST</stp>
        <stp>VMEO</stp>
        <tr r="D36" s="4"/>
      </tp>
      <tp>
        <v>10.91</v>
        <stp/>
        <stp>LAST</stp>
        <stp>AMBR</stp>
        <tr r="D44" s="4"/>
      </tp>
      <tp>
        <v>5.85</v>
        <stp/>
        <stp>LAST</stp>
        <stp>BMBL</stp>
        <tr r="D23" s="4"/>
      </tp>
      <tp>
        <v>6.02</v>
        <stp/>
        <stp>LAST</stp>
        <stp>AMCX</stp>
        <tr r="D61" s="4"/>
      </tp>
      <tp>
        <v>24.18</v>
        <stp/>
        <stp>LAST</stp>
        <stp>NMAX</stp>
        <tr r="D37" s="3"/>
      </tp>
      <tp>
        <v>26.15</v>
        <stp/>
        <stp>LAST</stp>
        <stp>IMAX</stp>
        <tr r="D10" s="4"/>
      </tp>
      <tp>
        <v>49.96</v>
        <stp/>
        <stp>LAST</stp>
        <stp>IBTA</stp>
        <tr r="D51" s="4"/>
      </tp>
      <tp>
        <v>9.85</v>
        <stp/>
        <stp>LAST</stp>
        <stp>WBTN</stp>
        <tr r="D38" s="4"/>
      </tp>
      <tp>
        <v>15.94</v>
        <stp/>
        <stp>LAST</stp>
        <stp>SBGI</stp>
        <tr r="D63" s="4"/>
      </tp>
      <tp>
        <v>77.02</v>
        <stp/>
        <stp>LAST</stp>
        <stp>RBLX</stp>
        <tr r="D22" s="2"/>
      </tp>
      <tp>
        <v>3.4</v>
        <stp/>
        <stp>LAST</stp>
        <stp>TBLA</stp>
        <tr r="D33" s="4"/>
      </tp>
      <tp>
        <v>51.27</v>
        <stp/>
        <stp>LAST</stp>
        <stp>CCOI</stp>
        <tr r="D3" s="3"/>
      </tp>
      <tp>
        <v>5.29</v>
        <stp/>
        <stp>LAST</stp>
        <stp>NCMI</stp>
        <tr r="D54" s="4"/>
      </tp>
      <tp>
        <v>18.75</v>
        <stp/>
        <stp>LAST</stp>
        <stp>SCHL</stp>
        <tr r="D69" s="4"/>
      </tp>
      <tp>
        <v>19.78</v>
        <stp/>
        <stp>LAST</stp>
        <stp>SATS</stp>
        <tr r="D40" s="3"/>
      </tp>
      <tp>
        <v>11.35</v>
        <stp/>
        <stp>LAST</stp>
        <stp>CARS</stp>
        <tr r="D24" s="4"/>
      </tp>
      <tp>
        <v>33.57</v>
        <stp/>
        <stp>LAST</stp>
        <stp>CARG</stp>
        <tr r="D26" s="3"/>
      </tp>
      <tp>
        <v>166.46</v>
        <stp/>
        <stp>LAST</stp>
        <stp>CABO</stp>
        <tr r="D65" s="4"/>
      </tp>
      <tp>
        <v>14.42</v>
        <stp/>
        <stp>LAST</stp>
        <stp>MANU</stp>
        <tr r="D19" s="3"/>
      </tp>
      <tp>
        <v>14.34</v>
        <stp/>
        <stp>LAST</stp>
        <stp>BAND</stp>
        <tr r="D3" s="4"/>
      </tp>
      <tp>
        <v>7.78</v>
        <stp/>
        <stp>LAST</stp>
        <stp>YALA</stp>
        <tr r="D39" s="4"/>
      </tp>
      <tp>
        <v>14.58</v>
        <stp/>
        <stp>LAST</stp>
        <stp>GAMB</stp>
        <tr r="D49" s="4"/>
      </tp>
      <tp>
        <v>1138.44</v>
        <stp/>
        <stp>LAST</stp>
        <stp>NFLX</stp>
        <tr r="D14" s="2"/>
      </tp>
      <tp>
        <v>17.73</v>
        <stp/>
        <stp>LAST</stp>
        <stp>TGNA</stp>
        <tr r="D39" s="3"/>
      </tp>
      <tp>
        <v>16.309999999999999</v>
        <stp/>
        <stp>LAST</stp>
        <stp>MGNI</stp>
        <tr r="D53" s="4"/>
      </tp>
      <tp>
        <v>112.84</v>
        <stp/>
        <stp>LAST</stp>
        <stp>RDDT</stp>
        <tr r="D30" s="2"/>
      </tp>
      <tp>
        <v>14.82</v>
        <stp/>
        <stp>LAST</stp>
        <stp>GDEV</stp>
        <tr r="D18" s="4"/>
      </tp>
      <tp>
        <v>1.81</v>
        <stp/>
        <stp>LAST</stp>
        <stp>GETY</stp>
        <tr r="D26" s="4"/>
      </tp>
      <tp>
        <v>656.03</v>
        <stp/>
        <stp>LAST</stp>
        <stp>META</stp>
        <tr r="D28" s="2"/>
      </tp>
      <tp>
        <v>10.85</v>
        <stp/>
        <stp>LAST</stp>
        <stp>PERI</stp>
        <tr r="D56" s="4"/>
      </tp>
      <tp>
        <v>12.32</v>
        <stp/>
        <stp>LAST</stp>
        <stp>NEXN</stp>
        <tr r="D55" s="4"/>
      </tp>
      <tp>
        <v>51.25</v>
        <stp/>
        <stp>LAST</stp>
        <stp>VEON</stp>
        <tr r="D52" s="3"/>
      </tp>
      <tp>
        <v>40.58</v>
        <stp/>
        <stp>LAST</stp>
        <stp>YELP</stp>
        <tr r="D33" s="3"/>
      </tp>
      <tp>
        <v>42.65</v>
        <stp/>
        <stp>LAST</stp>
        <stp>VZ</stp>
        <tr r="D9" s="2"/>
      </tp>
      <tp>
        <v>8.7100000000000009</v>
        <stp/>
        <stp>LAST</stp>
        <stp>WB</stp>
        <tr r="D32" s="3"/>
      </tp>
      <tp>
        <v>1.84</v>
        <stp/>
        <stp>LAST</stp>
        <stp>TV</stp>
        <tr r="D66" s="4"/>
      </tp>
      <tp>
        <v>15.65</v>
        <stp/>
        <stp>LAST</stp>
        <stp>TU</stp>
        <tr r="D7" s="2"/>
      </tp>
      <tp>
        <v>154.13</v>
        <stp/>
        <stp>LAST</stp>
        <stp>SE</stp>
        <tr r="D23" s="2"/>
      </tp>
      <tp>
        <v>4.08</v>
        <stp/>
        <stp>LAST</stp>
        <stp>ZH</stp>
        <tr r="D41" s="4"/>
      </tp>
      <tp>
        <v>10.31</v>
        <stp/>
        <stp>LAST</stp>
        <stp>ZI</stp>
        <tr r="D34" s="3"/>
      </tp>
      <tp>
        <v>33.99</v>
        <stp/>
        <stp>LAST</stp>
        <stp>ZD</stp>
        <tr r="D40" s="4"/>
      </tp>
      <tp>
        <v>149.06</v>
        <stp/>
        <stp>LAST</stp>
        <stp>EA</stp>
        <tr r="D20" s="2"/>
      </tp>
      <tp>
        <v>17.670000000000002</v>
        <stp/>
        <stp>LAST</stp>
        <stp>BZ</stp>
        <tr r="D25" s="3"/>
      </tp>
      <tp>
        <v>3.1</v>
        <stp/>
        <stp>LAST</stp>
        <stp>OB</stp>
        <tr r="D30" s="4"/>
      </tp>
      <tp>
        <v>19.309999999999999</v>
        <stp/>
        <stp>LAST</stp>
        <stp>KT</stp>
        <tr r="D10" s="3"/>
      </tp>
      <tp>
        <v>1.99</v>
        <stp/>
        <stp>LAST</stp>
        <stp>IQ</stp>
        <tr r="D11" s="4"/>
      </tp>
      <tp>
        <v>26.45</v>
        <stp/>
        <stp>LAST</stp>
        <stp>T</stp>
        <tr r="D4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50338194445" createdVersion="8" refreshedVersion="8" minRefreshableVersion="3" recordCount="44" xr:uid="{3432845B-C090-4238-AA0B-FA56B072311B}">
  <cacheSource type="worksheet">
    <worksheetSource name="Main_L"/>
  </cacheSource>
  <cacheFields count="26">
    <cacheField name="Industry" numFmtId="0">
      <sharedItems count="58">
        <s v="Diversified Telecommunication Services"/>
        <s v="Entertainment"/>
        <s v="Interactive Media &amp; Services"/>
        <s v="Media"/>
        <s v="Wireless Telecommunication Service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3224" maxValue="1854190"/>
    </cacheField>
    <cacheField name="Current Price" numFmtId="0">
      <sharedItems containsSemiMixedTypes="0" containsString="0" containsNumber="1" minValue="4.87" maxValue="1138.44"/>
    </cacheField>
    <cacheField name="Free CF" numFmtId="0">
      <sharedItems containsSemiMixedTypes="0" containsString="0" containsNumber="1" minValue="-2.85" maxValue="32.159999999999997"/>
    </cacheField>
    <cacheField name="BVPS" numFmtId="0">
      <sharedItems containsSemiMixedTypes="0" containsString="0" containsNumber="1" minValue="0.09" maxValue="115.75"/>
    </cacheField>
    <cacheField name="EPS" numFmtId="0">
      <sharedItems containsSemiMixedTypes="0" containsString="0" containsNumber="1" minValue="-21.06" maxValue="35.86"/>
    </cacheField>
    <cacheField name="P/FCF" numFmtId="2">
      <sharedItems containsSemiMixedTypes="0" containsString="0" containsNumber="1" minValue="-95.25" maxValue="802.5"/>
    </cacheField>
    <cacheField name="P/B" numFmtId="2">
      <sharedItems containsSemiMixedTypes="0" containsString="0" containsNumber="1" minValue="0.661860129776496" maxValue="304.25531914893617"/>
    </cacheField>
    <cacheField name="ROE" numFmtId="0">
      <sharedItems containsSemiMixedTypes="0" containsString="0" containsNumber="1" minValue="-492.67" maxValue="80.12"/>
    </cacheField>
    <cacheField name="ROA" numFmtId="0">
      <sharedItems containsSemiMixedTypes="0" containsString="0" containsNumber="1" minValue="-9.06" maxValue="17.88"/>
    </cacheField>
    <cacheField name="A/E" numFmtId="0">
      <sharedItems containsSemiMixedTypes="0" containsString="0" containsNumber="1" minValue="1.1000000000000001" maxValue="205.93"/>
    </cacheField>
    <cacheField name="P/E" numFmtId="2">
      <sharedItems containsSemiMixedTypes="0" containsString="0" containsNumber="1" minValue="-742.15384615384619" maxValue="8224"/>
    </cacheField>
    <cacheField name="Preliminary Criteria" numFmtId="0">
      <sharedItems/>
    </cacheField>
    <cacheField name="P/FCF Z-Score" numFmtId="2">
      <sharedItems containsSemiMixedTypes="0" containsString="0" containsNumber="1" minValue="-16.741114019385538" maxValue="126.89432308507836"/>
    </cacheField>
    <cacheField name="P/B Z-Score" numFmtId="2">
      <sharedItems containsSemiMixedTypes="0" containsString="0" containsNumber="1" minValue="-3.3931540270076566" maxValue="373.64348241642955"/>
    </cacheField>
    <cacheField name="ROE Z-Score" numFmtId="2">
      <sharedItems containsSemiMixedTypes="0" containsString="0" containsNumber="1" minValue="-29.769341997565405" maxValue="4.2410034833385959"/>
    </cacheField>
    <cacheField name="ROA Z-Score" numFmtId="2">
      <sharedItems containsSemiMixedTypes="0" containsString="0" containsNumber="1" minValue="-3.2914746291032499" maxValue="5.104151059293109"/>
    </cacheField>
    <cacheField name="A/E Z-Score" numFmtId="2">
      <sharedItems containsSemiMixedTypes="0" containsString="0" containsNumber="1" minValue="-1.4034694701010815" maxValue="352.10900498831865"/>
    </cacheField>
    <cacheField name="P/E Z-Score" numFmtId="2">
      <sharedItems containsSemiMixedTypes="0" containsString="0" containsNumber="1" minValue="-18.349641389277732" maxValue="194.30672930547874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50339930554" createdVersion="8" refreshedVersion="8" minRefreshableVersion="3" recordCount="51" xr:uid="{A2646FF5-8A5C-4026-A340-9C8CC354FDFF}">
  <cacheSource type="worksheet">
    <worksheetSource name="Main_M"/>
  </cacheSource>
  <cacheFields count="26">
    <cacheField name="Industry" numFmtId="0">
      <sharedItems count="59">
        <s v="Diversified Telecommunication Services"/>
        <s v="Entertainment"/>
        <s v="Interactive Media &amp; Services"/>
        <s v="Media"/>
        <s v="Wireless Telecommunication Service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39" maxValue="9523"/>
    </cacheField>
    <cacheField name="Current Price" numFmtId="0">
      <sharedItems containsSemiMixedTypes="0" containsString="0" containsNumber="1" minValue="4.3899999999999997" maxValue="196.76"/>
    </cacheField>
    <cacheField name="Free CF" numFmtId="0">
      <sharedItems containsString="0" containsBlank="1" containsNumber="1" minValue="-4.29" maxValue="34.200000000000003"/>
    </cacheField>
    <cacheField name="BVPS" numFmtId="0">
      <sharedItems containsString="0" containsBlank="1" containsNumber="1" minValue="-11.8" maxValue="90.51"/>
    </cacheField>
    <cacheField name="EPS" numFmtId="0">
      <sharedItems containsString="0" containsBlank="1" containsNumber="1" minValue="-5.64" maxValue="21.41"/>
    </cacheField>
    <cacheField name="P/FCF" numFmtId="2">
      <sharedItems containsMixedTypes="1" containsNumber="1" minValue="-516.20000000000005" maxValue="57.315789473684212"/>
    </cacheField>
    <cacheField name="P/B" numFmtId="2">
      <sharedItems containsMixedTypes="1" containsNumber="1" minValue="-115.2" maxValue="15.678571428571425"/>
    </cacheField>
    <cacheField name="ROE" numFmtId="0">
      <sharedItems containsSemiMixedTypes="0" containsString="0" containsNumber="1" minValue="-1332.8" maxValue="442.08"/>
    </cacheField>
    <cacheField name="ROA" numFmtId="0">
      <sharedItems containsSemiMixedTypes="0" containsString="0" containsNumber="1" minValue="-40.090000000000003" maxValue="12.69"/>
    </cacheField>
    <cacheField name="A/E" numFmtId="0">
      <sharedItems containsSemiMixedTypes="0" containsString="0" containsNumber="1" minValue="-70.150000000000006" maxValue="116.05"/>
    </cacheField>
    <cacheField name="P/E" numFmtId="2">
      <sharedItems containsMixedTypes="1" containsNumber="1" minValue="-227.73529411764707" maxValue="983.8"/>
    </cacheField>
    <cacheField name="Preliminary Criteria" numFmtId="0">
      <sharedItems/>
    </cacheField>
    <cacheField name="P/FCF Z-Score" numFmtId="2">
      <sharedItems containsMixedTypes="1" containsNumber="1" minValue="-19.390023256348098" maxValue="6.3647194713488284"/>
    </cacheField>
    <cacheField name="P/B Z-Score" numFmtId="2">
      <sharedItems containsMixedTypes="1" containsNumber="1" minValue="-54.798577097790535" maxValue="8.5701672754655682"/>
    </cacheField>
    <cacheField name="ROE Z-Score" numFmtId="2">
      <sharedItems containsSemiMixedTypes="0" containsString="0" containsNumber="1" minValue="-3.9319080625418739" maxValue="20.686506018742673"/>
    </cacheField>
    <cacheField name="ROA Z-Score" numFmtId="2">
      <sharedItems containsSemiMixedTypes="0" containsString="0" containsNumber="1" minValue="-18.207326443868187" maxValue="4.2476077608428238"/>
    </cacheField>
    <cacheField name="A/E Z-Score" numFmtId="2">
      <sharedItems containsSemiMixedTypes="0" containsString="0" containsNumber="1" minValue="-89.326702550791197" maxValue="94.470103449922632"/>
    </cacheField>
    <cacheField name="P/E Z-Score" numFmtId="2">
      <sharedItems containsMixedTypes="1" containsNumber="1" minValue="-6.0603328489912691" maxValue="12.000855777950663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Yes"/>
        <s v="No"/>
      </sharedItems>
    </cacheField>
    <cacheField name="ROA Outlier" numFmtId="0">
      <sharedItems count="2">
        <s v="Yes"/>
        <s v="No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50341435186" createdVersion="8" refreshedVersion="8" minRefreshableVersion="3" recordCount="70" xr:uid="{FEEDC4AE-CB7E-4F82-B64E-6462C5DE2153}">
  <cacheSource type="worksheet">
    <worksheetSource name="Main_S"/>
  </cacheSource>
  <cacheFields count="26">
    <cacheField name="Industry" numFmtId="0">
      <sharedItems count="60">
        <s v="Diversified Telecommunication Services"/>
        <s v="Entertainment"/>
        <s v="Interactive Media &amp; Services"/>
        <s v="Media"/>
        <s v="Wireless Telecommunication Service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64" maxValue="1981"/>
    </cacheField>
    <cacheField name="Current Price" numFmtId="0">
      <sharedItems containsSemiMixedTypes="0" containsString="0" containsNumber="1" minValue="1.1299999999999999" maxValue="166.46"/>
    </cacheField>
    <cacheField name="Free CF" numFmtId="0">
      <sharedItems containsString="0" containsBlank="1" containsNumber="1" minValue="-4.82" maxValue="57.62"/>
    </cacheField>
    <cacheField name="BVPS" numFmtId="0">
      <sharedItems containsString="0" containsBlank="1" containsNumber="1" minValue="-6.99" maxValue="315.5"/>
    </cacheField>
    <cacheField name="EPS" numFmtId="0">
      <sharedItems containsString="0" containsBlank="1" containsNumber="1" minValue="-12.9" maxValue="8.2799999999999994"/>
    </cacheField>
    <cacheField name="P/FCF" numFmtId="2">
      <sharedItems containsMixedTypes="1" containsNumber="1" minValue="-116.99999999999999" maxValue="322.33333333333337"/>
    </cacheField>
    <cacheField name="P/B" numFmtId="2">
      <sharedItems containsMixedTypes="1" containsNumber="1" minValue="-4.4632352941176467" maxValue="171.09090909090909"/>
    </cacheField>
    <cacheField name="ROE" numFmtId="0">
      <sharedItems containsSemiMixedTypes="0" containsString="0" containsNumber="1" minValue="-6379.7" maxValue="276.77"/>
    </cacheField>
    <cacheField name="ROA" numFmtId="0">
      <sharedItems containsSemiMixedTypes="0" containsString="0" containsNumber="1" minValue="-10.28" maxValue="22.51"/>
    </cacheField>
    <cacheField name="A/E" numFmtId="0">
      <sharedItems containsSemiMixedTypes="0" containsString="0" containsNumber="1" minValue="-67.56" maxValue="153.80000000000001"/>
    </cacheField>
    <cacheField name="P/E" numFmtId="2">
      <sharedItems containsMixedTypes="1" containsNumber="1" minValue="-385.75" maxValue="391.75"/>
    </cacheField>
    <cacheField name="Preliminary Criteria" numFmtId="0">
      <sharedItems/>
    </cacheField>
    <cacheField name="P/FCF Z-Score" numFmtId="2">
      <sharedItems containsMixedTypes="1" containsNumber="1" minValue="-15.35529504242235" maxValue="24.187328139192456"/>
    </cacheField>
    <cacheField name="P/B Z-Score" numFmtId="2">
      <sharedItems containsMixedTypes="1" containsNumber="1" minValue="-3.8085188199270954" maxValue="85.62891556847444"/>
    </cacheField>
    <cacheField name="ROE Z-Score" numFmtId="2">
      <sharedItems containsSemiMixedTypes="0" containsString="0" containsNumber="1" minValue="-846.84516752040929" maxValue="20.551732062504069"/>
    </cacheField>
    <cacheField name="ROA Z-Score" numFmtId="2">
      <sharedItems containsSemiMixedTypes="0" containsString="0" containsNumber="1" minValue="-5.4873613063460747" maxValue="8.2321910962160363"/>
    </cacheField>
    <cacheField name="A/E Z-Score" numFmtId="2">
      <sharedItems containsSemiMixedTypes="0" containsString="0" containsNumber="1" minValue="-37.179574122858931" maxValue="143.18672052729625"/>
    </cacheField>
    <cacheField name="P/E Z-Score" numFmtId="2">
      <sharedItems containsMixedTypes="1" containsNumber="1" minValue="-16.791153955601171" maxValue="17.137399763157127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s v="BCE"/>
    <n v="19589"/>
    <n v="21.98"/>
    <n v="1.81"/>
    <n v="10.32"/>
    <n v="0.12"/>
    <n v="12.143646408839778"/>
    <n v="2.1298449612403099"/>
    <n v="1.98"/>
    <n v="4.83"/>
    <n v="5.43"/>
    <n v="183.16666666666669"/>
    <s v="NO"/>
    <n v="-0.14667984073098797"/>
    <n v="0.20473631491508337"/>
    <n v="-1.1644107503867516"/>
    <n v="0.53324568464307176"/>
    <n v="1.4279995232613996"/>
    <n v="1.0003983616215857"/>
    <x v="0"/>
    <x v="0"/>
    <x v="0"/>
    <x v="0"/>
    <x v="0"/>
    <x v="0"/>
  </r>
  <r>
    <x v="0"/>
    <s v="CHT"/>
    <n v="33373"/>
    <n v="42.76"/>
    <n v="0.2"/>
    <n v="1.51"/>
    <n v="0.15"/>
    <n v="213.79999999999998"/>
    <n v="28.317880794701985"/>
    <n v="9.7200000000000006"/>
    <n v="5.52"/>
    <n v="1.39"/>
    <n v="285.06666666666666"/>
    <s v="NO"/>
    <n v="32.267338582956874"/>
    <n v="55.706629920208464"/>
    <n v="8.494488406044419E-2"/>
    <n v="1.3043764202197279"/>
    <n v="-1.4034694701010815"/>
    <n v="1.8954114169989138"/>
    <x v="1"/>
    <x v="1"/>
    <x v="0"/>
    <x v="0"/>
    <x v="0"/>
    <x v="0"/>
  </r>
  <r>
    <x v="0"/>
    <s v="T"/>
    <n v="202196"/>
    <n v="26.45"/>
    <n v="2.71"/>
    <n v="14.42"/>
    <n v="1.63"/>
    <n v="9.7601476014760138"/>
    <n v="1.8342579750346739"/>
    <n v="10.88"/>
    <n v="4.17"/>
    <n v="3.83"/>
    <n v="16.226993865030675"/>
    <s v="NO"/>
    <n v="-0.52980079317745643"/>
    <n v="-0.42171912312629428"/>
    <n v="0.27218681377087661"/>
    <n v="-0.20435762764764348"/>
    <n v="0.30662566450398154"/>
    <n v="-0.4658743235391965"/>
    <x v="0"/>
    <x v="0"/>
    <x v="0"/>
    <x v="0"/>
    <x v="0"/>
    <x v="0"/>
  </r>
  <r>
    <x v="0"/>
    <s v="TEF"/>
    <n v="28668"/>
    <n v="4.87"/>
    <n v="0.96"/>
    <n v="3.55"/>
    <n v="-0.06"/>
    <n v="5.072916666666667"/>
    <n v="1.3718309859154931"/>
    <n v="0.84"/>
    <n v="2.79"/>
    <n v="5.19"/>
    <n v="-81.166666666666671"/>
    <s v="NO"/>
    <n v="-1.2832210904868984"/>
    <n v="-1.4017687042985802"/>
    <n v="-1.3484243709642456"/>
    <n v="-1.7466190988009569"/>
    <n v="1.2597934444477872"/>
    <n v="-1.3213070780716476"/>
    <x v="0"/>
    <x v="0"/>
    <x v="0"/>
    <x v="0"/>
    <x v="0"/>
    <x v="0"/>
  </r>
  <r>
    <x v="0"/>
    <s v="TLK"/>
    <n v="15533"/>
    <n v="16.05"/>
    <n v="0.02"/>
    <n v="0.09"/>
    <n v="0.01"/>
    <n v="802.5"/>
    <n v="178.33333333333334"/>
    <n v="18.239999999999998"/>
    <n v="8.92"/>
    <n v="2.02"/>
    <n v="1605"/>
    <s v="NO"/>
    <n v="126.89432308507836"/>
    <n v="373.64348241642955"/>
    <n v="1.4602045746922407"/>
    <n v="5.104151059293109"/>
    <n v="-0.96192851321534789"/>
    <n v="13.488714317499877"/>
    <x v="1"/>
    <x v="1"/>
    <x v="0"/>
    <x v="1"/>
    <x v="0"/>
    <x v="1"/>
  </r>
  <r>
    <x v="0"/>
    <s v="TU"/>
    <n v="22758"/>
    <n v="15.65"/>
    <n v="0.68"/>
    <n v="7.22"/>
    <n v="0.46"/>
    <n v="23.014705882352938"/>
    <n v="2.1675900277008311"/>
    <n v="5.5"/>
    <n v="3.43"/>
    <n v="3.71"/>
    <n v="34.021739130434781"/>
    <s v="NO"/>
    <n v="1.6007221914106304"/>
    <n v="0.28473172488545606"/>
    <n v="-0.59622834298957739"/>
    <n v="-1.0313674020342025"/>
    <n v="0.2225226250971751"/>
    <n v="-0.30957864807648233"/>
    <x v="0"/>
    <x v="0"/>
    <x v="0"/>
    <x v="0"/>
    <x v="0"/>
    <x v="0"/>
  </r>
  <r>
    <x v="0"/>
    <s v="VIV"/>
    <n v="15941"/>
    <n v="10.1"/>
    <n v="0.52"/>
    <n v="3.47"/>
    <n v="0.27"/>
    <n v="19.423076923076923"/>
    <n v="2.9106628242074923"/>
    <n v="7.97"/>
    <n v="4.58"/>
    <n v="1.79"/>
    <n v="37.407407407407405"/>
    <s v="NO"/>
    <n v="1.0234077394541463"/>
    <n v="1.859570997100128"/>
    <n v="-0.19753216507167384"/>
    <n v="0.25385049059355846"/>
    <n v="-1.1231260054117267"/>
    <n v="-0.2798414811572737"/>
    <x v="0"/>
    <x v="0"/>
    <x v="0"/>
    <x v="0"/>
    <x v="0"/>
    <x v="0"/>
  </r>
  <r>
    <x v="0"/>
    <s v="VZ"/>
    <n v="185051"/>
    <n v="42.65"/>
    <n v="4.78"/>
    <n v="23.89"/>
    <n v="4.2"/>
    <n v="8.9225941422594133"/>
    <n v="1.7852658015906235"/>
    <n v="18.420000000000002"/>
    <n v="5.15"/>
    <n v="3.78"/>
    <n v="10.154761904761903"/>
    <s v="NO"/>
    <n v="-0.66442820646943457"/>
    <n v="-0.52555120947579315"/>
    <n v="1.4892593568886876"/>
    <n v="0.89087153302644917"/>
    <n v="0.27158273141781203"/>
    <n v="-0.51920824777589936"/>
    <x v="0"/>
    <x v="0"/>
    <x v="0"/>
    <x v="0"/>
    <x v="0"/>
    <x v="0"/>
  </r>
  <r>
    <x v="1"/>
    <s v="DIS"/>
    <n v="184557"/>
    <n v="111.38"/>
    <n v="4.62"/>
    <n v="56.32"/>
    <n v="3.07"/>
    <n v="24.108225108225106"/>
    <n v="1.9776278409090908"/>
    <n v="5.9"/>
    <n v="4.25"/>
    <n v="1.93"/>
    <n v="36.280130293159608"/>
    <s v="NO"/>
    <n v="-0.65035022577865187"/>
    <n v="-0.88852816314118532"/>
    <n v="-0.16593071871223453"/>
    <n v="-0.12718952160131719"/>
    <n v="-0.25765372512134632"/>
    <n v="0.11300682054726097"/>
    <x v="0"/>
    <x v="0"/>
    <x v="0"/>
    <x v="0"/>
    <x v="0"/>
    <x v="0"/>
  </r>
  <r>
    <x v="1"/>
    <s v="FWONA"/>
    <n v="21155"/>
    <n v="88.53"/>
    <n v="2.0499999999999998"/>
    <n v="29.64"/>
    <n v="-0.13"/>
    <n v="43.185365853658539"/>
    <n v="2.986842105263158"/>
    <n v="-0.43"/>
    <n v="2.2200000000000002"/>
    <n v="1.59"/>
    <n v="-681"/>
    <s v="NO"/>
    <n v="0.41442798189049396"/>
    <n v="-0.76563052264465203"/>
    <n v="-0.54178484831317431"/>
    <n v="-0.6097964914156615"/>
    <n v="-0.84493148964374609"/>
    <n v="-16.899214015373033"/>
    <x v="0"/>
    <x v="0"/>
    <x v="0"/>
    <x v="0"/>
    <x v="0"/>
    <x v="1"/>
  </r>
  <r>
    <x v="1"/>
    <s v="FWONK"/>
    <n v="23316"/>
    <n v="96.48"/>
    <n v="2.0499999999999998"/>
    <n v="29.64"/>
    <n v="-0.13"/>
    <n v="47.063414634146348"/>
    <n v="3.2550607287449393"/>
    <n v="-0.43"/>
    <n v="2.2200000000000002"/>
    <n v="1.59"/>
    <n v="-742.15384615384619"/>
    <s v="NO"/>
    <n v="0.63087875325306109"/>
    <n v="-0.7329680473632143"/>
    <n v="-0.54178484831317431"/>
    <n v="-0.6097964914156615"/>
    <n v="-0.84493148964374609"/>
    <n v="-18.349641389277732"/>
    <x v="0"/>
    <x v="0"/>
    <x v="0"/>
    <x v="0"/>
    <x v="0"/>
    <x v="1"/>
  </r>
  <r>
    <x v="1"/>
    <s v="LYV"/>
    <n v="31088"/>
    <n v="143"/>
    <n v="5.97"/>
    <n v="0.47"/>
    <n v="2.97"/>
    <n v="23.953098827470686"/>
    <n v="304.25531914893617"/>
    <n v="68.510000000000005"/>
    <n v="4.18"/>
    <n v="205.93"/>
    <n v="48.148148148148145"/>
    <s v="NO"/>
    <n v="-0.65900849828333052"/>
    <n v="35.921509455850263"/>
    <n v="3.5516406958714688"/>
    <n v="-0.14383114125008775"/>
    <n v="352.10900498831865"/>
    <n v="0.394488674158891"/>
    <x v="0"/>
    <x v="1"/>
    <x v="1"/>
    <x v="0"/>
    <x v="1"/>
    <x v="0"/>
  </r>
  <r>
    <x v="1"/>
    <s v="NFLX"/>
    <n v="491709"/>
    <n v="1138.44"/>
    <n v="17.38"/>
    <n v="56.45"/>
    <n v="21.15"/>
    <n v="65.50287686996549"/>
    <n v="20.167227635075289"/>
    <n v="40.840000000000003"/>
    <n v="13.79"/>
    <n v="2.17"/>
    <n v="53.826950354609934"/>
    <s v="NO"/>
    <n v="1.6600653494959103"/>
    <n v="1.3265206874713524"/>
    <n v="1.9086890740613576"/>
    <n v="2.1408254991025473"/>
    <n v="0.15689528512975959"/>
    <n v="0.52917668953770025"/>
    <x v="0"/>
    <x v="0"/>
    <x v="0"/>
    <x v="0"/>
    <x v="0"/>
    <x v="0"/>
  </r>
  <r>
    <x v="1"/>
    <s v="SPOT"/>
    <n v="134743"/>
    <n v="620.07000000000005"/>
    <n v="13.97"/>
    <n v="32.96"/>
    <n v="6.05"/>
    <n v="44.385826771653548"/>
    <n v="18.812803398058254"/>
    <n v="24.4"/>
    <n v="10.050000000000001"/>
    <n v="2.0299999999999998"/>
    <n v="102.4909090909091"/>
    <s v="NO"/>
    <n v="0.48143092754656963"/>
    <n v="1.1615849063988877"/>
    <n v="0.93253711661436667"/>
    <n v="1.2516875350110956"/>
    <n v="-8.492497085005242E-2"/>
    <n v="1.6833729063402909"/>
    <x v="0"/>
    <x v="0"/>
    <x v="0"/>
    <x v="0"/>
    <x v="0"/>
    <x v="0"/>
  </r>
  <r>
    <x v="1"/>
    <s v="TKO"/>
    <n v="13838"/>
    <n v="164.48"/>
    <n v="6.25"/>
    <n v="50.38"/>
    <n v="0.02"/>
    <n v="26.316799999999997"/>
    <n v="3.264787614132592"/>
    <n v="7.0000000000000007E-2"/>
    <n v="1.39"/>
    <n v="3.1"/>
    <n v="8224"/>
    <s v="NO"/>
    <n v="-0.52708005410315761"/>
    <n v="-0.73178355036813092"/>
    <n v="-0.51209652843948239"/>
    <n v="-0.80711855296536894"/>
    <n v="1.7632726998527952"/>
    <n v="194.30672930547874"/>
    <x v="0"/>
    <x v="0"/>
    <x v="0"/>
    <x v="0"/>
    <x v="0"/>
    <x v="1"/>
  </r>
  <r>
    <x v="1"/>
    <s v="TME"/>
    <n v="21958"/>
    <n v="14.69"/>
    <n v="0.82"/>
    <n v="6.05"/>
    <n v="0.57999999999999996"/>
    <n v="17.914634146341463"/>
    <n v="2.428099173553719"/>
    <n v="11.2"/>
    <n v="5.7"/>
    <n v="1.33"/>
    <n v="25.327586206896552"/>
    <s v="YES"/>
    <n v="-0.99604147854193126"/>
    <n v="-0.83367176064197246"/>
    <n v="0.14876547194889983"/>
    <n v="0.217529742551786"/>
    <n v="-1.2940262507491109"/>
    <n v="-0.14676211886906754"/>
    <x v="0"/>
    <x v="0"/>
    <x v="0"/>
    <x v="0"/>
    <x v="0"/>
    <x v="0"/>
  </r>
  <r>
    <x v="1"/>
    <s v="WBD"/>
    <n v="21176"/>
    <n v="9.18"/>
    <n v="1.81"/>
    <n v="13.87"/>
    <n v="-4.62"/>
    <n v="5.0718232044198892"/>
    <n v="0.661860129776496"/>
    <n v="-28.21"/>
    <n v="0.35"/>
    <n v="3.07"/>
    <n v="-1.9870129870129869"/>
    <s v="NO"/>
    <n v="-1.7128546214887497"/>
    <n v="-1.0487565238086962"/>
    <n v="-2.191267900495498"/>
    <n v="-1.0543654734613879"/>
    <n v="1.7114540735714066"/>
    <n v="-0.7946010508376965"/>
    <x v="0"/>
    <x v="0"/>
    <x v="0"/>
    <x v="0"/>
    <x v="0"/>
    <x v="0"/>
  </r>
  <r>
    <x v="1"/>
    <s v="WMG"/>
    <n v="15658"/>
    <n v="27.48"/>
    <n v="0.97"/>
    <n v="1.05"/>
    <n v="0.97"/>
    <n v="28.329896907216497"/>
    <n v="26.171428571428571"/>
    <n v="80.12"/>
    <n v="6.53"/>
    <n v="16.78"/>
    <n v="28.329896907216497"/>
    <s v="NO"/>
    <n v="-0.41472035904542814"/>
    <n v="2.0576856681974007"/>
    <n v="4.2410034833385959"/>
    <n v="0.4148518041014933"/>
    <n v="25.392566284165834"/>
    <n v="-7.5554273433541291E-2"/>
    <x v="0"/>
    <x v="0"/>
    <x v="1"/>
    <x v="0"/>
    <x v="1"/>
    <x v="0"/>
  </r>
  <r>
    <x v="1"/>
    <s v="EA"/>
    <n v="40526"/>
    <n v="149.06"/>
    <n v="7.15"/>
    <n v="28.34"/>
    <n v="3.92"/>
    <n v="20.847552447552445"/>
    <n v="5.2597035991531405"/>
    <n v="14.04"/>
    <n v="7.12"/>
    <n v="1.81"/>
    <n v="38.025510204081634"/>
    <s v="YES"/>
    <n v="-0.83234255040192651"/>
    <n v="-0.48885152274289628"/>
    <n v="0.31739512883146997"/>
    <n v="0.55511688399827319"/>
    <n v="-0.46492823024689905"/>
    <n v="0.15440318332542499"/>
    <x v="0"/>
    <x v="0"/>
    <x v="0"/>
    <x v="0"/>
    <x v="0"/>
    <x v="0"/>
  </r>
  <r>
    <x v="1"/>
    <s v="NTES"/>
    <n v="67423"/>
    <n v="106.4"/>
    <n v="1.6"/>
    <n v="6"/>
    <n v="1.26"/>
    <n v="66.5"/>
    <n v="17.733333333333334"/>
    <n v="22.36"/>
    <n v="9.68"/>
    <n v="1.41"/>
    <n v="84.444444444444443"/>
    <s v="NO"/>
    <n v="1.7157191287173978"/>
    <n v="1.0301318258915064"/>
    <n v="0.8114087715297037"/>
    <n v="1.1637246882961656"/>
    <n v="-1.1558432473320759"/>
    <n v="1.2553526268048649"/>
    <x v="0"/>
    <x v="0"/>
    <x v="0"/>
    <x v="0"/>
    <x v="0"/>
    <x v="0"/>
  </r>
  <r>
    <x v="1"/>
    <s v="RBLX"/>
    <n v="47778"/>
    <n v="77.02"/>
    <n v="1.34"/>
    <n v="0.46"/>
    <n v="-1.34"/>
    <n v="57.477611940298502"/>
    <n v="167.43478260869563"/>
    <n v="-492.67"/>
    <n v="-9.06"/>
    <n v="23.99"/>
    <n v="-57.477611940298502"/>
    <s v="NO"/>
    <n v="1.212140405086914"/>
    <n v="19.260110874620906"/>
    <n v="-29.769341997565405"/>
    <n v="-3.2914746291032499"/>
    <n v="37.84630946712614"/>
    <n v="-2.1107093380210471"/>
    <x v="0"/>
    <x v="1"/>
    <x v="1"/>
    <x v="1"/>
    <x v="1"/>
    <x v="0"/>
  </r>
  <r>
    <x v="1"/>
    <s v="SE"/>
    <n v="84381"/>
    <n v="154.13"/>
    <n v="5.14"/>
    <n v="14.21"/>
    <n v="0.74"/>
    <n v="29.9863813229572"/>
    <n v="10.846586910626318"/>
    <n v="5.9"/>
    <n v="1.99"/>
    <n v="2.7"/>
    <n v="208.28378378378378"/>
    <s v="NO"/>
    <n v="-0.32226475834717033"/>
    <n v="0.19149436708553377"/>
    <n v="-0.16593071871223453"/>
    <n v="-0.66447609883305037"/>
    <n v="1.0723576827676189"/>
    <n v="4.1925344892861931"/>
    <x v="0"/>
    <x v="0"/>
    <x v="0"/>
    <x v="0"/>
    <x v="0"/>
    <x v="1"/>
  </r>
  <r>
    <x v="1"/>
    <s v="TTWO"/>
    <n v="39948"/>
    <n v="226.16"/>
    <n v="-2.85"/>
    <n v="32.32"/>
    <n v="-21.06"/>
    <n v="-79.354385964912282"/>
    <n v="6.9975247524752477"/>
    <n v="-51.45"/>
    <n v="-2.48"/>
    <n v="2.2200000000000002"/>
    <n v="-10.738841405508072"/>
    <s v="NO"/>
    <n v="-6.4250485964239328"/>
    <n v="-0.27722736433393219"/>
    <n v="-3.5711810082246989"/>
    <n v="-1.7271623821188233"/>
    <n v="0.2432596622654071"/>
    <n v="-1.0021741195530802"/>
    <x v="1"/>
    <x v="0"/>
    <x v="1"/>
    <x v="0"/>
    <x v="0"/>
    <x v="0"/>
  </r>
  <r>
    <x v="2"/>
    <s v="BIDU"/>
    <n v="29805"/>
    <n v="91.09"/>
    <n v="5.0999999999999996"/>
    <n v="104.55"/>
    <n v="9.0399999999999991"/>
    <n v="17.860784313725492"/>
    <n v="0.8712577714012435"/>
    <n v="8.85"/>
    <n v="3.2"/>
    <n v="1.62"/>
    <n v="10.07632743362832"/>
    <s v="NO"/>
    <n v="-1.0862713482437756"/>
    <n v="-3.3931540270076566"/>
    <n v="-0.52236971564427315"/>
    <n v="-0.50537305966041446"/>
    <n v="1.4152786571764653"/>
    <n v="-1.2389268650860645"/>
    <x v="0"/>
    <x v="1"/>
    <x v="0"/>
    <x v="0"/>
    <x v="0"/>
    <x v="0"/>
  </r>
  <r>
    <x v="2"/>
    <s v="GOOG"/>
    <n v="1854190"/>
    <n v="160.88999999999999"/>
    <n v="6.11"/>
    <n v="28.41"/>
    <n v="8.9600000000000009"/>
    <n v="26.332242225859243"/>
    <n v="5.6631467793030614"/>
    <n v="34.79"/>
    <n v="16.899999999999999"/>
    <n v="1.38"/>
    <n v="17.956473214285712"/>
    <s v="NO"/>
    <n v="-0.52002825388948382"/>
    <n v="-0.66062560116703273"/>
    <n v="0.58545430872721815"/>
    <n v="1.0620679630250238"/>
    <n v="0.14943936131676944"/>
    <n v="0.22147943917191493"/>
    <x v="0"/>
    <x v="0"/>
    <x v="0"/>
    <x v="0"/>
    <x v="0"/>
    <x v="0"/>
  </r>
  <r>
    <x v="2"/>
    <s v="GOOGL"/>
    <n v="1836959"/>
    <n v="159.53"/>
    <n v="6.11"/>
    <n v="28.41"/>
    <n v="8.9600000000000009"/>
    <n v="26.109656301145662"/>
    <n v="5.615276311158043"/>
    <n v="34.79"/>
    <n v="16.899999999999999"/>
    <n v="1.38"/>
    <n v="17.8046875"/>
    <s v="NO"/>
    <n v="-0.53490618211350349"/>
    <n v="-0.68792327328524328"/>
    <n v="0.58545430872721815"/>
    <n v="1.0620679630250238"/>
    <n v="0.14943936131676944"/>
    <n v="0.19334939942274401"/>
    <x v="0"/>
    <x v="0"/>
    <x v="0"/>
    <x v="0"/>
    <x v="0"/>
    <x v="0"/>
  </r>
  <r>
    <x v="2"/>
    <s v="META"/>
    <n v="1500576"/>
    <n v="656.03"/>
    <n v="20.68"/>
    <n v="73.34"/>
    <n v="25.59"/>
    <n v="31.722920696324952"/>
    <n v="8.9450504499590942"/>
    <n v="39.840000000000003"/>
    <n v="17.88"/>
    <n v="1.51"/>
    <n v="25.636186010160216"/>
    <s v="NO"/>
    <n v="-0.15970840228359529"/>
    <n v="1.2108482698158403"/>
    <n v="0.80112552395759729"/>
    <n v="1.1741914814360992"/>
    <n v="0.83510231324077133"/>
    <n v="1.6447400353800932"/>
    <x v="0"/>
    <x v="0"/>
    <x v="0"/>
    <x v="0"/>
    <x v="0"/>
    <x v="0"/>
  </r>
  <r>
    <x v="2"/>
    <s v="PINS"/>
    <n v="18488"/>
    <n v="32.93"/>
    <n v="1.38"/>
    <n v="7.03"/>
    <n v="2.67"/>
    <n v="23.862318840579711"/>
    <n v="4.6842105263157894"/>
    <n v="47.49"/>
    <n v="3"/>
    <n v="1.1200000000000001"/>
    <n v="12.333333333333334"/>
    <s v="NO"/>
    <n v="-0.68512109564172985"/>
    <n v="-1.2188545446927708"/>
    <n v="1.1278353846531219"/>
    <n v="-0.52825541035655232"/>
    <n v="-1.221886542531232"/>
    <n v="-0.82064200888868621"/>
    <x v="0"/>
    <x v="0"/>
    <x v="0"/>
    <x v="0"/>
    <x v="0"/>
    <x v="0"/>
  </r>
  <r>
    <x v="2"/>
    <s v="RDDT"/>
    <n v="19472"/>
    <n v="112.84"/>
    <n v="1.81"/>
    <n v="12.03"/>
    <n v="0.66"/>
    <n v="62.342541436464089"/>
    <n v="9.3798836242726527"/>
    <n v="5.77"/>
    <n v="0.91"/>
    <n v="1.1000000000000001"/>
    <n v="170.96969696969697"/>
    <s v="NO"/>
    <n v="1.8869462557083467"/>
    <n v="1.4588076877720948"/>
    <n v="-0.65390780334913789"/>
    <n v="-0.76737597513119216"/>
    <n v="-1.3273731505195399"/>
    <n v="28.579010229496639"/>
    <x v="0"/>
    <x v="0"/>
    <x v="0"/>
    <x v="0"/>
    <x v="0"/>
    <x v="1"/>
  </r>
  <r>
    <x v="2"/>
    <s v="SNAP"/>
    <n v="13587"/>
    <n v="9.1"/>
    <n v="0.18"/>
    <n v="1.37"/>
    <n v="-0.32"/>
    <n v="50.555555555555557"/>
    <n v="6.6423357664233569"/>
    <n v="-23.96"/>
    <n v="-5.47"/>
    <n v="3.28"/>
    <n v="-28.4375"/>
    <s v="NO"/>
    <n v="1.0990890264637405"/>
    <n v="-0.10225253844288923"/>
    <n v="-1.9235920070717454"/>
    <n v="-1.4973229623379876"/>
    <n v="10.170667120206017"/>
    <n v="-8.3765913132788583"/>
    <x v="0"/>
    <x v="0"/>
    <x v="0"/>
    <x v="0"/>
    <x v="1"/>
    <x v="1"/>
  </r>
  <r>
    <x v="3"/>
    <s v="OMC"/>
    <n v="14860"/>
    <n v="77.430000000000007"/>
    <n v="7.23"/>
    <n v="22.41"/>
    <n v="7.32"/>
    <n v="10.709543568464731"/>
    <n v="3.4551539491298531"/>
    <n v="31.02"/>
    <n v="5.2"/>
    <n v="6.43"/>
    <n v="10.577868852459018"/>
    <s v="NO"/>
    <n v="-0.81510601807135286"/>
    <n v="1.6432959279444035"/>
    <n v="1.5522063700145778"/>
    <n v="0.27488207967413031"/>
    <n v="10.665392492305433"/>
    <n v="-0.64564254424225997"/>
    <x v="0"/>
    <x v="0"/>
    <x v="0"/>
    <x v="0"/>
    <x v="1"/>
    <x v="0"/>
  </r>
  <r>
    <x v="3"/>
    <s v="TTD"/>
    <n v="27754"/>
    <n v="78.14"/>
    <n v="1.29"/>
    <n v="5.94"/>
    <n v="0.78"/>
    <n v="60.573643410852711"/>
    <n v="13.154882154882154"/>
    <n v="15.37"/>
    <n v="4.8499999999999996"/>
    <n v="2.0699999999999998"/>
    <n v="100.17948717948718"/>
    <s v="NO"/>
    <n v="6.6796040035424813"/>
    <n v="14.280433660189789"/>
    <n v="-0.16236376625928856"/>
    <n v="0.13822195483613911"/>
    <n v="1.2216944435630246E-2"/>
    <n v="6.709425597369628"/>
    <x v="1"/>
    <x v="1"/>
    <x v="0"/>
    <x v="0"/>
    <x v="0"/>
    <x v="1"/>
  </r>
  <r>
    <x v="3"/>
    <s v="FOX"/>
    <n v="21456"/>
    <n v="51.08"/>
    <n v="3.96"/>
    <n v="25.3"/>
    <n v="4.67"/>
    <n v="12.898989898989898"/>
    <n v="2.0189723320158102"/>
    <n v="20.059999999999999"/>
    <n v="8.1199999999999992"/>
    <n v="2"/>
    <n v="10.937901498929335"/>
    <s v="YES"/>
    <n v="-0.48602627117850761"/>
    <n v="-0.22781061432199742"/>
    <n v="0.35145948863684134"/>
    <n v="1.4150179783225116"/>
    <n v="-0.15882027766319645"/>
    <n v="-0.61608878508660347"/>
    <x v="0"/>
    <x v="0"/>
    <x v="0"/>
    <x v="0"/>
    <x v="0"/>
    <x v="0"/>
  </r>
  <r>
    <x v="3"/>
    <s v="FOXA"/>
    <n v="23039"/>
    <n v="55.24"/>
    <n v="3.96"/>
    <n v="25.3"/>
    <n v="4.67"/>
    <n v="13.94949494949495"/>
    <n v="2.1833992094861658"/>
    <n v="20.059999999999999"/>
    <n v="8.1199999999999992"/>
    <n v="2"/>
    <n v="11.828693790149893"/>
    <s v="YES"/>
    <n v="-0.32813250081742384"/>
    <n v="-1.3589653342528202E-2"/>
    <n v="0.35145948863684134"/>
    <n v="1.4150179783225116"/>
    <n v="-0.15882027766319645"/>
    <n v="-0.542966913804805"/>
    <x v="0"/>
    <x v="0"/>
    <x v="0"/>
    <x v="0"/>
    <x v="0"/>
    <x v="0"/>
  </r>
  <r>
    <x v="3"/>
    <s v="CHTR"/>
    <n v="56727"/>
    <n v="411.13"/>
    <n v="32.159999999999997"/>
    <n v="115.75"/>
    <n v="35.86"/>
    <n v="12.783893034825871"/>
    <n v="3.551879049676026"/>
    <n v="33.119999999999997"/>
    <n v="5.64"/>
    <n v="9.2899999999999991"/>
    <n v="11.464863357501395"/>
    <s v="NO"/>
    <n v="-0.50332564335273811"/>
    <n v="1.7693126978825946"/>
    <n v="1.7822764841471732"/>
    <n v="0.44668337947046161"/>
    <n v="17.653484709486079"/>
    <n v="-0.57283241929550921"/>
    <x v="0"/>
    <x v="0"/>
    <x v="0"/>
    <x v="0"/>
    <x v="1"/>
    <x v="0"/>
  </r>
  <r>
    <x v="3"/>
    <s v="CMCSA"/>
    <n v="128402"/>
    <n v="34.79"/>
    <n v="3.5"/>
    <n v="23.14"/>
    <n v="4.07"/>
    <n v="9.94"/>
    <n v="1.5034572169403628"/>
    <n v="18.05"/>
    <n v="5.45"/>
    <n v="3.09"/>
    <n v="8.5479115479115464"/>
    <s v="NO"/>
    <n v="-0.93077051242442876"/>
    <n v="-0.89944134191283198"/>
    <n v="0.13124952225278586"/>
    <n v="0.37249645455840957"/>
    <n v="2.5044736093042537"/>
    <n v="-0.81227429239904181"/>
    <x v="0"/>
    <x v="0"/>
    <x v="0"/>
    <x v="0"/>
    <x v="0"/>
    <x v="0"/>
  </r>
  <r>
    <x v="3"/>
    <s v="LBRDA"/>
    <n v="13224"/>
    <n v="94.48"/>
    <n v="-1"/>
    <n v="68.349999999999994"/>
    <n v="6.08"/>
    <n v="-94.48"/>
    <n v="1.3822970007315292"/>
    <n v="9.23"/>
    <n v="0.36"/>
    <n v="1.7"/>
    <n v="15.539473684210527"/>
    <s v="NO"/>
    <n v="-16.625380922129523"/>
    <n v="-1.057293016456831"/>
    <n v="-0.83504495710411519"/>
    <n v="-1.6149322180855161"/>
    <n v="-0.89183694380102696"/>
    <n v="-0.23836260543478072"/>
    <x v="1"/>
    <x v="0"/>
    <x v="0"/>
    <x v="0"/>
    <x v="0"/>
    <x v="0"/>
  </r>
  <r>
    <x v="3"/>
    <s v="LBRDK"/>
    <n v="13387"/>
    <n v="95.25"/>
    <n v="-1"/>
    <n v="68.349999999999994"/>
    <n v="6.08"/>
    <n v="-95.25"/>
    <n v="1.393562545720556"/>
    <n v="9.23"/>
    <n v="0.36"/>
    <n v="1.7"/>
    <n v="15.666118421052632"/>
    <s v="NO"/>
    <n v="-16.741114019385538"/>
    <n v="-1.042615879053052"/>
    <n v="-0.83504495710411519"/>
    <n v="-1.6149322180855161"/>
    <n v="-0.89183694380102696"/>
    <n v="-0.22796680358831783"/>
    <x v="1"/>
    <x v="0"/>
    <x v="0"/>
    <x v="0"/>
    <x v="0"/>
    <x v="0"/>
  </r>
  <r>
    <x v="3"/>
    <s v="NWS"/>
    <n v="18489"/>
    <n v="32.85"/>
    <n v="1.1599999999999999"/>
    <n v="14.35"/>
    <n v="0.75"/>
    <n v="28.318965517241381"/>
    <n v="2.2891986062717771"/>
    <n v="6.19"/>
    <n v="3.43"/>
    <n v="1.98"/>
    <n v="43.800000000000004"/>
    <s v="NO"/>
    <n v="1.8316380637727323"/>
    <n v="0.12424942016629004"/>
    <n v="-1.1680988366103486"/>
    <n v="-0.41622769450656688"/>
    <n v="-0.20768805540571852"/>
    <n v="2.0814403250413931"/>
    <x v="0"/>
    <x v="0"/>
    <x v="0"/>
    <x v="0"/>
    <x v="0"/>
    <x v="0"/>
  </r>
  <r>
    <x v="3"/>
    <s v="NWSA"/>
    <n v="15953"/>
    <n v="28.22"/>
    <n v="1.1599999999999999"/>
    <n v="14.35"/>
    <n v="0.75"/>
    <n v="24.327586206896552"/>
    <n v="1.9665505226480835"/>
    <n v="6.19"/>
    <n v="3.43"/>
    <n v="1.98"/>
    <n v="37.626666666666665"/>
    <s v="NO"/>
    <n v="1.2317228820717221"/>
    <n v="-0.29610754090604424"/>
    <n v="-1.1680988366103486"/>
    <n v="-0.41622769450656688"/>
    <n v="-0.20768805540571852"/>
    <n v="1.5746940388099271"/>
    <x v="0"/>
    <x v="0"/>
    <x v="0"/>
    <x v="0"/>
    <x v="0"/>
    <x v="0"/>
  </r>
  <r>
    <x v="4"/>
    <s v="AMX"/>
    <n v="52117"/>
    <n v="17.239999999999998"/>
    <n v="0.09"/>
    <n v="0.3"/>
    <n v="0.03"/>
    <n v="191.55555555555554"/>
    <n v="57.466666666666661"/>
    <n v="9.16"/>
    <n v="6.64"/>
    <n v="4.93"/>
    <n v="574.66666666666663"/>
    <s v="NO"/>
    <n v="33.787461311943126"/>
    <n v="50.441227700228815"/>
    <n v="-0.54270107210811747"/>
    <n v="1.1189282168047916"/>
    <n v="0.30417909410364613"/>
    <n v="15.255117663239904"/>
    <x v="1"/>
    <x v="1"/>
    <x v="0"/>
    <x v="0"/>
    <x v="0"/>
    <x v="1"/>
  </r>
  <r>
    <x v="4"/>
    <s v="RCI"/>
    <n v="13704"/>
    <n v="25.43"/>
    <n v="2.2000000000000002"/>
    <n v="13.73"/>
    <n v="2.2599999999999998"/>
    <n v="11.559090909090909"/>
    <n v="1.8521485797523669"/>
    <n v="16.559999999999999"/>
    <n v="4.41"/>
    <n v="6.88"/>
    <n v="11.252212389380531"/>
    <s v="NO"/>
    <n v="-1.4038205387246285"/>
    <n v="-1.3508136419477117"/>
    <n v="0.70838551156791596"/>
    <n v="-0.10571469042204776"/>
    <n v="1.4559251785737632"/>
    <n v="-0.87057317529625466"/>
    <x v="0"/>
    <x v="0"/>
    <x v="0"/>
    <x v="0"/>
    <x v="0"/>
    <x v="0"/>
  </r>
  <r>
    <x v="4"/>
    <s v="TMUS"/>
    <n v="285292"/>
    <n v="237.34"/>
    <n v="10.28"/>
    <n v="53.73"/>
    <n v="10.25"/>
    <n v="23.087548638132297"/>
    <n v="4.4172715428996838"/>
    <n v="19.350000000000001"/>
    <n v="5.6"/>
    <n v="3.51"/>
    <n v="23.155121951219513"/>
    <s v="NO"/>
    <n v="0.85011931527779339"/>
    <n v="1.0380042265712561"/>
    <n v="1.1800789667646912"/>
    <n v="0.54779430491424752"/>
    <n v="-0.53452831099766984"/>
    <n v="-0.52989565412849604"/>
    <x v="0"/>
    <x v="0"/>
    <x v="0"/>
    <x v="0"/>
    <x v="0"/>
    <x v="0"/>
  </r>
  <r>
    <x v="4"/>
    <s v="VOD"/>
    <n v="23392"/>
    <n v="9.06"/>
    <n v="0.42"/>
    <n v="2.4900000000000002"/>
    <n v="0.1"/>
    <n v="21.571428571428573"/>
    <n v="3.6385542168674698"/>
    <n v="4.41"/>
    <n v="1.76"/>
    <n v="2.34"/>
    <n v="90.6"/>
    <s v="NO"/>
    <n v="0.55370122344683304"/>
    <n v="0.31280941537645651"/>
    <n v="-1.3457634062244903"/>
    <n v="-1.5610078312969919"/>
    <n v="-1.2255759616797401"/>
    <n v="1.4004688294247507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s v="ASTS"/>
    <n v="6038"/>
    <n v="26.55"/>
    <n v="-1.94"/>
    <n v="2.2999999999999998"/>
    <n v="-1.94"/>
    <n v="-13.685567010309279"/>
    <n v="11.543478260869566"/>
    <n v="-119.25"/>
    <n v="-23.07"/>
    <n v="1.99"/>
    <n v="-13.685567010309279"/>
    <s v="NO"/>
    <n v="-1.6623205285692395"/>
    <n v="1.2215237364972151"/>
    <n v="-3.9319080625418739"/>
    <n v="-11.799232878547267"/>
    <n v="-0.8946190874539095"/>
    <n v="-0.31292344266171629"/>
    <x v="0"/>
    <x v="0"/>
    <x v="0"/>
    <x v="0"/>
    <x v="0"/>
    <x v="0"/>
  </r>
  <r>
    <x v="0"/>
    <s v="CCOI"/>
    <n v="2628"/>
    <n v="51.27"/>
    <n v="-4.28"/>
    <n v="4.6900000000000004"/>
    <n v="-4.28"/>
    <n v="-11.978971962616823"/>
    <n v="10.931769722814499"/>
    <n v="-49.03"/>
    <n v="-3.51"/>
    <n v="14.24"/>
    <n v="-11.978971962616823"/>
    <s v="NO"/>
    <n v="-1.469381866692016"/>
    <n v="1.1019007799671257"/>
    <n v="-1.3700134556621133"/>
    <n v="-2.0036811148536819"/>
    <n v="9.3475153249857073"/>
    <n v="-0.22216099476403156"/>
    <x v="0"/>
    <x v="0"/>
    <x v="0"/>
    <x v="1"/>
    <x v="1"/>
    <x v="0"/>
  </r>
  <r>
    <x v="0"/>
    <s v="GSAT"/>
    <n v="2546"/>
    <n v="18.920000000000002"/>
    <n v="1.33"/>
    <n v="2.84"/>
    <n v="-0.59"/>
    <n v="14.225563909774436"/>
    <n v="6.6619718309859168"/>
    <n v="-17.12"/>
    <n v="-0.02"/>
    <n v="4.7699999999999996"/>
    <n v="-32.067796610169495"/>
    <s v="NO"/>
    <n v="1.4931651611861427"/>
    <n v="0.26691840546821305"/>
    <n v="-0.20581441115153015"/>
    <n v="-0.25590628585109515"/>
    <n v="1.4297183547160603"/>
    <n v="-1.2905520596886506"/>
    <x v="0"/>
    <x v="0"/>
    <x v="1"/>
    <x v="1"/>
    <x v="0"/>
    <x v="0"/>
  </r>
  <r>
    <x v="0"/>
    <s v="IRDM"/>
    <n v="2846"/>
    <n v="25.66"/>
    <n v="2.48"/>
    <n v="4.7699999999999996"/>
    <n v="1.05"/>
    <n v="10.346774193548388"/>
    <n v="5.3794549266247387"/>
    <n v="18.010000000000002"/>
    <n v="4.97"/>
    <n v="5.03"/>
    <n v="24.438095238095237"/>
    <s v="NO"/>
    <n v="1.0546495926781458"/>
    <n v="1.6115197150576022E-2"/>
    <n v="1.0758625689066583"/>
    <n v="2.2430611630666442"/>
    <n v="1.6471024320413099"/>
    <n v="1.7146207677638281"/>
    <x v="0"/>
    <x v="0"/>
    <x v="0"/>
    <x v="1"/>
    <x v="0"/>
    <x v="0"/>
  </r>
  <r>
    <x v="0"/>
    <s v="LBTYA"/>
    <n v="3210"/>
    <n v="9.08"/>
    <n v="2.7"/>
    <n v="36.44"/>
    <n v="-0.41"/>
    <n v="3.3629629629629627"/>
    <n v="0.24917672886937434"/>
    <n v="-0.56999999999999995"/>
    <n v="0.05"/>
    <n v="2.0499999999999998"/>
    <n v="-22.146341463414636"/>
    <s v="NO"/>
    <n v="0.26509661966664833"/>
    <n v="-0.98713881625361433"/>
    <n v="0.39799299049842768"/>
    <n v="-0.22085063025505472"/>
    <n v="-0.84445353114808286"/>
    <n v="-0.76289580225127918"/>
    <x v="0"/>
    <x v="0"/>
    <x v="1"/>
    <x v="1"/>
    <x v="0"/>
    <x v="0"/>
  </r>
  <r>
    <x v="0"/>
    <s v="LBTYB"/>
    <n v="3179"/>
    <n v="9.15"/>
    <n v="2.7"/>
    <n v="36.44"/>
    <n v="-0.41"/>
    <n v="3.3888888888888888"/>
    <n v="0.25109769484083427"/>
    <n v="-0.56999999999999995"/>
    <n v="0.05"/>
    <n v="2.0499999999999998"/>
    <n v="-22.31707317073171"/>
    <s v="NO"/>
    <n v="0.26802766851906334"/>
    <n v="-0.98676316083178484"/>
    <n v="0.39799299049842768"/>
    <n v="-0.22085063025505472"/>
    <n v="-0.84445353114808286"/>
    <n v="-0.77197588701468067"/>
    <x v="0"/>
    <x v="0"/>
    <x v="1"/>
    <x v="1"/>
    <x v="0"/>
    <x v="0"/>
  </r>
  <r>
    <x v="0"/>
    <s v="LUMN"/>
    <n v="4340"/>
    <n v="4.3899999999999997"/>
    <n v="1.03"/>
    <n v="0.28000000000000003"/>
    <n v="-0.32"/>
    <n v="4.2621359223300965"/>
    <n v="15.678571428571425"/>
    <n v="-78.94"/>
    <n v="0.91"/>
    <n v="116.05"/>
    <n v="-13.718749999999998"/>
    <s v="NO"/>
    <n v="0.36675238610699562"/>
    <n v="2.0301638640661723"/>
    <n v="-2.4612448383418859"/>
    <n v="0.20983313849629917"/>
    <n v="94.470103449922632"/>
    <n v="-0.31468822533641444"/>
    <x v="0"/>
    <x v="0"/>
    <x v="1"/>
    <x v="1"/>
    <x v="1"/>
    <x v="0"/>
  </r>
  <r>
    <x v="0"/>
    <s v="FYBR"/>
    <n v="9132"/>
    <n v="36.590000000000003"/>
    <n v="-4.29"/>
    <n v="19.489999999999998"/>
    <n v="-1.56"/>
    <n v="-8.5291375291375306"/>
    <n v="1.877373011800924"/>
    <n v="-7.64"/>
    <n v="1.47"/>
    <n v="4.28"/>
    <n v="-23.455128205128208"/>
    <s v="NO"/>
    <n v="-1.0793617267686917"/>
    <n v="-0.66873611127446519"/>
    <n v="0.14005230592651219"/>
    <n v="0.49027838326462259"/>
    <n v="1.0200329782184763"/>
    <n v="-0.83250147034141964"/>
    <x v="0"/>
    <x v="0"/>
    <x v="1"/>
    <x v="1"/>
    <x v="0"/>
    <x v="0"/>
  </r>
  <r>
    <x v="0"/>
    <s v="KT"/>
    <n v="9523"/>
    <n v="19.309999999999999"/>
    <n v="4.75"/>
    <n v="44.66"/>
    <n v="1.29"/>
    <n v="4.0652631578947362"/>
    <n v="0.43237796686072549"/>
    <n v="2.2799999999999998"/>
    <n v="1.2"/>
    <n v="2.58"/>
    <n v="14.968992248062014"/>
    <s v="NO"/>
    <n v="0.34449498662515127"/>
    <n v="-0.95131281029630466"/>
    <n v="0.50197190860733276"/>
    <n v="0.3550637116798952"/>
    <n v="-0.40132445044661352"/>
    <n v="1.2110221150355331"/>
    <x v="0"/>
    <x v="0"/>
    <x v="1"/>
    <x v="1"/>
    <x v="0"/>
    <x v="0"/>
  </r>
  <r>
    <x v="0"/>
    <s v="SNRE"/>
    <n v="3829"/>
    <n v="53.75"/>
    <n v="11.38"/>
    <n v="67.260000000000005"/>
    <n v="-5.64"/>
    <n v="4.7231985940246046"/>
    <n v="0.79913767469521257"/>
    <n v="-9.09"/>
    <n v="0.53"/>
    <n v="2.77"/>
    <n v="-9.5301418439716326"/>
    <s v="NO"/>
    <n v="0.41887770724780021"/>
    <n v="-0.879590939735584"/>
    <n v="8.7150751099174487E-2"/>
    <n v="1.9531008117793972E-2"/>
    <n v="-0.24246685547816238"/>
    <n v="-9.1923996623000506E-2"/>
    <x v="0"/>
    <x v="0"/>
    <x v="1"/>
    <x v="1"/>
    <x v="0"/>
    <x v="0"/>
  </r>
  <r>
    <x v="0"/>
    <s v="TEO"/>
    <n v="4333"/>
    <n v="10.89"/>
    <n v="0.19"/>
    <n v="2.44"/>
    <n v="0.46"/>
    <n v="57.315789473684212"/>
    <n v="4.4631147540983607"/>
    <n v="19.82"/>
    <n v="-0.74"/>
    <n v="2.02"/>
    <n v="23.673913043478262"/>
    <s v="NO"/>
    <n v="6.3647194713488284"/>
    <n v="-0.16308014475754995"/>
    <n v="1.1418983028635419"/>
    <n v="-0.61647874341036812"/>
    <n v="-0.86953630930099612"/>
    <n v="1.6739789958818316"/>
    <x v="1"/>
    <x v="0"/>
    <x v="1"/>
    <x v="1"/>
    <x v="0"/>
    <x v="0"/>
  </r>
  <r>
    <x v="1"/>
    <s v="BATRA"/>
    <n v="2737"/>
    <n v="44.33"/>
    <n v="-1.1200000000000001"/>
    <n v="8.3800000000000008"/>
    <n v="-0.5"/>
    <n v="-39.580357142857139"/>
    <n v="5.2899761336515505"/>
    <n v="-5.81"/>
    <n v="-1.56"/>
    <n v="2.91"/>
    <n v="-88.66"/>
    <s v="NO"/>
    <n v="-1.4521723900411612"/>
    <n v="0.77275322577525307"/>
    <n v="3.8818770732483306E-2"/>
    <n v="-0.67811032989065045"/>
    <n v="0.26340206808162708"/>
    <n v="-0.10191329164940872"/>
    <x v="0"/>
    <x v="0"/>
    <x v="1"/>
    <x v="1"/>
    <x v="0"/>
    <x v="0"/>
  </r>
  <r>
    <x v="1"/>
    <s v="BATRK"/>
    <n v="2526"/>
    <n v="41.38"/>
    <n v="-1.1200000000000001"/>
    <n v="8.3800000000000008"/>
    <n v="-0.5"/>
    <n v="-36.946428571428569"/>
    <n v="4.9379474940334127"/>
    <n v="-5.81"/>
    <n v="-1.56"/>
    <n v="2.91"/>
    <n v="-82.76"/>
    <s v="NO"/>
    <n v="-1.3530429928061591"/>
    <n v="0.74289691685774673"/>
    <n v="3.8818770732483306E-2"/>
    <n v="-0.67811032989065045"/>
    <n v="0.26340206808162708"/>
    <n v="-3.5331472737150621E-2"/>
    <x v="0"/>
    <x v="0"/>
    <x v="1"/>
    <x v="1"/>
    <x v="0"/>
    <x v="0"/>
  </r>
  <r>
    <x v="1"/>
    <s v="CNK"/>
    <n v="3585"/>
    <n v="30.63"/>
    <n v="1.84"/>
    <n v="3.08"/>
    <n v="1.71"/>
    <n v="16.646739130434781"/>
    <n v="9.9448051948051948"/>
    <n v="71.86"/>
    <n v="4.24"/>
    <n v="13.41"/>
    <n v="17.912280701754387"/>
    <s v="NO"/>
    <n v="0.66396630191387962"/>
    <n v="1.1675393277206605"/>
    <n v="1.672994338641415"/>
    <n v="2.0531673877244696"/>
    <n v="2.007725504221344"/>
    <n v="1.1007606566133981"/>
    <x v="0"/>
    <x v="0"/>
    <x v="1"/>
    <x v="0"/>
    <x v="0"/>
    <x v="0"/>
  </r>
  <r>
    <x v="1"/>
    <s v="LION"/>
    <n v="2353"/>
    <n v="7.02"/>
    <n v="-1.18"/>
    <n v="-3.74"/>
    <n v="-0.76"/>
    <n v="-5.9491525423728815"/>
    <n v="-1.8770053475935826"/>
    <n v="26.6"/>
    <n v="2.15"/>
    <n v="-4.97"/>
    <n v="-9.2368421052631575"/>
    <s v="NO"/>
    <n v="-0.18644291032149954"/>
    <n v="0.16490605361842003"/>
    <n v="0.72072465660770513"/>
    <n v="1.0689655894804004"/>
    <n v="-1.0456711392308462"/>
    <n v="0.79438133824670298"/>
    <x v="0"/>
    <x v="0"/>
    <x v="1"/>
    <x v="1"/>
    <x v="0"/>
    <x v="0"/>
  </r>
  <r>
    <x v="1"/>
    <s v="LLYVA"/>
    <n v="6740"/>
    <n v="76.67"/>
    <n v="-0.15"/>
    <n v="-3.91"/>
    <n v="-0.34"/>
    <n v="-511.13333333333338"/>
    <n v="-19.608695652173914"/>
    <n v="13.15"/>
    <n v="-0.57999999999999996"/>
    <n v="-3.41"/>
    <n v="-225.5"/>
    <s v="NO"/>
    <n v="-19.19933637967819"/>
    <n v="-1.3389568819011759"/>
    <n v="0.43773686996710853"/>
    <n v="-0.21661857760395772"/>
    <n v="-0.78651451443294551"/>
    <n v="-1.646160088251682"/>
    <x v="1"/>
    <x v="0"/>
    <x v="1"/>
    <x v="1"/>
    <x v="0"/>
    <x v="0"/>
  </r>
  <r>
    <x v="1"/>
    <s v="LLYVK"/>
    <n v="6820"/>
    <n v="77.430000000000007"/>
    <n v="-0.15"/>
    <n v="-3.91"/>
    <n v="-0.34"/>
    <n v="-516.20000000000005"/>
    <n v="-19.803069053708441"/>
    <n v="13.15"/>
    <n v="-0.57999999999999996"/>
    <n v="-3.41"/>
    <n v="-227.73529411764707"/>
    <s v="NO"/>
    <n v="-19.390023256348098"/>
    <n v="-1.3554421097163232"/>
    <n v="0.43773686996710853"/>
    <n v="-0.21661857760395772"/>
    <n v="-0.78651451443294551"/>
    <n v="-1.6713855031935148"/>
    <x v="1"/>
    <x v="0"/>
    <x v="1"/>
    <x v="1"/>
    <x v="0"/>
    <x v="0"/>
  </r>
  <r>
    <x v="1"/>
    <s v="MANU"/>
    <n v="2461"/>
    <n v="14.42"/>
    <n v="-1.08"/>
    <n v="1.45"/>
    <n v="-1"/>
    <n v="-13.351851851851851"/>
    <n v="9.9448275862068964"/>
    <n v="-91.68"/>
    <n v="-3.93"/>
    <n v="8.14"/>
    <n v="-14.42"/>
    <s v="NO"/>
    <n v="-0.46504770181841182"/>
    <n v="1.1675412267837795"/>
    <n v="-1.7678846670985964"/>
    <n v="-1.794166914502346"/>
    <n v="1.1322412653207434"/>
    <n v="0.73588912123975203"/>
    <x v="0"/>
    <x v="0"/>
    <x v="1"/>
    <x v="0"/>
    <x v="0"/>
    <x v="0"/>
  </r>
  <r>
    <x v="1"/>
    <s v="MSGS"/>
    <n v="4571"/>
    <n v="196.76"/>
    <n v="6.09"/>
    <n v="-11.8"/>
    <n v="0.2"/>
    <n v="32.308702791461414"/>
    <n v="-16.674576271186439"/>
    <n v="-1.67"/>
    <n v="3.86"/>
    <n v="-5.31"/>
    <n v="983.8"/>
    <s v="NO"/>
    <n v="1.2534131965925803"/>
    <n v="-1.0901078827554513"/>
    <n v="0.12592430505903121"/>
    <n v="1.8742216062255477"/>
    <n v="-1.1021539933534656"/>
    <n v="12.000855777950663"/>
    <x v="0"/>
    <x v="0"/>
    <x v="1"/>
    <x v="1"/>
    <x v="0"/>
    <x v="1"/>
  </r>
  <r>
    <x v="1"/>
    <s v="ROKU"/>
    <n v="8783"/>
    <n v="71.400000000000006"/>
    <n v="2.09"/>
    <n v="17.22"/>
    <n v="-0.73"/>
    <n v="34.162679425837325"/>
    <n v="4.1463414634146352"/>
    <n v="-4.34"/>
    <n v="-2.57"/>
    <n v="1.65"/>
    <n v="-97.808219178082197"/>
    <s v="NO"/>
    <n v="1.3231886598481322"/>
    <n v="0.67575910040976517"/>
    <n v="6.9747547413648872E-2"/>
    <n v="-1.1537293807167315"/>
    <n v="5.4083255744861003E-2"/>
    <n v="-0.20515143956207257"/>
    <x v="0"/>
    <x v="0"/>
    <x v="1"/>
    <x v="1"/>
    <x v="0"/>
    <x v="0"/>
  </r>
  <r>
    <x v="1"/>
    <s v="PLTK"/>
    <n v="2039"/>
    <n v="5.08"/>
    <n v="1.07"/>
    <n v="-0.35"/>
    <n v="0.44"/>
    <n v="4.7476635514018692"/>
    <n v="-14.514285714285716"/>
    <n v="-92"/>
    <n v="8.9"/>
    <n v="-27.76"/>
    <n v="11.545454545454545"/>
    <s v="NO"/>
    <n v="0.21613783663263914"/>
    <n v="-0.90688897679267455"/>
    <n v="-1.7746174620223876"/>
    <n v="4.2476077608428238"/>
    <n v="-4.831683625861718"/>
    <n v="1.0289106792939768"/>
    <x v="0"/>
    <x v="0"/>
    <x v="1"/>
    <x v="0"/>
    <x v="1"/>
    <x v="0"/>
  </r>
  <r>
    <x v="2"/>
    <s v="ATHM"/>
    <n v="3036"/>
    <n v="26.11"/>
    <n v="1.39"/>
    <n v="27.39"/>
    <n v="1.82"/>
    <n v="18.784172661870503"/>
    <n v="0.95326761591821829"/>
    <n v="6.45"/>
    <n v="2.0499999999999998"/>
    <n v="1.26"/>
    <n v="14.346153846153845"/>
    <s v="NO"/>
    <n v="0.93220655616717241"/>
    <n v="-1.0114709109774109"/>
    <n v="0.28965201001627294"/>
    <n v="-0.42817878886406879"/>
    <n v="-0.64850476836021398"/>
    <n v="0.66951356158815478"/>
    <x v="0"/>
    <x v="0"/>
    <x v="1"/>
    <x v="1"/>
    <x v="0"/>
    <x v="0"/>
  </r>
  <r>
    <x v="2"/>
    <s v="BILI"/>
    <n v="7269"/>
    <n v="18.399999999999999"/>
    <n v="1.4"/>
    <n v="4.6399999999999997"/>
    <n v="-0.44"/>
    <n v="13.142857142857142"/>
    <n v="3.9655172413793105"/>
    <n v="-9.57"/>
    <n v="-2.5499999999999998"/>
    <n v="2.3199999999999998"/>
    <n v="-41.818181818181813"/>
    <s v="NO"/>
    <n v="-5.6345126957216073E-2"/>
    <n v="0.38341184859860755"/>
    <n v="0.25058399623821992"/>
    <n v="-1.4800465745915541"/>
    <n v="0.66782193167307025"/>
    <n v="-1.7284163231224401"/>
    <x v="0"/>
    <x v="0"/>
    <x v="1"/>
    <x v="1"/>
    <x v="0"/>
    <x v="0"/>
  </r>
  <r>
    <x v="2"/>
    <s v="BZ"/>
    <n v="7014"/>
    <n v="17.670000000000002"/>
    <n v="0.83"/>
    <n v="4.6900000000000004"/>
    <n v="0.48"/>
    <n v="21.289156626506028"/>
    <n v="3.7675906183368872"/>
    <n v="11.04"/>
    <n v="3.94"/>
    <n v="1.3"/>
    <n v="36.812500000000007"/>
    <s v="NO"/>
    <n v="1.3711655376483474"/>
    <n v="0.29175794587774095"/>
    <n v="0.30084565441335553"/>
    <n v="4.0016709239632763E-3"/>
    <n v="-0.59883206269858058"/>
    <n v="1.6287116399653163"/>
    <x v="0"/>
    <x v="0"/>
    <x v="1"/>
    <x v="1"/>
    <x v="0"/>
    <x v="0"/>
  </r>
  <r>
    <x v="2"/>
    <s v="CARG"/>
    <n v="2802"/>
    <n v="33.57"/>
    <n v="1.55"/>
    <n v="5.21"/>
    <n v="0.2"/>
    <n v="21.658064516129031"/>
    <n v="6.4433781190019195"/>
    <n v="3.62"/>
    <n v="11.32"/>
    <n v="1.52"/>
    <n v="167.85"/>
    <s v="NO"/>
    <n v="1.4358108342951243"/>
    <n v="1.5308351529652278"/>
    <n v="0.28275048198931352"/>
    <n v="1.6915634662867551"/>
    <n v="-0.325632181559597"/>
    <n v="7.2233427087930986"/>
    <x v="0"/>
    <x v="0"/>
    <x v="1"/>
    <x v="1"/>
    <x v="0"/>
    <x v="1"/>
  </r>
  <r>
    <x v="2"/>
    <s v="DJT"/>
    <n v="5339"/>
    <n v="26.32"/>
    <n v="-0.39"/>
    <n v="4.1399999999999997"/>
    <n v="-2.36"/>
    <n v="-67.487179487179489"/>
    <n v="6.3574879227053147"/>
    <n v="-94.67"/>
    <n v="-24.35"/>
    <n v="1.03"/>
    <n v="-11.152542372881356"/>
    <s v="NO"/>
    <n v="-14.185488968027849"/>
    <n v="1.4910619704845776"/>
    <n v="4.3050414932832105E-2"/>
    <n v="-6.4649852113000721"/>
    <n v="-0.93412282591460583"/>
    <n v="-0.41915035585239357"/>
    <x v="1"/>
    <x v="0"/>
    <x v="0"/>
    <x v="0"/>
    <x v="0"/>
    <x v="0"/>
  </r>
  <r>
    <x v="2"/>
    <s v="GRND"/>
    <n v="4706"/>
    <n v="23.83"/>
    <n v="0.51"/>
    <n v="-0.74"/>
    <n v="-0.74"/>
    <n v="46.725490196078425"/>
    <n v="-32.202702702702702"/>
    <n v="174.83"/>
    <n v="12.69"/>
    <n v="-3.64"/>
    <n v="-32.202702702702702"/>
    <s v="NO"/>
    <n v="5.8284823244803547"/>
    <n v="-16.365009669366042"/>
    <n v="0.70028073410794389"/>
    <n v="2.004837132905593"/>
    <n v="-6.7334112119103029"/>
    <n v="-1.3178845425167041"/>
    <x v="1"/>
    <x v="1"/>
    <x v="1"/>
    <x v="0"/>
    <x v="1"/>
    <x v="0"/>
  </r>
  <r>
    <x v="2"/>
    <s v="JOYY"/>
    <n v="2214"/>
    <n v="42.45"/>
    <n v="3.87"/>
    <n v="90.51"/>
    <n v="-2.6"/>
    <n v="10.968992248062015"/>
    <n v="0.46900894928737158"/>
    <n v="-4.8600000000000003"/>
    <n v="0.37"/>
    <n v="1.6"/>
    <n v="-16.326923076923077"/>
    <s v="NO"/>
    <n v="-0.43728070721183554"/>
    <n v="-1.2357166240647655"/>
    <n v="0.26207028493326545"/>
    <n v="-0.81233919756454165"/>
    <n v="-0.22628677023633018"/>
    <n v="-0.64006994794454108"/>
    <x v="0"/>
    <x v="0"/>
    <x v="1"/>
    <x v="1"/>
    <x v="0"/>
    <x v="0"/>
  </r>
  <r>
    <x v="2"/>
    <s v="MTCH"/>
    <n v="7450"/>
    <n v="28.8"/>
    <n v="3.39"/>
    <n v="-0.25"/>
    <n v="2.02"/>
    <n v="8.4955752212389388"/>
    <n v="-115.2"/>
    <n v="-1332.8"/>
    <n v="11.9"/>
    <n v="-70.150000000000006"/>
    <n v="14.257425742574258"/>
    <s v="NO"/>
    <n v="-0.87070808008143696"/>
    <n v="-54.798577097790535"/>
    <n v="-2.9763802903743333"/>
    <n v="1.8241902740523948"/>
    <n v="-89.326702550791197"/>
    <n v="0.66572532535833862"/>
    <x v="0"/>
    <x v="1"/>
    <x v="1"/>
    <x v="0"/>
    <x v="1"/>
    <x v="0"/>
  </r>
  <r>
    <x v="2"/>
    <s v="RUM"/>
    <n v="2574"/>
    <n v="10.56"/>
    <n v="-0.46"/>
    <n v="-0.22"/>
    <n v="-1.66"/>
    <n v="-22.956521739130434"/>
    <n v="-48"/>
    <n v="-358.99"/>
    <n v="-32.97"/>
    <n v="-3.09"/>
    <n v="-6.3614457831325311"/>
    <s v="NO"/>
    <n v="-6.3821926412928702"/>
    <n v="-23.680265835934186"/>
    <n v="-0.60154742538021266"/>
    <n v="-8.4360939749894026"/>
    <n v="-6.0504115090628439"/>
    <n v="-0.21459503516355549"/>
    <x v="1"/>
    <x v="1"/>
    <x v="0"/>
    <x v="0"/>
    <x v="1"/>
    <x v="0"/>
  </r>
  <r>
    <x v="2"/>
    <s v="WB"/>
    <n v="2059"/>
    <n v="8.7100000000000009"/>
    <n v="2.44"/>
    <n v="14.26"/>
    <n v="1.1599999999999999"/>
    <n v="3.5696721311475414"/>
    <n v="0.61079943899018241"/>
    <n v="8.74"/>
    <n v="4.4800000000000004"/>
    <n v="1.87"/>
    <n v="7.5086206896551735"/>
    <s v="NO"/>
    <n v="-1.7338950041606509"/>
    <n v="-1.1700576866757311"/>
    <n v="0.29523663870239913"/>
    <n v="0.12748180229197253"/>
    <n v="0.10900399297969514"/>
    <n v="0.37758586584084913"/>
    <x v="0"/>
    <x v="0"/>
    <x v="1"/>
    <x v="1"/>
    <x v="0"/>
    <x v="0"/>
  </r>
  <r>
    <x v="2"/>
    <s v="YELP"/>
    <n v="2288"/>
    <n v="40.58"/>
    <n v="3.69"/>
    <n v="11.31"/>
    <n v="1.88"/>
    <n v="10.997289972899729"/>
    <n v="3.5879752431476568"/>
    <n v="17.79"/>
    <n v="9.9"/>
    <n v="1.32"/>
    <n v="21.585106382978722"/>
    <s v="NO"/>
    <n v="-0.43232197667768429"/>
    <n v="0.20858343467902693"/>
    <n v="0.31730689617377111"/>
    <n v="1.3668564541708794"/>
    <n v="-0.57399570986776383"/>
    <n v="0.97857981184697496"/>
    <x v="0"/>
    <x v="0"/>
    <x v="1"/>
    <x v="1"/>
    <x v="0"/>
    <x v="0"/>
  </r>
  <r>
    <x v="2"/>
    <s v="ZI"/>
    <n v="3046"/>
    <n v="10.31"/>
    <n v="0.84"/>
    <n v="4.95"/>
    <n v="0.08"/>
    <n v="12.273809523809526"/>
    <n v="2.0828282828282827"/>
    <n v="1.53"/>
    <n v="1.87"/>
    <n v="3.82"/>
    <n v="128.875"/>
    <s v="NO"/>
    <n v="-0.20863203302181715"/>
    <n v="-0.488405130887271"/>
    <n v="0.27765359379979226"/>
    <n v="-0.46933883265340509"/>
    <n v="2.5305483939843221"/>
    <n v="5.5593095434201114"/>
    <x v="0"/>
    <x v="0"/>
    <x v="1"/>
    <x v="1"/>
    <x v="0"/>
    <x v="1"/>
  </r>
  <r>
    <x v="3"/>
    <s v="IPG"/>
    <n v="9236"/>
    <n v="25.63"/>
    <n v="2.8"/>
    <n v="9.68"/>
    <n v="1.31"/>
    <n v="9.1535714285714285"/>
    <n v="2.6477272727272725"/>
    <n v="13.58"/>
    <n v="5.12"/>
    <n v="4.78"/>
    <n v="19.564885496183205"/>
    <s v="NO"/>
    <n v="-0.56220851150600804"/>
    <n v="0.23924863689931075"/>
    <n v="0.3287644610943441"/>
    <n v="-2.5167011920309555E-3"/>
    <n v="0.69213759940696751"/>
    <n v="-6.5809649473672002E-2"/>
    <x v="0"/>
    <x v="0"/>
    <x v="1"/>
    <x v="1"/>
    <x v="0"/>
    <x v="0"/>
  </r>
  <r>
    <x v="3"/>
    <s v="WPP"/>
    <n v="8363"/>
    <n v="40.51"/>
    <n v="1.36"/>
    <n v="4.03"/>
    <n v="0.62"/>
    <n v="29.786764705882348"/>
    <n v="10.052109181141438"/>
    <n v="16.62"/>
    <n v="3.15"/>
    <n v="7.34"/>
    <n v="65.338709677419345"/>
    <s v="NO"/>
    <n v="1.8664084746757306"/>
    <n v="5.3475849742474511"/>
    <n v="0.47319277926295777"/>
    <n v="-0.79578091692023334"/>
    <n v="1.9320761959652852"/>
    <n v="1.2902648760823063"/>
    <x v="0"/>
    <x v="1"/>
    <x v="1"/>
    <x v="1"/>
    <x v="0"/>
    <x v="0"/>
  </r>
  <r>
    <x v="3"/>
    <s v="NMAX"/>
    <n v="3236"/>
    <n v="24.18"/>
    <m/>
    <m/>
    <m/>
    <s v=""/>
    <s v=""/>
    <n v="442.08"/>
    <n v="-40.090000000000003"/>
    <n v="-0.65"/>
    <s v=""/>
    <s v="NO"/>
    <e v="#VALUE!"/>
    <e v="#VALUE!"/>
    <n v="20.686506018742673"/>
    <n v="-18.207326443868187"/>
    <n v="-1.9378884081366528"/>
    <e v="#VALUE!"/>
    <x v="1"/>
    <x v="1"/>
    <x v="0"/>
    <x v="0"/>
    <x v="0"/>
    <x v="1"/>
  </r>
  <r>
    <x v="3"/>
    <s v="NXST"/>
    <n v="4706"/>
    <n v="174.42"/>
    <n v="34.200000000000003"/>
    <n v="73.709999999999994"/>
    <n v="21.41"/>
    <n v="5.0999999999999996"/>
    <n v="2.3663003663003663"/>
    <n v="29.82"/>
    <n v="7"/>
    <n v="5.08"/>
    <n v="8.1466604390471744"/>
    <s v="NO"/>
    <n v="-1.0393315769383973"/>
    <n v="4.5090189889120988E-2"/>
    <n v="1.1003157397319379"/>
    <n v="0.75450701737092352"/>
    <n v="0.83744290369114527"/>
    <n v="-0.40408079906650851"/>
    <x v="0"/>
    <x v="0"/>
    <x v="1"/>
    <x v="1"/>
    <x v="0"/>
    <x v="0"/>
  </r>
  <r>
    <x v="3"/>
    <s v="TGNA"/>
    <n v="2679"/>
    <n v="17.73"/>
    <n v="3.76"/>
    <n v="18.79"/>
    <n v="3.53"/>
    <n v="4.7154255319148941"/>
    <n v="0.94358701436934544"/>
    <n v="20.84"/>
    <n v="6.8"/>
    <n v="2.44"/>
    <n v="5.022662889518414"/>
    <s v="YES"/>
    <n v="-1.0845976718705055"/>
    <n v="-0.93644998499580301"/>
    <n v="0.67368208935228313"/>
    <n v="0.67397257922592824"/>
    <n v="-0.44124377400962023"/>
    <n v="-0.49663093160605387"/>
    <x v="0"/>
    <x v="0"/>
    <x v="1"/>
    <x v="1"/>
    <x v="0"/>
    <x v="0"/>
  </r>
  <r>
    <x v="3"/>
    <s v="SATS"/>
    <n v="6949"/>
    <n v="19.78"/>
    <n v="-1.07"/>
    <n v="70.5"/>
    <n v="-0.44"/>
    <n v="-18.485981308411215"/>
    <n v="0.28056737588652486"/>
    <n v="-0.61"/>
    <n v="-0.32"/>
    <n v="3.02"/>
    <n v="-44.95454545454546"/>
    <s v="NO"/>
    <n v="-3.8155046138265498"/>
    <n v="-1.3938720025970823"/>
    <n v="-0.34539272140980953"/>
    <n v="-2.1930534187358992"/>
    <n v="-0.16032018572687626"/>
    <n v="-1.9772330072694306"/>
    <x v="1"/>
    <x v="0"/>
    <x v="1"/>
    <x v="1"/>
    <x v="0"/>
    <x v="0"/>
  </r>
  <r>
    <x v="3"/>
    <s v="SIRI"/>
    <n v="7147"/>
    <n v="21.79"/>
    <n v="2.88"/>
    <n v="33.08"/>
    <n v="-4.9000000000000004"/>
    <n v="7.5659722222222223"/>
    <n v="0.65870616686819827"/>
    <n v="-47.77"/>
    <n v="6.02"/>
    <n v="2.4500000000000002"/>
    <n v="-4.4469387755102039"/>
    <s v="NO"/>
    <n v="-0.74907587362334827"/>
    <n v="-1.1329913307968498"/>
    <n v="-2.5859320256308025"/>
    <n v="0.35988827046044702"/>
    <n v="-0.43640026386681419"/>
    <n v="-0.77717304961357314"/>
    <x v="0"/>
    <x v="0"/>
    <x v="1"/>
    <x v="0"/>
    <x v="0"/>
    <x v="0"/>
  </r>
  <r>
    <x v="3"/>
    <s v="NYT"/>
    <n v="8596"/>
    <n v="54.69"/>
    <n v="2.3199999999999998"/>
    <n v="11.77"/>
    <n v="1.77"/>
    <n v="23.573275862068964"/>
    <n v="4.6465590484282071"/>
    <n v="15.92"/>
    <n v="8.14"/>
    <n v="1.47"/>
    <n v="30.898305084745761"/>
    <s v="NO"/>
    <n v="1.1350536937301325"/>
    <n v="1.6182570562862129"/>
    <n v="0.43993625863202696"/>
    <n v="1.213553314797396"/>
    <n v="-0.91106425786179535"/>
    <n v="0.2699490918243061"/>
    <x v="0"/>
    <x v="0"/>
    <x v="1"/>
    <x v="1"/>
    <x v="0"/>
    <x v="0"/>
  </r>
  <r>
    <x v="3"/>
    <s v="WLY"/>
    <n v="2401"/>
    <n v="43.38"/>
    <n v="2.77"/>
    <n v="12.73"/>
    <n v="0.75"/>
    <n v="15.660649819494585"/>
    <n v="3.4076983503534959"/>
    <n v="5.77"/>
    <n v="5.56"/>
    <n v="3.79"/>
    <n v="57.84"/>
    <s v="NO"/>
    <n v="0.20370304169937695"/>
    <n v="0.76355814972441693"/>
    <n v="-4.2283290516469139E-2"/>
    <n v="0.17465906272695819"/>
    <n v="0.21263009526918034"/>
    <n v="1.0681115089564521"/>
    <x v="0"/>
    <x v="0"/>
    <x v="1"/>
    <x v="1"/>
    <x v="0"/>
    <x v="0"/>
  </r>
  <r>
    <x v="3"/>
    <s v="WLYB"/>
    <n v="2369"/>
    <n v="44"/>
    <n v="2.77"/>
    <n v="12.73"/>
    <n v="0.75"/>
    <n v="15.884476534296029"/>
    <n v="3.4564021995286724"/>
    <n v="5.77"/>
    <n v="5.56"/>
    <n v="3.79"/>
    <n v="58.666666666666664"/>
    <s v="NO"/>
    <n v="0.23004842383301857"/>
    <n v="0.79715928559067373"/>
    <n v="-4.2283290516469139E-2"/>
    <n v="0.17465906272695819"/>
    <n v="0.21263009526918034"/>
    <n v="1.0926019601661738"/>
    <x v="0"/>
    <x v="0"/>
    <x v="1"/>
    <x v="1"/>
    <x v="0"/>
    <x v="0"/>
  </r>
  <r>
    <x v="4"/>
    <s v="PHI"/>
    <n v="5108"/>
    <n v="23.33"/>
    <n v="1.07"/>
    <n v="9.16"/>
    <n v="2.57"/>
    <n v="21.803738317757006"/>
    <n v="2.5469432314410478"/>
    <n v="28.67"/>
    <n v="5.87"/>
    <n v="5.42"/>
    <n v="9.0778210116731515"/>
    <s v="NO"/>
    <n v="1.2192781640288568"/>
    <n v="0.77987698971538844"/>
    <n v="1.1102274724375691"/>
    <n v="0.67642546164528727"/>
    <n v="2.036224592671815"/>
    <n v="-3.8526396683812185E-2"/>
    <x v="0"/>
    <x v="0"/>
    <x v="1"/>
    <x v="1"/>
    <x v="0"/>
    <x v="0"/>
  </r>
  <r>
    <x v="4"/>
    <s v="SKM"/>
    <n v="8013"/>
    <n v="20.18"/>
    <n v="8.15"/>
    <n v="35.950000000000003"/>
    <n v="3.9"/>
    <n v="2.4760736196319018"/>
    <n v="0.56133518776077884"/>
    <n v="11.53"/>
    <n v="3.64"/>
    <n v="2.61"/>
    <n v="5.1743589743589746"/>
    <s v="NO"/>
    <n v="-1.7927681733692495"/>
    <n v="-1.3293423219678016"/>
    <n v="-0.1271487042724975"/>
    <n v="-0.25388303670563234"/>
    <n v="-0.39267399664623176"/>
    <n v="-0.20740692797410526"/>
    <x v="0"/>
    <x v="0"/>
    <x v="1"/>
    <x v="1"/>
    <x v="0"/>
    <x v="0"/>
  </r>
  <r>
    <x v="4"/>
    <s v="TDS"/>
    <n v="3937"/>
    <n v="33.24"/>
    <n v="2.17"/>
    <n v="35.119999999999997"/>
    <n v="-1.04"/>
    <n v="15.317972350230416"/>
    <n v="0.94646924829157186"/>
    <n v="-0.87"/>
    <n v="0.59"/>
    <n v="3.38"/>
    <n v="-31.961538461538463"/>
    <s v="NO"/>
    <n v="0.20852865378901916"/>
    <n v="-0.92023227598265533"/>
    <n v="-1.0223333361980997"/>
    <n v="-1.5262780680824508"/>
    <n v="0.27289607943024369"/>
    <n v="-1.8140653324788898"/>
    <x v="0"/>
    <x v="0"/>
    <x v="1"/>
    <x v="1"/>
    <x v="0"/>
    <x v="0"/>
  </r>
  <r>
    <x v="4"/>
    <s v="TIGO"/>
    <n v="5677"/>
    <n v="34.619999999999997"/>
    <n v="4.87"/>
    <n v="21.31"/>
    <n v="1.48"/>
    <n v="7.1088295687884999"/>
    <n v="1.6245893946503989"/>
    <n v="7.72"/>
    <n v="6.1"/>
    <n v="3.79"/>
    <n v="23.391891891891891"/>
    <s v="NO"/>
    <n v="-1.0707939562735833"/>
    <n v="-0.19989670275923074"/>
    <n v="-0.40220140166254142"/>
    <n v="0.77237656237206365"/>
    <n v="0.62729053552291247"/>
    <n v="0.58076178187922367"/>
    <x v="0"/>
    <x v="0"/>
    <x v="1"/>
    <x v="1"/>
    <x v="0"/>
    <x v="0"/>
  </r>
  <r>
    <x v="4"/>
    <s v="TIMB"/>
    <n v="8426"/>
    <n v="17.39"/>
    <n v="0.51"/>
    <n v="1.76"/>
    <n v="0.21"/>
    <n v="34.098039215686278"/>
    <n v="9.8806818181818183"/>
    <n v="12.03"/>
    <n v="6.53"/>
    <n v="2.13"/>
    <n v="82.80952380952381"/>
    <s v="NO"/>
    <n v="3.1352366912931644"/>
    <n v="8.5701672754655682"/>
    <n v="-9.1052549759368384E-2"/>
    <n v="0.9517634028612546"/>
    <n v="-0.80757482329130736"/>
    <n v="3.1514237097623745"/>
    <x v="1"/>
    <x v="1"/>
    <x v="1"/>
    <x v="1"/>
    <x v="0"/>
    <x v="1"/>
  </r>
  <r>
    <x v="4"/>
    <s v="TKC"/>
    <n v="4984"/>
    <n v="6.33"/>
    <n v="0.31"/>
    <n v="2.4300000000000002"/>
    <n v="0.14000000000000001"/>
    <n v="20.419354838709676"/>
    <n v="2.6049382716049383"/>
    <n v="6.1"/>
    <n v="6.16"/>
    <n v="1.84"/>
    <n v="45.214285714285708"/>
    <s v="NO"/>
    <n v="1.003534190157898"/>
    <n v="0.84148243046934279"/>
    <n v="-0.5191529422850798"/>
    <n v="0.79740728430078811"/>
    <n v="-1.0582440727227072"/>
    <n v="1.5248922556797693"/>
    <x v="0"/>
    <x v="0"/>
    <x v="1"/>
    <x v="1"/>
    <x v="0"/>
    <x v="0"/>
  </r>
  <r>
    <x v="4"/>
    <s v="USM"/>
    <n v="5401"/>
    <n v="59.85"/>
    <n v="3.79"/>
    <n v="53.85"/>
    <n v="-0.46"/>
    <n v="15.791556728232191"/>
    <n v="1.1114206128133706"/>
    <n v="-0.69"/>
    <n v="0.85"/>
    <n v="2.2799999999999998"/>
    <n v="-130.10869565217391"/>
    <s v="NO"/>
    <n v="0.28233260856000503"/>
    <n v="-0.74501209360818532"/>
    <n v="-1.0093387205733733"/>
    <n v="-1.417811606391312"/>
    <n v="-0.67791831496472132"/>
    <n v="-6.0603328489912691"/>
    <x v="0"/>
    <x v="0"/>
    <x v="1"/>
    <x v="1"/>
    <x v="0"/>
    <x v="1"/>
  </r>
  <r>
    <x v="4"/>
    <s v="VEON"/>
    <n v="3258"/>
    <n v="51.25"/>
    <n v="3.43"/>
    <n v="15.56"/>
    <n v="5.75"/>
    <n v="14.941690962099125"/>
    <n v="3.2937017994858611"/>
    <n v="41.84"/>
    <n v="7.41"/>
    <n v="7.31"/>
    <n v="8.9130434782608692"/>
    <s v="NO"/>
    <n v="0.14988851310705278"/>
    <n v="1.5731239741331404"/>
    <n v="2.0610001823133905"/>
    <n v="1.3188806578158776"/>
    <n v="3.6698965975867996"/>
    <n v="-4.5655380422185476E-2"/>
    <x v="0"/>
    <x v="0"/>
    <x v="1"/>
    <x v="0"/>
    <x v="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x v="0"/>
    <s v="ATEX"/>
    <n v="532"/>
    <n v="28.39"/>
    <n v="-1.1599999999999999"/>
    <n v="7.79"/>
    <n v="-1.62"/>
    <n v="-24.474137931034484"/>
    <n v="3.6444159178433888"/>
    <n v="-18.920000000000002"/>
    <n v="-9.83"/>
    <n v="2.2599999999999998"/>
    <n v="-17.52469135802469"/>
    <s v="NO"/>
    <n v="-6.6984620047589223"/>
    <n v="0.69582830621296909"/>
    <n v="-1.7033630989725819"/>
    <n v="-1.7467498764684346"/>
    <n v="-0.50972128985973542"/>
    <n v="0.28190118817141357"/>
    <x v="0"/>
    <x v="0"/>
    <x v="0"/>
    <x v="0"/>
    <x v="0"/>
    <x v="0"/>
  </r>
  <r>
    <x v="0"/>
    <s v="BAND"/>
    <n v="409"/>
    <n v="14.34"/>
    <n v="2.19"/>
    <n v="10.95"/>
    <n v="-0.24"/>
    <n v="6.5479452054794525"/>
    <n v="1.3095890410958906"/>
    <n v="-2.14"/>
    <n v="-1.2"/>
    <n v="3.16"/>
    <n v="-59.75"/>
    <s v="NO"/>
    <n v="1.2546118883130803"/>
    <n v="-0.60132551273731749"/>
    <n v="0.52615584024426099"/>
    <n v="-0.37426567914619568"/>
    <n v="1.4177961928031271"/>
    <n v="-0.88961811356213649"/>
    <x v="1"/>
    <x v="0"/>
    <x v="0"/>
    <x v="0"/>
    <x v="0"/>
    <x v="0"/>
  </r>
  <r>
    <x v="0"/>
    <s v="SIFY"/>
    <n v="315"/>
    <n v="4.4400000000000004"/>
    <n v="-2.41"/>
    <n v="4.6399999999999997"/>
    <n v="-0.05"/>
    <n v="-1.8423236514522823"/>
    <n v="0.95689655172413812"/>
    <n v="0.24"/>
    <n v="2.11"/>
    <n v="2.95"/>
    <n v="-88.8"/>
    <s v="NO"/>
    <n v="-0.8963857706216114"/>
    <n v="-0.79726998042348773"/>
    <n v="0.84238081493651884"/>
    <n v="0.15214482990787279"/>
    <n v="0.96804211351512603"/>
    <n v="-1.6955953061486813"/>
    <x v="1"/>
    <x v="0"/>
    <x v="0"/>
    <x v="0"/>
    <x v="0"/>
    <x v="0"/>
  </r>
  <r>
    <x v="0"/>
    <s v="IDT"/>
    <n v="1334"/>
    <n v="57.74"/>
    <n v="1.39"/>
    <n v="10.84"/>
    <n v="3.15"/>
    <n v="41.539568345323744"/>
    <n v="5.3265682656826572"/>
    <n v="32.24"/>
    <n v="10.02"/>
    <n v="2.12"/>
    <n v="18.330158730158733"/>
    <s v="NO"/>
    <n v="10.22534938666479"/>
    <n v="1.6303774001036133"/>
    <n v="5.0941451805467075"/>
    <n v="1.4101228137802841"/>
    <n v="-0.80955734271840218"/>
    <n v="1.2766754193137717"/>
    <x v="0"/>
    <x v="0"/>
    <x v="1"/>
    <x v="0"/>
    <x v="0"/>
    <x v="0"/>
  </r>
  <r>
    <x v="0"/>
    <s v="IHS"/>
    <n v="1981"/>
    <n v="6.07"/>
    <n v="1.38"/>
    <n v="-1.36"/>
    <n v="-4.9000000000000004"/>
    <n v="4.3985507246376816"/>
    <n v="-4.4632352941176467"/>
    <n v="-6379.7"/>
    <n v="6.47"/>
    <n v="-9.41"/>
    <n v="-1.2387755102040816"/>
    <s v="NO"/>
    <n v="0.70357561340299102"/>
    <n v="-3.8085188199270954"/>
    <n v="-846.84516752040929"/>
    <n v="0.84554356690960641"/>
    <n v="-25.50319798172151"/>
    <n v="0.73374548193138511"/>
    <x v="1"/>
    <x v="1"/>
    <x v="1"/>
    <x v="0"/>
    <x v="1"/>
    <x v="0"/>
  </r>
  <r>
    <x v="0"/>
    <s v="SHEN"/>
    <n v="634"/>
    <n v="11.99"/>
    <n v="-4.82"/>
    <n v="16.600000000000001"/>
    <n v="-0.7"/>
    <n v="-2.4875518672199171"/>
    <n v="0.72228915662650595"/>
    <n v="-3.58"/>
    <n v="-0.65"/>
    <n v="2"/>
    <n v="-17.12857142857143"/>
    <s v="NO"/>
    <n v="-1.0618017310944599"/>
    <n v="-0.92761021315577663"/>
    <n v="0.33482644379180254"/>
    <n v="-0.28679565498313297"/>
    <n v="-1.0665596737401173"/>
    <n v="0.29289133029424724"/>
    <x v="1"/>
    <x v="0"/>
    <x v="0"/>
    <x v="0"/>
    <x v="0"/>
    <x v="0"/>
  </r>
  <r>
    <x v="1"/>
    <s v="AMC"/>
    <n v="1174"/>
    <n v="2.74"/>
    <n v="-0.89"/>
    <n v="-4.25"/>
    <n v="-1.06"/>
    <n v="-3.0786516853932588"/>
    <n v="-0.64470588235294124"/>
    <n v="19.54"/>
    <n v="-0.06"/>
    <n v="-4.68"/>
    <n v="-2.5849056603773586"/>
    <s v="NO"/>
    <n v="-0.33069514241963488"/>
    <n v="-0.95792599779018872"/>
    <n v="1.4837159865268492"/>
    <n v="-0.34843599811268228"/>
    <n v="-6.5331984756038075"/>
    <n v="-0.56248921184667688"/>
    <x v="1"/>
    <x v="0"/>
    <x v="0"/>
    <x v="0"/>
    <x v="1"/>
    <x v="0"/>
  </r>
  <r>
    <x v="1"/>
    <s v="CURI"/>
    <n v="264"/>
    <n v="5.71"/>
    <n v="0.15"/>
    <n v="1.02"/>
    <n v="-0.24"/>
    <n v="38.06666666666667"/>
    <n v="5.5980392156862742"/>
    <n v="-19.829999999999998"/>
    <n v="-8.76"/>
    <n v="1.49"/>
    <n v="-23.791666666666668"/>
    <s v="NO"/>
    <n v="1.4128834836642321"/>
    <n v="1.8863055141050149"/>
    <n v="-1.3901134074494859"/>
    <n v="-2.1331081835678845"/>
    <n v="-0.70424907979428453"/>
    <n v="-2.1268756519632661"/>
    <x v="1"/>
    <x v="0"/>
    <x v="0"/>
    <x v="0"/>
    <x v="0"/>
    <x v="0"/>
  </r>
  <r>
    <x v="1"/>
    <s v="IMAX"/>
    <n v="1378"/>
    <n v="26.15"/>
    <n v="0.76"/>
    <n v="5.57"/>
    <n v="0.46"/>
    <n v="34.407894736842103"/>
    <n v="4.6947935368043083"/>
    <n v="9.8699999999999992"/>
    <n v="4.1399999999999997"/>
    <n v="2.83"/>
    <n v="56.847826086956516"/>
    <s v="NO"/>
    <n v="1.257838953932495"/>
    <n v="1.4747814517712552"/>
    <n v="0.77785034670589026"/>
    <n v="0.51312988452086361"/>
    <n v="0.56168158315300276"/>
    <n v="3.8217616229244573"/>
    <x v="1"/>
    <x v="0"/>
    <x v="0"/>
    <x v="0"/>
    <x v="0"/>
    <x v="1"/>
  </r>
  <r>
    <x v="1"/>
    <s v="IQ"/>
    <n v="1820"/>
    <n v="1.99"/>
    <n v="0.28000000000000003"/>
    <n v="1.9"/>
    <n v="0.11"/>
    <n v="7.1071428571428568"/>
    <n v="1.0473684210526317"/>
    <n v="6.19"/>
    <n v="2.64"/>
    <n v="3.42"/>
    <n v="18.09090909090909"/>
    <s v="NO"/>
    <n v="0.10093922973630531"/>
    <n v="-0.18700695838781703"/>
    <n v="0.50922722834589762"/>
    <n v="0.20542778358031158"/>
    <n v="1.1190689645999425"/>
    <n v="0.96273023235239219"/>
    <x v="1"/>
    <x v="0"/>
    <x v="0"/>
    <x v="0"/>
    <x v="0"/>
    <x v="0"/>
  </r>
  <r>
    <x v="1"/>
    <s v="MCS"/>
    <n v="532"/>
    <n v="17.399999999999999"/>
    <n v="0.78"/>
    <n v="14.7"/>
    <n v="-0.24"/>
    <n v="22.307692307692307"/>
    <n v="1.1836734693877551"/>
    <n v="-1.66"/>
    <n v="1.26"/>
    <n v="2.25"/>
    <n v="-72.5"/>
    <s v="NO"/>
    <n v="0.74507941841908421"/>
    <n v="-0.12490557388199695"/>
    <n v="-6.3786760547021704E-2"/>
    <n v="-7.7658149284996397E-2"/>
    <n v="1.3741445459400764E-2"/>
    <n v="-5.7200059826510703"/>
    <x v="1"/>
    <x v="0"/>
    <x v="0"/>
    <x v="0"/>
    <x v="0"/>
    <x v="1"/>
  </r>
  <r>
    <x v="1"/>
    <s v="MSGE"/>
    <n v="1725"/>
    <n v="37.64"/>
    <n v="1.32"/>
    <n v="0.22"/>
    <n v="2.62"/>
    <n v="28.515151515151516"/>
    <n v="171.09090909090909"/>
    <n v="-275.39"/>
    <n v="5.41"/>
    <n v="153.80000000000001"/>
    <n v="14.366412213740457"/>
    <s v="NO"/>
    <n v="1.0081274061343504"/>
    <n v="77.285833782674473"/>
    <n v="-20.044821050949412"/>
    <n v="0.77365099665053116"/>
    <n v="143.18672052729625"/>
    <n v="0.68798047640563509"/>
    <x v="1"/>
    <x v="1"/>
    <x v="1"/>
    <x v="0"/>
    <x v="1"/>
    <x v="0"/>
  </r>
  <r>
    <x v="1"/>
    <s v="RSVR"/>
    <n v="477"/>
    <n v="7.37"/>
    <n v="-0.41"/>
    <n v="5.51"/>
    <n v="0.12"/>
    <n v="-17.975609756097562"/>
    <n v="1.337568058076225"/>
    <n v="2.21"/>
    <n v="2.63"/>
    <n v="2.3199999999999998"/>
    <n v="61.416666666666671"/>
    <s v="NO"/>
    <n v="-0.96197030873384082"/>
    <n v="-5.4790290976183875E-2"/>
    <n v="0.21870548620655761"/>
    <n v="0.20337643624070784"/>
    <n v="7.9872151732766364E-2"/>
    <n v="4.1587971677600528"/>
    <x v="1"/>
    <x v="0"/>
    <x v="0"/>
    <x v="0"/>
    <x v="0"/>
    <x v="1"/>
  </r>
  <r>
    <x v="1"/>
    <s v="SPHR"/>
    <n v="1072"/>
    <n v="37.56"/>
    <n v="-0.45"/>
    <n v="61.45"/>
    <n v="-12.9"/>
    <n v="-83.466666666666669"/>
    <n v="0.61122864117168429"/>
    <n v="-16.04"/>
    <n v="-2.62"/>
    <n v="2.0499999999999998"/>
    <n v="-2.9116279069767441"/>
    <s v="NO"/>
    <n v="-3.737226683027846"/>
    <n v="-0.38571481623677067"/>
    <n v="-1.1134607937037324"/>
    <n v="-0.87358091705122454"/>
    <n v="-0.17520342960735868"/>
    <n v="-0.58659095242426562"/>
    <x v="0"/>
    <x v="0"/>
    <x v="0"/>
    <x v="0"/>
    <x v="0"/>
    <x v="0"/>
  </r>
  <r>
    <x v="1"/>
    <s v="DDI"/>
    <n v="490"/>
    <n v="10.199999999999999"/>
    <n v="2.76"/>
    <n v="0.88"/>
    <n v="2.31"/>
    <n v="3.6956521739130435"/>
    <n v="11.59090909090909"/>
    <n v="14.89"/>
    <n v="9.42"/>
    <n v="1.08"/>
    <n v="4.4155844155844148"/>
    <s v="NO"/>
    <n v="-4.3626482150231967E-2"/>
    <n v="4.616692399699609"/>
    <n v="1.1442873179469675"/>
    <n v="1.596241279831607"/>
    <n v="-1.0915860736811409"/>
    <n v="-4.6075048186443229E-2"/>
    <x v="1"/>
    <x v="1"/>
    <x v="0"/>
    <x v="0"/>
    <x v="0"/>
    <x v="0"/>
  </r>
  <r>
    <x v="1"/>
    <s v="GCL"/>
    <n v="313"/>
    <n v="2.2200000000000002"/>
    <n v="-0.19"/>
    <n v="0.56000000000000005"/>
    <n v="0.08"/>
    <n v="-11.684210526315791"/>
    <n v="3.9642857142857144"/>
    <n v="-5.83"/>
    <n v="-1.69"/>
    <n v="4.79"/>
    <n v="27.750000000000004"/>
    <s v="NO"/>
    <n v="-0.69536526921641506"/>
    <n v="1.1419577763106106"/>
    <n v="-0.36817763107994822"/>
    <n v="-0.6828056144680823"/>
    <n v="2.4133413588072434"/>
    <n v="1.6752648262752403"/>
    <x v="1"/>
    <x v="0"/>
    <x v="0"/>
    <x v="0"/>
    <x v="0"/>
    <x v="0"/>
  </r>
  <r>
    <x v="1"/>
    <s v="GDEV"/>
    <n v="304"/>
    <n v="14.82"/>
    <n v="1.54"/>
    <n v="-5.61"/>
    <n v="1.38"/>
    <n v="9.6233766233766236"/>
    <n v="-2.641711229946524"/>
    <n v="-25.36"/>
    <n v="8.5399999999999991"/>
    <n v="-2.68"/>
    <n v="10.739130434782609"/>
    <s v="NO"/>
    <n v="0.20756743408014311"/>
    <n v="-1.8677734206543575"/>
    <n v="-1.7937780391154532"/>
    <n v="1.415722713946483"/>
    <n v="-4.6437497249362156"/>
    <n v="0.42040211176047526"/>
    <x v="1"/>
    <x v="0"/>
    <x v="0"/>
    <x v="0"/>
    <x v="1"/>
    <x v="0"/>
  </r>
  <r>
    <x v="1"/>
    <s v="GRVY"/>
    <n v="418"/>
    <n v="64.22"/>
    <n v="7.19"/>
    <n v="55.33"/>
    <n v="8.2799999999999994"/>
    <n v="8.9318497913769122"/>
    <n v="1.1606723296584132"/>
    <n v="16.45"/>
    <n v="6.72"/>
    <n v="1.21"/>
    <n v="7.7560386473429954"/>
    <s v="NO"/>
    <n v="0.17826321547326918"/>
    <n v="-0.1353850288974271"/>
    <n v="1.2581601615995728"/>
    <n v="1.0423774981386134"/>
    <n v="-0.96877190488774745"/>
    <n v="0.20034453953104897"/>
    <x v="1"/>
    <x v="0"/>
    <x v="0"/>
    <x v="0"/>
    <x v="0"/>
    <x v="0"/>
  </r>
  <r>
    <x v="1"/>
    <s v="HUYA"/>
    <n v="823"/>
    <n v="3.74"/>
    <n v="-7.0000000000000007E-2"/>
    <n v="4.49"/>
    <n v="-0.03"/>
    <n v="-53.428571428571423"/>
    <n v="0.83296213808463249"/>
    <n v="-0.53"/>
    <n v="-0.91"/>
    <n v="1.27"/>
    <n v="-124.66666666666667"/>
    <s v="NO"/>
    <n v="-2.4643289896067331"/>
    <n v="-0.28469172635270512"/>
    <n v="1.8698055688519531E-2"/>
    <n v="-0.52280052197899507"/>
    <n v="-0.91208844236771969"/>
    <n v="-9.5682516404963494"/>
    <x v="1"/>
    <x v="0"/>
    <x v="0"/>
    <x v="0"/>
    <x v="0"/>
    <x v="1"/>
  </r>
  <r>
    <x v="1"/>
    <s v="SOHU"/>
    <n v="317"/>
    <n v="10.73"/>
    <n v="-2.12"/>
    <n v="30.68"/>
    <n v="-3.13"/>
    <n v="-5.0613207547169807"/>
    <n v="0.34973924380704041"/>
    <n v="-10.119999999999999"/>
    <n v="-3.78"/>
    <n v="1.88"/>
    <n v="-3.4281150159744413"/>
    <s v="NO"/>
    <n v="-0.41471294931302505"/>
    <n v="-0.50485092900943651"/>
    <n v="-0.68132795112461364"/>
    <n v="-1.1115372084452515"/>
    <n v="-0.33580657341410397"/>
    <n v="-0.6246913219041399"/>
    <x v="1"/>
    <x v="0"/>
    <x v="0"/>
    <x v="0"/>
    <x v="0"/>
    <x v="0"/>
  </r>
  <r>
    <x v="2"/>
    <s v="ANGI"/>
    <n v="726"/>
    <n v="16.600000000000001"/>
    <n v="2.11"/>
    <n v="21.35"/>
    <n v="0.7"/>
    <n v="7.867298578199053"/>
    <n v="0.77751756440281028"/>
    <n v="3.5"/>
    <n v="0.74"/>
    <n v="1.72"/>
    <n v="23.714285714285719"/>
    <s v="NO"/>
    <n v="-0.4418118145597108"/>
    <n v="-0.68209224050037853"/>
    <n v="0.20410703655087287"/>
    <n v="-0.30854562389663709"/>
    <n v="-0.18577849451717907"/>
    <n v="0.73412704686074659"/>
    <x v="1"/>
    <x v="0"/>
    <x v="0"/>
    <x v="0"/>
    <x v="0"/>
    <x v="0"/>
  </r>
  <r>
    <x v="2"/>
    <s v="BMBL"/>
    <n v="453"/>
    <n v="5.85"/>
    <n v="0.8"/>
    <n v="7.7"/>
    <n v="-4.6100000000000003"/>
    <n v="7.3124999999999991"/>
    <n v="0.75974025974025972"/>
    <n v="-41.69"/>
    <n v="4.12"/>
    <n v="3.06"/>
    <n v="-1.2689804772234272"/>
    <s v="NO"/>
    <n v="-0.48526392168233584"/>
    <n v="-0.70304723998296903"/>
    <n v="-3.1869212655571952"/>
    <n v="1.0174851576367039"/>
    <n v="2.360231328070526"/>
    <n v="-0.37937175984747767"/>
    <x v="1"/>
    <x v="0"/>
    <x v="1"/>
    <x v="0"/>
    <x v="0"/>
    <x v="0"/>
  </r>
  <r>
    <x v="2"/>
    <s v="CARS"/>
    <n v="723"/>
    <n v="11.35"/>
    <n v="1.94"/>
    <n v="7.94"/>
    <n v="0.72"/>
    <n v="5.8505154639175254"/>
    <n v="1.4294710327455917"/>
    <n v="9.6"/>
    <n v="2.93"/>
    <n v="2.17"/>
    <n v="15.763888888888889"/>
    <s v="NO"/>
    <n v="-0.59976729492401082"/>
    <n v="8.6397969411788206E-2"/>
    <n v="0.66184708175687457"/>
    <n v="0.55062816650514301"/>
    <n v="0.66922480411302032"/>
    <n v="0.37977956842956623"/>
    <x v="1"/>
    <x v="0"/>
    <x v="0"/>
    <x v="0"/>
    <x v="0"/>
    <x v="0"/>
  </r>
  <r>
    <x v="2"/>
    <s v="EVER"/>
    <n v="828"/>
    <n v="24.9"/>
    <n v="1.78"/>
    <n v="3.8"/>
    <n v="0.88"/>
    <n v="13.988764044943819"/>
    <n v="6.5526315789473681"/>
    <n v="29.75"/>
    <n v="12.35"/>
    <n v="1.56"/>
    <n v="28.295454545454543"/>
    <s v="NO"/>
    <n v="3.7624477566130944E-2"/>
    <n v="6.1253239276893847"/>
    <n v="2.1738900179701424"/>
    <n v="4.2462524156306083"/>
    <n v="-0.48977966736347206"/>
    <n v="0.93830875743984898"/>
    <x v="1"/>
    <x v="1"/>
    <x v="0"/>
    <x v="1"/>
    <x v="0"/>
    <x v="0"/>
  </r>
  <r>
    <x v="2"/>
    <s v="GETY"/>
    <n v="765"/>
    <n v="1.81"/>
    <n v="0.15"/>
    <n v="1.63"/>
    <n v="0.1"/>
    <n v="12.066666666666668"/>
    <n v="1.1104294478527608"/>
    <n v="5.64"/>
    <n v="4.9000000000000004"/>
    <n v="3.83"/>
    <n v="18.099999999999998"/>
    <s v="NO"/>
    <n v="-0.11291516774465776"/>
    <n v="-0.289672327703484"/>
    <n v="0.36469124913133899"/>
    <n v="1.3234922610674751"/>
    <n v="3.8232369723933117"/>
    <n v="0.48389953875770975"/>
    <x v="1"/>
    <x v="0"/>
    <x v="0"/>
    <x v="0"/>
    <x v="1"/>
    <x v="0"/>
  </r>
  <r>
    <x v="2"/>
    <s v="KIND"/>
    <n v="575"/>
    <n v="1.39"/>
    <n v="-0.05"/>
    <n v="1.19"/>
    <n v="-0.25"/>
    <n v="-27.799999999999997"/>
    <n v="1.1680672268907564"/>
    <n v="-19.38"/>
    <n v="-10.28"/>
    <n v="1.1299999999999999"/>
    <n v="-5.56"/>
    <s v="NO"/>
    <n v="-3.2352927993622753"/>
    <n v="-0.22173179043726984"/>
    <n v="-1.5127933297299991"/>
    <n v="-4.6318767518544526"/>
    <n v="-1.3067828193878852"/>
    <n v="-0.57062157808770764"/>
    <x v="0"/>
    <x v="0"/>
    <x v="0"/>
    <x v="1"/>
    <x v="0"/>
    <x v="0"/>
  </r>
  <r>
    <x v="2"/>
    <s v="MAX"/>
    <n v="554"/>
    <n v="10.36"/>
    <n v="1.23"/>
    <n v="0.14000000000000001"/>
    <n v="0.28000000000000003"/>
    <n v="8.4227642276422756"/>
    <n v="73.999999999999986"/>
    <n v="-32.58"/>
    <n v="22.51"/>
    <n v="30.3"/>
    <n v="36.999999999999993"/>
    <s v="NO"/>
    <n v="-0.39830746207760032"/>
    <n v="85.62891556847444"/>
    <n v="-2.5033127718151174"/>
    <n v="8.2321910962160363"/>
    <n v="54.116431005151931"/>
    <n v="1.326268478249611"/>
    <x v="1"/>
    <x v="1"/>
    <x v="0"/>
    <x v="1"/>
    <x v="1"/>
    <x v="0"/>
  </r>
  <r>
    <x v="2"/>
    <s v="MOMO"/>
    <n v="954"/>
    <n v="6.4"/>
    <n v="1"/>
    <n v="9.39"/>
    <n v="0.76"/>
    <n v="6.4"/>
    <n v="0.68157614483493079"/>
    <n v="8.8800000000000008"/>
    <n v="5.54"/>
    <n v="1.63"/>
    <n v="8.4210526315789469"/>
    <s v="NO"/>
    <n v="-0.55673138628562358"/>
    <n v="-0.79518319751362587"/>
    <n v="0.60781874855223184"/>
    <n v="1.5745750126004152"/>
    <n v="-0.3567791542432191"/>
    <n v="5.2510933988674173E-2"/>
    <x v="1"/>
    <x v="0"/>
    <x v="0"/>
    <x v="0"/>
    <x v="0"/>
    <x v="0"/>
  </r>
  <r>
    <x v="2"/>
    <s v="OB"/>
    <n v="317"/>
    <n v="3.1"/>
    <n v="1.04"/>
    <n v="4.62"/>
    <n v="-0.11"/>
    <n v="2.9807692307692308"/>
    <n v="0.67099567099567103"/>
    <n v="-0.31"/>
    <n v="0.17"/>
    <n v="2.37"/>
    <n v="-28.181818181818183"/>
    <s v="NO"/>
    <n v="-0.8245272810477855"/>
    <n v="-0.80765493201083061"/>
    <n v="-8.1792893323695409E-2"/>
    <n v="-0.53216619948066202"/>
    <n v="1.049226270170887"/>
    <n v="-1.5788711543415064"/>
    <x v="1"/>
    <x v="0"/>
    <x v="0"/>
    <x v="0"/>
    <x v="0"/>
    <x v="0"/>
  </r>
  <r>
    <x v="2"/>
    <s v="QNST"/>
    <n v="1032"/>
    <n v="16.38"/>
    <n v="0.59"/>
    <n v="3.97"/>
    <n v="-0.22"/>
    <n v="27.762711864406779"/>
    <n v="4.1259445843828715"/>
    <n v="-5.52"/>
    <n v="0.31"/>
    <n v="1.83"/>
    <n v="-74.454545454545453"/>
    <s v="NO"/>
    <n v="1.116407083851066"/>
    <n v="3.2648664128541642"/>
    <n v="-0.47274791554062467"/>
    <n v="-0.47724184758283134"/>
    <n v="2.3222311814647647E-2"/>
    <n v="-3.6412366675756478"/>
    <x v="1"/>
    <x v="0"/>
    <x v="0"/>
    <x v="0"/>
    <x v="0"/>
    <x v="1"/>
  </r>
  <r>
    <x v="2"/>
    <s v="SSTK"/>
    <n v="611"/>
    <n v="19.34"/>
    <n v="0.06"/>
    <n v="15.68"/>
    <n v="1.0900000000000001"/>
    <n v="322.33333333333337"/>
    <n v="1.2334183673469388"/>
    <n v="7.07"/>
    <n v="3.75"/>
    <n v="2.42"/>
    <n v="17.743119266055043"/>
    <s v="NO"/>
    <n v="24.187328139192456"/>
    <n v="-0.14469912770010998"/>
    <n v="0.47199752202389356"/>
    <n v="0.8723279419067228"/>
    <n v="1.1442266366853533"/>
    <n v="0.46799344111864605"/>
    <x v="0"/>
    <x v="0"/>
    <x v="0"/>
    <x v="0"/>
    <x v="0"/>
    <x v="0"/>
  </r>
  <r>
    <x v="2"/>
    <s v="TBLA"/>
    <n v="1037"/>
    <n v="3.4"/>
    <n v="0.43"/>
    <n v="3.12"/>
    <n v="-0.01"/>
    <n v="7.9069767441860463"/>
    <n v="1.0897435897435896"/>
    <n v="-0.36"/>
    <n v="0.95"/>
    <n v="1.63"/>
    <n v="-340"/>
    <s v="NO"/>
    <n v="-0.43870420039730113"/>
    <n v="-0.31405578482495455"/>
    <n v="-8.5544860907351139E-2"/>
    <n v="-0.22615909604989107"/>
    <n v="-0.3567791542432191"/>
    <n v="-15.476540526430119"/>
    <x v="1"/>
    <x v="0"/>
    <x v="0"/>
    <x v="0"/>
    <x v="0"/>
    <x v="1"/>
  </r>
  <r>
    <x v="2"/>
    <s v="TRIP"/>
    <n v="1696"/>
    <n v="15.67"/>
    <n v="0.5"/>
    <n v="6.73"/>
    <n v="0.04"/>
    <n v="31.34"/>
    <n v="2.328380386329866"/>
    <n v="0.55000000000000004"/>
    <n v="3.02"/>
    <n v="2.72"/>
    <n v="391.75"/>
    <s v="NO"/>
    <n v="1.3965821120223207"/>
    <n v="1.1459874514402533"/>
    <n v="-1.7259050884816472E-2"/>
    <n v="0.58593667843946273"/>
    <n v="1.7142288357721533"/>
    <n v="17.137399763157127"/>
    <x v="1"/>
    <x v="0"/>
    <x v="0"/>
    <x v="0"/>
    <x v="0"/>
    <x v="1"/>
  </r>
  <r>
    <x v="2"/>
    <s v="TRVG"/>
    <n v="325"/>
    <n v="4.75"/>
    <n v="0.15"/>
    <n v="2.94"/>
    <n v="-0.38"/>
    <n v="31.666666666666668"/>
    <n v="1.6156462585034015"/>
    <n v="-11.61"/>
    <n v="0"/>
    <n v="1.58"/>
    <n v="-12.5"/>
    <s v="NO"/>
    <n v="1.4221668116793884"/>
    <n v="0.30585203365159908"/>
    <n v="-0.92973756722989531"/>
    <n v="-0.59886005535659925"/>
    <n v="-0.45177952075768535"/>
    <n v="-0.8799358870863212"/>
    <x v="1"/>
    <x v="0"/>
    <x v="0"/>
    <x v="0"/>
    <x v="0"/>
    <x v="0"/>
  </r>
  <r>
    <x v="2"/>
    <s v="VMEO"/>
    <n v="770"/>
    <n v="4.8600000000000003"/>
    <n v="0.28999999999999998"/>
    <n v="2.37"/>
    <n v="0.1"/>
    <n v="16.758620689655174"/>
    <n v="2.0506329113924049"/>
    <n v="4.3899999999999997"/>
    <n v="1.24"/>
    <n v="1.58"/>
    <n v="48.6"/>
    <s v="NO"/>
    <n v="0.2545610602643123"/>
    <n v="0.81859259017840802"/>
    <n v="0.27089205953994522"/>
    <n v="-0.11238722426152747"/>
    <n v="-0.45177952075768535"/>
    <n v="1.8432779860859108"/>
    <x v="1"/>
    <x v="0"/>
    <x v="0"/>
    <x v="0"/>
    <x v="0"/>
    <x v="0"/>
  </r>
  <r>
    <x v="2"/>
    <s v="VTEX"/>
    <n v="1069"/>
    <n v="6.51"/>
    <n v="0.14000000000000001"/>
    <n v="1.38"/>
    <n v="0.06"/>
    <n v="46.499999999999993"/>
    <n v="4.7173913043478262"/>
    <n v="4.84"/>
    <n v="1.78"/>
    <n v="1.43"/>
    <n v="108.5"/>
    <s v="NO"/>
    <n v="2.5839210308013278"/>
    <n v="3.9620342876307033"/>
    <n v="0.30465976779284698"/>
    <n v="9.9463847344390913E-2"/>
    <n v="-0.73678062030108549"/>
    <n v="4.5130081170681811"/>
    <x v="1"/>
    <x v="1"/>
    <x v="0"/>
    <x v="0"/>
    <x v="0"/>
    <x v="1"/>
  </r>
  <r>
    <x v="2"/>
    <s v="WBTN"/>
    <n v="1205"/>
    <n v="9.85"/>
    <n v="0.04"/>
    <n v="11.45"/>
    <n v="-1.21"/>
    <n v="246.25"/>
    <n v="0.86026200873362446"/>
    <n v="-10.53"/>
    <n v="-2.29"/>
    <n v="1.31"/>
    <n v="-8.1404958677685944"/>
    <s v="NO"/>
    <n v="18.228442734370372"/>
    <n v="-0.58455721924419934"/>
    <n v="-0.84869506742293088"/>
    <n v="-1.4972655256854013"/>
    <n v="-0.96478149993580509"/>
    <n v="-0.6856337245160391"/>
    <x v="0"/>
    <x v="0"/>
    <x v="0"/>
    <x v="0"/>
    <x v="0"/>
    <x v="0"/>
  </r>
  <r>
    <x v="2"/>
    <s v="YALA"/>
    <n v="1150"/>
    <n v="7.78"/>
    <n v="1.07"/>
    <n v="4.46"/>
    <n v="0.74"/>
    <n v="7.2710280373831777"/>
    <n v="1.7443946188340809"/>
    <n v="21.29"/>
    <n v="10.53"/>
    <n v="1.1399999999999999"/>
    <n v="10.513513513513514"/>
    <s v="NO"/>
    <n v="-0.48851202691011286"/>
    <n v="0.45761417506312363"/>
    <n v="1.5390571028155891"/>
    <n v="3.5322358409588093"/>
    <n v="-1.2877827460849918"/>
    <n v="0.14577146594864826"/>
    <x v="1"/>
    <x v="0"/>
    <x v="0"/>
    <x v="1"/>
    <x v="0"/>
    <x v="0"/>
  </r>
  <r>
    <x v="2"/>
    <s v="ZD"/>
    <n v="1357"/>
    <n v="33.99"/>
    <n v="6.38"/>
    <n v="42.26"/>
    <n v="1.42"/>
    <n v="5.3275862068965525"/>
    <n v="0.80430667297681036"/>
    <n v="3.4"/>
    <n v="3.47"/>
    <n v="2.0499999999999998"/>
    <n v="23.936619718309863"/>
    <s v="NO"/>
    <n v="-0.64072338058556688"/>
    <n v="-0.65051457634019816"/>
    <n v="0.19660310138356135"/>
    <n v="0.76247923811106144"/>
    <n v="0.44122392447830022"/>
    <n v="0.7440364256534876"/>
    <x v="1"/>
    <x v="0"/>
    <x v="0"/>
    <x v="0"/>
    <x v="0"/>
    <x v="0"/>
  </r>
  <r>
    <x v="2"/>
    <s v="ZH"/>
    <n v="352"/>
    <n v="4.08"/>
    <n v="-0.43"/>
    <n v="6.75"/>
    <n v="-0.26"/>
    <n v="-9.4883720930232567"/>
    <n v="0.60444444444444445"/>
    <n v="-3.8"/>
    <n v="-4.8"/>
    <n v="1.39"/>
    <n v="-15.692307692307692"/>
    <s v="NO"/>
    <n v="-1.8011167782439867"/>
    <n v="-0.88610219634131804"/>
    <n v="-0.34368023066286685"/>
    <n v="-2.4819806918536513"/>
    <n v="-0.8127809135126588"/>
    <n v="-1.022216355091669"/>
    <x v="1"/>
    <x v="0"/>
    <x v="0"/>
    <x v="0"/>
    <x v="0"/>
    <x v="0"/>
  </r>
  <r>
    <x v="2"/>
    <s v="ZIP"/>
    <n v="524"/>
    <n v="4.8899999999999997"/>
    <n v="0.37"/>
    <n v="0.14000000000000001"/>
    <n v="-0.13"/>
    <n v="13.216216216216216"/>
    <n v="34.928571428571423"/>
    <n v="-117.95"/>
    <n v="0.12"/>
    <n v="49.45"/>
    <n v="-37.615384615384613"/>
    <s v="NO"/>
    <n v="-2.2881861725854682E-2"/>
    <n v="39.573465597866381"/>
    <n v="-8.9094222241489476"/>
    <n v="-0.55178203944417292"/>
    <n v="90.501571380192644"/>
    <n v="-1.9993231835621283"/>
    <x v="1"/>
    <x v="1"/>
    <x v="1"/>
    <x v="0"/>
    <x v="1"/>
    <x v="0"/>
  </r>
  <r>
    <x v="3"/>
    <s v="ADV"/>
    <n v="420"/>
    <n v="1.1299999999999999"/>
    <n v="0.12"/>
    <n v="2.33"/>
    <n v="-1.18"/>
    <n v="9.4166666666666661"/>
    <n v="0.48497854077253211"/>
    <n v="-40.85"/>
    <n v="1.77"/>
    <n v="4.1500000000000004"/>
    <n v="-0.9576271186440678"/>
    <s v="NO"/>
    <n v="0.15760367973221584"/>
    <n v="-1.0537447385620287"/>
    <n v="-3.3637400131344908"/>
    <n v="-0.24255574341418035"/>
    <n v="0.62249778579116155"/>
    <n v="-0.16312279373358834"/>
    <x v="1"/>
    <x v="0"/>
    <x v="1"/>
    <x v="0"/>
    <x v="0"/>
    <x v="0"/>
  </r>
  <r>
    <x v="3"/>
    <s v="AMBR"/>
    <n v="885"/>
    <n v="10.91"/>
    <n v="-1.91"/>
    <n v="3.64"/>
    <n v="-2.93"/>
    <n v="-5.7120418848167542"/>
    <n v="2.9972527472527473"/>
    <n v="-86.3"/>
    <n v="-10.14"/>
    <n v="3.81"/>
    <n v="-3.7235494880546072"/>
    <s v="NO"/>
    <n v="-1.6988771921688204"/>
    <n v="1.1096349573013409"/>
    <n v="-6.7859369964408716"/>
    <n v="-5.4873613063460747"/>
    <n v="0.44326609636233655"/>
    <n v="-0.28264658524087444"/>
    <x v="1"/>
    <x v="0"/>
    <x v="1"/>
    <x v="1"/>
    <x v="0"/>
    <x v="0"/>
  </r>
  <r>
    <x v="3"/>
    <s v="BOC"/>
    <n v="486"/>
    <n v="15.43"/>
    <n v="-0.35"/>
    <n v="16.93"/>
    <n v="-0.04"/>
    <n v="-44.085714285714289"/>
    <n v="0.91139988186650911"/>
    <n v="0.56999999999999995"/>
    <n v="-0.65"/>
    <n v="1.37"/>
    <n v="-385.75"/>
    <s v="NO"/>
    <n v="-6.407804497789872"/>
    <n v="-0.68654307370156398"/>
    <n v="-0.24498535860093093"/>
    <n v="-1.308250912372634"/>
    <n v="-0.84298485130334755"/>
    <n v="-16.791153955601171"/>
    <x v="0"/>
    <x v="0"/>
    <x v="0"/>
    <x v="0"/>
    <x v="0"/>
    <x v="1"/>
  </r>
  <r>
    <x v="3"/>
    <s v="CCO"/>
    <n v="546"/>
    <n v="1.17"/>
    <n v="-0.01"/>
    <n v="-6.99"/>
    <n v="-0.23"/>
    <n v="-116.99999999999999"/>
    <n v="-0.16738197424892703"/>
    <n v="3.15"/>
    <n v="4.67"/>
    <n v="-1.1599999999999999"/>
    <n v="-5.0869565217391299"/>
    <s v="NO"/>
    <n v="-15.35529504242235"/>
    <n v="-1.6155080560136226"/>
    <n v="-5.0722031495750247E-2"/>
    <n v="1.0345169797178508"/>
    <n v="-2.1766794814648973"/>
    <n v="-0.34156348755017729"/>
    <x v="0"/>
    <x v="0"/>
    <x v="0"/>
    <x v="0"/>
    <x v="0"/>
    <x v="0"/>
  </r>
  <r>
    <x v="3"/>
    <s v="CRTO"/>
    <n v="1470"/>
    <n v="29.93"/>
    <n v="4.13"/>
    <n v="19.87"/>
    <n v="2.44"/>
    <n v="7.2469733656174338"/>
    <n v="1.5062908907901358"/>
    <n v="13.45"/>
    <n v="5.77"/>
    <n v="2"/>
    <n v="12.266393442622951"/>
    <s v="YES"/>
    <n v="-0.10864469815029405"/>
    <n v="-0.17426812909663325"/>
    <n v="0.72482535966059125"/>
    <n v="1.5189238746989659"/>
    <n v="-0.51087907383228981"/>
    <n v="0.40832675016297099"/>
    <x v="1"/>
    <x v="0"/>
    <x v="0"/>
    <x v="0"/>
    <x v="0"/>
    <x v="0"/>
  </r>
  <r>
    <x v="3"/>
    <s v="EEX"/>
    <n v="913"/>
    <n v="4.6500000000000004"/>
    <n v="0.23"/>
    <n v="1.96"/>
    <n v="0.02"/>
    <n v="20.217391304347828"/>
    <n v="2.3724489795918369"/>
    <n v="1.62"/>
    <n v="4.4800000000000004"/>
    <n v="3.02"/>
    <n v="232.5"/>
    <s v="NO"/>
    <n v="1.4829870476707321"/>
    <n v="0.57160141726420044"/>
    <n v="-0.16592470222091552"/>
    <n v="0.95084669785747655"/>
    <n v="2.6815994454184717E-2"/>
    <n v="9.9252806474162316"/>
    <x v="1"/>
    <x v="0"/>
    <x v="0"/>
    <x v="0"/>
    <x v="0"/>
    <x v="1"/>
  </r>
  <r>
    <x v="3"/>
    <s v="GAMB"/>
    <n v="476"/>
    <n v="14.58"/>
    <n v="0.37"/>
    <n v="3.54"/>
    <n v="0.84"/>
    <n v="39.405405405405403"/>
    <n v="4.1186440677966099"/>
    <n v="25.34"/>
    <n v="14.18"/>
    <n v="1.45"/>
    <n v="17.357142857142858"/>
    <s v="NO"/>
    <n v="3.8375952435492811"/>
    <n v="2.0752919734520217"/>
    <n v="1.6200931733352417"/>
    <n v="5.2224347717818569"/>
    <n v="-0.80081268908480063"/>
    <n v="0.62831328281702714"/>
    <x v="0"/>
    <x v="0"/>
    <x v="0"/>
    <x v="1"/>
    <x v="0"/>
    <x v="0"/>
  </r>
  <r>
    <x v="3"/>
    <s v="IAS"/>
    <n v="1210"/>
    <n v="8.15"/>
    <n v="0.48"/>
    <n v="6.19"/>
    <n v="0.23"/>
    <n v="16.979166666666668"/>
    <n v="1.3166397415185784"/>
    <n v="3.94"/>
    <n v="3.44"/>
    <n v="1.1399999999999999"/>
    <n v="35.434782608695649"/>
    <s v="NO"/>
    <n v="1.0856165729659186"/>
    <n v="-0.33758129155833261"/>
    <n v="8.7617004473089545E-3"/>
    <n v="0.49286199714805828"/>
    <n v="-0.96422981768167038"/>
    <n v="1.4095022520030649"/>
    <x v="1"/>
    <x v="0"/>
    <x v="0"/>
    <x v="0"/>
    <x v="0"/>
    <x v="0"/>
  </r>
  <r>
    <x v="3"/>
    <s v="IBTA"/>
    <n v="1387"/>
    <n v="49.96"/>
    <n v="4.38"/>
    <n v="14.77"/>
    <n v="2.56"/>
    <n v="11.406392694063927"/>
    <n v="3.3825321597833446"/>
    <n v="28.34"/>
    <n v="3.57"/>
    <n v="1.48"/>
    <n v="19.515625"/>
    <s v="NO"/>
    <n v="0.40176783278045824"/>
    <n v="1.4414083187253839"/>
    <n v="1.8459807629924287"/>
    <n v="0.55011008473673551"/>
    <n v="-0.78499812825284543"/>
    <n v="0.7215877624149627"/>
    <x v="1"/>
    <x v="0"/>
    <x v="0"/>
    <x v="0"/>
    <x v="0"/>
    <x v="0"/>
  </r>
  <r>
    <x v="3"/>
    <s v="LZMH"/>
    <n v="1655"/>
    <n v="11.81"/>
    <m/>
    <m/>
    <m/>
    <s v=""/>
    <s v=""/>
    <n v="-12.02"/>
    <n v="-0.53"/>
    <n v="6.14"/>
    <s v=""/>
    <s v="NO"/>
    <e v="#VALUE!"/>
    <e v="#VALUE!"/>
    <n v="-1.1929602765289249"/>
    <n v="-1.2554065238292398"/>
    <n v="1.6715303209775183"/>
    <e v="#VALUE!"/>
    <x v="0"/>
    <x v="1"/>
    <x v="0"/>
    <x v="0"/>
    <x v="0"/>
    <x v="1"/>
  </r>
  <r>
    <x v="3"/>
    <s v="MGNI"/>
    <n v="1757"/>
    <n v="16.309999999999999"/>
    <n v="1.34"/>
    <n v="5.43"/>
    <n v="0.16"/>
    <n v="12.171641791044774"/>
    <n v="3.0036832412523018"/>
    <n v="3.1"/>
    <n v="1.1499999999999999"/>
    <n v="3.72"/>
    <n v="101.93749999999999"/>
    <s v="NO"/>
    <n v="0.49567342333036557"/>
    <n v="1.1151724102263136"/>
    <n v="-5.4486824656703348E-2"/>
    <n v="-0.51558508422171812"/>
    <n v="0.39582241386647121"/>
    <n v="4.2832838939080071"/>
    <x v="1"/>
    <x v="0"/>
    <x v="0"/>
    <x v="0"/>
    <x v="0"/>
    <x v="1"/>
  </r>
  <r>
    <x v="3"/>
    <s v="NCMI"/>
    <n v="488"/>
    <n v="5.29"/>
    <n v="0.56999999999999995"/>
    <n v="4.29"/>
    <n v="-0.23"/>
    <n v="9.2807017543859658"/>
    <n v="1.2331002331002332"/>
    <n v="-5.27"/>
    <n v="-2.06"/>
    <n v="1.38"/>
    <n v="-23"/>
    <s v="NO"/>
    <n v="0.14091909241004999"/>
    <n v="-0.40951916993501708"/>
    <n v="-0.68471319980025458"/>
    <n v="-1.9291724777575183"/>
    <n v="-0.8377133310260293"/>
    <n v="-1.1156397586831559"/>
    <x v="1"/>
    <x v="0"/>
    <x v="0"/>
    <x v="0"/>
    <x v="0"/>
    <x v="0"/>
  </r>
  <r>
    <x v="3"/>
    <s v="NEXN"/>
    <n v="693"/>
    <n v="12.32"/>
    <n v="0.56999999999999995"/>
    <n v="7.44"/>
    <n v="-0.3"/>
    <n v="21.614035087719301"/>
    <n v="1.6559139784946235"/>
    <n v="6.6"/>
    <n v="2.92"/>
    <n v="1.58"/>
    <n v="-41.06666666666667"/>
    <s v="NO"/>
    <n v="1.6543726262787883"/>
    <n v="-4.5424092431632326E-2"/>
    <n v="0.2090486966100146"/>
    <n v="0.26386964679334923"/>
    <n v="-0.73228292547966167"/>
    <n v="-1.8963545479989901"/>
    <x v="1"/>
    <x v="0"/>
    <x v="0"/>
    <x v="0"/>
    <x v="0"/>
    <x v="0"/>
  </r>
  <r>
    <x v="3"/>
    <s v="PERI"/>
    <n v="415"/>
    <n v="10.85"/>
    <n v="0"/>
    <n v="16.13"/>
    <n v="0.25"/>
    <s v=""/>
    <n v="0.67265964042157478"/>
    <n v="1.75"/>
    <n v="0.34"/>
    <n v="1.27"/>
    <n v="43.4"/>
    <s v="NO"/>
    <e v="#VALUE!"/>
    <n v="-0.89212803317583422"/>
    <n v="-0.15613624000243742"/>
    <n v="-0.87228470688963022"/>
    <n v="-0.8957000540765313"/>
    <n v="1.7537031570311274"/>
    <x v="0"/>
    <x v="0"/>
    <x v="0"/>
    <x v="0"/>
    <x v="0"/>
    <x v="0"/>
  </r>
  <r>
    <x v="3"/>
    <s v="PUBM"/>
    <n v="485"/>
    <n v="11.58"/>
    <n v="0.71"/>
    <n v="5.76"/>
    <n v="0.23"/>
    <n v="16.30985915492958"/>
    <n v="2.010416666666667"/>
    <n v="4.3600000000000003"/>
    <n v="0.34"/>
    <n v="2.67"/>
    <n v="50.347826086956523"/>
    <s v="NO"/>
    <n v="1.003484209272671"/>
    <n v="0.25984669200032257"/>
    <n v="4.0385962999315142E-2"/>
    <n v="-0.87228470688963022"/>
    <n v="-0.15768721525195856"/>
    <n v="2.0539395359802777"/>
    <x v="1"/>
    <x v="0"/>
    <x v="0"/>
    <x v="0"/>
    <x v="0"/>
    <x v="0"/>
  </r>
  <r>
    <x v="3"/>
    <s v="STGW"/>
    <n v="1552"/>
    <n v="5.41"/>
    <n v="0.8"/>
    <n v="2.89"/>
    <n v="0.02"/>
    <n v="6.7625000000000002"/>
    <n v="1.8719723183391004"/>
    <n v="3.09"/>
    <n v="2.57"/>
    <n v="11.78"/>
    <n v="270.5"/>
    <s v="NO"/>
    <n v="-0.16809561117129293"/>
    <n v="0.14062893646777097"/>
    <n v="-5.5239783288893993E-2"/>
    <n v="0.10974018020844888"/>
    <n v="4.6446677573850836"/>
    <n v="11.567374484722599"/>
    <x v="1"/>
    <x v="0"/>
    <x v="0"/>
    <x v="0"/>
    <x v="1"/>
    <x v="1"/>
  </r>
  <r>
    <x v="3"/>
    <s v="THRY"/>
    <n v="586"/>
    <n v="14.92"/>
    <n v="1.03"/>
    <n v="4.42"/>
    <n v="-2.35"/>
    <n v="14.485436893203882"/>
    <n v="3.3755656108597285"/>
    <n v="-51.21"/>
    <n v="3.46"/>
    <n v="3.64"/>
    <n v="-6.3489361702127658"/>
    <s v="NO"/>
    <n v="0.7796048860880046"/>
    <n v="1.4354092560224694"/>
    <n v="-4.1438051560839764"/>
    <n v="0.50166939523862397"/>
    <n v="0.35365025164792419"/>
    <n v="-0.39609740869661447"/>
    <x v="1"/>
    <x v="0"/>
    <x v="1"/>
    <x v="0"/>
    <x v="0"/>
    <x v="0"/>
  </r>
  <r>
    <x v="3"/>
    <s v="TTGT"/>
    <n v="564"/>
    <n v="8.74"/>
    <n v="-1.36"/>
    <n v="3.76"/>
    <n v="-1.48"/>
    <n v="-6.4264705882352935"/>
    <n v="2.3244680851063833"/>
    <n v="276.77"/>
    <n v="-0.68"/>
    <n v="5.56"/>
    <n v="-5.9054054054054053"/>
    <s v="NO"/>
    <n v="-1.7865464877812027"/>
    <n v="0.53028391591365254"/>
    <n v="20.551732062504069"/>
    <n v="-1.3214620095084826"/>
    <n v="1.3657821448930525"/>
    <n v="-0.37693111565593163"/>
    <x v="1"/>
    <x v="0"/>
    <x v="1"/>
    <x v="0"/>
    <x v="0"/>
    <x v="0"/>
  </r>
  <r>
    <x v="3"/>
    <s v="AMCX"/>
    <n v="298"/>
    <n v="6.02"/>
    <n v="7.44"/>
    <n v="19.39"/>
    <n v="-5.0999999999999996"/>
    <n v="0.80913978494623651"/>
    <n v="0.31046931407942235"/>
    <n v="-19.82"/>
    <n v="5.77"/>
    <n v="5.0999999999999996"/>
    <n v="-1.1803921568627451"/>
    <s v="NO"/>
    <n v="-0.89864702110642836"/>
    <n v="-1.2040188275905606"/>
    <n v="-1.7802680096376107"/>
    <n v="1.5189238746989659"/>
    <n v="1.1232922121364071"/>
    <n v="-0.17274913837638325"/>
    <x v="1"/>
    <x v="0"/>
    <x v="0"/>
    <x v="0"/>
    <x v="0"/>
    <x v="0"/>
  </r>
  <r>
    <x v="3"/>
    <s v="GTN"/>
    <n v="379"/>
    <n v="4.55"/>
    <n v="5.85"/>
    <n v="23.92"/>
    <n v="3.36"/>
    <n v="0.77777777777777779"/>
    <n v="0.19021739130434781"/>
    <n v="13.5"/>
    <n v="5.16"/>
    <n v="4.62"/>
    <n v="1.3541666666666667"/>
    <s v="NO"/>
    <n v="-0.90249552980196779"/>
    <n v="-1.3075706482672558"/>
    <n v="0.72859015282154438"/>
    <n v="1.2502982329367114"/>
    <n v="0.87025923882512513"/>
    <n v="-6.3223258786695824E-2"/>
    <x v="1"/>
    <x v="0"/>
    <x v="0"/>
    <x v="0"/>
    <x v="0"/>
    <x v="0"/>
  </r>
  <r>
    <x v="3"/>
    <s v="SBGI"/>
    <n v="1091"/>
    <n v="15.94"/>
    <n v="0.21"/>
    <n v="8.7799999999999994"/>
    <n v="4.6900000000000004"/>
    <n v="75.904761904761912"/>
    <n v="1.815489749430524"/>
    <n v="86.57"/>
    <n v="5.74"/>
    <n v="10.09"/>
    <n v="3.3987206823027716"/>
    <s v="NO"/>
    <n v="8.3165206552697661"/>
    <n v="9.1990438953514803E-2"/>
    <n v="6.2304588782384247"/>
    <n v="1.5057127775631176"/>
    <n v="3.7537808305182776"/>
    <n v="2.5128045137410304E-2"/>
    <x v="0"/>
    <x v="0"/>
    <x v="1"/>
    <x v="0"/>
    <x v="1"/>
    <x v="0"/>
  </r>
  <r>
    <x v="3"/>
    <s v="ATUS"/>
    <n v="1239"/>
    <n v="2.73"/>
    <n v="0.32"/>
    <n v="-1.01"/>
    <n v="-0.22"/>
    <n v="8.53125"/>
    <n v="-2.7029702970297032"/>
    <n v="17.57"/>
    <n v="3.35"/>
    <n v="-67.56"/>
    <n v="-12.409090909090908"/>
    <s v="NO"/>
    <n v="4.8952032452787918E-2"/>
    <n v="-3.7989640977239274"/>
    <n v="1.035044316123128"/>
    <n v="0.45322870574051255"/>
    <n v="-37.179574122858931"/>
    <n v="-0.65797484948174001"/>
    <x v="1"/>
    <x v="1"/>
    <x v="0"/>
    <x v="0"/>
    <x v="1"/>
    <x v="0"/>
  </r>
  <r>
    <x v="3"/>
    <s v="CABO"/>
    <n v="983"/>
    <n v="166.46"/>
    <n v="57.62"/>
    <n v="315.5"/>
    <n v="-3.88"/>
    <n v="2.8889274557445335"/>
    <n v="0.52760697305863713"/>
    <n v="-1.0900000000000001"/>
    <n v="4.09"/>
    <n v="3.62"/>
    <n v="-42.902061855670105"/>
    <s v="NO"/>
    <n v="-0.64343118326321358"/>
    <n v="-1.0170363710453112"/>
    <n v="-0.36997649154457429"/>
    <n v="0.7791024350914445"/>
    <n v="0.3431072110932874"/>
    <n v="-1.9756674724433136"/>
    <x v="1"/>
    <x v="0"/>
    <x v="0"/>
    <x v="0"/>
    <x v="0"/>
    <x v="0"/>
  </r>
  <r>
    <x v="3"/>
    <s v="TV"/>
    <n v="970"/>
    <n v="1.84"/>
    <n v="0.41"/>
    <n v="1.86"/>
    <n v="-0.16"/>
    <n v="4.4878048780487809"/>
    <n v="0.989247311827957"/>
    <n v="-7.48"/>
    <n v="-0.15"/>
    <n v="2.41"/>
    <n v="-11.5"/>
    <s v="NO"/>
    <n v="-0.44722901961381073"/>
    <n v="-0.61950678087997135"/>
    <n v="-0.85111705751438227"/>
    <n v="-1.0880659601084905"/>
    <n v="-0.29474674246223626"/>
    <n v="-0.61869030791938684"/>
    <x v="1"/>
    <x v="0"/>
    <x v="0"/>
    <x v="0"/>
    <x v="0"/>
    <x v="0"/>
  </r>
  <r>
    <x v="3"/>
    <s v="WOW"/>
    <n v="362"/>
    <n v="4.4400000000000004"/>
    <n v="-0.64"/>
    <n v="2.54"/>
    <n v="-0.72"/>
    <n v="-6.9375000000000009"/>
    <n v="1.7480314960629924"/>
    <n v="-25.18"/>
    <n v="0.27"/>
    <n v="7.24"/>
    <n v="-6.1666666666666679"/>
    <s v="NO"/>
    <n v="-1.8492561582525131"/>
    <n v="3.3900515776622113E-2"/>
    <n v="-2.1838538364917843"/>
    <n v="-0.90311060020661027"/>
    <n v="2.2513975514825399"/>
    <n v="-0.38822099742024763"/>
    <x v="1"/>
    <x v="0"/>
    <x v="0"/>
    <x v="0"/>
    <x v="0"/>
    <x v="0"/>
  </r>
  <r>
    <x v="3"/>
    <s v="GCI"/>
    <n v="485"/>
    <n v="3.71"/>
    <n v="0.36"/>
    <n v="1.05"/>
    <n v="0.36"/>
    <n v="10.305555555555555"/>
    <n v="3.5333333333333332"/>
    <n v="26.68"/>
    <n v="2.11"/>
    <n v="13"/>
    <n v="10.305555555555555"/>
    <s v="NO"/>
    <n v="0.26668141190293576"/>
    <n v="1.571266833424497"/>
    <n v="1.7209896300487852"/>
    <n v="-9.2829975874562959E-2"/>
    <n v="5.2877932312179254"/>
    <n v="0.3235930709442813"/>
    <x v="1"/>
    <x v="0"/>
    <x v="0"/>
    <x v="0"/>
    <x v="1"/>
    <x v="0"/>
  </r>
  <r>
    <x v="3"/>
    <s v="SCHL"/>
    <n v="494"/>
    <n v="18.75"/>
    <n v="1.1599999999999999"/>
    <n v="35.270000000000003"/>
    <n v="0.65"/>
    <n v="16.163793103448278"/>
    <n v="0.53161326906719586"/>
    <n v="1.92"/>
    <n v="1.1200000000000001"/>
    <n v="2.08"/>
    <n v="28.846153846153847"/>
    <s v="NO"/>
    <n v="0.9855600864246199"/>
    <n v="-1.0135864532703411"/>
    <n v="-0.14333594325519686"/>
    <n v="-0.52879618135756656"/>
    <n v="-0.46870691161374273"/>
    <n v="1.1247878654959764"/>
    <x v="1"/>
    <x v="0"/>
    <x v="0"/>
    <x v="0"/>
    <x v="0"/>
    <x v="0"/>
  </r>
  <r>
    <x v="4"/>
    <s v="GOGO"/>
    <n v="996"/>
    <n v="11.86"/>
    <n v="0.11"/>
    <n v="0.53"/>
    <n v="0.1"/>
    <n v="107.81818181818181"/>
    <n v="22.377358490566035"/>
    <n v="24.98"/>
    <n v="6.51"/>
    <n v="17.73"/>
    <n v="118.6"/>
    <s v="NO"/>
    <n v="1"/>
    <n v="0.99999999999999978"/>
    <n v="0.99999999999999967"/>
    <n v="0.99999999999982547"/>
    <n v="1"/>
    <n v="1"/>
    <x v="1"/>
    <x v="0"/>
    <x v="0"/>
    <x v="0"/>
    <x v="0"/>
    <x v="0"/>
  </r>
  <r>
    <x v="4"/>
    <s v="SPOK"/>
    <n v="339"/>
    <n v="16.41"/>
    <n v="1.29"/>
    <n v="7.38"/>
    <n v="0.77"/>
    <n v="12.720930232558139"/>
    <n v="2.2235772357723578"/>
    <n v="10.210000000000001"/>
    <n v="6.21"/>
    <n v="1.35"/>
    <n v="21.311688311688311"/>
    <s v="YES"/>
    <n v="-1.0000000000000002"/>
    <n v="-0.99999999999999978"/>
    <n v="-0.99999999999999911"/>
    <n v="-0.99999999999981959"/>
    <n v="-1.0000000000000002"/>
    <n v="-0.99999999999999967"/>
    <x v="1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3"/>
        <item m="1" x="54"/>
        <item m="1" x="55"/>
        <item m="1" x="56"/>
        <item m="1" x="57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x="0"/>
        <item x="1"/>
        <item x="2"/>
        <item x="3"/>
        <item x="4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35"/>
    </i>
    <i>
      <x v="36"/>
    </i>
    <i>
      <x v="37"/>
    </i>
    <i>
      <x v="38"/>
    </i>
    <i>
      <x v="39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3"/>
        <item m="1" x="54"/>
        <item m="1" x="55"/>
        <item m="1" x="56"/>
        <item m="1" x="57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x="0"/>
        <item x="1"/>
        <item x="2"/>
        <item x="3"/>
        <item x="4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35"/>
    </i>
    <i>
      <x v="36"/>
    </i>
    <i>
      <x v="37"/>
    </i>
    <i>
      <x v="38"/>
    </i>
    <i>
      <x v="39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3"/>
        <item m="1" x="54"/>
        <item m="1" x="55"/>
        <item m="1" x="56"/>
        <item m="1" x="57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x="0"/>
        <item x="1"/>
        <item x="2"/>
        <item x="3"/>
        <item x="4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5">
    <i>
      <x v="35"/>
    </i>
    <i>
      <x v="36"/>
    </i>
    <i>
      <x v="37"/>
    </i>
    <i>
      <x v="38"/>
    </i>
    <i>
      <x v="39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3"/>
        <item m="1" x="54"/>
        <item m="1" x="55"/>
        <item m="1" x="56"/>
        <item m="1" x="57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x="0"/>
        <item x="1"/>
        <item x="2"/>
        <item x="3"/>
        <item x="4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5">
    <i>
      <x v="35"/>
    </i>
    <i>
      <x v="36"/>
    </i>
    <i>
      <x v="37"/>
    </i>
    <i>
      <x v="38"/>
    </i>
    <i>
      <x v="39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3"/>
        <item m="1" x="54"/>
        <item m="1" x="55"/>
        <item m="1" x="56"/>
        <item m="1" x="57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x="0"/>
        <item x="1"/>
        <item x="2"/>
        <item x="3"/>
        <item x="4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5">
    <i>
      <x v="35"/>
    </i>
    <i>
      <x v="36"/>
    </i>
    <i>
      <x v="37"/>
    </i>
    <i>
      <x v="38"/>
    </i>
    <i>
      <x v="39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3"/>
        <item m="1" x="54"/>
        <item m="1" x="55"/>
        <item m="1" x="56"/>
        <item m="1" x="57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x="0"/>
        <item x="1"/>
        <item x="2"/>
        <item x="3"/>
        <item x="4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5">
    <i>
      <x v="35"/>
    </i>
    <i>
      <x v="36"/>
    </i>
    <i>
      <x v="37"/>
    </i>
    <i>
      <x v="38"/>
    </i>
    <i>
      <x v="39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4"/>
        <item m="1" x="55"/>
        <item m="1" x="56"/>
        <item m="1" x="57"/>
        <item m="1" x="58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4"/>
        <item m="1" x="55"/>
        <item m="1" x="56"/>
        <item m="1" x="57"/>
        <item m="1" x="58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4"/>
        <item m="1" x="55"/>
        <item m="1" x="56"/>
        <item m="1" x="57"/>
        <item m="1" x="58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4"/>
        <item m="1" x="55"/>
        <item m="1" x="56"/>
        <item m="1" x="57"/>
        <item m="1" x="58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4"/>
        <item m="1" x="55"/>
        <item m="1" x="56"/>
        <item m="1" x="57"/>
        <item m="1" x="58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4"/>
        <item m="1" x="55"/>
        <item m="1" x="56"/>
        <item m="1" x="57"/>
        <item m="1" x="58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5"/>
        <item m="1" x="56"/>
        <item m="1" x="57"/>
        <item m="1" x="58"/>
        <item m="1" x="59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5"/>
        <item m="1" x="56"/>
        <item m="1" x="57"/>
        <item m="1" x="58"/>
        <item m="1" x="59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5"/>
        <item m="1" x="56"/>
        <item m="1" x="57"/>
        <item m="1" x="58"/>
        <item m="1" x="59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5"/>
        <item m="1" x="56"/>
        <item m="1" x="57"/>
        <item m="1" x="58"/>
        <item m="1" x="59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5"/>
        <item m="1" x="56"/>
        <item m="1" x="57"/>
        <item m="1" x="58"/>
        <item m="1" x="59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5"/>
        <item m="1" x="56"/>
        <item m="1" x="57"/>
        <item m="1" x="58"/>
        <item m="1" x="59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45" tableType="queryTable" totalsRowShown="0">
  <autoFilter ref="A1:Z45" xr:uid="{1B3BB95A-07C7-4768-8185-A2A759A39458}"/>
  <sortState xmlns:xlrd2="http://schemas.microsoft.com/office/spreadsheetml/2017/richdata2" ref="A2:Z45">
    <sortCondition ref="A1:A45"/>
  </sortState>
  <tableColumns count="26">
    <tableColumn id="1" xr3:uid="{FDA9EBBF-F574-44F1-B885-6A5ED1C1C8A3}" uniqueName="1" name="Industry" queryTableFieldId="1" dataDxfId="146"/>
    <tableColumn id="2" xr3:uid="{8F96E341-8F97-4BC1-90E1-73E9D5DAC8C9}" uniqueName="2" name="Symbol" queryTableFieldId="2" dataDxfId="145"/>
    <tableColumn id="3" xr3:uid="{F543FE77-4EA4-4170-A3F2-7D6D401D6817}" uniqueName="3" name="Market Cap (M)" queryTableFieldId="44" dataDxfId="113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12"/>
    <tableColumn id="9" xr3:uid="{92CA53A2-ADA4-45CE-B0FD-3AD68E123166}" uniqueName="9" name="P/B" queryTableFieldId="46" dataDxfId="111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10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09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08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07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06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05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04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52" tableType="queryTable" totalsRowShown="0">
  <autoFilter ref="A1:Z52" xr:uid="{8A05384F-F989-4428-B033-1A9B3ACA4EBB}"/>
  <sortState xmlns:xlrd2="http://schemas.microsoft.com/office/spreadsheetml/2017/richdata2" ref="A2:Z52">
    <sortCondition ref="A1:A52"/>
  </sortState>
  <tableColumns count="26">
    <tableColumn id="1" xr3:uid="{3547F496-7B67-42E8-9760-1F3941836443}" uniqueName="1" name="Industry" queryTableFieldId="1" dataDxfId="144"/>
    <tableColumn id="2" xr3:uid="{0A09E186-076D-4A57-B743-EBD7817F4082}" uniqueName="2" name="Symbol" queryTableFieldId="2" dataDxfId="143"/>
    <tableColumn id="3" xr3:uid="{C567BD69-49B3-415C-87A5-73BCB80F1796}" uniqueName="3" name="Market Cap (M)" queryTableFieldId="43" dataDxfId="103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02"/>
    <tableColumn id="9" xr3:uid="{F1DC44A8-3710-4CCA-B495-699F6ACADE85}" uniqueName="9" name="P/B" queryTableFieldId="45" dataDxfId="101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00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99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98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97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96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95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94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71" tableType="queryTable" totalsRowShown="0">
  <autoFilter ref="A1:Z71" xr:uid="{DE7CBD96-9DC7-4F09-9B11-F8C87451A82B}"/>
  <sortState xmlns:xlrd2="http://schemas.microsoft.com/office/spreadsheetml/2017/richdata2" ref="A2:Z71">
    <sortCondition ref="A1:A71"/>
  </sortState>
  <tableColumns count="26">
    <tableColumn id="1" xr3:uid="{261FC5A1-AB9E-4068-9D87-D85D75FE0DD5}" uniqueName="1" name="Industry" queryTableFieldId="1" dataDxfId="142"/>
    <tableColumn id="2" xr3:uid="{4D1C6415-A4DE-450C-A6A0-32BD8F91DEB2}" uniqueName="2" name="Symbol" queryTableFieldId="2" dataDxfId="141"/>
    <tableColumn id="3" xr3:uid="{1913483F-1018-45E5-BBAD-415B97CDE58A}" uniqueName="3" name="Market Cap (M)" queryTableFieldId="43" dataDxfId="93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92"/>
    <tableColumn id="9" xr3:uid="{A85952D4-A3AB-4C1A-90DC-2E32ECE72481}" uniqueName="9" name="P/B" queryTableFieldId="45" dataDxfId="91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90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89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88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87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86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85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84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7" tableType="queryTable" totalsRowShown="0">
  <autoFilter ref="A2:Y7" xr:uid="{CF08F30B-5B6A-425F-B235-3500A3319B88}"/>
  <tableColumns count="25">
    <tableColumn id="1" xr3:uid="{FD842081-B64F-4301-AA21-FB7B05A836D4}" uniqueName="1" name="Industry" queryTableFieldId="1" dataDxfId="140"/>
    <tableColumn id="2" xr3:uid="{E59C1D9B-F213-4C25-84A0-0FA886F9704F}" uniqueName="2" name="P/FCF Q1" queryTableFieldId="2" dataDxfId="137"/>
    <tableColumn id="3" xr3:uid="{04B713EC-FD8B-48E2-A2D2-C366A9A339B7}" uniqueName="3" name="P/FCF Q3" queryTableFieldId="3" dataDxfId="136"/>
    <tableColumn id="4" xr3:uid="{9DCEA951-E29F-4D9E-B9F0-5DC32A557DF0}" uniqueName="4" name="P/FCF LB" queryTableFieldId="4" dataDxfId="135"/>
    <tableColumn id="5" xr3:uid="{C2B6F391-AB27-4C2B-B68A-D2B47E1AA772}" uniqueName="5" name="P/FCF UB" queryTableFieldId="5" dataDxfId="134"/>
    <tableColumn id="6" xr3:uid="{1FD6B89C-F582-4857-A32F-326E69C5DFFD}" uniqueName="6" name="P/B Q1" queryTableFieldId="6" dataDxfId="133"/>
    <tableColumn id="7" xr3:uid="{A3697E12-D8D4-4284-AE2B-01C3BA154C99}" uniqueName="7" name="P/B Q3" queryTableFieldId="7" dataDxfId="132"/>
    <tableColumn id="8" xr3:uid="{A270BB2A-00C0-4246-AFBA-EDE9D5F40C76}" uniqueName="8" name="P/B LB" queryTableFieldId="8" dataDxfId="131"/>
    <tableColumn id="9" xr3:uid="{F99BB669-75E9-428A-88A3-E037E705383F}" uniqueName="9" name="P/B UB" queryTableFieldId="9" dataDxfId="130"/>
    <tableColumn id="10" xr3:uid="{D3A49932-F6DE-43A8-B449-B1C4E41499CF}" uniqueName="10" name="ROE Q1" queryTableFieldId="10" dataDxfId="129"/>
    <tableColumn id="11" xr3:uid="{BD8F2597-7442-49AD-BA3A-A3F29A6E60DD}" uniqueName="11" name="ROE Q3" queryTableFieldId="11" dataDxfId="128"/>
    <tableColumn id="12" xr3:uid="{3B29ED46-D0C8-4AF8-BFC0-41462C6C29EB}" uniqueName="12" name="ROE LB" queryTableFieldId="12" dataDxfId="127"/>
    <tableColumn id="13" xr3:uid="{F62F045D-EA3F-4608-85C5-21D743180D21}" uniqueName="13" name="ROE UB" queryTableFieldId="13" dataDxfId="126"/>
    <tableColumn id="14" xr3:uid="{9D898AB4-6F4D-4D03-BA61-39B91E78C9C6}" uniqueName="14" name="ROA Q1" queryTableFieldId="14" dataDxfId="125"/>
    <tableColumn id="15" xr3:uid="{2D1DFB04-09CE-4BEC-AD50-26246811DCDA}" uniqueName="15" name="ROA Q3" queryTableFieldId="15" dataDxfId="124"/>
    <tableColumn id="16" xr3:uid="{753F114C-61F5-4444-9EB0-76DCEA7F1F1B}" uniqueName="16" name="ROA LB" queryTableFieldId="16" dataDxfId="123"/>
    <tableColumn id="17" xr3:uid="{AA60DB6D-6DE2-4BF0-A375-18A578568BBF}" uniqueName="17" name="ROA UB" queryTableFieldId="17" dataDxfId="122"/>
    <tableColumn id="18" xr3:uid="{5357CEC7-DB8C-48BE-BDAD-FCBB1FB43389}" uniqueName="18" name="P/E Q1" queryTableFieldId="18" dataDxfId="121"/>
    <tableColumn id="19" xr3:uid="{C18FE8DB-95D8-42EC-BC42-C15678D7CE64}" uniqueName="19" name="P/E Q3" queryTableFieldId="19" dataDxfId="120"/>
    <tableColumn id="20" xr3:uid="{B7040099-49E4-464B-9BD8-1326A00D0599}" uniqueName="20" name="P/E LB" queryTableFieldId="20" dataDxfId="119"/>
    <tableColumn id="21" xr3:uid="{E8713F96-91B8-41CB-AA45-CCA61FACA752}" uniqueName="21" name="P/E UB" queryTableFieldId="21" dataDxfId="118"/>
    <tableColumn id="22" xr3:uid="{91693169-B783-4EDC-94CF-D23F08159B62}" uniqueName="22" name="A/E Q1" queryTableFieldId="22" dataDxfId="117"/>
    <tableColumn id="23" xr3:uid="{F98A9AC1-1CAF-483B-A342-F3A466AEB043}" uniqueName="23" name="A/E Q3" queryTableFieldId="23" dataDxfId="116"/>
    <tableColumn id="24" xr3:uid="{04D140EC-A8E6-4894-B430-208F20D411DB}" uniqueName="24" name="A/E LB" queryTableFieldId="24" dataDxfId="115"/>
    <tableColumn id="25" xr3:uid="{3E6CFD0C-10B0-4D91-A289-A353306CC102}" uniqueName="25" name="A/E UB" queryTableFieldId="25" dataDxfId="11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1:Y16" tableType="queryTable" totalsRowShown="0">
  <autoFilter ref="A11:Y16" xr:uid="{89F54F15-11E6-4F5B-BF51-37096268E20C}"/>
  <tableColumns count="25">
    <tableColumn id="1" xr3:uid="{1DD86F6C-5649-4964-82C3-51A7F8B44C8D}" uniqueName="1" name="Industry" queryTableFieldId="1" dataDxfId="139"/>
    <tableColumn id="2" xr3:uid="{E9710093-0C0E-47F6-BA82-6DF1689DE3FF}" uniqueName="2" name="P/FCF Q1" queryTableFieldId="2" dataDxfId="23"/>
    <tableColumn id="3" xr3:uid="{BB549C0D-7552-41A2-B049-C1E0C569FC5B}" uniqueName="3" name="P/FCF Q3" queryTableFieldId="3" dataDxfId="22"/>
    <tableColumn id="4" xr3:uid="{F8874757-4F98-4408-A256-B3DBB97E40A5}" uniqueName="4" name="P/FCF LB" queryTableFieldId="4" dataDxfId="21"/>
    <tableColumn id="5" xr3:uid="{7F92E8F9-91DF-48EA-A8F2-F3E13D8104D3}" uniqueName="5" name="P/FCF UB" queryTableFieldId="5" dataDxfId="20"/>
    <tableColumn id="6" xr3:uid="{837AC52A-2B15-4BFB-A555-2456F010C7C9}" uniqueName="6" name="P/B Q1" queryTableFieldId="6" dataDxfId="19"/>
    <tableColumn id="7" xr3:uid="{C672A3A3-8D6C-4E08-B6E3-1D85CD510A41}" uniqueName="7" name="P/B Q3" queryTableFieldId="7" dataDxfId="18"/>
    <tableColumn id="8" xr3:uid="{47FBFC34-1D36-49FE-8583-28072989EA1C}" uniqueName="8" name="P/B LB" queryTableFieldId="8" dataDxfId="17"/>
    <tableColumn id="9" xr3:uid="{98DADD72-A76B-4DE4-AB34-515EBE2E4A04}" uniqueName="9" name="P/B UB" queryTableFieldId="9" dataDxfId="16"/>
    <tableColumn id="10" xr3:uid="{C06AFB5F-1921-4B19-AFA7-04514BD3BC35}" uniqueName="10" name="ROE Q1" queryTableFieldId="10" dataDxfId="15"/>
    <tableColumn id="11" xr3:uid="{38FF7E38-2AC1-4486-B824-BCBE4156ADA7}" uniqueName="11" name="ROE Q3" queryTableFieldId="11" dataDxfId="14"/>
    <tableColumn id="12" xr3:uid="{1BBD6DC1-3C0C-48AF-9986-81D1F4A26368}" uniqueName="12" name="ROE LB" queryTableFieldId="12" dataDxfId="13"/>
    <tableColumn id="13" xr3:uid="{5775303C-3550-4762-86D0-7A82C106A3F0}" uniqueName="13" name="ROE UB" queryTableFieldId="13" dataDxfId="12"/>
    <tableColumn id="14" xr3:uid="{9FE06177-2E94-4066-A65B-77414C97B4DC}" uniqueName="14" name="ROA Q1" queryTableFieldId="14" dataDxfId="11"/>
    <tableColumn id="15" xr3:uid="{386179E5-15F0-4AED-9E0C-1EB211C80CEE}" uniqueName="15" name="ROA Q3" queryTableFieldId="15" dataDxfId="10"/>
    <tableColumn id="16" xr3:uid="{C7DC1506-2223-42A0-AC4B-68B0E14D2B9D}" uniqueName="16" name="ROA LB" queryTableFieldId="16" dataDxfId="9"/>
    <tableColumn id="17" xr3:uid="{C45AE1E6-1326-44B3-972F-838B081A78FC}" uniqueName="17" name="ROA UB" queryTableFieldId="17" dataDxfId="8"/>
    <tableColumn id="18" xr3:uid="{17D85B47-F40C-47C3-996F-C47242CFB7D2}" uniqueName="18" name="P/E Q1" queryTableFieldId="18" dataDxfId="7"/>
    <tableColumn id="19" xr3:uid="{44248722-1EBA-4DF8-B99D-B6B2F31E253B}" uniqueName="19" name="P/E Q3" queryTableFieldId="19" dataDxfId="6"/>
    <tableColumn id="20" xr3:uid="{93299C7A-5544-43AE-ACC5-72F0CB129F08}" uniqueName="20" name="P/E LB" queryTableFieldId="20" dataDxfId="5"/>
    <tableColumn id="21" xr3:uid="{3E027012-2DA9-4754-8880-25FEEDEFA94A}" uniqueName="21" name="P/E UB" queryTableFieldId="21" dataDxfId="4"/>
    <tableColumn id="22" xr3:uid="{FF2638EF-6EA0-401C-B7D8-A2BC49ECD2B0}" uniqueName="22" name="A/E Q1" queryTableFieldId="22" dataDxfId="3"/>
    <tableColumn id="23" xr3:uid="{546FB46A-BFEC-4020-A8E1-97073EBE991F}" uniqueName="23" name="A/E Q3" queryTableFieldId="23" dataDxfId="2"/>
    <tableColumn id="24" xr3:uid="{41F03CE5-975A-469D-B609-D8C5D8D172FA}" uniqueName="24" name="A/E LB" queryTableFieldId="24" dataDxfId="1"/>
    <tableColumn id="25" xr3:uid="{1863137D-3C8C-4A15-9A63-5E253392AFAD}" uniqueName="25" name="A/E UB" queryTableFieldId="25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20:Y25" tableType="queryTable" totalsRowShown="0">
  <autoFilter ref="A20:Y25" xr:uid="{CF689D08-98E7-4B08-8D8B-630159DED978}"/>
  <tableColumns count="25">
    <tableColumn id="1" xr3:uid="{1B5FE8EC-4B8C-444E-96DC-3618818E7D45}" uniqueName="1" name="Industry" queryTableFieldId="1" dataDxfId="138"/>
    <tableColumn id="2" xr3:uid="{0E20A80F-BE74-42F8-83EF-419A13269CF8}" uniqueName="2" name="P/FCF Q1" queryTableFieldId="2" dataDxfId="83"/>
    <tableColumn id="3" xr3:uid="{6D66145B-6613-41BC-8233-7356853CCFEF}" uniqueName="3" name="P/FCF Q3" queryTableFieldId="3" dataDxfId="82"/>
    <tableColumn id="4" xr3:uid="{90A69125-3CA2-4D0A-8F1A-65993DFA9D46}" uniqueName="4" name="P/FCF LB" queryTableFieldId="4" dataDxfId="81"/>
    <tableColumn id="5" xr3:uid="{BED6E3D4-DC60-428F-B5E8-4C3C64096FD7}" uniqueName="5" name="P/FCF UB" queryTableFieldId="5" dataDxfId="80"/>
    <tableColumn id="6" xr3:uid="{FC33B186-B76E-4D86-8EBD-E25B773D256E}" uniqueName="6" name="P/B Q1" queryTableFieldId="6" dataDxfId="79"/>
    <tableColumn id="7" xr3:uid="{D82D1432-7C03-4449-BD2D-F895D50A5F32}" uniqueName="7" name="P/B Q3" queryTableFieldId="7" dataDxfId="78"/>
    <tableColumn id="8" xr3:uid="{D3389429-24FB-4947-AACF-CAA92D678F94}" uniqueName="8" name="P/B LB" queryTableFieldId="8" dataDxfId="77"/>
    <tableColumn id="9" xr3:uid="{452E932D-DD5B-4C62-A8B3-25C90C8C7751}" uniqueName="9" name="P/B UB" queryTableFieldId="9" dataDxfId="76"/>
    <tableColumn id="10" xr3:uid="{99E11285-9679-47B1-9540-1BD10239596C}" uniqueName="10" name="ROE Q1" queryTableFieldId="10" dataDxfId="75"/>
    <tableColumn id="11" xr3:uid="{B4F1825A-C678-4C01-BB96-B04FAB1938BD}" uniqueName="11" name="ROE Q3" queryTableFieldId="11" dataDxfId="74"/>
    <tableColumn id="12" xr3:uid="{9F07026D-928C-42B1-8DD2-9BD3176C8B6A}" uniqueName="12" name="ROE LB" queryTableFieldId="12" dataDxfId="73"/>
    <tableColumn id="13" xr3:uid="{47360B1B-7AC4-49FA-9F18-2F1F1B72CA28}" uniqueName="13" name="ROE UB" queryTableFieldId="13" dataDxfId="72"/>
    <tableColumn id="14" xr3:uid="{58B0248D-BCFF-4737-ADF5-EE087C03D561}" uniqueName="14" name="ROA Q1" queryTableFieldId="14" dataDxfId="71"/>
    <tableColumn id="15" xr3:uid="{CCD6E6AE-6BBB-4675-8C50-0F87AF280A3C}" uniqueName="15" name="ROA Q3" queryTableFieldId="15" dataDxfId="70"/>
    <tableColumn id="16" xr3:uid="{BB86731C-A605-4988-A848-B35835CAF73E}" uniqueName="16" name="ROA LB" queryTableFieldId="16" dataDxfId="69"/>
    <tableColumn id="17" xr3:uid="{9760AC7A-70E9-4457-8DC8-4BDA6646C74E}" uniqueName="17" name="ROA UB" queryTableFieldId="17" dataDxfId="68"/>
    <tableColumn id="18" xr3:uid="{931D5CA9-41B9-424B-87E6-FA364034B249}" uniqueName="18" name="P/E Q1" queryTableFieldId="18" dataDxfId="67"/>
    <tableColumn id="19" xr3:uid="{23E1DD3D-5F02-4A6D-9773-5EA3466661AF}" uniqueName="19" name="P/E Q3" queryTableFieldId="19" dataDxfId="66"/>
    <tableColumn id="20" xr3:uid="{478DC28A-5ACD-47E8-8720-6EEE2D43205B}" uniqueName="20" name="P/E LB" queryTableFieldId="20" dataDxfId="65"/>
    <tableColumn id="21" xr3:uid="{AC7D613F-0AC5-4542-BBED-886B4C332840}" uniqueName="21" name="P/E UB" queryTableFieldId="21" dataDxfId="64"/>
    <tableColumn id="22" xr3:uid="{1E3F527B-4B19-4D38-9A78-D4BBA95224B9}" uniqueName="22" name="A/E Q1" queryTableFieldId="22" dataDxfId="63"/>
    <tableColumn id="23" xr3:uid="{1256121C-1427-4F44-988A-E08E26F80A67}" uniqueName="23" name="A/E Q3" queryTableFieldId="23" dataDxfId="62"/>
    <tableColumn id="24" xr3:uid="{3F6A6F05-B80E-47C0-9039-80E1A481FF30}" uniqueName="24" name="A/E LB" queryTableFieldId="24" dataDxfId="61"/>
    <tableColumn id="25" xr3:uid="{08969B40-89DA-4EAE-925B-3C841EB86C63}" uniqueName="25" name="A/E UB" queryTableFieldId="25" dataDxfId="6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45"/>
  <sheetViews>
    <sheetView workbookViewId="0">
      <selection activeCell="B24" sqref="B24"/>
    </sheetView>
  </sheetViews>
  <sheetFormatPr defaultRowHeight="15" x14ac:dyDescent="0.25"/>
  <cols>
    <col min="1" max="1" width="36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7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110</v>
      </c>
      <c r="C2" s="2">
        <v>19589</v>
      </c>
      <c r="D2">
        <f>RTD("tos.rtd", , "LAST", Main_L[[#This Row],[Symbol]])</f>
        <v>21.98</v>
      </c>
      <c r="E2">
        <v>1.81</v>
      </c>
      <c r="F2">
        <v>10.32</v>
      </c>
      <c r="G2">
        <v>0.12</v>
      </c>
      <c r="H2" s="1">
        <f>IF(ISNUMBER(Main_L[[#This Row],[Free CF]]),IF(Main_L[[#This Row],[Free CF]]&lt;&gt;0,Main_L[[#This Row],[Current Price]]/Main_L[[#This Row],[Free CF]],""),"")</f>
        <v>12.143646408839778</v>
      </c>
      <c r="I2" s="1">
        <f>IF(ISNUMBER(Main_L[[#This Row],[BVPS]]),IF(Main_L[[#This Row],[BVPS]]&lt;&gt;0,Main_L[[#This Row],[Current Price]]/Main_L[[#This Row],[BVPS]],""),"")</f>
        <v>2.1298449612403099</v>
      </c>
      <c r="J2">
        <v>1.98</v>
      </c>
      <c r="K2">
        <v>4.83</v>
      </c>
      <c r="L2">
        <v>5.43</v>
      </c>
      <c r="M2" s="1">
        <f>IF(ISNUMBER(Main_L[[#This Row],[EPS]]),IF(Main_L[[#This Row],[EPS]]&lt;&gt;0,Main_L[[#This Row],[Current Price]]/Main_L[[#This Row],[EPS]],""),"")</f>
        <v>183.16666666666669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-0.14667984073098797</v>
      </c>
      <c r="P2" s="1">
        <f>(Main_L[[#This Row],[P/B]]-VLOOKUP(Main_L[[#This Row],[Industry]], Mean_PB_L, 2, FALSE))/(VLOOKUP(Main_L[[#This Row],[Industry]], Mean_PB_L, 3, FALSE))</f>
        <v>0.20473631491508337</v>
      </c>
      <c r="Q2" s="1">
        <f>(Main_L[[#This Row],[ROE]]-VLOOKUP(Main_L[[#This Row],[Industry]], Mean_ROE_L, 2, FALSE))/(VLOOKUP(Main_L[[#This Row],[Industry]], Mean_ROE_L, 3, FALSE))</f>
        <v>-1.1644107503867516</v>
      </c>
      <c r="R2" s="1">
        <f>(Main_L[[#This Row],[ROA]]-VLOOKUP(Main_L[[#This Row],[Industry]], Mean_ROA_L, 2, FALSE))/(VLOOKUP(Main_L[[#This Row],[Industry]], Mean_ROA_L, 3, FALSE))</f>
        <v>0.53324568464307176</v>
      </c>
      <c r="S2" s="1">
        <f>(Main_L[[#This Row],[A/E]]-VLOOKUP(Main_L[[#This Row],[Industry]], Mean_AE_L, 2, FALSE))/(VLOOKUP(Main_L[[#This Row],[Industry]], Mean_AE_L, 3, FALSE))</f>
        <v>1.4279995232613996</v>
      </c>
      <c r="T2" s="1">
        <f>(Main_L[[#This Row],[P/E]]-VLOOKUP(Main_L[[#This Row],[Industry]], Mean_PE_L, 2, FALSE))/(VLOOKUP(Main_L[[#This Row],[Industry]], Mean_PE_L, 3, FALSE))</f>
        <v>1.0003983616215857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t="s">
        <v>105</v>
      </c>
      <c r="B3" t="s">
        <v>111</v>
      </c>
      <c r="C3" s="2">
        <v>33373</v>
      </c>
      <c r="D3">
        <f>RTD("tos.rtd", , "LAST", Main_L[[#This Row],[Symbol]])</f>
        <v>42.76</v>
      </c>
      <c r="E3">
        <v>0.2</v>
      </c>
      <c r="F3">
        <v>1.51</v>
      </c>
      <c r="G3">
        <v>0.15</v>
      </c>
      <c r="H3" s="1">
        <f>IF(ISNUMBER(Main_L[[#This Row],[Free CF]]),IF(Main_L[[#This Row],[Free CF]]&lt;&gt;0,Main_L[[#This Row],[Current Price]]/Main_L[[#This Row],[Free CF]],""),"")</f>
        <v>213.79999999999998</v>
      </c>
      <c r="I3" s="1">
        <f>IF(ISNUMBER(Main_L[[#This Row],[BVPS]]),IF(Main_L[[#This Row],[BVPS]]&lt;&gt;0,Main_L[[#This Row],[Current Price]]/Main_L[[#This Row],[BVPS]],""),"")</f>
        <v>28.317880794701985</v>
      </c>
      <c r="J3">
        <v>9.7200000000000006</v>
      </c>
      <c r="K3">
        <v>5.52</v>
      </c>
      <c r="L3">
        <v>1.39</v>
      </c>
      <c r="M3" s="1">
        <f>IF(ISNUMBER(Main_L[[#This Row],[EPS]]),IF(Main_L[[#This Row],[EPS]]&lt;&gt;0,Main_L[[#This Row],[Current Price]]/Main_L[[#This Row],[EPS]],""),"")</f>
        <v>285.06666666666666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32.267338582956874</v>
      </c>
      <c r="P3" s="1">
        <f>(Main_L[[#This Row],[P/B]]-VLOOKUP(Main_L[[#This Row],[Industry]], Mean_PB_L, 2, FALSE))/(VLOOKUP(Main_L[[#This Row],[Industry]], Mean_PB_L, 3, FALSE))</f>
        <v>55.706629920208464</v>
      </c>
      <c r="Q3" s="1">
        <f>(Main_L[[#This Row],[ROE]]-VLOOKUP(Main_L[[#This Row],[Industry]], Mean_ROE_L, 2, FALSE))/(VLOOKUP(Main_L[[#This Row],[Industry]], Mean_ROE_L, 3, FALSE))</f>
        <v>8.494488406044419E-2</v>
      </c>
      <c r="R3" s="1">
        <f>(Main_L[[#This Row],[ROA]]-VLOOKUP(Main_L[[#This Row],[Industry]], Mean_ROA_L, 2, FALSE))/(VLOOKUP(Main_L[[#This Row],[Industry]], Mean_ROA_L, 3, FALSE))</f>
        <v>1.3043764202197279</v>
      </c>
      <c r="S3" s="1">
        <f>(Main_L[[#This Row],[A/E]]-VLOOKUP(Main_L[[#This Row],[Industry]], Mean_AE_L, 2, FALSE))/(VLOOKUP(Main_L[[#This Row],[Industry]], Mean_AE_L, 3, FALSE))</f>
        <v>-1.4034694701010815</v>
      </c>
      <c r="T3" s="1">
        <f>(Main_L[[#This Row],[P/E]]-VLOOKUP(Main_L[[#This Row],[Industry]], Mean_PE_L, 2, FALSE))/(VLOOKUP(Main_L[[#This Row],[Industry]], Mean_PE_L, 3, FALSE))</f>
        <v>1.8954114169989138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t="s">
        <v>105</v>
      </c>
      <c r="B4" t="s">
        <v>112</v>
      </c>
      <c r="C4" s="2">
        <v>202196</v>
      </c>
      <c r="D4">
        <f>RTD("tos.rtd", , "LAST", Main_L[[#This Row],[Symbol]])</f>
        <v>26.45</v>
      </c>
      <c r="E4">
        <v>2.71</v>
      </c>
      <c r="F4">
        <v>14.42</v>
      </c>
      <c r="G4">
        <v>1.63</v>
      </c>
      <c r="H4" s="1">
        <f>IF(ISNUMBER(Main_L[[#This Row],[Free CF]]),IF(Main_L[[#This Row],[Free CF]]&lt;&gt;0,Main_L[[#This Row],[Current Price]]/Main_L[[#This Row],[Free CF]],""),"")</f>
        <v>9.7601476014760138</v>
      </c>
      <c r="I4" s="1">
        <f>IF(ISNUMBER(Main_L[[#This Row],[BVPS]]),IF(Main_L[[#This Row],[BVPS]]&lt;&gt;0,Main_L[[#This Row],[Current Price]]/Main_L[[#This Row],[BVPS]],""),"")</f>
        <v>1.8342579750346739</v>
      </c>
      <c r="J4">
        <v>10.88</v>
      </c>
      <c r="K4">
        <v>4.17</v>
      </c>
      <c r="L4">
        <v>3.83</v>
      </c>
      <c r="M4" s="1">
        <f>IF(ISNUMBER(Main_L[[#This Row],[EPS]]),IF(Main_L[[#This Row],[EPS]]&lt;&gt;0,Main_L[[#This Row],[Current Price]]/Main_L[[#This Row],[EPS]],""),"")</f>
        <v>16.226993865030675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-0.52980079317745643</v>
      </c>
      <c r="P4" s="1">
        <f>(Main_L[[#This Row],[P/B]]-VLOOKUP(Main_L[[#This Row],[Industry]], Mean_PB_L, 2, FALSE))/(VLOOKUP(Main_L[[#This Row],[Industry]], Mean_PB_L, 3, FALSE))</f>
        <v>-0.42171912312629428</v>
      </c>
      <c r="Q4" s="1">
        <f>(Main_L[[#This Row],[ROE]]-VLOOKUP(Main_L[[#This Row],[Industry]], Mean_ROE_L, 2, FALSE))/(VLOOKUP(Main_L[[#This Row],[Industry]], Mean_ROE_L, 3, FALSE))</f>
        <v>0.27218681377087661</v>
      </c>
      <c r="R4" s="1">
        <f>(Main_L[[#This Row],[ROA]]-VLOOKUP(Main_L[[#This Row],[Industry]], Mean_ROA_L, 2, FALSE))/(VLOOKUP(Main_L[[#This Row],[Industry]], Mean_ROA_L, 3, FALSE))</f>
        <v>-0.20435762764764348</v>
      </c>
      <c r="S4" s="1">
        <f>(Main_L[[#This Row],[A/E]]-VLOOKUP(Main_L[[#This Row],[Industry]], Mean_AE_L, 2, FALSE))/(VLOOKUP(Main_L[[#This Row],[Industry]], Mean_AE_L, 3, FALSE))</f>
        <v>0.30662566450398154</v>
      </c>
      <c r="T4" s="1">
        <f>(Main_L[[#This Row],[P/E]]-VLOOKUP(Main_L[[#This Row],[Industry]], Mean_PE_L, 2, FALSE))/(VLOOKUP(Main_L[[#This Row],[Industry]], Mean_PE_L, 3, FALSE))</f>
        <v>-0.4658743235391965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t="s">
        <v>105</v>
      </c>
      <c r="B5" t="s">
        <v>113</v>
      </c>
      <c r="C5" s="2">
        <v>28668</v>
      </c>
      <c r="D5">
        <f>RTD("tos.rtd", , "LAST", Main_L[[#This Row],[Symbol]])</f>
        <v>4.87</v>
      </c>
      <c r="E5">
        <v>0.96</v>
      </c>
      <c r="F5">
        <v>3.55</v>
      </c>
      <c r="G5">
        <v>-0.06</v>
      </c>
      <c r="H5" s="1">
        <f>IF(ISNUMBER(Main_L[[#This Row],[Free CF]]),IF(Main_L[[#This Row],[Free CF]]&lt;&gt;0,Main_L[[#This Row],[Current Price]]/Main_L[[#This Row],[Free CF]],""),"")</f>
        <v>5.072916666666667</v>
      </c>
      <c r="I5" s="1">
        <f>IF(ISNUMBER(Main_L[[#This Row],[BVPS]]),IF(Main_L[[#This Row],[BVPS]]&lt;&gt;0,Main_L[[#This Row],[Current Price]]/Main_L[[#This Row],[BVPS]],""),"")</f>
        <v>1.3718309859154931</v>
      </c>
      <c r="J5">
        <v>0.84</v>
      </c>
      <c r="K5">
        <v>2.79</v>
      </c>
      <c r="L5">
        <v>5.19</v>
      </c>
      <c r="M5" s="1">
        <f>IF(ISNUMBER(Main_L[[#This Row],[EPS]]),IF(Main_L[[#This Row],[EPS]]&lt;&gt;0,Main_L[[#This Row],[Current Price]]/Main_L[[#This Row],[EPS]],""),"")</f>
        <v>-81.166666666666671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-1.2832210904868984</v>
      </c>
      <c r="P5" s="1">
        <f>(Main_L[[#This Row],[P/B]]-VLOOKUP(Main_L[[#This Row],[Industry]], Mean_PB_L, 2, FALSE))/(VLOOKUP(Main_L[[#This Row],[Industry]], Mean_PB_L, 3, FALSE))</f>
        <v>-1.4017687042985802</v>
      </c>
      <c r="Q5" s="1">
        <f>(Main_L[[#This Row],[ROE]]-VLOOKUP(Main_L[[#This Row],[Industry]], Mean_ROE_L, 2, FALSE))/(VLOOKUP(Main_L[[#This Row],[Industry]], Mean_ROE_L, 3, FALSE))</f>
        <v>-1.3484243709642456</v>
      </c>
      <c r="R5" s="1">
        <f>(Main_L[[#This Row],[ROA]]-VLOOKUP(Main_L[[#This Row],[Industry]], Mean_ROA_L, 2, FALSE))/(VLOOKUP(Main_L[[#This Row],[Industry]], Mean_ROA_L, 3, FALSE))</f>
        <v>-1.7466190988009569</v>
      </c>
      <c r="S5" s="1">
        <f>(Main_L[[#This Row],[A/E]]-VLOOKUP(Main_L[[#This Row],[Industry]], Mean_AE_L, 2, FALSE))/(VLOOKUP(Main_L[[#This Row],[Industry]], Mean_AE_L, 3, FALSE))</f>
        <v>1.2597934444477872</v>
      </c>
      <c r="T5" s="1">
        <f>(Main_L[[#This Row],[P/E]]-VLOOKUP(Main_L[[#This Row],[Industry]], Mean_PE_L, 2, FALSE))/(VLOOKUP(Main_L[[#This Row],[Industry]], Mean_PE_L, 3, FALSE))</f>
        <v>-1.3213070780716476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t="s">
        <v>105</v>
      </c>
      <c r="B6" t="s">
        <v>114</v>
      </c>
      <c r="C6" s="2">
        <v>15533</v>
      </c>
      <c r="D6">
        <f>RTD("tos.rtd", , "LAST", Main_L[[#This Row],[Symbol]])</f>
        <v>16.05</v>
      </c>
      <c r="E6">
        <v>0.02</v>
      </c>
      <c r="F6">
        <v>0.09</v>
      </c>
      <c r="G6">
        <v>0.01</v>
      </c>
      <c r="H6" s="1">
        <f>IF(ISNUMBER(Main_L[[#This Row],[Free CF]]),IF(Main_L[[#This Row],[Free CF]]&lt;&gt;0,Main_L[[#This Row],[Current Price]]/Main_L[[#This Row],[Free CF]],""),"")</f>
        <v>802.5</v>
      </c>
      <c r="I6" s="1">
        <f>IF(ISNUMBER(Main_L[[#This Row],[BVPS]]),IF(Main_L[[#This Row],[BVPS]]&lt;&gt;0,Main_L[[#This Row],[Current Price]]/Main_L[[#This Row],[BVPS]],""),"")</f>
        <v>178.33333333333334</v>
      </c>
      <c r="J6">
        <v>18.239999999999998</v>
      </c>
      <c r="K6">
        <v>8.92</v>
      </c>
      <c r="L6">
        <v>2.02</v>
      </c>
      <c r="M6" s="1">
        <f>IF(ISNUMBER(Main_L[[#This Row],[EPS]]),IF(Main_L[[#This Row],[EPS]]&lt;&gt;0,Main_L[[#This Row],[Current Price]]/Main_L[[#This Row],[EPS]],""),"")</f>
        <v>1605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126.89432308507836</v>
      </c>
      <c r="P6" s="1">
        <f>(Main_L[[#This Row],[P/B]]-VLOOKUP(Main_L[[#This Row],[Industry]], Mean_PB_L, 2, FALSE))/(VLOOKUP(Main_L[[#This Row],[Industry]], Mean_PB_L, 3, FALSE))</f>
        <v>373.64348241642955</v>
      </c>
      <c r="Q6" s="1">
        <f>(Main_L[[#This Row],[ROE]]-VLOOKUP(Main_L[[#This Row],[Industry]], Mean_ROE_L, 2, FALSE))/(VLOOKUP(Main_L[[#This Row],[Industry]], Mean_ROE_L, 3, FALSE))</f>
        <v>1.4602045746922407</v>
      </c>
      <c r="R6" s="1">
        <f>(Main_L[[#This Row],[ROA]]-VLOOKUP(Main_L[[#This Row],[Industry]], Mean_ROA_L, 2, FALSE))/(VLOOKUP(Main_L[[#This Row],[Industry]], Mean_ROA_L, 3, FALSE))</f>
        <v>5.104151059293109</v>
      </c>
      <c r="S6" s="1">
        <f>(Main_L[[#This Row],[A/E]]-VLOOKUP(Main_L[[#This Row],[Industry]], Mean_AE_L, 2, FALSE))/(VLOOKUP(Main_L[[#This Row],[Industry]], Mean_AE_L, 3, FALSE))</f>
        <v>-0.96192851321534789</v>
      </c>
      <c r="T6" s="1">
        <f>(Main_L[[#This Row],[P/E]]-VLOOKUP(Main_L[[#This Row],[Industry]], Mean_PE_L, 2, FALSE))/(VLOOKUP(Main_L[[#This Row],[Industry]], Mean_PE_L, 3, FALSE))</f>
        <v>13.488714317499877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7" spans="1:26" x14ac:dyDescent="0.25">
      <c r="A7" t="s">
        <v>105</v>
      </c>
      <c r="B7" t="s">
        <v>115</v>
      </c>
      <c r="C7" s="2">
        <v>22758</v>
      </c>
      <c r="D7">
        <f>RTD("tos.rtd", , "LAST", Main_L[[#This Row],[Symbol]])</f>
        <v>15.65</v>
      </c>
      <c r="E7">
        <v>0.68</v>
      </c>
      <c r="F7">
        <v>7.22</v>
      </c>
      <c r="G7">
        <v>0.46</v>
      </c>
      <c r="H7" s="1">
        <f>IF(ISNUMBER(Main_L[[#This Row],[Free CF]]),IF(Main_L[[#This Row],[Free CF]]&lt;&gt;0,Main_L[[#This Row],[Current Price]]/Main_L[[#This Row],[Free CF]],""),"")</f>
        <v>23.014705882352938</v>
      </c>
      <c r="I7" s="1">
        <f>IF(ISNUMBER(Main_L[[#This Row],[BVPS]]),IF(Main_L[[#This Row],[BVPS]]&lt;&gt;0,Main_L[[#This Row],[Current Price]]/Main_L[[#This Row],[BVPS]],""),"")</f>
        <v>2.1675900277008311</v>
      </c>
      <c r="J7">
        <v>5.5</v>
      </c>
      <c r="K7">
        <v>3.43</v>
      </c>
      <c r="L7">
        <v>3.71</v>
      </c>
      <c r="M7" s="1">
        <f>IF(ISNUMBER(Main_L[[#This Row],[EPS]]),IF(Main_L[[#This Row],[EPS]]&lt;&gt;0,Main_L[[#This Row],[Current Price]]/Main_L[[#This Row],[EPS]],""),"")</f>
        <v>34.021739130434781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1.6007221914106304</v>
      </c>
      <c r="P7" s="1">
        <f>(Main_L[[#This Row],[P/B]]-VLOOKUP(Main_L[[#This Row],[Industry]], Mean_PB_L, 2, FALSE))/(VLOOKUP(Main_L[[#This Row],[Industry]], Mean_PB_L, 3, FALSE))</f>
        <v>0.28473172488545606</v>
      </c>
      <c r="Q7" s="1">
        <f>(Main_L[[#This Row],[ROE]]-VLOOKUP(Main_L[[#This Row],[Industry]], Mean_ROE_L, 2, FALSE))/(VLOOKUP(Main_L[[#This Row],[Industry]], Mean_ROE_L, 3, FALSE))</f>
        <v>-0.59622834298957739</v>
      </c>
      <c r="R7" s="1">
        <f>(Main_L[[#This Row],[ROA]]-VLOOKUP(Main_L[[#This Row],[Industry]], Mean_ROA_L, 2, FALSE))/(VLOOKUP(Main_L[[#This Row],[Industry]], Mean_ROA_L, 3, FALSE))</f>
        <v>-1.0313674020342025</v>
      </c>
      <c r="S7" s="1">
        <f>(Main_L[[#This Row],[A/E]]-VLOOKUP(Main_L[[#This Row],[Industry]], Mean_AE_L, 2, FALSE))/(VLOOKUP(Main_L[[#This Row],[Industry]], Mean_AE_L, 3, FALSE))</f>
        <v>0.2225226250971751</v>
      </c>
      <c r="T7" s="1">
        <f>(Main_L[[#This Row],[P/E]]-VLOOKUP(Main_L[[#This Row],[Industry]], Mean_PE_L, 2, FALSE))/(VLOOKUP(Main_L[[#This Row],[Industry]], Mean_PE_L, 3, FALSE))</f>
        <v>-0.30957864807648233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t="s">
        <v>105</v>
      </c>
      <c r="B8" t="s">
        <v>116</v>
      </c>
      <c r="C8" s="2">
        <v>15941</v>
      </c>
      <c r="D8">
        <f>RTD("tos.rtd", , "LAST", Main_L[[#This Row],[Symbol]])</f>
        <v>10.1</v>
      </c>
      <c r="E8">
        <v>0.52</v>
      </c>
      <c r="F8">
        <v>3.47</v>
      </c>
      <c r="G8">
        <v>0.27</v>
      </c>
      <c r="H8" s="1">
        <f>IF(ISNUMBER(Main_L[[#This Row],[Free CF]]),IF(Main_L[[#This Row],[Free CF]]&lt;&gt;0,Main_L[[#This Row],[Current Price]]/Main_L[[#This Row],[Free CF]],""),"")</f>
        <v>19.423076923076923</v>
      </c>
      <c r="I8" s="1">
        <f>IF(ISNUMBER(Main_L[[#This Row],[BVPS]]),IF(Main_L[[#This Row],[BVPS]]&lt;&gt;0,Main_L[[#This Row],[Current Price]]/Main_L[[#This Row],[BVPS]],""),"")</f>
        <v>2.9106628242074923</v>
      </c>
      <c r="J8">
        <v>7.97</v>
      </c>
      <c r="K8">
        <v>4.58</v>
      </c>
      <c r="L8">
        <v>1.79</v>
      </c>
      <c r="M8" s="1">
        <f>IF(ISNUMBER(Main_L[[#This Row],[EPS]]),IF(Main_L[[#This Row],[EPS]]&lt;&gt;0,Main_L[[#This Row],[Current Price]]/Main_L[[#This Row],[EPS]],""),"")</f>
        <v>37.407407407407405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1.0234077394541463</v>
      </c>
      <c r="P8" s="1">
        <f>(Main_L[[#This Row],[P/B]]-VLOOKUP(Main_L[[#This Row],[Industry]], Mean_PB_L, 2, FALSE))/(VLOOKUP(Main_L[[#This Row],[Industry]], Mean_PB_L, 3, FALSE))</f>
        <v>1.859570997100128</v>
      </c>
      <c r="Q8" s="1">
        <f>(Main_L[[#This Row],[ROE]]-VLOOKUP(Main_L[[#This Row],[Industry]], Mean_ROE_L, 2, FALSE))/(VLOOKUP(Main_L[[#This Row],[Industry]], Mean_ROE_L, 3, FALSE))</f>
        <v>-0.19753216507167384</v>
      </c>
      <c r="R8" s="1">
        <f>(Main_L[[#This Row],[ROA]]-VLOOKUP(Main_L[[#This Row],[Industry]], Mean_ROA_L, 2, FALSE))/(VLOOKUP(Main_L[[#This Row],[Industry]], Mean_ROA_L, 3, FALSE))</f>
        <v>0.25385049059355846</v>
      </c>
      <c r="S8" s="1">
        <f>(Main_L[[#This Row],[A/E]]-VLOOKUP(Main_L[[#This Row],[Industry]], Mean_AE_L, 2, FALSE))/(VLOOKUP(Main_L[[#This Row],[Industry]], Mean_AE_L, 3, FALSE))</f>
        <v>-1.1231260054117267</v>
      </c>
      <c r="T8" s="1">
        <f>(Main_L[[#This Row],[P/E]]-VLOOKUP(Main_L[[#This Row],[Industry]], Mean_PE_L, 2, FALSE))/(VLOOKUP(Main_L[[#This Row],[Industry]], Mean_PE_L, 3, FALSE))</f>
        <v>-0.2798414811572737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t="s">
        <v>105</v>
      </c>
      <c r="B9" t="s">
        <v>117</v>
      </c>
      <c r="C9" s="2">
        <v>185051</v>
      </c>
      <c r="D9">
        <f>RTD("tos.rtd", , "LAST", Main_L[[#This Row],[Symbol]])</f>
        <v>42.65</v>
      </c>
      <c r="E9">
        <v>4.78</v>
      </c>
      <c r="F9">
        <v>23.89</v>
      </c>
      <c r="G9">
        <v>4.2</v>
      </c>
      <c r="H9" s="1">
        <f>IF(ISNUMBER(Main_L[[#This Row],[Free CF]]),IF(Main_L[[#This Row],[Free CF]]&lt;&gt;0,Main_L[[#This Row],[Current Price]]/Main_L[[#This Row],[Free CF]],""),"")</f>
        <v>8.9225941422594133</v>
      </c>
      <c r="I9" s="1">
        <f>IF(ISNUMBER(Main_L[[#This Row],[BVPS]]),IF(Main_L[[#This Row],[BVPS]]&lt;&gt;0,Main_L[[#This Row],[Current Price]]/Main_L[[#This Row],[BVPS]],""),"")</f>
        <v>1.7852658015906235</v>
      </c>
      <c r="J9">
        <v>18.420000000000002</v>
      </c>
      <c r="K9">
        <v>5.15</v>
      </c>
      <c r="L9">
        <v>3.78</v>
      </c>
      <c r="M9" s="1">
        <f>IF(ISNUMBER(Main_L[[#This Row],[EPS]]),IF(Main_L[[#This Row],[EPS]]&lt;&gt;0,Main_L[[#This Row],[Current Price]]/Main_L[[#This Row],[EPS]],""),"")</f>
        <v>10.154761904761903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-0.66442820646943457</v>
      </c>
      <c r="P9" s="1">
        <f>(Main_L[[#This Row],[P/B]]-VLOOKUP(Main_L[[#This Row],[Industry]], Mean_PB_L, 2, FALSE))/(VLOOKUP(Main_L[[#This Row],[Industry]], Mean_PB_L, 3, FALSE))</f>
        <v>-0.52555120947579315</v>
      </c>
      <c r="Q9" s="1">
        <f>(Main_L[[#This Row],[ROE]]-VLOOKUP(Main_L[[#This Row],[Industry]], Mean_ROE_L, 2, FALSE))/(VLOOKUP(Main_L[[#This Row],[Industry]], Mean_ROE_L, 3, FALSE))</f>
        <v>1.4892593568886876</v>
      </c>
      <c r="R9" s="1">
        <f>(Main_L[[#This Row],[ROA]]-VLOOKUP(Main_L[[#This Row],[Industry]], Mean_ROA_L, 2, FALSE))/(VLOOKUP(Main_L[[#This Row],[Industry]], Mean_ROA_L, 3, FALSE))</f>
        <v>0.89087153302644917</v>
      </c>
      <c r="S9" s="1">
        <f>(Main_L[[#This Row],[A/E]]-VLOOKUP(Main_L[[#This Row],[Industry]], Mean_AE_L, 2, FALSE))/(VLOOKUP(Main_L[[#This Row],[Industry]], Mean_AE_L, 3, FALSE))</f>
        <v>0.27158273141781203</v>
      </c>
      <c r="T9" s="1">
        <f>(Main_L[[#This Row],[P/E]]-VLOOKUP(Main_L[[#This Row],[Industry]], Mean_PE_L, 2, FALSE))/(VLOOKUP(Main_L[[#This Row],[Industry]], Mean_PE_L, 3, FALSE))</f>
        <v>-0.51920824777589936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t="s">
        <v>108</v>
      </c>
      <c r="B10" t="s">
        <v>132</v>
      </c>
      <c r="C10" s="2">
        <v>184557</v>
      </c>
      <c r="D10">
        <f>RTD("tos.rtd", , "LAST", Main_L[[#This Row],[Symbol]])</f>
        <v>111.38</v>
      </c>
      <c r="E10">
        <v>4.62</v>
      </c>
      <c r="F10">
        <v>56.32</v>
      </c>
      <c r="G10">
        <v>3.07</v>
      </c>
      <c r="H10" s="1">
        <f>IF(ISNUMBER(Main_L[[#This Row],[Free CF]]),IF(Main_L[[#This Row],[Free CF]]&lt;&gt;0,Main_L[[#This Row],[Current Price]]/Main_L[[#This Row],[Free CF]],""),"")</f>
        <v>24.108225108225106</v>
      </c>
      <c r="I10" s="1">
        <f>IF(ISNUMBER(Main_L[[#This Row],[BVPS]]),IF(Main_L[[#This Row],[BVPS]]&lt;&gt;0,Main_L[[#This Row],[Current Price]]/Main_L[[#This Row],[BVPS]],""),"")</f>
        <v>1.9776278409090908</v>
      </c>
      <c r="J10">
        <v>5.9</v>
      </c>
      <c r="K10">
        <v>4.25</v>
      </c>
      <c r="L10">
        <v>1.93</v>
      </c>
      <c r="M10" s="1">
        <f>IF(ISNUMBER(Main_L[[#This Row],[EPS]]),IF(Main_L[[#This Row],[EPS]]&lt;&gt;0,Main_L[[#This Row],[Current Price]]/Main_L[[#This Row],[EPS]],""),"")</f>
        <v>36.280130293159608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-0.65035022577865187</v>
      </c>
      <c r="P10" s="1">
        <f>(Main_L[[#This Row],[P/B]]-VLOOKUP(Main_L[[#This Row],[Industry]], Mean_PB_L, 2, FALSE))/(VLOOKUP(Main_L[[#This Row],[Industry]], Mean_PB_L, 3, FALSE))</f>
        <v>-0.88852816314118532</v>
      </c>
      <c r="Q10" s="1">
        <f>(Main_L[[#This Row],[ROE]]-VLOOKUP(Main_L[[#This Row],[Industry]], Mean_ROE_L, 2, FALSE))/(VLOOKUP(Main_L[[#This Row],[Industry]], Mean_ROE_L, 3, FALSE))</f>
        <v>-0.16593071871223453</v>
      </c>
      <c r="R10" s="1">
        <f>(Main_L[[#This Row],[ROA]]-VLOOKUP(Main_L[[#This Row],[Industry]], Mean_ROA_L, 2, FALSE))/(VLOOKUP(Main_L[[#This Row],[Industry]], Mean_ROA_L, 3, FALSE))</f>
        <v>-0.12718952160131719</v>
      </c>
      <c r="S10" s="1">
        <f>(Main_L[[#This Row],[A/E]]-VLOOKUP(Main_L[[#This Row],[Industry]], Mean_AE_L, 2, FALSE))/(VLOOKUP(Main_L[[#This Row],[Industry]], Mean_AE_L, 3, FALSE))</f>
        <v>-0.25765372512134632</v>
      </c>
      <c r="T10" s="1">
        <f>(Main_L[[#This Row],[P/E]]-VLOOKUP(Main_L[[#This Row],[Industry]], Mean_PE_L, 2, FALSE))/(VLOOKUP(Main_L[[#This Row],[Industry]], Mean_PE_L, 3, FALSE))</f>
        <v>0.11300682054726097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t="s">
        <v>108</v>
      </c>
      <c r="B11" t="s">
        <v>133</v>
      </c>
      <c r="C11" s="2">
        <v>21155</v>
      </c>
      <c r="D11">
        <f>RTD("tos.rtd", , "LAST", Main_L[[#This Row],[Symbol]])</f>
        <v>88.53</v>
      </c>
      <c r="E11">
        <v>2.0499999999999998</v>
      </c>
      <c r="F11">
        <v>29.64</v>
      </c>
      <c r="G11">
        <v>-0.13</v>
      </c>
      <c r="H11" s="1">
        <f>IF(ISNUMBER(Main_L[[#This Row],[Free CF]]),IF(Main_L[[#This Row],[Free CF]]&lt;&gt;0,Main_L[[#This Row],[Current Price]]/Main_L[[#This Row],[Free CF]],""),"")</f>
        <v>43.185365853658539</v>
      </c>
      <c r="I11" s="1">
        <f>IF(ISNUMBER(Main_L[[#This Row],[BVPS]]),IF(Main_L[[#This Row],[BVPS]]&lt;&gt;0,Main_L[[#This Row],[Current Price]]/Main_L[[#This Row],[BVPS]],""),"")</f>
        <v>2.986842105263158</v>
      </c>
      <c r="J11">
        <v>-0.43</v>
      </c>
      <c r="K11">
        <v>2.2200000000000002</v>
      </c>
      <c r="L11">
        <v>1.59</v>
      </c>
      <c r="M11" s="1">
        <f>IF(ISNUMBER(Main_L[[#This Row],[EPS]]),IF(Main_L[[#This Row],[EPS]]&lt;&gt;0,Main_L[[#This Row],[Current Price]]/Main_L[[#This Row],[EPS]],""),"")</f>
        <v>-681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0.41442798189049396</v>
      </c>
      <c r="P11" s="1">
        <f>(Main_L[[#This Row],[P/B]]-VLOOKUP(Main_L[[#This Row],[Industry]], Mean_PB_L, 2, FALSE))/(VLOOKUP(Main_L[[#This Row],[Industry]], Mean_PB_L, 3, FALSE))</f>
        <v>-0.76563052264465203</v>
      </c>
      <c r="Q11" s="1">
        <f>(Main_L[[#This Row],[ROE]]-VLOOKUP(Main_L[[#This Row],[Industry]], Mean_ROE_L, 2, FALSE))/(VLOOKUP(Main_L[[#This Row],[Industry]], Mean_ROE_L, 3, FALSE))</f>
        <v>-0.54178484831317431</v>
      </c>
      <c r="R11" s="1">
        <f>(Main_L[[#This Row],[ROA]]-VLOOKUP(Main_L[[#This Row],[Industry]], Mean_ROA_L, 2, FALSE))/(VLOOKUP(Main_L[[#This Row],[Industry]], Mean_ROA_L, 3, FALSE))</f>
        <v>-0.6097964914156615</v>
      </c>
      <c r="S11" s="1">
        <f>(Main_L[[#This Row],[A/E]]-VLOOKUP(Main_L[[#This Row],[Industry]], Mean_AE_L, 2, FALSE))/(VLOOKUP(Main_L[[#This Row],[Industry]], Mean_AE_L, 3, FALSE))</f>
        <v>-0.84493148964374609</v>
      </c>
      <c r="T11" s="1">
        <f>(Main_L[[#This Row],[P/E]]-VLOOKUP(Main_L[[#This Row],[Industry]], Mean_PE_L, 2, FALSE))/(VLOOKUP(Main_L[[#This Row],[Industry]], Mean_PE_L, 3, FALSE))</f>
        <v>-16.899214015373033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2" spans="1:26" x14ac:dyDescent="0.25">
      <c r="A12" t="s">
        <v>108</v>
      </c>
      <c r="B12" t="s">
        <v>134</v>
      </c>
      <c r="C12" s="2">
        <v>23316</v>
      </c>
      <c r="D12">
        <f>RTD("tos.rtd", , "LAST", Main_L[[#This Row],[Symbol]])</f>
        <v>96.48</v>
      </c>
      <c r="E12">
        <v>2.0499999999999998</v>
      </c>
      <c r="F12">
        <v>29.64</v>
      </c>
      <c r="G12">
        <v>-0.13</v>
      </c>
      <c r="H12" s="1">
        <f>IF(ISNUMBER(Main_L[[#This Row],[Free CF]]),IF(Main_L[[#This Row],[Free CF]]&lt;&gt;0,Main_L[[#This Row],[Current Price]]/Main_L[[#This Row],[Free CF]],""),"")</f>
        <v>47.063414634146348</v>
      </c>
      <c r="I12" s="1">
        <f>IF(ISNUMBER(Main_L[[#This Row],[BVPS]]),IF(Main_L[[#This Row],[BVPS]]&lt;&gt;0,Main_L[[#This Row],[Current Price]]/Main_L[[#This Row],[BVPS]],""),"")</f>
        <v>3.2550607287449393</v>
      </c>
      <c r="J12">
        <v>-0.43</v>
      </c>
      <c r="K12">
        <v>2.2200000000000002</v>
      </c>
      <c r="L12">
        <v>1.59</v>
      </c>
      <c r="M12" s="1">
        <f>IF(ISNUMBER(Main_L[[#This Row],[EPS]]),IF(Main_L[[#This Row],[EPS]]&lt;&gt;0,Main_L[[#This Row],[Current Price]]/Main_L[[#This Row],[EPS]],""),"")</f>
        <v>-742.15384615384619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0.63087875325306109</v>
      </c>
      <c r="P12" s="1">
        <f>(Main_L[[#This Row],[P/B]]-VLOOKUP(Main_L[[#This Row],[Industry]], Mean_PB_L, 2, FALSE))/(VLOOKUP(Main_L[[#This Row],[Industry]], Mean_PB_L, 3, FALSE))</f>
        <v>-0.7329680473632143</v>
      </c>
      <c r="Q12" s="1">
        <f>(Main_L[[#This Row],[ROE]]-VLOOKUP(Main_L[[#This Row],[Industry]], Mean_ROE_L, 2, FALSE))/(VLOOKUP(Main_L[[#This Row],[Industry]], Mean_ROE_L, 3, FALSE))</f>
        <v>-0.54178484831317431</v>
      </c>
      <c r="R12" s="1">
        <f>(Main_L[[#This Row],[ROA]]-VLOOKUP(Main_L[[#This Row],[Industry]], Mean_ROA_L, 2, FALSE))/(VLOOKUP(Main_L[[#This Row],[Industry]], Mean_ROA_L, 3, FALSE))</f>
        <v>-0.6097964914156615</v>
      </c>
      <c r="S12" s="1">
        <f>(Main_L[[#This Row],[A/E]]-VLOOKUP(Main_L[[#This Row],[Industry]], Mean_AE_L, 2, FALSE))/(VLOOKUP(Main_L[[#This Row],[Industry]], Mean_AE_L, 3, FALSE))</f>
        <v>-0.84493148964374609</v>
      </c>
      <c r="T12" s="1">
        <f>(Main_L[[#This Row],[P/E]]-VLOOKUP(Main_L[[#This Row],[Industry]], Mean_PE_L, 2, FALSE))/(VLOOKUP(Main_L[[#This Row],[Industry]], Mean_PE_L, 3, FALSE))</f>
        <v>-18.349641389277732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3" spans="1:26" x14ac:dyDescent="0.25">
      <c r="A13" t="s">
        <v>108</v>
      </c>
      <c r="B13" t="s">
        <v>135</v>
      </c>
      <c r="C13" s="2">
        <v>31088</v>
      </c>
      <c r="D13">
        <f>RTD("tos.rtd", , "LAST", Main_L[[#This Row],[Symbol]])</f>
        <v>143</v>
      </c>
      <c r="E13">
        <v>5.97</v>
      </c>
      <c r="F13">
        <v>0.47</v>
      </c>
      <c r="G13">
        <v>2.97</v>
      </c>
      <c r="H13" s="1">
        <f>IF(ISNUMBER(Main_L[[#This Row],[Free CF]]),IF(Main_L[[#This Row],[Free CF]]&lt;&gt;0,Main_L[[#This Row],[Current Price]]/Main_L[[#This Row],[Free CF]],""),"")</f>
        <v>23.953098827470686</v>
      </c>
      <c r="I13" s="1">
        <f>IF(ISNUMBER(Main_L[[#This Row],[BVPS]]),IF(Main_L[[#This Row],[BVPS]]&lt;&gt;0,Main_L[[#This Row],[Current Price]]/Main_L[[#This Row],[BVPS]],""),"")</f>
        <v>304.25531914893617</v>
      </c>
      <c r="J13">
        <v>68.510000000000005</v>
      </c>
      <c r="K13">
        <v>4.18</v>
      </c>
      <c r="L13">
        <v>205.93</v>
      </c>
      <c r="M13" s="1">
        <f>IF(ISNUMBER(Main_L[[#This Row],[EPS]]),IF(Main_L[[#This Row],[EPS]]&lt;&gt;0,Main_L[[#This Row],[Current Price]]/Main_L[[#This Row],[EPS]],""),"")</f>
        <v>48.148148148148145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-0.65900849828333052</v>
      </c>
      <c r="P13" s="1">
        <f>(Main_L[[#This Row],[P/B]]-VLOOKUP(Main_L[[#This Row],[Industry]], Mean_PB_L, 2, FALSE))/(VLOOKUP(Main_L[[#This Row],[Industry]], Mean_PB_L, 3, FALSE))</f>
        <v>35.921509455850263</v>
      </c>
      <c r="Q13" s="1">
        <f>(Main_L[[#This Row],[ROE]]-VLOOKUP(Main_L[[#This Row],[Industry]], Mean_ROE_L, 2, FALSE))/(VLOOKUP(Main_L[[#This Row],[Industry]], Mean_ROE_L, 3, FALSE))</f>
        <v>3.5516406958714688</v>
      </c>
      <c r="R13" s="1">
        <f>(Main_L[[#This Row],[ROA]]-VLOOKUP(Main_L[[#This Row],[Industry]], Mean_ROA_L, 2, FALSE))/(VLOOKUP(Main_L[[#This Row],[Industry]], Mean_ROA_L, 3, FALSE))</f>
        <v>-0.14383114125008775</v>
      </c>
      <c r="S13" s="1">
        <f>(Main_L[[#This Row],[A/E]]-VLOOKUP(Main_L[[#This Row],[Industry]], Mean_AE_L, 2, FALSE))/(VLOOKUP(Main_L[[#This Row],[Industry]], Mean_AE_L, 3, FALSE))</f>
        <v>352.10900498831865</v>
      </c>
      <c r="T13" s="1">
        <f>(Main_L[[#This Row],[P/E]]-VLOOKUP(Main_L[[#This Row],[Industry]], Mean_PE_L, 2, FALSE))/(VLOOKUP(Main_L[[#This Row],[Industry]], Mean_PE_L, 3, FALSE))</f>
        <v>0.394488674158891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t="s">
        <v>108</v>
      </c>
      <c r="B14" t="s">
        <v>136</v>
      </c>
      <c r="C14" s="2">
        <v>491709</v>
      </c>
      <c r="D14">
        <f>RTD("tos.rtd", , "LAST", Main_L[[#This Row],[Symbol]])</f>
        <v>1138.44</v>
      </c>
      <c r="E14">
        <v>17.38</v>
      </c>
      <c r="F14">
        <v>56.45</v>
      </c>
      <c r="G14">
        <v>21.15</v>
      </c>
      <c r="H14" s="1">
        <f>IF(ISNUMBER(Main_L[[#This Row],[Free CF]]),IF(Main_L[[#This Row],[Free CF]]&lt;&gt;0,Main_L[[#This Row],[Current Price]]/Main_L[[#This Row],[Free CF]],""),"")</f>
        <v>65.50287686996549</v>
      </c>
      <c r="I14" s="1">
        <f>IF(ISNUMBER(Main_L[[#This Row],[BVPS]]),IF(Main_L[[#This Row],[BVPS]]&lt;&gt;0,Main_L[[#This Row],[Current Price]]/Main_L[[#This Row],[BVPS]],""),"")</f>
        <v>20.167227635075289</v>
      </c>
      <c r="J14">
        <v>40.840000000000003</v>
      </c>
      <c r="K14">
        <v>13.79</v>
      </c>
      <c r="L14">
        <v>2.17</v>
      </c>
      <c r="M14" s="1">
        <f>IF(ISNUMBER(Main_L[[#This Row],[EPS]]),IF(Main_L[[#This Row],[EPS]]&lt;&gt;0,Main_L[[#This Row],[Current Price]]/Main_L[[#This Row],[EPS]],""),"")</f>
        <v>53.826950354609934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1.6600653494959103</v>
      </c>
      <c r="P14" s="1">
        <f>(Main_L[[#This Row],[P/B]]-VLOOKUP(Main_L[[#This Row],[Industry]], Mean_PB_L, 2, FALSE))/(VLOOKUP(Main_L[[#This Row],[Industry]], Mean_PB_L, 3, FALSE))</f>
        <v>1.3265206874713524</v>
      </c>
      <c r="Q14" s="1">
        <f>(Main_L[[#This Row],[ROE]]-VLOOKUP(Main_L[[#This Row],[Industry]], Mean_ROE_L, 2, FALSE))/(VLOOKUP(Main_L[[#This Row],[Industry]], Mean_ROE_L, 3, FALSE))</f>
        <v>1.9086890740613576</v>
      </c>
      <c r="R14" s="1">
        <f>(Main_L[[#This Row],[ROA]]-VLOOKUP(Main_L[[#This Row],[Industry]], Mean_ROA_L, 2, FALSE))/(VLOOKUP(Main_L[[#This Row],[Industry]], Mean_ROA_L, 3, FALSE))</f>
        <v>2.1408254991025473</v>
      </c>
      <c r="S14" s="1">
        <f>(Main_L[[#This Row],[A/E]]-VLOOKUP(Main_L[[#This Row],[Industry]], Mean_AE_L, 2, FALSE))/(VLOOKUP(Main_L[[#This Row],[Industry]], Mean_AE_L, 3, FALSE))</f>
        <v>0.15689528512975959</v>
      </c>
      <c r="T14" s="1">
        <f>(Main_L[[#This Row],[P/E]]-VLOOKUP(Main_L[[#This Row],[Industry]], Mean_PE_L, 2, FALSE))/(VLOOKUP(Main_L[[#This Row],[Industry]], Mean_PE_L, 3, FALSE))</f>
        <v>0.52917668953770025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t="s">
        <v>108</v>
      </c>
      <c r="B15" t="s">
        <v>137</v>
      </c>
      <c r="C15" s="2">
        <v>134743</v>
      </c>
      <c r="D15">
        <f>RTD("tos.rtd", , "LAST", Main_L[[#This Row],[Symbol]])</f>
        <v>620.07000000000005</v>
      </c>
      <c r="E15">
        <v>13.97</v>
      </c>
      <c r="F15">
        <v>32.96</v>
      </c>
      <c r="G15">
        <v>6.05</v>
      </c>
      <c r="H15" s="1">
        <f>IF(ISNUMBER(Main_L[[#This Row],[Free CF]]),IF(Main_L[[#This Row],[Free CF]]&lt;&gt;0,Main_L[[#This Row],[Current Price]]/Main_L[[#This Row],[Free CF]],""),"")</f>
        <v>44.385826771653548</v>
      </c>
      <c r="I15" s="1">
        <f>IF(ISNUMBER(Main_L[[#This Row],[BVPS]]),IF(Main_L[[#This Row],[BVPS]]&lt;&gt;0,Main_L[[#This Row],[Current Price]]/Main_L[[#This Row],[BVPS]],""),"")</f>
        <v>18.812803398058254</v>
      </c>
      <c r="J15">
        <v>24.4</v>
      </c>
      <c r="K15">
        <v>10.050000000000001</v>
      </c>
      <c r="L15">
        <v>2.0299999999999998</v>
      </c>
      <c r="M15" s="1">
        <f>IF(ISNUMBER(Main_L[[#This Row],[EPS]]),IF(Main_L[[#This Row],[EPS]]&lt;&gt;0,Main_L[[#This Row],[Current Price]]/Main_L[[#This Row],[EPS]],""),"")</f>
        <v>102.4909090909091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0.48143092754656963</v>
      </c>
      <c r="P15" s="1">
        <f>(Main_L[[#This Row],[P/B]]-VLOOKUP(Main_L[[#This Row],[Industry]], Mean_PB_L, 2, FALSE))/(VLOOKUP(Main_L[[#This Row],[Industry]], Mean_PB_L, 3, FALSE))</f>
        <v>1.1615849063988877</v>
      </c>
      <c r="Q15" s="1">
        <f>(Main_L[[#This Row],[ROE]]-VLOOKUP(Main_L[[#This Row],[Industry]], Mean_ROE_L, 2, FALSE))/(VLOOKUP(Main_L[[#This Row],[Industry]], Mean_ROE_L, 3, FALSE))</f>
        <v>0.93253711661436667</v>
      </c>
      <c r="R15" s="1">
        <f>(Main_L[[#This Row],[ROA]]-VLOOKUP(Main_L[[#This Row],[Industry]], Mean_ROA_L, 2, FALSE))/(VLOOKUP(Main_L[[#This Row],[Industry]], Mean_ROA_L, 3, FALSE))</f>
        <v>1.2516875350110956</v>
      </c>
      <c r="S15" s="1">
        <f>(Main_L[[#This Row],[A/E]]-VLOOKUP(Main_L[[#This Row],[Industry]], Mean_AE_L, 2, FALSE))/(VLOOKUP(Main_L[[#This Row],[Industry]], Mean_AE_L, 3, FALSE))</f>
        <v>-8.492497085005242E-2</v>
      </c>
      <c r="T15" s="1">
        <f>(Main_L[[#This Row],[P/E]]-VLOOKUP(Main_L[[#This Row],[Industry]], Mean_PE_L, 2, FALSE))/(VLOOKUP(Main_L[[#This Row],[Industry]], Mean_PE_L, 3, FALSE))</f>
        <v>1.6833729063402909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t="s">
        <v>108</v>
      </c>
      <c r="B16" t="s">
        <v>138</v>
      </c>
      <c r="C16" s="2">
        <v>13838</v>
      </c>
      <c r="D16">
        <f>RTD("tos.rtd", , "LAST", Main_L[[#This Row],[Symbol]])</f>
        <v>164.48</v>
      </c>
      <c r="E16">
        <v>6.25</v>
      </c>
      <c r="F16">
        <v>50.38</v>
      </c>
      <c r="G16">
        <v>0.02</v>
      </c>
      <c r="H16" s="1">
        <f>IF(ISNUMBER(Main_L[[#This Row],[Free CF]]),IF(Main_L[[#This Row],[Free CF]]&lt;&gt;0,Main_L[[#This Row],[Current Price]]/Main_L[[#This Row],[Free CF]],""),"")</f>
        <v>26.316799999999997</v>
      </c>
      <c r="I16" s="1">
        <f>IF(ISNUMBER(Main_L[[#This Row],[BVPS]]),IF(Main_L[[#This Row],[BVPS]]&lt;&gt;0,Main_L[[#This Row],[Current Price]]/Main_L[[#This Row],[BVPS]],""),"")</f>
        <v>3.264787614132592</v>
      </c>
      <c r="J16">
        <v>7.0000000000000007E-2</v>
      </c>
      <c r="K16">
        <v>1.39</v>
      </c>
      <c r="L16">
        <v>3.1</v>
      </c>
      <c r="M16" s="1">
        <f>IF(ISNUMBER(Main_L[[#This Row],[EPS]]),IF(Main_L[[#This Row],[EPS]]&lt;&gt;0,Main_L[[#This Row],[Current Price]]/Main_L[[#This Row],[EPS]],""),"")</f>
        <v>8224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-0.52708005410315761</v>
      </c>
      <c r="P16" s="1">
        <f>(Main_L[[#This Row],[P/B]]-VLOOKUP(Main_L[[#This Row],[Industry]], Mean_PB_L, 2, FALSE))/(VLOOKUP(Main_L[[#This Row],[Industry]], Mean_PB_L, 3, FALSE))</f>
        <v>-0.73178355036813092</v>
      </c>
      <c r="Q16" s="1">
        <f>(Main_L[[#This Row],[ROE]]-VLOOKUP(Main_L[[#This Row],[Industry]], Mean_ROE_L, 2, FALSE))/(VLOOKUP(Main_L[[#This Row],[Industry]], Mean_ROE_L, 3, FALSE))</f>
        <v>-0.51209652843948239</v>
      </c>
      <c r="R16" s="1">
        <f>(Main_L[[#This Row],[ROA]]-VLOOKUP(Main_L[[#This Row],[Industry]], Mean_ROA_L, 2, FALSE))/(VLOOKUP(Main_L[[#This Row],[Industry]], Mean_ROA_L, 3, FALSE))</f>
        <v>-0.80711855296536894</v>
      </c>
      <c r="S16" s="1">
        <f>(Main_L[[#This Row],[A/E]]-VLOOKUP(Main_L[[#This Row],[Industry]], Mean_AE_L, 2, FALSE))/(VLOOKUP(Main_L[[#This Row],[Industry]], Mean_AE_L, 3, FALSE))</f>
        <v>1.7632726998527952</v>
      </c>
      <c r="T16" s="1">
        <f>(Main_L[[#This Row],[P/E]]-VLOOKUP(Main_L[[#This Row],[Industry]], Mean_PE_L, 2, FALSE))/(VLOOKUP(Main_L[[#This Row],[Industry]], Mean_PE_L, 3, FALSE))</f>
        <v>194.30672930547874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7" spans="1:26" x14ac:dyDescent="0.25">
      <c r="A17" t="s">
        <v>108</v>
      </c>
      <c r="B17" t="s">
        <v>139</v>
      </c>
      <c r="C17" s="2">
        <v>21958</v>
      </c>
      <c r="D17">
        <f>RTD("tos.rtd", , "LAST", Main_L[[#This Row],[Symbol]])</f>
        <v>14.69</v>
      </c>
      <c r="E17">
        <v>0.82</v>
      </c>
      <c r="F17">
        <v>6.05</v>
      </c>
      <c r="G17">
        <v>0.57999999999999996</v>
      </c>
      <c r="H17" s="1">
        <f>IF(ISNUMBER(Main_L[[#This Row],[Free CF]]),IF(Main_L[[#This Row],[Free CF]]&lt;&gt;0,Main_L[[#This Row],[Current Price]]/Main_L[[#This Row],[Free CF]],""),"")</f>
        <v>17.914634146341463</v>
      </c>
      <c r="I17" s="1">
        <f>IF(ISNUMBER(Main_L[[#This Row],[BVPS]]),IF(Main_L[[#This Row],[BVPS]]&lt;&gt;0,Main_L[[#This Row],[Current Price]]/Main_L[[#This Row],[BVPS]],""),"")</f>
        <v>2.428099173553719</v>
      </c>
      <c r="J17">
        <v>11.2</v>
      </c>
      <c r="K17">
        <v>5.7</v>
      </c>
      <c r="L17">
        <v>1.33</v>
      </c>
      <c r="M17" s="1">
        <f>IF(ISNUMBER(Main_L[[#This Row],[EPS]]),IF(Main_L[[#This Row],[EPS]]&lt;&gt;0,Main_L[[#This Row],[Current Price]]/Main_L[[#This Row],[EPS]],""),"")</f>
        <v>25.327586206896552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7" s="1">
        <f>(Main_L[[#This Row],[P/FCF]]-VLOOKUP(Main_L[[#This Row],[Industry]], Mean_PFCF_L, 2, FALSE))/(VLOOKUP(Main_L[[#This Row],[Industry]], Mean_PFCF_L, 3, FALSE))</f>
        <v>-0.99604147854193126</v>
      </c>
      <c r="P17" s="1">
        <f>(Main_L[[#This Row],[P/B]]-VLOOKUP(Main_L[[#This Row],[Industry]], Mean_PB_L, 2, FALSE))/(VLOOKUP(Main_L[[#This Row],[Industry]], Mean_PB_L, 3, FALSE))</f>
        <v>-0.83367176064197246</v>
      </c>
      <c r="Q17" s="1">
        <f>(Main_L[[#This Row],[ROE]]-VLOOKUP(Main_L[[#This Row],[Industry]], Mean_ROE_L, 2, FALSE))/(VLOOKUP(Main_L[[#This Row],[Industry]], Mean_ROE_L, 3, FALSE))</f>
        <v>0.14876547194889983</v>
      </c>
      <c r="R17" s="1">
        <f>(Main_L[[#This Row],[ROA]]-VLOOKUP(Main_L[[#This Row],[Industry]], Mean_ROA_L, 2, FALSE))/(VLOOKUP(Main_L[[#This Row],[Industry]], Mean_ROA_L, 3, FALSE))</f>
        <v>0.217529742551786</v>
      </c>
      <c r="S17" s="1">
        <f>(Main_L[[#This Row],[A/E]]-VLOOKUP(Main_L[[#This Row],[Industry]], Mean_AE_L, 2, FALSE))/(VLOOKUP(Main_L[[#This Row],[Industry]], Mean_AE_L, 3, FALSE))</f>
        <v>-1.2940262507491109</v>
      </c>
      <c r="T17" s="1">
        <f>(Main_L[[#This Row],[P/E]]-VLOOKUP(Main_L[[#This Row],[Industry]], Mean_PE_L, 2, FALSE))/(VLOOKUP(Main_L[[#This Row],[Industry]], Mean_PE_L, 3, FALSE))</f>
        <v>-0.14676211886906754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t="s">
        <v>108</v>
      </c>
      <c r="B18" t="s">
        <v>140</v>
      </c>
      <c r="C18" s="2">
        <v>21176</v>
      </c>
      <c r="D18">
        <f>RTD("tos.rtd", , "LAST", Main_L[[#This Row],[Symbol]])</f>
        <v>9.18</v>
      </c>
      <c r="E18">
        <v>1.81</v>
      </c>
      <c r="F18">
        <v>13.87</v>
      </c>
      <c r="G18">
        <v>-4.62</v>
      </c>
      <c r="H18" s="1">
        <f>IF(ISNUMBER(Main_L[[#This Row],[Free CF]]),IF(Main_L[[#This Row],[Free CF]]&lt;&gt;0,Main_L[[#This Row],[Current Price]]/Main_L[[#This Row],[Free CF]],""),"")</f>
        <v>5.0718232044198892</v>
      </c>
      <c r="I18" s="1">
        <f>IF(ISNUMBER(Main_L[[#This Row],[BVPS]]),IF(Main_L[[#This Row],[BVPS]]&lt;&gt;0,Main_L[[#This Row],[Current Price]]/Main_L[[#This Row],[BVPS]],""),"")</f>
        <v>0.661860129776496</v>
      </c>
      <c r="J18">
        <v>-28.21</v>
      </c>
      <c r="K18">
        <v>0.35</v>
      </c>
      <c r="L18">
        <v>3.07</v>
      </c>
      <c r="M18" s="1">
        <f>IF(ISNUMBER(Main_L[[#This Row],[EPS]]),IF(Main_L[[#This Row],[EPS]]&lt;&gt;0,Main_L[[#This Row],[Current Price]]/Main_L[[#This Row],[EPS]],""),"")</f>
        <v>-1.9870129870129869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-1.7128546214887497</v>
      </c>
      <c r="P18" s="1">
        <f>(Main_L[[#This Row],[P/B]]-VLOOKUP(Main_L[[#This Row],[Industry]], Mean_PB_L, 2, FALSE))/(VLOOKUP(Main_L[[#This Row],[Industry]], Mean_PB_L, 3, FALSE))</f>
        <v>-1.0487565238086962</v>
      </c>
      <c r="Q18" s="1">
        <f>(Main_L[[#This Row],[ROE]]-VLOOKUP(Main_L[[#This Row],[Industry]], Mean_ROE_L, 2, FALSE))/(VLOOKUP(Main_L[[#This Row],[Industry]], Mean_ROE_L, 3, FALSE))</f>
        <v>-2.191267900495498</v>
      </c>
      <c r="R18" s="1">
        <f>(Main_L[[#This Row],[ROA]]-VLOOKUP(Main_L[[#This Row],[Industry]], Mean_ROA_L, 2, FALSE))/(VLOOKUP(Main_L[[#This Row],[Industry]], Mean_ROA_L, 3, FALSE))</f>
        <v>-1.0543654734613879</v>
      </c>
      <c r="S18" s="1">
        <f>(Main_L[[#This Row],[A/E]]-VLOOKUP(Main_L[[#This Row],[Industry]], Mean_AE_L, 2, FALSE))/(VLOOKUP(Main_L[[#This Row],[Industry]], Mean_AE_L, 3, FALSE))</f>
        <v>1.7114540735714066</v>
      </c>
      <c r="T18" s="1">
        <f>(Main_L[[#This Row],[P/E]]-VLOOKUP(Main_L[[#This Row],[Industry]], Mean_PE_L, 2, FALSE))/(VLOOKUP(Main_L[[#This Row],[Industry]], Mean_PE_L, 3, FALSE))</f>
        <v>-0.7946010508376965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t="s">
        <v>108</v>
      </c>
      <c r="B19" t="s">
        <v>141</v>
      </c>
      <c r="C19" s="2">
        <v>15658</v>
      </c>
      <c r="D19">
        <f>RTD("tos.rtd", , "LAST", Main_L[[#This Row],[Symbol]])</f>
        <v>27.48</v>
      </c>
      <c r="E19">
        <v>0.97</v>
      </c>
      <c r="F19">
        <v>1.05</v>
      </c>
      <c r="G19">
        <v>0.97</v>
      </c>
      <c r="H19" s="1">
        <f>IF(ISNUMBER(Main_L[[#This Row],[Free CF]]),IF(Main_L[[#This Row],[Free CF]]&lt;&gt;0,Main_L[[#This Row],[Current Price]]/Main_L[[#This Row],[Free CF]],""),"")</f>
        <v>28.329896907216497</v>
      </c>
      <c r="I19" s="1">
        <f>IF(ISNUMBER(Main_L[[#This Row],[BVPS]]),IF(Main_L[[#This Row],[BVPS]]&lt;&gt;0,Main_L[[#This Row],[Current Price]]/Main_L[[#This Row],[BVPS]],""),"")</f>
        <v>26.171428571428571</v>
      </c>
      <c r="J19">
        <v>80.12</v>
      </c>
      <c r="K19">
        <v>6.53</v>
      </c>
      <c r="L19">
        <v>16.78</v>
      </c>
      <c r="M19" s="1">
        <f>IF(ISNUMBER(Main_L[[#This Row],[EPS]]),IF(Main_L[[#This Row],[EPS]]&lt;&gt;0,Main_L[[#This Row],[Current Price]]/Main_L[[#This Row],[EPS]],""),"")</f>
        <v>28.329896907216497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-0.41472035904542814</v>
      </c>
      <c r="P19" s="1">
        <f>(Main_L[[#This Row],[P/B]]-VLOOKUP(Main_L[[#This Row],[Industry]], Mean_PB_L, 2, FALSE))/(VLOOKUP(Main_L[[#This Row],[Industry]], Mean_PB_L, 3, FALSE))</f>
        <v>2.0576856681974007</v>
      </c>
      <c r="Q19" s="1">
        <f>(Main_L[[#This Row],[ROE]]-VLOOKUP(Main_L[[#This Row],[Industry]], Mean_ROE_L, 2, FALSE))/(VLOOKUP(Main_L[[#This Row],[Industry]], Mean_ROE_L, 3, FALSE))</f>
        <v>4.2410034833385959</v>
      </c>
      <c r="R19" s="1">
        <f>(Main_L[[#This Row],[ROA]]-VLOOKUP(Main_L[[#This Row],[Industry]], Mean_ROA_L, 2, FALSE))/(VLOOKUP(Main_L[[#This Row],[Industry]], Mean_ROA_L, 3, FALSE))</f>
        <v>0.4148518041014933</v>
      </c>
      <c r="S19" s="1">
        <f>(Main_L[[#This Row],[A/E]]-VLOOKUP(Main_L[[#This Row],[Industry]], Mean_AE_L, 2, FALSE))/(VLOOKUP(Main_L[[#This Row],[Industry]], Mean_AE_L, 3, FALSE))</f>
        <v>25.392566284165834</v>
      </c>
      <c r="T19" s="1">
        <f>(Main_L[[#This Row],[P/E]]-VLOOKUP(Main_L[[#This Row],[Industry]], Mean_PE_L, 2, FALSE))/(VLOOKUP(Main_L[[#This Row],[Industry]], Mean_PE_L, 3, FALSE))</f>
        <v>-7.5554273433541291E-2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t="s">
        <v>108</v>
      </c>
      <c r="B20" t="s">
        <v>142</v>
      </c>
      <c r="C20" s="2">
        <v>40526</v>
      </c>
      <c r="D20">
        <f>RTD("tos.rtd", , "LAST", Main_L[[#This Row],[Symbol]])</f>
        <v>149.06</v>
      </c>
      <c r="E20">
        <v>7.15</v>
      </c>
      <c r="F20">
        <v>28.34</v>
      </c>
      <c r="G20">
        <v>3.92</v>
      </c>
      <c r="H20" s="1">
        <f>IF(ISNUMBER(Main_L[[#This Row],[Free CF]]),IF(Main_L[[#This Row],[Free CF]]&lt;&gt;0,Main_L[[#This Row],[Current Price]]/Main_L[[#This Row],[Free CF]],""),"")</f>
        <v>20.847552447552445</v>
      </c>
      <c r="I20" s="1">
        <f>IF(ISNUMBER(Main_L[[#This Row],[BVPS]]),IF(Main_L[[#This Row],[BVPS]]&lt;&gt;0,Main_L[[#This Row],[Current Price]]/Main_L[[#This Row],[BVPS]],""),"")</f>
        <v>5.2597035991531405</v>
      </c>
      <c r="J20">
        <v>14.04</v>
      </c>
      <c r="K20">
        <v>7.12</v>
      </c>
      <c r="L20">
        <v>1.81</v>
      </c>
      <c r="M20" s="1">
        <f>IF(ISNUMBER(Main_L[[#This Row],[EPS]]),IF(Main_L[[#This Row],[EPS]]&lt;&gt;0,Main_L[[#This Row],[Current Price]]/Main_L[[#This Row],[EPS]],""),"")</f>
        <v>38.025510204081634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0" s="1">
        <f>(Main_L[[#This Row],[P/FCF]]-VLOOKUP(Main_L[[#This Row],[Industry]], Mean_PFCF_L, 2, FALSE))/(VLOOKUP(Main_L[[#This Row],[Industry]], Mean_PFCF_L, 3, FALSE))</f>
        <v>-0.83234255040192651</v>
      </c>
      <c r="P20" s="1">
        <f>(Main_L[[#This Row],[P/B]]-VLOOKUP(Main_L[[#This Row],[Industry]], Mean_PB_L, 2, FALSE))/(VLOOKUP(Main_L[[#This Row],[Industry]], Mean_PB_L, 3, FALSE))</f>
        <v>-0.48885152274289628</v>
      </c>
      <c r="Q20" s="1">
        <f>(Main_L[[#This Row],[ROE]]-VLOOKUP(Main_L[[#This Row],[Industry]], Mean_ROE_L, 2, FALSE))/(VLOOKUP(Main_L[[#This Row],[Industry]], Mean_ROE_L, 3, FALSE))</f>
        <v>0.31739512883146997</v>
      </c>
      <c r="R20" s="1">
        <f>(Main_L[[#This Row],[ROA]]-VLOOKUP(Main_L[[#This Row],[Industry]], Mean_ROA_L, 2, FALSE))/(VLOOKUP(Main_L[[#This Row],[Industry]], Mean_ROA_L, 3, FALSE))</f>
        <v>0.55511688399827319</v>
      </c>
      <c r="S20" s="1">
        <f>(Main_L[[#This Row],[A/E]]-VLOOKUP(Main_L[[#This Row],[Industry]], Mean_AE_L, 2, FALSE))/(VLOOKUP(Main_L[[#This Row],[Industry]], Mean_AE_L, 3, FALSE))</f>
        <v>-0.46492823024689905</v>
      </c>
      <c r="T20" s="1">
        <f>(Main_L[[#This Row],[P/E]]-VLOOKUP(Main_L[[#This Row],[Industry]], Mean_PE_L, 2, FALSE))/(VLOOKUP(Main_L[[#This Row],[Industry]], Mean_PE_L, 3, FALSE))</f>
        <v>0.15440318332542499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t="s">
        <v>108</v>
      </c>
      <c r="B21" t="s">
        <v>143</v>
      </c>
      <c r="C21" s="2">
        <v>67423</v>
      </c>
      <c r="D21">
        <f>RTD("tos.rtd", , "LAST", Main_L[[#This Row],[Symbol]])</f>
        <v>106.4</v>
      </c>
      <c r="E21">
        <v>1.6</v>
      </c>
      <c r="F21">
        <v>6</v>
      </c>
      <c r="G21">
        <v>1.26</v>
      </c>
      <c r="H21" s="1">
        <f>IF(ISNUMBER(Main_L[[#This Row],[Free CF]]),IF(Main_L[[#This Row],[Free CF]]&lt;&gt;0,Main_L[[#This Row],[Current Price]]/Main_L[[#This Row],[Free CF]],""),"")</f>
        <v>66.5</v>
      </c>
      <c r="I21" s="1">
        <f>IF(ISNUMBER(Main_L[[#This Row],[BVPS]]),IF(Main_L[[#This Row],[BVPS]]&lt;&gt;0,Main_L[[#This Row],[Current Price]]/Main_L[[#This Row],[BVPS]],""),"")</f>
        <v>17.733333333333334</v>
      </c>
      <c r="J21">
        <v>22.36</v>
      </c>
      <c r="K21">
        <v>9.68</v>
      </c>
      <c r="L21">
        <v>1.41</v>
      </c>
      <c r="M21" s="1">
        <f>IF(ISNUMBER(Main_L[[#This Row],[EPS]]),IF(Main_L[[#This Row],[EPS]]&lt;&gt;0,Main_L[[#This Row],[Current Price]]/Main_L[[#This Row],[EPS]],""),"")</f>
        <v>84.444444444444443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1.7157191287173978</v>
      </c>
      <c r="P21" s="1">
        <f>(Main_L[[#This Row],[P/B]]-VLOOKUP(Main_L[[#This Row],[Industry]], Mean_PB_L, 2, FALSE))/(VLOOKUP(Main_L[[#This Row],[Industry]], Mean_PB_L, 3, FALSE))</f>
        <v>1.0301318258915064</v>
      </c>
      <c r="Q21" s="1">
        <f>(Main_L[[#This Row],[ROE]]-VLOOKUP(Main_L[[#This Row],[Industry]], Mean_ROE_L, 2, FALSE))/(VLOOKUP(Main_L[[#This Row],[Industry]], Mean_ROE_L, 3, FALSE))</f>
        <v>0.8114087715297037</v>
      </c>
      <c r="R21" s="1">
        <f>(Main_L[[#This Row],[ROA]]-VLOOKUP(Main_L[[#This Row],[Industry]], Mean_ROA_L, 2, FALSE))/(VLOOKUP(Main_L[[#This Row],[Industry]], Mean_ROA_L, 3, FALSE))</f>
        <v>1.1637246882961656</v>
      </c>
      <c r="S21" s="1">
        <f>(Main_L[[#This Row],[A/E]]-VLOOKUP(Main_L[[#This Row],[Industry]], Mean_AE_L, 2, FALSE))/(VLOOKUP(Main_L[[#This Row],[Industry]], Mean_AE_L, 3, FALSE))</f>
        <v>-1.1558432473320759</v>
      </c>
      <c r="T21" s="1">
        <f>(Main_L[[#This Row],[P/E]]-VLOOKUP(Main_L[[#This Row],[Industry]], Mean_PE_L, 2, FALSE))/(VLOOKUP(Main_L[[#This Row],[Industry]], Mean_PE_L, 3, FALSE))</f>
        <v>1.2553526268048649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t="s">
        <v>108</v>
      </c>
      <c r="B22" t="s">
        <v>144</v>
      </c>
      <c r="C22" s="2">
        <v>47778</v>
      </c>
      <c r="D22">
        <f>RTD("tos.rtd", , "LAST", Main_L[[#This Row],[Symbol]])</f>
        <v>77.02</v>
      </c>
      <c r="E22">
        <v>1.34</v>
      </c>
      <c r="F22">
        <v>0.46</v>
      </c>
      <c r="G22">
        <v>-1.34</v>
      </c>
      <c r="H22" s="1">
        <f>IF(ISNUMBER(Main_L[[#This Row],[Free CF]]),IF(Main_L[[#This Row],[Free CF]]&lt;&gt;0,Main_L[[#This Row],[Current Price]]/Main_L[[#This Row],[Free CF]],""),"")</f>
        <v>57.477611940298502</v>
      </c>
      <c r="I22" s="1">
        <f>IF(ISNUMBER(Main_L[[#This Row],[BVPS]]),IF(Main_L[[#This Row],[BVPS]]&lt;&gt;0,Main_L[[#This Row],[Current Price]]/Main_L[[#This Row],[BVPS]],""),"")</f>
        <v>167.43478260869563</v>
      </c>
      <c r="J22">
        <v>-492.67</v>
      </c>
      <c r="K22">
        <v>-9.06</v>
      </c>
      <c r="L22">
        <v>23.99</v>
      </c>
      <c r="M22" s="1">
        <f>IF(ISNUMBER(Main_L[[#This Row],[EPS]]),IF(Main_L[[#This Row],[EPS]]&lt;&gt;0,Main_L[[#This Row],[Current Price]]/Main_L[[#This Row],[EPS]],""),"")</f>
        <v>-57.477611940298502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1.212140405086914</v>
      </c>
      <c r="P22" s="1">
        <f>(Main_L[[#This Row],[P/B]]-VLOOKUP(Main_L[[#This Row],[Industry]], Mean_PB_L, 2, FALSE))/(VLOOKUP(Main_L[[#This Row],[Industry]], Mean_PB_L, 3, FALSE))</f>
        <v>19.260110874620906</v>
      </c>
      <c r="Q22" s="1">
        <f>(Main_L[[#This Row],[ROE]]-VLOOKUP(Main_L[[#This Row],[Industry]], Mean_ROE_L, 2, FALSE))/(VLOOKUP(Main_L[[#This Row],[Industry]], Mean_ROE_L, 3, FALSE))</f>
        <v>-29.769341997565405</v>
      </c>
      <c r="R22" s="1">
        <f>(Main_L[[#This Row],[ROA]]-VLOOKUP(Main_L[[#This Row],[Industry]], Mean_ROA_L, 2, FALSE))/(VLOOKUP(Main_L[[#This Row],[Industry]], Mean_ROA_L, 3, FALSE))</f>
        <v>-3.2914746291032499</v>
      </c>
      <c r="S22" s="1">
        <f>(Main_L[[#This Row],[A/E]]-VLOOKUP(Main_L[[#This Row],[Industry]], Mean_AE_L, 2, FALSE))/(VLOOKUP(Main_L[[#This Row],[Industry]], Mean_AE_L, 3, FALSE))</f>
        <v>37.84630946712614</v>
      </c>
      <c r="T22" s="1">
        <f>(Main_L[[#This Row],[P/E]]-VLOOKUP(Main_L[[#This Row],[Industry]], Mean_PE_L, 2, FALSE))/(VLOOKUP(Main_L[[#This Row],[Industry]], Mean_PE_L, 3, FALSE))</f>
        <v>-2.1107093380210471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t="s">
        <v>108</v>
      </c>
      <c r="B23" t="s">
        <v>145</v>
      </c>
      <c r="C23" s="2">
        <v>84381</v>
      </c>
      <c r="D23">
        <f>RTD("tos.rtd", , "LAST", Main_L[[#This Row],[Symbol]])</f>
        <v>154.13</v>
      </c>
      <c r="E23">
        <v>5.14</v>
      </c>
      <c r="F23">
        <v>14.21</v>
      </c>
      <c r="G23">
        <v>0.74</v>
      </c>
      <c r="H23" s="1">
        <f>IF(ISNUMBER(Main_L[[#This Row],[Free CF]]),IF(Main_L[[#This Row],[Free CF]]&lt;&gt;0,Main_L[[#This Row],[Current Price]]/Main_L[[#This Row],[Free CF]],""),"")</f>
        <v>29.9863813229572</v>
      </c>
      <c r="I23" s="1">
        <f>IF(ISNUMBER(Main_L[[#This Row],[BVPS]]),IF(Main_L[[#This Row],[BVPS]]&lt;&gt;0,Main_L[[#This Row],[Current Price]]/Main_L[[#This Row],[BVPS]],""),"")</f>
        <v>10.846586910626318</v>
      </c>
      <c r="J23">
        <v>5.9</v>
      </c>
      <c r="K23">
        <v>1.99</v>
      </c>
      <c r="L23">
        <v>2.7</v>
      </c>
      <c r="M23" s="1">
        <f>IF(ISNUMBER(Main_L[[#This Row],[EPS]]),IF(Main_L[[#This Row],[EPS]]&lt;&gt;0,Main_L[[#This Row],[Current Price]]/Main_L[[#This Row],[EPS]],""),"")</f>
        <v>208.28378378378378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-0.32226475834717033</v>
      </c>
      <c r="P23" s="1">
        <f>(Main_L[[#This Row],[P/B]]-VLOOKUP(Main_L[[#This Row],[Industry]], Mean_PB_L, 2, FALSE))/(VLOOKUP(Main_L[[#This Row],[Industry]], Mean_PB_L, 3, FALSE))</f>
        <v>0.19149436708553377</v>
      </c>
      <c r="Q23" s="1">
        <f>(Main_L[[#This Row],[ROE]]-VLOOKUP(Main_L[[#This Row],[Industry]], Mean_ROE_L, 2, FALSE))/(VLOOKUP(Main_L[[#This Row],[Industry]], Mean_ROE_L, 3, FALSE))</f>
        <v>-0.16593071871223453</v>
      </c>
      <c r="R23" s="1">
        <f>(Main_L[[#This Row],[ROA]]-VLOOKUP(Main_L[[#This Row],[Industry]], Mean_ROA_L, 2, FALSE))/(VLOOKUP(Main_L[[#This Row],[Industry]], Mean_ROA_L, 3, FALSE))</f>
        <v>-0.66447609883305037</v>
      </c>
      <c r="S23" s="1">
        <f>(Main_L[[#This Row],[A/E]]-VLOOKUP(Main_L[[#This Row],[Industry]], Mean_AE_L, 2, FALSE))/(VLOOKUP(Main_L[[#This Row],[Industry]], Mean_AE_L, 3, FALSE))</f>
        <v>1.0723576827676189</v>
      </c>
      <c r="T23" s="1">
        <f>(Main_L[[#This Row],[P/E]]-VLOOKUP(Main_L[[#This Row],[Industry]], Mean_PE_L, 2, FALSE))/(VLOOKUP(Main_L[[#This Row],[Industry]], Mean_PE_L, 3, FALSE))</f>
        <v>4.1925344892861931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4" spans="1:26" x14ac:dyDescent="0.25">
      <c r="A24" t="s">
        <v>108</v>
      </c>
      <c r="B24" t="s">
        <v>146</v>
      </c>
      <c r="C24" s="2">
        <v>39948</v>
      </c>
      <c r="D24">
        <f>RTD("tos.rtd", , "LAST", Main_L[[#This Row],[Symbol]])</f>
        <v>226.16</v>
      </c>
      <c r="E24">
        <v>-2.85</v>
      </c>
      <c r="F24">
        <v>32.32</v>
      </c>
      <c r="G24">
        <v>-21.06</v>
      </c>
      <c r="H24" s="1">
        <f>IF(ISNUMBER(Main_L[[#This Row],[Free CF]]),IF(Main_L[[#This Row],[Free CF]]&lt;&gt;0,Main_L[[#This Row],[Current Price]]/Main_L[[#This Row],[Free CF]],""),"")</f>
        <v>-79.354385964912282</v>
      </c>
      <c r="I24" s="1">
        <f>IF(ISNUMBER(Main_L[[#This Row],[BVPS]]),IF(Main_L[[#This Row],[BVPS]]&lt;&gt;0,Main_L[[#This Row],[Current Price]]/Main_L[[#This Row],[BVPS]],""),"")</f>
        <v>6.9975247524752477</v>
      </c>
      <c r="J24">
        <v>-51.45</v>
      </c>
      <c r="K24">
        <v>-2.48</v>
      </c>
      <c r="L24">
        <v>2.2200000000000002</v>
      </c>
      <c r="M24" s="1">
        <f>IF(ISNUMBER(Main_L[[#This Row],[EPS]]),IF(Main_L[[#This Row],[EPS]]&lt;&gt;0,Main_L[[#This Row],[Current Price]]/Main_L[[#This Row],[EPS]],""),"")</f>
        <v>-10.738841405508072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-6.4250485964239328</v>
      </c>
      <c r="P24" s="1">
        <f>(Main_L[[#This Row],[P/B]]-VLOOKUP(Main_L[[#This Row],[Industry]], Mean_PB_L, 2, FALSE))/(VLOOKUP(Main_L[[#This Row],[Industry]], Mean_PB_L, 3, FALSE))</f>
        <v>-0.27722736433393219</v>
      </c>
      <c r="Q24" s="1">
        <f>(Main_L[[#This Row],[ROE]]-VLOOKUP(Main_L[[#This Row],[Industry]], Mean_ROE_L, 2, FALSE))/(VLOOKUP(Main_L[[#This Row],[Industry]], Mean_ROE_L, 3, FALSE))</f>
        <v>-3.5711810082246989</v>
      </c>
      <c r="R24" s="1">
        <f>(Main_L[[#This Row],[ROA]]-VLOOKUP(Main_L[[#This Row],[Industry]], Mean_ROA_L, 2, FALSE))/(VLOOKUP(Main_L[[#This Row],[Industry]], Mean_ROA_L, 3, FALSE))</f>
        <v>-1.7271623821188233</v>
      </c>
      <c r="S24" s="1">
        <f>(Main_L[[#This Row],[A/E]]-VLOOKUP(Main_L[[#This Row],[Industry]], Mean_AE_L, 2, FALSE))/(VLOOKUP(Main_L[[#This Row],[Industry]], Mean_AE_L, 3, FALSE))</f>
        <v>0.2432596622654071</v>
      </c>
      <c r="T24" s="1">
        <f>(Main_L[[#This Row],[P/E]]-VLOOKUP(Main_L[[#This Row],[Industry]], Mean_PE_L, 2, FALSE))/(VLOOKUP(Main_L[[#This Row],[Industry]], Mean_PE_L, 3, FALSE))</f>
        <v>-1.0021741195530802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t="s">
        <v>109</v>
      </c>
      <c r="B25" t="s">
        <v>147</v>
      </c>
      <c r="C25" s="2">
        <v>29805</v>
      </c>
      <c r="D25">
        <f>RTD("tos.rtd", , "LAST", Main_L[[#This Row],[Symbol]])</f>
        <v>91.09</v>
      </c>
      <c r="E25">
        <v>5.0999999999999996</v>
      </c>
      <c r="F25">
        <v>104.55</v>
      </c>
      <c r="G25">
        <v>9.0399999999999991</v>
      </c>
      <c r="H25" s="1">
        <f>IF(ISNUMBER(Main_L[[#This Row],[Free CF]]),IF(Main_L[[#This Row],[Free CF]]&lt;&gt;0,Main_L[[#This Row],[Current Price]]/Main_L[[#This Row],[Free CF]],""),"")</f>
        <v>17.860784313725492</v>
      </c>
      <c r="I25" s="1">
        <f>IF(ISNUMBER(Main_L[[#This Row],[BVPS]]),IF(Main_L[[#This Row],[BVPS]]&lt;&gt;0,Main_L[[#This Row],[Current Price]]/Main_L[[#This Row],[BVPS]],""),"")</f>
        <v>0.8712577714012435</v>
      </c>
      <c r="J25">
        <v>8.85</v>
      </c>
      <c r="K25">
        <v>3.2</v>
      </c>
      <c r="L25">
        <v>1.62</v>
      </c>
      <c r="M25" s="1">
        <f>IF(ISNUMBER(Main_L[[#This Row],[EPS]]),IF(Main_L[[#This Row],[EPS]]&lt;&gt;0,Main_L[[#This Row],[Current Price]]/Main_L[[#This Row],[EPS]],""),"")</f>
        <v>10.07632743362832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-1.0862713482437756</v>
      </c>
      <c r="P25" s="1">
        <f>(Main_L[[#This Row],[P/B]]-VLOOKUP(Main_L[[#This Row],[Industry]], Mean_PB_L, 2, FALSE))/(VLOOKUP(Main_L[[#This Row],[Industry]], Mean_PB_L, 3, FALSE))</f>
        <v>-3.3931540270076566</v>
      </c>
      <c r="Q25" s="1">
        <f>(Main_L[[#This Row],[ROE]]-VLOOKUP(Main_L[[#This Row],[Industry]], Mean_ROE_L, 2, FALSE))/(VLOOKUP(Main_L[[#This Row],[Industry]], Mean_ROE_L, 3, FALSE))</f>
        <v>-0.52236971564427315</v>
      </c>
      <c r="R25" s="1">
        <f>(Main_L[[#This Row],[ROA]]-VLOOKUP(Main_L[[#This Row],[Industry]], Mean_ROA_L, 2, FALSE))/(VLOOKUP(Main_L[[#This Row],[Industry]], Mean_ROA_L, 3, FALSE))</f>
        <v>-0.50537305966041446</v>
      </c>
      <c r="S25" s="1">
        <f>(Main_L[[#This Row],[A/E]]-VLOOKUP(Main_L[[#This Row],[Industry]], Mean_AE_L, 2, FALSE))/(VLOOKUP(Main_L[[#This Row],[Industry]], Mean_AE_L, 3, FALSE))</f>
        <v>1.4152786571764653</v>
      </c>
      <c r="T25" s="1">
        <f>(Main_L[[#This Row],[P/E]]-VLOOKUP(Main_L[[#This Row],[Industry]], Mean_PE_L, 2, FALSE))/(VLOOKUP(Main_L[[#This Row],[Industry]], Mean_PE_L, 3, FALSE))</f>
        <v>-1.2389268650860645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t="s">
        <v>109</v>
      </c>
      <c r="B26" t="s">
        <v>148</v>
      </c>
      <c r="C26" s="2">
        <v>1854190</v>
      </c>
      <c r="D26">
        <f>RTD("tos.rtd", , "LAST", Main_L[[#This Row],[Symbol]])</f>
        <v>160.88999999999999</v>
      </c>
      <c r="E26">
        <v>6.11</v>
      </c>
      <c r="F26">
        <v>28.41</v>
      </c>
      <c r="G26">
        <v>8.9600000000000009</v>
      </c>
      <c r="H26" s="1">
        <f>IF(ISNUMBER(Main_L[[#This Row],[Free CF]]),IF(Main_L[[#This Row],[Free CF]]&lt;&gt;0,Main_L[[#This Row],[Current Price]]/Main_L[[#This Row],[Free CF]],""),"")</f>
        <v>26.332242225859243</v>
      </c>
      <c r="I26" s="1">
        <f>IF(ISNUMBER(Main_L[[#This Row],[BVPS]]),IF(Main_L[[#This Row],[BVPS]]&lt;&gt;0,Main_L[[#This Row],[Current Price]]/Main_L[[#This Row],[BVPS]],""),"")</f>
        <v>5.6631467793030614</v>
      </c>
      <c r="J26">
        <v>34.79</v>
      </c>
      <c r="K26">
        <v>16.899999999999999</v>
      </c>
      <c r="L26">
        <v>1.38</v>
      </c>
      <c r="M26" s="1">
        <f>IF(ISNUMBER(Main_L[[#This Row],[EPS]]),IF(Main_L[[#This Row],[EPS]]&lt;&gt;0,Main_L[[#This Row],[Current Price]]/Main_L[[#This Row],[EPS]],""),"")</f>
        <v>17.956473214285712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-0.52002825388948382</v>
      </c>
      <c r="P26" s="1">
        <f>(Main_L[[#This Row],[P/B]]-VLOOKUP(Main_L[[#This Row],[Industry]], Mean_PB_L, 2, FALSE))/(VLOOKUP(Main_L[[#This Row],[Industry]], Mean_PB_L, 3, FALSE))</f>
        <v>-0.66062560116703273</v>
      </c>
      <c r="Q26" s="1">
        <f>(Main_L[[#This Row],[ROE]]-VLOOKUP(Main_L[[#This Row],[Industry]], Mean_ROE_L, 2, FALSE))/(VLOOKUP(Main_L[[#This Row],[Industry]], Mean_ROE_L, 3, FALSE))</f>
        <v>0.58545430872721815</v>
      </c>
      <c r="R26" s="1">
        <f>(Main_L[[#This Row],[ROA]]-VLOOKUP(Main_L[[#This Row],[Industry]], Mean_ROA_L, 2, FALSE))/(VLOOKUP(Main_L[[#This Row],[Industry]], Mean_ROA_L, 3, FALSE))</f>
        <v>1.0620679630250238</v>
      </c>
      <c r="S26" s="1">
        <f>(Main_L[[#This Row],[A/E]]-VLOOKUP(Main_L[[#This Row],[Industry]], Mean_AE_L, 2, FALSE))/(VLOOKUP(Main_L[[#This Row],[Industry]], Mean_AE_L, 3, FALSE))</f>
        <v>0.14943936131676944</v>
      </c>
      <c r="T26" s="1">
        <f>(Main_L[[#This Row],[P/E]]-VLOOKUP(Main_L[[#This Row],[Industry]], Mean_PE_L, 2, FALSE))/(VLOOKUP(Main_L[[#This Row],[Industry]], Mean_PE_L, 3, FALSE))</f>
        <v>0.22147943917191493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t="s">
        <v>109</v>
      </c>
      <c r="B27" t="s">
        <v>149</v>
      </c>
      <c r="C27" s="2">
        <v>1836959</v>
      </c>
      <c r="D27">
        <f>RTD("tos.rtd", , "LAST", Main_L[[#This Row],[Symbol]])</f>
        <v>159.53</v>
      </c>
      <c r="E27">
        <v>6.11</v>
      </c>
      <c r="F27">
        <v>28.41</v>
      </c>
      <c r="G27">
        <v>8.9600000000000009</v>
      </c>
      <c r="H27" s="1">
        <f>IF(ISNUMBER(Main_L[[#This Row],[Free CF]]),IF(Main_L[[#This Row],[Free CF]]&lt;&gt;0,Main_L[[#This Row],[Current Price]]/Main_L[[#This Row],[Free CF]],""),"")</f>
        <v>26.109656301145662</v>
      </c>
      <c r="I27" s="1">
        <f>IF(ISNUMBER(Main_L[[#This Row],[BVPS]]),IF(Main_L[[#This Row],[BVPS]]&lt;&gt;0,Main_L[[#This Row],[Current Price]]/Main_L[[#This Row],[BVPS]],""),"")</f>
        <v>5.615276311158043</v>
      </c>
      <c r="J27">
        <v>34.79</v>
      </c>
      <c r="K27">
        <v>16.899999999999999</v>
      </c>
      <c r="L27">
        <v>1.38</v>
      </c>
      <c r="M27" s="1">
        <f>IF(ISNUMBER(Main_L[[#This Row],[EPS]]),IF(Main_L[[#This Row],[EPS]]&lt;&gt;0,Main_L[[#This Row],[Current Price]]/Main_L[[#This Row],[EPS]],""),"")</f>
        <v>17.8046875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-0.53490618211350349</v>
      </c>
      <c r="P27" s="1">
        <f>(Main_L[[#This Row],[P/B]]-VLOOKUP(Main_L[[#This Row],[Industry]], Mean_PB_L, 2, FALSE))/(VLOOKUP(Main_L[[#This Row],[Industry]], Mean_PB_L, 3, FALSE))</f>
        <v>-0.68792327328524328</v>
      </c>
      <c r="Q27" s="1">
        <f>(Main_L[[#This Row],[ROE]]-VLOOKUP(Main_L[[#This Row],[Industry]], Mean_ROE_L, 2, FALSE))/(VLOOKUP(Main_L[[#This Row],[Industry]], Mean_ROE_L, 3, FALSE))</f>
        <v>0.58545430872721815</v>
      </c>
      <c r="R27" s="1">
        <f>(Main_L[[#This Row],[ROA]]-VLOOKUP(Main_L[[#This Row],[Industry]], Mean_ROA_L, 2, FALSE))/(VLOOKUP(Main_L[[#This Row],[Industry]], Mean_ROA_L, 3, FALSE))</f>
        <v>1.0620679630250238</v>
      </c>
      <c r="S27" s="1">
        <f>(Main_L[[#This Row],[A/E]]-VLOOKUP(Main_L[[#This Row],[Industry]], Mean_AE_L, 2, FALSE))/(VLOOKUP(Main_L[[#This Row],[Industry]], Mean_AE_L, 3, FALSE))</f>
        <v>0.14943936131676944</v>
      </c>
      <c r="T27" s="1">
        <f>(Main_L[[#This Row],[P/E]]-VLOOKUP(Main_L[[#This Row],[Industry]], Mean_PE_L, 2, FALSE))/(VLOOKUP(Main_L[[#This Row],[Industry]], Mean_PE_L, 3, FALSE))</f>
        <v>0.19334939942274401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t="s">
        <v>109</v>
      </c>
      <c r="B28" t="s">
        <v>150</v>
      </c>
      <c r="C28" s="2">
        <v>1500576</v>
      </c>
      <c r="D28">
        <f>RTD("tos.rtd", , "LAST", Main_L[[#This Row],[Symbol]])</f>
        <v>656.03</v>
      </c>
      <c r="E28">
        <v>20.68</v>
      </c>
      <c r="F28">
        <v>73.34</v>
      </c>
      <c r="G28">
        <v>25.59</v>
      </c>
      <c r="H28" s="1">
        <f>IF(ISNUMBER(Main_L[[#This Row],[Free CF]]),IF(Main_L[[#This Row],[Free CF]]&lt;&gt;0,Main_L[[#This Row],[Current Price]]/Main_L[[#This Row],[Free CF]],""),"")</f>
        <v>31.722920696324952</v>
      </c>
      <c r="I28" s="1">
        <f>IF(ISNUMBER(Main_L[[#This Row],[BVPS]]),IF(Main_L[[#This Row],[BVPS]]&lt;&gt;0,Main_L[[#This Row],[Current Price]]/Main_L[[#This Row],[BVPS]],""),"")</f>
        <v>8.9450504499590942</v>
      </c>
      <c r="J28">
        <v>39.840000000000003</v>
      </c>
      <c r="K28">
        <v>17.88</v>
      </c>
      <c r="L28">
        <v>1.51</v>
      </c>
      <c r="M28" s="1">
        <f>IF(ISNUMBER(Main_L[[#This Row],[EPS]]),IF(Main_L[[#This Row],[EPS]]&lt;&gt;0,Main_L[[#This Row],[Current Price]]/Main_L[[#This Row],[EPS]],""),"")</f>
        <v>25.636186010160216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-0.15970840228359529</v>
      </c>
      <c r="P28" s="1">
        <f>(Main_L[[#This Row],[P/B]]-VLOOKUP(Main_L[[#This Row],[Industry]], Mean_PB_L, 2, FALSE))/(VLOOKUP(Main_L[[#This Row],[Industry]], Mean_PB_L, 3, FALSE))</f>
        <v>1.2108482698158403</v>
      </c>
      <c r="Q28" s="1">
        <f>(Main_L[[#This Row],[ROE]]-VLOOKUP(Main_L[[#This Row],[Industry]], Mean_ROE_L, 2, FALSE))/(VLOOKUP(Main_L[[#This Row],[Industry]], Mean_ROE_L, 3, FALSE))</f>
        <v>0.80112552395759729</v>
      </c>
      <c r="R28" s="1">
        <f>(Main_L[[#This Row],[ROA]]-VLOOKUP(Main_L[[#This Row],[Industry]], Mean_ROA_L, 2, FALSE))/(VLOOKUP(Main_L[[#This Row],[Industry]], Mean_ROA_L, 3, FALSE))</f>
        <v>1.1741914814360992</v>
      </c>
      <c r="S28" s="1">
        <f>(Main_L[[#This Row],[A/E]]-VLOOKUP(Main_L[[#This Row],[Industry]], Mean_AE_L, 2, FALSE))/(VLOOKUP(Main_L[[#This Row],[Industry]], Mean_AE_L, 3, FALSE))</f>
        <v>0.83510231324077133</v>
      </c>
      <c r="T28" s="1">
        <f>(Main_L[[#This Row],[P/E]]-VLOOKUP(Main_L[[#This Row],[Industry]], Mean_PE_L, 2, FALSE))/(VLOOKUP(Main_L[[#This Row],[Industry]], Mean_PE_L, 3, FALSE))</f>
        <v>1.6447400353800932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t="s">
        <v>109</v>
      </c>
      <c r="B29" t="s">
        <v>151</v>
      </c>
      <c r="C29" s="2">
        <v>18488</v>
      </c>
      <c r="D29">
        <f>RTD("tos.rtd", , "LAST", Main_L[[#This Row],[Symbol]])</f>
        <v>32.93</v>
      </c>
      <c r="E29">
        <v>1.38</v>
      </c>
      <c r="F29">
        <v>7.03</v>
      </c>
      <c r="G29">
        <v>2.67</v>
      </c>
      <c r="H29" s="1">
        <f>IF(ISNUMBER(Main_L[[#This Row],[Free CF]]),IF(Main_L[[#This Row],[Free CF]]&lt;&gt;0,Main_L[[#This Row],[Current Price]]/Main_L[[#This Row],[Free CF]],""),"")</f>
        <v>23.862318840579711</v>
      </c>
      <c r="I29" s="1">
        <f>IF(ISNUMBER(Main_L[[#This Row],[BVPS]]),IF(Main_L[[#This Row],[BVPS]]&lt;&gt;0,Main_L[[#This Row],[Current Price]]/Main_L[[#This Row],[BVPS]],""),"")</f>
        <v>4.6842105263157894</v>
      </c>
      <c r="J29">
        <v>47.49</v>
      </c>
      <c r="K29">
        <v>3</v>
      </c>
      <c r="L29">
        <v>1.1200000000000001</v>
      </c>
      <c r="M29" s="1">
        <f>IF(ISNUMBER(Main_L[[#This Row],[EPS]]),IF(Main_L[[#This Row],[EPS]]&lt;&gt;0,Main_L[[#This Row],[Current Price]]/Main_L[[#This Row],[EPS]],""),"")</f>
        <v>12.333333333333334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-0.68512109564172985</v>
      </c>
      <c r="P29" s="1">
        <f>(Main_L[[#This Row],[P/B]]-VLOOKUP(Main_L[[#This Row],[Industry]], Mean_PB_L, 2, FALSE))/(VLOOKUP(Main_L[[#This Row],[Industry]], Mean_PB_L, 3, FALSE))</f>
        <v>-1.2188545446927708</v>
      </c>
      <c r="Q29" s="1">
        <f>(Main_L[[#This Row],[ROE]]-VLOOKUP(Main_L[[#This Row],[Industry]], Mean_ROE_L, 2, FALSE))/(VLOOKUP(Main_L[[#This Row],[Industry]], Mean_ROE_L, 3, FALSE))</f>
        <v>1.1278353846531219</v>
      </c>
      <c r="R29" s="1">
        <f>(Main_L[[#This Row],[ROA]]-VLOOKUP(Main_L[[#This Row],[Industry]], Mean_ROA_L, 2, FALSE))/(VLOOKUP(Main_L[[#This Row],[Industry]], Mean_ROA_L, 3, FALSE))</f>
        <v>-0.52825541035655232</v>
      </c>
      <c r="S29" s="1">
        <f>(Main_L[[#This Row],[A/E]]-VLOOKUP(Main_L[[#This Row],[Industry]], Mean_AE_L, 2, FALSE))/(VLOOKUP(Main_L[[#This Row],[Industry]], Mean_AE_L, 3, FALSE))</f>
        <v>-1.221886542531232</v>
      </c>
      <c r="T29" s="1">
        <f>(Main_L[[#This Row],[P/E]]-VLOOKUP(Main_L[[#This Row],[Industry]], Mean_PE_L, 2, FALSE))/(VLOOKUP(Main_L[[#This Row],[Industry]], Mean_PE_L, 3, FALSE))</f>
        <v>-0.82064200888868621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t="s">
        <v>109</v>
      </c>
      <c r="B30" t="s">
        <v>152</v>
      </c>
      <c r="C30" s="2">
        <v>19472</v>
      </c>
      <c r="D30">
        <f>RTD("tos.rtd", , "LAST", Main_L[[#This Row],[Symbol]])</f>
        <v>112.84</v>
      </c>
      <c r="E30">
        <v>1.81</v>
      </c>
      <c r="F30">
        <v>12.03</v>
      </c>
      <c r="G30">
        <v>0.66</v>
      </c>
      <c r="H30" s="1">
        <f>IF(ISNUMBER(Main_L[[#This Row],[Free CF]]),IF(Main_L[[#This Row],[Free CF]]&lt;&gt;0,Main_L[[#This Row],[Current Price]]/Main_L[[#This Row],[Free CF]],""),"")</f>
        <v>62.342541436464089</v>
      </c>
      <c r="I30" s="1">
        <f>IF(ISNUMBER(Main_L[[#This Row],[BVPS]]),IF(Main_L[[#This Row],[BVPS]]&lt;&gt;0,Main_L[[#This Row],[Current Price]]/Main_L[[#This Row],[BVPS]],""),"")</f>
        <v>9.3798836242726527</v>
      </c>
      <c r="J30">
        <v>5.77</v>
      </c>
      <c r="K30">
        <v>0.91</v>
      </c>
      <c r="L30">
        <v>1.1000000000000001</v>
      </c>
      <c r="M30" s="1">
        <f>IF(ISNUMBER(Main_L[[#This Row],[EPS]]),IF(Main_L[[#This Row],[EPS]]&lt;&gt;0,Main_L[[#This Row],[Current Price]]/Main_L[[#This Row],[EPS]],""),"")</f>
        <v>170.96969696969697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1.8869462557083467</v>
      </c>
      <c r="P30" s="1">
        <f>(Main_L[[#This Row],[P/B]]-VLOOKUP(Main_L[[#This Row],[Industry]], Mean_PB_L, 2, FALSE))/(VLOOKUP(Main_L[[#This Row],[Industry]], Mean_PB_L, 3, FALSE))</f>
        <v>1.4588076877720948</v>
      </c>
      <c r="Q30" s="1">
        <f>(Main_L[[#This Row],[ROE]]-VLOOKUP(Main_L[[#This Row],[Industry]], Mean_ROE_L, 2, FALSE))/(VLOOKUP(Main_L[[#This Row],[Industry]], Mean_ROE_L, 3, FALSE))</f>
        <v>-0.65390780334913789</v>
      </c>
      <c r="R30" s="1">
        <f>(Main_L[[#This Row],[ROA]]-VLOOKUP(Main_L[[#This Row],[Industry]], Mean_ROA_L, 2, FALSE))/(VLOOKUP(Main_L[[#This Row],[Industry]], Mean_ROA_L, 3, FALSE))</f>
        <v>-0.76737597513119216</v>
      </c>
      <c r="S30" s="1">
        <f>(Main_L[[#This Row],[A/E]]-VLOOKUP(Main_L[[#This Row],[Industry]], Mean_AE_L, 2, FALSE))/(VLOOKUP(Main_L[[#This Row],[Industry]], Mean_AE_L, 3, FALSE))</f>
        <v>-1.3273731505195399</v>
      </c>
      <c r="T30" s="1">
        <f>(Main_L[[#This Row],[P/E]]-VLOOKUP(Main_L[[#This Row],[Industry]], Mean_PE_L, 2, FALSE))/(VLOOKUP(Main_L[[#This Row],[Industry]], Mean_PE_L, 3, FALSE))</f>
        <v>28.579010229496639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1" spans="1:26" x14ac:dyDescent="0.25">
      <c r="A31" t="s">
        <v>109</v>
      </c>
      <c r="B31" t="s">
        <v>153</v>
      </c>
      <c r="C31" s="2">
        <v>13587</v>
      </c>
      <c r="D31">
        <f>RTD("tos.rtd", , "LAST", Main_L[[#This Row],[Symbol]])</f>
        <v>9.1</v>
      </c>
      <c r="E31">
        <v>0.18</v>
      </c>
      <c r="F31">
        <v>1.37</v>
      </c>
      <c r="G31">
        <v>-0.32</v>
      </c>
      <c r="H31" s="1">
        <f>IF(ISNUMBER(Main_L[[#This Row],[Free CF]]),IF(Main_L[[#This Row],[Free CF]]&lt;&gt;0,Main_L[[#This Row],[Current Price]]/Main_L[[#This Row],[Free CF]],""),"")</f>
        <v>50.555555555555557</v>
      </c>
      <c r="I31" s="1">
        <f>IF(ISNUMBER(Main_L[[#This Row],[BVPS]]),IF(Main_L[[#This Row],[BVPS]]&lt;&gt;0,Main_L[[#This Row],[Current Price]]/Main_L[[#This Row],[BVPS]],""),"")</f>
        <v>6.6423357664233569</v>
      </c>
      <c r="J31">
        <v>-23.96</v>
      </c>
      <c r="K31">
        <v>-5.47</v>
      </c>
      <c r="L31">
        <v>3.28</v>
      </c>
      <c r="M31" s="1">
        <f>IF(ISNUMBER(Main_L[[#This Row],[EPS]]),IF(Main_L[[#This Row],[EPS]]&lt;&gt;0,Main_L[[#This Row],[Current Price]]/Main_L[[#This Row],[EPS]],""),"")</f>
        <v>-28.4375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1.0990890264637405</v>
      </c>
      <c r="P31" s="1">
        <f>(Main_L[[#This Row],[P/B]]-VLOOKUP(Main_L[[#This Row],[Industry]], Mean_PB_L, 2, FALSE))/(VLOOKUP(Main_L[[#This Row],[Industry]], Mean_PB_L, 3, FALSE))</f>
        <v>-0.10225253844288923</v>
      </c>
      <c r="Q31" s="1">
        <f>(Main_L[[#This Row],[ROE]]-VLOOKUP(Main_L[[#This Row],[Industry]], Mean_ROE_L, 2, FALSE))/(VLOOKUP(Main_L[[#This Row],[Industry]], Mean_ROE_L, 3, FALSE))</f>
        <v>-1.9235920070717454</v>
      </c>
      <c r="R31" s="1">
        <f>(Main_L[[#This Row],[ROA]]-VLOOKUP(Main_L[[#This Row],[Industry]], Mean_ROA_L, 2, FALSE))/(VLOOKUP(Main_L[[#This Row],[Industry]], Mean_ROA_L, 3, FALSE))</f>
        <v>-1.4973229623379876</v>
      </c>
      <c r="S31" s="1">
        <f>(Main_L[[#This Row],[A/E]]-VLOOKUP(Main_L[[#This Row],[Industry]], Mean_AE_L, 2, FALSE))/(VLOOKUP(Main_L[[#This Row],[Industry]], Mean_AE_L, 3, FALSE))</f>
        <v>10.170667120206017</v>
      </c>
      <c r="T31" s="1">
        <f>(Main_L[[#This Row],[P/E]]-VLOOKUP(Main_L[[#This Row],[Industry]], Mean_PE_L, 2, FALSE))/(VLOOKUP(Main_L[[#This Row],[Industry]], Mean_PE_L, 3, FALSE))</f>
        <v>-8.3765913132788583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2" spans="1:26" x14ac:dyDescent="0.25">
      <c r="A32" t="s">
        <v>107</v>
      </c>
      <c r="B32" t="s">
        <v>122</v>
      </c>
      <c r="C32" s="2">
        <v>14860</v>
      </c>
      <c r="D32">
        <f>RTD("tos.rtd", , "LAST", Main_L[[#This Row],[Symbol]])</f>
        <v>77.430000000000007</v>
      </c>
      <c r="E32">
        <v>7.23</v>
      </c>
      <c r="F32">
        <v>22.41</v>
      </c>
      <c r="G32">
        <v>7.32</v>
      </c>
      <c r="H32" s="1">
        <f>IF(ISNUMBER(Main_L[[#This Row],[Free CF]]),IF(Main_L[[#This Row],[Free CF]]&lt;&gt;0,Main_L[[#This Row],[Current Price]]/Main_L[[#This Row],[Free CF]],""),"")</f>
        <v>10.709543568464731</v>
      </c>
      <c r="I32" s="1">
        <f>IF(ISNUMBER(Main_L[[#This Row],[BVPS]]),IF(Main_L[[#This Row],[BVPS]]&lt;&gt;0,Main_L[[#This Row],[Current Price]]/Main_L[[#This Row],[BVPS]],""),"")</f>
        <v>3.4551539491298531</v>
      </c>
      <c r="J32">
        <v>31.02</v>
      </c>
      <c r="K32">
        <v>5.2</v>
      </c>
      <c r="L32">
        <v>6.43</v>
      </c>
      <c r="M32" s="1">
        <f>IF(ISNUMBER(Main_L[[#This Row],[EPS]]),IF(Main_L[[#This Row],[EPS]]&lt;&gt;0,Main_L[[#This Row],[Current Price]]/Main_L[[#This Row],[EPS]],""),"")</f>
        <v>10.577868852459018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-0.81510601807135286</v>
      </c>
      <c r="P32" s="1">
        <f>(Main_L[[#This Row],[P/B]]-VLOOKUP(Main_L[[#This Row],[Industry]], Mean_PB_L, 2, FALSE))/(VLOOKUP(Main_L[[#This Row],[Industry]], Mean_PB_L, 3, FALSE))</f>
        <v>1.6432959279444035</v>
      </c>
      <c r="Q32" s="1">
        <f>(Main_L[[#This Row],[ROE]]-VLOOKUP(Main_L[[#This Row],[Industry]], Mean_ROE_L, 2, FALSE))/(VLOOKUP(Main_L[[#This Row],[Industry]], Mean_ROE_L, 3, FALSE))</f>
        <v>1.5522063700145778</v>
      </c>
      <c r="R32" s="1">
        <f>(Main_L[[#This Row],[ROA]]-VLOOKUP(Main_L[[#This Row],[Industry]], Mean_ROA_L, 2, FALSE))/(VLOOKUP(Main_L[[#This Row],[Industry]], Mean_ROA_L, 3, FALSE))</f>
        <v>0.27488207967413031</v>
      </c>
      <c r="S32" s="1">
        <f>(Main_L[[#This Row],[A/E]]-VLOOKUP(Main_L[[#This Row],[Industry]], Mean_AE_L, 2, FALSE))/(VLOOKUP(Main_L[[#This Row],[Industry]], Mean_AE_L, 3, FALSE))</f>
        <v>10.665392492305433</v>
      </c>
      <c r="T32" s="1">
        <f>(Main_L[[#This Row],[P/E]]-VLOOKUP(Main_L[[#This Row],[Industry]], Mean_PE_L, 2, FALSE))/(VLOOKUP(Main_L[[#This Row],[Industry]], Mean_PE_L, 3, FALSE))</f>
        <v>-0.64564254424225997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t="s">
        <v>107</v>
      </c>
      <c r="B33" t="s">
        <v>123</v>
      </c>
      <c r="C33" s="2">
        <v>27754</v>
      </c>
      <c r="D33">
        <f>RTD("tos.rtd", , "LAST", Main_L[[#This Row],[Symbol]])</f>
        <v>78.14</v>
      </c>
      <c r="E33">
        <v>1.29</v>
      </c>
      <c r="F33">
        <v>5.94</v>
      </c>
      <c r="G33">
        <v>0.78</v>
      </c>
      <c r="H33" s="1">
        <f>IF(ISNUMBER(Main_L[[#This Row],[Free CF]]),IF(Main_L[[#This Row],[Free CF]]&lt;&gt;0,Main_L[[#This Row],[Current Price]]/Main_L[[#This Row],[Free CF]],""),"")</f>
        <v>60.573643410852711</v>
      </c>
      <c r="I33" s="1">
        <f>IF(ISNUMBER(Main_L[[#This Row],[BVPS]]),IF(Main_L[[#This Row],[BVPS]]&lt;&gt;0,Main_L[[#This Row],[Current Price]]/Main_L[[#This Row],[BVPS]],""),"")</f>
        <v>13.154882154882154</v>
      </c>
      <c r="J33">
        <v>15.37</v>
      </c>
      <c r="K33">
        <v>4.8499999999999996</v>
      </c>
      <c r="L33">
        <v>2.0699999999999998</v>
      </c>
      <c r="M33" s="1">
        <f>IF(ISNUMBER(Main_L[[#This Row],[EPS]]),IF(Main_L[[#This Row],[EPS]]&lt;&gt;0,Main_L[[#This Row],[Current Price]]/Main_L[[#This Row],[EPS]],""),"")</f>
        <v>100.17948717948718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6.6796040035424813</v>
      </c>
      <c r="P33" s="1">
        <f>(Main_L[[#This Row],[P/B]]-VLOOKUP(Main_L[[#This Row],[Industry]], Mean_PB_L, 2, FALSE))/(VLOOKUP(Main_L[[#This Row],[Industry]], Mean_PB_L, 3, FALSE))</f>
        <v>14.280433660189789</v>
      </c>
      <c r="Q33" s="1">
        <f>(Main_L[[#This Row],[ROE]]-VLOOKUP(Main_L[[#This Row],[Industry]], Mean_ROE_L, 2, FALSE))/(VLOOKUP(Main_L[[#This Row],[Industry]], Mean_ROE_L, 3, FALSE))</f>
        <v>-0.16236376625928856</v>
      </c>
      <c r="R33" s="1">
        <f>(Main_L[[#This Row],[ROA]]-VLOOKUP(Main_L[[#This Row],[Industry]], Mean_ROA_L, 2, FALSE))/(VLOOKUP(Main_L[[#This Row],[Industry]], Mean_ROA_L, 3, FALSE))</f>
        <v>0.13822195483613911</v>
      </c>
      <c r="S33" s="1">
        <f>(Main_L[[#This Row],[A/E]]-VLOOKUP(Main_L[[#This Row],[Industry]], Mean_AE_L, 2, FALSE))/(VLOOKUP(Main_L[[#This Row],[Industry]], Mean_AE_L, 3, FALSE))</f>
        <v>1.2216944435630246E-2</v>
      </c>
      <c r="T33" s="1">
        <f>(Main_L[[#This Row],[P/E]]-VLOOKUP(Main_L[[#This Row],[Industry]], Mean_PE_L, 2, FALSE))/(VLOOKUP(Main_L[[#This Row],[Industry]], Mean_PE_L, 3, FALSE))</f>
        <v>6.709425597369628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4" spans="1:26" x14ac:dyDescent="0.25">
      <c r="A34" t="s">
        <v>107</v>
      </c>
      <c r="B34" t="s">
        <v>124</v>
      </c>
      <c r="C34" s="2">
        <v>21456</v>
      </c>
      <c r="D34">
        <f>RTD("tos.rtd", , "LAST", Main_L[[#This Row],[Symbol]])</f>
        <v>51.08</v>
      </c>
      <c r="E34">
        <v>3.96</v>
      </c>
      <c r="F34">
        <v>25.3</v>
      </c>
      <c r="G34">
        <v>4.67</v>
      </c>
      <c r="H34" s="1">
        <f>IF(ISNUMBER(Main_L[[#This Row],[Free CF]]),IF(Main_L[[#This Row],[Free CF]]&lt;&gt;0,Main_L[[#This Row],[Current Price]]/Main_L[[#This Row],[Free CF]],""),"")</f>
        <v>12.898989898989898</v>
      </c>
      <c r="I34" s="1">
        <f>IF(ISNUMBER(Main_L[[#This Row],[BVPS]]),IF(Main_L[[#This Row],[BVPS]]&lt;&gt;0,Main_L[[#This Row],[Current Price]]/Main_L[[#This Row],[BVPS]],""),"")</f>
        <v>2.0189723320158102</v>
      </c>
      <c r="J34">
        <v>20.059999999999999</v>
      </c>
      <c r="K34">
        <v>8.1199999999999992</v>
      </c>
      <c r="L34">
        <v>2</v>
      </c>
      <c r="M34" s="1">
        <f>IF(ISNUMBER(Main_L[[#This Row],[EPS]]),IF(Main_L[[#This Row],[EPS]]&lt;&gt;0,Main_L[[#This Row],[Current Price]]/Main_L[[#This Row],[EPS]],""),"")</f>
        <v>10.937901498929335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34" s="1">
        <f>(Main_L[[#This Row],[P/FCF]]-VLOOKUP(Main_L[[#This Row],[Industry]], Mean_PFCF_L, 2, FALSE))/(VLOOKUP(Main_L[[#This Row],[Industry]], Mean_PFCF_L, 3, FALSE))</f>
        <v>-0.48602627117850761</v>
      </c>
      <c r="P34" s="1">
        <f>(Main_L[[#This Row],[P/B]]-VLOOKUP(Main_L[[#This Row],[Industry]], Mean_PB_L, 2, FALSE))/(VLOOKUP(Main_L[[#This Row],[Industry]], Mean_PB_L, 3, FALSE))</f>
        <v>-0.22781061432199742</v>
      </c>
      <c r="Q34" s="1">
        <f>(Main_L[[#This Row],[ROE]]-VLOOKUP(Main_L[[#This Row],[Industry]], Mean_ROE_L, 2, FALSE))/(VLOOKUP(Main_L[[#This Row],[Industry]], Mean_ROE_L, 3, FALSE))</f>
        <v>0.35145948863684134</v>
      </c>
      <c r="R34" s="1">
        <f>(Main_L[[#This Row],[ROA]]-VLOOKUP(Main_L[[#This Row],[Industry]], Mean_ROA_L, 2, FALSE))/(VLOOKUP(Main_L[[#This Row],[Industry]], Mean_ROA_L, 3, FALSE))</f>
        <v>1.4150179783225116</v>
      </c>
      <c r="S34" s="1">
        <f>(Main_L[[#This Row],[A/E]]-VLOOKUP(Main_L[[#This Row],[Industry]], Mean_AE_L, 2, FALSE))/(VLOOKUP(Main_L[[#This Row],[Industry]], Mean_AE_L, 3, FALSE))</f>
        <v>-0.15882027766319645</v>
      </c>
      <c r="T34" s="1">
        <f>(Main_L[[#This Row],[P/E]]-VLOOKUP(Main_L[[#This Row],[Industry]], Mean_PE_L, 2, FALSE))/(VLOOKUP(Main_L[[#This Row],[Industry]], Mean_PE_L, 3, FALSE))</f>
        <v>-0.61608878508660347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t="s">
        <v>107</v>
      </c>
      <c r="B35" t="s">
        <v>125</v>
      </c>
      <c r="C35" s="2">
        <v>23039</v>
      </c>
      <c r="D35">
        <f>RTD("tos.rtd", , "LAST", Main_L[[#This Row],[Symbol]])</f>
        <v>55.24</v>
      </c>
      <c r="E35">
        <v>3.96</v>
      </c>
      <c r="F35">
        <v>25.3</v>
      </c>
      <c r="G35">
        <v>4.67</v>
      </c>
      <c r="H35" s="1">
        <f>IF(ISNUMBER(Main_L[[#This Row],[Free CF]]),IF(Main_L[[#This Row],[Free CF]]&lt;&gt;0,Main_L[[#This Row],[Current Price]]/Main_L[[#This Row],[Free CF]],""),"")</f>
        <v>13.94949494949495</v>
      </c>
      <c r="I35" s="1">
        <f>IF(ISNUMBER(Main_L[[#This Row],[BVPS]]),IF(Main_L[[#This Row],[BVPS]]&lt;&gt;0,Main_L[[#This Row],[Current Price]]/Main_L[[#This Row],[BVPS]],""),"")</f>
        <v>2.1833992094861658</v>
      </c>
      <c r="J35">
        <v>20.059999999999999</v>
      </c>
      <c r="K35">
        <v>8.1199999999999992</v>
      </c>
      <c r="L35">
        <v>2</v>
      </c>
      <c r="M35" s="1">
        <f>IF(ISNUMBER(Main_L[[#This Row],[EPS]]),IF(Main_L[[#This Row],[EPS]]&lt;&gt;0,Main_L[[#This Row],[Current Price]]/Main_L[[#This Row],[EPS]],""),"")</f>
        <v>11.828693790149893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35" s="1">
        <f>(Main_L[[#This Row],[P/FCF]]-VLOOKUP(Main_L[[#This Row],[Industry]], Mean_PFCF_L, 2, FALSE))/(VLOOKUP(Main_L[[#This Row],[Industry]], Mean_PFCF_L, 3, FALSE))</f>
        <v>-0.32813250081742384</v>
      </c>
      <c r="P35" s="1">
        <f>(Main_L[[#This Row],[P/B]]-VLOOKUP(Main_L[[#This Row],[Industry]], Mean_PB_L, 2, FALSE))/(VLOOKUP(Main_L[[#This Row],[Industry]], Mean_PB_L, 3, FALSE))</f>
        <v>-1.3589653342528202E-2</v>
      </c>
      <c r="Q35" s="1">
        <f>(Main_L[[#This Row],[ROE]]-VLOOKUP(Main_L[[#This Row],[Industry]], Mean_ROE_L, 2, FALSE))/(VLOOKUP(Main_L[[#This Row],[Industry]], Mean_ROE_L, 3, FALSE))</f>
        <v>0.35145948863684134</v>
      </c>
      <c r="R35" s="1">
        <f>(Main_L[[#This Row],[ROA]]-VLOOKUP(Main_L[[#This Row],[Industry]], Mean_ROA_L, 2, FALSE))/(VLOOKUP(Main_L[[#This Row],[Industry]], Mean_ROA_L, 3, FALSE))</f>
        <v>1.4150179783225116</v>
      </c>
      <c r="S35" s="1">
        <f>(Main_L[[#This Row],[A/E]]-VLOOKUP(Main_L[[#This Row],[Industry]], Mean_AE_L, 2, FALSE))/(VLOOKUP(Main_L[[#This Row],[Industry]], Mean_AE_L, 3, FALSE))</f>
        <v>-0.15882027766319645</v>
      </c>
      <c r="T35" s="1">
        <f>(Main_L[[#This Row],[P/E]]-VLOOKUP(Main_L[[#This Row],[Industry]], Mean_PE_L, 2, FALSE))/(VLOOKUP(Main_L[[#This Row],[Industry]], Mean_PE_L, 3, FALSE))</f>
        <v>-0.542966913804805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t="s">
        <v>107</v>
      </c>
      <c r="B36" t="s">
        <v>126</v>
      </c>
      <c r="C36" s="2">
        <v>56727</v>
      </c>
      <c r="D36">
        <f>RTD("tos.rtd", , "LAST", Main_L[[#This Row],[Symbol]])</f>
        <v>411.13</v>
      </c>
      <c r="E36">
        <v>32.159999999999997</v>
      </c>
      <c r="F36">
        <v>115.75</v>
      </c>
      <c r="G36">
        <v>35.86</v>
      </c>
      <c r="H36" s="1">
        <f>IF(ISNUMBER(Main_L[[#This Row],[Free CF]]),IF(Main_L[[#This Row],[Free CF]]&lt;&gt;0,Main_L[[#This Row],[Current Price]]/Main_L[[#This Row],[Free CF]],""),"")</f>
        <v>12.783893034825871</v>
      </c>
      <c r="I36" s="1">
        <f>IF(ISNUMBER(Main_L[[#This Row],[BVPS]]),IF(Main_L[[#This Row],[BVPS]]&lt;&gt;0,Main_L[[#This Row],[Current Price]]/Main_L[[#This Row],[BVPS]],""),"")</f>
        <v>3.551879049676026</v>
      </c>
      <c r="J36">
        <v>33.119999999999997</v>
      </c>
      <c r="K36">
        <v>5.64</v>
      </c>
      <c r="L36">
        <v>9.2899999999999991</v>
      </c>
      <c r="M36" s="1">
        <f>IF(ISNUMBER(Main_L[[#This Row],[EPS]]),IF(Main_L[[#This Row],[EPS]]&lt;&gt;0,Main_L[[#This Row],[Current Price]]/Main_L[[#This Row],[EPS]],""),"")</f>
        <v>11.464863357501395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-0.50332564335273811</v>
      </c>
      <c r="P36" s="1">
        <f>(Main_L[[#This Row],[P/B]]-VLOOKUP(Main_L[[#This Row],[Industry]], Mean_PB_L, 2, FALSE))/(VLOOKUP(Main_L[[#This Row],[Industry]], Mean_PB_L, 3, FALSE))</f>
        <v>1.7693126978825946</v>
      </c>
      <c r="Q36" s="1">
        <f>(Main_L[[#This Row],[ROE]]-VLOOKUP(Main_L[[#This Row],[Industry]], Mean_ROE_L, 2, FALSE))/(VLOOKUP(Main_L[[#This Row],[Industry]], Mean_ROE_L, 3, FALSE))</f>
        <v>1.7822764841471732</v>
      </c>
      <c r="R36" s="1">
        <f>(Main_L[[#This Row],[ROA]]-VLOOKUP(Main_L[[#This Row],[Industry]], Mean_ROA_L, 2, FALSE))/(VLOOKUP(Main_L[[#This Row],[Industry]], Mean_ROA_L, 3, FALSE))</f>
        <v>0.44668337947046161</v>
      </c>
      <c r="S36" s="1">
        <f>(Main_L[[#This Row],[A/E]]-VLOOKUP(Main_L[[#This Row],[Industry]], Mean_AE_L, 2, FALSE))/(VLOOKUP(Main_L[[#This Row],[Industry]], Mean_AE_L, 3, FALSE))</f>
        <v>17.653484709486079</v>
      </c>
      <c r="T36" s="1">
        <f>(Main_L[[#This Row],[P/E]]-VLOOKUP(Main_L[[#This Row],[Industry]], Mean_PE_L, 2, FALSE))/(VLOOKUP(Main_L[[#This Row],[Industry]], Mean_PE_L, 3, FALSE))</f>
        <v>-0.57283241929550921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t="s">
        <v>107</v>
      </c>
      <c r="B37" t="s">
        <v>127</v>
      </c>
      <c r="C37" s="2">
        <v>128402</v>
      </c>
      <c r="D37">
        <f>RTD("tos.rtd", , "LAST", Main_L[[#This Row],[Symbol]])</f>
        <v>34.79</v>
      </c>
      <c r="E37">
        <v>3.5</v>
      </c>
      <c r="F37">
        <v>23.14</v>
      </c>
      <c r="G37">
        <v>4.07</v>
      </c>
      <c r="H37" s="1">
        <f>IF(ISNUMBER(Main_L[[#This Row],[Free CF]]),IF(Main_L[[#This Row],[Free CF]]&lt;&gt;0,Main_L[[#This Row],[Current Price]]/Main_L[[#This Row],[Free CF]],""),"")</f>
        <v>9.94</v>
      </c>
      <c r="I37" s="1">
        <f>IF(ISNUMBER(Main_L[[#This Row],[BVPS]]),IF(Main_L[[#This Row],[BVPS]]&lt;&gt;0,Main_L[[#This Row],[Current Price]]/Main_L[[#This Row],[BVPS]],""),"")</f>
        <v>1.5034572169403628</v>
      </c>
      <c r="J37">
        <v>18.05</v>
      </c>
      <c r="K37">
        <v>5.45</v>
      </c>
      <c r="L37">
        <v>3.09</v>
      </c>
      <c r="M37" s="1">
        <f>IF(ISNUMBER(Main_L[[#This Row],[EPS]]),IF(Main_L[[#This Row],[EPS]]&lt;&gt;0,Main_L[[#This Row],[Current Price]]/Main_L[[#This Row],[EPS]],""),"")</f>
        <v>8.5479115479115464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-0.93077051242442876</v>
      </c>
      <c r="P37" s="1">
        <f>(Main_L[[#This Row],[P/B]]-VLOOKUP(Main_L[[#This Row],[Industry]], Mean_PB_L, 2, FALSE))/(VLOOKUP(Main_L[[#This Row],[Industry]], Mean_PB_L, 3, FALSE))</f>
        <v>-0.89944134191283198</v>
      </c>
      <c r="Q37" s="1">
        <f>(Main_L[[#This Row],[ROE]]-VLOOKUP(Main_L[[#This Row],[Industry]], Mean_ROE_L, 2, FALSE))/(VLOOKUP(Main_L[[#This Row],[Industry]], Mean_ROE_L, 3, FALSE))</f>
        <v>0.13124952225278586</v>
      </c>
      <c r="R37" s="1">
        <f>(Main_L[[#This Row],[ROA]]-VLOOKUP(Main_L[[#This Row],[Industry]], Mean_ROA_L, 2, FALSE))/(VLOOKUP(Main_L[[#This Row],[Industry]], Mean_ROA_L, 3, FALSE))</f>
        <v>0.37249645455840957</v>
      </c>
      <c r="S37" s="1">
        <f>(Main_L[[#This Row],[A/E]]-VLOOKUP(Main_L[[#This Row],[Industry]], Mean_AE_L, 2, FALSE))/(VLOOKUP(Main_L[[#This Row],[Industry]], Mean_AE_L, 3, FALSE))</f>
        <v>2.5044736093042537</v>
      </c>
      <c r="T37" s="1">
        <f>(Main_L[[#This Row],[P/E]]-VLOOKUP(Main_L[[#This Row],[Industry]], Mean_PE_L, 2, FALSE))/(VLOOKUP(Main_L[[#This Row],[Industry]], Mean_PE_L, 3, FALSE))</f>
        <v>-0.81227429239904181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t="s">
        <v>107</v>
      </c>
      <c r="B38" t="s">
        <v>128</v>
      </c>
      <c r="C38" s="2">
        <v>13224</v>
      </c>
      <c r="D38">
        <f>RTD("tos.rtd", , "LAST", Main_L[[#This Row],[Symbol]])</f>
        <v>94.48</v>
      </c>
      <c r="E38">
        <v>-1</v>
      </c>
      <c r="F38">
        <v>68.349999999999994</v>
      </c>
      <c r="G38">
        <v>6.08</v>
      </c>
      <c r="H38" s="1">
        <f>IF(ISNUMBER(Main_L[[#This Row],[Free CF]]),IF(Main_L[[#This Row],[Free CF]]&lt;&gt;0,Main_L[[#This Row],[Current Price]]/Main_L[[#This Row],[Free CF]],""),"")</f>
        <v>-94.48</v>
      </c>
      <c r="I38" s="1">
        <f>IF(ISNUMBER(Main_L[[#This Row],[BVPS]]),IF(Main_L[[#This Row],[BVPS]]&lt;&gt;0,Main_L[[#This Row],[Current Price]]/Main_L[[#This Row],[BVPS]],""),"")</f>
        <v>1.3822970007315292</v>
      </c>
      <c r="J38">
        <v>9.23</v>
      </c>
      <c r="K38">
        <v>0.36</v>
      </c>
      <c r="L38">
        <v>1.7</v>
      </c>
      <c r="M38" s="1">
        <f>IF(ISNUMBER(Main_L[[#This Row],[EPS]]),IF(Main_L[[#This Row],[EPS]]&lt;&gt;0,Main_L[[#This Row],[Current Price]]/Main_L[[#This Row],[EPS]],""),"")</f>
        <v>15.539473684210527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-16.625380922129523</v>
      </c>
      <c r="P38" s="1">
        <f>(Main_L[[#This Row],[P/B]]-VLOOKUP(Main_L[[#This Row],[Industry]], Mean_PB_L, 2, FALSE))/(VLOOKUP(Main_L[[#This Row],[Industry]], Mean_PB_L, 3, FALSE))</f>
        <v>-1.057293016456831</v>
      </c>
      <c r="Q38" s="1">
        <f>(Main_L[[#This Row],[ROE]]-VLOOKUP(Main_L[[#This Row],[Industry]], Mean_ROE_L, 2, FALSE))/(VLOOKUP(Main_L[[#This Row],[Industry]], Mean_ROE_L, 3, FALSE))</f>
        <v>-0.83504495710411519</v>
      </c>
      <c r="R38" s="1">
        <f>(Main_L[[#This Row],[ROA]]-VLOOKUP(Main_L[[#This Row],[Industry]], Mean_ROA_L, 2, FALSE))/(VLOOKUP(Main_L[[#This Row],[Industry]], Mean_ROA_L, 3, FALSE))</f>
        <v>-1.6149322180855161</v>
      </c>
      <c r="S38" s="1">
        <f>(Main_L[[#This Row],[A/E]]-VLOOKUP(Main_L[[#This Row],[Industry]], Mean_AE_L, 2, FALSE))/(VLOOKUP(Main_L[[#This Row],[Industry]], Mean_AE_L, 3, FALSE))</f>
        <v>-0.89183694380102696</v>
      </c>
      <c r="T38" s="1">
        <f>(Main_L[[#This Row],[P/E]]-VLOOKUP(Main_L[[#This Row],[Industry]], Mean_PE_L, 2, FALSE))/(VLOOKUP(Main_L[[#This Row],[Industry]], Mean_PE_L, 3, FALSE))</f>
        <v>-0.23836260543478072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t="s">
        <v>107</v>
      </c>
      <c r="B39" t="s">
        <v>129</v>
      </c>
      <c r="C39" s="2">
        <v>13387</v>
      </c>
      <c r="D39">
        <f>RTD("tos.rtd", , "LAST", Main_L[[#This Row],[Symbol]])</f>
        <v>95.25</v>
      </c>
      <c r="E39">
        <v>-1</v>
      </c>
      <c r="F39">
        <v>68.349999999999994</v>
      </c>
      <c r="G39">
        <v>6.08</v>
      </c>
      <c r="H39" s="1">
        <f>IF(ISNUMBER(Main_L[[#This Row],[Free CF]]),IF(Main_L[[#This Row],[Free CF]]&lt;&gt;0,Main_L[[#This Row],[Current Price]]/Main_L[[#This Row],[Free CF]],""),"")</f>
        <v>-95.25</v>
      </c>
      <c r="I39" s="1">
        <f>IF(ISNUMBER(Main_L[[#This Row],[BVPS]]),IF(Main_L[[#This Row],[BVPS]]&lt;&gt;0,Main_L[[#This Row],[Current Price]]/Main_L[[#This Row],[BVPS]],""),"")</f>
        <v>1.393562545720556</v>
      </c>
      <c r="J39">
        <v>9.23</v>
      </c>
      <c r="K39">
        <v>0.36</v>
      </c>
      <c r="L39">
        <v>1.7</v>
      </c>
      <c r="M39" s="1">
        <f>IF(ISNUMBER(Main_L[[#This Row],[EPS]]),IF(Main_L[[#This Row],[EPS]]&lt;&gt;0,Main_L[[#This Row],[Current Price]]/Main_L[[#This Row],[EPS]],""),"")</f>
        <v>15.666118421052632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-16.741114019385538</v>
      </c>
      <c r="P39" s="1">
        <f>(Main_L[[#This Row],[P/B]]-VLOOKUP(Main_L[[#This Row],[Industry]], Mean_PB_L, 2, FALSE))/(VLOOKUP(Main_L[[#This Row],[Industry]], Mean_PB_L, 3, FALSE))</f>
        <v>-1.042615879053052</v>
      </c>
      <c r="Q39" s="1">
        <f>(Main_L[[#This Row],[ROE]]-VLOOKUP(Main_L[[#This Row],[Industry]], Mean_ROE_L, 2, FALSE))/(VLOOKUP(Main_L[[#This Row],[Industry]], Mean_ROE_L, 3, FALSE))</f>
        <v>-0.83504495710411519</v>
      </c>
      <c r="R39" s="1">
        <f>(Main_L[[#This Row],[ROA]]-VLOOKUP(Main_L[[#This Row],[Industry]], Mean_ROA_L, 2, FALSE))/(VLOOKUP(Main_L[[#This Row],[Industry]], Mean_ROA_L, 3, FALSE))</f>
        <v>-1.6149322180855161</v>
      </c>
      <c r="S39" s="1">
        <f>(Main_L[[#This Row],[A/E]]-VLOOKUP(Main_L[[#This Row],[Industry]], Mean_AE_L, 2, FALSE))/(VLOOKUP(Main_L[[#This Row],[Industry]], Mean_AE_L, 3, FALSE))</f>
        <v>-0.89183694380102696</v>
      </c>
      <c r="T39" s="1">
        <f>(Main_L[[#This Row],[P/E]]-VLOOKUP(Main_L[[#This Row],[Industry]], Mean_PE_L, 2, FALSE))/(VLOOKUP(Main_L[[#This Row],[Industry]], Mean_PE_L, 3, FALSE))</f>
        <v>-0.22796680358831783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t="s">
        <v>107</v>
      </c>
      <c r="B40" t="s">
        <v>130</v>
      </c>
      <c r="C40" s="2">
        <v>18489</v>
      </c>
      <c r="D40">
        <f>RTD("tos.rtd", , "LAST", Main_L[[#This Row],[Symbol]])</f>
        <v>32.85</v>
      </c>
      <c r="E40">
        <v>1.1599999999999999</v>
      </c>
      <c r="F40">
        <v>14.35</v>
      </c>
      <c r="G40">
        <v>0.75</v>
      </c>
      <c r="H40" s="1">
        <f>IF(ISNUMBER(Main_L[[#This Row],[Free CF]]),IF(Main_L[[#This Row],[Free CF]]&lt;&gt;0,Main_L[[#This Row],[Current Price]]/Main_L[[#This Row],[Free CF]],""),"")</f>
        <v>28.318965517241381</v>
      </c>
      <c r="I40" s="1">
        <f>IF(ISNUMBER(Main_L[[#This Row],[BVPS]]),IF(Main_L[[#This Row],[BVPS]]&lt;&gt;0,Main_L[[#This Row],[Current Price]]/Main_L[[#This Row],[BVPS]],""),"")</f>
        <v>2.2891986062717771</v>
      </c>
      <c r="J40">
        <v>6.19</v>
      </c>
      <c r="K40">
        <v>3.43</v>
      </c>
      <c r="L40">
        <v>1.98</v>
      </c>
      <c r="M40" s="1">
        <f>IF(ISNUMBER(Main_L[[#This Row],[EPS]]),IF(Main_L[[#This Row],[EPS]]&lt;&gt;0,Main_L[[#This Row],[Current Price]]/Main_L[[#This Row],[EPS]],""),"")</f>
        <v>43.800000000000004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1.8316380637727323</v>
      </c>
      <c r="P40" s="1">
        <f>(Main_L[[#This Row],[P/B]]-VLOOKUP(Main_L[[#This Row],[Industry]], Mean_PB_L, 2, FALSE))/(VLOOKUP(Main_L[[#This Row],[Industry]], Mean_PB_L, 3, FALSE))</f>
        <v>0.12424942016629004</v>
      </c>
      <c r="Q40" s="1">
        <f>(Main_L[[#This Row],[ROE]]-VLOOKUP(Main_L[[#This Row],[Industry]], Mean_ROE_L, 2, FALSE))/(VLOOKUP(Main_L[[#This Row],[Industry]], Mean_ROE_L, 3, FALSE))</f>
        <v>-1.1680988366103486</v>
      </c>
      <c r="R40" s="1">
        <f>(Main_L[[#This Row],[ROA]]-VLOOKUP(Main_L[[#This Row],[Industry]], Mean_ROA_L, 2, FALSE))/(VLOOKUP(Main_L[[#This Row],[Industry]], Mean_ROA_L, 3, FALSE))</f>
        <v>-0.41622769450656688</v>
      </c>
      <c r="S40" s="1">
        <f>(Main_L[[#This Row],[A/E]]-VLOOKUP(Main_L[[#This Row],[Industry]], Mean_AE_L, 2, FALSE))/(VLOOKUP(Main_L[[#This Row],[Industry]], Mean_AE_L, 3, FALSE))</f>
        <v>-0.20768805540571852</v>
      </c>
      <c r="T40" s="1">
        <f>(Main_L[[#This Row],[P/E]]-VLOOKUP(Main_L[[#This Row],[Industry]], Mean_PE_L, 2, FALSE))/(VLOOKUP(Main_L[[#This Row],[Industry]], Mean_PE_L, 3, FALSE))</f>
        <v>2.0814403250413931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t="s">
        <v>107</v>
      </c>
      <c r="B41" t="s">
        <v>131</v>
      </c>
      <c r="C41" s="2">
        <v>15953</v>
      </c>
      <c r="D41">
        <f>RTD("tos.rtd", , "LAST", Main_L[[#This Row],[Symbol]])</f>
        <v>28.22</v>
      </c>
      <c r="E41">
        <v>1.1599999999999999</v>
      </c>
      <c r="F41">
        <v>14.35</v>
      </c>
      <c r="G41">
        <v>0.75</v>
      </c>
      <c r="H41" s="1">
        <f>IF(ISNUMBER(Main_L[[#This Row],[Free CF]]),IF(Main_L[[#This Row],[Free CF]]&lt;&gt;0,Main_L[[#This Row],[Current Price]]/Main_L[[#This Row],[Free CF]],""),"")</f>
        <v>24.327586206896552</v>
      </c>
      <c r="I41" s="1">
        <f>IF(ISNUMBER(Main_L[[#This Row],[BVPS]]),IF(Main_L[[#This Row],[BVPS]]&lt;&gt;0,Main_L[[#This Row],[Current Price]]/Main_L[[#This Row],[BVPS]],""),"")</f>
        <v>1.9665505226480835</v>
      </c>
      <c r="J41">
        <v>6.19</v>
      </c>
      <c r="K41">
        <v>3.43</v>
      </c>
      <c r="L41">
        <v>1.98</v>
      </c>
      <c r="M41" s="1">
        <f>IF(ISNUMBER(Main_L[[#This Row],[EPS]]),IF(Main_L[[#This Row],[EPS]]&lt;&gt;0,Main_L[[#This Row],[Current Price]]/Main_L[[#This Row],[EPS]],""),"")</f>
        <v>37.626666666666665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1.2317228820717221</v>
      </c>
      <c r="P41" s="1">
        <f>(Main_L[[#This Row],[P/B]]-VLOOKUP(Main_L[[#This Row],[Industry]], Mean_PB_L, 2, FALSE))/(VLOOKUP(Main_L[[#This Row],[Industry]], Mean_PB_L, 3, FALSE))</f>
        <v>-0.29610754090604424</v>
      </c>
      <c r="Q41" s="1">
        <f>(Main_L[[#This Row],[ROE]]-VLOOKUP(Main_L[[#This Row],[Industry]], Mean_ROE_L, 2, FALSE))/(VLOOKUP(Main_L[[#This Row],[Industry]], Mean_ROE_L, 3, FALSE))</f>
        <v>-1.1680988366103486</v>
      </c>
      <c r="R41" s="1">
        <f>(Main_L[[#This Row],[ROA]]-VLOOKUP(Main_L[[#This Row],[Industry]], Mean_ROA_L, 2, FALSE))/(VLOOKUP(Main_L[[#This Row],[Industry]], Mean_ROA_L, 3, FALSE))</f>
        <v>-0.41622769450656688</v>
      </c>
      <c r="S41" s="1">
        <f>(Main_L[[#This Row],[A/E]]-VLOOKUP(Main_L[[#This Row],[Industry]], Mean_AE_L, 2, FALSE))/(VLOOKUP(Main_L[[#This Row],[Industry]], Mean_AE_L, 3, FALSE))</f>
        <v>-0.20768805540571852</v>
      </c>
      <c r="T41" s="1">
        <f>(Main_L[[#This Row],[P/E]]-VLOOKUP(Main_L[[#This Row],[Industry]], Mean_PE_L, 2, FALSE))/(VLOOKUP(Main_L[[#This Row],[Industry]], Mean_PE_L, 3, FALSE))</f>
        <v>1.5746940388099271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t="s">
        <v>106</v>
      </c>
      <c r="B42" t="s">
        <v>118</v>
      </c>
      <c r="C42" s="2">
        <v>52117</v>
      </c>
      <c r="D42">
        <f>RTD("tos.rtd", , "LAST", Main_L[[#This Row],[Symbol]])</f>
        <v>17.239999999999998</v>
      </c>
      <c r="E42">
        <v>0.09</v>
      </c>
      <c r="F42">
        <v>0.3</v>
      </c>
      <c r="G42">
        <v>0.03</v>
      </c>
      <c r="H42" s="1">
        <f>IF(ISNUMBER(Main_L[[#This Row],[Free CF]]),IF(Main_L[[#This Row],[Free CF]]&lt;&gt;0,Main_L[[#This Row],[Current Price]]/Main_L[[#This Row],[Free CF]],""),"")</f>
        <v>191.55555555555554</v>
      </c>
      <c r="I42" s="1">
        <f>IF(ISNUMBER(Main_L[[#This Row],[BVPS]]),IF(Main_L[[#This Row],[BVPS]]&lt;&gt;0,Main_L[[#This Row],[Current Price]]/Main_L[[#This Row],[BVPS]],""),"")</f>
        <v>57.466666666666661</v>
      </c>
      <c r="J42">
        <v>9.16</v>
      </c>
      <c r="K42">
        <v>6.64</v>
      </c>
      <c r="L42">
        <v>4.93</v>
      </c>
      <c r="M42" s="1">
        <f>IF(ISNUMBER(Main_L[[#This Row],[EPS]]),IF(Main_L[[#This Row],[EPS]]&lt;&gt;0,Main_L[[#This Row],[Current Price]]/Main_L[[#This Row],[EPS]],""),"")</f>
        <v>574.66666666666663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33.787461311943126</v>
      </c>
      <c r="P42" s="1">
        <f>(Main_L[[#This Row],[P/B]]-VLOOKUP(Main_L[[#This Row],[Industry]], Mean_PB_L, 2, FALSE))/(VLOOKUP(Main_L[[#This Row],[Industry]], Mean_PB_L, 3, FALSE))</f>
        <v>50.441227700228815</v>
      </c>
      <c r="Q42" s="1">
        <f>(Main_L[[#This Row],[ROE]]-VLOOKUP(Main_L[[#This Row],[Industry]], Mean_ROE_L, 2, FALSE))/(VLOOKUP(Main_L[[#This Row],[Industry]], Mean_ROE_L, 3, FALSE))</f>
        <v>-0.54270107210811747</v>
      </c>
      <c r="R42" s="1">
        <f>(Main_L[[#This Row],[ROA]]-VLOOKUP(Main_L[[#This Row],[Industry]], Mean_ROA_L, 2, FALSE))/(VLOOKUP(Main_L[[#This Row],[Industry]], Mean_ROA_L, 3, FALSE))</f>
        <v>1.1189282168047916</v>
      </c>
      <c r="S42" s="1">
        <f>(Main_L[[#This Row],[A/E]]-VLOOKUP(Main_L[[#This Row],[Industry]], Mean_AE_L, 2, FALSE))/(VLOOKUP(Main_L[[#This Row],[Industry]], Mean_AE_L, 3, FALSE))</f>
        <v>0.30417909410364613</v>
      </c>
      <c r="T42" s="1">
        <f>(Main_L[[#This Row],[P/E]]-VLOOKUP(Main_L[[#This Row],[Industry]], Mean_PE_L, 2, FALSE))/(VLOOKUP(Main_L[[#This Row],[Industry]], Mean_PE_L, 3, FALSE))</f>
        <v>15.255117663239904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3" spans="1:26" x14ac:dyDescent="0.25">
      <c r="A43" t="s">
        <v>106</v>
      </c>
      <c r="B43" t="s">
        <v>119</v>
      </c>
      <c r="C43" s="2">
        <v>13704</v>
      </c>
      <c r="D43">
        <f>RTD("tos.rtd", , "LAST", Main_L[[#This Row],[Symbol]])</f>
        <v>25.43</v>
      </c>
      <c r="E43">
        <v>2.2000000000000002</v>
      </c>
      <c r="F43">
        <v>13.73</v>
      </c>
      <c r="G43">
        <v>2.2599999999999998</v>
      </c>
      <c r="H43" s="1">
        <f>IF(ISNUMBER(Main_L[[#This Row],[Free CF]]),IF(Main_L[[#This Row],[Free CF]]&lt;&gt;0,Main_L[[#This Row],[Current Price]]/Main_L[[#This Row],[Free CF]],""),"")</f>
        <v>11.559090909090909</v>
      </c>
      <c r="I43" s="1">
        <f>IF(ISNUMBER(Main_L[[#This Row],[BVPS]]),IF(Main_L[[#This Row],[BVPS]]&lt;&gt;0,Main_L[[#This Row],[Current Price]]/Main_L[[#This Row],[BVPS]],""),"")</f>
        <v>1.8521485797523669</v>
      </c>
      <c r="J43">
        <v>16.559999999999999</v>
      </c>
      <c r="K43">
        <v>4.41</v>
      </c>
      <c r="L43">
        <v>6.88</v>
      </c>
      <c r="M43" s="1">
        <f>IF(ISNUMBER(Main_L[[#This Row],[EPS]]),IF(Main_L[[#This Row],[EPS]]&lt;&gt;0,Main_L[[#This Row],[Current Price]]/Main_L[[#This Row],[EPS]],""),"")</f>
        <v>11.252212389380531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-1.4038205387246285</v>
      </c>
      <c r="P43" s="1">
        <f>(Main_L[[#This Row],[P/B]]-VLOOKUP(Main_L[[#This Row],[Industry]], Mean_PB_L, 2, FALSE))/(VLOOKUP(Main_L[[#This Row],[Industry]], Mean_PB_L, 3, FALSE))</f>
        <v>-1.3508136419477117</v>
      </c>
      <c r="Q43" s="1">
        <f>(Main_L[[#This Row],[ROE]]-VLOOKUP(Main_L[[#This Row],[Industry]], Mean_ROE_L, 2, FALSE))/(VLOOKUP(Main_L[[#This Row],[Industry]], Mean_ROE_L, 3, FALSE))</f>
        <v>0.70838551156791596</v>
      </c>
      <c r="R43" s="1">
        <f>(Main_L[[#This Row],[ROA]]-VLOOKUP(Main_L[[#This Row],[Industry]], Mean_ROA_L, 2, FALSE))/(VLOOKUP(Main_L[[#This Row],[Industry]], Mean_ROA_L, 3, FALSE))</f>
        <v>-0.10571469042204776</v>
      </c>
      <c r="S43" s="1">
        <f>(Main_L[[#This Row],[A/E]]-VLOOKUP(Main_L[[#This Row],[Industry]], Mean_AE_L, 2, FALSE))/(VLOOKUP(Main_L[[#This Row],[Industry]], Mean_AE_L, 3, FALSE))</f>
        <v>1.4559251785737632</v>
      </c>
      <c r="T43" s="1">
        <f>(Main_L[[#This Row],[P/E]]-VLOOKUP(Main_L[[#This Row],[Industry]], Mean_PE_L, 2, FALSE))/(VLOOKUP(Main_L[[#This Row],[Industry]], Mean_PE_L, 3, FALSE))</f>
        <v>-0.87057317529625466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t="s">
        <v>106</v>
      </c>
      <c r="B44" t="s">
        <v>120</v>
      </c>
      <c r="C44" s="2">
        <v>285292</v>
      </c>
      <c r="D44">
        <f>RTD("tos.rtd", , "LAST", Main_L[[#This Row],[Symbol]])</f>
        <v>237.34</v>
      </c>
      <c r="E44">
        <v>10.28</v>
      </c>
      <c r="F44">
        <v>53.73</v>
      </c>
      <c r="G44">
        <v>10.25</v>
      </c>
      <c r="H44" s="1">
        <f>IF(ISNUMBER(Main_L[[#This Row],[Free CF]]),IF(Main_L[[#This Row],[Free CF]]&lt;&gt;0,Main_L[[#This Row],[Current Price]]/Main_L[[#This Row],[Free CF]],""),"")</f>
        <v>23.087548638132297</v>
      </c>
      <c r="I44" s="1">
        <f>IF(ISNUMBER(Main_L[[#This Row],[BVPS]]),IF(Main_L[[#This Row],[BVPS]]&lt;&gt;0,Main_L[[#This Row],[Current Price]]/Main_L[[#This Row],[BVPS]],""),"")</f>
        <v>4.4172715428996838</v>
      </c>
      <c r="J44">
        <v>19.350000000000001</v>
      </c>
      <c r="K44">
        <v>5.6</v>
      </c>
      <c r="L44">
        <v>3.51</v>
      </c>
      <c r="M44" s="1">
        <f>IF(ISNUMBER(Main_L[[#This Row],[EPS]]),IF(Main_L[[#This Row],[EPS]]&lt;&gt;0,Main_L[[#This Row],[Current Price]]/Main_L[[#This Row],[EPS]],""),"")</f>
        <v>23.155121951219513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0.85011931527779339</v>
      </c>
      <c r="P44" s="1">
        <f>(Main_L[[#This Row],[P/B]]-VLOOKUP(Main_L[[#This Row],[Industry]], Mean_PB_L, 2, FALSE))/(VLOOKUP(Main_L[[#This Row],[Industry]], Mean_PB_L, 3, FALSE))</f>
        <v>1.0380042265712561</v>
      </c>
      <c r="Q44" s="1">
        <f>(Main_L[[#This Row],[ROE]]-VLOOKUP(Main_L[[#This Row],[Industry]], Mean_ROE_L, 2, FALSE))/(VLOOKUP(Main_L[[#This Row],[Industry]], Mean_ROE_L, 3, FALSE))</f>
        <v>1.1800789667646912</v>
      </c>
      <c r="R44" s="1">
        <f>(Main_L[[#This Row],[ROA]]-VLOOKUP(Main_L[[#This Row],[Industry]], Mean_ROA_L, 2, FALSE))/(VLOOKUP(Main_L[[#This Row],[Industry]], Mean_ROA_L, 3, FALSE))</f>
        <v>0.54779430491424752</v>
      </c>
      <c r="S44" s="1">
        <f>(Main_L[[#This Row],[A/E]]-VLOOKUP(Main_L[[#This Row],[Industry]], Mean_AE_L, 2, FALSE))/(VLOOKUP(Main_L[[#This Row],[Industry]], Mean_AE_L, 3, FALSE))</f>
        <v>-0.53452831099766984</v>
      </c>
      <c r="T44" s="1">
        <f>(Main_L[[#This Row],[P/E]]-VLOOKUP(Main_L[[#This Row],[Industry]], Mean_PE_L, 2, FALSE))/(VLOOKUP(Main_L[[#This Row],[Industry]], Mean_PE_L, 3, FALSE))</f>
        <v>-0.52989565412849604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t="s">
        <v>106</v>
      </c>
      <c r="B45" t="s">
        <v>121</v>
      </c>
      <c r="C45" s="2">
        <v>23392</v>
      </c>
      <c r="D45">
        <f>RTD("tos.rtd", , "LAST", Main_L[[#This Row],[Symbol]])</f>
        <v>9.06</v>
      </c>
      <c r="E45">
        <v>0.42</v>
      </c>
      <c r="F45">
        <v>2.4900000000000002</v>
      </c>
      <c r="G45">
        <v>0.1</v>
      </c>
      <c r="H45" s="1">
        <f>IF(ISNUMBER(Main_L[[#This Row],[Free CF]]),IF(Main_L[[#This Row],[Free CF]]&lt;&gt;0,Main_L[[#This Row],[Current Price]]/Main_L[[#This Row],[Free CF]],""),"")</f>
        <v>21.571428571428573</v>
      </c>
      <c r="I45" s="1">
        <f>IF(ISNUMBER(Main_L[[#This Row],[BVPS]]),IF(Main_L[[#This Row],[BVPS]]&lt;&gt;0,Main_L[[#This Row],[Current Price]]/Main_L[[#This Row],[BVPS]],""),"")</f>
        <v>3.6385542168674698</v>
      </c>
      <c r="J45">
        <v>4.41</v>
      </c>
      <c r="K45">
        <v>1.76</v>
      </c>
      <c r="L45">
        <v>2.34</v>
      </c>
      <c r="M45" s="1">
        <f>IF(ISNUMBER(Main_L[[#This Row],[EPS]]),IF(Main_L[[#This Row],[EPS]]&lt;&gt;0,Main_L[[#This Row],[Current Price]]/Main_L[[#This Row],[EPS]],""),"")</f>
        <v>90.6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0.55370122344683304</v>
      </c>
      <c r="P45" s="1">
        <f>(Main_L[[#This Row],[P/B]]-VLOOKUP(Main_L[[#This Row],[Industry]], Mean_PB_L, 2, FALSE))/(VLOOKUP(Main_L[[#This Row],[Industry]], Mean_PB_L, 3, FALSE))</f>
        <v>0.31280941537645651</v>
      </c>
      <c r="Q45" s="1">
        <f>(Main_L[[#This Row],[ROE]]-VLOOKUP(Main_L[[#This Row],[Industry]], Mean_ROE_L, 2, FALSE))/(VLOOKUP(Main_L[[#This Row],[Industry]], Mean_ROE_L, 3, FALSE))</f>
        <v>-1.3457634062244903</v>
      </c>
      <c r="R45" s="1">
        <f>(Main_L[[#This Row],[ROA]]-VLOOKUP(Main_L[[#This Row],[Industry]], Mean_ROA_L, 2, FALSE))/(VLOOKUP(Main_L[[#This Row],[Industry]], Mean_ROA_L, 3, FALSE))</f>
        <v>-1.5610078312969919</v>
      </c>
      <c r="S45" s="1">
        <f>(Main_L[[#This Row],[A/E]]-VLOOKUP(Main_L[[#This Row],[Industry]], Mean_AE_L, 2, FALSE))/(VLOOKUP(Main_L[[#This Row],[Industry]], Mean_AE_L, 3, FALSE))</f>
        <v>-1.2255759616797401</v>
      </c>
      <c r="T45" s="1">
        <f>(Main_L[[#This Row],[P/E]]-VLOOKUP(Main_L[[#This Row],[Industry]], Mean_PE_L, 2, FALSE))/(VLOOKUP(Main_L[[#This Row],[Industry]], Mean_PE_L, 3, FALSE))</f>
        <v>1.4004688294247507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52"/>
  <sheetViews>
    <sheetView topLeftCell="H1" workbookViewId="0">
      <selection activeCell="B24" sqref="B24"/>
    </sheetView>
  </sheetViews>
  <sheetFormatPr defaultRowHeight="15" x14ac:dyDescent="0.25"/>
  <cols>
    <col min="1" max="1" width="36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7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154</v>
      </c>
      <c r="C2" s="2">
        <v>6038</v>
      </c>
      <c r="D2">
        <f>RTD("tos.rtd", , "LAST", Main_M[[#This Row],[Symbol]])</f>
        <v>26.55</v>
      </c>
      <c r="E2">
        <v>-1.94</v>
      </c>
      <c r="F2">
        <v>2.2999999999999998</v>
      </c>
      <c r="G2">
        <v>-1.94</v>
      </c>
      <c r="H2" s="1">
        <f>IF(ISNUMBER(Main_M[[#This Row],[Free CF]]),IF(Main_M[[#This Row],[Free CF]]&lt;&gt;0,Main_M[[#This Row],[Current Price]]/Main_M[[#This Row],[Free CF]],""),"")</f>
        <v>-13.685567010309279</v>
      </c>
      <c r="I2" s="1">
        <f>IF(ISNUMBER(Main_M[[#This Row],[BVPS]]),IF(Main_M[[#This Row],[BVPS]]&lt;&gt;0,Main_M[[#This Row],[Current Price]]/Main_M[[#This Row],[BVPS]],""),"")</f>
        <v>11.543478260869566</v>
      </c>
      <c r="J2">
        <v>-119.25</v>
      </c>
      <c r="K2">
        <v>-23.07</v>
      </c>
      <c r="L2">
        <v>1.99</v>
      </c>
      <c r="M2" s="1">
        <f>IF(ISNUMBER(Main_M[[#This Row],[EPS]]),IF(Main_M[[#This Row],[EPS]]&lt;&gt;0,Main_M[[#This Row],[Current Price]]/Main_M[[#This Row],[EPS]],""),"")</f>
        <v>-13.685567010309279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-1.6623205285692395</v>
      </c>
      <c r="P2" s="1">
        <f>(Main_M[[#This Row],[P/B]]-VLOOKUP(Main_M[[#This Row],[Industry]], Mean_PB_M, 2, FALSE))/(VLOOKUP(Main_M[[#This Row],[Industry]], Mean_PB_M, 3, FALSE))</f>
        <v>1.2215237364972151</v>
      </c>
      <c r="Q2" s="1">
        <f>(Main_M[[#This Row],[ROE]]-VLOOKUP(Main_M[[#This Row],[Industry]], Mean_ROE_M, 2, FALSE))/(VLOOKUP(Main_M[[#This Row],[Industry]], Mean_ROE_M, 3, FALSE))</f>
        <v>-3.9319080625418739</v>
      </c>
      <c r="R2" s="1">
        <f>(Main_M[[#This Row],[ROA]]-VLOOKUP(Main_M[[#This Row],[Industry]], Mean_ROA_M, 2, FALSE))/(VLOOKUP(Main_M[[#This Row],[Industry]], Mean_ROA_M, 3, FALSE))</f>
        <v>-11.799232878547267</v>
      </c>
      <c r="S2" s="1">
        <f>(Main_M[[#This Row],[A/E]]-VLOOKUP(Main_M[[#This Row],[Industry]], Mean_AE_M, 2, FALSE))/(VLOOKUP(Main_M[[#This Row],[Industry]], Mean_AE_M, 3, FALSE))</f>
        <v>-0.8946190874539095</v>
      </c>
      <c r="T2" s="1">
        <f>(Main_M[[#This Row],[P/E]]-VLOOKUP(Main_M[[#This Row],[Industry]], Mean_PE_M, 2, FALSE))/(VLOOKUP(Main_M[[#This Row],[Industry]], Mean_PE_M, 3, FALSE))</f>
        <v>-0.31292344266171629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t="s">
        <v>105</v>
      </c>
      <c r="B3" t="s">
        <v>155</v>
      </c>
      <c r="C3" s="2">
        <v>2628</v>
      </c>
      <c r="D3">
        <f>RTD("tos.rtd", , "LAST", Main_M[[#This Row],[Symbol]])</f>
        <v>51.27</v>
      </c>
      <c r="E3">
        <v>-4.28</v>
      </c>
      <c r="F3">
        <v>4.6900000000000004</v>
      </c>
      <c r="G3">
        <v>-4.28</v>
      </c>
      <c r="H3" s="1">
        <f>IF(ISNUMBER(Main_M[[#This Row],[Free CF]]),IF(Main_M[[#This Row],[Free CF]]&lt;&gt;0,Main_M[[#This Row],[Current Price]]/Main_M[[#This Row],[Free CF]],""),"")</f>
        <v>-11.978971962616823</v>
      </c>
      <c r="I3" s="1">
        <f>IF(ISNUMBER(Main_M[[#This Row],[BVPS]]),IF(Main_M[[#This Row],[BVPS]]&lt;&gt;0,Main_M[[#This Row],[Current Price]]/Main_M[[#This Row],[BVPS]],""),"")</f>
        <v>10.931769722814499</v>
      </c>
      <c r="J3">
        <v>-49.03</v>
      </c>
      <c r="K3">
        <v>-3.51</v>
      </c>
      <c r="L3">
        <v>14.24</v>
      </c>
      <c r="M3" s="1">
        <f>IF(ISNUMBER(Main_M[[#This Row],[EPS]]),IF(Main_M[[#This Row],[EPS]]&lt;&gt;0,Main_M[[#This Row],[Current Price]]/Main_M[[#This Row],[EPS]],""),"")</f>
        <v>-11.978971962616823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-1.469381866692016</v>
      </c>
      <c r="P3" s="1">
        <f>(Main_M[[#This Row],[P/B]]-VLOOKUP(Main_M[[#This Row],[Industry]], Mean_PB_M, 2, FALSE))/(VLOOKUP(Main_M[[#This Row],[Industry]], Mean_PB_M, 3, FALSE))</f>
        <v>1.1019007799671257</v>
      </c>
      <c r="Q3" s="1">
        <f>(Main_M[[#This Row],[ROE]]-VLOOKUP(Main_M[[#This Row],[Industry]], Mean_ROE_M, 2, FALSE))/(VLOOKUP(Main_M[[#This Row],[Industry]], Mean_ROE_M, 3, FALSE))</f>
        <v>-1.3700134556621133</v>
      </c>
      <c r="R3" s="1">
        <f>(Main_M[[#This Row],[ROA]]-VLOOKUP(Main_M[[#This Row],[Industry]], Mean_ROA_M, 2, FALSE))/(VLOOKUP(Main_M[[#This Row],[Industry]], Mean_ROA_M, 3, FALSE))</f>
        <v>-2.0036811148536819</v>
      </c>
      <c r="S3" s="1">
        <f>(Main_M[[#This Row],[A/E]]-VLOOKUP(Main_M[[#This Row],[Industry]], Mean_AE_M, 2, FALSE))/(VLOOKUP(Main_M[[#This Row],[Industry]], Mean_AE_M, 3, FALSE))</f>
        <v>9.3475153249857073</v>
      </c>
      <c r="T3" s="1">
        <f>(Main_M[[#This Row],[P/E]]-VLOOKUP(Main_M[[#This Row],[Industry]], Mean_PE_M, 2, FALSE))/(VLOOKUP(Main_M[[#This Row],[Industry]], Mean_PE_M, 3, FALSE))</f>
        <v>-0.22216099476403156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t="s">
        <v>105</v>
      </c>
      <c r="B4" t="s">
        <v>156</v>
      </c>
      <c r="C4" s="2">
        <v>2546</v>
      </c>
      <c r="D4">
        <f>RTD("tos.rtd", , "LAST", Main_M[[#This Row],[Symbol]])</f>
        <v>18.920000000000002</v>
      </c>
      <c r="E4">
        <v>1.33</v>
      </c>
      <c r="F4">
        <v>2.84</v>
      </c>
      <c r="G4">
        <v>-0.59</v>
      </c>
      <c r="H4" s="1">
        <f>IF(ISNUMBER(Main_M[[#This Row],[Free CF]]),IF(Main_M[[#This Row],[Free CF]]&lt;&gt;0,Main_M[[#This Row],[Current Price]]/Main_M[[#This Row],[Free CF]],""),"")</f>
        <v>14.225563909774436</v>
      </c>
      <c r="I4" s="1">
        <f>IF(ISNUMBER(Main_M[[#This Row],[BVPS]]),IF(Main_M[[#This Row],[BVPS]]&lt;&gt;0,Main_M[[#This Row],[Current Price]]/Main_M[[#This Row],[BVPS]],""),"")</f>
        <v>6.6619718309859168</v>
      </c>
      <c r="J4">
        <v>-17.12</v>
      </c>
      <c r="K4">
        <v>-0.02</v>
      </c>
      <c r="L4">
        <v>4.7699999999999996</v>
      </c>
      <c r="M4" s="1">
        <f>IF(ISNUMBER(Main_M[[#This Row],[EPS]]),IF(Main_M[[#This Row],[EPS]]&lt;&gt;0,Main_M[[#This Row],[Current Price]]/Main_M[[#This Row],[EPS]],""),"")</f>
        <v>-32.067796610169495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1.4931651611861427</v>
      </c>
      <c r="P4" s="1">
        <f>(Main_M[[#This Row],[P/B]]-VLOOKUP(Main_M[[#This Row],[Industry]], Mean_PB_M, 2, FALSE))/(VLOOKUP(Main_M[[#This Row],[Industry]], Mean_PB_M, 3, FALSE))</f>
        <v>0.26691840546821305</v>
      </c>
      <c r="Q4" s="1">
        <f>(Main_M[[#This Row],[ROE]]-VLOOKUP(Main_M[[#This Row],[Industry]], Mean_ROE_M, 2, FALSE))/(VLOOKUP(Main_M[[#This Row],[Industry]], Mean_ROE_M, 3, FALSE))</f>
        <v>-0.20581441115153015</v>
      </c>
      <c r="R4" s="1">
        <f>(Main_M[[#This Row],[ROA]]-VLOOKUP(Main_M[[#This Row],[Industry]], Mean_ROA_M, 2, FALSE))/(VLOOKUP(Main_M[[#This Row],[Industry]], Mean_ROA_M, 3, FALSE))</f>
        <v>-0.25590628585109515</v>
      </c>
      <c r="S4" s="1">
        <f>(Main_M[[#This Row],[A/E]]-VLOOKUP(Main_M[[#This Row],[Industry]], Mean_AE_M, 2, FALSE))/(VLOOKUP(Main_M[[#This Row],[Industry]], Mean_AE_M, 3, FALSE))</f>
        <v>1.4297183547160603</v>
      </c>
      <c r="T4" s="1">
        <f>(Main_M[[#This Row],[P/E]]-VLOOKUP(Main_M[[#This Row],[Industry]], Mean_PE_M, 2, FALSE))/(VLOOKUP(Main_M[[#This Row],[Industry]], Mean_PE_M, 3, FALSE))</f>
        <v>-1.2905520596886506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t="s">
        <v>105</v>
      </c>
      <c r="B5" t="s">
        <v>157</v>
      </c>
      <c r="C5" s="2">
        <v>2846</v>
      </c>
      <c r="D5">
        <f>RTD("tos.rtd", , "LAST", Main_M[[#This Row],[Symbol]])</f>
        <v>25.66</v>
      </c>
      <c r="E5">
        <v>2.48</v>
      </c>
      <c r="F5">
        <v>4.7699999999999996</v>
      </c>
      <c r="G5">
        <v>1.05</v>
      </c>
      <c r="H5" s="1">
        <f>IF(ISNUMBER(Main_M[[#This Row],[Free CF]]),IF(Main_M[[#This Row],[Free CF]]&lt;&gt;0,Main_M[[#This Row],[Current Price]]/Main_M[[#This Row],[Free CF]],""),"")</f>
        <v>10.346774193548388</v>
      </c>
      <c r="I5" s="1">
        <f>IF(ISNUMBER(Main_M[[#This Row],[BVPS]]),IF(Main_M[[#This Row],[BVPS]]&lt;&gt;0,Main_M[[#This Row],[Current Price]]/Main_M[[#This Row],[BVPS]],""),"")</f>
        <v>5.3794549266247387</v>
      </c>
      <c r="J5">
        <v>18.010000000000002</v>
      </c>
      <c r="K5">
        <v>4.97</v>
      </c>
      <c r="L5">
        <v>5.03</v>
      </c>
      <c r="M5" s="1">
        <f>IF(ISNUMBER(Main_M[[#This Row],[EPS]]),IF(Main_M[[#This Row],[EPS]]&lt;&gt;0,Main_M[[#This Row],[Current Price]]/Main_M[[#This Row],[EPS]],""),"")</f>
        <v>24.438095238095237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1.0546495926781458</v>
      </c>
      <c r="P5" s="1">
        <f>(Main_M[[#This Row],[P/B]]-VLOOKUP(Main_M[[#This Row],[Industry]], Mean_PB_M, 2, FALSE))/(VLOOKUP(Main_M[[#This Row],[Industry]], Mean_PB_M, 3, FALSE))</f>
        <v>1.6115197150576022E-2</v>
      </c>
      <c r="Q5" s="1">
        <f>(Main_M[[#This Row],[ROE]]-VLOOKUP(Main_M[[#This Row],[Industry]], Mean_ROE_M, 2, FALSE))/(VLOOKUP(Main_M[[#This Row],[Industry]], Mean_ROE_M, 3, FALSE))</f>
        <v>1.0758625689066583</v>
      </c>
      <c r="R5" s="1">
        <f>(Main_M[[#This Row],[ROA]]-VLOOKUP(Main_M[[#This Row],[Industry]], Mean_ROA_M, 2, FALSE))/(VLOOKUP(Main_M[[#This Row],[Industry]], Mean_ROA_M, 3, FALSE))</f>
        <v>2.2430611630666442</v>
      </c>
      <c r="S5" s="1">
        <f>(Main_M[[#This Row],[A/E]]-VLOOKUP(Main_M[[#This Row],[Industry]], Mean_AE_M, 2, FALSE))/(VLOOKUP(Main_M[[#This Row],[Industry]], Mean_AE_M, 3, FALSE))</f>
        <v>1.6471024320413099</v>
      </c>
      <c r="T5" s="1">
        <f>(Main_M[[#This Row],[P/E]]-VLOOKUP(Main_M[[#This Row],[Industry]], Mean_PE_M, 2, FALSE))/(VLOOKUP(Main_M[[#This Row],[Industry]], Mean_PE_M, 3, FALSE))</f>
        <v>1.7146207677638281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t="s">
        <v>105</v>
      </c>
      <c r="B6" t="s">
        <v>158</v>
      </c>
      <c r="C6" s="2">
        <v>3210</v>
      </c>
      <c r="D6">
        <f>RTD("tos.rtd", , "LAST", Main_M[[#This Row],[Symbol]])</f>
        <v>9.08</v>
      </c>
      <c r="E6">
        <v>2.7</v>
      </c>
      <c r="F6">
        <v>36.44</v>
      </c>
      <c r="G6">
        <v>-0.41</v>
      </c>
      <c r="H6" s="1">
        <f>IF(ISNUMBER(Main_M[[#This Row],[Free CF]]),IF(Main_M[[#This Row],[Free CF]]&lt;&gt;0,Main_M[[#This Row],[Current Price]]/Main_M[[#This Row],[Free CF]],""),"")</f>
        <v>3.3629629629629627</v>
      </c>
      <c r="I6" s="1">
        <f>IF(ISNUMBER(Main_M[[#This Row],[BVPS]]),IF(Main_M[[#This Row],[BVPS]]&lt;&gt;0,Main_M[[#This Row],[Current Price]]/Main_M[[#This Row],[BVPS]],""),"")</f>
        <v>0.24917672886937434</v>
      </c>
      <c r="J6">
        <v>-0.56999999999999995</v>
      </c>
      <c r="K6">
        <v>0.05</v>
      </c>
      <c r="L6">
        <v>2.0499999999999998</v>
      </c>
      <c r="M6" s="1">
        <f>IF(ISNUMBER(Main_M[[#This Row],[EPS]]),IF(Main_M[[#This Row],[EPS]]&lt;&gt;0,Main_M[[#This Row],[Current Price]]/Main_M[[#This Row],[EPS]],""),"")</f>
        <v>-22.146341463414636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0.26509661966664833</v>
      </c>
      <c r="P6" s="1">
        <f>(Main_M[[#This Row],[P/B]]-VLOOKUP(Main_M[[#This Row],[Industry]], Mean_PB_M, 2, FALSE))/(VLOOKUP(Main_M[[#This Row],[Industry]], Mean_PB_M, 3, FALSE))</f>
        <v>-0.98713881625361433</v>
      </c>
      <c r="Q6" s="1">
        <f>(Main_M[[#This Row],[ROE]]-VLOOKUP(Main_M[[#This Row],[Industry]], Mean_ROE_M, 2, FALSE))/(VLOOKUP(Main_M[[#This Row],[Industry]], Mean_ROE_M, 3, FALSE))</f>
        <v>0.39799299049842768</v>
      </c>
      <c r="R6" s="1">
        <f>(Main_M[[#This Row],[ROA]]-VLOOKUP(Main_M[[#This Row],[Industry]], Mean_ROA_M, 2, FALSE))/(VLOOKUP(Main_M[[#This Row],[Industry]], Mean_ROA_M, 3, FALSE))</f>
        <v>-0.22085063025505472</v>
      </c>
      <c r="S6" s="1">
        <f>(Main_M[[#This Row],[A/E]]-VLOOKUP(Main_M[[#This Row],[Industry]], Mean_AE_M, 2, FALSE))/(VLOOKUP(Main_M[[#This Row],[Industry]], Mean_AE_M, 3, FALSE))</f>
        <v>-0.84445353114808286</v>
      </c>
      <c r="T6" s="1">
        <f>(Main_M[[#This Row],[P/E]]-VLOOKUP(Main_M[[#This Row],[Industry]], Mean_PE_M, 2, FALSE))/(VLOOKUP(Main_M[[#This Row],[Industry]], Mean_PE_M, 3, FALSE))</f>
        <v>-0.76289580225127918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t="s">
        <v>105</v>
      </c>
      <c r="B7" t="s">
        <v>159</v>
      </c>
      <c r="C7" s="2">
        <v>3179</v>
      </c>
      <c r="D7">
        <f>RTD("tos.rtd", , "LAST", Main_M[[#This Row],[Symbol]])</f>
        <v>9.15</v>
      </c>
      <c r="E7">
        <v>2.7</v>
      </c>
      <c r="F7">
        <v>36.44</v>
      </c>
      <c r="G7">
        <v>-0.41</v>
      </c>
      <c r="H7" s="1">
        <f>IF(ISNUMBER(Main_M[[#This Row],[Free CF]]),IF(Main_M[[#This Row],[Free CF]]&lt;&gt;0,Main_M[[#This Row],[Current Price]]/Main_M[[#This Row],[Free CF]],""),"")</f>
        <v>3.3888888888888888</v>
      </c>
      <c r="I7" s="1">
        <f>IF(ISNUMBER(Main_M[[#This Row],[BVPS]]),IF(Main_M[[#This Row],[BVPS]]&lt;&gt;0,Main_M[[#This Row],[Current Price]]/Main_M[[#This Row],[BVPS]],""),"")</f>
        <v>0.25109769484083427</v>
      </c>
      <c r="J7">
        <v>-0.56999999999999995</v>
      </c>
      <c r="K7">
        <v>0.05</v>
      </c>
      <c r="L7">
        <v>2.0499999999999998</v>
      </c>
      <c r="M7" s="1">
        <f>IF(ISNUMBER(Main_M[[#This Row],[EPS]]),IF(Main_M[[#This Row],[EPS]]&lt;&gt;0,Main_M[[#This Row],[Current Price]]/Main_M[[#This Row],[EPS]],""),"")</f>
        <v>-22.31707317073171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0.26802766851906334</v>
      </c>
      <c r="P7" s="1">
        <f>(Main_M[[#This Row],[P/B]]-VLOOKUP(Main_M[[#This Row],[Industry]], Mean_PB_M, 2, FALSE))/(VLOOKUP(Main_M[[#This Row],[Industry]], Mean_PB_M, 3, FALSE))</f>
        <v>-0.98676316083178484</v>
      </c>
      <c r="Q7" s="1">
        <f>(Main_M[[#This Row],[ROE]]-VLOOKUP(Main_M[[#This Row],[Industry]], Mean_ROE_M, 2, FALSE))/(VLOOKUP(Main_M[[#This Row],[Industry]], Mean_ROE_M, 3, FALSE))</f>
        <v>0.39799299049842768</v>
      </c>
      <c r="R7" s="1">
        <f>(Main_M[[#This Row],[ROA]]-VLOOKUP(Main_M[[#This Row],[Industry]], Mean_ROA_M, 2, FALSE))/(VLOOKUP(Main_M[[#This Row],[Industry]], Mean_ROA_M, 3, FALSE))</f>
        <v>-0.22085063025505472</v>
      </c>
      <c r="S7" s="1">
        <f>(Main_M[[#This Row],[A/E]]-VLOOKUP(Main_M[[#This Row],[Industry]], Mean_AE_M, 2, FALSE))/(VLOOKUP(Main_M[[#This Row],[Industry]], Mean_AE_M, 3, FALSE))</f>
        <v>-0.84445353114808286</v>
      </c>
      <c r="T7" s="1">
        <f>(Main_M[[#This Row],[P/E]]-VLOOKUP(Main_M[[#This Row],[Industry]], Mean_PE_M, 2, FALSE))/(VLOOKUP(Main_M[[#This Row],[Industry]], Mean_PE_M, 3, FALSE))</f>
        <v>-0.77197588701468067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t="s">
        <v>105</v>
      </c>
      <c r="B8" t="s">
        <v>160</v>
      </c>
      <c r="C8" s="2">
        <v>4340</v>
      </c>
      <c r="D8">
        <f>RTD("tos.rtd", , "LAST", Main_M[[#This Row],[Symbol]])</f>
        <v>4.3899999999999997</v>
      </c>
      <c r="E8">
        <v>1.03</v>
      </c>
      <c r="F8">
        <v>0.28000000000000003</v>
      </c>
      <c r="G8">
        <v>-0.32</v>
      </c>
      <c r="H8" s="1">
        <f>IF(ISNUMBER(Main_M[[#This Row],[Free CF]]),IF(Main_M[[#This Row],[Free CF]]&lt;&gt;0,Main_M[[#This Row],[Current Price]]/Main_M[[#This Row],[Free CF]],""),"")</f>
        <v>4.2621359223300965</v>
      </c>
      <c r="I8" s="1">
        <f>IF(ISNUMBER(Main_M[[#This Row],[BVPS]]),IF(Main_M[[#This Row],[BVPS]]&lt;&gt;0,Main_M[[#This Row],[Current Price]]/Main_M[[#This Row],[BVPS]],""),"")</f>
        <v>15.678571428571425</v>
      </c>
      <c r="J8">
        <v>-78.94</v>
      </c>
      <c r="K8">
        <v>0.91</v>
      </c>
      <c r="L8">
        <v>116.05</v>
      </c>
      <c r="M8" s="1">
        <f>IF(ISNUMBER(Main_M[[#This Row],[EPS]]),IF(Main_M[[#This Row],[EPS]]&lt;&gt;0,Main_M[[#This Row],[Current Price]]/Main_M[[#This Row],[EPS]],""),"")</f>
        <v>-13.718749999999998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0.36675238610699562</v>
      </c>
      <c r="P8" s="1">
        <f>(Main_M[[#This Row],[P/B]]-VLOOKUP(Main_M[[#This Row],[Industry]], Mean_PB_M, 2, FALSE))/(VLOOKUP(Main_M[[#This Row],[Industry]], Mean_PB_M, 3, FALSE))</f>
        <v>2.0301638640661723</v>
      </c>
      <c r="Q8" s="1">
        <f>(Main_M[[#This Row],[ROE]]-VLOOKUP(Main_M[[#This Row],[Industry]], Mean_ROE_M, 2, FALSE))/(VLOOKUP(Main_M[[#This Row],[Industry]], Mean_ROE_M, 3, FALSE))</f>
        <v>-2.4612448383418859</v>
      </c>
      <c r="R8" s="1">
        <f>(Main_M[[#This Row],[ROA]]-VLOOKUP(Main_M[[#This Row],[Industry]], Mean_ROA_M, 2, FALSE))/(VLOOKUP(Main_M[[#This Row],[Industry]], Mean_ROA_M, 3, FALSE))</f>
        <v>0.20983313849629917</v>
      </c>
      <c r="S8" s="1">
        <f>(Main_M[[#This Row],[A/E]]-VLOOKUP(Main_M[[#This Row],[Industry]], Mean_AE_M, 2, FALSE))/(VLOOKUP(Main_M[[#This Row],[Industry]], Mean_AE_M, 3, FALSE))</f>
        <v>94.470103449922632</v>
      </c>
      <c r="T8" s="1">
        <f>(Main_M[[#This Row],[P/E]]-VLOOKUP(Main_M[[#This Row],[Industry]], Mean_PE_M, 2, FALSE))/(VLOOKUP(Main_M[[#This Row],[Industry]], Mean_PE_M, 3, FALSE))</f>
        <v>-0.31468822533641444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t="s">
        <v>105</v>
      </c>
      <c r="B9" t="s">
        <v>161</v>
      </c>
      <c r="C9" s="2">
        <v>9132</v>
      </c>
      <c r="D9">
        <f>RTD("tos.rtd", , "LAST", Main_M[[#This Row],[Symbol]])</f>
        <v>36.590000000000003</v>
      </c>
      <c r="E9">
        <v>-4.29</v>
      </c>
      <c r="F9">
        <v>19.489999999999998</v>
      </c>
      <c r="G9">
        <v>-1.56</v>
      </c>
      <c r="H9" s="1">
        <f>IF(ISNUMBER(Main_M[[#This Row],[Free CF]]),IF(Main_M[[#This Row],[Free CF]]&lt;&gt;0,Main_M[[#This Row],[Current Price]]/Main_M[[#This Row],[Free CF]],""),"")</f>
        <v>-8.5291375291375306</v>
      </c>
      <c r="I9" s="1">
        <f>IF(ISNUMBER(Main_M[[#This Row],[BVPS]]),IF(Main_M[[#This Row],[BVPS]]&lt;&gt;0,Main_M[[#This Row],[Current Price]]/Main_M[[#This Row],[BVPS]],""),"")</f>
        <v>1.877373011800924</v>
      </c>
      <c r="J9">
        <v>-7.64</v>
      </c>
      <c r="K9">
        <v>1.47</v>
      </c>
      <c r="L9">
        <v>4.28</v>
      </c>
      <c r="M9" s="1">
        <f>IF(ISNUMBER(Main_M[[#This Row],[EPS]]),IF(Main_M[[#This Row],[EPS]]&lt;&gt;0,Main_M[[#This Row],[Current Price]]/Main_M[[#This Row],[EPS]],""),"")</f>
        <v>-23.455128205128208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-1.0793617267686917</v>
      </c>
      <c r="P9" s="1">
        <f>(Main_M[[#This Row],[P/B]]-VLOOKUP(Main_M[[#This Row],[Industry]], Mean_PB_M, 2, FALSE))/(VLOOKUP(Main_M[[#This Row],[Industry]], Mean_PB_M, 3, FALSE))</f>
        <v>-0.66873611127446519</v>
      </c>
      <c r="Q9" s="1">
        <f>(Main_M[[#This Row],[ROE]]-VLOOKUP(Main_M[[#This Row],[Industry]], Mean_ROE_M, 2, FALSE))/(VLOOKUP(Main_M[[#This Row],[Industry]], Mean_ROE_M, 3, FALSE))</f>
        <v>0.14005230592651219</v>
      </c>
      <c r="R9" s="1">
        <f>(Main_M[[#This Row],[ROA]]-VLOOKUP(Main_M[[#This Row],[Industry]], Mean_ROA_M, 2, FALSE))/(VLOOKUP(Main_M[[#This Row],[Industry]], Mean_ROA_M, 3, FALSE))</f>
        <v>0.49027838326462259</v>
      </c>
      <c r="S9" s="1">
        <f>(Main_M[[#This Row],[A/E]]-VLOOKUP(Main_M[[#This Row],[Industry]], Mean_AE_M, 2, FALSE))/(VLOOKUP(Main_M[[#This Row],[Industry]], Mean_AE_M, 3, FALSE))</f>
        <v>1.0200329782184763</v>
      </c>
      <c r="T9" s="1">
        <f>(Main_M[[#This Row],[P/E]]-VLOOKUP(Main_M[[#This Row],[Industry]], Mean_PE_M, 2, FALSE))/(VLOOKUP(Main_M[[#This Row],[Industry]], Mean_PE_M, 3, FALSE))</f>
        <v>-0.83250147034141964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t="s">
        <v>105</v>
      </c>
      <c r="B10" t="s">
        <v>162</v>
      </c>
      <c r="C10" s="2">
        <v>9523</v>
      </c>
      <c r="D10">
        <f>RTD("tos.rtd", , "LAST", Main_M[[#This Row],[Symbol]])</f>
        <v>19.309999999999999</v>
      </c>
      <c r="E10">
        <v>4.75</v>
      </c>
      <c r="F10">
        <v>44.66</v>
      </c>
      <c r="G10">
        <v>1.29</v>
      </c>
      <c r="H10" s="1">
        <f>IF(ISNUMBER(Main_M[[#This Row],[Free CF]]),IF(Main_M[[#This Row],[Free CF]]&lt;&gt;0,Main_M[[#This Row],[Current Price]]/Main_M[[#This Row],[Free CF]],""),"")</f>
        <v>4.0652631578947362</v>
      </c>
      <c r="I10" s="1">
        <f>IF(ISNUMBER(Main_M[[#This Row],[BVPS]]),IF(Main_M[[#This Row],[BVPS]]&lt;&gt;0,Main_M[[#This Row],[Current Price]]/Main_M[[#This Row],[BVPS]],""),"")</f>
        <v>0.43237796686072549</v>
      </c>
      <c r="J10">
        <v>2.2799999999999998</v>
      </c>
      <c r="K10">
        <v>1.2</v>
      </c>
      <c r="L10">
        <v>2.58</v>
      </c>
      <c r="M10" s="1">
        <f>IF(ISNUMBER(Main_M[[#This Row],[EPS]]),IF(Main_M[[#This Row],[EPS]]&lt;&gt;0,Main_M[[#This Row],[Current Price]]/Main_M[[#This Row],[EPS]],""),"")</f>
        <v>14.968992248062014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0.34449498662515127</v>
      </c>
      <c r="P10" s="1">
        <f>(Main_M[[#This Row],[P/B]]-VLOOKUP(Main_M[[#This Row],[Industry]], Mean_PB_M, 2, FALSE))/(VLOOKUP(Main_M[[#This Row],[Industry]], Mean_PB_M, 3, FALSE))</f>
        <v>-0.95131281029630466</v>
      </c>
      <c r="Q10" s="1">
        <f>(Main_M[[#This Row],[ROE]]-VLOOKUP(Main_M[[#This Row],[Industry]], Mean_ROE_M, 2, FALSE))/(VLOOKUP(Main_M[[#This Row],[Industry]], Mean_ROE_M, 3, FALSE))</f>
        <v>0.50197190860733276</v>
      </c>
      <c r="R10" s="1">
        <f>(Main_M[[#This Row],[ROA]]-VLOOKUP(Main_M[[#This Row],[Industry]], Mean_ROA_M, 2, FALSE))/(VLOOKUP(Main_M[[#This Row],[Industry]], Mean_ROA_M, 3, FALSE))</f>
        <v>0.3550637116798952</v>
      </c>
      <c r="S10" s="1">
        <f>(Main_M[[#This Row],[A/E]]-VLOOKUP(Main_M[[#This Row],[Industry]], Mean_AE_M, 2, FALSE))/(VLOOKUP(Main_M[[#This Row],[Industry]], Mean_AE_M, 3, FALSE))</f>
        <v>-0.40132445044661352</v>
      </c>
      <c r="T10" s="1">
        <f>(Main_M[[#This Row],[P/E]]-VLOOKUP(Main_M[[#This Row],[Industry]], Mean_PE_M, 2, FALSE))/(VLOOKUP(Main_M[[#This Row],[Industry]], Mean_PE_M, 3, FALSE))</f>
        <v>1.2110221150355331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t="s">
        <v>105</v>
      </c>
      <c r="B11" t="s">
        <v>163</v>
      </c>
      <c r="C11" s="2">
        <v>3829</v>
      </c>
      <c r="D11">
        <f>RTD("tos.rtd", , "LAST", Main_M[[#This Row],[Symbol]])</f>
        <v>53.75</v>
      </c>
      <c r="E11">
        <v>11.38</v>
      </c>
      <c r="F11">
        <v>67.260000000000005</v>
      </c>
      <c r="G11">
        <v>-5.64</v>
      </c>
      <c r="H11" s="1">
        <f>IF(ISNUMBER(Main_M[[#This Row],[Free CF]]),IF(Main_M[[#This Row],[Free CF]]&lt;&gt;0,Main_M[[#This Row],[Current Price]]/Main_M[[#This Row],[Free CF]],""),"")</f>
        <v>4.7231985940246046</v>
      </c>
      <c r="I11" s="1">
        <f>IF(ISNUMBER(Main_M[[#This Row],[BVPS]]),IF(Main_M[[#This Row],[BVPS]]&lt;&gt;0,Main_M[[#This Row],[Current Price]]/Main_M[[#This Row],[BVPS]],""),"")</f>
        <v>0.79913767469521257</v>
      </c>
      <c r="J11">
        <v>-9.09</v>
      </c>
      <c r="K11">
        <v>0.53</v>
      </c>
      <c r="L11">
        <v>2.77</v>
      </c>
      <c r="M11" s="1">
        <f>IF(ISNUMBER(Main_M[[#This Row],[EPS]]),IF(Main_M[[#This Row],[EPS]]&lt;&gt;0,Main_M[[#This Row],[Current Price]]/Main_M[[#This Row],[EPS]],""),"")</f>
        <v>-9.5301418439716326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0.41887770724780021</v>
      </c>
      <c r="P11" s="1">
        <f>(Main_M[[#This Row],[P/B]]-VLOOKUP(Main_M[[#This Row],[Industry]], Mean_PB_M, 2, FALSE))/(VLOOKUP(Main_M[[#This Row],[Industry]], Mean_PB_M, 3, FALSE))</f>
        <v>-0.879590939735584</v>
      </c>
      <c r="Q11" s="1">
        <f>(Main_M[[#This Row],[ROE]]-VLOOKUP(Main_M[[#This Row],[Industry]], Mean_ROE_M, 2, FALSE))/(VLOOKUP(Main_M[[#This Row],[Industry]], Mean_ROE_M, 3, FALSE))</f>
        <v>8.7150751099174487E-2</v>
      </c>
      <c r="R11" s="1">
        <f>(Main_M[[#This Row],[ROA]]-VLOOKUP(Main_M[[#This Row],[Industry]], Mean_ROA_M, 2, FALSE))/(VLOOKUP(Main_M[[#This Row],[Industry]], Mean_ROA_M, 3, FALSE))</f>
        <v>1.9531008117793972E-2</v>
      </c>
      <c r="S11" s="1">
        <f>(Main_M[[#This Row],[A/E]]-VLOOKUP(Main_M[[#This Row],[Industry]], Mean_AE_M, 2, FALSE))/(VLOOKUP(Main_M[[#This Row],[Industry]], Mean_AE_M, 3, FALSE))</f>
        <v>-0.24246685547816238</v>
      </c>
      <c r="T11" s="1">
        <f>(Main_M[[#This Row],[P/E]]-VLOOKUP(Main_M[[#This Row],[Industry]], Mean_PE_M, 2, FALSE))/(VLOOKUP(Main_M[[#This Row],[Industry]], Mean_PE_M, 3, FALSE))</f>
        <v>-9.1923996623000506E-2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t="s">
        <v>105</v>
      </c>
      <c r="B12" t="s">
        <v>164</v>
      </c>
      <c r="C12" s="2">
        <v>4333</v>
      </c>
      <c r="D12">
        <f>RTD("tos.rtd", , "LAST", Main_M[[#This Row],[Symbol]])</f>
        <v>10.89</v>
      </c>
      <c r="E12">
        <v>0.19</v>
      </c>
      <c r="F12">
        <v>2.44</v>
      </c>
      <c r="G12">
        <v>0.46</v>
      </c>
      <c r="H12" s="1">
        <f>IF(ISNUMBER(Main_M[[#This Row],[Free CF]]),IF(Main_M[[#This Row],[Free CF]]&lt;&gt;0,Main_M[[#This Row],[Current Price]]/Main_M[[#This Row],[Free CF]],""),"")</f>
        <v>57.315789473684212</v>
      </c>
      <c r="I12" s="1">
        <f>IF(ISNUMBER(Main_M[[#This Row],[BVPS]]),IF(Main_M[[#This Row],[BVPS]]&lt;&gt;0,Main_M[[#This Row],[Current Price]]/Main_M[[#This Row],[BVPS]],""),"")</f>
        <v>4.4631147540983607</v>
      </c>
      <c r="J12">
        <v>19.82</v>
      </c>
      <c r="K12">
        <v>-0.74</v>
      </c>
      <c r="L12">
        <v>2.02</v>
      </c>
      <c r="M12" s="1">
        <f>IF(ISNUMBER(Main_M[[#This Row],[EPS]]),IF(Main_M[[#This Row],[EPS]]&lt;&gt;0,Main_M[[#This Row],[Current Price]]/Main_M[[#This Row],[EPS]],""),"")</f>
        <v>23.673913043478262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6.3647194713488284</v>
      </c>
      <c r="P12" s="1">
        <f>(Main_M[[#This Row],[P/B]]-VLOOKUP(Main_M[[#This Row],[Industry]], Mean_PB_M, 2, FALSE))/(VLOOKUP(Main_M[[#This Row],[Industry]], Mean_PB_M, 3, FALSE))</f>
        <v>-0.16308014475754995</v>
      </c>
      <c r="Q12" s="1">
        <f>(Main_M[[#This Row],[ROE]]-VLOOKUP(Main_M[[#This Row],[Industry]], Mean_ROE_M, 2, FALSE))/(VLOOKUP(Main_M[[#This Row],[Industry]], Mean_ROE_M, 3, FALSE))</f>
        <v>1.1418983028635419</v>
      </c>
      <c r="R12" s="1">
        <f>(Main_M[[#This Row],[ROA]]-VLOOKUP(Main_M[[#This Row],[Industry]], Mean_ROA_M, 2, FALSE))/(VLOOKUP(Main_M[[#This Row],[Industry]], Mean_ROA_M, 3, FALSE))</f>
        <v>-0.61647874341036812</v>
      </c>
      <c r="S12" s="1">
        <f>(Main_M[[#This Row],[A/E]]-VLOOKUP(Main_M[[#This Row],[Industry]], Mean_AE_M, 2, FALSE))/(VLOOKUP(Main_M[[#This Row],[Industry]], Mean_AE_M, 3, FALSE))</f>
        <v>-0.86953630930099612</v>
      </c>
      <c r="T12" s="1">
        <f>(Main_M[[#This Row],[P/E]]-VLOOKUP(Main_M[[#This Row],[Industry]], Mean_PE_M, 2, FALSE))/(VLOOKUP(Main_M[[#This Row],[Industry]], Mean_PE_M, 3, FALSE))</f>
        <v>1.6739789958818316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t="s">
        <v>108</v>
      </c>
      <c r="B13" t="s">
        <v>183</v>
      </c>
      <c r="C13" s="2">
        <v>2737</v>
      </c>
      <c r="D13">
        <f>RTD("tos.rtd", , "LAST", Main_M[[#This Row],[Symbol]])</f>
        <v>44.33</v>
      </c>
      <c r="E13">
        <v>-1.1200000000000001</v>
      </c>
      <c r="F13">
        <v>8.3800000000000008</v>
      </c>
      <c r="G13">
        <v>-0.5</v>
      </c>
      <c r="H13" s="1">
        <f>IF(ISNUMBER(Main_M[[#This Row],[Free CF]]),IF(Main_M[[#This Row],[Free CF]]&lt;&gt;0,Main_M[[#This Row],[Current Price]]/Main_M[[#This Row],[Free CF]],""),"")</f>
        <v>-39.580357142857139</v>
      </c>
      <c r="I13" s="1">
        <f>IF(ISNUMBER(Main_M[[#This Row],[BVPS]]),IF(Main_M[[#This Row],[BVPS]]&lt;&gt;0,Main_M[[#This Row],[Current Price]]/Main_M[[#This Row],[BVPS]],""),"")</f>
        <v>5.2899761336515505</v>
      </c>
      <c r="J13">
        <v>-5.81</v>
      </c>
      <c r="K13">
        <v>-1.56</v>
      </c>
      <c r="L13">
        <v>2.91</v>
      </c>
      <c r="M13" s="1">
        <f>IF(ISNUMBER(Main_M[[#This Row],[EPS]]),IF(Main_M[[#This Row],[EPS]]&lt;&gt;0,Main_M[[#This Row],[Current Price]]/Main_M[[#This Row],[EPS]],""),"")</f>
        <v>-88.66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-1.4521723900411612</v>
      </c>
      <c r="P13" s="1">
        <f>(Main_M[[#This Row],[P/B]]-VLOOKUP(Main_M[[#This Row],[Industry]], Mean_PB_M, 2, FALSE))/(VLOOKUP(Main_M[[#This Row],[Industry]], Mean_PB_M, 3, FALSE))</f>
        <v>0.77275322577525307</v>
      </c>
      <c r="Q13" s="1">
        <f>(Main_M[[#This Row],[ROE]]-VLOOKUP(Main_M[[#This Row],[Industry]], Mean_ROE_M, 2, FALSE))/(VLOOKUP(Main_M[[#This Row],[Industry]], Mean_ROE_M, 3, FALSE))</f>
        <v>3.8818770732483306E-2</v>
      </c>
      <c r="R13" s="1">
        <f>(Main_M[[#This Row],[ROA]]-VLOOKUP(Main_M[[#This Row],[Industry]], Mean_ROA_M, 2, FALSE))/(VLOOKUP(Main_M[[#This Row],[Industry]], Mean_ROA_M, 3, FALSE))</f>
        <v>-0.67811032989065045</v>
      </c>
      <c r="S13" s="1">
        <f>(Main_M[[#This Row],[A/E]]-VLOOKUP(Main_M[[#This Row],[Industry]], Mean_AE_M, 2, FALSE))/(VLOOKUP(Main_M[[#This Row],[Industry]], Mean_AE_M, 3, FALSE))</f>
        <v>0.26340206808162708</v>
      </c>
      <c r="T13" s="1">
        <f>(Main_M[[#This Row],[P/E]]-VLOOKUP(Main_M[[#This Row],[Industry]], Mean_PE_M, 2, FALSE))/(VLOOKUP(Main_M[[#This Row],[Industry]], Mean_PE_M, 3, FALSE))</f>
        <v>-0.10191329164940872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t="s">
        <v>108</v>
      </c>
      <c r="B14" t="s">
        <v>184</v>
      </c>
      <c r="C14" s="2">
        <v>2526</v>
      </c>
      <c r="D14">
        <f>RTD("tos.rtd", , "LAST", Main_M[[#This Row],[Symbol]])</f>
        <v>41.38</v>
      </c>
      <c r="E14">
        <v>-1.1200000000000001</v>
      </c>
      <c r="F14">
        <v>8.3800000000000008</v>
      </c>
      <c r="G14">
        <v>-0.5</v>
      </c>
      <c r="H14" s="1">
        <f>IF(ISNUMBER(Main_M[[#This Row],[Free CF]]),IF(Main_M[[#This Row],[Free CF]]&lt;&gt;0,Main_M[[#This Row],[Current Price]]/Main_M[[#This Row],[Free CF]],""),"")</f>
        <v>-36.946428571428569</v>
      </c>
      <c r="I14" s="1">
        <f>IF(ISNUMBER(Main_M[[#This Row],[BVPS]]),IF(Main_M[[#This Row],[BVPS]]&lt;&gt;0,Main_M[[#This Row],[Current Price]]/Main_M[[#This Row],[BVPS]],""),"")</f>
        <v>4.9379474940334127</v>
      </c>
      <c r="J14">
        <v>-5.81</v>
      </c>
      <c r="K14">
        <v>-1.56</v>
      </c>
      <c r="L14">
        <v>2.91</v>
      </c>
      <c r="M14" s="1">
        <f>IF(ISNUMBER(Main_M[[#This Row],[EPS]]),IF(Main_M[[#This Row],[EPS]]&lt;&gt;0,Main_M[[#This Row],[Current Price]]/Main_M[[#This Row],[EPS]],""),"")</f>
        <v>-82.76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-1.3530429928061591</v>
      </c>
      <c r="P14" s="1">
        <f>(Main_M[[#This Row],[P/B]]-VLOOKUP(Main_M[[#This Row],[Industry]], Mean_PB_M, 2, FALSE))/(VLOOKUP(Main_M[[#This Row],[Industry]], Mean_PB_M, 3, FALSE))</f>
        <v>0.74289691685774673</v>
      </c>
      <c r="Q14" s="1">
        <f>(Main_M[[#This Row],[ROE]]-VLOOKUP(Main_M[[#This Row],[Industry]], Mean_ROE_M, 2, FALSE))/(VLOOKUP(Main_M[[#This Row],[Industry]], Mean_ROE_M, 3, FALSE))</f>
        <v>3.8818770732483306E-2</v>
      </c>
      <c r="R14" s="1">
        <f>(Main_M[[#This Row],[ROA]]-VLOOKUP(Main_M[[#This Row],[Industry]], Mean_ROA_M, 2, FALSE))/(VLOOKUP(Main_M[[#This Row],[Industry]], Mean_ROA_M, 3, FALSE))</f>
        <v>-0.67811032989065045</v>
      </c>
      <c r="S14" s="1">
        <f>(Main_M[[#This Row],[A/E]]-VLOOKUP(Main_M[[#This Row],[Industry]], Mean_AE_M, 2, FALSE))/(VLOOKUP(Main_M[[#This Row],[Industry]], Mean_AE_M, 3, FALSE))</f>
        <v>0.26340206808162708</v>
      </c>
      <c r="T14" s="1">
        <f>(Main_M[[#This Row],[P/E]]-VLOOKUP(Main_M[[#This Row],[Industry]], Mean_PE_M, 2, FALSE))/(VLOOKUP(Main_M[[#This Row],[Industry]], Mean_PE_M, 3, FALSE))</f>
        <v>-3.5331472737150621E-2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" spans="1:26" x14ac:dyDescent="0.25">
      <c r="A15" t="s">
        <v>108</v>
      </c>
      <c r="B15" t="s">
        <v>185</v>
      </c>
      <c r="C15" s="2">
        <v>3585</v>
      </c>
      <c r="D15">
        <f>RTD("tos.rtd", , "LAST", Main_M[[#This Row],[Symbol]])</f>
        <v>30.63</v>
      </c>
      <c r="E15">
        <v>1.84</v>
      </c>
      <c r="F15">
        <v>3.08</v>
      </c>
      <c r="G15">
        <v>1.71</v>
      </c>
      <c r="H15" s="1">
        <f>IF(ISNUMBER(Main_M[[#This Row],[Free CF]]),IF(Main_M[[#This Row],[Free CF]]&lt;&gt;0,Main_M[[#This Row],[Current Price]]/Main_M[[#This Row],[Free CF]],""),"")</f>
        <v>16.646739130434781</v>
      </c>
      <c r="I15" s="1">
        <f>IF(ISNUMBER(Main_M[[#This Row],[BVPS]]),IF(Main_M[[#This Row],[BVPS]]&lt;&gt;0,Main_M[[#This Row],[Current Price]]/Main_M[[#This Row],[BVPS]],""),"")</f>
        <v>9.9448051948051948</v>
      </c>
      <c r="J15">
        <v>71.86</v>
      </c>
      <c r="K15">
        <v>4.24</v>
      </c>
      <c r="L15">
        <v>13.41</v>
      </c>
      <c r="M15" s="1">
        <f>IF(ISNUMBER(Main_M[[#This Row],[EPS]]),IF(Main_M[[#This Row],[EPS]]&lt;&gt;0,Main_M[[#This Row],[Current Price]]/Main_M[[#This Row],[EPS]],""),"")</f>
        <v>17.912280701754387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0.66396630191387962</v>
      </c>
      <c r="P15" s="1">
        <f>(Main_M[[#This Row],[P/B]]-VLOOKUP(Main_M[[#This Row],[Industry]], Mean_PB_M, 2, FALSE))/(VLOOKUP(Main_M[[#This Row],[Industry]], Mean_PB_M, 3, FALSE))</f>
        <v>1.1675393277206605</v>
      </c>
      <c r="Q15" s="1">
        <f>(Main_M[[#This Row],[ROE]]-VLOOKUP(Main_M[[#This Row],[Industry]], Mean_ROE_M, 2, FALSE))/(VLOOKUP(Main_M[[#This Row],[Industry]], Mean_ROE_M, 3, FALSE))</f>
        <v>1.672994338641415</v>
      </c>
      <c r="R15" s="1">
        <f>(Main_M[[#This Row],[ROA]]-VLOOKUP(Main_M[[#This Row],[Industry]], Mean_ROA_M, 2, FALSE))/(VLOOKUP(Main_M[[#This Row],[Industry]], Mean_ROA_M, 3, FALSE))</f>
        <v>2.0531673877244696</v>
      </c>
      <c r="S15" s="1">
        <f>(Main_M[[#This Row],[A/E]]-VLOOKUP(Main_M[[#This Row],[Industry]], Mean_AE_M, 2, FALSE))/(VLOOKUP(Main_M[[#This Row],[Industry]], Mean_AE_M, 3, FALSE))</f>
        <v>2.007725504221344</v>
      </c>
      <c r="T15" s="1">
        <f>(Main_M[[#This Row],[P/E]]-VLOOKUP(Main_M[[#This Row],[Industry]], Mean_PE_M, 2, FALSE))/(VLOOKUP(Main_M[[#This Row],[Industry]], Mean_PE_M, 3, FALSE))</f>
        <v>1.1007606566133981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t="s">
        <v>108</v>
      </c>
      <c r="B16" t="s">
        <v>186</v>
      </c>
      <c r="C16" s="2">
        <v>2353</v>
      </c>
      <c r="D16">
        <f>RTD("tos.rtd", , "LAST", Main_M[[#This Row],[Symbol]])</f>
        <v>7.02</v>
      </c>
      <c r="E16">
        <v>-1.18</v>
      </c>
      <c r="F16">
        <v>-3.74</v>
      </c>
      <c r="G16">
        <v>-0.76</v>
      </c>
      <c r="H16" s="1">
        <f>IF(ISNUMBER(Main_M[[#This Row],[Free CF]]),IF(Main_M[[#This Row],[Free CF]]&lt;&gt;0,Main_M[[#This Row],[Current Price]]/Main_M[[#This Row],[Free CF]],""),"")</f>
        <v>-5.9491525423728815</v>
      </c>
      <c r="I16" s="1">
        <f>IF(ISNUMBER(Main_M[[#This Row],[BVPS]]),IF(Main_M[[#This Row],[BVPS]]&lt;&gt;0,Main_M[[#This Row],[Current Price]]/Main_M[[#This Row],[BVPS]],""),"")</f>
        <v>-1.8770053475935826</v>
      </c>
      <c r="J16">
        <v>26.6</v>
      </c>
      <c r="K16">
        <v>2.15</v>
      </c>
      <c r="L16">
        <v>-4.97</v>
      </c>
      <c r="M16" s="1">
        <f>IF(ISNUMBER(Main_M[[#This Row],[EPS]]),IF(Main_M[[#This Row],[EPS]]&lt;&gt;0,Main_M[[#This Row],[Current Price]]/Main_M[[#This Row],[EPS]],""),"")</f>
        <v>-9.2368421052631575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-0.18644291032149954</v>
      </c>
      <c r="P16" s="1">
        <f>(Main_M[[#This Row],[P/B]]-VLOOKUP(Main_M[[#This Row],[Industry]], Mean_PB_M, 2, FALSE))/(VLOOKUP(Main_M[[#This Row],[Industry]], Mean_PB_M, 3, FALSE))</f>
        <v>0.16490605361842003</v>
      </c>
      <c r="Q16" s="1">
        <f>(Main_M[[#This Row],[ROE]]-VLOOKUP(Main_M[[#This Row],[Industry]], Mean_ROE_M, 2, FALSE))/(VLOOKUP(Main_M[[#This Row],[Industry]], Mean_ROE_M, 3, FALSE))</f>
        <v>0.72072465660770513</v>
      </c>
      <c r="R16" s="1">
        <f>(Main_M[[#This Row],[ROA]]-VLOOKUP(Main_M[[#This Row],[Industry]], Mean_ROA_M, 2, FALSE))/(VLOOKUP(Main_M[[#This Row],[Industry]], Mean_ROA_M, 3, FALSE))</f>
        <v>1.0689655894804004</v>
      </c>
      <c r="S16" s="1">
        <f>(Main_M[[#This Row],[A/E]]-VLOOKUP(Main_M[[#This Row],[Industry]], Mean_AE_M, 2, FALSE))/(VLOOKUP(Main_M[[#This Row],[Industry]], Mean_AE_M, 3, FALSE))</f>
        <v>-1.0456711392308462</v>
      </c>
      <c r="T16" s="1">
        <f>(Main_M[[#This Row],[P/E]]-VLOOKUP(Main_M[[#This Row],[Industry]], Mean_PE_M, 2, FALSE))/(VLOOKUP(Main_M[[#This Row],[Industry]], Mean_PE_M, 3, FALSE))</f>
        <v>0.79438133824670298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t="s">
        <v>108</v>
      </c>
      <c r="B17" t="s">
        <v>187</v>
      </c>
      <c r="C17" s="2">
        <v>6740</v>
      </c>
      <c r="D17">
        <f>RTD("tos.rtd", , "LAST", Main_M[[#This Row],[Symbol]])</f>
        <v>76.67</v>
      </c>
      <c r="E17">
        <v>-0.15</v>
      </c>
      <c r="F17">
        <v>-3.91</v>
      </c>
      <c r="G17">
        <v>-0.34</v>
      </c>
      <c r="H17" s="1">
        <f>IF(ISNUMBER(Main_M[[#This Row],[Free CF]]),IF(Main_M[[#This Row],[Free CF]]&lt;&gt;0,Main_M[[#This Row],[Current Price]]/Main_M[[#This Row],[Free CF]],""),"")</f>
        <v>-511.13333333333338</v>
      </c>
      <c r="I17" s="1">
        <f>IF(ISNUMBER(Main_M[[#This Row],[BVPS]]),IF(Main_M[[#This Row],[BVPS]]&lt;&gt;0,Main_M[[#This Row],[Current Price]]/Main_M[[#This Row],[BVPS]],""),"")</f>
        <v>-19.608695652173914</v>
      </c>
      <c r="J17">
        <v>13.15</v>
      </c>
      <c r="K17">
        <v>-0.57999999999999996</v>
      </c>
      <c r="L17">
        <v>-3.41</v>
      </c>
      <c r="M17" s="1">
        <f>IF(ISNUMBER(Main_M[[#This Row],[EPS]]),IF(Main_M[[#This Row],[EPS]]&lt;&gt;0,Main_M[[#This Row],[Current Price]]/Main_M[[#This Row],[EPS]],""),"")</f>
        <v>-225.5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-19.19933637967819</v>
      </c>
      <c r="P17" s="1">
        <f>(Main_M[[#This Row],[P/B]]-VLOOKUP(Main_M[[#This Row],[Industry]], Mean_PB_M, 2, FALSE))/(VLOOKUP(Main_M[[#This Row],[Industry]], Mean_PB_M, 3, FALSE))</f>
        <v>-1.3389568819011759</v>
      </c>
      <c r="Q17" s="1">
        <f>(Main_M[[#This Row],[ROE]]-VLOOKUP(Main_M[[#This Row],[Industry]], Mean_ROE_M, 2, FALSE))/(VLOOKUP(Main_M[[#This Row],[Industry]], Mean_ROE_M, 3, FALSE))</f>
        <v>0.43773686996710853</v>
      </c>
      <c r="R17" s="1">
        <f>(Main_M[[#This Row],[ROA]]-VLOOKUP(Main_M[[#This Row],[Industry]], Mean_ROA_M, 2, FALSE))/(VLOOKUP(Main_M[[#This Row],[Industry]], Mean_ROA_M, 3, FALSE))</f>
        <v>-0.21661857760395772</v>
      </c>
      <c r="S17" s="1">
        <f>(Main_M[[#This Row],[A/E]]-VLOOKUP(Main_M[[#This Row],[Industry]], Mean_AE_M, 2, FALSE))/(VLOOKUP(Main_M[[#This Row],[Industry]], Mean_AE_M, 3, FALSE))</f>
        <v>-0.78651451443294551</v>
      </c>
      <c r="T17" s="1">
        <f>(Main_M[[#This Row],[P/E]]-VLOOKUP(Main_M[[#This Row],[Industry]], Mean_PE_M, 2, FALSE))/(VLOOKUP(Main_M[[#This Row],[Industry]], Mean_PE_M, 3, FALSE))</f>
        <v>-1.646160088251682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t="s">
        <v>108</v>
      </c>
      <c r="B18" t="s">
        <v>188</v>
      </c>
      <c r="C18" s="2">
        <v>6820</v>
      </c>
      <c r="D18">
        <f>RTD("tos.rtd", , "LAST", Main_M[[#This Row],[Symbol]])</f>
        <v>77.430000000000007</v>
      </c>
      <c r="E18">
        <v>-0.15</v>
      </c>
      <c r="F18">
        <v>-3.91</v>
      </c>
      <c r="G18">
        <v>-0.34</v>
      </c>
      <c r="H18" s="1">
        <f>IF(ISNUMBER(Main_M[[#This Row],[Free CF]]),IF(Main_M[[#This Row],[Free CF]]&lt;&gt;0,Main_M[[#This Row],[Current Price]]/Main_M[[#This Row],[Free CF]],""),"")</f>
        <v>-516.20000000000005</v>
      </c>
      <c r="I18" s="1">
        <f>IF(ISNUMBER(Main_M[[#This Row],[BVPS]]),IF(Main_M[[#This Row],[BVPS]]&lt;&gt;0,Main_M[[#This Row],[Current Price]]/Main_M[[#This Row],[BVPS]],""),"")</f>
        <v>-19.803069053708441</v>
      </c>
      <c r="J18">
        <v>13.15</v>
      </c>
      <c r="K18">
        <v>-0.57999999999999996</v>
      </c>
      <c r="L18">
        <v>-3.41</v>
      </c>
      <c r="M18" s="1">
        <f>IF(ISNUMBER(Main_M[[#This Row],[EPS]]),IF(Main_M[[#This Row],[EPS]]&lt;&gt;0,Main_M[[#This Row],[Current Price]]/Main_M[[#This Row],[EPS]],""),"")</f>
        <v>-227.73529411764707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-19.390023256348098</v>
      </c>
      <c r="P18" s="1">
        <f>(Main_M[[#This Row],[P/B]]-VLOOKUP(Main_M[[#This Row],[Industry]], Mean_PB_M, 2, FALSE))/(VLOOKUP(Main_M[[#This Row],[Industry]], Mean_PB_M, 3, FALSE))</f>
        <v>-1.3554421097163232</v>
      </c>
      <c r="Q18" s="1">
        <f>(Main_M[[#This Row],[ROE]]-VLOOKUP(Main_M[[#This Row],[Industry]], Mean_ROE_M, 2, FALSE))/(VLOOKUP(Main_M[[#This Row],[Industry]], Mean_ROE_M, 3, FALSE))</f>
        <v>0.43773686996710853</v>
      </c>
      <c r="R18" s="1">
        <f>(Main_M[[#This Row],[ROA]]-VLOOKUP(Main_M[[#This Row],[Industry]], Mean_ROA_M, 2, FALSE))/(VLOOKUP(Main_M[[#This Row],[Industry]], Mean_ROA_M, 3, FALSE))</f>
        <v>-0.21661857760395772</v>
      </c>
      <c r="S18" s="1">
        <f>(Main_M[[#This Row],[A/E]]-VLOOKUP(Main_M[[#This Row],[Industry]], Mean_AE_M, 2, FALSE))/(VLOOKUP(Main_M[[#This Row],[Industry]], Mean_AE_M, 3, FALSE))</f>
        <v>-0.78651451443294551</v>
      </c>
      <c r="T18" s="1">
        <f>(Main_M[[#This Row],[P/E]]-VLOOKUP(Main_M[[#This Row],[Industry]], Mean_PE_M, 2, FALSE))/(VLOOKUP(Main_M[[#This Row],[Industry]], Mean_PE_M, 3, FALSE))</f>
        <v>-1.6713855031935148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t="s">
        <v>108</v>
      </c>
      <c r="B19" t="s">
        <v>189</v>
      </c>
      <c r="C19" s="2">
        <v>2461</v>
      </c>
      <c r="D19">
        <f>RTD("tos.rtd", , "LAST", Main_M[[#This Row],[Symbol]])</f>
        <v>14.42</v>
      </c>
      <c r="E19">
        <v>-1.08</v>
      </c>
      <c r="F19">
        <v>1.45</v>
      </c>
      <c r="G19">
        <v>-1</v>
      </c>
      <c r="H19" s="1">
        <f>IF(ISNUMBER(Main_M[[#This Row],[Free CF]]),IF(Main_M[[#This Row],[Free CF]]&lt;&gt;0,Main_M[[#This Row],[Current Price]]/Main_M[[#This Row],[Free CF]],""),"")</f>
        <v>-13.351851851851851</v>
      </c>
      <c r="I19" s="1">
        <f>IF(ISNUMBER(Main_M[[#This Row],[BVPS]]),IF(Main_M[[#This Row],[BVPS]]&lt;&gt;0,Main_M[[#This Row],[Current Price]]/Main_M[[#This Row],[BVPS]],""),"")</f>
        <v>9.9448275862068964</v>
      </c>
      <c r="J19">
        <v>-91.68</v>
      </c>
      <c r="K19">
        <v>-3.93</v>
      </c>
      <c r="L19">
        <v>8.14</v>
      </c>
      <c r="M19" s="1">
        <f>IF(ISNUMBER(Main_M[[#This Row],[EPS]]),IF(Main_M[[#This Row],[EPS]]&lt;&gt;0,Main_M[[#This Row],[Current Price]]/Main_M[[#This Row],[EPS]],""),"")</f>
        <v>-14.42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-0.46504770181841182</v>
      </c>
      <c r="P19" s="1">
        <f>(Main_M[[#This Row],[P/B]]-VLOOKUP(Main_M[[#This Row],[Industry]], Mean_PB_M, 2, FALSE))/(VLOOKUP(Main_M[[#This Row],[Industry]], Mean_PB_M, 3, FALSE))</f>
        <v>1.1675412267837795</v>
      </c>
      <c r="Q19" s="1">
        <f>(Main_M[[#This Row],[ROE]]-VLOOKUP(Main_M[[#This Row],[Industry]], Mean_ROE_M, 2, FALSE))/(VLOOKUP(Main_M[[#This Row],[Industry]], Mean_ROE_M, 3, FALSE))</f>
        <v>-1.7678846670985964</v>
      </c>
      <c r="R19" s="1">
        <f>(Main_M[[#This Row],[ROA]]-VLOOKUP(Main_M[[#This Row],[Industry]], Mean_ROA_M, 2, FALSE))/(VLOOKUP(Main_M[[#This Row],[Industry]], Mean_ROA_M, 3, FALSE))</f>
        <v>-1.794166914502346</v>
      </c>
      <c r="S19" s="1">
        <f>(Main_M[[#This Row],[A/E]]-VLOOKUP(Main_M[[#This Row],[Industry]], Mean_AE_M, 2, FALSE))/(VLOOKUP(Main_M[[#This Row],[Industry]], Mean_AE_M, 3, FALSE))</f>
        <v>1.1322412653207434</v>
      </c>
      <c r="T19" s="1">
        <f>(Main_M[[#This Row],[P/E]]-VLOOKUP(Main_M[[#This Row],[Industry]], Mean_PE_M, 2, FALSE))/(VLOOKUP(Main_M[[#This Row],[Industry]], Mean_PE_M, 3, FALSE))</f>
        <v>0.73588912123975203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t="s">
        <v>108</v>
      </c>
      <c r="B20" t="s">
        <v>190</v>
      </c>
      <c r="C20" s="2">
        <v>4571</v>
      </c>
      <c r="D20">
        <f>RTD("tos.rtd", , "LAST", Main_M[[#This Row],[Symbol]])</f>
        <v>196.76</v>
      </c>
      <c r="E20">
        <v>6.09</v>
      </c>
      <c r="F20">
        <v>-11.8</v>
      </c>
      <c r="G20">
        <v>0.2</v>
      </c>
      <c r="H20" s="1">
        <f>IF(ISNUMBER(Main_M[[#This Row],[Free CF]]),IF(Main_M[[#This Row],[Free CF]]&lt;&gt;0,Main_M[[#This Row],[Current Price]]/Main_M[[#This Row],[Free CF]],""),"")</f>
        <v>32.308702791461414</v>
      </c>
      <c r="I20" s="1">
        <f>IF(ISNUMBER(Main_M[[#This Row],[BVPS]]),IF(Main_M[[#This Row],[BVPS]]&lt;&gt;0,Main_M[[#This Row],[Current Price]]/Main_M[[#This Row],[BVPS]],""),"")</f>
        <v>-16.674576271186439</v>
      </c>
      <c r="J20">
        <v>-1.67</v>
      </c>
      <c r="K20">
        <v>3.86</v>
      </c>
      <c r="L20">
        <v>-5.31</v>
      </c>
      <c r="M20" s="1">
        <f>IF(ISNUMBER(Main_M[[#This Row],[EPS]]),IF(Main_M[[#This Row],[EPS]]&lt;&gt;0,Main_M[[#This Row],[Current Price]]/Main_M[[#This Row],[EPS]],""),"")</f>
        <v>983.8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1.2534131965925803</v>
      </c>
      <c r="P20" s="1">
        <f>(Main_M[[#This Row],[P/B]]-VLOOKUP(Main_M[[#This Row],[Industry]], Mean_PB_M, 2, FALSE))/(VLOOKUP(Main_M[[#This Row],[Industry]], Mean_PB_M, 3, FALSE))</f>
        <v>-1.0901078827554513</v>
      </c>
      <c r="Q20" s="1">
        <f>(Main_M[[#This Row],[ROE]]-VLOOKUP(Main_M[[#This Row],[Industry]], Mean_ROE_M, 2, FALSE))/(VLOOKUP(Main_M[[#This Row],[Industry]], Mean_ROE_M, 3, FALSE))</f>
        <v>0.12592430505903121</v>
      </c>
      <c r="R20" s="1">
        <f>(Main_M[[#This Row],[ROA]]-VLOOKUP(Main_M[[#This Row],[Industry]], Mean_ROA_M, 2, FALSE))/(VLOOKUP(Main_M[[#This Row],[Industry]], Mean_ROA_M, 3, FALSE))</f>
        <v>1.8742216062255477</v>
      </c>
      <c r="S20" s="1">
        <f>(Main_M[[#This Row],[A/E]]-VLOOKUP(Main_M[[#This Row],[Industry]], Mean_AE_M, 2, FALSE))/(VLOOKUP(Main_M[[#This Row],[Industry]], Mean_AE_M, 3, FALSE))</f>
        <v>-1.1021539933534656</v>
      </c>
      <c r="T20" s="1">
        <f>(Main_M[[#This Row],[P/E]]-VLOOKUP(Main_M[[#This Row],[Industry]], Mean_PE_M, 2, FALSE))/(VLOOKUP(Main_M[[#This Row],[Industry]], Mean_PE_M, 3, FALSE))</f>
        <v>12.000855777950663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1" spans="1:26" x14ac:dyDescent="0.25">
      <c r="A21" t="s">
        <v>108</v>
      </c>
      <c r="B21" t="s">
        <v>191</v>
      </c>
      <c r="C21" s="2">
        <v>8783</v>
      </c>
      <c r="D21">
        <f>RTD("tos.rtd", , "LAST", Main_M[[#This Row],[Symbol]])</f>
        <v>71.400000000000006</v>
      </c>
      <c r="E21">
        <v>2.09</v>
      </c>
      <c r="F21">
        <v>17.22</v>
      </c>
      <c r="G21">
        <v>-0.73</v>
      </c>
      <c r="H21" s="1">
        <f>IF(ISNUMBER(Main_M[[#This Row],[Free CF]]),IF(Main_M[[#This Row],[Free CF]]&lt;&gt;0,Main_M[[#This Row],[Current Price]]/Main_M[[#This Row],[Free CF]],""),"")</f>
        <v>34.162679425837325</v>
      </c>
      <c r="I21" s="1">
        <f>IF(ISNUMBER(Main_M[[#This Row],[BVPS]]),IF(Main_M[[#This Row],[BVPS]]&lt;&gt;0,Main_M[[#This Row],[Current Price]]/Main_M[[#This Row],[BVPS]],""),"")</f>
        <v>4.1463414634146352</v>
      </c>
      <c r="J21">
        <v>-4.34</v>
      </c>
      <c r="K21">
        <v>-2.57</v>
      </c>
      <c r="L21">
        <v>1.65</v>
      </c>
      <c r="M21" s="1">
        <f>IF(ISNUMBER(Main_M[[#This Row],[EPS]]),IF(Main_M[[#This Row],[EPS]]&lt;&gt;0,Main_M[[#This Row],[Current Price]]/Main_M[[#This Row],[EPS]],""),"")</f>
        <v>-97.808219178082197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1.3231886598481322</v>
      </c>
      <c r="P21" s="1">
        <f>(Main_M[[#This Row],[P/B]]-VLOOKUP(Main_M[[#This Row],[Industry]], Mean_PB_M, 2, FALSE))/(VLOOKUP(Main_M[[#This Row],[Industry]], Mean_PB_M, 3, FALSE))</f>
        <v>0.67575910040976517</v>
      </c>
      <c r="Q21" s="1">
        <f>(Main_M[[#This Row],[ROE]]-VLOOKUP(Main_M[[#This Row],[Industry]], Mean_ROE_M, 2, FALSE))/(VLOOKUP(Main_M[[#This Row],[Industry]], Mean_ROE_M, 3, FALSE))</f>
        <v>6.9747547413648872E-2</v>
      </c>
      <c r="R21" s="1">
        <f>(Main_M[[#This Row],[ROA]]-VLOOKUP(Main_M[[#This Row],[Industry]], Mean_ROA_M, 2, FALSE))/(VLOOKUP(Main_M[[#This Row],[Industry]], Mean_ROA_M, 3, FALSE))</f>
        <v>-1.1537293807167315</v>
      </c>
      <c r="S21" s="1">
        <f>(Main_M[[#This Row],[A/E]]-VLOOKUP(Main_M[[#This Row],[Industry]], Mean_AE_M, 2, FALSE))/(VLOOKUP(Main_M[[#This Row],[Industry]], Mean_AE_M, 3, FALSE))</f>
        <v>5.4083255744861003E-2</v>
      </c>
      <c r="T21" s="1">
        <f>(Main_M[[#This Row],[P/E]]-VLOOKUP(Main_M[[#This Row],[Industry]], Mean_PE_M, 2, FALSE))/(VLOOKUP(Main_M[[#This Row],[Industry]], Mean_PE_M, 3, FALSE))</f>
        <v>-0.20515143956207257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t="s">
        <v>108</v>
      </c>
      <c r="B22" t="s">
        <v>192</v>
      </c>
      <c r="C22" s="2">
        <v>2039</v>
      </c>
      <c r="D22">
        <f>RTD("tos.rtd", , "LAST", Main_M[[#This Row],[Symbol]])</f>
        <v>5.08</v>
      </c>
      <c r="E22">
        <v>1.07</v>
      </c>
      <c r="F22">
        <v>-0.35</v>
      </c>
      <c r="G22">
        <v>0.44</v>
      </c>
      <c r="H22" s="1">
        <f>IF(ISNUMBER(Main_M[[#This Row],[Free CF]]),IF(Main_M[[#This Row],[Free CF]]&lt;&gt;0,Main_M[[#This Row],[Current Price]]/Main_M[[#This Row],[Free CF]],""),"")</f>
        <v>4.7476635514018692</v>
      </c>
      <c r="I22" s="1">
        <f>IF(ISNUMBER(Main_M[[#This Row],[BVPS]]),IF(Main_M[[#This Row],[BVPS]]&lt;&gt;0,Main_M[[#This Row],[Current Price]]/Main_M[[#This Row],[BVPS]],""),"")</f>
        <v>-14.514285714285716</v>
      </c>
      <c r="J22">
        <v>-92</v>
      </c>
      <c r="K22">
        <v>8.9</v>
      </c>
      <c r="L22">
        <v>-27.76</v>
      </c>
      <c r="M22" s="1">
        <f>IF(ISNUMBER(Main_M[[#This Row],[EPS]]),IF(Main_M[[#This Row],[EPS]]&lt;&gt;0,Main_M[[#This Row],[Current Price]]/Main_M[[#This Row],[EPS]],""),"")</f>
        <v>11.545454545454545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0.21613783663263914</v>
      </c>
      <c r="P22" s="1">
        <f>(Main_M[[#This Row],[P/B]]-VLOOKUP(Main_M[[#This Row],[Industry]], Mean_PB_M, 2, FALSE))/(VLOOKUP(Main_M[[#This Row],[Industry]], Mean_PB_M, 3, FALSE))</f>
        <v>-0.90688897679267455</v>
      </c>
      <c r="Q22" s="1">
        <f>(Main_M[[#This Row],[ROE]]-VLOOKUP(Main_M[[#This Row],[Industry]], Mean_ROE_M, 2, FALSE))/(VLOOKUP(Main_M[[#This Row],[Industry]], Mean_ROE_M, 3, FALSE))</f>
        <v>-1.7746174620223876</v>
      </c>
      <c r="R22" s="1">
        <f>(Main_M[[#This Row],[ROA]]-VLOOKUP(Main_M[[#This Row],[Industry]], Mean_ROA_M, 2, FALSE))/(VLOOKUP(Main_M[[#This Row],[Industry]], Mean_ROA_M, 3, FALSE))</f>
        <v>4.2476077608428238</v>
      </c>
      <c r="S22" s="1">
        <f>(Main_M[[#This Row],[A/E]]-VLOOKUP(Main_M[[#This Row],[Industry]], Mean_AE_M, 2, FALSE))/(VLOOKUP(Main_M[[#This Row],[Industry]], Mean_AE_M, 3, FALSE))</f>
        <v>-4.831683625861718</v>
      </c>
      <c r="T22" s="1">
        <f>(Main_M[[#This Row],[P/E]]-VLOOKUP(Main_M[[#This Row],[Industry]], Mean_PE_M, 2, FALSE))/(VLOOKUP(Main_M[[#This Row],[Industry]], Mean_PE_M, 3, FALSE))</f>
        <v>1.0289106792939768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t="s">
        <v>109</v>
      </c>
      <c r="B23" t="s">
        <v>193</v>
      </c>
      <c r="C23" s="2">
        <v>3036</v>
      </c>
      <c r="D23">
        <f>RTD("tos.rtd", , "LAST", Main_M[[#This Row],[Symbol]])</f>
        <v>26.11</v>
      </c>
      <c r="E23">
        <v>1.39</v>
      </c>
      <c r="F23">
        <v>27.39</v>
      </c>
      <c r="G23">
        <v>1.82</v>
      </c>
      <c r="H23" s="1">
        <f>IF(ISNUMBER(Main_M[[#This Row],[Free CF]]),IF(Main_M[[#This Row],[Free CF]]&lt;&gt;0,Main_M[[#This Row],[Current Price]]/Main_M[[#This Row],[Free CF]],""),"")</f>
        <v>18.784172661870503</v>
      </c>
      <c r="I23" s="1">
        <f>IF(ISNUMBER(Main_M[[#This Row],[BVPS]]),IF(Main_M[[#This Row],[BVPS]]&lt;&gt;0,Main_M[[#This Row],[Current Price]]/Main_M[[#This Row],[BVPS]],""),"")</f>
        <v>0.95326761591821829</v>
      </c>
      <c r="J23">
        <v>6.45</v>
      </c>
      <c r="K23">
        <v>2.0499999999999998</v>
      </c>
      <c r="L23">
        <v>1.26</v>
      </c>
      <c r="M23" s="1">
        <f>IF(ISNUMBER(Main_M[[#This Row],[EPS]]),IF(Main_M[[#This Row],[EPS]]&lt;&gt;0,Main_M[[#This Row],[Current Price]]/Main_M[[#This Row],[EPS]],""),"")</f>
        <v>14.346153846153845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0.93220655616717241</v>
      </c>
      <c r="P23" s="1">
        <f>(Main_M[[#This Row],[P/B]]-VLOOKUP(Main_M[[#This Row],[Industry]], Mean_PB_M, 2, FALSE))/(VLOOKUP(Main_M[[#This Row],[Industry]], Mean_PB_M, 3, FALSE))</f>
        <v>-1.0114709109774109</v>
      </c>
      <c r="Q23" s="1">
        <f>(Main_M[[#This Row],[ROE]]-VLOOKUP(Main_M[[#This Row],[Industry]], Mean_ROE_M, 2, FALSE))/(VLOOKUP(Main_M[[#This Row],[Industry]], Mean_ROE_M, 3, FALSE))</f>
        <v>0.28965201001627294</v>
      </c>
      <c r="R23" s="1">
        <f>(Main_M[[#This Row],[ROA]]-VLOOKUP(Main_M[[#This Row],[Industry]], Mean_ROA_M, 2, FALSE))/(VLOOKUP(Main_M[[#This Row],[Industry]], Mean_ROA_M, 3, FALSE))</f>
        <v>-0.42817878886406879</v>
      </c>
      <c r="S23" s="1">
        <f>(Main_M[[#This Row],[A/E]]-VLOOKUP(Main_M[[#This Row],[Industry]], Mean_AE_M, 2, FALSE))/(VLOOKUP(Main_M[[#This Row],[Industry]], Mean_AE_M, 3, FALSE))</f>
        <v>-0.64850476836021398</v>
      </c>
      <c r="T23" s="1">
        <f>(Main_M[[#This Row],[P/E]]-VLOOKUP(Main_M[[#This Row],[Industry]], Mean_PE_M, 2, FALSE))/(VLOOKUP(Main_M[[#This Row],[Industry]], Mean_PE_M, 3, FALSE))</f>
        <v>0.66951356158815478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t="s">
        <v>109</v>
      </c>
      <c r="B24" t="s">
        <v>194</v>
      </c>
      <c r="C24" s="2">
        <v>7269</v>
      </c>
      <c r="D24">
        <f>RTD("tos.rtd", , "LAST", Main_M[[#This Row],[Symbol]])</f>
        <v>18.399999999999999</v>
      </c>
      <c r="E24">
        <v>1.4</v>
      </c>
      <c r="F24">
        <v>4.6399999999999997</v>
      </c>
      <c r="G24">
        <v>-0.44</v>
      </c>
      <c r="H24" s="1">
        <f>IF(ISNUMBER(Main_M[[#This Row],[Free CF]]),IF(Main_M[[#This Row],[Free CF]]&lt;&gt;0,Main_M[[#This Row],[Current Price]]/Main_M[[#This Row],[Free CF]],""),"")</f>
        <v>13.142857142857142</v>
      </c>
      <c r="I24" s="1">
        <f>IF(ISNUMBER(Main_M[[#This Row],[BVPS]]),IF(Main_M[[#This Row],[BVPS]]&lt;&gt;0,Main_M[[#This Row],[Current Price]]/Main_M[[#This Row],[BVPS]],""),"")</f>
        <v>3.9655172413793105</v>
      </c>
      <c r="J24">
        <v>-9.57</v>
      </c>
      <c r="K24">
        <v>-2.5499999999999998</v>
      </c>
      <c r="L24">
        <v>2.3199999999999998</v>
      </c>
      <c r="M24" s="1">
        <f>IF(ISNUMBER(Main_M[[#This Row],[EPS]]),IF(Main_M[[#This Row],[EPS]]&lt;&gt;0,Main_M[[#This Row],[Current Price]]/Main_M[[#This Row],[EPS]],""),"")</f>
        <v>-41.818181818181813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-5.6345126957216073E-2</v>
      </c>
      <c r="P24" s="1">
        <f>(Main_M[[#This Row],[P/B]]-VLOOKUP(Main_M[[#This Row],[Industry]], Mean_PB_M, 2, FALSE))/(VLOOKUP(Main_M[[#This Row],[Industry]], Mean_PB_M, 3, FALSE))</f>
        <v>0.38341184859860755</v>
      </c>
      <c r="Q24" s="1">
        <f>(Main_M[[#This Row],[ROE]]-VLOOKUP(Main_M[[#This Row],[Industry]], Mean_ROE_M, 2, FALSE))/(VLOOKUP(Main_M[[#This Row],[Industry]], Mean_ROE_M, 3, FALSE))</f>
        <v>0.25058399623821992</v>
      </c>
      <c r="R24" s="1">
        <f>(Main_M[[#This Row],[ROA]]-VLOOKUP(Main_M[[#This Row],[Industry]], Mean_ROA_M, 2, FALSE))/(VLOOKUP(Main_M[[#This Row],[Industry]], Mean_ROA_M, 3, FALSE))</f>
        <v>-1.4800465745915541</v>
      </c>
      <c r="S24" s="1">
        <f>(Main_M[[#This Row],[A/E]]-VLOOKUP(Main_M[[#This Row],[Industry]], Mean_AE_M, 2, FALSE))/(VLOOKUP(Main_M[[#This Row],[Industry]], Mean_AE_M, 3, FALSE))</f>
        <v>0.66782193167307025</v>
      </c>
      <c r="T24" s="1">
        <f>(Main_M[[#This Row],[P/E]]-VLOOKUP(Main_M[[#This Row],[Industry]], Mean_PE_M, 2, FALSE))/(VLOOKUP(Main_M[[#This Row],[Industry]], Mean_PE_M, 3, FALSE))</f>
        <v>-1.7284163231224401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t="s">
        <v>109</v>
      </c>
      <c r="B25" t="s">
        <v>195</v>
      </c>
      <c r="C25" s="2">
        <v>7014</v>
      </c>
      <c r="D25">
        <f>RTD("tos.rtd", , "LAST", Main_M[[#This Row],[Symbol]])</f>
        <v>17.670000000000002</v>
      </c>
      <c r="E25">
        <v>0.83</v>
      </c>
      <c r="F25">
        <v>4.6900000000000004</v>
      </c>
      <c r="G25">
        <v>0.48</v>
      </c>
      <c r="H25" s="1">
        <f>IF(ISNUMBER(Main_M[[#This Row],[Free CF]]),IF(Main_M[[#This Row],[Free CF]]&lt;&gt;0,Main_M[[#This Row],[Current Price]]/Main_M[[#This Row],[Free CF]],""),"")</f>
        <v>21.289156626506028</v>
      </c>
      <c r="I25" s="1">
        <f>IF(ISNUMBER(Main_M[[#This Row],[BVPS]]),IF(Main_M[[#This Row],[BVPS]]&lt;&gt;0,Main_M[[#This Row],[Current Price]]/Main_M[[#This Row],[BVPS]],""),"")</f>
        <v>3.7675906183368872</v>
      </c>
      <c r="J25">
        <v>11.04</v>
      </c>
      <c r="K25">
        <v>3.94</v>
      </c>
      <c r="L25">
        <v>1.3</v>
      </c>
      <c r="M25" s="1">
        <f>IF(ISNUMBER(Main_M[[#This Row],[EPS]]),IF(Main_M[[#This Row],[EPS]]&lt;&gt;0,Main_M[[#This Row],[Current Price]]/Main_M[[#This Row],[EPS]],""),"")</f>
        <v>36.812500000000007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1.3711655376483474</v>
      </c>
      <c r="P25" s="1">
        <f>(Main_M[[#This Row],[P/B]]-VLOOKUP(Main_M[[#This Row],[Industry]], Mean_PB_M, 2, FALSE))/(VLOOKUP(Main_M[[#This Row],[Industry]], Mean_PB_M, 3, FALSE))</f>
        <v>0.29175794587774095</v>
      </c>
      <c r="Q25" s="1">
        <f>(Main_M[[#This Row],[ROE]]-VLOOKUP(Main_M[[#This Row],[Industry]], Mean_ROE_M, 2, FALSE))/(VLOOKUP(Main_M[[#This Row],[Industry]], Mean_ROE_M, 3, FALSE))</f>
        <v>0.30084565441335553</v>
      </c>
      <c r="R25" s="1">
        <f>(Main_M[[#This Row],[ROA]]-VLOOKUP(Main_M[[#This Row],[Industry]], Mean_ROA_M, 2, FALSE))/(VLOOKUP(Main_M[[#This Row],[Industry]], Mean_ROA_M, 3, FALSE))</f>
        <v>4.0016709239632763E-3</v>
      </c>
      <c r="S25" s="1">
        <f>(Main_M[[#This Row],[A/E]]-VLOOKUP(Main_M[[#This Row],[Industry]], Mean_AE_M, 2, FALSE))/(VLOOKUP(Main_M[[#This Row],[Industry]], Mean_AE_M, 3, FALSE))</f>
        <v>-0.59883206269858058</v>
      </c>
      <c r="T25" s="1">
        <f>(Main_M[[#This Row],[P/E]]-VLOOKUP(Main_M[[#This Row],[Industry]], Mean_PE_M, 2, FALSE))/(VLOOKUP(Main_M[[#This Row],[Industry]], Mean_PE_M, 3, FALSE))</f>
        <v>1.6287116399653163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t="s">
        <v>109</v>
      </c>
      <c r="B26" t="s">
        <v>196</v>
      </c>
      <c r="C26" s="2">
        <v>2802</v>
      </c>
      <c r="D26">
        <f>RTD("tos.rtd", , "LAST", Main_M[[#This Row],[Symbol]])</f>
        <v>33.57</v>
      </c>
      <c r="E26">
        <v>1.55</v>
      </c>
      <c r="F26">
        <v>5.21</v>
      </c>
      <c r="G26">
        <v>0.2</v>
      </c>
      <c r="H26" s="1">
        <f>IF(ISNUMBER(Main_M[[#This Row],[Free CF]]),IF(Main_M[[#This Row],[Free CF]]&lt;&gt;0,Main_M[[#This Row],[Current Price]]/Main_M[[#This Row],[Free CF]],""),"")</f>
        <v>21.658064516129031</v>
      </c>
      <c r="I26" s="1">
        <f>IF(ISNUMBER(Main_M[[#This Row],[BVPS]]),IF(Main_M[[#This Row],[BVPS]]&lt;&gt;0,Main_M[[#This Row],[Current Price]]/Main_M[[#This Row],[BVPS]],""),"")</f>
        <v>6.4433781190019195</v>
      </c>
      <c r="J26">
        <v>3.62</v>
      </c>
      <c r="K26">
        <v>11.32</v>
      </c>
      <c r="L26">
        <v>1.52</v>
      </c>
      <c r="M26" s="1">
        <f>IF(ISNUMBER(Main_M[[#This Row],[EPS]]),IF(Main_M[[#This Row],[EPS]]&lt;&gt;0,Main_M[[#This Row],[Current Price]]/Main_M[[#This Row],[EPS]],""),"")</f>
        <v>167.85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1.4358108342951243</v>
      </c>
      <c r="P26" s="1">
        <f>(Main_M[[#This Row],[P/B]]-VLOOKUP(Main_M[[#This Row],[Industry]], Mean_PB_M, 2, FALSE))/(VLOOKUP(Main_M[[#This Row],[Industry]], Mean_PB_M, 3, FALSE))</f>
        <v>1.5308351529652278</v>
      </c>
      <c r="Q26" s="1">
        <f>(Main_M[[#This Row],[ROE]]-VLOOKUP(Main_M[[#This Row],[Industry]], Mean_ROE_M, 2, FALSE))/(VLOOKUP(Main_M[[#This Row],[Industry]], Mean_ROE_M, 3, FALSE))</f>
        <v>0.28275048198931352</v>
      </c>
      <c r="R26" s="1">
        <f>(Main_M[[#This Row],[ROA]]-VLOOKUP(Main_M[[#This Row],[Industry]], Mean_ROA_M, 2, FALSE))/(VLOOKUP(Main_M[[#This Row],[Industry]], Mean_ROA_M, 3, FALSE))</f>
        <v>1.6915634662867551</v>
      </c>
      <c r="S26" s="1">
        <f>(Main_M[[#This Row],[A/E]]-VLOOKUP(Main_M[[#This Row],[Industry]], Mean_AE_M, 2, FALSE))/(VLOOKUP(Main_M[[#This Row],[Industry]], Mean_AE_M, 3, FALSE))</f>
        <v>-0.325632181559597</v>
      </c>
      <c r="T26" s="1">
        <f>(Main_M[[#This Row],[P/E]]-VLOOKUP(Main_M[[#This Row],[Industry]], Mean_PE_M, 2, FALSE))/(VLOOKUP(Main_M[[#This Row],[Industry]], Mean_PE_M, 3, FALSE))</f>
        <v>7.2233427087930986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7" spans="1:26" x14ac:dyDescent="0.25">
      <c r="A27" t="s">
        <v>109</v>
      </c>
      <c r="B27" t="s">
        <v>197</v>
      </c>
      <c r="C27" s="2">
        <v>5339</v>
      </c>
      <c r="D27">
        <f>RTD("tos.rtd", , "LAST", Main_M[[#This Row],[Symbol]])</f>
        <v>26.32</v>
      </c>
      <c r="E27">
        <v>-0.39</v>
      </c>
      <c r="F27">
        <v>4.1399999999999997</v>
      </c>
      <c r="G27">
        <v>-2.36</v>
      </c>
      <c r="H27" s="1">
        <f>IF(ISNUMBER(Main_M[[#This Row],[Free CF]]),IF(Main_M[[#This Row],[Free CF]]&lt;&gt;0,Main_M[[#This Row],[Current Price]]/Main_M[[#This Row],[Free CF]],""),"")</f>
        <v>-67.487179487179489</v>
      </c>
      <c r="I27" s="1">
        <f>IF(ISNUMBER(Main_M[[#This Row],[BVPS]]),IF(Main_M[[#This Row],[BVPS]]&lt;&gt;0,Main_M[[#This Row],[Current Price]]/Main_M[[#This Row],[BVPS]],""),"")</f>
        <v>6.3574879227053147</v>
      </c>
      <c r="J27">
        <v>-94.67</v>
      </c>
      <c r="K27">
        <v>-24.35</v>
      </c>
      <c r="L27">
        <v>1.03</v>
      </c>
      <c r="M27" s="1">
        <f>IF(ISNUMBER(Main_M[[#This Row],[EPS]]),IF(Main_M[[#This Row],[EPS]]&lt;&gt;0,Main_M[[#This Row],[Current Price]]/Main_M[[#This Row],[EPS]],""),"")</f>
        <v>-11.152542372881356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-14.185488968027849</v>
      </c>
      <c r="P27" s="1">
        <f>(Main_M[[#This Row],[P/B]]-VLOOKUP(Main_M[[#This Row],[Industry]], Mean_PB_M, 2, FALSE))/(VLOOKUP(Main_M[[#This Row],[Industry]], Mean_PB_M, 3, FALSE))</f>
        <v>1.4910619704845776</v>
      </c>
      <c r="Q27" s="1">
        <f>(Main_M[[#This Row],[ROE]]-VLOOKUP(Main_M[[#This Row],[Industry]], Mean_ROE_M, 2, FALSE))/(VLOOKUP(Main_M[[#This Row],[Industry]], Mean_ROE_M, 3, FALSE))</f>
        <v>4.3050414932832105E-2</v>
      </c>
      <c r="R27" s="1">
        <f>(Main_M[[#This Row],[ROA]]-VLOOKUP(Main_M[[#This Row],[Industry]], Mean_ROA_M, 2, FALSE))/(VLOOKUP(Main_M[[#This Row],[Industry]], Mean_ROA_M, 3, FALSE))</f>
        <v>-6.4649852113000721</v>
      </c>
      <c r="S27" s="1">
        <f>(Main_M[[#This Row],[A/E]]-VLOOKUP(Main_M[[#This Row],[Industry]], Mean_AE_M, 2, FALSE))/(VLOOKUP(Main_M[[#This Row],[Industry]], Mean_AE_M, 3, FALSE))</f>
        <v>-0.93412282591460583</v>
      </c>
      <c r="T27" s="1">
        <f>(Main_M[[#This Row],[P/E]]-VLOOKUP(Main_M[[#This Row],[Industry]], Mean_PE_M, 2, FALSE))/(VLOOKUP(Main_M[[#This Row],[Industry]], Mean_PE_M, 3, FALSE))</f>
        <v>-0.41915035585239357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t="s">
        <v>109</v>
      </c>
      <c r="B28" t="s">
        <v>198</v>
      </c>
      <c r="C28" s="2">
        <v>4706</v>
      </c>
      <c r="D28">
        <f>RTD("tos.rtd", , "LAST", Main_M[[#This Row],[Symbol]])</f>
        <v>23.83</v>
      </c>
      <c r="E28">
        <v>0.51</v>
      </c>
      <c r="F28">
        <v>-0.74</v>
      </c>
      <c r="G28">
        <v>-0.74</v>
      </c>
      <c r="H28" s="1">
        <f>IF(ISNUMBER(Main_M[[#This Row],[Free CF]]),IF(Main_M[[#This Row],[Free CF]]&lt;&gt;0,Main_M[[#This Row],[Current Price]]/Main_M[[#This Row],[Free CF]],""),"")</f>
        <v>46.725490196078425</v>
      </c>
      <c r="I28" s="1">
        <f>IF(ISNUMBER(Main_M[[#This Row],[BVPS]]),IF(Main_M[[#This Row],[BVPS]]&lt;&gt;0,Main_M[[#This Row],[Current Price]]/Main_M[[#This Row],[BVPS]],""),"")</f>
        <v>-32.202702702702702</v>
      </c>
      <c r="J28">
        <v>174.83</v>
      </c>
      <c r="K28">
        <v>12.69</v>
      </c>
      <c r="L28">
        <v>-3.64</v>
      </c>
      <c r="M28" s="1">
        <f>IF(ISNUMBER(Main_M[[#This Row],[EPS]]),IF(Main_M[[#This Row],[EPS]]&lt;&gt;0,Main_M[[#This Row],[Current Price]]/Main_M[[#This Row],[EPS]],""),"")</f>
        <v>-32.202702702702702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5.8284823244803547</v>
      </c>
      <c r="P28" s="1">
        <f>(Main_M[[#This Row],[P/B]]-VLOOKUP(Main_M[[#This Row],[Industry]], Mean_PB_M, 2, FALSE))/(VLOOKUP(Main_M[[#This Row],[Industry]], Mean_PB_M, 3, FALSE))</f>
        <v>-16.365009669366042</v>
      </c>
      <c r="Q28" s="1">
        <f>(Main_M[[#This Row],[ROE]]-VLOOKUP(Main_M[[#This Row],[Industry]], Mean_ROE_M, 2, FALSE))/(VLOOKUP(Main_M[[#This Row],[Industry]], Mean_ROE_M, 3, FALSE))</f>
        <v>0.70028073410794389</v>
      </c>
      <c r="R28" s="1">
        <f>(Main_M[[#This Row],[ROA]]-VLOOKUP(Main_M[[#This Row],[Industry]], Mean_ROA_M, 2, FALSE))/(VLOOKUP(Main_M[[#This Row],[Industry]], Mean_ROA_M, 3, FALSE))</f>
        <v>2.004837132905593</v>
      </c>
      <c r="S28" s="1">
        <f>(Main_M[[#This Row],[A/E]]-VLOOKUP(Main_M[[#This Row],[Industry]], Mean_AE_M, 2, FALSE))/(VLOOKUP(Main_M[[#This Row],[Industry]], Mean_AE_M, 3, FALSE))</f>
        <v>-6.7334112119103029</v>
      </c>
      <c r="T28" s="1">
        <f>(Main_M[[#This Row],[P/E]]-VLOOKUP(Main_M[[#This Row],[Industry]], Mean_PE_M, 2, FALSE))/(VLOOKUP(Main_M[[#This Row],[Industry]], Mean_PE_M, 3, FALSE))</f>
        <v>-1.3178845425167041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t="s">
        <v>109</v>
      </c>
      <c r="B29" t="s">
        <v>199</v>
      </c>
      <c r="C29" s="2">
        <v>2214</v>
      </c>
      <c r="D29">
        <f>RTD("tos.rtd", , "LAST", Main_M[[#This Row],[Symbol]])</f>
        <v>42.45</v>
      </c>
      <c r="E29">
        <v>3.87</v>
      </c>
      <c r="F29">
        <v>90.51</v>
      </c>
      <c r="G29">
        <v>-2.6</v>
      </c>
      <c r="H29" s="1">
        <f>IF(ISNUMBER(Main_M[[#This Row],[Free CF]]),IF(Main_M[[#This Row],[Free CF]]&lt;&gt;0,Main_M[[#This Row],[Current Price]]/Main_M[[#This Row],[Free CF]],""),"")</f>
        <v>10.968992248062015</v>
      </c>
      <c r="I29" s="1">
        <f>IF(ISNUMBER(Main_M[[#This Row],[BVPS]]),IF(Main_M[[#This Row],[BVPS]]&lt;&gt;0,Main_M[[#This Row],[Current Price]]/Main_M[[#This Row],[BVPS]],""),"")</f>
        <v>0.46900894928737158</v>
      </c>
      <c r="J29">
        <v>-4.8600000000000003</v>
      </c>
      <c r="K29">
        <v>0.37</v>
      </c>
      <c r="L29">
        <v>1.6</v>
      </c>
      <c r="M29" s="1">
        <f>IF(ISNUMBER(Main_M[[#This Row],[EPS]]),IF(Main_M[[#This Row],[EPS]]&lt;&gt;0,Main_M[[#This Row],[Current Price]]/Main_M[[#This Row],[EPS]],""),"")</f>
        <v>-16.326923076923077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-0.43728070721183554</v>
      </c>
      <c r="P29" s="1">
        <f>(Main_M[[#This Row],[P/B]]-VLOOKUP(Main_M[[#This Row],[Industry]], Mean_PB_M, 2, FALSE))/(VLOOKUP(Main_M[[#This Row],[Industry]], Mean_PB_M, 3, FALSE))</f>
        <v>-1.2357166240647655</v>
      </c>
      <c r="Q29" s="1">
        <f>(Main_M[[#This Row],[ROE]]-VLOOKUP(Main_M[[#This Row],[Industry]], Mean_ROE_M, 2, FALSE))/(VLOOKUP(Main_M[[#This Row],[Industry]], Mean_ROE_M, 3, FALSE))</f>
        <v>0.26207028493326545</v>
      </c>
      <c r="R29" s="1">
        <f>(Main_M[[#This Row],[ROA]]-VLOOKUP(Main_M[[#This Row],[Industry]], Mean_ROA_M, 2, FALSE))/(VLOOKUP(Main_M[[#This Row],[Industry]], Mean_ROA_M, 3, FALSE))</f>
        <v>-0.81233919756454165</v>
      </c>
      <c r="S29" s="1">
        <f>(Main_M[[#This Row],[A/E]]-VLOOKUP(Main_M[[#This Row],[Industry]], Mean_AE_M, 2, FALSE))/(VLOOKUP(Main_M[[#This Row],[Industry]], Mean_AE_M, 3, FALSE))</f>
        <v>-0.22628677023633018</v>
      </c>
      <c r="T29" s="1">
        <f>(Main_M[[#This Row],[P/E]]-VLOOKUP(Main_M[[#This Row],[Industry]], Mean_PE_M, 2, FALSE))/(VLOOKUP(Main_M[[#This Row],[Industry]], Mean_PE_M, 3, FALSE))</f>
        <v>-0.64006994794454108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t="s">
        <v>109</v>
      </c>
      <c r="B30" t="s">
        <v>200</v>
      </c>
      <c r="C30" s="2">
        <v>7450</v>
      </c>
      <c r="D30">
        <f>RTD("tos.rtd", , "LAST", Main_M[[#This Row],[Symbol]])</f>
        <v>28.8</v>
      </c>
      <c r="E30">
        <v>3.39</v>
      </c>
      <c r="F30">
        <v>-0.25</v>
      </c>
      <c r="G30">
        <v>2.02</v>
      </c>
      <c r="H30" s="1">
        <f>IF(ISNUMBER(Main_M[[#This Row],[Free CF]]),IF(Main_M[[#This Row],[Free CF]]&lt;&gt;0,Main_M[[#This Row],[Current Price]]/Main_M[[#This Row],[Free CF]],""),"")</f>
        <v>8.4955752212389388</v>
      </c>
      <c r="I30" s="1">
        <f>IF(ISNUMBER(Main_M[[#This Row],[BVPS]]),IF(Main_M[[#This Row],[BVPS]]&lt;&gt;0,Main_M[[#This Row],[Current Price]]/Main_M[[#This Row],[BVPS]],""),"")</f>
        <v>-115.2</v>
      </c>
      <c r="J30">
        <v>-1332.8</v>
      </c>
      <c r="K30">
        <v>11.9</v>
      </c>
      <c r="L30">
        <v>-70.150000000000006</v>
      </c>
      <c r="M30" s="1">
        <f>IF(ISNUMBER(Main_M[[#This Row],[EPS]]),IF(Main_M[[#This Row],[EPS]]&lt;&gt;0,Main_M[[#This Row],[Current Price]]/Main_M[[#This Row],[EPS]],""),"")</f>
        <v>14.257425742574258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-0.87070808008143696</v>
      </c>
      <c r="P30" s="1">
        <f>(Main_M[[#This Row],[P/B]]-VLOOKUP(Main_M[[#This Row],[Industry]], Mean_PB_M, 2, FALSE))/(VLOOKUP(Main_M[[#This Row],[Industry]], Mean_PB_M, 3, FALSE))</f>
        <v>-54.798577097790535</v>
      </c>
      <c r="Q30" s="1">
        <f>(Main_M[[#This Row],[ROE]]-VLOOKUP(Main_M[[#This Row],[Industry]], Mean_ROE_M, 2, FALSE))/(VLOOKUP(Main_M[[#This Row],[Industry]], Mean_ROE_M, 3, FALSE))</f>
        <v>-2.9763802903743333</v>
      </c>
      <c r="R30" s="1">
        <f>(Main_M[[#This Row],[ROA]]-VLOOKUP(Main_M[[#This Row],[Industry]], Mean_ROA_M, 2, FALSE))/(VLOOKUP(Main_M[[#This Row],[Industry]], Mean_ROA_M, 3, FALSE))</f>
        <v>1.8241902740523948</v>
      </c>
      <c r="S30" s="1">
        <f>(Main_M[[#This Row],[A/E]]-VLOOKUP(Main_M[[#This Row],[Industry]], Mean_AE_M, 2, FALSE))/(VLOOKUP(Main_M[[#This Row],[Industry]], Mean_AE_M, 3, FALSE))</f>
        <v>-89.326702550791197</v>
      </c>
      <c r="T30" s="1">
        <f>(Main_M[[#This Row],[P/E]]-VLOOKUP(Main_M[[#This Row],[Industry]], Mean_PE_M, 2, FALSE))/(VLOOKUP(Main_M[[#This Row],[Industry]], Mean_PE_M, 3, FALSE))</f>
        <v>0.66572532535833862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t="s">
        <v>109</v>
      </c>
      <c r="B31" t="s">
        <v>201</v>
      </c>
      <c r="C31" s="2">
        <v>2574</v>
      </c>
      <c r="D31">
        <f>RTD("tos.rtd", , "LAST", Main_M[[#This Row],[Symbol]])</f>
        <v>10.56</v>
      </c>
      <c r="E31">
        <v>-0.46</v>
      </c>
      <c r="F31">
        <v>-0.22</v>
      </c>
      <c r="G31">
        <v>-1.66</v>
      </c>
      <c r="H31" s="1">
        <f>IF(ISNUMBER(Main_M[[#This Row],[Free CF]]),IF(Main_M[[#This Row],[Free CF]]&lt;&gt;0,Main_M[[#This Row],[Current Price]]/Main_M[[#This Row],[Free CF]],""),"")</f>
        <v>-22.956521739130434</v>
      </c>
      <c r="I31" s="1">
        <f>IF(ISNUMBER(Main_M[[#This Row],[BVPS]]),IF(Main_M[[#This Row],[BVPS]]&lt;&gt;0,Main_M[[#This Row],[Current Price]]/Main_M[[#This Row],[BVPS]],""),"")</f>
        <v>-48</v>
      </c>
      <c r="J31">
        <v>-358.99</v>
      </c>
      <c r="K31">
        <v>-32.97</v>
      </c>
      <c r="L31">
        <v>-3.09</v>
      </c>
      <c r="M31" s="1">
        <f>IF(ISNUMBER(Main_M[[#This Row],[EPS]]),IF(Main_M[[#This Row],[EPS]]&lt;&gt;0,Main_M[[#This Row],[Current Price]]/Main_M[[#This Row],[EPS]],""),"")</f>
        <v>-6.3614457831325311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-6.3821926412928702</v>
      </c>
      <c r="P31" s="1">
        <f>(Main_M[[#This Row],[P/B]]-VLOOKUP(Main_M[[#This Row],[Industry]], Mean_PB_M, 2, FALSE))/(VLOOKUP(Main_M[[#This Row],[Industry]], Mean_PB_M, 3, FALSE))</f>
        <v>-23.680265835934186</v>
      </c>
      <c r="Q31" s="1">
        <f>(Main_M[[#This Row],[ROE]]-VLOOKUP(Main_M[[#This Row],[Industry]], Mean_ROE_M, 2, FALSE))/(VLOOKUP(Main_M[[#This Row],[Industry]], Mean_ROE_M, 3, FALSE))</f>
        <v>-0.60154742538021266</v>
      </c>
      <c r="R31" s="1">
        <f>(Main_M[[#This Row],[ROA]]-VLOOKUP(Main_M[[#This Row],[Industry]], Mean_ROA_M, 2, FALSE))/(VLOOKUP(Main_M[[#This Row],[Industry]], Mean_ROA_M, 3, FALSE))</f>
        <v>-8.4360939749894026</v>
      </c>
      <c r="S31" s="1">
        <f>(Main_M[[#This Row],[A/E]]-VLOOKUP(Main_M[[#This Row],[Industry]], Mean_AE_M, 2, FALSE))/(VLOOKUP(Main_M[[#This Row],[Industry]], Mean_AE_M, 3, FALSE))</f>
        <v>-6.0504115090628439</v>
      </c>
      <c r="T31" s="1">
        <f>(Main_M[[#This Row],[P/E]]-VLOOKUP(Main_M[[#This Row],[Industry]], Mean_PE_M, 2, FALSE))/(VLOOKUP(Main_M[[#This Row],[Industry]], Mean_PE_M, 3, FALSE))</f>
        <v>-0.21459503516355549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t="s">
        <v>109</v>
      </c>
      <c r="B32" t="s">
        <v>202</v>
      </c>
      <c r="C32" s="2">
        <v>2059</v>
      </c>
      <c r="D32">
        <f>RTD("tos.rtd", , "LAST", Main_M[[#This Row],[Symbol]])</f>
        <v>8.7100000000000009</v>
      </c>
      <c r="E32">
        <v>2.44</v>
      </c>
      <c r="F32">
        <v>14.26</v>
      </c>
      <c r="G32">
        <v>1.1599999999999999</v>
      </c>
      <c r="H32" s="1">
        <f>IF(ISNUMBER(Main_M[[#This Row],[Free CF]]),IF(Main_M[[#This Row],[Free CF]]&lt;&gt;0,Main_M[[#This Row],[Current Price]]/Main_M[[#This Row],[Free CF]],""),"")</f>
        <v>3.5696721311475414</v>
      </c>
      <c r="I32" s="1">
        <f>IF(ISNUMBER(Main_M[[#This Row],[BVPS]]),IF(Main_M[[#This Row],[BVPS]]&lt;&gt;0,Main_M[[#This Row],[Current Price]]/Main_M[[#This Row],[BVPS]],""),"")</f>
        <v>0.61079943899018241</v>
      </c>
      <c r="J32">
        <v>8.74</v>
      </c>
      <c r="K32">
        <v>4.4800000000000004</v>
      </c>
      <c r="L32">
        <v>1.87</v>
      </c>
      <c r="M32" s="1">
        <f>IF(ISNUMBER(Main_M[[#This Row],[EPS]]),IF(Main_M[[#This Row],[EPS]]&lt;&gt;0,Main_M[[#This Row],[Current Price]]/Main_M[[#This Row],[EPS]],""),"")</f>
        <v>7.5086206896551735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-1.7338950041606509</v>
      </c>
      <c r="P32" s="1">
        <f>(Main_M[[#This Row],[P/B]]-VLOOKUP(Main_M[[#This Row],[Industry]], Mean_PB_M, 2, FALSE))/(VLOOKUP(Main_M[[#This Row],[Industry]], Mean_PB_M, 3, FALSE))</f>
        <v>-1.1700576866757311</v>
      </c>
      <c r="Q32" s="1">
        <f>(Main_M[[#This Row],[ROE]]-VLOOKUP(Main_M[[#This Row],[Industry]], Mean_ROE_M, 2, FALSE))/(VLOOKUP(Main_M[[#This Row],[Industry]], Mean_ROE_M, 3, FALSE))</f>
        <v>0.29523663870239913</v>
      </c>
      <c r="R32" s="1">
        <f>(Main_M[[#This Row],[ROA]]-VLOOKUP(Main_M[[#This Row],[Industry]], Mean_ROA_M, 2, FALSE))/(VLOOKUP(Main_M[[#This Row],[Industry]], Mean_ROA_M, 3, FALSE))</f>
        <v>0.12748180229197253</v>
      </c>
      <c r="S32" s="1">
        <f>(Main_M[[#This Row],[A/E]]-VLOOKUP(Main_M[[#This Row],[Industry]], Mean_AE_M, 2, FALSE))/(VLOOKUP(Main_M[[#This Row],[Industry]], Mean_AE_M, 3, FALSE))</f>
        <v>0.10900399297969514</v>
      </c>
      <c r="T32" s="1">
        <f>(Main_M[[#This Row],[P/E]]-VLOOKUP(Main_M[[#This Row],[Industry]], Mean_PE_M, 2, FALSE))/(VLOOKUP(Main_M[[#This Row],[Industry]], Mean_PE_M, 3, FALSE))</f>
        <v>0.37758586584084913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t="s">
        <v>109</v>
      </c>
      <c r="B33" t="s">
        <v>203</v>
      </c>
      <c r="C33" s="2">
        <v>2288</v>
      </c>
      <c r="D33">
        <f>RTD("tos.rtd", , "LAST", Main_M[[#This Row],[Symbol]])</f>
        <v>40.58</v>
      </c>
      <c r="E33">
        <v>3.69</v>
      </c>
      <c r="F33">
        <v>11.31</v>
      </c>
      <c r="G33">
        <v>1.88</v>
      </c>
      <c r="H33" s="1">
        <f>IF(ISNUMBER(Main_M[[#This Row],[Free CF]]),IF(Main_M[[#This Row],[Free CF]]&lt;&gt;0,Main_M[[#This Row],[Current Price]]/Main_M[[#This Row],[Free CF]],""),"")</f>
        <v>10.997289972899729</v>
      </c>
      <c r="I33" s="1">
        <f>IF(ISNUMBER(Main_M[[#This Row],[BVPS]]),IF(Main_M[[#This Row],[BVPS]]&lt;&gt;0,Main_M[[#This Row],[Current Price]]/Main_M[[#This Row],[BVPS]],""),"")</f>
        <v>3.5879752431476568</v>
      </c>
      <c r="J33">
        <v>17.79</v>
      </c>
      <c r="K33">
        <v>9.9</v>
      </c>
      <c r="L33">
        <v>1.32</v>
      </c>
      <c r="M33" s="1">
        <f>IF(ISNUMBER(Main_M[[#This Row],[EPS]]),IF(Main_M[[#This Row],[EPS]]&lt;&gt;0,Main_M[[#This Row],[Current Price]]/Main_M[[#This Row],[EPS]],""),"")</f>
        <v>21.585106382978722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-0.43232197667768429</v>
      </c>
      <c r="P33" s="1">
        <f>(Main_M[[#This Row],[P/B]]-VLOOKUP(Main_M[[#This Row],[Industry]], Mean_PB_M, 2, FALSE))/(VLOOKUP(Main_M[[#This Row],[Industry]], Mean_PB_M, 3, FALSE))</f>
        <v>0.20858343467902693</v>
      </c>
      <c r="Q33" s="1">
        <f>(Main_M[[#This Row],[ROE]]-VLOOKUP(Main_M[[#This Row],[Industry]], Mean_ROE_M, 2, FALSE))/(VLOOKUP(Main_M[[#This Row],[Industry]], Mean_ROE_M, 3, FALSE))</f>
        <v>0.31730689617377111</v>
      </c>
      <c r="R33" s="1">
        <f>(Main_M[[#This Row],[ROA]]-VLOOKUP(Main_M[[#This Row],[Industry]], Mean_ROA_M, 2, FALSE))/(VLOOKUP(Main_M[[#This Row],[Industry]], Mean_ROA_M, 3, FALSE))</f>
        <v>1.3668564541708794</v>
      </c>
      <c r="S33" s="1">
        <f>(Main_M[[#This Row],[A/E]]-VLOOKUP(Main_M[[#This Row],[Industry]], Mean_AE_M, 2, FALSE))/(VLOOKUP(Main_M[[#This Row],[Industry]], Mean_AE_M, 3, FALSE))</f>
        <v>-0.57399570986776383</v>
      </c>
      <c r="T33" s="1">
        <f>(Main_M[[#This Row],[P/E]]-VLOOKUP(Main_M[[#This Row],[Industry]], Mean_PE_M, 2, FALSE))/(VLOOKUP(Main_M[[#This Row],[Industry]], Mean_PE_M, 3, FALSE))</f>
        <v>0.97857981184697496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t="s">
        <v>109</v>
      </c>
      <c r="B34" t="s">
        <v>204</v>
      </c>
      <c r="C34" s="2">
        <v>3046</v>
      </c>
      <c r="D34">
        <f>RTD("tos.rtd", , "LAST", Main_M[[#This Row],[Symbol]])</f>
        <v>10.31</v>
      </c>
      <c r="E34">
        <v>0.84</v>
      </c>
      <c r="F34">
        <v>4.95</v>
      </c>
      <c r="G34">
        <v>0.08</v>
      </c>
      <c r="H34" s="1">
        <f>IF(ISNUMBER(Main_M[[#This Row],[Free CF]]),IF(Main_M[[#This Row],[Free CF]]&lt;&gt;0,Main_M[[#This Row],[Current Price]]/Main_M[[#This Row],[Free CF]],""),"")</f>
        <v>12.273809523809526</v>
      </c>
      <c r="I34" s="1">
        <f>IF(ISNUMBER(Main_M[[#This Row],[BVPS]]),IF(Main_M[[#This Row],[BVPS]]&lt;&gt;0,Main_M[[#This Row],[Current Price]]/Main_M[[#This Row],[BVPS]],""),"")</f>
        <v>2.0828282828282827</v>
      </c>
      <c r="J34">
        <v>1.53</v>
      </c>
      <c r="K34">
        <v>1.87</v>
      </c>
      <c r="L34">
        <v>3.82</v>
      </c>
      <c r="M34" s="1">
        <f>IF(ISNUMBER(Main_M[[#This Row],[EPS]]),IF(Main_M[[#This Row],[EPS]]&lt;&gt;0,Main_M[[#This Row],[Current Price]]/Main_M[[#This Row],[EPS]],""),"")</f>
        <v>128.875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-0.20863203302181715</v>
      </c>
      <c r="P34" s="1">
        <f>(Main_M[[#This Row],[P/B]]-VLOOKUP(Main_M[[#This Row],[Industry]], Mean_PB_M, 2, FALSE))/(VLOOKUP(Main_M[[#This Row],[Industry]], Mean_PB_M, 3, FALSE))</f>
        <v>-0.488405130887271</v>
      </c>
      <c r="Q34" s="1">
        <f>(Main_M[[#This Row],[ROE]]-VLOOKUP(Main_M[[#This Row],[Industry]], Mean_ROE_M, 2, FALSE))/(VLOOKUP(Main_M[[#This Row],[Industry]], Mean_ROE_M, 3, FALSE))</f>
        <v>0.27765359379979226</v>
      </c>
      <c r="R34" s="1">
        <f>(Main_M[[#This Row],[ROA]]-VLOOKUP(Main_M[[#This Row],[Industry]], Mean_ROA_M, 2, FALSE))/(VLOOKUP(Main_M[[#This Row],[Industry]], Mean_ROA_M, 3, FALSE))</f>
        <v>-0.46933883265340509</v>
      </c>
      <c r="S34" s="1">
        <f>(Main_M[[#This Row],[A/E]]-VLOOKUP(Main_M[[#This Row],[Industry]], Mean_AE_M, 2, FALSE))/(VLOOKUP(Main_M[[#This Row],[Industry]], Mean_AE_M, 3, FALSE))</f>
        <v>2.5305483939843221</v>
      </c>
      <c r="T34" s="1">
        <f>(Main_M[[#This Row],[P/E]]-VLOOKUP(Main_M[[#This Row],[Industry]], Mean_PE_M, 2, FALSE))/(VLOOKUP(Main_M[[#This Row],[Industry]], Mean_PE_M, 3, FALSE))</f>
        <v>5.5593095434201114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5" spans="1:26" x14ac:dyDescent="0.25">
      <c r="A35" t="s">
        <v>107</v>
      </c>
      <c r="B35" t="s">
        <v>173</v>
      </c>
      <c r="C35" s="2">
        <v>9236</v>
      </c>
      <c r="D35">
        <f>RTD("tos.rtd", , "LAST", Main_M[[#This Row],[Symbol]])</f>
        <v>25.63</v>
      </c>
      <c r="E35">
        <v>2.8</v>
      </c>
      <c r="F35">
        <v>9.68</v>
      </c>
      <c r="G35">
        <v>1.31</v>
      </c>
      <c r="H35" s="1">
        <f>IF(ISNUMBER(Main_M[[#This Row],[Free CF]]),IF(Main_M[[#This Row],[Free CF]]&lt;&gt;0,Main_M[[#This Row],[Current Price]]/Main_M[[#This Row],[Free CF]],""),"")</f>
        <v>9.1535714285714285</v>
      </c>
      <c r="I35" s="1">
        <f>IF(ISNUMBER(Main_M[[#This Row],[BVPS]]),IF(Main_M[[#This Row],[BVPS]]&lt;&gt;0,Main_M[[#This Row],[Current Price]]/Main_M[[#This Row],[BVPS]],""),"")</f>
        <v>2.6477272727272725</v>
      </c>
      <c r="J35">
        <v>13.58</v>
      </c>
      <c r="K35">
        <v>5.12</v>
      </c>
      <c r="L35">
        <v>4.78</v>
      </c>
      <c r="M35" s="1">
        <f>IF(ISNUMBER(Main_M[[#This Row],[EPS]]),IF(Main_M[[#This Row],[EPS]]&lt;&gt;0,Main_M[[#This Row],[Current Price]]/Main_M[[#This Row],[EPS]],""),"")</f>
        <v>19.564885496183205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-0.56220851150600804</v>
      </c>
      <c r="P35" s="1">
        <f>(Main_M[[#This Row],[P/B]]-VLOOKUP(Main_M[[#This Row],[Industry]], Mean_PB_M, 2, FALSE))/(VLOOKUP(Main_M[[#This Row],[Industry]], Mean_PB_M, 3, FALSE))</f>
        <v>0.23924863689931075</v>
      </c>
      <c r="Q35" s="1">
        <f>(Main_M[[#This Row],[ROE]]-VLOOKUP(Main_M[[#This Row],[Industry]], Mean_ROE_M, 2, FALSE))/(VLOOKUP(Main_M[[#This Row],[Industry]], Mean_ROE_M, 3, FALSE))</f>
        <v>0.3287644610943441</v>
      </c>
      <c r="R35" s="1">
        <f>(Main_M[[#This Row],[ROA]]-VLOOKUP(Main_M[[#This Row],[Industry]], Mean_ROA_M, 2, FALSE))/(VLOOKUP(Main_M[[#This Row],[Industry]], Mean_ROA_M, 3, FALSE))</f>
        <v>-2.5167011920309555E-3</v>
      </c>
      <c r="S35" s="1">
        <f>(Main_M[[#This Row],[A/E]]-VLOOKUP(Main_M[[#This Row],[Industry]], Mean_AE_M, 2, FALSE))/(VLOOKUP(Main_M[[#This Row],[Industry]], Mean_AE_M, 3, FALSE))</f>
        <v>0.69213759940696751</v>
      </c>
      <c r="T35" s="1">
        <f>(Main_M[[#This Row],[P/E]]-VLOOKUP(Main_M[[#This Row],[Industry]], Mean_PE_M, 2, FALSE))/(VLOOKUP(Main_M[[#This Row],[Industry]], Mean_PE_M, 3, FALSE))</f>
        <v>-6.5809649473672002E-2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t="s">
        <v>107</v>
      </c>
      <c r="B36" t="s">
        <v>174</v>
      </c>
      <c r="C36" s="2">
        <v>8363</v>
      </c>
      <c r="D36">
        <f>RTD("tos.rtd", , "LAST", Main_M[[#This Row],[Symbol]])</f>
        <v>40.51</v>
      </c>
      <c r="E36">
        <v>1.36</v>
      </c>
      <c r="F36">
        <v>4.03</v>
      </c>
      <c r="G36">
        <v>0.62</v>
      </c>
      <c r="H36" s="1">
        <f>IF(ISNUMBER(Main_M[[#This Row],[Free CF]]),IF(Main_M[[#This Row],[Free CF]]&lt;&gt;0,Main_M[[#This Row],[Current Price]]/Main_M[[#This Row],[Free CF]],""),"")</f>
        <v>29.786764705882348</v>
      </c>
      <c r="I36" s="1">
        <f>IF(ISNUMBER(Main_M[[#This Row],[BVPS]]),IF(Main_M[[#This Row],[BVPS]]&lt;&gt;0,Main_M[[#This Row],[Current Price]]/Main_M[[#This Row],[BVPS]],""),"")</f>
        <v>10.052109181141438</v>
      </c>
      <c r="J36">
        <v>16.62</v>
      </c>
      <c r="K36">
        <v>3.15</v>
      </c>
      <c r="L36">
        <v>7.34</v>
      </c>
      <c r="M36" s="1">
        <f>IF(ISNUMBER(Main_M[[#This Row],[EPS]]),IF(Main_M[[#This Row],[EPS]]&lt;&gt;0,Main_M[[#This Row],[Current Price]]/Main_M[[#This Row],[EPS]],""),"")</f>
        <v>65.338709677419345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1.8664084746757306</v>
      </c>
      <c r="P36" s="1">
        <f>(Main_M[[#This Row],[P/B]]-VLOOKUP(Main_M[[#This Row],[Industry]], Mean_PB_M, 2, FALSE))/(VLOOKUP(Main_M[[#This Row],[Industry]], Mean_PB_M, 3, FALSE))</f>
        <v>5.3475849742474511</v>
      </c>
      <c r="Q36" s="1">
        <f>(Main_M[[#This Row],[ROE]]-VLOOKUP(Main_M[[#This Row],[Industry]], Mean_ROE_M, 2, FALSE))/(VLOOKUP(Main_M[[#This Row],[Industry]], Mean_ROE_M, 3, FALSE))</f>
        <v>0.47319277926295777</v>
      </c>
      <c r="R36" s="1">
        <f>(Main_M[[#This Row],[ROA]]-VLOOKUP(Main_M[[#This Row],[Industry]], Mean_ROA_M, 2, FALSE))/(VLOOKUP(Main_M[[#This Row],[Industry]], Mean_ROA_M, 3, FALSE))</f>
        <v>-0.79578091692023334</v>
      </c>
      <c r="S36" s="1">
        <f>(Main_M[[#This Row],[A/E]]-VLOOKUP(Main_M[[#This Row],[Industry]], Mean_AE_M, 2, FALSE))/(VLOOKUP(Main_M[[#This Row],[Industry]], Mean_AE_M, 3, FALSE))</f>
        <v>1.9320761959652852</v>
      </c>
      <c r="T36" s="1">
        <f>(Main_M[[#This Row],[P/E]]-VLOOKUP(Main_M[[#This Row],[Industry]], Mean_PE_M, 2, FALSE))/(VLOOKUP(Main_M[[#This Row],[Industry]], Mean_PE_M, 3, FALSE))</f>
        <v>1.2902648760823063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t="s">
        <v>107</v>
      </c>
      <c r="B37" t="s">
        <v>175</v>
      </c>
      <c r="C37" s="2">
        <v>3236</v>
      </c>
      <c r="D37">
        <f>RTD("tos.rtd", , "LAST", Main_M[[#This Row],[Symbol]])</f>
        <v>24.18</v>
      </c>
      <c r="H37" s="1" t="str">
        <f>IF(ISNUMBER(Main_M[[#This Row],[Free CF]]),IF(Main_M[[#This Row],[Free CF]]&lt;&gt;0,Main_M[[#This Row],[Current Price]]/Main_M[[#This Row],[Free CF]],""),"")</f>
        <v/>
      </c>
      <c r="I37" s="1" t="str">
        <f>IF(ISNUMBER(Main_M[[#This Row],[BVPS]]),IF(Main_M[[#This Row],[BVPS]]&lt;&gt;0,Main_M[[#This Row],[Current Price]]/Main_M[[#This Row],[BVPS]],""),"")</f>
        <v/>
      </c>
      <c r="J37">
        <v>442.08</v>
      </c>
      <c r="K37">
        <v>-40.090000000000003</v>
      </c>
      <c r="L37">
        <v>-0.65</v>
      </c>
      <c r="M37" s="1" t="str">
        <f>IF(ISNUMBER(Main_M[[#This Row],[EPS]]),IF(Main_M[[#This Row],[EPS]]&lt;&gt;0,Main_M[[#This Row],[Current Price]]/Main_M[[#This Row],[EPS]],""),"")</f>
        <v/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 t="e">
        <f>(Main_M[[#This Row],[P/FCF]]-VLOOKUP(Main_M[[#This Row],[Industry]], Mean_PFCF_M, 2, FALSE))/(VLOOKUP(Main_M[[#This Row],[Industry]], Mean_PFCF_M, 3, FALSE))</f>
        <v>#VALUE!</v>
      </c>
      <c r="P37" s="1" t="e">
        <f>(Main_M[[#This Row],[P/B]]-VLOOKUP(Main_M[[#This Row],[Industry]], Mean_PB_M, 2, FALSE))/(VLOOKUP(Main_M[[#This Row],[Industry]], Mean_PB_M, 3, FALSE))</f>
        <v>#VALUE!</v>
      </c>
      <c r="Q37" s="1">
        <f>(Main_M[[#This Row],[ROE]]-VLOOKUP(Main_M[[#This Row],[Industry]], Mean_ROE_M, 2, FALSE))/(VLOOKUP(Main_M[[#This Row],[Industry]], Mean_ROE_M, 3, FALSE))</f>
        <v>20.686506018742673</v>
      </c>
      <c r="R37" s="1">
        <f>(Main_M[[#This Row],[ROA]]-VLOOKUP(Main_M[[#This Row],[Industry]], Mean_ROA_M, 2, FALSE))/(VLOOKUP(Main_M[[#This Row],[Industry]], Mean_ROA_M, 3, FALSE))</f>
        <v>-18.207326443868187</v>
      </c>
      <c r="S37" s="1">
        <f>(Main_M[[#This Row],[A/E]]-VLOOKUP(Main_M[[#This Row],[Industry]], Mean_AE_M, 2, FALSE))/(VLOOKUP(Main_M[[#This Row],[Industry]], Mean_AE_M, 3, FALSE))</f>
        <v>-1.9378884081366528</v>
      </c>
      <c r="T37" s="1" t="e">
        <f>(Main_M[[#This Row],[P/E]]-VLOOKUP(Main_M[[#This Row],[Industry]], Mean_PE_M, 2, FALSE))/(VLOOKUP(Main_M[[#This Row],[Industry]], Mean_PE_M, 3, FALSE))</f>
        <v>#VALUE!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8" spans="1:26" x14ac:dyDescent="0.25">
      <c r="A38" t="s">
        <v>107</v>
      </c>
      <c r="B38" t="s">
        <v>176</v>
      </c>
      <c r="C38" s="2">
        <v>4706</v>
      </c>
      <c r="D38">
        <f>RTD("tos.rtd", , "LAST", Main_M[[#This Row],[Symbol]])</f>
        <v>174.42</v>
      </c>
      <c r="E38">
        <v>34.200000000000003</v>
      </c>
      <c r="F38">
        <v>73.709999999999994</v>
      </c>
      <c r="G38">
        <v>21.41</v>
      </c>
      <c r="H38" s="1">
        <f>IF(ISNUMBER(Main_M[[#This Row],[Free CF]]),IF(Main_M[[#This Row],[Free CF]]&lt;&gt;0,Main_M[[#This Row],[Current Price]]/Main_M[[#This Row],[Free CF]],""),"")</f>
        <v>5.0999999999999996</v>
      </c>
      <c r="I38" s="1">
        <f>IF(ISNUMBER(Main_M[[#This Row],[BVPS]]),IF(Main_M[[#This Row],[BVPS]]&lt;&gt;0,Main_M[[#This Row],[Current Price]]/Main_M[[#This Row],[BVPS]],""),"")</f>
        <v>2.3663003663003663</v>
      </c>
      <c r="J38">
        <v>29.82</v>
      </c>
      <c r="K38">
        <v>7</v>
      </c>
      <c r="L38">
        <v>5.08</v>
      </c>
      <c r="M38" s="1">
        <f>IF(ISNUMBER(Main_M[[#This Row],[EPS]]),IF(Main_M[[#This Row],[EPS]]&lt;&gt;0,Main_M[[#This Row],[Current Price]]/Main_M[[#This Row],[EPS]],""),"")</f>
        <v>8.1466604390471744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-1.0393315769383973</v>
      </c>
      <c r="P38" s="1">
        <f>(Main_M[[#This Row],[P/B]]-VLOOKUP(Main_M[[#This Row],[Industry]], Mean_PB_M, 2, FALSE))/(VLOOKUP(Main_M[[#This Row],[Industry]], Mean_PB_M, 3, FALSE))</f>
        <v>4.5090189889120988E-2</v>
      </c>
      <c r="Q38" s="1">
        <f>(Main_M[[#This Row],[ROE]]-VLOOKUP(Main_M[[#This Row],[Industry]], Mean_ROE_M, 2, FALSE))/(VLOOKUP(Main_M[[#This Row],[Industry]], Mean_ROE_M, 3, FALSE))</f>
        <v>1.1003157397319379</v>
      </c>
      <c r="R38" s="1">
        <f>(Main_M[[#This Row],[ROA]]-VLOOKUP(Main_M[[#This Row],[Industry]], Mean_ROA_M, 2, FALSE))/(VLOOKUP(Main_M[[#This Row],[Industry]], Mean_ROA_M, 3, FALSE))</f>
        <v>0.75450701737092352</v>
      </c>
      <c r="S38" s="1">
        <f>(Main_M[[#This Row],[A/E]]-VLOOKUP(Main_M[[#This Row],[Industry]], Mean_AE_M, 2, FALSE))/(VLOOKUP(Main_M[[#This Row],[Industry]], Mean_AE_M, 3, FALSE))</f>
        <v>0.83744290369114527</v>
      </c>
      <c r="T38" s="1">
        <f>(Main_M[[#This Row],[P/E]]-VLOOKUP(Main_M[[#This Row],[Industry]], Mean_PE_M, 2, FALSE))/(VLOOKUP(Main_M[[#This Row],[Industry]], Mean_PE_M, 3, FALSE))</f>
        <v>-0.40408079906650851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t="s">
        <v>107</v>
      </c>
      <c r="B39" t="s">
        <v>177</v>
      </c>
      <c r="C39" s="2">
        <v>2679</v>
      </c>
      <c r="D39">
        <f>RTD("tos.rtd", , "LAST", Main_M[[#This Row],[Symbol]])</f>
        <v>17.73</v>
      </c>
      <c r="E39">
        <v>3.76</v>
      </c>
      <c r="F39">
        <v>18.79</v>
      </c>
      <c r="G39">
        <v>3.53</v>
      </c>
      <c r="H39" s="1">
        <f>IF(ISNUMBER(Main_M[[#This Row],[Free CF]]),IF(Main_M[[#This Row],[Free CF]]&lt;&gt;0,Main_M[[#This Row],[Current Price]]/Main_M[[#This Row],[Free CF]],""),"")</f>
        <v>4.7154255319148941</v>
      </c>
      <c r="I39" s="1">
        <f>IF(ISNUMBER(Main_M[[#This Row],[BVPS]]),IF(Main_M[[#This Row],[BVPS]]&lt;&gt;0,Main_M[[#This Row],[Current Price]]/Main_M[[#This Row],[BVPS]],""),"")</f>
        <v>0.94358701436934544</v>
      </c>
      <c r="J39">
        <v>20.84</v>
      </c>
      <c r="K39">
        <v>6.8</v>
      </c>
      <c r="L39">
        <v>2.44</v>
      </c>
      <c r="M39" s="1">
        <f>IF(ISNUMBER(Main_M[[#This Row],[EPS]]),IF(Main_M[[#This Row],[EPS]]&lt;&gt;0,Main_M[[#This Row],[Current Price]]/Main_M[[#This Row],[EPS]],""),"")</f>
        <v>5.022662889518414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39" s="1">
        <f>(Main_M[[#This Row],[P/FCF]]-VLOOKUP(Main_M[[#This Row],[Industry]], Mean_PFCF_M, 2, FALSE))/(VLOOKUP(Main_M[[#This Row],[Industry]], Mean_PFCF_M, 3, FALSE))</f>
        <v>-1.0845976718705055</v>
      </c>
      <c r="P39" s="1">
        <f>(Main_M[[#This Row],[P/B]]-VLOOKUP(Main_M[[#This Row],[Industry]], Mean_PB_M, 2, FALSE))/(VLOOKUP(Main_M[[#This Row],[Industry]], Mean_PB_M, 3, FALSE))</f>
        <v>-0.93644998499580301</v>
      </c>
      <c r="Q39" s="1">
        <f>(Main_M[[#This Row],[ROE]]-VLOOKUP(Main_M[[#This Row],[Industry]], Mean_ROE_M, 2, FALSE))/(VLOOKUP(Main_M[[#This Row],[Industry]], Mean_ROE_M, 3, FALSE))</f>
        <v>0.67368208935228313</v>
      </c>
      <c r="R39" s="1">
        <f>(Main_M[[#This Row],[ROA]]-VLOOKUP(Main_M[[#This Row],[Industry]], Mean_ROA_M, 2, FALSE))/(VLOOKUP(Main_M[[#This Row],[Industry]], Mean_ROA_M, 3, FALSE))</f>
        <v>0.67397257922592824</v>
      </c>
      <c r="S39" s="1">
        <f>(Main_M[[#This Row],[A/E]]-VLOOKUP(Main_M[[#This Row],[Industry]], Mean_AE_M, 2, FALSE))/(VLOOKUP(Main_M[[#This Row],[Industry]], Mean_AE_M, 3, FALSE))</f>
        <v>-0.44124377400962023</v>
      </c>
      <c r="T39" s="1">
        <f>(Main_M[[#This Row],[P/E]]-VLOOKUP(Main_M[[#This Row],[Industry]], Mean_PE_M, 2, FALSE))/(VLOOKUP(Main_M[[#This Row],[Industry]], Mean_PE_M, 3, FALSE))</f>
        <v>-0.49663093160605387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t="s">
        <v>107</v>
      </c>
      <c r="B40" t="s">
        <v>178</v>
      </c>
      <c r="C40" s="2">
        <v>6949</v>
      </c>
      <c r="D40">
        <f>RTD("tos.rtd", , "LAST", Main_M[[#This Row],[Symbol]])</f>
        <v>19.78</v>
      </c>
      <c r="E40">
        <v>-1.07</v>
      </c>
      <c r="F40">
        <v>70.5</v>
      </c>
      <c r="G40">
        <v>-0.44</v>
      </c>
      <c r="H40" s="1">
        <f>IF(ISNUMBER(Main_M[[#This Row],[Free CF]]),IF(Main_M[[#This Row],[Free CF]]&lt;&gt;0,Main_M[[#This Row],[Current Price]]/Main_M[[#This Row],[Free CF]],""),"")</f>
        <v>-18.485981308411215</v>
      </c>
      <c r="I40" s="1">
        <f>IF(ISNUMBER(Main_M[[#This Row],[BVPS]]),IF(Main_M[[#This Row],[BVPS]]&lt;&gt;0,Main_M[[#This Row],[Current Price]]/Main_M[[#This Row],[BVPS]],""),"")</f>
        <v>0.28056737588652486</v>
      </c>
      <c r="J40">
        <v>-0.61</v>
      </c>
      <c r="K40">
        <v>-0.32</v>
      </c>
      <c r="L40">
        <v>3.02</v>
      </c>
      <c r="M40" s="1">
        <f>IF(ISNUMBER(Main_M[[#This Row],[EPS]]),IF(Main_M[[#This Row],[EPS]]&lt;&gt;0,Main_M[[#This Row],[Current Price]]/Main_M[[#This Row],[EPS]],""),"")</f>
        <v>-44.95454545454546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-3.8155046138265498</v>
      </c>
      <c r="P40" s="1">
        <f>(Main_M[[#This Row],[P/B]]-VLOOKUP(Main_M[[#This Row],[Industry]], Mean_PB_M, 2, FALSE))/(VLOOKUP(Main_M[[#This Row],[Industry]], Mean_PB_M, 3, FALSE))</f>
        <v>-1.3938720025970823</v>
      </c>
      <c r="Q40" s="1">
        <f>(Main_M[[#This Row],[ROE]]-VLOOKUP(Main_M[[#This Row],[Industry]], Mean_ROE_M, 2, FALSE))/(VLOOKUP(Main_M[[#This Row],[Industry]], Mean_ROE_M, 3, FALSE))</f>
        <v>-0.34539272140980953</v>
      </c>
      <c r="R40" s="1">
        <f>(Main_M[[#This Row],[ROA]]-VLOOKUP(Main_M[[#This Row],[Industry]], Mean_ROA_M, 2, FALSE))/(VLOOKUP(Main_M[[#This Row],[Industry]], Mean_ROA_M, 3, FALSE))</f>
        <v>-2.1930534187358992</v>
      </c>
      <c r="S40" s="1">
        <f>(Main_M[[#This Row],[A/E]]-VLOOKUP(Main_M[[#This Row],[Industry]], Mean_AE_M, 2, FALSE))/(VLOOKUP(Main_M[[#This Row],[Industry]], Mean_AE_M, 3, FALSE))</f>
        <v>-0.16032018572687626</v>
      </c>
      <c r="T40" s="1">
        <f>(Main_M[[#This Row],[P/E]]-VLOOKUP(Main_M[[#This Row],[Industry]], Mean_PE_M, 2, FALSE))/(VLOOKUP(Main_M[[#This Row],[Industry]], Mean_PE_M, 3, FALSE))</f>
        <v>-1.9772330072694306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t="s">
        <v>107</v>
      </c>
      <c r="B41" t="s">
        <v>179</v>
      </c>
      <c r="C41" s="2">
        <v>7147</v>
      </c>
      <c r="D41">
        <f>RTD("tos.rtd", , "LAST", Main_M[[#This Row],[Symbol]])</f>
        <v>21.79</v>
      </c>
      <c r="E41">
        <v>2.88</v>
      </c>
      <c r="F41">
        <v>33.08</v>
      </c>
      <c r="G41">
        <v>-4.9000000000000004</v>
      </c>
      <c r="H41" s="1">
        <f>IF(ISNUMBER(Main_M[[#This Row],[Free CF]]),IF(Main_M[[#This Row],[Free CF]]&lt;&gt;0,Main_M[[#This Row],[Current Price]]/Main_M[[#This Row],[Free CF]],""),"")</f>
        <v>7.5659722222222223</v>
      </c>
      <c r="I41" s="1">
        <f>IF(ISNUMBER(Main_M[[#This Row],[BVPS]]),IF(Main_M[[#This Row],[BVPS]]&lt;&gt;0,Main_M[[#This Row],[Current Price]]/Main_M[[#This Row],[BVPS]],""),"")</f>
        <v>0.65870616686819827</v>
      </c>
      <c r="J41">
        <v>-47.77</v>
      </c>
      <c r="K41">
        <v>6.02</v>
      </c>
      <c r="L41">
        <v>2.4500000000000002</v>
      </c>
      <c r="M41" s="1">
        <f>IF(ISNUMBER(Main_M[[#This Row],[EPS]]),IF(Main_M[[#This Row],[EPS]]&lt;&gt;0,Main_M[[#This Row],[Current Price]]/Main_M[[#This Row],[EPS]],""),"")</f>
        <v>-4.4469387755102039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-0.74907587362334827</v>
      </c>
      <c r="P41" s="1">
        <f>(Main_M[[#This Row],[P/B]]-VLOOKUP(Main_M[[#This Row],[Industry]], Mean_PB_M, 2, FALSE))/(VLOOKUP(Main_M[[#This Row],[Industry]], Mean_PB_M, 3, FALSE))</f>
        <v>-1.1329913307968498</v>
      </c>
      <c r="Q41" s="1">
        <f>(Main_M[[#This Row],[ROE]]-VLOOKUP(Main_M[[#This Row],[Industry]], Mean_ROE_M, 2, FALSE))/(VLOOKUP(Main_M[[#This Row],[Industry]], Mean_ROE_M, 3, FALSE))</f>
        <v>-2.5859320256308025</v>
      </c>
      <c r="R41" s="1">
        <f>(Main_M[[#This Row],[ROA]]-VLOOKUP(Main_M[[#This Row],[Industry]], Mean_ROA_M, 2, FALSE))/(VLOOKUP(Main_M[[#This Row],[Industry]], Mean_ROA_M, 3, FALSE))</f>
        <v>0.35988827046044702</v>
      </c>
      <c r="S41" s="1">
        <f>(Main_M[[#This Row],[A/E]]-VLOOKUP(Main_M[[#This Row],[Industry]], Mean_AE_M, 2, FALSE))/(VLOOKUP(Main_M[[#This Row],[Industry]], Mean_AE_M, 3, FALSE))</f>
        <v>-0.43640026386681419</v>
      </c>
      <c r="T41" s="1">
        <f>(Main_M[[#This Row],[P/E]]-VLOOKUP(Main_M[[#This Row],[Industry]], Mean_PE_M, 2, FALSE))/(VLOOKUP(Main_M[[#This Row],[Industry]], Mean_PE_M, 3, FALSE))</f>
        <v>-0.77717304961357314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t="s">
        <v>107</v>
      </c>
      <c r="B42" t="s">
        <v>180</v>
      </c>
      <c r="C42" s="2">
        <v>8596</v>
      </c>
      <c r="D42">
        <f>RTD("tos.rtd", , "LAST", Main_M[[#This Row],[Symbol]])</f>
        <v>54.69</v>
      </c>
      <c r="E42">
        <v>2.3199999999999998</v>
      </c>
      <c r="F42">
        <v>11.77</v>
      </c>
      <c r="G42">
        <v>1.77</v>
      </c>
      <c r="H42" s="1">
        <f>IF(ISNUMBER(Main_M[[#This Row],[Free CF]]),IF(Main_M[[#This Row],[Free CF]]&lt;&gt;0,Main_M[[#This Row],[Current Price]]/Main_M[[#This Row],[Free CF]],""),"")</f>
        <v>23.573275862068964</v>
      </c>
      <c r="I42" s="1">
        <f>IF(ISNUMBER(Main_M[[#This Row],[BVPS]]),IF(Main_M[[#This Row],[BVPS]]&lt;&gt;0,Main_M[[#This Row],[Current Price]]/Main_M[[#This Row],[BVPS]],""),"")</f>
        <v>4.6465590484282071</v>
      </c>
      <c r="J42">
        <v>15.92</v>
      </c>
      <c r="K42">
        <v>8.14</v>
      </c>
      <c r="L42">
        <v>1.47</v>
      </c>
      <c r="M42" s="1">
        <f>IF(ISNUMBER(Main_M[[#This Row],[EPS]]),IF(Main_M[[#This Row],[EPS]]&lt;&gt;0,Main_M[[#This Row],[Current Price]]/Main_M[[#This Row],[EPS]],""),"")</f>
        <v>30.898305084745761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1.1350536937301325</v>
      </c>
      <c r="P42" s="1">
        <f>(Main_M[[#This Row],[P/B]]-VLOOKUP(Main_M[[#This Row],[Industry]], Mean_PB_M, 2, FALSE))/(VLOOKUP(Main_M[[#This Row],[Industry]], Mean_PB_M, 3, FALSE))</f>
        <v>1.6182570562862129</v>
      </c>
      <c r="Q42" s="1">
        <f>(Main_M[[#This Row],[ROE]]-VLOOKUP(Main_M[[#This Row],[Industry]], Mean_ROE_M, 2, FALSE))/(VLOOKUP(Main_M[[#This Row],[Industry]], Mean_ROE_M, 3, FALSE))</f>
        <v>0.43993625863202696</v>
      </c>
      <c r="R42" s="1">
        <f>(Main_M[[#This Row],[ROA]]-VLOOKUP(Main_M[[#This Row],[Industry]], Mean_ROA_M, 2, FALSE))/(VLOOKUP(Main_M[[#This Row],[Industry]], Mean_ROA_M, 3, FALSE))</f>
        <v>1.213553314797396</v>
      </c>
      <c r="S42" s="1">
        <f>(Main_M[[#This Row],[A/E]]-VLOOKUP(Main_M[[#This Row],[Industry]], Mean_AE_M, 2, FALSE))/(VLOOKUP(Main_M[[#This Row],[Industry]], Mean_AE_M, 3, FALSE))</f>
        <v>-0.91106425786179535</v>
      </c>
      <c r="T42" s="1">
        <f>(Main_M[[#This Row],[P/E]]-VLOOKUP(Main_M[[#This Row],[Industry]], Mean_PE_M, 2, FALSE))/(VLOOKUP(Main_M[[#This Row],[Industry]], Mean_PE_M, 3, FALSE))</f>
        <v>0.2699490918243061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t="s">
        <v>107</v>
      </c>
      <c r="B43" t="s">
        <v>181</v>
      </c>
      <c r="C43" s="2">
        <v>2401</v>
      </c>
      <c r="D43">
        <f>RTD("tos.rtd", , "LAST", Main_M[[#This Row],[Symbol]])</f>
        <v>43.38</v>
      </c>
      <c r="E43">
        <v>2.77</v>
      </c>
      <c r="F43">
        <v>12.73</v>
      </c>
      <c r="G43">
        <v>0.75</v>
      </c>
      <c r="H43" s="1">
        <f>IF(ISNUMBER(Main_M[[#This Row],[Free CF]]),IF(Main_M[[#This Row],[Free CF]]&lt;&gt;0,Main_M[[#This Row],[Current Price]]/Main_M[[#This Row],[Free CF]],""),"")</f>
        <v>15.660649819494585</v>
      </c>
      <c r="I43" s="1">
        <f>IF(ISNUMBER(Main_M[[#This Row],[BVPS]]),IF(Main_M[[#This Row],[BVPS]]&lt;&gt;0,Main_M[[#This Row],[Current Price]]/Main_M[[#This Row],[BVPS]],""),"")</f>
        <v>3.4076983503534959</v>
      </c>
      <c r="J43">
        <v>5.77</v>
      </c>
      <c r="K43">
        <v>5.56</v>
      </c>
      <c r="L43">
        <v>3.79</v>
      </c>
      <c r="M43" s="1">
        <f>IF(ISNUMBER(Main_M[[#This Row],[EPS]]),IF(Main_M[[#This Row],[EPS]]&lt;&gt;0,Main_M[[#This Row],[Current Price]]/Main_M[[#This Row],[EPS]],""),"")</f>
        <v>57.84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0.20370304169937695</v>
      </c>
      <c r="P43" s="1">
        <f>(Main_M[[#This Row],[P/B]]-VLOOKUP(Main_M[[#This Row],[Industry]], Mean_PB_M, 2, FALSE))/(VLOOKUP(Main_M[[#This Row],[Industry]], Mean_PB_M, 3, FALSE))</f>
        <v>0.76355814972441693</v>
      </c>
      <c r="Q43" s="1">
        <f>(Main_M[[#This Row],[ROE]]-VLOOKUP(Main_M[[#This Row],[Industry]], Mean_ROE_M, 2, FALSE))/(VLOOKUP(Main_M[[#This Row],[Industry]], Mean_ROE_M, 3, FALSE))</f>
        <v>-4.2283290516469139E-2</v>
      </c>
      <c r="R43" s="1">
        <f>(Main_M[[#This Row],[ROA]]-VLOOKUP(Main_M[[#This Row],[Industry]], Mean_ROA_M, 2, FALSE))/(VLOOKUP(Main_M[[#This Row],[Industry]], Mean_ROA_M, 3, FALSE))</f>
        <v>0.17465906272695819</v>
      </c>
      <c r="S43" s="1">
        <f>(Main_M[[#This Row],[A/E]]-VLOOKUP(Main_M[[#This Row],[Industry]], Mean_AE_M, 2, FALSE))/(VLOOKUP(Main_M[[#This Row],[Industry]], Mean_AE_M, 3, FALSE))</f>
        <v>0.21263009526918034</v>
      </c>
      <c r="T43" s="1">
        <f>(Main_M[[#This Row],[P/E]]-VLOOKUP(Main_M[[#This Row],[Industry]], Mean_PE_M, 2, FALSE))/(VLOOKUP(Main_M[[#This Row],[Industry]], Mean_PE_M, 3, FALSE))</f>
        <v>1.0681115089564521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t="s">
        <v>107</v>
      </c>
      <c r="B44" t="s">
        <v>182</v>
      </c>
      <c r="C44" s="2">
        <v>2369</v>
      </c>
      <c r="D44">
        <f>RTD("tos.rtd", , "LAST", Main_M[[#This Row],[Symbol]])</f>
        <v>44</v>
      </c>
      <c r="E44">
        <v>2.77</v>
      </c>
      <c r="F44">
        <v>12.73</v>
      </c>
      <c r="G44">
        <v>0.75</v>
      </c>
      <c r="H44" s="1">
        <f>IF(ISNUMBER(Main_M[[#This Row],[Free CF]]),IF(Main_M[[#This Row],[Free CF]]&lt;&gt;0,Main_M[[#This Row],[Current Price]]/Main_M[[#This Row],[Free CF]],""),"")</f>
        <v>15.884476534296029</v>
      </c>
      <c r="I44" s="1">
        <f>IF(ISNUMBER(Main_M[[#This Row],[BVPS]]),IF(Main_M[[#This Row],[BVPS]]&lt;&gt;0,Main_M[[#This Row],[Current Price]]/Main_M[[#This Row],[BVPS]],""),"")</f>
        <v>3.4564021995286724</v>
      </c>
      <c r="J44">
        <v>5.77</v>
      </c>
      <c r="K44">
        <v>5.56</v>
      </c>
      <c r="L44">
        <v>3.79</v>
      </c>
      <c r="M44" s="1">
        <f>IF(ISNUMBER(Main_M[[#This Row],[EPS]]),IF(Main_M[[#This Row],[EPS]]&lt;&gt;0,Main_M[[#This Row],[Current Price]]/Main_M[[#This Row],[EPS]],""),"")</f>
        <v>58.666666666666664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0.23004842383301857</v>
      </c>
      <c r="P44" s="1">
        <f>(Main_M[[#This Row],[P/B]]-VLOOKUP(Main_M[[#This Row],[Industry]], Mean_PB_M, 2, FALSE))/(VLOOKUP(Main_M[[#This Row],[Industry]], Mean_PB_M, 3, FALSE))</f>
        <v>0.79715928559067373</v>
      </c>
      <c r="Q44" s="1">
        <f>(Main_M[[#This Row],[ROE]]-VLOOKUP(Main_M[[#This Row],[Industry]], Mean_ROE_M, 2, FALSE))/(VLOOKUP(Main_M[[#This Row],[Industry]], Mean_ROE_M, 3, FALSE))</f>
        <v>-4.2283290516469139E-2</v>
      </c>
      <c r="R44" s="1">
        <f>(Main_M[[#This Row],[ROA]]-VLOOKUP(Main_M[[#This Row],[Industry]], Mean_ROA_M, 2, FALSE))/(VLOOKUP(Main_M[[#This Row],[Industry]], Mean_ROA_M, 3, FALSE))</f>
        <v>0.17465906272695819</v>
      </c>
      <c r="S44" s="1">
        <f>(Main_M[[#This Row],[A/E]]-VLOOKUP(Main_M[[#This Row],[Industry]], Mean_AE_M, 2, FALSE))/(VLOOKUP(Main_M[[#This Row],[Industry]], Mean_AE_M, 3, FALSE))</f>
        <v>0.21263009526918034</v>
      </c>
      <c r="T44" s="1">
        <f>(Main_M[[#This Row],[P/E]]-VLOOKUP(Main_M[[#This Row],[Industry]], Mean_PE_M, 2, FALSE))/(VLOOKUP(Main_M[[#This Row],[Industry]], Mean_PE_M, 3, FALSE))</f>
        <v>1.0926019601661738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t="s">
        <v>106</v>
      </c>
      <c r="B45" t="s">
        <v>165</v>
      </c>
      <c r="C45" s="2">
        <v>5108</v>
      </c>
      <c r="D45">
        <f>RTD("tos.rtd", , "LAST", Main_M[[#This Row],[Symbol]])</f>
        <v>23.33</v>
      </c>
      <c r="E45">
        <v>1.07</v>
      </c>
      <c r="F45">
        <v>9.16</v>
      </c>
      <c r="G45">
        <v>2.57</v>
      </c>
      <c r="H45" s="1">
        <f>IF(ISNUMBER(Main_M[[#This Row],[Free CF]]),IF(Main_M[[#This Row],[Free CF]]&lt;&gt;0,Main_M[[#This Row],[Current Price]]/Main_M[[#This Row],[Free CF]],""),"")</f>
        <v>21.803738317757006</v>
      </c>
      <c r="I45" s="1">
        <f>IF(ISNUMBER(Main_M[[#This Row],[BVPS]]),IF(Main_M[[#This Row],[BVPS]]&lt;&gt;0,Main_M[[#This Row],[Current Price]]/Main_M[[#This Row],[BVPS]],""),"")</f>
        <v>2.5469432314410478</v>
      </c>
      <c r="J45">
        <v>28.67</v>
      </c>
      <c r="K45">
        <v>5.87</v>
      </c>
      <c r="L45">
        <v>5.42</v>
      </c>
      <c r="M45" s="1">
        <f>IF(ISNUMBER(Main_M[[#This Row],[EPS]]),IF(Main_M[[#This Row],[EPS]]&lt;&gt;0,Main_M[[#This Row],[Current Price]]/Main_M[[#This Row],[EPS]],""),"")</f>
        <v>9.0778210116731515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1.2192781640288568</v>
      </c>
      <c r="P45" s="1">
        <f>(Main_M[[#This Row],[P/B]]-VLOOKUP(Main_M[[#This Row],[Industry]], Mean_PB_M, 2, FALSE))/(VLOOKUP(Main_M[[#This Row],[Industry]], Mean_PB_M, 3, FALSE))</f>
        <v>0.77987698971538844</v>
      </c>
      <c r="Q45" s="1">
        <f>(Main_M[[#This Row],[ROE]]-VLOOKUP(Main_M[[#This Row],[Industry]], Mean_ROE_M, 2, FALSE))/(VLOOKUP(Main_M[[#This Row],[Industry]], Mean_ROE_M, 3, FALSE))</f>
        <v>1.1102274724375691</v>
      </c>
      <c r="R45" s="1">
        <f>(Main_M[[#This Row],[ROA]]-VLOOKUP(Main_M[[#This Row],[Industry]], Mean_ROA_M, 2, FALSE))/(VLOOKUP(Main_M[[#This Row],[Industry]], Mean_ROA_M, 3, FALSE))</f>
        <v>0.67642546164528727</v>
      </c>
      <c r="S45" s="1">
        <f>(Main_M[[#This Row],[A/E]]-VLOOKUP(Main_M[[#This Row],[Industry]], Mean_AE_M, 2, FALSE))/(VLOOKUP(Main_M[[#This Row],[Industry]], Mean_AE_M, 3, FALSE))</f>
        <v>2.036224592671815</v>
      </c>
      <c r="T45" s="1">
        <f>(Main_M[[#This Row],[P/E]]-VLOOKUP(Main_M[[#This Row],[Industry]], Mean_PE_M, 2, FALSE))/(VLOOKUP(Main_M[[#This Row],[Industry]], Mean_PE_M, 3, FALSE))</f>
        <v>-3.8526396683812185E-2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t="s">
        <v>106</v>
      </c>
      <c r="B46" t="s">
        <v>166</v>
      </c>
      <c r="C46" s="2">
        <v>8013</v>
      </c>
      <c r="D46">
        <f>RTD("tos.rtd", , "LAST", Main_M[[#This Row],[Symbol]])</f>
        <v>20.18</v>
      </c>
      <c r="E46">
        <v>8.15</v>
      </c>
      <c r="F46">
        <v>35.950000000000003</v>
      </c>
      <c r="G46">
        <v>3.9</v>
      </c>
      <c r="H46" s="1">
        <f>IF(ISNUMBER(Main_M[[#This Row],[Free CF]]),IF(Main_M[[#This Row],[Free CF]]&lt;&gt;0,Main_M[[#This Row],[Current Price]]/Main_M[[#This Row],[Free CF]],""),"")</f>
        <v>2.4760736196319018</v>
      </c>
      <c r="I46" s="1">
        <f>IF(ISNUMBER(Main_M[[#This Row],[BVPS]]),IF(Main_M[[#This Row],[BVPS]]&lt;&gt;0,Main_M[[#This Row],[Current Price]]/Main_M[[#This Row],[BVPS]],""),"")</f>
        <v>0.56133518776077884</v>
      </c>
      <c r="J46">
        <v>11.53</v>
      </c>
      <c r="K46">
        <v>3.64</v>
      </c>
      <c r="L46">
        <v>2.61</v>
      </c>
      <c r="M46" s="1">
        <f>IF(ISNUMBER(Main_M[[#This Row],[EPS]]),IF(Main_M[[#This Row],[EPS]]&lt;&gt;0,Main_M[[#This Row],[Current Price]]/Main_M[[#This Row],[EPS]],""),"")</f>
        <v>5.1743589743589746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-1.7927681733692495</v>
      </c>
      <c r="P46" s="1">
        <f>(Main_M[[#This Row],[P/B]]-VLOOKUP(Main_M[[#This Row],[Industry]], Mean_PB_M, 2, FALSE))/(VLOOKUP(Main_M[[#This Row],[Industry]], Mean_PB_M, 3, FALSE))</f>
        <v>-1.3293423219678016</v>
      </c>
      <c r="Q46" s="1">
        <f>(Main_M[[#This Row],[ROE]]-VLOOKUP(Main_M[[#This Row],[Industry]], Mean_ROE_M, 2, FALSE))/(VLOOKUP(Main_M[[#This Row],[Industry]], Mean_ROE_M, 3, FALSE))</f>
        <v>-0.1271487042724975</v>
      </c>
      <c r="R46" s="1">
        <f>(Main_M[[#This Row],[ROA]]-VLOOKUP(Main_M[[#This Row],[Industry]], Mean_ROA_M, 2, FALSE))/(VLOOKUP(Main_M[[#This Row],[Industry]], Mean_ROA_M, 3, FALSE))</f>
        <v>-0.25388303670563234</v>
      </c>
      <c r="S46" s="1">
        <f>(Main_M[[#This Row],[A/E]]-VLOOKUP(Main_M[[#This Row],[Industry]], Mean_AE_M, 2, FALSE))/(VLOOKUP(Main_M[[#This Row],[Industry]], Mean_AE_M, 3, FALSE))</f>
        <v>-0.39267399664623176</v>
      </c>
      <c r="T46" s="1">
        <f>(Main_M[[#This Row],[P/E]]-VLOOKUP(Main_M[[#This Row],[Industry]], Mean_PE_M, 2, FALSE))/(VLOOKUP(Main_M[[#This Row],[Industry]], Mean_PE_M, 3, FALSE))</f>
        <v>-0.20740692797410526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t="s">
        <v>106</v>
      </c>
      <c r="B47" t="s">
        <v>167</v>
      </c>
      <c r="C47" s="2">
        <v>3937</v>
      </c>
      <c r="D47">
        <f>RTD("tos.rtd", , "LAST", Main_M[[#This Row],[Symbol]])</f>
        <v>33.24</v>
      </c>
      <c r="E47">
        <v>2.17</v>
      </c>
      <c r="F47">
        <v>35.119999999999997</v>
      </c>
      <c r="G47">
        <v>-1.04</v>
      </c>
      <c r="H47" s="1">
        <f>IF(ISNUMBER(Main_M[[#This Row],[Free CF]]),IF(Main_M[[#This Row],[Free CF]]&lt;&gt;0,Main_M[[#This Row],[Current Price]]/Main_M[[#This Row],[Free CF]],""),"")</f>
        <v>15.317972350230416</v>
      </c>
      <c r="I47" s="1">
        <f>IF(ISNUMBER(Main_M[[#This Row],[BVPS]]),IF(Main_M[[#This Row],[BVPS]]&lt;&gt;0,Main_M[[#This Row],[Current Price]]/Main_M[[#This Row],[BVPS]],""),"")</f>
        <v>0.94646924829157186</v>
      </c>
      <c r="J47">
        <v>-0.87</v>
      </c>
      <c r="K47">
        <v>0.59</v>
      </c>
      <c r="L47">
        <v>3.38</v>
      </c>
      <c r="M47" s="1">
        <f>IF(ISNUMBER(Main_M[[#This Row],[EPS]]),IF(Main_M[[#This Row],[EPS]]&lt;&gt;0,Main_M[[#This Row],[Current Price]]/Main_M[[#This Row],[EPS]],""),"")</f>
        <v>-31.961538461538463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0.20852865378901916</v>
      </c>
      <c r="P47" s="1">
        <f>(Main_M[[#This Row],[P/B]]-VLOOKUP(Main_M[[#This Row],[Industry]], Mean_PB_M, 2, FALSE))/(VLOOKUP(Main_M[[#This Row],[Industry]], Mean_PB_M, 3, FALSE))</f>
        <v>-0.92023227598265533</v>
      </c>
      <c r="Q47" s="1">
        <f>(Main_M[[#This Row],[ROE]]-VLOOKUP(Main_M[[#This Row],[Industry]], Mean_ROE_M, 2, FALSE))/(VLOOKUP(Main_M[[#This Row],[Industry]], Mean_ROE_M, 3, FALSE))</f>
        <v>-1.0223333361980997</v>
      </c>
      <c r="R47" s="1">
        <f>(Main_M[[#This Row],[ROA]]-VLOOKUP(Main_M[[#This Row],[Industry]], Mean_ROA_M, 2, FALSE))/(VLOOKUP(Main_M[[#This Row],[Industry]], Mean_ROA_M, 3, FALSE))</f>
        <v>-1.5262780680824508</v>
      </c>
      <c r="S47" s="1">
        <f>(Main_M[[#This Row],[A/E]]-VLOOKUP(Main_M[[#This Row],[Industry]], Mean_AE_M, 2, FALSE))/(VLOOKUP(Main_M[[#This Row],[Industry]], Mean_AE_M, 3, FALSE))</f>
        <v>0.27289607943024369</v>
      </c>
      <c r="T47" s="1">
        <f>(Main_M[[#This Row],[P/E]]-VLOOKUP(Main_M[[#This Row],[Industry]], Mean_PE_M, 2, FALSE))/(VLOOKUP(Main_M[[#This Row],[Industry]], Mean_PE_M, 3, FALSE))</f>
        <v>-1.8140653324788898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8" spans="1:26" x14ac:dyDescent="0.25">
      <c r="A48" t="s">
        <v>106</v>
      </c>
      <c r="B48" t="s">
        <v>168</v>
      </c>
      <c r="C48" s="2">
        <v>5677</v>
      </c>
      <c r="D48">
        <f>RTD("tos.rtd", , "LAST", Main_M[[#This Row],[Symbol]])</f>
        <v>34.619999999999997</v>
      </c>
      <c r="E48">
        <v>4.87</v>
      </c>
      <c r="F48">
        <v>21.31</v>
      </c>
      <c r="G48">
        <v>1.48</v>
      </c>
      <c r="H48" s="1">
        <f>IF(ISNUMBER(Main_M[[#This Row],[Free CF]]),IF(Main_M[[#This Row],[Free CF]]&lt;&gt;0,Main_M[[#This Row],[Current Price]]/Main_M[[#This Row],[Free CF]],""),"")</f>
        <v>7.1088295687884999</v>
      </c>
      <c r="I48" s="1">
        <f>IF(ISNUMBER(Main_M[[#This Row],[BVPS]]),IF(Main_M[[#This Row],[BVPS]]&lt;&gt;0,Main_M[[#This Row],[Current Price]]/Main_M[[#This Row],[BVPS]],""),"")</f>
        <v>1.6245893946503989</v>
      </c>
      <c r="J48">
        <v>7.72</v>
      </c>
      <c r="K48">
        <v>6.1</v>
      </c>
      <c r="L48">
        <v>3.79</v>
      </c>
      <c r="M48" s="1">
        <f>IF(ISNUMBER(Main_M[[#This Row],[EPS]]),IF(Main_M[[#This Row],[EPS]]&lt;&gt;0,Main_M[[#This Row],[Current Price]]/Main_M[[#This Row],[EPS]],""),"")</f>
        <v>23.391891891891891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-1.0707939562735833</v>
      </c>
      <c r="P48" s="1">
        <f>(Main_M[[#This Row],[P/B]]-VLOOKUP(Main_M[[#This Row],[Industry]], Mean_PB_M, 2, FALSE))/(VLOOKUP(Main_M[[#This Row],[Industry]], Mean_PB_M, 3, FALSE))</f>
        <v>-0.19989670275923074</v>
      </c>
      <c r="Q48" s="1">
        <f>(Main_M[[#This Row],[ROE]]-VLOOKUP(Main_M[[#This Row],[Industry]], Mean_ROE_M, 2, FALSE))/(VLOOKUP(Main_M[[#This Row],[Industry]], Mean_ROE_M, 3, FALSE))</f>
        <v>-0.40220140166254142</v>
      </c>
      <c r="R48" s="1">
        <f>(Main_M[[#This Row],[ROA]]-VLOOKUP(Main_M[[#This Row],[Industry]], Mean_ROA_M, 2, FALSE))/(VLOOKUP(Main_M[[#This Row],[Industry]], Mean_ROA_M, 3, FALSE))</f>
        <v>0.77237656237206365</v>
      </c>
      <c r="S48" s="1">
        <f>(Main_M[[#This Row],[A/E]]-VLOOKUP(Main_M[[#This Row],[Industry]], Mean_AE_M, 2, FALSE))/(VLOOKUP(Main_M[[#This Row],[Industry]], Mean_AE_M, 3, FALSE))</f>
        <v>0.62729053552291247</v>
      </c>
      <c r="T48" s="1">
        <f>(Main_M[[#This Row],[P/E]]-VLOOKUP(Main_M[[#This Row],[Industry]], Mean_PE_M, 2, FALSE))/(VLOOKUP(Main_M[[#This Row],[Industry]], Mean_PE_M, 3, FALSE))</f>
        <v>0.58076178187922367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9" spans="1:26" x14ac:dyDescent="0.25">
      <c r="A49" t="s">
        <v>106</v>
      </c>
      <c r="B49" t="s">
        <v>169</v>
      </c>
      <c r="C49" s="2">
        <v>8426</v>
      </c>
      <c r="D49">
        <f>RTD("tos.rtd", , "LAST", Main_M[[#This Row],[Symbol]])</f>
        <v>17.39</v>
      </c>
      <c r="E49">
        <v>0.51</v>
      </c>
      <c r="F49">
        <v>1.76</v>
      </c>
      <c r="G49">
        <v>0.21</v>
      </c>
      <c r="H49" s="1">
        <f>IF(ISNUMBER(Main_M[[#This Row],[Free CF]]),IF(Main_M[[#This Row],[Free CF]]&lt;&gt;0,Main_M[[#This Row],[Current Price]]/Main_M[[#This Row],[Free CF]],""),"")</f>
        <v>34.098039215686278</v>
      </c>
      <c r="I49" s="1">
        <f>IF(ISNUMBER(Main_M[[#This Row],[BVPS]]),IF(Main_M[[#This Row],[BVPS]]&lt;&gt;0,Main_M[[#This Row],[Current Price]]/Main_M[[#This Row],[BVPS]],""),"")</f>
        <v>9.8806818181818183</v>
      </c>
      <c r="J49">
        <v>12.03</v>
      </c>
      <c r="K49">
        <v>6.53</v>
      </c>
      <c r="L49">
        <v>2.13</v>
      </c>
      <c r="M49" s="1">
        <f>IF(ISNUMBER(Main_M[[#This Row],[EPS]]),IF(Main_M[[#This Row],[EPS]]&lt;&gt;0,Main_M[[#This Row],[Current Price]]/Main_M[[#This Row],[EPS]],""),"")</f>
        <v>82.80952380952381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3.1352366912931644</v>
      </c>
      <c r="P49" s="1">
        <f>(Main_M[[#This Row],[P/B]]-VLOOKUP(Main_M[[#This Row],[Industry]], Mean_PB_M, 2, FALSE))/(VLOOKUP(Main_M[[#This Row],[Industry]], Mean_PB_M, 3, FALSE))</f>
        <v>8.5701672754655682</v>
      </c>
      <c r="Q49" s="1">
        <f>(Main_M[[#This Row],[ROE]]-VLOOKUP(Main_M[[#This Row],[Industry]], Mean_ROE_M, 2, FALSE))/(VLOOKUP(Main_M[[#This Row],[Industry]], Mean_ROE_M, 3, FALSE))</f>
        <v>-9.1052549759368384E-2</v>
      </c>
      <c r="R49" s="1">
        <f>(Main_M[[#This Row],[ROA]]-VLOOKUP(Main_M[[#This Row],[Industry]], Mean_ROA_M, 2, FALSE))/(VLOOKUP(Main_M[[#This Row],[Industry]], Mean_ROA_M, 3, FALSE))</f>
        <v>0.9517634028612546</v>
      </c>
      <c r="S49" s="1">
        <f>(Main_M[[#This Row],[A/E]]-VLOOKUP(Main_M[[#This Row],[Industry]], Mean_AE_M, 2, FALSE))/(VLOOKUP(Main_M[[#This Row],[Industry]], Mean_AE_M, 3, FALSE))</f>
        <v>-0.80757482329130736</v>
      </c>
      <c r="T49" s="1">
        <f>(Main_M[[#This Row],[P/E]]-VLOOKUP(Main_M[[#This Row],[Industry]], Mean_PE_M, 2, FALSE))/(VLOOKUP(Main_M[[#This Row],[Industry]], Mean_PE_M, 3, FALSE))</f>
        <v>3.1514237097623745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0" spans="1:26" x14ac:dyDescent="0.25">
      <c r="A50" t="s">
        <v>106</v>
      </c>
      <c r="B50" t="s">
        <v>170</v>
      </c>
      <c r="C50" s="2">
        <v>4984</v>
      </c>
      <c r="D50">
        <f>RTD("tos.rtd", , "LAST", Main_M[[#This Row],[Symbol]])</f>
        <v>6.33</v>
      </c>
      <c r="E50">
        <v>0.31</v>
      </c>
      <c r="F50">
        <v>2.4300000000000002</v>
      </c>
      <c r="G50">
        <v>0.14000000000000001</v>
      </c>
      <c r="H50" s="1">
        <f>IF(ISNUMBER(Main_M[[#This Row],[Free CF]]),IF(Main_M[[#This Row],[Free CF]]&lt;&gt;0,Main_M[[#This Row],[Current Price]]/Main_M[[#This Row],[Free CF]],""),"")</f>
        <v>20.419354838709676</v>
      </c>
      <c r="I50" s="1">
        <f>IF(ISNUMBER(Main_M[[#This Row],[BVPS]]),IF(Main_M[[#This Row],[BVPS]]&lt;&gt;0,Main_M[[#This Row],[Current Price]]/Main_M[[#This Row],[BVPS]],""),"")</f>
        <v>2.6049382716049383</v>
      </c>
      <c r="J50">
        <v>6.1</v>
      </c>
      <c r="K50">
        <v>6.16</v>
      </c>
      <c r="L50">
        <v>1.84</v>
      </c>
      <c r="M50" s="1">
        <f>IF(ISNUMBER(Main_M[[#This Row],[EPS]]),IF(Main_M[[#This Row],[EPS]]&lt;&gt;0,Main_M[[#This Row],[Current Price]]/Main_M[[#This Row],[EPS]],""),"")</f>
        <v>45.214285714285708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1.003534190157898</v>
      </c>
      <c r="P50" s="1">
        <f>(Main_M[[#This Row],[P/B]]-VLOOKUP(Main_M[[#This Row],[Industry]], Mean_PB_M, 2, FALSE))/(VLOOKUP(Main_M[[#This Row],[Industry]], Mean_PB_M, 3, FALSE))</f>
        <v>0.84148243046934279</v>
      </c>
      <c r="Q50" s="1">
        <f>(Main_M[[#This Row],[ROE]]-VLOOKUP(Main_M[[#This Row],[Industry]], Mean_ROE_M, 2, FALSE))/(VLOOKUP(Main_M[[#This Row],[Industry]], Mean_ROE_M, 3, FALSE))</f>
        <v>-0.5191529422850798</v>
      </c>
      <c r="R50" s="1">
        <f>(Main_M[[#This Row],[ROA]]-VLOOKUP(Main_M[[#This Row],[Industry]], Mean_ROA_M, 2, FALSE))/(VLOOKUP(Main_M[[#This Row],[Industry]], Mean_ROA_M, 3, FALSE))</f>
        <v>0.79740728430078811</v>
      </c>
      <c r="S50" s="1">
        <f>(Main_M[[#This Row],[A/E]]-VLOOKUP(Main_M[[#This Row],[Industry]], Mean_AE_M, 2, FALSE))/(VLOOKUP(Main_M[[#This Row],[Industry]], Mean_AE_M, 3, FALSE))</f>
        <v>-1.0582440727227072</v>
      </c>
      <c r="T50" s="1">
        <f>(Main_M[[#This Row],[P/E]]-VLOOKUP(Main_M[[#This Row],[Industry]], Mean_PE_M, 2, FALSE))/(VLOOKUP(Main_M[[#This Row],[Industry]], Mean_PE_M, 3, FALSE))</f>
        <v>1.5248922556797693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1" spans="1:26" x14ac:dyDescent="0.25">
      <c r="A51" t="s">
        <v>106</v>
      </c>
      <c r="B51" t="s">
        <v>171</v>
      </c>
      <c r="C51" s="2">
        <v>5401</v>
      </c>
      <c r="D51">
        <f>RTD("tos.rtd", , "LAST", Main_M[[#This Row],[Symbol]])</f>
        <v>59.85</v>
      </c>
      <c r="E51">
        <v>3.79</v>
      </c>
      <c r="F51">
        <v>53.85</v>
      </c>
      <c r="G51">
        <v>-0.46</v>
      </c>
      <c r="H51" s="1">
        <f>IF(ISNUMBER(Main_M[[#This Row],[Free CF]]),IF(Main_M[[#This Row],[Free CF]]&lt;&gt;0,Main_M[[#This Row],[Current Price]]/Main_M[[#This Row],[Free CF]],""),"")</f>
        <v>15.791556728232191</v>
      </c>
      <c r="I51" s="1">
        <f>IF(ISNUMBER(Main_M[[#This Row],[BVPS]]),IF(Main_M[[#This Row],[BVPS]]&lt;&gt;0,Main_M[[#This Row],[Current Price]]/Main_M[[#This Row],[BVPS]],""),"")</f>
        <v>1.1114206128133706</v>
      </c>
      <c r="J51">
        <v>-0.69</v>
      </c>
      <c r="K51">
        <v>0.85</v>
      </c>
      <c r="L51">
        <v>2.2799999999999998</v>
      </c>
      <c r="M51" s="1">
        <f>IF(ISNUMBER(Main_M[[#This Row],[EPS]]),IF(Main_M[[#This Row],[EPS]]&lt;&gt;0,Main_M[[#This Row],[Current Price]]/Main_M[[#This Row],[EPS]],""),"")</f>
        <v>-130.10869565217391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0.28233260856000503</v>
      </c>
      <c r="P51" s="1">
        <f>(Main_M[[#This Row],[P/B]]-VLOOKUP(Main_M[[#This Row],[Industry]], Mean_PB_M, 2, FALSE))/(VLOOKUP(Main_M[[#This Row],[Industry]], Mean_PB_M, 3, FALSE))</f>
        <v>-0.74501209360818532</v>
      </c>
      <c r="Q51" s="1">
        <f>(Main_M[[#This Row],[ROE]]-VLOOKUP(Main_M[[#This Row],[Industry]], Mean_ROE_M, 2, FALSE))/(VLOOKUP(Main_M[[#This Row],[Industry]], Mean_ROE_M, 3, FALSE))</f>
        <v>-1.0093387205733733</v>
      </c>
      <c r="R51" s="1">
        <f>(Main_M[[#This Row],[ROA]]-VLOOKUP(Main_M[[#This Row],[Industry]], Mean_ROA_M, 2, FALSE))/(VLOOKUP(Main_M[[#This Row],[Industry]], Mean_ROA_M, 3, FALSE))</f>
        <v>-1.417811606391312</v>
      </c>
      <c r="S51" s="1">
        <f>(Main_M[[#This Row],[A/E]]-VLOOKUP(Main_M[[#This Row],[Industry]], Mean_AE_M, 2, FALSE))/(VLOOKUP(Main_M[[#This Row],[Industry]], Mean_AE_M, 3, FALSE))</f>
        <v>-0.67791831496472132</v>
      </c>
      <c r="T51" s="1">
        <f>(Main_M[[#This Row],[P/E]]-VLOOKUP(Main_M[[#This Row],[Industry]], Mean_PE_M, 2, FALSE))/(VLOOKUP(Main_M[[#This Row],[Industry]], Mean_PE_M, 3, FALSE))</f>
        <v>-6.0603328489912691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2" spans="1:26" x14ac:dyDescent="0.25">
      <c r="A52" t="s">
        <v>106</v>
      </c>
      <c r="B52" t="s">
        <v>172</v>
      </c>
      <c r="C52" s="2">
        <v>3258</v>
      </c>
      <c r="D52">
        <f>RTD("tos.rtd", , "LAST", Main_M[[#This Row],[Symbol]])</f>
        <v>51.25</v>
      </c>
      <c r="E52">
        <v>3.43</v>
      </c>
      <c r="F52">
        <v>15.56</v>
      </c>
      <c r="G52">
        <v>5.75</v>
      </c>
      <c r="H52" s="1">
        <f>IF(ISNUMBER(Main_M[[#This Row],[Free CF]]),IF(Main_M[[#This Row],[Free CF]]&lt;&gt;0,Main_M[[#This Row],[Current Price]]/Main_M[[#This Row],[Free CF]],""),"")</f>
        <v>14.941690962099125</v>
      </c>
      <c r="I52" s="1">
        <f>IF(ISNUMBER(Main_M[[#This Row],[BVPS]]),IF(Main_M[[#This Row],[BVPS]]&lt;&gt;0,Main_M[[#This Row],[Current Price]]/Main_M[[#This Row],[BVPS]],""),"")</f>
        <v>3.2937017994858611</v>
      </c>
      <c r="J52">
        <v>41.84</v>
      </c>
      <c r="K52">
        <v>7.41</v>
      </c>
      <c r="L52">
        <v>7.31</v>
      </c>
      <c r="M52" s="1">
        <f>IF(ISNUMBER(Main_M[[#This Row],[EPS]]),IF(Main_M[[#This Row],[EPS]]&lt;&gt;0,Main_M[[#This Row],[Current Price]]/Main_M[[#This Row],[EPS]],""),"")</f>
        <v>8.9130434782608692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>
        <f>(Main_M[[#This Row],[P/FCF]]-VLOOKUP(Main_M[[#This Row],[Industry]], Mean_PFCF_M, 2, FALSE))/(VLOOKUP(Main_M[[#This Row],[Industry]], Mean_PFCF_M, 3, FALSE))</f>
        <v>0.14988851310705278</v>
      </c>
      <c r="P52" s="1">
        <f>(Main_M[[#This Row],[P/B]]-VLOOKUP(Main_M[[#This Row],[Industry]], Mean_PB_M, 2, FALSE))/(VLOOKUP(Main_M[[#This Row],[Industry]], Mean_PB_M, 3, FALSE))</f>
        <v>1.5731239741331404</v>
      </c>
      <c r="Q52" s="1">
        <f>(Main_M[[#This Row],[ROE]]-VLOOKUP(Main_M[[#This Row],[Industry]], Mean_ROE_M, 2, FALSE))/(VLOOKUP(Main_M[[#This Row],[Industry]], Mean_ROE_M, 3, FALSE))</f>
        <v>2.0610001823133905</v>
      </c>
      <c r="R52" s="1">
        <f>(Main_M[[#This Row],[ROA]]-VLOOKUP(Main_M[[#This Row],[Industry]], Mean_ROA_M, 2, FALSE))/(VLOOKUP(Main_M[[#This Row],[Industry]], Mean_ROA_M, 3, FALSE))</f>
        <v>1.3188806578158776</v>
      </c>
      <c r="S52" s="1">
        <f>(Main_M[[#This Row],[A/E]]-VLOOKUP(Main_M[[#This Row],[Industry]], Mean_AE_M, 2, FALSE))/(VLOOKUP(Main_M[[#This Row],[Industry]], Mean_AE_M, 3, FALSE))</f>
        <v>3.6698965975867996</v>
      </c>
      <c r="T52" s="1">
        <f>(Main_M[[#This Row],[P/E]]-VLOOKUP(Main_M[[#This Row],[Industry]], Mean_PE_M, 2, FALSE))/(VLOOKUP(Main_M[[#This Row],[Industry]], Mean_PE_M, 3, FALSE))</f>
        <v>-4.5655380422185476E-2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71"/>
  <sheetViews>
    <sheetView workbookViewId="0">
      <selection activeCell="B24" sqref="B24"/>
    </sheetView>
  </sheetViews>
  <sheetFormatPr defaultRowHeight="15" x14ac:dyDescent="0.25"/>
  <cols>
    <col min="1" max="1" width="36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205</v>
      </c>
      <c r="C2" s="2">
        <v>532</v>
      </c>
      <c r="D2">
        <f>RTD("tos.rtd", , "LAST", Main_S[[#This Row],[Symbol]])</f>
        <v>28.39</v>
      </c>
      <c r="E2">
        <v>-1.1599999999999999</v>
      </c>
      <c r="F2">
        <v>7.79</v>
      </c>
      <c r="G2">
        <v>-1.62</v>
      </c>
      <c r="H2" s="1">
        <f>IF(ISNUMBER(Main_S[[#This Row],[Free CF]]),IF(Main_S[[#This Row],[Free CF]]&lt;&gt;0,Main_S[[#This Row],[Current Price]]/Main_S[[#This Row],[Free CF]],""),"")</f>
        <v>-24.474137931034484</v>
      </c>
      <c r="I2" s="1">
        <f>IF(ISNUMBER(Main_S[[#This Row],[BVPS]]),IF(Main_S[[#This Row],[BVPS]]&lt;&gt;0,Main_S[[#This Row],[Current Price]]/Main_S[[#This Row],[BVPS]],""),"")</f>
        <v>3.6444159178433888</v>
      </c>
      <c r="J2">
        <v>-18.920000000000002</v>
      </c>
      <c r="K2">
        <v>-9.83</v>
      </c>
      <c r="L2">
        <v>2.2599999999999998</v>
      </c>
      <c r="M2" s="1">
        <f>IF(ISNUMBER(Main_S[[#This Row],[EPS]]),IF(Main_S[[#This Row],[EPS]]&lt;&gt;0,Main_S[[#This Row],[Current Price]]/Main_S[[#This Row],[EPS]],""),"")</f>
        <v>-17.52469135802469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-6.6984620047589223</v>
      </c>
      <c r="P2" s="1">
        <f>(Main_S[[#This Row],[P/B]]-VLOOKUP(Main_S[[#This Row],[Industry]], Mean_PB_S, 2, FALSE))/(VLOOKUP(Main_S[[#This Row],[Industry]], Mean_PB_S, 3, FALSE))</f>
        <v>0.69582830621296909</v>
      </c>
      <c r="Q2" s="1">
        <f>(Main_S[[#This Row],[ROE]]-VLOOKUP(Main_S[[#This Row],[Industry]], Mean_ROE_S, 2, FALSE))/(VLOOKUP(Main_S[[#This Row],[Industry]], Mean_ROE_S, 3, FALSE))</f>
        <v>-1.7033630989725819</v>
      </c>
      <c r="R2" s="1">
        <f>(Main_S[[#This Row],[ROA]]-VLOOKUP(Main_S[[#This Row],[Industry]], Mean_ROA_S, 2, FALSE))/(VLOOKUP(Main_S[[#This Row],[Industry]], Mean_ROA_S, 3, FALSE))</f>
        <v>-1.7467498764684346</v>
      </c>
      <c r="S2" s="1">
        <f>(Main_S[[#This Row],[A/E]]-VLOOKUP(Main_S[[#This Row],[Industry]], Mean_AE_S, 2, FALSE))/(VLOOKUP(Main_S[[#This Row],[Industry]], Mean_AE_S, 3, FALSE))</f>
        <v>-0.50972128985973542</v>
      </c>
      <c r="T2" s="1">
        <f>(Main_S[[#This Row],[P/E]]-VLOOKUP(Main_S[[#This Row],[Industry]], Mean_PE_S, 2, FALSE))/(VLOOKUP(Main_S[[#This Row],[Industry]], Mean_PE_S, 3, FALSE))</f>
        <v>0.28190118817141357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t="s">
        <v>105</v>
      </c>
      <c r="B3" t="s">
        <v>206</v>
      </c>
      <c r="C3" s="2">
        <v>409</v>
      </c>
      <c r="D3">
        <f>RTD("tos.rtd", , "LAST", Main_S[[#This Row],[Symbol]])</f>
        <v>14.34</v>
      </c>
      <c r="E3">
        <v>2.19</v>
      </c>
      <c r="F3">
        <v>10.95</v>
      </c>
      <c r="G3">
        <v>-0.24</v>
      </c>
      <c r="H3" s="1">
        <f>IF(ISNUMBER(Main_S[[#This Row],[Free CF]]),IF(Main_S[[#This Row],[Free CF]]&lt;&gt;0,Main_S[[#This Row],[Current Price]]/Main_S[[#This Row],[Free CF]],""),"")</f>
        <v>6.5479452054794525</v>
      </c>
      <c r="I3" s="1">
        <f>IF(ISNUMBER(Main_S[[#This Row],[BVPS]]),IF(Main_S[[#This Row],[BVPS]]&lt;&gt;0,Main_S[[#This Row],[Current Price]]/Main_S[[#This Row],[BVPS]],""),"")</f>
        <v>1.3095890410958906</v>
      </c>
      <c r="J3">
        <v>-2.14</v>
      </c>
      <c r="K3">
        <v>-1.2</v>
      </c>
      <c r="L3">
        <v>3.16</v>
      </c>
      <c r="M3" s="1">
        <f>IF(ISNUMBER(Main_S[[#This Row],[EPS]]),IF(Main_S[[#This Row],[EPS]]&lt;&gt;0,Main_S[[#This Row],[Current Price]]/Main_S[[#This Row],[EPS]],""),"")</f>
        <v>-59.75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1.2546118883130803</v>
      </c>
      <c r="P3" s="1">
        <f>(Main_S[[#This Row],[P/B]]-VLOOKUP(Main_S[[#This Row],[Industry]], Mean_PB_S, 2, FALSE))/(VLOOKUP(Main_S[[#This Row],[Industry]], Mean_PB_S, 3, FALSE))</f>
        <v>-0.60132551273731749</v>
      </c>
      <c r="Q3" s="1">
        <f>(Main_S[[#This Row],[ROE]]-VLOOKUP(Main_S[[#This Row],[Industry]], Mean_ROE_S, 2, FALSE))/(VLOOKUP(Main_S[[#This Row],[Industry]], Mean_ROE_S, 3, FALSE))</f>
        <v>0.52615584024426099</v>
      </c>
      <c r="R3" s="1">
        <f>(Main_S[[#This Row],[ROA]]-VLOOKUP(Main_S[[#This Row],[Industry]], Mean_ROA_S, 2, FALSE))/(VLOOKUP(Main_S[[#This Row],[Industry]], Mean_ROA_S, 3, FALSE))</f>
        <v>-0.37426567914619568</v>
      </c>
      <c r="S3" s="1">
        <f>(Main_S[[#This Row],[A/E]]-VLOOKUP(Main_S[[#This Row],[Industry]], Mean_AE_S, 2, FALSE))/(VLOOKUP(Main_S[[#This Row],[Industry]], Mean_AE_S, 3, FALSE))</f>
        <v>1.4177961928031271</v>
      </c>
      <c r="T3" s="1">
        <f>(Main_S[[#This Row],[P/E]]-VLOOKUP(Main_S[[#This Row],[Industry]], Mean_PE_S, 2, FALSE))/(VLOOKUP(Main_S[[#This Row],[Industry]], Mean_PE_S, 3, FALSE))</f>
        <v>-0.88961811356213649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t="s">
        <v>105</v>
      </c>
      <c r="B4" t="s">
        <v>207</v>
      </c>
      <c r="C4" s="2">
        <v>315</v>
      </c>
      <c r="D4">
        <f>RTD("tos.rtd", , "LAST", Main_S[[#This Row],[Symbol]])</f>
        <v>4.4400000000000004</v>
      </c>
      <c r="E4">
        <v>-2.41</v>
      </c>
      <c r="F4">
        <v>4.6399999999999997</v>
      </c>
      <c r="G4">
        <v>-0.05</v>
      </c>
      <c r="H4" s="1">
        <f>IF(ISNUMBER(Main_S[[#This Row],[Free CF]]),IF(Main_S[[#This Row],[Free CF]]&lt;&gt;0,Main_S[[#This Row],[Current Price]]/Main_S[[#This Row],[Free CF]],""),"")</f>
        <v>-1.8423236514522823</v>
      </c>
      <c r="I4" s="1">
        <f>IF(ISNUMBER(Main_S[[#This Row],[BVPS]]),IF(Main_S[[#This Row],[BVPS]]&lt;&gt;0,Main_S[[#This Row],[Current Price]]/Main_S[[#This Row],[BVPS]],""),"")</f>
        <v>0.95689655172413812</v>
      </c>
      <c r="J4">
        <v>0.24</v>
      </c>
      <c r="K4">
        <v>2.11</v>
      </c>
      <c r="L4">
        <v>2.95</v>
      </c>
      <c r="M4" s="1">
        <f>IF(ISNUMBER(Main_S[[#This Row],[EPS]]),IF(Main_S[[#This Row],[EPS]]&lt;&gt;0,Main_S[[#This Row],[Current Price]]/Main_S[[#This Row],[EPS]],""),"")</f>
        <v>-88.8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-0.8963857706216114</v>
      </c>
      <c r="P4" s="1">
        <f>(Main_S[[#This Row],[P/B]]-VLOOKUP(Main_S[[#This Row],[Industry]], Mean_PB_S, 2, FALSE))/(VLOOKUP(Main_S[[#This Row],[Industry]], Mean_PB_S, 3, FALSE))</f>
        <v>-0.79726998042348773</v>
      </c>
      <c r="Q4" s="1">
        <f>(Main_S[[#This Row],[ROE]]-VLOOKUP(Main_S[[#This Row],[Industry]], Mean_ROE_S, 2, FALSE))/(VLOOKUP(Main_S[[#This Row],[Industry]], Mean_ROE_S, 3, FALSE))</f>
        <v>0.84238081493651884</v>
      </c>
      <c r="R4" s="1">
        <f>(Main_S[[#This Row],[ROA]]-VLOOKUP(Main_S[[#This Row],[Industry]], Mean_ROA_S, 2, FALSE))/(VLOOKUP(Main_S[[#This Row],[Industry]], Mean_ROA_S, 3, FALSE))</f>
        <v>0.15214482990787279</v>
      </c>
      <c r="S4" s="1">
        <f>(Main_S[[#This Row],[A/E]]-VLOOKUP(Main_S[[#This Row],[Industry]], Mean_AE_S, 2, FALSE))/(VLOOKUP(Main_S[[#This Row],[Industry]], Mean_AE_S, 3, FALSE))</f>
        <v>0.96804211351512603</v>
      </c>
      <c r="T4" s="1">
        <f>(Main_S[[#This Row],[P/E]]-VLOOKUP(Main_S[[#This Row],[Industry]], Mean_PE_S, 2, FALSE))/(VLOOKUP(Main_S[[#This Row],[Industry]], Mean_PE_S, 3, FALSE))</f>
        <v>-1.6955953061486813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t="s">
        <v>105</v>
      </c>
      <c r="B5" t="s">
        <v>208</v>
      </c>
      <c r="C5" s="2">
        <v>1334</v>
      </c>
      <c r="D5">
        <f>RTD("tos.rtd", , "LAST", Main_S[[#This Row],[Symbol]])</f>
        <v>57.74</v>
      </c>
      <c r="E5">
        <v>1.39</v>
      </c>
      <c r="F5">
        <v>10.84</v>
      </c>
      <c r="G5">
        <v>3.15</v>
      </c>
      <c r="H5" s="1">
        <f>IF(ISNUMBER(Main_S[[#This Row],[Free CF]]),IF(Main_S[[#This Row],[Free CF]]&lt;&gt;0,Main_S[[#This Row],[Current Price]]/Main_S[[#This Row],[Free CF]],""),"")</f>
        <v>41.539568345323744</v>
      </c>
      <c r="I5" s="1">
        <f>IF(ISNUMBER(Main_S[[#This Row],[BVPS]]),IF(Main_S[[#This Row],[BVPS]]&lt;&gt;0,Main_S[[#This Row],[Current Price]]/Main_S[[#This Row],[BVPS]],""),"")</f>
        <v>5.3265682656826572</v>
      </c>
      <c r="J5">
        <v>32.24</v>
      </c>
      <c r="K5">
        <v>10.02</v>
      </c>
      <c r="L5">
        <v>2.12</v>
      </c>
      <c r="M5" s="1">
        <f>IF(ISNUMBER(Main_S[[#This Row],[EPS]]),IF(Main_S[[#This Row],[EPS]]&lt;&gt;0,Main_S[[#This Row],[Current Price]]/Main_S[[#This Row],[EPS]],""),"")</f>
        <v>18.330158730158733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10.22534938666479</v>
      </c>
      <c r="P5" s="1">
        <f>(Main_S[[#This Row],[P/B]]-VLOOKUP(Main_S[[#This Row],[Industry]], Mean_PB_S, 2, FALSE))/(VLOOKUP(Main_S[[#This Row],[Industry]], Mean_PB_S, 3, FALSE))</f>
        <v>1.6303774001036133</v>
      </c>
      <c r="Q5" s="1">
        <f>(Main_S[[#This Row],[ROE]]-VLOOKUP(Main_S[[#This Row],[Industry]], Mean_ROE_S, 2, FALSE))/(VLOOKUP(Main_S[[#This Row],[Industry]], Mean_ROE_S, 3, FALSE))</f>
        <v>5.0941451805467075</v>
      </c>
      <c r="R5" s="1">
        <f>(Main_S[[#This Row],[ROA]]-VLOOKUP(Main_S[[#This Row],[Industry]], Mean_ROA_S, 2, FALSE))/(VLOOKUP(Main_S[[#This Row],[Industry]], Mean_ROA_S, 3, FALSE))</f>
        <v>1.4101228137802841</v>
      </c>
      <c r="S5" s="1">
        <f>(Main_S[[#This Row],[A/E]]-VLOOKUP(Main_S[[#This Row],[Industry]], Mean_AE_S, 2, FALSE))/(VLOOKUP(Main_S[[#This Row],[Industry]], Mean_AE_S, 3, FALSE))</f>
        <v>-0.80955734271840218</v>
      </c>
      <c r="T5" s="1">
        <f>(Main_S[[#This Row],[P/E]]-VLOOKUP(Main_S[[#This Row],[Industry]], Mean_PE_S, 2, FALSE))/(VLOOKUP(Main_S[[#This Row],[Industry]], Mean_PE_S, 3, FALSE))</f>
        <v>1.2766754193137717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t="s">
        <v>105</v>
      </c>
      <c r="B6" t="s">
        <v>209</v>
      </c>
      <c r="C6" s="2">
        <v>1981</v>
      </c>
      <c r="D6">
        <f>RTD("tos.rtd", , "LAST", Main_S[[#This Row],[Symbol]])</f>
        <v>6.07</v>
      </c>
      <c r="E6">
        <v>1.38</v>
      </c>
      <c r="F6">
        <v>-1.36</v>
      </c>
      <c r="G6">
        <v>-4.9000000000000004</v>
      </c>
      <c r="H6" s="1">
        <f>IF(ISNUMBER(Main_S[[#This Row],[Free CF]]),IF(Main_S[[#This Row],[Free CF]]&lt;&gt;0,Main_S[[#This Row],[Current Price]]/Main_S[[#This Row],[Free CF]],""),"")</f>
        <v>4.3985507246376816</v>
      </c>
      <c r="I6" s="1">
        <f>IF(ISNUMBER(Main_S[[#This Row],[BVPS]]),IF(Main_S[[#This Row],[BVPS]]&lt;&gt;0,Main_S[[#This Row],[Current Price]]/Main_S[[#This Row],[BVPS]],""),"")</f>
        <v>-4.4632352941176467</v>
      </c>
      <c r="J6">
        <v>-6379.7</v>
      </c>
      <c r="K6">
        <v>6.47</v>
      </c>
      <c r="L6">
        <v>-9.41</v>
      </c>
      <c r="M6" s="1">
        <f>IF(ISNUMBER(Main_S[[#This Row],[EPS]]),IF(Main_S[[#This Row],[EPS]]&lt;&gt;0,Main_S[[#This Row],[Current Price]]/Main_S[[#This Row],[EPS]],""),"")</f>
        <v>-1.2387755102040816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0.70357561340299102</v>
      </c>
      <c r="P6" s="1">
        <f>(Main_S[[#This Row],[P/B]]-VLOOKUP(Main_S[[#This Row],[Industry]], Mean_PB_S, 2, FALSE))/(VLOOKUP(Main_S[[#This Row],[Industry]], Mean_PB_S, 3, FALSE))</f>
        <v>-3.8085188199270954</v>
      </c>
      <c r="Q6" s="1">
        <f>(Main_S[[#This Row],[ROE]]-VLOOKUP(Main_S[[#This Row],[Industry]], Mean_ROE_S, 2, FALSE))/(VLOOKUP(Main_S[[#This Row],[Industry]], Mean_ROE_S, 3, FALSE))</f>
        <v>-846.84516752040929</v>
      </c>
      <c r="R6" s="1">
        <f>(Main_S[[#This Row],[ROA]]-VLOOKUP(Main_S[[#This Row],[Industry]], Mean_ROA_S, 2, FALSE))/(VLOOKUP(Main_S[[#This Row],[Industry]], Mean_ROA_S, 3, FALSE))</f>
        <v>0.84554356690960641</v>
      </c>
      <c r="S6" s="1">
        <f>(Main_S[[#This Row],[A/E]]-VLOOKUP(Main_S[[#This Row],[Industry]], Mean_AE_S, 2, FALSE))/(VLOOKUP(Main_S[[#This Row],[Industry]], Mean_AE_S, 3, FALSE))</f>
        <v>-25.50319798172151</v>
      </c>
      <c r="T6" s="1">
        <f>(Main_S[[#This Row],[P/E]]-VLOOKUP(Main_S[[#This Row],[Industry]], Mean_PE_S, 2, FALSE))/(VLOOKUP(Main_S[[#This Row],[Industry]], Mean_PE_S, 3, FALSE))</f>
        <v>0.73374548193138511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t="s">
        <v>105</v>
      </c>
      <c r="B7" t="s">
        <v>210</v>
      </c>
      <c r="C7" s="2">
        <v>634</v>
      </c>
      <c r="D7">
        <f>RTD("tos.rtd", , "LAST", Main_S[[#This Row],[Symbol]])</f>
        <v>11.99</v>
      </c>
      <c r="E7">
        <v>-4.82</v>
      </c>
      <c r="F7">
        <v>16.600000000000001</v>
      </c>
      <c r="G7">
        <v>-0.7</v>
      </c>
      <c r="H7" s="1">
        <f>IF(ISNUMBER(Main_S[[#This Row],[Free CF]]),IF(Main_S[[#This Row],[Free CF]]&lt;&gt;0,Main_S[[#This Row],[Current Price]]/Main_S[[#This Row],[Free CF]],""),"")</f>
        <v>-2.4875518672199171</v>
      </c>
      <c r="I7" s="1">
        <f>IF(ISNUMBER(Main_S[[#This Row],[BVPS]]),IF(Main_S[[#This Row],[BVPS]]&lt;&gt;0,Main_S[[#This Row],[Current Price]]/Main_S[[#This Row],[BVPS]],""),"")</f>
        <v>0.72228915662650595</v>
      </c>
      <c r="J7">
        <v>-3.58</v>
      </c>
      <c r="K7">
        <v>-0.65</v>
      </c>
      <c r="L7">
        <v>2</v>
      </c>
      <c r="M7" s="1">
        <f>IF(ISNUMBER(Main_S[[#This Row],[EPS]]),IF(Main_S[[#This Row],[EPS]]&lt;&gt;0,Main_S[[#This Row],[Current Price]]/Main_S[[#This Row],[EPS]],""),"")</f>
        <v>-17.12857142857143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-1.0618017310944599</v>
      </c>
      <c r="P7" s="1">
        <f>(Main_S[[#This Row],[P/B]]-VLOOKUP(Main_S[[#This Row],[Industry]], Mean_PB_S, 2, FALSE))/(VLOOKUP(Main_S[[#This Row],[Industry]], Mean_PB_S, 3, FALSE))</f>
        <v>-0.92761021315577663</v>
      </c>
      <c r="Q7" s="1">
        <f>(Main_S[[#This Row],[ROE]]-VLOOKUP(Main_S[[#This Row],[Industry]], Mean_ROE_S, 2, FALSE))/(VLOOKUP(Main_S[[#This Row],[Industry]], Mean_ROE_S, 3, FALSE))</f>
        <v>0.33482644379180254</v>
      </c>
      <c r="R7" s="1">
        <f>(Main_S[[#This Row],[ROA]]-VLOOKUP(Main_S[[#This Row],[Industry]], Mean_ROA_S, 2, FALSE))/(VLOOKUP(Main_S[[#This Row],[Industry]], Mean_ROA_S, 3, FALSE))</f>
        <v>-0.28679565498313297</v>
      </c>
      <c r="S7" s="1">
        <f>(Main_S[[#This Row],[A/E]]-VLOOKUP(Main_S[[#This Row],[Industry]], Mean_AE_S, 2, FALSE))/(VLOOKUP(Main_S[[#This Row],[Industry]], Mean_AE_S, 3, FALSE))</f>
        <v>-1.0665596737401173</v>
      </c>
      <c r="T7" s="1">
        <f>(Main_S[[#This Row],[P/E]]-VLOOKUP(Main_S[[#This Row],[Industry]], Mean_PE_S, 2, FALSE))/(VLOOKUP(Main_S[[#This Row],[Industry]], Mean_PE_S, 3, FALSE))</f>
        <v>0.29289133029424724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t="s">
        <v>108</v>
      </c>
      <c r="B8" t="s">
        <v>240</v>
      </c>
      <c r="C8" s="2">
        <v>1174</v>
      </c>
      <c r="D8">
        <f>RTD("tos.rtd", , "LAST", Main_S[[#This Row],[Symbol]])</f>
        <v>2.74</v>
      </c>
      <c r="E8">
        <v>-0.89</v>
      </c>
      <c r="F8">
        <v>-4.25</v>
      </c>
      <c r="G8">
        <v>-1.06</v>
      </c>
      <c r="H8" s="1">
        <f>IF(ISNUMBER(Main_S[[#This Row],[Free CF]]),IF(Main_S[[#This Row],[Free CF]]&lt;&gt;0,Main_S[[#This Row],[Current Price]]/Main_S[[#This Row],[Free CF]],""),"")</f>
        <v>-3.0786516853932588</v>
      </c>
      <c r="I8" s="1">
        <f>IF(ISNUMBER(Main_S[[#This Row],[BVPS]]),IF(Main_S[[#This Row],[BVPS]]&lt;&gt;0,Main_S[[#This Row],[Current Price]]/Main_S[[#This Row],[BVPS]],""),"")</f>
        <v>-0.64470588235294124</v>
      </c>
      <c r="J8">
        <v>19.54</v>
      </c>
      <c r="K8">
        <v>-0.06</v>
      </c>
      <c r="L8">
        <v>-4.68</v>
      </c>
      <c r="M8" s="1">
        <f>IF(ISNUMBER(Main_S[[#This Row],[EPS]]),IF(Main_S[[#This Row],[EPS]]&lt;&gt;0,Main_S[[#This Row],[Current Price]]/Main_S[[#This Row],[EPS]],""),"")</f>
        <v>-2.5849056603773586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-0.33069514241963488</v>
      </c>
      <c r="P8" s="1">
        <f>(Main_S[[#This Row],[P/B]]-VLOOKUP(Main_S[[#This Row],[Industry]], Mean_PB_S, 2, FALSE))/(VLOOKUP(Main_S[[#This Row],[Industry]], Mean_PB_S, 3, FALSE))</f>
        <v>-0.95792599779018872</v>
      </c>
      <c r="Q8" s="1">
        <f>(Main_S[[#This Row],[ROE]]-VLOOKUP(Main_S[[#This Row],[Industry]], Mean_ROE_S, 2, FALSE))/(VLOOKUP(Main_S[[#This Row],[Industry]], Mean_ROE_S, 3, FALSE))</f>
        <v>1.4837159865268492</v>
      </c>
      <c r="R8" s="1">
        <f>(Main_S[[#This Row],[ROA]]-VLOOKUP(Main_S[[#This Row],[Industry]], Mean_ROA_S, 2, FALSE))/(VLOOKUP(Main_S[[#This Row],[Industry]], Mean_ROA_S, 3, FALSE))</f>
        <v>-0.34843599811268228</v>
      </c>
      <c r="S8" s="1">
        <f>(Main_S[[#This Row],[A/E]]-VLOOKUP(Main_S[[#This Row],[Industry]], Mean_AE_S, 2, FALSE))/(VLOOKUP(Main_S[[#This Row],[Industry]], Mean_AE_S, 3, FALSE))</f>
        <v>-6.5331984756038075</v>
      </c>
      <c r="T8" s="1">
        <f>(Main_S[[#This Row],[P/E]]-VLOOKUP(Main_S[[#This Row],[Industry]], Mean_PE_S, 2, FALSE))/(VLOOKUP(Main_S[[#This Row],[Industry]], Mean_PE_S, 3, FALSE))</f>
        <v>-0.56248921184667688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t="s">
        <v>108</v>
      </c>
      <c r="B9" t="s">
        <v>241</v>
      </c>
      <c r="C9" s="2">
        <v>264</v>
      </c>
      <c r="D9">
        <f>RTD("tos.rtd", , "LAST", Main_S[[#This Row],[Symbol]])</f>
        <v>5.71</v>
      </c>
      <c r="E9">
        <v>0.15</v>
      </c>
      <c r="F9">
        <v>1.02</v>
      </c>
      <c r="G9">
        <v>-0.24</v>
      </c>
      <c r="H9" s="1">
        <f>IF(ISNUMBER(Main_S[[#This Row],[Free CF]]),IF(Main_S[[#This Row],[Free CF]]&lt;&gt;0,Main_S[[#This Row],[Current Price]]/Main_S[[#This Row],[Free CF]],""),"")</f>
        <v>38.06666666666667</v>
      </c>
      <c r="I9" s="1">
        <f>IF(ISNUMBER(Main_S[[#This Row],[BVPS]]),IF(Main_S[[#This Row],[BVPS]]&lt;&gt;0,Main_S[[#This Row],[Current Price]]/Main_S[[#This Row],[BVPS]],""),"")</f>
        <v>5.5980392156862742</v>
      </c>
      <c r="J9">
        <v>-19.829999999999998</v>
      </c>
      <c r="K9">
        <v>-8.76</v>
      </c>
      <c r="L9">
        <v>1.49</v>
      </c>
      <c r="M9" s="1">
        <f>IF(ISNUMBER(Main_S[[#This Row],[EPS]]),IF(Main_S[[#This Row],[EPS]]&lt;&gt;0,Main_S[[#This Row],[Current Price]]/Main_S[[#This Row],[EPS]],""),"")</f>
        <v>-23.791666666666668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1.4128834836642321</v>
      </c>
      <c r="P9" s="1">
        <f>(Main_S[[#This Row],[P/B]]-VLOOKUP(Main_S[[#This Row],[Industry]], Mean_PB_S, 2, FALSE))/(VLOOKUP(Main_S[[#This Row],[Industry]], Mean_PB_S, 3, FALSE))</f>
        <v>1.8863055141050149</v>
      </c>
      <c r="Q9" s="1">
        <f>(Main_S[[#This Row],[ROE]]-VLOOKUP(Main_S[[#This Row],[Industry]], Mean_ROE_S, 2, FALSE))/(VLOOKUP(Main_S[[#This Row],[Industry]], Mean_ROE_S, 3, FALSE))</f>
        <v>-1.3901134074494859</v>
      </c>
      <c r="R9" s="1">
        <f>(Main_S[[#This Row],[ROA]]-VLOOKUP(Main_S[[#This Row],[Industry]], Mean_ROA_S, 2, FALSE))/(VLOOKUP(Main_S[[#This Row],[Industry]], Mean_ROA_S, 3, FALSE))</f>
        <v>-2.1331081835678845</v>
      </c>
      <c r="S9" s="1">
        <f>(Main_S[[#This Row],[A/E]]-VLOOKUP(Main_S[[#This Row],[Industry]], Mean_AE_S, 2, FALSE))/(VLOOKUP(Main_S[[#This Row],[Industry]], Mean_AE_S, 3, FALSE))</f>
        <v>-0.70424907979428453</v>
      </c>
      <c r="T9" s="1">
        <f>(Main_S[[#This Row],[P/E]]-VLOOKUP(Main_S[[#This Row],[Industry]], Mean_PE_S, 2, FALSE))/(VLOOKUP(Main_S[[#This Row],[Industry]], Mean_PE_S, 3, FALSE))</f>
        <v>-2.1268756519632661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t="s">
        <v>108</v>
      </c>
      <c r="B10" t="s">
        <v>242</v>
      </c>
      <c r="C10" s="2">
        <v>1378</v>
      </c>
      <c r="D10">
        <f>RTD("tos.rtd", , "LAST", Main_S[[#This Row],[Symbol]])</f>
        <v>26.15</v>
      </c>
      <c r="E10">
        <v>0.76</v>
      </c>
      <c r="F10">
        <v>5.57</v>
      </c>
      <c r="G10">
        <v>0.46</v>
      </c>
      <c r="H10" s="1">
        <f>IF(ISNUMBER(Main_S[[#This Row],[Free CF]]),IF(Main_S[[#This Row],[Free CF]]&lt;&gt;0,Main_S[[#This Row],[Current Price]]/Main_S[[#This Row],[Free CF]],""),"")</f>
        <v>34.407894736842103</v>
      </c>
      <c r="I10" s="1">
        <f>IF(ISNUMBER(Main_S[[#This Row],[BVPS]]),IF(Main_S[[#This Row],[BVPS]]&lt;&gt;0,Main_S[[#This Row],[Current Price]]/Main_S[[#This Row],[BVPS]],""),"")</f>
        <v>4.6947935368043083</v>
      </c>
      <c r="J10">
        <v>9.8699999999999992</v>
      </c>
      <c r="K10">
        <v>4.1399999999999997</v>
      </c>
      <c r="L10">
        <v>2.83</v>
      </c>
      <c r="M10" s="1">
        <f>IF(ISNUMBER(Main_S[[#This Row],[EPS]]),IF(Main_S[[#This Row],[EPS]]&lt;&gt;0,Main_S[[#This Row],[Current Price]]/Main_S[[#This Row],[EPS]],""),"")</f>
        <v>56.847826086956516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1.257838953932495</v>
      </c>
      <c r="P10" s="1">
        <f>(Main_S[[#This Row],[P/B]]-VLOOKUP(Main_S[[#This Row],[Industry]], Mean_PB_S, 2, FALSE))/(VLOOKUP(Main_S[[#This Row],[Industry]], Mean_PB_S, 3, FALSE))</f>
        <v>1.4747814517712552</v>
      </c>
      <c r="Q10" s="1">
        <f>(Main_S[[#This Row],[ROE]]-VLOOKUP(Main_S[[#This Row],[Industry]], Mean_ROE_S, 2, FALSE))/(VLOOKUP(Main_S[[#This Row],[Industry]], Mean_ROE_S, 3, FALSE))</f>
        <v>0.77785034670589026</v>
      </c>
      <c r="R10" s="1">
        <f>(Main_S[[#This Row],[ROA]]-VLOOKUP(Main_S[[#This Row],[Industry]], Mean_ROA_S, 2, FALSE))/(VLOOKUP(Main_S[[#This Row],[Industry]], Mean_ROA_S, 3, FALSE))</f>
        <v>0.51312988452086361</v>
      </c>
      <c r="S10" s="1">
        <f>(Main_S[[#This Row],[A/E]]-VLOOKUP(Main_S[[#This Row],[Industry]], Mean_AE_S, 2, FALSE))/(VLOOKUP(Main_S[[#This Row],[Industry]], Mean_AE_S, 3, FALSE))</f>
        <v>0.56168158315300276</v>
      </c>
      <c r="T10" s="1">
        <f>(Main_S[[#This Row],[P/E]]-VLOOKUP(Main_S[[#This Row],[Industry]], Mean_PE_S, 2, FALSE))/(VLOOKUP(Main_S[[#This Row],[Industry]], Mean_PE_S, 3, FALSE))</f>
        <v>3.8217616229244573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" spans="1:26" x14ac:dyDescent="0.25">
      <c r="A11" t="s">
        <v>108</v>
      </c>
      <c r="B11" t="s">
        <v>243</v>
      </c>
      <c r="C11" s="2">
        <v>1820</v>
      </c>
      <c r="D11">
        <f>RTD("tos.rtd", , "LAST", Main_S[[#This Row],[Symbol]])</f>
        <v>1.99</v>
      </c>
      <c r="E11">
        <v>0.28000000000000003</v>
      </c>
      <c r="F11">
        <v>1.9</v>
      </c>
      <c r="G11">
        <v>0.11</v>
      </c>
      <c r="H11" s="1">
        <f>IF(ISNUMBER(Main_S[[#This Row],[Free CF]]),IF(Main_S[[#This Row],[Free CF]]&lt;&gt;0,Main_S[[#This Row],[Current Price]]/Main_S[[#This Row],[Free CF]],""),"")</f>
        <v>7.1071428571428568</v>
      </c>
      <c r="I11" s="1">
        <f>IF(ISNUMBER(Main_S[[#This Row],[BVPS]]),IF(Main_S[[#This Row],[BVPS]]&lt;&gt;0,Main_S[[#This Row],[Current Price]]/Main_S[[#This Row],[BVPS]],""),"")</f>
        <v>1.0473684210526317</v>
      </c>
      <c r="J11">
        <v>6.19</v>
      </c>
      <c r="K11">
        <v>2.64</v>
      </c>
      <c r="L11">
        <v>3.42</v>
      </c>
      <c r="M11" s="1">
        <f>IF(ISNUMBER(Main_S[[#This Row],[EPS]]),IF(Main_S[[#This Row],[EPS]]&lt;&gt;0,Main_S[[#This Row],[Current Price]]/Main_S[[#This Row],[EPS]],""),"")</f>
        <v>18.09090909090909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0.10093922973630531</v>
      </c>
      <c r="P11" s="1">
        <f>(Main_S[[#This Row],[P/B]]-VLOOKUP(Main_S[[#This Row],[Industry]], Mean_PB_S, 2, FALSE))/(VLOOKUP(Main_S[[#This Row],[Industry]], Mean_PB_S, 3, FALSE))</f>
        <v>-0.18700695838781703</v>
      </c>
      <c r="Q11" s="1">
        <f>(Main_S[[#This Row],[ROE]]-VLOOKUP(Main_S[[#This Row],[Industry]], Mean_ROE_S, 2, FALSE))/(VLOOKUP(Main_S[[#This Row],[Industry]], Mean_ROE_S, 3, FALSE))</f>
        <v>0.50922722834589762</v>
      </c>
      <c r="R11" s="1">
        <f>(Main_S[[#This Row],[ROA]]-VLOOKUP(Main_S[[#This Row],[Industry]], Mean_ROA_S, 2, FALSE))/(VLOOKUP(Main_S[[#This Row],[Industry]], Mean_ROA_S, 3, FALSE))</f>
        <v>0.20542778358031158</v>
      </c>
      <c r="S11" s="1">
        <f>(Main_S[[#This Row],[A/E]]-VLOOKUP(Main_S[[#This Row],[Industry]], Mean_AE_S, 2, FALSE))/(VLOOKUP(Main_S[[#This Row],[Industry]], Mean_AE_S, 3, FALSE))</f>
        <v>1.1190689645999425</v>
      </c>
      <c r="T11" s="1">
        <f>(Main_S[[#This Row],[P/E]]-VLOOKUP(Main_S[[#This Row],[Industry]], Mean_PE_S, 2, FALSE))/(VLOOKUP(Main_S[[#This Row],[Industry]], Mean_PE_S, 3, FALSE))</f>
        <v>0.96273023235239219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t="s">
        <v>108</v>
      </c>
      <c r="B12" t="s">
        <v>244</v>
      </c>
      <c r="C12" s="2">
        <v>532</v>
      </c>
      <c r="D12">
        <f>RTD("tos.rtd", , "LAST", Main_S[[#This Row],[Symbol]])</f>
        <v>17.399999999999999</v>
      </c>
      <c r="E12">
        <v>0.78</v>
      </c>
      <c r="F12">
        <v>14.7</v>
      </c>
      <c r="G12">
        <v>-0.24</v>
      </c>
      <c r="H12" s="1">
        <f>IF(ISNUMBER(Main_S[[#This Row],[Free CF]]),IF(Main_S[[#This Row],[Free CF]]&lt;&gt;0,Main_S[[#This Row],[Current Price]]/Main_S[[#This Row],[Free CF]],""),"")</f>
        <v>22.307692307692307</v>
      </c>
      <c r="I12" s="1">
        <f>IF(ISNUMBER(Main_S[[#This Row],[BVPS]]),IF(Main_S[[#This Row],[BVPS]]&lt;&gt;0,Main_S[[#This Row],[Current Price]]/Main_S[[#This Row],[BVPS]],""),"")</f>
        <v>1.1836734693877551</v>
      </c>
      <c r="J12">
        <v>-1.66</v>
      </c>
      <c r="K12">
        <v>1.26</v>
      </c>
      <c r="L12">
        <v>2.25</v>
      </c>
      <c r="M12" s="1">
        <f>IF(ISNUMBER(Main_S[[#This Row],[EPS]]),IF(Main_S[[#This Row],[EPS]]&lt;&gt;0,Main_S[[#This Row],[Current Price]]/Main_S[[#This Row],[EPS]],""),"")</f>
        <v>-72.5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0.74507941841908421</v>
      </c>
      <c r="P12" s="1">
        <f>(Main_S[[#This Row],[P/B]]-VLOOKUP(Main_S[[#This Row],[Industry]], Mean_PB_S, 2, FALSE))/(VLOOKUP(Main_S[[#This Row],[Industry]], Mean_PB_S, 3, FALSE))</f>
        <v>-0.12490557388199695</v>
      </c>
      <c r="Q12" s="1">
        <f>(Main_S[[#This Row],[ROE]]-VLOOKUP(Main_S[[#This Row],[Industry]], Mean_ROE_S, 2, FALSE))/(VLOOKUP(Main_S[[#This Row],[Industry]], Mean_ROE_S, 3, FALSE))</f>
        <v>-6.3786760547021704E-2</v>
      </c>
      <c r="R12" s="1">
        <f>(Main_S[[#This Row],[ROA]]-VLOOKUP(Main_S[[#This Row],[Industry]], Mean_ROA_S, 2, FALSE))/(VLOOKUP(Main_S[[#This Row],[Industry]], Mean_ROA_S, 3, FALSE))</f>
        <v>-7.7658149284996397E-2</v>
      </c>
      <c r="S12" s="1">
        <f>(Main_S[[#This Row],[A/E]]-VLOOKUP(Main_S[[#This Row],[Industry]], Mean_AE_S, 2, FALSE))/(VLOOKUP(Main_S[[#This Row],[Industry]], Mean_AE_S, 3, FALSE))</f>
        <v>1.3741445459400764E-2</v>
      </c>
      <c r="T12" s="1">
        <f>(Main_S[[#This Row],[P/E]]-VLOOKUP(Main_S[[#This Row],[Industry]], Mean_PE_S, 2, FALSE))/(VLOOKUP(Main_S[[#This Row],[Industry]], Mean_PE_S, 3, FALSE))</f>
        <v>-5.7200059826510703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" spans="1:26" x14ac:dyDescent="0.25">
      <c r="A13" t="s">
        <v>108</v>
      </c>
      <c r="B13" t="s">
        <v>245</v>
      </c>
      <c r="C13" s="2">
        <v>1725</v>
      </c>
      <c r="D13">
        <f>RTD("tos.rtd", , "LAST", Main_S[[#This Row],[Symbol]])</f>
        <v>37.64</v>
      </c>
      <c r="E13">
        <v>1.32</v>
      </c>
      <c r="F13">
        <v>0.22</v>
      </c>
      <c r="G13">
        <v>2.62</v>
      </c>
      <c r="H13" s="1">
        <f>IF(ISNUMBER(Main_S[[#This Row],[Free CF]]),IF(Main_S[[#This Row],[Free CF]]&lt;&gt;0,Main_S[[#This Row],[Current Price]]/Main_S[[#This Row],[Free CF]],""),"")</f>
        <v>28.515151515151516</v>
      </c>
      <c r="I13" s="1">
        <f>IF(ISNUMBER(Main_S[[#This Row],[BVPS]]),IF(Main_S[[#This Row],[BVPS]]&lt;&gt;0,Main_S[[#This Row],[Current Price]]/Main_S[[#This Row],[BVPS]],""),"")</f>
        <v>171.09090909090909</v>
      </c>
      <c r="J13">
        <v>-275.39</v>
      </c>
      <c r="K13">
        <v>5.41</v>
      </c>
      <c r="L13">
        <v>153.80000000000001</v>
      </c>
      <c r="M13" s="1">
        <f>IF(ISNUMBER(Main_S[[#This Row],[EPS]]),IF(Main_S[[#This Row],[EPS]]&lt;&gt;0,Main_S[[#This Row],[Current Price]]/Main_S[[#This Row],[EPS]],""),"")</f>
        <v>14.366412213740457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1.0081274061343504</v>
      </c>
      <c r="P13" s="1">
        <f>(Main_S[[#This Row],[P/B]]-VLOOKUP(Main_S[[#This Row],[Industry]], Mean_PB_S, 2, FALSE))/(VLOOKUP(Main_S[[#This Row],[Industry]], Mean_PB_S, 3, FALSE))</f>
        <v>77.285833782674473</v>
      </c>
      <c r="Q13" s="1">
        <f>(Main_S[[#This Row],[ROE]]-VLOOKUP(Main_S[[#This Row],[Industry]], Mean_ROE_S, 2, FALSE))/(VLOOKUP(Main_S[[#This Row],[Industry]], Mean_ROE_S, 3, FALSE))</f>
        <v>-20.044821050949412</v>
      </c>
      <c r="R13" s="1">
        <f>(Main_S[[#This Row],[ROA]]-VLOOKUP(Main_S[[#This Row],[Industry]], Mean_ROA_S, 2, FALSE))/(VLOOKUP(Main_S[[#This Row],[Industry]], Mean_ROA_S, 3, FALSE))</f>
        <v>0.77365099665053116</v>
      </c>
      <c r="S13" s="1">
        <f>(Main_S[[#This Row],[A/E]]-VLOOKUP(Main_S[[#This Row],[Industry]], Mean_AE_S, 2, FALSE))/(VLOOKUP(Main_S[[#This Row],[Industry]], Mean_AE_S, 3, FALSE))</f>
        <v>143.18672052729625</v>
      </c>
      <c r="T13" s="1">
        <f>(Main_S[[#This Row],[P/E]]-VLOOKUP(Main_S[[#This Row],[Industry]], Mean_PE_S, 2, FALSE))/(VLOOKUP(Main_S[[#This Row],[Industry]], Mean_PE_S, 3, FALSE))</f>
        <v>0.68798047640563509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" spans="1:26" x14ac:dyDescent="0.25">
      <c r="A14" t="s">
        <v>108</v>
      </c>
      <c r="B14" t="s">
        <v>246</v>
      </c>
      <c r="C14" s="2">
        <v>477</v>
      </c>
      <c r="D14">
        <f>RTD("tos.rtd", , "LAST", Main_S[[#This Row],[Symbol]])</f>
        <v>7.37</v>
      </c>
      <c r="E14">
        <v>-0.41</v>
      </c>
      <c r="F14">
        <v>5.51</v>
      </c>
      <c r="G14">
        <v>0.12</v>
      </c>
      <c r="H14" s="1">
        <f>IF(ISNUMBER(Main_S[[#This Row],[Free CF]]),IF(Main_S[[#This Row],[Free CF]]&lt;&gt;0,Main_S[[#This Row],[Current Price]]/Main_S[[#This Row],[Free CF]],""),"")</f>
        <v>-17.975609756097562</v>
      </c>
      <c r="I14" s="1">
        <f>IF(ISNUMBER(Main_S[[#This Row],[BVPS]]),IF(Main_S[[#This Row],[BVPS]]&lt;&gt;0,Main_S[[#This Row],[Current Price]]/Main_S[[#This Row],[BVPS]],""),"")</f>
        <v>1.337568058076225</v>
      </c>
      <c r="J14">
        <v>2.21</v>
      </c>
      <c r="K14">
        <v>2.63</v>
      </c>
      <c r="L14">
        <v>2.3199999999999998</v>
      </c>
      <c r="M14" s="1">
        <f>IF(ISNUMBER(Main_S[[#This Row],[EPS]]),IF(Main_S[[#This Row],[EPS]]&lt;&gt;0,Main_S[[#This Row],[Current Price]]/Main_S[[#This Row],[EPS]],""),"")</f>
        <v>61.416666666666671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-0.96197030873384082</v>
      </c>
      <c r="P14" s="1">
        <f>(Main_S[[#This Row],[P/B]]-VLOOKUP(Main_S[[#This Row],[Industry]], Mean_PB_S, 2, FALSE))/(VLOOKUP(Main_S[[#This Row],[Industry]], Mean_PB_S, 3, FALSE))</f>
        <v>-5.4790290976183875E-2</v>
      </c>
      <c r="Q14" s="1">
        <f>(Main_S[[#This Row],[ROE]]-VLOOKUP(Main_S[[#This Row],[Industry]], Mean_ROE_S, 2, FALSE))/(VLOOKUP(Main_S[[#This Row],[Industry]], Mean_ROE_S, 3, FALSE))</f>
        <v>0.21870548620655761</v>
      </c>
      <c r="R14" s="1">
        <f>(Main_S[[#This Row],[ROA]]-VLOOKUP(Main_S[[#This Row],[Industry]], Mean_ROA_S, 2, FALSE))/(VLOOKUP(Main_S[[#This Row],[Industry]], Mean_ROA_S, 3, FALSE))</f>
        <v>0.20337643624070784</v>
      </c>
      <c r="S14" s="1">
        <f>(Main_S[[#This Row],[A/E]]-VLOOKUP(Main_S[[#This Row],[Industry]], Mean_AE_S, 2, FALSE))/(VLOOKUP(Main_S[[#This Row],[Industry]], Mean_AE_S, 3, FALSE))</f>
        <v>7.9872151732766364E-2</v>
      </c>
      <c r="T14" s="1">
        <f>(Main_S[[#This Row],[P/E]]-VLOOKUP(Main_S[[#This Row],[Industry]], Mean_PE_S, 2, FALSE))/(VLOOKUP(Main_S[[#This Row],[Industry]], Mean_PE_S, 3, FALSE))</f>
        <v>4.1587971677600528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" spans="1:26" x14ac:dyDescent="0.25">
      <c r="A15" t="s">
        <v>108</v>
      </c>
      <c r="B15" t="s">
        <v>247</v>
      </c>
      <c r="C15" s="2">
        <v>1072</v>
      </c>
      <c r="D15">
        <f>RTD("tos.rtd", , "LAST", Main_S[[#This Row],[Symbol]])</f>
        <v>37.56</v>
      </c>
      <c r="E15">
        <v>-0.45</v>
      </c>
      <c r="F15">
        <v>61.45</v>
      </c>
      <c r="G15">
        <v>-12.9</v>
      </c>
      <c r="H15" s="1">
        <f>IF(ISNUMBER(Main_S[[#This Row],[Free CF]]),IF(Main_S[[#This Row],[Free CF]]&lt;&gt;0,Main_S[[#This Row],[Current Price]]/Main_S[[#This Row],[Free CF]],""),"")</f>
        <v>-83.466666666666669</v>
      </c>
      <c r="I15" s="1">
        <f>IF(ISNUMBER(Main_S[[#This Row],[BVPS]]),IF(Main_S[[#This Row],[BVPS]]&lt;&gt;0,Main_S[[#This Row],[Current Price]]/Main_S[[#This Row],[BVPS]],""),"")</f>
        <v>0.61122864117168429</v>
      </c>
      <c r="J15">
        <v>-16.04</v>
      </c>
      <c r="K15">
        <v>-2.62</v>
      </c>
      <c r="L15">
        <v>2.0499999999999998</v>
      </c>
      <c r="M15" s="1">
        <f>IF(ISNUMBER(Main_S[[#This Row],[EPS]]),IF(Main_S[[#This Row],[EPS]]&lt;&gt;0,Main_S[[#This Row],[Current Price]]/Main_S[[#This Row],[EPS]],""),"")</f>
        <v>-2.9116279069767441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-3.737226683027846</v>
      </c>
      <c r="P15" s="1">
        <f>(Main_S[[#This Row],[P/B]]-VLOOKUP(Main_S[[#This Row],[Industry]], Mean_PB_S, 2, FALSE))/(VLOOKUP(Main_S[[#This Row],[Industry]], Mean_PB_S, 3, FALSE))</f>
        <v>-0.38571481623677067</v>
      </c>
      <c r="Q15" s="1">
        <f>(Main_S[[#This Row],[ROE]]-VLOOKUP(Main_S[[#This Row],[Industry]], Mean_ROE_S, 2, FALSE))/(VLOOKUP(Main_S[[#This Row],[Industry]], Mean_ROE_S, 3, FALSE))</f>
        <v>-1.1134607937037324</v>
      </c>
      <c r="R15" s="1">
        <f>(Main_S[[#This Row],[ROA]]-VLOOKUP(Main_S[[#This Row],[Industry]], Mean_ROA_S, 2, FALSE))/(VLOOKUP(Main_S[[#This Row],[Industry]], Mean_ROA_S, 3, FALSE))</f>
        <v>-0.87358091705122454</v>
      </c>
      <c r="S15" s="1">
        <f>(Main_S[[#This Row],[A/E]]-VLOOKUP(Main_S[[#This Row],[Industry]], Mean_AE_S, 2, FALSE))/(VLOOKUP(Main_S[[#This Row],[Industry]], Mean_AE_S, 3, FALSE))</f>
        <v>-0.17520342960735868</v>
      </c>
      <c r="T15" s="1">
        <f>(Main_S[[#This Row],[P/E]]-VLOOKUP(Main_S[[#This Row],[Industry]], Mean_PE_S, 2, FALSE))/(VLOOKUP(Main_S[[#This Row],[Industry]], Mean_PE_S, 3, FALSE))</f>
        <v>-0.58659095242426562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t="s">
        <v>108</v>
      </c>
      <c r="B16" t="s">
        <v>248</v>
      </c>
      <c r="C16" s="2">
        <v>490</v>
      </c>
      <c r="D16">
        <f>RTD("tos.rtd", , "LAST", Main_S[[#This Row],[Symbol]])</f>
        <v>10.199999999999999</v>
      </c>
      <c r="E16">
        <v>2.76</v>
      </c>
      <c r="F16">
        <v>0.88</v>
      </c>
      <c r="G16">
        <v>2.31</v>
      </c>
      <c r="H16" s="1">
        <f>IF(ISNUMBER(Main_S[[#This Row],[Free CF]]),IF(Main_S[[#This Row],[Free CF]]&lt;&gt;0,Main_S[[#This Row],[Current Price]]/Main_S[[#This Row],[Free CF]],""),"")</f>
        <v>3.6956521739130435</v>
      </c>
      <c r="I16" s="1">
        <f>IF(ISNUMBER(Main_S[[#This Row],[BVPS]]),IF(Main_S[[#This Row],[BVPS]]&lt;&gt;0,Main_S[[#This Row],[Current Price]]/Main_S[[#This Row],[BVPS]],""),"")</f>
        <v>11.59090909090909</v>
      </c>
      <c r="J16">
        <v>14.89</v>
      </c>
      <c r="K16">
        <v>9.42</v>
      </c>
      <c r="L16">
        <v>1.08</v>
      </c>
      <c r="M16" s="1">
        <f>IF(ISNUMBER(Main_S[[#This Row],[EPS]]),IF(Main_S[[#This Row],[EPS]]&lt;&gt;0,Main_S[[#This Row],[Current Price]]/Main_S[[#This Row],[EPS]],""),"")</f>
        <v>4.4155844155844148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-4.3626482150231967E-2</v>
      </c>
      <c r="P16" s="1">
        <f>(Main_S[[#This Row],[P/B]]-VLOOKUP(Main_S[[#This Row],[Industry]], Mean_PB_S, 2, FALSE))/(VLOOKUP(Main_S[[#This Row],[Industry]], Mean_PB_S, 3, FALSE))</f>
        <v>4.616692399699609</v>
      </c>
      <c r="Q16" s="1">
        <f>(Main_S[[#This Row],[ROE]]-VLOOKUP(Main_S[[#This Row],[Industry]], Mean_ROE_S, 2, FALSE))/(VLOOKUP(Main_S[[#This Row],[Industry]], Mean_ROE_S, 3, FALSE))</f>
        <v>1.1442873179469675</v>
      </c>
      <c r="R16" s="1">
        <f>(Main_S[[#This Row],[ROA]]-VLOOKUP(Main_S[[#This Row],[Industry]], Mean_ROA_S, 2, FALSE))/(VLOOKUP(Main_S[[#This Row],[Industry]], Mean_ROA_S, 3, FALSE))</f>
        <v>1.596241279831607</v>
      </c>
      <c r="S16" s="1">
        <f>(Main_S[[#This Row],[A/E]]-VLOOKUP(Main_S[[#This Row],[Industry]], Mean_AE_S, 2, FALSE))/(VLOOKUP(Main_S[[#This Row],[Industry]], Mean_AE_S, 3, FALSE))</f>
        <v>-1.0915860736811409</v>
      </c>
      <c r="T16" s="1">
        <f>(Main_S[[#This Row],[P/E]]-VLOOKUP(Main_S[[#This Row],[Industry]], Mean_PE_S, 2, FALSE))/(VLOOKUP(Main_S[[#This Row],[Industry]], Mean_PE_S, 3, FALSE))</f>
        <v>-4.6075048186443229E-2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" spans="1:26" x14ac:dyDescent="0.25">
      <c r="A17" t="s">
        <v>108</v>
      </c>
      <c r="B17" t="s">
        <v>249</v>
      </c>
      <c r="C17" s="2">
        <v>313</v>
      </c>
      <c r="D17">
        <f>RTD("tos.rtd", , "LAST", Main_S[[#This Row],[Symbol]])</f>
        <v>2.2200000000000002</v>
      </c>
      <c r="E17">
        <v>-0.19</v>
      </c>
      <c r="F17">
        <v>0.56000000000000005</v>
      </c>
      <c r="G17">
        <v>0.08</v>
      </c>
      <c r="H17" s="1">
        <f>IF(ISNUMBER(Main_S[[#This Row],[Free CF]]),IF(Main_S[[#This Row],[Free CF]]&lt;&gt;0,Main_S[[#This Row],[Current Price]]/Main_S[[#This Row],[Free CF]],""),"")</f>
        <v>-11.684210526315791</v>
      </c>
      <c r="I17" s="1">
        <f>IF(ISNUMBER(Main_S[[#This Row],[BVPS]]),IF(Main_S[[#This Row],[BVPS]]&lt;&gt;0,Main_S[[#This Row],[Current Price]]/Main_S[[#This Row],[BVPS]],""),"")</f>
        <v>3.9642857142857144</v>
      </c>
      <c r="J17">
        <v>-5.83</v>
      </c>
      <c r="K17">
        <v>-1.69</v>
      </c>
      <c r="L17">
        <v>4.79</v>
      </c>
      <c r="M17" s="1">
        <f>IF(ISNUMBER(Main_S[[#This Row],[EPS]]),IF(Main_S[[#This Row],[EPS]]&lt;&gt;0,Main_S[[#This Row],[Current Price]]/Main_S[[#This Row],[EPS]],""),"")</f>
        <v>27.750000000000004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-0.69536526921641506</v>
      </c>
      <c r="P17" s="1">
        <f>(Main_S[[#This Row],[P/B]]-VLOOKUP(Main_S[[#This Row],[Industry]], Mean_PB_S, 2, FALSE))/(VLOOKUP(Main_S[[#This Row],[Industry]], Mean_PB_S, 3, FALSE))</f>
        <v>1.1419577763106106</v>
      </c>
      <c r="Q17" s="1">
        <f>(Main_S[[#This Row],[ROE]]-VLOOKUP(Main_S[[#This Row],[Industry]], Mean_ROE_S, 2, FALSE))/(VLOOKUP(Main_S[[#This Row],[Industry]], Mean_ROE_S, 3, FALSE))</f>
        <v>-0.36817763107994822</v>
      </c>
      <c r="R17" s="1">
        <f>(Main_S[[#This Row],[ROA]]-VLOOKUP(Main_S[[#This Row],[Industry]], Mean_ROA_S, 2, FALSE))/(VLOOKUP(Main_S[[#This Row],[Industry]], Mean_ROA_S, 3, FALSE))</f>
        <v>-0.6828056144680823</v>
      </c>
      <c r="S17" s="1">
        <f>(Main_S[[#This Row],[A/E]]-VLOOKUP(Main_S[[#This Row],[Industry]], Mean_AE_S, 2, FALSE))/(VLOOKUP(Main_S[[#This Row],[Industry]], Mean_AE_S, 3, FALSE))</f>
        <v>2.4133413588072434</v>
      </c>
      <c r="T17" s="1">
        <f>(Main_S[[#This Row],[P/E]]-VLOOKUP(Main_S[[#This Row],[Industry]], Mean_PE_S, 2, FALSE))/(VLOOKUP(Main_S[[#This Row],[Industry]], Mean_PE_S, 3, FALSE))</f>
        <v>1.6752648262752403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t="s">
        <v>108</v>
      </c>
      <c r="B18" t="s">
        <v>250</v>
      </c>
      <c r="C18" s="2">
        <v>304</v>
      </c>
      <c r="D18">
        <f>RTD("tos.rtd", , "LAST", Main_S[[#This Row],[Symbol]])</f>
        <v>14.82</v>
      </c>
      <c r="E18">
        <v>1.54</v>
      </c>
      <c r="F18">
        <v>-5.61</v>
      </c>
      <c r="G18">
        <v>1.38</v>
      </c>
      <c r="H18" s="1">
        <f>IF(ISNUMBER(Main_S[[#This Row],[Free CF]]),IF(Main_S[[#This Row],[Free CF]]&lt;&gt;0,Main_S[[#This Row],[Current Price]]/Main_S[[#This Row],[Free CF]],""),"")</f>
        <v>9.6233766233766236</v>
      </c>
      <c r="I18" s="1">
        <f>IF(ISNUMBER(Main_S[[#This Row],[BVPS]]),IF(Main_S[[#This Row],[BVPS]]&lt;&gt;0,Main_S[[#This Row],[Current Price]]/Main_S[[#This Row],[BVPS]],""),"")</f>
        <v>-2.641711229946524</v>
      </c>
      <c r="J18">
        <v>-25.36</v>
      </c>
      <c r="K18">
        <v>8.5399999999999991</v>
      </c>
      <c r="L18">
        <v>-2.68</v>
      </c>
      <c r="M18" s="1">
        <f>IF(ISNUMBER(Main_S[[#This Row],[EPS]]),IF(Main_S[[#This Row],[EPS]]&lt;&gt;0,Main_S[[#This Row],[Current Price]]/Main_S[[#This Row],[EPS]],""),"")</f>
        <v>10.739130434782609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0.20756743408014311</v>
      </c>
      <c r="P18" s="1">
        <f>(Main_S[[#This Row],[P/B]]-VLOOKUP(Main_S[[#This Row],[Industry]], Mean_PB_S, 2, FALSE))/(VLOOKUP(Main_S[[#This Row],[Industry]], Mean_PB_S, 3, FALSE))</f>
        <v>-1.8677734206543575</v>
      </c>
      <c r="Q18" s="1">
        <f>(Main_S[[#This Row],[ROE]]-VLOOKUP(Main_S[[#This Row],[Industry]], Mean_ROE_S, 2, FALSE))/(VLOOKUP(Main_S[[#This Row],[Industry]], Mean_ROE_S, 3, FALSE))</f>
        <v>-1.7937780391154532</v>
      </c>
      <c r="R18" s="1">
        <f>(Main_S[[#This Row],[ROA]]-VLOOKUP(Main_S[[#This Row],[Industry]], Mean_ROA_S, 2, FALSE))/(VLOOKUP(Main_S[[#This Row],[Industry]], Mean_ROA_S, 3, FALSE))</f>
        <v>1.415722713946483</v>
      </c>
      <c r="S18" s="1">
        <f>(Main_S[[#This Row],[A/E]]-VLOOKUP(Main_S[[#This Row],[Industry]], Mean_AE_S, 2, FALSE))/(VLOOKUP(Main_S[[#This Row],[Industry]], Mean_AE_S, 3, FALSE))</f>
        <v>-4.6437497249362156</v>
      </c>
      <c r="T18" s="1">
        <f>(Main_S[[#This Row],[P/E]]-VLOOKUP(Main_S[[#This Row],[Industry]], Mean_PE_S, 2, FALSE))/(VLOOKUP(Main_S[[#This Row],[Industry]], Mean_PE_S, 3, FALSE))</f>
        <v>0.42040211176047526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t="s">
        <v>108</v>
      </c>
      <c r="B19" t="s">
        <v>251</v>
      </c>
      <c r="C19" s="2">
        <v>418</v>
      </c>
      <c r="D19">
        <f>RTD("tos.rtd", , "LAST", Main_S[[#This Row],[Symbol]])</f>
        <v>64.22</v>
      </c>
      <c r="E19">
        <v>7.19</v>
      </c>
      <c r="F19">
        <v>55.33</v>
      </c>
      <c r="G19">
        <v>8.2799999999999994</v>
      </c>
      <c r="H19" s="1">
        <f>IF(ISNUMBER(Main_S[[#This Row],[Free CF]]),IF(Main_S[[#This Row],[Free CF]]&lt;&gt;0,Main_S[[#This Row],[Current Price]]/Main_S[[#This Row],[Free CF]],""),"")</f>
        <v>8.9318497913769122</v>
      </c>
      <c r="I19" s="1">
        <f>IF(ISNUMBER(Main_S[[#This Row],[BVPS]]),IF(Main_S[[#This Row],[BVPS]]&lt;&gt;0,Main_S[[#This Row],[Current Price]]/Main_S[[#This Row],[BVPS]],""),"")</f>
        <v>1.1606723296584132</v>
      </c>
      <c r="J19">
        <v>16.45</v>
      </c>
      <c r="K19">
        <v>6.72</v>
      </c>
      <c r="L19">
        <v>1.21</v>
      </c>
      <c r="M19" s="1">
        <f>IF(ISNUMBER(Main_S[[#This Row],[EPS]]),IF(Main_S[[#This Row],[EPS]]&lt;&gt;0,Main_S[[#This Row],[Current Price]]/Main_S[[#This Row],[EPS]],""),"")</f>
        <v>7.7560386473429954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0.17826321547326918</v>
      </c>
      <c r="P19" s="1">
        <f>(Main_S[[#This Row],[P/B]]-VLOOKUP(Main_S[[#This Row],[Industry]], Mean_PB_S, 2, FALSE))/(VLOOKUP(Main_S[[#This Row],[Industry]], Mean_PB_S, 3, FALSE))</f>
        <v>-0.1353850288974271</v>
      </c>
      <c r="Q19" s="1">
        <f>(Main_S[[#This Row],[ROE]]-VLOOKUP(Main_S[[#This Row],[Industry]], Mean_ROE_S, 2, FALSE))/(VLOOKUP(Main_S[[#This Row],[Industry]], Mean_ROE_S, 3, FALSE))</f>
        <v>1.2581601615995728</v>
      </c>
      <c r="R19" s="1">
        <f>(Main_S[[#This Row],[ROA]]-VLOOKUP(Main_S[[#This Row],[Industry]], Mean_ROA_S, 2, FALSE))/(VLOOKUP(Main_S[[#This Row],[Industry]], Mean_ROA_S, 3, FALSE))</f>
        <v>1.0423774981386134</v>
      </c>
      <c r="S19" s="1">
        <f>(Main_S[[#This Row],[A/E]]-VLOOKUP(Main_S[[#This Row],[Industry]], Mean_AE_S, 2, FALSE))/(VLOOKUP(Main_S[[#This Row],[Industry]], Mean_AE_S, 3, FALSE))</f>
        <v>-0.96877190488774745</v>
      </c>
      <c r="T19" s="1">
        <f>(Main_S[[#This Row],[P/E]]-VLOOKUP(Main_S[[#This Row],[Industry]], Mean_PE_S, 2, FALSE))/(VLOOKUP(Main_S[[#This Row],[Industry]], Mean_PE_S, 3, FALSE))</f>
        <v>0.20034453953104897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t="s">
        <v>108</v>
      </c>
      <c r="B20" t="s">
        <v>252</v>
      </c>
      <c r="C20" s="2">
        <v>823</v>
      </c>
      <c r="D20">
        <f>RTD("tos.rtd", , "LAST", Main_S[[#This Row],[Symbol]])</f>
        <v>3.74</v>
      </c>
      <c r="E20">
        <v>-7.0000000000000007E-2</v>
      </c>
      <c r="F20">
        <v>4.49</v>
      </c>
      <c r="G20">
        <v>-0.03</v>
      </c>
      <c r="H20" s="1">
        <f>IF(ISNUMBER(Main_S[[#This Row],[Free CF]]),IF(Main_S[[#This Row],[Free CF]]&lt;&gt;0,Main_S[[#This Row],[Current Price]]/Main_S[[#This Row],[Free CF]],""),"")</f>
        <v>-53.428571428571423</v>
      </c>
      <c r="I20" s="1">
        <f>IF(ISNUMBER(Main_S[[#This Row],[BVPS]]),IF(Main_S[[#This Row],[BVPS]]&lt;&gt;0,Main_S[[#This Row],[Current Price]]/Main_S[[#This Row],[BVPS]],""),"")</f>
        <v>0.83296213808463249</v>
      </c>
      <c r="J20">
        <v>-0.53</v>
      </c>
      <c r="K20">
        <v>-0.91</v>
      </c>
      <c r="L20">
        <v>1.27</v>
      </c>
      <c r="M20" s="1">
        <f>IF(ISNUMBER(Main_S[[#This Row],[EPS]]),IF(Main_S[[#This Row],[EPS]]&lt;&gt;0,Main_S[[#This Row],[Current Price]]/Main_S[[#This Row],[EPS]],""),"")</f>
        <v>-124.66666666666667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-2.4643289896067331</v>
      </c>
      <c r="P20" s="1">
        <f>(Main_S[[#This Row],[P/B]]-VLOOKUP(Main_S[[#This Row],[Industry]], Mean_PB_S, 2, FALSE))/(VLOOKUP(Main_S[[#This Row],[Industry]], Mean_PB_S, 3, FALSE))</f>
        <v>-0.28469172635270512</v>
      </c>
      <c r="Q20" s="1">
        <f>(Main_S[[#This Row],[ROE]]-VLOOKUP(Main_S[[#This Row],[Industry]], Mean_ROE_S, 2, FALSE))/(VLOOKUP(Main_S[[#This Row],[Industry]], Mean_ROE_S, 3, FALSE))</f>
        <v>1.8698055688519531E-2</v>
      </c>
      <c r="R20" s="1">
        <f>(Main_S[[#This Row],[ROA]]-VLOOKUP(Main_S[[#This Row],[Industry]], Mean_ROA_S, 2, FALSE))/(VLOOKUP(Main_S[[#This Row],[Industry]], Mean_ROA_S, 3, FALSE))</f>
        <v>-0.52280052197899507</v>
      </c>
      <c r="S20" s="1">
        <f>(Main_S[[#This Row],[A/E]]-VLOOKUP(Main_S[[#This Row],[Industry]], Mean_AE_S, 2, FALSE))/(VLOOKUP(Main_S[[#This Row],[Industry]], Mean_AE_S, 3, FALSE))</f>
        <v>-0.91208844236771969</v>
      </c>
      <c r="T20" s="1">
        <f>(Main_S[[#This Row],[P/E]]-VLOOKUP(Main_S[[#This Row],[Industry]], Mean_PE_S, 2, FALSE))/(VLOOKUP(Main_S[[#This Row],[Industry]], Mean_PE_S, 3, FALSE))</f>
        <v>-9.5682516404963494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1" spans="1:26" x14ac:dyDescent="0.25">
      <c r="A21" t="s">
        <v>108</v>
      </c>
      <c r="B21" t="s">
        <v>253</v>
      </c>
      <c r="C21" s="2">
        <v>317</v>
      </c>
      <c r="D21">
        <f>RTD("tos.rtd", , "LAST", Main_S[[#This Row],[Symbol]])</f>
        <v>10.73</v>
      </c>
      <c r="E21">
        <v>-2.12</v>
      </c>
      <c r="F21">
        <v>30.68</v>
      </c>
      <c r="G21">
        <v>-3.13</v>
      </c>
      <c r="H21" s="1">
        <f>IF(ISNUMBER(Main_S[[#This Row],[Free CF]]),IF(Main_S[[#This Row],[Free CF]]&lt;&gt;0,Main_S[[#This Row],[Current Price]]/Main_S[[#This Row],[Free CF]],""),"")</f>
        <v>-5.0613207547169807</v>
      </c>
      <c r="I21" s="1">
        <f>IF(ISNUMBER(Main_S[[#This Row],[BVPS]]),IF(Main_S[[#This Row],[BVPS]]&lt;&gt;0,Main_S[[#This Row],[Current Price]]/Main_S[[#This Row],[BVPS]],""),"")</f>
        <v>0.34973924380704041</v>
      </c>
      <c r="J21">
        <v>-10.119999999999999</v>
      </c>
      <c r="K21">
        <v>-3.78</v>
      </c>
      <c r="L21">
        <v>1.88</v>
      </c>
      <c r="M21" s="1">
        <f>IF(ISNUMBER(Main_S[[#This Row],[EPS]]),IF(Main_S[[#This Row],[EPS]]&lt;&gt;0,Main_S[[#This Row],[Current Price]]/Main_S[[#This Row],[EPS]],""),"")</f>
        <v>-3.4281150159744413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-0.41471294931302505</v>
      </c>
      <c r="P21" s="1">
        <f>(Main_S[[#This Row],[P/B]]-VLOOKUP(Main_S[[#This Row],[Industry]], Mean_PB_S, 2, FALSE))/(VLOOKUP(Main_S[[#This Row],[Industry]], Mean_PB_S, 3, FALSE))</f>
        <v>-0.50485092900943651</v>
      </c>
      <c r="Q21" s="1">
        <f>(Main_S[[#This Row],[ROE]]-VLOOKUP(Main_S[[#This Row],[Industry]], Mean_ROE_S, 2, FALSE))/(VLOOKUP(Main_S[[#This Row],[Industry]], Mean_ROE_S, 3, FALSE))</f>
        <v>-0.68132795112461364</v>
      </c>
      <c r="R21" s="1">
        <f>(Main_S[[#This Row],[ROA]]-VLOOKUP(Main_S[[#This Row],[Industry]], Mean_ROA_S, 2, FALSE))/(VLOOKUP(Main_S[[#This Row],[Industry]], Mean_ROA_S, 3, FALSE))</f>
        <v>-1.1115372084452515</v>
      </c>
      <c r="S21" s="1">
        <f>(Main_S[[#This Row],[A/E]]-VLOOKUP(Main_S[[#This Row],[Industry]], Mean_AE_S, 2, FALSE))/(VLOOKUP(Main_S[[#This Row],[Industry]], Mean_AE_S, 3, FALSE))</f>
        <v>-0.33580657341410397</v>
      </c>
      <c r="T21" s="1">
        <f>(Main_S[[#This Row],[P/E]]-VLOOKUP(Main_S[[#This Row],[Industry]], Mean_PE_S, 2, FALSE))/(VLOOKUP(Main_S[[#This Row],[Industry]], Mean_PE_S, 3, FALSE))</f>
        <v>-0.6246913219041399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t="s">
        <v>109</v>
      </c>
      <c r="B22" t="s">
        <v>254</v>
      </c>
      <c r="C22" s="2">
        <v>726</v>
      </c>
      <c r="D22">
        <f>RTD("tos.rtd", , "LAST", Main_S[[#This Row],[Symbol]])</f>
        <v>16.600000000000001</v>
      </c>
      <c r="E22">
        <v>2.11</v>
      </c>
      <c r="F22">
        <v>21.35</v>
      </c>
      <c r="G22">
        <v>0.7</v>
      </c>
      <c r="H22" s="1">
        <f>IF(ISNUMBER(Main_S[[#This Row],[Free CF]]),IF(Main_S[[#This Row],[Free CF]]&lt;&gt;0,Main_S[[#This Row],[Current Price]]/Main_S[[#This Row],[Free CF]],""),"")</f>
        <v>7.867298578199053</v>
      </c>
      <c r="I22" s="1">
        <f>IF(ISNUMBER(Main_S[[#This Row],[BVPS]]),IF(Main_S[[#This Row],[BVPS]]&lt;&gt;0,Main_S[[#This Row],[Current Price]]/Main_S[[#This Row],[BVPS]],""),"")</f>
        <v>0.77751756440281028</v>
      </c>
      <c r="J22">
        <v>3.5</v>
      </c>
      <c r="K22">
        <v>0.74</v>
      </c>
      <c r="L22">
        <v>1.72</v>
      </c>
      <c r="M22" s="1">
        <f>IF(ISNUMBER(Main_S[[#This Row],[EPS]]),IF(Main_S[[#This Row],[EPS]]&lt;&gt;0,Main_S[[#This Row],[Current Price]]/Main_S[[#This Row],[EPS]],""),"")</f>
        <v>23.714285714285719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-0.4418118145597108</v>
      </c>
      <c r="P22" s="1">
        <f>(Main_S[[#This Row],[P/B]]-VLOOKUP(Main_S[[#This Row],[Industry]], Mean_PB_S, 2, FALSE))/(VLOOKUP(Main_S[[#This Row],[Industry]], Mean_PB_S, 3, FALSE))</f>
        <v>-0.68209224050037853</v>
      </c>
      <c r="Q22" s="1">
        <f>(Main_S[[#This Row],[ROE]]-VLOOKUP(Main_S[[#This Row],[Industry]], Mean_ROE_S, 2, FALSE))/(VLOOKUP(Main_S[[#This Row],[Industry]], Mean_ROE_S, 3, FALSE))</f>
        <v>0.20410703655087287</v>
      </c>
      <c r="R22" s="1">
        <f>(Main_S[[#This Row],[ROA]]-VLOOKUP(Main_S[[#This Row],[Industry]], Mean_ROA_S, 2, FALSE))/(VLOOKUP(Main_S[[#This Row],[Industry]], Mean_ROA_S, 3, FALSE))</f>
        <v>-0.30854562389663709</v>
      </c>
      <c r="S22" s="1">
        <f>(Main_S[[#This Row],[A/E]]-VLOOKUP(Main_S[[#This Row],[Industry]], Mean_AE_S, 2, FALSE))/(VLOOKUP(Main_S[[#This Row],[Industry]], Mean_AE_S, 3, FALSE))</f>
        <v>-0.18577849451717907</v>
      </c>
      <c r="T22" s="1">
        <f>(Main_S[[#This Row],[P/E]]-VLOOKUP(Main_S[[#This Row],[Industry]], Mean_PE_S, 2, FALSE))/(VLOOKUP(Main_S[[#This Row],[Industry]], Mean_PE_S, 3, FALSE))</f>
        <v>0.73412704686074659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t="s">
        <v>109</v>
      </c>
      <c r="B23" t="s">
        <v>255</v>
      </c>
      <c r="C23" s="2">
        <v>453</v>
      </c>
      <c r="D23">
        <f>RTD("tos.rtd", , "LAST", Main_S[[#This Row],[Symbol]])</f>
        <v>5.85</v>
      </c>
      <c r="E23">
        <v>0.8</v>
      </c>
      <c r="F23">
        <v>7.7</v>
      </c>
      <c r="G23">
        <v>-4.6100000000000003</v>
      </c>
      <c r="H23" s="1">
        <f>IF(ISNUMBER(Main_S[[#This Row],[Free CF]]),IF(Main_S[[#This Row],[Free CF]]&lt;&gt;0,Main_S[[#This Row],[Current Price]]/Main_S[[#This Row],[Free CF]],""),"")</f>
        <v>7.3124999999999991</v>
      </c>
      <c r="I23" s="1">
        <f>IF(ISNUMBER(Main_S[[#This Row],[BVPS]]),IF(Main_S[[#This Row],[BVPS]]&lt;&gt;0,Main_S[[#This Row],[Current Price]]/Main_S[[#This Row],[BVPS]],""),"")</f>
        <v>0.75974025974025972</v>
      </c>
      <c r="J23">
        <v>-41.69</v>
      </c>
      <c r="K23">
        <v>4.12</v>
      </c>
      <c r="L23">
        <v>3.06</v>
      </c>
      <c r="M23" s="1">
        <f>IF(ISNUMBER(Main_S[[#This Row],[EPS]]),IF(Main_S[[#This Row],[EPS]]&lt;&gt;0,Main_S[[#This Row],[Current Price]]/Main_S[[#This Row],[EPS]],""),"")</f>
        <v>-1.2689804772234272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-0.48526392168233584</v>
      </c>
      <c r="P23" s="1">
        <f>(Main_S[[#This Row],[P/B]]-VLOOKUP(Main_S[[#This Row],[Industry]], Mean_PB_S, 2, FALSE))/(VLOOKUP(Main_S[[#This Row],[Industry]], Mean_PB_S, 3, FALSE))</f>
        <v>-0.70304723998296903</v>
      </c>
      <c r="Q23" s="1">
        <f>(Main_S[[#This Row],[ROE]]-VLOOKUP(Main_S[[#This Row],[Industry]], Mean_ROE_S, 2, FALSE))/(VLOOKUP(Main_S[[#This Row],[Industry]], Mean_ROE_S, 3, FALSE))</f>
        <v>-3.1869212655571952</v>
      </c>
      <c r="R23" s="1">
        <f>(Main_S[[#This Row],[ROA]]-VLOOKUP(Main_S[[#This Row],[Industry]], Mean_ROA_S, 2, FALSE))/(VLOOKUP(Main_S[[#This Row],[Industry]], Mean_ROA_S, 3, FALSE))</f>
        <v>1.0174851576367039</v>
      </c>
      <c r="S23" s="1">
        <f>(Main_S[[#This Row],[A/E]]-VLOOKUP(Main_S[[#This Row],[Industry]], Mean_AE_S, 2, FALSE))/(VLOOKUP(Main_S[[#This Row],[Industry]], Mean_AE_S, 3, FALSE))</f>
        <v>2.360231328070526</v>
      </c>
      <c r="T23" s="1">
        <f>(Main_S[[#This Row],[P/E]]-VLOOKUP(Main_S[[#This Row],[Industry]], Mean_PE_S, 2, FALSE))/(VLOOKUP(Main_S[[#This Row],[Industry]], Mean_PE_S, 3, FALSE))</f>
        <v>-0.37937175984747767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t="s">
        <v>109</v>
      </c>
      <c r="B24" t="s">
        <v>256</v>
      </c>
      <c r="C24" s="2">
        <v>723</v>
      </c>
      <c r="D24">
        <f>RTD("tos.rtd", , "LAST", Main_S[[#This Row],[Symbol]])</f>
        <v>11.35</v>
      </c>
      <c r="E24">
        <v>1.94</v>
      </c>
      <c r="F24">
        <v>7.94</v>
      </c>
      <c r="G24">
        <v>0.72</v>
      </c>
      <c r="H24" s="1">
        <f>IF(ISNUMBER(Main_S[[#This Row],[Free CF]]),IF(Main_S[[#This Row],[Free CF]]&lt;&gt;0,Main_S[[#This Row],[Current Price]]/Main_S[[#This Row],[Free CF]],""),"")</f>
        <v>5.8505154639175254</v>
      </c>
      <c r="I24" s="1">
        <f>IF(ISNUMBER(Main_S[[#This Row],[BVPS]]),IF(Main_S[[#This Row],[BVPS]]&lt;&gt;0,Main_S[[#This Row],[Current Price]]/Main_S[[#This Row],[BVPS]],""),"")</f>
        <v>1.4294710327455917</v>
      </c>
      <c r="J24">
        <v>9.6</v>
      </c>
      <c r="K24">
        <v>2.93</v>
      </c>
      <c r="L24">
        <v>2.17</v>
      </c>
      <c r="M24" s="1">
        <f>IF(ISNUMBER(Main_S[[#This Row],[EPS]]),IF(Main_S[[#This Row],[EPS]]&lt;&gt;0,Main_S[[#This Row],[Current Price]]/Main_S[[#This Row],[EPS]],""),"")</f>
        <v>15.763888888888889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-0.59976729492401082</v>
      </c>
      <c r="P24" s="1">
        <f>(Main_S[[#This Row],[P/B]]-VLOOKUP(Main_S[[#This Row],[Industry]], Mean_PB_S, 2, FALSE))/(VLOOKUP(Main_S[[#This Row],[Industry]], Mean_PB_S, 3, FALSE))</f>
        <v>8.6397969411788206E-2</v>
      </c>
      <c r="Q24" s="1">
        <f>(Main_S[[#This Row],[ROE]]-VLOOKUP(Main_S[[#This Row],[Industry]], Mean_ROE_S, 2, FALSE))/(VLOOKUP(Main_S[[#This Row],[Industry]], Mean_ROE_S, 3, FALSE))</f>
        <v>0.66184708175687457</v>
      </c>
      <c r="R24" s="1">
        <f>(Main_S[[#This Row],[ROA]]-VLOOKUP(Main_S[[#This Row],[Industry]], Mean_ROA_S, 2, FALSE))/(VLOOKUP(Main_S[[#This Row],[Industry]], Mean_ROA_S, 3, FALSE))</f>
        <v>0.55062816650514301</v>
      </c>
      <c r="S24" s="1">
        <f>(Main_S[[#This Row],[A/E]]-VLOOKUP(Main_S[[#This Row],[Industry]], Mean_AE_S, 2, FALSE))/(VLOOKUP(Main_S[[#This Row],[Industry]], Mean_AE_S, 3, FALSE))</f>
        <v>0.66922480411302032</v>
      </c>
      <c r="T24" s="1">
        <f>(Main_S[[#This Row],[P/E]]-VLOOKUP(Main_S[[#This Row],[Industry]], Mean_PE_S, 2, FALSE))/(VLOOKUP(Main_S[[#This Row],[Industry]], Mean_PE_S, 3, FALSE))</f>
        <v>0.37977956842956623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t="s">
        <v>109</v>
      </c>
      <c r="B25" t="s">
        <v>257</v>
      </c>
      <c r="C25" s="2">
        <v>828</v>
      </c>
      <c r="D25">
        <f>RTD("tos.rtd", , "LAST", Main_S[[#This Row],[Symbol]])</f>
        <v>24.9</v>
      </c>
      <c r="E25">
        <v>1.78</v>
      </c>
      <c r="F25">
        <v>3.8</v>
      </c>
      <c r="G25">
        <v>0.88</v>
      </c>
      <c r="H25" s="1">
        <f>IF(ISNUMBER(Main_S[[#This Row],[Free CF]]),IF(Main_S[[#This Row],[Free CF]]&lt;&gt;0,Main_S[[#This Row],[Current Price]]/Main_S[[#This Row],[Free CF]],""),"")</f>
        <v>13.988764044943819</v>
      </c>
      <c r="I25" s="1">
        <f>IF(ISNUMBER(Main_S[[#This Row],[BVPS]]),IF(Main_S[[#This Row],[BVPS]]&lt;&gt;0,Main_S[[#This Row],[Current Price]]/Main_S[[#This Row],[BVPS]],""),"")</f>
        <v>6.5526315789473681</v>
      </c>
      <c r="J25">
        <v>29.75</v>
      </c>
      <c r="K25">
        <v>12.35</v>
      </c>
      <c r="L25">
        <v>1.56</v>
      </c>
      <c r="M25" s="1">
        <f>IF(ISNUMBER(Main_S[[#This Row],[EPS]]),IF(Main_S[[#This Row],[EPS]]&lt;&gt;0,Main_S[[#This Row],[Current Price]]/Main_S[[#This Row],[EPS]],""),"")</f>
        <v>28.295454545454543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3.7624477566130944E-2</v>
      </c>
      <c r="P25" s="1">
        <f>(Main_S[[#This Row],[P/B]]-VLOOKUP(Main_S[[#This Row],[Industry]], Mean_PB_S, 2, FALSE))/(VLOOKUP(Main_S[[#This Row],[Industry]], Mean_PB_S, 3, FALSE))</f>
        <v>6.1253239276893847</v>
      </c>
      <c r="Q25" s="1">
        <f>(Main_S[[#This Row],[ROE]]-VLOOKUP(Main_S[[#This Row],[Industry]], Mean_ROE_S, 2, FALSE))/(VLOOKUP(Main_S[[#This Row],[Industry]], Mean_ROE_S, 3, FALSE))</f>
        <v>2.1738900179701424</v>
      </c>
      <c r="R25" s="1">
        <f>(Main_S[[#This Row],[ROA]]-VLOOKUP(Main_S[[#This Row],[Industry]], Mean_ROA_S, 2, FALSE))/(VLOOKUP(Main_S[[#This Row],[Industry]], Mean_ROA_S, 3, FALSE))</f>
        <v>4.2462524156306083</v>
      </c>
      <c r="S25" s="1">
        <f>(Main_S[[#This Row],[A/E]]-VLOOKUP(Main_S[[#This Row],[Industry]], Mean_AE_S, 2, FALSE))/(VLOOKUP(Main_S[[#This Row],[Industry]], Mean_AE_S, 3, FALSE))</f>
        <v>-0.48977966736347206</v>
      </c>
      <c r="T25" s="1">
        <f>(Main_S[[#This Row],[P/E]]-VLOOKUP(Main_S[[#This Row],[Industry]], Mean_PE_S, 2, FALSE))/(VLOOKUP(Main_S[[#This Row],[Industry]], Mean_PE_S, 3, FALSE))</f>
        <v>0.93830875743984898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t="s">
        <v>109</v>
      </c>
      <c r="B26" t="s">
        <v>258</v>
      </c>
      <c r="C26" s="2">
        <v>765</v>
      </c>
      <c r="D26">
        <f>RTD("tos.rtd", , "LAST", Main_S[[#This Row],[Symbol]])</f>
        <v>1.81</v>
      </c>
      <c r="E26">
        <v>0.15</v>
      </c>
      <c r="F26">
        <v>1.63</v>
      </c>
      <c r="G26">
        <v>0.1</v>
      </c>
      <c r="H26" s="1">
        <f>IF(ISNUMBER(Main_S[[#This Row],[Free CF]]),IF(Main_S[[#This Row],[Free CF]]&lt;&gt;0,Main_S[[#This Row],[Current Price]]/Main_S[[#This Row],[Free CF]],""),"")</f>
        <v>12.066666666666668</v>
      </c>
      <c r="I26" s="1">
        <f>IF(ISNUMBER(Main_S[[#This Row],[BVPS]]),IF(Main_S[[#This Row],[BVPS]]&lt;&gt;0,Main_S[[#This Row],[Current Price]]/Main_S[[#This Row],[BVPS]],""),"")</f>
        <v>1.1104294478527608</v>
      </c>
      <c r="J26">
        <v>5.64</v>
      </c>
      <c r="K26">
        <v>4.9000000000000004</v>
      </c>
      <c r="L26">
        <v>3.83</v>
      </c>
      <c r="M26" s="1">
        <f>IF(ISNUMBER(Main_S[[#This Row],[EPS]]),IF(Main_S[[#This Row],[EPS]]&lt;&gt;0,Main_S[[#This Row],[Current Price]]/Main_S[[#This Row],[EPS]],""),"")</f>
        <v>18.099999999999998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-0.11291516774465776</v>
      </c>
      <c r="P26" s="1">
        <f>(Main_S[[#This Row],[P/B]]-VLOOKUP(Main_S[[#This Row],[Industry]], Mean_PB_S, 2, FALSE))/(VLOOKUP(Main_S[[#This Row],[Industry]], Mean_PB_S, 3, FALSE))</f>
        <v>-0.289672327703484</v>
      </c>
      <c r="Q26" s="1">
        <f>(Main_S[[#This Row],[ROE]]-VLOOKUP(Main_S[[#This Row],[Industry]], Mean_ROE_S, 2, FALSE))/(VLOOKUP(Main_S[[#This Row],[Industry]], Mean_ROE_S, 3, FALSE))</f>
        <v>0.36469124913133899</v>
      </c>
      <c r="R26" s="1">
        <f>(Main_S[[#This Row],[ROA]]-VLOOKUP(Main_S[[#This Row],[Industry]], Mean_ROA_S, 2, FALSE))/(VLOOKUP(Main_S[[#This Row],[Industry]], Mean_ROA_S, 3, FALSE))</f>
        <v>1.3234922610674751</v>
      </c>
      <c r="S26" s="1">
        <f>(Main_S[[#This Row],[A/E]]-VLOOKUP(Main_S[[#This Row],[Industry]], Mean_AE_S, 2, FALSE))/(VLOOKUP(Main_S[[#This Row],[Industry]], Mean_AE_S, 3, FALSE))</f>
        <v>3.8232369723933117</v>
      </c>
      <c r="T26" s="1">
        <f>(Main_S[[#This Row],[P/E]]-VLOOKUP(Main_S[[#This Row],[Industry]], Mean_PE_S, 2, FALSE))/(VLOOKUP(Main_S[[#This Row],[Industry]], Mean_PE_S, 3, FALSE))</f>
        <v>0.48389953875770975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t="s">
        <v>109</v>
      </c>
      <c r="B27" t="s">
        <v>259</v>
      </c>
      <c r="C27" s="2">
        <v>575</v>
      </c>
      <c r="D27">
        <f>RTD("tos.rtd", , "LAST", Main_S[[#This Row],[Symbol]])</f>
        <v>1.39</v>
      </c>
      <c r="E27">
        <v>-0.05</v>
      </c>
      <c r="F27">
        <v>1.19</v>
      </c>
      <c r="G27">
        <v>-0.25</v>
      </c>
      <c r="H27" s="1">
        <f>IF(ISNUMBER(Main_S[[#This Row],[Free CF]]),IF(Main_S[[#This Row],[Free CF]]&lt;&gt;0,Main_S[[#This Row],[Current Price]]/Main_S[[#This Row],[Free CF]],""),"")</f>
        <v>-27.799999999999997</v>
      </c>
      <c r="I27" s="1">
        <f>IF(ISNUMBER(Main_S[[#This Row],[BVPS]]),IF(Main_S[[#This Row],[BVPS]]&lt;&gt;0,Main_S[[#This Row],[Current Price]]/Main_S[[#This Row],[BVPS]],""),"")</f>
        <v>1.1680672268907564</v>
      </c>
      <c r="J27">
        <v>-19.38</v>
      </c>
      <c r="K27">
        <v>-10.28</v>
      </c>
      <c r="L27">
        <v>1.1299999999999999</v>
      </c>
      <c r="M27" s="1">
        <f>IF(ISNUMBER(Main_S[[#This Row],[EPS]]),IF(Main_S[[#This Row],[EPS]]&lt;&gt;0,Main_S[[#This Row],[Current Price]]/Main_S[[#This Row],[EPS]],""),"")</f>
        <v>-5.56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-3.2352927993622753</v>
      </c>
      <c r="P27" s="1">
        <f>(Main_S[[#This Row],[P/B]]-VLOOKUP(Main_S[[#This Row],[Industry]], Mean_PB_S, 2, FALSE))/(VLOOKUP(Main_S[[#This Row],[Industry]], Mean_PB_S, 3, FALSE))</f>
        <v>-0.22173179043726984</v>
      </c>
      <c r="Q27" s="1">
        <f>(Main_S[[#This Row],[ROE]]-VLOOKUP(Main_S[[#This Row],[Industry]], Mean_ROE_S, 2, FALSE))/(VLOOKUP(Main_S[[#This Row],[Industry]], Mean_ROE_S, 3, FALSE))</f>
        <v>-1.5127933297299991</v>
      </c>
      <c r="R27" s="1">
        <f>(Main_S[[#This Row],[ROA]]-VLOOKUP(Main_S[[#This Row],[Industry]], Mean_ROA_S, 2, FALSE))/(VLOOKUP(Main_S[[#This Row],[Industry]], Mean_ROA_S, 3, FALSE))</f>
        <v>-4.6318767518544526</v>
      </c>
      <c r="S27" s="1">
        <f>(Main_S[[#This Row],[A/E]]-VLOOKUP(Main_S[[#This Row],[Industry]], Mean_AE_S, 2, FALSE))/(VLOOKUP(Main_S[[#This Row],[Industry]], Mean_AE_S, 3, FALSE))</f>
        <v>-1.3067828193878852</v>
      </c>
      <c r="T27" s="1">
        <f>(Main_S[[#This Row],[P/E]]-VLOOKUP(Main_S[[#This Row],[Industry]], Mean_PE_S, 2, FALSE))/(VLOOKUP(Main_S[[#This Row],[Industry]], Mean_PE_S, 3, FALSE))</f>
        <v>-0.57062157808770764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t="s">
        <v>109</v>
      </c>
      <c r="B28" t="s">
        <v>260</v>
      </c>
      <c r="C28" s="2">
        <v>554</v>
      </c>
      <c r="D28">
        <f>RTD("tos.rtd", , "LAST", Main_S[[#This Row],[Symbol]])</f>
        <v>10.36</v>
      </c>
      <c r="E28">
        <v>1.23</v>
      </c>
      <c r="F28">
        <v>0.14000000000000001</v>
      </c>
      <c r="G28">
        <v>0.28000000000000003</v>
      </c>
      <c r="H28" s="1">
        <f>IF(ISNUMBER(Main_S[[#This Row],[Free CF]]),IF(Main_S[[#This Row],[Free CF]]&lt;&gt;0,Main_S[[#This Row],[Current Price]]/Main_S[[#This Row],[Free CF]],""),"")</f>
        <v>8.4227642276422756</v>
      </c>
      <c r="I28" s="1">
        <f>IF(ISNUMBER(Main_S[[#This Row],[BVPS]]),IF(Main_S[[#This Row],[BVPS]]&lt;&gt;0,Main_S[[#This Row],[Current Price]]/Main_S[[#This Row],[BVPS]],""),"")</f>
        <v>73.999999999999986</v>
      </c>
      <c r="J28">
        <v>-32.58</v>
      </c>
      <c r="K28">
        <v>22.51</v>
      </c>
      <c r="L28">
        <v>30.3</v>
      </c>
      <c r="M28" s="1">
        <f>IF(ISNUMBER(Main_S[[#This Row],[EPS]]),IF(Main_S[[#This Row],[EPS]]&lt;&gt;0,Main_S[[#This Row],[Current Price]]/Main_S[[#This Row],[EPS]],""),"")</f>
        <v>36.999999999999993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-0.39830746207760032</v>
      </c>
      <c r="P28" s="1">
        <f>(Main_S[[#This Row],[P/B]]-VLOOKUP(Main_S[[#This Row],[Industry]], Mean_PB_S, 2, FALSE))/(VLOOKUP(Main_S[[#This Row],[Industry]], Mean_PB_S, 3, FALSE))</f>
        <v>85.62891556847444</v>
      </c>
      <c r="Q28" s="1">
        <f>(Main_S[[#This Row],[ROE]]-VLOOKUP(Main_S[[#This Row],[Industry]], Mean_ROE_S, 2, FALSE))/(VLOOKUP(Main_S[[#This Row],[Industry]], Mean_ROE_S, 3, FALSE))</f>
        <v>-2.5033127718151174</v>
      </c>
      <c r="R28" s="1">
        <f>(Main_S[[#This Row],[ROA]]-VLOOKUP(Main_S[[#This Row],[Industry]], Mean_ROA_S, 2, FALSE))/(VLOOKUP(Main_S[[#This Row],[Industry]], Mean_ROA_S, 3, FALSE))</f>
        <v>8.2321910962160363</v>
      </c>
      <c r="S28" s="1">
        <f>(Main_S[[#This Row],[A/E]]-VLOOKUP(Main_S[[#This Row],[Industry]], Mean_AE_S, 2, FALSE))/(VLOOKUP(Main_S[[#This Row],[Industry]], Mean_AE_S, 3, FALSE))</f>
        <v>54.116431005151931</v>
      </c>
      <c r="T28" s="1">
        <f>(Main_S[[#This Row],[P/E]]-VLOOKUP(Main_S[[#This Row],[Industry]], Mean_PE_S, 2, FALSE))/(VLOOKUP(Main_S[[#This Row],[Industry]], Mean_PE_S, 3, FALSE))</f>
        <v>1.326268478249611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" spans="1:26" x14ac:dyDescent="0.25">
      <c r="A29" t="s">
        <v>109</v>
      </c>
      <c r="B29" t="s">
        <v>261</v>
      </c>
      <c r="C29" s="2">
        <v>954</v>
      </c>
      <c r="D29">
        <f>RTD("tos.rtd", , "LAST", Main_S[[#This Row],[Symbol]])</f>
        <v>6.4</v>
      </c>
      <c r="E29">
        <v>1</v>
      </c>
      <c r="F29">
        <v>9.39</v>
      </c>
      <c r="G29">
        <v>0.76</v>
      </c>
      <c r="H29" s="1">
        <f>IF(ISNUMBER(Main_S[[#This Row],[Free CF]]),IF(Main_S[[#This Row],[Free CF]]&lt;&gt;0,Main_S[[#This Row],[Current Price]]/Main_S[[#This Row],[Free CF]],""),"")</f>
        <v>6.4</v>
      </c>
      <c r="I29" s="1">
        <f>IF(ISNUMBER(Main_S[[#This Row],[BVPS]]),IF(Main_S[[#This Row],[BVPS]]&lt;&gt;0,Main_S[[#This Row],[Current Price]]/Main_S[[#This Row],[BVPS]],""),"")</f>
        <v>0.68157614483493079</v>
      </c>
      <c r="J29">
        <v>8.8800000000000008</v>
      </c>
      <c r="K29">
        <v>5.54</v>
      </c>
      <c r="L29">
        <v>1.63</v>
      </c>
      <c r="M29" s="1">
        <f>IF(ISNUMBER(Main_S[[#This Row],[EPS]]),IF(Main_S[[#This Row],[EPS]]&lt;&gt;0,Main_S[[#This Row],[Current Price]]/Main_S[[#This Row],[EPS]],""),"")</f>
        <v>8.4210526315789469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-0.55673138628562358</v>
      </c>
      <c r="P29" s="1">
        <f>(Main_S[[#This Row],[P/B]]-VLOOKUP(Main_S[[#This Row],[Industry]], Mean_PB_S, 2, FALSE))/(VLOOKUP(Main_S[[#This Row],[Industry]], Mean_PB_S, 3, FALSE))</f>
        <v>-0.79518319751362587</v>
      </c>
      <c r="Q29" s="1">
        <f>(Main_S[[#This Row],[ROE]]-VLOOKUP(Main_S[[#This Row],[Industry]], Mean_ROE_S, 2, FALSE))/(VLOOKUP(Main_S[[#This Row],[Industry]], Mean_ROE_S, 3, FALSE))</f>
        <v>0.60781874855223184</v>
      </c>
      <c r="R29" s="1">
        <f>(Main_S[[#This Row],[ROA]]-VLOOKUP(Main_S[[#This Row],[Industry]], Mean_ROA_S, 2, FALSE))/(VLOOKUP(Main_S[[#This Row],[Industry]], Mean_ROA_S, 3, FALSE))</f>
        <v>1.5745750126004152</v>
      </c>
      <c r="S29" s="1">
        <f>(Main_S[[#This Row],[A/E]]-VLOOKUP(Main_S[[#This Row],[Industry]], Mean_AE_S, 2, FALSE))/(VLOOKUP(Main_S[[#This Row],[Industry]], Mean_AE_S, 3, FALSE))</f>
        <v>-0.3567791542432191</v>
      </c>
      <c r="T29" s="1">
        <f>(Main_S[[#This Row],[P/E]]-VLOOKUP(Main_S[[#This Row],[Industry]], Mean_PE_S, 2, FALSE))/(VLOOKUP(Main_S[[#This Row],[Industry]], Mean_PE_S, 3, FALSE))</f>
        <v>5.2510933988674173E-2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t="s">
        <v>109</v>
      </c>
      <c r="B30" t="s">
        <v>262</v>
      </c>
      <c r="C30" s="2">
        <v>317</v>
      </c>
      <c r="D30">
        <f>RTD("tos.rtd", , "LAST", Main_S[[#This Row],[Symbol]])</f>
        <v>3.1</v>
      </c>
      <c r="E30">
        <v>1.04</v>
      </c>
      <c r="F30">
        <v>4.62</v>
      </c>
      <c r="G30">
        <v>-0.11</v>
      </c>
      <c r="H30" s="1">
        <f>IF(ISNUMBER(Main_S[[#This Row],[Free CF]]),IF(Main_S[[#This Row],[Free CF]]&lt;&gt;0,Main_S[[#This Row],[Current Price]]/Main_S[[#This Row],[Free CF]],""),"")</f>
        <v>2.9807692307692308</v>
      </c>
      <c r="I30" s="1">
        <f>IF(ISNUMBER(Main_S[[#This Row],[BVPS]]),IF(Main_S[[#This Row],[BVPS]]&lt;&gt;0,Main_S[[#This Row],[Current Price]]/Main_S[[#This Row],[BVPS]],""),"")</f>
        <v>0.67099567099567103</v>
      </c>
      <c r="J30">
        <v>-0.31</v>
      </c>
      <c r="K30">
        <v>0.17</v>
      </c>
      <c r="L30">
        <v>2.37</v>
      </c>
      <c r="M30" s="1">
        <f>IF(ISNUMBER(Main_S[[#This Row],[EPS]]),IF(Main_S[[#This Row],[EPS]]&lt;&gt;0,Main_S[[#This Row],[Current Price]]/Main_S[[#This Row],[EPS]],""),"")</f>
        <v>-28.181818181818183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-0.8245272810477855</v>
      </c>
      <c r="P30" s="1">
        <f>(Main_S[[#This Row],[P/B]]-VLOOKUP(Main_S[[#This Row],[Industry]], Mean_PB_S, 2, FALSE))/(VLOOKUP(Main_S[[#This Row],[Industry]], Mean_PB_S, 3, FALSE))</f>
        <v>-0.80765493201083061</v>
      </c>
      <c r="Q30" s="1">
        <f>(Main_S[[#This Row],[ROE]]-VLOOKUP(Main_S[[#This Row],[Industry]], Mean_ROE_S, 2, FALSE))/(VLOOKUP(Main_S[[#This Row],[Industry]], Mean_ROE_S, 3, FALSE))</f>
        <v>-8.1792893323695409E-2</v>
      </c>
      <c r="R30" s="1">
        <f>(Main_S[[#This Row],[ROA]]-VLOOKUP(Main_S[[#This Row],[Industry]], Mean_ROA_S, 2, FALSE))/(VLOOKUP(Main_S[[#This Row],[Industry]], Mean_ROA_S, 3, FALSE))</f>
        <v>-0.53216619948066202</v>
      </c>
      <c r="S30" s="1">
        <f>(Main_S[[#This Row],[A/E]]-VLOOKUP(Main_S[[#This Row],[Industry]], Mean_AE_S, 2, FALSE))/(VLOOKUP(Main_S[[#This Row],[Industry]], Mean_AE_S, 3, FALSE))</f>
        <v>1.049226270170887</v>
      </c>
      <c r="T30" s="1">
        <f>(Main_S[[#This Row],[P/E]]-VLOOKUP(Main_S[[#This Row],[Industry]], Mean_PE_S, 2, FALSE))/(VLOOKUP(Main_S[[#This Row],[Industry]], Mean_PE_S, 3, FALSE))</f>
        <v>-1.5788711543415064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t="s">
        <v>109</v>
      </c>
      <c r="B31" t="s">
        <v>263</v>
      </c>
      <c r="C31" s="2">
        <v>1032</v>
      </c>
      <c r="D31">
        <f>RTD("tos.rtd", , "LAST", Main_S[[#This Row],[Symbol]])</f>
        <v>16.38</v>
      </c>
      <c r="E31">
        <v>0.59</v>
      </c>
      <c r="F31">
        <v>3.97</v>
      </c>
      <c r="G31">
        <v>-0.22</v>
      </c>
      <c r="H31" s="1">
        <f>IF(ISNUMBER(Main_S[[#This Row],[Free CF]]),IF(Main_S[[#This Row],[Free CF]]&lt;&gt;0,Main_S[[#This Row],[Current Price]]/Main_S[[#This Row],[Free CF]],""),"")</f>
        <v>27.762711864406779</v>
      </c>
      <c r="I31" s="1">
        <f>IF(ISNUMBER(Main_S[[#This Row],[BVPS]]),IF(Main_S[[#This Row],[BVPS]]&lt;&gt;0,Main_S[[#This Row],[Current Price]]/Main_S[[#This Row],[BVPS]],""),"")</f>
        <v>4.1259445843828715</v>
      </c>
      <c r="J31">
        <v>-5.52</v>
      </c>
      <c r="K31">
        <v>0.31</v>
      </c>
      <c r="L31">
        <v>1.83</v>
      </c>
      <c r="M31" s="1">
        <f>IF(ISNUMBER(Main_S[[#This Row],[EPS]]),IF(Main_S[[#This Row],[EPS]]&lt;&gt;0,Main_S[[#This Row],[Current Price]]/Main_S[[#This Row],[EPS]],""),"")</f>
        <v>-74.454545454545453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1.116407083851066</v>
      </c>
      <c r="P31" s="1">
        <f>(Main_S[[#This Row],[P/B]]-VLOOKUP(Main_S[[#This Row],[Industry]], Mean_PB_S, 2, FALSE))/(VLOOKUP(Main_S[[#This Row],[Industry]], Mean_PB_S, 3, FALSE))</f>
        <v>3.2648664128541642</v>
      </c>
      <c r="Q31" s="1">
        <f>(Main_S[[#This Row],[ROE]]-VLOOKUP(Main_S[[#This Row],[Industry]], Mean_ROE_S, 2, FALSE))/(VLOOKUP(Main_S[[#This Row],[Industry]], Mean_ROE_S, 3, FALSE))</f>
        <v>-0.47274791554062467</v>
      </c>
      <c r="R31" s="1">
        <f>(Main_S[[#This Row],[ROA]]-VLOOKUP(Main_S[[#This Row],[Industry]], Mean_ROA_S, 2, FALSE))/(VLOOKUP(Main_S[[#This Row],[Industry]], Mean_ROA_S, 3, FALSE))</f>
        <v>-0.47724184758283134</v>
      </c>
      <c r="S31" s="1">
        <f>(Main_S[[#This Row],[A/E]]-VLOOKUP(Main_S[[#This Row],[Industry]], Mean_AE_S, 2, FALSE))/(VLOOKUP(Main_S[[#This Row],[Industry]], Mean_AE_S, 3, FALSE))</f>
        <v>2.3222311814647647E-2</v>
      </c>
      <c r="T31" s="1">
        <f>(Main_S[[#This Row],[P/E]]-VLOOKUP(Main_S[[#This Row],[Industry]], Mean_PE_S, 2, FALSE))/(VLOOKUP(Main_S[[#This Row],[Industry]], Mean_PE_S, 3, FALSE))</f>
        <v>-3.6412366675756478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2" spans="1:26" x14ac:dyDescent="0.25">
      <c r="A32" t="s">
        <v>109</v>
      </c>
      <c r="B32" t="s">
        <v>264</v>
      </c>
      <c r="C32" s="2">
        <v>611</v>
      </c>
      <c r="D32">
        <f>RTD("tos.rtd", , "LAST", Main_S[[#This Row],[Symbol]])</f>
        <v>19.34</v>
      </c>
      <c r="E32">
        <v>0.06</v>
      </c>
      <c r="F32">
        <v>15.68</v>
      </c>
      <c r="G32">
        <v>1.0900000000000001</v>
      </c>
      <c r="H32" s="1">
        <f>IF(ISNUMBER(Main_S[[#This Row],[Free CF]]),IF(Main_S[[#This Row],[Free CF]]&lt;&gt;0,Main_S[[#This Row],[Current Price]]/Main_S[[#This Row],[Free CF]],""),"")</f>
        <v>322.33333333333337</v>
      </c>
      <c r="I32" s="1">
        <f>IF(ISNUMBER(Main_S[[#This Row],[BVPS]]),IF(Main_S[[#This Row],[BVPS]]&lt;&gt;0,Main_S[[#This Row],[Current Price]]/Main_S[[#This Row],[BVPS]],""),"")</f>
        <v>1.2334183673469388</v>
      </c>
      <c r="J32">
        <v>7.07</v>
      </c>
      <c r="K32">
        <v>3.75</v>
      </c>
      <c r="L32">
        <v>2.42</v>
      </c>
      <c r="M32" s="1">
        <f>IF(ISNUMBER(Main_S[[#This Row],[EPS]]),IF(Main_S[[#This Row],[EPS]]&lt;&gt;0,Main_S[[#This Row],[Current Price]]/Main_S[[#This Row],[EPS]],""),"")</f>
        <v>17.743119266055043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24.187328139192456</v>
      </c>
      <c r="P32" s="1">
        <f>(Main_S[[#This Row],[P/B]]-VLOOKUP(Main_S[[#This Row],[Industry]], Mean_PB_S, 2, FALSE))/(VLOOKUP(Main_S[[#This Row],[Industry]], Mean_PB_S, 3, FALSE))</f>
        <v>-0.14469912770010998</v>
      </c>
      <c r="Q32" s="1">
        <f>(Main_S[[#This Row],[ROE]]-VLOOKUP(Main_S[[#This Row],[Industry]], Mean_ROE_S, 2, FALSE))/(VLOOKUP(Main_S[[#This Row],[Industry]], Mean_ROE_S, 3, FALSE))</f>
        <v>0.47199752202389356</v>
      </c>
      <c r="R32" s="1">
        <f>(Main_S[[#This Row],[ROA]]-VLOOKUP(Main_S[[#This Row],[Industry]], Mean_ROA_S, 2, FALSE))/(VLOOKUP(Main_S[[#This Row],[Industry]], Mean_ROA_S, 3, FALSE))</f>
        <v>0.8723279419067228</v>
      </c>
      <c r="S32" s="1">
        <f>(Main_S[[#This Row],[A/E]]-VLOOKUP(Main_S[[#This Row],[Industry]], Mean_AE_S, 2, FALSE))/(VLOOKUP(Main_S[[#This Row],[Industry]], Mean_AE_S, 3, FALSE))</f>
        <v>1.1442266366853533</v>
      </c>
      <c r="T32" s="1">
        <f>(Main_S[[#This Row],[P/E]]-VLOOKUP(Main_S[[#This Row],[Industry]], Mean_PE_S, 2, FALSE))/(VLOOKUP(Main_S[[#This Row],[Industry]], Mean_PE_S, 3, FALSE))</f>
        <v>0.46799344111864605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t="s">
        <v>109</v>
      </c>
      <c r="B33" t="s">
        <v>265</v>
      </c>
      <c r="C33" s="2">
        <v>1037</v>
      </c>
      <c r="D33">
        <f>RTD("tos.rtd", , "LAST", Main_S[[#This Row],[Symbol]])</f>
        <v>3.4</v>
      </c>
      <c r="E33">
        <v>0.43</v>
      </c>
      <c r="F33">
        <v>3.12</v>
      </c>
      <c r="G33">
        <v>-0.01</v>
      </c>
      <c r="H33" s="1">
        <f>IF(ISNUMBER(Main_S[[#This Row],[Free CF]]),IF(Main_S[[#This Row],[Free CF]]&lt;&gt;0,Main_S[[#This Row],[Current Price]]/Main_S[[#This Row],[Free CF]],""),"")</f>
        <v>7.9069767441860463</v>
      </c>
      <c r="I33" s="1">
        <f>IF(ISNUMBER(Main_S[[#This Row],[BVPS]]),IF(Main_S[[#This Row],[BVPS]]&lt;&gt;0,Main_S[[#This Row],[Current Price]]/Main_S[[#This Row],[BVPS]],""),"")</f>
        <v>1.0897435897435896</v>
      </c>
      <c r="J33">
        <v>-0.36</v>
      </c>
      <c r="K33">
        <v>0.95</v>
      </c>
      <c r="L33">
        <v>1.63</v>
      </c>
      <c r="M33" s="1">
        <f>IF(ISNUMBER(Main_S[[#This Row],[EPS]]),IF(Main_S[[#This Row],[EPS]]&lt;&gt;0,Main_S[[#This Row],[Current Price]]/Main_S[[#This Row],[EPS]],""),"")</f>
        <v>-340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-0.43870420039730113</v>
      </c>
      <c r="P33" s="1">
        <f>(Main_S[[#This Row],[P/B]]-VLOOKUP(Main_S[[#This Row],[Industry]], Mean_PB_S, 2, FALSE))/(VLOOKUP(Main_S[[#This Row],[Industry]], Mean_PB_S, 3, FALSE))</f>
        <v>-0.31405578482495455</v>
      </c>
      <c r="Q33" s="1">
        <f>(Main_S[[#This Row],[ROE]]-VLOOKUP(Main_S[[#This Row],[Industry]], Mean_ROE_S, 2, FALSE))/(VLOOKUP(Main_S[[#This Row],[Industry]], Mean_ROE_S, 3, FALSE))</f>
        <v>-8.5544860907351139E-2</v>
      </c>
      <c r="R33" s="1">
        <f>(Main_S[[#This Row],[ROA]]-VLOOKUP(Main_S[[#This Row],[Industry]], Mean_ROA_S, 2, FALSE))/(VLOOKUP(Main_S[[#This Row],[Industry]], Mean_ROA_S, 3, FALSE))</f>
        <v>-0.22615909604989107</v>
      </c>
      <c r="S33" s="1">
        <f>(Main_S[[#This Row],[A/E]]-VLOOKUP(Main_S[[#This Row],[Industry]], Mean_AE_S, 2, FALSE))/(VLOOKUP(Main_S[[#This Row],[Industry]], Mean_AE_S, 3, FALSE))</f>
        <v>-0.3567791542432191</v>
      </c>
      <c r="T33" s="1">
        <f>(Main_S[[#This Row],[P/E]]-VLOOKUP(Main_S[[#This Row],[Industry]], Mean_PE_S, 2, FALSE))/(VLOOKUP(Main_S[[#This Row],[Industry]], Mean_PE_S, 3, FALSE))</f>
        <v>-15.476540526430119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4" spans="1:26" x14ac:dyDescent="0.25">
      <c r="A34" t="s">
        <v>109</v>
      </c>
      <c r="B34" t="s">
        <v>266</v>
      </c>
      <c r="C34" s="2">
        <v>1696</v>
      </c>
      <c r="D34">
        <f>RTD("tos.rtd", , "LAST", Main_S[[#This Row],[Symbol]])</f>
        <v>15.67</v>
      </c>
      <c r="E34">
        <v>0.5</v>
      </c>
      <c r="F34">
        <v>6.73</v>
      </c>
      <c r="G34">
        <v>0.04</v>
      </c>
      <c r="H34" s="1">
        <f>IF(ISNUMBER(Main_S[[#This Row],[Free CF]]),IF(Main_S[[#This Row],[Free CF]]&lt;&gt;0,Main_S[[#This Row],[Current Price]]/Main_S[[#This Row],[Free CF]],""),"")</f>
        <v>31.34</v>
      </c>
      <c r="I34" s="1">
        <f>IF(ISNUMBER(Main_S[[#This Row],[BVPS]]),IF(Main_S[[#This Row],[BVPS]]&lt;&gt;0,Main_S[[#This Row],[Current Price]]/Main_S[[#This Row],[BVPS]],""),"")</f>
        <v>2.328380386329866</v>
      </c>
      <c r="J34">
        <v>0.55000000000000004</v>
      </c>
      <c r="K34">
        <v>3.02</v>
      </c>
      <c r="L34">
        <v>2.72</v>
      </c>
      <c r="M34" s="1">
        <f>IF(ISNUMBER(Main_S[[#This Row],[EPS]]),IF(Main_S[[#This Row],[EPS]]&lt;&gt;0,Main_S[[#This Row],[Current Price]]/Main_S[[#This Row],[EPS]],""),"")</f>
        <v>391.75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1.3965821120223207</v>
      </c>
      <c r="P34" s="1">
        <f>(Main_S[[#This Row],[P/B]]-VLOOKUP(Main_S[[#This Row],[Industry]], Mean_PB_S, 2, FALSE))/(VLOOKUP(Main_S[[#This Row],[Industry]], Mean_PB_S, 3, FALSE))</f>
        <v>1.1459874514402533</v>
      </c>
      <c r="Q34" s="1">
        <f>(Main_S[[#This Row],[ROE]]-VLOOKUP(Main_S[[#This Row],[Industry]], Mean_ROE_S, 2, FALSE))/(VLOOKUP(Main_S[[#This Row],[Industry]], Mean_ROE_S, 3, FALSE))</f>
        <v>-1.7259050884816472E-2</v>
      </c>
      <c r="R34" s="1">
        <f>(Main_S[[#This Row],[ROA]]-VLOOKUP(Main_S[[#This Row],[Industry]], Mean_ROA_S, 2, FALSE))/(VLOOKUP(Main_S[[#This Row],[Industry]], Mean_ROA_S, 3, FALSE))</f>
        <v>0.58593667843946273</v>
      </c>
      <c r="S34" s="1">
        <f>(Main_S[[#This Row],[A/E]]-VLOOKUP(Main_S[[#This Row],[Industry]], Mean_AE_S, 2, FALSE))/(VLOOKUP(Main_S[[#This Row],[Industry]], Mean_AE_S, 3, FALSE))</f>
        <v>1.7142288357721533</v>
      </c>
      <c r="T34" s="1">
        <f>(Main_S[[#This Row],[P/E]]-VLOOKUP(Main_S[[#This Row],[Industry]], Mean_PE_S, 2, FALSE))/(VLOOKUP(Main_S[[#This Row],[Industry]], Mean_PE_S, 3, FALSE))</f>
        <v>17.137399763157127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5" spans="1:26" x14ac:dyDescent="0.25">
      <c r="A35" t="s">
        <v>109</v>
      </c>
      <c r="B35" t="s">
        <v>267</v>
      </c>
      <c r="C35" s="2">
        <v>325</v>
      </c>
      <c r="D35">
        <f>RTD("tos.rtd", , "LAST", Main_S[[#This Row],[Symbol]])</f>
        <v>4.75</v>
      </c>
      <c r="E35">
        <v>0.15</v>
      </c>
      <c r="F35">
        <v>2.94</v>
      </c>
      <c r="G35">
        <v>-0.38</v>
      </c>
      <c r="H35" s="1">
        <f>IF(ISNUMBER(Main_S[[#This Row],[Free CF]]),IF(Main_S[[#This Row],[Free CF]]&lt;&gt;0,Main_S[[#This Row],[Current Price]]/Main_S[[#This Row],[Free CF]],""),"")</f>
        <v>31.666666666666668</v>
      </c>
      <c r="I35" s="1">
        <f>IF(ISNUMBER(Main_S[[#This Row],[BVPS]]),IF(Main_S[[#This Row],[BVPS]]&lt;&gt;0,Main_S[[#This Row],[Current Price]]/Main_S[[#This Row],[BVPS]],""),"")</f>
        <v>1.6156462585034015</v>
      </c>
      <c r="J35">
        <v>-11.61</v>
      </c>
      <c r="K35">
        <v>0</v>
      </c>
      <c r="L35">
        <v>1.58</v>
      </c>
      <c r="M35" s="1">
        <f>IF(ISNUMBER(Main_S[[#This Row],[EPS]]),IF(Main_S[[#This Row],[EPS]]&lt;&gt;0,Main_S[[#This Row],[Current Price]]/Main_S[[#This Row],[EPS]],""),"")</f>
        <v>-12.5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1.4221668116793884</v>
      </c>
      <c r="P35" s="1">
        <f>(Main_S[[#This Row],[P/B]]-VLOOKUP(Main_S[[#This Row],[Industry]], Mean_PB_S, 2, FALSE))/(VLOOKUP(Main_S[[#This Row],[Industry]], Mean_PB_S, 3, FALSE))</f>
        <v>0.30585203365159908</v>
      </c>
      <c r="Q35" s="1">
        <f>(Main_S[[#This Row],[ROE]]-VLOOKUP(Main_S[[#This Row],[Industry]], Mean_ROE_S, 2, FALSE))/(VLOOKUP(Main_S[[#This Row],[Industry]], Mean_ROE_S, 3, FALSE))</f>
        <v>-0.92973756722989531</v>
      </c>
      <c r="R35" s="1">
        <f>(Main_S[[#This Row],[ROA]]-VLOOKUP(Main_S[[#This Row],[Industry]], Mean_ROA_S, 2, FALSE))/(VLOOKUP(Main_S[[#This Row],[Industry]], Mean_ROA_S, 3, FALSE))</f>
        <v>-0.59886005535659925</v>
      </c>
      <c r="S35" s="1">
        <f>(Main_S[[#This Row],[A/E]]-VLOOKUP(Main_S[[#This Row],[Industry]], Mean_AE_S, 2, FALSE))/(VLOOKUP(Main_S[[#This Row],[Industry]], Mean_AE_S, 3, FALSE))</f>
        <v>-0.45177952075768535</v>
      </c>
      <c r="T35" s="1">
        <f>(Main_S[[#This Row],[P/E]]-VLOOKUP(Main_S[[#This Row],[Industry]], Mean_PE_S, 2, FALSE))/(VLOOKUP(Main_S[[#This Row],[Industry]], Mean_PE_S, 3, FALSE))</f>
        <v>-0.8799358870863212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t="s">
        <v>109</v>
      </c>
      <c r="B36" t="s">
        <v>268</v>
      </c>
      <c r="C36" s="2">
        <v>770</v>
      </c>
      <c r="D36">
        <f>RTD("tos.rtd", , "LAST", Main_S[[#This Row],[Symbol]])</f>
        <v>4.8600000000000003</v>
      </c>
      <c r="E36">
        <v>0.28999999999999998</v>
      </c>
      <c r="F36">
        <v>2.37</v>
      </c>
      <c r="G36">
        <v>0.1</v>
      </c>
      <c r="H36" s="1">
        <f>IF(ISNUMBER(Main_S[[#This Row],[Free CF]]),IF(Main_S[[#This Row],[Free CF]]&lt;&gt;0,Main_S[[#This Row],[Current Price]]/Main_S[[#This Row],[Free CF]],""),"")</f>
        <v>16.758620689655174</v>
      </c>
      <c r="I36" s="1">
        <f>IF(ISNUMBER(Main_S[[#This Row],[BVPS]]),IF(Main_S[[#This Row],[BVPS]]&lt;&gt;0,Main_S[[#This Row],[Current Price]]/Main_S[[#This Row],[BVPS]],""),"")</f>
        <v>2.0506329113924049</v>
      </c>
      <c r="J36">
        <v>4.3899999999999997</v>
      </c>
      <c r="K36">
        <v>1.24</v>
      </c>
      <c r="L36">
        <v>1.58</v>
      </c>
      <c r="M36" s="1">
        <f>IF(ISNUMBER(Main_S[[#This Row],[EPS]]),IF(Main_S[[#This Row],[EPS]]&lt;&gt;0,Main_S[[#This Row],[Current Price]]/Main_S[[#This Row],[EPS]],""),"")</f>
        <v>48.6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0.2545610602643123</v>
      </c>
      <c r="P36" s="1">
        <f>(Main_S[[#This Row],[P/B]]-VLOOKUP(Main_S[[#This Row],[Industry]], Mean_PB_S, 2, FALSE))/(VLOOKUP(Main_S[[#This Row],[Industry]], Mean_PB_S, 3, FALSE))</f>
        <v>0.81859259017840802</v>
      </c>
      <c r="Q36" s="1">
        <f>(Main_S[[#This Row],[ROE]]-VLOOKUP(Main_S[[#This Row],[Industry]], Mean_ROE_S, 2, FALSE))/(VLOOKUP(Main_S[[#This Row],[Industry]], Mean_ROE_S, 3, FALSE))</f>
        <v>0.27089205953994522</v>
      </c>
      <c r="R36" s="1">
        <f>(Main_S[[#This Row],[ROA]]-VLOOKUP(Main_S[[#This Row],[Industry]], Mean_ROA_S, 2, FALSE))/(VLOOKUP(Main_S[[#This Row],[Industry]], Mean_ROA_S, 3, FALSE))</f>
        <v>-0.11238722426152747</v>
      </c>
      <c r="S36" s="1">
        <f>(Main_S[[#This Row],[A/E]]-VLOOKUP(Main_S[[#This Row],[Industry]], Mean_AE_S, 2, FALSE))/(VLOOKUP(Main_S[[#This Row],[Industry]], Mean_AE_S, 3, FALSE))</f>
        <v>-0.45177952075768535</v>
      </c>
      <c r="T36" s="1">
        <f>(Main_S[[#This Row],[P/E]]-VLOOKUP(Main_S[[#This Row],[Industry]], Mean_PE_S, 2, FALSE))/(VLOOKUP(Main_S[[#This Row],[Industry]], Mean_PE_S, 3, FALSE))</f>
        <v>1.8432779860859108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t="s">
        <v>109</v>
      </c>
      <c r="B37" t="s">
        <v>269</v>
      </c>
      <c r="C37" s="2">
        <v>1069</v>
      </c>
      <c r="D37">
        <f>RTD("tos.rtd", , "LAST", Main_S[[#This Row],[Symbol]])</f>
        <v>6.51</v>
      </c>
      <c r="E37">
        <v>0.14000000000000001</v>
      </c>
      <c r="F37">
        <v>1.38</v>
      </c>
      <c r="G37">
        <v>0.06</v>
      </c>
      <c r="H37" s="1">
        <f>IF(ISNUMBER(Main_S[[#This Row],[Free CF]]),IF(Main_S[[#This Row],[Free CF]]&lt;&gt;0,Main_S[[#This Row],[Current Price]]/Main_S[[#This Row],[Free CF]],""),"")</f>
        <v>46.499999999999993</v>
      </c>
      <c r="I37" s="1">
        <f>IF(ISNUMBER(Main_S[[#This Row],[BVPS]]),IF(Main_S[[#This Row],[BVPS]]&lt;&gt;0,Main_S[[#This Row],[Current Price]]/Main_S[[#This Row],[BVPS]],""),"")</f>
        <v>4.7173913043478262</v>
      </c>
      <c r="J37">
        <v>4.84</v>
      </c>
      <c r="K37">
        <v>1.78</v>
      </c>
      <c r="L37">
        <v>1.43</v>
      </c>
      <c r="M37" s="1">
        <f>IF(ISNUMBER(Main_S[[#This Row],[EPS]]),IF(Main_S[[#This Row],[EPS]]&lt;&gt;0,Main_S[[#This Row],[Current Price]]/Main_S[[#This Row],[EPS]],""),"")</f>
        <v>108.5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2.5839210308013278</v>
      </c>
      <c r="P37" s="1">
        <f>(Main_S[[#This Row],[P/B]]-VLOOKUP(Main_S[[#This Row],[Industry]], Mean_PB_S, 2, FALSE))/(VLOOKUP(Main_S[[#This Row],[Industry]], Mean_PB_S, 3, FALSE))</f>
        <v>3.9620342876307033</v>
      </c>
      <c r="Q37" s="1">
        <f>(Main_S[[#This Row],[ROE]]-VLOOKUP(Main_S[[#This Row],[Industry]], Mean_ROE_S, 2, FALSE))/(VLOOKUP(Main_S[[#This Row],[Industry]], Mean_ROE_S, 3, FALSE))</f>
        <v>0.30465976779284698</v>
      </c>
      <c r="R37" s="1">
        <f>(Main_S[[#This Row],[ROA]]-VLOOKUP(Main_S[[#This Row],[Industry]], Mean_ROA_S, 2, FALSE))/(VLOOKUP(Main_S[[#This Row],[Industry]], Mean_ROA_S, 3, FALSE))</f>
        <v>9.9463847344390913E-2</v>
      </c>
      <c r="S37" s="1">
        <f>(Main_S[[#This Row],[A/E]]-VLOOKUP(Main_S[[#This Row],[Industry]], Mean_AE_S, 2, FALSE))/(VLOOKUP(Main_S[[#This Row],[Industry]], Mean_AE_S, 3, FALSE))</f>
        <v>-0.73678062030108549</v>
      </c>
      <c r="T37" s="1">
        <f>(Main_S[[#This Row],[P/E]]-VLOOKUP(Main_S[[#This Row],[Industry]], Mean_PE_S, 2, FALSE))/(VLOOKUP(Main_S[[#This Row],[Industry]], Mean_PE_S, 3, FALSE))</f>
        <v>4.5130081170681811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8" spans="1:26" x14ac:dyDescent="0.25">
      <c r="A38" t="s">
        <v>109</v>
      </c>
      <c r="B38" t="s">
        <v>270</v>
      </c>
      <c r="C38" s="2">
        <v>1205</v>
      </c>
      <c r="D38">
        <f>RTD("tos.rtd", , "LAST", Main_S[[#This Row],[Symbol]])</f>
        <v>9.85</v>
      </c>
      <c r="E38">
        <v>0.04</v>
      </c>
      <c r="F38">
        <v>11.45</v>
      </c>
      <c r="G38">
        <v>-1.21</v>
      </c>
      <c r="H38" s="1">
        <f>IF(ISNUMBER(Main_S[[#This Row],[Free CF]]),IF(Main_S[[#This Row],[Free CF]]&lt;&gt;0,Main_S[[#This Row],[Current Price]]/Main_S[[#This Row],[Free CF]],""),"")</f>
        <v>246.25</v>
      </c>
      <c r="I38" s="1">
        <f>IF(ISNUMBER(Main_S[[#This Row],[BVPS]]),IF(Main_S[[#This Row],[BVPS]]&lt;&gt;0,Main_S[[#This Row],[Current Price]]/Main_S[[#This Row],[BVPS]],""),"")</f>
        <v>0.86026200873362446</v>
      </c>
      <c r="J38">
        <v>-10.53</v>
      </c>
      <c r="K38">
        <v>-2.29</v>
      </c>
      <c r="L38">
        <v>1.31</v>
      </c>
      <c r="M38" s="1">
        <f>IF(ISNUMBER(Main_S[[#This Row],[EPS]]),IF(Main_S[[#This Row],[EPS]]&lt;&gt;0,Main_S[[#This Row],[Current Price]]/Main_S[[#This Row],[EPS]],""),"")</f>
        <v>-8.1404958677685944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18.228442734370372</v>
      </c>
      <c r="P38" s="1">
        <f>(Main_S[[#This Row],[P/B]]-VLOOKUP(Main_S[[#This Row],[Industry]], Mean_PB_S, 2, FALSE))/(VLOOKUP(Main_S[[#This Row],[Industry]], Mean_PB_S, 3, FALSE))</f>
        <v>-0.58455721924419934</v>
      </c>
      <c r="Q38" s="1">
        <f>(Main_S[[#This Row],[ROE]]-VLOOKUP(Main_S[[#This Row],[Industry]], Mean_ROE_S, 2, FALSE))/(VLOOKUP(Main_S[[#This Row],[Industry]], Mean_ROE_S, 3, FALSE))</f>
        <v>-0.84869506742293088</v>
      </c>
      <c r="R38" s="1">
        <f>(Main_S[[#This Row],[ROA]]-VLOOKUP(Main_S[[#This Row],[Industry]], Mean_ROA_S, 2, FALSE))/(VLOOKUP(Main_S[[#This Row],[Industry]], Mean_ROA_S, 3, FALSE))</f>
        <v>-1.4972655256854013</v>
      </c>
      <c r="S38" s="1">
        <f>(Main_S[[#This Row],[A/E]]-VLOOKUP(Main_S[[#This Row],[Industry]], Mean_AE_S, 2, FALSE))/(VLOOKUP(Main_S[[#This Row],[Industry]], Mean_AE_S, 3, FALSE))</f>
        <v>-0.96478149993580509</v>
      </c>
      <c r="T38" s="1">
        <f>(Main_S[[#This Row],[P/E]]-VLOOKUP(Main_S[[#This Row],[Industry]], Mean_PE_S, 2, FALSE))/(VLOOKUP(Main_S[[#This Row],[Industry]], Mean_PE_S, 3, FALSE))</f>
        <v>-0.6856337245160391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t="s">
        <v>109</v>
      </c>
      <c r="B39" t="s">
        <v>271</v>
      </c>
      <c r="C39" s="2">
        <v>1150</v>
      </c>
      <c r="D39">
        <f>RTD("tos.rtd", , "LAST", Main_S[[#This Row],[Symbol]])</f>
        <v>7.78</v>
      </c>
      <c r="E39">
        <v>1.07</v>
      </c>
      <c r="F39">
        <v>4.46</v>
      </c>
      <c r="G39">
        <v>0.74</v>
      </c>
      <c r="H39" s="1">
        <f>IF(ISNUMBER(Main_S[[#This Row],[Free CF]]),IF(Main_S[[#This Row],[Free CF]]&lt;&gt;0,Main_S[[#This Row],[Current Price]]/Main_S[[#This Row],[Free CF]],""),"")</f>
        <v>7.2710280373831777</v>
      </c>
      <c r="I39" s="1">
        <f>IF(ISNUMBER(Main_S[[#This Row],[BVPS]]),IF(Main_S[[#This Row],[BVPS]]&lt;&gt;0,Main_S[[#This Row],[Current Price]]/Main_S[[#This Row],[BVPS]],""),"")</f>
        <v>1.7443946188340809</v>
      </c>
      <c r="J39">
        <v>21.29</v>
      </c>
      <c r="K39">
        <v>10.53</v>
      </c>
      <c r="L39">
        <v>1.1399999999999999</v>
      </c>
      <c r="M39" s="1">
        <f>IF(ISNUMBER(Main_S[[#This Row],[EPS]]),IF(Main_S[[#This Row],[EPS]]&lt;&gt;0,Main_S[[#This Row],[Current Price]]/Main_S[[#This Row],[EPS]],""),"")</f>
        <v>10.513513513513514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-0.48851202691011286</v>
      </c>
      <c r="P39" s="1">
        <f>(Main_S[[#This Row],[P/B]]-VLOOKUP(Main_S[[#This Row],[Industry]], Mean_PB_S, 2, FALSE))/(VLOOKUP(Main_S[[#This Row],[Industry]], Mean_PB_S, 3, FALSE))</f>
        <v>0.45761417506312363</v>
      </c>
      <c r="Q39" s="1">
        <f>(Main_S[[#This Row],[ROE]]-VLOOKUP(Main_S[[#This Row],[Industry]], Mean_ROE_S, 2, FALSE))/(VLOOKUP(Main_S[[#This Row],[Industry]], Mean_ROE_S, 3, FALSE))</f>
        <v>1.5390571028155891</v>
      </c>
      <c r="R39" s="1">
        <f>(Main_S[[#This Row],[ROA]]-VLOOKUP(Main_S[[#This Row],[Industry]], Mean_ROA_S, 2, FALSE))/(VLOOKUP(Main_S[[#This Row],[Industry]], Mean_ROA_S, 3, FALSE))</f>
        <v>3.5322358409588093</v>
      </c>
      <c r="S39" s="1">
        <f>(Main_S[[#This Row],[A/E]]-VLOOKUP(Main_S[[#This Row],[Industry]], Mean_AE_S, 2, FALSE))/(VLOOKUP(Main_S[[#This Row],[Industry]], Mean_AE_S, 3, FALSE))</f>
        <v>-1.2877827460849918</v>
      </c>
      <c r="T39" s="1">
        <f>(Main_S[[#This Row],[P/E]]-VLOOKUP(Main_S[[#This Row],[Industry]], Mean_PE_S, 2, FALSE))/(VLOOKUP(Main_S[[#This Row],[Industry]], Mean_PE_S, 3, FALSE))</f>
        <v>0.14577146594864826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t="s">
        <v>109</v>
      </c>
      <c r="B40" t="s">
        <v>272</v>
      </c>
      <c r="C40" s="2">
        <v>1357</v>
      </c>
      <c r="D40">
        <f>RTD("tos.rtd", , "LAST", Main_S[[#This Row],[Symbol]])</f>
        <v>33.99</v>
      </c>
      <c r="E40">
        <v>6.38</v>
      </c>
      <c r="F40">
        <v>42.26</v>
      </c>
      <c r="G40">
        <v>1.42</v>
      </c>
      <c r="H40" s="1">
        <f>IF(ISNUMBER(Main_S[[#This Row],[Free CF]]),IF(Main_S[[#This Row],[Free CF]]&lt;&gt;0,Main_S[[#This Row],[Current Price]]/Main_S[[#This Row],[Free CF]],""),"")</f>
        <v>5.3275862068965525</v>
      </c>
      <c r="I40" s="1">
        <f>IF(ISNUMBER(Main_S[[#This Row],[BVPS]]),IF(Main_S[[#This Row],[BVPS]]&lt;&gt;0,Main_S[[#This Row],[Current Price]]/Main_S[[#This Row],[BVPS]],""),"")</f>
        <v>0.80430667297681036</v>
      </c>
      <c r="J40">
        <v>3.4</v>
      </c>
      <c r="K40">
        <v>3.47</v>
      </c>
      <c r="L40">
        <v>2.0499999999999998</v>
      </c>
      <c r="M40" s="1">
        <f>IF(ISNUMBER(Main_S[[#This Row],[EPS]]),IF(Main_S[[#This Row],[EPS]]&lt;&gt;0,Main_S[[#This Row],[Current Price]]/Main_S[[#This Row],[EPS]],""),"")</f>
        <v>23.936619718309863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-0.64072338058556688</v>
      </c>
      <c r="P40" s="1">
        <f>(Main_S[[#This Row],[P/B]]-VLOOKUP(Main_S[[#This Row],[Industry]], Mean_PB_S, 2, FALSE))/(VLOOKUP(Main_S[[#This Row],[Industry]], Mean_PB_S, 3, FALSE))</f>
        <v>-0.65051457634019816</v>
      </c>
      <c r="Q40" s="1">
        <f>(Main_S[[#This Row],[ROE]]-VLOOKUP(Main_S[[#This Row],[Industry]], Mean_ROE_S, 2, FALSE))/(VLOOKUP(Main_S[[#This Row],[Industry]], Mean_ROE_S, 3, FALSE))</f>
        <v>0.19660310138356135</v>
      </c>
      <c r="R40" s="1">
        <f>(Main_S[[#This Row],[ROA]]-VLOOKUP(Main_S[[#This Row],[Industry]], Mean_ROA_S, 2, FALSE))/(VLOOKUP(Main_S[[#This Row],[Industry]], Mean_ROA_S, 3, FALSE))</f>
        <v>0.76247923811106144</v>
      </c>
      <c r="S40" s="1">
        <f>(Main_S[[#This Row],[A/E]]-VLOOKUP(Main_S[[#This Row],[Industry]], Mean_AE_S, 2, FALSE))/(VLOOKUP(Main_S[[#This Row],[Industry]], Mean_AE_S, 3, FALSE))</f>
        <v>0.44122392447830022</v>
      </c>
      <c r="T40" s="1">
        <f>(Main_S[[#This Row],[P/E]]-VLOOKUP(Main_S[[#This Row],[Industry]], Mean_PE_S, 2, FALSE))/(VLOOKUP(Main_S[[#This Row],[Industry]], Mean_PE_S, 3, FALSE))</f>
        <v>0.7440364256534876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t="s">
        <v>109</v>
      </c>
      <c r="B41" t="s">
        <v>273</v>
      </c>
      <c r="C41" s="2">
        <v>352</v>
      </c>
      <c r="D41">
        <f>RTD("tos.rtd", , "LAST", Main_S[[#This Row],[Symbol]])</f>
        <v>4.08</v>
      </c>
      <c r="E41">
        <v>-0.43</v>
      </c>
      <c r="F41">
        <v>6.75</v>
      </c>
      <c r="G41">
        <v>-0.26</v>
      </c>
      <c r="H41" s="1">
        <f>IF(ISNUMBER(Main_S[[#This Row],[Free CF]]),IF(Main_S[[#This Row],[Free CF]]&lt;&gt;0,Main_S[[#This Row],[Current Price]]/Main_S[[#This Row],[Free CF]],""),"")</f>
        <v>-9.4883720930232567</v>
      </c>
      <c r="I41" s="1">
        <f>IF(ISNUMBER(Main_S[[#This Row],[BVPS]]),IF(Main_S[[#This Row],[BVPS]]&lt;&gt;0,Main_S[[#This Row],[Current Price]]/Main_S[[#This Row],[BVPS]],""),"")</f>
        <v>0.60444444444444445</v>
      </c>
      <c r="J41">
        <v>-3.8</v>
      </c>
      <c r="K41">
        <v>-4.8</v>
      </c>
      <c r="L41">
        <v>1.39</v>
      </c>
      <c r="M41" s="1">
        <f>IF(ISNUMBER(Main_S[[#This Row],[EPS]]),IF(Main_S[[#This Row],[EPS]]&lt;&gt;0,Main_S[[#This Row],[Current Price]]/Main_S[[#This Row],[EPS]],""),"")</f>
        <v>-15.692307692307692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-1.8011167782439867</v>
      </c>
      <c r="P41" s="1">
        <f>(Main_S[[#This Row],[P/B]]-VLOOKUP(Main_S[[#This Row],[Industry]], Mean_PB_S, 2, FALSE))/(VLOOKUP(Main_S[[#This Row],[Industry]], Mean_PB_S, 3, FALSE))</f>
        <v>-0.88610219634131804</v>
      </c>
      <c r="Q41" s="1">
        <f>(Main_S[[#This Row],[ROE]]-VLOOKUP(Main_S[[#This Row],[Industry]], Mean_ROE_S, 2, FALSE))/(VLOOKUP(Main_S[[#This Row],[Industry]], Mean_ROE_S, 3, FALSE))</f>
        <v>-0.34368023066286685</v>
      </c>
      <c r="R41" s="1">
        <f>(Main_S[[#This Row],[ROA]]-VLOOKUP(Main_S[[#This Row],[Industry]], Mean_ROA_S, 2, FALSE))/(VLOOKUP(Main_S[[#This Row],[Industry]], Mean_ROA_S, 3, FALSE))</f>
        <v>-2.4819806918536513</v>
      </c>
      <c r="S41" s="1">
        <f>(Main_S[[#This Row],[A/E]]-VLOOKUP(Main_S[[#This Row],[Industry]], Mean_AE_S, 2, FALSE))/(VLOOKUP(Main_S[[#This Row],[Industry]], Mean_AE_S, 3, FALSE))</f>
        <v>-0.8127809135126588</v>
      </c>
      <c r="T41" s="1">
        <f>(Main_S[[#This Row],[P/E]]-VLOOKUP(Main_S[[#This Row],[Industry]], Mean_PE_S, 2, FALSE))/(VLOOKUP(Main_S[[#This Row],[Industry]], Mean_PE_S, 3, FALSE))</f>
        <v>-1.022216355091669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t="s">
        <v>109</v>
      </c>
      <c r="B42" t="s">
        <v>274</v>
      </c>
      <c r="C42" s="2">
        <v>524</v>
      </c>
      <c r="D42">
        <f>RTD("tos.rtd", , "LAST", Main_S[[#This Row],[Symbol]])</f>
        <v>4.8899999999999997</v>
      </c>
      <c r="E42">
        <v>0.37</v>
      </c>
      <c r="F42">
        <v>0.14000000000000001</v>
      </c>
      <c r="G42">
        <v>-0.13</v>
      </c>
      <c r="H42" s="1">
        <f>IF(ISNUMBER(Main_S[[#This Row],[Free CF]]),IF(Main_S[[#This Row],[Free CF]]&lt;&gt;0,Main_S[[#This Row],[Current Price]]/Main_S[[#This Row],[Free CF]],""),"")</f>
        <v>13.216216216216216</v>
      </c>
      <c r="I42" s="1">
        <f>IF(ISNUMBER(Main_S[[#This Row],[BVPS]]),IF(Main_S[[#This Row],[BVPS]]&lt;&gt;0,Main_S[[#This Row],[Current Price]]/Main_S[[#This Row],[BVPS]],""),"")</f>
        <v>34.928571428571423</v>
      </c>
      <c r="J42">
        <v>-117.95</v>
      </c>
      <c r="K42">
        <v>0.12</v>
      </c>
      <c r="L42">
        <v>49.45</v>
      </c>
      <c r="M42" s="1">
        <f>IF(ISNUMBER(Main_S[[#This Row],[EPS]]),IF(Main_S[[#This Row],[EPS]]&lt;&gt;0,Main_S[[#This Row],[Current Price]]/Main_S[[#This Row],[EPS]],""),"")</f>
        <v>-37.615384615384613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-2.2881861725854682E-2</v>
      </c>
      <c r="P42" s="1">
        <f>(Main_S[[#This Row],[P/B]]-VLOOKUP(Main_S[[#This Row],[Industry]], Mean_PB_S, 2, FALSE))/(VLOOKUP(Main_S[[#This Row],[Industry]], Mean_PB_S, 3, FALSE))</f>
        <v>39.573465597866381</v>
      </c>
      <c r="Q42" s="1">
        <f>(Main_S[[#This Row],[ROE]]-VLOOKUP(Main_S[[#This Row],[Industry]], Mean_ROE_S, 2, FALSE))/(VLOOKUP(Main_S[[#This Row],[Industry]], Mean_ROE_S, 3, FALSE))</f>
        <v>-8.9094222241489476</v>
      </c>
      <c r="R42" s="1">
        <f>(Main_S[[#This Row],[ROA]]-VLOOKUP(Main_S[[#This Row],[Industry]], Mean_ROA_S, 2, FALSE))/(VLOOKUP(Main_S[[#This Row],[Industry]], Mean_ROA_S, 3, FALSE))</f>
        <v>-0.55178203944417292</v>
      </c>
      <c r="S42" s="1">
        <f>(Main_S[[#This Row],[A/E]]-VLOOKUP(Main_S[[#This Row],[Industry]], Mean_AE_S, 2, FALSE))/(VLOOKUP(Main_S[[#This Row],[Industry]], Mean_AE_S, 3, FALSE))</f>
        <v>90.501571380192644</v>
      </c>
      <c r="T42" s="1">
        <f>(Main_S[[#This Row],[P/E]]-VLOOKUP(Main_S[[#This Row],[Industry]], Mean_PE_S, 2, FALSE))/(VLOOKUP(Main_S[[#This Row],[Industry]], Mean_PE_S, 3, FALSE))</f>
        <v>-1.9993231835621283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t="s">
        <v>107</v>
      </c>
      <c r="B43" t="s">
        <v>213</v>
      </c>
      <c r="C43" s="2">
        <v>420</v>
      </c>
      <c r="D43">
        <f>RTD("tos.rtd", , "LAST", Main_S[[#This Row],[Symbol]])</f>
        <v>1.1299999999999999</v>
      </c>
      <c r="E43">
        <v>0.12</v>
      </c>
      <c r="F43">
        <v>2.33</v>
      </c>
      <c r="G43">
        <v>-1.18</v>
      </c>
      <c r="H43" s="1">
        <f>IF(ISNUMBER(Main_S[[#This Row],[Free CF]]),IF(Main_S[[#This Row],[Free CF]]&lt;&gt;0,Main_S[[#This Row],[Current Price]]/Main_S[[#This Row],[Free CF]],""),"")</f>
        <v>9.4166666666666661</v>
      </c>
      <c r="I43" s="1">
        <f>IF(ISNUMBER(Main_S[[#This Row],[BVPS]]),IF(Main_S[[#This Row],[BVPS]]&lt;&gt;0,Main_S[[#This Row],[Current Price]]/Main_S[[#This Row],[BVPS]],""),"")</f>
        <v>0.48497854077253211</v>
      </c>
      <c r="J43">
        <v>-40.85</v>
      </c>
      <c r="K43">
        <v>1.77</v>
      </c>
      <c r="L43">
        <v>4.1500000000000004</v>
      </c>
      <c r="M43" s="1">
        <f>IF(ISNUMBER(Main_S[[#This Row],[EPS]]),IF(Main_S[[#This Row],[EPS]]&lt;&gt;0,Main_S[[#This Row],[Current Price]]/Main_S[[#This Row],[EPS]],""),"")</f>
        <v>-0.9576271186440678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0.15760367973221584</v>
      </c>
      <c r="P43" s="1">
        <f>(Main_S[[#This Row],[P/B]]-VLOOKUP(Main_S[[#This Row],[Industry]], Mean_PB_S, 2, FALSE))/(VLOOKUP(Main_S[[#This Row],[Industry]], Mean_PB_S, 3, FALSE))</f>
        <v>-1.0537447385620287</v>
      </c>
      <c r="Q43" s="1">
        <f>(Main_S[[#This Row],[ROE]]-VLOOKUP(Main_S[[#This Row],[Industry]], Mean_ROE_S, 2, FALSE))/(VLOOKUP(Main_S[[#This Row],[Industry]], Mean_ROE_S, 3, FALSE))</f>
        <v>-3.3637400131344908</v>
      </c>
      <c r="R43" s="1">
        <f>(Main_S[[#This Row],[ROA]]-VLOOKUP(Main_S[[#This Row],[Industry]], Mean_ROA_S, 2, FALSE))/(VLOOKUP(Main_S[[#This Row],[Industry]], Mean_ROA_S, 3, FALSE))</f>
        <v>-0.24255574341418035</v>
      </c>
      <c r="S43" s="1">
        <f>(Main_S[[#This Row],[A/E]]-VLOOKUP(Main_S[[#This Row],[Industry]], Mean_AE_S, 2, FALSE))/(VLOOKUP(Main_S[[#This Row],[Industry]], Mean_AE_S, 3, FALSE))</f>
        <v>0.62249778579116155</v>
      </c>
      <c r="T43" s="1">
        <f>(Main_S[[#This Row],[P/E]]-VLOOKUP(Main_S[[#This Row],[Industry]], Mean_PE_S, 2, FALSE))/(VLOOKUP(Main_S[[#This Row],[Industry]], Mean_PE_S, 3, FALSE))</f>
        <v>-0.16312279373358834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4" spans="1:26" x14ac:dyDescent="0.25">
      <c r="A44" t="s">
        <v>107</v>
      </c>
      <c r="B44" t="s">
        <v>214</v>
      </c>
      <c r="C44" s="2">
        <v>885</v>
      </c>
      <c r="D44">
        <f>RTD("tos.rtd", , "LAST", Main_S[[#This Row],[Symbol]])</f>
        <v>10.91</v>
      </c>
      <c r="E44">
        <v>-1.91</v>
      </c>
      <c r="F44">
        <v>3.64</v>
      </c>
      <c r="G44">
        <v>-2.93</v>
      </c>
      <c r="H44" s="1">
        <f>IF(ISNUMBER(Main_S[[#This Row],[Free CF]]),IF(Main_S[[#This Row],[Free CF]]&lt;&gt;0,Main_S[[#This Row],[Current Price]]/Main_S[[#This Row],[Free CF]],""),"")</f>
        <v>-5.7120418848167542</v>
      </c>
      <c r="I44" s="1">
        <f>IF(ISNUMBER(Main_S[[#This Row],[BVPS]]),IF(Main_S[[#This Row],[BVPS]]&lt;&gt;0,Main_S[[#This Row],[Current Price]]/Main_S[[#This Row],[BVPS]],""),"")</f>
        <v>2.9972527472527473</v>
      </c>
      <c r="J44">
        <v>-86.3</v>
      </c>
      <c r="K44">
        <v>-10.14</v>
      </c>
      <c r="L44">
        <v>3.81</v>
      </c>
      <c r="M44" s="1">
        <f>IF(ISNUMBER(Main_S[[#This Row],[EPS]]),IF(Main_S[[#This Row],[EPS]]&lt;&gt;0,Main_S[[#This Row],[Current Price]]/Main_S[[#This Row],[EPS]],""),"")</f>
        <v>-3.7235494880546072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-1.6988771921688204</v>
      </c>
      <c r="P44" s="1">
        <f>(Main_S[[#This Row],[P/B]]-VLOOKUP(Main_S[[#This Row],[Industry]], Mean_PB_S, 2, FALSE))/(VLOOKUP(Main_S[[#This Row],[Industry]], Mean_PB_S, 3, FALSE))</f>
        <v>1.1096349573013409</v>
      </c>
      <c r="Q44" s="1">
        <f>(Main_S[[#This Row],[ROE]]-VLOOKUP(Main_S[[#This Row],[Industry]], Mean_ROE_S, 2, FALSE))/(VLOOKUP(Main_S[[#This Row],[Industry]], Mean_ROE_S, 3, FALSE))</f>
        <v>-6.7859369964408716</v>
      </c>
      <c r="R44" s="1">
        <f>(Main_S[[#This Row],[ROA]]-VLOOKUP(Main_S[[#This Row],[Industry]], Mean_ROA_S, 2, FALSE))/(VLOOKUP(Main_S[[#This Row],[Industry]], Mean_ROA_S, 3, FALSE))</f>
        <v>-5.4873613063460747</v>
      </c>
      <c r="S44" s="1">
        <f>(Main_S[[#This Row],[A/E]]-VLOOKUP(Main_S[[#This Row],[Industry]], Mean_AE_S, 2, FALSE))/(VLOOKUP(Main_S[[#This Row],[Industry]], Mean_AE_S, 3, FALSE))</f>
        <v>0.44326609636233655</v>
      </c>
      <c r="T44" s="1">
        <f>(Main_S[[#This Row],[P/E]]-VLOOKUP(Main_S[[#This Row],[Industry]], Mean_PE_S, 2, FALSE))/(VLOOKUP(Main_S[[#This Row],[Industry]], Mean_PE_S, 3, FALSE))</f>
        <v>-0.28264658524087444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5" spans="1:26" x14ac:dyDescent="0.25">
      <c r="A45" t="s">
        <v>107</v>
      </c>
      <c r="B45" t="s">
        <v>215</v>
      </c>
      <c r="C45" s="2">
        <v>486</v>
      </c>
      <c r="D45">
        <f>RTD("tos.rtd", , "LAST", Main_S[[#This Row],[Symbol]])</f>
        <v>15.43</v>
      </c>
      <c r="E45">
        <v>-0.35</v>
      </c>
      <c r="F45">
        <v>16.93</v>
      </c>
      <c r="G45">
        <v>-0.04</v>
      </c>
      <c r="H45" s="1">
        <f>IF(ISNUMBER(Main_S[[#This Row],[Free CF]]),IF(Main_S[[#This Row],[Free CF]]&lt;&gt;0,Main_S[[#This Row],[Current Price]]/Main_S[[#This Row],[Free CF]],""),"")</f>
        <v>-44.085714285714289</v>
      </c>
      <c r="I45" s="1">
        <f>IF(ISNUMBER(Main_S[[#This Row],[BVPS]]),IF(Main_S[[#This Row],[BVPS]]&lt;&gt;0,Main_S[[#This Row],[Current Price]]/Main_S[[#This Row],[BVPS]],""),"")</f>
        <v>0.91139988186650911</v>
      </c>
      <c r="J45">
        <v>0.56999999999999995</v>
      </c>
      <c r="K45">
        <v>-0.65</v>
      </c>
      <c r="L45">
        <v>1.37</v>
      </c>
      <c r="M45" s="1">
        <f>IF(ISNUMBER(Main_S[[#This Row],[EPS]]),IF(Main_S[[#This Row],[EPS]]&lt;&gt;0,Main_S[[#This Row],[Current Price]]/Main_S[[#This Row],[EPS]],""),"")</f>
        <v>-385.75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-6.407804497789872</v>
      </c>
      <c r="P45" s="1">
        <f>(Main_S[[#This Row],[P/B]]-VLOOKUP(Main_S[[#This Row],[Industry]], Mean_PB_S, 2, FALSE))/(VLOOKUP(Main_S[[#This Row],[Industry]], Mean_PB_S, 3, FALSE))</f>
        <v>-0.68654307370156398</v>
      </c>
      <c r="Q45" s="1">
        <f>(Main_S[[#This Row],[ROE]]-VLOOKUP(Main_S[[#This Row],[Industry]], Mean_ROE_S, 2, FALSE))/(VLOOKUP(Main_S[[#This Row],[Industry]], Mean_ROE_S, 3, FALSE))</f>
        <v>-0.24498535860093093</v>
      </c>
      <c r="R45" s="1">
        <f>(Main_S[[#This Row],[ROA]]-VLOOKUP(Main_S[[#This Row],[Industry]], Mean_ROA_S, 2, FALSE))/(VLOOKUP(Main_S[[#This Row],[Industry]], Mean_ROA_S, 3, FALSE))</f>
        <v>-1.308250912372634</v>
      </c>
      <c r="S45" s="1">
        <f>(Main_S[[#This Row],[A/E]]-VLOOKUP(Main_S[[#This Row],[Industry]], Mean_AE_S, 2, FALSE))/(VLOOKUP(Main_S[[#This Row],[Industry]], Mean_AE_S, 3, FALSE))</f>
        <v>-0.84298485130334755</v>
      </c>
      <c r="T45" s="1">
        <f>(Main_S[[#This Row],[P/E]]-VLOOKUP(Main_S[[#This Row],[Industry]], Mean_PE_S, 2, FALSE))/(VLOOKUP(Main_S[[#This Row],[Industry]], Mean_PE_S, 3, FALSE))</f>
        <v>-16.791153955601171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6" spans="1:26" x14ac:dyDescent="0.25">
      <c r="A46" t="s">
        <v>107</v>
      </c>
      <c r="B46" t="s">
        <v>216</v>
      </c>
      <c r="C46" s="2">
        <v>546</v>
      </c>
      <c r="D46">
        <f>RTD("tos.rtd", , "LAST", Main_S[[#This Row],[Symbol]])</f>
        <v>1.17</v>
      </c>
      <c r="E46">
        <v>-0.01</v>
      </c>
      <c r="F46">
        <v>-6.99</v>
      </c>
      <c r="G46">
        <v>-0.23</v>
      </c>
      <c r="H46" s="1">
        <f>IF(ISNUMBER(Main_S[[#This Row],[Free CF]]),IF(Main_S[[#This Row],[Free CF]]&lt;&gt;0,Main_S[[#This Row],[Current Price]]/Main_S[[#This Row],[Free CF]],""),"")</f>
        <v>-116.99999999999999</v>
      </c>
      <c r="I46" s="1">
        <f>IF(ISNUMBER(Main_S[[#This Row],[BVPS]]),IF(Main_S[[#This Row],[BVPS]]&lt;&gt;0,Main_S[[#This Row],[Current Price]]/Main_S[[#This Row],[BVPS]],""),"")</f>
        <v>-0.16738197424892703</v>
      </c>
      <c r="J46">
        <v>3.15</v>
      </c>
      <c r="K46">
        <v>4.67</v>
      </c>
      <c r="L46">
        <v>-1.1599999999999999</v>
      </c>
      <c r="M46" s="1">
        <f>IF(ISNUMBER(Main_S[[#This Row],[EPS]]),IF(Main_S[[#This Row],[EPS]]&lt;&gt;0,Main_S[[#This Row],[Current Price]]/Main_S[[#This Row],[EPS]],""),"")</f>
        <v>-5.0869565217391299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-15.35529504242235</v>
      </c>
      <c r="P46" s="1">
        <f>(Main_S[[#This Row],[P/B]]-VLOOKUP(Main_S[[#This Row],[Industry]], Mean_PB_S, 2, FALSE))/(VLOOKUP(Main_S[[#This Row],[Industry]], Mean_PB_S, 3, FALSE))</f>
        <v>-1.6155080560136226</v>
      </c>
      <c r="Q46" s="1">
        <f>(Main_S[[#This Row],[ROE]]-VLOOKUP(Main_S[[#This Row],[Industry]], Mean_ROE_S, 2, FALSE))/(VLOOKUP(Main_S[[#This Row],[Industry]], Mean_ROE_S, 3, FALSE))</f>
        <v>-5.0722031495750247E-2</v>
      </c>
      <c r="R46" s="1">
        <f>(Main_S[[#This Row],[ROA]]-VLOOKUP(Main_S[[#This Row],[Industry]], Mean_ROA_S, 2, FALSE))/(VLOOKUP(Main_S[[#This Row],[Industry]], Mean_ROA_S, 3, FALSE))</f>
        <v>1.0345169797178508</v>
      </c>
      <c r="S46" s="1">
        <f>(Main_S[[#This Row],[A/E]]-VLOOKUP(Main_S[[#This Row],[Industry]], Mean_AE_S, 2, FALSE))/(VLOOKUP(Main_S[[#This Row],[Industry]], Mean_AE_S, 3, FALSE))</f>
        <v>-2.1766794814648973</v>
      </c>
      <c r="T46" s="1">
        <f>(Main_S[[#This Row],[P/E]]-VLOOKUP(Main_S[[#This Row],[Industry]], Mean_PE_S, 2, FALSE))/(VLOOKUP(Main_S[[#This Row],[Industry]], Mean_PE_S, 3, FALSE))</f>
        <v>-0.34156348755017729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t="s">
        <v>107</v>
      </c>
      <c r="B47" t="s">
        <v>217</v>
      </c>
      <c r="C47" s="2">
        <v>1470</v>
      </c>
      <c r="D47">
        <f>RTD("tos.rtd", , "LAST", Main_S[[#This Row],[Symbol]])</f>
        <v>29.93</v>
      </c>
      <c r="E47">
        <v>4.13</v>
      </c>
      <c r="F47">
        <v>19.87</v>
      </c>
      <c r="G47">
        <v>2.44</v>
      </c>
      <c r="H47" s="1">
        <f>IF(ISNUMBER(Main_S[[#This Row],[Free CF]]),IF(Main_S[[#This Row],[Free CF]]&lt;&gt;0,Main_S[[#This Row],[Current Price]]/Main_S[[#This Row],[Free CF]],""),"")</f>
        <v>7.2469733656174338</v>
      </c>
      <c r="I47" s="1">
        <f>IF(ISNUMBER(Main_S[[#This Row],[BVPS]]),IF(Main_S[[#This Row],[BVPS]]&lt;&gt;0,Main_S[[#This Row],[Current Price]]/Main_S[[#This Row],[BVPS]],""),"")</f>
        <v>1.5062908907901358</v>
      </c>
      <c r="J47">
        <v>13.45</v>
      </c>
      <c r="K47">
        <v>5.77</v>
      </c>
      <c r="L47">
        <v>2</v>
      </c>
      <c r="M47" s="1">
        <f>IF(ISNUMBER(Main_S[[#This Row],[EPS]]),IF(Main_S[[#This Row],[EPS]]&lt;&gt;0,Main_S[[#This Row],[Current Price]]/Main_S[[#This Row],[EPS]],""),"")</f>
        <v>12.266393442622951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47" s="1">
        <f>(Main_S[[#This Row],[P/FCF]]-VLOOKUP(Main_S[[#This Row],[Industry]], Mean_PFCF_S, 2, FALSE))/(VLOOKUP(Main_S[[#This Row],[Industry]], Mean_PFCF_S, 3, FALSE))</f>
        <v>-0.10864469815029405</v>
      </c>
      <c r="P47" s="1">
        <f>(Main_S[[#This Row],[P/B]]-VLOOKUP(Main_S[[#This Row],[Industry]], Mean_PB_S, 2, FALSE))/(VLOOKUP(Main_S[[#This Row],[Industry]], Mean_PB_S, 3, FALSE))</f>
        <v>-0.17426812909663325</v>
      </c>
      <c r="Q47" s="1">
        <f>(Main_S[[#This Row],[ROE]]-VLOOKUP(Main_S[[#This Row],[Industry]], Mean_ROE_S, 2, FALSE))/(VLOOKUP(Main_S[[#This Row],[Industry]], Mean_ROE_S, 3, FALSE))</f>
        <v>0.72482535966059125</v>
      </c>
      <c r="R47" s="1">
        <f>(Main_S[[#This Row],[ROA]]-VLOOKUP(Main_S[[#This Row],[Industry]], Mean_ROA_S, 2, FALSE))/(VLOOKUP(Main_S[[#This Row],[Industry]], Mean_ROA_S, 3, FALSE))</f>
        <v>1.5189238746989659</v>
      </c>
      <c r="S47" s="1">
        <f>(Main_S[[#This Row],[A/E]]-VLOOKUP(Main_S[[#This Row],[Industry]], Mean_AE_S, 2, FALSE))/(VLOOKUP(Main_S[[#This Row],[Industry]], Mean_AE_S, 3, FALSE))</f>
        <v>-0.51087907383228981</v>
      </c>
      <c r="T47" s="1">
        <f>(Main_S[[#This Row],[P/E]]-VLOOKUP(Main_S[[#This Row],[Industry]], Mean_PE_S, 2, FALSE))/(VLOOKUP(Main_S[[#This Row],[Industry]], Mean_PE_S, 3, FALSE))</f>
        <v>0.40832675016297099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t="s">
        <v>107</v>
      </c>
      <c r="B48" t="s">
        <v>218</v>
      </c>
      <c r="C48" s="2">
        <v>913</v>
      </c>
      <c r="D48">
        <f>RTD("tos.rtd", , "LAST", Main_S[[#This Row],[Symbol]])</f>
        <v>4.6500000000000004</v>
      </c>
      <c r="E48">
        <v>0.23</v>
      </c>
      <c r="F48">
        <v>1.96</v>
      </c>
      <c r="G48">
        <v>0.02</v>
      </c>
      <c r="H48" s="1">
        <f>IF(ISNUMBER(Main_S[[#This Row],[Free CF]]),IF(Main_S[[#This Row],[Free CF]]&lt;&gt;0,Main_S[[#This Row],[Current Price]]/Main_S[[#This Row],[Free CF]],""),"")</f>
        <v>20.217391304347828</v>
      </c>
      <c r="I48" s="1">
        <f>IF(ISNUMBER(Main_S[[#This Row],[BVPS]]),IF(Main_S[[#This Row],[BVPS]]&lt;&gt;0,Main_S[[#This Row],[Current Price]]/Main_S[[#This Row],[BVPS]],""),"")</f>
        <v>2.3724489795918369</v>
      </c>
      <c r="J48">
        <v>1.62</v>
      </c>
      <c r="K48">
        <v>4.4800000000000004</v>
      </c>
      <c r="L48">
        <v>3.02</v>
      </c>
      <c r="M48" s="1">
        <f>IF(ISNUMBER(Main_S[[#This Row],[EPS]]),IF(Main_S[[#This Row],[EPS]]&lt;&gt;0,Main_S[[#This Row],[Current Price]]/Main_S[[#This Row],[EPS]],""),"")</f>
        <v>232.5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1.4829870476707321</v>
      </c>
      <c r="P48" s="1">
        <f>(Main_S[[#This Row],[P/B]]-VLOOKUP(Main_S[[#This Row],[Industry]], Mean_PB_S, 2, FALSE))/(VLOOKUP(Main_S[[#This Row],[Industry]], Mean_PB_S, 3, FALSE))</f>
        <v>0.57160141726420044</v>
      </c>
      <c r="Q48" s="1">
        <f>(Main_S[[#This Row],[ROE]]-VLOOKUP(Main_S[[#This Row],[Industry]], Mean_ROE_S, 2, FALSE))/(VLOOKUP(Main_S[[#This Row],[Industry]], Mean_ROE_S, 3, FALSE))</f>
        <v>-0.16592470222091552</v>
      </c>
      <c r="R48" s="1">
        <f>(Main_S[[#This Row],[ROA]]-VLOOKUP(Main_S[[#This Row],[Industry]], Mean_ROA_S, 2, FALSE))/(VLOOKUP(Main_S[[#This Row],[Industry]], Mean_ROA_S, 3, FALSE))</f>
        <v>0.95084669785747655</v>
      </c>
      <c r="S48" s="1">
        <f>(Main_S[[#This Row],[A/E]]-VLOOKUP(Main_S[[#This Row],[Industry]], Mean_AE_S, 2, FALSE))/(VLOOKUP(Main_S[[#This Row],[Industry]], Mean_AE_S, 3, FALSE))</f>
        <v>2.6815994454184717E-2</v>
      </c>
      <c r="T48" s="1">
        <f>(Main_S[[#This Row],[P/E]]-VLOOKUP(Main_S[[#This Row],[Industry]], Mean_PE_S, 2, FALSE))/(VLOOKUP(Main_S[[#This Row],[Industry]], Mean_PE_S, 3, FALSE))</f>
        <v>9.9252806474162316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9" spans="1:26" x14ac:dyDescent="0.25">
      <c r="A49" t="s">
        <v>107</v>
      </c>
      <c r="B49" t="s">
        <v>219</v>
      </c>
      <c r="C49" s="2">
        <v>476</v>
      </c>
      <c r="D49">
        <f>RTD("tos.rtd", , "LAST", Main_S[[#This Row],[Symbol]])</f>
        <v>14.58</v>
      </c>
      <c r="E49">
        <v>0.37</v>
      </c>
      <c r="F49">
        <v>3.54</v>
      </c>
      <c r="G49">
        <v>0.84</v>
      </c>
      <c r="H49" s="1">
        <f>IF(ISNUMBER(Main_S[[#This Row],[Free CF]]),IF(Main_S[[#This Row],[Free CF]]&lt;&gt;0,Main_S[[#This Row],[Current Price]]/Main_S[[#This Row],[Free CF]],""),"")</f>
        <v>39.405405405405403</v>
      </c>
      <c r="I49" s="1">
        <f>IF(ISNUMBER(Main_S[[#This Row],[BVPS]]),IF(Main_S[[#This Row],[BVPS]]&lt;&gt;0,Main_S[[#This Row],[Current Price]]/Main_S[[#This Row],[BVPS]],""),"")</f>
        <v>4.1186440677966099</v>
      </c>
      <c r="J49">
        <v>25.34</v>
      </c>
      <c r="K49">
        <v>14.18</v>
      </c>
      <c r="L49">
        <v>1.45</v>
      </c>
      <c r="M49" s="1">
        <f>IF(ISNUMBER(Main_S[[#This Row],[EPS]]),IF(Main_S[[#This Row],[EPS]]&lt;&gt;0,Main_S[[#This Row],[Current Price]]/Main_S[[#This Row],[EPS]],""),"")</f>
        <v>17.357142857142858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3.8375952435492811</v>
      </c>
      <c r="P49" s="1">
        <f>(Main_S[[#This Row],[P/B]]-VLOOKUP(Main_S[[#This Row],[Industry]], Mean_PB_S, 2, FALSE))/(VLOOKUP(Main_S[[#This Row],[Industry]], Mean_PB_S, 3, FALSE))</f>
        <v>2.0752919734520217</v>
      </c>
      <c r="Q49" s="1">
        <f>(Main_S[[#This Row],[ROE]]-VLOOKUP(Main_S[[#This Row],[Industry]], Mean_ROE_S, 2, FALSE))/(VLOOKUP(Main_S[[#This Row],[Industry]], Mean_ROE_S, 3, FALSE))</f>
        <v>1.6200931733352417</v>
      </c>
      <c r="R49" s="1">
        <f>(Main_S[[#This Row],[ROA]]-VLOOKUP(Main_S[[#This Row],[Industry]], Mean_ROA_S, 2, FALSE))/(VLOOKUP(Main_S[[#This Row],[Industry]], Mean_ROA_S, 3, FALSE))</f>
        <v>5.2224347717818569</v>
      </c>
      <c r="S49" s="1">
        <f>(Main_S[[#This Row],[A/E]]-VLOOKUP(Main_S[[#This Row],[Industry]], Mean_AE_S, 2, FALSE))/(VLOOKUP(Main_S[[#This Row],[Industry]], Mean_AE_S, 3, FALSE))</f>
        <v>-0.80081268908480063</v>
      </c>
      <c r="T49" s="1">
        <f>(Main_S[[#This Row],[P/E]]-VLOOKUP(Main_S[[#This Row],[Industry]], Mean_PE_S, 2, FALSE))/(VLOOKUP(Main_S[[#This Row],[Industry]], Mean_PE_S, 3, FALSE))</f>
        <v>0.62831328281702714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t="s">
        <v>107</v>
      </c>
      <c r="B50" t="s">
        <v>220</v>
      </c>
      <c r="C50" s="2">
        <v>1210</v>
      </c>
      <c r="D50">
        <f>RTD("tos.rtd", , "LAST", Main_S[[#This Row],[Symbol]])</f>
        <v>8.15</v>
      </c>
      <c r="E50">
        <v>0.48</v>
      </c>
      <c r="F50">
        <v>6.19</v>
      </c>
      <c r="G50">
        <v>0.23</v>
      </c>
      <c r="H50" s="1">
        <f>IF(ISNUMBER(Main_S[[#This Row],[Free CF]]),IF(Main_S[[#This Row],[Free CF]]&lt;&gt;0,Main_S[[#This Row],[Current Price]]/Main_S[[#This Row],[Free CF]],""),"")</f>
        <v>16.979166666666668</v>
      </c>
      <c r="I50" s="1">
        <f>IF(ISNUMBER(Main_S[[#This Row],[BVPS]]),IF(Main_S[[#This Row],[BVPS]]&lt;&gt;0,Main_S[[#This Row],[Current Price]]/Main_S[[#This Row],[BVPS]],""),"")</f>
        <v>1.3166397415185784</v>
      </c>
      <c r="J50">
        <v>3.94</v>
      </c>
      <c r="K50">
        <v>3.44</v>
      </c>
      <c r="L50">
        <v>1.1399999999999999</v>
      </c>
      <c r="M50" s="1">
        <f>IF(ISNUMBER(Main_S[[#This Row],[EPS]]),IF(Main_S[[#This Row],[EPS]]&lt;&gt;0,Main_S[[#This Row],[Current Price]]/Main_S[[#This Row],[EPS]],""),"")</f>
        <v>35.434782608695649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1.0856165729659186</v>
      </c>
      <c r="P50" s="1">
        <f>(Main_S[[#This Row],[P/B]]-VLOOKUP(Main_S[[#This Row],[Industry]], Mean_PB_S, 2, FALSE))/(VLOOKUP(Main_S[[#This Row],[Industry]], Mean_PB_S, 3, FALSE))</f>
        <v>-0.33758129155833261</v>
      </c>
      <c r="Q50" s="1">
        <f>(Main_S[[#This Row],[ROE]]-VLOOKUP(Main_S[[#This Row],[Industry]], Mean_ROE_S, 2, FALSE))/(VLOOKUP(Main_S[[#This Row],[Industry]], Mean_ROE_S, 3, FALSE))</f>
        <v>8.7617004473089545E-3</v>
      </c>
      <c r="R50" s="1">
        <f>(Main_S[[#This Row],[ROA]]-VLOOKUP(Main_S[[#This Row],[Industry]], Mean_ROA_S, 2, FALSE))/(VLOOKUP(Main_S[[#This Row],[Industry]], Mean_ROA_S, 3, FALSE))</f>
        <v>0.49286199714805828</v>
      </c>
      <c r="S50" s="1">
        <f>(Main_S[[#This Row],[A/E]]-VLOOKUP(Main_S[[#This Row],[Industry]], Mean_AE_S, 2, FALSE))/(VLOOKUP(Main_S[[#This Row],[Industry]], Mean_AE_S, 3, FALSE))</f>
        <v>-0.96422981768167038</v>
      </c>
      <c r="T50" s="1">
        <f>(Main_S[[#This Row],[P/E]]-VLOOKUP(Main_S[[#This Row],[Industry]], Mean_PE_S, 2, FALSE))/(VLOOKUP(Main_S[[#This Row],[Industry]], Mean_PE_S, 3, FALSE))</f>
        <v>1.4095022520030649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t="s">
        <v>107</v>
      </c>
      <c r="B51" t="s">
        <v>221</v>
      </c>
      <c r="C51" s="2">
        <v>1387</v>
      </c>
      <c r="D51">
        <f>RTD("tos.rtd", , "LAST", Main_S[[#This Row],[Symbol]])</f>
        <v>49.96</v>
      </c>
      <c r="E51">
        <v>4.38</v>
      </c>
      <c r="F51">
        <v>14.77</v>
      </c>
      <c r="G51">
        <v>2.56</v>
      </c>
      <c r="H51" s="1">
        <f>IF(ISNUMBER(Main_S[[#This Row],[Free CF]]),IF(Main_S[[#This Row],[Free CF]]&lt;&gt;0,Main_S[[#This Row],[Current Price]]/Main_S[[#This Row],[Free CF]],""),"")</f>
        <v>11.406392694063927</v>
      </c>
      <c r="I51" s="1">
        <f>IF(ISNUMBER(Main_S[[#This Row],[BVPS]]),IF(Main_S[[#This Row],[BVPS]]&lt;&gt;0,Main_S[[#This Row],[Current Price]]/Main_S[[#This Row],[BVPS]],""),"")</f>
        <v>3.3825321597833446</v>
      </c>
      <c r="J51">
        <v>28.34</v>
      </c>
      <c r="K51">
        <v>3.57</v>
      </c>
      <c r="L51">
        <v>1.48</v>
      </c>
      <c r="M51" s="1">
        <f>IF(ISNUMBER(Main_S[[#This Row],[EPS]]),IF(Main_S[[#This Row],[EPS]]&lt;&gt;0,Main_S[[#This Row],[Current Price]]/Main_S[[#This Row],[EPS]],""),"")</f>
        <v>19.515625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0.40176783278045824</v>
      </c>
      <c r="P51" s="1">
        <f>(Main_S[[#This Row],[P/B]]-VLOOKUP(Main_S[[#This Row],[Industry]], Mean_PB_S, 2, FALSE))/(VLOOKUP(Main_S[[#This Row],[Industry]], Mean_PB_S, 3, FALSE))</f>
        <v>1.4414083187253839</v>
      </c>
      <c r="Q51" s="1">
        <f>(Main_S[[#This Row],[ROE]]-VLOOKUP(Main_S[[#This Row],[Industry]], Mean_ROE_S, 2, FALSE))/(VLOOKUP(Main_S[[#This Row],[Industry]], Mean_ROE_S, 3, FALSE))</f>
        <v>1.8459807629924287</v>
      </c>
      <c r="R51" s="1">
        <f>(Main_S[[#This Row],[ROA]]-VLOOKUP(Main_S[[#This Row],[Industry]], Mean_ROA_S, 2, FALSE))/(VLOOKUP(Main_S[[#This Row],[Industry]], Mean_ROA_S, 3, FALSE))</f>
        <v>0.55011008473673551</v>
      </c>
      <c r="S51" s="1">
        <f>(Main_S[[#This Row],[A/E]]-VLOOKUP(Main_S[[#This Row],[Industry]], Mean_AE_S, 2, FALSE))/(VLOOKUP(Main_S[[#This Row],[Industry]], Mean_AE_S, 3, FALSE))</f>
        <v>-0.78499812825284543</v>
      </c>
      <c r="T51" s="1">
        <f>(Main_S[[#This Row],[P/E]]-VLOOKUP(Main_S[[#This Row],[Industry]], Mean_PE_S, 2, FALSE))/(VLOOKUP(Main_S[[#This Row],[Industry]], Mean_PE_S, 3, FALSE))</f>
        <v>0.7215877624149627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t="s">
        <v>107</v>
      </c>
      <c r="B52" t="s">
        <v>222</v>
      </c>
      <c r="C52" s="2">
        <v>1655</v>
      </c>
      <c r="D52">
        <f>RTD("tos.rtd", , "LAST", Main_S[[#This Row],[Symbol]])</f>
        <v>11.81</v>
      </c>
      <c r="H52" s="1" t="str">
        <f>IF(ISNUMBER(Main_S[[#This Row],[Free CF]]),IF(Main_S[[#This Row],[Free CF]]&lt;&gt;0,Main_S[[#This Row],[Current Price]]/Main_S[[#This Row],[Free CF]],""),"")</f>
        <v/>
      </c>
      <c r="I52" s="1" t="str">
        <f>IF(ISNUMBER(Main_S[[#This Row],[BVPS]]),IF(Main_S[[#This Row],[BVPS]]&lt;&gt;0,Main_S[[#This Row],[Current Price]]/Main_S[[#This Row],[BVPS]],""),"")</f>
        <v/>
      </c>
      <c r="J52">
        <v>-12.02</v>
      </c>
      <c r="K52">
        <v>-0.53</v>
      </c>
      <c r="L52">
        <v>6.14</v>
      </c>
      <c r="M52" s="1" t="str">
        <f>IF(ISNUMBER(Main_S[[#This Row],[EPS]]),IF(Main_S[[#This Row],[EPS]]&lt;&gt;0,Main_S[[#This Row],[Current Price]]/Main_S[[#This Row],[EPS]],""),"")</f>
        <v/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 t="e">
        <f>(Main_S[[#This Row],[P/FCF]]-VLOOKUP(Main_S[[#This Row],[Industry]], Mean_PFCF_S, 2, FALSE))/(VLOOKUP(Main_S[[#This Row],[Industry]], Mean_PFCF_S, 3, FALSE))</f>
        <v>#VALUE!</v>
      </c>
      <c r="P52" s="1" t="e">
        <f>(Main_S[[#This Row],[P/B]]-VLOOKUP(Main_S[[#This Row],[Industry]], Mean_PB_S, 2, FALSE))/(VLOOKUP(Main_S[[#This Row],[Industry]], Mean_PB_S, 3, FALSE))</f>
        <v>#VALUE!</v>
      </c>
      <c r="Q52" s="1">
        <f>(Main_S[[#This Row],[ROE]]-VLOOKUP(Main_S[[#This Row],[Industry]], Mean_ROE_S, 2, FALSE))/(VLOOKUP(Main_S[[#This Row],[Industry]], Mean_ROE_S, 3, FALSE))</f>
        <v>-1.1929602765289249</v>
      </c>
      <c r="R52" s="1">
        <f>(Main_S[[#This Row],[ROA]]-VLOOKUP(Main_S[[#This Row],[Industry]], Mean_ROA_S, 2, FALSE))/(VLOOKUP(Main_S[[#This Row],[Industry]], Mean_ROA_S, 3, FALSE))</f>
        <v>-1.2554065238292398</v>
      </c>
      <c r="S52" s="1">
        <f>(Main_S[[#This Row],[A/E]]-VLOOKUP(Main_S[[#This Row],[Industry]], Mean_AE_S, 2, FALSE))/(VLOOKUP(Main_S[[#This Row],[Industry]], Mean_AE_S, 3, FALSE))</f>
        <v>1.6715303209775183</v>
      </c>
      <c r="T52" s="1" t="e">
        <f>(Main_S[[#This Row],[P/E]]-VLOOKUP(Main_S[[#This Row],[Industry]], Mean_PE_S, 2, FALSE))/(VLOOKUP(Main_S[[#This Row],[Industry]], Mean_PE_S, 3, FALSE))</f>
        <v>#VALUE!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3" spans="1:26" x14ac:dyDescent="0.25">
      <c r="A53" t="s">
        <v>107</v>
      </c>
      <c r="B53" t="s">
        <v>223</v>
      </c>
      <c r="C53" s="2">
        <v>1757</v>
      </c>
      <c r="D53">
        <f>RTD("tos.rtd", , "LAST", Main_S[[#This Row],[Symbol]])</f>
        <v>16.309999999999999</v>
      </c>
      <c r="E53">
        <v>1.34</v>
      </c>
      <c r="F53">
        <v>5.43</v>
      </c>
      <c r="G53">
        <v>0.16</v>
      </c>
      <c r="H53" s="1">
        <f>IF(ISNUMBER(Main_S[[#This Row],[Free CF]]),IF(Main_S[[#This Row],[Free CF]]&lt;&gt;0,Main_S[[#This Row],[Current Price]]/Main_S[[#This Row],[Free CF]],""),"")</f>
        <v>12.171641791044774</v>
      </c>
      <c r="I53" s="1">
        <f>IF(ISNUMBER(Main_S[[#This Row],[BVPS]]),IF(Main_S[[#This Row],[BVPS]]&lt;&gt;0,Main_S[[#This Row],[Current Price]]/Main_S[[#This Row],[BVPS]],""),"")</f>
        <v>3.0036832412523018</v>
      </c>
      <c r="J53">
        <v>3.1</v>
      </c>
      <c r="K53">
        <v>1.1499999999999999</v>
      </c>
      <c r="L53">
        <v>3.72</v>
      </c>
      <c r="M53" s="1">
        <f>IF(ISNUMBER(Main_S[[#This Row],[EPS]]),IF(Main_S[[#This Row],[EPS]]&lt;&gt;0,Main_S[[#This Row],[Current Price]]/Main_S[[#This Row],[EPS]],""),"")</f>
        <v>101.93749999999999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0.49567342333036557</v>
      </c>
      <c r="P53" s="1">
        <f>(Main_S[[#This Row],[P/B]]-VLOOKUP(Main_S[[#This Row],[Industry]], Mean_PB_S, 2, FALSE))/(VLOOKUP(Main_S[[#This Row],[Industry]], Mean_PB_S, 3, FALSE))</f>
        <v>1.1151724102263136</v>
      </c>
      <c r="Q53" s="1">
        <f>(Main_S[[#This Row],[ROE]]-VLOOKUP(Main_S[[#This Row],[Industry]], Mean_ROE_S, 2, FALSE))/(VLOOKUP(Main_S[[#This Row],[Industry]], Mean_ROE_S, 3, FALSE))</f>
        <v>-5.4486824656703348E-2</v>
      </c>
      <c r="R53" s="1">
        <f>(Main_S[[#This Row],[ROA]]-VLOOKUP(Main_S[[#This Row],[Industry]], Mean_ROA_S, 2, FALSE))/(VLOOKUP(Main_S[[#This Row],[Industry]], Mean_ROA_S, 3, FALSE))</f>
        <v>-0.51558508422171812</v>
      </c>
      <c r="S53" s="1">
        <f>(Main_S[[#This Row],[A/E]]-VLOOKUP(Main_S[[#This Row],[Industry]], Mean_AE_S, 2, FALSE))/(VLOOKUP(Main_S[[#This Row],[Industry]], Mean_AE_S, 3, FALSE))</f>
        <v>0.39582241386647121</v>
      </c>
      <c r="T53" s="1">
        <f>(Main_S[[#This Row],[P/E]]-VLOOKUP(Main_S[[#This Row],[Industry]], Mean_PE_S, 2, FALSE))/(VLOOKUP(Main_S[[#This Row],[Industry]], Mean_PE_S, 3, FALSE))</f>
        <v>4.2832838939080071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4" spans="1:26" x14ac:dyDescent="0.25">
      <c r="A54" t="s">
        <v>107</v>
      </c>
      <c r="B54" t="s">
        <v>224</v>
      </c>
      <c r="C54" s="2">
        <v>488</v>
      </c>
      <c r="D54">
        <f>RTD("tos.rtd", , "LAST", Main_S[[#This Row],[Symbol]])</f>
        <v>5.29</v>
      </c>
      <c r="E54">
        <v>0.56999999999999995</v>
      </c>
      <c r="F54">
        <v>4.29</v>
      </c>
      <c r="G54">
        <v>-0.23</v>
      </c>
      <c r="H54" s="1">
        <f>IF(ISNUMBER(Main_S[[#This Row],[Free CF]]),IF(Main_S[[#This Row],[Free CF]]&lt;&gt;0,Main_S[[#This Row],[Current Price]]/Main_S[[#This Row],[Free CF]],""),"")</f>
        <v>9.2807017543859658</v>
      </c>
      <c r="I54" s="1">
        <f>IF(ISNUMBER(Main_S[[#This Row],[BVPS]]),IF(Main_S[[#This Row],[BVPS]]&lt;&gt;0,Main_S[[#This Row],[Current Price]]/Main_S[[#This Row],[BVPS]],""),"")</f>
        <v>1.2331002331002332</v>
      </c>
      <c r="J54">
        <v>-5.27</v>
      </c>
      <c r="K54">
        <v>-2.06</v>
      </c>
      <c r="L54">
        <v>1.38</v>
      </c>
      <c r="M54" s="1">
        <f>IF(ISNUMBER(Main_S[[#This Row],[EPS]]),IF(Main_S[[#This Row],[EPS]]&lt;&gt;0,Main_S[[#This Row],[Current Price]]/Main_S[[#This Row],[EPS]],""),"")</f>
        <v>-23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0.14091909241004999</v>
      </c>
      <c r="P54" s="1">
        <f>(Main_S[[#This Row],[P/B]]-VLOOKUP(Main_S[[#This Row],[Industry]], Mean_PB_S, 2, FALSE))/(VLOOKUP(Main_S[[#This Row],[Industry]], Mean_PB_S, 3, FALSE))</f>
        <v>-0.40951916993501708</v>
      </c>
      <c r="Q54" s="1">
        <f>(Main_S[[#This Row],[ROE]]-VLOOKUP(Main_S[[#This Row],[Industry]], Mean_ROE_S, 2, FALSE))/(VLOOKUP(Main_S[[#This Row],[Industry]], Mean_ROE_S, 3, FALSE))</f>
        <v>-0.68471319980025458</v>
      </c>
      <c r="R54" s="1">
        <f>(Main_S[[#This Row],[ROA]]-VLOOKUP(Main_S[[#This Row],[Industry]], Mean_ROA_S, 2, FALSE))/(VLOOKUP(Main_S[[#This Row],[Industry]], Mean_ROA_S, 3, FALSE))</f>
        <v>-1.9291724777575183</v>
      </c>
      <c r="S54" s="1">
        <f>(Main_S[[#This Row],[A/E]]-VLOOKUP(Main_S[[#This Row],[Industry]], Mean_AE_S, 2, FALSE))/(VLOOKUP(Main_S[[#This Row],[Industry]], Mean_AE_S, 3, FALSE))</f>
        <v>-0.8377133310260293</v>
      </c>
      <c r="T54" s="1">
        <f>(Main_S[[#This Row],[P/E]]-VLOOKUP(Main_S[[#This Row],[Industry]], Mean_PE_S, 2, FALSE))/(VLOOKUP(Main_S[[#This Row],[Industry]], Mean_PE_S, 3, FALSE))</f>
        <v>-1.1156397586831559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5" spans="1:26" x14ac:dyDescent="0.25">
      <c r="A55" t="s">
        <v>107</v>
      </c>
      <c r="B55" t="s">
        <v>225</v>
      </c>
      <c r="C55" s="2">
        <v>693</v>
      </c>
      <c r="D55">
        <f>RTD("tos.rtd", , "LAST", Main_S[[#This Row],[Symbol]])</f>
        <v>12.32</v>
      </c>
      <c r="E55">
        <v>0.56999999999999995</v>
      </c>
      <c r="F55">
        <v>7.44</v>
      </c>
      <c r="G55">
        <v>-0.3</v>
      </c>
      <c r="H55" s="1">
        <f>IF(ISNUMBER(Main_S[[#This Row],[Free CF]]),IF(Main_S[[#This Row],[Free CF]]&lt;&gt;0,Main_S[[#This Row],[Current Price]]/Main_S[[#This Row],[Free CF]],""),"")</f>
        <v>21.614035087719301</v>
      </c>
      <c r="I55" s="1">
        <f>IF(ISNUMBER(Main_S[[#This Row],[BVPS]]),IF(Main_S[[#This Row],[BVPS]]&lt;&gt;0,Main_S[[#This Row],[Current Price]]/Main_S[[#This Row],[BVPS]],""),"")</f>
        <v>1.6559139784946235</v>
      </c>
      <c r="J55">
        <v>6.6</v>
      </c>
      <c r="K55">
        <v>2.92</v>
      </c>
      <c r="L55">
        <v>1.58</v>
      </c>
      <c r="M55" s="1">
        <f>IF(ISNUMBER(Main_S[[#This Row],[EPS]]),IF(Main_S[[#This Row],[EPS]]&lt;&gt;0,Main_S[[#This Row],[Current Price]]/Main_S[[#This Row],[EPS]],""),"")</f>
        <v>-41.06666666666667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1.6543726262787883</v>
      </c>
      <c r="P55" s="1">
        <f>(Main_S[[#This Row],[P/B]]-VLOOKUP(Main_S[[#This Row],[Industry]], Mean_PB_S, 2, FALSE))/(VLOOKUP(Main_S[[#This Row],[Industry]], Mean_PB_S, 3, FALSE))</f>
        <v>-4.5424092431632326E-2</v>
      </c>
      <c r="Q55" s="1">
        <f>(Main_S[[#This Row],[ROE]]-VLOOKUP(Main_S[[#This Row],[Industry]], Mean_ROE_S, 2, FALSE))/(VLOOKUP(Main_S[[#This Row],[Industry]], Mean_ROE_S, 3, FALSE))</f>
        <v>0.2090486966100146</v>
      </c>
      <c r="R55" s="1">
        <f>(Main_S[[#This Row],[ROA]]-VLOOKUP(Main_S[[#This Row],[Industry]], Mean_ROA_S, 2, FALSE))/(VLOOKUP(Main_S[[#This Row],[Industry]], Mean_ROA_S, 3, FALSE))</f>
        <v>0.26386964679334923</v>
      </c>
      <c r="S55" s="1">
        <f>(Main_S[[#This Row],[A/E]]-VLOOKUP(Main_S[[#This Row],[Industry]], Mean_AE_S, 2, FALSE))/(VLOOKUP(Main_S[[#This Row],[Industry]], Mean_AE_S, 3, FALSE))</f>
        <v>-0.73228292547966167</v>
      </c>
      <c r="T55" s="1">
        <f>(Main_S[[#This Row],[P/E]]-VLOOKUP(Main_S[[#This Row],[Industry]], Mean_PE_S, 2, FALSE))/(VLOOKUP(Main_S[[#This Row],[Industry]], Mean_PE_S, 3, FALSE))</f>
        <v>-1.8963545479989901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6" spans="1:26" x14ac:dyDescent="0.25">
      <c r="A56" t="s">
        <v>107</v>
      </c>
      <c r="B56" t="s">
        <v>226</v>
      </c>
      <c r="C56" s="2">
        <v>415</v>
      </c>
      <c r="D56">
        <f>RTD("tos.rtd", , "LAST", Main_S[[#This Row],[Symbol]])</f>
        <v>10.85</v>
      </c>
      <c r="E56">
        <v>0</v>
      </c>
      <c r="F56">
        <v>16.13</v>
      </c>
      <c r="G56">
        <v>0.25</v>
      </c>
      <c r="H56" s="1" t="str">
        <f>IF(ISNUMBER(Main_S[[#This Row],[Free CF]]),IF(Main_S[[#This Row],[Free CF]]&lt;&gt;0,Main_S[[#This Row],[Current Price]]/Main_S[[#This Row],[Free CF]],""),"")</f>
        <v/>
      </c>
      <c r="I56" s="1">
        <f>IF(ISNUMBER(Main_S[[#This Row],[BVPS]]),IF(Main_S[[#This Row],[BVPS]]&lt;&gt;0,Main_S[[#This Row],[Current Price]]/Main_S[[#This Row],[BVPS]],""),"")</f>
        <v>0.67265964042157478</v>
      </c>
      <c r="J56">
        <v>1.75</v>
      </c>
      <c r="K56">
        <v>0.34</v>
      </c>
      <c r="L56">
        <v>1.27</v>
      </c>
      <c r="M56" s="1">
        <f>IF(ISNUMBER(Main_S[[#This Row],[EPS]]),IF(Main_S[[#This Row],[EPS]]&lt;&gt;0,Main_S[[#This Row],[Current Price]]/Main_S[[#This Row],[EPS]],""),"")</f>
        <v>43.4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 t="e">
        <f>(Main_S[[#This Row],[P/FCF]]-VLOOKUP(Main_S[[#This Row],[Industry]], Mean_PFCF_S, 2, FALSE))/(VLOOKUP(Main_S[[#This Row],[Industry]], Mean_PFCF_S, 3, FALSE))</f>
        <v>#VALUE!</v>
      </c>
      <c r="P56" s="1">
        <f>(Main_S[[#This Row],[P/B]]-VLOOKUP(Main_S[[#This Row],[Industry]], Mean_PB_S, 2, FALSE))/(VLOOKUP(Main_S[[#This Row],[Industry]], Mean_PB_S, 3, FALSE))</f>
        <v>-0.89212803317583422</v>
      </c>
      <c r="Q56" s="1">
        <f>(Main_S[[#This Row],[ROE]]-VLOOKUP(Main_S[[#This Row],[Industry]], Mean_ROE_S, 2, FALSE))/(VLOOKUP(Main_S[[#This Row],[Industry]], Mean_ROE_S, 3, FALSE))</f>
        <v>-0.15613624000243742</v>
      </c>
      <c r="R56" s="1">
        <f>(Main_S[[#This Row],[ROA]]-VLOOKUP(Main_S[[#This Row],[Industry]], Mean_ROA_S, 2, FALSE))/(VLOOKUP(Main_S[[#This Row],[Industry]], Mean_ROA_S, 3, FALSE))</f>
        <v>-0.87228470688963022</v>
      </c>
      <c r="S56" s="1">
        <f>(Main_S[[#This Row],[A/E]]-VLOOKUP(Main_S[[#This Row],[Industry]], Mean_AE_S, 2, FALSE))/(VLOOKUP(Main_S[[#This Row],[Industry]], Mean_AE_S, 3, FALSE))</f>
        <v>-0.8957000540765313</v>
      </c>
      <c r="T56" s="1">
        <f>(Main_S[[#This Row],[P/E]]-VLOOKUP(Main_S[[#This Row],[Industry]], Mean_PE_S, 2, FALSE))/(VLOOKUP(Main_S[[#This Row],[Industry]], Mean_PE_S, 3, FALSE))</f>
        <v>1.7537031570311274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7" spans="1:26" x14ac:dyDescent="0.25">
      <c r="A57" t="s">
        <v>107</v>
      </c>
      <c r="B57" t="s">
        <v>227</v>
      </c>
      <c r="C57" s="2">
        <v>485</v>
      </c>
      <c r="D57">
        <f>RTD("tos.rtd", , "LAST", Main_S[[#This Row],[Symbol]])</f>
        <v>11.58</v>
      </c>
      <c r="E57">
        <v>0.71</v>
      </c>
      <c r="F57">
        <v>5.76</v>
      </c>
      <c r="G57">
        <v>0.23</v>
      </c>
      <c r="H57" s="1">
        <f>IF(ISNUMBER(Main_S[[#This Row],[Free CF]]),IF(Main_S[[#This Row],[Free CF]]&lt;&gt;0,Main_S[[#This Row],[Current Price]]/Main_S[[#This Row],[Free CF]],""),"")</f>
        <v>16.30985915492958</v>
      </c>
      <c r="I57" s="1">
        <f>IF(ISNUMBER(Main_S[[#This Row],[BVPS]]),IF(Main_S[[#This Row],[BVPS]]&lt;&gt;0,Main_S[[#This Row],[Current Price]]/Main_S[[#This Row],[BVPS]],""),"")</f>
        <v>2.010416666666667</v>
      </c>
      <c r="J57">
        <v>4.3600000000000003</v>
      </c>
      <c r="K57">
        <v>0.34</v>
      </c>
      <c r="L57">
        <v>2.67</v>
      </c>
      <c r="M57" s="1">
        <f>IF(ISNUMBER(Main_S[[#This Row],[EPS]]),IF(Main_S[[#This Row],[EPS]]&lt;&gt;0,Main_S[[#This Row],[Current Price]]/Main_S[[#This Row],[EPS]],""),"")</f>
        <v>50.347826086956523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1.003484209272671</v>
      </c>
      <c r="P57" s="1">
        <f>(Main_S[[#This Row],[P/B]]-VLOOKUP(Main_S[[#This Row],[Industry]], Mean_PB_S, 2, FALSE))/(VLOOKUP(Main_S[[#This Row],[Industry]], Mean_PB_S, 3, FALSE))</f>
        <v>0.25984669200032257</v>
      </c>
      <c r="Q57" s="1">
        <f>(Main_S[[#This Row],[ROE]]-VLOOKUP(Main_S[[#This Row],[Industry]], Mean_ROE_S, 2, FALSE))/(VLOOKUP(Main_S[[#This Row],[Industry]], Mean_ROE_S, 3, FALSE))</f>
        <v>4.0385962999315142E-2</v>
      </c>
      <c r="R57" s="1">
        <f>(Main_S[[#This Row],[ROA]]-VLOOKUP(Main_S[[#This Row],[Industry]], Mean_ROA_S, 2, FALSE))/(VLOOKUP(Main_S[[#This Row],[Industry]], Mean_ROA_S, 3, FALSE))</f>
        <v>-0.87228470688963022</v>
      </c>
      <c r="S57" s="1">
        <f>(Main_S[[#This Row],[A/E]]-VLOOKUP(Main_S[[#This Row],[Industry]], Mean_AE_S, 2, FALSE))/(VLOOKUP(Main_S[[#This Row],[Industry]], Mean_AE_S, 3, FALSE))</f>
        <v>-0.15768721525195856</v>
      </c>
      <c r="T57" s="1">
        <f>(Main_S[[#This Row],[P/E]]-VLOOKUP(Main_S[[#This Row],[Industry]], Mean_PE_S, 2, FALSE))/(VLOOKUP(Main_S[[#This Row],[Industry]], Mean_PE_S, 3, FALSE))</f>
        <v>2.0539395359802777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t="s">
        <v>107</v>
      </c>
      <c r="B58" t="s">
        <v>228</v>
      </c>
      <c r="C58" s="2">
        <v>1552</v>
      </c>
      <c r="D58">
        <f>RTD("tos.rtd", , "LAST", Main_S[[#This Row],[Symbol]])</f>
        <v>5.41</v>
      </c>
      <c r="E58">
        <v>0.8</v>
      </c>
      <c r="F58">
        <v>2.89</v>
      </c>
      <c r="G58">
        <v>0.02</v>
      </c>
      <c r="H58" s="1">
        <f>IF(ISNUMBER(Main_S[[#This Row],[Free CF]]),IF(Main_S[[#This Row],[Free CF]]&lt;&gt;0,Main_S[[#This Row],[Current Price]]/Main_S[[#This Row],[Free CF]],""),"")</f>
        <v>6.7625000000000002</v>
      </c>
      <c r="I58" s="1">
        <f>IF(ISNUMBER(Main_S[[#This Row],[BVPS]]),IF(Main_S[[#This Row],[BVPS]]&lt;&gt;0,Main_S[[#This Row],[Current Price]]/Main_S[[#This Row],[BVPS]],""),"")</f>
        <v>1.8719723183391004</v>
      </c>
      <c r="J58">
        <v>3.09</v>
      </c>
      <c r="K58">
        <v>2.57</v>
      </c>
      <c r="L58">
        <v>11.78</v>
      </c>
      <c r="M58" s="1">
        <f>IF(ISNUMBER(Main_S[[#This Row],[EPS]]),IF(Main_S[[#This Row],[EPS]]&lt;&gt;0,Main_S[[#This Row],[Current Price]]/Main_S[[#This Row],[EPS]],""),"")</f>
        <v>270.5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-0.16809561117129293</v>
      </c>
      <c r="P58" s="1">
        <f>(Main_S[[#This Row],[P/B]]-VLOOKUP(Main_S[[#This Row],[Industry]], Mean_PB_S, 2, FALSE))/(VLOOKUP(Main_S[[#This Row],[Industry]], Mean_PB_S, 3, FALSE))</f>
        <v>0.14062893646777097</v>
      </c>
      <c r="Q58" s="1">
        <f>(Main_S[[#This Row],[ROE]]-VLOOKUP(Main_S[[#This Row],[Industry]], Mean_ROE_S, 2, FALSE))/(VLOOKUP(Main_S[[#This Row],[Industry]], Mean_ROE_S, 3, FALSE))</f>
        <v>-5.5239783288893993E-2</v>
      </c>
      <c r="R58" s="1">
        <f>(Main_S[[#This Row],[ROA]]-VLOOKUP(Main_S[[#This Row],[Industry]], Mean_ROA_S, 2, FALSE))/(VLOOKUP(Main_S[[#This Row],[Industry]], Mean_ROA_S, 3, FALSE))</f>
        <v>0.10974018020844888</v>
      </c>
      <c r="S58" s="1">
        <f>(Main_S[[#This Row],[A/E]]-VLOOKUP(Main_S[[#This Row],[Industry]], Mean_AE_S, 2, FALSE))/(VLOOKUP(Main_S[[#This Row],[Industry]], Mean_AE_S, 3, FALSE))</f>
        <v>4.6446677573850836</v>
      </c>
      <c r="T58" s="1">
        <f>(Main_S[[#This Row],[P/E]]-VLOOKUP(Main_S[[#This Row],[Industry]], Mean_PE_S, 2, FALSE))/(VLOOKUP(Main_S[[#This Row],[Industry]], Mean_PE_S, 3, FALSE))</f>
        <v>11.567374484722599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9" spans="1:26" x14ac:dyDescent="0.25">
      <c r="A59" t="s">
        <v>107</v>
      </c>
      <c r="B59" t="s">
        <v>229</v>
      </c>
      <c r="C59" s="2">
        <v>586</v>
      </c>
      <c r="D59">
        <f>RTD("tos.rtd", , "LAST", Main_S[[#This Row],[Symbol]])</f>
        <v>14.92</v>
      </c>
      <c r="E59">
        <v>1.03</v>
      </c>
      <c r="F59">
        <v>4.42</v>
      </c>
      <c r="G59">
        <v>-2.35</v>
      </c>
      <c r="H59" s="1">
        <f>IF(ISNUMBER(Main_S[[#This Row],[Free CF]]),IF(Main_S[[#This Row],[Free CF]]&lt;&gt;0,Main_S[[#This Row],[Current Price]]/Main_S[[#This Row],[Free CF]],""),"")</f>
        <v>14.485436893203882</v>
      </c>
      <c r="I59" s="1">
        <f>IF(ISNUMBER(Main_S[[#This Row],[BVPS]]),IF(Main_S[[#This Row],[BVPS]]&lt;&gt;0,Main_S[[#This Row],[Current Price]]/Main_S[[#This Row],[BVPS]],""),"")</f>
        <v>3.3755656108597285</v>
      </c>
      <c r="J59">
        <v>-51.21</v>
      </c>
      <c r="K59">
        <v>3.46</v>
      </c>
      <c r="L59">
        <v>3.64</v>
      </c>
      <c r="M59" s="1">
        <f>IF(ISNUMBER(Main_S[[#This Row],[EPS]]),IF(Main_S[[#This Row],[EPS]]&lt;&gt;0,Main_S[[#This Row],[Current Price]]/Main_S[[#This Row],[EPS]],""),"")</f>
        <v>-6.3489361702127658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0.7796048860880046</v>
      </c>
      <c r="P59" s="1">
        <f>(Main_S[[#This Row],[P/B]]-VLOOKUP(Main_S[[#This Row],[Industry]], Mean_PB_S, 2, FALSE))/(VLOOKUP(Main_S[[#This Row],[Industry]], Mean_PB_S, 3, FALSE))</f>
        <v>1.4354092560224694</v>
      </c>
      <c r="Q59" s="1">
        <f>(Main_S[[#This Row],[ROE]]-VLOOKUP(Main_S[[#This Row],[Industry]], Mean_ROE_S, 2, FALSE))/(VLOOKUP(Main_S[[#This Row],[Industry]], Mean_ROE_S, 3, FALSE))</f>
        <v>-4.1438051560839764</v>
      </c>
      <c r="R59" s="1">
        <f>(Main_S[[#This Row],[ROA]]-VLOOKUP(Main_S[[#This Row],[Industry]], Mean_ROA_S, 2, FALSE))/(VLOOKUP(Main_S[[#This Row],[Industry]], Mean_ROA_S, 3, FALSE))</f>
        <v>0.50166939523862397</v>
      </c>
      <c r="S59" s="1">
        <f>(Main_S[[#This Row],[A/E]]-VLOOKUP(Main_S[[#This Row],[Industry]], Mean_AE_S, 2, FALSE))/(VLOOKUP(Main_S[[#This Row],[Industry]], Mean_AE_S, 3, FALSE))</f>
        <v>0.35365025164792419</v>
      </c>
      <c r="T59" s="1">
        <f>(Main_S[[#This Row],[P/E]]-VLOOKUP(Main_S[[#This Row],[Industry]], Mean_PE_S, 2, FALSE))/(VLOOKUP(Main_S[[#This Row],[Industry]], Mean_PE_S, 3, FALSE))</f>
        <v>-0.39609740869661447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0" spans="1:26" x14ac:dyDescent="0.25">
      <c r="A60" t="s">
        <v>107</v>
      </c>
      <c r="B60" t="s">
        <v>230</v>
      </c>
      <c r="C60" s="2">
        <v>564</v>
      </c>
      <c r="D60">
        <f>RTD("tos.rtd", , "LAST", Main_S[[#This Row],[Symbol]])</f>
        <v>8.74</v>
      </c>
      <c r="E60">
        <v>-1.36</v>
      </c>
      <c r="F60">
        <v>3.76</v>
      </c>
      <c r="G60">
        <v>-1.48</v>
      </c>
      <c r="H60" s="1">
        <f>IF(ISNUMBER(Main_S[[#This Row],[Free CF]]),IF(Main_S[[#This Row],[Free CF]]&lt;&gt;0,Main_S[[#This Row],[Current Price]]/Main_S[[#This Row],[Free CF]],""),"")</f>
        <v>-6.4264705882352935</v>
      </c>
      <c r="I60" s="1">
        <f>IF(ISNUMBER(Main_S[[#This Row],[BVPS]]),IF(Main_S[[#This Row],[BVPS]]&lt;&gt;0,Main_S[[#This Row],[Current Price]]/Main_S[[#This Row],[BVPS]],""),"")</f>
        <v>2.3244680851063833</v>
      </c>
      <c r="J60">
        <v>276.77</v>
      </c>
      <c r="K60">
        <v>-0.68</v>
      </c>
      <c r="L60">
        <v>5.56</v>
      </c>
      <c r="M60" s="1">
        <f>IF(ISNUMBER(Main_S[[#This Row],[EPS]]),IF(Main_S[[#This Row],[EPS]]&lt;&gt;0,Main_S[[#This Row],[Current Price]]/Main_S[[#This Row],[EPS]],""),"")</f>
        <v>-5.9054054054054053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-1.7865464877812027</v>
      </c>
      <c r="P60" s="1">
        <f>(Main_S[[#This Row],[P/B]]-VLOOKUP(Main_S[[#This Row],[Industry]], Mean_PB_S, 2, FALSE))/(VLOOKUP(Main_S[[#This Row],[Industry]], Mean_PB_S, 3, FALSE))</f>
        <v>0.53028391591365254</v>
      </c>
      <c r="Q60" s="1">
        <f>(Main_S[[#This Row],[ROE]]-VLOOKUP(Main_S[[#This Row],[Industry]], Mean_ROE_S, 2, FALSE))/(VLOOKUP(Main_S[[#This Row],[Industry]], Mean_ROE_S, 3, FALSE))</f>
        <v>20.551732062504069</v>
      </c>
      <c r="R60" s="1">
        <f>(Main_S[[#This Row],[ROA]]-VLOOKUP(Main_S[[#This Row],[Industry]], Mean_ROA_S, 2, FALSE))/(VLOOKUP(Main_S[[#This Row],[Industry]], Mean_ROA_S, 3, FALSE))</f>
        <v>-1.3214620095084826</v>
      </c>
      <c r="S60" s="1">
        <f>(Main_S[[#This Row],[A/E]]-VLOOKUP(Main_S[[#This Row],[Industry]], Mean_AE_S, 2, FALSE))/(VLOOKUP(Main_S[[#This Row],[Industry]], Mean_AE_S, 3, FALSE))</f>
        <v>1.3657821448930525</v>
      </c>
      <c r="T60" s="1">
        <f>(Main_S[[#This Row],[P/E]]-VLOOKUP(Main_S[[#This Row],[Industry]], Mean_PE_S, 2, FALSE))/(VLOOKUP(Main_S[[#This Row],[Industry]], Mean_PE_S, 3, FALSE))</f>
        <v>-0.37693111565593163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t="s">
        <v>107</v>
      </c>
      <c r="B61" t="s">
        <v>231</v>
      </c>
      <c r="C61" s="2">
        <v>298</v>
      </c>
      <c r="D61">
        <f>RTD("tos.rtd", , "LAST", Main_S[[#This Row],[Symbol]])</f>
        <v>6.02</v>
      </c>
      <c r="E61">
        <v>7.44</v>
      </c>
      <c r="F61">
        <v>19.39</v>
      </c>
      <c r="G61">
        <v>-5.0999999999999996</v>
      </c>
      <c r="H61" s="1">
        <f>IF(ISNUMBER(Main_S[[#This Row],[Free CF]]),IF(Main_S[[#This Row],[Free CF]]&lt;&gt;0,Main_S[[#This Row],[Current Price]]/Main_S[[#This Row],[Free CF]],""),"")</f>
        <v>0.80913978494623651</v>
      </c>
      <c r="I61" s="1">
        <f>IF(ISNUMBER(Main_S[[#This Row],[BVPS]]),IF(Main_S[[#This Row],[BVPS]]&lt;&gt;0,Main_S[[#This Row],[Current Price]]/Main_S[[#This Row],[BVPS]],""),"")</f>
        <v>0.31046931407942235</v>
      </c>
      <c r="J61">
        <v>-19.82</v>
      </c>
      <c r="K61">
        <v>5.77</v>
      </c>
      <c r="L61">
        <v>5.0999999999999996</v>
      </c>
      <c r="M61" s="1">
        <f>IF(ISNUMBER(Main_S[[#This Row],[EPS]]),IF(Main_S[[#This Row],[EPS]]&lt;&gt;0,Main_S[[#This Row],[Current Price]]/Main_S[[#This Row],[EPS]],""),"")</f>
        <v>-1.1803921568627451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-0.89864702110642836</v>
      </c>
      <c r="P61" s="1">
        <f>(Main_S[[#This Row],[P/B]]-VLOOKUP(Main_S[[#This Row],[Industry]], Mean_PB_S, 2, FALSE))/(VLOOKUP(Main_S[[#This Row],[Industry]], Mean_PB_S, 3, FALSE))</f>
        <v>-1.2040188275905606</v>
      </c>
      <c r="Q61" s="1">
        <f>(Main_S[[#This Row],[ROE]]-VLOOKUP(Main_S[[#This Row],[Industry]], Mean_ROE_S, 2, FALSE))/(VLOOKUP(Main_S[[#This Row],[Industry]], Mean_ROE_S, 3, FALSE))</f>
        <v>-1.7802680096376107</v>
      </c>
      <c r="R61" s="1">
        <f>(Main_S[[#This Row],[ROA]]-VLOOKUP(Main_S[[#This Row],[Industry]], Mean_ROA_S, 2, FALSE))/(VLOOKUP(Main_S[[#This Row],[Industry]], Mean_ROA_S, 3, FALSE))</f>
        <v>1.5189238746989659</v>
      </c>
      <c r="S61" s="1">
        <f>(Main_S[[#This Row],[A/E]]-VLOOKUP(Main_S[[#This Row],[Industry]], Mean_AE_S, 2, FALSE))/(VLOOKUP(Main_S[[#This Row],[Industry]], Mean_AE_S, 3, FALSE))</f>
        <v>1.1232922121364071</v>
      </c>
      <c r="T61" s="1">
        <f>(Main_S[[#This Row],[P/E]]-VLOOKUP(Main_S[[#This Row],[Industry]], Mean_PE_S, 2, FALSE))/(VLOOKUP(Main_S[[#This Row],[Industry]], Mean_PE_S, 3, FALSE))</f>
        <v>-0.17274913837638325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2" spans="1:26" x14ac:dyDescent="0.25">
      <c r="A62" t="s">
        <v>107</v>
      </c>
      <c r="B62" t="s">
        <v>232</v>
      </c>
      <c r="C62" s="2">
        <v>379</v>
      </c>
      <c r="D62">
        <f>RTD("tos.rtd", , "LAST", Main_S[[#This Row],[Symbol]])</f>
        <v>4.55</v>
      </c>
      <c r="E62">
        <v>5.85</v>
      </c>
      <c r="F62">
        <v>23.92</v>
      </c>
      <c r="G62">
        <v>3.36</v>
      </c>
      <c r="H62" s="1">
        <f>IF(ISNUMBER(Main_S[[#This Row],[Free CF]]),IF(Main_S[[#This Row],[Free CF]]&lt;&gt;0,Main_S[[#This Row],[Current Price]]/Main_S[[#This Row],[Free CF]],""),"")</f>
        <v>0.77777777777777779</v>
      </c>
      <c r="I62" s="1">
        <f>IF(ISNUMBER(Main_S[[#This Row],[BVPS]]),IF(Main_S[[#This Row],[BVPS]]&lt;&gt;0,Main_S[[#This Row],[Current Price]]/Main_S[[#This Row],[BVPS]],""),"")</f>
        <v>0.19021739130434781</v>
      </c>
      <c r="J62">
        <v>13.5</v>
      </c>
      <c r="K62">
        <v>5.16</v>
      </c>
      <c r="L62">
        <v>4.62</v>
      </c>
      <c r="M62" s="1">
        <f>IF(ISNUMBER(Main_S[[#This Row],[EPS]]),IF(Main_S[[#This Row],[EPS]]&lt;&gt;0,Main_S[[#This Row],[Current Price]]/Main_S[[#This Row],[EPS]],""),"")</f>
        <v>1.3541666666666667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-0.90249552980196779</v>
      </c>
      <c r="P62" s="1">
        <f>(Main_S[[#This Row],[P/B]]-VLOOKUP(Main_S[[#This Row],[Industry]], Mean_PB_S, 2, FALSE))/(VLOOKUP(Main_S[[#This Row],[Industry]], Mean_PB_S, 3, FALSE))</f>
        <v>-1.3075706482672558</v>
      </c>
      <c r="Q62" s="1">
        <f>(Main_S[[#This Row],[ROE]]-VLOOKUP(Main_S[[#This Row],[Industry]], Mean_ROE_S, 2, FALSE))/(VLOOKUP(Main_S[[#This Row],[Industry]], Mean_ROE_S, 3, FALSE))</f>
        <v>0.72859015282154438</v>
      </c>
      <c r="R62" s="1">
        <f>(Main_S[[#This Row],[ROA]]-VLOOKUP(Main_S[[#This Row],[Industry]], Mean_ROA_S, 2, FALSE))/(VLOOKUP(Main_S[[#This Row],[Industry]], Mean_ROA_S, 3, FALSE))</f>
        <v>1.2502982329367114</v>
      </c>
      <c r="S62" s="1">
        <f>(Main_S[[#This Row],[A/E]]-VLOOKUP(Main_S[[#This Row],[Industry]], Mean_AE_S, 2, FALSE))/(VLOOKUP(Main_S[[#This Row],[Industry]], Mean_AE_S, 3, FALSE))</f>
        <v>0.87025923882512513</v>
      </c>
      <c r="T62" s="1">
        <f>(Main_S[[#This Row],[P/E]]-VLOOKUP(Main_S[[#This Row],[Industry]], Mean_PE_S, 2, FALSE))/(VLOOKUP(Main_S[[#This Row],[Industry]], Mean_PE_S, 3, FALSE))</f>
        <v>-6.3223258786695824E-2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t="s">
        <v>107</v>
      </c>
      <c r="B63" t="s">
        <v>233</v>
      </c>
      <c r="C63" s="2">
        <v>1091</v>
      </c>
      <c r="D63">
        <f>RTD("tos.rtd", , "LAST", Main_S[[#This Row],[Symbol]])</f>
        <v>15.94</v>
      </c>
      <c r="E63">
        <v>0.21</v>
      </c>
      <c r="F63">
        <v>8.7799999999999994</v>
      </c>
      <c r="G63">
        <v>4.6900000000000004</v>
      </c>
      <c r="H63" s="1">
        <f>IF(ISNUMBER(Main_S[[#This Row],[Free CF]]),IF(Main_S[[#This Row],[Free CF]]&lt;&gt;0,Main_S[[#This Row],[Current Price]]/Main_S[[#This Row],[Free CF]],""),"")</f>
        <v>75.904761904761912</v>
      </c>
      <c r="I63" s="1">
        <f>IF(ISNUMBER(Main_S[[#This Row],[BVPS]]),IF(Main_S[[#This Row],[BVPS]]&lt;&gt;0,Main_S[[#This Row],[Current Price]]/Main_S[[#This Row],[BVPS]],""),"")</f>
        <v>1.815489749430524</v>
      </c>
      <c r="J63">
        <v>86.57</v>
      </c>
      <c r="K63">
        <v>5.74</v>
      </c>
      <c r="L63">
        <v>10.09</v>
      </c>
      <c r="M63" s="1">
        <f>IF(ISNUMBER(Main_S[[#This Row],[EPS]]),IF(Main_S[[#This Row],[EPS]]&lt;&gt;0,Main_S[[#This Row],[Current Price]]/Main_S[[#This Row],[EPS]],""),"")</f>
        <v>3.3987206823027716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8.3165206552697661</v>
      </c>
      <c r="P63" s="1">
        <f>(Main_S[[#This Row],[P/B]]-VLOOKUP(Main_S[[#This Row],[Industry]], Mean_PB_S, 2, FALSE))/(VLOOKUP(Main_S[[#This Row],[Industry]], Mean_PB_S, 3, FALSE))</f>
        <v>9.1990438953514803E-2</v>
      </c>
      <c r="Q63" s="1">
        <f>(Main_S[[#This Row],[ROE]]-VLOOKUP(Main_S[[#This Row],[Industry]], Mean_ROE_S, 2, FALSE))/(VLOOKUP(Main_S[[#This Row],[Industry]], Mean_ROE_S, 3, FALSE))</f>
        <v>6.2304588782384247</v>
      </c>
      <c r="R63" s="1">
        <f>(Main_S[[#This Row],[ROA]]-VLOOKUP(Main_S[[#This Row],[Industry]], Mean_ROA_S, 2, FALSE))/(VLOOKUP(Main_S[[#This Row],[Industry]], Mean_ROA_S, 3, FALSE))</f>
        <v>1.5057127775631176</v>
      </c>
      <c r="S63" s="1">
        <f>(Main_S[[#This Row],[A/E]]-VLOOKUP(Main_S[[#This Row],[Industry]], Mean_AE_S, 2, FALSE))/(VLOOKUP(Main_S[[#This Row],[Industry]], Mean_AE_S, 3, FALSE))</f>
        <v>3.7537808305182776</v>
      </c>
      <c r="T63" s="1">
        <f>(Main_S[[#This Row],[P/E]]-VLOOKUP(Main_S[[#This Row],[Industry]], Mean_PE_S, 2, FALSE))/(VLOOKUP(Main_S[[#This Row],[Industry]], Mean_PE_S, 3, FALSE))</f>
        <v>2.5128045137410304E-2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4" spans="1:26" x14ac:dyDescent="0.25">
      <c r="A64" t="s">
        <v>107</v>
      </c>
      <c r="B64" t="s">
        <v>234</v>
      </c>
      <c r="C64" s="2">
        <v>1239</v>
      </c>
      <c r="D64">
        <f>RTD("tos.rtd", , "LAST", Main_S[[#This Row],[Symbol]])</f>
        <v>2.73</v>
      </c>
      <c r="E64">
        <v>0.32</v>
      </c>
      <c r="F64">
        <v>-1.01</v>
      </c>
      <c r="G64">
        <v>-0.22</v>
      </c>
      <c r="H64" s="1">
        <f>IF(ISNUMBER(Main_S[[#This Row],[Free CF]]),IF(Main_S[[#This Row],[Free CF]]&lt;&gt;0,Main_S[[#This Row],[Current Price]]/Main_S[[#This Row],[Free CF]],""),"")</f>
        <v>8.53125</v>
      </c>
      <c r="I64" s="1">
        <f>IF(ISNUMBER(Main_S[[#This Row],[BVPS]]),IF(Main_S[[#This Row],[BVPS]]&lt;&gt;0,Main_S[[#This Row],[Current Price]]/Main_S[[#This Row],[BVPS]],""),"")</f>
        <v>-2.7029702970297032</v>
      </c>
      <c r="J64">
        <v>17.57</v>
      </c>
      <c r="K64">
        <v>3.35</v>
      </c>
      <c r="L64">
        <v>-67.56</v>
      </c>
      <c r="M64" s="1">
        <f>IF(ISNUMBER(Main_S[[#This Row],[EPS]]),IF(Main_S[[#This Row],[EPS]]&lt;&gt;0,Main_S[[#This Row],[Current Price]]/Main_S[[#This Row],[EPS]],""),"")</f>
        <v>-12.409090909090908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4.8952032452787918E-2</v>
      </c>
      <c r="P64" s="1">
        <f>(Main_S[[#This Row],[P/B]]-VLOOKUP(Main_S[[#This Row],[Industry]], Mean_PB_S, 2, FALSE))/(VLOOKUP(Main_S[[#This Row],[Industry]], Mean_PB_S, 3, FALSE))</f>
        <v>-3.7989640977239274</v>
      </c>
      <c r="Q64" s="1">
        <f>(Main_S[[#This Row],[ROE]]-VLOOKUP(Main_S[[#This Row],[Industry]], Mean_ROE_S, 2, FALSE))/(VLOOKUP(Main_S[[#This Row],[Industry]], Mean_ROE_S, 3, FALSE))</f>
        <v>1.035044316123128</v>
      </c>
      <c r="R64" s="1">
        <f>(Main_S[[#This Row],[ROA]]-VLOOKUP(Main_S[[#This Row],[Industry]], Mean_ROA_S, 2, FALSE))/(VLOOKUP(Main_S[[#This Row],[Industry]], Mean_ROA_S, 3, FALSE))</f>
        <v>0.45322870574051255</v>
      </c>
      <c r="S64" s="1">
        <f>(Main_S[[#This Row],[A/E]]-VLOOKUP(Main_S[[#This Row],[Industry]], Mean_AE_S, 2, FALSE))/(VLOOKUP(Main_S[[#This Row],[Industry]], Mean_AE_S, 3, FALSE))</f>
        <v>-37.179574122858931</v>
      </c>
      <c r="T64" s="1">
        <f>(Main_S[[#This Row],[P/E]]-VLOOKUP(Main_S[[#This Row],[Industry]], Mean_PE_S, 2, FALSE))/(VLOOKUP(Main_S[[#This Row],[Industry]], Mean_PE_S, 3, FALSE))</f>
        <v>-0.65797484948174001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t="s">
        <v>107</v>
      </c>
      <c r="B65" t="s">
        <v>235</v>
      </c>
      <c r="C65" s="2">
        <v>983</v>
      </c>
      <c r="D65">
        <f>RTD("tos.rtd", , "LAST", Main_S[[#This Row],[Symbol]])</f>
        <v>166.46</v>
      </c>
      <c r="E65">
        <v>57.62</v>
      </c>
      <c r="F65">
        <v>315.5</v>
      </c>
      <c r="G65">
        <v>-3.88</v>
      </c>
      <c r="H65" s="1">
        <f>IF(ISNUMBER(Main_S[[#This Row],[Free CF]]),IF(Main_S[[#This Row],[Free CF]]&lt;&gt;0,Main_S[[#This Row],[Current Price]]/Main_S[[#This Row],[Free CF]],""),"")</f>
        <v>2.8889274557445335</v>
      </c>
      <c r="I65" s="1">
        <f>IF(ISNUMBER(Main_S[[#This Row],[BVPS]]),IF(Main_S[[#This Row],[BVPS]]&lt;&gt;0,Main_S[[#This Row],[Current Price]]/Main_S[[#This Row],[BVPS]],""),"")</f>
        <v>0.52760697305863713</v>
      </c>
      <c r="J65">
        <v>-1.0900000000000001</v>
      </c>
      <c r="K65">
        <v>4.09</v>
      </c>
      <c r="L65">
        <v>3.62</v>
      </c>
      <c r="M65" s="1">
        <f>IF(ISNUMBER(Main_S[[#This Row],[EPS]]),IF(Main_S[[#This Row],[EPS]]&lt;&gt;0,Main_S[[#This Row],[Current Price]]/Main_S[[#This Row],[EPS]],""),"")</f>
        <v>-42.902061855670105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-0.64343118326321358</v>
      </c>
      <c r="P65" s="1">
        <f>(Main_S[[#This Row],[P/B]]-VLOOKUP(Main_S[[#This Row],[Industry]], Mean_PB_S, 2, FALSE))/(VLOOKUP(Main_S[[#This Row],[Industry]], Mean_PB_S, 3, FALSE))</f>
        <v>-1.0170363710453112</v>
      </c>
      <c r="Q65" s="1">
        <f>(Main_S[[#This Row],[ROE]]-VLOOKUP(Main_S[[#This Row],[Industry]], Mean_ROE_S, 2, FALSE))/(VLOOKUP(Main_S[[#This Row],[Industry]], Mean_ROE_S, 3, FALSE))</f>
        <v>-0.36997649154457429</v>
      </c>
      <c r="R65" s="1">
        <f>(Main_S[[#This Row],[ROA]]-VLOOKUP(Main_S[[#This Row],[Industry]], Mean_ROA_S, 2, FALSE))/(VLOOKUP(Main_S[[#This Row],[Industry]], Mean_ROA_S, 3, FALSE))</f>
        <v>0.7791024350914445</v>
      </c>
      <c r="S65" s="1">
        <f>(Main_S[[#This Row],[A/E]]-VLOOKUP(Main_S[[#This Row],[Industry]], Mean_AE_S, 2, FALSE))/(VLOOKUP(Main_S[[#This Row],[Industry]], Mean_AE_S, 3, FALSE))</f>
        <v>0.3431072110932874</v>
      </c>
      <c r="T65" s="1">
        <f>(Main_S[[#This Row],[P/E]]-VLOOKUP(Main_S[[#This Row],[Industry]], Mean_PE_S, 2, FALSE))/(VLOOKUP(Main_S[[#This Row],[Industry]], Mean_PE_S, 3, FALSE))</f>
        <v>-1.9756674724433136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6" spans="1:26" x14ac:dyDescent="0.25">
      <c r="A66" t="s">
        <v>107</v>
      </c>
      <c r="B66" t="s">
        <v>236</v>
      </c>
      <c r="C66" s="2">
        <v>970</v>
      </c>
      <c r="D66">
        <f>RTD("tos.rtd", , "LAST", Main_S[[#This Row],[Symbol]])</f>
        <v>1.84</v>
      </c>
      <c r="E66">
        <v>0.41</v>
      </c>
      <c r="F66">
        <v>1.86</v>
      </c>
      <c r="G66">
        <v>-0.16</v>
      </c>
      <c r="H66" s="1">
        <f>IF(ISNUMBER(Main_S[[#This Row],[Free CF]]),IF(Main_S[[#This Row],[Free CF]]&lt;&gt;0,Main_S[[#This Row],[Current Price]]/Main_S[[#This Row],[Free CF]],""),"")</f>
        <v>4.4878048780487809</v>
      </c>
      <c r="I66" s="1">
        <f>IF(ISNUMBER(Main_S[[#This Row],[BVPS]]),IF(Main_S[[#This Row],[BVPS]]&lt;&gt;0,Main_S[[#This Row],[Current Price]]/Main_S[[#This Row],[BVPS]],""),"")</f>
        <v>0.989247311827957</v>
      </c>
      <c r="J66">
        <v>-7.48</v>
      </c>
      <c r="K66">
        <v>-0.15</v>
      </c>
      <c r="L66">
        <v>2.41</v>
      </c>
      <c r="M66" s="1">
        <f>IF(ISNUMBER(Main_S[[#This Row],[EPS]]),IF(Main_S[[#This Row],[EPS]]&lt;&gt;0,Main_S[[#This Row],[Current Price]]/Main_S[[#This Row],[EPS]],""),"")</f>
        <v>-11.5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-0.44722901961381073</v>
      </c>
      <c r="P66" s="1">
        <f>(Main_S[[#This Row],[P/B]]-VLOOKUP(Main_S[[#This Row],[Industry]], Mean_PB_S, 2, FALSE))/(VLOOKUP(Main_S[[#This Row],[Industry]], Mean_PB_S, 3, FALSE))</f>
        <v>-0.61950678087997135</v>
      </c>
      <c r="Q66" s="1">
        <f>(Main_S[[#This Row],[ROE]]-VLOOKUP(Main_S[[#This Row],[Industry]], Mean_ROE_S, 2, FALSE))/(VLOOKUP(Main_S[[#This Row],[Industry]], Mean_ROE_S, 3, FALSE))</f>
        <v>-0.85111705751438227</v>
      </c>
      <c r="R66" s="1">
        <f>(Main_S[[#This Row],[ROA]]-VLOOKUP(Main_S[[#This Row],[Industry]], Mean_ROA_S, 2, FALSE))/(VLOOKUP(Main_S[[#This Row],[Industry]], Mean_ROA_S, 3, FALSE))</f>
        <v>-1.0880659601084905</v>
      </c>
      <c r="S66" s="1">
        <f>(Main_S[[#This Row],[A/E]]-VLOOKUP(Main_S[[#This Row],[Industry]], Mean_AE_S, 2, FALSE))/(VLOOKUP(Main_S[[#This Row],[Industry]], Mean_AE_S, 3, FALSE))</f>
        <v>-0.29474674246223626</v>
      </c>
      <c r="T66" s="1">
        <f>(Main_S[[#This Row],[P/E]]-VLOOKUP(Main_S[[#This Row],[Industry]], Mean_PE_S, 2, FALSE))/(VLOOKUP(Main_S[[#This Row],[Industry]], Mean_PE_S, 3, FALSE))</f>
        <v>-0.61869030791938684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7" spans="1:26" x14ac:dyDescent="0.25">
      <c r="A67" t="s">
        <v>107</v>
      </c>
      <c r="B67" t="s">
        <v>237</v>
      </c>
      <c r="C67" s="2">
        <v>362</v>
      </c>
      <c r="D67">
        <f>RTD("tos.rtd", , "LAST", Main_S[[#This Row],[Symbol]])</f>
        <v>4.4400000000000004</v>
      </c>
      <c r="E67">
        <v>-0.64</v>
      </c>
      <c r="F67">
        <v>2.54</v>
      </c>
      <c r="G67">
        <v>-0.72</v>
      </c>
      <c r="H67" s="1">
        <f>IF(ISNUMBER(Main_S[[#This Row],[Free CF]]),IF(Main_S[[#This Row],[Free CF]]&lt;&gt;0,Main_S[[#This Row],[Current Price]]/Main_S[[#This Row],[Free CF]],""),"")</f>
        <v>-6.9375000000000009</v>
      </c>
      <c r="I67" s="1">
        <f>IF(ISNUMBER(Main_S[[#This Row],[BVPS]]),IF(Main_S[[#This Row],[BVPS]]&lt;&gt;0,Main_S[[#This Row],[Current Price]]/Main_S[[#This Row],[BVPS]],""),"")</f>
        <v>1.7480314960629924</v>
      </c>
      <c r="J67">
        <v>-25.18</v>
      </c>
      <c r="K67">
        <v>0.27</v>
      </c>
      <c r="L67">
        <v>7.24</v>
      </c>
      <c r="M67" s="1">
        <f>IF(ISNUMBER(Main_S[[#This Row],[EPS]]),IF(Main_S[[#This Row],[EPS]]&lt;&gt;0,Main_S[[#This Row],[Current Price]]/Main_S[[#This Row],[EPS]],""),"")</f>
        <v>-6.1666666666666679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-1.8492561582525131</v>
      </c>
      <c r="P67" s="1">
        <f>(Main_S[[#This Row],[P/B]]-VLOOKUP(Main_S[[#This Row],[Industry]], Mean_PB_S, 2, FALSE))/(VLOOKUP(Main_S[[#This Row],[Industry]], Mean_PB_S, 3, FALSE))</f>
        <v>3.3900515776622113E-2</v>
      </c>
      <c r="Q67" s="1">
        <f>(Main_S[[#This Row],[ROE]]-VLOOKUP(Main_S[[#This Row],[Industry]], Mean_ROE_S, 2, FALSE))/(VLOOKUP(Main_S[[#This Row],[Industry]], Mean_ROE_S, 3, FALSE))</f>
        <v>-2.1838538364917843</v>
      </c>
      <c r="R67" s="1">
        <f>(Main_S[[#This Row],[ROA]]-VLOOKUP(Main_S[[#This Row],[Industry]], Mean_ROA_S, 2, FALSE))/(VLOOKUP(Main_S[[#This Row],[Industry]], Mean_ROA_S, 3, FALSE))</f>
        <v>-0.90311060020661027</v>
      </c>
      <c r="S67" s="1">
        <f>(Main_S[[#This Row],[A/E]]-VLOOKUP(Main_S[[#This Row],[Industry]], Mean_AE_S, 2, FALSE))/(VLOOKUP(Main_S[[#This Row],[Industry]], Mean_AE_S, 3, FALSE))</f>
        <v>2.2513975514825399</v>
      </c>
      <c r="T67" s="1">
        <f>(Main_S[[#This Row],[P/E]]-VLOOKUP(Main_S[[#This Row],[Industry]], Mean_PE_S, 2, FALSE))/(VLOOKUP(Main_S[[#This Row],[Industry]], Mean_PE_S, 3, FALSE))</f>
        <v>-0.38822099742024763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8" spans="1:26" x14ac:dyDescent="0.25">
      <c r="A68" t="s">
        <v>107</v>
      </c>
      <c r="B68" t="s">
        <v>238</v>
      </c>
      <c r="C68" s="2">
        <v>485</v>
      </c>
      <c r="D68">
        <f>RTD("tos.rtd", , "LAST", Main_S[[#This Row],[Symbol]])</f>
        <v>3.71</v>
      </c>
      <c r="E68">
        <v>0.36</v>
      </c>
      <c r="F68">
        <v>1.05</v>
      </c>
      <c r="G68">
        <v>0.36</v>
      </c>
      <c r="H68" s="1">
        <f>IF(ISNUMBER(Main_S[[#This Row],[Free CF]]),IF(Main_S[[#This Row],[Free CF]]&lt;&gt;0,Main_S[[#This Row],[Current Price]]/Main_S[[#This Row],[Free CF]],""),"")</f>
        <v>10.305555555555555</v>
      </c>
      <c r="I68" s="1">
        <f>IF(ISNUMBER(Main_S[[#This Row],[BVPS]]),IF(Main_S[[#This Row],[BVPS]]&lt;&gt;0,Main_S[[#This Row],[Current Price]]/Main_S[[#This Row],[BVPS]],""),"")</f>
        <v>3.5333333333333332</v>
      </c>
      <c r="J68">
        <v>26.68</v>
      </c>
      <c r="K68">
        <v>2.11</v>
      </c>
      <c r="L68">
        <v>13</v>
      </c>
      <c r="M68" s="1">
        <f>IF(ISNUMBER(Main_S[[#This Row],[EPS]]),IF(Main_S[[#This Row],[EPS]]&lt;&gt;0,Main_S[[#This Row],[Current Price]]/Main_S[[#This Row],[EPS]],""),"")</f>
        <v>10.305555555555555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0.26668141190293576</v>
      </c>
      <c r="P68" s="1">
        <f>(Main_S[[#This Row],[P/B]]-VLOOKUP(Main_S[[#This Row],[Industry]], Mean_PB_S, 2, FALSE))/(VLOOKUP(Main_S[[#This Row],[Industry]], Mean_PB_S, 3, FALSE))</f>
        <v>1.571266833424497</v>
      </c>
      <c r="Q68" s="1">
        <f>(Main_S[[#This Row],[ROE]]-VLOOKUP(Main_S[[#This Row],[Industry]], Mean_ROE_S, 2, FALSE))/(VLOOKUP(Main_S[[#This Row],[Industry]], Mean_ROE_S, 3, FALSE))</f>
        <v>1.7209896300487852</v>
      </c>
      <c r="R68" s="1">
        <f>(Main_S[[#This Row],[ROA]]-VLOOKUP(Main_S[[#This Row],[Industry]], Mean_ROA_S, 2, FALSE))/(VLOOKUP(Main_S[[#This Row],[Industry]], Mean_ROA_S, 3, FALSE))</f>
        <v>-9.2829975874562959E-2</v>
      </c>
      <c r="S68" s="1">
        <f>(Main_S[[#This Row],[A/E]]-VLOOKUP(Main_S[[#This Row],[Industry]], Mean_AE_S, 2, FALSE))/(VLOOKUP(Main_S[[#This Row],[Industry]], Mean_AE_S, 3, FALSE))</f>
        <v>5.2877932312179254</v>
      </c>
      <c r="T68" s="1">
        <f>(Main_S[[#This Row],[P/E]]-VLOOKUP(Main_S[[#This Row],[Industry]], Mean_PE_S, 2, FALSE))/(VLOOKUP(Main_S[[#This Row],[Industry]], Mean_PE_S, 3, FALSE))</f>
        <v>0.3235930709442813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t="s">
        <v>107</v>
      </c>
      <c r="B69" t="s">
        <v>239</v>
      </c>
      <c r="C69" s="2">
        <v>494</v>
      </c>
      <c r="D69">
        <f>RTD("tos.rtd", , "LAST", Main_S[[#This Row],[Symbol]])</f>
        <v>18.75</v>
      </c>
      <c r="E69">
        <v>1.1599999999999999</v>
      </c>
      <c r="F69">
        <v>35.270000000000003</v>
      </c>
      <c r="G69">
        <v>0.65</v>
      </c>
      <c r="H69" s="1">
        <f>IF(ISNUMBER(Main_S[[#This Row],[Free CF]]),IF(Main_S[[#This Row],[Free CF]]&lt;&gt;0,Main_S[[#This Row],[Current Price]]/Main_S[[#This Row],[Free CF]],""),"")</f>
        <v>16.163793103448278</v>
      </c>
      <c r="I69" s="1">
        <f>IF(ISNUMBER(Main_S[[#This Row],[BVPS]]),IF(Main_S[[#This Row],[BVPS]]&lt;&gt;0,Main_S[[#This Row],[Current Price]]/Main_S[[#This Row],[BVPS]],""),"")</f>
        <v>0.53161326906719586</v>
      </c>
      <c r="J69">
        <v>1.92</v>
      </c>
      <c r="K69">
        <v>1.1200000000000001</v>
      </c>
      <c r="L69">
        <v>2.08</v>
      </c>
      <c r="M69" s="1">
        <f>IF(ISNUMBER(Main_S[[#This Row],[EPS]]),IF(Main_S[[#This Row],[EPS]]&lt;&gt;0,Main_S[[#This Row],[Current Price]]/Main_S[[#This Row],[EPS]],""),"")</f>
        <v>28.846153846153847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0.9855600864246199</v>
      </c>
      <c r="P69" s="1">
        <f>(Main_S[[#This Row],[P/B]]-VLOOKUP(Main_S[[#This Row],[Industry]], Mean_PB_S, 2, FALSE))/(VLOOKUP(Main_S[[#This Row],[Industry]], Mean_PB_S, 3, FALSE))</f>
        <v>-1.0135864532703411</v>
      </c>
      <c r="Q69" s="1">
        <f>(Main_S[[#This Row],[ROE]]-VLOOKUP(Main_S[[#This Row],[Industry]], Mean_ROE_S, 2, FALSE))/(VLOOKUP(Main_S[[#This Row],[Industry]], Mean_ROE_S, 3, FALSE))</f>
        <v>-0.14333594325519686</v>
      </c>
      <c r="R69" s="1">
        <f>(Main_S[[#This Row],[ROA]]-VLOOKUP(Main_S[[#This Row],[Industry]], Mean_ROA_S, 2, FALSE))/(VLOOKUP(Main_S[[#This Row],[Industry]], Mean_ROA_S, 3, FALSE))</f>
        <v>-0.52879618135756656</v>
      </c>
      <c r="S69" s="1">
        <f>(Main_S[[#This Row],[A/E]]-VLOOKUP(Main_S[[#This Row],[Industry]], Mean_AE_S, 2, FALSE))/(VLOOKUP(Main_S[[#This Row],[Industry]], Mean_AE_S, 3, FALSE))</f>
        <v>-0.46870691161374273</v>
      </c>
      <c r="T69" s="1">
        <f>(Main_S[[#This Row],[P/E]]-VLOOKUP(Main_S[[#This Row],[Industry]], Mean_PE_S, 2, FALSE))/(VLOOKUP(Main_S[[#This Row],[Industry]], Mean_PE_S, 3, FALSE))</f>
        <v>1.1247878654959764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t="s">
        <v>106</v>
      </c>
      <c r="B70" t="s">
        <v>211</v>
      </c>
      <c r="C70" s="2">
        <v>996</v>
      </c>
      <c r="D70">
        <f>RTD("tos.rtd", , "LAST", Main_S[[#This Row],[Symbol]])</f>
        <v>11.86</v>
      </c>
      <c r="E70">
        <v>0.11</v>
      </c>
      <c r="F70">
        <v>0.53</v>
      </c>
      <c r="G70">
        <v>0.1</v>
      </c>
      <c r="H70" s="1">
        <f>IF(ISNUMBER(Main_S[[#This Row],[Free CF]]),IF(Main_S[[#This Row],[Free CF]]&lt;&gt;0,Main_S[[#This Row],[Current Price]]/Main_S[[#This Row],[Free CF]],""),"")</f>
        <v>107.81818181818181</v>
      </c>
      <c r="I70" s="1">
        <f>IF(ISNUMBER(Main_S[[#This Row],[BVPS]]),IF(Main_S[[#This Row],[BVPS]]&lt;&gt;0,Main_S[[#This Row],[Current Price]]/Main_S[[#This Row],[BVPS]],""),"")</f>
        <v>22.377358490566035</v>
      </c>
      <c r="J70">
        <v>24.98</v>
      </c>
      <c r="K70">
        <v>6.51</v>
      </c>
      <c r="L70">
        <v>17.73</v>
      </c>
      <c r="M70" s="1">
        <f>IF(ISNUMBER(Main_S[[#This Row],[EPS]]),IF(Main_S[[#This Row],[EPS]]&lt;&gt;0,Main_S[[#This Row],[Current Price]]/Main_S[[#This Row],[EPS]],""),"")</f>
        <v>118.6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1</v>
      </c>
      <c r="P70" s="1">
        <f>(Main_S[[#This Row],[P/B]]-VLOOKUP(Main_S[[#This Row],[Industry]], Mean_PB_S, 2, FALSE))/(VLOOKUP(Main_S[[#This Row],[Industry]], Mean_PB_S, 3, FALSE))</f>
        <v>0.99999999999999978</v>
      </c>
      <c r="Q70" s="1">
        <f>(Main_S[[#This Row],[ROE]]-VLOOKUP(Main_S[[#This Row],[Industry]], Mean_ROE_S, 2, FALSE))/(VLOOKUP(Main_S[[#This Row],[Industry]], Mean_ROE_S, 3, FALSE))</f>
        <v>0.99999999999999967</v>
      </c>
      <c r="R70" s="1">
        <f>(Main_S[[#This Row],[ROA]]-VLOOKUP(Main_S[[#This Row],[Industry]], Mean_ROA_S, 2, FALSE))/(VLOOKUP(Main_S[[#This Row],[Industry]], Mean_ROA_S, 3, FALSE))</f>
        <v>0.99999999999982547</v>
      </c>
      <c r="S70" s="1">
        <f>(Main_S[[#This Row],[A/E]]-VLOOKUP(Main_S[[#This Row],[Industry]], Mean_AE_S, 2, FALSE))/(VLOOKUP(Main_S[[#This Row],[Industry]], Mean_AE_S, 3, FALSE))</f>
        <v>1</v>
      </c>
      <c r="T70" s="1">
        <f>(Main_S[[#This Row],[P/E]]-VLOOKUP(Main_S[[#This Row],[Industry]], Mean_PE_S, 2, FALSE))/(VLOOKUP(Main_S[[#This Row],[Industry]], Mean_PE_S, 3, FALSE))</f>
        <v>1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1" spans="1:26" x14ac:dyDescent="0.25">
      <c r="A71" t="s">
        <v>106</v>
      </c>
      <c r="B71" t="s">
        <v>212</v>
      </c>
      <c r="C71" s="2">
        <v>339</v>
      </c>
      <c r="D71">
        <f>RTD("tos.rtd", , "LAST", Main_S[[#This Row],[Symbol]])</f>
        <v>16.41</v>
      </c>
      <c r="E71">
        <v>1.29</v>
      </c>
      <c r="F71">
        <v>7.38</v>
      </c>
      <c r="G71">
        <v>0.77</v>
      </c>
      <c r="H71" s="1">
        <f>IF(ISNUMBER(Main_S[[#This Row],[Free CF]]),IF(Main_S[[#This Row],[Free CF]]&lt;&gt;0,Main_S[[#This Row],[Current Price]]/Main_S[[#This Row],[Free CF]],""),"")</f>
        <v>12.720930232558139</v>
      </c>
      <c r="I71" s="1">
        <f>IF(ISNUMBER(Main_S[[#This Row],[BVPS]]),IF(Main_S[[#This Row],[BVPS]]&lt;&gt;0,Main_S[[#This Row],[Current Price]]/Main_S[[#This Row],[BVPS]],""),"")</f>
        <v>2.2235772357723578</v>
      </c>
      <c r="J71">
        <v>10.210000000000001</v>
      </c>
      <c r="K71">
        <v>6.21</v>
      </c>
      <c r="L71">
        <v>1.35</v>
      </c>
      <c r="M71" s="1">
        <f>IF(ISNUMBER(Main_S[[#This Row],[EPS]]),IF(Main_S[[#This Row],[EPS]]&lt;&gt;0,Main_S[[#This Row],[Current Price]]/Main_S[[#This Row],[EPS]],""),"")</f>
        <v>21.311688311688311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71" s="1">
        <f>(Main_S[[#This Row],[P/FCF]]-VLOOKUP(Main_S[[#This Row],[Industry]], Mean_PFCF_S, 2, FALSE))/(VLOOKUP(Main_S[[#This Row],[Industry]], Mean_PFCF_S, 3, FALSE))</f>
        <v>-1.0000000000000002</v>
      </c>
      <c r="P71" s="1">
        <f>(Main_S[[#This Row],[P/B]]-VLOOKUP(Main_S[[#This Row],[Industry]], Mean_PB_S, 2, FALSE))/(VLOOKUP(Main_S[[#This Row],[Industry]], Mean_PB_S, 3, FALSE))</f>
        <v>-0.99999999999999978</v>
      </c>
      <c r="Q71" s="1">
        <f>(Main_S[[#This Row],[ROE]]-VLOOKUP(Main_S[[#This Row],[Industry]], Mean_ROE_S, 2, FALSE))/(VLOOKUP(Main_S[[#This Row],[Industry]], Mean_ROE_S, 3, FALSE))</f>
        <v>-0.99999999999999911</v>
      </c>
      <c r="R71" s="1">
        <f>(Main_S[[#This Row],[ROA]]-VLOOKUP(Main_S[[#This Row],[Industry]], Mean_ROA_S, 2, FALSE))/(VLOOKUP(Main_S[[#This Row],[Industry]], Mean_ROA_S, 3, FALSE))</f>
        <v>-0.99999999999981959</v>
      </c>
      <c r="S71" s="1">
        <f>(Main_S[[#This Row],[A/E]]-VLOOKUP(Main_S[[#This Row],[Industry]], Mean_AE_S, 2, FALSE))/(VLOOKUP(Main_S[[#This Row],[Industry]], Mean_AE_S, 3, FALSE))</f>
        <v>-1.0000000000000002</v>
      </c>
      <c r="T71" s="1">
        <f>(Main_S[[#This Row],[P/E]]-VLOOKUP(Main_S[[#This Row],[Industry]], Mean_PE_S, 2, FALSE))/(VLOOKUP(Main_S[[#This Row],[Industry]], Mean_PE_S, 3, FALSE))</f>
        <v>-0.99999999999999967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25"/>
  <sheetViews>
    <sheetView topLeftCell="A5" workbookViewId="0">
      <selection activeCell="B24" sqref="B24"/>
    </sheetView>
  </sheetViews>
  <sheetFormatPr defaultRowHeight="15" x14ac:dyDescent="0.25"/>
  <cols>
    <col min="1" max="1" width="36.7109375" bestFit="1" customWidth="1"/>
    <col min="2" max="3" width="61.5703125" bestFit="1" customWidth="1"/>
    <col min="4" max="4" width="45.140625" bestFit="1" customWidth="1"/>
    <col min="5" max="5" width="45.42578125" bestFit="1" customWidth="1"/>
    <col min="6" max="7" width="59.5703125" bestFit="1" customWidth="1"/>
    <col min="8" max="8" width="39" bestFit="1" customWidth="1"/>
    <col min="9" max="9" width="39.28515625" bestFit="1" customWidth="1"/>
    <col min="10" max="11" width="60.140625" bestFit="1" customWidth="1"/>
    <col min="12" max="12" width="40.7109375" bestFit="1" customWidth="1"/>
    <col min="13" max="13" width="41" bestFit="1" customWidth="1"/>
    <col min="14" max="15" width="60.28515625" bestFit="1" customWidth="1"/>
    <col min="16" max="16" width="41.140625" bestFit="1" customWidth="1"/>
    <col min="17" max="17" width="41.42578125" bestFit="1" customWidth="1"/>
    <col min="18" max="19" width="59.42578125" bestFit="1" customWidth="1"/>
    <col min="20" max="20" width="38.5703125" bestFit="1" customWidth="1"/>
    <col min="21" max="21" width="38.85546875" bestFit="1" customWidth="1"/>
    <col min="22" max="23" width="59.4257812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105</v>
      </c>
      <c r="B3" s="1" cm="1">
        <f t="array" ref="B3">_xlfn.QUARTILE.INC(IF(Quartile_L[[#This Row],[Industry]]=Main_L[Industry],Main_L[P/FCF]),1)</f>
        <v>9.5507592366718637</v>
      </c>
      <c r="C3" s="1" cm="1">
        <f t="array" ref="C3">_xlfn.QUARTILE.INC(IF(Quartile_L[[#This Row],[Industry]]=Main_L[Industry],Main_L[P/FCF]),3)</f>
        <v>70.711029411764699</v>
      </c>
      <c r="D3" s="1">
        <f>Quartile_L[[#This Row],[P/FCF Q1]]-1.5*(Quartile_L[[#This Row],[P/FCF Q3]]-Quartile_L[[#This Row],[P/FCF Q1]])</f>
        <v>-82.189646025967392</v>
      </c>
      <c r="E3" s="1">
        <f>Quartile_L[[#This Row],[P/FCF Q3]]+1.5*(Quartile_L[[#This Row],[P/FCF Q3]]-Quartile_L[[#This Row],[P/FCF Q1]])</f>
        <v>162.45143467440397</v>
      </c>
      <c r="F3" s="1" cm="1">
        <f t="array" ref="F3">_xlfn.QUARTILE.INC(IF(Quartile_L[[#This Row],[Industry]]=Main_L[Industry],Main_L[P/B]),1)</f>
        <v>1.8220099316736613</v>
      </c>
      <c r="G3" s="1" cm="1">
        <f t="array" ref="G3">_xlfn.QUARTILE.INC(IF(Quartile_L[[#This Row],[Industry]]=Main_L[Industry],Main_L[P/B]),3)</f>
        <v>9.2624673168311151</v>
      </c>
      <c r="H3" s="1">
        <f>Quartile_L[[#This Row],[P/B Q1]]-1.5*(Quartile_L[[#This Row],[P/B Q3]]-Quartile_L[[#This Row],[P/B Q1]])</f>
        <v>-9.3386761460625181</v>
      </c>
      <c r="I3" s="1">
        <f>Quartile_L[[#This Row],[P/B Q3]]+1.5*(Quartile_L[[#This Row],[P/B Q3]]-Quartile_L[[#This Row],[P/B Q1]])</f>
        <v>20.423153394567294</v>
      </c>
      <c r="J3" s="1" cm="1">
        <f t="array" ref="J3">_xlfn.QUARTILE.INC(IF(Quartile_L[[#This Row],[Industry]]=Main_L[Industry],Main_L[ROE]),1)</f>
        <v>4.62</v>
      </c>
      <c r="K3" s="1" cm="1">
        <f t="array" ref="K3">_xlfn.QUARTILE.INC(IF(Quartile_L[[#This Row],[Industry]]=Main_L[Industry],Main_L[ROE]),3)</f>
        <v>12.72</v>
      </c>
      <c r="L3" s="1">
        <f>Quartile_L[[#This Row],[ROE Q1]]-1.5*(Quartile_L[[#This Row],[ROE Q3]]-Quartile_L[[#This Row],[ROE Q1]])</f>
        <v>-7.530000000000002</v>
      </c>
      <c r="M3" s="1">
        <f>Quartile_L[[#This Row],[ROE Q3]]+1.5*(Quartile_L[[#This Row],[ROE Q3]]-Quartile_L[[#This Row],[ROE Q1]])</f>
        <v>24.870000000000005</v>
      </c>
      <c r="N3" s="1" cm="1">
        <f t="array" ref="N3">_xlfn.QUARTILE.INC(IF(Quartile_L[[#This Row],[Industry]]=Main_L[Industry],Main_L[ROA]),1)</f>
        <v>3.9849999999999999</v>
      </c>
      <c r="O3" s="1" cm="1">
        <f t="array" ref="O3">_xlfn.QUARTILE.INC(IF(Quartile_L[[#This Row],[Industry]]=Main_L[Industry],Main_L[ROA]),3)</f>
        <v>5.2424999999999997</v>
      </c>
      <c r="P3" s="1">
        <f>Quartile_L[[#This Row],[ROA Q1]]-1.5*(Quartile_L[[#This Row],[ROA Q3]]-Quartile_L[[#This Row],[ROA Q1]])</f>
        <v>2.0987499999999999</v>
      </c>
      <c r="Q3" s="1">
        <f>Quartile_L[[#This Row],[ROA Q3]]+1.5*(Quartile_L[[#This Row],[ROA Q3]]-Quartile_L[[#This Row],[ROA Q1]])</f>
        <v>7.1287499999999993</v>
      </c>
      <c r="R3" s="1" cm="1">
        <f t="array" ref="R3">_xlfn.QUARTILE.INC(IF(Quartile_L[[#This Row],[Industry]]=Main_L[Industry],Main_L[P/E]),1)</f>
        <v>14.708935874963482</v>
      </c>
      <c r="S3" s="1" cm="1">
        <f t="array" ref="S3">_xlfn.QUARTILE.INC(IF(Quartile_L[[#This Row],[Industry]]=Main_L[Industry],Main_L[P/E]),3)</f>
        <v>208.64166666666668</v>
      </c>
      <c r="T3" s="1">
        <f>Quartile_L[[#This Row],[P/E Q1]]-1.5*(Quartile_L[[#This Row],[P/E Q3]]-Quartile_L[[#This Row],[P/E Q1]])</f>
        <v>-276.19016031259133</v>
      </c>
      <c r="U3" s="1">
        <f>Quartile_L[[#This Row],[P/E Q3]]+1.5*(Quartile_L[[#This Row],[P/E Q3]]-Quartile_L[[#This Row],[P/E Q1]])</f>
        <v>499.5407628542215</v>
      </c>
      <c r="V3" s="1" cm="1">
        <f t="array" ref="V3">_xlfn.QUARTILE.INC(IF(Quartile_L[[#This Row],[Industry]]=Main_L[Industry],Main_L[A/E]),1)</f>
        <v>1.9624999999999999</v>
      </c>
      <c r="W3" s="1" cm="1">
        <f t="array" ref="W3">_xlfn.QUARTILE.INC(IF(Quartile_L[[#This Row],[Industry]]=Main_L[Industry],Main_L[A/E]),3)</f>
        <v>4.17</v>
      </c>
      <c r="X3" s="1">
        <f>Quartile_L[[#This Row],[A/E Q1]]-1.5*(Quartile_L[[#This Row],[A/E Q3]]-Quartile_L[[#This Row],[A/E Q1]])</f>
        <v>-1.3487500000000003</v>
      </c>
      <c r="Y3" s="1">
        <f>Quartile_L[[#This Row],[A/E Q3]]+1.5*(Quartile_L[[#This Row],[A/E Q3]]-Quartile_L[[#This Row],[A/E Q1]])</f>
        <v>7.4812500000000002</v>
      </c>
    </row>
    <row r="4" spans="1:25" x14ac:dyDescent="0.25">
      <c r="A4" t="s">
        <v>106</v>
      </c>
      <c r="B4" s="1" cm="1">
        <f t="array" ref="B4">_xlfn.QUARTILE.INC(IF(Quartile_L[[#This Row],[Industry]]=Main_L[Industry],Main_L[P/FCF]),1)</f>
        <v>19.068344155844159</v>
      </c>
      <c r="C4" s="1" cm="1">
        <f t="array" ref="C4">_xlfn.QUARTILE.INC(IF(Quartile_L[[#This Row],[Industry]]=Main_L[Industry],Main_L[P/FCF]),3)</f>
        <v>65.20455036748811</v>
      </c>
      <c r="D4" s="1">
        <f>Quartile_L[[#This Row],[P/FCF Q1]]-1.5*(Quartile_L[[#This Row],[P/FCF Q3]]-Quartile_L[[#This Row],[P/FCF Q1]])</f>
        <v>-50.135965161621769</v>
      </c>
      <c r="E4" s="1">
        <f>Quartile_L[[#This Row],[P/FCF Q3]]+1.5*(Quartile_L[[#This Row],[P/FCF Q3]]-Quartile_L[[#This Row],[P/FCF Q1]])</f>
        <v>134.40885968495405</v>
      </c>
      <c r="F4" s="1" cm="1">
        <f t="array" ref="F4">_xlfn.QUARTILE.INC(IF(Quartile_L[[#This Row],[Industry]]=Main_L[Industry],Main_L[P/B]),1)</f>
        <v>3.1919528075886943</v>
      </c>
      <c r="G4" s="1" cm="1">
        <f t="array" ref="G4">_xlfn.QUARTILE.INC(IF(Quartile_L[[#This Row],[Industry]]=Main_L[Industry],Main_L[P/B]),3)</f>
        <v>17.679620323841426</v>
      </c>
      <c r="H4" s="1">
        <f>Quartile_L[[#This Row],[P/B Q1]]-1.5*(Quartile_L[[#This Row],[P/B Q3]]-Quartile_L[[#This Row],[P/B Q1]])</f>
        <v>-18.539548466790404</v>
      </c>
      <c r="I4" s="1">
        <f>Quartile_L[[#This Row],[P/B Q3]]+1.5*(Quartile_L[[#This Row],[P/B Q3]]-Quartile_L[[#This Row],[P/B Q1]])</f>
        <v>39.411121598220525</v>
      </c>
      <c r="J4" s="1" cm="1">
        <f t="array" ref="J4">_xlfn.QUARTILE.INC(IF(Quartile_L[[#This Row],[Industry]]=Main_L[Industry],Main_L[ROE]),1)</f>
        <v>7.9725000000000001</v>
      </c>
      <c r="K4" s="1" cm="1">
        <f t="array" ref="K4">_xlfn.QUARTILE.INC(IF(Quartile_L[[#This Row],[Industry]]=Main_L[Industry],Main_L[ROE]),3)</f>
        <v>17.2575</v>
      </c>
      <c r="L4" s="1">
        <f>Quartile_L[[#This Row],[ROE Q1]]-1.5*(Quartile_L[[#This Row],[ROE Q3]]-Quartile_L[[#This Row],[ROE Q1]])</f>
        <v>-5.9550000000000001</v>
      </c>
      <c r="M4" s="1">
        <f>Quartile_L[[#This Row],[ROE Q3]]+1.5*(Quartile_L[[#This Row],[ROE Q3]]-Quartile_L[[#This Row],[ROE Q1]])</f>
        <v>31.185000000000002</v>
      </c>
      <c r="N4" s="1" cm="1">
        <f t="array" ref="N4">_xlfn.QUARTILE.INC(IF(Quartile_L[[#This Row],[Industry]]=Main_L[Industry],Main_L[ROA]),1)</f>
        <v>3.7475000000000005</v>
      </c>
      <c r="O4" s="1" cm="1">
        <f t="array" ref="O4">_xlfn.QUARTILE.INC(IF(Quartile_L[[#This Row],[Industry]]=Main_L[Industry],Main_L[ROA]),3)</f>
        <v>5.8599999999999994</v>
      </c>
      <c r="P4" s="1">
        <f>Quartile_L[[#This Row],[ROA Q1]]-1.5*(Quartile_L[[#This Row],[ROA Q3]]-Quartile_L[[#This Row],[ROA Q1]])</f>
        <v>0.5787500000000021</v>
      </c>
      <c r="Q4" s="1">
        <f>Quartile_L[[#This Row],[ROA Q3]]+1.5*(Quartile_L[[#This Row],[ROA Q3]]-Quartile_L[[#This Row],[ROA Q1]])</f>
        <v>9.0287499999999987</v>
      </c>
      <c r="R4" s="1" cm="1">
        <f t="array" ref="R4">_xlfn.QUARTILE.INC(IF(Quartile_L[[#This Row],[Industry]]=Main_L[Industry],Main_L[P/E]),1)</f>
        <v>20.179394560759768</v>
      </c>
      <c r="S4" s="1" cm="1">
        <f t="array" ref="S4">_xlfn.QUARTILE.INC(IF(Quartile_L[[#This Row],[Industry]]=Main_L[Industry],Main_L[P/E]),3)</f>
        <v>211.61666666666665</v>
      </c>
      <c r="T4" s="1">
        <f>Quartile_L[[#This Row],[P/E Q1]]-1.5*(Quartile_L[[#This Row],[P/E Q3]]-Quartile_L[[#This Row],[P/E Q1]])</f>
        <v>-266.97651359810055</v>
      </c>
      <c r="U4" s="1">
        <f>Quartile_L[[#This Row],[P/E Q3]]+1.5*(Quartile_L[[#This Row],[P/E Q3]]-Quartile_L[[#This Row],[P/E Q1]])</f>
        <v>498.77257482552693</v>
      </c>
      <c r="V4" s="1" cm="1">
        <f t="array" ref="V4">_xlfn.QUARTILE.INC(IF(Quartile_L[[#This Row],[Industry]]=Main_L[Industry],Main_L[A/E]),1)</f>
        <v>3.2174999999999998</v>
      </c>
      <c r="W4" s="1" cm="1">
        <f t="array" ref="W4">_xlfn.QUARTILE.INC(IF(Quartile_L[[#This Row],[Industry]]=Main_L[Industry],Main_L[A/E]),3)</f>
        <v>5.4174999999999995</v>
      </c>
      <c r="X4" s="1">
        <f>Quartile_L[[#This Row],[A/E Q1]]-1.5*(Quartile_L[[#This Row],[A/E Q3]]-Quartile_L[[#This Row],[A/E Q1]])</f>
        <v>-8.2500000000000018E-2</v>
      </c>
      <c r="Y4" s="1">
        <f>Quartile_L[[#This Row],[A/E Q3]]+1.5*(Quartile_L[[#This Row],[A/E Q3]]-Quartile_L[[#This Row],[A/E Q1]])</f>
        <v>8.7174999999999994</v>
      </c>
    </row>
    <row r="5" spans="1:25" x14ac:dyDescent="0.25">
      <c r="A5" t="s">
        <v>107</v>
      </c>
      <c r="B5" s="1" cm="1">
        <f t="array" ref="B5">_xlfn.QUARTILE.INC(IF(Quartile_L[[#This Row],[Industry]]=Main_L[Industry],Main_L[P/FCF]),1)</f>
        <v>10.132385892116183</v>
      </c>
      <c r="C5" s="1" cm="1">
        <f t="array" ref="C5">_xlfn.QUARTILE.INC(IF(Quartile_L[[#This Row],[Industry]]=Main_L[Industry],Main_L[P/FCF]),3)</f>
        <v>21.73306339254615</v>
      </c>
      <c r="D5" s="1">
        <f>Quartile_L[[#This Row],[P/FCF Q1]]-1.5*(Quartile_L[[#This Row],[P/FCF Q3]]-Quartile_L[[#This Row],[P/FCF Q1]])</f>
        <v>-7.2686303585287675</v>
      </c>
      <c r="E5" s="1">
        <f>Quartile_L[[#This Row],[P/FCF Q3]]+1.5*(Quartile_L[[#This Row],[P/FCF Q3]]-Quartile_L[[#This Row],[P/FCF Q1]])</f>
        <v>39.1340796431911</v>
      </c>
      <c r="F5" s="1" cm="1">
        <f t="array" ref="F5">_xlfn.QUARTILE.INC(IF(Quartile_L[[#This Row],[Industry]]=Main_L[Industry],Main_L[P/B]),1)</f>
        <v>1.6192305433672929</v>
      </c>
      <c r="G5" s="1" cm="1">
        <f t="array" ref="G5">_xlfn.QUARTILE.INC(IF(Quartile_L[[#This Row],[Industry]]=Main_L[Industry],Main_L[P/B]),3)</f>
        <v>3.163665113415334</v>
      </c>
      <c r="H5" s="1">
        <f>Quartile_L[[#This Row],[P/B Q1]]-1.5*(Quartile_L[[#This Row],[P/B Q3]]-Quartile_L[[#This Row],[P/B Q1]])</f>
        <v>-0.69742131170476851</v>
      </c>
      <c r="I5" s="1">
        <f>Quartile_L[[#This Row],[P/B Q3]]+1.5*(Quartile_L[[#This Row],[P/B Q3]]-Quartile_L[[#This Row],[P/B Q1]])</f>
        <v>5.4803169684873954</v>
      </c>
      <c r="J5" s="1" cm="1">
        <f t="array" ref="J5">_xlfn.QUARTILE.INC(IF(Quartile_L[[#This Row],[Industry]]=Main_L[Industry],Main_L[ROE]),1)</f>
        <v>9.23</v>
      </c>
      <c r="K5" s="1" cm="1">
        <f t="array" ref="K5">_xlfn.QUARTILE.INC(IF(Quartile_L[[#This Row],[Industry]]=Main_L[Industry],Main_L[ROE]),3)</f>
        <v>20.059999999999999</v>
      </c>
      <c r="L5" s="1">
        <f>Quartile_L[[#This Row],[ROE Q1]]-1.5*(Quartile_L[[#This Row],[ROE Q3]]-Quartile_L[[#This Row],[ROE Q1]])</f>
        <v>-7.014999999999997</v>
      </c>
      <c r="M5" s="1">
        <f>Quartile_L[[#This Row],[ROE Q3]]+1.5*(Quartile_L[[#This Row],[ROE Q3]]-Quartile_L[[#This Row],[ROE Q1]])</f>
        <v>36.304999999999993</v>
      </c>
      <c r="N5" s="1" cm="1">
        <f t="array" ref="N5">_xlfn.QUARTILE.INC(IF(Quartile_L[[#This Row],[Industry]]=Main_L[Industry],Main_L[ROA]),1)</f>
        <v>3.43</v>
      </c>
      <c r="O5" s="1" cm="1">
        <f t="array" ref="O5">_xlfn.QUARTILE.INC(IF(Quartile_L[[#This Row],[Industry]]=Main_L[Industry],Main_L[ROA]),3)</f>
        <v>5.5924999999999994</v>
      </c>
      <c r="P5" s="1">
        <f>Quartile_L[[#This Row],[ROA Q1]]-1.5*(Quartile_L[[#This Row],[ROA Q3]]-Quartile_L[[#This Row],[ROA Q1]])</f>
        <v>0.18625000000000158</v>
      </c>
      <c r="Q5" s="1">
        <f>Quartile_L[[#This Row],[ROA Q3]]+1.5*(Quartile_L[[#This Row],[ROA Q3]]-Quartile_L[[#This Row],[ROA Q1]])</f>
        <v>8.8362499999999979</v>
      </c>
      <c r="R5" s="1" cm="1">
        <f t="array" ref="R5">_xlfn.QUARTILE.INC(IF(Quartile_L[[#This Row],[Industry]]=Main_L[Industry],Main_L[P/E]),1)</f>
        <v>11.06964196357235</v>
      </c>
      <c r="S5" s="1" cm="1">
        <f t="array" ref="S5">_xlfn.QUARTILE.INC(IF(Quartile_L[[#This Row],[Industry]]=Main_L[Industry],Main_L[P/E]),3)</f>
        <v>32.136529605263156</v>
      </c>
      <c r="T5" s="1">
        <f>Quartile_L[[#This Row],[P/E Q1]]-1.5*(Quartile_L[[#This Row],[P/E Q3]]-Quartile_L[[#This Row],[P/E Q1]])</f>
        <v>-20.530689498963859</v>
      </c>
      <c r="U5" s="1">
        <f>Quartile_L[[#This Row],[P/E Q3]]+1.5*(Quartile_L[[#This Row],[P/E Q3]]-Quartile_L[[#This Row],[P/E Q1]])</f>
        <v>63.736861067799367</v>
      </c>
      <c r="V5" s="1" cm="1">
        <f t="array" ref="V5">_xlfn.QUARTILE.INC(IF(Quartile_L[[#This Row],[Industry]]=Main_L[Industry],Main_L[A/E]),1)</f>
        <v>1.98</v>
      </c>
      <c r="W5" s="1" cm="1">
        <f t="array" ref="W5">_xlfn.QUARTILE.INC(IF(Quartile_L[[#This Row],[Industry]]=Main_L[Industry],Main_L[A/E]),3)</f>
        <v>2.835</v>
      </c>
      <c r="X5" s="1">
        <f>Quartile_L[[#This Row],[A/E Q1]]-1.5*(Quartile_L[[#This Row],[A/E Q3]]-Quartile_L[[#This Row],[A/E Q1]])</f>
        <v>0.69750000000000001</v>
      </c>
      <c r="Y5" s="1">
        <f>Quartile_L[[#This Row],[A/E Q3]]+1.5*(Quartile_L[[#This Row],[A/E Q3]]-Quartile_L[[#This Row],[A/E Q1]])</f>
        <v>4.1174999999999997</v>
      </c>
    </row>
    <row r="6" spans="1:25" x14ac:dyDescent="0.25">
      <c r="A6" t="s">
        <v>108</v>
      </c>
      <c r="B6" s="1" cm="1">
        <f t="array" ref="B6">_xlfn.QUARTILE.INC(IF(Quartile_L[[#This Row],[Industry]]=Main_L[Industry],Main_L[P/FCF]),1)</f>
        <v>22.400325637511564</v>
      </c>
      <c r="C6" s="1" cm="1">
        <f t="array" ref="C6">_xlfn.QUARTILE.INC(IF(Quartile_L[[#This Row],[Industry]]=Main_L[Industry],Main_L[P/FCF]),3)</f>
        <v>45.724620702899948</v>
      </c>
      <c r="D6" s="1">
        <f>Quartile_L[[#This Row],[P/FCF Q1]]-1.5*(Quartile_L[[#This Row],[P/FCF Q3]]-Quartile_L[[#This Row],[P/FCF Q1]])</f>
        <v>-12.586116960571012</v>
      </c>
      <c r="E6" s="1">
        <f>Quartile_L[[#This Row],[P/FCF Q3]]+1.5*(Quartile_L[[#This Row],[P/FCF Q3]]-Quartile_L[[#This Row],[P/FCF Q1]])</f>
        <v>80.711063300982516</v>
      </c>
      <c r="F6" s="1" cm="1">
        <f t="array" ref="F6">_xlfn.QUARTILE.INC(IF(Quartile_L[[#This Row],[Industry]]=Main_L[Industry],Main_L[P/B]),1)</f>
        <v>3.1209514170040489</v>
      </c>
      <c r="G6" s="1" cm="1">
        <f t="array" ref="G6">_xlfn.QUARTILE.INC(IF(Quartile_L[[#This Row],[Industry]]=Main_L[Industry],Main_L[P/B]),3)</f>
        <v>19.490015516566771</v>
      </c>
      <c r="H6" s="1">
        <f>Quartile_L[[#This Row],[P/B Q1]]-1.5*(Quartile_L[[#This Row],[P/B Q3]]-Quartile_L[[#This Row],[P/B Q1]])</f>
        <v>-21.43264473234003</v>
      </c>
      <c r="I6" s="1">
        <f>Quartile_L[[#This Row],[P/B Q3]]+1.5*(Quartile_L[[#This Row],[P/B Q3]]-Quartile_L[[#This Row],[P/B Q1]])</f>
        <v>44.043611665910852</v>
      </c>
      <c r="J6" s="1" cm="1">
        <f t="array" ref="J6">_xlfn.QUARTILE.INC(IF(Quartile_L[[#This Row],[Industry]]=Main_L[Industry],Main_L[ROE]),1)</f>
        <v>-0.43</v>
      </c>
      <c r="K6" s="1" cm="1">
        <f t="array" ref="K6">_xlfn.QUARTILE.INC(IF(Quartile_L[[#This Row],[Industry]]=Main_L[Industry],Main_L[ROE]),3)</f>
        <v>23.38</v>
      </c>
      <c r="L6" s="1">
        <f>Quartile_L[[#This Row],[ROE Q1]]-1.5*(Quartile_L[[#This Row],[ROE Q3]]-Quartile_L[[#This Row],[ROE Q1]])</f>
        <v>-36.144999999999996</v>
      </c>
      <c r="M6" s="1">
        <f>Quartile_L[[#This Row],[ROE Q3]]+1.5*(Quartile_L[[#This Row],[ROE Q3]]-Quartile_L[[#This Row],[ROE Q1]])</f>
        <v>59.094999999999999</v>
      </c>
      <c r="N6" s="1" cm="1">
        <f t="array" ref="N6">_xlfn.QUARTILE.INC(IF(Quartile_L[[#This Row],[Industry]]=Main_L[Industry],Main_L[ROA]),1)</f>
        <v>1.69</v>
      </c>
      <c r="O6" s="1" cm="1">
        <f t="array" ref="O6">_xlfn.QUARTILE.INC(IF(Quartile_L[[#This Row],[Industry]]=Main_L[Industry],Main_L[ROA]),3)</f>
        <v>6.8250000000000002</v>
      </c>
      <c r="P6" s="1">
        <f>Quartile_L[[#This Row],[ROA Q1]]-1.5*(Quartile_L[[#This Row],[ROA Q3]]-Quartile_L[[#This Row],[ROA Q1]])</f>
        <v>-6.0124999999999993</v>
      </c>
      <c r="Q6" s="1">
        <f>Quartile_L[[#This Row],[ROA Q3]]+1.5*(Quartile_L[[#This Row],[ROA Q3]]-Quartile_L[[#This Row],[ROA Q1]])</f>
        <v>14.5275</v>
      </c>
      <c r="R6" s="1" cm="1">
        <f t="array" ref="R6">_xlfn.QUARTILE.INC(IF(Quartile_L[[#This Row],[Industry]]=Main_L[Industry],Main_L[P/E]),1)</f>
        <v>-6.3629271962605296</v>
      </c>
      <c r="S6" s="1" cm="1">
        <f t="array" ref="S6">_xlfn.QUARTILE.INC(IF(Quartile_L[[#This Row],[Industry]]=Main_L[Industry],Main_L[P/E]),3)</f>
        <v>69.135697399527189</v>
      </c>
      <c r="T6" s="1">
        <f>Quartile_L[[#This Row],[P/E Q1]]-1.5*(Quartile_L[[#This Row],[P/E Q3]]-Quartile_L[[#This Row],[P/E Q1]])</f>
        <v>-119.61086408994211</v>
      </c>
      <c r="U6" s="1">
        <f>Quartile_L[[#This Row],[P/E Q3]]+1.5*(Quartile_L[[#This Row],[P/E Q3]]-Quartile_L[[#This Row],[P/E Q1]])</f>
        <v>182.38363429320879</v>
      </c>
      <c r="V6" s="1" cm="1">
        <f t="array" ref="V6">_xlfn.QUARTILE.INC(IF(Quartile_L[[#This Row],[Industry]]=Main_L[Industry],Main_L[A/E]),1)</f>
        <v>1.7000000000000002</v>
      </c>
      <c r="W6" s="1" cm="1">
        <f t="array" ref="W6">_xlfn.QUARTILE.INC(IF(Quartile_L[[#This Row],[Industry]]=Main_L[Industry],Main_L[A/E]),3)</f>
        <v>3.085</v>
      </c>
      <c r="X6" s="1">
        <f>Quartile_L[[#This Row],[A/E Q1]]-1.5*(Quartile_L[[#This Row],[A/E Q3]]-Quartile_L[[#This Row],[A/E Q1]])</f>
        <v>-0.3774999999999995</v>
      </c>
      <c r="Y6" s="1">
        <f>Quartile_L[[#This Row],[A/E Q3]]+1.5*(Quartile_L[[#This Row],[A/E Q3]]-Quartile_L[[#This Row],[A/E Q1]])</f>
        <v>5.1624999999999996</v>
      </c>
    </row>
    <row r="7" spans="1:25" x14ac:dyDescent="0.25">
      <c r="A7" t="s">
        <v>109</v>
      </c>
      <c r="B7" s="1" cm="1">
        <f t="array" ref="B7">_xlfn.QUARTILE.INC(IF(Quartile_L[[#This Row],[Industry]]=Main_L[Industry],Main_L[P/FCF]),1)</f>
        <v>24.985987570862687</v>
      </c>
      <c r="C7" s="1" cm="1">
        <f t="array" ref="C7">_xlfn.QUARTILE.INC(IF(Quartile_L[[#This Row],[Industry]]=Main_L[Industry],Main_L[P/FCF]),3)</f>
        <v>41.139238125940253</v>
      </c>
      <c r="D7" s="1">
        <f>Quartile_L[[#This Row],[P/FCF Q1]]-1.5*(Quartile_L[[#This Row],[P/FCF Q3]]-Quartile_L[[#This Row],[P/FCF Q1]])</f>
        <v>0.75611173824633582</v>
      </c>
      <c r="E7" s="1">
        <f>Quartile_L[[#This Row],[P/FCF Q3]]+1.5*(Quartile_L[[#This Row],[P/FCF Q3]]-Quartile_L[[#This Row],[P/FCF Q1]])</f>
        <v>65.369113958556596</v>
      </c>
      <c r="F7" s="1" cm="1">
        <f t="array" ref="F7">_xlfn.QUARTILE.INC(IF(Quartile_L[[#This Row],[Industry]]=Main_L[Industry],Main_L[P/B]),1)</f>
        <v>5.1497434187369162</v>
      </c>
      <c r="G7" s="1" cm="1">
        <f t="array" ref="G7">_xlfn.QUARTILE.INC(IF(Quartile_L[[#This Row],[Industry]]=Main_L[Industry],Main_L[P/B]),3)</f>
        <v>7.793693108191226</v>
      </c>
      <c r="H7" s="1">
        <f>Quartile_L[[#This Row],[P/B Q1]]-1.5*(Quartile_L[[#This Row],[P/B Q3]]-Quartile_L[[#This Row],[P/B Q1]])</f>
        <v>1.1838188845554516</v>
      </c>
      <c r="I7" s="1">
        <f>Quartile_L[[#This Row],[P/B Q3]]+1.5*(Quartile_L[[#This Row],[P/B Q3]]-Quartile_L[[#This Row],[P/B Q1]])</f>
        <v>11.759617642372691</v>
      </c>
      <c r="J7" s="1" cm="1">
        <f t="array" ref="J7">_xlfn.QUARTILE.INC(IF(Quartile_L[[#This Row],[Industry]]=Main_L[Industry],Main_L[ROE]),1)</f>
        <v>7.31</v>
      </c>
      <c r="K7" s="1" cm="1">
        <f t="array" ref="K7">_xlfn.QUARTILE.INC(IF(Quartile_L[[#This Row],[Industry]]=Main_L[Industry],Main_L[ROE]),3)</f>
        <v>37.314999999999998</v>
      </c>
      <c r="L7" s="1">
        <f>Quartile_L[[#This Row],[ROE Q1]]-1.5*(Quartile_L[[#This Row],[ROE Q3]]-Quartile_L[[#This Row],[ROE Q1]])</f>
        <v>-37.697499999999998</v>
      </c>
      <c r="M7" s="1">
        <f>Quartile_L[[#This Row],[ROE Q3]]+1.5*(Quartile_L[[#This Row],[ROE Q3]]-Quartile_L[[#This Row],[ROE Q1]])</f>
        <v>82.322499999999991</v>
      </c>
      <c r="N7" s="1" cm="1">
        <f t="array" ref="N7">_xlfn.QUARTILE.INC(IF(Quartile_L[[#This Row],[Industry]]=Main_L[Industry],Main_L[ROA]),1)</f>
        <v>1.9550000000000001</v>
      </c>
      <c r="O7" s="1" cm="1">
        <f t="array" ref="O7">_xlfn.QUARTILE.INC(IF(Quartile_L[[#This Row],[Industry]]=Main_L[Industry],Main_L[ROA]),3)</f>
        <v>16.899999999999999</v>
      </c>
      <c r="P7" s="1">
        <f>Quartile_L[[#This Row],[ROA Q1]]-1.5*(Quartile_L[[#This Row],[ROA Q3]]-Quartile_L[[#This Row],[ROA Q1]])</f>
        <v>-20.462499999999999</v>
      </c>
      <c r="Q7" s="1">
        <f>Quartile_L[[#This Row],[ROA Q3]]+1.5*(Quartile_L[[#This Row],[ROA Q3]]-Quartile_L[[#This Row],[ROA Q1]])</f>
        <v>39.317499999999995</v>
      </c>
      <c r="R7" s="1" cm="1">
        <f t="array" ref="R7">_xlfn.QUARTILE.INC(IF(Quartile_L[[#This Row],[Industry]]=Main_L[Industry],Main_L[P/E]),1)</f>
        <v>11.204830383480827</v>
      </c>
      <c r="S7" s="1" cm="1">
        <f t="array" ref="S7">_xlfn.QUARTILE.INC(IF(Quartile_L[[#This Row],[Industry]]=Main_L[Industry],Main_L[P/E]),3)</f>
        <v>21.796329612222962</v>
      </c>
      <c r="T7" s="1">
        <f>Quartile_L[[#This Row],[P/E Q1]]-1.5*(Quartile_L[[#This Row],[P/E Q3]]-Quartile_L[[#This Row],[P/E Q1]])</f>
        <v>-4.682418459632375</v>
      </c>
      <c r="U7" s="1">
        <f>Quartile_L[[#This Row],[P/E Q3]]+1.5*(Quartile_L[[#This Row],[P/E Q3]]-Quartile_L[[#This Row],[P/E Q1]])</f>
        <v>37.683578455336161</v>
      </c>
      <c r="V7" s="1" cm="1">
        <f t="array" ref="V7">_xlfn.QUARTILE.INC(IF(Quartile_L[[#This Row],[Industry]]=Main_L[Industry],Main_L[A/E]),1)</f>
        <v>1.25</v>
      </c>
      <c r="W7" s="1" cm="1">
        <f t="array" ref="W7">_xlfn.QUARTILE.INC(IF(Quartile_L[[#This Row],[Industry]]=Main_L[Industry],Main_L[A/E]),3)</f>
        <v>1.5649999999999999</v>
      </c>
      <c r="X7" s="1">
        <f>Quartile_L[[#This Row],[A/E Q1]]-1.5*(Quartile_L[[#This Row],[A/E Q3]]-Quartile_L[[#This Row],[A/E Q1]])</f>
        <v>0.77750000000000008</v>
      </c>
      <c r="Y7" s="1">
        <f>Quartile_L[[#This Row],[A/E Q3]]+1.5*(Quartile_L[[#This Row],[A/E Q3]]-Quartile_L[[#This Row],[A/E Q1]])</f>
        <v>2.0374999999999996</v>
      </c>
    </row>
    <row r="10" spans="1:25" x14ac:dyDescent="0.25">
      <c r="A10" t="s">
        <v>22</v>
      </c>
    </row>
    <row r="11" spans="1:25" x14ac:dyDescent="0.25">
      <c r="A11" t="s">
        <v>1</v>
      </c>
      <c r="B11" t="s">
        <v>2</v>
      </c>
      <c r="C11" t="s">
        <v>3</v>
      </c>
      <c r="D11" t="s">
        <v>4</v>
      </c>
      <c r="E11" t="s">
        <v>5</v>
      </c>
      <c r="F11" t="s">
        <v>72</v>
      </c>
      <c r="G11" t="s">
        <v>73</v>
      </c>
      <c r="H11" t="s">
        <v>74</v>
      </c>
      <c r="I11" t="s">
        <v>75</v>
      </c>
      <c r="J11" t="s">
        <v>6</v>
      </c>
      <c r="K11" t="s">
        <v>7</v>
      </c>
      <c r="L11" t="s">
        <v>8</v>
      </c>
      <c r="M11" t="s">
        <v>9</v>
      </c>
      <c r="N11" t="s">
        <v>10</v>
      </c>
      <c r="O11" t="s">
        <v>11</v>
      </c>
      <c r="P11" t="s">
        <v>12</v>
      </c>
      <c r="Q11" t="s">
        <v>13</v>
      </c>
      <c r="R11" t="s">
        <v>14</v>
      </c>
      <c r="S11" t="s">
        <v>15</v>
      </c>
      <c r="T11" t="s">
        <v>16</v>
      </c>
      <c r="U11" t="s">
        <v>17</v>
      </c>
      <c r="V11" t="s">
        <v>18</v>
      </c>
      <c r="W11" t="s">
        <v>19</v>
      </c>
      <c r="X11" t="s">
        <v>20</v>
      </c>
      <c r="Y11" t="s">
        <v>21</v>
      </c>
    </row>
    <row r="12" spans="1:25" x14ac:dyDescent="0.25">
      <c r="A12" t="s">
        <v>105</v>
      </c>
      <c r="B12" s="1" cm="1">
        <f t="array" ref="B12">_xlfn.QUARTILE.INC(IF(Quartile_M[[#This Row],[Industry]]=Main_M[Industry],Main_M[P/FCF]),1)</f>
        <v>-2.5830872830872842</v>
      </c>
      <c r="C12" s="1" cm="1">
        <f t="array" ref="C12">_xlfn.QUARTILE.INC(IF(Quartile_M[[#This Row],[Industry]]=Main_M[Industry],Main_M[P/FCF]),3)</f>
        <v>7.5349863937864967</v>
      </c>
      <c r="D12" s="1">
        <f>Quartile_M[[#This Row],[P/FCF Q1]]-1.5*(Quartile_M[[#This Row],[P/FCF Q3]]-Quartile_M[[#This Row],[P/FCF Q1]])</f>
        <v>-17.760197798397954</v>
      </c>
      <c r="E12" s="1">
        <f>Quartile_M[[#This Row],[P/FCF Q3]]+1.5*(Quartile_M[[#This Row],[P/FCF Q3]]-Quartile_M[[#This Row],[P/FCF Q1]])</f>
        <v>22.71209690909717</v>
      </c>
      <c r="F12" s="1" cm="1">
        <f t="array" ref="F12">_xlfn.QUARTILE.INC(IF(Quartile_M[[#This Row],[Industry]]=Main_M[Industry],Main_M[P/B]),1)</f>
        <v>0.61575782077796903</v>
      </c>
      <c r="G12" s="1" cm="1">
        <f t="array" ref="G12">_xlfn.QUARTILE.INC(IF(Quartile_M[[#This Row],[Industry]]=Main_M[Industry],Main_M[P/B]),3)</f>
        <v>8.7968707769002084</v>
      </c>
      <c r="H12" s="1">
        <f>Quartile_M[[#This Row],[P/B Q1]]-1.5*(Quartile_M[[#This Row],[P/B Q3]]-Quartile_M[[#This Row],[P/B Q1]])</f>
        <v>-11.65591161340539</v>
      </c>
      <c r="I12" s="1">
        <f>Quartile_M[[#This Row],[P/B Q3]]+1.5*(Quartile_M[[#This Row],[P/B Q3]]-Quartile_M[[#This Row],[P/B Q1]])</f>
        <v>21.068540211083565</v>
      </c>
      <c r="J12" s="1" cm="1">
        <f t="array" ref="J12">_xlfn.QUARTILE.INC(IF(Quartile_M[[#This Row],[Industry]]=Main_M[Industry],Main_M[ROE]),1)</f>
        <v>-33.075000000000003</v>
      </c>
      <c r="K12" s="1" cm="1">
        <f t="array" ref="K12">_xlfn.QUARTILE.INC(IF(Quartile_M[[#This Row],[Industry]]=Main_M[Industry],Main_M[ROE]),3)</f>
        <v>0.85499999999999987</v>
      </c>
      <c r="L12" s="1">
        <f>Quartile_M[[#This Row],[ROE Q1]]-1.5*(Quartile_M[[#This Row],[ROE Q3]]-Quartile_M[[#This Row],[ROE Q1]])</f>
        <v>-83.97</v>
      </c>
      <c r="M12" s="1">
        <f>Quartile_M[[#This Row],[ROE Q3]]+1.5*(Quartile_M[[#This Row],[ROE Q3]]-Quartile_M[[#This Row],[ROE Q1]])</f>
        <v>51.749999999999993</v>
      </c>
      <c r="N12" s="1" cm="1">
        <f t="array" ref="N12">_xlfn.QUARTILE.INC(IF(Quartile_M[[#This Row],[Industry]]=Main_M[Industry],Main_M[ROA]),1)</f>
        <v>-0.38</v>
      </c>
      <c r="O12" s="1" cm="1">
        <f t="array" ref="O12">_xlfn.QUARTILE.INC(IF(Quartile_M[[#This Row],[Industry]]=Main_M[Industry],Main_M[ROA]),3)</f>
        <v>1.0549999999999999</v>
      </c>
      <c r="P12" s="1">
        <f>Quartile_M[[#This Row],[ROA Q1]]-1.5*(Quartile_M[[#This Row],[ROA Q3]]-Quartile_M[[#This Row],[ROA Q1]])</f>
        <v>-2.5324999999999998</v>
      </c>
      <c r="Q12" s="1">
        <f>Quartile_M[[#This Row],[ROA Q3]]+1.5*(Quartile_M[[#This Row],[ROA Q3]]-Quartile_M[[#This Row],[ROA Q1]])</f>
        <v>3.2074999999999996</v>
      </c>
      <c r="R12" s="1" cm="1">
        <f t="array" ref="R12">_xlfn.QUARTILE.INC(IF(Quartile_M[[#This Row],[Industry]]=Main_M[Industry],Main_M[P/E]),1)</f>
        <v>-22.231707317073173</v>
      </c>
      <c r="S12" s="1" cm="1">
        <f t="array" ref="S12">_xlfn.QUARTILE.INC(IF(Quartile_M[[#This Row],[Industry]]=Main_M[Industry],Main_M[P/E]),3)</f>
        <v>2.7194252020451906</v>
      </c>
      <c r="T12" s="1">
        <f>Quartile_M[[#This Row],[P/E Q1]]-1.5*(Quartile_M[[#This Row],[P/E Q3]]-Quartile_M[[#This Row],[P/E Q1]])</f>
        <v>-59.658406095750721</v>
      </c>
      <c r="U12" s="1">
        <f>Quartile_M[[#This Row],[P/E Q3]]+1.5*(Quartile_M[[#This Row],[P/E Q3]]-Quartile_M[[#This Row],[P/E Q1]])</f>
        <v>40.146123980722734</v>
      </c>
      <c r="V12" s="1" cm="1">
        <f t="array" ref="V12">_xlfn.QUARTILE.INC(IF(Quartile_M[[#This Row],[Industry]]=Main_M[Industry],Main_M[A/E]),1)</f>
        <v>2.0499999999999998</v>
      </c>
      <c r="W12" s="1" cm="1">
        <f t="array" ref="W12">_xlfn.QUARTILE.INC(IF(Quartile_M[[#This Row],[Industry]]=Main_M[Industry],Main_M[A/E]),3)</f>
        <v>4.9000000000000004</v>
      </c>
      <c r="X12" s="1">
        <f>Quartile_M[[#This Row],[A/E Q1]]-1.5*(Quartile_M[[#This Row],[A/E Q3]]-Quartile_M[[#This Row],[A/E Q1]])</f>
        <v>-2.2250000000000005</v>
      </c>
      <c r="Y12" s="1">
        <f>Quartile_M[[#This Row],[A/E Q3]]+1.5*(Quartile_M[[#This Row],[A/E Q3]]-Quartile_M[[#This Row],[A/E Q1]])</f>
        <v>9.1750000000000007</v>
      </c>
    </row>
    <row r="13" spans="1:25" x14ac:dyDescent="0.25">
      <c r="A13" t="s">
        <v>106</v>
      </c>
      <c r="B13" s="1" cm="1">
        <f t="array" ref="B13">_xlfn.QUARTILE.INC(IF(Quartile_M[[#This Row],[Industry]]=Main_M[Industry],Main_M[P/FCF]),1)</f>
        <v>12.983475613771468</v>
      </c>
      <c r="C13" s="1" cm="1">
        <f t="array" ref="C13">_xlfn.QUARTILE.INC(IF(Quartile_M[[#This Row],[Industry]]=Main_M[Industry],Main_M[P/FCF]),3)</f>
        <v>20.765450708471509</v>
      </c>
      <c r="D13" s="1">
        <f>Quartile_M[[#This Row],[P/FCF Q1]]-1.5*(Quartile_M[[#This Row],[P/FCF Q3]]-Quartile_M[[#This Row],[P/FCF Q1]])</f>
        <v>1.3105129717214066</v>
      </c>
      <c r="E13" s="1">
        <f>Quartile_M[[#This Row],[P/FCF Q3]]+1.5*(Quartile_M[[#This Row],[P/FCF Q3]]-Quartile_M[[#This Row],[P/FCF Q1]])</f>
        <v>32.438413350521571</v>
      </c>
      <c r="F13" s="1" cm="1">
        <f t="array" ref="F13">_xlfn.QUARTILE.INC(IF(Quartile_M[[#This Row],[Industry]]=Main_M[Industry],Main_M[P/B]),1)</f>
        <v>1.0701827716829209</v>
      </c>
      <c r="G13" s="1" cm="1">
        <f t="array" ref="G13">_xlfn.QUARTILE.INC(IF(Quartile_M[[#This Row],[Industry]]=Main_M[Industry],Main_M[P/B]),3)</f>
        <v>2.777129153575169</v>
      </c>
      <c r="H13" s="1">
        <f>Quartile_M[[#This Row],[P/B Q1]]-1.5*(Quartile_M[[#This Row],[P/B Q3]]-Quartile_M[[#This Row],[P/B Q1]])</f>
        <v>-1.4902368011554514</v>
      </c>
      <c r="I13" s="1">
        <f>Quartile_M[[#This Row],[P/B Q3]]+1.5*(Quartile_M[[#This Row],[P/B Q3]]-Quartile_M[[#This Row],[P/B Q1]])</f>
        <v>5.3375487264135408</v>
      </c>
      <c r="J13" s="1" cm="1">
        <f t="array" ref="J13">_xlfn.QUARTILE.INC(IF(Quartile_M[[#This Row],[Industry]]=Main_M[Industry],Main_M[ROE]),1)</f>
        <v>4.4024999999999999</v>
      </c>
      <c r="K13" s="1" cm="1">
        <f t="array" ref="K13">_xlfn.QUARTILE.INC(IF(Quartile_M[[#This Row],[Industry]]=Main_M[Industry],Main_M[ROE]),3)</f>
        <v>16.189999999999998</v>
      </c>
      <c r="L13" s="1">
        <f>Quartile_M[[#This Row],[ROE Q1]]-1.5*(Quartile_M[[#This Row],[ROE Q3]]-Quartile_M[[#This Row],[ROE Q1]])</f>
        <v>-13.278749999999999</v>
      </c>
      <c r="M13" s="1">
        <f>Quartile_M[[#This Row],[ROE Q3]]+1.5*(Quartile_M[[#This Row],[ROE Q3]]-Quartile_M[[#This Row],[ROE Q1]])</f>
        <v>33.871249999999996</v>
      </c>
      <c r="N13" s="1" cm="1">
        <f t="array" ref="N13">_xlfn.QUARTILE.INC(IF(Quartile_M[[#This Row],[Industry]]=Main_M[Industry],Main_M[ROA]),1)</f>
        <v>2.9425000000000003</v>
      </c>
      <c r="O13" s="1" cm="1">
        <f t="array" ref="O13">_xlfn.QUARTILE.INC(IF(Quartile_M[[#This Row],[Industry]]=Main_M[Industry],Main_M[ROA]),3)</f>
        <v>6.2525000000000004</v>
      </c>
      <c r="P13" s="1">
        <f>Quartile_M[[#This Row],[ROA Q1]]-1.5*(Quartile_M[[#This Row],[ROA Q3]]-Quartile_M[[#This Row],[ROA Q1]])</f>
        <v>-2.0224999999999995</v>
      </c>
      <c r="Q13" s="1">
        <f>Quartile_M[[#This Row],[ROA Q3]]+1.5*(Quartile_M[[#This Row],[ROA Q3]]-Quartile_M[[#This Row],[ROA Q1]])</f>
        <v>11.217500000000001</v>
      </c>
      <c r="R13" s="1" cm="1">
        <f t="array" ref="R13">_xlfn.QUARTILE.INC(IF(Quartile_M[[#This Row],[Industry]]=Main_M[Industry],Main_M[P/E]),1)</f>
        <v>-4.1096153846153847</v>
      </c>
      <c r="S13" s="1" cm="1">
        <f t="array" ref="S13">_xlfn.QUARTILE.INC(IF(Quartile_M[[#This Row],[Industry]]=Main_M[Industry],Main_M[P/E]),3)</f>
        <v>28.847490347490346</v>
      </c>
      <c r="T13" s="1">
        <f>Quartile_M[[#This Row],[P/E Q1]]-1.5*(Quartile_M[[#This Row],[P/E Q3]]-Quartile_M[[#This Row],[P/E Q1]])</f>
        <v>-53.545273982773978</v>
      </c>
      <c r="U13" s="1">
        <f>Quartile_M[[#This Row],[P/E Q3]]+1.5*(Quartile_M[[#This Row],[P/E Q3]]-Quartile_M[[#This Row],[P/E Q1]])</f>
        <v>78.283148945648946</v>
      </c>
      <c r="V13" s="1" cm="1">
        <f t="array" ref="V13">_xlfn.QUARTILE.INC(IF(Quartile_M[[#This Row],[Industry]]=Main_M[Industry],Main_M[A/E]),1)</f>
        <v>2.2424999999999997</v>
      </c>
      <c r="W13" s="1" cm="1">
        <f t="array" ref="W13">_xlfn.QUARTILE.INC(IF(Quartile_M[[#This Row],[Industry]]=Main_M[Industry],Main_M[A/E]),3)</f>
        <v>4.1974999999999998</v>
      </c>
      <c r="X13" s="1">
        <f>Quartile_M[[#This Row],[A/E Q1]]-1.5*(Quartile_M[[#This Row],[A/E Q3]]-Quartile_M[[#This Row],[A/E Q1]])</f>
        <v>-0.69000000000000039</v>
      </c>
      <c r="Y13" s="1">
        <f>Quartile_M[[#This Row],[A/E Q3]]+1.5*(Quartile_M[[#This Row],[A/E Q3]]-Quartile_M[[#This Row],[A/E Q1]])</f>
        <v>7.13</v>
      </c>
    </row>
    <row r="14" spans="1:25" x14ac:dyDescent="0.25">
      <c r="A14" t="s">
        <v>107</v>
      </c>
      <c r="B14" s="1" cm="1">
        <f t="array" ref="B14">_xlfn.QUARTILE.INC(IF(Quartile_M[[#This Row],[Industry]]=Main_M[Industry],Main_M[P/FCF]),1)</f>
        <v>5.0999999999999996</v>
      </c>
      <c r="C14" s="1" cm="1">
        <f t="array" ref="C14">_xlfn.QUARTILE.INC(IF(Quartile_M[[#This Row],[Industry]]=Main_M[Industry],Main_M[P/FCF]),3)</f>
        <v>15.884476534296029</v>
      </c>
      <c r="D14" s="1">
        <f>Quartile_M[[#This Row],[P/FCF Q1]]-1.5*(Quartile_M[[#This Row],[P/FCF Q3]]-Quartile_M[[#This Row],[P/FCF Q1]])</f>
        <v>-11.076714801444043</v>
      </c>
      <c r="E14" s="1">
        <f>Quartile_M[[#This Row],[P/FCF Q3]]+1.5*(Quartile_M[[#This Row],[P/FCF Q3]]-Quartile_M[[#This Row],[P/FCF Q1]])</f>
        <v>32.06119133574007</v>
      </c>
      <c r="F14" s="1" cm="1">
        <f t="array" ref="F14">_xlfn.QUARTILE.INC(IF(Quartile_M[[#This Row],[Industry]]=Main_M[Industry],Main_M[P/B]),1)</f>
        <v>0.94358701436934544</v>
      </c>
      <c r="G14" s="1" cm="1">
        <f t="array" ref="G14">_xlfn.QUARTILE.INC(IF(Quartile_M[[#This Row],[Industry]]=Main_M[Industry],Main_M[P/B]),3)</f>
        <v>3.4564021995286724</v>
      </c>
      <c r="H14" s="1">
        <f>Quartile_M[[#This Row],[P/B Q1]]-1.5*(Quartile_M[[#This Row],[P/B Q3]]-Quartile_M[[#This Row],[P/B Q1]])</f>
        <v>-2.8256357633696449</v>
      </c>
      <c r="I14" s="1">
        <f>Quartile_M[[#This Row],[P/B Q3]]+1.5*(Quartile_M[[#This Row],[P/B Q3]]-Quartile_M[[#This Row],[P/B Q1]])</f>
        <v>7.2256249772676622</v>
      </c>
      <c r="J14" s="1" cm="1">
        <f t="array" ref="J14">_xlfn.QUARTILE.INC(IF(Quartile_M[[#This Row],[Industry]]=Main_M[Industry],Main_M[ROE]),1)</f>
        <v>5.77</v>
      </c>
      <c r="K14" s="1" cm="1">
        <f t="array" ref="K14">_xlfn.QUARTILE.INC(IF(Quartile_M[[#This Row],[Industry]]=Main_M[Industry],Main_M[ROE]),3)</f>
        <v>19.785</v>
      </c>
      <c r="L14" s="1">
        <f>Quartile_M[[#This Row],[ROE Q1]]-1.5*(Quartile_M[[#This Row],[ROE Q3]]-Quartile_M[[#This Row],[ROE Q1]])</f>
        <v>-15.252500000000001</v>
      </c>
      <c r="M14" s="1">
        <f>Quartile_M[[#This Row],[ROE Q3]]+1.5*(Quartile_M[[#This Row],[ROE Q3]]-Quartile_M[[#This Row],[ROE Q1]])</f>
        <v>40.807500000000005</v>
      </c>
      <c r="N14" s="1" cm="1">
        <f t="array" ref="N14">_xlfn.QUARTILE.INC(IF(Quartile_M[[#This Row],[Industry]]=Main_M[Industry],Main_M[ROA]),1)</f>
        <v>3.6425000000000001</v>
      </c>
      <c r="O14" s="1" cm="1">
        <f t="array" ref="O14">_xlfn.QUARTILE.INC(IF(Quartile_M[[#This Row],[Industry]]=Main_M[Industry],Main_M[ROA]),3)</f>
        <v>6.6049999999999995</v>
      </c>
      <c r="P14" s="1">
        <f>Quartile_M[[#This Row],[ROA Q1]]-1.5*(Quartile_M[[#This Row],[ROA Q3]]-Quartile_M[[#This Row],[ROA Q1]])</f>
        <v>-0.80124999999999957</v>
      </c>
      <c r="Q14" s="1">
        <f>Quartile_M[[#This Row],[ROA Q3]]+1.5*(Quartile_M[[#This Row],[ROA Q3]]-Quartile_M[[#This Row],[ROA Q1]])</f>
        <v>11.048749999999998</v>
      </c>
      <c r="R14" s="1" cm="1">
        <f t="array" ref="R14">_xlfn.QUARTILE.INC(IF(Quartile_M[[#This Row],[Industry]]=Main_M[Industry],Main_M[P/E]),1)</f>
        <v>5.022662889518414</v>
      </c>
      <c r="S14" s="1" cm="1">
        <f t="array" ref="S14">_xlfn.QUARTILE.INC(IF(Quartile_M[[#This Row],[Industry]]=Main_M[Industry],Main_M[P/E]),3)</f>
        <v>57.84</v>
      </c>
      <c r="T14" s="1">
        <f>Quartile_M[[#This Row],[P/E Q1]]-1.5*(Quartile_M[[#This Row],[P/E Q3]]-Quartile_M[[#This Row],[P/E Q1]])</f>
        <v>-74.203342776203968</v>
      </c>
      <c r="U14" s="1">
        <f>Quartile_M[[#This Row],[P/E Q3]]+1.5*(Quartile_M[[#This Row],[P/E Q3]]-Quartile_M[[#This Row],[P/E Q1]])</f>
        <v>137.0660056657224</v>
      </c>
      <c r="V14" s="1" cm="1">
        <f t="array" ref="V14">_xlfn.QUARTILE.INC(IF(Quartile_M[[#This Row],[Industry]]=Main_M[Industry],Main_M[A/E]),1)</f>
        <v>2.4424999999999999</v>
      </c>
      <c r="W14" s="1" cm="1">
        <f t="array" ref="W14">_xlfn.QUARTILE.INC(IF(Quartile_M[[#This Row],[Industry]]=Main_M[Industry],Main_M[A/E]),3)</f>
        <v>4.5325000000000006</v>
      </c>
      <c r="X14" s="1">
        <f>Quartile_M[[#This Row],[A/E Q1]]-1.5*(Quartile_M[[#This Row],[A/E Q3]]-Quartile_M[[#This Row],[A/E Q1]])</f>
        <v>-0.69250000000000123</v>
      </c>
      <c r="Y14" s="1">
        <f>Quartile_M[[#This Row],[A/E Q3]]+1.5*(Quartile_M[[#This Row],[A/E Q3]]-Quartile_M[[#This Row],[A/E Q1]])</f>
        <v>7.6675000000000022</v>
      </c>
    </row>
    <row r="15" spans="1:25" x14ac:dyDescent="0.25">
      <c r="A15" t="s">
        <v>108</v>
      </c>
      <c r="B15" s="1" cm="1">
        <f t="array" ref="B15">_xlfn.QUARTILE.INC(IF(Quartile_M[[#This Row],[Industry]]=Main_M[Industry],Main_M[P/FCF]),1)</f>
        <v>-38.921875</v>
      </c>
      <c r="C15" s="1" cm="1">
        <f t="array" ref="C15">_xlfn.QUARTILE.INC(IF(Quartile_M[[#This Row],[Industry]]=Main_M[Industry],Main_M[P/FCF]),3)</f>
        <v>13.671970235676554</v>
      </c>
      <c r="D15" s="1">
        <f>Quartile_M[[#This Row],[P/FCF Q1]]-1.5*(Quartile_M[[#This Row],[P/FCF Q3]]-Quartile_M[[#This Row],[P/FCF Q1]])</f>
        <v>-117.81264285351483</v>
      </c>
      <c r="E15" s="1">
        <f>Quartile_M[[#This Row],[P/FCF Q3]]+1.5*(Quartile_M[[#This Row],[P/FCF Q3]]-Quartile_M[[#This Row],[P/FCF Q1]])</f>
        <v>92.562738089191384</v>
      </c>
      <c r="F15" s="1" cm="1">
        <f t="array" ref="F15">_xlfn.QUARTILE.INC(IF(Quartile_M[[#This Row],[Industry]]=Main_M[Industry],Main_M[P/B]),1)</f>
        <v>-16.134503631961259</v>
      </c>
      <c r="G15" s="1" cm="1">
        <f t="array" ref="G15">_xlfn.QUARTILE.INC(IF(Quartile_M[[#This Row],[Industry]]=Main_M[Industry],Main_M[P/B]),3)</f>
        <v>5.2019689737470163</v>
      </c>
      <c r="H15" s="1">
        <f>Quartile_M[[#This Row],[P/B Q1]]-1.5*(Quartile_M[[#This Row],[P/B Q3]]-Quartile_M[[#This Row],[P/B Q1]])</f>
        <v>-48.139212540523665</v>
      </c>
      <c r="I15" s="1">
        <f>Quartile_M[[#This Row],[P/B Q3]]+1.5*(Quartile_M[[#This Row],[P/B Q3]]-Quartile_M[[#This Row],[P/B Q1]])</f>
        <v>37.206677882309421</v>
      </c>
      <c r="J15" s="1" cm="1">
        <f t="array" ref="J15">_xlfn.QUARTILE.INC(IF(Quartile_M[[#This Row],[Industry]]=Main_M[Industry],Main_M[ROE]),1)</f>
        <v>-5.81</v>
      </c>
      <c r="K15" s="1" cm="1">
        <f t="array" ref="K15">_xlfn.QUARTILE.INC(IF(Quartile_M[[#This Row],[Industry]]=Main_M[Industry],Main_M[ROE]),3)</f>
        <v>13.15</v>
      </c>
      <c r="L15" s="1">
        <f>Quartile_M[[#This Row],[ROE Q1]]-1.5*(Quartile_M[[#This Row],[ROE Q3]]-Quartile_M[[#This Row],[ROE Q1]])</f>
        <v>-34.25</v>
      </c>
      <c r="M15" s="1">
        <f>Quartile_M[[#This Row],[ROE Q3]]+1.5*(Quartile_M[[#This Row],[ROE Q3]]-Quartile_M[[#This Row],[ROE Q1]])</f>
        <v>41.59</v>
      </c>
      <c r="N15" s="1" cm="1">
        <f t="array" ref="N15">_xlfn.QUARTILE.INC(IF(Quartile_M[[#This Row],[Industry]]=Main_M[Industry],Main_M[ROA]),1)</f>
        <v>-1.56</v>
      </c>
      <c r="O15" s="1" cm="1">
        <f t="array" ref="O15">_xlfn.QUARTILE.INC(IF(Quartile_M[[#This Row],[Industry]]=Main_M[Industry],Main_M[ROA]),3)</f>
        <v>3.4325000000000001</v>
      </c>
      <c r="P15" s="1">
        <f>Quartile_M[[#This Row],[ROA Q1]]-1.5*(Quartile_M[[#This Row],[ROA Q3]]-Quartile_M[[#This Row],[ROA Q1]])</f>
        <v>-9.0487500000000001</v>
      </c>
      <c r="Q15" s="1">
        <f>Quartile_M[[#This Row],[ROA Q3]]+1.5*(Quartile_M[[#This Row],[ROA Q3]]-Quartile_M[[#This Row],[ROA Q1]])</f>
        <v>10.921250000000001</v>
      </c>
      <c r="R15" s="1" cm="1">
        <f t="array" ref="R15">_xlfn.QUARTILE.INC(IF(Quartile_M[[#This Row],[Industry]]=Main_M[Industry],Main_M[P/E]),1)</f>
        <v>-95.521164383561654</v>
      </c>
      <c r="S15" s="1" cm="1">
        <f t="array" ref="S15">_xlfn.QUARTILE.INC(IF(Quartile_M[[#This Row],[Industry]]=Main_M[Industry],Main_M[P/E]),3)</f>
        <v>6.3498803827751207</v>
      </c>
      <c r="T15" s="1">
        <f>Quartile_M[[#This Row],[P/E Q1]]-1.5*(Quartile_M[[#This Row],[P/E Q3]]-Quartile_M[[#This Row],[P/E Q1]])</f>
        <v>-248.32773153306681</v>
      </c>
      <c r="U15" s="1">
        <f>Quartile_M[[#This Row],[P/E Q3]]+1.5*(Quartile_M[[#This Row],[P/E Q3]]-Quartile_M[[#This Row],[P/E Q1]])</f>
        <v>159.15644753228028</v>
      </c>
      <c r="V15" s="1" cm="1">
        <f t="array" ref="V15">_xlfn.QUARTILE.INC(IF(Quartile_M[[#This Row],[Industry]]=Main_M[Industry],Main_M[A/E]),1)</f>
        <v>-4.58</v>
      </c>
      <c r="W15" s="1" cm="1">
        <f t="array" ref="W15">_xlfn.QUARTILE.INC(IF(Quartile_M[[#This Row],[Industry]]=Main_M[Industry],Main_M[A/E]),3)</f>
        <v>2.91</v>
      </c>
      <c r="X15" s="1">
        <f>Quartile_M[[#This Row],[A/E Q1]]-1.5*(Quartile_M[[#This Row],[A/E Q3]]-Quartile_M[[#This Row],[A/E Q1]])</f>
        <v>-15.815</v>
      </c>
      <c r="Y15" s="1">
        <f>Quartile_M[[#This Row],[A/E Q3]]+1.5*(Quartile_M[[#This Row],[A/E Q3]]-Quartile_M[[#This Row],[A/E Q1]])</f>
        <v>14.145</v>
      </c>
    </row>
    <row r="16" spans="1:25" x14ac:dyDescent="0.25">
      <c r="A16" t="s">
        <v>109</v>
      </c>
      <c r="B16" s="1" cm="1">
        <f t="array" ref="B16">_xlfn.QUARTILE.INC(IF(Quartile_M[[#This Row],[Industry]]=Main_M[Industry],Main_M[P/FCF]),1)</f>
        <v>7.2640994487160899</v>
      </c>
      <c r="C16" s="1" cm="1">
        <f t="array" ref="C16">_xlfn.QUARTILE.INC(IF(Quartile_M[[#This Row],[Industry]]=Main_M[Industry],Main_M[P/FCF]),3)</f>
        <v>19.410418653029385</v>
      </c>
      <c r="D16" s="1">
        <f>Quartile_M[[#This Row],[P/FCF Q1]]-1.5*(Quartile_M[[#This Row],[P/FCF Q3]]-Quartile_M[[#This Row],[P/FCF Q1]])</f>
        <v>-10.955379357753854</v>
      </c>
      <c r="E16" s="1">
        <f>Quartile_M[[#This Row],[P/FCF Q3]]+1.5*(Quartile_M[[#This Row],[P/FCF Q3]]-Quartile_M[[#This Row],[P/FCF Q1]])</f>
        <v>37.629897459499333</v>
      </c>
      <c r="F16" s="1" cm="1">
        <f t="array" ref="F16">_xlfn.QUARTILE.INC(IF(Quartile_M[[#This Row],[Industry]]=Main_M[Industry],Main_M[P/B]),1)</f>
        <v>-7.6989189637101489</v>
      </c>
      <c r="G16" s="1" cm="1">
        <f t="array" ref="G16">_xlfn.QUARTILE.INC(IF(Quartile_M[[#This Row],[Industry]]=Main_M[Industry],Main_M[P/B]),3)</f>
        <v>3.8170722740974932</v>
      </c>
      <c r="H16" s="1">
        <f>Quartile_M[[#This Row],[P/B Q1]]-1.5*(Quartile_M[[#This Row],[P/B Q3]]-Quartile_M[[#This Row],[P/B Q1]])</f>
        <v>-24.972905820421612</v>
      </c>
      <c r="I16" s="1">
        <f>Quartile_M[[#This Row],[P/B Q3]]+1.5*(Quartile_M[[#This Row],[P/B Q3]]-Quartile_M[[#This Row],[P/B Q1]])</f>
        <v>21.091059130808958</v>
      </c>
      <c r="J16" s="1" cm="1">
        <f t="array" ref="J16">_xlfn.QUARTILE.INC(IF(Quartile_M[[#This Row],[Industry]]=Main_M[Industry],Main_M[ROE]),1)</f>
        <v>-30.845000000000006</v>
      </c>
      <c r="K16" s="1" cm="1">
        <f t="array" ref="K16">_xlfn.QUARTILE.INC(IF(Quartile_M[[#This Row],[Industry]]=Main_M[Industry],Main_M[ROE]),3)</f>
        <v>9.3149999999999995</v>
      </c>
      <c r="L16" s="1">
        <f>Quartile_M[[#This Row],[ROE Q1]]-1.5*(Quartile_M[[#This Row],[ROE Q3]]-Quartile_M[[#This Row],[ROE Q1]])</f>
        <v>-91.085000000000008</v>
      </c>
      <c r="M16" s="1">
        <f>Quartile_M[[#This Row],[ROE Q3]]+1.5*(Quartile_M[[#This Row],[ROE Q3]]-Quartile_M[[#This Row],[ROE Q1]])</f>
        <v>69.555000000000007</v>
      </c>
      <c r="N16" s="1" cm="1">
        <f t="array" ref="N16">_xlfn.QUARTILE.INC(IF(Quartile_M[[#This Row],[Industry]]=Main_M[Industry],Main_M[ROA]),1)</f>
        <v>-0.35999999999999988</v>
      </c>
      <c r="O16" s="1" cm="1">
        <f t="array" ref="O16">_xlfn.QUARTILE.INC(IF(Quartile_M[[#This Row],[Industry]]=Main_M[Industry],Main_M[ROA]),3)</f>
        <v>10.255000000000001</v>
      </c>
      <c r="P16" s="1">
        <f>Quartile_M[[#This Row],[ROA Q1]]-1.5*(Quartile_M[[#This Row],[ROA Q3]]-Quartile_M[[#This Row],[ROA Q1]])</f>
        <v>-16.282499999999999</v>
      </c>
      <c r="Q16" s="1">
        <f>Quartile_M[[#This Row],[ROA Q3]]+1.5*(Quartile_M[[#This Row],[ROA Q3]]-Quartile_M[[#This Row],[ROA Q1]])</f>
        <v>26.177500000000002</v>
      </c>
      <c r="R16" s="1" cm="1">
        <f t="array" ref="R16">_xlfn.QUARTILE.INC(IF(Quartile_M[[#This Row],[Industry]]=Main_M[Industry],Main_M[P/E]),1)</f>
        <v>-12.446137548891787</v>
      </c>
      <c r="S16" s="1" cm="1">
        <f t="array" ref="S16">_xlfn.QUARTILE.INC(IF(Quartile_M[[#This Row],[Industry]]=Main_M[Industry],Main_M[P/E]),3)</f>
        <v>25.391954787234042</v>
      </c>
      <c r="T16" s="1">
        <f>Quartile_M[[#This Row],[P/E Q1]]-1.5*(Quartile_M[[#This Row],[P/E Q3]]-Quartile_M[[#This Row],[P/E Q1]])</f>
        <v>-69.203276053080529</v>
      </c>
      <c r="U16" s="1">
        <f>Quartile_M[[#This Row],[P/E Q3]]+1.5*(Quartile_M[[#This Row],[P/E Q3]]-Quartile_M[[#This Row],[P/E Q1]])</f>
        <v>82.149093291422787</v>
      </c>
      <c r="V16" s="1" cm="1">
        <f t="array" ref="V16">_xlfn.QUARTILE.INC(IF(Quartile_M[[#This Row],[Industry]]=Main_M[Industry],Main_M[A/E]),1)</f>
        <v>0</v>
      </c>
      <c r="W16" s="1" cm="1">
        <f t="array" ref="W16">_xlfn.QUARTILE.INC(IF(Quartile_M[[#This Row],[Industry]]=Main_M[Industry],Main_M[A/E]),3)</f>
        <v>1.6675</v>
      </c>
      <c r="X16" s="1">
        <f>Quartile_M[[#This Row],[A/E Q1]]-1.5*(Quartile_M[[#This Row],[A/E Q3]]-Quartile_M[[#This Row],[A/E Q1]])</f>
        <v>-2.5012499999999998</v>
      </c>
      <c r="Y16" s="1">
        <f>Quartile_M[[#This Row],[A/E Q3]]+1.5*(Quartile_M[[#This Row],[A/E Q3]]-Quartile_M[[#This Row],[A/E Q1]])</f>
        <v>4.1687499999999993</v>
      </c>
    </row>
    <row r="19" spans="1:25" x14ac:dyDescent="0.25">
      <c r="A19" t="s">
        <v>23</v>
      </c>
    </row>
    <row r="20" spans="1:25" x14ac:dyDescent="0.25">
      <c r="A20" t="s">
        <v>1</v>
      </c>
      <c r="B20" t="s">
        <v>2</v>
      </c>
      <c r="C20" t="s">
        <v>3</v>
      </c>
      <c r="D20" t="s">
        <v>4</v>
      </c>
      <c r="E20" t="s">
        <v>5</v>
      </c>
      <c r="F20" t="s">
        <v>72</v>
      </c>
      <c r="G20" t="s">
        <v>73</v>
      </c>
      <c r="H20" t="s">
        <v>74</v>
      </c>
      <c r="I20" t="s">
        <v>75</v>
      </c>
      <c r="J20" t="s">
        <v>6</v>
      </c>
      <c r="K20" t="s">
        <v>7</v>
      </c>
      <c r="L20" t="s">
        <v>8</v>
      </c>
      <c r="M20" t="s">
        <v>9</v>
      </c>
      <c r="N20" t="s">
        <v>10</v>
      </c>
      <c r="O20" t="s">
        <v>11</v>
      </c>
      <c r="P20" t="s">
        <v>12</v>
      </c>
      <c r="Q20" t="s">
        <v>13</v>
      </c>
      <c r="R20" t="s">
        <v>14</v>
      </c>
      <c r="S20" t="s">
        <v>15</v>
      </c>
      <c r="T20" t="s">
        <v>16</v>
      </c>
      <c r="U20" t="s">
        <v>17</v>
      </c>
      <c r="V20" t="s">
        <v>18</v>
      </c>
      <c r="W20" t="s">
        <v>19</v>
      </c>
      <c r="X20" t="s">
        <v>20</v>
      </c>
      <c r="Y20" t="s">
        <v>21</v>
      </c>
    </row>
    <row r="21" spans="1:25" x14ac:dyDescent="0.25">
      <c r="A21" t="s">
        <v>105</v>
      </c>
      <c r="B21" s="1" cm="1">
        <f t="array" ref="B21">_xlfn.QUARTILE.INC(IF(Quartile_S[[#This Row],[Industry]]=Main_S[Industry],Main_S[P/FCF]),1)</f>
        <v>-2.3262448132780085</v>
      </c>
      <c r="C21" s="1" cm="1">
        <f t="array" ref="C21">_xlfn.QUARTILE.INC(IF(Quartile_S[[#This Row],[Industry]]=Main_S[Industry],Main_S[P/FCF]),3)</f>
        <v>6.0105965852690098</v>
      </c>
      <c r="D21" s="1">
        <f>Quartile_S[[#This Row],[P/FCF Q1]]-1.5*(Quartile_S[[#This Row],[P/FCF Q3]]-Quartile_S[[#This Row],[P/FCF Q1]])</f>
        <v>-14.831506911098536</v>
      </c>
      <c r="E21" s="1">
        <f>Quartile_S[[#This Row],[P/FCF Q3]]+1.5*(Quartile_S[[#This Row],[P/FCF Q3]]-Quartile_S[[#This Row],[P/FCF Q1]])</f>
        <v>18.51585868308954</v>
      </c>
      <c r="F21" s="1" cm="1">
        <f t="array" ref="F21">_xlfn.QUARTILE.INC(IF(Quartile_S[[#This Row],[Industry]]=Main_S[Industry],Main_S[P/B]),1)</f>
        <v>0.78094100540091405</v>
      </c>
      <c r="G21" s="1" cm="1">
        <f t="array" ref="G21">_xlfn.QUARTILE.INC(IF(Quartile_S[[#This Row],[Industry]]=Main_S[Industry],Main_S[P/B]),3)</f>
        <v>3.0607091986565145</v>
      </c>
      <c r="H21" s="1">
        <f>Quartile_S[[#This Row],[P/B Q1]]-1.5*(Quartile_S[[#This Row],[P/B Q3]]-Quartile_S[[#This Row],[P/B Q1]])</f>
        <v>-2.6387112844824872</v>
      </c>
      <c r="I21" s="1">
        <f>Quartile_S[[#This Row],[P/B Q3]]+1.5*(Quartile_S[[#This Row],[P/B Q3]]-Quartile_S[[#This Row],[P/B Q1]])</f>
        <v>6.4803614885399154</v>
      </c>
      <c r="J21" s="1" cm="1">
        <f t="array" ref="J21">_xlfn.QUARTILE.INC(IF(Quartile_S[[#This Row],[Industry]]=Main_S[Industry],Main_S[ROE]),1)</f>
        <v>-15.085000000000001</v>
      </c>
      <c r="K21" s="1" cm="1">
        <f t="array" ref="K21">_xlfn.QUARTILE.INC(IF(Quartile_S[[#This Row],[Industry]]=Main_S[Industry],Main_S[ROE]),3)</f>
        <v>-0.3550000000000002</v>
      </c>
      <c r="L21" s="1">
        <f>Quartile_S[[#This Row],[ROE Q1]]-1.5*(Quartile_S[[#This Row],[ROE Q3]]-Quartile_S[[#This Row],[ROE Q1]])</f>
        <v>-37.18</v>
      </c>
      <c r="M21" s="1">
        <f>Quartile_S[[#This Row],[ROE Q3]]+1.5*(Quartile_S[[#This Row],[ROE Q3]]-Quartile_S[[#This Row],[ROE Q1]])</f>
        <v>21.74</v>
      </c>
      <c r="N21" s="1" cm="1">
        <f t="array" ref="N21">_xlfn.QUARTILE.INC(IF(Quartile_S[[#This Row],[Industry]]=Main_S[Industry],Main_S[ROA]),1)</f>
        <v>-1.0625</v>
      </c>
      <c r="O21" s="1" cm="1">
        <f t="array" ref="O21">_xlfn.QUARTILE.INC(IF(Quartile_S[[#This Row],[Industry]]=Main_S[Industry],Main_S[ROA]),3)</f>
        <v>5.379999999999999</v>
      </c>
      <c r="P21" s="1">
        <f>Quartile_S[[#This Row],[ROA Q1]]-1.5*(Quartile_S[[#This Row],[ROA Q3]]-Quartile_S[[#This Row],[ROA Q1]])</f>
        <v>-10.726249999999999</v>
      </c>
      <c r="Q21" s="1">
        <f>Quartile_S[[#This Row],[ROA Q3]]+1.5*(Quartile_S[[#This Row],[ROA Q3]]-Quartile_S[[#This Row],[ROA Q1]])</f>
        <v>15.043749999999998</v>
      </c>
      <c r="R21" s="1" cm="1">
        <f t="array" ref="R21">_xlfn.QUARTILE.INC(IF(Quartile_S[[#This Row],[Industry]]=Main_S[Industry],Main_S[P/E]),1)</f>
        <v>-49.193672839506171</v>
      </c>
      <c r="S21" s="1" cm="1">
        <f t="array" ref="S21">_xlfn.QUARTILE.INC(IF(Quartile_S[[#This Row],[Industry]]=Main_S[Industry],Main_S[P/E]),3)</f>
        <v>-5.211224489795919</v>
      </c>
      <c r="T21" s="1">
        <f>Quartile_S[[#This Row],[P/E Q1]]-1.5*(Quartile_S[[#This Row],[P/E Q3]]-Quartile_S[[#This Row],[P/E Q1]])</f>
        <v>-115.16734536407156</v>
      </c>
      <c r="U21" s="1">
        <f>Quartile_S[[#This Row],[P/E Q3]]+1.5*(Quartile_S[[#This Row],[P/E Q3]]-Quartile_S[[#This Row],[P/E Q1]])</f>
        <v>60.76244803476947</v>
      </c>
      <c r="V21" s="1" cm="1">
        <f t="array" ref="V21">_xlfn.QUARTILE.INC(IF(Quartile_S[[#This Row],[Industry]]=Main_S[Industry],Main_S[A/E]),1)</f>
        <v>2.0300000000000002</v>
      </c>
      <c r="W21" s="1" cm="1">
        <f t="array" ref="W21">_xlfn.QUARTILE.INC(IF(Quartile_S[[#This Row],[Industry]]=Main_S[Industry],Main_S[A/E]),3)</f>
        <v>2.7774999999999999</v>
      </c>
      <c r="X21" s="1">
        <f>Quartile_S[[#This Row],[A/E Q1]]-1.5*(Quartile_S[[#This Row],[A/E Q3]]-Quartile_S[[#This Row],[A/E Q1]])</f>
        <v>0.90875000000000083</v>
      </c>
      <c r="Y21" s="1">
        <f>Quartile_S[[#This Row],[A/E Q3]]+1.5*(Quartile_S[[#This Row],[A/E Q3]]-Quartile_S[[#This Row],[A/E Q1]])</f>
        <v>3.8987499999999993</v>
      </c>
    </row>
    <row r="22" spans="1:25" x14ac:dyDescent="0.25">
      <c r="A22" t="s">
        <v>106</v>
      </c>
      <c r="B22" s="1" cm="1">
        <f t="array" ref="B22">_xlfn.QUARTILE.INC(IF(Quartile_S[[#This Row],[Industry]]=Main_S[Industry],Main_S[P/FCF]),1)</f>
        <v>36.495243128964056</v>
      </c>
      <c r="C22" s="1" cm="1">
        <f t="array" ref="C22">_xlfn.QUARTILE.INC(IF(Quartile_S[[#This Row],[Industry]]=Main_S[Industry],Main_S[P/FCF]),3)</f>
        <v>84.043868921775896</v>
      </c>
      <c r="D22" s="1">
        <f>Quartile_S[[#This Row],[P/FCF Q1]]-1.5*(Quartile_S[[#This Row],[P/FCF Q3]]-Quartile_S[[#This Row],[P/FCF Q1]])</f>
        <v>-34.827695560253709</v>
      </c>
      <c r="E22" s="1">
        <f>Quartile_S[[#This Row],[P/FCF Q3]]+1.5*(Quartile_S[[#This Row],[P/FCF Q3]]-Quartile_S[[#This Row],[P/FCF Q1]])</f>
        <v>155.36680761099365</v>
      </c>
      <c r="F22" s="1" cm="1">
        <f t="array" ref="F22">_xlfn.QUARTILE.INC(IF(Quartile_S[[#This Row],[Industry]]=Main_S[Industry],Main_S[P/B]),1)</f>
        <v>7.2620225494707773</v>
      </c>
      <c r="G22" s="1" cm="1">
        <f t="array" ref="G22">_xlfn.QUARTILE.INC(IF(Quartile_S[[#This Row],[Industry]]=Main_S[Industry],Main_S[P/B]),3)</f>
        <v>17.338913176867617</v>
      </c>
      <c r="H22" s="1">
        <f>Quartile_S[[#This Row],[P/B Q1]]-1.5*(Quartile_S[[#This Row],[P/B Q3]]-Quartile_S[[#This Row],[P/B Q1]])</f>
        <v>-7.8533133916244813</v>
      </c>
      <c r="I22" s="1">
        <f>Quartile_S[[#This Row],[P/B Q3]]+1.5*(Quartile_S[[#This Row],[P/B Q3]]-Quartile_S[[#This Row],[P/B Q1]])</f>
        <v>32.454249117962874</v>
      </c>
      <c r="J22" s="1" cm="1">
        <f t="array" ref="J22">_xlfn.QUARTILE.INC(IF(Quartile_S[[#This Row],[Industry]]=Main_S[Industry],Main_S[ROE]),1)</f>
        <v>13.9025</v>
      </c>
      <c r="K22" s="1" cm="1">
        <f t="array" ref="K22">_xlfn.QUARTILE.INC(IF(Quartile_S[[#This Row],[Industry]]=Main_S[Industry],Main_S[ROE]),3)</f>
        <v>21.287500000000001</v>
      </c>
      <c r="L22" s="1">
        <f>Quartile_S[[#This Row],[ROE Q1]]-1.5*(Quartile_S[[#This Row],[ROE Q3]]-Quartile_S[[#This Row],[ROE Q1]])</f>
        <v>2.8249999999999975</v>
      </c>
      <c r="M22" s="1">
        <f>Quartile_S[[#This Row],[ROE Q3]]+1.5*(Quartile_S[[#This Row],[ROE Q3]]-Quartile_S[[#This Row],[ROE Q1]])</f>
        <v>32.365000000000002</v>
      </c>
      <c r="N22" s="1" cm="1">
        <f t="array" ref="N22">_xlfn.QUARTILE.INC(IF(Quartile_S[[#This Row],[Industry]]=Main_S[Industry],Main_S[ROA]),1)</f>
        <v>6.2850000000000001</v>
      </c>
      <c r="O22" s="1" cm="1">
        <f t="array" ref="O22">_xlfn.QUARTILE.INC(IF(Quartile_S[[#This Row],[Industry]]=Main_S[Industry],Main_S[ROA]),3)</f>
        <v>6.4349999999999996</v>
      </c>
      <c r="P22" s="1">
        <f>Quartile_S[[#This Row],[ROA Q1]]-1.5*(Quartile_S[[#This Row],[ROA Q3]]-Quartile_S[[#This Row],[ROA Q1]])</f>
        <v>6.0600000000000005</v>
      </c>
      <c r="Q22" s="1">
        <f>Quartile_S[[#This Row],[ROA Q3]]+1.5*(Quartile_S[[#This Row],[ROA Q3]]-Quartile_S[[#This Row],[ROA Q1]])</f>
        <v>6.6599999999999984</v>
      </c>
      <c r="R22" s="1" cm="1">
        <f t="array" ref="R22">_xlfn.QUARTILE.INC(IF(Quartile_S[[#This Row],[Industry]]=Main_S[Industry],Main_S[P/E]),1)</f>
        <v>45.633766233766231</v>
      </c>
      <c r="S22" s="1" cm="1">
        <f t="array" ref="S22">_xlfn.QUARTILE.INC(IF(Quartile_S[[#This Row],[Industry]]=Main_S[Industry],Main_S[P/E]),3)</f>
        <v>94.277922077922071</v>
      </c>
      <c r="T22" s="1">
        <f>Quartile_S[[#This Row],[P/E Q1]]-1.5*(Quartile_S[[#This Row],[P/E Q3]]-Quartile_S[[#This Row],[P/E Q1]])</f>
        <v>-27.332467532467525</v>
      </c>
      <c r="U22" s="1">
        <f>Quartile_S[[#This Row],[P/E Q3]]+1.5*(Quartile_S[[#This Row],[P/E Q3]]-Quartile_S[[#This Row],[P/E Q1]])</f>
        <v>167.24415584415584</v>
      </c>
      <c r="V22" s="1" cm="1">
        <f t="array" ref="V22">_xlfn.QUARTILE.INC(IF(Quartile_S[[#This Row],[Industry]]=Main_S[Industry],Main_S[A/E]),1)</f>
        <v>5.4450000000000003</v>
      </c>
      <c r="W22" s="1" cm="1">
        <f t="array" ref="W22">_xlfn.QUARTILE.INC(IF(Quartile_S[[#This Row],[Industry]]=Main_S[Industry],Main_S[A/E]),3)</f>
        <v>13.635</v>
      </c>
      <c r="X22" s="1">
        <f>Quartile_S[[#This Row],[A/E Q1]]-1.5*(Quartile_S[[#This Row],[A/E Q3]]-Quartile_S[[#This Row],[A/E Q1]])</f>
        <v>-6.84</v>
      </c>
      <c r="Y22" s="1">
        <f>Quartile_S[[#This Row],[A/E Q3]]+1.5*(Quartile_S[[#This Row],[A/E Q3]]-Quartile_S[[#This Row],[A/E Q1]])</f>
        <v>25.92</v>
      </c>
    </row>
    <row r="23" spans="1:25" x14ac:dyDescent="0.25">
      <c r="A23" t="s">
        <v>107</v>
      </c>
      <c r="B23" s="1" cm="1">
        <f t="array" ref="B23">_xlfn.QUARTILE.INC(IF(Quartile_S[[#This Row],[Industry]]=Main_S[Industry],Main_S[P/FCF]),1)</f>
        <v>0.80913978494623651</v>
      </c>
      <c r="C23" s="1" cm="1">
        <f t="array" ref="C23">_xlfn.QUARTILE.INC(IF(Quartile_S[[#This Row],[Industry]]=Main_S[Industry],Main_S[P/FCF]),3)</f>
        <v>16.163793103448278</v>
      </c>
      <c r="D23" s="1">
        <f>Quartile_S[[#This Row],[P/FCF Q1]]-1.5*(Quartile_S[[#This Row],[P/FCF Q3]]-Quartile_S[[#This Row],[P/FCF Q1]])</f>
        <v>-22.222840192806824</v>
      </c>
      <c r="E23" s="1">
        <f>Quartile_S[[#This Row],[P/FCF Q3]]+1.5*(Quartile_S[[#This Row],[P/FCF Q3]]-Quartile_S[[#This Row],[P/FCF Q1]])</f>
        <v>39.195773081201338</v>
      </c>
      <c r="F23" s="1" cm="1">
        <f t="array" ref="F23">_xlfn.QUARTILE.INC(IF(Quartile_S[[#This Row],[Industry]]=Main_S[Industry],Main_S[P/B]),1)</f>
        <v>0.56687486190579062</v>
      </c>
      <c r="G23" s="1" cm="1">
        <f t="array" ref="G23">_xlfn.QUARTILE.INC(IF(Quartile_S[[#This Row],[Industry]]=Main_S[Industry],Main_S[P/B]),3)</f>
        <v>2.3604537559704735</v>
      </c>
      <c r="H23" s="1">
        <f>Quartile_S[[#This Row],[P/B Q1]]-1.5*(Quartile_S[[#This Row],[P/B Q3]]-Quartile_S[[#This Row],[P/B Q1]])</f>
        <v>-2.1234934791912337</v>
      </c>
      <c r="I23" s="1">
        <f>Quartile_S[[#This Row],[P/B Q3]]+1.5*(Quartile_S[[#This Row],[P/B Q3]]-Quartile_S[[#This Row],[P/B Q1]])</f>
        <v>5.0508220970674973</v>
      </c>
      <c r="J23" s="1" cm="1">
        <f t="array" ref="J23">_xlfn.QUARTILE.INC(IF(Quartile_S[[#This Row],[Industry]]=Main_S[Industry],Main_S[ROE]),1)</f>
        <v>-6.375</v>
      </c>
      <c r="K23" s="1" cm="1">
        <f t="array" ref="K23">_xlfn.QUARTILE.INC(IF(Quartile_S[[#This Row],[Industry]]=Main_S[Industry],Main_S[ROE]),3)</f>
        <v>13.475</v>
      </c>
      <c r="L23" s="1">
        <f>Quartile_S[[#This Row],[ROE Q1]]-1.5*(Quartile_S[[#This Row],[ROE Q3]]-Quartile_S[[#This Row],[ROE Q1]])</f>
        <v>-36.150000000000006</v>
      </c>
      <c r="M23" s="1">
        <f>Quartile_S[[#This Row],[ROE Q3]]+1.5*(Quartile_S[[#This Row],[ROE Q3]]-Quartile_S[[#This Row],[ROE Q1]])</f>
        <v>43.25</v>
      </c>
      <c r="N23" s="1" cm="1">
        <f t="array" ref="N23">_xlfn.QUARTILE.INC(IF(Quartile_S[[#This Row],[Industry]]=Main_S[Industry],Main_S[ROA]),1)</f>
        <v>0.30500000000000005</v>
      </c>
      <c r="O23" s="1" cm="1">
        <f t="array" ref="O23">_xlfn.QUARTILE.INC(IF(Quartile_S[[#This Row],[Industry]]=Main_S[Industry],Main_S[ROA]),3)</f>
        <v>4.2850000000000001</v>
      </c>
      <c r="P23" s="1">
        <f>Quartile_S[[#This Row],[ROA Q1]]-1.5*(Quartile_S[[#This Row],[ROA Q3]]-Quartile_S[[#This Row],[ROA Q1]])</f>
        <v>-5.665</v>
      </c>
      <c r="Q23" s="1">
        <f>Quartile_S[[#This Row],[ROA Q3]]+1.5*(Quartile_S[[#This Row],[ROA Q3]]-Quartile_S[[#This Row],[ROA Q1]])</f>
        <v>10.254999999999999</v>
      </c>
      <c r="R23" s="1" cm="1">
        <f t="array" ref="R23">_xlfn.QUARTILE.INC(IF(Quartile_S[[#This Row],[Industry]]=Main_S[Industry],Main_S[P/E]),1)</f>
        <v>-6.3033687943262411</v>
      </c>
      <c r="S23" s="1" cm="1">
        <f t="array" ref="S23">_xlfn.QUARTILE.INC(IF(Quartile_S[[#This Row],[Industry]]=Main_S[Industry],Main_S[P/E]),3)</f>
        <v>26.513521634615387</v>
      </c>
      <c r="T23" s="1">
        <f>Quartile_S[[#This Row],[P/E Q1]]-1.5*(Quartile_S[[#This Row],[P/E Q3]]-Quartile_S[[#This Row],[P/E Q1]])</f>
        <v>-55.528704437738675</v>
      </c>
      <c r="U23" s="1">
        <f>Quartile_S[[#This Row],[P/E Q3]]+1.5*(Quartile_S[[#This Row],[P/E Q3]]-Quartile_S[[#This Row],[P/E Q1]])</f>
        <v>75.738857278027822</v>
      </c>
      <c r="V23" s="1" cm="1">
        <f t="array" ref="V23">_xlfn.QUARTILE.INC(IF(Quartile_S[[#This Row],[Industry]]=Main_S[Industry],Main_S[A/E]),1)</f>
        <v>1.4649999999999999</v>
      </c>
      <c r="W23" s="1" cm="1">
        <f t="array" ref="W23">_xlfn.QUARTILE.INC(IF(Quartile_S[[#This Row],[Industry]]=Main_S[Industry],Main_S[A/E]),3)</f>
        <v>4.8599999999999994</v>
      </c>
      <c r="X23" s="1">
        <f>Quartile_S[[#This Row],[A/E Q1]]-1.5*(Quartile_S[[#This Row],[A/E Q3]]-Quartile_S[[#This Row],[A/E Q1]])</f>
        <v>-3.6274999999999995</v>
      </c>
      <c r="Y23" s="1">
        <f>Quartile_S[[#This Row],[A/E Q3]]+1.5*(Quartile_S[[#This Row],[A/E Q3]]-Quartile_S[[#This Row],[A/E Q1]])</f>
        <v>9.9524999999999988</v>
      </c>
    </row>
    <row r="24" spans="1:25" x14ac:dyDescent="0.25">
      <c r="A24" t="s">
        <v>108</v>
      </c>
      <c r="B24" s="1" cm="1">
        <f t="array" ref="B24">_xlfn.QUARTILE.INC(IF(Quartile_S[[#This Row],[Industry]]=Main_S[Industry],Main_S[P/FCF]),1)</f>
        <v>-10.028488083416089</v>
      </c>
      <c r="C24" s="1" cm="1">
        <f t="array" ref="C24">_xlfn.QUARTILE.INC(IF(Quartile_S[[#This Row],[Industry]]=Main_S[Industry],Main_S[P/FCF]),3)</f>
        <v>19.136613386613384</v>
      </c>
      <c r="D24" s="1">
        <f>Quartile_S[[#This Row],[P/FCF Q1]]-1.5*(Quartile_S[[#This Row],[P/FCF Q3]]-Quartile_S[[#This Row],[P/FCF Q1]])</f>
        <v>-53.776140288460297</v>
      </c>
      <c r="E24" s="1">
        <f>Quartile_S[[#This Row],[P/FCF Q3]]+1.5*(Quartile_S[[#This Row],[P/FCF Q3]]-Quartile_S[[#This Row],[P/FCF Q1]])</f>
        <v>62.884265591657595</v>
      </c>
      <c r="F24" s="1" cm="1">
        <f t="array" ref="F24">_xlfn.QUARTILE.INC(IF(Quartile_S[[#This Row],[Industry]]=Main_S[Industry],Main_S[P/B]),1)</f>
        <v>0.66666201539992131</v>
      </c>
      <c r="G24" s="1" cm="1">
        <f t="array" ref="G24">_xlfn.QUARTILE.INC(IF(Quartile_S[[#This Row],[Industry]]=Main_S[Industry],Main_S[P/B]),3)</f>
        <v>4.5121665811746601</v>
      </c>
      <c r="H24" s="1">
        <f>Quartile_S[[#This Row],[P/B Q1]]-1.5*(Quartile_S[[#This Row],[P/B Q3]]-Quartile_S[[#This Row],[P/B Q1]])</f>
        <v>-5.1015948332621868</v>
      </c>
      <c r="I24" s="1">
        <f>Quartile_S[[#This Row],[P/B Q3]]+1.5*(Quartile_S[[#This Row],[P/B Q3]]-Quartile_S[[#This Row],[P/B Q1]])</f>
        <v>10.280423429836768</v>
      </c>
      <c r="J24" s="1" cm="1">
        <f t="array" ref="J24">_xlfn.QUARTILE.INC(IF(Quartile_S[[#This Row],[Industry]]=Main_S[Industry],Main_S[ROE]),1)</f>
        <v>-14.559999999999999</v>
      </c>
      <c r="K24" s="1" cm="1">
        <f t="array" ref="K24">_xlfn.QUARTILE.INC(IF(Quartile_S[[#This Row],[Industry]]=Main_S[Industry],Main_S[ROE]),3)</f>
        <v>8.9499999999999993</v>
      </c>
      <c r="L24" s="1">
        <f>Quartile_S[[#This Row],[ROE Q1]]-1.5*(Quartile_S[[#This Row],[ROE Q3]]-Quartile_S[[#This Row],[ROE Q1]])</f>
        <v>-49.825000000000003</v>
      </c>
      <c r="M24" s="1">
        <f>Quartile_S[[#This Row],[ROE Q3]]+1.5*(Quartile_S[[#This Row],[ROE Q3]]-Quartile_S[[#This Row],[ROE Q1]])</f>
        <v>44.215000000000003</v>
      </c>
      <c r="N24" s="1" cm="1">
        <f t="array" ref="N24">_xlfn.QUARTILE.INC(IF(Quartile_S[[#This Row],[Industry]]=Main_S[Industry],Main_S[ROA]),1)</f>
        <v>-1.4949999999999999</v>
      </c>
      <c r="O24" s="1" cm="1">
        <f t="array" ref="O24">_xlfn.QUARTILE.INC(IF(Quartile_S[[#This Row],[Industry]]=Main_S[Industry],Main_S[ROA]),3)</f>
        <v>5.0925000000000002</v>
      </c>
      <c r="P24" s="1">
        <f>Quartile_S[[#This Row],[ROA Q1]]-1.5*(Quartile_S[[#This Row],[ROA Q3]]-Quartile_S[[#This Row],[ROA Q1]])</f>
        <v>-11.376250000000001</v>
      </c>
      <c r="Q24" s="1">
        <f>Quartile_S[[#This Row],[ROA Q3]]+1.5*(Quartile_S[[#This Row],[ROA Q3]]-Quartile_S[[#This Row],[ROA Q1]])</f>
        <v>14.973750000000003</v>
      </c>
      <c r="R24" s="1" cm="1">
        <f t="array" ref="R24">_xlfn.QUARTILE.INC(IF(Quartile_S[[#This Row],[Industry]]=Main_S[Industry],Main_S[P/E]),1)</f>
        <v>-3.2989932387250169</v>
      </c>
      <c r="S24" s="1" cm="1">
        <f t="array" ref="S24">_xlfn.QUARTILE.INC(IF(Quartile_S[[#This Row],[Industry]]=Main_S[Industry],Main_S[P/E]),3)</f>
        <v>17.159784871616932</v>
      </c>
      <c r="T24" s="1">
        <f>Quartile_S[[#This Row],[P/E Q1]]-1.5*(Quartile_S[[#This Row],[P/E Q3]]-Quartile_S[[#This Row],[P/E Q1]])</f>
        <v>-33.98716040423794</v>
      </c>
      <c r="U24" s="1">
        <f>Quartile_S[[#This Row],[P/E Q3]]+1.5*(Quartile_S[[#This Row],[P/E Q3]]-Quartile_S[[#This Row],[P/E Q1]])</f>
        <v>47.847952037129858</v>
      </c>
      <c r="V24" s="1" cm="1">
        <f t="array" ref="V24">_xlfn.QUARTILE.INC(IF(Quartile_S[[#This Row],[Industry]]=Main_S[Industry],Main_S[A/E]),1)</f>
        <v>1.2250000000000001</v>
      </c>
      <c r="W24" s="1" cm="1">
        <f t="array" ref="W24">_xlfn.QUARTILE.INC(IF(Quartile_S[[#This Row],[Industry]]=Main_S[Industry],Main_S[A/E]),3)</f>
        <v>2.7025000000000001</v>
      </c>
      <c r="X24" s="1">
        <f>Quartile_S[[#This Row],[A/E Q1]]-1.5*(Quartile_S[[#This Row],[A/E Q3]]-Quartile_S[[#This Row],[A/E Q1]])</f>
        <v>-0.99124999999999996</v>
      </c>
      <c r="Y24" s="1">
        <f>Quartile_S[[#This Row],[A/E Q3]]+1.5*(Quartile_S[[#This Row],[A/E Q3]]-Quartile_S[[#This Row],[A/E Q1]])</f>
        <v>4.9187500000000002</v>
      </c>
    </row>
    <row r="25" spans="1:25" x14ac:dyDescent="0.25">
      <c r="A25" t="s">
        <v>109</v>
      </c>
      <c r="B25" s="1" cm="1">
        <f t="array" ref="B25">_xlfn.QUARTILE.INC(IF(Quartile_S[[#This Row],[Industry]]=Main_S[Industry],Main_S[P/FCF]),1)</f>
        <v>6.4</v>
      </c>
      <c r="C25" s="1" cm="1">
        <f t="array" ref="C25">_xlfn.QUARTILE.INC(IF(Quartile_S[[#This Row],[Industry]]=Main_S[Industry],Main_S[P/FCF]),3)</f>
        <v>27.762711864406779</v>
      </c>
      <c r="D25" s="1">
        <f>Quartile_S[[#This Row],[P/FCF Q1]]-1.5*(Quartile_S[[#This Row],[P/FCF Q3]]-Quartile_S[[#This Row],[P/FCF Q1]])</f>
        <v>-25.644067796610166</v>
      </c>
      <c r="E25" s="1">
        <f>Quartile_S[[#This Row],[P/FCF Q3]]+1.5*(Quartile_S[[#This Row],[P/FCF Q3]]-Quartile_S[[#This Row],[P/FCF Q1]])</f>
        <v>59.806779661016947</v>
      </c>
      <c r="F25" s="1" cm="1">
        <f t="array" ref="F25">_xlfn.QUARTILE.INC(IF(Quartile_S[[#This Row],[Industry]]=Main_S[Industry],Main_S[P/B]),1)</f>
        <v>0.80430667297681036</v>
      </c>
      <c r="G25" s="1" cm="1">
        <f t="array" ref="G25">_xlfn.QUARTILE.INC(IF(Quartile_S[[#This Row],[Industry]]=Main_S[Industry],Main_S[P/B]),3)</f>
        <v>2.328380386329866</v>
      </c>
      <c r="H25" s="1">
        <f>Quartile_S[[#This Row],[P/B Q1]]-1.5*(Quartile_S[[#This Row],[P/B Q3]]-Quartile_S[[#This Row],[P/B Q1]])</f>
        <v>-1.4818038970527732</v>
      </c>
      <c r="I25" s="1">
        <f>Quartile_S[[#This Row],[P/B Q3]]+1.5*(Quartile_S[[#This Row],[P/B Q3]]-Quartile_S[[#This Row],[P/B Q1]])</f>
        <v>4.6144909563594494</v>
      </c>
      <c r="J25" s="1" cm="1">
        <f t="array" ref="J25">_xlfn.QUARTILE.INC(IF(Quartile_S[[#This Row],[Industry]]=Main_S[Industry],Main_S[ROE]),1)</f>
        <v>-10.53</v>
      </c>
      <c r="K25" s="1" cm="1">
        <f t="array" ref="K25">_xlfn.QUARTILE.INC(IF(Quartile_S[[#This Row],[Industry]]=Main_S[Industry],Main_S[ROE]),3)</f>
        <v>5.64</v>
      </c>
      <c r="L25" s="1">
        <f>Quartile_S[[#This Row],[ROE Q1]]-1.5*(Quartile_S[[#This Row],[ROE Q3]]-Quartile_S[[#This Row],[ROE Q1]])</f>
        <v>-34.784999999999997</v>
      </c>
      <c r="M25" s="1">
        <f>Quartile_S[[#This Row],[ROE Q3]]+1.5*(Quartile_S[[#This Row],[ROE Q3]]-Quartile_S[[#This Row],[ROE Q1]])</f>
        <v>29.894999999999996</v>
      </c>
      <c r="N25" s="1" cm="1">
        <f t="array" ref="N25">_xlfn.QUARTILE.INC(IF(Quartile_S[[#This Row],[Industry]]=Main_S[Industry],Main_S[ROA]),1)</f>
        <v>0.17</v>
      </c>
      <c r="O25" s="1" cm="1">
        <f t="array" ref="O25">_xlfn.QUARTILE.INC(IF(Quartile_S[[#This Row],[Industry]]=Main_S[Industry],Main_S[ROA]),3)</f>
        <v>4.12</v>
      </c>
      <c r="P25" s="1">
        <f>Quartile_S[[#This Row],[ROA Q1]]-1.5*(Quartile_S[[#This Row],[ROA Q3]]-Quartile_S[[#This Row],[ROA Q1]])</f>
        <v>-5.7550000000000008</v>
      </c>
      <c r="Q25" s="1">
        <f>Quartile_S[[#This Row],[ROA Q3]]+1.5*(Quartile_S[[#This Row],[ROA Q3]]-Quartile_S[[#This Row],[ROA Q1]])</f>
        <v>10.045000000000002</v>
      </c>
      <c r="R25" s="1" cm="1">
        <f t="array" ref="R25">_xlfn.QUARTILE.INC(IF(Quartile_S[[#This Row],[Industry]]=Main_S[Industry],Main_S[P/E]),1)</f>
        <v>-12.5</v>
      </c>
      <c r="S25" s="1" cm="1">
        <f t="array" ref="S25">_xlfn.QUARTILE.INC(IF(Quartile_S[[#This Row],[Industry]]=Main_S[Industry],Main_S[P/E]),3)</f>
        <v>23.936619718309863</v>
      </c>
      <c r="T25" s="1">
        <f>Quartile_S[[#This Row],[P/E Q1]]-1.5*(Quartile_S[[#This Row],[P/E Q3]]-Quartile_S[[#This Row],[P/E Q1]])</f>
        <v>-67.154929577464799</v>
      </c>
      <c r="U25" s="1">
        <f>Quartile_S[[#This Row],[P/E Q3]]+1.5*(Quartile_S[[#This Row],[P/E Q3]]-Quartile_S[[#This Row],[P/E Q1]])</f>
        <v>78.591549295774655</v>
      </c>
      <c r="V25" s="1" cm="1">
        <f t="array" ref="V25">_xlfn.QUARTILE.INC(IF(Quartile_S[[#This Row],[Industry]]=Main_S[Industry],Main_S[A/E]),1)</f>
        <v>1.56</v>
      </c>
      <c r="W25" s="1" cm="1">
        <f t="array" ref="W25">_xlfn.QUARTILE.INC(IF(Quartile_S[[#This Row],[Industry]]=Main_S[Industry],Main_S[A/E]),3)</f>
        <v>2.42</v>
      </c>
      <c r="X25" s="1">
        <f>Quartile_S[[#This Row],[A/E Q1]]-1.5*(Quartile_S[[#This Row],[A/E Q3]]-Quartile_S[[#This Row],[A/E Q1]])</f>
        <v>0.27000000000000024</v>
      </c>
      <c r="Y25" s="1">
        <f>Quartile_S[[#This Row],[A/E Q3]]+1.5*(Quartile_S[[#This Row],[A/E Q3]]-Quartile_S[[#This Row],[A/E Q1]])</f>
        <v>3.71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29"/>
  <sheetViews>
    <sheetView workbookViewId="0">
      <selection activeCell="I29" sqref="I29"/>
    </sheetView>
  </sheetViews>
  <sheetFormatPr defaultRowHeight="15" x14ac:dyDescent="0.25"/>
  <cols>
    <col min="1" max="1" width="36.7109375" bestFit="1" customWidth="1"/>
    <col min="2" max="2" width="14.85546875" bestFit="1" customWidth="1"/>
    <col min="3" max="3" width="15.42578125" bestFit="1" customWidth="1"/>
    <col min="5" max="5" width="36.7109375" bestFit="1" customWidth="1"/>
    <col min="6" max="6" width="14" bestFit="1" customWidth="1"/>
    <col min="7" max="7" width="14.5703125" bestFit="1" customWidth="1"/>
    <col min="9" max="9" width="36.7109375" bestFit="1" customWidth="1"/>
    <col min="10" max="10" width="14" bestFit="1" customWidth="1"/>
    <col min="11" max="11" width="14.5703125" bestFit="1" customWidth="1"/>
  </cols>
  <sheetData>
    <row r="1" spans="1:11" x14ac:dyDescent="0.25">
      <c r="A1" s="27" t="s">
        <v>55</v>
      </c>
      <c r="B1" s="27"/>
      <c r="C1" s="27"/>
      <c r="E1" s="27" t="s">
        <v>80</v>
      </c>
      <c r="F1" s="27"/>
      <c r="G1" s="27"/>
      <c r="I1" s="27" t="s">
        <v>56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13.056181270778623</v>
      </c>
      <c r="C5" s="1">
        <v>6.2212697899804859</v>
      </c>
      <c r="E5" s="6" t="s">
        <v>105</v>
      </c>
      <c r="F5" s="1">
        <v>2.0332420959482373</v>
      </c>
      <c r="G5" s="1">
        <v>0.47184040277436667</v>
      </c>
      <c r="I5" s="6" t="s">
        <v>105</v>
      </c>
      <c r="J5" s="1">
        <v>9.1937499999999996</v>
      </c>
      <c r="K5" s="1">
        <v>6.195193575466388</v>
      </c>
    </row>
    <row r="6" spans="1:11" x14ac:dyDescent="0.25">
      <c r="A6" s="6" t="s">
        <v>108</v>
      </c>
      <c r="B6" s="1">
        <v>35.760250573850406</v>
      </c>
      <c r="C6" s="1">
        <v>17.916539433310035</v>
      </c>
      <c r="E6" s="6" t="s">
        <v>108</v>
      </c>
      <c r="F6" s="1">
        <v>9.2740681378869336</v>
      </c>
      <c r="G6" s="1">
        <v>8.2118278290504261</v>
      </c>
      <c r="I6" s="6" t="s">
        <v>108</v>
      </c>
      <c r="J6" s="1">
        <v>8.6945454545454552</v>
      </c>
      <c r="K6" s="1">
        <v>16.841640150983118</v>
      </c>
    </row>
    <row r="7" spans="1:11" x14ac:dyDescent="0.25">
      <c r="A7" s="6" t="s">
        <v>109</v>
      </c>
      <c r="B7" s="1">
        <v>34.112288481379245</v>
      </c>
      <c r="C7" s="1">
        <v>14.960814527537988</v>
      </c>
      <c r="E7" s="6" t="s">
        <v>109</v>
      </c>
      <c r="F7" s="1">
        <v>6.8216505762386666</v>
      </c>
      <c r="G7" s="1">
        <v>1.7536465357822073</v>
      </c>
      <c r="I7" s="6" t="s">
        <v>109</v>
      </c>
      <c r="J7" s="1">
        <v>21.081428571428575</v>
      </c>
      <c r="K7" s="1">
        <v>23.415271224792857</v>
      </c>
    </row>
    <row r="8" spans="1:11" x14ac:dyDescent="0.25">
      <c r="A8" s="6" t="s">
        <v>107</v>
      </c>
      <c r="B8" s="1">
        <v>16.13263902513048</v>
      </c>
      <c r="C8" s="1">
        <v>6.6532393779860683</v>
      </c>
      <c r="E8" s="6" t="s">
        <v>107</v>
      </c>
      <c r="F8" s="1">
        <v>2.1938300480689068</v>
      </c>
      <c r="G8" s="1">
        <v>0.76755737028980198</v>
      </c>
      <c r="I8" s="6" t="s">
        <v>107</v>
      </c>
      <c r="J8" s="1">
        <v>16.851999999999997</v>
      </c>
      <c r="K8" s="1">
        <v>9.1276522720796081</v>
      </c>
    </row>
    <row r="9" spans="1:11" x14ac:dyDescent="0.25">
      <c r="A9" s="6" t="s">
        <v>106</v>
      </c>
      <c r="B9" s="1">
        <v>18.739356039550596</v>
      </c>
      <c r="C9" s="1">
        <v>5.114802734673594</v>
      </c>
      <c r="E9" s="6" t="s">
        <v>106</v>
      </c>
      <c r="F9" s="1">
        <v>3.3026581131731731</v>
      </c>
      <c r="G9" s="1">
        <v>1.0738043267976958</v>
      </c>
      <c r="I9" s="6" t="s">
        <v>106</v>
      </c>
      <c r="J9" s="1">
        <v>12.370000000000001</v>
      </c>
      <c r="K9" s="1">
        <v>5.9148584091252756</v>
      </c>
    </row>
    <row r="21" spans="1:11" x14ac:dyDescent="0.25">
      <c r="A21" s="27" t="s">
        <v>57</v>
      </c>
      <c r="B21" s="27"/>
      <c r="C21" s="27"/>
      <c r="E21" s="27" t="s">
        <v>58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4.3528571428571423</v>
      </c>
      <c r="C25" s="1">
        <v>0.89478990807442449</v>
      </c>
      <c r="E25" s="6" t="s">
        <v>105</v>
      </c>
      <c r="F25" s="1">
        <v>3.3925000000000001</v>
      </c>
      <c r="G25" s="1">
        <v>1.4268212046363753</v>
      </c>
      <c r="I25" s="6" t="s">
        <v>105</v>
      </c>
      <c r="J25" s="1">
        <v>69.268224139185918</v>
      </c>
      <c r="K25" s="1">
        <v>113.85308782679155</v>
      </c>
    </row>
    <row r="26" spans="1:11" x14ac:dyDescent="0.25">
      <c r="A26" s="6" t="s">
        <v>108</v>
      </c>
      <c r="B26" s="1">
        <v>4.7849999999999993</v>
      </c>
      <c r="C26" s="1">
        <v>4.206321348365373</v>
      </c>
      <c r="E26" s="6" t="s">
        <v>108</v>
      </c>
      <c r="F26" s="1">
        <v>2.0791666666666662</v>
      </c>
      <c r="G26" s="1">
        <v>0.57894240262357433</v>
      </c>
      <c r="I26" s="6" t="s">
        <v>108</v>
      </c>
      <c r="J26" s="1">
        <v>31.515464483331485</v>
      </c>
      <c r="K26" s="1">
        <v>42.162639270392326</v>
      </c>
    </row>
    <row r="27" spans="1:11" x14ac:dyDescent="0.25">
      <c r="A27" s="6" t="s">
        <v>109</v>
      </c>
      <c r="B27" s="1">
        <v>7.6171428571428565</v>
      </c>
      <c r="C27" s="1">
        <v>8.740360754708524</v>
      </c>
      <c r="E27" s="6" t="s">
        <v>109</v>
      </c>
      <c r="F27" s="1">
        <v>1.3516666666666666</v>
      </c>
      <c r="G27" s="1">
        <v>0.1895975269412094</v>
      </c>
      <c r="I27" s="6" t="s">
        <v>109</v>
      </c>
      <c r="J27" s="1">
        <v>16.761401498281515</v>
      </c>
      <c r="K27" s="1">
        <v>5.3958585071030827</v>
      </c>
    </row>
    <row r="28" spans="1:11" x14ac:dyDescent="0.25">
      <c r="A28" s="6" t="s">
        <v>107</v>
      </c>
      <c r="B28" s="1">
        <v>4.4960000000000004</v>
      </c>
      <c r="C28" s="1">
        <v>2.5610982019438446</v>
      </c>
      <c r="E28" s="6" t="s">
        <v>107</v>
      </c>
      <c r="F28" s="1">
        <v>2.0649999999999999</v>
      </c>
      <c r="G28" s="1">
        <v>0.40926763859362303</v>
      </c>
      <c r="I28" s="6" t="s">
        <v>107</v>
      </c>
      <c r="J28" s="1">
        <v>18.443277535431221</v>
      </c>
      <c r="K28" s="1">
        <v>12.182296153056669</v>
      </c>
    </row>
    <row r="29" spans="1:11" x14ac:dyDescent="0.25">
      <c r="A29" s="6" t="s">
        <v>106</v>
      </c>
      <c r="B29" s="1">
        <v>4.6025</v>
      </c>
      <c r="C29" s="1">
        <v>1.8209389748149163</v>
      </c>
      <c r="E29" s="6" t="s">
        <v>106</v>
      </c>
      <c r="F29" s="1">
        <v>4.415</v>
      </c>
      <c r="G29" s="1">
        <v>1.6930815101465138</v>
      </c>
      <c r="I29" s="6" t="s">
        <v>106</v>
      </c>
      <c r="J29" s="1">
        <v>41.66911144686668</v>
      </c>
      <c r="K29" s="1">
        <v>34.938934394728307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29"/>
  <sheetViews>
    <sheetView workbookViewId="0">
      <selection activeCell="G13" sqref="G13"/>
    </sheetView>
  </sheetViews>
  <sheetFormatPr defaultRowHeight="15" x14ac:dyDescent="0.25"/>
  <cols>
    <col min="1" max="1" width="36.7109375" bestFit="1" customWidth="1"/>
    <col min="2" max="2" width="16.28515625" bestFit="1" customWidth="1"/>
    <col min="3" max="3" width="16.85546875" bestFit="1" customWidth="1"/>
    <col min="5" max="5" width="36.7109375" bestFit="1" customWidth="1"/>
    <col min="6" max="6" width="14" bestFit="1" customWidth="1"/>
    <col min="7" max="7" width="14.5703125" bestFit="1" customWidth="1"/>
    <col min="9" max="9" width="36.710937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60</v>
      </c>
      <c r="B1" s="27"/>
      <c r="C1" s="27"/>
      <c r="E1" s="27" t="s">
        <v>79</v>
      </c>
      <c r="F1" s="27"/>
      <c r="G1" s="27"/>
      <c r="I1" s="27" t="s">
        <v>62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1.018111112736048</v>
      </c>
      <c r="C5" s="1">
        <v>8.8452725394065812</v>
      </c>
      <c r="E5" s="6" t="s">
        <v>105</v>
      </c>
      <c r="F5" s="1">
        <v>5.2970476364574166</v>
      </c>
      <c r="G5" s="1">
        <v>5.1136383500202172</v>
      </c>
      <c r="I5" s="6" t="s">
        <v>105</v>
      </c>
      <c r="J5" s="1">
        <v>-11.478750000000002</v>
      </c>
      <c r="K5" s="1">
        <v>27.409402327258068</v>
      </c>
    </row>
    <row r="6" spans="1:11" x14ac:dyDescent="0.25">
      <c r="A6" s="6" t="s">
        <v>108</v>
      </c>
      <c r="B6" s="1">
        <v>-0.9952506511718815</v>
      </c>
      <c r="C6" s="1">
        <v>26.570610181200031</v>
      </c>
      <c r="E6" s="6" t="s">
        <v>108</v>
      </c>
      <c r="F6" s="1">
        <v>-3.8213734166836404</v>
      </c>
      <c r="G6" s="1">
        <v>11.790762233563459</v>
      </c>
      <c r="I6" s="6" t="s">
        <v>108</v>
      </c>
      <c r="J6" s="1">
        <v>-7.6549999999999994</v>
      </c>
      <c r="K6" s="1">
        <v>47.528552944519575</v>
      </c>
    </row>
    <row r="7" spans="1:11" x14ac:dyDescent="0.25">
      <c r="A7" s="6" t="s">
        <v>109</v>
      </c>
      <c r="B7" s="1">
        <v>13.464398893835604</v>
      </c>
      <c r="C7" s="1">
        <v>5.7066470224233283</v>
      </c>
      <c r="E7" s="6" t="s">
        <v>109</v>
      </c>
      <c r="F7" s="1">
        <v>3.1375392701772378</v>
      </c>
      <c r="G7" s="1">
        <v>2.1595002194856003</v>
      </c>
      <c r="I7" s="6" t="s">
        <v>109</v>
      </c>
      <c r="J7" s="1">
        <v>-112.32300000000001</v>
      </c>
      <c r="K7" s="1">
        <v>410.05411974640612</v>
      </c>
    </row>
    <row r="8" spans="1:11" x14ac:dyDescent="0.25">
      <c r="A8" s="6" t="s">
        <v>107</v>
      </c>
      <c r="B8" s="1">
        <v>13.930017013056309</v>
      </c>
      <c r="C8" s="1">
        <v>8.4958613872458901</v>
      </c>
      <c r="E8" s="6" t="s">
        <v>107</v>
      </c>
      <c r="F8" s="1">
        <v>2.3009434743077604</v>
      </c>
      <c r="G8" s="1">
        <v>1.4494703205580151</v>
      </c>
      <c r="I8" s="6" t="s">
        <v>107</v>
      </c>
      <c r="J8" s="1">
        <v>6.66</v>
      </c>
      <c r="K8" s="1">
        <v>21.048503773691639</v>
      </c>
    </row>
    <row r="9" spans="1:11" x14ac:dyDescent="0.25">
      <c r="A9" s="6" t="s">
        <v>106</v>
      </c>
      <c r="B9" s="1">
        <v>13.979888055064118</v>
      </c>
      <c r="C9" s="1">
        <v>6.4167886324155639</v>
      </c>
      <c r="E9" s="6" t="s">
        <v>106</v>
      </c>
      <c r="F9" s="1">
        <v>1.8127711065782812</v>
      </c>
      <c r="G9" s="1">
        <v>0.94139477705413321</v>
      </c>
      <c r="I9" s="6" t="s">
        <v>106</v>
      </c>
      <c r="J9" s="1">
        <v>13.291250000000002</v>
      </c>
      <c r="K9" s="1">
        <v>13.851891059978058</v>
      </c>
    </row>
    <row r="21" spans="1:11" x14ac:dyDescent="0.25">
      <c r="A21" s="27" t="s">
        <v>64</v>
      </c>
      <c r="B21" s="27"/>
      <c r="C21" s="27"/>
      <c r="E21" s="27" t="s">
        <v>66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0.49099999999999999</v>
      </c>
      <c r="C25" s="1">
        <v>1.9968247294141765</v>
      </c>
      <c r="E25" s="6" t="s">
        <v>105</v>
      </c>
      <c r="F25" s="1">
        <v>3.06</v>
      </c>
      <c r="G25" s="1">
        <v>1.1960397615092537</v>
      </c>
      <c r="I25" s="6" t="s">
        <v>105</v>
      </c>
      <c r="J25" s="1">
        <v>-7.8017063397005701</v>
      </c>
      <c r="K25" s="1">
        <v>18.80287593847488</v>
      </c>
    </row>
    <row r="26" spans="1:11" x14ac:dyDescent="0.25">
      <c r="A26" s="6" t="s">
        <v>108</v>
      </c>
      <c r="B26" s="1">
        <v>-0.12000000000000004</v>
      </c>
      <c r="C26" s="1">
        <v>2.1235482435906987</v>
      </c>
      <c r="E26" s="6" t="s">
        <v>108</v>
      </c>
      <c r="F26" s="1">
        <v>1.3244444444444448</v>
      </c>
      <c r="G26" s="1">
        <v>6.019525841627785</v>
      </c>
      <c r="I26" s="6" t="s">
        <v>108</v>
      </c>
      <c r="J26" s="1">
        <v>-79.629180017087066</v>
      </c>
      <c r="K26" s="1">
        <v>88.612778929561003</v>
      </c>
    </row>
    <row r="27" spans="1:11" x14ac:dyDescent="0.25">
      <c r="A27" s="6" t="s">
        <v>109</v>
      </c>
      <c r="B27" s="1">
        <v>3.9224999999999999</v>
      </c>
      <c r="C27" s="1">
        <v>4.3731731900303235</v>
      </c>
      <c r="E27" s="6" t="s">
        <v>109</v>
      </c>
      <c r="F27" s="1">
        <v>1.7822222222222226</v>
      </c>
      <c r="G27" s="1">
        <v>0.80527121418504766</v>
      </c>
      <c r="I27" s="6" t="s">
        <v>109</v>
      </c>
      <c r="J27" s="1">
        <v>-1.3351989092459469</v>
      </c>
      <c r="K27" s="1">
        <v>23.42200913481426</v>
      </c>
    </row>
    <row r="28" spans="1:11" x14ac:dyDescent="0.25">
      <c r="A28" s="6" t="s">
        <v>107</v>
      </c>
      <c r="B28" s="1">
        <v>5.1262499999999998</v>
      </c>
      <c r="C28" s="1">
        <v>2.4834096394876144</v>
      </c>
      <c r="E28" s="6" t="s">
        <v>107</v>
      </c>
      <c r="F28" s="1">
        <v>3.351</v>
      </c>
      <c r="G28" s="1">
        <v>2.064618366672156</v>
      </c>
      <c r="I28" s="6" t="s">
        <v>107</v>
      </c>
      <c r="J28" s="1">
        <v>21.786267335947212</v>
      </c>
      <c r="K28" s="1">
        <v>33.754652357671333</v>
      </c>
    </row>
    <row r="29" spans="1:11" x14ac:dyDescent="0.25">
      <c r="A29" s="6" t="s">
        <v>106</v>
      </c>
      <c r="B29" s="1">
        <v>4.2485714285714291</v>
      </c>
      <c r="C29" s="1">
        <v>2.3970543147277867</v>
      </c>
      <c r="E29" s="6" t="s">
        <v>106</v>
      </c>
      <c r="F29" s="1">
        <v>3.0642857142857136</v>
      </c>
      <c r="G29" s="1">
        <v>1.1569029733715452</v>
      </c>
      <c r="I29" s="6" t="s">
        <v>106</v>
      </c>
      <c r="J29" s="1">
        <v>9.9683104348220208</v>
      </c>
      <c r="K29" s="1">
        <v>23.113747970181453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29"/>
  <sheetViews>
    <sheetView workbookViewId="0">
      <selection activeCell="F12" sqref="F12"/>
    </sheetView>
  </sheetViews>
  <sheetFormatPr defaultRowHeight="15" x14ac:dyDescent="0.25"/>
  <cols>
    <col min="1" max="1" width="36.7109375" bestFit="1" customWidth="1"/>
    <col min="2" max="2" width="16.28515625" bestFit="1" customWidth="1"/>
    <col min="3" max="3" width="16.85546875" bestFit="1" customWidth="1"/>
    <col min="5" max="5" width="36.7109375" bestFit="1" customWidth="1"/>
    <col min="6" max="6" width="14" bestFit="1" customWidth="1"/>
    <col min="7" max="7" width="14.5703125" bestFit="1" customWidth="1"/>
    <col min="9" max="9" width="36.710937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61</v>
      </c>
      <c r="B1" s="27"/>
      <c r="C1" s="27"/>
      <c r="E1" s="27" t="s">
        <v>81</v>
      </c>
      <c r="F1" s="27"/>
      <c r="G1" s="27"/>
      <c r="I1" s="27" t="s">
        <v>63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1.6541551028612336</v>
      </c>
      <c r="C5" s="1">
        <v>3.9006406269577809</v>
      </c>
      <c r="E5" s="6" t="s">
        <v>105</v>
      </c>
      <c r="F5" s="1">
        <v>2.3919517865945159</v>
      </c>
      <c r="G5" s="1">
        <v>1.7999614561031336</v>
      </c>
      <c r="I5" s="6" t="s">
        <v>105</v>
      </c>
      <c r="J5" s="1">
        <v>-6.1000000000000014</v>
      </c>
      <c r="K5" s="1">
        <v>7.5262872653121606</v>
      </c>
    </row>
    <row r="6" spans="1:11" x14ac:dyDescent="0.25">
      <c r="A6" s="6" t="s">
        <v>108</v>
      </c>
      <c r="B6" s="1">
        <v>4.7251586554666964</v>
      </c>
      <c r="C6" s="1">
        <v>23.598200698567648</v>
      </c>
      <c r="E6" s="6" t="s">
        <v>108</v>
      </c>
      <c r="F6" s="1">
        <v>1.4578261379762683</v>
      </c>
      <c r="G6" s="1">
        <v>2.1948793802229805</v>
      </c>
      <c r="I6" s="6" t="s">
        <v>108</v>
      </c>
      <c r="J6" s="1">
        <v>-0.78615384615384576</v>
      </c>
      <c r="K6" s="1">
        <v>13.699491028424005</v>
      </c>
    </row>
    <row r="7" spans="1:11" x14ac:dyDescent="0.25">
      <c r="A7" s="6" t="s">
        <v>109</v>
      </c>
      <c r="B7" s="1">
        <v>13.50837291914033</v>
      </c>
      <c r="C7" s="1">
        <v>12.768047741237771</v>
      </c>
      <c r="E7" s="6" t="s">
        <v>109</v>
      </c>
      <c r="F7" s="1">
        <v>1.3561747758912244</v>
      </c>
      <c r="G7" s="1">
        <v>0.84835624440459079</v>
      </c>
      <c r="I7" s="6" t="s">
        <v>109</v>
      </c>
      <c r="J7" s="1">
        <v>0.78000000000000025</v>
      </c>
      <c r="K7" s="1">
        <v>13.326341149057106</v>
      </c>
    </row>
    <row r="8" spans="1:11" x14ac:dyDescent="0.25">
      <c r="A8" s="6" t="s">
        <v>107</v>
      </c>
      <c r="B8" s="1">
        <v>8.132333402910243</v>
      </c>
      <c r="C8" s="1">
        <v>8.1491324691062523</v>
      </c>
      <c r="E8" s="6" t="s">
        <v>107</v>
      </c>
      <c r="F8" s="1">
        <v>1.7086637459011353</v>
      </c>
      <c r="G8" s="1">
        <v>1.1612728968862802</v>
      </c>
      <c r="I8" s="6" t="s">
        <v>107</v>
      </c>
      <c r="J8" s="1">
        <v>3.8236363636363651</v>
      </c>
      <c r="K8" s="1">
        <v>13.280942102896763</v>
      </c>
    </row>
    <row r="9" spans="1:11" x14ac:dyDescent="0.25">
      <c r="A9" s="6" t="s">
        <v>106</v>
      </c>
      <c r="B9" s="1">
        <v>60.26955602536998</v>
      </c>
      <c r="C9" s="1">
        <v>47.548625792811833</v>
      </c>
      <c r="E9" s="6" t="s">
        <v>106</v>
      </c>
      <c r="F9" s="1">
        <v>12.300467863169196</v>
      </c>
      <c r="G9" s="1">
        <v>10.076890627396841</v>
      </c>
      <c r="I9" s="6" t="s">
        <v>106</v>
      </c>
      <c r="J9" s="1">
        <v>17.594999999999999</v>
      </c>
      <c r="K9" s="1">
        <v>7.3850000000000042</v>
      </c>
    </row>
    <row r="21" spans="1:11" x14ac:dyDescent="0.25">
      <c r="A21" s="27" t="s">
        <v>65</v>
      </c>
      <c r="B21" s="27"/>
      <c r="C21" s="27"/>
      <c r="E21" s="27" t="s">
        <v>67</v>
      </c>
      <c r="F21" s="27"/>
      <c r="G21" s="27"/>
      <c r="I21" s="27" t="s">
        <v>68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1.1533333333333331</v>
      </c>
      <c r="C25" s="1">
        <v>6.2878683899147321</v>
      </c>
      <c r="E25" s="6" t="s">
        <v>105</v>
      </c>
      <c r="F25" s="1">
        <v>2.4980000000000002</v>
      </c>
      <c r="G25" s="1">
        <v>0.46692183500024692</v>
      </c>
      <c r="I25" s="6" t="s">
        <v>105</v>
      </c>
      <c r="J25" s="1">
        <v>-27.685313261106909</v>
      </c>
      <c r="K25" s="1">
        <v>36.043203538765951</v>
      </c>
    </row>
    <row r="26" spans="1:11" x14ac:dyDescent="0.25">
      <c r="A26" s="6" t="s">
        <v>108</v>
      </c>
      <c r="B26" s="1">
        <v>1.6385714285714281</v>
      </c>
      <c r="C26" s="1">
        <v>4.8748448431614682</v>
      </c>
      <c r="E26" s="6" t="s">
        <v>108</v>
      </c>
      <c r="F26" s="1">
        <v>2.2354545454545454</v>
      </c>
      <c r="G26" s="1">
        <v>1.0585097898492069</v>
      </c>
      <c r="I26" s="6" t="s">
        <v>108</v>
      </c>
      <c r="J26" s="1">
        <v>5.0401759552364362</v>
      </c>
      <c r="K26" s="1">
        <v>13.555960638925526</v>
      </c>
    </row>
    <row r="27" spans="1:11" x14ac:dyDescent="0.25">
      <c r="A27" s="6" t="s">
        <v>109</v>
      </c>
      <c r="B27" s="1">
        <v>1.526470588235294</v>
      </c>
      <c r="C27" s="1">
        <v>2.5489604367189536</v>
      </c>
      <c r="E27" s="6" t="s">
        <v>109</v>
      </c>
      <c r="F27" s="1">
        <v>1.8177777777777777</v>
      </c>
      <c r="G27" s="1">
        <v>0.52631375893045662</v>
      </c>
      <c r="I27" s="6" t="s">
        <v>109</v>
      </c>
      <c r="J27" s="1">
        <v>7.2428792613872943</v>
      </c>
      <c r="K27" s="1">
        <v>22.436724710433964</v>
      </c>
    </row>
    <row r="28" spans="1:11" x14ac:dyDescent="0.25">
      <c r="A28" s="6" t="s">
        <v>107</v>
      </c>
      <c r="B28" s="1">
        <v>2.3208000000000002</v>
      </c>
      <c r="C28" s="1">
        <v>2.2708182137722952</v>
      </c>
      <c r="E28" s="6" t="s">
        <v>107</v>
      </c>
      <c r="F28" s="1">
        <v>2.9691304347826089</v>
      </c>
      <c r="G28" s="1">
        <v>1.8969859687397428</v>
      </c>
      <c r="I28" s="6" t="s">
        <v>107</v>
      </c>
      <c r="J28" s="1">
        <v>2.8172278994128974</v>
      </c>
      <c r="K28" s="1">
        <v>23.141186658573584</v>
      </c>
    </row>
    <row r="29" spans="1:11" x14ac:dyDescent="0.25">
      <c r="A29" s="6" t="s">
        <v>106</v>
      </c>
      <c r="B29" s="1">
        <v>6.3599999999999994</v>
      </c>
      <c r="C29" s="1">
        <v>0.15000000000002653</v>
      </c>
      <c r="E29" s="6" t="s">
        <v>106</v>
      </c>
      <c r="F29" s="1">
        <v>9.5400000000000009</v>
      </c>
      <c r="G29" s="1">
        <v>8.19</v>
      </c>
      <c r="I29" s="6" t="s">
        <v>106</v>
      </c>
      <c r="J29" s="1">
        <v>69.955844155844147</v>
      </c>
      <c r="K29" s="1">
        <v>48.644155844155847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12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G21" sqref="G2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Large Cap"</f>
        <v>Communication Services - Large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x14ac:dyDescent="0.25">
      <c r="C2" s="37" t="s">
        <v>104</v>
      </c>
      <c r="D2" s="38"/>
      <c r="E2" s="38"/>
      <c r="F2" s="38"/>
      <c r="G2" s="38"/>
      <c r="H2" s="39"/>
      <c r="I2" s="45" t="s">
        <v>69</v>
      </c>
      <c r="J2" s="46"/>
      <c r="K2" s="46"/>
      <c r="L2" s="46"/>
      <c r="M2" s="47"/>
      <c r="N2" s="48" t="s">
        <v>86</v>
      </c>
      <c r="O2" s="49"/>
      <c r="P2" s="49"/>
      <c r="Q2" s="49"/>
      <c r="R2" s="49"/>
      <c r="S2" s="50"/>
      <c r="T2" s="43" t="str">
        <f>"Max Score:"&amp;IFERROR(CHAR(10)&amp;MAX($T$9:$T$1048576)&amp;"/5", CHAR(10)&amp;"0/5")</f>
        <v>Max Score:
4/5</v>
      </c>
    </row>
    <row r="3" spans="1:20" s="10" customFormat="1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4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2">_xlfn._xlws.FILTER(_xlfn._xlws.FILTER(Main_L[], Main_L[Preliminary Criteria]="YES"), COUNTIF($A$8:$S$8,Main_L[#Headers]))</f>
        <v>Entertainment</v>
      </c>
      <c r="B9" t="str">
        <v>TME</v>
      </c>
      <c r="C9" s="9">
        <v>21958</v>
      </c>
      <c r="D9" s="1">
        <v>14.69</v>
      </c>
      <c r="E9" s="1">
        <v>0.82</v>
      </c>
      <c r="F9" s="1">
        <v>6.05</v>
      </c>
      <c r="G9" s="1">
        <v>0.57999999999999996</v>
      </c>
      <c r="H9" s="1">
        <v>17.914634146341463</v>
      </c>
      <c r="I9" s="1">
        <v>2.428099173553719</v>
      </c>
      <c r="J9" s="1">
        <v>11.2</v>
      </c>
      <c r="K9" s="1">
        <v>5.7</v>
      </c>
      <c r="L9" s="1">
        <v>1.33</v>
      </c>
      <c r="M9" s="1">
        <v>25.327586206896552</v>
      </c>
      <c r="N9" s="1">
        <v>-0.99604147854193126</v>
      </c>
      <c r="O9" s="1">
        <v>-0.83367176064197246</v>
      </c>
      <c r="P9" s="1">
        <v>0.14876547194889983</v>
      </c>
      <c r="Q9" s="1">
        <v>0.217529742551786</v>
      </c>
      <c r="R9" s="1">
        <v>-1.2940262507491109</v>
      </c>
      <c r="S9" s="1">
        <v>-0.14676211886906754</v>
      </c>
      <c r="T9">
        <f t="shared" ref="T9:T25" si="0">SUM(IF($I9&lt;(0.7*VLOOKUP($A9, Mean_PB_L, 2, FALSE)),1,0), IF($J9&gt;VLOOKUP($A9, Mean_ROE_L, 2, FALSE),1,0), IF($K9&gt;VLOOKUP($A9, Mean_ROA_L, 2,FALSE),1,0), IF($M9&lt;VLOOKUP($A9, Mean_PE_L, 2, FALSE),1,0), IF(AND($M9&gt;1,$M9&lt;25),1,0))</f>
        <v>4</v>
      </c>
    </row>
    <row r="10" spans="1:20" x14ac:dyDescent="0.25">
      <c r="A10" t="str">
        <v>Entertainment</v>
      </c>
      <c r="B10" t="str">
        <v>EA</v>
      </c>
      <c r="C10" s="2">
        <v>40526</v>
      </c>
      <c r="D10" s="1">
        <v>149.06</v>
      </c>
      <c r="E10" s="1">
        <v>7.15</v>
      </c>
      <c r="F10" s="1">
        <v>28.34</v>
      </c>
      <c r="G10" s="1">
        <v>3.92</v>
      </c>
      <c r="H10" s="1">
        <v>20.847552447552445</v>
      </c>
      <c r="I10" s="1">
        <v>5.2597035991531405</v>
      </c>
      <c r="J10" s="1">
        <v>14.04</v>
      </c>
      <c r="K10" s="1">
        <v>7.12</v>
      </c>
      <c r="L10" s="1">
        <v>1.81</v>
      </c>
      <c r="M10" s="1">
        <v>38.025510204081634</v>
      </c>
      <c r="N10" s="1">
        <v>-0.83234255040192651</v>
      </c>
      <c r="O10" s="1">
        <v>-0.48885152274289628</v>
      </c>
      <c r="P10" s="1">
        <v>0.31739512883146997</v>
      </c>
      <c r="Q10" s="1">
        <v>0.55511688399827319</v>
      </c>
      <c r="R10" s="1">
        <v>-0.46492823024689905</v>
      </c>
      <c r="S10" s="1">
        <v>0.15440318332542499</v>
      </c>
      <c r="T10">
        <f t="shared" si="0"/>
        <v>3</v>
      </c>
    </row>
    <row r="11" spans="1:20" x14ac:dyDescent="0.25">
      <c r="A11" t="str">
        <v>Media</v>
      </c>
      <c r="B11" t="str">
        <v>FOX</v>
      </c>
      <c r="C11" s="2">
        <v>21456</v>
      </c>
      <c r="D11" s="1">
        <v>51.08</v>
      </c>
      <c r="E11" s="1">
        <v>3.96</v>
      </c>
      <c r="F11" s="1">
        <v>25.3</v>
      </c>
      <c r="G11" s="1">
        <v>4.67</v>
      </c>
      <c r="H11" s="1">
        <v>12.898989898989898</v>
      </c>
      <c r="I11" s="1">
        <v>2.0189723320158102</v>
      </c>
      <c r="J11" s="1">
        <v>20.059999999999999</v>
      </c>
      <c r="K11" s="1">
        <v>8.1199999999999992</v>
      </c>
      <c r="L11" s="1">
        <v>2</v>
      </c>
      <c r="M11" s="1">
        <v>10.937901498929335</v>
      </c>
      <c r="N11" s="1">
        <v>-0.48602627117850761</v>
      </c>
      <c r="O11" s="1">
        <v>-0.22781061432199742</v>
      </c>
      <c r="P11" s="1">
        <v>0.35145948863684134</v>
      </c>
      <c r="Q11" s="1">
        <v>1.4150179783225116</v>
      </c>
      <c r="R11" s="1">
        <v>-0.15882027766319645</v>
      </c>
      <c r="S11" s="1">
        <v>-0.61608878508660347</v>
      </c>
      <c r="T11">
        <f t="shared" si="0"/>
        <v>4</v>
      </c>
    </row>
    <row r="12" spans="1:20" x14ac:dyDescent="0.25">
      <c r="A12" t="str">
        <v>Media</v>
      </c>
      <c r="B12" t="str">
        <v>FOXA</v>
      </c>
      <c r="C12" s="2">
        <v>23039</v>
      </c>
      <c r="D12" s="1">
        <v>55.24</v>
      </c>
      <c r="E12" s="1">
        <v>3.96</v>
      </c>
      <c r="F12" s="1">
        <v>25.3</v>
      </c>
      <c r="G12" s="1">
        <v>4.67</v>
      </c>
      <c r="H12" s="1">
        <v>13.94949494949495</v>
      </c>
      <c r="I12" s="1">
        <v>2.1833992094861658</v>
      </c>
      <c r="J12" s="1">
        <v>20.059999999999999</v>
      </c>
      <c r="K12" s="1">
        <v>8.1199999999999992</v>
      </c>
      <c r="L12" s="1">
        <v>2</v>
      </c>
      <c r="M12" s="1">
        <v>11.828693790149893</v>
      </c>
      <c r="N12" s="1">
        <v>-0.32813250081742384</v>
      </c>
      <c r="O12" s="1">
        <v>-1.3589653342528202E-2</v>
      </c>
      <c r="P12" s="1">
        <v>0.35145948863684134</v>
      </c>
      <c r="Q12" s="1">
        <v>1.4150179783225116</v>
      </c>
      <c r="R12" s="1">
        <v>-0.15882027766319645</v>
      </c>
      <c r="S12" s="1">
        <v>-0.542966913804805</v>
      </c>
      <c r="T12">
        <f t="shared" si="0"/>
        <v>4</v>
      </c>
    </row>
  </sheetData>
  <autoFilter ref="A8:T8" xr:uid="{97C29769-BCC2-47EA-9108-B1B7CE962C71}"/>
  <mergeCells count="14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</mergeCells>
  <phoneticPr fontId="6" type="noConversion"/>
  <conditionalFormatting sqref="I9:I1048576">
    <cfRule type="expression" dxfId="59" priority="1">
      <formula>$I9 &lt; (0.7*VLOOKUP($A9, Mean_PB_L, 2, FALSE))</formula>
    </cfRule>
  </conditionalFormatting>
  <conditionalFormatting sqref="J9:J1048576">
    <cfRule type="expression" dxfId="58" priority="3">
      <formula>$J9 &gt; VLOOKUP($A9, Mean_ROE_L, 2, FALSE)</formula>
    </cfRule>
  </conditionalFormatting>
  <conditionalFormatting sqref="K9:K1048576">
    <cfRule type="expression" dxfId="57" priority="4">
      <formula>$K9 &gt; VLOOKUP($A9, Mean_ROA_L, 2, FALSE)</formula>
    </cfRule>
  </conditionalFormatting>
  <conditionalFormatting sqref="M9:M1048576">
    <cfRule type="expression" dxfId="56" priority="5">
      <formula>AND($M9&gt;1, $M9&lt;25, $M9 &lt; VLOOKUP($A9, Mean_PE_L, 2, FALSE))</formula>
    </cfRule>
    <cfRule type="expression" dxfId="55" priority="6">
      <formula>AND($M9&gt;1, $M9&lt;25)</formula>
    </cfRule>
    <cfRule type="expression" dxfId="54" priority="9">
      <formula xml:space="preserve"> $M9 &lt; VLOOKUP($A9, Mean_PE_L, 2, FALSE)</formula>
    </cfRule>
  </conditionalFormatting>
  <conditionalFormatting sqref="N9:N1048576">
    <cfRule type="expression" dxfId="53" priority="10">
      <formula>$N9&lt;0</formula>
    </cfRule>
  </conditionalFormatting>
  <conditionalFormatting sqref="O9:O1048576">
    <cfRule type="expression" dxfId="52" priority="11">
      <formula>$O9&lt;0</formula>
    </cfRule>
  </conditionalFormatting>
  <conditionalFormatting sqref="P9:P1048576">
    <cfRule type="expression" dxfId="51" priority="12">
      <formula>$P9&gt;0</formula>
    </cfRule>
  </conditionalFormatting>
  <conditionalFormatting sqref="Q9:Q1048576">
    <cfRule type="expression" dxfId="50" priority="14">
      <formula>$Q9&gt;0</formula>
    </cfRule>
  </conditionalFormatting>
  <conditionalFormatting sqref="R9:R1048576">
    <cfRule type="expression" dxfId="49" priority="15">
      <formula>$R9&lt;0</formula>
    </cfRule>
  </conditionalFormatting>
  <conditionalFormatting sqref="S9:S1048576">
    <cfRule type="expression" dxfId="48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K31" sqref="K3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Mid Cap"</f>
        <v>Communication Services - Mid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88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5/5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1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9">_xlfn._xlws.FILTER(_xlfn._xlws.FILTER(Main_M[], Main_M[Preliminary Criteria]="YES"), COUNTIF($A$8:$S$8,Main_M[#Headers]))</f>
        <v>Media</v>
      </c>
      <c r="B9" t="str">
        <v>TGNA</v>
      </c>
      <c r="C9" s="2">
        <v>2679</v>
      </c>
      <c r="D9" s="1">
        <v>17.73</v>
      </c>
      <c r="E9" s="1">
        <v>3.76</v>
      </c>
      <c r="F9" s="1">
        <v>18.79</v>
      </c>
      <c r="G9" s="1">
        <v>3.53</v>
      </c>
      <c r="H9" s="1">
        <v>4.7154255319148941</v>
      </c>
      <c r="I9" s="1">
        <v>0.94358701436934544</v>
      </c>
      <c r="J9" s="1">
        <v>20.84</v>
      </c>
      <c r="K9" s="1">
        <v>6.8</v>
      </c>
      <c r="L9" s="1">
        <v>2.44</v>
      </c>
      <c r="M9" s="1">
        <v>5.022662889518414</v>
      </c>
      <c r="N9" s="1">
        <v>-1.0845976718705055</v>
      </c>
      <c r="O9" s="1">
        <v>-0.93644998499580301</v>
      </c>
      <c r="P9" s="1">
        <v>0.67368208935228313</v>
      </c>
      <c r="Q9" s="1">
        <v>0.67397257922592824</v>
      </c>
      <c r="R9" s="1">
        <v>-0.44124377400962023</v>
      </c>
      <c r="S9" s="1">
        <v>-0.49663093160605387</v>
      </c>
      <c r="T9">
        <f t="shared" ref="T9:T28" si="0">SUM(IF($I9 &lt; (0.7*VLOOKUP($A9, Mean_PB_M, 2, FALSE)),1,0), IF($J9&gt;VLOOKUP($A9, Mean_ROE_M, 2, FALSE),1,0), IF($K9&gt;VLOOKUP($A9, Mean_ROA_M, 2,FALSE),1,0), IF($M9&lt;VLOOKUP($A9, Mean_PE_M, 2, FALSE),1,0), IF(AND($M9&gt;1,$M9&lt;25),1,0))</f>
        <v>5</v>
      </c>
    </row>
  </sheetData>
  <autoFilter ref="A8:T8" xr:uid="{0BF3C1E5-2754-4118-8E3A-5ED7654E3417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47" priority="1">
      <formula>$I9 &lt; (0.7*VLOOKUP($A9, Mean_PB_M, 2, FALSE))</formula>
    </cfRule>
  </conditionalFormatting>
  <conditionalFormatting sqref="J9:J1048576">
    <cfRule type="expression" dxfId="46" priority="3">
      <formula>$J9 &gt; VLOOKUP($A9, Mean_ROE_M, 2, FALSE)</formula>
    </cfRule>
  </conditionalFormatting>
  <conditionalFormatting sqref="K9:K1048576">
    <cfRule type="expression" dxfId="45" priority="4">
      <formula>$K9 &gt; VLOOKUP($A9, Mean_ROA_M, 2, FALSE)</formula>
    </cfRule>
  </conditionalFormatting>
  <conditionalFormatting sqref="M9:M1048576">
    <cfRule type="expression" dxfId="44" priority="5">
      <formula>AND($M9&gt;1, $M9&lt;25, $M9 &lt; VLOOKUP($A9, Mean_PE_M, 2, FALSE))</formula>
    </cfRule>
    <cfRule type="expression" dxfId="43" priority="6">
      <formula>AND($M9&gt;1, $M9&lt;25)</formula>
    </cfRule>
    <cfRule type="expression" dxfId="42" priority="7">
      <formula xml:space="preserve"> $M9 &lt; VLOOKUP($A9, Mean_PE_M, 2, FALSE)</formula>
    </cfRule>
  </conditionalFormatting>
  <conditionalFormatting sqref="N9:N1048576">
    <cfRule type="expression" dxfId="41" priority="8">
      <formula>$N9&lt;0</formula>
    </cfRule>
  </conditionalFormatting>
  <conditionalFormatting sqref="O9:O1048576">
    <cfRule type="expression" dxfId="40" priority="9">
      <formula>$O9&lt;0</formula>
    </cfRule>
  </conditionalFormatting>
  <conditionalFormatting sqref="P9:P1048576">
    <cfRule type="expression" dxfId="39" priority="10">
      <formula>$P9&gt;0</formula>
    </cfRule>
  </conditionalFormatting>
  <conditionalFormatting sqref="Q9:Q1048576">
    <cfRule type="expression" dxfId="38" priority="11">
      <formula>$Q9&gt;0</formula>
    </cfRule>
  </conditionalFormatting>
  <conditionalFormatting sqref="R9:R1048576">
    <cfRule type="expression" dxfId="37" priority="12">
      <formula>$R9&lt;0</formula>
    </cfRule>
  </conditionalFormatting>
  <conditionalFormatting sqref="S9:S1048576">
    <cfRule type="expression" dxfId="36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10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G22" sqref="G2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Small Cap"</f>
        <v>Communication Services - Small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89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3/5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2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0">_xlfn._xlws.FILTER(_xlfn._xlws.FILTER(Main_S[], Main_S[Preliminary Criteria]="YES"), COUNTIF($A$8:$S$8,Main_S[#Headers]))</f>
        <v>Media</v>
      </c>
      <c r="B9" t="str">
        <v>CRTO</v>
      </c>
      <c r="C9">
        <v>1470</v>
      </c>
      <c r="D9">
        <v>29.93</v>
      </c>
      <c r="E9">
        <v>4.13</v>
      </c>
      <c r="F9">
        <v>19.87</v>
      </c>
      <c r="G9">
        <v>2.44</v>
      </c>
      <c r="H9" s="1">
        <v>7.2469733656174338</v>
      </c>
      <c r="I9" s="1">
        <v>1.5062908907901358</v>
      </c>
      <c r="J9" s="1">
        <v>13.45</v>
      </c>
      <c r="K9" s="1">
        <v>5.77</v>
      </c>
      <c r="L9" s="1">
        <v>2</v>
      </c>
      <c r="M9" s="1">
        <v>12.266393442622951</v>
      </c>
      <c r="N9" s="1">
        <v>-0.10864469815029405</v>
      </c>
      <c r="O9" s="1">
        <v>-0.17426812909663325</v>
      </c>
      <c r="P9" s="1">
        <v>0.72482535966059125</v>
      </c>
      <c r="Q9" s="1">
        <v>1.5189238746989659</v>
      </c>
      <c r="R9" s="1">
        <v>-0.51087907383228981</v>
      </c>
      <c r="S9" s="1">
        <v>0.40832675016297099</v>
      </c>
      <c r="T9">
        <f>SUM(IF($I9 &lt; (0.7*VLOOKUP($A9, Mean_PB_S, 2, FALSE)),1,0), IF($J9&gt;VLOOKUP($A9, Mean_ROE_S, 2, FALSE),1,0), IF($K9&gt;VLOOKUP($A9, Mean_ROA_S, 2,FALSE),1,0), IF($M9&lt;VLOOKUP($A9, Mean_PE_S, 2, FALSE),1,0), IF(AND($M9&gt;1,$M9&lt;25),1,0))</f>
        <v>3</v>
      </c>
    </row>
    <row r="10" spans="1:20" x14ac:dyDescent="0.25">
      <c r="A10" t="str">
        <v>Wireless Telecommunication Services</v>
      </c>
      <c r="B10" t="str">
        <v>SPOK</v>
      </c>
      <c r="C10">
        <v>339</v>
      </c>
      <c r="D10">
        <v>16.41</v>
      </c>
      <c r="E10">
        <v>1.29</v>
      </c>
      <c r="F10">
        <v>7.38</v>
      </c>
      <c r="G10">
        <v>0.77</v>
      </c>
      <c r="H10" s="1">
        <v>12.720930232558139</v>
      </c>
      <c r="I10" s="1">
        <v>2.2235772357723578</v>
      </c>
      <c r="J10" s="1">
        <v>10.210000000000001</v>
      </c>
      <c r="K10" s="1">
        <v>6.21</v>
      </c>
      <c r="L10" s="1">
        <v>1.35</v>
      </c>
      <c r="M10" s="1">
        <v>21.311688311688311</v>
      </c>
      <c r="N10" s="1">
        <v>-1.0000000000000002</v>
      </c>
      <c r="O10" s="1">
        <v>-0.99999999999999978</v>
      </c>
      <c r="P10" s="1">
        <v>-0.99999999999999911</v>
      </c>
      <c r="Q10" s="1">
        <v>-0.99999999999981959</v>
      </c>
      <c r="R10" s="1">
        <v>-1.0000000000000002</v>
      </c>
      <c r="S10" s="1">
        <v>-0.99999999999999967</v>
      </c>
      <c r="T10">
        <f>SUM(IF($I10 &lt; (0.7*VLOOKUP($A10, Mean_PB_S, 2, FALSE)),1,0), IF($J10&gt;VLOOKUP($A10, Mean_ROE_S, 2, FALSE),1,0), IF($K10&gt;VLOOKUP($A10, Mean_ROA_S, 2,FALSE),1,0), IF($M10&lt;VLOOKUP($A10, Mean_PE_S, 2, FALSE),1,0), IF(AND($M10&gt;1,$M10&lt;25),1,0))</f>
        <v>3</v>
      </c>
    </row>
  </sheetData>
  <autoFilter ref="A8:T8" xr:uid="{F6F40F71-5FB0-44DA-81D2-9D55F6DCA29E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35" priority="1">
      <formula>$I9 &lt; (0.7*VLOOKUP($A9, Mean_PB_S, 2, FALSE))</formula>
    </cfRule>
  </conditionalFormatting>
  <conditionalFormatting sqref="J9:J1048576">
    <cfRule type="expression" dxfId="34" priority="3">
      <formula>$J9 &gt; VLOOKUP($A9, Mean_ROE_S, 2, FALSE)</formula>
    </cfRule>
  </conditionalFormatting>
  <conditionalFormatting sqref="K9:K1048576">
    <cfRule type="expression" dxfId="33" priority="4">
      <formula>$K9 &gt; VLOOKUP($A9, Mean_ROA_S, 2, FALSE)</formula>
    </cfRule>
  </conditionalFormatting>
  <conditionalFormatting sqref="M9:M1048576">
    <cfRule type="expression" dxfId="32" priority="5">
      <formula>AND($M9&gt;1, $M9&lt;25, $M9 &lt; VLOOKUP($A9, Mean_PE_S, 2, FALSE))</formula>
    </cfRule>
    <cfRule type="expression" dxfId="31" priority="6">
      <formula>AND($M9&gt;1, $M9&lt;25)</formula>
    </cfRule>
    <cfRule type="expression" dxfId="30" priority="7">
      <formula xml:space="preserve"> $M9 &lt; VLOOKUP($A9, Mean_PE_S, 2, FALSE)</formula>
    </cfRule>
  </conditionalFormatting>
  <conditionalFormatting sqref="N9:N1048576">
    <cfRule type="expression" dxfId="29" priority="8">
      <formula>$N9&lt;0</formula>
    </cfRule>
  </conditionalFormatting>
  <conditionalFormatting sqref="O9:O1048576">
    <cfRule type="expression" dxfId="28" priority="9">
      <formula>$O9&lt;0</formula>
    </cfRule>
  </conditionalFormatting>
  <conditionalFormatting sqref="P9:P1048576">
    <cfRule type="expression" dxfId="27" priority="10">
      <formula>$P9&gt;0</formula>
    </cfRule>
  </conditionalFormatting>
  <conditionalFormatting sqref="Q9:Q1048576">
    <cfRule type="expression" dxfId="26" priority="11">
      <formula>$Q9&gt;0</formula>
    </cfRule>
  </conditionalFormatting>
  <conditionalFormatting sqref="R9:R1048576">
    <cfRule type="expression" dxfId="25" priority="12">
      <formula>$R9&lt;0</formula>
    </cfRule>
  </conditionalFormatting>
  <conditionalFormatting sqref="S9:S1048576">
    <cfRule type="expression" dxfId="2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Ngan Vu</cp:lastModifiedBy>
  <dcterms:created xsi:type="dcterms:W3CDTF">2024-11-08T05:29:25Z</dcterms:created>
  <dcterms:modified xsi:type="dcterms:W3CDTF">2025-05-14T02:48:53Z</dcterms:modified>
</cp:coreProperties>
</file>
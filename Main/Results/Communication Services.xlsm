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CB1A7407-05DE-40F5-A3AB-5414641A6FE5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Main_L!$A$1:$M$55</definedName>
    <definedName name="ExternalData_1" localSheetId="2" hidden="1">Main_M!$A$1:$M$56</definedName>
    <definedName name="ExternalData_1" localSheetId="3" hidden="1">Main_S!$A$1:$M$70</definedName>
    <definedName name="ExternalData_5" localSheetId="4" hidden="1">'Quartile Tables'!$A$2:$Y$7</definedName>
    <definedName name="ExternalData_6" localSheetId="4" hidden="1">'Quartile Tables'!$A$11:$Y$16</definedName>
    <definedName name="ExternalData_7" localSheetId="4" hidden="1">'Quartile Tables'!$A$20:$Y$25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5" i="1" l="1"/>
  <c r="Y24" i="1"/>
  <c r="Y23" i="1"/>
  <c r="Y22" i="1"/>
  <c r="Y21" i="1"/>
  <c r="X25" i="1"/>
  <c r="X24" i="1"/>
  <c r="X23" i="1"/>
  <c r="X22" i="1"/>
  <c r="X21" i="1"/>
  <c r="W25" i="1" a="1"/>
  <c r="W25" i="1" s="1"/>
  <c r="W24" i="1" a="1"/>
  <c r="W24" i="1"/>
  <c r="W23" i="1" a="1"/>
  <c r="W23" i="1"/>
  <c r="W22" i="1" a="1"/>
  <c r="W22" i="1" s="1"/>
  <c r="W21" i="1" a="1"/>
  <c r="W21" i="1"/>
  <c r="V25" i="1" a="1"/>
  <c r="V25" i="1" s="1"/>
  <c r="V24" i="1" a="1"/>
  <c r="V24" i="1"/>
  <c r="V23" i="1" a="1"/>
  <c r="V23" i="1" s="1"/>
  <c r="V22" i="1" a="1"/>
  <c r="V22" i="1"/>
  <c r="V21" i="1" a="1"/>
  <c r="V21" i="1" s="1"/>
  <c r="Q25" i="1"/>
  <c r="Q24" i="1"/>
  <c r="Q23" i="1"/>
  <c r="Q22" i="1"/>
  <c r="Q21" i="1"/>
  <c r="P25" i="1"/>
  <c r="P24" i="1"/>
  <c r="P23" i="1"/>
  <c r="P22" i="1"/>
  <c r="P21" i="1"/>
  <c r="O25" i="1" a="1"/>
  <c r="O25" i="1" s="1"/>
  <c r="O24" i="1" a="1"/>
  <c r="O24" i="1"/>
  <c r="O23" i="1" a="1"/>
  <c r="O23" i="1" s="1"/>
  <c r="O22" i="1" a="1"/>
  <c r="O22" i="1"/>
  <c r="O21" i="1" a="1"/>
  <c r="O21" i="1" s="1"/>
  <c r="N25" i="1" a="1"/>
  <c r="N25" i="1" s="1"/>
  <c r="N24" i="1" a="1"/>
  <c r="N24" i="1"/>
  <c r="N23" i="1" a="1"/>
  <c r="N23" i="1" s="1"/>
  <c r="N22" i="1" a="1"/>
  <c r="N22" i="1" s="1"/>
  <c r="N21" i="1" a="1"/>
  <c r="N21" i="1" s="1"/>
  <c r="M25" i="1"/>
  <c r="M24" i="1"/>
  <c r="M23" i="1"/>
  <c r="M22" i="1"/>
  <c r="M21" i="1"/>
  <c r="L25" i="1"/>
  <c r="L24" i="1"/>
  <c r="L23" i="1"/>
  <c r="L22" i="1"/>
  <c r="L21" i="1"/>
  <c r="K25" i="1" a="1"/>
  <c r="K25" i="1" s="1"/>
  <c r="K24" i="1" a="1"/>
  <c r="K24" i="1" s="1"/>
  <c r="K23" i="1" a="1"/>
  <c r="K23" i="1"/>
  <c r="K22" i="1" a="1"/>
  <c r="K22" i="1" s="1"/>
  <c r="K21" i="1" a="1"/>
  <c r="K21" i="1" s="1"/>
  <c r="J25" i="1" a="1"/>
  <c r="J25" i="1"/>
  <c r="J24" i="1" a="1"/>
  <c r="J24" i="1" s="1"/>
  <c r="J23" i="1" a="1"/>
  <c r="J23" i="1" s="1"/>
  <c r="J22" i="1" a="1"/>
  <c r="J22" i="1" s="1"/>
  <c r="J21" i="1" a="1"/>
  <c r="J21" i="1"/>
  <c r="Y16" i="1"/>
  <c r="Y15" i="1"/>
  <c r="Y14" i="1"/>
  <c r="Y13" i="1"/>
  <c r="Y12" i="1"/>
  <c r="X16" i="1"/>
  <c r="X15" i="1"/>
  <c r="X14" i="1"/>
  <c r="X13" i="1"/>
  <c r="X12" i="1"/>
  <c r="W16" i="1" a="1"/>
  <c r="W16" i="1" s="1"/>
  <c r="W15" i="1" a="1"/>
  <c r="W15" i="1" s="1"/>
  <c r="W14" i="1" a="1"/>
  <c r="W14" i="1"/>
  <c r="W13" i="1" a="1"/>
  <c r="W13" i="1" s="1"/>
  <c r="W12" i="1" a="1"/>
  <c r="W12" i="1"/>
  <c r="V16" i="1" a="1"/>
  <c r="V16" i="1" s="1"/>
  <c r="V15" i="1" a="1"/>
  <c r="V15" i="1"/>
  <c r="V14" i="1" a="1"/>
  <c r="V14" i="1" s="1"/>
  <c r="V13" i="1" a="1"/>
  <c r="V13" i="1" s="1"/>
  <c r="V12" i="1" a="1"/>
  <c r="V12" i="1" s="1"/>
  <c r="Q16" i="1"/>
  <c r="Q15" i="1"/>
  <c r="Q14" i="1"/>
  <c r="Q13" i="1"/>
  <c r="Q12" i="1"/>
  <c r="P16" i="1"/>
  <c r="P15" i="1"/>
  <c r="P14" i="1"/>
  <c r="P13" i="1"/>
  <c r="P12" i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N16" i="1" a="1"/>
  <c r="N16" i="1" s="1"/>
  <c r="N15" i="1" a="1"/>
  <c r="N15" i="1"/>
  <c r="N14" i="1" a="1"/>
  <c r="N14" i="1"/>
  <c r="N13" i="1" a="1"/>
  <c r="N13" i="1" s="1"/>
  <c r="N12" i="1" a="1"/>
  <c r="N12" i="1" s="1"/>
  <c r="M16" i="1"/>
  <c r="M15" i="1"/>
  <c r="M14" i="1"/>
  <c r="M13" i="1"/>
  <c r="M12" i="1"/>
  <c r="L16" i="1"/>
  <c r="L15" i="1"/>
  <c r="L14" i="1"/>
  <c r="L13" i="1"/>
  <c r="L12" i="1"/>
  <c r="K16" i="1" a="1"/>
  <c r="K16" i="1" s="1"/>
  <c r="K15" i="1" a="1"/>
  <c r="K15" i="1" s="1"/>
  <c r="K14" i="1" a="1"/>
  <c r="K14" i="1" s="1"/>
  <c r="K13" i="1" a="1"/>
  <c r="K13" i="1" s="1"/>
  <c r="K12" i="1" a="1"/>
  <c r="K12" i="1" s="1"/>
  <c r="J16" i="1" a="1"/>
  <c r="J16" i="1"/>
  <c r="J15" i="1" a="1"/>
  <c r="J15" i="1" s="1"/>
  <c r="J14" i="1" a="1"/>
  <c r="J14" i="1" s="1"/>
  <c r="J13" i="1" a="1"/>
  <c r="J13" i="1" s="1"/>
  <c r="J12" i="1" a="1"/>
  <c r="J12" i="1" s="1"/>
  <c r="Y7" i="1"/>
  <c r="Y6" i="1"/>
  <c r="Y5" i="1"/>
  <c r="Y4" i="1"/>
  <c r="Y3" i="1"/>
  <c r="X7" i="1"/>
  <c r="X6" i="1"/>
  <c r="X5" i="1"/>
  <c r="X4" i="1"/>
  <c r="X3" i="1"/>
  <c r="W7" i="1" a="1"/>
  <c r="W7" i="1" s="1"/>
  <c r="W6" i="1" a="1"/>
  <c r="W6" i="1"/>
  <c r="W5" i="1" a="1"/>
  <c r="W5" i="1"/>
  <c r="W4" i="1" a="1"/>
  <c r="W4" i="1" s="1"/>
  <c r="W3" i="1" a="1"/>
  <c r="W3" i="1" s="1"/>
  <c r="V7" i="1" a="1"/>
  <c r="V7" i="1" s="1"/>
  <c r="V6" i="1" a="1"/>
  <c r="V6" i="1" s="1"/>
  <c r="V5" i="1" a="1"/>
  <c r="V5" i="1"/>
  <c r="V4" i="1" a="1"/>
  <c r="V4" i="1" s="1"/>
  <c r="V3" i="1" a="1"/>
  <c r="V3" i="1" s="1"/>
  <c r="Q7" i="1"/>
  <c r="Q6" i="1"/>
  <c r="Q5" i="1"/>
  <c r="Q4" i="1"/>
  <c r="Q3" i="1"/>
  <c r="P7" i="1"/>
  <c r="P6" i="1"/>
  <c r="P5" i="1"/>
  <c r="P4" i="1"/>
  <c r="P3" i="1"/>
  <c r="O7" i="1" a="1"/>
  <c r="O7" i="1" s="1"/>
  <c r="O6" i="1" a="1"/>
  <c r="O6" i="1"/>
  <c r="O5" i="1" a="1"/>
  <c r="O5" i="1" s="1"/>
  <c r="O4" i="1" a="1"/>
  <c r="O4" i="1" s="1"/>
  <c r="O3" i="1" a="1"/>
  <c r="O3" i="1"/>
  <c r="N7" i="1" a="1"/>
  <c r="N7" i="1" s="1"/>
  <c r="N6" i="1" a="1"/>
  <c r="N6" i="1" s="1"/>
  <c r="N5" i="1" a="1"/>
  <c r="N5" i="1" s="1"/>
  <c r="N4" i="1" a="1"/>
  <c r="N4" i="1" s="1"/>
  <c r="N3" i="1" a="1"/>
  <c r="N3" i="1" s="1"/>
  <c r="M7" i="1"/>
  <c r="M6" i="1"/>
  <c r="M5" i="1"/>
  <c r="M4" i="1"/>
  <c r="M3" i="1"/>
  <c r="L7" i="1"/>
  <c r="L6" i="1"/>
  <c r="L5" i="1"/>
  <c r="L4" i="1"/>
  <c r="L3" i="1"/>
  <c r="K7" i="1" a="1"/>
  <c r="K7" i="1" s="1"/>
  <c r="K6" i="1" a="1"/>
  <c r="K6" i="1" s="1"/>
  <c r="K5" i="1" a="1"/>
  <c r="K5" i="1" s="1"/>
  <c r="K4" i="1" a="1"/>
  <c r="K4" i="1"/>
  <c r="K3" i="1" a="1"/>
  <c r="K3" i="1" s="1"/>
  <c r="J7" i="1" a="1"/>
  <c r="J7" i="1" s="1"/>
  <c r="J6" i="1" a="1"/>
  <c r="J6" i="1" s="1"/>
  <c r="J5" i="1" a="1"/>
  <c r="J5" i="1"/>
  <c r="J4" i="1" a="1"/>
  <c r="J4" i="1" s="1"/>
  <c r="J3" i="1" a="1"/>
  <c r="J3" i="1"/>
  <c r="M70" i="4"/>
  <c r="T70" i="4" s="1"/>
  <c r="M69" i="4"/>
  <c r="T69" i="4" s="1"/>
  <c r="M68" i="4"/>
  <c r="T68" i="4" s="1"/>
  <c r="M67" i="4"/>
  <c r="T67" i="4" s="1"/>
  <c r="M54" i="4"/>
  <c r="T54" i="4" s="1"/>
  <c r="M53" i="4"/>
  <c r="T53" i="4" s="1"/>
  <c r="M52" i="4"/>
  <c r="M49" i="4"/>
  <c r="M48" i="4"/>
  <c r="T48" i="4" s="1"/>
  <c r="M47" i="4"/>
  <c r="T47" i="4" s="1"/>
  <c r="M43" i="4"/>
  <c r="T43" i="4" s="1"/>
  <c r="M33" i="4"/>
  <c r="T33" i="4" s="1"/>
  <c r="M32" i="4"/>
  <c r="T32" i="4" s="1"/>
  <c r="M31" i="4"/>
  <c r="T31" i="4" s="1"/>
  <c r="M30" i="4"/>
  <c r="T30" i="4" s="1"/>
  <c r="M29" i="4"/>
  <c r="T29" i="4" s="1"/>
  <c r="M28" i="4"/>
  <c r="T28" i="4" s="1"/>
  <c r="M27" i="4"/>
  <c r="T27" i="4" s="1"/>
  <c r="M23" i="4"/>
  <c r="M12" i="4"/>
  <c r="T12" i="4" s="1"/>
  <c r="M11" i="4"/>
  <c r="T11" i="4" s="1"/>
  <c r="M9" i="4"/>
  <c r="M8" i="4"/>
  <c r="M7" i="4"/>
  <c r="T7" i="4" s="1"/>
  <c r="I70" i="4"/>
  <c r="I68" i="4"/>
  <c r="P68" i="4" s="1"/>
  <c r="I67" i="4"/>
  <c r="I63" i="4"/>
  <c r="I62" i="4"/>
  <c r="I50" i="4"/>
  <c r="P50" i="4" s="1"/>
  <c r="I48" i="4"/>
  <c r="P48" i="4" s="1"/>
  <c r="I47" i="4"/>
  <c r="I44" i="4"/>
  <c r="P44" i="4" s="1"/>
  <c r="I43" i="4"/>
  <c r="I30" i="4"/>
  <c r="P30" i="4" s="1"/>
  <c r="I28" i="4"/>
  <c r="P28" i="4" s="1"/>
  <c r="I27" i="4"/>
  <c r="I24" i="4"/>
  <c r="P24" i="4" s="1"/>
  <c r="I23" i="4"/>
  <c r="I22" i="4"/>
  <c r="N22" i="4" s="1"/>
  <c r="I18" i="4"/>
  <c r="P18" i="4" s="1"/>
  <c r="I17" i="4"/>
  <c r="P17" i="4" s="1"/>
  <c r="I8" i="4"/>
  <c r="I7" i="4"/>
  <c r="I4" i="4"/>
  <c r="P4" i="4" s="1"/>
  <c r="I3" i="4"/>
  <c r="P3" i="4" s="1"/>
  <c r="I2" i="4"/>
  <c r="H70" i="4"/>
  <c r="H69" i="4"/>
  <c r="H68" i="4"/>
  <c r="H67" i="4"/>
  <c r="H66" i="4"/>
  <c r="O66" i="4" s="1"/>
  <c r="H65" i="4"/>
  <c r="O65" i="4" s="1"/>
  <c r="H53" i="4"/>
  <c r="H52" i="4"/>
  <c r="O52" i="4" s="1"/>
  <c r="H49" i="4"/>
  <c r="H48" i="4"/>
  <c r="H47" i="4"/>
  <c r="O47" i="4" s="1"/>
  <c r="H46" i="4"/>
  <c r="O46" i="4" s="1"/>
  <c r="H45" i="4"/>
  <c r="O45" i="4" s="1"/>
  <c r="H43" i="4"/>
  <c r="H33" i="4"/>
  <c r="O33" i="4" s="1"/>
  <c r="H32" i="4"/>
  <c r="H31" i="4"/>
  <c r="N31" i="4" s="1"/>
  <c r="H30" i="4"/>
  <c r="H29" i="4"/>
  <c r="H28" i="4"/>
  <c r="H27" i="4"/>
  <c r="O27" i="4" s="1"/>
  <c r="H26" i="4"/>
  <c r="H25" i="4"/>
  <c r="O25" i="4" s="1"/>
  <c r="H23" i="4"/>
  <c r="H12" i="4"/>
  <c r="H11" i="4"/>
  <c r="H9" i="4"/>
  <c r="N9" i="4" s="1"/>
  <c r="H8" i="4"/>
  <c r="H7" i="4"/>
  <c r="O7" i="4" s="1"/>
  <c r="H6" i="4"/>
  <c r="H5" i="4"/>
  <c r="D70" i="4"/>
  <c r="D69" i="4"/>
  <c r="I69" i="4" s="1"/>
  <c r="P69" i="4" s="1"/>
  <c r="D68" i="4"/>
  <c r="D67" i="4"/>
  <c r="D66" i="4"/>
  <c r="M66" i="4" s="1"/>
  <c r="T66" i="4" s="1"/>
  <c r="D65" i="4"/>
  <c r="M65" i="4" s="1"/>
  <c r="T65" i="4" s="1"/>
  <c r="D64" i="4"/>
  <c r="H64" i="4" s="1"/>
  <c r="O64" i="4" s="1"/>
  <c r="D63" i="4"/>
  <c r="H63" i="4" s="1"/>
  <c r="D62" i="4"/>
  <c r="H62" i="4" s="1"/>
  <c r="O62" i="4" s="1"/>
  <c r="D61" i="4"/>
  <c r="I61" i="4" s="1"/>
  <c r="P61" i="4" s="1"/>
  <c r="D60" i="4"/>
  <c r="D59" i="4"/>
  <c r="D58" i="4"/>
  <c r="D57" i="4"/>
  <c r="D56" i="4"/>
  <c r="D55" i="4"/>
  <c r="D54" i="4"/>
  <c r="D53" i="4"/>
  <c r="I53" i="4" s="1"/>
  <c r="P53" i="4" s="1"/>
  <c r="D52" i="4"/>
  <c r="I52" i="4" s="1"/>
  <c r="N52" i="4" s="1"/>
  <c r="D51" i="4"/>
  <c r="I51" i="4" s="1"/>
  <c r="P51" i="4" s="1"/>
  <c r="D50" i="4"/>
  <c r="H50" i="4" s="1"/>
  <c r="D49" i="4"/>
  <c r="I49" i="4" s="1"/>
  <c r="P49" i="4" s="1"/>
  <c r="D48" i="4"/>
  <c r="D47" i="4"/>
  <c r="D46" i="4"/>
  <c r="M46" i="4" s="1"/>
  <c r="T46" i="4" s="1"/>
  <c r="D45" i="4"/>
  <c r="M45" i="4" s="1"/>
  <c r="T45" i="4" s="1"/>
  <c r="D44" i="4"/>
  <c r="H44" i="4" s="1"/>
  <c r="D43" i="4"/>
  <c r="D42" i="4"/>
  <c r="H42" i="4" s="1"/>
  <c r="D41" i="4"/>
  <c r="D40" i="4"/>
  <c r="D39" i="4"/>
  <c r="D38" i="4"/>
  <c r="D37" i="4"/>
  <c r="D36" i="4"/>
  <c r="D35" i="4"/>
  <c r="D34" i="4"/>
  <c r="D33" i="4"/>
  <c r="I33" i="4" s="1"/>
  <c r="P33" i="4" s="1"/>
  <c r="D32" i="4"/>
  <c r="I32" i="4" s="1"/>
  <c r="P32" i="4" s="1"/>
  <c r="D31" i="4"/>
  <c r="I31" i="4" s="1"/>
  <c r="P31" i="4" s="1"/>
  <c r="D30" i="4"/>
  <c r="D29" i="4"/>
  <c r="I29" i="4" s="1"/>
  <c r="P29" i="4" s="1"/>
  <c r="D28" i="4"/>
  <c r="D27" i="4"/>
  <c r="D26" i="4"/>
  <c r="M26" i="4" s="1"/>
  <c r="T26" i="4" s="1"/>
  <c r="D25" i="4"/>
  <c r="M25" i="4" s="1"/>
  <c r="T25" i="4" s="1"/>
  <c r="D24" i="4"/>
  <c r="H24" i="4" s="1"/>
  <c r="O24" i="4" s="1"/>
  <c r="D23" i="4"/>
  <c r="D22" i="4"/>
  <c r="H22" i="4" s="1"/>
  <c r="O22" i="4" s="1"/>
  <c r="D21" i="4"/>
  <c r="I21" i="4" s="1"/>
  <c r="P21" i="4" s="1"/>
  <c r="D20" i="4"/>
  <c r="I20" i="4" s="1"/>
  <c r="P20" i="4" s="1"/>
  <c r="D19" i="4"/>
  <c r="I19" i="4" s="1"/>
  <c r="P19" i="4" s="1"/>
  <c r="D18" i="4"/>
  <c r="D17" i="4"/>
  <c r="D16" i="4"/>
  <c r="I16" i="4" s="1"/>
  <c r="P16" i="4" s="1"/>
  <c r="D15" i="4"/>
  <c r="D14" i="4"/>
  <c r="M14" i="4" s="1"/>
  <c r="T14" i="4" s="1"/>
  <c r="D13" i="4"/>
  <c r="I13" i="4" s="1"/>
  <c r="D12" i="4"/>
  <c r="I12" i="4" s="1"/>
  <c r="P12" i="4" s="1"/>
  <c r="D11" i="4"/>
  <c r="I11" i="4" s="1"/>
  <c r="D10" i="4"/>
  <c r="H10" i="4" s="1"/>
  <c r="D9" i="4"/>
  <c r="I9" i="4" s="1"/>
  <c r="D8" i="4"/>
  <c r="D7" i="4"/>
  <c r="D6" i="4"/>
  <c r="M6" i="4" s="1"/>
  <c r="T6" i="4" s="1"/>
  <c r="D5" i="4"/>
  <c r="M5" i="4" s="1"/>
  <c r="D4" i="4"/>
  <c r="H4" i="4" s="1"/>
  <c r="D3" i="4"/>
  <c r="H3" i="4" s="1"/>
  <c r="O3" i="4" s="1"/>
  <c r="D2" i="4"/>
  <c r="H2" i="4" s="1"/>
  <c r="M52" i="3"/>
  <c r="M50" i="3"/>
  <c r="T50" i="3" s="1"/>
  <c r="M43" i="3"/>
  <c r="M36" i="3"/>
  <c r="T36" i="3" s="1"/>
  <c r="M33" i="3"/>
  <c r="T33" i="3" s="1"/>
  <c r="M32" i="3"/>
  <c r="T32" i="3" s="1"/>
  <c r="M31" i="3"/>
  <c r="T31" i="3" s="1"/>
  <c r="M30" i="3"/>
  <c r="T30" i="3" s="1"/>
  <c r="M23" i="3"/>
  <c r="M14" i="3"/>
  <c r="T14" i="3" s="1"/>
  <c r="M13" i="3"/>
  <c r="T13" i="3" s="1"/>
  <c r="M11" i="3"/>
  <c r="T11" i="3" s="1"/>
  <c r="M10" i="3"/>
  <c r="T10" i="3" s="1"/>
  <c r="M9" i="3"/>
  <c r="T9" i="3" s="1"/>
  <c r="M3" i="3"/>
  <c r="M2" i="3"/>
  <c r="I52" i="3"/>
  <c r="P52" i="3" s="1"/>
  <c r="I50" i="3"/>
  <c r="P50" i="3" s="1"/>
  <c r="I48" i="3"/>
  <c r="P48" i="3" s="1"/>
  <c r="I47" i="3"/>
  <c r="P47" i="3" s="1"/>
  <c r="I45" i="3"/>
  <c r="P45" i="3" s="1"/>
  <c r="I44" i="3"/>
  <c r="P44" i="3" s="1"/>
  <c r="I36" i="3"/>
  <c r="P36" i="3" s="1"/>
  <c r="I33" i="3"/>
  <c r="I32" i="3"/>
  <c r="I31" i="3"/>
  <c r="P31" i="3" s="1"/>
  <c r="I30" i="3"/>
  <c r="P30" i="3" s="1"/>
  <c r="I27" i="3"/>
  <c r="I25" i="3"/>
  <c r="P25" i="3" s="1"/>
  <c r="I24" i="3"/>
  <c r="P24" i="3" s="1"/>
  <c r="I13" i="3"/>
  <c r="I12" i="3"/>
  <c r="P12" i="3" s="1"/>
  <c r="I11" i="3"/>
  <c r="I10" i="3"/>
  <c r="I9" i="3"/>
  <c r="P9" i="3" s="1"/>
  <c r="I7" i="3"/>
  <c r="P7" i="3" s="1"/>
  <c r="I6" i="3"/>
  <c r="P6" i="3" s="1"/>
  <c r="I5" i="3"/>
  <c r="I4" i="3"/>
  <c r="I2" i="3"/>
  <c r="H50" i="3"/>
  <c r="H47" i="3"/>
  <c r="H45" i="3"/>
  <c r="O45" i="3" s="1"/>
  <c r="H44" i="3"/>
  <c r="O44" i="3" s="1"/>
  <c r="H43" i="3"/>
  <c r="O43" i="3" s="1"/>
  <c r="H42" i="3"/>
  <c r="O42" i="3" s="1"/>
  <c r="H36" i="3"/>
  <c r="H33" i="3"/>
  <c r="N33" i="3" s="1"/>
  <c r="H31" i="3"/>
  <c r="O31" i="3" s="1"/>
  <c r="H30" i="3"/>
  <c r="H27" i="3"/>
  <c r="O27" i="3" s="1"/>
  <c r="H25" i="3"/>
  <c r="O25" i="3" s="1"/>
  <c r="H24" i="3"/>
  <c r="O24" i="3" s="1"/>
  <c r="H23" i="3"/>
  <c r="H22" i="3"/>
  <c r="O22" i="3" s="1"/>
  <c r="H20" i="3"/>
  <c r="H19" i="3"/>
  <c r="O19" i="3" s="1"/>
  <c r="H13" i="3"/>
  <c r="O13" i="3" s="1"/>
  <c r="H11" i="3"/>
  <c r="N11" i="3" s="1"/>
  <c r="H7" i="3"/>
  <c r="N7" i="3" s="1"/>
  <c r="H6" i="3"/>
  <c r="N6" i="3" s="1"/>
  <c r="H5" i="3"/>
  <c r="H3" i="3"/>
  <c r="H2" i="3"/>
  <c r="D56" i="3"/>
  <c r="M56" i="3" s="1"/>
  <c r="T56" i="3" s="1"/>
  <c r="D55" i="3"/>
  <c r="M55" i="3" s="1"/>
  <c r="T55" i="3" s="1"/>
  <c r="D54" i="3"/>
  <c r="M54" i="3" s="1"/>
  <c r="T54" i="3" s="1"/>
  <c r="D53" i="3"/>
  <c r="H53" i="3" s="1"/>
  <c r="D52" i="3"/>
  <c r="H52" i="3" s="1"/>
  <c r="D51" i="3"/>
  <c r="M51" i="3" s="1"/>
  <c r="T51" i="3" s="1"/>
  <c r="D50" i="3"/>
  <c r="D49" i="3"/>
  <c r="H49" i="3" s="1"/>
  <c r="O49" i="3" s="1"/>
  <c r="D48" i="3"/>
  <c r="M48" i="3" s="1"/>
  <c r="T48" i="3" s="1"/>
  <c r="D47" i="3"/>
  <c r="M47" i="3" s="1"/>
  <c r="T47" i="3" s="1"/>
  <c r="D46" i="3"/>
  <c r="M46" i="3" s="1"/>
  <c r="T46" i="3" s="1"/>
  <c r="D45" i="3"/>
  <c r="M45" i="3" s="1"/>
  <c r="T45" i="3" s="1"/>
  <c r="D44" i="3"/>
  <c r="M44" i="3" s="1"/>
  <c r="T44" i="3" s="1"/>
  <c r="D43" i="3"/>
  <c r="I43" i="3" s="1"/>
  <c r="P43" i="3" s="1"/>
  <c r="D42" i="3"/>
  <c r="I42" i="3" s="1"/>
  <c r="P42" i="3" s="1"/>
  <c r="D41" i="3"/>
  <c r="H41" i="3" s="1"/>
  <c r="D40" i="3"/>
  <c r="D39" i="3"/>
  <c r="D38" i="3"/>
  <c r="D37" i="3"/>
  <c r="D36" i="3"/>
  <c r="D35" i="3"/>
  <c r="D34" i="3"/>
  <c r="D33" i="3"/>
  <c r="D32" i="3"/>
  <c r="H32" i="3" s="1"/>
  <c r="D31" i="3"/>
  <c r="D30" i="3"/>
  <c r="D29" i="3"/>
  <c r="H29" i="3" s="1"/>
  <c r="O29" i="3" s="1"/>
  <c r="D28" i="3"/>
  <c r="M28" i="3" s="1"/>
  <c r="T28" i="3" s="1"/>
  <c r="D27" i="3"/>
  <c r="M27" i="3" s="1"/>
  <c r="T27" i="3" s="1"/>
  <c r="D26" i="3"/>
  <c r="M26" i="3" s="1"/>
  <c r="T26" i="3" s="1"/>
  <c r="D25" i="3"/>
  <c r="M25" i="3" s="1"/>
  <c r="T25" i="3" s="1"/>
  <c r="D24" i="3"/>
  <c r="M24" i="3" s="1"/>
  <c r="T24" i="3" s="1"/>
  <c r="D23" i="3"/>
  <c r="I23" i="3" s="1"/>
  <c r="P23" i="3" s="1"/>
  <c r="D22" i="3"/>
  <c r="I22" i="3" s="1"/>
  <c r="P22" i="3" s="1"/>
  <c r="D21" i="3"/>
  <c r="D20" i="3"/>
  <c r="D19" i="3"/>
  <c r="D18" i="3"/>
  <c r="D17" i="3"/>
  <c r="D16" i="3"/>
  <c r="M16" i="3" s="1"/>
  <c r="T16" i="3" s="1"/>
  <c r="D15" i="3"/>
  <c r="M15" i="3" s="1"/>
  <c r="T15" i="3" s="1"/>
  <c r="D14" i="3"/>
  <c r="D13" i="3"/>
  <c r="D12" i="3"/>
  <c r="H12" i="3" s="1"/>
  <c r="O12" i="3" s="1"/>
  <c r="D11" i="3"/>
  <c r="D10" i="3"/>
  <c r="H10" i="3" s="1"/>
  <c r="O10" i="3" s="1"/>
  <c r="D9" i="3"/>
  <c r="H9" i="3" s="1"/>
  <c r="D8" i="3"/>
  <c r="M8" i="3" s="1"/>
  <c r="T8" i="3" s="1"/>
  <c r="D7" i="3"/>
  <c r="M7" i="3" s="1"/>
  <c r="D6" i="3"/>
  <c r="M6" i="3" s="1"/>
  <c r="D5" i="3"/>
  <c r="M5" i="3" s="1"/>
  <c r="D4" i="3"/>
  <c r="M4" i="3" s="1"/>
  <c r="T4" i="3" s="1"/>
  <c r="D3" i="3"/>
  <c r="I3" i="3" s="1"/>
  <c r="D2" i="3"/>
  <c r="M48" i="2"/>
  <c r="T48" i="2" s="1"/>
  <c r="M43" i="2"/>
  <c r="M39" i="2"/>
  <c r="M28" i="2"/>
  <c r="T28" i="2" s="1"/>
  <c r="M23" i="2"/>
  <c r="M20" i="2"/>
  <c r="M19" i="2"/>
  <c r="T19" i="2" s="1"/>
  <c r="M14" i="2"/>
  <c r="T14" i="2" s="1"/>
  <c r="M9" i="2"/>
  <c r="T9" i="2" s="1"/>
  <c r="M8" i="2"/>
  <c r="T8" i="2" s="1"/>
  <c r="I48" i="2"/>
  <c r="P48" i="2" s="1"/>
  <c r="I46" i="2"/>
  <c r="I45" i="2"/>
  <c r="I44" i="2"/>
  <c r="I43" i="2"/>
  <c r="I42" i="2"/>
  <c r="P42" i="2" s="1"/>
  <c r="I28" i="2"/>
  <c r="P28" i="2" s="1"/>
  <c r="I27" i="2"/>
  <c r="P27" i="2" s="1"/>
  <c r="I26" i="2"/>
  <c r="I25" i="2"/>
  <c r="I24" i="2"/>
  <c r="I23" i="2"/>
  <c r="P23" i="2" s="1"/>
  <c r="I22" i="2"/>
  <c r="P22" i="2" s="1"/>
  <c r="I9" i="2"/>
  <c r="P9" i="2" s="1"/>
  <c r="I8" i="2"/>
  <c r="N8" i="2" s="1"/>
  <c r="I4" i="2"/>
  <c r="P4" i="2" s="1"/>
  <c r="H48" i="2"/>
  <c r="H46" i="2"/>
  <c r="H45" i="2"/>
  <c r="H44" i="2"/>
  <c r="H43" i="2"/>
  <c r="O43" i="2" s="1"/>
  <c r="H42" i="2"/>
  <c r="H40" i="2"/>
  <c r="H39" i="2"/>
  <c r="O39" i="2" s="1"/>
  <c r="H28" i="2"/>
  <c r="H27" i="2"/>
  <c r="N27" i="2" s="1"/>
  <c r="H26" i="2"/>
  <c r="H25" i="2"/>
  <c r="O25" i="2" s="1"/>
  <c r="H24" i="2"/>
  <c r="H23" i="2"/>
  <c r="N23" i="2" s="1"/>
  <c r="H22" i="2"/>
  <c r="N22" i="2" s="1"/>
  <c r="H20" i="2"/>
  <c r="H18" i="2"/>
  <c r="H17" i="2"/>
  <c r="O17" i="2" s="1"/>
  <c r="H16" i="2"/>
  <c r="O16" i="2" s="1"/>
  <c r="H8" i="2"/>
  <c r="O8" i="2" s="1"/>
  <c r="D55" i="2"/>
  <c r="M55" i="2" s="1"/>
  <c r="T55" i="2" s="1"/>
  <c r="D54" i="2"/>
  <c r="D53" i="2"/>
  <c r="D52" i="2"/>
  <c r="D51" i="2"/>
  <c r="D50" i="2"/>
  <c r="D49" i="2"/>
  <c r="H49" i="2" s="1"/>
  <c r="D48" i="2"/>
  <c r="D47" i="2"/>
  <c r="M47" i="2" s="1"/>
  <c r="T47" i="2" s="1"/>
  <c r="D46" i="2"/>
  <c r="M46" i="2" s="1"/>
  <c r="T46" i="2" s="1"/>
  <c r="D45" i="2"/>
  <c r="M45" i="2" s="1"/>
  <c r="T45" i="2" s="1"/>
  <c r="D44" i="2"/>
  <c r="M44" i="2" s="1"/>
  <c r="T44" i="2" s="1"/>
  <c r="D43" i="2"/>
  <c r="D42" i="2"/>
  <c r="M42" i="2" s="1"/>
  <c r="T42" i="2" s="1"/>
  <c r="D41" i="2"/>
  <c r="I41" i="2" s="1"/>
  <c r="P41" i="2" s="1"/>
  <c r="D40" i="2"/>
  <c r="I40" i="2" s="1"/>
  <c r="P40" i="2" s="1"/>
  <c r="D39" i="2"/>
  <c r="I39" i="2" s="1"/>
  <c r="D38" i="2"/>
  <c r="I38" i="2" s="1"/>
  <c r="P38" i="2" s="1"/>
  <c r="D37" i="2"/>
  <c r="D36" i="2"/>
  <c r="D35" i="2"/>
  <c r="M35" i="2" s="1"/>
  <c r="T35" i="2" s="1"/>
  <c r="D34" i="2"/>
  <c r="M34" i="2" s="1"/>
  <c r="T34" i="2" s="1"/>
  <c r="D33" i="2"/>
  <c r="M33" i="2" s="1"/>
  <c r="T33" i="2" s="1"/>
  <c r="D32" i="2"/>
  <c r="M32" i="2" s="1"/>
  <c r="T32" i="2" s="1"/>
  <c r="D31" i="2"/>
  <c r="M31" i="2" s="1"/>
  <c r="T31" i="2" s="1"/>
  <c r="D30" i="2"/>
  <c r="M30" i="2" s="1"/>
  <c r="T30" i="2" s="1"/>
  <c r="D29" i="2"/>
  <c r="H29" i="2" s="1"/>
  <c r="O29" i="2" s="1"/>
  <c r="D28" i="2"/>
  <c r="D27" i="2"/>
  <c r="M27" i="2" s="1"/>
  <c r="T27" i="2" s="1"/>
  <c r="D26" i="2"/>
  <c r="M26" i="2" s="1"/>
  <c r="T26" i="2" s="1"/>
  <c r="D25" i="2"/>
  <c r="M25" i="2" s="1"/>
  <c r="T25" i="2" s="1"/>
  <c r="D24" i="2"/>
  <c r="M24" i="2" s="1"/>
  <c r="T24" i="2" s="1"/>
  <c r="D23" i="2"/>
  <c r="D22" i="2"/>
  <c r="M22" i="2" s="1"/>
  <c r="D21" i="2"/>
  <c r="I21" i="2" s="1"/>
  <c r="P21" i="2" s="1"/>
  <c r="D20" i="2"/>
  <c r="I20" i="2" s="1"/>
  <c r="P20" i="2" s="1"/>
  <c r="D19" i="2"/>
  <c r="I19" i="2" s="1"/>
  <c r="P19" i="2" s="1"/>
  <c r="D18" i="2"/>
  <c r="I18" i="2" s="1"/>
  <c r="P18" i="2" s="1"/>
  <c r="D17" i="2"/>
  <c r="D16" i="2"/>
  <c r="D15" i="2"/>
  <c r="D14" i="2"/>
  <c r="D13" i="2"/>
  <c r="M13" i="2" s="1"/>
  <c r="T13" i="2" s="1"/>
  <c r="D12" i="2"/>
  <c r="D11" i="2"/>
  <c r="D10" i="2"/>
  <c r="D9" i="2"/>
  <c r="H9" i="2" s="1"/>
  <c r="O9" i="2" s="1"/>
  <c r="D8" i="2"/>
  <c r="D7" i="2"/>
  <c r="M7" i="2" s="1"/>
  <c r="T7" i="2" s="1"/>
  <c r="D6" i="2"/>
  <c r="M6" i="2" s="1"/>
  <c r="T6" i="2" s="1"/>
  <c r="D5" i="2"/>
  <c r="M5" i="2" s="1"/>
  <c r="T5" i="2" s="1"/>
  <c r="D4" i="2"/>
  <c r="M4" i="2" s="1"/>
  <c r="T4" i="2" s="1"/>
  <c r="D3" i="2"/>
  <c r="M3" i="2" s="1"/>
  <c r="T3" i="2" s="1"/>
  <c r="D2" i="2"/>
  <c r="M2" i="2" s="1"/>
  <c r="N44" i="4"/>
  <c r="N24" i="4"/>
  <c r="N27" i="4"/>
  <c r="N3" i="4"/>
  <c r="N7" i="4"/>
  <c r="O23" i="4"/>
  <c r="O43" i="4"/>
  <c r="O44" i="4"/>
  <c r="O32" i="4"/>
  <c r="O53" i="4"/>
  <c r="O6" i="4"/>
  <c r="O63" i="4"/>
  <c r="P8" i="4"/>
  <c r="P9" i="4"/>
  <c r="P2" i="4"/>
  <c r="P47" i="4"/>
  <c r="P11" i="4"/>
  <c r="P27" i="4"/>
  <c r="P70" i="4"/>
  <c r="P62" i="4"/>
  <c r="P7" i="4"/>
  <c r="P67" i="4"/>
  <c r="Q23" i="4"/>
  <c r="Q43" i="4"/>
  <c r="Q8" i="4"/>
  <c r="Q9" i="4"/>
  <c r="Q2" i="4"/>
  <c r="Q10" i="4"/>
  <c r="Q44" i="4"/>
  <c r="Q45" i="4"/>
  <c r="Q46" i="4"/>
  <c r="Q47" i="4"/>
  <c r="Q24" i="4"/>
  <c r="Q11" i="4"/>
  <c r="Q25" i="4"/>
  <c r="Q26" i="4"/>
  <c r="Q27" i="4"/>
  <c r="Q48" i="4"/>
  <c r="Q69" i="4"/>
  <c r="Q28" i="4"/>
  <c r="Q29" i="4"/>
  <c r="Q30" i="4"/>
  <c r="Q49" i="4"/>
  <c r="Q50" i="4"/>
  <c r="Q12" i="4"/>
  <c r="Q13" i="4"/>
  <c r="Q31" i="4"/>
  <c r="Q51" i="4"/>
  <c r="Q52" i="4"/>
  <c r="Q32" i="4"/>
  <c r="Q33" i="4"/>
  <c r="Q53" i="4"/>
  <c r="Q14" i="4"/>
  <c r="Q34" i="4"/>
  <c r="Q35" i="4"/>
  <c r="Q54" i="4"/>
  <c r="Q15" i="4"/>
  <c r="Q55" i="4"/>
  <c r="Q56" i="4"/>
  <c r="Q36" i="4"/>
  <c r="Q37" i="4"/>
  <c r="Q3" i="4"/>
  <c r="Q70" i="4"/>
  <c r="Q57" i="4"/>
  <c r="Q4" i="4"/>
  <c r="Q16" i="4"/>
  <c r="Q5" i="4"/>
  <c r="Q17" i="4"/>
  <c r="Q58" i="4"/>
  <c r="Q59" i="4"/>
  <c r="Q38" i="4"/>
  <c r="Q60" i="4"/>
  <c r="Q39" i="4"/>
  <c r="Q61" i="4"/>
  <c r="Q40" i="4"/>
  <c r="Q62" i="4"/>
  <c r="Q41" i="4"/>
  <c r="Q18" i="4"/>
  <c r="Q19" i="4"/>
  <c r="Q6" i="4"/>
  <c r="Q63" i="4"/>
  <c r="Q20" i="4"/>
  <c r="Q21" i="4"/>
  <c r="Q7" i="4"/>
  <c r="Q64" i="4"/>
  <c r="Q65" i="4"/>
  <c r="Q66" i="4"/>
  <c r="Q67" i="4"/>
  <c r="Q42" i="4"/>
  <c r="Q68" i="4"/>
  <c r="Q22" i="4"/>
  <c r="R23" i="4"/>
  <c r="R43" i="4"/>
  <c r="R8" i="4"/>
  <c r="R9" i="4"/>
  <c r="R2" i="4"/>
  <c r="R10" i="4"/>
  <c r="R44" i="4"/>
  <c r="R45" i="4"/>
  <c r="R46" i="4"/>
  <c r="R47" i="4"/>
  <c r="R24" i="4"/>
  <c r="R11" i="4"/>
  <c r="R25" i="4"/>
  <c r="R26" i="4"/>
  <c r="R27" i="4"/>
  <c r="R48" i="4"/>
  <c r="R69" i="4"/>
  <c r="R28" i="4"/>
  <c r="R29" i="4"/>
  <c r="R30" i="4"/>
  <c r="R49" i="4"/>
  <c r="R50" i="4"/>
  <c r="R12" i="4"/>
  <c r="R13" i="4"/>
  <c r="R31" i="4"/>
  <c r="R51" i="4"/>
  <c r="R52" i="4"/>
  <c r="R32" i="4"/>
  <c r="R33" i="4"/>
  <c r="R53" i="4"/>
  <c r="R14" i="4"/>
  <c r="R34" i="4"/>
  <c r="R35" i="4"/>
  <c r="R54" i="4"/>
  <c r="R15" i="4"/>
  <c r="R55" i="4"/>
  <c r="R56" i="4"/>
  <c r="R36" i="4"/>
  <c r="R37" i="4"/>
  <c r="R3" i="4"/>
  <c r="R70" i="4"/>
  <c r="R57" i="4"/>
  <c r="R4" i="4"/>
  <c r="R16" i="4"/>
  <c r="R5" i="4"/>
  <c r="R17" i="4"/>
  <c r="R58" i="4"/>
  <c r="R59" i="4"/>
  <c r="R38" i="4"/>
  <c r="R60" i="4"/>
  <c r="R39" i="4"/>
  <c r="R61" i="4"/>
  <c r="R40" i="4"/>
  <c r="R62" i="4"/>
  <c r="R41" i="4"/>
  <c r="R18" i="4"/>
  <c r="R19" i="4"/>
  <c r="R6" i="4"/>
  <c r="R63" i="4"/>
  <c r="R20" i="4"/>
  <c r="R21" i="4"/>
  <c r="R7" i="4"/>
  <c r="R64" i="4"/>
  <c r="R65" i="4"/>
  <c r="R66" i="4"/>
  <c r="R67" i="4"/>
  <c r="R42" i="4"/>
  <c r="R68" i="4"/>
  <c r="R22" i="4"/>
  <c r="S23" i="4"/>
  <c r="S43" i="4"/>
  <c r="S8" i="4"/>
  <c r="S9" i="4"/>
  <c r="S2" i="4"/>
  <c r="S10" i="4"/>
  <c r="S44" i="4"/>
  <c r="S45" i="4"/>
  <c r="S46" i="4"/>
  <c r="S47" i="4"/>
  <c r="S24" i="4"/>
  <c r="S11" i="4"/>
  <c r="S25" i="4"/>
  <c r="S26" i="4"/>
  <c r="S27" i="4"/>
  <c r="S48" i="4"/>
  <c r="S69" i="4"/>
  <c r="S28" i="4"/>
  <c r="S29" i="4"/>
  <c r="S30" i="4"/>
  <c r="S49" i="4"/>
  <c r="S50" i="4"/>
  <c r="S12" i="4"/>
  <c r="S13" i="4"/>
  <c r="S31" i="4"/>
  <c r="S51" i="4"/>
  <c r="S52" i="4"/>
  <c r="S32" i="4"/>
  <c r="S33" i="4"/>
  <c r="S53" i="4"/>
  <c r="S14" i="4"/>
  <c r="S34" i="4"/>
  <c r="S35" i="4"/>
  <c r="S54" i="4"/>
  <c r="S15" i="4"/>
  <c r="S55" i="4"/>
  <c r="S56" i="4"/>
  <c r="S36" i="4"/>
  <c r="S37" i="4"/>
  <c r="S3" i="4"/>
  <c r="S70" i="4"/>
  <c r="S57" i="4"/>
  <c r="S4" i="4"/>
  <c r="S16" i="4"/>
  <c r="S5" i="4"/>
  <c r="S17" i="4"/>
  <c r="S58" i="4"/>
  <c r="S59" i="4"/>
  <c r="S38" i="4"/>
  <c r="S60" i="4"/>
  <c r="S39" i="4"/>
  <c r="S61" i="4"/>
  <c r="S40" i="4"/>
  <c r="S62" i="4"/>
  <c r="S41" i="4"/>
  <c r="S18" i="4"/>
  <c r="S19" i="4"/>
  <c r="S6" i="4"/>
  <c r="S63" i="4"/>
  <c r="S20" i="4"/>
  <c r="S21" i="4"/>
  <c r="S7" i="4"/>
  <c r="S64" i="4"/>
  <c r="S65" i="4"/>
  <c r="S66" i="4"/>
  <c r="S67" i="4"/>
  <c r="S42" i="4"/>
  <c r="S68" i="4"/>
  <c r="S22" i="4"/>
  <c r="T23" i="4"/>
  <c r="T8" i="4"/>
  <c r="T9" i="4"/>
  <c r="T49" i="4"/>
  <c r="T52" i="4"/>
  <c r="T5" i="4"/>
  <c r="N2" i="3"/>
  <c r="N50" i="3"/>
  <c r="N45" i="3"/>
  <c r="N13" i="3"/>
  <c r="O36" i="3"/>
  <c r="O50" i="3"/>
  <c r="O7" i="3"/>
  <c r="O30" i="3"/>
  <c r="O33" i="3"/>
  <c r="O11" i="3"/>
  <c r="O23" i="3"/>
  <c r="P2" i="3"/>
  <c r="P27" i="3"/>
  <c r="P4" i="3"/>
  <c r="P5" i="3"/>
  <c r="P32" i="3"/>
  <c r="P33" i="3"/>
  <c r="P10" i="3"/>
  <c r="P11" i="3"/>
  <c r="P13" i="3"/>
  <c r="Q36" i="3"/>
  <c r="Q2" i="3"/>
  <c r="Q25" i="3"/>
  <c r="Q37" i="3"/>
  <c r="Q48" i="3"/>
  <c r="Q49" i="3"/>
  <c r="Q38" i="3"/>
  <c r="Q50" i="3"/>
  <c r="Q3" i="3"/>
  <c r="Q51" i="3"/>
  <c r="Q26" i="3"/>
  <c r="Q39" i="3"/>
  <c r="Q27" i="3"/>
  <c r="Q4" i="3"/>
  <c r="Q16" i="3"/>
  <c r="Q28" i="3"/>
  <c r="Q40" i="3"/>
  <c r="Q5" i="3"/>
  <c r="Q17" i="3"/>
  <c r="Q6" i="3"/>
  <c r="Q41" i="3"/>
  <c r="Q42" i="3"/>
  <c r="Q7" i="3"/>
  <c r="Q52" i="3"/>
  <c r="Q43" i="3"/>
  <c r="Q29" i="3"/>
  <c r="Q30" i="3"/>
  <c r="Q31" i="3"/>
  <c r="Q18" i="3"/>
  <c r="Q19" i="3"/>
  <c r="Q53" i="3"/>
  <c r="Q44" i="3"/>
  <c r="Q20" i="3"/>
  <c r="Q54" i="3"/>
  <c r="Q32" i="3"/>
  <c r="Q8" i="3"/>
  <c r="Q33" i="3"/>
  <c r="Q9" i="3"/>
  <c r="Q21" i="3"/>
  <c r="Q22" i="3"/>
  <c r="Q10" i="3"/>
  <c r="Q11" i="3"/>
  <c r="Q23" i="3"/>
  <c r="Q55" i="3"/>
  <c r="Q34" i="3"/>
  <c r="Q35" i="3"/>
  <c r="Q12" i="3"/>
  <c r="Q45" i="3"/>
  <c r="Q24" i="3"/>
  <c r="Q56" i="3"/>
  <c r="Q46" i="3"/>
  <c r="Q13" i="3"/>
  <c r="Q14" i="3"/>
  <c r="Q15" i="3"/>
  <c r="Q47" i="3"/>
  <c r="R36" i="3"/>
  <c r="R2" i="3"/>
  <c r="R25" i="3"/>
  <c r="R37" i="3"/>
  <c r="R48" i="3"/>
  <c r="R49" i="3"/>
  <c r="R38" i="3"/>
  <c r="R50" i="3"/>
  <c r="R3" i="3"/>
  <c r="R51" i="3"/>
  <c r="R26" i="3"/>
  <c r="R39" i="3"/>
  <c r="R27" i="3"/>
  <c r="R4" i="3"/>
  <c r="R16" i="3"/>
  <c r="R28" i="3"/>
  <c r="R40" i="3"/>
  <c r="R5" i="3"/>
  <c r="R17" i="3"/>
  <c r="R6" i="3"/>
  <c r="R41" i="3"/>
  <c r="R42" i="3"/>
  <c r="R7" i="3"/>
  <c r="R52" i="3"/>
  <c r="R43" i="3"/>
  <c r="R29" i="3"/>
  <c r="R30" i="3"/>
  <c r="R31" i="3"/>
  <c r="R18" i="3"/>
  <c r="R19" i="3"/>
  <c r="R53" i="3"/>
  <c r="R44" i="3"/>
  <c r="R20" i="3"/>
  <c r="R54" i="3"/>
  <c r="R32" i="3"/>
  <c r="R8" i="3"/>
  <c r="R33" i="3"/>
  <c r="R9" i="3"/>
  <c r="R21" i="3"/>
  <c r="R22" i="3"/>
  <c r="R10" i="3"/>
  <c r="R11" i="3"/>
  <c r="R23" i="3"/>
  <c r="R55" i="3"/>
  <c r="R34" i="3"/>
  <c r="R35" i="3"/>
  <c r="R12" i="3"/>
  <c r="R45" i="3"/>
  <c r="R24" i="3"/>
  <c r="R56" i="3"/>
  <c r="R46" i="3"/>
  <c r="R13" i="3"/>
  <c r="R14" i="3"/>
  <c r="R15" i="3"/>
  <c r="R47" i="3"/>
  <c r="S36" i="3"/>
  <c r="S2" i="3"/>
  <c r="S25" i="3"/>
  <c r="S37" i="3"/>
  <c r="S48" i="3"/>
  <c r="S49" i="3"/>
  <c r="S38" i="3"/>
  <c r="S50" i="3"/>
  <c r="S3" i="3"/>
  <c r="S51" i="3"/>
  <c r="S26" i="3"/>
  <c r="S39" i="3"/>
  <c r="S27" i="3"/>
  <c r="S4" i="3"/>
  <c r="S16" i="3"/>
  <c r="S28" i="3"/>
  <c r="S40" i="3"/>
  <c r="S5" i="3"/>
  <c r="S17" i="3"/>
  <c r="S6" i="3"/>
  <c r="S41" i="3"/>
  <c r="S42" i="3"/>
  <c r="S7" i="3"/>
  <c r="S52" i="3"/>
  <c r="S43" i="3"/>
  <c r="S29" i="3"/>
  <c r="S30" i="3"/>
  <c r="S31" i="3"/>
  <c r="S18" i="3"/>
  <c r="S19" i="3"/>
  <c r="S53" i="3"/>
  <c r="S44" i="3"/>
  <c r="S20" i="3"/>
  <c r="S54" i="3"/>
  <c r="S32" i="3"/>
  <c r="S8" i="3"/>
  <c r="S33" i="3"/>
  <c r="S9" i="3"/>
  <c r="S21" i="3"/>
  <c r="S22" i="3"/>
  <c r="S10" i="3"/>
  <c r="S11" i="3"/>
  <c r="S23" i="3"/>
  <c r="S55" i="3"/>
  <c r="S34" i="3"/>
  <c r="S35" i="3"/>
  <c r="S12" i="3"/>
  <c r="S45" i="3"/>
  <c r="S24" i="3"/>
  <c r="S56" i="3"/>
  <c r="S46" i="3"/>
  <c r="S13" i="3"/>
  <c r="S14" i="3"/>
  <c r="S15" i="3"/>
  <c r="S47" i="3"/>
  <c r="T2" i="3"/>
  <c r="T3" i="3"/>
  <c r="T5" i="3"/>
  <c r="T6" i="3"/>
  <c r="T7" i="3"/>
  <c r="T52" i="3"/>
  <c r="T43" i="3"/>
  <c r="T23" i="3"/>
  <c r="N44" i="2"/>
  <c r="N45" i="2"/>
  <c r="N46" i="2"/>
  <c r="N39" i="2"/>
  <c r="O42" i="2"/>
  <c r="O44" i="2"/>
  <c r="O45" i="2"/>
  <c r="O46" i="2"/>
  <c r="O22" i="2"/>
  <c r="O23" i="2"/>
  <c r="O24" i="2"/>
  <c r="O48" i="2"/>
  <c r="O40" i="2"/>
  <c r="O26" i="2"/>
  <c r="O27" i="2"/>
  <c r="O28" i="2"/>
  <c r="P44" i="2"/>
  <c r="P45" i="2"/>
  <c r="P46" i="2"/>
  <c r="P24" i="2"/>
  <c r="P39" i="2"/>
  <c r="P8" i="2"/>
  <c r="Q41" i="2"/>
  <c r="Q32" i="2"/>
  <c r="Q13" i="2"/>
  <c r="Q51" i="2"/>
  <c r="Q33" i="2"/>
  <c r="Q34" i="2"/>
  <c r="Q35" i="2"/>
  <c r="Q42" i="2"/>
  <c r="Q43" i="2"/>
  <c r="Q44" i="2"/>
  <c r="Q14" i="2"/>
  <c r="Q15" i="2"/>
  <c r="Q16" i="2"/>
  <c r="Q2" i="2"/>
  <c r="Q45" i="2"/>
  <c r="Q46" i="2"/>
  <c r="Q47" i="2"/>
  <c r="Q17" i="2"/>
  <c r="Q18" i="2"/>
  <c r="Q36" i="2"/>
  <c r="Q37" i="2"/>
  <c r="Q52" i="2"/>
  <c r="Q53" i="2"/>
  <c r="Q3" i="2"/>
  <c r="Q19" i="2"/>
  <c r="Q20" i="2"/>
  <c r="Q21" i="2"/>
  <c r="Q22" i="2"/>
  <c r="Q23" i="2"/>
  <c r="Q24" i="2"/>
  <c r="Q25" i="2"/>
  <c r="Q48" i="2"/>
  <c r="Q49" i="2"/>
  <c r="Q50" i="2"/>
  <c r="Q38" i="2"/>
  <c r="Q4" i="2"/>
  <c r="Q39" i="2"/>
  <c r="Q5" i="2"/>
  <c r="Q6" i="2"/>
  <c r="Q7" i="2"/>
  <c r="Q8" i="2"/>
  <c r="Q54" i="2"/>
  <c r="Q9" i="2"/>
  <c r="Q10" i="2"/>
  <c r="Q11" i="2"/>
  <c r="Q12" i="2"/>
  <c r="Q55" i="2"/>
  <c r="Q40" i="2"/>
  <c r="Q26" i="2"/>
  <c r="Q27" i="2"/>
  <c r="Q28" i="2"/>
  <c r="Q29" i="2"/>
  <c r="Q30" i="2"/>
  <c r="Q31" i="2"/>
  <c r="R41" i="2"/>
  <c r="R32" i="2"/>
  <c r="R13" i="2"/>
  <c r="R51" i="2"/>
  <c r="R33" i="2"/>
  <c r="R34" i="2"/>
  <c r="R35" i="2"/>
  <c r="R42" i="2"/>
  <c r="R43" i="2"/>
  <c r="R44" i="2"/>
  <c r="R14" i="2"/>
  <c r="R15" i="2"/>
  <c r="R16" i="2"/>
  <c r="R2" i="2"/>
  <c r="R45" i="2"/>
  <c r="R46" i="2"/>
  <c r="R47" i="2"/>
  <c r="R17" i="2"/>
  <c r="R18" i="2"/>
  <c r="R36" i="2"/>
  <c r="R37" i="2"/>
  <c r="R52" i="2"/>
  <c r="R53" i="2"/>
  <c r="R3" i="2"/>
  <c r="R19" i="2"/>
  <c r="R20" i="2"/>
  <c r="R21" i="2"/>
  <c r="R22" i="2"/>
  <c r="R23" i="2"/>
  <c r="R24" i="2"/>
  <c r="R25" i="2"/>
  <c r="R48" i="2"/>
  <c r="R49" i="2"/>
  <c r="R50" i="2"/>
  <c r="R38" i="2"/>
  <c r="R4" i="2"/>
  <c r="R39" i="2"/>
  <c r="R5" i="2"/>
  <c r="R6" i="2"/>
  <c r="R7" i="2"/>
  <c r="R8" i="2"/>
  <c r="R54" i="2"/>
  <c r="R9" i="2"/>
  <c r="R10" i="2"/>
  <c r="R11" i="2"/>
  <c r="R12" i="2"/>
  <c r="R55" i="2"/>
  <c r="R40" i="2"/>
  <c r="R26" i="2"/>
  <c r="R27" i="2"/>
  <c r="R28" i="2"/>
  <c r="R29" i="2"/>
  <c r="R30" i="2"/>
  <c r="R31" i="2"/>
  <c r="S41" i="2"/>
  <c r="S32" i="2"/>
  <c r="S13" i="2"/>
  <c r="S51" i="2"/>
  <c r="S33" i="2"/>
  <c r="S34" i="2"/>
  <c r="S35" i="2"/>
  <c r="S42" i="2"/>
  <c r="S43" i="2"/>
  <c r="S44" i="2"/>
  <c r="S14" i="2"/>
  <c r="S15" i="2"/>
  <c r="S16" i="2"/>
  <c r="S2" i="2"/>
  <c r="S45" i="2"/>
  <c r="S46" i="2"/>
  <c r="S47" i="2"/>
  <c r="S17" i="2"/>
  <c r="S18" i="2"/>
  <c r="S36" i="2"/>
  <c r="S37" i="2"/>
  <c r="S52" i="2"/>
  <c r="S53" i="2"/>
  <c r="S3" i="2"/>
  <c r="S19" i="2"/>
  <c r="S20" i="2"/>
  <c r="S21" i="2"/>
  <c r="S22" i="2"/>
  <c r="S23" i="2"/>
  <c r="S24" i="2"/>
  <c r="S25" i="2"/>
  <c r="S48" i="2"/>
  <c r="S49" i="2"/>
  <c r="S50" i="2"/>
  <c r="S38" i="2"/>
  <c r="S4" i="2"/>
  <c r="S39" i="2"/>
  <c r="S5" i="2"/>
  <c r="S6" i="2"/>
  <c r="S7" i="2"/>
  <c r="S8" i="2"/>
  <c r="S54" i="2"/>
  <c r="S9" i="2"/>
  <c r="S10" i="2"/>
  <c r="S11" i="2"/>
  <c r="S12" i="2"/>
  <c r="S55" i="2"/>
  <c r="S40" i="2"/>
  <c r="S26" i="2"/>
  <c r="S27" i="2"/>
  <c r="S28" i="2"/>
  <c r="S29" i="2"/>
  <c r="S30" i="2"/>
  <c r="S31" i="2"/>
  <c r="T43" i="2"/>
  <c r="T20" i="2"/>
  <c r="T22" i="2"/>
  <c r="T23" i="2"/>
  <c r="T39" i="2"/>
  <c r="C1" i="12" a="1"/>
  <c r="C1" i="12" s="1"/>
  <c r="C1" i="11" a="1"/>
  <c r="C1" i="11" s="1"/>
  <c r="C1" i="9" a="1"/>
  <c r="C1" i="9" s="1"/>
  <c r="O53" i="3" l="1"/>
  <c r="I53" i="3"/>
  <c r="P53" i="3" s="1"/>
  <c r="M53" i="3"/>
  <c r="T53" i="3" s="1"/>
  <c r="H4" i="3"/>
  <c r="I28" i="3"/>
  <c r="P28" i="3" s="1"/>
  <c r="M12" i="3"/>
  <c r="T12" i="3" s="1"/>
  <c r="I64" i="4"/>
  <c r="P64" i="4" s="1"/>
  <c r="M49" i="2"/>
  <c r="T49" i="2" s="1"/>
  <c r="I29" i="3"/>
  <c r="P29" i="3" s="1"/>
  <c r="H41" i="2"/>
  <c r="N41" i="2" s="1"/>
  <c r="H4" i="2"/>
  <c r="O4" i="2" s="1"/>
  <c r="H5" i="2"/>
  <c r="O5" i="2" s="1"/>
  <c r="H51" i="3"/>
  <c r="M29" i="3"/>
  <c r="T29" i="3" s="1"/>
  <c r="H7" i="2"/>
  <c r="H47" i="2"/>
  <c r="O47" i="2" s="1"/>
  <c r="M13" i="4"/>
  <c r="T13" i="4" s="1"/>
  <c r="I47" i="2"/>
  <c r="I5" i="2"/>
  <c r="P5" i="2" s="1"/>
  <c r="I8" i="3"/>
  <c r="P8" i="3" s="1"/>
  <c r="I49" i="2"/>
  <c r="P49" i="2" s="1"/>
  <c r="H19" i="2"/>
  <c r="H21" i="2"/>
  <c r="I7" i="2"/>
  <c r="P7" i="2" s="1"/>
  <c r="I51" i="3"/>
  <c r="P51" i="3" s="1"/>
  <c r="I42" i="4"/>
  <c r="P42" i="4" s="1"/>
  <c r="N10" i="3"/>
  <c r="H13" i="4"/>
  <c r="O13" i="4" s="1"/>
  <c r="O10" i="4"/>
  <c r="M50" i="4"/>
  <c r="T50" i="4" s="1"/>
  <c r="I10" i="4"/>
  <c r="P10" i="4" s="1"/>
  <c r="I46" i="3"/>
  <c r="P46" i="3" s="1"/>
  <c r="I49" i="3"/>
  <c r="N49" i="3" s="1"/>
  <c r="M49" i="3"/>
  <c r="T49" i="3" s="1"/>
  <c r="H3" i="2"/>
  <c r="I26" i="3"/>
  <c r="P26" i="3" s="1"/>
  <c r="M10" i="4"/>
  <c r="T10" i="4" s="1"/>
  <c r="I6" i="2"/>
  <c r="P6" i="2" s="1"/>
  <c r="H26" i="3"/>
  <c r="H6" i="2"/>
  <c r="H2" i="2"/>
  <c r="H38" i="2"/>
  <c r="O38" i="2" s="1"/>
  <c r="M29" i="2"/>
  <c r="T29" i="2" s="1"/>
  <c r="I29" i="2"/>
  <c r="P29" i="2" s="1"/>
  <c r="N36" i="3"/>
  <c r="H46" i="3"/>
  <c r="M40" i="2"/>
  <c r="T40" i="2" s="1"/>
  <c r="I2" i="2"/>
  <c r="N2" i="2" s="1"/>
  <c r="M51" i="4"/>
  <c r="T51" i="4" s="1"/>
  <c r="H51" i="4"/>
  <c r="I3" i="2"/>
  <c r="P3" i="2" s="1"/>
  <c r="O41" i="3"/>
  <c r="I15" i="4"/>
  <c r="P15" i="4" s="1"/>
  <c r="H15" i="4"/>
  <c r="M15" i="4"/>
  <c r="T15" i="4" s="1"/>
  <c r="I35" i="4"/>
  <c r="P35" i="4" s="1"/>
  <c r="H35" i="4"/>
  <c r="M35" i="4"/>
  <c r="T35" i="4" s="1"/>
  <c r="I55" i="4"/>
  <c r="P55" i="4" s="1"/>
  <c r="H55" i="4"/>
  <c r="M55" i="4"/>
  <c r="T55" i="4" s="1"/>
  <c r="N49" i="4"/>
  <c r="O49" i="4"/>
  <c r="I21" i="3"/>
  <c r="P21" i="3" s="1"/>
  <c r="M21" i="3"/>
  <c r="T21" i="3" s="1"/>
  <c r="N18" i="2"/>
  <c r="O18" i="2"/>
  <c r="I14" i="4"/>
  <c r="P14" i="4" s="1"/>
  <c r="H14" i="4"/>
  <c r="N24" i="3"/>
  <c r="N19" i="2"/>
  <c r="O19" i="2"/>
  <c r="N43" i="2"/>
  <c r="P43" i="2"/>
  <c r="N20" i="2"/>
  <c r="O20" i="2"/>
  <c r="H16" i="4"/>
  <c r="M16" i="4"/>
  <c r="T16" i="4" s="1"/>
  <c r="H36" i="4"/>
  <c r="M36" i="4"/>
  <c r="T36" i="4" s="1"/>
  <c r="H56" i="4"/>
  <c r="M56" i="4"/>
  <c r="T56" i="4" s="1"/>
  <c r="O50" i="4"/>
  <c r="N50" i="4"/>
  <c r="I56" i="4"/>
  <c r="P56" i="4" s="1"/>
  <c r="N48" i="2"/>
  <c r="H17" i="4"/>
  <c r="M17" i="4"/>
  <c r="T17" i="4" s="1"/>
  <c r="H37" i="4"/>
  <c r="M37" i="4"/>
  <c r="T37" i="4" s="1"/>
  <c r="H57" i="4"/>
  <c r="M57" i="4"/>
  <c r="T57" i="4" s="1"/>
  <c r="N11" i="4"/>
  <c r="O11" i="4"/>
  <c r="I57" i="4"/>
  <c r="P57" i="4" s="1"/>
  <c r="P3" i="3"/>
  <c r="I34" i="4"/>
  <c r="P34" i="4" s="1"/>
  <c r="H34" i="4"/>
  <c r="N34" i="4" s="1"/>
  <c r="I54" i="4"/>
  <c r="P54" i="4" s="1"/>
  <c r="H54" i="4"/>
  <c r="O8" i="4"/>
  <c r="N8" i="4"/>
  <c r="N48" i="4"/>
  <c r="O48" i="4"/>
  <c r="N4" i="2"/>
  <c r="N44" i="3"/>
  <c r="P52" i="4"/>
  <c r="N29" i="2"/>
  <c r="N49" i="2"/>
  <c r="O20" i="3"/>
  <c r="N47" i="3"/>
  <c r="H18" i="4"/>
  <c r="M18" i="4"/>
  <c r="T18" i="4" s="1"/>
  <c r="H38" i="4"/>
  <c r="M38" i="4"/>
  <c r="T38" i="4" s="1"/>
  <c r="H58" i="4"/>
  <c r="M58" i="4"/>
  <c r="T58" i="4" s="1"/>
  <c r="N12" i="4"/>
  <c r="O12" i="4"/>
  <c r="I58" i="4"/>
  <c r="P58" i="4" s="1"/>
  <c r="H12" i="2"/>
  <c r="I12" i="2"/>
  <c r="P12" i="2" s="1"/>
  <c r="H21" i="3"/>
  <c r="M39" i="4"/>
  <c r="T39" i="4" s="1"/>
  <c r="H39" i="4"/>
  <c r="H11" i="2"/>
  <c r="I11" i="2"/>
  <c r="P11" i="2" s="1"/>
  <c r="N22" i="3"/>
  <c r="H60" i="4"/>
  <c r="M60" i="4"/>
  <c r="T60" i="4" s="1"/>
  <c r="I60" i="4"/>
  <c r="P60" i="4" s="1"/>
  <c r="N31" i="3"/>
  <c r="H13" i="2"/>
  <c r="I13" i="2"/>
  <c r="P13" i="2" s="1"/>
  <c r="H33" i="2"/>
  <c r="I33" i="2"/>
  <c r="P33" i="2" s="1"/>
  <c r="H53" i="2"/>
  <c r="I53" i="2"/>
  <c r="P53" i="2" s="1"/>
  <c r="N2" i="4"/>
  <c r="O42" i="4"/>
  <c r="N67" i="4"/>
  <c r="O67" i="4"/>
  <c r="H32" i="2"/>
  <c r="I32" i="2"/>
  <c r="P32" i="2" s="1"/>
  <c r="H52" i="2"/>
  <c r="I52" i="2"/>
  <c r="P52" i="2" s="1"/>
  <c r="H41" i="4"/>
  <c r="M41" i="4"/>
  <c r="T41" i="4" s="1"/>
  <c r="O6" i="3"/>
  <c r="N30" i="3"/>
  <c r="H14" i="2"/>
  <c r="I14" i="2"/>
  <c r="P14" i="2" s="1"/>
  <c r="H34" i="2"/>
  <c r="I34" i="2"/>
  <c r="P34" i="2" s="1"/>
  <c r="H54" i="2"/>
  <c r="I54" i="2"/>
  <c r="P54" i="2" s="1"/>
  <c r="O32" i="3"/>
  <c r="N32" i="3"/>
  <c r="O52" i="3"/>
  <c r="N52" i="3"/>
  <c r="N68" i="4"/>
  <c r="O68" i="4"/>
  <c r="N63" i="4"/>
  <c r="P63" i="4"/>
  <c r="H10" i="2"/>
  <c r="I10" i="2"/>
  <c r="N10" i="2" s="1"/>
  <c r="H51" i="2"/>
  <c r="I51" i="2"/>
  <c r="P51" i="2" s="1"/>
  <c r="N23" i="3"/>
  <c r="N25" i="4"/>
  <c r="H15" i="2"/>
  <c r="I15" i="2"/>
  <c r="P15" i="2" s="1"/>
  <c r="H35" i="2"/>
  <c r="I35" i="2"/>
  <c r="P35" i="2" s="1"/>
  <c r="H55" i="2"/>
  <c r="O55" i="2" s="1"/>
  <c r="I55" i="2"/>
  <c r="N28" i="2"/>
  <c r="N26" i="3"/>
  <c r="O26" i="3"/>
  <c r="N4" i="4"/>
  <c r="O4" i="4"/>
  <c r="O28" i="4"/>
  <c r="N28" i="4"/>
  <c r="N69" i="4"/>
  <c r="O69" i="4"/>
  <c r="I36" i="4"/>
  <c r="P36" i="4" s="1"/>
  <c r="M34" i="4"/>
  <c r="T34" i="4" s="1"/>
  <c r="N42" i="3"/>
  <c r="N9" i="3"/>
  <c r="O9" i="3"/>
  <c r="H20" i="4"/>
  <c r="M20" i="4"/>
  <c r="T20" i="4" s="1"/>
  <c r="H40" i="4"/>
  <c r="O40" i="4" s="1"/>
  <c r="M40" i="4"/>
  <c r="T40" i="4" s="1"/>
  <c r="H21" i="4"/>
  <c r="N21" i="4" s="1"/>
  <c r="M21" i="4"/>
  <c r="T21" i="4" s="1"/>
  <c r="I36" i="2"/>
  <c r="P36" i="2" s="1"/>
  <c r="M36" i="2"/>
  <c r="T36" i="2" s="1"/>
  <c r="O2" i="2"/>
  <c r="M10" i="2"/>
  <c r="H14" i="3"/>
  <c r="I14" i="3"/>
  <c r="P14" i="3" s="1"/>
  <c r="H34" i="3"/>
  <c r="O34" i="3" s="1"/>
  <c r="I34" i="3"/>
  <c r="P34" i="3" s="1"/>
  <c r="H54" i="3"/>
  <c r="I54" i="3"/>
  <c r="P54" i="3" s="1"/>
  <c r="N29" i="4"/>
  <c r="O29" i="4"/>
  <c r="N70" i="4"/>
  <c r="O70" i="4"/>
  <c r="I37" i="4"/>
  <c r="P37" i="4" s="1"/>
  <c r="P13" i="4"/>
  <c r="H50" i="2"/>
  <c r="I50" i="2"/>
  <c r="P50" i="2" s="1"/>
  <c r="M59" i="4"/>
  <c r="T59" i="4" s="1"/>
  <c r="H59" i="4"/>
  <c r="I59" i="4"/>
  <c r="P59" i="4" s="1"/>
  <c r="H61" i="4"/>
  <c r="M61" i="4"/>
  <c r="T61" i="4" s="1"/>
  <c r="N43" i="3"/>
  <c r="O31" i="4"/>
  <c r="I16" i="2"/>
  <c r="P16" i="2" s="1"/>
  <c r="M16" i="2"/>
  <c r="T16" i="2" s="1"/>
  <c r="H36" i="2"/>
  <c r="N47" i="4"/>
  <c r="I17" i="2"/>
  <c r="P17" i="2" s="1"/>
  <c r="M17" i="2"/>
  <c r="T17" i="2" s="1"/>
  <c r="I37" i="2"/>
  <c r="P37" i="2" s="1"/>
  <c r="M37" i="2"/>
  <c r="T37" i="2" s="1"/>
  <c r="N3" i="2"/>
  <c r="O3" i="2"/>
  <c r="H37" i="2"/>
  <c r="M11" i="2"/>
  <c r="T11" i="2" s="1"/>
  <c r="H15" i="3"/>
  <c r="I15" i="3"/>
  <c r="P15" i="3" s="1"/>
  <c r="H35" i="3"/>
  <c r="I35" i="3"/>
  <c r="P35" i="3" s="1"/>
  <c r="H55" i="3"/>
  <c r="I55" i="3"/>
  <c r="P55" i="3" s="1"/>
  <c r="N30" i="4"/>
  <c r="O30" i="4"/>
  <c r="I38" i="4"/>
  <c r="P38" i="4" s="1"/>
  <c r="M19" i="4"/>
  <c r="T19" i="4" s="1"/>
  <c r="H19" i="4"/>
  <c r="N23" i="4"/>
  <c r="P23" i="4"/>
  <c r="I39" i="4"/>
  <c r="P39" i="4" s="1"/>
  <c r="M51" i="2"/>
  <c r="T51" i="2" s="1"/>
  <c r="H17" i="3"/>
  <c r="I17" i="3"/>
  <c r="P17" i="3" s="1"/>
  <c r="M17" i="3"/>
  <c r="T17" i="3" s="1"/>
  <c r="H37" i="3"/>
  <c r="O37" i="3" s="1"/>
  <c r="I37" i="3"/>
  <c r="M37" i="3"/>
  <c r="T37" i="3" s="1"/>
  <c r="O2" i="3"/>
  <c r="N32" i="4"/>
  <c r="I40" i="4"/>
  <c r="P40" i="4" s="1"/>
  <c r="I41" i="3"/>
  <c r="P41" i="3" s="1"/>
  <c r="M41" i="3"/>
  <c r="T41" i="3" s="1"/>
  <c r="H30" i="2"/>
  <c r="I30" i="2"/>
  <c r="P30" i="2" s="1"/>
  <c r="M50" i="2"/>
  <c r="T50" i="2" s="1"/>
  <c r="N25" i="2"/>
  <c r="P25" i="2"/>
  <c r="I41" i="4"/>
  <c r="P41" i="4" s="1"/>
  <c r="O49" i="2"/>
  <c r="N9" i="2"/>
  <c r="O9" i="4"/>
  <c r="N40" i="2"/>
  <c r="M52" i="2"/>
  <c r="T52" i="2" s="1"/>
  <c r="H38" i="3"/>
  <c r="I38" i="3"/>
  <c r="P38" i="3" s="1"/>
  <c r="M38" i="3"/>
  <c r="T38" i="3" s="1"/>
  <c r="N3" i="3"/>
  <c r="O3" i="3"/>
  <c r="O41" i="2"/>
  <c r="N26" i="2"/>
  <c r="P26" i="2"/>
  <c r="M15" i="2"/>
  <c r="T15" i="2" s="1"/>
  <c r="M53" i="2"/>
  <c r="T53" i="2" s="1"/>
  <c r="I19" i="3"/>
  <c r="M19" i="3"/>
  <c r="T19" i="3" s="1"/>
  <c r="I39" i="3"/>
  <c r="P39" i="3" s="1"/>
  <c r="M39" i="3"/>
  <c r="T39" i="3" s="1"/>
  <c r="N4" i="3"/>
  <c r="O4" i="3"/>
  <c r="H39" i="3"/>
  <c r="M34" i="3"/>
  <c r="T34" i="3" s="1"/>
  <c r="H31" i="2"/>
  <c r="I31" i="2"/>
  <c r="P31" i="2" s="1"/>
  <c r="M12" i="2"/>
  <c r="T12" i="2" s="1"/>
  <c r="H16" i="3"/>
  <c r="I16" i="3"/>
  <c r="P16" i="3" s="1"/>
  <c r="H56" i="3"/>
  <c r="I56" i="3"/>
  <c r="P56" i="3" s="1"/>
  <c r="H18" i="3"/>
  <c r="I18" i="3"/>
  <c r="P18" i="3" s="1"/>
  <c r="M18" i="3"/>
  <c r="T18" i="3" s="1"/>
  <c r="N25" i="3"/>
  <c r="T2" i="2"/>
  <c r="N42" i="2"/>
  <c r="M54" i="2"/>
  <c r="T54" i="2" s="1"/>
  <c r="I20" i="3"/>
  <c r="P20" i="3" s="1"/>
  <c r="M20" i="3"/>
  <c r="T20" i="3" s="1"/>
  <c r="I40" i="3"/>
  <c r="P40" i="3" s="1"/>
  <c r="M40" i="3"/>
  <c r="T40" i="3" s="1"/>
  <c r="O5" i="3"/>
  <c r="N5" i="3"/>
  <c r="H40" i="3"/>
  <c r="M35" i="3"/>
  <c r="T35" i="3" s="1"/>
  <c r="N5" i="4"/>
  <c r="O5" i="4"/>
  <c r="N43" i="4"/>
  <c r="P43" i="4"/>
  <c r="N24" i="2"/>
  <c r="N53" i="4"/>
  <c r="H8" i="3"/>
  <c r="H28" i="3"/>
  <c r="H48" i="3"/>
  <c r="I5" i="4"/>
  <c r="P5" i="4" s="1"/>
  <c r="I25" i="4"/>
  <c r="P25" i="4" s="1"/>
  <c r="I45" i="4"/>
  <c r="I65" i="4"/>
  <c r="N33" i="4"/>
  <c r="M18" i="2"/>
  <c r="T18" i="2" s="1"/>
  <c r="M38" i="2"/>
  <c r="T38" i="2" s="1"/>
  <c r="I6" i="4"/>
  <c r="P6" i="4" s="1"/>
  <c r="I26" i="4"/>
  <c r="P26" i="4" s="1"/>
  <c r="I46" i="4"/>
  <c r="P46" i="4" s="1"/>
  <c r="I66" i="4"/>
  <c r="P66" i="4" s="1"/>
  <c r="M21" i="2"/>
  <c r="T21" i="2" s="1"/>
  <c r="M41" i="2"/>
  <c r="T41" i="2" s="1"/>
  <c r="M22" i="3"/>
  <c r="T22" i="3" s="1"/>
  <c r="M42" i="3"/>
  <c r="T42" i="3" s="1"/>
  <c r="O47" i="3"/>
  <c r="M2" i="4"/>
  <c r="M22" i="4"/>
  <c r="T22" i="4" s="1"/>
  <c r="M42" i="4"/>
  <c r="T42" i="4" s="1"/>
  <c r="M62" i="4"/>
  <c r="T62" i="4" s="1"/>
  <c r="M3" i="4"/>
  <c r="T3" i="4" s="1"/>
  <c r="M63" i="4"/>
  <c r="T63" i="4" s="1"/>
  <c r="M4" i="4"/>
  <c r="T4" i="4" s="1"/>
  <c r="M24" i="4"/>
  <c r="T24" i="4" s="1"/>
  <c r="M44" i="4"/>
  <c r="T44" i="4" s="1"/>
  <c r="M64" i="4"/>
  <c r="T64" i="4" s="1"/>
  <c r="N27" i="3"/>
  <c r="N66" i="4"/>
  <c r="P22" i="4"/>
  <c r="N62" i="4"/>
  <c r="N40" i="4"/>
  <c r="O38" i="4"/>
  <c r="O34" i="4"/>
  <c r="O26" i="4"/>
  <c r="O2" i="4"/>
  <c r="P49" i="3"/>
  <c r="N12" i="3"/>
  <c r="P10" i="2"/>
  <c r="W70" i="4"/>
  <c r="X51" i="4"/>
  <c r="W3" i="4"/>
  <c r="X6" i="4"/>
  <c r="X2" i="4"/>
  <c r="X5" i="4"/>
  <c r="X16" i="4"/>
  <c r="W20" i="4"/>
  <c r="Y66" i="4"/>
  <c r="W18" i="4"/>
  <c r="W15" i="4"/>
  <c r="Y28" i="4"/>
  <c r="X52" i="4"/>
  <c r="W52" i="4"/>
  <c r="Y43" i="4"/>
  <c r="Y67" i="4"/>
  <c r="Y64" i="4"/>
  <c r="Y55" i="4"/>
  <c r="Y47" i="4"/>
  <c r="Y44" i="4"/>
  <c r="Y52" i="4"/>
  <c r="Y45" i="4"/>
  <c r="Y59" i="4"/>
  <c r="Y68" i="4"/>
  <c r="Y53" i="4"/>
  <c r="Y54" i="4"/>
  <c r="Y61" i="4"/>
  <c r="Y62" i="4"/>
  <c r="Y63" i="4"/>
  <c r="Y49" i="4"/>
  <c r="Y16" i="4"/>
  <c r="Y70" i="4"/>
  <c r="X46" i="4"/>
  <c r="X53" i="4"/>
  <c r="Y21" i="4"/>
  <c r="Y38" i="4"/>
  <c r="Y40" i="4"/>
  <c r="Y26" i="4"/>
  <c r="Y29" i="4"/>
  <c r="Y37" i="4"/>
  <c r="Y30" i="4"/>
  <c r="Y23" i="4"/>
  <c r="X69" i="4"/>
  <c r="X70" i="4"/>
  <c r="X14" i="4"/>
  <c r="X11" i="4"/>
  <c r="X10" i="4"/>
  <c r="X15" i="4"/>
  <c r="X18" i="4"/>
  <c r="X19" i="4"/>
  <c r="X20" i="4"/>
  <c r="X12" i="4"/>
  <c r="X17" i="4"/>
  <c r="X21" i="4"/>
  <c r="X9" i="4"/>
  <c r="X8" i="4"/>
  <c r="X13" i="4"/>
  <c r="X22" i="4"/>
  <c r="W50" i="4"/>
  <c r="W57" i="4"/>
  <c r="W6" i="4"/>
  <c r="W19" i="4"/>
  <c r="W69" i="4"/>
  <c r="W11" i="4"/>
  <c r="X7" i="4"/>
  <c r="W14" i="4"/>
  <c r="X4" i="4"/>
  <c r="W67" i="4"/>
  <c r="X3" i="4"/>
  <c r="W22" i="4"/>
  <c r="W17" i="4"/>
  <c r="W10" i="4"/>
  <c r="W5" i="4"/>
  <c r="W2" i="4"/>
  <c r="W16" i="4"/>
  <c r="W13" i="4"/>
  <c r="W9" i="4"/>
  <c r="W4" i="4"/>
  <c r="W12" i="4"/>
  <c r="W8" i="4"/>
  <c r="W7" i="4"/>
  <c r="W21" i="4"/>
  <c r="Y29" i="3"/>
  <c r="W26" i="3"/>
  <c r="W20" i="3"/>
  <c r="X29" i="3"/>
  <c r="Y49" i="3"/>
  <c r="Y28" i="3"/>
  <c r="Y26" i="3"/>
  <c r="Y33" i="3"/>
  <c r="Y31" i="3"/>
  <c r="Y25" i="3"/>
  <c r="Y32" i="3"/>
  <c r="Y34" i="3"/>
  <c r="Y35" i="3"/>
  <c r="Y30" i="3"/>
  <c r="Y27" i="3"/>
  <c r="Y20" i="3"/>
  <c r="Y17" i="3"/>
  <c r="Y21" i="3"/>
  <c r="Y22" i="3"/>
  <c r="Y23" i="3"/>
  <c r="Y18" i="3"/>
  <c r="Y24" i="3"/>
  <c r="Y19" i="3"/>
  <c r="Y16" i="3"/>
  <c r="W29" i="3"/>
  <c r="W35" i="3"/>
  <c r="W30" i="3"/>
  <c r="W31" i="3"/>
  <c r="W25" i="3"/>
  <c r="W34" i="3"/>
  <c r="W27" i="3"/>
  <c r="W32" i="3"/>
  <c r="Y40" i="3"/>
  <c r="Y46" i="3"/>
  <c r="Y36" i="3"/>
  <c r="Y41" i="3"/>
  <c r="Y42" i="3"/>
  <c r="Y37" i="3"/>
  <c r="Y45" i="3"/>
  <c r="Y43" i="3"/>
  <c r="Y38" i="3"/>
  <c r="Y47" i="3"/>
  <c r="Y39" i="3"/>
  <c r="Y44" i="3"/>
  <c r="W18" i="3"/>
  <c r="W24" i="3"/>
  <c r="W19" i="3"/>
  <c r="W23" i="3"/>
  <c r="W17" i="3"/>
  <c r="W21" i="3"/>
  <c r="W22" i="3"/>
  <c r="X26" i="3"/>
  <c r="X27" i="3"/>
  <c r="X35" i="3"/>
  <c r="X32" i="3"/>
  <c r="X28" i="3"/>
  <c r="X33" i="3"/>
  <c r="X31" i="3"/>
  <c r="X25" i="3"/>
  <c r="Y8" i="3"/>
  <c r="Y5" i="3"/>
  <c r="Y9" i="3"/>
  <c r="Y6" i="3"/>
  <c r="Y10" i="3"/>
  <c r="Y4" i="3"/>
  <c r="Y2" i="3"/>
  <c r="Y11" i="3"/>
  <c r="Y7" i="3"/>
  <c r="Y14" i="3"/>
  <c r="Y12" i="3"/>
  <c r="Y3" i="3"/>
  <c r="Y15" i="3"/>
  <c r="Y13" i="3"/>
  <c r="Y52" i="3"/>
  <c r="Y55" i="3"/>
  <c r="Y53" i="3"/>
  <c r="Y48" i="3"/>
  <c r="Y50" i="3"/>
  <c r="Y54" i="3"/>
  <c r="Y51" i="3"/>
  <c r="Y56" i="3"/>
  <c r="X22" i="3"/>
  <c r="W38" i="2"/>
  <c r="X26" i="2"/>
  <c r="X33" i="2"/>
  <c r="X48" i="2"/>
  <c r="W2" i="2"/>
  <c r="Y53" i="2"/>
  <c r="Y17" i="2"/>
  <c r="X2" i="2"/>
  <c r="W4" i="2"/>
  <c r="W5" i="2"/>
  <c r="W6" i="2"/>
  <c r="X24" i="2"/>
  <c r="X31" i="2"/>
  <c r="X17" i="2"/>
  <c r="X18" i="2"/>
  <c r="W52" i="2"/>
  <c r="W54" i="2"/>
  <c r="W53" i="2"/>
  <c r="W51" i="2"/>
  <c r="W55" i="2"/>
  <c r="X37" i="2"/>
  <c r="X35" i="2"/>
  <c r="X41" i="2"/>
  <c r="W17" i="2"/>
  <c r="W18" i="2"/>
  <c r="W25" i="2"/>
  <c r="W13" i="2"/>
  <c r="W28" i="2"/>
  <c r="W26" i="2"/>
  <c r="W19" i="2"/>
  <c r="W23" i="2"/>
  <c r="W20" i="2"/>
  <c r="W24" i="2"/>
  <c r="W21" i="2"/>
  <c r="W22" i="2"/>
  <c r="W27" i="2"/>
  <c r="W14" i="2"/>
  <c r="W15" i="2"/>
  <c r="W29" i="2"/>
  <c r="W31" i="2"/>
  <c r="W16" i="2"/>
  <c r="W30" i="2"/>
  <c r="Y28" i="2"/>
  <c r="Y35" i="2"/>
  <c r="Y40" i="2"/>
  <c r="Y37" i="2"/>
  <c r="Y38" i="2"/>
  <c r="Y39" i="2"/>
  <c r="Y32" i="2"/>
  <c r="Y36" i="2"/>
  <c r="Y33" i="2"/>
  <c r="Y34" i="2"/>
  <c r="Y2" i="2"/>
  <c r="W45" i="2"/>
  <c r="W46" i="2"/>
  <c r="W47" i="2"/>
  <c r="W41" i="2"/>
  <c r="W43" i="2"/>
  <c r="W44" i="2"/>
  <c r="W42" i="2"/>
  <c r="W48" i="2"/>
  <c r="W49" i="2"/>
  <c r="W50" i="2"/>
  <c r="X50" i="2"/>
  <c r="W40" i="2"/>
  <c r="X49" i="2"/>
  <c r="W35" i="2"/>
  <c r="W34" i="2"/>
  <c r="W33" i="2"/>
  <c r="X47" i="2"/>
  <c r="X44" i="2"/>
  <c r="X45" i="2"/>
  <c r="X43" i="2"/>
  <c r="X46" i="2"/>
  <c r="X42" i="2"/>
  <c r="W32" i="2"/>
  <c r="W37" i="2"/>
  <c r="W36" i="2"/>
  <c r="W39" i="2"/>
  <c r="A2" i="15" a="1"/>
  <c r="A2" i="15" s="1"/>
  <c r="N47" i="2" l="1"/>
  <c r="P47" i="2"/>
  <c r="O7" i="2"/>
  <c r="N7" i="2"/>
  <c r="N13" i="4"/>
  <c r="O51" i="3"/>
  <c r="N51" i="3"/>
  <c r="N29" i="3"/>
  <c r="N64" i="4"/>
  <c r="G25" i="1" a="1"/>
  <c r="G25" i="1" s="1"/>
  <c r="N21" i="2"/>
  <c r="O21" i="2"/>
  <c r="N5" i="2"/>
  <c r="N42" i="4"/>
  <c r="N53" i="3"/>
  <c r="O6" i="2"/>
  <c r="N6" i="2"/>
  <c r="N10" i="4"/>
  <c r="P2" i="2"/>
  <c r="O21" i="4"/>
  <c r="B21" i="1" a="1"/>
  <c r="B21" i="1" s="1"/>
  <c r="B14" i="1" a="1"/>
  <c r="B14" i="1" s="1"/>
  <c r="N38" i="2"/>
  <c r="B13" i="1" a="1"/>
  <c r="B13" i="1" s="1"/>
  <c r="R14" i="1" a="1"/>
  <c r="R14" i="1" s="1"/>
  <c r="F12" i="1" a="1"/>
  <c r="F12" i="1" s="1"/>
  <c r="N46" i="4"/>
  <c r="O46" i="3"/>
  <c r="N46" i="3"/>
  <c r="C21" i="1" a="1"/>
  <c r="C21" i="1" s="1"/>
  <c r="N51" i="4"/>
  <c r="O51" i="4"/>
  <c r="R6" i="1" a="1"/>
  <c r="R6" i="1" s="1"/>
  <c r="C3" i="1" a="1"/>
  <c r="C3" i="1" s="1"/>
  <c r="C5" i="1" a="1"/>
  <c r="C5" i="1" s="1"/>
  <c r="N34" i="2"/>
  <c r="O34" i="2"/>
  <c r="G3" i="1" a="1"/>
  <c r="G3" i="1" s="1"/>
  <c r="F24" i="1" a="1"/>
  <c r="F24" i="1" s="1"/>
  <c r="N14" i="2"/>
  <c r="O14" i="2"/>
  <c r="G16" i="1" a="1"/>
  <c r="G16" i="1" s="1"/>
  <c r="N12" i="2"/>
  <c r="O12" i="2"/>
  <c r="G4" i="1" a="1"/>
  <c r="G4" i="1" s="1"/>
  <c r="G13" i="1" a="1"/>
  <c r="G13" i="1" s="1"/>
  <c r="O36" i="4"/>
  <c r="N36" i="4"/>
  <c r="F15" i="1" a="1"/>
  <c r="F15" i="1" s="1"/>
  <c r="R13" i="1" a="1"/>
  <c r="R13" i="1" s="1"/>
  <c r="O55" i="4"/>
  <c r="N55" i="4"/>
  <c r="G15" i="1" a="1"/>
  <c r="G15" i="1" s="1"/>
  <c r="F16" i="1" a="1"/>
  <c r="F16" i="1" s="1"/>
  <c r="N16" i="3"/>
  <c r="O16" i="3"/>
  <c r="N30" i="2"/>
  <c r="O30" i="2"/>
  <c r="B6" i="1" a="1"/>
  <c r="B6" i="1" s="1"/>
  <c r="N51" i="2"/>
  <c r="O51" i="2"/>
  <c r="B5" i="1" a="1"/>
  <c r="B5" i="1" s="1"/>
  <c r="G7" i="1" a="1"/>
  <c r="G7" i="1" s="1"/>
  <c r="G6" i="1" a="1"/>
  <c r="G6" i="1" s="1"/>
  <c r="N33" i="2"/>
  <c r="O33" i="2"/>
  <c r="N65" i="4"/>
  <c r="P65" i="4"/>
  <c r="N58" i="4"/>
  <c r="O58" i="4"/>
  <c r="N57" i="4"/>
  <c r="O57" i="4"/>
  <c r="O35" i="4"/>
  <c r="N35" i="4"/>
  <c r="N17" i="3"/>
  <c r="O17" i="3"/>
  <c r="O61" i="4"/>
  <c r="N61" i="4"/>
  <c r="N41" i="4"/>
  <c r="O41" i="4"/>
  <c r="N31" i="2"/>
  <c r="O31" i="2"/>
  <c r="O38" i="3"/>
  <c r="N38" i="3"/>
  <c r="O15" i="3"/>
  <c r="N15" i="3"/>
  <c r="C4" i="1" a="1"/>
  <c r="C4" i="1" s="1"/>
  <c r="F21" i="1" a="1"/>
  <c r="F21" i="1" s="1"/>
  <c r="N13" i="2"/>
  <c r="O13" i="2"/>
  <c r="N21" i="3"/>
  <c r="O21" i="3"/>
  <c r="N34" i="3"/>
  <c r="B7" i="1" a="1"/>
  <c r="B7" i="1" s="1"/>
  <c r="F13" i="1" a="1"/>
  <c r="F13" i="1" s="1"/>
  <c r="N50" i="2"/>
  <c r="O50" i="2"/>
  <c r="N52" i="2"/>
  <c r="O52" i="2"/>
  <c r="N38" i="4"/>
  <c r="O37" i="4"/>
  <c r="N37" i="4"/>
  <c r="O56" i="3"/>
  <c r="N56" i="3"/>
  <c r="O14" i="3"/>
  <c r="N14" i="3"/>
  <c r="O16" i="4"/>
  <c r="N16" i="4"/>
  <c r="O35" i="3"/>
  <c r="N35" i="3"/>
  <c r="N59" i="4"/>
  <c r="O59" i="4"/>
  <c r="N45" i="4"/>
  <c r="P45" i="4"/>
  <c r="O10" i="2"/>
  <c r="B4" i="1" a="1"/>
  <c r="B4" i="1" s="1"/>
  <c r="B3" i="1" a="1"/>
  <c r="B3" i="1" s="1"/>
  <c r="S14" i="1" a="1"/>
  <c r="S14" i="1" s="1"/>
  <c r="U14" i="1" s="1"/>
  <c r="T2" i="4"/>
  <c r="R23" i="1" a="1"/>
  <c r="R23" i="1" s="1"/>
  <c r="R22" i="1" a="1"/>
  <c r="R22" i="1" s="1"/>
  <c r="R21" i="1" a="1"/>
  <c r="R21" i="1" s="1"/>
  <c r="S25" i="1" a="1"/>
  <c r="S25" i="1" s="1"/>
  <c r="S24" i="1" a="1"/>
  <c r="S24" i="1" s="1"/>
  <c r="S23" i="1" a="1"/>
  <c r="S23" i="1" s="1"/>
  <c r="S22" i="1" a="1"/>
  <c r="S22" i="1" s="1"/>
  <c r="S21" i="1" a="1"/>
  <c r="S21" i="1" s="1"/>
  <c r="R25" i="1" a="1"/>
  <c r="R25" i="1" s="1"/>
  <c r="R24" i="1" a="1"/>
  <c r="R24" i="1" s="1"/>
  <c r="B15" i="1" a="1"/>
  <c r="B15" i="1" s="1"/>
  <c r="O48" i="3"/>
  <c r="N48" i="3"/>
  <c r="O19" i="4"/>
  <c r="N19" i="4"/>
  <c r="N37" i="2"/>
  <c r="O37" i="2"/>
  <c r="C6" i="1" a="1"/>
  <c r="C6" i="1" s="1"/>
  <c r="N16" i="2"/>
  <c r="N17" i="2"/>
  <c r="O15" i="4"/>
  <c r="N15" i="4"/>
  <c r="N55" i="3"/>
  <c r="O55" i="3"/>
  <c r="R12" i="1" a="1"/>
  <c r="R12" i="1" s="1"/>
  <c r="N28" i="3"/>
  <c r="O28" i="3"/>
  <c r="O39" i="3"/>
  <c r="N39" i="3"/>
  <c r="C7" i="1" a="1"/>
  <c r="C7" i="1" s="1"/>
  <c r="N32" i="2"/>
  <c r="O32" i="2"/>
  <c r="B16" i="1" a="1"/>
  <c r="B16" i="1" s="1"/>
  <c r="O18" i="4"/>
  <c r="N18" i="4"/>
  <c r="N17" i="4"/>
  <c r="O17" i="4"/>
  <c r="O56" i="4"/>
  <c r="N56" i="4"/>
  <c r="G5" i="1" a="1"/>
  <c r="G5" i="1" s="1"/>
  <c r="F23" i="1" a="1"/>
  <c r="F23" i="1" s="1"/>
  <c r="N40" i="3"/>
  <c r="O40" i="3"/>
  <c r="B12" i="1" a="1"/>
  <c r="B12" i="1" s="1"/>
  <c r="N14" i="4"/>
  <c r="B22" i="1" a="1"/>
  <c r="B22" i="1" s="1"/>
  <c r="O14" i="4"/>
  <c r="S5" i="1" a="1"/>
  <c r="S5" i="1" s="1"/>
  <c r="T10" i="2"/>
  <c r="O53" i="2"/>
  <c r="N53" i="2"/>
  <c r="S13" i="1" a="1"/>
  <c r="S13" i="1" s="1"/>
  <c r="R5" i="1" a="1"/>
  <c r="R5" i="1" s="1"/>
  <c r="C14" i="1" a="1"/>
  <c r="C14" i="1" s="1"/>
  <c r="E14" i="1" s="1"/>
  <c r="N60" i="4"/>
  <c r="O60" i="4"/>
  <c r="N20" i="3"/>
  <c r="R16" i="1" a="1"/>
  <c r="R16" i="1" s="1"/>
  <c r="N41" i="3"/>
  <c r="G14" i="1" a="1"/>
  <c r="G14" i="1" s="1"/>
  <c r="S12" i="1" a="1"/>
  <c r="S12" i="1" s="1"/>
  <c r="N26" i="4"/>
  <c r="F25" i="1" a="1"/>
  <c r="F25" i="1" s="1"/>
  <c r="N55" i="2"/>
  <c r="P55" i="2"/>
  <c r="F3" i="1" a="1"/>
  <c r="F3" i="1" s="1"/>
  <c r="B23" i="1" a="1"/>
  <c r="B23" i="1" s="1"/>
  <c r="B25" i="1" a="1"/>
  <c r="B25" i="1" s="1"/>
  <c r="O15" i="2"/>
  <c r="N15" i="2"/>
  <c r="C13" i="1" a="1"/>
  <c r="C13" i="1" s="1"/>
  <c r="E13" i="1" s="1"/>
  <c r="S15" i="1" a="1"/>
  <c r="S15" i="1" s="1"/>
  <c r="S16" i="1" a="1"/>
  <c r="S16" i="1" s="1"/>
  <c r="F14" i="1" a="1"/>
  <c r="F14" i="1" s="1"/>
  <c r="C16" i="1" a="1"/>
  <c r="C16" i="1" s="1"/>
  <c r="G21" i="1" a="1"/>
  <c r="G21" i="1" s="1"/>
  <c r="C22" i="1" a="1"/>
  <c r="C22" i="1" s="1"/>
  <c r="O54" i="4"/>
  <c r="N54" i="4"/>
  <c r="F22" i="1" a="1"/>
  <c r="F22" i="1" s="1"/>
  <c r="O18" i="3"/>
  <c r="N18" i="3"/>
  <c r="N20" i="4"/>
  <c r="O20" i="4"/>
  <c r="C12" i="1" a="1"/>
  <c r="C12" i="1" s="1"/>
  <c r="R3" i="1" a="1"/>
  <c r="R3" i="1" s="1"/>
  <c r="R4" i="1" a="1"/>
  <c r="R4" i="1" s="1"/>
  <c r="G12" i="1" a="1"/>
  <c r="G12" i="1" s="1"/>
  <c r="I12" i="1" s="1"/>
  <c r="G22" i="1" a="1"/>
  <c r="G22" i="1" s="1"/>
  <c r="C23" i="1" a="1"/>
  <c r="C23" i="1" s="1"/>
  <c r="O11" i="2"/>
  <c r="N11" i="2"/>
  <c r="F4" i="1" a="1"/>
  <c r="F4" i="1" s="1"/>
  <c r="F7" i="1" a="1"/>
  <c r="F7" i="1" s="1"/>
  <c r="S7" i="1" a="1"/>
  <c r="S7" i="1" s="1"/>
  <c r="R15" i="1" a="1"/>
  <c r="R15" i="1" s="1"/>
  <c r="R7" i="1" a="1"/>
  <c r="R7" i="1" s="1"/>
  <c r="G23" i="1" a="1"/>
  <c r="G23" i="1" s="1"/>
  <c r="N36" i="2"/>
  <c r="O36" i="2"/>
  <c r="N35" i="2"/>
  <c r="O35" i="2"/>
  <c r="N54" i="2"/>
  <c r="O54" i="2"/>
  <c r="C24" i="1" a="1"/>
  <c r="C24" i="1" s="1"/>
  <c r="N39" i="4"/>
  <c r="O39" i="4"/>
  <c r="F5" i="1" a="1"/>
  <c r="F5" i="1" s="1"/>
  <c r="S3" i="1" a="1"/>
  <c r="S3" i="1" s="1"/>
  <c r="N8" i="3"/>
  <c r="O8" i="3"/>
  <c r="S6" i="1" a="1"/>
  <c r="S6" i="1" s="1"/>
  <c r="C15" i="1" a="1"/>
  <c r="C15" i="1" s="1"/>
  <c r="S4" i="1" a="1"/>
  <c r="S4" i="1" s="1"/>
  <c r="P19" i="3"/>
  <c r="N19" i="3"/>
  <c r="N37" i="3"/>
  <c r="P37" i="3"/>
  <c r="G24" i="1" a="1"/>
  <c r="G24" i="1" s="1"/>
  <c r="O54" i="3"/>
  <c r="N54" i="3"/>
  <c r="C25" i="1" a="1"/>
  <c r="C25" i="1" s="1"/>
  <c r="F6" i="1" a="1"/>
  <c r="F6" i="1" s="1"/>
  <c r="B24" i="1" a="1"/>
  <c r="B24" i="1" s="1"/>
  <c r="N6" i="4"/>
  <c r="W64" i="4"/>
  <c r="X64" i="4"/>
  <c r="W55" i="4"/>
  <c r="X57" i="4"/>
  <c r="Y35" i="4"/>
  <c r="X56" i="4"/>
  <c r="W48" i="4"/>
  <c r="Y25" i="4"/>
  <c r="X67" i="4"/>
  <c r="Y69" i="4"/>
  <c r="W59" i="4"/>
  <c r="X47" i="4"/>
  <c r="W63" i="4"/>
  <c r="Y34" i="4"/>
  <c r="X66" i="4"/>
  <c r="W49" i="4"/>
  <c r="Y39" i="4"/>
  <c r="X55" i="4"/>
  <c r="X60" i="4"/>
  <c r="X68" i="4"/>
  <c r="W56" i="4"/>
  <c r="W62" i="4"/>
  <c r="Y24" i="4"/>
  <c r="X48" i="4"/>
  <c r="Y65" i="4"/>
  <c r="W43" i="4"/>
  <c r="Y33" i="4"/>
  <c r="X62" i="4"/>
  <c r="X58" i="4"/>
  <c r="W61" i="4"/>
  <c r="W60" i="4"/>
  <c r="X44" i="4"/>
  <c r="Y41" i="4"/>
  <c r="W53" i="4"/>
  <c r="Y31" i="4"/>
  <c r="X61" i="4"/>
  <c r="Y57" i="4"/>
  <c r="Y36" i="4"/>
  <c r="X63" i="4"/>
  <c r="W68" i="4"/>
  <c r="W58" i="4"/>
  <c r="Y27" i="4"/>
  <c r="Y50" i="4"/>
  <c r="W47" i="4"/>
  <c r="X59" i="4"/>
  <c r="X54" i="4"/>
  <c r="Y60" i="4"/>
  <c r="W46" i="4"/>
  <c r="X45" i="4"/>
  <c r="Y58" i="4"/>
  <c r="Y11" i="4"/>
  <c r="W51" i="4"/>
  <c r="W66" i="4"/>
  <c r="Y19" i="4"/>
  <c r="W65" i="4"/>
  <c r="Y32" i="4"/>
  <c r="X43" i="4"/>
  <c r="Y17" i="4"/>
  <c r="Y46" i="4"/>
  <c r="Y51" i="4"/>
  <c r="Y18" i="4"/>
  <c r="Y56" i="4"/>
  <c r="Y14" i="4"/>
  <c r="X50" i="4"/>
  <c r="W54" i="4"/>
  <c r="X65" i="4"/>
  <c r="W45" i="4"/>
  <c r="Y42" i="4"/>
  <c r="X49" i="4"/>
  <c r="Y22" i="4"/>
  <c r="Y48" i="4"/>
  <c r="Y15" i="4"/>
  <c r="Y10" i="4"/>
  <c r="Y13" i="4"/>
  <c r="Y8" i="4"/>
  <c r="Y12" i="4"/>
  <c r="X24" i="4"/>
  <c r="X39" i="4"/>
  <c r="X36" i="4"/>
  <c r="X37" i="4"/>
  <c r="X34" i="4"/>
  <c r="X27" i="4"/>
  <c r="X31" i="4"/>
  <c r="X25" i="4"/>
  <c r="X35" i="4"/>
  <c r="X40" i="4"/>
  <c r="X26" i="4"/>
  <c r="X29" i="4"/>
  <c r="X42" i="4"/>
  <c r="X41" i="4"/>
  <c r="X28" i="4"/>
  <c r="X30" i="4"/>
  <c r="X23" i="4"/>
  <c r="X32" i="4"/>
  <c r="X33" i="4"/>
  <c r="X38" i="4"/>
  <c r="W44" i="4"/>
  <c r="Y20" i="4"/>
  <c r="Y9" i="4"/>
  <c r="Y7" i="4"/>
  <c r="Y2" i="4"/>
  <c r="Y6" i="4"/>
  <c r="Y4" i="4"/>
  <c r="Y5" i="4"/>
  <c r="Y3" i="4"/>
  <c r="W30" i="4"/>
  <c r="W32" i="4"/>
  <c r="W23" i="4"/>
  <c r="W42" i="4"/>
  <c r="W31" i="4"/>
  <c r="W35" i="4"/>
  <c r="W41" i="4"/>
  <c r="W33" i="4"/>
  <c r="W38" i="4"/>
  <c r="W34" i="4"/>
  <c r="W40" i="4"/>
  <c r="W26" i="4"/>
  <c r="W25" i="4"/>
  <c r="W24" i="4"/>
  <c r="W39" i="4"/>
  <c r="W29" i="4"/>
  <c r="W27" i="4"/>
  <c r="W28" i="4"/>
  <c r="W36" i="4"/>
  <c r="W37" i="4"/>
  <c r="X19" i="3"/>
  <c r="W16" i="3"/>
  <c r="W33" i="3"/>
  <c r="W28" i="3"/>
  <c r="X21" i="3"/>
  <c r="X17" i="3"/>
  <c r="X18" i="3"/>
  <c r="X16" i="3"/>
  <c r="X23" i="3"/>
  <c r="X30" i="3"/>
  <c r="X34" i="3"/>
  <c r="X20" i="3"/>
  <c r="W12" i="3"/>
  <c r="W3" i="3"/>
  <c r="W5" i="3"/>
  <c r="W13" i="3"/>
  <c r="W14" i="3"/>
  <c r="W4" i="3"/>
  <c r="W15" i="3"/>
  <c r="W9" i="3"/>
  <c r="W8" i="3"/>
  <c r="W10" i="3"/>
  <c r="W7" i="3"/>
  <c r="W6" i="3"/>
  <c r="W2" i="3"/>
  <c r="W11" i="3"/>
  <c r="X53" i="3"/>
  <c r="X54" i="3"/>
  <c r="X56" i="3"/>
  <c r="X51" i="3"/>
  <c r="X52" i="3"/>
  <c r="X55" i="3"/>
  <c r="X48" i="3"/>
  <c r="X49" i="3"/>
  <c r="X50" i="3"/>
  <c r="X13" i="3"/>
  <c r="X14" i="3"/>
  <c r="X4" i="3"/>
  <c r="X15" i="3"/>
  <c r="X8" i="3"/>
  <c r="X3" i="3"/>
  <c r="X5" i="3"/>
  <c r="X9" i="3"/>
  <c r="X6" i="3"/>
  <c r="X10" i="3"/>
  <c r="X2" i="3"/>
  <c r="X11" i="3"/>
  <c r="X7" i="3"/>
  <c r="X12" i="3"/>
  <c r="X46" i="3"/>
  <c r="X45" i="3"/>
  <c r="X39" i="3"/>
  <c r="X44" i="3"/>
  <c r="X47" i="3"/>
  <c r="X40" i="3"/>
  <c r="X36" i="3"/>
  <c r="X41" i="3"/>
  <c r="X42" i="3"/>
  <c r="X37" i="3"/>
  <c r="X43" i="3"/>
  <c r="X38" i="3"/>
  <c r="W49" i="3"/>
  <c r="W50" i="3"/>
  <c r="W51" i="3"/>
  <c r="W56" i="3"/>
  <c r="W53" i="3"/>
  <c r="W48" i="3"/>
  <c r="W54" i="3"/>
  <c r="W55" i="3"/>
  <c r="W52" i="3"/>
  <c r="X24" i="3"/>
  <c r="W38" i="3"/>
  <c r="W45" i="3"/>
  <c r="W41" i="3"/>
  <c r="W36" i="3"/>
  <c r="W46" i="3"/>
  <c r="W39" i="3"/>
  <c r="W44" i="3"/>
  <c r="W47" i="3"/>
  <c r="W37" i="3"/>
  <c r="W40" i="3"/>
  <c r="W42" i="3"/>
  <c r="W43" i="3"/>
  <c r="X10" i="2"/>
  <c r="Y13" i="2"/>
  <c r="X3" i="2"/>
  <c r="Y29" i="2"/>
  <c r="X9" i="2"/>
  <c r="Y15" i="2"/>
  <c r="Y14" i="2"/>
  <c r="Y26" i="2"/>
  <c r="Y42" i="2"/>
  <c r="X8" i="2"/>
  <c r="Y25" i="2"/>
  <c r="Y24" i="2"/>
  <c r="Y23" i="2"/>
  <c r="Y22" i="2"/>
  <c r="X15" i="2"/>
  <c r="Y27" i="2"/>
  <c r="Y21" i="2"/>
  <c r="Y51" i="2"/>
  <c r="Y52" i="2"/>
  <c r="Y55" i="2"/>
  <c r="W12" i="2"/>
  <c r="X6" i="2"/>
  <c r="Y10" i="2"/>
  <c r="W11" i="2"/>
  <c r="X7" i="2"/>
  <c r="Y19" i="2"/>
  <c r="Y3" i="2"/>
  <c r="W10" i="2"/>
  <c r="X5" i="2"/>
  <c r="Y20" i="2"/>
  <c r="Y7" i="2"/>
  <c r="W3" i="2"/>
  <c r="X4" i="2"/>
  <c r="Y31" i="2"/>
  <c r="W9" i="2"/>
  <c r="X12" i="2"/>
  <c r="Y30" i="2"/>
  <c r="X38" i="2"/>
  <c r="W8" i="2"/>
  <c r="X11" i="2"/>
  <c r="Y16" i="2"/>
  <c r="X14" i="2"/>
  <c r="W7" i="2"/>
  <c r="Y12" i="2"/>
  <c r="Y11" i="2"/>
  <c r="Y6" i="2"/>
  <c r="Y5" i="2"/>
  <c r="Y9" i="2"/>
  <c r="Y4" i="2"/>
  <c r="Y8" i="2"/>
  <c r="X27" i="2"/>
  <c r="X23" i="2"/>
  <c r="Y47" i="2"/>
  <c r="X36" i="2"/>
  <c r="X22" i="2"/>
  <c r="Y46" i="2"/>
  <c r="X21" i="2"/>
  <c r="X34" i="2"/>
  <c r="X20" i="2"/>
  <c r="X39" i="2"/>
  <c r="X19" i="2"/>
  <c r="Y18" i="2"/>
  <c r="Y54" i="2"/>
  <c r="X13" i="2"/>
  <c r="X32" i="2"/>
  <c r="Y41" i="2"/>
  <c r="Y45" i="2"/>
  <c r="Y50" i="2"/>
  <c r="Y49" i="2"/>
  <c r="Y48" i="2"/>
  <c r="X30" i="2"/>
  <c r="Y44" i="2"/>
  <c r="X16" i="2"/>
  <c r="Y43" i="2"/>
  <c r="X29" i="2"/>
  <c r="X40" i="2"/>
  <c r="X28" i="2"/>
  <c r="X25" i="2"/>
  <c r="X52" i="2"/>
  <c r="X54" i="2"/>
  <c r="X53" i="2"/>
  <c r="X51" i="2"/>
  <c r="X55" i="2"/>
  <c r="I24" i="1" l="1"/>
  <c r="H25" i="1"/>
  <c r="T16" i="1"/>
  <c r="D21" i="1"/>
  <c r="E21" i="1"/>
  <c r="U63" i="4" s="1"/>
  <c r="D5" i="1"/>
  <c r="I16" i="1"/>
  <c r="E7" i="1"/>
  <c r="H15" i="1"/>
  <c r="V15" i="3" s="1"/>
  <c r="U6" i="1"/>
  <c r="T4" i="1"/>
  <c r="E12" i="1"/>
  <c r="T12" i="1"/>
  <c r="Z41" i="3" s="1"/>
  <c r="T15" i="1"/>
  <c r="H14" i="1"/>
  <c r="V22" i="3" s="1"/>
  <c r="E16" i="1"/>
  <c r="U54" i="3" s="1"/>
  <c r="H13" i="1"/>
  <c r="V25" i="3" s="1"/>
  <c r="E15" i="1"/>
  <c r="T13" i="1"/>
  <c r="D25" i="1"/>
  <c r="U70" i="4" s="1"/>
  <c r="H21" i="1"/>
  <c r="T24" i="1"/>
  <c r="T14" i="1"/>
  <c r="Z24" i="3" s="1"/>
  <c r="U21" i="1"/>
  <c r="D3" i="1"/>
  <c r="T25" i="1"/>
  <c r="D23" i="1"/>
  <c r="T23" i="1"/>
  <c r="T7" i="1"/>
  <c r="H22" i="1"/>
  <c r="I23" i="1"/>
  <c r="U22" i="1"/>
  <c r="E24" i="1"/>
  <c r="D22" i="1"/>
  <c r="H6" i="1"/>
  <c r="V4" i="2" s="1"/>
  <c r="H7" i="1"/>
  <c r="U5" i="1"/>
  <c r="Z29" i="2" s="1"/>
  <c r="T3" i="1"/>
  <c r="I4" i="1"/>
  <c r="H5" i="1"/>
  <c r="H3" i="1"/>
  <c r="D6" i="1"/>
  <c r="D4" i="1"/>
  <c r="E4" i="1"/>
  <c r="H12" i="1"/>
  <c r="V43" i="3" s="1"/>
  <c r="U23" i="1"/>
  <c r="I13" i="1"/>
  <c r="U25" i="1"/>
  <c r="I6" i="1"/>
  <c r="U12" i="1"/>
  <c r="T21" i="1"/>
  <c r="I7" i="1"/>
  <c r="I14" i="1"/>
  <c r="I25" i="1"/>
  <c r="T22" i="1"/>
  <c r="H23" i="1"/>
  <c r="I5" i="1"/>
  <c r="D24" i="1"/>
  <c r="H24" i="1"/>
  <c r="I21" i="1"/>
  <c r="E6" i="1"/>
  <c r="I3" i="1"/>
  <c r="D12" i="1"/>
  <c r="E22" i="1"/>
  <c r="U4" i="1"/>
  <c r="H4" i="1"/>
  <c r="D7" i="1"/>
  <c r="U13" i="1"/>
  <c r="H16" i="1"/>
  <c r="V50" i="3" s="1"/>
  <c r="T6" i="1"/>
  <c r="Z2" i="2" s="1"/>
  <c r="E25" i="1"/>
  <c r="T5" i="1"/>
  <c r="E3" i="1"/>
  <c r="U15" i="1"/>
  <c r="Z10" i="3" s="1"/>
  <c r="D16" i="1"/>
  <c r="I15" i="1"/>
  <c r="V6" i="3" s="1"/>
  <c r="D13" i="1"/>
  <c r="U33" i="3" s="1"/>
  <c r="U7" i="1"/>
  <c r="U24" i="1"/>
  <c r="U16" i="1"/>
  <c r="Z52" i="3" s="1"/>
  <c r="E23" i="1"/>
  <c r="E5" i="1"/>
  <c r="U18" i="2" s="1"/>
  <c r="U3" i="1"/>
  <c r="I22" i="1"/>
  <c r="D15" i="1"/>
  <c r="D14" i="1"/>
  <c r="U23" i="3" s="1"/>
  <c r="U62" i="4"/>
  <c r="U64" i="4"/>
  <c r="U51" i="4"/>
  <c r="U65" i="4"/>
  <c r="U66" i="4"/>
  <c r="U67" i="4"/>
  <c r="U61" i="4"/>
  <c r="U44" i="4"/>
  <c r="U52" i="4"/>
  <c r="U58" i="4"/>
  <c r="U53" i="4"/>
  <c r="U45" i="4"/>
  <c r="U59" i="4"/>
  <c r="U68" i="4"/>
  <c r="U46" i="4"/>
  <c r="U53" i="3"/>
  <c r="V56" i="3"/>
  <c r="Z50" i="3" l="1"/>
  <c r="V8" i="3"/>
  <c r="V5" i="3"/>
  <c r="V5" i="4"/>
  <c r="V69" i="4"/>
  <c r="V51" i="3"/>
  <c r="Z53" i="3"/>
  <c r="V26" i="2"/>
  <c r="V13" i="3"/>
  <c r="Z4" i="3"/>
  <c r="U55" i="3"/>
  <c r="V4" i="3"/>
  <c r="V9" i="3"/>
  <c r="V3" i="3"/>
  <c r="Z12" i="3"/>
  <c r="Z2" i="3"/>
  <c r="Z42" i="3"/>
  <c r="Z36" i="3"/>
  <c r="U34" i="3"/>
  <c r="Z14" i="3"/>
  <c r="Z37" i="3"/>
  <c r="U8" i="3"/>
  <c r="U49" i="3"/>
  <c r="Z42" i="2"/>
  <c r="U39" i="3"/>
  <c r="Z36" i="2"/>
  <c r="U35" i="4"/>
  <c r="U34" i="2"/>
  <c r="U57" i="4"/>
  <c r="U50" i="4"/>
  <c r="U56" i="4"/>
  <c r="U55" i="4"/>
  <c r="U43" i="4"/>
  <c r="U48" i="4"/>
  <c r="U54" i="4"/>
  <c r="U47" i="4"/>
  <c r="U49" i="4"/>
  <c r="U60" i="4"/>
  <c r="Z70" i="4"/>
  <c r="U52" i="3"/>
  <c r="V14" i="3"/>
  <c r="U50" i="3"/>
  <c r="V12" i="3"/>
  <c r="V11" i="3"/>
  <c r="Z13" i="3"/>
  <c r="V30" i="3"/>
  <c r="V7" i="3"/>
  <c r="V32" i="3"/>
  <c r="V2" i="3"/>
  <c r="V26" i="3"/>
  <c r="V10" i="3"/>
  <c r="Z9" i="3"/>
  <c r="Z35" i="3"/>
  <c r="V54" i="3"/>
  <c r="U55" i="2"/>
  <c r="V53" i="3"/>
  <c r="Z8" i="3"/>
  <c r="U13" i="3"/>
  <c r="Z25" i="3"/>
  <c r="U11" i="3"/>
  <c r="Z16" i="3"/>
  <c r="V40" i="3"/>
  <c r="U10" i="3"/>
  <c r="U17" i="4"/>
  <c r="U4" i="3"/>
  <c r="V39" i="3"/>
  <c r="Z49" i="3"/>
  <c r="U3" i="3"/>
  <c r="Z17" i="3"/>
  <c r="V38" i="3"/>
  <c r="V37" i="3"/>
  <c r="Z23" i="3"/>
  <c r="V36" i="3"/>
  <c r="V17" i="3"/>
  <c r="U12" i="3"/>
  <c r="V34" i="3"/>
  <c r="U6" i="3"/>
  <c r="U21" i="3"/>
  <c r="U47" i="3"/>
  <c r="U20" i="3"/>
  <c r="Z33" i="3"/>
  <c r="Z6" i="3"/>
  <c r="U30" i="3"/>
  <c r="U69" i="4"/>
  <c r="Z54" i="4"/>
  <c r="V17" i="4"/>
  <c r="Z18" i="3"/>
  <c r="U17" i="3"/>
  <c r="Z21" i="3"/>
  <c r="U31" i="3"/>
  <c r="V21" i="3"/>
  <c r="Z15" i="3"/>
  <c r="U27" i="3"/>
  <c r="Z43" i="3"/>
  <c r="Z20" i="3"/>
  <c r="V47" i="3"/>
  <c r="U22" i="3"/>
  <c r="U9" i="3"/>
  <c r="Z22" i="3"/>
  <c r="U42" i="2"/>
  <c r="V28" i="3"/>
  <c r="U26" i="3"/>
  <c r="Z32" i="3"/>
  <c r="Z26" i="3"/>
  <c r="V52" i="3"/>
  <c r="Z31" i="3"/>
  <c r="V42" i="3"/>
  <c r="U2" i="3"/>
  <c r="V25" i="4"/>
  <c r="V49" i="3"/>
  <c r="V48" i="3"/>
  <c r="Z28" i="3"/>
  <c r="V55" i="3"/>
  <c r="V33" i="3"/>
  <c r="Z54" i="3"/>
  <c r="Z27" i="3"/>
  <c r="V41" i="3"/>
  <c r="U14" i="3"/>
  <c r="V27" i="3"/>
  <c r="Z29" i="3"/>
  <c r="Z40" i="3"/>
  <c r="Z34" i="3"/>
  <c r="Z30" i="3"/>
  <c r="V55" i="4"/>
  <c r="Z48" i="3"/>
  <c r="Z47" i="3"/>
  <c r="Z3" i="4"/>
  <c r="V31" i="3"/>
  <c r="Z55" i="3"/>
  <c r="U19" i="3"/>
  <c r="Z44" i="3"/>
  <c r="U3" i="4"/>
  <c r="V20" i="3"/>
  <c r="U24" i="3"/>
  <c r="Z39" i="3"/>
  <c r="V35" i="3"/>
  <c r="V18" i="3"/>
  <c r="U18" i="3"/>
  <c r="Z46" i="3"/>
  <c r="U25" i="3"/>
  <c r="Z52" i="4"/>
  <c r="V22" i="4"/>
  <c r="V29" i="3"/>
  <c r="Z19" i="3"/>
  <c r="V23" i="3"/>
  <c r="U16" i="3"/>
  <c r="Z45" i="3"/>
  <c r="Z45" i="4"/>
  <c r="U48" i="3"/>
  <c r="Z38" i="4"/>
  <c r="Z38" i="3"/>
  <c r="U56" i="3"/>
  <c r="Z48" i="4"/>
  <c r="V60" i="4"/>
  <c r="U18" i="4"/>
  <c r="Z19" i="4"/>
  <c r="Z47" i="2"/>
  <c r="U45" i="2"/>
  <c r="Z34" i="4"/>
  <c r="V14" i="4"/>
  <c r="Z33" i="4"/>
  <c r="U6" i="4"/>
  <c r="Z30" i="4"/>
  <c r="V12" i="4"/>
  <c r="Z37" i="4"/>
  <c r="V47" i="2"/>
  <c r="V20" i="4"/>
  <c r="U32" i="4"/>
  <c r="Z31" i="4"/>
  <c r="V2" i="4"/>
  <c r="V7" i="4"/>
  <c r="Z36" i="4"/>
  <c r="V10" i="4"/>
  <c r="V9" i="4"/>
  <c r="Z24" i="4"/>
  <c r="V13" i="4"/>
  <c r="U5" i="4"/>
  <c r="U46" i="2"/>
  <c r="V4" i="4"/>
  <c r="V38" i="2"/>
  <c r="U8" i="4"/>
  <c r="Z29" i="4"/>
  <c r="U39" i="2"/>
  <c r="Z28" i="2"/>
  <c r="U22" i="4"/>
  <c r="U13" i="4"/>
  <c r="V13" i="2"/>
  <c r="V34" i="4"/>
  <c r="U28" i="2"/>
  <c r="Z23" i="4"/>
  <c r="U25" i="2"/>
  <c r="U19" i="2"/>
  <c r="V15" i="4"/>
  <c r="Z66" i="4"/>
  <c r="Z41" i="4"/>
  <c r="U19" i="4"/>
  <c r="Z15" i="4"/>
  <c r="V6" i="4"/>
  <c r="Z21" i="4"/>
  <c r="Z5" i="4"/>
  <c r="U27" i="4"/>
  <c r="Z28" i="4"/>
  <c r="V21" i="4"/>
  <c r="V31" i="4"/>
  <c r="Z58" i="4"/>
  <c r="V8" i="2"/>
  <c r="V16" i="4"/>
  <c r="Z64" i="4"/>
  <c r="Z35" i="4"/>
  <c r="U15" i="4"/>
  <c r="V3" i="4"/>
  <c r="U31" i="2"/>
  <c r="U29" i="2"/>
  <c r="U15" i="2"/>
  <c r="U41" i="4"/>
  <c r="V39" i="4"/>
  <c r="U24" i="4"/>
  <c r="V24" i="4"/>
  <c r="U38" i="4"/>
  <c r="Z32" i="4"/>
  <c r="U21" i="2"/>
  <c r="V19" i="4"/>
  <c r="U33" i="4"/>
  <c r="Z42" i="4"/>
  <c r="V11" i="4"/>
  <c r="U25" i="4"/>
  <c r="Z27" i="4"/>
  <c r="V11" i="2"/>
  <c r="U41" i="2"/>
  <c r="V8" i="4"/>
  <c r="Z51" i="4"/>
  <c r="Z25" i="4"/>
  <c r="Z14" i="2"/>
  <c r="U37" i="2"/>
  <c r="U10" i="2"/>
  <c r="Z24" i="2"/>
  <c r="U36" i="2"/>
  <c r="Z23" i="2"/>
  <c r="U38" i="2"/>
  <c r="V43" i="2"/>
  <c r="V25" i="2"/>
  <c r="V40" i="2"/>
  <c r="Z52" i="2"/>
  <c r="V22" i="2"/>
  <c r="V34" i="2"/>
  <c r="V2" i="2"/>
  <c r="U40" i="2"/>
  <c r="U53" i="2"/>
  <c r="V20" i="2"/>
  <c r="V7" i="2"/>
  <c r="V6" i="2"/>
  <c r="V19" i="2"/>
  <c r="V5" i="2"/>
  <c r="Z31" i="2"/>
  <c r="V14" i="2"/>
  <c r="V9" i="2"/>
  <c r="V24" i="2"/>
  <c r="U40" i="4"/>
  <c r="U33" i="2"/>
  <c r="V33" i="2"/>
  <c r="V27" i="2"/>
  <c r="V42" i="2"/>
  <c r="V32" i="4"/>
  <c r="U9" i="4"/>
  <c r="U34" i="4"/>
  <c r="V50" i="2"/>
  <c r="U5" i="2"/>
  <c r="V35" i="2"/>
  <c r="U42" i="4"/>
  <c r="V39" i="2"/>
  <c r="U4" i="2"/>
  <c r="Z22" i="4"/>
  <c r="U23" i="4"/>
  <c r="Z14" i="4"/>
  <c r="V37" i="4"/>
  <c r="U14" i="4"/>
  <c r="U39" i="4"/>
  <c r="V37" i="2"/>
  <c r="V36" i="2"/>
  <c r="U20" i="4"/>
  <c r="V23" i="2"/>
  <c r="Z16" i="4"/>
  <c r="V29" i="4"/>
  <c r="U10" i="4"/>
  <c r="U31" i="4"/>
  <c r="Z18" i="4"/>
  <c r="U2" i="2"/>
  <c r="U12" i="2"/>
  <c r="Z13" i="4"/>
  <c r="V36" i="4"/>
  <c r="U21" i="4"/>
  <c r="U30" i="4"/>
  <c r="V23" i="4"/>
  <c r="V49" i="2"/>
  <c r="Z11" i="4"/>
  <c r="V30" i="4"/>
  <c r="U11" i="4"/>
  <c r="U6" i="2"/>
  <c r="U11" i="2"/>
  <c r="Z9" i="4"/>
  <c r="V28" i="4"/>
  <c r="Z2" i="4"/>
  <c r="U26" i="4"/>
  <c r="U3" i="2"/>
  <c r="Z8" i="4"/>
  <c r="V27" i="4"/>
  <c r="V67" i="4"/>
  <c r="Z4" i="4"/>
  <c r="U37" i="4"/>
  <c r="V32" i="2"/>
  <c r="V42" i="4"/>
  <c r="Z10" i="4"/>
  <c r="V26" i="4"/>
  <c r="V51" i="4"/>
  <c r="Z7" i="4"/>
  <c r="U29" i="4"/>
  <c r="V51" i="2"/>
  <c r="V41" i="4"/>
  <c r="V58" i="4"/>
  <c r="Z20" i="4"/>
  <c r="V40" i="4"/>
  <c r="V62" i="4"/>
  <c r="Z6" i="4"/>
  <c r="U36" i="4"/>
  <c r="V38" i="4"/>
  <c r="V33" i="4"/>
  <c r="U9" i="2"/>
  <c r="U54" i="2"/>
  <c r="Z39" i="2"/>
  <c r="U52" i="2"/>
  <c r="Z38" i="2"/>
  <c r="Z17" i="4"/>
  <c r="Z69" i="4"/>
  <c r="V35" i="4"/>
  <c r="V54" i="4"/>
  <c r="U28" i="4"/>
  <c r="U35" i="2"/>
  <c r="V46" i="2"/>
  <c r="Z12" i="4"/>
  <c r="U51" i="2"/>
  <c r="U32" i="2"/>
  <c r="V50" i="4"/>
  <c r="Z26" i="4"/>
  <c r="V10" i="2"/>
  <c r="Z16" i="2"/>
  <c r="Z21" i="2"/>
  <c r="U47" i="2"/>
  <c r="V3" i="2"/>
  <c r="U43" i="2"/>
  <c r="Z12" i="2"/>
  <c r="U17" i="2"/>
  <c r="Z11" i="2"/>
  <c r="U50" i="2"/>
  <c r="Z30" i="2"/>
  <c r="U49" i="2"/>
  <c r="U48" i="2"/>
  <c r="U44" i="2"/>
  <c r="Z10" i="2"/>
  <c r="Z9" i="2"/>
  <c r="Z34" i="2"/>
  <c r="V48" i="2"/>
  <c r="V44" i="2"/>
  <c r="Z32" i="2"/>
  <c r="V17" i="2"/>
  <c r="Z3" i="2"/>
  <c r="Z40" i="2"/>
  <c r="Z8" i="2"/>
  <c r="Z33" i="2"/>
  <c r="Z7" i="2"/>
  <c r="Z35" i="2"/>
  <c r="Z4" i="2"/>
  <c r="U8" i="2"/>
  <c r="V18" i="2"/>
  <c r="V55" i="2"/>
  <c r="U7" i="2"/>
  <c r="Z37" i="2"/>
  <c r="V12" i="2"/>
  <c r="V54" i="2"/>
  <c r="V53" i="2"/>
  <c r="V28" i="2"/>
  <c r="Z46" i="2"/>
  <c r="U38" i="3"/>
  <c r="U2" i="4"/>
  <c r="U20" i="2"/>
  <c r="V52" i="2"/>
  <c r="Z45" i="2"/>
  <c r="U43" i="3"/>
  <c r="U4" i="4"/>
  <c r="Z65" i="4"/>
  <c r="V61" i="4"/>
  <c r="Z50" i="2"/>
  <c r="U37" i="3"/>
  <c r="U7" i="4"/>
  <c r="Z25" i="2"/>
  <c r="U13" i="2"/>
  <c r="V41" i="2"/>
  <c r="Z49" i="2"/>
  <c r="U32" i="3"/>
  <c r="U42" i="3"/>
  <c r="Z44" i="4"/>
  <c r="V68" i="4"/>
  <c r="V56" i="4"/>
  <c r="Z57" i="4"/>
  <c r="V53" i="4"/>
  <c r="Z15" i="2"/>
  <c r="V21" i="2"/>
  <c r="U30" i="2"/>
  <c r="V45" i="2"/>
  <c r="Z56" i="3"/>
  <c r="Z5" i="3"/>
  <c r="U35" i="3"/>
  <c r="U7" i="3"/>
  <c r="U45" i="3"/>
  <c r="Z50" i="4"/>
  <c r="V44" i="4"/>
  <c r="V47" i="4"/>
  <c r="U36" i="3"/>
  <c r="V52" i="4"/>
  <c r="Z27" i="2"/>
  <c r="U16" i="2"/>
  <c r="Z51" i="3"/>
  <c r="U29" i="3"/>
  <c r="U40" i="3"/>
  <c r="Z43" i="4"/>
  <c r="V66" i="4"/>
  <c r="V48" i="4"/>
  <c r="U46" i="3"/>
  <c r="Z68" i="4"/>
  <c r="V59" i="4"/>
  <c r="V46" i="4"/>
  <c r="Z63" i="4"/>
  <c r="V45" i="4"/>
  <c r="Z49" i="4"/>
  <c r="V64" i="4"/>
  <c r="V31" i="2"/>
  <c r="U27" i="2"/>
  <c r="Z51" i="2"/>
  <c r="V16" i="3"/>
  <c r="Z3" i="3"/>
  <c r="V44" i="3"/>
  <c r="U28" i="3"/>
  <c r="U15" i="3"/>
  <c r="V70" i="4"/>
  <c r="Z55" i="4"/>
  <c r="V65" i="4"/>
  <c r="U16" i="4"/>
  <c r="Z40" i="4"/>
  <c r="Z20" i="2"/>
  <c r="Z55" i="2"/>
  <c r="Z46" i="4"/>
  <c r="V63" i="4"/>
  <c r="Z19" i="2"/>
  <c r="Z13" i="2"/>
  <c r="Z54" i="2"/>
  <c r="V46" i="3"/>
  <c r="U5" i="3"/>
  <c r="Z61" i="4"/>
  <c r="Z59" i="4"/>
  <c r="U41" i="3"/>
  <c r="Z67" i="4"/>
  <c r="Z26" i="2"/>
  <c r="V30" i="2"/>
  <c r="U24" i="2"/>
  <c r="Z53" i="2"/>
  <c r="Z48" i="2"/>
  <c r="Z18" i="2"/>
  <c r="V16" i="2"/>
  <c r="U26" i="2"/>
  <c r="Z6" i="2"/>
  <c r="Z44" i="2"/>
  <c r="V19" i="3"/>
  <c r="Z7" i="3"/>
  <c r="V57" i="4"/>
  <c r="Z22" i="2"/>
  <c r="V29" i="2"/>
  <c r="U23" i="2"/>
  <c r="Z5" i="2"/>
  <c r="Z43" i="2"/>
  <c r="V24" i="3"/>
  <c r="Z11" i="3"/>
  <c r="V45" i="3"/>
  <c r="U51" i="3"/>
  <c r="V18" i="4"/>
  <c r="Z60" i="4"/>
  <c r="Z56" i="4"/>
  <c r="V49" i="4"/>
  <c r="U12" i="4"/>
  <c r="Z39" i="4"/>
  <c r="U14" i="2"/>
  <c r="U22" i="2"/>
  <c r="Z41" i="2"/>
  <c r="Z62" i="4"/>
  <c r="Z17" i="2"/>
  <c r="V15" i="2"/>
  <c r="U44" i="3"/>
  <c r="Z53" i="4"/>
  <c r="V43" i="4"/>
  <c r="Z47" i="4"/>
  <c r="A9" i="11" l="1" a="1"/>
  <c r="T10" i="11" s="1"/>
  <c r="A9" i="12" a="1"/>
  <c r="A9" i="9" a="1"/>
  <c r="A6" i="11" l="1"/>
  <c r="A9" i="11"/>
  <c r="T9" i="11" s="1"/>
  <c r="T2" i="11" s="1"/>
  <c r="A9" i="9"/>
  <c r="T9" i="9" s="1"/>
  <c r="T10" i="9"/>
  <c r="T11" i="9"/>
  <c r="T12" i="9"/>
  <c r="T13" i="9"/>
  <c r="T10" i="12"/>
  <c r="T11" i="12"/>
  <c r="A6" i="12"/>
  <c r="A9" i="12"/>
  <c r="T9" i="12" s="1"/>
  <c r="A6" i="9"/>
  <c r="T2" i="12" l="1"/>
  <c r="T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<sst xmlns="http://schemas.openxmlformats.org/spreadsheetml/2006/main" count="867" uniqueCount="289">
  <si>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</si>
  <si>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</si>
  <si>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</si>
  <si>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</si>
  <si>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</si>
  <si>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</si>
  <si>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</si>
  <si>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</si>
  <si>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</si>
  <si>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</si>
  <si>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</si>
  <si>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</si>
  <si>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</si>
  <si>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</si>
  <si>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</si>
  <si>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</si>
  <si>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</si>
  <si>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</si>
  <si>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</si>
  <si>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</si>
  <si>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</si>
  <si>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</si>
  <si>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</si>
  <si>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</si>
  <si>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</si>
  <si>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</si>
  <si>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</si>
  <si>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</si>
  <si>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</si>
  <si>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</si>
  <si>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</si>
  <si>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</si>
  <si>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</si>
  <si>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</si>
  <si>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</si>
  <si>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</si>
  <si>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</si>
  <si>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</si>
  <si>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</si>
  <si>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</si>
  <si>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</si>
  <si>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</si>
  <si>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</si>
  <si>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</si>
  <si>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</si>
  <si>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</si>
  <si>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</si>
  <si>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</si>
  <si>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</si>
  <si>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</si>
  <si>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</si>
  <si>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</si>
  <si>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</si>
  <si>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</si>
  <si>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</si>
  <si>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</si>
  <si>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</si>
  <si>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</si>
  <si>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</si>
  <si>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</si>
  <si>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</si>
  <si>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</si>
  <si>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</si>
  <si>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</si>
  <si>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</si>
  <si>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</si>
  <si>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</si>
  <si>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</si>
  <si>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</si>
  <si>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</si>
  <si>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</si>
  <si>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</si>
  <si>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</si>
  <si>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</si>
  <si>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</si>
  <si>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</si>
  <si>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</si>
  <si>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</si>
  <si>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</si>
  <si>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</si>
  <si>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</si>
  <si>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</si>
  <si>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</si>
  <si>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</si>
  <si>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</si>
  <si>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</si>
  <si>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</si>
  <si>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</si>
  <si>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</si>
  <si>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</si>
  <si>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</si>
  <si>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</si>
  <si>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</si>
  <si>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</si>
  <si>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</si>
  <si>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</si>
  <si>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</si>
  <si>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</si>
  <si>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</si>
  <si>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</si>
  <si>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</si>
  <si>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</si>
  <si>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</si>
  <si>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</si>
  <si>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</si>
  <si>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Diversified Telecommunication Services</t>
  </si>
  <si>
    <t>Wireless Telecommunication Services</t>
  </si>
  <si>
    <t>Media</t>
  </si>
  <si>
    <t>Entertainment</t>
  </si>
  <si>
    <t>Interactive Media &amp; Services</t>
  </si>
  <si>
    <t>BCE</t>
  </si>
  <si>
    <t>CHT</t>
  </si>
  <si>
    <t>T</t>
  </si>
  <si>
    <t>TEF</t>
  </si>
  <si>
    <t>TLK</t>
  </si>
  <si>
    <t>TU</t>
  </si>
  <si>
    <t>VIV</t>
  </si>
  <si>
    <t>VZ</t>
  </si>
  <si>
    <t>AMX</t>
  </si>
  <si>
    <t>RCI</t>
  </si>
  <si>
    <t>TMUS</t>
  </si>
  <si>
    <t>VOD</t>
  </si>
  <si>
    <t>OMC</t>
  </si>
  <si>
    <t>TTD</t>
  </si>
  <si>
    <t>FOX</t>
  </si>
  <si>
    <t>FOXA</t>
  </si>
  <si>
    <t>CHTR</t>
  </si>
  <si>
    <t>CMCSA</t>
  </si>
  <si>
    <t>LBRDA</t>
  </si>
  <si>
    <t>LBRDK</t>
  </si>
  <si>
    <t>NWS</t>
  </si>
  <si>
    <t>NWSA</t>
  </si>
  <si>
    <t>DIS</t>
  </si>
  <si>
    <t>FWONA</t>
  </si>
  <si>
    <t>FWONK</t>
  </si>
  <si>
    <t>LYV</t>
  </si>
  <si>
    <t>NFLX</t>
  </si>
  <si>
    <t>SPOT</t>
  </si>
  <si>
    <t>TKO</t>
  </si>
  <si>
    <t>TME</t>
  </si>
  <si>
    <t>WBD</t>
  </si>
  <si>
    <t>WMG</t>
  </si>
  <si>
    <t>EA</t>
  </si>
  <si>
    <t>NTES</t>
  </si>
  <si>
    <t>RBLX</t>
  </si>
  <si>
    <t>SE</t>
  </si>
  <si>
    <t>TTWO</t>
  </si>
  <si>
    <t>BIDU</t>
  </si>
  <si>
    <t>GOOG</t>
  </si>
  <si>
    <t>GOOGL</t>
  </si>
  <si>
    <t>META</t>
  </si>
  <si>
    <t>PINS</t>
  </si>
  <si>
    <t>RDDT</t>
  </si>
  <si>
    <t>SNAP</t>
  </si>
  <si>
    <t>CCOI</t>
  </si>
  <si>
    <t>GSAT</t>
  </si>
  <si>
    <t>IRDM</t>
  </si>
  <si>
    <t>LBTYA</t>
  </si>
  <si>
    <t>LBTYB</t>
  </si>
  <si>
    <t>LUMN</t>
  </si>
  <si>
    <t>FYBR</t>
  </si>
  <si>
    <t>KT</t>
  </si>
  <si>
    <t>SNRE</t>
  </si>
  <si>
    <t>TEO</t>
  </si>
  <si>
    <t>PHI</t>
  </si>
  <si>
    <t>SKM</t>
  </si>
  <si>
    <t>TDS</t>
  </si>
  <si>
    <t>TIGO</t>
  </si>
  <si>
    <t>TIMB</t>
  </si>
  <si>
    <t>TKC</t>
  </si>
  <si>
    <t>USM</t>
  </si>
  <si>
    <t>VEON</t>
  </si>
  <si>
    <t>IPG</t>
  </si>
  <si>
    <t>WPP</t>
  </si>
  <si>
    <t>NMAX</t>
  </si>
  <si>
    <t>NXST</t>
  </si>
  <si>
    <t>TGNA</t>
  </si>
  <si>
    <t>SATS</t>
  </si>
  <si>
    <t>SIRI</t>
  </si>
  <si>
    <t>NYT</t>
  </si>
  <si>
    <t>WLY</t>
  </si>
  <si>
    <t>WLYB</t>
  </si>
  <si>
    <t>BATRA</t>
  </si>
  <si>
    <t>BATRK</t>
  </si>
  <si>
    <t>CNK</t>
  </si>
  <si>
    <t>LION</t>
  </si>
  <si>
    <t>LLYVA</t>
  </si>
  <si>
    <t>LLYVK</t>
  </si>
  <si>
    <t>MANU</t>
  </si>
  <si>
    <t>MSGS</t>
  </si>
  <si>
    <t>ROKU</t>
  </si>
  <si>
    <t>PLTK</t>
  </si>
  <si>
    <t>ATHM</t>
  </si>
  <si>
    <t>BILI</t>
  </si>
  <si>
    <t>BZ</t>
  </si>
  <si>
    <t>CARG</t>
  </si>
  <si>
    <t>DJT</t>
  </si>
  <si>
    <t>GRND</t>
  </si>
  <si>
    <t>JOYY</t>
  </si>
  <si>
    <t>WB</t>
  </si>
  <si>
    <t>YELP</t>
  </si>
  <si>
    <t>ATEX</t>
  </si>
  <si>
    <t>BAND</t>
  </si>
  <si>
    <t>SIFY</t>
  </si>
  <si>
    <t>IDT</t>
  </si>
  <si>
    <t>IHS</t>
  </si>
  <si>
    <t>SHEN</t>
  </si>
  <si>
    <t>GOGO</t>
  </si>
  <si>
    <t>SPOK</t>
  </si>
  <si>
    <t>AMBR</t>
  </si>
  <si>
    <t>BOC</t>
  </si>
  <si>
    <t>CCO</t>
  </si>
  <si>
    <t>CRTO</t>
  </si>
  <si>
    <t>EEX</t>
  </si>
  <si>
    <t>GAMB</t>
  </si>
  <si>
    <t>IAS</t>
  </si>
  <si>
    <t>IBTA</t>
  </si>
  <si>
    <t>LZMH</t>
  </si>
  <si>
    <t>MGNI</t>
  </si>
  <si>
    <t>NCMI</t>
  </si>
  <si>
    <t>NEXN</t>
  </si>
  <si>
    <t>PERI</t>
  </si>
  <si>
    <t>PUBM</t>
  </si>
  <si>
    <t>STGW</t>
  </si>
  <si>
    <t>THRY</t>
  </si>
  <si>
    <t>TTGT</t>
  </si>
  <si>
    <t>AMCX</t>
  </si>
  <si>
    <t>GTN</t>
  </si>
  <si>
    <t>SBGI</t>
  </si>
  <si>
    <t>ATUS</t>
  </si>
  <si>
    <t>CABO</t>
  </si>
  <si>
    <t>TV</t>
  </si>
  <si>
    <t>WOW</t>
  </si>
  <si>
    <t>GCI</t>
  </si>
  <si>
    <t>SCHL</t>
  </si>
  <si>
    <t>AMC</t>
  </si>
  <si>
    <t>CURI</t>
  </si>
  <si>
    <t>IMAX</t>
  </si>
  <si>
    <t>IQ</t>
  </si>
  <si>
    <t>MCS</t>
  </si>
  <si>
    <t>MSGE</t>
  </si>
  <si>
    <t>SPHR</t>
  </si>
  <si>
    <t>GCL</t>
  </si>
  <si>
    <t>GDEV</t>
  </si>
  <si>
    <t>HUYA</t>
  </si>
  <si>
    <t>SOHU</t>
  </si>
  <si>
    <t>ANGI</t>
  </si>
  <si>
    <t>BMBL</t>
  </si>
  <si>
    <t>CARS</t>
  </si>
  <si>
    <t>EVER</t>
  </si>
  <si>
    <t>GETY</t>
  </si>
  <si>
    <t>KIND</t>
  </si>
  <si>
    <t>MAX</t>
  </si>
  <si>
    <t>MOMO</t>
  </si>
  <si>
    <t>QNST</t>
  </si>
  <si>
    <t>SSTK</t>
  </si>
  <si>
    <t>TBLA</t>
  </si>
  <si>
    <t>TRIP</t>
  </si>
  <si>
    <t>TRVG</t>
  </si>
  <si>
    <t>VMEO</t>
  </si>
  <si>
    <t>VTEX</t>
  </si>
  <si>
    <t>YALA</t>
  </si>
  <si>
    <t>ZD</t>
  </si>
  <si>
    <t>ZH</t>
  </si>
  <si>
    <t>ZIP</t>
  </si>
  <si>
    <t>None</t>
  </si>
  <si>
    <t>KONMY</t>
  </si>
  <si>
    <t>RPGRY</t>
  </si>
  <si>
    <t>RCIAF</t>
  </si>
  <si>
    <t>UNVGY</t>
  </si>
  <si>
    <t>NEXOY</t>
  </si>
  <si>
    <t>KSHTY</t>
  </si>
  <si>
    <t>TLGPY</t>
  </si>
  <si>
    <t>CLLNY</t>
  </si>
  <si>
    <t>TEFOF</t>
  </si>
  <si>
    <t>UDIRY</t>
  </si>
  <si>
    <t>QBCRF</t>
  </si>
  <si>
    <t>HLTOY</t>
  </si>
  <si>
    <t>OTGLY</t>
  </si>
  <si>
    <t>IIJIY</t>
  </si>
  <si>
    <t>FRTAY</t>
  </si>
  <si>
    <t>HMNTY</t>
  </si>
  <si>
    <t>GTM</t>
  </si>
  <si>
    <t>MNSKY</t>
  </si>
  <si>
    <t>MNTN</t>
  </si>
  <si>
    <t>STRZ</t>
  </si>
  <si>
    <t>CVHSY</t>
  </si>
  <si>
    <t>WLDBF</t>
  </si>
  <si>
    <t>CPXGF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</si>
</sst>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0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8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9" fillId="0" borderId="5" xfId="0" applyNumberFormat="1" applyFont="1" applyBorder="1" applyAlignment="1">
      <alignment horizontal="center" vertical="center" wrapText="1"/>
    </xf>
    <xf numFmtId="2" fontId="9" fillId="0" borderId="9" xfId="0" applyNumberFormat="1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7" fillId="0" borderId="10" xfId="0" applyNumberFormat="1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 wrapText="1"/>
    </xf>
    <xf numFmtId="2" fontId="9" fillId="0" borderId="26" xfId="0" applyNumberFormat="1" applyFont="1" applyBorder="1" applyAlignment="1">
      <alignment horizontal="center" vertical="center"/>
    </xf>
    <xf numFmtId="2" fontId="9" fillId="0" borderId="5" xfId="0" applyNumberFormat="1" applyFont="1" applyBorder="1" applyAlignment="1">
      <alignment horizontal="center" vertical="center"/>
    </xf>
    <xf numFmtId="2" fontId="9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4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13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5" fillId="0" borderId="9" xfId="0" applyNumberFormat="1" applyFont="1" applyBorder="1" applyAlignment="1">
      <alignment horizontal="center" vertical="center" wrapText="1"/>
    </xf>
    <xf numFmtId="2" fontId="5" fillId="0" borderId="11" xfId="0" applyNumberFormat="1" applyFont="1" applyBorder="1" applyAlignment="1">
      <alignment horizontal="center" vertical="center" wrapText="1"/>
    </xf>
    <xf numFmtId="2" fontId="4" fillId="0" borderId="28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3" fontId="10" fillId="0" borderId="15" xfId="0" applyNumberFormat="1" applyFont="1" applyBorder="1" applyAlignment="1">
      <alignment horizontal="left" vertical="center" wrapText="1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2" fontId="1" fillId="0" borderId="6" xfId="0" applyNumberFormat="1" applyFont="1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2" fontId="1" fillId="0" borderId="6" xfId="0" applyNumberFormat="1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0" fillId="0" borderId="0" xfId="0" applyNumberFormat="1"/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15.62</v>
        <stp/>
        <stp>LAST</stp>
        <stp>UNVGY</stp>
        <tr r="D22" s="2"/>
      </tp>
      <tp>
        <v>10.35</v>
        <stp/>
        <stp>LAST</stp>
        <stp>VIV</stp>
        <tr r="D5" s="2"/>
      </tp>
      <tp>
        <v>9.91</v>
        <stp/>
        <stp>LAST</stp>
        <stp>VOD</stp>
        <tr r="D55" s="2"/>
      </tp>
      <tp>
        <v>36.68</v>
        <stp/>
        <stp>LAST</stp>
        <stp>WPP</stp>
        <tr r="D43" s="3"/>
      </tp>
      <tp>
        <v>4.08</v>
        <stp/>
        <stp>LAST</stp>
        <stp>WOW</stp>
        <tr r="D63" s="4"/>
      </tp>
      <tp>
        <v>38.159999999999997</v>
        <stp/>
        <stp>LAST</stp>
        <stp>WLY</stp>
        <tr r="D41" s="3"/>
      </tp>
      <tp>
        <v>26.21</v>
        <stp/>
        <stp>LAST</stp>
        <stp>WMG</stp>
        <tr r="D24" s="2"/>
      </tp>
      <tp>
        <v>9.5299999999999994</v>
        <stp/>
        <stp>LAST</stp>
        <stp>WBD</stp>
        <tr r="D30" s="2"/>
      </tp>
      <tp>
        <v>44.13</v>
        <stp/>
        <stp>LAST</stp>
        <stp>BATRA</stp>
        <tr r="D21" s="3"/>
      </tp>
      <tp>
        <v>41.39</v>
        <stp/>
        <stp>LAST</stp>
        <stp>BATRK</stp>
        <tr r="D22" s="3"/>
      </tp>
      <tp>
        <v>9.89</v>
        <stp/>
        <stp>LAST</stp>
        <stp>LBTYB</stp>
        <tr r="D11" s="3"/>
      </tp>
      <tp>
        <v>9.59</v>
        <stp/>
        <stp>LAST</stp>
        <stp>LBTYA</stp>
        <tr r="D10" s="3"/>
      </tp>
      <tp>
        <v>18.03</v>
        <stp/>
        <stp>LAST</stp>
        <stp>FRTAY</stp>
        <tr r="D52" s="3"/>
      </tp>
      <tp>
        <v>9.94</v>
        <stp/>
        <stp>LAST</stp>
        <stp>HLTOY</stp>
        <tr r="D5" s="3"/>
      </tp>
      <tp>
        <v>71.489999999999995</v>
        <stp/>
        <stp>LAST</stp>
        <stp>TTD</stp>
        <tr r="D50" s="2"/>
      </tp>
      <tp>
        <v>6.44</v>
        <stp/>
        <stp>LAST</stp>
        <stp>TKC</stp>
        <tr r="D54" s="3"/>
      </tp>
      <tp>
        <v>163.33000000000001</v>
        <stp/>
        <stp>LAST</stp>
        <stp>TKO</stp>
        <tr r="D21" s="2"/>
      </tp>
      <tp>
        <v>17.559999999999999</v>
        <stp/>
        <stp>LAST</stp>
        <stp>TLK</stp>
        <tr r="D9" s="2"/>
      </tp>
      <tp>
        <v>18.510000000000002</v>
        <stp/>
        <stp>LAST</stp>
        <stp>TME</stp>
        <tr r="D25" s="2"/>
      </tp>
      <tp>
        <v>35.58</v>
        <stp/>
        <stp>LAST</stp>
        <stp>TDS</stp>
        <tr r="D56" s="3"/>
      </tp>
      <tp>
        <v>5.3</v>
        <stp/>
        <stp>LAST</stp>
        <stp>TEF</stp>
        <tr r="D11" s="2"/>
      </tp>
      <tp>
        <v>9.4600000000000009</v>
        <stp/>
        <stp>LAST</stp>
        <stp>TEO</stp>
        <tr r="D8" s="3"/>
      </tp>
      <tp>
        <v>62.56</v>
        <stp/>
        <stp>LAST</stp>
        <stp>USM</stp>
        <tr r="D55" s="3"/>
      </tp>
      <tp>
        <v>93.63</v>
        <stp/>
        <stp>LAST</stp>
        <stp>LBRDK</stp>
        <tr r="D44" s="2"/>
      </tp>
      <tp>
        <v>92.81</v>
        <stp/>
        <stp>LAST</stp>
        <stp>LBRDA</stp>
        <tr r="D43" s="2"/>
      </tp>
      <tp>
        <v>26.65</v>
        <stp/>
        <stp>LAST</stp>
        <stp>RCI</stp>
        <tr r="D52" s="2"/>
      </tp>
      <tp>
        <v>11.5</v>
        <stp/>
        <stp>LAST</stp>
        <stp>MNSKY</stp>
        <tr r="D23" s="4"/>
      </tp>
      <tp>
        <v>21.62</v>
        <stp/>
        <stp>LAST</stp>
        <stp>SKM</stp>
        <tr r="D49" s="3"/>
      </tp>
      <tp>
        <v>22.42</v>
        <stp/>
        <stp>LAST</stp>
        <stp>PHI</stp>
        <tr r="D50" s="3"/>
      </tp>
      <tp>
        <v>6.37</v>
        <stp/>
        <stp>LAST</stp>
        <stp>ZIP</stp>
        <tr r="D39" s="4"/>
      </tp>
      <tp>
        <v>8.4499999999999993</v>
        <stp/>
        <stp>LAST</stp>
        <stp>CPXGF</stp>
        <tr r="D20" s="4"/>
      </tp>
      <tp>
        <v>18.04</v>
        <stp/>
        <stp>LAST</stp>
        <stp>NEXOY</stp>
        <tr r="D23" s="2"/>
      </tp>
      <tp>
        <v>75.89</v>
        <stp/>
        <stp>LAST</stp>
        <stp>LLYVK</stp>
        <tr r="D19" s="3"/>
      </tp>
      <tp>
        <v>74.709999999999994</v>
        <stp/>
        <stp>LAST</stp>
        <stp>LLYVA</stp>
        <tr r="D18" s="3"/>
      </tp>
      <tp>
        <v>5.4020000000000001</v>
        <stp/>
        <stp>LAST</stp>
        <stp>TEFOF</stp>
        <tr r="D12" s="2"/>
      </tp>
      <tp>
        <v>49.56</v>
        <stp/>
        <stp>LAST</stp>
        <stp>FOX</stp>
        <tr r="D46" s="2"/>
      </tp>
      <tp>
        <v>38.28</v>
        <stp/>
        <stp>LAST</stp>
        <stp>RPGRY</stp>
        <tr r="D36" s="2"/>
      </tp>
      <tp>
        <v>16.03</v>
        <stp/>
        <stp>LAST</stp>
        <stp>TLGPY</stp>
        <tr r="D8" s="2"/>
      </tp>
      <tp>
        <v>17.86</v>
        <stp/>
        <stp>LAST</stp>
        <stp>OTGLY</stp>
        <tr r="D17" s="3"/>
      </tp>
      <tp>
        <v>3.96</v>
        <stp/>
        <stp>LAST</stp>
        <stp>GTN</stp>
        <tr r="D45" s="4"/>
      </tp>
      <tp>
        <v>10.15</v>
        <stp/>
        <stp>LAST</stp>
        <stp>GTM</stp>
        <tr r="D32" s="3"/>
      </tp>
      <tp>
        <v>2.4500000000000002</v>
        <stp/>
        <stp>LAST</stp>
        <stp>GCL</stp>
        <tr r="D14" s="4"/>
      </tp>
      <tp>
        <v>3.56</v>
        <stp/>
        <stp>LAST</stp>
        <stp>GCI</stp>
        <tr r="D51" s="4"/>
      </tp>
      <tp>
        <v>1.528</v>
        <stp/>
        <stp>LAST</stp>
        <stp>WLDBF</stp>
        <tr r="D19" s="4"/>
      </tp>
      <tp>
        <v>21.22</v>
        <stp/>
        <stp>LAST</stp>
        <stp>DJT</stp>
        <tr r="D34" s="3"/>
      </tp>
      <tp>
        <v>115.66</v>
        <stp/>
        <stp>LAST</stp>
        <stp>DIS</stp>
        <tr r="D15" s="2"/>
      </tp>
      <tp>
        <v>4.8499999999999996</v>
        <stp/>
        <stp>LAST</stp>
        <stp>EEX</stp>
        <tr r="D56" s="4"/>
      </tp>
      <tp>
        <v>14.04</v>
        <stp/>
        <stp>LAST</stp>
        <stp>BOC</stp>
        <tr r="D55" s="4"/>
      </tp>
      <tp>
        <v>22.1</v>
        <stp/>
        <stp>LAST</stp>
        <stp>BCE</stp>
        <tr r="D6" s="2"/>
      </tp>
      <tp>
        <v>28.45</v>
        <stp/>
        <stp>LAST</stp>
        <stp>QBCRF</stp>
        <tr r="D3" s="3"/>
      </tp>
      <tp>
        <v>34.6</v>
        <stp/>
        <stp>LAST</stp>
        <stp>CMCSA</stp>
        <tr r="D45" s="2"/>
      </tp>
      <tp>
        <v>44.27</v>
        <stp/>
        <stp>LAST</stp>
        <stp>CHT</stp>
        <tr r="D7" s="2"/>
      </tp>
      <tp>
        <v>31.42</v>
        <stp/>
        <stp>LAST</stp>
        <stp>CNK</stp>
        <tr r="D16" s="3"/>
      </tp>
      <tp>
        <v>1.1399999999999999</v>
        <stp/>
        <stp>LAST</stp>
        <stp>CCO</stp>
        <tr r="D61" s="4"/>
      </tp>
      <tp>
        <v>16.829999999999998</v>
        <stp/>
        <stp>LAST</stp>
        <stp>AMX</stp>
        <tr r="D54" s="2"/>
      </tp>
      <tp>
        <v>3.35</v>
        <stp/>
        <stp>LAST</stp>
        <stp>AMC</stp>
        <tr r="D21" s="4"/>
      </tp>
      <tp>
        <v>29.21</v>
        <stp/>
        <stp>LAST</stp>
        <stp>HMNTY</stp>
        <tr r="D30" s="3"/>
      </tp>
      <tp>
        <v>69.75</v>
        <stp/>
        <stp>LAST</stp>
        <stp>KONMY</stp>
        <tr r="D17" s="2"/>
      </tp>
      <tp>
        <v>55.64</v>
        <stp/>
        <stp>LAST</stp>
        <stp>NYT</stp>
        <tr r="D39" s="3"/>
      </tp>
      <tp>
        <v>31.82</v>
        <stp/>
        <stp>LAST</stp>
        <stp>NWS</stp>
        <tr r="D48" s="2"/>
      </tp>
      <tp>
        <v>176.09</v>
        <stp/>
        <stp>LAST</stp>
        <stp>GOOGL</stp>
        <tr r="D35" s="2"/>
      </tp>
      <tp>
        <v>88.31</v>
        <stp/>
        <stp>LAST</stp>
        <stp>FWONA</stp>
        <tr r="D26" s="2"/>
      </tp>
      <tp>
        <v>97.68</v>
        <stp/>
        <stp>LAST</stp>
        <stp>FWONK</stp>
        <tr r="D27" s="2"/>
      </tp>
      <tp>
        <v>71.55</v>
        <stp/>
        <stp>LAST</stp>
        <stp>OMC</stp>
        <tr r="D42" s="2"/>
      </tp>
      <tp>
        <v>19.03</v>
        <stp/>
        <stp>LAST</stp>
        <stp>CLLNY</stp>
        <tr r="D10" s="2"/>
      </tp>
      <tp>
        <v>143.47999999999999</v>
        <stp/>
        <stp>LAST</stp>
        <stp>LYV</stp>
        <tr r="D18" s="2"/>
      </tp>
      <tp>
        <v>17.47</v>
        <stp/>
        <stp>LAST</stp>
        <stp>MCS</stp>
        <tr r="D18" s="4"/>
      </tp>
      <tp>
        <v>10.79</v>
        <stp/>
        <stp>LAST</stp>
        <stp>MAX</stp>
        <tr r="D32" s="4"/>
      </tp>
      <tp>
        <v>39</v>
        <stp/>
        <stp>LAST</stp>
        <stp>IIJIY</stp>
        <tr r="D7" s="3"/>
      </tp>
      <tp>
        <v>5.6</v>
        <stp/>
        <stp>LAST</stp>
        <stp>CVHSY</stp>
        <tr r="D54" s="4"/>
      </tp>
      <tp>
        <v>1.51</v>
        <stp/>
        <stp>LAST</stp>
        <stp>KSHTY</stp>
        <tr r="D39" s="2"/>
      </tp>
      <tp>
        <v>27.8</v>
        <stp/>
        <stp>LAST</stp>
        <stp>UDIRY</stp>
        <tr r="D2" s="3"/>
      </tp>
      <tp>
        <v>29.6</v>
        <stp/>
        <stp>LAST</stp>
        <stp>RCIAF</stp>
        <tr r="D53" s="2"/>
      </tp>
      <tp>
        <v>23.08</v>
        <stp/>
        <stp>LAST</stp>
        <stp>IPG</stp>
        <tr r="D40" s="3"/>
      </tp>
      <tp>
        <v>5.82</v>
        <stp/>
        <stp>LAST</stp>
        <stp>IHS</stp>
        <tr r="D5" s="4"/>
      </tp>
      <tp>
        <v>8.1300000000000008</v>
        <stp/>
        <stp>LAST</stp>
        <stp>IAS</stp>
        <tr r="D52" s="4"/>
      </tp>
      <tp>
        <v>64.98</v>
        <stp/>
        <stp>LAST</stp>
        <stp>IDT</stp>
        <tr r="D2" s="4"/>
      </tp>
      <tp>
        <v>21.66</v>
        <stp/>
        <stp>LAST</stp>
        <stp>LZMH</stp>
        <tr r="D36" s="3"/>
      </tp>
      <tp>
        <v>168.34</v>
        <stp/>
        <stp>LAST</stp>
        <stp>NXST</stp>
        <tr r="D37" s="3"/>
      </tp>
      <tp>
        <v>36.270000000000003</v>
        <stp/>
        <stp>LAST</stp>
        <stp>FYBR</stp>
        <tr r="D13" s="3"/>
      </tp>
      <tp>
        <v>4.2699999999999996</v>
        <stp/>
        <stp>LAST</stp>
        <stp>TRVG</stp>
        <tr r="D41" s="4"/>
      </tp>
      <tp>
        <v>25.78</v>
        <stp/>
        <stp>LAST</stp>
        <stp>CRTO</stp>
        <tr r="D44" s="4"/>
      </tp>
      <tp>
        <v>28.56</v>
        <stp/>
        <stp>LAST</stp>
        <stp>IRDM</stp>
        <tr r="D6" s="3"/>
      </tp>
      <tp>
        <v>23.23</v>
        <stp/>
        <stp>LAST</stp>
        <stp>GRND</stp>
        <tr r="D35" s="3"/>
      </tp>
      <tp>
        <v>14.27</v>
        <stp/>
        <stp>LAST</stp>
        <stp>TRIP</stp>
        <tr r="D31" s="4"/>
      </tp>
      <tp>
        <v>17.760000000000002</v>
        <stp/>
        <stp>LAST</stp>
        <stp>SSTK</stp>
        <tr r="D25" s="4"/>
      </tp>
      <tp>
        <v>189.98</v>
        <stp/>
        <stp>LAST</stp>
        <stp>MSGS</stp>
        <tr r="D20" s="3"/>
      </tp>
      <tp>
        <v>38.119999999999997</v>
        <stp/>
        <stp>LAST</stp>
        <stp>MSGE</stp>
        <tr r="D10" s="4"/>
      </tp>
      <tp>
        <v>21.19</v>
        <stp/>
        <stp>LAST</stp>
        <stp>GSAT</stp>
        <tr r="D12" s="3"/>
      </tp>
      <tp>
        <v>699.11</v>
        <stp/>
        <stp>LAST</stp>
        <stp>SPOT</stp>
        <tr r="D14" s="2"/>
      </tp>
      <tp>
        <v>16.54</v>
        <stp/>
        <stp>LAST</stp>
        <stp>SPOK</stp>
        <tr r="D69" s="4"/>
      </tp>
      <tp>
        <v>38.340000000000003</v>
        <stp/>
        <stp>LAST</stp>
        <stp>SPHR</stp>
        <tr r="D22" s="4"/>
      </tp>
      <tp>
        <v>25.93</v>
        <stp/>
        <stp>LAST</stp>
        <stp>EVER</stp>
        <tr r="D26" s="4"/>
      </tp>
      <tp>
        <v>27.76</v>
        <stp/>
        <stp>LAST</stp>
        <stp>NWSA</stp>
        <tr r="D49" s="2"/>
      </tp>
      <tp>
        <v>233.5</v>
        <stp/>
        <stp>LAST</stp>
        <stp>TTWO</stp>
        <tr r="D31" s="2"/>
      </tp>
      <tp>
        <v>2.15</v>
        <stp/>
        <stp>LAST</stp>
        <stp>ATUS</stp>
        <tr r="D62" s="4"/>
      </tp>
      <tp>
        <v>16.8</v>
        <stp/>
        <stp>LAST</stp>
        <stp>STRZ</stp>
        <tr r="D8" s="4"/>
      </tp>
      <tp>
        <v>4.55</v>
        <stp/>
        <stp>LAST</stp>
        <stp>STGW</stp>
        <tr r="D57" s="4"/>
      </tp>
      <tp>
        <v>7.67</v>
        <stp/>
        <stp>LAST</stp>
        <stp>TTGT</stp>
        <tr r="D65" s="4"/>
      </tp>
      <tp>
        <v>130.19</v>
        <stp/>
        <stp>LAST</stp>
        <stp>NTES</stp>
        <tr r="D20" s="2"/>
      </tp>
      <tp>
        <v>6.58</v>
        <stp/>
        <stp>LAST</stp>
        <stp>VTEX</stp>
        <tr r="D34" s="4"/>
      </tp>
      <tp>
        <v>27.83</v>
        <stp/>
        <stp>LAST</stp>
        <stp>ATEX</stp>
        <tr r="D7" s="4"/>
      </tp>
      <tp>
        <v>26.26</v>
        <stp/>
        <stp>LAST</stp>
        <stp>ATHM</stp>
        <tr r="D27" s="3"/>
      </tp>
      <tp>
        <v>5.82</v>
        <stp/>
        <stp>LAST</stp>
        <stp>CURI</stp>
        <tr r="D17" s="4"/>
      </tp>
      <tp>
        <v>4.0999999999999996</v>
        <stp/>
        <stp>LAST</stp>
        <stp>HUYA</stp>
        <tr r="D16" s="4"/>
      </tp>
      <tp>
        <v>12.11</v>
        <stp/>
        <stp>LAST</stp>
        <stp>PUBM</stp>
        <tr r="D53" s="4"/>
      </tp>
      <tp>
        <v>4.2</v>
        <stp/>
        <stp>LAST</stp>
        <stp>LUMN</stp>
        <tr r="D9" s="3"/>
      </tp>
      <tp>
        <v>394.56</v>
        <stp/>
        <stp>LAST</stp>
        <stp>CHTR</stp>
        <tr r="D41" s="2"/>
      </tp>
      <tp>
        <v>13.74</v>
        <stp/>
        <stp>LAST</stp>
        <stp>THRY</stp>
        <tr r="D64" s="4"/>
      </tp>
      <tp>
        <v>13.69</v>
        <stp/>
        <stp>LAST</stp>
        <stp>SHEN</stp>
        <tr r="D6" s="4"/>
      </tp>
      <tp>
        <v>22</v>
        <stp/>
        <stp>LAST</stp>
        <stp>SIRI</stp>
        <tr r="D47" s="3"/>
      </tp>
      <tp>
        <v>4.8</v>
        <stp/>
        <stp>LAST</stp>
        <stp>SIFY</stp>
        <tr r="D4" s="4"/>
      </tp>
      <tp>
        <v>36.17</v>
        <stp/>
        <stp>LAST</stp>
        <stp>TIGO</stp>
        <tr r="D51" s="3"/>
      </tp>
      <tp>
        <v>88.66</v>
        <stp/>
        <stp>LAST</stp>
        <stp>BIDU</stp>
        <tr r="D33" s="2"/>
      </tp>
      <tp>
        <v>34.14</v>
        <stp/>
        <stp>LAST</stp>
        <stp>PINS</stp>
        <tr r="D37" s="2"/>
      </tp>
      <tp>
        <v>1.65</v>
        <stp/>
        <stp>LAST</stp>
        <stp>KIND</stp>
        <tr r="D40" s="4"/>
      </tp>
      <tp>
        <v>6.5</v>
        <stp/>
        <stp>LAST</stp>
        <stp>LION</stp>
        <tr r="D23" s="3"/>
      </tp>
      <tp>
        <v>19.45</v>
        <stp/>
        <stp>LAST</stp>
        <stp>BILI</stp>
        <tr r="D33" s="3"/>
      </tp>
      <tp>
        <v>17.8</v>
        <stp/>
        <stp>LAST</stp>
        <stp>TIMB</stp>
        <tr r="D53" s="3"/>
      </tp>
      <tp>
        <v>24.16</v>
        <stp/>
        <stp>LAST</stp>
        <stp>MNTN</stp>
        <tr r="D43" s="4"/>
      </tp>
      <tp>
        <v>52.54</v>
        <stp/>
        <stp>LAST</stp>
        <stp>SNRE</stp>
        <tr r="D14" s="3"/>
      </tp>
      <tp>
        <v>16.05</v>
        <stp/>
        <stp>LAST</stp>
        <stp>QNST</stp>
        <tr r="D36" s="4"/>
      </tp>
      <tp>
        <v>16.63</v>
        <stp/>
        <stp>LAST</stp>
        <stp>ANGI</stp>
        <tr r="D27" s="4"/>
      </tp>
      <tp>
        <v>8.5</v>
        <stp/>
        <stp>LAST</stp>
        <stp>SNAP</stp>
        <tr r="D40" s="2"/>
      </tp>
      <tp>
        <v>54.1</v>
        <stp/>
        <stp>LAST</stp>
        <stp>FOXA</stp>
        <tr r="D47" s="2"/>
      </tp>
      <tp>
        <v>48.84</v>
        <stp/>
        <stp>LAST</stp>
        <stp>JOYY</stp>
        <tr r="D25" s="3"/>
      </tp>
      <tp>
        <v>11.75</v>
        <stp/>
        <stp>LAST</stp>
        <stp>GOGO</stp>
        <tr r="D70" s="4"/>
      </tp>
      <tp>
        <v>177.63</v>
        <stp/>
        <stp>LAST</stp>
        <stp>GOOG</stp>
        <tr r="D34" s="2"/>
      </tp>
      <tp>
        <v>8.06</v>
        <stp/>
        <stp>LAST</stp>
        <stp>MOMO</stp>
        <tr r="D29" s="4"/>
      </tp>
      <tp>
        <v>79.59</v>
        <stp/>
        <stp>LAST</stp>
        <stp>ROKU</stp>
        <tr r="D28" s="2"/>
      </tp>
      <tp>
        <v>10.61</v>
        <stp/>
        <stp>LAST</stp>
        <stp>SOHU</stp>
        <tr r="D9" s="4"/>
      </tp>
      <tp>
        <v>4.8099999999999996</v>
        <stp/>
        <stp>LAST</stp>
        <stp>PLTK</stp>
        <tr r="D13" s="4"/>
      </tp>
      <tp>
        <v>38.799999999999997</v>
        <stp/>
        <stp>LAST</stp>
        <stp>WLYB</stp>
        <tr r="D42" s="3"/>
      </tp>
      <tp>
        <v>237.95</v>
        <stp/>
        <stp>LAST</stp>
        <stp>TMUS</stp>
        <tr r="D51" s="2"/>
      </tp>
      <tp>
        <v>4.59</v>
        <stp/>
        <stp>LAST</stp>
        <stp>VMEO</stp>
        <tr r="D33" s="4"/>
      </tp>
      <tp>
        <v>10.49</v>
        <stp/>
        <stp>LAST</stp>
        <stp>AMBR</stp>
        <tr r="D66" s="4"/>
      </tp>
      <tp>
        <v>5.34</v>
        <stp/>
        <stp>LAST</stp>
        <stp>BMBL</stp>
        <tr r="D42" s="4"/>
      </tp>
      <tp>
        <v>6.75</v>
        <stp/>
        <stp>LAST</stp>
        <stp>AMCX</stp>
        <tr r="D68" s="4"/>
      </tp>
      <tp>
        <v>14.77</v>
        <stp/>
        <stp>LAST</stp>
        <stp>NMAX</stp>
        <tr r="D46" s="3"/>
      </tp>
      <tp>
        <v>27.03</v>
        <stp/>
        <stp>LAST</stp>
        <stp>IMAX</stp>
        <tr r="D12" s="4"/>
      </tp>
      <tp>
        <v>46.13</v>
        <stp/>
        <stp>LAST</stp>
        <stp>IBTA</stp>
        <tr r="D46" s="4"/>
      </tp>
      <tp>
        <v>13.39</v>
        <stp/>
        <stp>LAST</stp>
        <stp>SBGI</stp>
        <tr r="D47" s="4"/>
      </tp>
      <tp>
        <v>93.42</v>
        <stp/>
        <stp>LAST</stp>
        <stp>RBLX</stp>
        <tr r="D29" s="2"/>
      </tp>
      <tp>
        <v>3.61</v>
        <stp/>
        <stp>LAST</stp>
        <stp>TBLA</stp>
        <tr r="D35" s="4"/>
      </tp>
      <tp>
        <v>48.96</v>
        <stp/>
        <stp>LAST</stp>
        <stp>CCOI</stp>
        <tr r="D15" s="3"/>
      </tp>
      <tp>
        <v>5.26</v>
        <stp/>
        <stp>LAST</stp>
        <stp>NCMI</stp>
        <tr r="D60" s="4"/>
      </tp>
      <tp>
        <v>19.28</v>
        <stp/>
        <stp>LAST</stp>
        <stp>SCHL</stp>
        <tr r="D49" s="4"/>
      </tp>
      <tp>
        <v>15.99</v>
        <stp/>
        <stp>LAST</stp>
        <stp>SATS</stp>
        <tr r="D45" s="3"/>
      </tp>
      <tp>
        <v>10.56</v>
        <stp/>
        <stp>LAST</stp>
        <stp>CARS</stp>
        <tr r="D30" s="4"/>
      </tp>
      <tp>
        <v>32.020000000000003</v>
        <stp/>
        <stp>LAST</stp>
        <stp>CARG</stp>
        <tr r="D31" s="3"/>
      </tp>
      <tp>
        <v>135.87</v>
        <stp/>
        <stp>LAST</stp>
        <stp>CABO</stp>
        <tr r="D67" s="4"/>
      </tp>
      <tp>
        <v>17.010000000000002</v>
        <stp/>
        <stp>LAST</stp>
        <stp>MANU</stp>
        <tr r="D24" s="3"/>
      </tp>
      <tp>
        <v>15.08</v>
        <stp/>
        <stp>LAST</stp>
        <stp>BAND</stp>
        <tr r="D3" s="4"/>
      </tp>
      <tp>
        <v>6.8</v>
        <stp/>
        <stp>LAST</stp>
        <stp>YALA</stp>
        <tr r="D28" s="4"/>
      </tp>
      <tp>
        <v>12.05</v>
        <stp/>
        <stp>LAST</stp>
        <stp>GAMB</stp>
        <tr r="D48" s="4"/>
      </tp>
      <tp>
        <v>1224.46</v>
        <stp/>
        <stp>LAST</stp>
        <stp>NFLX</stp>
        <tr r="D13" s="2"/>
      </tp>
      <tp>
        <v>16.559999999999999</v>
        <stp/>
        <stp>LAST</stp>
        <stp>TGNA</stp>
        <tr r="D38" s="3"/>
      </tp>
      <tp>
        <v>17.53</v>
        <stp/>
        <stp>LAST</stp>
        <stp>MGNI</stp>
        <tr r="D44" s="3"/>
      </tp>
      <tp>
        <v>117.53</v>
        <stp/>
        <stp>LAST</stp>
        <stp>RDDT</stp>
        <tr r="D38" s="2"/>
      </tp>
      <tp>
        <v>22.055</v>
        <stp/>
        <stp>LAST</stp>
        <stp>GDEV</stp>
        <tr r="D11" s="4"/>
      </tp>
      <tp>
        <v>1.63</v>
        <stp/>
        <stp>LAST</stp>
        <stp>GETY</stp>
        <tr r="D38" s="4"/>
      </tp>
      <tp>
        <v>694.06</v>
        <stp/>
        <stp>LAST</stp>
        <stp>META</stp>
        <tr r="D32" s="2"/>
      </tp>
      <tp>
        <v>10.4</v>
        <stp/>
        <stp>LAST</stp>
        <stp>PERI</stp>
        <tr r="D59" s="4"/>
      </tp>
      <tp>
        <v>10.55</v>
        <stp/>
        <stp>LAST</stp>
        <stp>NEXN</stp>
        <tr r="D50" s="4"/>
      </tp>
      <tp>
        <v>48.34</v>
        <stp/>
        <stp>LAST</stp>
        <stp>VEON</stp>
        <tr r="D48" s="3"/>
      </tp>
      <tp>
        <v>37.020000000000003</v>
        <stp/>
        <stp>LAST</stp>
        <stp>YELP</stp>
        <tr r="D26" s="3"/>
      </tp>
      <tp>
        <v>43.65</v>
        <stp/>
        <stp>LAST</stp>
        <stp>VZ</stp>
        <tr r="D2" s="2"/>
      </tp>
      <tp>
        <v>9.7899999999999991</v>
        <stp/>
        <stp>LAST</stp>
        <stp>WB</stp>
        <tr r="D28" s="3"/>
      </tp>
      <tp>
        <v>2</v>
        <stp/>
        <stp>LAST</stp>
        <stp>TV</stp>
        <tr r="D58" s="4"/>
      </tp>
      <tp>
        <v>16.329999999999998</v>
        <stp/>
        <stp>LAST</stp>
        <stp>TU</stp>
        <tr r="D4" s="2"/>
      </tp>
      <tp>
        <v>164.58</v>
        <stp/>
        <stp>LAST</stp>
        <stp>SE</stp>
        <tr r="D19" s="2"/>
      </tp>
      <tp>
        <v>4.01</v>
        <stp/>
        <stp>LAST</stp>
        <stp>ZH</stp>
        <tr r="D37" s="4"/>
      </tp>
      <tp>
        <v>33.53</v>
        <stp/>
        <stp>LAST</stp>
        <stp>ZD</stp>
        <tr r="D24" s="4"/>
      </tp>
      <tp>
        <v>146.91999999999999</v>
        <stp/>
        <stp>LAST</stp>
        <stp>EA</stp>
        <tr r="D16" s="2"/>
      </tp>
      <tp>
        <v>18.8</v>
        <stp/>
        <stp>LAST</stp>
        <stp>BZ</stp>
        <tr r="D29" s="3"/>
      </tp>
      <tp>
        <v>19.88</v>
        <stp/>
        <stp>LAST</stp>
        <stp>KT</stp>
        <tr r="D4" s="3"/>
      </tp>
      <tp>
        <v>1.77</v>
        <stp/>
        <stp>LAST</stp>
        <stp>IQ</stp>
        <tr r="D15" s="4"/>
      </tp>
      <tp>
        <v>27.86</v>
        <stp/>
        <stp>LAST</stp>
        <stp>T</stp>
        <tr r="D3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77351620368" createdVersion="8" refreshedVersion="8" minRefreshableVersion="3" recordCount="54" xr:uid="{3432845B-C090-4238-AA0B-FA56B072311B}">
  <cacheSource type="worksheet">
    <worksheetSource name="Main_L"/>
  </cacheSource>
  <cacheFields count="26">
    <cacheField name="Industry" numFmtId="0">
      <sharedItems count="58">
        <s v="Diversified Telecommunication Services"/>
        <s v="Entertainment"/>
        <s v="Interactive Media &amp; Services"/>
        <s v="Media"/>
        <s v="Wireless Telecommunication Service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627" maxValue="2097492"/>
    </cacheField>
    <cacheField name="Current Price" numFmtId="0">
      <sharedItems containsSemiMixedTypes="0" containsString="0" containsNumber="1" minValue="1.51" maxValue="1224.46"/>
    </cacheField>
    <cacheField name="Free CF" numFmtId="0">
      <sharedItems containsSemiMixedTypes="0" containsString="0" containsNumber="1" minValue="-1.23" maxValue="32.159999999999997"/>
    </cacheField>
    <cacheField name="BVPS" numFmtId="0">
      <sharedItems containsSemiMixedTypes="0" containsString="0" containsNumber="1" minValue="0.09" maxValue="115.75"/>
    </cacheField>
    <cacheField name="EPS" numFmtId="0">
      <sharedItems containsSemiMixedTypes="0" containsString="0" containsNumber="1" minValue="-25.58" maxValue="35.86"/>
    </cacheField>
    <cacheField name="P/FCF" numFmtId="2">
      <sharedItems containsSemiMixedTypes="0" containsString="0" containsNumber="1" minValue="-2216.5" maxValue="877.99999999999989"/>
    </cacheField>
    <cacheField name="P/B" numFmtId="2">
      <sharedItems containsSemiMixedTypes="0" containsString="0" containsNumber="1" minValue="0.69663742690058472" maxValue="305.27659574468083"/>
    </cacheField>
    <cacheField name="ROE" numFmtId="0">
      <sharedItems containsSemiMixedTypes="0" containsString="0" containsNumber="1" minValue="-492.67" maxValue="68.510000000000005"/>
    </cacheField>
    <cacheField name="ROA" numFmtId="0">
      <sharedItems containsSemiMixedTypes="0" containsString="0" containsNumber="1" minValue="-9.06" maxValue="18.04"/>
    </cacheField>
    <cacheField name="A/E" numFmtId="0">
      <sharedItems containsSemiMixedTypes="0" containsString="0" containsNumber="1" minValue="1.1000000000000001" maxValue="205.93"/>
    </cacheField>
    <cacheField name="P/E" numFmtId="2">
      <sharedItems containsSemiMixedTypes="0" containsString="0" containsNumber="1" minValue="-317.16666666666669" maxValue="1755.9999999999998"/>
    </cacheField>
    <cacheField name="Preliminary Criteria" numFmtId="0">
      <sharedItems/>
    </cacheField>
    <cacheField name="P/FCF Z-Score" numFmtId="2">
      <sharedItems containsSemiMixedTypes="0" containsString="0" containsNumber="1" minValue="-171.68539503950876" maxValue="27.151354668260069"/>
    </cacheField>
    <cacheField name="P/B Z-Score" numFmtId="2">
      <sharedItems containsSemiMixedTypes="0" containsString="0" containsNumber="1" minValue="-6.2795945248529375" maxValue="44.455478365934709"/>
    </cacheField>
    <cacheField name="ROE Z-Score" numFmtId="2">
      <sharedItems containsSemiMixedTypes="0" containsString="0" containsNumber="1" minValue="-27.073900247076025" maxValue="4.453645741437855"/>
    </cacheField>
    <cacheField name="ROA Z-Score" numFmtId="2">
      <sharedItems containsSemiMixedTypes="0" containsString="0" containsNumber="1" minValue="-3.5725333592590784" maxValue="3.6007141432938479"/>
    </cacheField>
    <cacheField name="A/E Z-Score" numFmtId="2">
      <sharedItems containsSemiMixedTypes="0" containsString="0" containsNumber="1" minValue="-1.6292392574849821" maxValue="221.6782960489009"/>
    </cacheField>
    <cacheField name="P/E Z-Score" numFmtId="2">
      <sharedItems containsSemiMixedTypes="0" containsString="0" containsNumber="1" minValue="-14.667282864745854" maxValue="107.44139602334516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77353356485" createdVersion="8" refreshedVersion="8" minRefreshableVersion="3" recordCount="55" xr:uid="{A2646FF5-8A5C-4026-A340-9C8CC354FDFF}">
  <cacheSource type="worksheet">
    <worksheetSource name="Main_M"/>
  </cacheSource>
  <cacheFields count="26">
    <cacheField name="Industry" numFmtId="0">
      <sharedItems count="59">
        <s v="Diversified Telecommunication Services"/>
        <s v="Entertainment"/>
        <s v="Interactive Media &amp; Services"/>
        <s v="Media"/>
        <s v="Wireless Telecommunication Service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66" maxValue="9313"/>
    </cacheField>
    <cacheField name="Current Price" numFmtId="0">
      <sharedItems containsSemiMixedTypes="0" containsString="0" containsNumber="1" minValue="4.2" maxValue="189.98"/>
    </cacheField>
    <cacheField name="Free CF" numFmtId="0">
      <sharedItems containsString="0" containsBlank="1" containsNumber="1" minValue="-4.29" maxValue="37.21"/>
    </cacheField>
    <cacheField name="BVPS" numFmtId="0">
      <sharedItems containsString="0" containsBlank="1" containsNumber="1" minValue="-11.8" maxValue="126.95"/>
    </cacheField>
    <cacheField name="EPS" numFmtId="0">
      <sharedItems containsString="0" containsBlank="1" containsNumber="1" minValue="-4.9000000000000004" maxValue="31"/>
    </cacheField>
    <cacheField name="P/FCF" numFmtId="2">
      <sharedItems containsMixedTypes="1" containsNumber="1" minValue="-474.3125" maxValue="121.875"/>
    </cacheField>
    <cacheField name="P/B" numFmtId="2">
      <sharedItems containsMixedTypes="1" containsNumber="1" minValue="-18.646191646191646" maxValue="22.643410852713178"/>
    </cacheField>
    <cacheField name="ROE" numFmtId="0">
      <sharedItems containsSemiMixedTypes="0" containsString="0" containsNumber="1" minValue="-91.68" maxValue="71.86"/>
    </cacheField>
    <cacheField name="ROA" numFmtId="0">
      <sharedItems containsSemiMixedTypes="0" containsString="0" containsNumber="1" minValue="-40.090000000000003" maxValue="19.09"/>
    </cacheField>
    <cacheField name="A/E" numFmtId="0">
      <sharedItems containsSemiMixedTypes="0" containsString="0" containsNumber="1" minValue="-5.31" maxValue="116.05"/>
    </cacheField>
    <cacheField name="P/E" numFmtId="2">
      <sharedItems containsMixedTypes="1" containsNumber="1" minValue="-139.02222222222221" maxValue="949.89999999999986"/>
    </cacheField>
    <cacheField name="Preliminary Criteria" numFmtId="0">
      <sharedItems/>
    </cacheField>
    <cacheField name="P/FCF Z-Score" numFmtId="2">
      <sharedItems containsMixedTypes="1" containsNumber="1" minValue="-14.912875645922981" maxValue="14.423979357680418"/>
    </cacheField>
    <cacheField name="P/B Z-Score" numFmtId="2">
      <sharedItems containsMixedTypes="1" containsNumber="1" minValue="-1.5521697489581547" maxValue="11.949771771084706"/>
    </cacheField>
    <cacheField name="ROE Z-Score" numFmtId="2">
      <sharedItems containsSemiMixedTypes="0" containsString="0" containsNumber="1" minValue="-2.8389056485460524" maxValue="2.1175883477079558"/>
    </cacheField>
    <cacheField name="ROA Z-Score" numFmtId="2">
      <sharedItems containsSemiMixedTypes="0" containsString="0" containsNumber="1" minValue="-14.887952196031929" maxValue="2.2308559101663592"/>
    </cacheField>
    <cacheField name="A/E Z-Score" numFmtId="2">
      <sharedItems containsSemiMixedTypes="0" containsString="0" containsNumber="1" minValue="-1.3578534779707916" maxValue="85.424756563627668"/>
    </cacheField>
    <cacheField name="P/E Z-Score" numFmtId="2">
      <sharedItems containsMixedTypes="1" containsNumber="1" minValue="-11.21195038620643" maxValue="19.637343817855857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4">
        <s v="Yes"/>
        <s v="No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Yes"/>
        <s v="No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77354976855" createdVersion="8" refreshedVersion="8" minRefreshableVersion="3" recordCount="69" xr:uid="{FEEDC4AE-CB7E-4F82-B64E-6462C5DE2153}">
  <cacheSource type="worksheet">
    <worksheetSource name="Main_S"/>
  </cacheSource>
  <cacheFields count="26">
    <cacheField name="Industry" numFmtId="0">
      <sharedItems count="60">
        <s v="Diversified Telecommunication Services"/>
        <s v="Entertainment"/>
        <s v="Interactive Media &amp; Services"/>
        <s v="Media"/>
        <s v="Wireless Telecommunication Service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79" maxValue="1942"/>
    </cacheField>
    <cacheField name="Current Price" numFmtId="0">
      <sharedItems containsSemiMixedTypes="0" containsString="0" containsNumber="1" minValue="1.1399999999999999" maxValue="135.87"/>
    </cacheField>
    <cacheField name="Free CF" numFmtId="0">
      <sharedItems containsString="0" containsBlank="1" containsNumber="1" minValue="-4.82" maxValue="57.62"/>
    </cacheField>
    <cacheField name="BVPS" numFmtId="0">
      <sharedItems containsString="0" containsBlank="1" containsNumber="1" minValue="-6.99" maxValue="315.5"/>
    </cacheField>
    <cacheField name="EPS" numFmtId="0">
      <sharedItems containsString="0" containsBlank="1" containsNumber="1" minValue="-13.81" maxValue="3.42"/>
    </cacheField>
    <cacheField name="P/FCF" numFmtId="2">
      <sharedItems containsMixedTypes="1" containsNumber="1" minValue="-174.7" maxValue="296.00000000000006"/>
    </cacheField>
    <cacheField name="P/B" numFmtId="2">
      <sharedItems containsMixedTypes="1" containsNumber="1" minValue="-53.083333333333336" maxValue="190.59999999999997"/>
    </cacheField>
    <cacheField name="ROE" numFmtId="0">
      <sharedItems containsSemiMixedTypes="0" containsString="0" containsNumber="1" minValue="-2897.3" maxValue="500.2"/>
    </cacheField>
    <cacheField name="ROA" numFmtId="0">
      <sharedItems containsSemiMixedTypes="0" containsString="0" containsNumber="1" minValue="-9.83" maxValue="22.51"/>
    </cacheField>
    <cacheField name="A/E" numFmtId="0">
      <sharedItems containsSemiMixedTypes="0" containsString="0" containsNumber="1" minValue="-58.35" maxValue="182.6"/>
    </cacheField>
    <cacheField name="P/E" numFmtId="2">
      <sharedItems containsMixedTypes="1" containsNumber="1" minValue="-1605" maxValue="468"/>
    </cacheField>
    <cacheField name="Preliminary Criteria" numFmtId="0">
      <sharedItems/>
    </cacheField>
    <cacheField name="P/FCF Z-Score" numFmtId="2">
      <sharedItems containsMixedTypes="1" containsNumber="1" minValue="-9.973351822489688" maxValue="25.450323200217976"/>
    </cacheField>
    <cacheField name="P/B Z-Score" numFmtId="2">
      <sharedItems containsMixedTypes="1" containsNumber="1" minValue="-45.780252777928069" maxValue="63.044504526474341"/>
    </cacheField>
    <cacheField name="ROE Z-Score" numFmtId="2">
      <sharedItems containsSemiMixedTypes="0" containsString="0" containsNumber="1" minValue="-184.61945620022294" maxValue="34.647381981332934"/>
    </cacheField>
    <cacheField name="ROA Z-Score" numFmtId="2">
      <sharedItems containsSemiMixedTypes="0" containsString="0" containsNumber="1" minValue="-4.1216332859585956" maxValue="6.7216780670418226"/>
    </cacheField>
    <cacheField name="A/E Z-Score" numFmtId="2">
      <sharedItems containsSemiMixedTypes="0" containsString="0" containsNumber="1" minValue="-121.16127865967265" maxValue="60.36989763731151"/>
    </cacheField>
    <cacheField name="P/E Z-Score" numFmtId="2">
      <sharedItems containsMixedTypes="1" containsNumber="1" minValue="-58.697948408148491" maxValue="28.434355534948441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x v="0"/>
    <s v="VZ"/>
    <n v="185347"/>
    <n v="43.65"/>
    <n v="4.78"/>
    <n v="23.89"/>
    <n v="4.2"/>
    <n v="9.1317991631799149"/>
    <n v="1.827124319799079"/>
    <n v="18.420000000000002"/>
    <n v="5.15"/>
    <n v="3.78"/>
    <n v="10.392857142857142"/>
    <s v="NO"/>
    <n v="-0.46714821079687258"/>
    <n v="-0.35210983866538492"/>
    <n v="1.6639260737196369"/>
    <n v="0.87377715650843146"/>
    <n v="0.27380370145535249"/>
    <n v="-0.43965104375647596"/>
    <x v="0"/>
    <x v="0"/>
    <x v="0"/>
    <x v="0"/>
    <x v="0"/>
    <x v="0"/>
  </r>
  <r>
    <x v="0"/>
    <s v="T"/>
    <n v="200181"/>
    <n v="27.86"/>
    <n v="2.71"/>
    <n v="14.42"/>
    <n v="1.63"/>
    <n v="10.280442804428045"/>
    <n v="1.9320388349514563"/>
    <n v="10.88"/>
    <n v="4.17"/>
    <n v="3.83"/>
    <n v="17.092024539877301"/>
    <s v="NO"/>
    <n v="-0.43999682893403386"/>
    <n v="-0.33410672674385422"/>
    <n v="0.48145646053904673"/>
    <n v="0.1649182050363599"/>
    <n v="0.31312277085494639"/>
    <n v="-0.37728405850669855"/>
    <x v="0"/>
    <x v="0"/>
    <x v="0"/>
    <x v="0"/>
    <x v="0"/>
    <x v="0"/>
  </r>
  <r>
    <x v="0"/>
    <s v="TU"/>
    <n v="24817"/>
    <n v="16.329999999999998"/>
    <n v="0.87"/>
    <n v="7.16"/>
    <n v="0.55000000000000004"/>
    <n v="18.770114942528735"/>
    <n v="2.2807262569832401"/>
    <n v="6.46"/>
    <n v="3.41"/>
    <n v="3.72"/>
    <n v="29.690909090909084"/>
    <s v="NO"/>
    <n v="-0.23931985494982755"/>
    <n v="-0.27427269257469422"/>
    <n v="-0.21171538167026471"/>
    <n v="-0.38480914508483804"/>
    <n v="0.22662081817584032"/>
    <n v="-0.25999269968689098"/>
    <x v="0"/>
    <x v="0"/>
    <x v="0"/>
    <x v="0"/>
    <x v="0"/>
    <x v="0"/>
  </r>
  <r>
    <x v="0"/>
    <s v="VIV"/>
    <n v="16087"/>
    <n v="10.35"/>
    <n v="0.55000000000000004"/>
    <n v="3.68"/>
    <n v="0.31"/>
    <n v="18.818181818181817"/>
    <n v="2.8125"/>
    <n v="8.35"/>
    <n v="4.54"/>
    <n v="1.86"/>
    <n v="33.387096774193544"/>
    <s v="NO"/>
    <n v="-0.23818366087801579"/>
    <n v="-0.18302142768958859"/>
    <n v="8.4686152668105905E-2"/>
    <n v="0.43254862549010115"/>
    <n v="-1.2360485634890455"/>
    <n v="-0.22558244105887881"/>
    <x v="0"/>
    <x v="0"/>
    <x v="0"/>
    <x v="0"/>
    <x v="0"/>
    <x v="0"/>
  </r>
  <r>
    <x v="0"/>
    <s v="BCE"/>
    <n v="20096"/>
    <n v="22.1"/>
    <n v="2.4300000000000002"/>
    <n v="10.44"/>
    <n v="0.3"/>
    <n v="9.094650205761317"/>
    <n v="2.116858237547893"/>
    <n v="3.16"/>
    <n v="4.84"/>
    <n v="5.21"/>
    <n v="73.666666666666671"/>
    <s v="NO"/>
    <n v="-0.46802632955577922"/>
    <n v="-0.30239210283903517"/>
    <n v="-0.72924187019757847"/>
    <n v="0.64954626369583712"/>
    <n v="1.3983290862837323"/>
    <n v="0.14940674677193397"/>
    <x v="0"/>
    <x v="0"/>
    <x v="0"/>
    <x v="0"/>
    <x v="0"/>
    <x v="0"/>
  </r>
  <r>
    <x v="0"/>
    <s v="CHT"/>
    <n v="33729"/>
    <n v="44.27"/>
    <n v="0.19"/>
    <n v="1.53"/>
    <n v="0.15"/>
    <n v="233"/>
    <n v="28.934640522875817"/>
    <n v="9.6300000000000008"/>
    <n v="5.55"/>
    <n v="1.36"/>
    <n v="295.13333333333338"/>
    <s v="NO"/>
    <n v="4.8245983236308128"/>
    <n v="4.2994833885434431"/>
    <n v="0.28542369973324599"/>
    <n v="1.1631073407827459"/>
    <n v="-1.6292392574849821"/>
    <n v="2.2111865941394067"/>
    <x v="1"/>
    <x v="1"/>
    <x v="0"/>
    <x v="0"/>
    <x v="0"/>
    <x v="0"/>
  </r>
  <r>
    <x v="0"/>
    <s v="TLGPY"/>
    <n v="35378"/>
    <n v="16.03"/>
    <n v="0.11"/>
    <n v="0.79"/>
    <n v="0.09"/>
    <n v="145.72727272727275"/>
    <n v="20.291139240506329"/>
    <n v="10.65"/>
    <n v="5.23"/>
    <n v="3.08"/>
    <n v="178.11111111111114"/>
    <s v="NO"/>
    <n v="2.7616650871586255"/>
    <n v="2.816276601051888"/>
    <n v="0.44538643255077931"/>
    <n v="0.93164319336329449"/>
    <n v="-0.27666327013895914"/>
    <n v="1.1217492395099553"/>
    <x v="0"/>
    <x v="0"/>
    <x v="0"/>
    <x v="0"/>
    <x v="0"/>
    <x v="0"/>
  </r>
  <r>
    <x v="0"/>
    <s v="TLK"/>
    <n v="16989"/>
    <n v="17.559999999999999"/>
    <n v="0.02"/>
    <n v="0.09"/>
    <n v="0.01"/>
    <n v="877.99999999999989"/>
    <n v="195.11111111111111"/>
    <n v="18.239999999999998"/>
    <n v="8.92"/>
    <n v="2.02"/>
    <n v="1755.9999999999998"/>
    <s v="NO"/>
    <n v="20.070964274433077"/>
    <n v="32.815019054698183"/>
    <n v="1.635697356163601"/>
    <n v="3.6007141432938479"/>
    <n v="-1.1102275414103455"/>
    <n v="15.811361728204249"/>
    <x v="1"/>
    <x v="1"/>
    <x v="0"/>
    <x v="1"/>
    <x v="0"/>
    <x v="1"/>
  </r>
  <r>
    <x v="0"/>
    <s v="CLLNY"/>
    <n v="26102"/>
    <n v="19.03"/>
    <n v="0.52"/>
    <n v="23.1"/>
    <n v="-0.06"/>
    <n v="36.596153846153847"/>
    <n v="0.82380952380952377"/>
    <n v="-0.36"/>
    <n v="0.87"/>
    <n v="2.85"/>
    <n v="-317.16666666666669"/>
    <s v="NO"/>
    <n v="0.18204807152754679"/>
    <n v="-0.524276564484909"/>
    <n v="-1.2812701246267133"/>
    <n v="-2.2220558152267369"/>
    <n v="-0.45753098937709014"/>
    <n v="-3.4891195491918849"/>
    <x v="0"/>
    <x v="0"/>
    <x v="0"/>
    <x v="0"/>
    <x v="0"/>
    <x v="1"/>
  </r>
  <r>
    <x v="0"/>
    <s v="TEF"/>
    <n v="29966"/>
    <n v="5.3"/>
    <n v="0.92"/>
    <n v="3.78"/>
    <n v="-0.09"/>
    <n v="5.7608695652173907"/>
    <n v="1.4021164021164021"/>
    <n v="0.24"/>
    <n v="2.83"/>
    <n v="5.0199999999999996"/>
    <n v="-58.888888888888886"/>
    <s v="NO"/>
    <n v="-0.5468294917967601"/>
    <n v="-0.42504031066408748"/>
    <n v="-1.1871743994399289"/>
    <n v="-0.80433791228259455"/>
    <n v="1.2489166225652759"/>
    <n v="-1.0846406934796184"/>
    <x v="0"/>
    <x v="0"/>
    <x v="0"/>
    <x v="0"/>
    <x v="0"/>
    <x v="0"/>
  </r>
  <r>
    <x v="0"/>
    <s v="TEFOF"/>
    <n v="31038"/>
    <n v="5.4020000000000001"/>
    <n v="0.92"/>
    <n v="3.79"/>
    <n v="-0.09"/>
    <n v="5.8717391304347828"/>
    <n v="1.4253298153034302"/>
    <n v="0.24"/>
    <n v="2.83"/>
    <n v="5.0199999999999996"/>
    <n v="-60.022222222222226"/>
    <s v="NO"/>
    <n v="-0.54420878177488297"/>
    <n v="-0.4210569373903339"/>
    <n v="-1.1871743994399289"/>
    <n v="-0.80433791228259455"/>
    <n v="1.2489166225652759"/>
    <n v="-1.0951916439327332"/>
    <x v="0"/>
    <x v="0"/>
    <x v="0"/>
    <x v="0"/>
    <x v="0"/>
    <x v="0"/>
  </r>
  <r>
    <x v="1"/>
    <s v="NFLX"/>
    <n v="513762"/>
    <n v="1224.46"/>
    <n v="17.38"/>
    <n v="56.45"/>
    <n v="21.15"/>
    <n v="70.452243958573078"/>
    <n v="21.691054030115147"/>
    <n v="40.840000000000003"/>
    <n v="13.79"/>
    <n v="2.17"/>
    <n v="57.89408983451537"/>
    <s v="NO"/>
    <n v="1.7625593841345106"/>
    <n v="1.5203311245415945"/>
    <n v="1.4851121845146893"/>
    <n v="1.903055992970287"/>
    <n v="-0.1006799925590646"/>
    <n v="0.3290031697937903"/>
    <x v="0"/>
    <x v="0"/>
    <x v="0"/>
    <x v="0"/>
    <x v="0"/>
    <x v="0"/>
  </r>
  <r>
    <x v="1"/>
    <s v="SPOT"/>
    <n v="136391"/>
    <n v="699.11"/>
    <n v="13.97"/>
    <n v="32.96"/>
    <n v="6.05"/>
    <n v="50.043664996420901"/>
    <n v="21.210861650485437"/>
    <n v="24.4"/>
    <n v="10.050000000000001"/>
    <n v="2.0299999999999998"/>
    <n v="115.55537190082646"/>
    <s v="NO"/>
    <n v="0.7537685982781116"/>
    <n v="1.4622474031229094"/>
    <n v="0.60507213957579131"/>
    <n v="1.0800732124296581"/>
    <n v="-0.25306052183764932"/>
    <n v="1.4379513703525579"/>
    <x v="0"/>
    <x v="0"/>
    <x v="0"/>
    <x v="0"/>
    <x v="0"/>
    <x v="0"/>
  </r>
  <r>
    <x v="1"/>
    <s v="DIS"/>
    <n v="203217"/>
    <n v="115.66"/>
    <n v="6.01"/>
    <n v="57.93"/>
    <n v="4.9000000000000004"/>
    <n v="19.244592346089849"/>
    <n v="1.9965475573968583"/>
    <n v="8.89"/>
    <n v="4.4800000000000004"/>
    <n v="1.88"/>
    <n v="23.60408163265306"/>
    <s v="NO"/>
    <n v="-0.76862160636058208"/>
    <n v="-0.86190207191599222"/>
    <n v="-0.2251846181494096"/>
    <n v="-0.14559900350919339"/>
    <n v="-0.41632537463613273"/>
    <n v="-0.33046608808484074"/>
    <x v="0"/>
    <x v="0"/>
    <x v="0"/>
    <x v="0"/>
    <x v="0"/>
    <x v="0"/>
  </r>
  <r>
    <x v="1"/>
    <s v="EA"/>
    <n v="36055"/>
    <n v="146.91999999999999"/>
    <n v="7.09"/>
    <n v="25.31"/>
    <n v="4.25"/>
    <n v="20.722143864598024"/>
    <n v="5.8048202291584348"/>
    <n v="16.13"/>
    <n v="7.68"/>
    <n v="1.94"/>
    <n v="34.569411764705876"/>
    <s v="YES"/>
    <n v="-0.69558661650345421"/>
    <n v="-0.40125617594495772"/>
    <n v="0.16237559628840173"/>
    <n v="0.55855738625818974"/>
    <n v="-0.35101943351673925"/>
    <n v="-0.11957963737275469"/>
    <x v="0"/>
    <x v="0"/>
    <x v="0"/>
    <x v="0"/>
    <x v="0"/>
    <x v="0"/>
  </r>
  <r>
    <x v="1"/>
    <s v="KONMY"/>
    <n v="18436"/>
    <n v="69.75"/>
    <n v="2.93"/>
    <n v="22.92"/>
    <n v="3.5"/>
    <n v="23.805460750853243"/>
    <n v="3.0431937172774868"/>
    <n v="16.43"/>
    <n v="10.59"/>
    <n v="1.38"/>
    <n v="19.928571428571427"/>
    <s v="YES"/>
    <n v="-0.54317905934339905"/>
    <n v="-0.735300512721483"/>
    <n v="0.17843472119604589"/>
    <n v="1.1988996032029038"/>
    <n v="-0.9605415506310776"/>
    <n v="-0.4011539098066042"/>
    <x v="0"/>
    <x v="0"/>
    <x v="0"/>
    <x v="0"/>
    <x v="0"/>
    <x v="0"/>
  </r>
  <r>
    <x v="1"/>
    <s v="LYV"/>
    <n v="31797"/>
    <n v="143.47999999999999"/>
    <n v="5.97"/>
    <n v="0.47"/>
    <n v="2.97"/>
    <n v="24.033500837520936"/>
    <n v="305.27659574468083"/>
    <n v="68.510000000000005"/>
    <n v="4.18"/>
    <n v="205.93"/>
    <n v="48.309764309764304"/>
    <s v="NO"/>
    <n v="-0.53190709677006731"/>
    <n v="35.822632248140273"/>
    <n v="2.9662988051630652"/>
    <n v="-0.21161366504988574"/>
    <n v="221.6782960489009"/>
    <n v="0.14467635354264891"/>
    <x v="0"/>
    <x v="1"/>
    <x v="1"/>
    <x v="0"/>
    <x v="1"/>
    <x v="0"/>
  </r>
  <r>
    <x v="1"/>
    <s v="SE"/>
    <n v="94942"/>
    <n v="164.58"/>
    <n v="5.6"/>
    <n v="15.18"/>
    <n v="1.42"/>
    <n v="29.38928571428572"/>
    <n v="10.841897233201582"/>
    <n v="11.13"/>
    <n v="3.05"/>
    <n v="2.66"/>
    <n v="115.90140845070424"/>
    <s v="NO"/>
    <n v="-0.26717203389631167"/>
    <n v="0.20802499943087327"/>
    <n v="-0.10527648550566682"/>
    <n v="-0.46026889018649292"/>
    <n v="0.43265185991598165"/>
    <n v="1.4446063838306353"/>
    <x v="0"/>
    <x v="0"/>
    <x v="0"/>
    <x v="0"/>
    <x v="0"/>
    <x v="0"/>
  </r>
  <r>
    <x v="1"/>
    <s v="NTES"/>
    <n v="77098"/>
    <n v="130.19"/>
    <n v="1.72"/>
    <n v="6.24"/>
    <n v="1.38"/>
    <n v="75.691860465116278"/>
    <n v="20.863782051282051"/>
    <n v="23.7"/>
    <n v="10.23"/>
    <n v="1.4"/>
    <n v="94.340579710144937"/>
    <s v="NO"/>
    <n v="2.0215522744785268"/>
    <n v="1.4202649069288129"/>
    <n v="0.56760084812462175"/>
    <n v="1.1196820093540734"/>
    <n v="-0.93877290359127985"/>
    <n v="1.0299461234690566"/>
    <x v="0"/>
    <x v="0"/>
    <x v="0"/>
    <x v="0"/>
    <x v="0"/>
    <x v="0"/>
  </r>
  <r>
    <x v="1"/>
    <s v="TKO"/>
    <n v="12901"/>
    <n v="163.33000000000001"/>
    <n v="7.84"/>
    <n v="50.92"/>
    <n v="1.17"/>
    <n v="20.832908163265309"/>
    <n v="3.2075805184603299"/>
    <n v="4.32"/>
    <n v="1.62"/>
    <n v="3.61"/>
    <n v="139.59829059829062"/>
    <s v="NO"/>
    <n v="-0.69011156583458488"/>
    <n v="-0.71541640466425827"/>
    <n v="-0.46981862090918836"/>
    <n v="-0.77493877686379231"/>
    <n v="1.4666625943063767"/>
    <n v="1.9003474612870543"/>
    <x v="0"/>
    <x v="0"/>
    <x v="0"/>
    <x v="0"/>
    <x v="0"/>
    <x v="0"/>
  </r>
  <r>
    <x v="1"/>
    <s v="UNVGY"/>
    <n v="58221"/>
    <n v="15.62"/>
    <n v="0.89"/>
    <n v="2.56"/>
    <n v="1.17"/>
    <n v="17.550561797752806"/>
    <n v="6.1015625"/>
    <n v="55.56"/>
    <n v="7.98"/>
    <n v="3.83"/>
    <n v="13.350427350427351"/>
    <s v="NO"/>
    <n v="-0.85235709873811993"/>
    <n v="-0.36536244642346771"/>
    <n v="2.2730799133164274"/>
    <n v="0.62457204779888209"/>
    <n v="1.7061177117441528"/>
    <n v="-0.5276655095675159"/>
    <x v="0"/>
    <x v="0"/>
    <x v="0"/>
    <x v="0"/>
    <x v="0"/>
    <x v="0"/>
  </r>
  <r>
    <x v="1"/>
    <s v="NEXOY"/>
    <n v="14745"/>
    <n v="18.04"/>
    <n v="1.05"/>
    <n v="8.15"/>
    <n v="1"/>
    <n v="17.18095238095238"/>
    <n v="2.2134969325153371"/>
    <n v="12.87"/>
    <n v="7.53"/>
    <n v="1.23"/>
    <n v="18.04"/>
    <s v="YES"/>
    <n v="-0.87062679672765142"/>
    <n v="-0.83566003309801529"/>
    <n v="-1.2133561041331013E-2"/>
    <n v="0.52555005548784373"/>
    <n v="-1.123806403429561"/>
    <n v="-0.43747512592060744"/>
    <x v="0"/>
    <x v="0"/>
    <x v="0"/>
    <x v="0"/>
    <x v="0"/>
    <x v="0"/>
  </r>
  <r>
    <x v="1"/>
    <s v="WMG"/>
    <n v="13720"/>
    <n v="26.21"/>
    <n v="1.03"/>
    <n v="1.0900000000000001"/>
    <n v="0.86"/>
    <n v="25.446601941747574"/>
    <n v="24.045871559633028"/>
    <n v="67.78"/>
    <n v="6.33"/>
    <n v="16.88"/>
    <n v="30.476744186046513"/>
    <s v="NO"/>
    <n v="-0.46205787424110167"/>
    <n v="1.8051681423256438"/>
    <n v="2.927221601221131"/>
    <n v="0.26149140932507497"/>
    <n v="15.910159905212215"/>
    <n v="-0.19829027619656928"/>
    <x v="0"/>
    <x v="0"/>
    <x v="1"/>
    <x v="0"/>
    <x v="1"/>
    <x v="0"/>
  </r>
  <r>
    <x v="1"/>
    <s v="TME"/>
    <n v="25949"/>
    <n v="18.510000000000002"/>
    <n v="0.81"/>
    <n v="6.61"/>
    <n v="0.84"/>
    <n v="22.851851851851851"/>
    <n v="2.8003025718608172"/>
    <n v="14.66"/>
    <n v="7.35"/>
    <n v="1.34"/>
    <n v="22.035714285714288"/>
    <s v="YES"/>
    <n v="-0.59031570087083163"/>
    <n v="-0.76468044923010958"/>
    <n v="8.3685884240945613E-2"/>
    <n v="0.48594125856342829"/>
    <n v="-1.004078844710673"/>
    <n v="-0.36062910362796957"/>
    <x v="0"/>
    <x v="0"/>
    <x v="0"/>
    <x v="0"/>
    <x v="0"/>
    <x v="0"/>
  </r>
  <r>
    <x v="1"/>
    <s v="FWONA"/>
    <n v="21981"/>
    <n v="88.31"/>
    <n v="1.94"/>
    <n v="28.22"/>
    <n v="-0.39"/>
    <n v="45.520618556701031"/>
    <n v="3.1293408929836999"/>
    <n v="-0.43"/>
    <n v="1.2"/>
    <n v="1.89"/>
    <n v="-226.43589743589743"/>
    <s v="NO"/>
    <n v="0.53019558122230637"/>
    <n v="-0.7248802129270866"/>
    <n v="-0.72408809861355361"/>
    <n v="-0.86735930302076125"/>
    <n v="-0.4054410511162338"/>
    <n v="-5.1392628216875451"/>
    <x v="0"/>
    <x v="0"/>
    <x v="0"/>
    <x v="0"/>
    <x v="0"/>
    <x v="1"/>
  </r>
  <r>
    <x v="1"/>
    <s v="FWONK"/>
    <n v="24079"/>
    <n v="97.68"/>
    <n v="1.94"/>
    <n v="28.22"/>
    <n v="-0.39"/>
    <n v="50.350515463917532"/>
    <n v="3.4613749114103478"/>
    <n v="-0.43"/>
    <n v="1.2"/>
    <n v="1.89"/>
    <n v="-250.46153846153848"/>
    <s v="NO"/>
    <n v="0.7689361376163667"/>
    <n v="-0.68471761925433461"/>
    <n v="-0.72408809861355361"/>
    <n v="-0.86735930302076125"/>
    <n v="-0.4054410511162338"/>
    <n v="-5.6013266265126891"/>
    <x v="0"/>
    <x v="0"/>
    <x v="0"/>
    <x v="0"/>
    <x v="0"/>
    <x v="1"/>
  </r>
  <r>
    <x v="1"/>
    <s v="ROKU"/>
    <n v="10627"/>
    <n v="79.59"/>
    <n v="2.09"/>
    <n v="17.22"/>
    <n v="-0.73"/>
    <n v="38.081339712918663"/>
    <n v="4.6219512195121952"/>
    <n v="-4.34"/>
    <n v="-2.57"/>
    <n v="1.65"/>
    <n v="-109.02739726027399"/>
    <s v="NO"/>
    <n v="0.16247394979752355"/>
    <n v="-0.54433515209211936"/>
    <n v="-0.93339202657651532"/>
    <n v="-1.6969435497154599"/>
    <n v="-0.6666648155938073"/>
    <n v="-2.8812494662035304"/>
    <x v="0"/>
    <x v="0"/>
    <x v="0"/>
    <x v="0"/>
    <x v="0"/>
    <x v="1"/>
  </r>
  <r>
    <x v="1"/>
    <s v="RBLX"/>
    <n v="58997"/>
    <n v="93.42"/>
    <n v="1.34"/>
    <n v="0.46"/>
    <n v="-1.34"/>
    <n v="69.71641791044776"/>
    <n v="203.08695652173913"/>
    <n v="-492.67"/>
    <n v="-9.06"/>
    <n v="23.99"/>
    <n v="-69.71641791044776"/>
    <s v="NO"/>
    <n v="1.7261876926650292"/>
    <n v="23.461847720325913"/>
    <n v="-27.073900247076025"/>
    <n v="-3.1250607277124338"/>
    <n v="23.648913927860331"/>
    <n v="-2.1252163318368806"/>
    <x v="0"/>
    <x v="1"/>
    <x v="1"/>
    <x v="1"/>
    <x v="1"/>
    <x v="0"/>
  </r>
  <r>
    <x v="1"/>
    <s v="WBD"/>
    <n v="24667"/>
    <n v="9.5299999999999994"/>
    <n v="1.77"/>
    <n v="13.68"/>
    <n v="-4.4000000000000004"/>
    <n v="5.3841807909604515"/>
    <n v="0.69663742690058472"/>
    <n v="-27.28"/>
    <n v="0.5"/>
    <n v="3.01"/>
    <n v="-2.1659090909090906"/>
    <s v="NO"/>
    <n v="-1.4537381689062778"/>
    <n v="-1.0191382570201686"/>
    <n v="-2.1613797778477024"/>
    <n v="-1.0213935132823764"/>
    <n v="0.81360318311244273"/>
    <n v="-0.82607742063283807"/>
    <x v="0"/>
    <x v="0"/>
    <x v="0"/>
    <x v="0"/>
    <x v="0"/>
    <x v="0"/>
  </r>
  <r>
    <x v="1"/>
    <s v="TTWO"/>
    <n v="41384"/>
    <n v="233.5"/>
    <n v="-1.23"/>
    <n v="12.07"/>
    <n v="-25.58"/>
    <n v="-189.83739837398375"/>
    <n v="19.345484672742337"/>
    <n v="-114.76"/>
    <n v="-2.64"/>
    <n v="4.29"/>
    <n v="-9.1282251759186863"/>
    <s v="NO"/>
    <n v="-11.103490394534207"/>
    <n v="1.2366127589421558"/>
    <n v="-6.8442206009167279"/>
    <n v="-1.7123469707416215"/>
    <n v="2.2067965936595022"/>
    <n v="-0.95997745922916511"/>
    <x v="1"/>
    <x v="0"/>
    <x v="1"/>
    <x v="0"/>
    <x v="0"/>
    <x v="0"/>
  </r>
  <r>
    <x v="2"/>
    <s v="META"/>
    <n v="1628002"/>
    <n v="694.06"/>
    <n v="20.68"/>
    <n v="73.34"/>
    <n v="25.59"/>
    <n v="33.561895551257251"/>
    <n v="9.4635942187073887"/>
    <n v="39.840000000000003"/>
    <n v="17.88"/>
    <n v="1.51"/>
    <n v="27.122313403673306"/>
    <s v="NO"/>
    <n v="0.58698217202171687"/>
    <n v="5.0099424311506819"/>
    <n v="0.77449225711372049"/>
    <n v="1.0938522862002593"/>
    <n v="0.69726035793335972"/>
    <n v="1.6583412331373784"/>
    <x v="0"/>
    <x v="1"/>
    <x v="0"/>
    <x v="0"/>
    <x v="0"/>
    <x v="0"/>
  </r>
  <r>
    <x v="2"/>
    <s v="BIDU"/>
    <n v="28155"/>
    <n v="88.66"/>
    <n v="-0.04"/>
    <n v="108.05"/>
    <n v="10.01"/>
    <n v="-2216.5"/>
    <n v="0.82054604349838034"/>
    <n v="9.3699999999999992"/>
    <n v="2.93"/>
    <n v="1.68"/>
    <n v="8.8571428571428577"/>
    <s v="NO"/>
    <n v="-171.68539503950876"/>
    <n v="-6.2044434025939026"/>
    <n v="-0.6596964907308035"/>
    <n v="-0.68839311351207866"/>
    <n v="1.5894537191599154"/>
    <n v="-0.82415240535569778"/>
    <x v="1"/>
    <x v="1"/>
    <x v="0"/>
    <x v="0"/>
    <x v="0"/>
    <x v="0"/>
  </r>
  <r>
    <x v="2"/>
    <s v="GOOG"/>
    <n v="2097492"/>
    <n v="177.63"/>
    <n v="6.11"/>
    <n v="28.41"/>
    <n v="8.9600000000000009"/>
    <n v="29.072013093289687"/>
    <n v="6.2523759239704324"/>
    <n v="34.79"/>
    <n v="16.899999999999999"/>
    <n v="1.38"/>
    <n v="19.824776785714285"/>
    <s v="NO"/>
    <n v="0.24322152883064532"/>
    <n v="0.84337524055548241"/>
    <n v="0.53679441738235023"/>
    <n v="0.97702282187128997"/>
    <n v="1.4994846407169188E-2"/>
    <n v="0.66650334229464636"/>
    <x v="0"/>
    <x v="0"/>
    <x v="0"/>
    <x v="0"/>
    <x v="0"/>
    <x v="0"/>
  </r>
  <r>
    <x v="2"/>
    <s v="GOOGL"/>
    <n v="2084022"/>
    <n v="176.09"/>
    <n v="6.11"/>
    <n v="28.41"/>
    <n v="8.9600000000000009"/>
    <n v="28.819967266775777"/>
    <n v="6.1981696585709258"/>
    <n v="34.79"/>
    <n v="16.899999999999999"/>
    <n v="1.38"/>
    <n v="19.652901785714285"/>
    <s v="NO"/>
    <n v="0.22392404471003249"/>
    <n v="0.77304241786683348"/>
    <n v="0.53679441738235023"/>
    <n v="0.97702282187128997"/>
    <n v="1.4994846407169188E-2"/>
    <n v="0.64314311179315531"/>
    <x v="0"/>
    <x v="0"/>
    <x v="0"/>
    <x v="0"/>
    <x v="0"/>
    <x v="0"/>
  </r>
  <r>
    <x v="2"/>
    <s v="RPGRY"/>
    <n v="21704"/>
    <n v="38.28"/>
    <n v="2.39"/>
    <n v="8.64"/>
    <n v="2.89"/>
    <n v="16.01673640167364"/>
    <n v="4.4305555555555554"/>
    <n v="35.68"/>
    <n v="18.04"/>
    <n v="1.46"/>
    <n v="13.245674740484429"/>
    <s v="NO"/>
    <n v="-0.75633477460516241"/>
    <n v="-1.5204431851916445"/>
    <n v="0.57868571983005712"/>
    <n v="1.1129264844580502"/>
    <n v="0.43485054580790183"/>
    <n v="-0.227689182909141"/>
    <x v="0"/>
    <x v="0"/>
    <x v="0"/>
    <x v="0"/>
    <x v="0"/>
    <x v="0"/>
  </r>
  <r>
    <x v="2"/>
    <s v="PINS"/>
    <n v="21050"/>
    <n v="34.14"/>
    <n v="1.4"/>
    <n v="6.93"/>
    <n v="2.71"/>
    <n v="24.385714285714286"/>
    <n v="4.9264069264069263"/>
    <n v="48.41"/>
    <n v="3.26"/>
    <n v="1.1299999999999999"/>
    <n v="12.597785977859779"/>
    <s v="NO"/>
    <n v="-0.11557741687870567"/>
    <n v="-0.87707426300187807"/>
    <n v="1.1778725514697284"/>
    <n v="-0.64905257960538498"/>
    <n v="-1.2970542142201191"/>
    <n v="-0.31574638049016018"/>
    <x v="0"/>
    <x v="0"/>
    <x v="0"/>
    <x v="0"/>
    <x v="0"/>
    <x v="0"/>
  </r>
  <r>
    <x v="2"/>
    <s v="RDDT"/>
    <n v="20731"/>
    <n v="117.53"/>
    <n v="1.81"/>
    <n v="12.03"/>
    <n v="0.66"/>
    <n v="64.933701657458556"/>
    <n v="9.769742310889443"/>
    <n v="5.77"/>
    <n v="0.91"/>
    <n v="1.1000000000000001"/>
    <n v="178.07575757575756"/>
    <s v="NO"/>
    <n v="2.9889141482131647"/>
    <n v="5.4071706726687658"/>
    <n v="-0.82914445568781969"/>
    <n v="-0.92920486651668888"/>
    <n v="-1.4545001014953927"/>
    <n v="22.175037965377996"/>
    <x v="1"/>
    <x v="1"/>
    <x v="0"/>
    <x v="0"/>
    <x v="0"/>
    <x v="1"/>
  </r>
  <r>
    <x v="2"/>
    <s v="KSHTY"/>
    <n v="27582"/>
    <n v="1.51"/>
    <n v="0.69"/>
    <n v="1.98"/>
    <n v="0.48"/>
    <n v="2.1884057971014497"/>
    <n v="0.76262626262626265"/>
    <n v="25.78"/>
    <n v="6.99"/>
    <n v="2.16"/>
    <n v="3.1458333333333335"/>
    <s v="NO"/>
    <n v="-1.8150787099727588"/>
    <n v="-6.2795945248529375"/>
    <n v="0.11270381619826242"/>
    <n v="-0.20438533272063431"/>
    <n v="4.1085879155643097"/>
    <n v="-1.6003997184701813"/>
    <x v="0"/>
    <x v="1"/>
    <x v="0"/>
    <x v="0"/>
    <x v="1"/>
    <x v="0"/>
  </r>
  <r>
    <x v="2"/>
    <s v="SNAP"/>
    <n v="13787"/>
    <n v="8.5"/>
    <n v="0.18"/>
    <n v="1.37"/>
    <n v="-0.32"/>
    <n v="47.222222222222221"/>
    <n v="6.2043795620437949"/>
    <n v="-23.96"/>
    <n v="-5.47"/>
    <n v="3.28"/>
    <n v="-26.5625"/>
    <s v="NO"/>
    <n v="1.632863155894233"/>
    <n v="0.78109978977120564"/>
    <n v="-2.2285022329578457"/>
    <n v="-1.6897885220461015"/>
    <n v="9.9865677071745598"/>
    <n v="-5.638180166364279"/>
    <x v="0"/>
    <x v="0"/>
    <x v="0"/>
    <x v="0"/>
    <x v="1"/>
    <x v="1"/>
  </r>
  <r>
    <x v="3"/>
    <s v="CHTR"/>
    <n v="54738"/>
    <n v="394.56"/>
    <n v="32.159999999999997"/>
    <n v="115.75"/>
    <n v="35.86"/>
    <n v="12.268656716417912"/>
    <n v="3.4087257019438444"/>
    <n v="33.119999999999997"/>
    <n v="5.64"/>
    <n v="9.2899999999999991"/>
    <n v="11.002788622420525"/>
    <s v="NO"/>
    <n v="-0.32667187609911241"/>
    <n v="1.8411169109713748"/>
    <n v="4.453645741437855"/>
    <n v="-3.5092157353954705E-2"/>
    <n v="17.628815403969806"/>
    <n v="-0.62797315247289742"/>
    <x v="0"/>
    <x v="0"/>
    <x v="1"/>
    <x v="0"/>
    <x v="1"/>
    <x v="0"/>
  </r>
  <r>
    <x v="3"/>
    <s v="OMC"/>
    <n v="14382"/>
    <n v="71.55"/>
    <n v="7.23"/>
    <n v="22.41"/>
    <n v="7.32"/>
    <n v="9.8962655601659737"/>
    <n v="3.1927710843373491"/>
    <n v="31.02"/>
    <n v="5.2"/>
    <n v="6.43"/>
    <n v="9.774590163934425"/>
    <s v="NO"/>
    <n v="-0.69968300820538254"/>
    <n v="1.5367364485307491"/>
    <n v="3.9993852323239216"/>
    <n v="-0.28718275712113822"/>
    <n v="10.632331510772422"/>
    <n v="-0.74679978493613475"/>
    <x v="0"/>
    <x v="0"/>
    <x v="1"/>
    <x v="0"/>
    <x v="1"/>
    <x v="0"/>
  </r>
  <r>
    <x v="3"/>
    <s v="LBRDA"/>
    <n v="13315"/>
    <n v="92.81"/>
    <n v="-0.85"/>
    <n v="70.13"/>
    <n v="6.26"/>
    <n v="-109.18823529411765"/>
    <n v="1.3233994011122203"/>
    <n v="9.32"/>
    <n v="0.41"/>
    <n v="1.69"/>
    <n v="14.825878594249202"/>
    <s v="NO"/>
    <n v="-19.423342621801254"/>
    <n v="-1.0980774013415757"/>
    <n v="-0.69464002852005691"/>
    <n v="-3.0315326954957071"/>
    <n v="-0.96323969683442967"/>
    <n v="-0.25809407974035664"/>
    <x v="1"/>
    <x v="0"/>
    <x v="0"/>
    <x v="1"/>
    <x v="0"/>
    <x v="0"/>
  </r>
  <r>
    <x v="3"/>
    <s v="LBRDK"/>
    <n v="13444"/>
    <n v="93.63"/>
    <n v="-0.85"/>
    <n v="70.13"/>
    <n v="6.26"/>
    <n v="-110.15294117647059"/>
    <n v="1.3350919720519037"/>
    <n v="9.32"/>
    <n v="0.41"/>
    <n v="1.69"/>
    <n v="14.956869009584665"/>
    <s v="NO"/>
    <n v="-19.575023356395864"/>
    <n v="-1.0815971325277562"/>
    <n v="-0.69464002852005691"/>
    <n v="-3.0315326954957071"/>
    <n v="-0.96323969683442967"/>
    <n v="-0.24542092432990306"/>
    <x v="1"/>
    <x v="0"/>
    <x v="0"/>
    <x v="1"/>
    <x v="0"/>
    <x v="0"/>
  </r>
  <r>
    <x v="3"/>
    <s v="CMCSA"/>
    <n v="129074"/>
    <n v="34.6"/>
    <n v="3.5"/>
    <n v="23.14"/>
    <n v="4.07"/>
    <n v="9.8857142857142861"/>
    <n v="1.4952463267070009"/>
    <n v="18.05"/>
    <n v="5.45"/>
    <n v="3.09"/>
    <n v="8.5012285012285016"/>
    <s v="NO"/>
    <n v="-0.70134198540145576"/>
    <n v="-0.85586518443565729"/>
    <n v="1.1937858022250094"/>
    <n v="-0.14394946179887469"/>
    <n v="2.4616125585768769"/>
    <n v="-0.86999589973474811"/>
    <x v="0"/>
    <x v="0"/>
    <x v="0"/>
    <x v="0"/>
    <x v="0"/>
    <x v="0"/>
  </r>
  <r>
    <x v="3"/>
    <s v="FOX"/>
    <n v="22607"/>
    <n v="49.56"/>
    <n v="5.2"/>
    <n v="25.58"/>
    <n v="4.03"/>
    <n v="9.5307692307692307"/>
    <n v="1.9374511336982019"/>
    <n v="16.62"/>
    <n v="8.4"/>
    <n v="2.0299999999999998"/>
    <n v="12.297766749379653"/>
    <s v="YES"/>
    <n v="-0.75715000695459178"/>
    <n v="-0.23259301208178829"/>
    <n v="0.88445602697123571"/>
    <n v="1.5462034230038348"/>
    <n v="-0.13148986337739832"/>
    <n v="-0.50268567236176254"/>
    <x v="0"/>
    <x v="0"/>
    <x v="0"/>
    <x v="0"/>
    <x v="0"/>
    <x v="0"/>
  </r>
  <r>
    <x v="3"/>
    <s v="FOXA"/>
    <n v="24702"/>
    <n v="54.1"/>
    <n v="5.2"/>
    <n v="25.58"/>
    <n v="4.03"/>
    <n v="10.403846153846153"/>
    <n v="2.1149335418295547"/>
    <n v="16.62"/>
    <n v="8.4"/>
    <n v="2.0299999999999998"/>
    <n v="13.424317617866004"/>
    <s v="NO"/>
    <n v="-0.61987609635407648"/>
    <n v="1.7562219887061338E-2"/>
    <n v="0.88445602697123571"/>
    <n v="1.5462034230038348"/>
    <n v="-0.13148986337739832"/>
    <n v="-0.39369331442819855"/>
    <x v="0"/>
    <x v="0"/>
    <x v="0"/>
    <x v="0"/>
    <x v="0"/>
    <x v="0"/>
  </r>
  <r>
    <x v="3"/>
    <s v="NWS"/>
    <n v="18513"/>
    <n v="31.82"/>
    <n v="1.23"/>
    <n v="14.48"/>
    <n v="0.82"/>
    <n v="25.869918699186993"/>
    <n v="2.1975138121546962"/>
    <n v="6.72"/>
    <n v="3.53"/>
    <n v="2.02"/>
    <n v="38.804878048780488"/>
    <s v="NO"/>
    <n v="1.8118549502620167"/>
    <n v="0.13395621575817546"/>
    <n v="-1.2570578017087364"/>
    <n v="-1.2439811698738588"/>
    <n v="-0.15595309377319283"/>
    <n v="2.0618434965792809"/>
    <x v="0"/>
    <x v="0"/>
    <x v="0"/>
    <x v="0"/>
    <x v="0"/>
    <x v="0"/>
  </r>
  <r>
    <x v="3"/>
    <s v="NWSA"/>
    <n v="15978"/>
    <n v="27.76"/>
    <n v="1.23"/>
    <n v="14.48"/>
    <n v="0.82"/>
    <n v="22.569105691056912"/>
    <n v="1.9171270718232045"/>
    <n v="6.72"/>
    <n v="3.53"/>
    <n v="2.02"/>
    <n v="33.853658536585371"/>
    <s v="NO"/>
    <n v="1.2928680227526006"/>
    <n v="-0.26123906476057818"/>
    <n v="-1.2570578017087364"/>
    <n v="-1.2439811698738588"/>
    <n v="-0.15595309377319283"/>
    <n v="1.5828193314247236"/>
    <x v="0"/>
    <x v="0"/>
    <x v="0"/>
    <x v="0"/>
    <x v="0"/>
    <x v="0"/>
  </r>
  <r>
    <x v="3"/>
    <s v="TTD"/>
    <n v="36966"/>
    <n v="71.489999999999995"/>
    <n v="1.39"/>
    <n v="5.53"/>
    <n v="0.82"/>
    <n v="51.431654676258994"/>
    <n v="12.92766726943942"/>
    <n v="16.88"/>
    <n v="5.46"/>
    <n v="2.1"/>
    <n v="87.182926829268297"/>
    <s v="NO"/>
    <n v="5.8309274587234521"/>
    <n v="15.257731329187235"/>
    <n v="0.94069780429010319"/>
    <n v="-0.13822012998598426"/>
    <n v="3.9752749393167738E-2"/>
    <n v="6.7423579378800973"/>
    <x v="1"/>
    <x v="1"/>
    <x v="0"/>
    <x v="0"/>
    <x v="0"/>
    <x v="1"/>
  </r>
  <r>
    <x v="4"/>
    <s v="TMUS"/>
    <n v="275005"/>
    <n v="237.95"/>
    <n v="10.28"/>
    <n v="53.73"/>
    <n v="10.25"/>
    <n v="23.146887159533073"/>
    <n v="4.4286246045040016"/>
    <n v="19.350000000000001"/>
    <n v="5.6"/>
    <n v="3.51"/>
    <n v="23.214634146341464"/>
    <s v="NO"/>
    <n v="0.59853578300788779"/>
    <n v="0.99081432417094029"/>
    <n v="1.0422832197328058"/>
    <n v="0.35993945123362037"/>
    <n v="-0.79714564856234582"/>
    <n v="1.4041211994885925"/>
    <x v="0"/>
    <x v="0"/>
    <x v="0"/>
    <x v="0"/>
    <x v="0"/>
    <x v="0"/>
  </r>
  <r>
    <x v="4"/>
    <s v="RCI"/>
    <n v="14441"/>
    <n v="26.65"/>
    <n v="2.2000000000000002"/>
    <n v="13.73"/>
    <n v="2.2599999999999998"/>
    <n v="12.113636363636362"/>
    <n v="1.9410050983248359"/>
    <n v="16.559999999999999"/>
    <n v="4.41"/>
    <n v="6.88"/>
    <n v="11.792035398230089"/>
    <s v="NO"/>
    <n v="-1.1894309209524434"/>
    <n v="-1.1017087656874434"/>
    <n v="0.30468773893267126"/>
    <n v="-0.91865143523804904"/>
    <n v="1.0973401311662192"/>
    <n v="-0.84811792705119815"/>
    <x v="0"/>
    <x v="0"/>
    <x v="0"/>
    <x v="0"/>
    <x v="0"/>
    <x v="0"/>
  </r>
  <r>
    <x v="4"/>
    <s v="RCIAF"/>
    <n v="15533"/>
    <n v="29.6"/>
    <n v="1.97"/>
    <n v="13.52"/>
    <n v="2.23"/>
    <n v="15.025380710659899"/>
    <n v="2.1893491124260356"/>
    <n v="16.559999999999999"/>
    <n v="4.41"/>
    <n v="6.88"/>
    <n v="13.273542600896862"/>
    <s v="NO"/>
    <n v="-0.71757525128354027"/>
    <n v="-0.89280801440934632"/>
    <n v="0.30468773893267126"/>
    <n v="-0.91865143523804904"/>
    <n v="1.0973401311662192"/>
    <n v="-0.55600327243739445"/>
    <x v="0"/>
    <x v="0"/>
    <x v="0"/>
    <x v="0"/>
    <x v="0"/>
    <x v="0"/>
  </r>
  <r>
    <x v="4"/>
    <s v="AMX"/>
    <n v="51190"/>
    <n v="16.829999999999998"/>
    <n v="0.09"/>
    <n v="0.3"/>
    <n v="0.03"/>
    <n v="187"/>
    <n v="56.099999999999994"/>
    <n v="9.16"/>
    <n v="6.64"/>
    <n v="4.93"/>
    <n v="561"/>
    <s v="NO"/>
    <n v="27.151354668260069"/>
    <n v="44.455478365934709"/>
    <n v="-1.6516586975981493"/>
    <n v="1.4773634192424749"/>
    <n v="1.1243239048832974E-3"/>
    <n v="107.44139602334516"/>
    <x v="1"/>
    <x v="1"/>
    <x v="0"/>
    <x v="0"/>
    <x v="0"/>
    <x v="1"/>
  </r>
  <r>
    <x v="4"/>
    <s v="VOD"/>
    <n v="25630"/>
    <n v="9.91"/>
    <n v="0.36"/>
    <n v="2.23"/>
    <n v="-0.17"/>
    <n v="27.527777777777779"/>
    <n v="4.4439461883408073"/>
    <n v="-6.48"/>
    <n v="1.94"/>
    <n v="2.44"/>
    <n v="-58.294117647058819"/>
    <s v="NO"/>
    <n v="1.3084703892280956"/>
    <n v="1.0037024559258485"/>
    <n v="-5.7864233283200468"/>
    <n v="-3.5725333592590784"/>
    <n v="-1.3986589376749761"/>
    <n v="-14.667282864745854"/>
    <x v="0"/>
    <x v="0"/>
    <x v="1"/>
    <x v="1"/>
    <x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">
  <r>
    <x v="0"/>
    <s v="UDIRY"/>
    <n v="5187"/>
    <n v="27.8"/>
    <m/>
    <m/>
    <m/>
    <s v=""/>
    <s v=""/>
    <n v="0.94"/>
    <n v="3.3"/>
    <n v="2.4900000000000002"/>
    <s v=""/>
    <s v="NO"/>
    <e v="#VALUE!"/>
    <e v="#VALUE!"/>
    <n v="0.21880532560090871"/>
    <n v="0.15384841179876113"/>
    <n v="-0.57682757944972374"/>
    <e v="#VALUE!"/>
    <x v="0"/>
    <x v="0"/>
    <x v="0"/>
    <x v="0"/>
    <x v="0"/>
    <x v="0"/>
  </r>
  <r>
    <x v="0"/>
    <s v="QBCRF"/>
    <n v="6502"/>
    <n v="28.45"/>
    <n v="2.69"/>
    <n v="6.68"/>
    <n v="2.29"/>
    <n v="10.576208178438662"/>
    <n v="4.2589820359281436"/>
    <n v="35.32"/>
    <n v="7"/>
    <n v="5.85"/>
    <n v="12.4235807860262"/>
    <s v="NO"/>
    <n v="0.77404857544032768"/>
    <n v="-0.15399019853805715"/>
    <n v="1.3843141715308487"/>
    <n v="1.3890870164759761"/>
    <n v="1.9677772349280502"/>
    <n v="0.62822626991180186"/>
    <x v="1"/>
    <x v="1"/>
    <x v="0"/>
    <x v="0"/>
    <x v="0"/>
    <x v="1"/>
  </r>
  <r>
    <x v="0"/>
    <s v="KT"/>
    <n v="9177"/>
    <n v="19.88"/>
    <n v="1.21"/>
    <n v="45.85"/>
    <n v="1.75"/>
    <n v="16.429752066115704"/>
    <n v="0.43358778625954197"/>
    <n v="3.2"/>
    <n v="1.47"/>
    <n v="2.54"/>
    <n v="11.36"/>
    <s v="NO"/>
    <n v="1.4919401858514791"/>
    <n v="-0.89274825786069711"/>
    <n v="0.29542109034208569"/>
    <n v="-0.45709392510915869"/>
    <n v="-0.53896143637862604"/>
    <n v="0.58432968437272748"/>
    <x v="1"/>
    <x v="1"/>
    <x v="0"/>
    <x v="0"/>
    <x v="0"/>
    <x v="1"/>
  </r>
  <r>
    <x v="0"/>
    <s v="HLTOY"/>
    <n v="7869"/>
    <n v="9.94"/>
    <n v="1.24"/>
    <n v="5.62"/>
    <n v="1.3"/>
    <n v="8.0161290322580641"/>
    <n v="1.7686832740213523"/>
    <n v="23.69"/>
    <n v="8.6"/>
    <n v="2.4500000000000002"/>
    <n v="7.6461538461538456"/>
    <s v="NO"/>
    <n v="0.46007478856897926"/>
    <n v="-0.63491534256450932"/>
    <n v="0.99004809014151762"/>
    <n v="1.9232442509309879"/>
    <n v="-0.60712049390660194"/>
    <n v="0.43105015214239062"/>
    <x v="1"/>
    <x v="1"/>
    <x v="0"/>
    <x v="0"/>
    <x v="0"/>
    <x v="1"/>
  </r>
  <r>
    <x v="0"/>
    <s v="IRDM"/>
    <n v="2747"/>
    <n v="28.56"/>
    <n v="2.48"/>
    <n v="4.7699999999999996"/>
    <n v="1.05"/>
    <n v="11.516129032258064"/>
    <n v="5.9874213836477992"/>
    <n v="18.010000000000002"/>
    <n v="4.97"/>
    <n v="5.03"/>
    <n v="27.2"/>
    <s v="NO"/>
    <n v="0.88932255447855635"/>
    <n v="0.17980506930626547"/>
    <n v="0.79749165486280738"/>
    <n v="0.71137502526117979"/>
    <n v="1.3467724885620462"/>
    <n v="1.2380853031977268"/>
    <x v="1"/>
    <x v="1"/>
    <x v="0"/>
    <x v="0"/>
    <x v="0"/>
    <x v="1"/>
  </r>
  <r>
    <x v="0"/>
    <s v="IIJIY"/>
    <n v="3384"/>
    <n v="39"/>
    <n v="0.32"/>
    <n v="5.3"/>
    <n v="0.75"/>
    <n v="121.875"/>
    <n v="7.3584905660377364"/>
    <n v="14.94"/>
    <n v="6.42"/>
    <n v="2.2200000000000002"/>
    <n v="52"/>
    <s v="NO"/>
    <n v="14.423979357680418"/>
    <n v="0.44458520496606485"/>
    <n v="0.69341625762589887"/>
    <n v="1.1954550189860345"/>
    <n v="-0.78130475203365202"/>
    <n v="2.2616420801459585"/>
    <x v="0"/>
    <x v="1"/>
    <x v="0"/>
    <x v="0"/>
    <x v="0"/>
    <x v="1"/>
  </r>
  <r>
    <x v="0"/>
    <s v="TEO"/>
    <n v="4200"/>
    <n v="9.4600000000000009"/>
    <n v="0.15"/>
    <n v="2.6"/>
    <n v="0.02"/>
    <n v="63.066666666666677"/>
    <n v="3.6384615384615389"/>
    <n v="1.47"/>
    <n v="0.09"/>
    <n v="2.33"/>
    <n v="473.00000000000006"/>
    <s v="NO"/>
    <n v="7.2115948719092628"/>
    <n v="-0.27382477990651638"/>
    <n v="0.23677273945614044"/>
    <n v="-0.91780453982660648"/>
    <n v="-0.69799923727723689"/>
    <n v="19.637343817855857"/>
    <x v="0"/>
    <x v="1"/>
    <x v="0"/>
    <x v="0"/>
    <x v="0"/>
    <x v="0"/>
  </r>
  <r>
    <x v="0"/>
    <s v="LUMN"/>
    <n v="4022"/>
    <n v="4.2"/>
    <n v="1.03"/>
    <n v="0.28000000000000003"/>
    <n v="-0.32"/>
    <n v="4.0776699029126213"/>
    <n v="15"/>
    <n v="-78.94"/>
    <n v="0.91"/>
    <n v="116.05"/>
    <n v="-13.125"/>
    <s v="NO"/>
    <n v="-2.2946577830366292E-2"/>
    <n v="1.9203093555470565"/>
    <n v="-2.4891890494102489"/>
    <n v="-0.64404895716841282"/>
    <n v="85.424756563627668"/>
    <n v="-0.42622627061023405"/>
    <x v="1"/>
    <x v="1"/>
    <x v="0"/>
    <x v="1"/>
    <x v="1"/>
    <x v="1"/>
  </r>
  <r>
    <x v="0"/>
    <s v="LBTYA"/>
    <n v="3328"/>
    <n v="9.59"/>
    <n v="2.7"/>
    <n v="36.44"/>
    <n v="-0.41"/>
    <n v="3.5518518518518514"/>
    <n v="0.263172338090011"/>
    <n v="-0.56999999999999995"/>
    <n v="0.05"/>
    <n v="2.0499999999999998"/>
    <n v="-23.390243902439025"/>
    <s v="NO"/>
    <n v="-8.7434070314012985E-2"/>
    <n v="-0.92565879663176032"/>
    <n v="0.16761514650392759"/>
    <n v="-0.93115847068798185"/>
    <n v="-0.91004963847538489"/>
    <n v="-0.84989804332668473"/>
    <x v="1"/>
    <x v="1"/>
    <x v="0"/>
    <x v="0"/>
    <x v="0"/>
    <x v="1"/>
  </r>
  <r>
    <x v="0"/>
    <s v="LBTYB"/>
    <n v="3311"/>
    <n v="9.89"/>
    <n v="2.7"/>
    <n v="36.44"/>
    <n v="-0.41"/>
    <n v="3.662962962962963"/>
    <n v="0.27140504939626786"/>
    <n v="-0.56999999999999995"/>
    <n v="0.05"/>
    <n v="2.0499999999999998"/>
    <n v="-24.121951219512198"/>
    <s v="NO"/>
    <n v="-7.3807157110534288E-2"/>
    <n v="-0.92406889989677643"/>
    <n v="0.16761514650392759"/>
    <n v="-0.93115847068798185"/>
    <n v="-0.91004963847538489"/>
    <n v="-0.88009739748526761"/>
    <x v="1"/>
    <x v="1"/>
    <x v="0"/>
    <x v="0"/>
    <x v="0"/>
    <x v="1"/>
  </r>
  <r>
    <x v="0"/>
    <s v="GSAT"/>
    <n v="2337"/>
    <n v="21.19"/>
    <n v="0.43"/>
    <n v="2.72"/>
    <n v="-0.62"/>
    <n v="49.279069767441861"/>
    <n v="7.7904411764705879"/>
    <n v="-18.66"/>
    <n v="0.12"/>
    <n v="5.0199999999999996"/>
    <n v="-34.177419354838712"/>
    <s v="NO"/>
    <n v="5.520653395836673"/>
    <n v="0.52800327219253373"/>
    <n v="-0.44564997923407756"/>
    <n v="-0.90778909168057498"/>
    <n v="1.3391992599478262"/>
    <n v="-1.2951112101989954"/>
    <x v="0"/>
    <x v="1"/>
    <x v="0"/>
    <x v="0"/>
    <x v="0"/>
    <x v="1"/>
  </r>
  <r>
    <x v="0"/>
    <s v="FYBR"/>
    <n v="9066"/>
    <n v="36.270000000000003"/>
    <n v="-4.29"/>
    <n v="19.489999999999998"/>
    <n v="-1.56"/>
    <n v="-8.454545454545455"/>
    <n v="1.860954335556696"/>
    <n v="-7.64"/>
    <n v="1.47"/>
    <n v="4.28"/>
    <n v="-23.25"/>
    <s v="NO"/>
    <n v="-1.5599252761408153"/>
    <n v="-0.61709600528773179"/>
    <n v="-7.2063374168692407E-2"/>
    <n v="-0.45709392510915869"/>
    <n v="0.77878034249557881"/>
    <n v="-0.84410983377962301"/>
    <x v="1"/>
    <x v="1"/>
    <x v="0"/>
    <x v="0"/>
    <x v="0"/>
    <x v="1"/>
  </r>
  <r>
    <x v="0"/>
    <s v="SNRE"/>
    <n v="3669"/>
    <n v="52.54"/>
    <n v="11.09"/>
    <n v="67.260000000000005"/>
    <n v="-3.78"/>
    <n v="4.7376014427412079"/>
    <n v="0.7811477847160273"/>
    <n v="-9.09"/>
    <n v="0.53"/>
    <n v="2.71"/>
    <n v="-13.8994708994709"/>
    <s v="NO"/>
    <n v="5.7988890490973097E-2"/>
    <n v="-0.82562765977328789"/>
    <n v="-0.12121950641413781"/>
    <n v="-0.77091130035147826"/>
    <n v="-0.41021654993689344"/>
    <n v="-0.45819058261437251"/>
    <x v="1"/>
    <x v="1"/>
    <x v="0"/>
    <x v="0"/>
    <x v="0"/>
    <x v="1"/>
  </r>
  <r>
    <x v="0"/>
    <s v="CCOI"/>
    <n v="2255"/>
    <n v="48.96"/>
    <n v="-4.2699999999999996"/>
    <n v="3"/>
    <n v="-4"/>
    <n v="-11.466042154566747"/>
    <n v="16.32"/>
    <n v="-59.3"/>
    <n v="-3.38"/>
    <n v="21.85"/>
    <n v="-12.24"/>
    <s v="NO"/>
    <n v="-1.9292619134345876"/>
    <n v="2.1752270384474173"/>
    <n v="-1.8233777133409059"/>
    <n v="-2.0762580420509136"/>
    <n v="14.084943017679359"/>
    <n v="-0.38970015175542821"/>
    <x v="1"/>
    <x v="1"/>
    <x v="0"/>
    <x v="1"/>
    <x v="1"/>
    <x v="1"/>
  </r>
  <r>
    <x v="1"/>
    <s v="CNK"/>
    <n v="3884"/>
    <n v="31.42"/>
    <n v="1.84"/>
    <n v="3.08"/>
    <n v="1.71"/>
    <n v="17.076086956521738"/>
    <n v="10.201298701298702"/>
    <n v="71.86"/>
    <n v="4.24"/>
    <n v="13.41"/>
    <n v="18.374269005847953"/>
    <s v="NO"/>
    <n v="0.3064871273493564"/>
    <n v="1.0662363036071176"/>
    <n v="1.6839771876294434"/>
    <n v="0.81873436469364202"/>
    <n v="1.9898335199988759"/>
    <n v="-0.1353011940382613"/>
    <x v="1"/>
    <x v="1"/>
    <x v="0"/>
    <x v="1"/>
    <x v="0"/>
    <x v="1"/>
  </r>
  <r>
    <x v="1"/>
    <s v="OTGLY"/>
    <n v="5899"/>
    <n v="17.86"/>
    <n v="0.19"/>
    <n v="7.48"/>
    <n v="1.17"/>
    <n v="94"/>
    <n v="2.3877005347593583"/>
    <n v="16.88"/>
    <n v="8.17"/>
    <n v="1.08"/>
    <n v="15.264957264957266"/>
    <s v="NO"/>
    <n v="1.976741097666755"/>
    <n v="0.39306261067926124"/>
    <n v="0.31982416308447797"/>
    <n v="2.0316251763641908"/>
    <n v="-5.6236028873207652E-2"/>
    <n v="-0.15623549868729783"/>
    <x v="1"/>
    <x v="1"/>
    <x v="0"/>
    <x v="0"/>
    <x v="0"/>
    <x v="1"/>
  </r>
  <r>
    <x v="1"/>
    <s v="LLYVA"/>
    <n v="6600"/>
    <n v="74.709999999999994"/>
    <n v="-0.16"/>
    <n v="-4.07"/>
    <n v="0.27"/>
    <n v="-466.93749999999994"/>
    <n v="-18.356265356265354"/>
    <n v="13.15"/>
    <n v="-0.57999999999999996"/>
    <n v="-3.29"/>
    <n v="276.70370370370364"/>
    <s v="NO"/>
    <n v="-10.202931638760015"/>
    <n v="-1.3941155660320463"/>
    <n v="0.22727613140836453"/>
    <n v="-0.66883146539593685"/>
    <n v="-0.78140423070378384"/>
    <n v="1.6039734546430413"/>
    <x v="0"/>
    <x v="1"/>
    <x v="0"/>
    <x v="0"/>
    <x v="0"/>
    <x v="1"/>
  </r>
  <r>
    <x v="1"/>
    <s v="LLYVK"/>
    <n v="6700"/>
    <n v="75.89"/>
    <n v="-0.16"/>
    <n v="-4.07"/>
    <n v="0.27"/>
    <n v="-474.3125"/>
    <n v="-18.646191646191646"/>
    <n v="13.15"/>
    <n v="-0.57999999999999996"/>
    <n v="-3.29"/>
    <n v="281.07407407407408"/>
    <s v="NO"/>
    <n v="-10.363065497578773"/>
    <n v="-1.419093911105171"/>
    <n v="0.22727613140836453"/>
    <n v="-0.66883146539593685"/>
    <n v="-0.78140423070378384"/>
    <n v="1.6333981866695086"/>
    <x v="0"/>
    <x v="1"/>
    <x v="0"/>
    <x v="0"/>
    <x v="0"/>
    <x v="1"/>
  </r>
  <r>
    <x v="1"/>
    <s v="MSGS"/>
    <n v="4561"/>
    <n v="189.98"/>
    <n v="6.09"/>
    <n v="-11.8"/>
    <n v="0.2"/>
    <n v="31.195402298850574"/>
    <n v="-16.099999999999998"/>
    <n v="-1.67"/>
    <n v="3.86"/>
    <n v="-5.31"/>
    <n v="949.89999999999986"/>
    <s v="NO"/>
    <n v="0.61306074764034202"/>
    <n v="-1.1997290043316202"/>
    <n v="-0.14043481482219908"/>
    <n v="0.70145739053720224"/>
    <n v="-1.1166078388726086"/>
    <n v="6.1364544439029682"/>
    <x v="1"/>
    <x v="1"/>
    <x v="0"/>
    <x v="0"/>
    <x v="0"/>
    <x v="0"/>
  </r>
  <r>
    <x v="1"/>
    <s v="BATRA"/>
    <n v="2720"/>
    <n v="44.13"/>
    <n v="-0.91"/>
    <n v="7.77"/>
    <n v="-0.34"/>
    <n v="-48.494505494505496"/>
    <n v="5.67953667953668"/>
    <n v="-4.32"/>
    <n v="-1.1299999999999999"/>
    <n v="3.46"/>
    <n v="-129.79411764705881"/>
    <s v="NO"/>
    <n v="-1.1172514481374445"/>
    <n v="0.67666786486071706"/>
    <n v="-0.20618609738029584"/>
    <n v="-0.83857445430657351"/>
    <n v="0.33870683619699177"/>
    <n v="-1.1328859986611817"/>
    <x v="1"/>
    <x v="1"/>
    <x v="0"/>
    <x v="0"/>
    <x v="0"/>
    <x v="1"/>
  </r>
  <r>
    <x v="1"/>
    <s v="BATRK"/>
    <n v="2542"/>
    <n v="41.39"/>
    <n v="-0.91"/>
    <n v="7.77"/>
    <n v="-0.34"/>
    <n v="-45.483516483516482"/>
    <n v="5.326898326898327"/>
    <n v="-4.32"/>
    <n v="-1.1299999999999999"/>
    <n v="3.46"/>
    <n v="-121.73529411764706"/>
    <s v="NO"/>
    <n v="-1.0518736462133023"/>
    <n v="0.64628661705991097"/>
    <n v="-0.20618609738029584"/>
    <n v="-0.83857445430657351"/>
    <n v="0.33870683619699177"/>
    <n v="-1.0786277315794761"/>
    <x v="1"/>
    <x v="1"/>
    <x v="0"/>
    <x v="0"/>
    <x v="0"/>
    <x v="1"/>
  </r>
  <r>
    <x v="1"/>
    <s v="LION"/>
    <n v="2066"/>
    <n v="6.5"/>
    <n v="-0.55000000000000004"/>
    <n v="-3.62"/>
    <n v="-0.43"/>
    <n v="-11.818181818181817"/>
    <n v="-1.7955801104972375"/>
    <n v="22.86"/>
    <n v="2.5"/>
    <n v="-4.8899999999999997"/>
    <n v="-15.116279069767442"/>
    <s v="NO"/>
    <n v="-0.32089602609330742"/>
    <n v="3.2655737878909179E-2"/>
    <n v="0.46819875542312644"/>
    <n v="0.28172927250362806"/>
    <n v="-1.0469120391543381"/>
    <n v="-0.3607856081797976"/>
    <x v="1"/>
    <x v="1"/>
    <x v="0"/>
    <x v="0"/>
    <x v="0"/>
    <x v="1"/>
  </r>
  <r>
    <x v="1"/>
    <s v="MANU"/>
    <n v="2418"/>
    <n v="17.010000000000002"/>
    <n v="-1.08"/>
    <n v="1.45"/>
    <n v="-1"/>
    <n v="-15.75"/>
    <n v="11.731034482758622"/>
    <n v="-91.68"/>
    <n v="-3.93"/>
    <n v="8.14"/>
    <n v="-17.010000000000002"/>
    <s v="NO"/>
    <n v="-0.40626785221239914"/>
    <n v="1.1980293473829209"/>
    <n v="-2.3737453593709863"/>
    <n v="-1.7027205796698144"/>
    <n v="1.115317175914863"/>
    <n v="-0.37353561016653597"/>
    <x v="1"/>
    <x v="1"/>
    <x v="0"/>
    <x v="1"/>
    <x v="0"/>
    <x v="1"/>
  </r>
  <r>
    <x v="2"/>
    <s v="JOYY"/>
    <n v="2476"/>
    <n v="48.84"/>
    <n v="3.87"/>
    <n v="126.95"/>
    <n v="31"/>
    <n v="12.620155038759691"/>
    <n v="0.3847183930681371"/>
    <n v="27.33"/>
    <n v="0.44"/>
    <n v="1.1499999999999999"/>
    <n v="1.5754838709677421"/>
    <s v="NO"/>
    <n v="-0.13447668375008739"/>
    <n v="-1.2010713385257423"/>
    <n v="0.90114025581760404"/>
    <n v="-0.32214855237828782"/>
    <n v="-1.041747481440694"/>
    <n v="-0.18474717596544901"/>
    <x v="1"/>
    <x v="1"/>
    <x v="0"/>
    <x v="0"/>
    <x v="0"/>
    <x v="1"/>
  </r>
  <r>
    <x v="2"/>
    <s v="YELP"/>
    <n v="2437"/>
    <n v="37.020000000000003"/>
    <n v="4.0599999999999996"/>
    <n v="11.24"/>
    <n v="2.0499999999999998"/>
    <n v="9.1182266009852242"/>
    <n v="3.2935943060498221"/>
    <n v="19.739999999999998"/>
    <n v="11.18"/>
    <n v="1.35"/>
    <n v="18.058536585365857"/>
    <s v="NO"/>
    <n v="-0.8072633781707379"/>
    <n v="6.4180767234778752E-2"/>
    <n v="0.61082113577819919"/>
    <n v="1.1480534812801308"/>
    <n v="-0.56606369996092509"/>
    <n v="0.12515418231671366"/>
    <x v="1"/>
    <x v="1"/>
    <x v="0"/>
    <x v="0"/>
    <x v="0"/>
    <x v="1"/>
  </r>
  <r>
    <x v="2"/>
    <s v="ATHM"/>
    <n v="2904"/>
    <n v="26.26"/>
    <n v="1.39"/>
    <n v="27.81"/>
    <n v="1.8"/>
    <n v="18.892086330935253"/>
    <n v="0.94426465300251716"/>
    <n v="6.24"/>
    <n v="2.0099999999999998"/>
    <n v="1.21"/>
    <n v="14.588888888888889"/>
    <s v="NO"/>
    <n v="1.0704799556202782"/>
    <n v="-0.95768966641903808"/>
    <n v="9.4443254285186698E-2"/>
    <n v="-0.10723075043753201"/>
    <n v="-0.89904234699676333"/>
    <n v="5.9920602558787568E-2"/>
    <x v="1"/>
    <x v="1"/>
    <x v="0"/>
    <x v="0"/>
    <x v="0"/>
    <x v="1"/>
  </r>
  <r>
    <x v="2"/>
    <s v="WB"/>
    <n v="2216"/>
    <n v="9.7899999999999991"/>
    <n v="2.44"/>
    <n v="14.4"/>
    <n v="1.38"/>
    <n v="4.0122950819672125"/>
    <n v="0.67986111111111103"/>
    <n v="10.79"/>
    <n v="4.53"/>
    <n v="1.94"/>
    <n v="7.0942028985507246"/>
    <s v="NO"/>
    <n v="-1.7882094053835229"/>
    <n v="-1.0726953071394534"/>
    <n v="0.26848172545505383"/>
    <n v="0.23773285522533724"/>
    <n v="0.83720345540439178"/>
    <n v="-8.0988572977323287E-2"/>
    <x v="1"/>
    <x v="1"/>
    <x v="0"/>
    <x v="0"/>
    <x v="0"/>
    <x v="1"/>
  </r>
  <r>
    <x v="2"/>
    <s v="BZ"/>
    <n v="7482"/>
    <n v="18.8"/>
    <n v="0.87"/>
    <n v="5.0199999999999996"/>
    <n v="0.56000000000000005"/>
    <n v="21.609195402298852"/>
    <n v="3.7450199203187258"/>
    <n v="12.26"/>
    <n v="4.82"/>
    <n v="1.29"/>
    <n v="33.571428571428569"/>
    <s v="NO"/>
    <n v="1.5924880043241016"/>
    <n v="0.26053400681401667"/>
    <n v="0.3247095392176263"/>
    <n v="0.27743104794050871"/>
    <n v="-0.70876883440485572"/>
    <n v="0.41681534367221551"/>
    <x v="1"/>
    <x v="1"/>
    <x v="0"/>
    <x v="0"/>
    <x v="0"/>
    <x v="1"/>
  </r>
  <r>
    <x v="2"/>
    <s v="HMNTY"/>
    <n v="3040"/>
    <n v="29.21"/>
    <n v="0.59"/>
    <n v="1.29"/>
    <n v="0.53"/>
    <n v="49.50847457627119"/>
    <n v="22.643410852713178"/>
    <n v="41.8"/>
    <n v="19.09"/>
    <n v="1.77"/>
    <n v="55.113207547169807"/>
    <s v="NO"/>
    <n v="6.9524672688074602"/>
    <n v="8.4806264542047654"/>
    <n v="1.4546208443512254"/>
    <n v="2.2308559101663592"/>
    <n v="0.43287224114658868"/>
    <n v="0.82182688371084811"/>
    <x v="0"/>
    <x v="0"/>
    <x v="0"/>
    <x v="1"/>
    <x v="0"/>
    <x v="1"/>
  </r>
  <r>
    <x v="2"/>
    <s v="CARG"/>
    <n v="3098"/>
    <n v="32.020000000000003"/>
    <n v="1.97"/>
    <n v="4.08"/>
    <n v="0.36"/>
    <n v="16.253807106598988"/>
    <n v="7.848039215686275"/>
    <n v="7.98"/>
    <n v="14.21"/>
    <n v="1.71"/>
    <n v="88.944444444444457"/>
    <s v="NO"/>
    <n v="0.56361661165431309"/>
    <n v="2.0451937718703226"/>
    <n v="0.16099862567761944"/>
    <n v="1.562831149993819"/>
    <n v="0.290167106702658"/>
    <n v="1.4578951198861076"/>
    <x v="1"/>
    <x v="1"/>
    <x v="0"/>
    <x v="0"/>
    <x v="0"/>
    <x v="1"/>
  </r>
  <r>
    <x v="2"/>
    <s v="GTM"/>
    <n v="3141"/>
    <n v="10.15"/>
    <n v="0.87"/>
    <n v="4.92"/>
    <n v="0.12"/>
    <n v="11.666666666666668"/>
    <n v="2.0630081300813008"/>
    <n v="2.23"/>
    <n v="2.0099999999999998"/>
    <n v="3.89"/>
    <n v="84.583333333333343"/>
    <s v="NO"/>
    <n v="-0.31765983595541125"/>
    <n v="-0.47107814275013887"/>
    <n v="-5.8940101624960002E-2"/>
    <n v="-0.10723075043753201"/>
    <n v="5.475120324832135"/>
    <n v="1.375900948031509"/>
    <x v="1"/>
    <x v="1"/>
    <x v="0"/>
    <x v="0"/>
    <x v="1"/>
    <x v="1"/>
  </r>
  <r>
    <x v="2"/>
    <s v="BILI"/>
    <n v="7532"/>
    <n v="19.45"/>
    <n v="1.57"/>
    <n v="4.74"/>
    <n v="-0.2"/>
    <n v="12.388535031847132"/>
    <n v="4.1033755274261603"/>
    <n v="-4.3099999999999996"/>
    <n v="-1"/>
    <n v="2.31"/>
    <n v="-97.249999999999986"/>
    <s v="NO"/>
    <n v="-0.17897526833893232"/>
    <n v="0.41640527807735922"/>
    <n v="-0.30909649754824164"/>
    <n v="-0.5192706127570702"/>
    <n v="1.7172184511419639"/>
    <n v="-2.0427859880207304"/>
    <x v="1"/>
    <x v="1"/>
    <x v="0"/>
    <x v="0"/>
    <x v="0"/>
    <x v="1"/>
  </r>
  <r>
    <x v="2"/>
    <s v="DJT"/>
    <n v="4706"/>
    <n v="21.22"/>
    <n v="-0.33"/>
    <n v="4.04"/>
    <n v="-0.52"/>
    <n v="-64.303030303030297"/>
    <n v="5.2524752475247523"/>
    <n v="-19.059999999999999"/>
    <n v="-13.06"/>
    <n v="1.03"/>
    <n v="-40.807692307692307"/>
    <s v="NO"/>
    <n v="-14.912875645922981"/>
    <n v="0.91622063083789584"/>
    <n v="-0.87328714584616263"/>
    <n v="-2.170167868429373"/>
    <n v="-1.3271577503285548"/>
    <n v="-0.98160223028470983"/>
    <x v="0"/>
    <x v="1"/>
    <x v="0"/>
    <x v="0"/>
    <x v="0"/>
    <x v="1"/>
  </r>
  <r>
    <x v="2"/>
    <s v="GRND"/>
    <n v="4784"/>
    <n v="23.23"/>
    <n v="0.52"/>
    <n v="1.6"/>
    <n v="-0.57999999999999996"/>
    <n v="44.67307692307692"/>
    <n v="14.518749999999999"/>
    <n v="-63.52"/>
    <n v="11.19"/>
    <n v="2.12"/>
    <n v="-40.051724137931039"/>
    <s v="NO"/>
    <n v="6.023495914564311"/>
    <n v="4.9467031931233487"/>
    <n v="-2.5738916355631511"/>
    <n v="1.1494223844772056"/>
    <n v="1.2653188587361839"/>
    <n v="-0.96738911292796825"/>
    <x v="0"/>
    <x v="0"/>
    <x v="0"/>
    <x v="1"/>
    <x v="0"/>
    <x v="1"/>
  </r>
  <r>
    <x v="3"/>
    <s v="LZMH"/>
    <n v="4023"/>
    <n v="21.66"/>
    <m/>
    <m/>
    <m/>
    <s v=""/>
    <s v=""/>
    <n v="-12.02"/>
    <n v="-0.53"/>
    <n v="6.14"/>
    <s v=""/>
    <s v="NO"/>
    <e v="#VALUE!"/>
    <e v="#VALUE!"/>
    <n v="-0.83825748695807323"/>
    <n v="-1.5887743774205594"/>
    <n v="1.3685109080511901"/>
    <e v="#VALUE!"/>
    <x v="0"/>
    <x v="0"/>
    <x v="0"/>
    <x v="0"/>
    <x v="0"/>
    <x v="0"/>
  </r>
  <r>
    <x v="3"/>
    <s v="NXST"/>
    <n v="5138"/>
    <n v="168.34"/>
    <n v="37.21"/>
    <n v="74.02"/>
    <n v="19.7"/>
    <n v="4.5240526740123626"/>
    <n v="2.274250202647933"/>
    <n v="26.68"/>
    <n v="6.77"/>
    <n v="5.08"/>
    <n v="8.5451776649746201"/>
    <s v="NO"/>
    <n v="-1.0908488150780071"/>
    <n v="-1.3755149293754234E-2"/>
    <n v="1.1817029579533487"/>
    <n v="0.86532061944149807"/>
    <n v="0.75231767794814108"/>
    <n v="-0.50606693371080236"/>
    <x v="1"/>
    <x v="1"/>
    <x v="0"/>
    <x v="0"/>
    <x v="0"/>
    <x v="1"/>
  </r>
  <r>
    <x v="3"/>
    <s v="TGNA"/>
    <n v="2687"/>
    <n v="16.559999999999999"/>
    <n v="3.6"/>
    <n v="18.91"/>
    <n v="2.83"/>
    <n v="4.5999999999999996"/>
    <n v="0.87572712850343726"/>
    <n v="15.93"/>
    <n v="6.47"/>
    <n v="2.4"/>
    <n v="5.851590106007067"/>
    <s v="YES"/>
    <n v="-1.0803051678493674"/>
    <n v="-1.0168394049388239"/>
    <n v="0.6206028343668426"/>
    <n v="0.76446740039237249"/>
    <n v="-0.80560482835013414"/>
    <n v="-0.59113156138926692"/>
    <x v="1"/>
    <x v="1"/>
    <x v="0"/>
    <x v="0"/>
    <x v="0"/>
    <x v="1"/>
  </r>
  <r>
    <x v="3"/>
    <s v="NYT"/>
    <n v="9313"/>
    <n v="55.64"/>
    <n v="2.59"/>
    <n v="11.54"/>
    <n v="1.83"/>
    <n v="21.482625482625483"/>
    <n v="4.8214904679376085"/>
    <n v="16.68"/>
    <n v="8.7200000000000006"/>
    <n v="1.45"/>
    <n v="30.404371584699454"/>
    <s v="NO"/>
    <n v="1.2634830441414524"/>
    <n v="1.8132412390355888"/>
    <n v="0.65974935461706385"/>
    <n v="1.5208665432608153"/>
    <n v="-1.3578534779707916"/>
    <n v="0.18425560135669347"/>
    <x v="1"/>
    <x v="1"/>
    <x v="0"/>
    <x v="0"/>
    <x v="0"/>
    <x v="1"/>
  </r>
  <r>
    <x v="3"/>
    <s v="IPG"/>
    <n v="8859"/>
    <n v="23.08"/>
    <n v="2.8"/>
    <n v="9.68"/>
    <n v="1.31"/>
    <n v="8.242857142857142"/>
    <n v="2.384297520661157"/>
    <n v="13.58"/>
    <n v="5.12"/>
    <n v="4.78"/>
    <n v="17.618320610687022"/>
    <s v="NO"/>
    <n v="-0.57457306840891131"/>
    <n v="6.517578442899237E-2"/>
    <n v="0.49794373758281568"/>
    <n v="0.31062791467130713"/>
    <n v="0.57792336754161788"/>
    <n v="-0.21953326452265709"/>
    <x v="1"/>
    <x v="1"/>
    <x v="0"/>
    <x v="0"/>
    <x v="0"/>
    <x v="1"/>
  </r>
  <r>
    <x v="3"/>
    <s v="WLY"/>
    <n v="2107"/>
    <n v="38.159999999999997"/>
    <n v="2.77"/>
    <n v="12.73"/>
    <n v="0.75"/>
    <n v="13.776173285198555"/>
    <n v="2.9976433621366847"/>
    <n v="5.77"/>
    <n v="5.56"/>
    <n v="3.79"/>
    <n v="50.879999999999995"/>
    <s v="NO"/>
    <n v="0.19360846597299522"/>
    <n v="0.5050952739417639"/>
    <n v="9.0297973377177279E-2"/>
    <n v="0.45854596927669128"/>
    <n v="2.4221432000907225E-3"/>
    <n v="0.83088455605001688"/>
    <x v="1"/>
    <x v="1"/>
    <x v="0"/>
    <x v="0"/>
    <x v="0"/>
    <x v="1"/>
  </r>
  <r>
    <x v="3"/>
    <s v="WLYB"/>
    <n v="2129"/>
    <n v="38.799999999999997"/>
    <n v="2.77"/>
    <n v="12.73"/>
    <n v="0.75"/>
    <n v="14.007220216606497"/>
    <n v="3.047918303220738"/>
    <n v="5.77"/>
    <n v="5.56"/>
    <n v="3.79"/>
    <n v="51.733333333333327"/>
    <s v="NO"/>
    <n v="0.22568434628011266"/>
    <n v="0.54115474467001512"/>
    <n v="9.0297973377177279E-2"/>
    <n v="0.45854596927669128"/>
    <n v="2.4221432000907225E-3"/>
    <n v="0.85783318151569354"/>
    <x v="1"/>
    <x v="1"/>
    <x v="0"/>
    <x v="0"/>
    <x v="0"/>
    <x v="1"/>
  </r>
  <r>
    <x v="3"/>
    <s v="WPP"/>
    <n v="8719"/>
    <n v="36.68"/>
    <n v="1.36"/>
    <n v="4.03"/>
    <n v="0.62"/>
    <n v="26.970588235294116"/>
    <n v="9.1017369727047139"/>
    <n v="16.62"/>
    <n v="3.15"/>
    <n v="7.34"/>
    <n v="59.161290322580648"/>
    <s v="NO"/>
    <n v="2.0253682391181944"/>
    <n v="4.8832283980519744"/>
    <n v="0.65661763299704623"/>
    <n v="-0.35164155708461803"/>
    <n v="2.0660881496772836"/>
    <n v="1.0924111864512975"/>
    <x v="1"/>
    <x v="0"/>
    <x v="0"/>
    <x v="0"/>
    <x v="0"/>
    <x v="1"/>
  </r>
  <r>
    <x v="3"/>
    <s v="MGNI"/>
    <n v="2309"/>
    <n v="17.53"/>
    <n v="1.72"/>
    <n v="5.24"/>
    <n v="0.21"/>
    <n v="10.19186046511628"/>
    <n v="3.3454198473282442"/>
    <n v="4.3"/>
    <n v="1.55"/>
    <n v="3.61"/>
    <n v="83.476190476190482"/>
    <s v="NO"/>
    <n v="-0.30399601766860684"/>
    <n v="0.75453636163538806"/>
    <n v="1.3570793686743438E-2"/>
    <n v="-0.88952539201328829"/>
    <n v="-0.10221444304382338"/>
    <n v="1.8602859569297632"/>
    <x v="1"/>
    <x v="1"/>
    <x v="0"/>
    <x v="0"/>
    <x v="0"/>
    <x v="1"/>
  </r>
  <r>
    <x v="3"/>
    <s v="SATS"/>
    <n v="5095"/>
    <n v="15.99"/>
    <n v="-0.99"/>
    <n v="69.81"/>
    <n v="-0.78"/>
    <n v="-16.151515151515152"/>
    <n v="0.22905027932960895"/>
    <n v="-1.1000000000000001"/>
    <n v="-0.41"/>
    <n v="3.03"/>
    <n v="-20.5"/>
    <s v="NO"/>
    <n v="-3.9612052176149883"/>
    <n v="-1.480665406732347"/>
    <n v="-0.26828415211485029"/>
    <n v="-1.5484330898009091"/>
    <n v="-0.4393767764964352"/>
    <n v="-1.423325856926553"/>
    <x v="0"/>
    <x v="1"/>
    <x v="0"/>
    <x v="0"/>
    <x v="0"/>
    <x v="1"/>
  </r>
  <r>
    <x v="3"/>
    <s v="NMAX"/>
    <n v="2356"/>
    <n v="14.77"/>
    <n v="-1.48"/>
    <n v="1.38"/>
    <n v="-1.19"/>
    <n v="-9.9797297297297298"/>
    <n v="10.702898550724639"/>
    <n v="-50.35"/>
    <n v="-40.090000000000003"/>
    <n v="1.57"/>
    <n v="-12.411764705882353"/>
    <s v="NO"/>
    <n v="-3.1043860022977809"/>
    <n v="6.0316541904816656"/>
    <n v="-2.8389056485460524"/>
    <n v="-14.887952196031929"/>
    <n v="-1.2880957538081821"/>
    <n v="-1.1678959854975168"/>
    <x v="0"/>
    <x v="0"/>
    <x v="1"/>
    <x v="1"/>
    <x v="0"/>
    <x v="1"/>
  </r>
  <r>
    <x v="3"/>
    <s v="SIRI"/>
    <n v="7326"/>
    <n v="22"/>
    <n v="2.88"/>
    <n v="33.08"/>
    <n v="-4.9000000000000004"/>
    <n v="7.6388888888888893"/>
    <n v="0.66505441354292627"/>
    <n v="-47.77"/>
    <n v="6.02"/>
    <n v="2.4500000000000002"/>
    <n v="-4.4897959183673466"/>
    <s v="NO"/>
    <n v="-0.65842102650786249"/>
    <n v="-1.1679434427468238"/>
    <n v="-2.7042416188852911"/>
    <n v="0.61318757181868389"/>
    <n v="-0.77653910994904685"/>
    <n v="-0.91771688025666909"/>
    <x v="1"/>
    <x v="1"/>
    <x v="0"/>
    <x v="1"/>
    <x v="0"/>
    <x v="1"/>
  </r>
  <r>
    <x v="4"/>
    <s v="VEON"/>
    <n v="3741"/>
    <n v="48.34"/>
    <n v="5.82"/>
    <n v="19.64"/>
    <n v="6.24"/>
    <n v="8.3058419243986261"/>
    <n v="2.4613034623217924"/>
    <n v="41.69"/>
    <n v="8.07"/>
    <n v="5.94"/>
    <n v="7.7467948717948723"/>
    <s v="NO"/>
    <n v="-0.62988238102729865"/>
    <n v="1.1353764110999143"/>
    <n v="2.1175883477079558"/>
    <n v="1.1042446854576184"/>
    <n v="1.8492991581295652"/>
    <n v="-0.76350948170465605"/>
    <x v="1"/>
    <x v="1"/>
    <x v="0"/>
    <x v="1"/>
    <x v="0"/>
    <x v="1"/>
  </r>
  <r>
    <x v="4"/>
    <s v="SKM"/>
    <n v="7879"/>
    <n v="21.62"/>
    <n v="8.7200000000000006"/>
    <n v="37.68"/>
    <n v="3.95"/>
    <n v="2.4793577981651373"/>
    <n v="0.57377919320594484"/>
    <n v="11.37"/>
    <n v="3.81"/>
    <n v="2.5299999999999998"/>
    <n v="5.4734177215189872"/>
    <s v="NO"/>
    <n v="-1.3785614958138093"/>
    <n v="-1.5521697489581547"/>
    <n v="-0.23473206068832733"/>
    <n v="-0.41996183055678588"/>
    <n v="-0.57302227435000641"/>
    <n v="-0.92535049746267817"/>
    <x v="1"/>
    <x v="1"/>
    <x v="0"/>
    <x v="0"/>
    <x v="0"/>
    <x v="1"/>
  </r>
  <r>
    <x v="4"/>
    <s v="PHI"/>
    <n v="4844"/>
    <n v="22.42"/>
    <n v="1.36"/>
    <n v="9.2899999999999991"/>
    <n v="2.54"/>
    <n v="16.485294117647058"/>
    <n v="2.4133476856835312"/>
    <n v="28.45"/>
    <n v="5.72"/>
    <n v="5.45"/>
    <n v="8.8267716535433074"/>
    <s v="NO"/>
    <n v="0.42114339966739972"/>
    <n v="1.0670947124401493"/>
    <n v="1.0903877472077319"/>
    <n v="0.26342653695201967"/>
    <n v="1.5012236443715037"/>
    <n v="-0.68662626884574463"/>
    <x v="1"/>
    <x v="1"/>
    <x v="0"/>
    <x v="0"/>
    <x v="0"/>
    <x v="1"/>
  </r>
  <r>
    <x v="4"/>
    <s v="TIGO"/>
    <n v="6260"/>
    <n v="36.17"/>
    <n v="5.71"/>
    <n v="20.29"/>
    <n v="2.08"/>
    <n v="6.3345008756567429"/>
    <n v="1.7826515524889111"/>
    <n v="11.89"/>
    <n v="6.45"/>
    <n v="4.03"/>
    <n v="17.389423076923077"/>
    <s v="NO"/>
    <n v="-0.88319155330654708"/>
    <n v="0.16907978427996423"/>
    <n v="-0.19438883468680784"/>
    <n v="0.52461685542397174"/>
    <n v="0.49251501266446807"/>
    <n v="-7.7053764004881009E-2"/>
    <x v="1"/>
    <x v="1"/>
    <x v="0"/>
    <x v="0"/>
    <x v="0"/>
    <x v="1"/>
  </r>
  <r>
    <x v="4"/>
    <s v="FRTAY"/>
    <n v="4162"/>
    <n v="18.03"/>
    <n v="2.99"/>
    <n v="13.24"/>
    <n v="0.71"/>
    <n v="6.0301003344481607"/>
    <n v="1.3617824773413898"/>
    <n v="17.54"/>
    <n v="7.01"/>
    <n v="2.14"/>
    <n v="25.3943661971831"/>
    <s v="YES"/>
    <n v="-0.92230576400292119"/>
    <n v="-0.43017347317867649"/>
    <n v="0.24395583244508517"/>
    <n v="0.7249820312380717"/>
    <n v="-0.85006196897376951"/>
    <n v="0.49281565933776789"/>
    <x v="1"/>
    <x v="1"/>
    <x v="0"/>
    <x v="0"/>
    <x v="0"/>
    <x v="1"/>
  </r>
  <r>
    <x v="4"/>
    <s v="TIMB"/>
    <n v="8225"/>
    <n v="17.8"/>
    <n v="0.61"/>
    <n v="1.77"/>
    <n v="0.25"/>
    <n v="29.180327868852462"/>
    <n v="10.056497175141244"/>
    <n v="13.87"/>
    <n v="6.76"/>
    <n v="2.31"/>
    <n v="71.2"/>
    <s v="NO"/>
    <n v="2.0524027363647601"/>
    <n v="11.949771771084706"/>
    <n v="-4.0774243373330368E-2"/>
    <n v="0.63553329203534847"/>
    <n v="-0.72930107644546249"/>
    <n v="3.7537045537248033"/>
    <x v="1"/>
    <x v="0"/>
    <x v="0"/>
    <x v="0"/>
    <x v="0"/>
    <x v="0"/>
  </r>
  <r>
    <x v="4"/>
    <s v="TKC"/>
    <n v="5298"/>
    <n v="6.44"/>
    <n v="0.35"/>
    <n v="2.5299999999999998"/>
    <n v="0.14000000000000001"/>
    <n v="18.400000000000002"/>
    <n v="2.5454545454545459"/>
    <n v="6.39"/>
    <n v="8.75"/>
    <n v="1.99"/>
    <n v="46"/>
    <s v="NO"/>
    <n v="0.6671751872804913"/>
    <n v="1.255194695843928"/>
    <n v="-0.62109603277980119"/>
    <n v="1.3475452560890255"/>
    <n v="-0.95661569767521692"/>
    <n v="1.9597243526801922"/>
    <x v="1"/>
    <x v="1"/>
    <x v="0"/>
    <x v="0"/>
    <x v="0"/>
    <x v="1"/>
  </r>
  <r>
    <x v="4"/>
    <s v="USM"/>
    <n v="5269"/>
    <n v="62.56"/>
    <n v="4.0999999999999996"/>
    <n v="53.94"/>
    <n v="-0.45"/>
    <n v="15.258536585365855"/>
    <n v="1.1598071931776048"/>
    <n v="-0.77"/>
    <n v="0.78"/>
    <n v="2.2599999999999998"/>
    <n v="-139.02222222222221"/>
    <s v="NO"/>
    <n v="0.26351013002701662"/>
    <n v="-0.71775541756092487"/>
    <n v="-1.1765912215699526"/>
    <n v="-1.5040805496937917"/>
    <n v="-0.76481898601261178"/>
    <n v="-11.21195038620643"/>
    <x v="1"/>
    <x v="1"/>
    <x v="0"/>
    <x v="0"/>
    <x v="0"/>
    <x v="0"/>
  </r>
  <r>
    <x v="4"/>
    <s v="TDS"/>
    <n v="3924"/>
    <n v="35.58"/>
    <n v="2.17"/>
    <n v="35.119999999999997"/>
    <n v="-1.04"/>
    <n v="16.396313364055299"/>
    <n v="1.0130979498861048"/>
    <n v="-0.87"/>
    <n v="0.59"/>
    <n v="3.38"/>
    <n v="-34.21153846153846"/>
    <s v="NO"/>
    <n v="0.40970974081090855"/>
    <n v="-0.92664696396619983"/>
    <n v="-1.1843495342625523"/>
    <n v="-1.5720615914878615"/>
    <n v="3.0782188291529018E-2"/>
    <n v="-3.750510246340772"/>
    <x v="1"/>
    <x v="1"/>
    <x v="0"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">
  <r>
    <x v="0"/>
    <s v="IDT"/>
    <n v="1553"/>
    <n v="64.98"/>
    <n v="1.39"/>
    <n v="10.84"/>
    <n v="3.15"/>
    <n v="46.74820143884893"/>
    <n v="5.9944649446494473"/>
    <n v="32.24"/>
    <n v="10.02"/>
    <n v="2.12"/>
    <n v="20.62857142857143"/>
    <s v="NO"/>
    <n v="10.077205879129211"/>
    <n v="1.7356628897511017"/>
    <n v="1.3295768012799529"/>
    <n v="1.3127581017196199"/>
    <n v="-0.80689135752773833"/>
    <n v="1.3420743120660934"/>
    <x v="0"/>
    <x v="0"/>
    <x v="0"/>
    <x v="0"/>
    <x v="0"/>
    <x v="0"/>
  </r>
  <r>
    <x v="0"/>
    <s v="BAND"/>
    <n v="417"/>
    <n v="15.08"/>
    <n v="1.82"/>
    <n v="11.62"/>
    <n v="-0.04"/>
    <n v="8.2857142857142847"/>
    <n v="1.2977624784853701"/>
    <n v="-0.32"/>
    <n v="-0.88"/>
    <n v="2.79"/>
    <n v="-377"/>
    <s v="NO"/>
    <n v="1.4777391413407843"/>
    <n v="-0.62742539189861357"/>
    <n v="-0.38559834331890869"/>
    <n v="-0.36081655427381359"/>
    <n v="0.97145472649721221"/>
    <n v="-9.0473658964447328"/>
    <x v="1"/>
    <x v="0"/>
    <x v="0"/>
    <x v="0"/>
    <x v="0"/>
    <x v="1"/>
  </r>
  <r>
    <x v="0"/>
    <s v="SIFY"/>
    <n v="363"/>
    <n v="4.8"/>
    <n v="-2.41"/>
    <n v="4.6399999999999997"/>
    <n v="-0.05"/>
    <n v="-1.9917012448132778"/>
    <n v="1.0344827586206897"/>
    <n v="0.24"/>
    <n v="2.11"/>
    <n v="2.95"/>
    <n v="-95.999999999999986"/>
    <s v="NO"/>
    <n v="-0.82009179853901204"/>
    <n v="-0.75989135611294356"/>
    <n v="-0.35609901650762604"/>
    <n v="9.8264933929889692E-2"/>
    <n v="1.3961343883539172"/>
    <n v="-1.7052559265730667"/>
    <x v="1"/>
    <x v="0"/>
    <x v="0"/>
    <x v="0"/>
    <x v="0"/>
    <x v="0"/>
  </r>
  <r>
    <x v="0"/>
    <s v="IHS"/>
    <n v="1861"/>
    <n v="5.82"/>
    <n v="1.79"/>
    <n v="-1.05"/>
    <n v="-0.14000000000000001"/>
    <n v="3.2513966480446927"/>
    <n v="-5.5428571428571427"/>
    <n v="32.340000000000003"/>
    <n v="8.0500000000000007"/>
    <n v="-12.54"/>
    <n v="-41.571428571428569"/>
    <s v="NO"/>
    <n v="0.35216328088650312"/>
    <n v="-4.0691993136816524"/>
    <n v="1.3348445382105392"/>
    <n v="1.0102863519666783"/>
    <n v="-39.718165375148303"/>
    <n v="-0.2831187132934001"/>
    <x v="1"/>
    <x v="1"/>
    <x v="0"/>
    <x v="0"/>
    <x v="1"/>
    <x v="0"/>
  </r>
  <r>
    <x v="0"/>
    <s v="SHEN"/>
    <n v="690"/>
    <n v="13.69"/>
    <n v="-4.82"/>
    <n v="16.600000000000001"/>
    <n v="-0.7"/>
    <n v="-2.8402489626556013"/>
    <n v="0.82469879518072275"/>
    <n v="-3.58"/>
    <n v="-0.65"/>
    <n v="2"/>
    <n v="-19.557142857142857"/>
    <s v="NO"/>
    <n v="-1.0098106236882756"/>
    <n v="-0.86544158614229028"/>
    <n v="-0.55732656725601826"/>
    <n v="-0.32550259364275946"/>
    <n v="-1.1254011039202672"/>
    <n v="0.29208166614596126"/>
    <x v="1"/>
    <x v="0"/>
    <x v="0"/>
    <x v="0"/>
    <x v="0"/>
    <x v="0"/>
  </r>
  <r>
    <x v="0"/>
    <s v="ATEX"/>
    <n v="494"/>
    <n v="27.83"/>
    <n v="-1.1599999999999999"/>
    <n v="7.79"/>
    <n v="-1.62"/>
    <n v="-23.991379310344829"/>
    <n v="3.5725288831835686"/>
    <n v="-18.920000000000002"/>
    <n v="-9.83"/>
    <n v="2.2599999999999998"/>
    <n v="-17.179012345679009"/>
    <s v="NO"/>
    <n v="-5.7387934678660271"/>
    <n v="0.5170954444027458"/>
    <n v="-1.3653974124079391"/>
    <n v="-1.7349902396996146"/>
    <n v="-0.43529665340312268"/>
    <n v="0.35421866165441224"/>
    <x v="0"/>
    <x v="0"/>
    <x v="0"/>
    <x v="0"/>
    <x v="0"/>
    <x v="0"/>
  </r>
  <r>
    <x v="1"/>
    <s v="STRZ"/>
    <n v="350"/>
    <n v="16.8"/>
    <m/>
    <m/>
    <m/>
    <s v=""/>
    <s v=""/>
    <n v="-65.66"/>
    <n v="-0.35"/>
    <n v="2.4900000000000002"/>
    <s v=""/>
    <s v="NO"/>
    <e v="#VALUE!"/>
    <e v="#VALUE!"/>
    <n v="-1.4658404640081786"/>
    <n v="-0.38870354776291993"/>
    <n v="0.49445712986029178"/>
    <e v="#VALUE!"/>
    <x v="0"/>
    <x v="1"/>
    <x v="0"/>
    <x v="0"/>
    <x v="0"/>
    <x v="1"/>
  </r>
  <r>
    <x v="1"/>
    <s v="SOHU"/>
    <n v="302"/>
    <n v="10.61"/>
    <n v="-2.12"/>
    <n v="36.450000000000003"/>
    <n v="3.42"/>
    <n v="-5.0047169811320753"/>
    <n v="0.29108367626886139"/>
    <n v="10.08"/>
    <n v="-3.57"/>
    <n v="1.56"/>
    <n v="3.1023391812865495"/>
    <s v="NO"/>
    <n v="-0.84999997478871558"/>
    <n v="9.4146681592590639E-2"/>
    <n v="0.87042137300780265"/>
    <n v="-1.1683705476362185"/>
    <n v="0.28567386957876106"/>
    <n v="-0.11423419805323218"/>
    <x v="1"/>
    <x v="0"/>
    <x v="0"/>
    <x v="0"/>
    <x v="0"/>
    <x v="0"/>
  </r>
  <r>
    <x v="1"/>
    <s v="MSGE"/>
    <n v="1761"/>
    <n v="38.119999999999997"/>
    <n v="2.5"/>
    <n v="0.2"/>
    <n v="2.72"/>
    <n v="15.247999999999999"/>
    <n v="190.59999999999997"/>
    <n v="-309.36"/>
    <n v="5.79"/>
    <n v="182.6"/>
    <n v="14.014705882352938"/>
    <s v="NO"/>
    <n v="0.23884975399385674"/>
    <n v="42.947430047916811"/>
    <n v="-8.982964964678823"/>
    <n v="1.0979906693867862"/>
    <n v="40.928815204383405"/>
    <n v="0.39577879180078884"/>
    <x v="1"/>
    <x v="1"/>
    <x v="1"/>
    <x v="0"/>
    <x v="1"/>
    <x v="0"/>
  </r>
  <r>
    <x v="1"/>
    <s v="GDEV"/>
    <n v="279"/>
    <n v="22.055"/>
    <n v="1.54"/>
    <n v="-5.61"/>
    <n v="1.38"/>
    <n v="14.321428571428571"/>
    <n v="-3.9313725490196076"/>
    <n v="-25.36"/>
    <n v="8.5399999999999991"/>
    <n v="-2.68"/>
    <n v="15.981884057971016"/>
    <s v="NO"/>
    <n v="0.18903436134122681"/>
    <n v="-0.85665539652119727"/>
    <n v="-0.22275422118082125"/>
    <n v="1.7638553431916222"/>
    <n v="-0.66619819880155096"/>
    <n v="0.48771910597887724"/>
    <x v="1"/>
    <x v="0"/>
    <x v="0"/>
    <x v="0"/>
    <x v="0"/>
    <x v="0"/>
  </r>
  <r>
    <x v="1"/>
    <s v="IMAX"/>
    <n v="1497"/>
    <n v="27.03"/>
    <n v="0.76"/>
    <n v="5.57"/>
    <n v="0.46"/>
    <n v="35.565789473684212"/>
    <n v="4.8527827648114901"/>
    <n v="9.8699999999999992"/>
    <n v="4.1399999999999997"/>
    <n v="2.83"/>
    <n v="58.760869565217391"/>
    <s v="NO"/>
    <n v="1.3311979845296809"/>
    <n v="1.1213386148422457"/>
    <n v="0.86394375238761045"/>
    <n v="0.6984718651038847"/>
    <n v="0.57078649383418467"/>
    <n v="2.4870872448208807"/>
    <x v="1"/>
    <x v="0"/>
    <x v="0"/>
    <x v="0"/>
    <x v="0"/>
    <x v="1"/>
  </r>
  <r>
    <x v="1"/>
    <s v="PLTK"/>
    <n v="1779"/>
    <n v="4.8099999999999996"/>
    <n v="1.06"/>
    <n v="-0.31"/>
    <n v="0.37"/>
    <n v="4.5377358490566033"/>
    <n v="-15.516129032258064"/>
    <n v="-93.95"/>
    <n v="8.4"/>
    <n v="-30.52"/>
    <n v="12.999999999999998"/>
    <s v="NO"/>
    <n v="-0.33696771419122207"/>
    <n v="-3.4652817388707366"/>
    <n v="-2.3384684989854971"/>
    <n v="1.7299567779797398"/>
    <n v="-6.9162261194873729"/>
    <n v="0.3483543242166201"/>
    <x v="1"/>
    <x v="1"/>
    <x v="0"/>
    <x v="0"/>
    <x v="1"/>
    <x v="0"/>
  </r>
  <r>
    <x v="1"/>
    <s v="GCL"/>
    <n v="325"/>
    <n v="2.4500000000000002"/>
    <n v="-0.19"/>
    <n v="0.56000000000000005"/>
    <n v="0.08"/>
    <n v="-12.894736842105264"/>
    <n v="4.375"/>
    <n v="-5.83"/>
    <n v="-1.69"/>
    <n v="4.79"/>
    <n v="30.625"/>
    <s v="NO"/>
    <n v="-1.2741922445821163"/>
    <n v="1.0137526929446941"/>
    <n v="0.37966449649705192"/>
    <n v="-0.71316124336236719"/>
    <n v="1.0108028273307441"/>
    <n v="1.1720967068199"/>
    <x v="1"/>
    <x v="0"/>
    <x v="0"/>
    <x v="0"/>
    <x v="0"/>
    <x v="0"/>
  </r>
  <r>
    <x v="1"/>
    <s v="IQ"/>
    <n v="1541"/>
    <n v="1.77"/>
    <n v="0.19"/>
    <n v="1.95"/>
    <n v="0.04"/>
    <n v="9.3157894736842106"/>
    <n v="0.90769230769230769"/>
    <n v="2.35"/>
    <n v="1.74"/>
    <n v="3.45"/>
    <n v="44.25"/>
    <s v="NO"/>
    <n v="-8.0084531646815338E-2"/>
    <n v="0.23299306314394908"/>
    <n v="0.63198324255977611"/>
    <n v="0.11735360432875534"/>
    <n v="0.70997533402187185"/>
    <n v="1.8088904635841376"/>
    <x v="1"/>
    <x v="0"/>
    <x v="0"/>
    <x v="0"/>
    <x v="0"/>
    <x v="0"/>
  </r>
  <r>
    <x v="1"/>
    <s v="HUYA"/>
    <n v="847"/>
    <n v="4.0999999999999996"/>
    <n v="-7.0000000000000007E-2"/>
    <n v="3.1"/>
    <n v="-7.0000000000000007E-2"/>
    <n v="-58.571428571428562"/>
    <n v="1.3225806451612903"/>
    <n v="-1.61"/>
    <n v="-1.06"/>
    <n v="1.79"/>
    <n v="-58.571428571428562"/>
    <s v="NO"/>
    <n v="-3.7299147754155464"/>
    <n v="0.32641657600078949"/>
    <n v="0.50983382515043774"/>
    <n v="-0.56061769990889576"/>
    <n v="0.33730843932580629"/>
    <n v="-2.9966907309748141"/>
    <x v="0"/>
    <x v="0"/>
    <x v="0"/>
    <x v="0"/>
    <x v="0"/>
    <x v="1"/>
  </r>
  <r>
    <x v="1"/>
    <s v="CURI"/>
    <n v="392"/>
    <n v="5.82"/>
    <n v="0.17"/>
    <n v="1.02"/>
    <n v="-0.14000000000000001"/>
    <n v="34.235294117647058"/>
    <n v="5.7058823529411766"/>
    <n v="-12.13"/>
    <n v="-6.53"/>
    <n v="1.47"/>
    <n v="-41.571428571428569"/>
    <s v="NO"/>
    <n v="1.2596663718123757"/>
    <n v="1.3134374355177183"/>
    <n v="0.18533587789128636"/>
    <n v="-1.8850830692588785"/>
    <n v="0.26546903793861293"/>
    <n v="-2.2021590711588845"/>
    <x v="1"/>
    <x v="0"/>
    <x v="0"/>
    <x v="0"/>
    <x v="0"/>
    <x v="0"/>
  </r>
  <r>
    <x v="1"/>
    <s v="MCS"/>
    <n v="578"/>
    <n v="17.47"/>
    <n v="-0.1"/>
    <n v="14.12"/>
    <n v="-0.4"/>
    <n v="-174.7"/>
    <n v="1.2372521246458923"/>
    <n v="-2.83"/>
    <n v="0.99"/>
    <n v="2.2999999999999998"/>
    <n v="-43.674999999999997"/>
    <s v="NO"/>
    <n v="-9.973351822489688"/>
    <n v="0.30720251425575085"/>
    <n v="0.47220193392836884"/>
    <n v="-6.4245852163472617E-2"/>
    <n v="0.45180248528664563"/>
    <n v="-2.3004740181403096"/>
    <x v="0"/>
    <x v="0"/>
    <x v="0"/>
    <x v="0"/>
    <x v="0"/>
    <x v="1"/>
  </r>
  <r>
    <x v="1"/>
    <s v="WLDBF"/>
    <n v="314"/>
    <n v="1.528"/>
    <n v="0.56000000000000005"/>
    <n v="-0.27"/>
    <n v="-0.56999999999999995"/>
    <n v="2.7285714285714282"/>
    <n v="-5.659259259259259"/>
    <n v="-55.45"/>
    <n v="3.16"/>
    <n v="-12"/>
    <n v="-2.6807017543859653"/>
    <s v="NO"/>
    <n v="-0.43423408049671963"/>
    <n v="-1.2457365822542286"/>
    <n v="-1.1509047186169301"/>
    <n v="0.46118190862070702"/>
    <n v="-2.7585207642035572"/>
    <n v="-0.38451708707695864"/>
    <x v="1"/>
    <x v="0"/>
    <x v="0"/>
    <x v="0"/>
    <x v="0"/>
    <x v="0"/>
  </r>
  <r>
    <x v="1"/>
    <s v="CPXGF"/>
    <n v="542"/>
    <n v="8.4499999999999993"/>
    <n v="0.18"/>
    <n v="-0.81"/>
    <n v="-0.87"/>
    <n v="46.944444444444443"/>
    <n v="-10.432098765432098"/>
    <n v="232.92"/>
    <n v="2.21"/>
    <n v="-28.88"/>
    <n v="-9.7126436781609193"/>
    <s v="NO"/>
    <n v="1.9429502442568691"/>
    <n v="-2.3204725839667608"/>
    <n v="7.7441022254060234"/>
    <n v="0.23115593039721818"/>
    <n v="-6.5480491873780071"/>
    <n v="-0.71317005698437841"/>
    <x v="1"/>
    <x v="0"/>
    <x v="1"/>
    <x v="0"/>
    <x v="1"/>
    <x v="0"/>
  </r>
  <r>
    <x v="1"/>
    <s v="AMC"/>
    <n v="1542"/>
    <n v="3.35"/>
    <n v="-1.27"/>
    <n v="-4.01"/>
    <n v="-1.04"/>
    <n v="-2.6377952755905514"/>
    <n v="-0.8354114713216958"/>
    <n v="20.76"/>
    <n v="-0.32"/>
    <n v="-4.63"/>
    <n v="-3.2211538461538463"/>
    <s v="NO"/>
    <n v="-0.72274682354340491"/>
    <n v="-0.1595146638819919"/>
    <n v="1.1998546502632912"/>
    <n v="-0.38143956950323082"/>
    <n v="-1.1039695510047602"/>
    <n v="-0.40977628104891894"/>
    <x v="1"/>
    <x v="0"/>
    <x v="0"/>
    <x v="0"/>
    <x v="0"/>
    <x v="0"/>
  </r>
  <r>
    <x v="1"/>
    <s v="SPHR"/>
    <n v="1357"/>
    <n v="38.340000000000003"/>
    <n v="-3.02"/>
    <n v="59.75"/>
    <n v="-13.81"/>
    <n v="-12.695364238410598"/>
    <n v="0.64167364016736406"/>
    <n v="-16.04"/>
    <n v="-2.62"/>
    <n v="2.08"/>
    <n v="-2.7762490948587981"/>
    <s v="NO"/>
    <n v="-1.2634733466850165"/>
    <n v="0.17309164832644022"/>
    <n v="6.4728751105803339E-2"/>
    <n v="-0.93834456941272992"/>
    <n v="0.40241289683295028"/>
    <n v="-0.38898269807795144"/>
    <x v="1"/>
    <x v="0"/>
    <x v="0"/>
    <x v="0"/>
    <x v="0"/>
    <x v="0"/>
  </r>
  <r>
    <x v="2"/>
    <s v="MNSKY"/>
    <n v="1529"/>
    <n v="11.5"/>
    <m/>
    <m/>
    <m/>
    <s v=""/>
    <s v=""/>
    <n v="34.06"/>
    <n v="17.54"/>
    <n v="1.68"/>
    <s v=""/>
    <s v="NO"/>
    <e v="#VALUE!"/>
    <e v="#VALUE!"/>
    <n v="1.937145912008811"/>
    <n v="5.0532180848618813"/>
    <n v="-0.13344771752354889"/>
    <e v="#VALUE!"/>
    <x v="0"/>
    <x v="1"/>
    <x v="0"/>
    <x v="1"/>
    <x v="0"/>
    <x v="1"/>
  </r>
  <r>
    <x v="2"/>
    <s v="ZD"/>
    <n v="1365"/>
    <n v="33.53"/>
    <n v="5.3"/>
    <n v="43.13"/>
    <n v="1.76"/>
    <n v="6.3264150943396231"/>
    <n v="0.77741711105958733"/>
    <n v="4.12"/>
    <n v="3.39"/>
    <n v="1.93"/>
    <n v="19.051136363636363"/>
    <s v="NO"/>
    <n v="-0.54953470852873099"/>
    <n v="-0.74630235179619531"/>
    <n v="3.1714758127943637E-2"/>
    <n v="0.30297487603971751"/>
    <n v="0.39505809445090129"/>
    <n v="9.3793475350209599E-2"/>
    <x v="1"/>
    <x v="0"/>
    <x v="0"/>
    <x v="0"/>
    <x v="0"/>
    <x v="0"/>
  </r>
  <r>
    <x v="2"/>
    <s v="SSTK"/>
    <n v="650"/>
    <n v="17.760000000000002"/>
    <n v="0.06"/>
    <n v="15.68"/>
    <n v="1.0900000000000001"/>
    <n v="296.00000000000006"/>
    <n v="1.1326530612244898"/>
    <n v="7.07"/>
    <n v="3.75"/>
    <n v="2.42"/>
    <n v="16.293577981651378"/>
    <s v="NO"/>
    <n v="25.450323200217976"/>
    <n v="-0.44928313024222821"/>
    <n v="0.21945764069135573"/>
    <n v="0.42382912022176544"/>
    <n v="1.4309294859208237"/>
    <n v="-6.0319901122519327E-3"/>
    <x v="0"/>
    <x v="0"/>
    <x v="0"/>
    <x v="0"/>
    <x v="0"/>
    <x v="0"/>
  </r>
  <r>
    <x v="2"/>
    <s v="EVER"/>
    <n v="833"/>
    <n v="25.93"/>
    <n v="2.12"/>
    <n v="4.1399999999999997"/>
    <n v="1.03"/>
    <n v="12.231132075471697"/>
    <n v="6.2632850241545901"/>
    <n v="32.17"/>
    <n v="15.6"/>
    <n v="1.55"/>
    <n v="25.174757281553397"/>
    <s v="NO"/>
    <n v="-1.9552651135420481E-2"/>
    <n v="3.8405313184418066"/>
    <n v="1.8168631838580147"/>
    <n v="4.4019479912141781"/>
    <n v="-0.40827073975026273"/>
    <n v="0.31547266533229218"/>
    <x v="1"/>
    <x v="1"/>
    <x v="0"/>
    <x v="1"/>
    <x v="0"/>
    <x v="0"/>
  </r>
  <r>
    <x v="2"/>
    <s v="ANGI"/>
    <n v="751"/>
    <n v="16.63"/>
    <n v="1.61"/>
    <n v="21.18"/>
    <n v="1.03"/>
    <n v="10.329192546583849"/>
    <n v="0.7851746931067044"/>
    <n v="5.09"/>
    <n v="1.34"/>
    <n v="1.72"/>
    <n v="16.145631067961165"/>
    <s v="NO"/>
    <n v="-0.19026258148069997"/>
    <n v="-0.73981609673190307"/>
    <n v="9.3447163580997764E-2"/>
    <n v="-0.38522290333027803"/>
    <n v="-4.8886787607636775E-2"/>
    <n v="-1.1387767752117873E-2"/>
    <x v="1"/>
    <x v="0"/>
    <x v="0"/>
    <x v="0"/>
    <x v="0"/>
    <x v="0"/>
  </r>
  <r>
    <x v="2"/>
    <s v="YALA"/>
    <n v="1087"/>
    <n v="6.8"/>
    <n v="1.07"/>
    <n v="4.6399999999999997"/>
    <n v="0.77"/>
    <n v="6.3551401869158877"/>
    <n v="1.4655172413793105"/>
    <n v="20.97"/>
    <n v="10.33"/>
    <n v="1.1200000000000001"/>
    <n v="8.8311688311688314"/>
    <s v="YES"/>
    <n v="-0.54695646748669158"/>
    <n v="-0.17096935139498698"/>
    <n v="1.1040766466681109"/>
    <n v="2.6327761388825315"/>
    <n v="-1.3173007363463169"/>
    <n v="-0.27617621327173403"/>
    <x v="1"/>
    <x v="0"/>
    <x v="0"/>
    <x v="0"/>
    <x v="0"/>
    <x v="0"/>
  </r>
  <r>
    <x v="2"/>
    <s v="MOMO"/>
    <n v="975"/>
    <n v="8.06"/>
    <n v="1"/>
    <n v="9.39"/>
    <n v="0.76"/>
    <n v="8.06"/>
    <n v="0.85835995740149096"/>
    <n v="8.8800000000000008"/>
    <n v="5.54"/>
    <n v="1.63"/>
    <n v="10.605263157894738"/>
    <s v="NO"/>
    <n v="-0.39393556670640351"/>
    <n v="-0.67862456974830754"/>
    <n v="0.33464903643365274"/>
    <n v="1.0247432787936153"/>
    <n v="-0.239148879918439"/>
    <n v="-0.21195280712493711"/>
    <x v="1"/>
    <x v="0"/>
    <x v="0"/>
    <x v="0"/>
    <x v="0"/>
    <x v="0"/>
  </r>
  <r>
    <x v="2"/>
    <s v="CARS"/>
    <n v="645"/>
    <n v="10.56"/>
    <n v="1.9"/>
    <n v="7.69"/>
    <n v="0.69"/>
    <n v="5.5578947368421057"/>
    <n v="1.3732119635890767"/>
    <n v="9.35"/>
    <n v="2.66"/>
    <n v="2.21"/>
    <n v="15.304347826086959"/>
    <s v="NO"/>
    <n v="-0.61851379787656413"/>
    <n v="-0.24814746847984581"/>
    <n v="0.36456061433358611"/>
    <n v="5.7909325337231289E-2"/>
    <n v="0.98698460386228559"/>
    <n v="-4.1842786131604914E-2"/>
    <x v="1"/>
    <x v="0"/>
    <x v="0"/>
    <x v="0"/>
    <x v="0"/>
    <x v="0"/>
  </r>
  <r>
    <x v="2"/>
    <s v="TRIP"/>
    <n v="1682"/>
    <n v="14.27"/>
    <n v="0.21"/>
    <n v="4.53"/>
    <n v="0.37"/>
    <n v="67.952380952380949"/>
    <n v="3.1501103752759381"/>
    <n v="7.22"/>
    <n v="2.78"/>
    <n v="4.29"/>
    <n v="38.567567567567565"/>
    <s v="NO"/>
    <n v="4.9817475322049871"/>
    <n v="1.237549524672781"/>
    <n v="0.22900388895729193"/>
    <n v="9.8194073397913847E-2"/>
    <n v="5.3841529594897111"/>
    <n v="0.8003013925810073"/>
    <x v="0"/>
    <x v="0"/>
    <x v="0"/>
    <x v="0"/>
    <x v="1"/>
    <x v="0"/>
  </r>
  <r>
    <x v="2"/>
    <s v="MAX"/>
    <n v="570"/>
    <n v="10.79"/>
    <n v="1.23"/>
    <n v="0.14000000000000001"/>
    <n v="0.28000000000000003"/>
    <n v="8.772357723577235"/>
    <n v="77.071428571428555"/>
    <n v="-32.58"/>
    <n v="22.51"/>
    <n v="30.3"/>
    <n v="38.535714285714278"/>
    <s v="NO"/>
    <n v="-0.32999739436929426"/>
    <n v="63.044504526474341"/>
    <n v="-2.3039339842711155"/>
    <n v="6.7216780670418226"/>
    <n v="60.36989763731151"/>
    <n v="0.79914828238457969"/>
    <x v="1"/>
    <x v="1"/>
    <x v="0"/>
    <x v="1"/>
    <x v="1"/>
    <x v="0"/>
  </r>
  <r>
    <x v="2"/>
    <s v="VMEO"/>
    <n v="718"/>
    <n v="4.59"/>
    <n v="0.28999999999999998"/>
    <n v="2.33"/>
    <n v="0.1"/>
    <n v="15.827586206896552"/>
    <n v="1.9699570815450642"/>
    <n v="4.3899999999999997"/>
    <n v="1.17"/>
    <n v="1.58"/>
    <n v="45.9"/>
    <s v="NO"/>
    <n v="0.30324963828570262"/>
    <n v="0.25080194899645314"/>
    <n v="4.8898005006628782E-2"/>
    <n v="-0.44229296308291188"/>
    <n v="-0.34485004231332866"/>
    <n v="1.0657403712519591"/>
    <x v="1"/>
    <x v="0"/>
    <x v="0"/>
    <x v="0"/>
    <x v="0"/>
    <x v="0"/>
  </r>
  <r>
    <x v="2"/>
    <s v="VTEX"/>
    <n v="1169"/>
    <n v="6.58"/>
    <n v="0.16"/>
    <n v="1.35"/>
    <n v="7.0000000000000007E-2"/>
    <n v="41.125"/>
    <n v="4.8740740740740742"/>
    <n v="5.61"/>
    <n v="2.21"/>
    <n v="1.45"/>
    <n v="93.999999999999986"/>
    <s v="NO"/>
    <n v="2.5738369419007867"/>
    <n v="2.6789868441969551"/>
    <n v="0.12654082423624333"/>
    <n v="-9.3158479890328771E-2"/>
    <n v="-0.61967306454004301"/>
    <n v="2.806992676230553"/>
    <x v="1"/>
    <x v="0"/>
    <x v="0"/>
    <x v="0"/>
    <x v="0"/>
    <x v="1"/>
  </r>
  <r>
    <x v="2"/>
    <s v="TBLA"/>
    <n v="1189"/>
    <n v="3.61"/>
    <n v="0.46"/>
    <n v="3.11"/>
    <n v="0.04"/>
    <n v="7.8478260869565215"/>
    <n v="1.1607717041800643"/>
    <n v="1.35"/>
    <n v="1.43"/>
    <n v="1.64"/>
    <n v="90.25"/>
    <s v="NO"/>
    <n v="-0.41297938664210743"/>
    <n v="-0.4257726228233093"/>
    <n v="-0.144572626516345"/>
    <n v="-0.35500934228476611"/>
    <n v="-0.218008647439461"/>
    <n v="2.6712401576511415"/>
    <x v="1"/>
    <x v="0"/>
    <x v="0"/>
    <x v="0"/>
    <x v="0"/>
    <x v="0"/>
  </r>
  <r>
    <x v="2"/>
    <s v="QNST"/>
    <n v="870"/>
    <n v="16.05"/>
    <n v="1.06"/>
    <n v="4.1399999999999997"/>
    <n v="-0.01"/>
    <n v="15.141509433962264"/>
    <n v="3.8768115942028989"/>
    <n v="-0.28999999999999998"/>
    <n v="0.14000000000000001"/>
    <n v="1.77"/>
    <n v="-1605"/>
    <s v="NO"/>
    <n v="0.24167033129921192"/>
    <n v="1.8451575954432331"/>
    <n v="-0.24894494089058089"/>
    <n v="-0.78807038393710471"/>
    <n v="5.6814374787253361E-2"/>
    <n v="-58.697948408148491"/>
    <x v="1"/>
    <x v="0"/>
    <x v="0"/>
    <x v="0"/>
    <x v="0"/>
    <x v="1"/>
  </r>
  <r>
    <x v="2"/>
    <s v="ZH"/>
    <n v="337"/>
    <n v="4.01"/>
    <n v="-0.43"/>
    <n v="6.92"/>
    <n v="-0.03"/>
    <n v="-9.325581395348836"/>
    <n v="0.57947976878612717"/>
    <n v="-0.31"/>
    <n v="-3.16"/>
    <n v="1.39"/>
    <n v="-133.66666666666666"/>
    <s v="NO"/>
    <n v="-1.9543907462397141"/>
    <n v="-0.91180135405436513"/>
    <n v="-0.25021777399270573"/>
    <n v="-1.8959009556058783"/>
    <n v="-0.74651445941391115"/>
    <n v="-5.4346935628573192"/>
    <x v="1"/>
    <x v="0"/>
    <x v="0"/>
    <x v="0"/>
    <x v="0"/>
    <x v="1"/>
  </r>
  <r>
    <x v="2"/>
    <s v="GETY"/>
    <n v="736"/>
    <n v="1.63"/>
    <n v="0.13"/>
    <n v="1.43"/>
    <n v="-0.19"/>
    <n v="12.538461538461537"/>
    <n v="1.1398601398601398"/>
    <n v="-11.53"/>
    <n v="5.07"/>
    <n v="4.33"/>
    <n v="-8.5789473684210513"/>
    <s v="NO"/>
    <n v="8.0319226237283731E-3"/>
    <n v="-0.44325716106583918"/>
    <n v="-0.96427714428473399"/>
    <n v="0.8669613488892749"/>
    <n v="5.4687138894056231"/>
    <n v="-0.90643411269961449"/>
    <x v="1"/>
    <x v="0"/>
    <x v="0"/>
    <x v="0"/>
    <x v="1"/>
    <x v="0"/>
  </r>
  <r>
    <x v="2"/>
    <s v="ZIP"/>
    <n v="555"/>
    <n v="6.37"/>
    <n v="0.25"/>
    <n v="-0.12"/>
    <n v="-0.19"/>
    <n v="25.48"/>
    <n v="-53.083333333333336"/>
    <n v="-2897.3"/>
    <n v="-0.92"/>
    <n v="-55.57"/>
    <n v="-33.526315789473685"/>
    <s v="NO"/>
    <n v="1.1696088790802972"/>
    <n v="-45.780252777928069"/>
    <n v="-184.61945620022294"/>
    <n v="-1.1439189918064683"/>
    <n v="-121.16127865967265"/>
    <n v="-1.8095456047226519"/>
    <x v="1"/>
    <x v="1"/>
    <x v="1"/>
    <x v="0"/>
    <x v="1"/>
    <x v="0"/>
  </r>
  <r>
    <x v="2"/>
    <s v="KIND"/>
    <n v="585"/>
    <n v="1.65"/>
    <n v="-0.02"/>
    <n v="1.1399999999999999"/>
    <n v="-0.24"/>
    <n v="-82.5"/>
    <n v="1.4473684210526316"/>
    <n v="-18.77"/>
    <n v="-9.7899999999999991"/>
    <n v="1.1399999999999999"/>
    <n v="-6.875"/>
    <s v="NO"/>
    <n v="-8.5222125477881256"/>
    <n v="-0.18614390927138053"/>
    <n v="-1.4250427272539217"/>
    <n v="-4.1216332859585956"/>
    <n v="-1.2750202713883614"/>
    <n v="-0.84475007355563603"/>
    <x v="0"/>
    <x v="0"/>
    <x v="0"/>
    <x v="1"/>
    <x v="0"/>
    <x v="0"/>
  </r>
  <r>
    <x v="2"/>
    <s v="TRVG"/>
    <n v="284"/>
    <n v="4.2699999999999996"/>
    <n v="0.15"/>
    <n v="2.94"/>
    <n v="-0.38"/>
    <n v="28.466666666666665"/>
    <n v="1.4523809523809523"/>
    <n v="-11.61"/>
    <n v="0"/>
    <n v="1.58"/>
    <n v="-11.236842105263158"/>
    <s v="NO"/>
    <n v="1.4376792624375272"/>
    <n v="-0.18195284090551958"/>
    <n v="-0.96936847669323334"/>
    <n v="-0.83506925667456788"/>
    <n v="-0.34485004231332866"/>
    <n v="-1.0026516872716893"/>
    <x v="1"/>
    <x v="0"/>
    <x v="0"/>
    <x v="0"/>
    <x v="0"/>
    <x v="0"/>
  </r>
  <r>
    <x v="2"/>
    <s v="BMBL"/>
    <n v="580"/>
    <n v="5.34"/>
    <n v="1.2"/>
    <n v="7.89"/>
    <n v="-4.95"/>
    <n v="4.45"/>
    <n v="0.67680608365019013"/>
    <n v="-43.26"/>
    <n v="4.07"/>
    <n v="3.08"/>
    <n v="-1.0787878787878786"/>
    <s v="NO"/>
    <n v="-0.71795367516162678"/>
    <n v="-0.83042505679554002"/>
    <n v="-2.9836268608057734"/>
    <n v="0.53125511505025269"/>
    <n v="2.8261848295333727"/>
    <n v="-0.63492330190895252"/>
    <x v="1"/>
    <x v="0"/>
    <x v="1"/>
    <x v="0"/>
    <x v="0"/>
    <x v="0"/>
  </r>
  <r>
    <x v="3"/>
    <s v="MNTN"/>
    <n v="1942"/>
    <n v="24.16"/>
    <m/>
    <m/>
    <m/>
    <s v=""/>
    <s v=""/>
    <n v="-52.92"/>
    <n v="-0.47"/>
    <n v="-2.1800000000000002"/>
    <s v=""/>
    <s v="NO"/>
    <e v="#VALUE!"/>
    <e v="#VALUE!"/>
    <n v="-3.9445912057888295"/>
    <n v="-0.9111786119965537"/>
    <n v="-2.142091160763365"/>
    <e v="#VALUE!"/>
    <x v="0"/>
    <x v="1"/>
    <x v="1"/>
    <x v="0"/>
    <x v="0"/>
    <x v="1"/>
  </r>
  <r>
    <x v="3"/>
    <s v="CRTO"/>
    <n v="1353"/>
    <n v="25.78"/>
    <n v="4.13"/>
    <n v="19.87"/>
    <n v="2.44"/>
    <n v="6.2421307506053276"/>
    <n v="1.2974333165576246"/>
    <n v="13.45"/>
    <n v="5.77"/>
    <n v="2"/>
    <n v="10.565573770491804"/>
    <s v="YES"/>
    <n v="-3.3702468060381324E-2"/>
    <n v="-3.7507017175841095E-2"/>
    <n v="0.68613858237517045"/>
    <n v="1.1491644961612286"/>
    <n v="-0.19174615410629431"/>
    <n v="0.54025707480340235"/>
    <x v="1"/>
    <x v="0"/>
    <x v="0"/>
    <x v="0"/>
    <x v="0"/>
    <x v="0"/>
  </r>
  <r>
    <x v="3"/>
    <s v="GTN"/>
    <n v="404"/>
    <n v="3.96"/>
    <n v="6.69"/>
    <n v="23.33"/>
    <n v="2.34"/>
    <n v="0.59192825112107617"/>
    <n v="0.16973853407629663"/>
    <n v="9.92"/>
    <n v="4.96"/>
    <n v="4.63"/>
    <n v="1.6923076923076923"/>
    <s v="NO"/>
    <n v="-0.44497902414723284"/>
    <n v="-0.95246830979313069"/>
    <n v="0.43984543558868683"/>
    <n v="0.88171611192920896"/>
    <n v="1.0353847950583221"/>
    <n v="-8.2978586009473782E-4"/>
    <x v="1"/>
    <x v="0"/>
    <x v="0"/>
    <x v="0"/>
    <x v="0"/>
    <x v="0"/>
  </r>
  <r>
    <x v="3"/>
    <s v="IBTA"/>
    <n v="1265"/>
    <n v="46.13"/>
    <n v="3.52"/>
    <n v="13.62"/>
    <n v="2.0299999999999998"/>
    <n v="13.105113636363637"/>
    <n v="3.3869309838472836"/>
    <n v="26.94"/>
    <n v="1.28"/>
    <n v="1.59"/>
    <n v="22.724137931034488"/>
    <s v="NO"/>
    <n v="0.46585201091542949"/>
    <n v="1.6578182749900936"/>
    <n v="1.6273551688198349"/>
    <n v="-0.33335802877922693"/>
    <n v="-0.38304793705591128"/>
    <n v="1.2816795965486409"/>
    <x v="1"/>
    <x v="0"/>
    <x v="0"/>
    <x v="0"/>
    <x v="0"/>
    <x v="0"/>
  </r>
  <r>
    <x v="3"/>
    <s v="SBGI"/>
    <n v="976"/>
    <n v="13.39"/>
    <n v="0.42"/>
    <n v="6.27"/>
    <n v="1.97"/>
    <n v="31.880952380952383"/>
    <n v="2.1355661881977674"/>
    <n v="43.96"/>
    <n v="5.7"/>
    <n v="13.26"/>
    <n v="6.7969543147208125"/>
    <s v="NO"/>
    <n v="1.8325397176341531"/>
    <n v="0.64251664484159254"/>
    <n v="2.8148649020509824"/>
    <n v="1.1260516728325358"/>
    <n v="5.0620540312905042"/>
    <n v="0.31044874353156371"/>
    <x v="1"/>
    <x v="0"/>
    <x v="1"/>
    <x v="0"/>
    <x v="1"/>
    <x v="0"/>
  </r>
  <r>
    <x v="3"/>
    <s v="GAMB"/>
    <n v="420"/>
    <n v="12.05"/>
    <n v="0.43"/>
    <n v="4.1399999999999997"/>
    <n v="0.96"/>
    <n v="28.02325581395349"/>
    <n v="2.910628019323672"/>
    <n v="25.74"/>
    <n v="10.82"/>
    <n v="2.0699999999999998"/>
    <n v="12.552083333333334"/>
    <s v="NO"/>
    <n v="1.5517391341775078"/>
    <n v="1.2713672752443479"/>
    <n v="1.543629453198367"/>
    <n v="2.8165896077312293"/>
    <n v="-0.15908487409050612"/>
    <n v="0.66139332988298727"/>
    <x v="1"/>
    <x v="0"/>
    <x v="0"/>
    <x v="0"/>
    <x v="0"/>
    <x v="0"/>
  </r>
  <r>
    <x v="3"/>
    <s v="SCHL"/>
    <n v="461"/>
    <n v="19.28"/>
    <n v="1.1599999999999999"/>
    <n v="35.270000000000003"/>
    <n v="0.65"/>
    <n v="16.620689655172416"/>
    <n v="0.54664020413949532"/>
    <n v="1.92"/>
    <n v="1.1200000000000001"/>
    <n v="2.08"/>
    <n v="29.661538461538463"/>
    <s v="NO"/>
    <n v="0.72174974162670535"/>
    <n v="-0.64666709071517559"/>
    <n v="-0.11832600188776335"/>
    <n v="-0.38618733924481108"/>
    <n v="-0.15441897694539339"/>
    <n v="1.7047184461831226"/>
    <x v="1"/>
    <x v="0"/>
    <x v="0"/>
    <x v="0"/>
    <x v="0"/>
    <x v="0"/>
  </r>
  <r>
    <x v="3"/>
    <s v="NEXN"/>
    <n v="737"/>
    <n v="10.55"/>
    <n v="1.67"/>
    <n v="9.24"/>
    <n v="0.65"/>
    <n v="6.3173652694610789"/>
    <n v="1.1417748917748918"/>
    <n v="8.57"/>
    <n v="3.94"/>
    <n v="1.5"/>
    <n v="16.23076923076923"/>
    <s v="NO"/>
    <n v="-2.8226169853959687E-2"/>
    <n v="-0.16380132637943853"/>
    <n v="0.3456540055145359"/>
    <n v="0.54492925771110989"/>
    <n v="-0.42504101136192479"/>
    <n v="0.8857175624792013"/>
    <x v="1"/>
    <x v="0"/>
    <x v="0"/>
    <x v="0"/>
    <x v="0"/>
    <x v="0"/>
  </r>
  <r>
    <x v="3"/>
    <s v="GCI"/>
    <n v="518"/>
    <n v="3.56"/>
    <n v="0.36"/>
    <n v="1.05"/>
    <n v="0.36"/>
    <n v="9.8888888888888893"/>
    <n v="3.3904761904761904"/>
    <n v="26.68"/>
    <n v="2.11"/>
    <n v="13"/>
    <n v="9.8888888888888893"/>
    <s v="NO"/>
    <n v="0.23174397003309674"/>
    <n v="1.660694697662408"/>
    <n v="1.6092145971018499"/>
    <n v="-5.9305980739009119E-2"/>
    <n v="4.9407407055175767"/>
    <n v="0.49899320476740966"/>
    <x v="1"/>
    <x v="0"/>
    <x v="0"/>
    <x v="0"/>
    <x v="1"/>
    <x v="0"/>
  </r>
  <r>
    <x v="3"/>
    <s v="IAS"/>
    <n v="1343"/>
    <n v="8.1300000000000008"/>
    <n v="0.5"/>
    <n v="6.31"/>
    <n v="0.28999999999999998"/>
    <n v="16.260000000000002"/>
    <n v="1.2884310618066563"/>
    <n v="4.8"/>
    <n v="3.94"/>
    <n v="1.0900000000000001"/>
    <n v="28.034482758620694"/>
    <s v="NO"/>
    <n v="0.69549524911798455"/>
    <n v="-4.4811045509901823E-2"/>
    <n v="8.2615715603758702E-2"/>
    <n v="0.54492925771110989"/>
    <n v="-0.61634279431154182"/>
    <n v="1.6055014887900696"/>
    <x v="1"/>
    <x v="0"/>
    <x v="0"/>
    <x v="0"/>
    <x v="0"/>
    <x v="0"/>
  </r>
  <r>
    <x v="3"/>
    <s v="PUBM"/>
    <n v="568"/>
    <n v="12.11"/>
    <n v="0.53"/>
    <n v="5.7"/>
    <n v="0.1"/>
    <n v="22.849056603773583"/>
    <n v="2.1245614035087717"/>
    <n v="1.94"/>
    <n v="-0.24"/>
    <n v="2.4300000000000002"/>
    <n v="121.1"/>
    <s v="NO"/>
    <n v="1.1751107156625351"/>
    <n v="0.6335878529553135"/>
    <n v="-0.11693057329407222"/>
    <n v="-0.83523647820227664"/>
    <n v="8.8874231335480045E-3"/>
    <n v="7.2805852872991075"/>
    <x v="1"/>
    <x v="0"/>
    <x v="0"/>
    <x v="0"/>
    <x v="0"/>
    <x v="1"/>
  </r>
  <r>
    <x v="3"/>
    <s v="CVHSY"/>
    <n v="1106"/>
    <n v="5.6"/>
    <n v="1.79"/>
    <n v="12.16"/>
    <n v="0.04"/>
    <n v="3.1284916201117317"/>
    <n v="0.46052631578947367"/>
    <n v="1.2"/>
    <n v="0.02"/>
    <n v="5.96"/>
    <n v="140"/>
    <s v="NO"/>
    <n v="-0.26034333245480873"/>
    <n v="-0.71653606219668675"/>
    <n v="-0.16856143126064385"/>
    <n v="-0.74938884869570233"/>
    <n v="1.6559491153582993"/>
    <n v="8.4330968401401929"/>
    <x v="1"/>
    <x v="0"/>
    <x v="0"/>
    <x v="0"/>
    <x v="0"/>
    <x v="1"/>
  </r>
  <r>
    <x v="3"/>
    <s v="BOC"/>
    <n v="462"/>
    <n v="14.04"/>
    <n v="-0.28999999999999998"/>
    <n v="16.95"/>
    <n v="0.03"/>
    <n v="-48.413793103448278"/>
    <n v="0.82831858407079639"/>
    <n v="0.71"/>
    <n v="-0.55000000000000004"/>
    <n v="1.37"/>
    <n v="468"/>
    <s v="NO"/>
    <n v="-4.0120908770585029"/>
    <n v="-0.41812580577883729"/>
    <n v="-0.20274943180607644"/>
    <n v="-0.93759326722934588"/>
    <n v="-0.48569767424838867"/>
    <n v="28.434355534948441"/>
    <x v="0"/>
    <x v="0"/>
    <x v="0"/>
    <x v="0"/>
    <x v="0"/>
    <x v="1"/>
  </r>
  <r>
    <x v="3"/>
    <s v="EEX"/>
    <n v="911"/>
    <n v="4.8499999999999996"/>
    <n v="0.23"/>
    <n v="1.96"/>
    <n v="0.02"/>
    <n v="21.086956521739129"/>
    <n v="2.4744897959183674"/>
    <n v="1.62"/>
    <n v="4.4800000000000004"/>
    <n v="3.02"/>
    <n v="242.49999999999997"/>
    <s v="NO"/>
    <n v="1.0468479758252212"/>
    <n v="0.9175041565654839"/>
    <n v="-0.13925743079313022"/>
    <n v="0.72322818053245663"/>
    <n v="0.28417535469519195"/>
    <n v="14.683490182267768"/>
    <x v="1"/>
    <x v="0"/>
    <x v="0"/>
    <x v="0"/>
    <x v="0"/>
    <x v="1"/>
  </r>
  <r>
    <x v="3"/>
    <s v="STGW"/>
    <n v="1194"/>
    <n v="4.55"/>
    <n v="0.73"/>
    <n v="2.94"/>
    <n v="-0.04"/>
    <n v="6.2328767123287667"/>
    <n v="1.5476190476190477"/>
    <n v="2.5499999999999998"/>
    <n v="2.4900000000000002"/>
    <n v="11.91"/>
    <n v="-113.75"/>
    <s v="NO"/>
    <n v="-3.4376066748680954E-2"/>
    <n v="0.16548253588627165"/>
    <n v="-7.4370001186492909E-2"/>
    <n v="6.6163631616753399E-2"/>
    <n v="4.4321579167003025"/>
    <n v="-7.0404378970780774"/>
    <x v="1"/>
    <x v="0"/>
    <x v="0"/>
    <x v="0"/>
    <x v="1"/>
    <x v="1"/>
  </r>
  <r>
    <x v="3"/>
    <s v="TV"/>
    <n v="1029"/>
    <n v="2"/>
    <n v="0.41"/>
    <n v="1.86"/>
    <n v="-0.16"/>
    <n v="4.8780487804878048"/>
    <n v="1.075268817204301"/>
    <n v="-7.48"/>
    <n v="-0.15"/>
    <n v="2.41"/>
    <n v="-12.5"/>
    <s v="NO"/>
    <n v="-0.13299358814701742"/>
    <n v="-0.21776139155072269"/>
    <n v="-0.77417744092259233"/>
    <n v="-0.80551999106538541"/>
    <n v="-4.4437115667722408E-4"/>
    <n v="-0.86626886400083625"/>
    <x v="1"/>
    <x v="0"/>
    <x v="0"/>
    <x v="0"/>
    <x v="0"/>
    <x v="0"/>
  </r>
  <r>
    <x v="3"/>
    <s v="PERI"/>
    <n v="478"/>
    <n v="10.4"/>
    <n v="-0.33"/>
    <n v="15.95"/>
    <n v="-0.17"/>
    <n v="-31.515151515151516"/>
    <n v="0.65203761755485901"/>
    <n v="-1.03"/>
    <n v="-0.98"/>
    <n v="1.23"/>
    <n v="-61.17647058823529"/>
    <s v="NO"/>
    <n v="-2.7820437919115317"/>
    <n v="-0.56115232633464895"/>
    <n v="-0.32415171945720439"/>
    <n v="-1.0795720391056034"/>
    <n v="-0.55102023427996527"/>
    <n v="-3.8345331340786379"/>
    <x v="1"/>
    <x v="0"/>
    <x v="0"/>
    <x v="0"/>
    <x v="0"/>
    <x v="1"/>
  </r>
  <r>
    <x v="3"/>
    <s v="NCMI"/>
    <n v="514"/>
    <n v="5.26"/>
    <n v="0.39"/>
    <n v="3.91"/>
    <n v="-0.19"/>
    <n v="13.487179487179485"/>
    <n v="1.3452685421994883"/>
    <n v="-4.7300000000000004"/>
    <n v="-2.57"/>
    <n v="1.36"/>
    <n v="-27.684210526315788"/>
    <s v="NO"/>
    <n v="0.49366247033458804"/>
    <n v="1.3043532107590782E-3"/>
    <n v="-0.5823060092900626"/>
    <n v="-1.6045633118573461"/>
    <n v="-0.49036357139350129"/>
    <n v="-1.7921936286754476"/>
    <x v="1"/>
    <x v="0"/>
    <x v="0"/>
    <x v="0"/>
    <x v="0"/>
    <x v="0"/>
  </r>
  <r>
    <x v="3"/>
    <s v="CCO"/>
    <n v="531"/>
    <n v="1.1399999999999999"/>
    <n v="-0.01"/>
    <n v="-6.99"/>
    <n v="-0.23"/>
    <n v="-113.99999999999999"/>
    <n v="-0.1630901287553648"/>
    <n v="3.15"/>
    <n v="4.67"/>
    <n v="-1.1599999999999999"/>
    <n v="-4.9565217391304337"/>
    <s v="NO"/>
    <n v="-8.7860913313211029"/>
    <n v="-1.2225106548454661"/>
    <n v="-3.2507143375759134E-2"/>
    <n v="0.7859629867103376"/>
    <n v="-1.6661696519618792"/>
    <n v="-0.40627172938402395"/>
    <x v="0"/>
    <x v="0"/>
    <x v="0"/>
    <x v="0"/>
    <x v="0"/>
    <x v="0"/>
  </r>
  <r>
    <x v="3"/>
    <s v="ATUS"/>
    <n v="1080"/>
    <n v="2.15"/>
    <n v="-0.18"/>
    <n v="-1.1599999999999999"/>
    <n v="-0.34"/>
    <n v="-11.944444444444445"/>
    <n v="-1.853448275862069"/>
    <n v="28.43"/>
    <n v="3.19"/>
    <n v="-58.35"/>
    <n v="-6.3235294117647047"/>
    <s v="NO"/>
    <n v="-1.3574978566181144"/>
    <n v="-2.5939919273399807"/>
    <n v="1.7313145990498233"/>
    <n v="0.29729186490368403"/>
    <n v="-28.350435424860898"/>
    <n v="-0.48963110163446855"/>
    <x v="1"/>
    <x v="0"/>
    <x v="0"/>
    <x v="0"/>
    <x v="1"/>
    <x v="0"/>
  </r>
  <r>
    <x v="3"/>
    <s v="WOW"/>
    <n v="360"/>
    <n v="4.08"/>
    <n v="-0.43"/>
    <n v="2.37"/>
    <n v="-0.71"/>
    <n v="-9.4883720930232567"/>
    <n v="1.721518987341772"/>
    <n v="-26.19"/>
    <n v="0.41"/>
    <n v="7.66"/>
    <n v="-5.746478873239437"/>
    <s v="NO"/>
    <n v="-1.1787210821069627"/>
    <n v="0.30657719740866557"/>
    <n v="-2.07960089032064"/>
    <n v="-0.6206174044358409"/>
    <n v="2.4491516300274432"/>
    <n v="-0.45444287876549805"/>
    <x v="1"/>
    <x v="0"/>
    <x v="0"/>
    <x v="0"/>
    <x v="0"/>
    <x v="0"/>
  </r>
  <r>
    <x v="3"/>
    <s v="THRY"/>
    <n v="582"/>
    <n v="13.74"/>
    <n v="1.03"/>
    <n v="4.42"/>
    <n v="-2.35"/>
    <n v="13.339805825242719"/>
    <n v="3.1085972850678734"/>
    <n v="-51.21"/>
    <n v="3.46"/>
    <n v="3.64"/>
    <n v="-5.8468085106382981"/>
    <s v="NO"/>
    <n v="0.48293518540191632"/>
    <n v="1.4319907152901117"/>
    <n v="-3.8252820610282381"/>
    <n v="0.38644132631435735"/>
    <n v="0.57346097769217386"/>
    <n v="-0.46056092459589726"/>
    <x v="1"/>
    <x v="0"/>
    <x v="1"/>
    <x v="0"/>
    <x v="0"/>
    <x v="0"/>
  </r>
  <r>
    <x v="3"/>
    <s v="TTGT"/>
    <n v="578"/>
    <n v="7.67"/>
    <n v="-1.63"/>
    <n v="22"/>
    <n v="-2.65"/>
    <n v="-4.705521472392638"/>
    <n v="0.34863636363636363"/>
    <n v="-15.4"/>
    <n v="-0.98"/>
    <n v="1.44"/>
    <n v="-2.8943396226415095"/>
    <s v="NO"/>
    <n v="-0.83057881079715135"/>
    <n v="-0.8073185831795674"/>
    <n v="-1.326767164024278"/>
    <n v="-1.0795720391056034"/>
    <n v="-0.4530363942326005"/>
    <n v="-0.28052100381176126"/>
    <x v="1"/>
    <x v="0"/>
    <x v="0"/>
    <x v="0"/>
    <x v="0"/>
    <x v="0"/>
  </r>
  <r>
    <x v="3"/>
    <s v="AMBR"/>
    <n v="842"/>
    <n v="10.49"/>
    <n v="-1.91"/>
    <n v="3.64"/>
    <n v="-2.93"/>
    <n v="-5.4921465968586389"/>
    <n v="2.8818681318681318"/>
    <n v="500.2"/>
    <n v="-2.2400000000000002"/>
    <n v="-17.87"/>
    <n v="-3.5802047781569963"/>
    <s v="NO"/>
    <n v="-0.88783701918017821"/>
    <n v="1.248032784200638"/>
    <n v="34.647381981332934"/>
    <n v="-1.4956028590220787"/>
    <n v="-9.4628837814450506"/>
    <n v="-0.32234468187645682"/>
    <x v="1"/>
    <x v="0"/>
    <x v="1"/>
    <x v="0"/>
    <x v="1"/>
    <x v="0"/>
  </r>
  <r>
    <x v="3"/>
    <s v="CABO"/>
    <n v="824"/>
    <n v="135.87"/>
    <n v="57.62"/>
    <n v="315.5"/>
    <n v="-3.88"/>
    <n v="2.3580354043734815"/>
    <n v="0.43064976228209195"/>
    <n v="-1.0900000000000001"/>
    <n v="4.09"/>
    <n v="3.62"/>
    <n v="-35.018041237113401"/>
    <s v="NO"/>
    <n v="-0.31642461079013556"/>
    <n v="-0.74077656631245015"/>
    <n v="-0.32833800523827772"/>
    <n v="0.59445673627259499"/>
    <n v="0.56412918340194862"/>
    <n v="-2.2394065715735954"/>
    <x v="1"/>
    <x v="0"/>
    <x v="0"/>
    <x v="0"/>
    <x v="0"/>
    <x v="0"/>
  </r>
  <r>
    <x v="3"/>
    <s v="AMCX"/>
    <n v="297"/>
    <n v="6.75"/>
    <n v="6.29"/>
    <n v="19.79"/>
    <n v="-5.7"/>
    <n v="1.0731319554848966"/>
    <n v="0.34108135421930269"/>
    <n v="-22.15"/>
    <n v="5.26"/>
    <n v="4.87"/>
    <n v="-1.1842105263157894"/>
    <s v="NO"/>
    <n v="-0.40995234991298152"/>
    <n v="-0.81344838114383555"/>
    <n v="-1.7977243143950328"/>
    <n v="0.98077106905217926"/>
    <n v="1.1473663265410248"/>
    <n v="-0.17623827680831802"/>
    <x v="1"/>
    <x v="0"/>
    <x v="0"/>
    <x v="0"/>
    <x v="0"/>
    <x v="0"/>
  </r>
  <r>
    <x v="4"/>
    <s v="SPOK"/>
    <n v="333"/>
    <n v="16.54"/>
    <n v="1.29"/>
    <n v="7.38"/>
    <n v="0.77"/>
    <n v="12.821705426356589"/>
    <n v="2.2411924119241191"/>
    <n v="10.210000000000001"/>
    <n v="6.21"/>
    <n v="1.35"/>
    <n v="21.480519480519479"/>
    <s v="YES"/>
    <n v="-1"/>
    <n v="-1"/>
    <n v="0.99999999999999978"/>
    <n v="-1.0000000000000338"/>
    <n v="-1.0000000000000002"/>
    <n v="1"/>
    <x v="1"/>
    <x v="0"/>
    <x v="0"/>
    <x v="0"/>
    <x v="0"/>
    <x v="0"/>
  </r>
  <r>
    <x v="4"/>
    <s v="GOGO"/>
    <n v="1403"/>
    <n v="11.75"/>
    <n v="0.12"/>
    <n v="0.63"/>
    <n v="-0.04"/>
    <n v="97.916666666666671"/>
    <n v="18.650793650793652"/>
    <n v="-6.47"/>
    <n v="6.7"/>
    <n v="14.93"/>
    <n v="-293.75"/>
    <s v="NO"/>
    <n v="1"/>
    <n v="1.0000000000000002"/>
    <n v="-0.99999999999999978"/>
    <n v="1.0000000000000338"/>
    <n v="1"/>
    <n v="-1"/>
    <x v="1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3"/>
        <item m="1" x="54"/>
        <item m="1" x="55"/>
        <item m="1" x="56"/>
        <item m="1" x="57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x="0"/>
        <item x="1"/>
        <item x="2"/>
        <item x="3"/>
        <item x="4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5">
    <i>
      <x v="35"/>
    </i>
    <i>
      <x v="36"/>
    </i>
    <i>
      <x v="37"/>
    </i>
    <i>
      <x v="38"/>
    </i>
    <i>
      <x v="39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3"/>
        <item m="1" x="54"/>
        <item m="1" x="55"/>
        <item m="1" x="56"/>
        <item m="1" x="57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x="0"/>
        <item x="1"/>
        <item x="2"/>
        <item x="3"/>
        <item x="4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5">
    <i>
      <x v="35"/>
    </i>
    <i>
      <x v="36"/>
    </i>
    <i>
      <x v="37"/>
    </i>
    <i>
      <x v="38"/>
    </i>
    <i>
      <x v="39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3"/>
        <item m="1" x="54"/>
        <item m="1" x="55"/>
        <item m="1" x="56"/>
        <item m="1" x="57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x="0"/>
        <item x="1"/>
        <item x="2"/>
        <item x="3"/>
        <item x="4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5">
    <i>
      <x v="35"/>
    </i>
    <i>
      <x v="36"/>
    </i>
    <i>
      <x v="37"/>
    </i>
    <i>
      <x v="38"/>
    </i>
    <i>
      <x v="39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3"/>
        <item m="1" x="54"/>
        <item m="1" x="55"/>
        <item m="1" x="56"/>
        <item m="1" x="57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x="0"/>
        <item x="1"/>
        <item x="2"/>
        <item x="3"/>
        <item x="4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5">
    <i>
      <x v="35"/>
    </i>
    <i>
      <x v="36"/>
    </i>
    <i>
      <x v="37"/>
    </i>
    <i>
      <x v="38"/>
    </i>
    <i>
      <x v="39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3"/>
        <item m="1" x="54"/>
        <item m="1" x="55"/>
        <item m="1" x="56"/>
        <item m="1" x="57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x="0"/>
        <item x="1"/>
        <item x="2"/>
        <item x="3"/>
        <item x="4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35"/>
    </i>
    <i>
      <x v="36"/>
    </i>
    <i>
      <x v="37"/>
    </i>
    <i>
      <x v="38"/>
    </i>
    <i>
      <x v="39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59">
        <item m="1" x="30"/>
        <item m="1" x="31"/>
        <item m="1" x="32"/>
        <item m="1" x="33"/>
        <item m="1" x="34"/>
        <item m="1" x="35"/>
        <item m="1" x="17"/>
        <item m="1" x="18"/>
        <item m="1" x="19"/>
        <item m="1" x="20"/>
        <item m="1" x="21"/>
        <item m="1" x="22"/>
        <item m="1" x="53"/>
        <item m="1" x="54"/>
        <item m="1" x="55"/>
        <item m="1" x="56"/>
        <item m="1" x="57"/>
        <item m="1" x="38"/>
        <item m="1" x="39"/>
        <item m="1" x="40"/>
        <item m="1" x="41"/>
        <item m="1" x="42"/>
        <item m="1" x="4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x="0"/>
        <item x="1"/>
        <item x="2"/>
        <item x="3"/>
        <item x="4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36"/>
        <item m="1" x="37"/>
        <item m="1" x="29"/>
        <item m="1" x="23"/>
        <item m="1" x="24"/>
        <item m="1" x="25"/>
        <item m="1" x="26"/>
        <item m="1" x="27"/>
        <item m="1" x="28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35"/>
    </i>
    <i>
      <x v="36"/>
    </i>
    <i>
      <x v="37"/>
    </i>
    <i>
      <x v="38"/>
    </i>
    <i>
      <x v="39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4"/>
        <item m="1" x="55"/>
        <item m="1" x="56"/>
        <item m="1" x="57"/>
        <item m="1" x="58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4"/>
        <item m="1" x="55"/>
        <item m="1" x="56"/>
        <item m="1" x="57"/>
        <item m="1" x="58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1"/>
        <item x="0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4"/>
        <item m="1" x="55"/>
        <item m="1" x="56"/>
        <item m="1" x="57"/>
        <item m="1" x="58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4"/>
        <item m="1" x="55"/>
        <item m="1" x="56"/>
        <item m="1" x="57"/>
        <item m="1" x="58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4"/>
        <item m="1" x="55"/>
        <item m="1" x="56"/>
        <item m="1" x="57"/>
        <item m="1" x="58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60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4"/>
        <item m="1" x="55"/>
        <item m="1" x="56"/>
        <item m="1" x="57"/>
        <item m="1" x="58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5"/>
        <item m="1" x="56"/>
        <item m="1" x="57"/>
        <item m="1" x="58"/>
        <item m="1" x="59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5"/>
        <item m="1" x="56"/>
        <item m="1" x="57"/>
        <item m="1" x="58"/>
        <item m="1" x="59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5"/>
        <item m="1" x="56"/>
        <item m="1" x="57"/>
        <item m="1" x="58"/>
        <item m="1" x="59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5"/>
        <item m="1" x="56"/>
        <item m="1" x="57"/>
        <item m="1" x="58"/>
        <item m="1" x="59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5"/>
        <item m="1" x="56"/>
        <item m="1" x="57"/>
        <item m="1" x="58"/>
        <item m="1" x="59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9" firstHeaderRow="0" firstDataRow="1" firstDataCol="1" rowPageCount="1" colPageCount="1"/>
  <pivotFields count="26">
    <pivotField axis="axisRow" showAll="0">
      <items count="61">
        <item m="1" x="31"/>
        <item m="1" x="32"/>
        <item m="1" x="33"/>
        <item m="1" x="34"/>
        <item m="1" x="35"/>
        <item m="1" x="36"/>
        <item m="1" x="19"/>
        <item m="1" x="20"/>
        <item m="1" x="21"/>
        <item m="1" x="22"/>
        <item m="1" x="23"/>
        <item m="1" x="24"/>
        <item m="1" x="55"/>
        <item m="1" x="56"/>
        <item m="1" x="57"/>
        <item m="1" x="58"/>
        <item m="1" x="59"/>
        <item m="1" x="39"/>
        <item m="1" x="40"/>
        <item m="1" x="41"/>
        <item m="1" x="42"/>
        <item m="1" x="43"/>
        <item m="1" x="4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x="0"/>
        <item x="1"/>
        <item x="2"/>
        <item x="3"/>
        <item x="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7"/>
        <item m="1" x="38"/>
        <item m="1" x="25"/>
        <item m="1" x="26"/>
        <item m="1" x="27"/>
        <item m="1" x="28"/>
        <item m="1" x="29"/>
        <item m="1" x="3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5">
    <i>
      <x v="37"/>
    </i>
    <i>
      <x v="38"/>
    </i>
    <i>
      <x v="39"/>
    </i>
    <i>
      <x v="40"/>
    </i>
    <i>
      <x v="41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55" tableType="queryTable" totalsRowShown="0">
  <autoFilter ref="A1:Z55" xr:uid="{1B3BB95A-07C7-4768-8185-A2A759A39458}"/>
  <sortState xmlns:xlrd2="http://schemas.microsoft.com/office/spreadsheetml/2017/richdata2" ref="A2:Z55">
    <sortCondition ref="A1:A55"/>
  </sortState>
  <tableColumns count="26">
    <tableColumn id="1" xr3:uid="{FDA9EBBF-F574-44F1-B885-6A5ED1C1C8A3}" uniqueName="1" name="Industry" queryTableFieldId="1" dataDxfId="141"/>
    <tableColumn id="2" xr3:uid="{8F96E341-8F97-4BC1-90E1-73E9D5DAC8C9}" uniqueName="2" name="Symbol" queryTableFieldId="2" dataDxfId="140"/>
    <tableColumn id="3" xr3:uid="{F543FE77-4EA4-4170-A3F2-7D6D401D6817}" uniqueName="3" name="Market Cap (M)" queryTableFieldId="44" dataDxfId="139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38"/>
    <tableColumn id="9" xr3:uid="{92CA53A2-ADA4-45CE-B0FD-3AD68E123166}" uniqueName="9" name="P/B" queryTableFieldId="46" dataDxfId="137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36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35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34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33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32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31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30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56" tableType="queryTable" totalsRowShown="0">
  <autoFilter ref="A1:Z56" xr:uid="{8A05384F-F989-4428-B033-1A9B3ACA4EBB}"/>
  <sortState xmlns:xlrd2="http://schemas.microsoft.com/office/spreadsheetml/2017/richdata2" ref="A2:Z56">
    <sortCondition ref="A1:A56"/>
  </sortState>
  <tableColumns count="26">
    <tableColumn id="1" xr3:uid="{3547F496-7B67-42E8-9760-1F3941836443}" uniqueName="1" name="Industry" queryTableFieldId="1" dataDxfId="129"/>
    <tableColumn id="2" xr3:uid="{0A09E186-076D-4A57-B743-EBD7817F4082}" uniqueName="2" name="Symbol" queryTableFieldId="2" dataDxfId="128"/>
    <tableColumn id="3" xr3:uid="{C567BD69-49B3-415C-87A5-73BCB80F1796}" uniqueName="3" name="Market Cap (M)" queryTableFieldId="43" dataDxfId="127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26"/>
    <tableColumn id="9" xr3:uid="{F1DC44A8-3710-4CCA-B495-699F6ACADE85}" uniqueName="9" name="P/B" queryTableFieldId="45" dataDxfId="125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24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123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122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121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120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119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118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70" tableType="queryTable" totalsRowShown="0">
  <autoFilter ref="A1:Z70" xr:uid="{DE7CBD96-9DC7-4F09-9B11-F8C87451A82B}"/>
  <sortState xmlns:xlrd2="http://schemas.microsoft.com/office/spreadsheetml/2017/richdata2" ref="A2:Z70">
    <sortCondition ref="A1:A70"/>
  </sortState>
  <tableColumns count="26">
    <tableColumn id="1" xr3:uid="{261FC5A1-AB9E-4068-9D87-D85D75FE0DD5}" uniqueName="1" name="Industry" queryTableFieldId="1" dataDxfId="146"/>
    <tableColumn id="2" xr3:uid="{4D1C6415-A4DE-450C-A6A0-32BD8F91DEB2}" uniqueName="2" name="Symbol" queryTableFieldId="2" dataDxfId="145"/>
    <tableColumn id="3" xr3:uid="{1913483F-1018-45E5-BBAD-415B97CDE58A}" uniqueName="3" name="Market Cap (M)" queryTableFieldId="43" dataDxfId="81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80"/>
    <tableColumn id="9" xr3:uid="{A85952D4-A3AB-4C1A-90DC-2E32ECE72481}" uniqueName="9" name="P/B" queryTableFieldId="45" dataDxfId="79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78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77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76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75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74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73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72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7" tableType="queryTable" totalsRowShown="0">
  <autoFilter ref="A2:Y7" xr:uid="{CF08F30B-5B6A-425F-B235-3500A3319B88}"/>
  <tableColumns count="25">
    <tableColumn id="1" xr3:uid="{FD842081-B64F-4301-AA21-FB7B05A836D4}" uniqueName="1" name="Industry" queryTableFieldId="1" dataDxfId="144"/>
    <tableColumn id="2" xr3:uid="{E59C1D9B-F213-4C25-84A0-0FA886F9704F}" uniqueName="2" name="P/FCF Q1" queryTableFieldId="2" dataDxfId="23"/>
    <tableColumn id="3" xr3:uid="{04B713EC-FD8B-48E2-A2D2-C366A9A339B7}" uniqueName="3" name="P/FCF Q3" queryTableFieldId="3" dataDxfId="22"/>
    <tableColumn id="4" xr3:uid="{9DCEA951-E29F-4D9E-B9F0-5DC32A557DF0}" uniqueName="4" name="P/FCF LB" queryTableFieldId="4" dataDxfId="21"/>
    <tableColumn id="5" xr3:uid="{C2B6F391-AB27-4C2B-B68A-D2B47E1AA772}" uniqueName="5" name="P/FCF UB" queryTableFieldId="5" dataDxfId="20"/>
    <tableColumn id="6" xr3:uid="{1FD6B89C-F582-4857-A32F-326E69C5DFFD}" uniqueName="6" name="P/B Q1" queryTableFieldId="6" dataDxfId="19"/>
    <tableColumn id="7" xr3:uid="{A3697E12-D8D4-4284-AE2B-01C3BA154C99}" uniqueName="7" name="P/B Q3" queryTableFieldId="7" dataDxfId="18"/>
    <tableColumn id="8" xr3:uid="{A270BB2A-00C0-4246-AFBA-EDE9D5F40C76}" uniqueName="8" name="P/B LB" queryTableFieldId="8" dataDxfId="17"/>
    <tableColumn id="9" xr3:uid="{F99BB669-75E9-428A-88A3-E037E705383F}" uniqueName="9" name="P/B UB" queryTableFieldId="9" dataDxfId="16"/>
    <tableColumn id="10" xr3:uid="{D3A49932-F6DE-43A8-B449-B1C4E41499CF}" uniqueName="10" name="ROE Q1" queryTableFieldId="10" dataDxfId="15"/>
    <tableColumn id="11" xr3:uid="{BD8F2597-7442-49AD-BA3A-A3F29A6E60DD}" uniqueName="11" name="ROE Q3" queryTableFieldId="11" dataDxfId="14"/>
    <tableColumn id="12" xr3:uid="{3B29ED46-D0C8-4AF8-BFC0-41462C6C29EB}" uniqueName="12" name="ROE LB" queryTableFieldId="12" dataDxfId="13"/>
    <tableColumn id="13" xr3:uid="{F62F045D-EA3F-4608-85C5-21D743180D21}" uniqueName="13" name="ROE UB" queryTableFieldId="13" dataDxfId="12"/>
    <tableColumn id="14" xr3:uid="{9D898AB4-6F4D-4D03-BA61-39B91E78C9C6}" uniqueName="14" name="ROA Q1" queryTableFieldId="14" dataDxfId="11"/>
    <tableColumn id="15" xr3:uid="{2D1DFB04-09CE-4BEC-AD50-26246811DCDA}" uniqueName="15" name="ROA Q3" queryTableFieldId="15" dataDxfId="10"/>
    <tableColumn id="16" xr3:uid="{753F114C-61F5-4444-9EB0-76DCEA7F1F1B}" uniqueName="16" name="ROA LB" queryTableFieldId="16" dataDxfId="9"/>
    <tableColumn id="17" xr3:uid="{AA60DB6D-6DE2-4BF0-A375-18A578568BBF}" uniqueName="17" name="ROA UB" queryTableFieldId="17" dataDxfId="8"/>
    <tableColumn id="18" xr3:uid="{5357CEC7-DB8C-48BE-BDAD-FCBB1FB43389}" uniqueName="18" name="P/E Q1" queryTableFieldId="18" dataDxfId="7"/>
    <tableColumn id="19" xr3:uid="{C18FE8DB-95D8-42EC-BC42-C15678D7CE64}" uniqueName="19" name="P/E Q3" queryTableFieldId="19" dataDxfId="6"/>
    <tableColumn id="20" xr3:uid="{B7040099-49E4-464B-9BD8-1326A00D0599}" uniqueName="20" name="P/E LB" queryTableFieldId="20" dataDxfId="5"/>
    <tableColumn id="21" xr3:uid="{E8713F96-91B8-41CB-AA45-CCA61FACA752}" uniqueName="21" name="P/E UB" queryTableFieldId="21" dataDxfId="4"/>
    <tableColumn id="22" xr3:uid="{91693169-B783-4EDC-94CF-D23F08159B62}" uniqueName="22" name="A/E Q1" queryTableFieldId="22" dataDxfId="3"/>
    <tableColumn id="23" xr3:uid="{F98A9AC1-1CAF-483B-A342-F3A466AEB043}" uniqueName="23" name="A/E Q3" queryTableFieldId="23" dataDxfId="2"/>
    <tableColumn id="24" xr3:uid="{04D140EC-A8E6-4894-B430-208F20D411DB}" uniqueName="24" name="A/E LB" queryTableFieldId="24" dataDxfId="1"/>
    <tableColumn id="25" xr3:uid="{3E6CFD0C-10B0-4D91-A289-A353306CC102}" uniqueName="25" name="A/E UB" queryTableFieldId="25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1:Y16" tableType="queryTable" totalsRowShown="0">
  <autoFilter ref="A11:Y16" xr:uid="{89F54F15-11E6-4F5B-BF51-37096268E20C}"/>
  <tableColumns count="25">
    <tableColumn id="1" xr3:uid="{1DD86F6C-5649-4964-82C3-51A7F8B44C8D}" uniqueName="1" name="Industry" queryTableFieldId="1" dataDxfId="143"/>
    <tableColumn id="2" xr3:uid="{E9710093-0C0E-47F6-BA82-6DF1689DE3FF}" uniqueName="2" name="P/FCF Q1" queryTableFieldId="2" dataDxfId="47"/>
    <tableColumn id="3" xr3:uid="{BB549C0D-7552-41A2-B049-C1E0C569FC5B}" uniqueName="3" name="P/FCF Q3" queryTableFieldId="3" dataDxfId="46"/>
    <tableColumn id="4" xr3:uid="{F8874757-4F98-4408-A256-B3DBB97E40A5}" uniqueName="4" name="P/FCF LB" queryTableFieldId="4" dataDxfId="45"/>
    <tableColumn id="5" xr3:uid="{7F92E8F9-91DF-48EA-A8F2-F3E13D8104D3}" uniqueName="5" name="P/FCF UB" queryTableFieldId="5" dataDxfId="44"/>
    <tableColumn id="6" xr3:uid="{837AC52A-2B15-4BFB-A555-2456F010C7C9}" uniqueName="6" name="P/B Q1" queryTableFieldId="6" dataDxfId="43"/>
    <tableColumn id="7" xr3:uid="{C672A3A3-8D6C-4E08-B6E3-1D85CD510A41}" uniqueName="7" name="P/B Q3" queryTableFieldId="7" dataDxfId="42"/>
    <tableColumn id="8" xr3:uid="{47FBFC34-1D36-49FE-8583-28072989EA1C}" uniqueName="8" name="P/B LB" queryTableFieldId="8" dataDxfId="41"/>
    <tableColumn id="9" xr3:uid="{98DADD72-A76B-4DE4-AB34-515EBE2E4A04}" uniqueName="9" name="P/B UB" queryTableFieldId="9" dataDxfId="40"/>
    <tableColumn id="10" xr3:uid="{C06AFB5F-1921-4B19-AFA7-04514BD3BC35}" uniqueName="10" name="ROE Q1" queryTableFieldId="10" dataDxfId="39"/>
    <tableColumn id="11" xr3:uid="{38FF7E38-2AC1-4486-B824-BCBE4156ADA7}" uniqueName="11" name="ROE Q3" queryTableFieldId="11" dataDxfId="38"/>
    <tableColumn id="12" xr3:uid="{1BBD6DC1-3C0C-48AF-9986-81D1F4A26368}" uniqueName="12" name="ROE LB" queryTableFieldId="12" dataDxfId="37"/>
    <tableColumn id="13" xr3:uid="{5775303C-3550-4762-86D0-7A82C106A3F0}" uniqueName="13" name="ROE UB" queryTableFieldId="13" dataDxfId="36"/>
    <tableColumn id="14" xr3:uid="{9FE06177-2E94-4066-A65B-77414C97B4DC}" uniqueName="14" name="ROA Q1" queryTableFieldId="14" dataDxfId="35"/>
    <tableColumn id="15" xr3:uid="{386179E5-15F0-4AED-9E0C-1EB211C80CEE}" uniqueName="15" name="ROA Q3" queryTableFieldId="15" dataDxfId="34"/>
    <tableColumn id="16" xr3:uid="{C7DC1506-2223-42A0-AC4B-68B0E14D2B9D}" uniqueName="16" name="ROA LB" queryTableFieldId="16" dataDxfId="33"/>
    <tableColumn id="17" xr3:uid="{C45AE1E6-1326-44B3-972F-838B081A78FC}" uniqueName="17" name="ROA UB" queryTableFieldId="17" dataDxfId="32"/>
    <tableColumn id="18" xr3:uid="{17D85B47-F40C-47C3-996F-C47242CFB7D2}" uniqueName="18" name="P/E Q1" queryTableFieldId="18" dataDxfId="31"/>
    <tableColumn id="19" xr3:uid="{44248722-1EBA-4DF8-B99D-B6B2F31E253B}" uniqueName="19" name="P/E Q3" queryTableFieldId="19" dataDxfId="30"/>
    <tableColumn id="20" xr3:uid="{93299C7A-5544-43AE-ACC5-72F0CB129F08}" uniqueName="20" name="P/E LB" queryTableFieldId="20" dataDxfId="29"/>
    <tableColumn id="21" xr3:uid="{3E027012-2DA9-4754-8880-25FEEDEFA94A}" uniqueName="21" name="P/E UB" queryTableFieldId="21" dataDxfId="28"/>
    <tableColumn id="22" xr3:uid="{FF2638EF-6EA0-401C-B7D8-A2BC49ECD2B0}" uniqueName="22" name="A/E Q1" queryTableFieldId="22" dataDxfId="27"/>
    <tableColumn id="23" xr3:uid="{546FB46A-BFEC-4020-A8E1-97073EBE991F}" uniqueName="23" name="A/E Q3" queryTableFieldId="23" dataDxfId="26"/>
    <tableColumn id="24" xr3:uid="{41F03CE5-975A-469D-B609-D8C5D8D172FA}" uniqueName="24" name="A/E LB" queryTableFieldId="24" dataDxfId="25"/>
    <tableColumn id="25" xr3:uid="{1863137D-3C8C-4A15-9A63-5E253392AFAD}" uniqueName="25" name="A/E UB" queryTableFieldId="25" dataDxfId="2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20:Y25" tableType="queryTable" totalsRowShown="0">
  <autoFilter ref="A20:Y25" xr:uid="{CF689D08-98E7-4B08-8D8B-630159DED978}"/>
  <tableColumns count="25">
    <tableColumn id="1" xr3:uid="{1B5FE8EC-4B8C-444E-96DC-3618818E7D45}" uniqueName="1" name="Industry" queryTableFieldId="1" dataDxfId="142"/>
    <tableColumn id="2" xr3:uid="{0E20A80F-BE74-42F8-83EF-419A13269CF8}" uniqueName="2" name="P/FCF Q1" queryTableFieldId="2" dataDxfId="71"/>
    <tableColumn id="3" xr3:uid="{6D66145B-6613-41BC-8233-7356853CCFEF}" uniqueName="3" name="P/FCF Q3" queryTableFieldId="3" dataDxfId="70"/>
    <tableColumn id="4" xr3:uid="{90A69125-3CA2-4D0A-8F1A-65993DFA9D46}" uniqueName="4" name="P/FCF LB" queryTableFieldId="4" dataDxfId="69"/>
    <tableColumn id="5" xr3:uid="{BED6E3D4-DC60-428F-B5E8-4C3C64096FD7}" uniqueName="5" name="P/FCF UB" queryTableFieldId="5" dataDxfId="68"/>
    <tableColumn id="6" xr3:uid="{FC33B186-B76E-4D86-8EBD-E25B773D256E}" uniqueName="6" name="P/B Q1" queryTableFieldId="6" dataDxfId="67"/>
    <tableColumn id="7" xr3:uid="{D82D1432-7C03-4449-BD2D-F895D50A5F32}" uniqueName="7" name="P/B Q3" queryTableFieldId="7" dataDxfId="66"/>
    <tableColumn id="8" xr3:uid="{D3389429-24FB-4947-AACF-CAA92D678F94}" uniqueName="8" name="P/B LB" queryTableFieldId="8" dataDxfId="65"/>
    <tableColumn id="9" xr3:uid="{452E932D-DD5B-4C62-A8B3-25C90C8C7751}" uniqueName="9" name="P/B UB" queryTableFieldId="9" dataDxfId="64"/>
    <tableColumn id="10" xr3:uid="{99E11285-9679-47B1-9540-1BD10239596C}" uniqueName="10" name="ROE Q1" queryTableFieldId="10" dataDxfId="63"/>
    <tableColumn id="11" xr3:uid="{B4F1825A-C678-4C01-BB96-B04FAB1938BD}" uniqueName="11" name="ROE Q3" queryTableFieldId="11" dataDxfId="62"/>
    <tableColumn id="12" xr3:uid="{9F07026D-928C-42B1-8DD2-9BD3176C8B6A}" uniqueName="12" name="ROE LB" queryTableFieldId="12" dataDxfId="61"/>
    <tableColumn id="13" xr3:uid="{47360B1B-7AC4-49FA-9F18-2F1F1B72CA28}" uniqueName="13" name="ROE UB" queryTableFieldId="13" dataDxfId="60"/>
    <tableColumn id="14" xr3:uid="{58B0248D-BCFF-4737-ADF5-EE087C03D561}" uniqueName="14" name="ROA Q1" queryTableFieldId="14" dataDxfId="59"/>
    <tableColumn id="15" xr3:uid="{CCD6E6AE-6BBB-4675-8C50-0F87AF280A3C}" uniqueName="15" name="ROA Q3" queryTableFieldId="15" dataDxfId="58"/>
    <tableColumn id="16" xr3:uid="{BB86731C-A605-4988-A848-B35835CAF73E}" uniqueName="16" name="ROA LB" queryTableFieldId="16" dataDxfId="57"/>
    <tableColumn id="17" xr3:uid="{9760AC7A-70E9-4457-8DC8-4BDA6646C74E}" uniqueName="17" name="ROA UB" queryTableFieldId="17" dataDxfId="56"/>
    <tableColumn id="18" xr3:uid="{931D5CA9-41B9-424B-87E6-FA364034B249}" uniqueName="18" name="P/E Q1" queryTableFieldId="18" dataDxfId="55"/>
    <tableColumn id="19" xr3:uid="{23E1DD3D-5F02-4A6D-9773-5EA3466661AF}" uniqueName="19" name="P/E Q3" queryTableFieldId="19" dataDxfId="54"/>
    <tableColumn id="20" xr3:uid="{478DC28A-5ACD-47E8-8720-6EEE2D43205B}" uniqueName="20" name="P/E LB" queryTableFieldId="20" dataDxfId="53"/>
    <tableColumn id="21" xr3:uid="{AC7D613F-0AC5-4542-BBED-886B4C332840}" uniqueName="21" name="P/E UB" queryTableFieldId="21" dataDxfId="52"/>
    <tableColumn id="22" xr3:uid="{1E3F527B-4B19-4D38-9A78-D4BBA95224B9}" uniqueName="22" name="A/E Q1" queryTableFieldId="22" dataDxfId="51"/>
    <tableColumn id="23" xr3:uid="{1256121C-1427-4F44-988A-E08E26F80A67}" uniqueName="23" name="A/E Q3" queryTableFieldId="23" dataDxfId="50"/>
    <tableColumn id="24" xr3:uid="{3F6A6F05-B80E-47C0-9039-80E1A481FF30}" uniqueName="24" name="A/E LB" queryTableFieldId="24" dataDxfId="49"/>
    <tableColumn id="25" xr3:uid="{08969B40-89DA-4EAE-925B-3C841EB86C63}" uniqueName="25" name="A/E UB" queryTableFieldId="25" dataDxfId="4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55"/>
  <sheetViews>
    <sheetView workbookViewId="0">
      <selection activeCell="B24" sqref="B24"/>
    </sheetView>
  </sheetViews>
  <sheetFormatPr defaultRowHeight="15" x14ac:dyDescent="0.25"/>
  <cols>
    <col min="1" max="1" width="36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7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105</v>
      </c>
      <c r="B2" s="67" t="s">
        <v>117</v>
      </c>
      <c r="C2" s="2">
        <v>185347</v>
      </c>
      <c r="D2">
        <f>RTD("tos.rtd", , "LAST", Main_L[[#This Row],[Symbol]])</f>
        <v>43.65</v>
      </c>
      <c r="E2">
        <v>4.78</v>
      </c>
      <c r="F2">
        <v>23.89</v>
      </c>
      <c r="G2">
        <v>4.2</v>
      </c>
      <c r="H2" s="1">
        <f>IF(ISNUMBER(Main_L[[#This Row],[Free CF]]),IF(Main_L[[#This Row],[Free CF]]&lt;&gt;0,Main_L[[#This Row],[Current Price]]/Main_L[[#This Row],[Free CF]],""),"")</f>
        <v>9.1317991631799149</v>
      </c>
      <c r="I2" s="1">
        <f>IF(ISNUMBER(Main_L[[#This Row],[BVPS]]),IF(Main_L[[#This Row],[BVPS]]&lt;&gt;0,Main_L[[#This Row],[Current Price]]/Main_L[[#This Row],[BVPS]],""),"")</f>
        <v>1.827124319799079</v>
      </c>
      <c r="J2">
        <v>18.420000000000002</v>
      </c>
      <c r="K2">
        <v>5.15</v>
      </c>
      <c r="L2">
        <v>3.78</v>
      </c>
      <c r="M2" s="1">
        <f>IF(ISNUMBER(Main_L[[#This Row],[EPS]]),IF(Main_L[[#This Row],[EPS]]&lt;&gt;0,Main_L[[#This Row],[Current Price]]/Main_L[[#This Row],[EPS]],""),"")</f>
        <v>10.392857142857142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-0.46714821079687258</v>
      </c>
      <c r="P2" s="1">
        <f>(Main_L[[#This Row],[P/B]]-VLOOKUP(Main_L[[#This Row],[Industry]], Mean_PB_L, 2, FALSE))/(VLOOKUP(Main_L[[#This Row],[Industry]], Mean_PB_L, 3, FALSE))</f>
        <v>-0.35210983866538492</v>
      </c>
      <c r="Q2" s="1">
        <f>(Main_L[[#This Row],[ROE]]-VLOOKUP(Main_L[[#This Row],[Industry]], Mean_ROE_L, 2, FALSE))/(VLOOKUP(Main_L[[#This Row],[Industry]], Mean_ROE_L, 3, FALSE))</f>
        <v>1.6639260737196369</v>
      </c>
      <c r="R2" s="1">
        <f>(Main_L[[#This Row],[ROA]]-VLOOKUP(Main_L[[#This Row],[Industry]], Mean_ROA_L, 2, FALSE))/(VLOOKUP(Main_L[[#This Row],[Industry]], Mean_ROA_L, 3, FALSE))</f>
        <v>0.87377715650843146</v>
      </c>
      <c r="S2" s="1">
        <f>(Main_L[[#This Row],[A/E]]-VLOOKUP(Main_L[[#This Row],[Industry]], Mean_AE_L, 2, FALSE))/(VLOOKUP(Main_L[[#This Row],[Industry]], Mean_AE_L, 3, FALSE))</f>
        <v>0.27380370145535249</v>
      </c>
      <c r="T2" s="1">
        <f>(Main_L[[#This Row],[P/E]]-VLOOKUP(Main_L[[#This Row],[Industry]], Mean_PE_L, 2, FALSE))/(VLOOKUP(Main_L[[#This Row],[Industry]], Mean_PE_L, 3, FALSE))</f>
        <v>-0.43965104375647596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s="67" t="s">
        <v>105</v>
      </c>
      <c r="B3" s="67" t="s">
        <v>112</v>
      </c>
      <c r="C3" s="2">
        <v>200181</v>
      </c>
      <c r="D3">
        <f>RTD("tos.rtd", , "LAST", Main_L[[#This Row],[Symbol]])</f>
        <v>27.86</v>
      </c>
      <c r="E3">
        <v>2.71</v>
      </c>
      <c r="F3">
        <v>14.42</v>
      </c>
      <c r="G3">
        <v>1.63</v>
      </c>
      <c r="H3" s="1">
        <f>IF(ISNUMBER(Main_L[[#This Row],[Free CF]]),IF(Main_L[[#This Row],[Free CF]]&lt;&gt;0,Main_L[[#This Row],[Current Price]]/Main_L[[#This Row],[Free CF]],""),"")</f>
        <v>10.280442804428045</v>
      </c>
      <c r="I3" s="1">
        <f>IF(ISNUMBER(Main_L[[#This Row],[BVPS]]),IF(Main_L[[#This Row],[BVPS]]&lt;&gt;0,Main_L[[#This Row],[Current Price]]/Main_L[[#This Row],[BVPS]],""),"")</f>
        <v>1.9320388349514563</v>
      </c>
      <c r="J3">
        <v>10.88</v>
      </c>
      <c r="K3">
        <v>4.17</v>
      </c>
      <c r="L3">
        <v>3.83</v>
      </c>
      <c r="M3" s="1">
        <f>IF(ISNUMBER(Main_L[[#This Row],[EPS]]),IF(Main_L[[#This Row],[EPS]]&lt;&gt;0,Main_L[[#This Row],[Current Price]]/Main_L[[#This Row],[EPS]],""),"")</f>
        <v>17.092024539877301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-0.43999682893403386</v>
      </c>
      <c r="P3" s="1">
        <f>(Main_L[[#This Row],[P/B]]-VLOOKUP(Main_L[[#This Row],[Industry]], Mean_PB_L, 2, FALSE))/(VLOOKUP(Main_L[[#This Row],[Industry]], Mean_PB_L, 3, FALSE))</f>
        <v>-0.33410672674385422</v>
      </c>
      <c r="Q3" s="1">
        <f>(Main_L[[#This Row],[ROE]]-VLOOKUP(Main_L[[#This Row],[Industry]], Mean_ROE_L, 2, FALSE))/(VLOOKUP(Main_L[[#This Row],[Industry]], Mean_ROE_L, 3, FALSE))</f>
        <v>0.48145646053904673</v>
      </c>
      <c r="R3" s="1">
        <f>(Main_L[[#This Row],[ROA]]-VLOOKUP(Main_L[[#This Row],[Industry]], Mean_ROA_L, 2, FALSE))/(VLOOKUP(Main_L[[#This Row],[Industry]], Mean_ROA_L, 3, FALSE))</f>
        <v>0.1649182050363599</v>
      </c>
      <c r="S3" s="1">
        <f>(Main_L[[#This Row],[A/E]]-VLOOKUP(Main_L[[#This Row],[Industry]], Mean_AE_L, 2, FALSE))/(VLOOKUP(Main_L[[#This Row],[Industry]], Mean_AE_L, 3, FALSE))</f>
        <v>0.31312277085494639</v>
      </c>
      <c r="T3" s="1">
        <f>(Main_L[[#This Row],[P/E]]-VLOOKUP(Main_L[[#This Row],[Industry]], Mean_PE_L, 2, FALSE))/(VLOOKUP(Main_L[[#This Row],[Industry]], Mean_PE_L, 3, FALSE))</f>
        <v>-0.37728405850669855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s="67" t="s">
        <v>105</v>
      </c>
      <c r="B4" s="67" t="s">
        <v>115</v>
      </c>
      <c r="C4" s="2">
        <v>24817</v>
      </c>
      <c r="D4">
        <f>RTD("tos.rtd", , "LAST", Main_L[[#This Row],[Symbol]])</f>
        <v>16.329999999999998</v>
      </c>
      <c r="E4">
        <v>0.87</v>
      </c>
      <c r="F4">
        <v>7.16</v>
      </c>
      <c r="G4">
        <v>0.55000000000000004</v>
      </c>
      <c r="H4" s="1">
        <f>IF(ISNUMBER(Main_L[[#This Row],[Free CF]]),IF(Main_L[[#This Row],[Free CF]]&lt;&gt;0,Main_L[[#This Row],[Current Price]]/Main_L[[#This Row],[Free CF]],""),"")</f>
        <v>18.770114942528735</v>
      </c>
      <c r="I4" s="1">
        <f>IF(ISNUMBER(Main_L[[#This Row],[BVPS]]),IF(Main_L[[#This Row],[BVPS]]&lt;&gt;0,Main_L[[#This Row],[Current Price]]/Main_L[[#This Row],[BVPS]],""),"")</f>
        <v>2.2807262569832401</v>
      </c>
      <c r="J4">
        <v>6.46</v>
      </c>
      <c r="K4">
        <v>3.41</v>
      </c>
      <c r="L4">
        <v>3.72</v>
      </c>
      <c r="M4" s="1">
        <f>IF(ISNUMBER(Main_L[[#This Row],[EPS]]),IF(Main_L[[#This Row],[EPS]]&lt;&gt;0,Main_L[[#This Row],[Current Price]]/Main_L[[#This Row],[EPS]],""),"")</f>
        <v>29.690909090909084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-0.23931985494982755</v>
      </c>
      <c r="P4" s="1">
        <f>(Main_L[[#This Row],[P/B]]-VLOOKUP(Main_L[[#This Row],[Industry]], Mean_PB_L, 2, FALSE))/(VLOOKUP(Main_L[[#This Row],[Industry]], Mean_PB_L, 3, FALSE))</f>
        <v>-0.27427269257469422</v>
      </c>
      <c r="Q4" s="1">
        <f>(Main_L[[#This Row],[ROE]]-VLOOKUP(Main_L[[#This Row],[Industry]], Mean_ROE_L, 2, FALSE))/(VLOOKUP(Main_L[[#This Row],[Industry]], Mean_ROE_L, 3, FALSE))</f>
        <v>-0.21171538167026471</v>
      </c>
      <c r="R4" s="1">
        <f>(Main_L[[#This Row],[ROA]]-VLOOKUP(Main_L[[#This Row],[Industry]], Mean_ROA_L, 2, FALSE))/(VLOOKUP(Main_L[[#This Row],[Industry]], Mean_ROA_L, 3, FALSE))</f>
        <v>-0.38480914508483804</v>
      </c>
      <c r="S4" s="1">
        <f>(Main_L[[#This Row],[A/E]]-VLOOKUP(Main_L[[#This Row],[Industry]], Mean_AE_L, 2, FALSE))/(VLOOKUP(Main_L[[#This Row],[Industry]], Mean_AE_L, 3, FALSE))</f>
        <v>0.22662081817584032</v>
      </c>
      <c r="T4" s="1">
        <f>(Main_L[[#This Row],[P/E]]-VLOOKUP(Main_L[[#This Row],[Industry]], Mean_PE_L, 2, FALSE))/(VLOOKUP(Main_L[[#This Row],[Industry]], Mean_PE_L, 3, FALSE))</f>
        <v>-0.25999269968689098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s="67" t="s">
        <v>105</v>
      </c>
      <c r="B5" s="67" t="s">
        <v>116</v>
      </c>
      <c r="C5" s="2">
        <v>16087</v>
      </c>
      <c r="D5">
        <f>RTD("tos.rtd", , "LAST", Main_L[[#This Row],[Symbol]])</f>
        <v>10.35</v>
      </c>
      <c r="E5">
        <v>0.55000000000000004</v>
      </c>
      <c r="F5">
        <v>3.68</v>
      </c>
      <c r="G5">
        <v>0.31</v>
      </c>
      <c r="H5" s="1">
        <f>IF(ISNUMBER(Main_L[[#This Row],[Free CF]]),IF(Main_L[[#This Row],[Free CF]]&lt;&gt;0,Main_L[[#This Row],[Current Price]]/Main_L[[#This Row],[Free CF]],""),"")</f>
        <v>18.818181818181817</v>
      </c>
      <c r="I5" s="1">
        <f>IF(ISNUMBER(Main_L[[#This Row],[BVPS]]),IF(Main_L[[#This Row],[BVPS]]&lt;&gt;0,Main_L[[#This Row],[Current Price]]/Main_L[[#This Row],[BVPS]],""),"")</f>
        <v>2.8125</v>
      </c>
      <c r="J5">
        <v>8.35</v>
      </c>
      <c r="K5">
        <v>4.54</v>
      </c>
      <c r="L5">
        <v>1.86</v>
      </c>
      <c r="M5" s="1">
        <f>IF(ISNUMBER(Main_L[[#This Row],[EPS]]),IF(Main_L[[#This Row],[EPS]]&lt;&gt;0,Main_L[[#This Row],[Current Price]]/Main_L[[#This Row],[EPS]],""),"")</f>
        <v>33.387096774193544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-0.23818366087801579</v>
      </c>
      <c r="P5" s="1">
        <f>(Main_L[[#This Row],[P/B]]-VLOOKUP(Main_L[[#This Row],[Industry]], Mean_PB_L, 2, FALSE))/(VLOOKUP(Main_L[[#This Row],[Industry]], Mean_PB_L, 3, FALSE))</f>
        <v>-0.18302142768958859</v>
      </c>
      <c r="Q5" s="1">
        <f>(Main_L[[#This Row],[ROE]]-VLOOKUP(Main_L[[#This Row],[Industry]], Mean_ROE_L, 2, FALSE))/(VLOOKUP(Main_L[[#This Row],[Industry]], Mean_ROE_L, 3, FALSE))</f>
        <v>8.4686152668105905E-2</v>
      </c>
      <c r="R5" s="1">
        <f>(Main_L[[#This Row],[ROA]]-VLOOKUP(Main_L[[#This Row],[Industry]], Mean_ROA_L, 2, FALSE))/(VLOOKUP(Main_L[[#This Row],[Industry]], Mean_ROA_L, 3, FALSE))</f>
        <v>0.43254862549010115</v>
      </c>
      <c r="S5" s="1">
        <f>(Main_L[[#This Row],[A/E]]-VLOOKUP(Main_L[[#This Row],[Industry]], Mean_AE_L, 2, FALSE))/(VLOOKUP(Main_L[[#This Row],[Industry]], Mean_AE_L, 3, FALSE))</f>
        <v>-1.2360485634890455</v>
      </c>
      <c r="T5" s="1">
        <f>(Main_L[[#This Row],[P/E]]-VLOOKUP(Main_L[[#This Row],[Industry]], Mean_PE_L, 2, FALSE))/(VLOOKUP(Main_L[[#This Row],[Industry]], Mean_PE_L, 3, FALSE))</f>
        <v>-0.22558244105887881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s="67" t="s">
        <v>105</v>
      </c>
      <c r="B6" s="67" t="s">
        <v>110</v>
      </c>
      <c r="C6" s="2">
        <v>20096</v>
      </c>
      <c r="D6">
        <f>RTD("tos.rtd", , "LAST", Main_L[[#This Row],[Symbol]])</f>
        <v>22.1</v>
      </c>
      <c r="E6">
        <v>2.4300000000000002</v>
      </c>
      <c r="F6">
        <v>10.44</v>
      </c>
      <c r="G6">
        <v>0.3</v>
      </c>
      <c r="H6" s="1">
        <f>IF(ISNUMBER(Main_L[[#This Row],[Free CF]]),IF(Main_L[[#This Row],[Free CF]]&lt;&gt;0,Main_L[[#This Row],[Current Price]]/Main_L[[#This Row],[Free CF]],""),"")</f>
        <v>9.094650205761317</v>
      </c>
      <c r="I6" s="1">
        <f>IF(ISNUMBER(Main_L[[#This Row],[BVPS]]),IF(Main_L[[#This Row],[BVPS]]&lt;&gt;0,Main_L[[#This Row],[Current Price]]/Main_L[[#This Row],[BVPS]],""),"")</f>
        <v>2.116858237547893</v>
      </c>
      <c r="J6">
        <v>3.16</v>
      </c>
      <c r="K6">
        <v>4.84</v>
      </c>
      <c r="L6">
        <v>5.21</v>
      </c>
      <c r="M6" s="1">
        <f>IF(ISNUMBER(Main_L[[#This Row],[EPS]]),IF(Main_L[[#This Row],[EPS]]&lt;&gt;0,Main_L[[#This Row],[Current Price]]/Main_L[[#This Row],[EPS]],""),"")</f>
        <v>73.666666666666671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-0.46802632955577922</v>
      </c>
      <c r="P6" s="1">
        <f>(Main_L[[#This Row],[P/B]]-VLOOKUP(Main_L[[#This Row],[Industry]], Mean_PB_L, 2, FALSE))/(VLOOKUP(Main_L[[#This Row],[Industry]], Mean_PB_L, 3, FALSE))</f>
        <v>-0.30239210283903517</v>
      </c>
      <c r="Q6" s="1">
        <f>(Main_L[[#This Row],[ROE]]-VLOOKUP(Main_L[[#This Row],[Industry]], Mean_ROE_L, 2, FALSE))/(VLOOKUP(Main_L[[#This Row],[Industry]], Mean_ROE_L, 3, FALSE))</f>
        <v>-0.72924187019757847</v>
      </c>
      <c r="R6" s="1">
        <f>(Main_L[[#This Row],[ROA]]-VLOOKUP(Main_L[[#This Row],[Industry]], Mean_ROA_L, 2, FALSE))/(VLOOKUP(Main_L[[#This Row],[Industry]], Mean_ROA_L, 3, FALSE))</f>
        <v>0.64954626369583712</v>
      </c>
      <c r="S6" s="1">
        <f>(Main_L[[#This Row],[A/E]]-VLOOKUP(Main_L[[#This Row],[Industry]], Mean_AE_L, 2, FALSE))/(VLOOKUP(Main_L[[#This Row],[Industry]], Mean_AE_L, 3, FALSE))</f>
        <v>1.3983290862837323</v>
      </c>
      <c r="T6" s="1">
        <f>(Main_L[[#This Row],[P/E]]-VLOOKUP(Main_L[[#This Row],[Industry]], Mean_PE_L, 2, FALSE))/(VLOOKUP(Main_L[[#This Row],[Industry]], Mean_PE_L, 3, FALSE))</f>
        <v>0.14940674677193397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s="67" t="s">
        <v>105</v>
      </c>
      <c r="B7" s="67" t="s">
        <v>111</v>
      </c>
      <c r="C7" s="2">
        <v>33729</v>
      </c>
      <c r="D7">
        <f>RTD("tos.rtd", , "LAST", Main_L[[#This Row],[Symbol]])</f>
        <v>44.27</v>
      </c>
      <c r="E7">
        <v>0.19</v>
      </c>
      <c r="F7">
        <v>1.53</v>
      </c>
      <c r="G7">
        <v>0.15</v>
      </c>
      <c r="H7" s="1">
        <f>IF(ISNUMBER(Main_L[[#This Row],[Free CF]]),IF(Main_L[[#This Row],[Free CF]]&lt;&gt;0,Main_L[[#This Row],[Current Price]]/Main_L[[#This Row],[Free CF]],""),"")</f>
        <v>233</v>
      </c>
      <c r="I7" s="1">
        <f>IF(ISNUMBER(Main_L[[#This Row],[BVPS]]),IF(Main_L[[#This Row],[BVPS]]&lt;&gt;0,Main_L[[#This Row],[Current Price]]/Main_L[[#This Row],[BVPS]],""),"")</f>
        <v>28.934640522875817</v>
      </c>
      <c r="J7">
        <v>9.6300000000000008</v>
      </c>
      <c r="K7">
        <v>5.55</v>
      </c>
      <c r="L7">
        <v>1.36</v>
      </c>
      <c r="M7" s="1">
        <f>IF(ISNUMBER(Main_L[[#This Row],[EPS]]),IF(Main_L[[#This Row],[EPS]]&lt;&gt;0,Main_L[[#This Row],[Current Price]]/Main_L[[#This Row],[EPS]],""),"")</f>
        <v>295.13333333333338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4.8245983236308128</v>
      </c>
      <c r="P7" s="1">
        <f>(Main_L[[#This Row],[P/B]]-VLOOKUP(Main_L[[#This Row],[Industry]], Mean_PB_L, 2, FALSE))/(VLOOKUP(Main_L[[#This Row],[Industry]], Mean_PB_L, 3, FALSE))</f>
        <v>4.2994833885434431</v>
      </c>
      <c r="Q7" s="1">
        <f>(Main_L[[#This Row],[ROE]]-VLOOKUP(Main_L[[#This Row],[Industry]], Mean_ROE_L, 2, FALSE))/(VLOOKUP(Main_L[[#This Row],[Industry]], Mean_ROE_L, 3, FALSE))</f>
        <v>0.28542369973324599</v>
      </c>
      <c r="R7" s="1">
        <f>(Main_L[[#This Row],[ROA]]-VLOOKUP(Main_L[[#This Row],[Industry]], Mean_ROA_L, 2, FALSE))/(VLOOKUP(Main_L[[#This Row],[Industry]], Mean_ROA_L, 3, FALSE))</f>
        <v>1.1631073407827459</v>
      </c>
      <c r="S7" s="1">
        <f>(Main_L[[#This Row],[A/E]]-VLOOKUP(Main_L[[#This Row],[Industry]], Mean_AE_L, 2, FALSE))/(VLOOKUP(Main_L[[#This Row],[Industry]], Mean_AE_L, 3, FALSE))</f>
        <v>-1.6292392574849821</v>
      </c>
      <c r="T7" s="1">
        <f>(Main_L[[#This Row],[P/E]]-VLOOKUP(Main_L[[#This Row],[Industry]], Mean_PE_L, 2, FALSE))/(VLOOKUP(Main_L[[#This Row],[Industry]], Mean_PE_L, 3, FALSE))</f>
        <v>2.2111865941394067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s="67" t="s">
        <v>105</v>
      </c>
      <c r="B8" s="67" t="s">
        <v>272</v>
      </c>
      <c r="C8" s="2">
        <v>35378</v>
      </c>
      <c r="D8">
        <f>RTD("tos.rtd", , "LAST", Main_L[[#This Row],[Symbol]])</f>
        <v>16.03</v>
      </c>
      <c r="E8">
        <v>0.11</v>
      </c>
      <c r="F8">
        <v>0.79</v>
      </c>
      <c r="G8">
        <v>0.09</v>
      </c>
      <c r="H8" s="1">
        <f>IF(ISNUMBER(Main_L[[#This Row],[Free CF]]),IF(Main_L[[#This Row],[Free CF]]&lt;&gt;0,Main_L[[#This Row],[Current Price]]/Main_L[[#This Row],[Free CF]],""),"")</f>
        <v>145.72727272727275</v>
      </c>
      <c r="I8" s="1">
        <f>IF(ISNUMBER(Main_L[[#This Row],[BVPS]]),IF(Main_L[[#This Row],[BVPS]]&lt;&gt;0,Main_L[[#This Row],[Current Price]]/Main_L[[#This Row],[BVPS]],""),"")</f>
        <v>20.291139240506329</v>
      </c>
      <c r="J8">
        <v>10.65</v>
      </c>
      <c r="K8">
        <v>5.23</v>
      </c>
      <c r="L8">
        <v>3.08</v>
      </c>
      <c r="M8" s="1">
        <f>IF(ISNUMBER(Main_L[[#This Row],[EPS]]),IF(Main_L[[#This Row],[EPS]]&lt;&gt;0,Main_L[[#This Row],[Current Price]]/Main_L[[#This Row],[EPS]],""),"")</f>
        <v>178.11111111111114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2.7616650871586255</v>
      </c>
      <c r="P8" s="1">
        <f>(Main_L[[#This Row],[P/B]]-VLOOKUP(Main_L[[#This Row],[Industry]], Mean_PB_L, 2, FALSE))/(VLOOKUP(Main_L[[#This Row],[Industry]], Mean_PB_L, 3, FALSE))</f>
        <v>2.816276601051888</v>
      </c>
      <c r="Q8" s="1">
        <f>(Main_L[[#This Row],[ROE]]-VLOOKUP(Main_L[[#This Row],[Industry]], Mean_ROE_L, 2, FALSE))/(VLOOKUP(Main_L[[#This Row],[Industry]], Mean_ROE_L, 3, FALSE))</f>
        <v>0.44538643255077931</v>
      </c>
      <c r="R8" s="1">
        <f>(Main_L[[#This Row],[ROA]]-VLOOKUP(Main_L[[#This Row],[Industry]], Mean_ROA_L, 2, FALSE))/(VLOOKUP(Main_L[[#This Row],[Industry]], Mean_ROA_L, 3, FALSE))</f>
        <v>0.93164319336329449</v>
      </c>
      <c r="S8" s="1">
        <f>(Main_L[[#This Row],[A/E]]-VLOOKUP(Main_L[[#This Row],[Industry]], Mean_AE_L, 2, FALSE))/(VLOOKUP(Main_L[[#This Row],[Industry]], Mean_AE_L, 3, FALSE))</f>
        <v>-0.27666327013895914</v>
      </c>
      <c r="T8" s="1">
        <f>(Main_L[[#This Row],[P/E]]-VLOOKUP(Main_L[[#This Row],[Industry]], Mean_PE_L, 2, FALSE))/(VLOOKUP(Main_L[[#This Row],[Industry]], Mean_PE_L, 3, FALSE))</f>
        <v>1.1217492395099553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s="67" t="s">
        <v>105</v>
      </c>
      <c r="B9" s="67" t="s">
        <v>114</v>
      </c>
      <c r="C9" s="2">
        <v>16989</v>
      </c>
      <c r="D9">
        <f>RTD("tos.rtd", , "LAST", Main_L[[#This Row],[Symbol]])</f>
        <v>17.559999999999999</v>
      </c>
      <c r="E9">
        <v>0.02</v>
      </c>
      <c r="F9">
        <v>0.09</v>
      </c>
      <c r="G9">
        <v>0.01</v>
      </c>
      <c r="H9" s="1">
        <f>IF(ISNUMBER(Main_L[[#This Row],[Free CF]]),IF(Main_L[[#This Row],[Free CF]]&lt;&gt;0,Main_L[[#This Row],[Current Price]]/Main_L[[#This Row],[Free CF]],""),"")</f>
        <v>877.99999999999989</v>
      </c>
      <c r="I9" s="1">
        <f>IF(ISNUMBER(Main_L[[#This Row],[BVPS]]),IF(Main_L[[#This Row],[BVPS]]&lt;&gt;0,Main_L[[#This Row],[Current Price]]/Main_L[[#This Row],[BVPS]],""),"")</f>
        <v>195.11111111111111</v>
      </c>
      <c r="J9">
        <v>18.239999999999998</v>
      </c>
      <c r="K9">
        <v>8.92</v>
      </c>
      <c r="L9">
        <v>2.02</v>
      </c>
      <c r="M9" s="1">
        <f>IF(ISNUMBER(Main_L[[#This Row],[EPS]]),IF(Main_L[[#This Row],[EPS]]&lt;&gt;0,Main_L[[#This Row],[Current Price]]/Main_L[[#This Row],[EPS]],""),"")</f>
        <v>1755.9999999999998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20.070964274433077</v>
      </c>
      <c r="P9" s="1">
        <f>(Main_L[[#This Row],[P/B]]-VLOOKUP(Main_L[[#This Row],[Industry]], Mean_PB_L, 2, FALSE))/(VLOOKUP(Main_L[[#This Row],[Industry]], Mean_PB_L, 3, FALSE))</f>
        <v>32.815019054698183</v>
      </c>
      <c r="Q9" s="1">
        <f>(Main_L[[#This Row],[ROE]]-VLOOKUP(Main_L[[#This Row],[Industry]], Mean_ROE_L, 2, FALSE))/(VLOOKUP(Main_L[[#This Row],[Industry]], Mean_ROE_L, 3, FALSE))</f>
        <v>1.635697356163601</v>
      </c>
      <c r="R9" s="1">
        <f>(Main_L[[#This Row],[ROA]]-VLOOKUP(Main_L[[#This Row],[Industry]], Mean_ROA_L, 2, FALSE))/(VLOOKUP(Main_L[[#This Row],[Industry]], Mean_ROA_L, 3, FALSE))</f>
        <v>3.6007141432938479</v>
      </c>
      <c r="S9" s="1">
        <f>(Main_L[[#This Row],[A/E]]-VLOOKUP(Main_L[[#This Row],[Industry]], Mean_AE_L, 2, FALSE))/(VLOOKUP(Main_L[[#This Row],[Industry]], Mean_AE_L, 3, FALSE))</f>
        <v>-1.1102275414103455</v>
      </c>
      <c r="T9" s="1">
        <f>(Main_L[[#This Row],[P/E]]-VLOOKUP(Main_L[[#This Row],[Industry]], Mean_PE_L, 2, FALSE))/(VLOOKUP(Main_L[[#This Row],[Industry]], Mean_PE_L, 3, FALSE))</f>
        <v>15.811361728204249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" spans="1:26" x14ac:dyDescent="0.25">
      <c r="A10" s="67" t="s">
        <v>105</v>
      </c>
      <c r="B10" s="67" t="s">
        <v>273</v>
      </c>
      <c r="C10" s="2">
        <v>26102</v>
      </c>
      <c r="D10">
        <f>RTD("tos.rtd", , "LAST", Main_L[[#This Row],[Symbol]])</f>
        <v>19.03</v>
      </c>
      <c r="E10">
        <v>0.52</v>
      </c>
      <c r="F10">
        <v>23.1</v>
      </c>
      <c r="G10">
        <v>-0.06</v>
      </c>
      <c r="H10" s="1">
        <f>IF(ISNUMBER(Main_L[[#This Row],[Free CF]]),IF(Main_L[[#This Row],[Free CF]]&lt;&gt;0,Main_L[[#This Row],[Current Price]]/Main_L[[#This Row],[Free CF]],""),"")</f>
        <v>36.596153846153847</v>
      </c>
      <c r="I10" s="1">
        <f>IF(ISNUMBER(Main_L[[#This Row],[BVPS]]),IF(Main_L[[#This Row],[BVPS]]&lt;&gt;0,Main_L[[#This Row],[Current Price]]/Main_L[[#This Row],[BVPS]],""),"")</f>
        <v>0.82380952380952377</v>
      </c>
      <c r="J10">
        <v>-0.36</v>
      </c>
      <c r="K10">
        <v>0.87</v>
      </c>
      <c r="L10">
        <v>2.85</v>
      </c>
      <c r="M10" s="1">
        <f>IF(ISNUMBER(Main_L[[#This Row],[EPS]]),IF(Main_L[[#This Row],[EPS]]&lt;&gt;0,Main_L[[#This Row],[Current Price]]/Main_L[[#This Row],[EPS]],""),"")</f>
        <v>-317.16666666666669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0.18204807152754679</v>
      </c>
      <c r="P10" s="1">
        <f>(Main_L[[#This Row],[P/B]]-VLOOKUP(Main_L[[#This Row],[Industry]], Mean_PB_L, 2, FALSE))/(VLOOKUP(Main_L[[#This Row],[Industry]], Mean_PB_L, 3, FALSE))</f>
        <v>-0.524276564484909</v>
      </c>
      <c r="Q10" s="1">
        <f>(Main_L[[#This Row],[ROE]]-VLOOKUP(Main_L[[#This Row],[Industry]], Mean_ROE_L, 2, FALSE))/(VLOOKUP(Main_L[[#This Row],[Industry]], Mean_ROE_L, 3, FALSE))</f>
        <v>-1.2812701246267133</v>
      </c>
      <c r="R10" s="1">
        <f>(Main_L[[#This Row],[ROA]]-VLOOKUP(Main_L[[#This Row],[Industry]], Mean_ROA_L, 2, FALSE))/(VLOOKUP(Main_L[[#This Row],[Industry]], Mean_ROA_L, 3, FALSE))</f>
        <v>-2.2220558152267369</v>
      </c>
      <c r="S10" s="1">
        <f>(Main_L[[#This Row],[A/E]]-VLOOKUP(Main_L[[#This Row],[Industry]], Mean_AE_L, 2, FALSE))/(VLOOKUP(Main_L[[#This Row],[Industry]], Mean_AE_L, 3, FALSE))</f>
        <v>-0.45753098937709014</v>
      </c>
      <c r="T10" s="1">
        <f>(Main_L[[#This Row],[P/E]]-VLOOKUP(Main_L[[#This Row],[Industry]], Mean_PE_L, 2, FALSE))/(VLOOKUP(Main_L[[#This Row],[Industry]], Mean_PE_L, 3, FALSE))</f>
        <v>-3.4891195491918849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" spans="1:26" x14ac:dyDescent="0.25">
      <c r="A11" s="67" t="s">
        <v>105</v>
      </c>
      <c r="B11" s="67" t="s">
        <v>113</v>
      </c>
      <c r="C11" s="2">
        <v>29966</v>
      </c>
      <c r="D11">
        <f>RTD("tos.rtd", , "LAST", Main_L[[#This Row],[Symbol]])</f>
        <v>5.3</v>
      </c>
      <c r="E11">
        <v>0.92</v>
      </c>
      <c r="F11">
        <v>3.78</v>
      </c>
      <c r="G11">
        <v>-0.09</v>
      </c>
      <c r="H11" s="1">
        <f>IF(ISNUMBER(Main_L[[#This Row],[Free CF]]),IF(Main_L[[#This Row],[Free CF]]&lt;&gt;0,Main_L[[#This Row],[Current Price]]/Main_L[[#This Row],[Free CF]],""),"")</f>
        <v>5.7608695652173907</v>
      </c>
      <c r="I11" s="1">
        <f>IF(ISNUMBER(Main_L[[#This Row],[BVPS]]),IF(Main_L[[#This Row],[BVPS]]&lt;&gt;0,Main_L[[#This Row],[Current Price]]/Main_L[[#This Row],[BVPS]],""),"")</f>
        <v>1.4021164021164021</v>
      </c>
      <c r="J11">
        <v>0.24</v>
      </c>
      <c r="K11">
        <v>2.83</v>
      </c>
      <c r="L11">
        <v>5.0199999999999996</v>
      </c>
      <c r="M11" s="1">
        <f>IF(ISNUMBER(Main_L[[#This Row],[EPS]]),IF(Main_L[[#This Row],[EPS]]&lt;&gt;0,Main_L[[#This Row],[Current Price]]/Main_L[[#This Row],[EPS]],""),"")</f>
        <v>-58.888888888888886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-0.5468294917967601</v>
      </c>
      <c r="P11" s="1">
        <f>(Main_L[[#This Row],[P/B]]-VLOOKUP(Main_L[[#This Row],[Industry]], Mean_PB_L, 2, FALSE))/(VLOOKUP(Main_L[[#This Row],[Industry]], Mean_PB_L, 3, FALSE))</f>
        <v>-0.42504031066408748</v>
      </c>
      <c r="Q11" s="1">
        <f>(Main_L[[#This Row],[ROE]]-VLOOKUP(Main_L[[#This Row],[Industry]], Mean_ROE_L, 2, FALSE))/(VLOOKUP(Main_L[[#This Row],[Industry]], Mean_ROE_L, 3, FALSE))</f>
        <v>-1.1871743994399289</v>
      </c>
      <c r="R11" s="1">
        <f>(Main_L[[#This Row],[ROA]]-VLOOKUP(Main_L[[#This Row],[Industry]], Mean_ROA_L, 2, FALSE))/(VLOOKUP(Main_L[[#This Row],[Industry]], Mean_ROA_L, 3, FALSE))</f>
        <v>-0.80433791228259455</v>
      </c>
      <c r="S11" s="1">
        <f>(Main_L[[#This Row],[A/E]]-VLOOKUP(Main_L[[#This Row],[Industry]], Mean_AE_L, 2, FALSE))/(VLOOKUP(Main_L[[#This Row],[Industry]], Mean_AE_L, 3, FALSE))</f>
        <v>1.2489166225652759</v>
      </c>
      <c r="T11" s="1">
        <f>(Main_L[[#This Row],[P/E]]-VLOOKUP(Main_L[[#This Row],[Industry]], Mean_PE_L, 2, FALSE))/(VLOOKUP(Main_L[[#This Row],[Industry]], Mean_PE_L, 3, FALSE))</f>
        <v>-1.0846406934796184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s="67" t="s">
        <v>105</v>
      </c>
      <c r="B12" s="67" t="s">
        <v>274</v>
      </c>
      <c r="C12" s="2">
        <v>31038</v>
      </c>
      <c r="D12">
        <f>RTD("tos.rtd", , "LAST", Main_L[[#This Row],[Symbol]])</f>
        <v>5.4020000000000001</v>
      </c>
      <c r="E12">
        <v>0.92</v>
      </c>
      <c r="F12">
        <v>3.79</v>
      </c>
      <c r="G12">
        <v>-0.09</v>
      </c>
      <c r="H12" s="1">
        <f>IF(ISNUMBER(Main_L[[#This Row],[Free CF]]),IF(Main_L[[#This Row],[Free CF]]&lt;&gt;0,Main_L[[#This Row],[Current Price]]/Main_L[[#This Row],[Free CF]],""),"")</f>
        <v>5.8717391304347828</v>
      </c>
      <c r="I12" s="1">
        <f>IF(ISNUMBER(Main_L[[#This Row],[BVPS]]),IF(Main_L[[#This Row],[BVPS]]&lt;&gt;0,Main_L[[#This Row],[Current Price]]/Main_L[[#This Row],[BVPS]],""),"")</f>
        <v>1.4253298153034302</v>
      </c>
      <c r="J12">
        <v>0.24</v>
      </c>
      <c r="K12">
        <v>2.83</v>
      </c>
      <c r="L12">
        <v>5.0199999999999996</v>
      </c>
      <c r="M12" s="1">
        <f>IF(ISNUMBER(Main_L[[#This Row],[EPS]]),IF(Main_L[[#This Row],[EPS]]&lt;&gt;0,Main_L[[#This Row],[Current Price]]/Main_L[[#This Row],[EPS]],""),"")</f>
        <v>-60.022222222222226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-0.54420878177488297</v>
      </c>
      <c r="P12" s="1">
        <f>(Main_L[[#This Row],[P/B]]-VLOOKUP(Main_L[[#This Row],[Industry]], Mean_PB_L, 2, FALSE))/(VLOOKUP(Main_L[[#This Row],[Industry]], Mean_PB_L, 3, FALSE))</f>
        <v>-0.4210569373903339</v>
      </c>
      <c r="Q12" s="1">
        <f>(Main_L[[#This Row],[ROE]]-VLOOKUP(Main_L[[#This Row],[Industry]], Mean_ROE_L, 2, FALSE))/(VLOOKUP(Main_L[[#This Row],[Industry]], Mean_ROE_L, 3, FALSE))</f>
        <v>-1.1871743994399289</v>
      </c>
      <c r="R12" s="1">
        <f>(Main_L[[#This Row],[ROA]]-VLOOKUP(Main_L[[#This Row],[Industry]], Mean_ROA_L, 2, FALSE))/(VLOOKUP(Main_L[[#This Row],[Industry]], Mean_ROA_L, 3, FALSE))</f>
        <v>-0.80433791228259455</v>
      </c>
      <c r="S12" s="1">
        <f>(Main_L[[#This Row],[A/E]]-VLOOKUP(Main_L[[#This Row],[Industry]], Mean_AE_L, 2, FALSE))/(VLOOKUP(Main_L[[#This Row],[Industry]], Mean_AE_L, 3, FALSE))</f>
        <v>1.2489166225652759</v>
      </c>
      <c r="T12" s="1">
        <f>(Main_L[[#This Row],[P/E]]-VLOOKUP(Main_L[[#This Row],[Industry]], Mean_PE_L, 2, FALSE))/(VLOOKUP(Main_L[[#This Row],[Industry]], Mean_PE_L, 3, FALSE))</f>
        <v>-1.0951916439327332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s="67" t="s">
        <v>108</v>
      </c>
      <c r="B13" s="67" t="s">
        <v>136</v>
      </c>
      <c r="C13" s="2">
        <v>513762</v>
      </c>
      <c r="D13">
        <f>RTD("tos.rtd", , "LAST", Main_L[[#This Row],[Symbol]])</f>
        <v>1224.46</v>
      </c>
      <c r="E13">
        <v>17.38</v>
      </c>
      <c r="F13">
        <v>56.45</v>
      </c>
      <c r="G13">
        <v>21.15</v>
      </c>
      <c r="H13" s="1">
        <f>IF(ISNUMBER(Main_L[[#This Row],[Free CF]]),IF(Main_L[[#This Row],[Free CF]]&lt;&gt;0,Main_L[[#This Row],[Current Price]]/Main_L[[#This Row],[Free CF]],""),"")</f>
        <v>70.452243958573078</v>
      </c>
      <c r="I13" s="1">
        <f>IF(ISNUMBER(Main_L[[#This Row],[BVPS]]),IF(Main_L[[#This Row],[BVPS]]&lt;&gt;0,Main_L[[#This Row],[Current Price]]/Main_L[[#This Row],[BVPS]],""),"")</f>
        <v>21.691054030115147</v>
      </c>
      <c r="J13">
        <v>40.840000000000003</v>
      </c>
      <c r="K13">
        <v>13.79</v>
      </c>
      <c r="L13">
        <v>2.17</v>
      </c>
      <c r="M13" s="1">
        <f>IF(ISNUMBER(Main_L[[#This Row],[EPS]]),IF(Main_L[[#This Row],[EPS]]&lt;&gt;0,Main_L[[#This Row],[Current Price]]/Main_L[[#This Row],[EPS]],""),"")</f>
        <v>57.89408983451537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1.7625593841345106</v>
      </c>
      <c r="P13" s="1">
        <f>(Main_L[[#This Row],[P/B]]-VLOOKUP(Main_L[[#This Row],[Industry]], Mean_PB_L, 2, FALSE))/(VLOOKUP(Main_L[[#This Row],[Industry]], Mean_PB_L, 3, FALSE))</f>
        <v>1.5203311245415945</v>
      </c>
      <c r="Q13" s="1">
        <f>(Main_L[[#This Row],[ROE]]-VLOOKUP(Main_L[[#This Row],[Industry]], Mean_ROE_L, 2, FALSE))/(VLOOKUP(Main_L[[#This Row],[Industry]], Mean_ROE_L, 3, FALSE))</f>
        <v>1.4851121845146893</v>
      </c>
      <c r="R13" s="1">
        <f>(Main_L[[#This Row],[ROA]]-VLOOKUP(Main_L[[#This Row],[Industry]], Mean_ROA_L, 2, FALSE))/(VLOOKUP(Main_L[[#This Row],[Industry]], Mean_ROA_L, 3, FALSE))</f>
        <v>1.903055992970287</v>
      </c>
      <c r="S13" s="1">
        <f>(Main_L[[#This Row],[A/E]]-VLOOKUP(Main_L[[#This Row],[Industry]], Mean_AE_L, 2, FALSE))/(VLOOKUP(Main_L[[#This Row],[Industry]], Mean_AE_L, 3, FALSE))</f>
        <v>-0.1006799925590646</v>
      </c>
      <c r="T13" s="1">
        <f>(Main_L[[#This Row],[P/E]]-VLOOKUP(Main_L[[#This Row],[Industry]], Mean_PE_L, 2, FALSE))/(VLOOKUP(Main_L[[#This Row],[Industry]], Mean_PE_L, 3, FALSE))</f>
        <v>0.3290031697937903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s="67" t="s">
        <v>108</v>
      </c>
      <c r="B14" s="67" t="s">
        <v>137</v>
      </c>
      <c r="C14" s="2">
        <v>136391</v>
      </c>
      <c r="D14">
        <f>RTD("tos.rtd", , "LAST", Main_L[[#This Row],[Symbol]])</f>
        <v>699.11</v>
      </c>
      <c r="E14">
        <v>13.97</v>
      </c>
      <c r="F14">
        <v>32.96</v>
      </c>
      <c r="G14">
        <v>6.05</v>
      </c>
      <c r="H14" s="1">
        <f>IF(ISNUMBER(Main_L[[#This Row],[Free CF]]),IF(Main_L[[#This Row],[Free CF]]&lt;&gt;0,Main_L[[#This Row],[Current Price]]/Main_L[[#This Row],[Free CF]],""),"")</f>
        <v>50.043664996420901</v>
      </c>
      <c r="I14" s="1">
        <f>IF(ISNUMBER(Main_L[[#This Row],[BVPS]]),IF(Main_L[[#This Row],[BVPS]]&lt;&gt;0,Main_L[[#This Row],[Current Price]]/Main_L[[#This Row],[BVPS]],""),"")</f>
        <v>21.210861650485437</v>
      </c>
      <c r="J14">
        <v>24.4</v>
      </c>
      <c r="K14">
        <v>10.050000000000001</v>
      </c>
      <c r="L14">
        <v>2.0299999999999998</v>
      </c>
      <c r="M14" s="1">
        <f>IF(ISNUMBER(Main_L[[#This Row],[EPS]]),IF(Main_L[[#This Row],[EPS]]&lt;&gt;0,Main_L[[#This Row],[Current Price]]/Main_L[[#This Row],[EPS]],""),"")</f>
        <v>115.55537190082646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0.7537685982781116</v>
      </c>
      <c r="P14" s="1">
        <f>(Main_L[[#This Row],[P/B]]-VLOOKUP(Main_L[[#This Row],[Industry]], Mean_PB_L, 2, FALSE))/(VLOOKUP(Main_L[[#This Row],[Industry]], Mean_PB_L, 3, FALSE))</f>
        <v>1.4622474031229094</v>
      </c>
      <c r="Q14" s="1">
        <f>(Main_L[[#This Row],[ROE]]-VLOOKUP(Main_L[[#This Row],[Industry]], Mean_ROE_L, 2, FALSE))/(VLOOKUP(Main_L[[#This Row],[Industry]], Mean_ROE_L, 3, FALSE))</f>
        <v>0.60507213957579131</v>
      </c>
      <c r="R14" s="1">
        <f>(Main_L[[#This Row],[ROA]]-VLOOKUP(Main_L[[#This Row],[Industry]], Mean_ROA_L, 2, FALSE))/(VLOOKUP(Main_L[[#This Row],[Industry]], Mean_ROA_L, 3, FALSE))</f>
        <v>1.0800732124296581</v>
      </c>
      <c r="S14" s="1">
        <f>(Main_L[[#This Row],[A/E]]-VLOOKUP(Main_L[[#This Row],[Industry]], Mean_AE_L, 2, FALSE))/(VLOOKUP(Main_L[[#This Row],[Industry]], Mean_AE_L, 3, FALSE))</f>
        <v>-0.25306052183764932</v>
      </c>
      <c r="T14" s="1">
        <f>(Main_L[[#This Row],[P/E]]-VLOOKUP(Main_L[[#This Row],[Industry]], Mean_PE_L, 2, FALSE))/(VLOOKUP(Main_L[[#This Row],[Industry]], Mean_PE_L, 3, FALSE))</f>
        <v>1.4379513703525579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s="67" t="s">
        <v>108</v>
      </c>
      <c r="B15" s="67" t="s">
        <v>132</v>
      </c>
      <c r="C15" s="2">
        <v>203217</v>
      </c>
      <c r="D15">
        <f>RTD("tos.rtd", , "LAST", Main_L[[#This Row],[Symbol]])</f>
        <v>115.66</v>
      </c>
      <c r="E15">
        <v>6.01</v>
      </c>
      <c r="F15">
        <v>57.93</v>
      </c>
      <c r="G15">
        <v>4.9000000000000004</v>
      </c>
      <c r="H15" s="1">
        <f>IF(ISNUMBER(Main_L[[#This Row],[Free CF]]),IF(Main_L[[#This Row],[Free CF]]&lt;&gt;0,Main_L[[#This Row],[Current Price]]/Main_L[[#This Row],[Free CF]],""),"")</f>
        <v>19.244592346089849</v>
      </c>
      <c r="I15" s="1">
        <f>IF(ISNUMBER(Main_L[[#This Row],[BVPS]]),IF(Main_L[[#This Row],[BVPS]]&lt;&gt;0,Main_L[[#This Row],[Current Price]]/Main_L[[#This Row],[BVPS]],""),"")</f>
        <v>1.9965475573968583</v>
      </c>
      <c r="J15">
        <v>8.89</v>
      </c>
      <c r="K15">
        <v>4.4800000000000004</v>
      </c>
      <c r="L15">
        <v>1.88</v>
      </c>
      <c r="M15" s="1">
        <f>IF(ISNUMBER(Main_L[[#This Row],[EPS]]),IF(Main_L[[#This Row],[EPS]]&lt;&gt;0,Main_L[[#This Row],[Current Price]]/Main_L[[#This Row],[EPS]],""),"")</f>
        <v>23.60408163265306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-0.76862160636058208</v>
      </c>
      <c r="P15" s="1">
        <f>(Main_L[[#This Row],[P/B]]-VLOOKUP(Main_L[[#This Row],[Industry]], Mean_PB_L, 2, FALSE))/(VLOOKUP(Main_L[[#This Row],[Industry]], Mean_PB_L, 3, FALSE))</f>
        <v>-0.86190207191599222</v>
      </c>
      <c r="Q15" s="1">
        <f>(Main_L[[#This Row],[ROE]]-VLOOKUP(Main_L[[#This Row],[Industry]], Mean_ROE_L, 2, FALSE))/(VLOOKUP(Main_L[[#This Row],[Industry]], Mean_ROE_L, 3, FALSE))</f>
        <v>-0.2251846181494096</v>
      </c>
      <c r="R15" s="1">
        <f>(Main_L[[#This Row],[ROA]]-VLOOKUP(Main_L[[#This Row],[Industry]], Mean_ROA_L, 2, FALSE))/(VLOOKUP(Main_L[[#This Row],[Industry]], Mean_ROA_L, 3, FALSE))</f>
        <v>-0.14559900350919339</v>
      </c>
      <c r="S15" s="1">
        <f>(Main_L[[#This Row],[A/E]]-VLOOKUP(Main_L[[#This Row],[Industry]], Mean_AE_L, 2, FALSE))/(VLOOKUP(Main_L[[#This Row],[Industry]], Mean_AE_L, 3, FALSE))</f>
        <v>-0.41632537463613273</v>
      </c>
      <c r="T15" s="1">
        <f>(Main_L[[#This Row],[P/E]]-VLOOKUP(Main_L[[#This Row],[Industry]], Mean_PE_L, 2, FALSE))/(VLOOKUP(Main_L[[#This Row],[Industry]], Mean_PE_L, 3, FALSE))</f>
        <v>-0.33046608808484074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s="67" t="s">
        <v>108</v>
      </c>
      <c r="B16" s="67" t="s">
        <v>142</v>
      </c>
      <c r="C16" s="2">
        <v>36055</v>
      </c>
      <c r="D16">
        <f>RTD("tos.rtd", , "LAST", Main_L[[#This Row],[Symbol]])</f>
        <v>146.91999999999999</v>
      </c>
      <c r="E16">
        <v>7.09</v>
      </c>
      <c r="F16">
        <v>25.31</v>
      </c>
      <c r="G16">
        <v>4.25</v>
      </c>
      <c r="H16" s="1">
        <f>IF(ISNUMBER(Main_L[[#This Row],[Free CF]]),IF(Main_L[[#This Row],[Free CF]]&lt;&gt;0,Main_L[[#This Row],[Current Price]]/Main_L[[#This Row],[Free CF]],""),"")</f>
        <v>20.722143864598024</v>
      </c>
      <c r="I16" s="1">
        <f>IF(ISNUMBER(Main_L[[#This Row],[BVPS]]),IF(Main_L[[#This Row],[BVPS]]&lt;&gt;0,Main_L[[#This Row],[Current Price]]/Main_L[[#This Row],[BVPS]],""),"")</f>
        <v>5.8048202291584348</v>
      </c>
      <c r="J16">
        <v>16.13</v>
      </c>
      <c r="K16">
        <v>7.68</v>
      </c>
      <c r="L16">
        <v>1.94</v>
      </c>
      <c r="M16" s="1">
        <f>IF(ISNUMBER(Main_L[[#This Row],[EPS]]),IF(Main_L[[#This Row],[EPS]]&lt;&gt;0,Main_L[[#This Row],[Current Price]]/Main_L[[#This Row],[EPS]],""),"")</f>
        <v>34.569411764705876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6" s="1">
        <f>(Main_L[[#This Row],[P/FCF]]-VLOOKUP(Main_L[[#This Row],[Industry]], Mean_PFCF_L, 2, FALSE))/(VLOOKUP(Main_L[[#This Row],[Industry]], Mean_PFCF_L, 3, FALSE))</f>
        <v>-0.69558661650345421</v>
      </c>
      <c r="P16" s="1">
        <f>(Main_L[[#This Row],[P/B]]-VLOOKUP(Main_L[[#This Row],[Industry]], Mean_PB_L, 2, FALSE))/(VLOOKUP(Main_L[[#This Row],[Industry]], Mean_PB_L, 3, FALSE))</f>
        <v>-0.40125617594495772</v>
      </c>
      <c r="Q16" s="1">
        <f>(Main_L[[#This Row],[ROE]]-VLOOKUP(Main_L[[#This Row],[Industry]], Mean_ROE_L, 2, FALSE))/(VLOOKUP(Main_L[[#This Row],[Industry]], Mean_ROE_L, 3, FALSE))</f>
        <v>0.16237559628840173</v>
      </c>
      <c r="R16" s="1">
        <f>(Main_L[[#This Row],[ROA]]-VLOOKUP(Main_L[[#This Row],[Industry]], Mean_ROA_L, 2, FALSE))/(VLOOKUP(Main_L[[#This Row],[Industry]], Mean_ROA_L, 3, FALSE))</f>
        <v>0.55855738625818974</v>
      </c>
      <c r="S16" s="1">
        <f>(Main_L[[#This Row],[A/E]]-VLOOKUP(Main_L[[#This Row],[Industry]], Mean_AE_L, 2, FALSE))/(VLOOKUP(Main_L[[#This Row],[Industry]], Mean_AE_L, 3, FALSE))</f>
        <v>-0.35101943351673925</v>
      </c>
      <c r="T16" s="1">
        <f>(Main_L[[#This Row],[P/E]]-VLOOKUP(Main_L[[#This Row],[Industry]], Mean_PE_L, 2, FALSE))/(VLOOKUP(Main_L[[#This Row],[Industry]], Mean_PE_L, 3, FALSE))</f>
        <v>-0.11957963737275469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s="67" t="s">
        <v>108</v>
      </c>
      <c r="B17" s="67" t="s">
        <v>266</v>
      </c>
      <c r="C17" s="2">
        <v>18436</v>
      </c>
      <c r="D17">
        <f>RTD("tos.rtd", , "LAST", Main_L[[#This Row],[Symbol]])</f>
        <v>69.75</v>
      </c>
      <c r="E17">
        <v>2.93</v>
      </c>
      <c r="F17">
        <v>22.92</v>
      </c>
      <c r="G17">
        <v>3.5</v>
      </c>
      <c r="H17" s="1">
        <f>IF(ISNUMBER(Main_L[[#This Row],[Free CF]]),IF(Main_L[[#This Row],[Free CF]]&lt;&gt;0,Main_L[[#This Row],[Current Price]]/Main_L[[#This Row],[Free CF]],""),"")</f>
        <v>23.805460750853243</v>
      </c>
      <c r="I17" s="1">
        <f>IF(ISNUMBER(Main_L[[#This Row],[BVPS]]),IF(Main_L[[#This Row],[BVPS]]&lt;&gt;0,Main_L[[#This Row],[Current Price]]/Main_L[[#This Row],[BVPS]],""),"")</f>
        <v>3.0431937172774868</v>
      </c>
      <c r="J17">
        <v>16.43</v>
      </c>
      <c r="K17">
        <v>10.59</v>
      </c>
      <c r="L17">
        <v>1.38</v>
      </c>
      <c r="M17" s="1">
        <f>IF(ISNUMBER(Main_L[[#This Row],[EPS]]),IF(Main_L[[#This Row],[EPS]]&lt;&gt;0,Main_L[[#This Row],[Current Price]]/Main_L[[#This Row],[EPS]],""),"")</f>
        <v>19.928571428571427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7" s="1">
        <f>(Main_L[[#This Row],[P/FCF]]-VLOOKUP(Main_L[[#This Row],[Industry]], Mean_PFCF_L, 2, FALSE))/(VLOOKUP(Main_L[[#This Row],[Industry]], Mean_PFCF_L, 3, FALSE))</f>
        <v>-0.54317905934339905</v>
      </c>
      <c r="P17" s="1">
        <f>(Main_L[[#This Row],[P/B]]-VLOOKUP(Main_L[[#This Row],[Industry]], Mean_PB_L, 2, FALSE))/(VLOOKUP(Main_L[[#This Row],[Industry]], Mean_PB_L, 3, FALSE))</f>
        <v>-0.735300512721483</v>
      </c>
      <c r="Q17" s="1">
        <f>(Main_L[[#This Row],[ROE]]-VLOOKUP(Main_L[[#This Row],[Industry]], Mean_ROE_L, 2, FALSE))/(VLOOKUP(Main_L[[#This Row],[Industry]], Mean_ROE_L, 3, FALSE))</f>
        <v>0.17843472119604589</v>
      </c>
      <c r="R17" s="1">
        <f>(Main_L[[#This Row],[ROA]]-VLOOKUP(Main_L[[#This Row],[Industry]], Mean_ROA_L, 2, FALSE))/(VLOOKUP(Main_L[[#This Row],[Industry]], Mean_ROA_L, 3, FALSE))</f>
        <v>1.1988996032029038</v>
      </c>
      <c r="S17" s="1">
        <f>(Main_L[[#This Row],[A/E]]-VLOOKUP(Main_L[[#This Row],[Industry]], Mean_AE_L, 2, FALSE))/(VLOOKUP(Main_L[[#This Row],[Industry]], Mean_AE_L, 3, FALSE))</f>
        <v>-0.9605415506310776</v>
      </c>
      <c r="T17" s="1">
        <f>(Main_L[[#This Row],[P/E]]-VLOOKUP(Main_L[[#This Row],[Industry]], Mean_PE_L, 2, FALSE))/(VLOOKUP(Main_L[[#This Row],[Industry]], Mean_PE_L, 3, FALSE))</f>
        <v>-0.4011539098066042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s="67" t="s">
        <v>108</v>
      </c>
      <c r="B18" s="67" t="s">
        <v>135</v>
      </c>
      <c r="C18" s="2">
        <v>31797</v>
      </c>
      <c r="D18">
        <f>RTD("tos.rtd", , "LAST", Main_L[[#This Row],[Symbol]])</f>
        <v>143.47999999999999</v>
      </c>
      <c r="E18">
        <v>5.97</v>
      </c>
      <c r="F18">
        <v>0.47</v>
      </c>
      <c r="G18">
        <v>2.97</v>
      </c>
      <c r="H18" s="1">
        <f>IF(ISNUMBER(Main_L[[#This Row],[Free CF]]),IF(Main_L[[#This Row],[Free CF]]&lt;&gt;0,Main_L[[#This Row],[Current Price]]/Main_L[[#This Row],[Free CF]],""),"")</f>
        <v>24.033500837520936</v>
      </c>
      <c r="I18" s="1">
        <f>IF(ISNUMBER(Main_L[[#This Row],[BVPS]]),IF(Main_L[[#This Row],[BVPS]]&lt;&gt;0,Main_L[[#This Row],[Current Price]]/Main_L[[#This Row],[BVPS]],""),"")</f>
        <v>305.27659574468083</v>
      </c>
      <c r="J18">
        <v>68.510000000000005</v>
      </c>
      <c r="K18">
        <v>4.18</v>
      </c>
      <c r="L18">
        <v>205.93</v>
      </c>
      <c r="M18" s="1">
        <f>IF(ISNUMBER(Main_L[[#This Row],[EPS]]),IF(Main_L[[#This Row],[EPS]]&lt;&gt;0,Main_L[[#This Row],[Current Price]]/Main_L[[#This Row],[EPS]],""),"")</f>
        <v>48.309764309764304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-0.53190709677006731</v>
      </c>
      <c r="P18" s="1">
        <f>(Main_L[[#This Row],[P/B]]-VLOOKUP(Main_L[[#This Row],[Industry]], Mean_PB_L, 2, FALSE))/(VLOOKUP(Main_L[[#This Row],[Industry]], Mean_PB_L, 3, FALSE))</f>
        <v>35.822632248140273</v>
      </c>
      <c r="Q18" s="1">
        <f>(Main_L[[#This Row],[ROE]]-VLOOKUP(Main_L[[#This Row],[Industry]], Mean_ROE_L, 2, FALSE))/(VLOOKUP(Main_L[[#This Row],[Industry]], Mean_ROE_L, 3, FALSE))</f>
        <v>2.9662988051630652</v>
      </c>
      <c r="R18" s="1">
        <f>(Main_L[[#This Row],[ROA]]-VLOOKUP(Main_L[[#This Row],[Industry]], Mean_ROA_L, 2, FALSE))/(VLOOKUP(Main_L[[#This Row],[Industry]], Mean_ROA_L, 3, FALSE))</f>
        <v>-0.21161366504988574</v>
      </c>
      <c r="S18" s="1">
        <f>(Main_L[[#This Row],[A/E]]-VLOOKUP(Main_L[[#This Row],[Industry]], Mean_AE_L, 2, FALSE))/(VLOOKUP(Main_L[[#This Row],[Industry]], Mean_AE_L, 3, FALSE))</f>
        <v>221.6782960489009</v>
      </c>
      <c r="T18" s="1">
        <f>(Main_L[[#This Row],[P/E]]-VLOOKUP(Main_L[[#This Row],[Industry]], Mean_PE_L, 2, FALSE))/(VLOOKUP(Main_L[[#This Row],[Industry]], Mean_PE_L, 3, FALSE))</f>
        <v>0.14467635354264891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s="67" t="s">
        <v>108</v>
      </c>
      <c r="B19" s="67" t="s">
        <v>145</v>
      </c>
      <c r="C19" s="2">
        <v>94942</v>
      </c>
      <c r="D19">
        <f>RTD("tos.rtd", , "LAST", Main_L[[#This Row],[Symbol]])</f>
        <v>164.58</v>
      </c>
      <c r="E19">
        <v>5.6</v>
      </c>
      <c r="F19">
        <v>15.18</v>
      </c>
      <c r="G19">
        <v>1.42</v>
      </c>
      <c r="H19" s="1">
        <f>IF(ISNUMBER(Main_L[[#This Row],[Free CF]]),IF(Main_L[[#This Row],[Free CF]]&lt;&gt;0,Main_L[[#This Row],[Current Price]]/Main_L[[#This Row],[Free CF]],""),"")</f>
        <v>29.38928571428572</v>
      </c>
      <c r="I19" s="1">
        <f>IF(ISNUMBER(Main_L[[#This Row],[BVPS]]),IF(Main_L[[#This Row],[BVPS]]&lt;&gt;0,Main_L[[#This Row],[Current Price]]/Main_L[[#This Row],[BVPS]],""),"")</f>
        <v>10.841897233201582</v>
      </c>
      <c r="J19">
        <v>11.13</v>
      </c>
      <c r="K19">
        <v>3.05</v>
      </c>
      <c r="L19">
        <v>2.66</v>
      </c>
      <c r="M19" s="1">
        <f>IF(ISNUMBER(Main_L[[#This Row],[EPS]]),IF(Main_L[[#This Row],[EPS]]&lt;&gt;0,Main_L[[#This Row],[Current Price]]/Main_L[[#This Row],[EPS]],""),"")</f>
        <v>115.90140845070424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-0.26717203389631167</v>
      </c>
      <c r="P19" s="1">
        <f>(Main_L[[#This Row],[P/B]]-VLOOKUP(Main_L[[#This Row],[Industry]], Mean_PB_L, 2, FALSE))/(VLOOKUP(Main_L[[#This Row],[Industry]], Mean_PB_L, 3, FALSE))</f>
        <v>0.20802499943087327</v>
      </c>
      <c r="Q19" s="1">
        <f>(Main_L[[#This Row],[ROE]]-VLOOKUP(Main_L[[#This Row],[Industry]], Mean_ROE_L, 2, FALSE))/(VLOOKUP(Main_L[[#This Row],[Industry]], Mean_ROE_L, 3, FALSE))</f>
        <v>-0.10527648550566682</v>
      </c>
      <c r="R19" s="1">
        <f>(Main_L[[#This Row],[ROA]]-VLOOKUP(Main_L[[#This Row],[Industry]], Mean_ROA_L, 2, FALSE))/(VLOOKUP(Main_L[[#This Row],[Industry]], Mean_ROA_L, 3, FALSE))</f>
        <v>-0.46026889018649292</v>
      </c>
      <c r="S19" s="1">
        <f>(Main_L[[#This Row],[A/E]]-VLOOKUP(Main_L[[#This Row],[Industry]], Mean_AE_L, 2, FALSE))/(VLOOKUP(Main_L[[#This Row],[Industry]], Mean_AE_L, 3, FALSE))</f>
        <v>0.43265185991598165</v>
      </c>
      <c r="T19" s="1">
        <f>(Main_L[[#This Row],[P/E]]-VLOOKUP(Main_L[[#This Row],[Industry]], Mean_PE_L, 2, FALSE))/(VLOOKUP(Main_L[[#This Row],[Industry]], Mean_PE_L, 3, FALSE))</f>
        <v>1.4446063838306353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s="67" t="s">
        <v>108</v>
      </c>
      <c r="B20" s="67" t="s">
        <v>143</v>
      </c>
      <c r="C20" s="2">
        <v>77098</v>
      </c>
      <c r="D20">
        <f>RTD("tos.rtd", , "LAST", Main_L[[#This Row],[Symbol]])</f>
        <v>130.19</v>
      </c>
      <c r="E20">
        <v>1.72</v>
      </c>
      <c r="F20">
        <v>6.24</v>
      </c>
      <c r="G20">
        <v>1.38</v>
      </c>
      <c r="H20" s="1">
        <f>IF(ISNUMBER(Main_L[[#This Row],[Free CF]]),IF(Main_L[[#This Row],[Free CF]]&lt;&gt;0,Main_L[[#This Row],[Current Price]]/Main_L[[#This Row],[Free CF]],""),"")</f>
        <v>75.691860465116278</v>
      </c>
      <c r="I20" s="1">
        <f>IF(ISNUMBER(Main_L[[#This Row],[BVPS]]),IF(Main_L[[#This Row],[BVPS]]&lt;&gt;0,Main_L[[#This Row],[Current Price]]/Main_L[[#This Row],[BVPS]],""),"")</f>
        <v>20.863782051282051</v>
      </c>
      <c r="J20">
        <v>23.7</v>
      </c>
      <c r="K20">
        <v>10.23</v>
      </c>
      <c r="L20">
        <v>1.4</v>
      </c>
      <c r="M20" s="1">
        <f>IF(ISNUMBER(Main_L[[#This Row],[EPS]]),IF(Main_L[[#This Row],[EPS]]&lt;&gt;0,Main_L[[#This Row],[Current Price]]/Main_L[[#This Row],[EPS]],""),"")</f>
        <v>94.340579710144937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2.0215522744785268</v>
      </c>
      <c r="P20" s="1">
        <f>(Main_L[[#This Row],[P/B]]-VLOOKUP(Main_L[[#This Row],[Industry]], Mean_PB_L, 2, FALSE))/(VLOOKUP(Main_L[[#This Row],[Industry]], Mean_PB_L, 3, FALSE))</f>
        <v>1.4202649069288129</v>
      </c>
      <c r="Q20" s="1">
        <f>(Main_L[[#This Row],[ROE]]-VLOOKUP(Main_L[[#This Row],[Industry]], Mean_ROE_L, 2, FALSE))/(VLOOKUP(Main_L[[#This Row],[Industry]], Mean_ROE_L, 3, FALSE))</f>
        <v>0.56760084812462175</v>
      </c>
      <c r="R20" s="1">
        <f>(Main_L[[#This Row],[ROA]]-VLOOKUP(Main_L[[#This Row],[Industry]], Mean_ROA_L, 2, FALSE))/(VLOOKUP(Main_L[[#This Row],[Industry]], Mean_ROA_L, 3, FALSE))</f>
        <v>1.1196820093540734</v>
      </c>
      <c r="S20" s="1">
        <f>(Main_L[[#This Row],[A/E]]-VLOOKUP(Main_L[[#This Row],[Industry]], Mean_AE_L, 2, FALSE))/(VLOOKUP(Main_L[[#This Row],[Industry]], Mean_AE_L, 3, FALSE))</f>
        <v>-0.93877290359127985</v>
      </c>
      <c r="T20" s="1">
        <f>(Main_L[[#This Row],[P/E]]-VLOOKUP(Main_L[[#This Row],[Industry]], Mean_PE_L, 2, FALSE))/(VLOOKUP(Main_L[[#This Row],[Industry]], Mean_PE_L, 3, FALSE))</f>
        <v>1.0299461234690566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s="67" t="s">
        <v>108</v>
      </c>
      <c r="B21" s="67" t="s">
        <v>138</v>
      </c>
      <c r="C21" s="2">
        <v>12901</v>
      </c>
      <c r="D21">
        <f>RTD("tos.rtd", , "LAST", Main_L[[#This Row],[Symbol]])</f>
        <v>163.33000000000001</v>
      </c>
      <c r="E21">
        <v>7.84</v>
      </c>
      <c r="F21">
        <v>50.92</v>
      </c>
      <c r="G21">
        <v>1.17</v>
      </c>
      <c r="H21" s="1">
        <f>IF(ISNUMBER(Main_L[[#This Row],[Free CF]]),IF(Main_L[[#This Row],[Free CF]]&lt;&gt;0,Main_L[[#This Row],[Current Price]]/Main_L[[#This Row],[Free CF]],""),"")</f>
        <v>20.832908163265309</v>
      </c>
      <c r="I21" s="1">
        <f>IF(ISNUMBER(Main_L[[#This Row],[BVPS]]),IF(Main_L[[#This Row],[BVPS]]&lt;&gt;0,Main_L[[#This Row],[Current Price]]/Main_L[[#This Row],[BVPS]],""),"")</f>
        <v>3.2075805184603299</v>
      </c>
      <c r="J21">
        <v>4.32</v>
      </c>
      <c r="K21">
        <v>1.62</v>
      </c>
      <c r="L21">
        <v>3.61</v>
      </c>
      <c r="M21" s="1">
        <f>IF(ISNUMBER(Main_L[[#This Row],[EPS]]),IF(Main_L[[#This Row],[EPS]]&lt;&gt;0,Main_L[[#This Row],[Current Price]]/Main_L[[#This Row],[EPS]],""),"")</f>
        <v>139.59829059829062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-0.69011156583458488</v>
      </c>
      <c r="P21" s="1">
        <f>(Main_L[[#This Row],[P/B]]-VLOOKUP(Main_L[[#This Row],[Industry]], Mean_PB_L, 2, FALSE))/(VLOOKUP(Main_L[[#This Row],[Industry]], Mean_PB_L, 3, FALSE))</f>
        <v>-0.71541640466425827</v>
      </c>
      <c r="Q21" s="1">
        <f>(Main_L[[#This Row],[ROE]]-VLOOKUP(Main_L[[#This Row],[Industry]], Mean_ROE_L, 2, FALSE))/(VLOOKUP(Main_L[[#This Row],[Industry]], Mean_ROE_L, 3, FALSE))</f>
        <v>-0.46981862090918836</v>
      </c>
      <c r="R21" s="1">
        <f>(Main_L[[#This Row],[ROA]]-VLOOKUP(Main_L[[#This Row],[Industry]], Mean_ROA_L, 2, FALSE))/(VLOOKUP(Main_L[[#This Row],[Industry]], Mean_ROA_L, 3, FALSE))</f>
        <v>-0.77493877686379231</v>
      </c>
      <c r="S21" s="1">
        <f>(Main_L[[#This Row],[A/E]]-VLOOKUP(Main_L[[#This Row],[Industry]], Mean_AE_L, 2, FALSE))/(VLOOKUP(Main_L[[#This Row],[Industry]], Mean_AE_L, 3, FALSE))</f>
        <v>1.4666625943063767</v>
      </c>
      <c r="T21" s="1">
        <f>(Main_L[[#This Row],[P/E]]-VLOOKUP(Main_L[[#This Row],[Industry]], Mean_PE_L, 2, FALSE))/(VLOOKUP(Main_L[[#This Row],[Industry]], Mean_PE_L, 3, FALSE))</f>
        <v>1.9003474612870543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s="67" t="s">
        <v>108</v>
      </c>
      <c r="B22" s="67" t="s">
        <v>269</v>
      </c>
      <c r="C22" s="2">
        <v>58221</v>
      </c>
      <c r="D22">
        <f>RTD("tos.rtd", , "LAST", Main_L[[#This Row],[Symbol]])</f>
        <v>15.62</v>
      </c>
      <c r="E22">
        <v>0.89</v>
      </c>
      <c r="F22">
        <v>2.56</v>
      </c>
      <c r="G22">
        <v>1.17</v>
      </c>
      <c r="H22" s="1">
        <f>IF(ISNUMBER(Main_L[[#This Row],[Free CF]]),IF(Main_L[[#This Row],[Free CF]]&lt;&gt;0,Main_L[[#This Row],[Current Price]]/Main_L[[#This Row],[Free CF]],""),"")</f>
        <v>17.550561797752806</v>
      </c>
      <c r="I22" s="1">
        <f>IF(ISNUMBER(Main_L[[#This Row],[BVPS]]),IF(Main_L[[#This Row],[BVPS]]&lt;&gt;0,Main_L[[#This Row],[Current Price]]/Main_L[[#This Row],[BVPS]],""),"")</f>
        <v>6.1015625</v>
      </c>
      <c r="J22">
        <v>55.56</v>
      </c>
      <c r="K22">
        <v>7.98</v>
      </c>
      <c r="L22">
        <v>3.83</v>
      </c>
      <c r="M22" s="1">
        <f>IF(ISNUMBER(Main_L[[#This Row],[EPS]]),IF(Main_L[[#This Row],[EPS]]&lt;&gt;0,Main_L[[#This Row],[Current Price]]/Main_L[[#This Row],[EPS]],""),"")</f>
        <v>13.350427350427351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-0.85235709873811993</v>
      </c>
      <c r="P22" s="1">
        <f>(Main_L[[#This Row],[P/B]]-VLOOKUP(Main_L[[#This Row],[Industry]], Mean_PB_L, 2, FALSE))/(VLOOKUP(Main_L[[#This Row],[Industry]], Mean_PB_L, 3, FALSE))</f>
        <v>-0.36536244642346771</v>
      </c>
      <c r="Q22" s="1">
        <f>(Main_L[[#This Row],[ROE]]-VLOOKUP(Main_L[[#This Row],[Industry]], Mean_ROE_L, 2, FALSE))/(VLOOKUP(Main_L[[#This Row],[Industry]], Mean_ROE_L, 3, FALSE))</f>
        <v>2.2730799133164274</v>
      </c>
      <c r="R22" s="1">
        <f>(Main_L[[#This Row],[ROA]]-VLOOKUP(Main_L[[#This Row],[Industry]], Mean_ROA_L, 2, FALSE))/(VLOOKUP(Main_L[[#This Row],[Industry]], Mean_ROA_L, 3, FALSE))</f>
        <v>0.62457204779888209</v>
      </c>
      <c r="S22" s="1">
        <f>(Main_L[[#This Row],[A/E]]-VLOOKUP(Main_L[[#This Row],[Industry]], Mean_AE_L, 2, FALSE))/(VLOOKUP(Main_L[[#This Row],[Industry]], Mean_AE_L, 3, FALSE))</f>
        <v>1.7061177117441528</v>
      </c>
      <c r="T22" s="1">
        <f>(Main_L[[#This Row],[P/E]]-VLOOKUP(Main_L[[#This Row],[Industry]], Mean_PE_L, 2, FALSE))/(VLOOKUP(Main_L[[#This Row],[Industry]], Mean_PE_L, 3, FALSE))</f>
        <v>-0.5276655095675159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s="67" t="s">
        <v>108</v>
      </c>
      <c r="B23" s="67" t="s">
        <v>270</v>
      </c>
      <c r="C23" s="2">
        <v>14745</v>
      </c>
      <c r="D23">
        <f>RTD("tos.rtd", , "LAST", Main_L[[#This Row],[Symbol]])</f>
        <v>18.04</v>
      </c>
      <c r="E23">
        <v>1.05</v>
      </c>
      <c r="F23">
        <v>8.15</v>
      </c>
      <c r="G23">
        <v>1</v>
      </c>
      <c r="H23" s="1">
        <f>IF(ISNUMBER(Main_L[[#This Row],[Free CF]]),IF(Main_L[[#This Row],[Free CF]]&lt;&gt;0,Main_L[[#This Row],[Current Price]]/Main_L[[#This Row],[Free CF]],""),"")</f>
        <v>17.18095238095238</v>
      </c>
      <c r="I23" s="1">
        <f>IF(ISNUMBER(Main_L[[#This Row],[BVPS]]),IF(Main_L[[#This Row],[BVPS]]&lt;&gt;0,Main_L[[#This Row],[Current Price]]/Main_L[[#This Row],[BVPS]],""),"")</f>
        <v>2.2134969325153371</v>
      </c>
      <c r="J23">
        <v>12.87</v>
      </c>
      <c r="K23">
        <v>7.53</v>
      </c>
      <c r="L23">
        <v>1.23</v>
      </c>
      <c r="M23" s="1">
        <f>IF(ISNUMBER(Main_L[[#This Row],[EPS]]),IF(Main_L[[#This Row],[EPS]]&lt;&gt;0,Main_L[[#This Row],[Current Price]]/Main_L[[#This Row],[EPS]],""),"")</f>
        <v>18.04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3" s="1">
        <f>(Main_L[[#This Row],[P/FCF]]-VLOOKUP(Main_L[[#This Row],[Industry]], Mean_PFCF_L, 2, FALSE))/(VLOOKUP(Main_L[[#This Row],[Industry]], Mean_PFCF_L, 3, FALSE))</f>
        <v>-0.87062679672765142</v>
      </c>
      <c r="P23" s="1">
        <f>(Main_L[[#This Row],[P/B]]-VLOOKUP(Main_L[[#This Row],[Industry]], Mean_PB_L, 2, FALSE))/(VLOOKUP(Main_L[[#This Row],[Industry]], Mean_PB_L, 3, FALSE))</f>
        <v>-0.83566003309801529</v>
      </c>
      <c r="Q23" s="1">
        <f>(Main_L[[#This Row],[ROE]]-VLOOKUP(Main_L[[#This Row],[Industry]], Mean_ROE_L, 2, FALSE))/(VLOOKUP(Main_L[[#This Row],[Industry]], Mean_ROE_L, 3, FALSE))</f>
        <v>-1.2133561041331013E-2</v>
      </c>
      <c r="R23" s="1">
        <f>(Main_L[[#This Row],[ROA]]-VLOOKUP(Main_L[[#This Row],[Industry]], Mean_ROA_L, 2, FALSE))/(VLOOKUP(Main_L[[#This Row],[Industry]], Mean_ROA_L, 3, FALSE))</f>
        <v>0.52555005548784373</v>
      </c>
      <c r="S23" s="1">
        <f>(Main_L[[#This Row],[A/E]]-VLOOKUP(Main_L[[#This Row],[Industry]], Mean_AE_L, 2, FALSE))/(VLOOKUP(Main_L[[#This Row],[Industry]], Mean_AE_L, 3, FALSE))</f>
        <v>-1.123806403429561</v>
      </c>
      <c r="T23" s="1">
        <f>(Main_L[[#This Row],[P/E]]-VLOOKUP(Main_L[[#This Row],[Industry]], Mean_PE_L, 2, FALSE))/(VLOOKUP(Main_L[[#This Row],[Industry]], Mean_PE_L, 3, FALSE))</f>
        <v>-0.43747512592060744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s="67" t="s">
        <v>108</v>
      </c>
      <c r="B24" s="67" t="s">
        <v>141</v>
      </c>
      <c r="C24" s="2">
        <v>13720</v>
      </c>
      <c r="D24">
        <f>RTD("tos.rtd", , "LAST", Main_L[[#This Row],[Symbol]])</f>
        <v>26.21</v>
      </c>
      <c r="E24">
        <v>1.03</v>
      </c>
      <c r="F24">
        <v>1.0900000000000001</v>
      </c>
      <c r="G24">
        <v>0.86</v>
      </c>
      <c r="H24" s="1">
        <f>IF(ISNUMBER(Main_L[[#This Row],[Free CF]]),IF(Main_L[[#This Row],[Free CF]]&lt;&gt;0,Main_L[[#This Row],[Current Price]]/Main_L[[#This Row],[Free CF]],""),"")</f>
        <v>25.446601941747574</v>
      </c>
      <c r="I24" s="1">
        <f>IF(ISNUMBER(Main_L[[#This Row],[BVPS]]),IF(Main_L[[#This Row],[BVPS]]&lt;&gt;0,Main_L[[#This Row],[Current Price]]/Main_L[[#This Row],[BVPS]],""),"")</f>
        <v>24.045871559633028</v>
      </c>
      <c r="J24">
        <v>67.78</v>
      </c>
      <c r="K24">
        <v>6.33</v>
      </c>
      <c r="L24">
        <v>16.88</v>
      </c>
      <c r="M24" s="1">
        <f>IF(ISNUMBER(Main_L[[#This Row],[EPS]]),IF(Main_L[[#This Row],[EPS]]&lt;&gt;0,Main_L[[#This Row],[Current Price]]/Main_L[[#This Row],[EPS]],""),"")</f>
        <v>30.476744186046513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-0.46205787424110167</v>
      </c>
      <c r="P24" s="1">
        <f>(Main_L[[#This Row],[P/B]]-VLOOKUP(Main_L[[#This Row],[Industry]], Mean_PB_L, 2, FALSE))/(VLOOKUP(Main_L[[#This Row],[Industry]], Mean_PB_L, 3, FALSE))</f>
        <v>1.8051681423256438</v>
      </c>
      <c r="Q24" s="1">
        <f>(Main_L[[#This Row],[ROE]]-VLOOKUP(Main_L[[#This Row],[Industry]], Mean_ROE_L, 2, FALSE))/(VLOOKUP(Main_L[[#This Row],[Industry]], Mean_ROE_L, 3, FALSE))</f>
        <v>2.927221601221131</v>
      </c>
      <c r="R24" s="1">
        <f>(Main_L[[#This Row],[ROA]]-VLOOKUP(Main_L[[#This Row],[Industry]], Mean_ROA_L, 2, FALSE))/(VLOOKUP(Main_L[[#This Row],[Industry]], Mean_ROA_L, 3, FALSE))</f>
        <v>0.26149140932507497</v>
      </c>
      <c r="S24" s="1">
        <f>(Main_L[[#This Row],[A/E]]-VLOOKUP(Main_L[[#This Row],[Industry]], Mean_AE_L, 2, FALSE))/(VLOOKUP(Main_L[[#This Row],[Industry]], Mean_AE_L, 3, FALSE))</f>
        <v>15.910159905212215</v>
      </c>
      <c r="T24" s="1">
        <f>(Main_L[[#This Row],[P/E]]-VLOOKUP(Main_L[[#This Row],[Industry]], Mean_PE_L, 2, FALSE))/(VLOOKUP(Main_L[[#This Row],[Industry]], Mean_PE_L, 3, FALSE))</f>
        <v>-0.19829027619656928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s="67" t="s">
        <v>108</v>
      </c>
      <c r="B25" s="67" t="s">
        <v>139</v>
      </c>
      <c r="C25" s="2">
        <v>25949</v>
      </c>
      <c r="D25">
        <f>RTD("tos.rtd", , "LAST", Main_L[[#This Row],[Symbol]])</f>
        <v>18.510000000000002</v>
      </c>
      <c r="E25">
        <v>0.81</v>
      </c>
      <c r="F25">
        <v>6.61</v>
      </c>
      <c r="G25">
        <v>0.84</v>
      </c>
      <c r="H25" s="1">
        <f>IF(ISNUMBER(Main_L[[#This Row],[Free CF]]),IF(Main_L[[#This Row],[Free CF]]&lt;&gt;0,Main_L[[#This Row],[Current Price]]/Main_L[[#This Row],[Free CF]],""),"")</f>
        <v>22.851851851851851</v>
      </c>
      <c r="I25" s="1">
        <f>IF(ISNUMBER(Main_L[[#This Row],[BVPS]]),IF(Main_L[[#This Row],[BVPS]]&lt;&gt;0,Main_L[[#This Row],[Current Price]]/Main_L[[#This Row],[BVPS]],""),"")</f>
        <v>2.8003025718608172</v>
      </c>
      <c r="J25">
        <v>14.66</v>
      </c>
      <c r="K25">
        <v>7.35</v>
      </c>
      <c r="L25">
        <v>1.34</v>
      </c>
      <c r="M25" s="1">
        <f>IF(ISNUMBER(Main_L[[#This Row],[EPS]]),IF(Main_L[[#This Row],[EPS]]&lt;&gt;0,Main_L[[#This Row],[Current Price]]/Main_L[[#This Row],[EPS]],""),"")</f>
        <v>22.035714285714288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5" s="1">
        <f>(Main_L[[#This Row],[P/FCF]]-VLOOKUP(Main_L[[#This Row],[Industry]], Mean_PFCF_L, 2, FALSE))/(VLOOKUP(Main_L[[#This Row],[Industry]], Mean_PFCF_L, 3, FALSE))</f>
        <v>-0.59031570087083163</v>
      </c>
      <c r="P25" s="1">
        <f>(Main_L[[#This Row],[P/B]]-VLOOKUP(Main_L[[#This Row],[Industry]], Mean_PB_L, 2, FALSE))/(VLOOKUP(Main_L[[#This Row],[Industry]], Mean_PB_L, 3, FALSE))</f>
        <v>-0.76468044923010958</v>
      </c>
      <c r="Q25" s="1">
        <f>(Main_L[[#This Row],[ROE]]-VLOOKUP(Main_L[[#This Row],[Industry]], Mean_ROE_L, 2, FALSE))/(VLOOKUP(Main_L[[#This Row],[Industry]], Mean_ROE_L, 3, FALSE))</f>
        <v>8.3685884240945613E-2</v>
      </c>
      <c r="R25" s="1">
        <f>(Main_L[[#This Row],[ROA]]-VLOOKUP(Main_L[[#This Row],[Industry]], Mean_ROA_L, 2, FALSE))/(VLOOKUP(Main_L[[#This Row],[Industry]], Mean_ROA_L, 3, FALSE))</f>
        <v>0.48594125856342829</v>
      </c>
      <c r="S25" s="1">
        <f>(Main_L[[#This Row],[A/E]]-VLOOKUP(Main_L[[#This Row],[Industry]], Mean_AE_L, 2, FALSE))/(VLOOKUP(Main_L[[#This Row],[Industry]], Mean_AE_L, 3, FALSE))</f>
        <v>-1.004078844710673</v>
      </c>
      <c r="T25" s="1">
        <f>(Main_L[[#This Row],[P/E]]-VLOOKUP(Main_L[[#This Row],[Industry]], Mean_PE_L, 2, FALSE))/(VLOOKUP(Main_L[[#This Row],[Industry]], Mean_PE_L, 3, FALSE))</f>
        <v>-0.36062910362796957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s="67" t="s">
        <v>108</v>
      </c>
      <c r="B26" s="67" t="s">
        <v>133</v>
      </c>
      <c r="C26" s="2">
        <v>21981</v>
      </c>
      <c r="D26">
        <f>RTD("tos.rtd", , "LAST", Main_L[[#This Row],[Symbol]])</f>
        <v>88.31</v>
      </c>
      <c r="E26">
        <v>1.94</v>
      </c>
      <c r="F26">
        <v>28.22</v>
      </c>
      <c r="G26">
        <v>-0.39</v>
      </c>
      <c r="H26" s="1">
        <f>IF(ISNUMBER(Main_L[[#This Row],[Free CF]]),IF(Main_L[[#This Row],[Free CF]]&lt;&gt;0,Main_L[[#This Row],[Current Price]]/Main_L[[#This Row],[Free CF]],""),"")</f>
        <v>45.520618556701031</v>
      </c>
      <c r="I26" s="1">
        <f>IF(ISNUMBER(Main_L[[#This Row],[BVPS]]),IF(Main_L[[#This Row],[BVPS]]&lt;&gt;0,Main_L[[#This Row],[Current Price]]/Main_L[[#This Row],[BVPS]],""),"")</f>
        <v>3.1293408929836999</v>
      </c>
      <c r="J26">
        <v>-0.43</v>
      </c>
      <c r="K26">
        <v>1.2</v>
      </c>
      <c r="L26">
        <v>1.89</v>
      </c>
      <c r="M26" s="1">
        <f>IF(ISNUMBER(Main_L[[#This Row],[EPS]]),IF(Main_L[[#This Row],[EPS]]&lt;&gt;0,Main_L[[#This Row],[Current Price]]/Main_L[[#This Row],[EPS]],""),"")</f>
        <v>-226.43589743589743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0.53019558122230637</v>
      </c>
      <c r="P26" s="1">
        <f>(Main_L[[#This Row],[P/B]]-VLOOKUP(Main_L[[#This Row],[Industry]], Mean_PB_L, 2, FALSE))/(VLOOKUP(Main_L[[#This Row],[Industry]], Mean_PB_L, 3, FALSE))</f>
        <v>-0.7248802129270866</v>
      </c>
      <c r="Q26" s="1">
        <f>(Main_L[[#This Row],[ROE]]-VLOOKUP(Main_L[[#This Row],[Industry]], Mean_ROE_L, 2, FALSE))/(VLOOKUP(Main_L[[#This Row],[Industry]], Mean_ROE_L, 3, FALSE))</f>
        <v>-0.72408809861355361</v>
      </c>
      <c r="R26" s="1">
        <f>(Main_L[[#This Row],[ROA]]-VLOOKUP(Main_L[[#This Row],[Industry]], Mean_ROA_L, 2, FALSE))/(VLOOKUP(Main_L[[#This Row],[Industry]], Mean_ROA_L, 3, FALSE))</f>
        <v>-0.86735930302076125</v>
      </c>
      <c r="S26" s="1">
        <f>(Main_L[[#This Row],[A/E]]-VLOOKUP(Main_L[[#This Row],[Industry]], Mean_AE_L, 2, FALSE))/(VLOOKUP(Main_L[[#This Row],[Industry]], Mean_AE_L, 3, FALSE))</f>
        <v>-0.4054410511162338</v>
      </c>
      <c r="T26" s="1">
        <f>(Main_L[[#This Row],[P/E]]-VLOOKUP(Main_L[[#This Row],[Industry]], Mean_PE_L, 2, FALSE))/(VLOOKUP(Main_L[[#This Row],[Industry]], Mean_PE_L, 3, FALSE))</f>
        <v>-5.1392628216875451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7" spans="1:26" x14ac:dyDescent="0.25">
      <c r="A27" s="67" t="s">
        <v>108</v>
      </c>
      <c r="B27" s="67" t="s">
        <v>134</v>
      </c>
      <c r="C27" s="2">
        <v>24079</v>
      </c>
      <c r="D27">
        <f>RTD("tos.rtd", , "LAST", Main_L[[#This Row],[Symbol]])</f>
        <v>97.68</v>
      </c>
      <c r="E27">
        <v>1.94</v>
      </c>
      <c r="F27">
        <v>28.22</v>
      </c>
      <c r="G27">
        <v>-0.39</v>
      </c>
      <c r="H27" s="1">
        <f>IF(ISNUMBER(Main_L[[#This Row],[Free CF]]),IF(Main_L[[#This Row],[Free CF]]&lt;&gt;0,Main_L[[#This Row],[Current Price]]/Main_L[[#This Row],[Free CF]],""),"")</f>
        <v>50.350515463917532</v>
      </c>
      <c r="I27" s="1">
        <f>IF(ISNUMBER(Main_L[[#This Row],[BVPS]]),IF(Main_L[[#This Row],[BVPS]]&lt;&gt;0,Main_L[[#This Row],[Current Price]]/Main_L[[#This Row],[BVPS]],""),"")</f>
        <v>3.4613749114103478</v>
      </c>
      <c r="J27">
        <v>-0.43</v>
      </c>
      <c r="K27">
        <v>1.2</v>
      </c>
      <c r="L27">
        <v>1.89</v>
      </c>
      <c r="M27" s="1">
        <f>IF(ISNUMBER(Main_L[[#This Row],[EPS]]),IF(Main_L[[#This Row],[EPS]]&lt;&gt;0,Main_L[[#This Row],[Current Price]]/Main_L[[#This Row],[EPS]],""),"")</f>
        <v>-250.46153846153848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0.7689361376163667</v>
      </c>
      <c r="P27" s="1">
        <f>(Main_L[[#This Row],[P/B]]-VLOOKUP(Main_L[[#This Row],[Industry]], Mean_PB_L, 2, FALSE))/(VLOOKUP(Main_L[[#This Row],[Industry]], Mean_PB_L, 3, FALSE))</f>
        <v>-0.68471761925433461</v>
      </c>
      <c r="Q27" s="1">
        <f>(Main_L[[#This Row],[ROE]]-VLOOKUP(Main_L[[#This Row],[Industry]], Mean_ROE_L, 2, FALSE))/(VLOOKUP(Main_L[[#This Row],[Industry]], Mean_ROE_L, 3, FALSE))</f>
        <v>-0.72408809861355361</v>
      </c>
      <c r="R27" s="1">
        <f>(Main_L[[#This Row],[ROA]]-VLOOKUP(Main_L[[#This Row],[Industry]], Mean_ROA_L, 2, FALSE))/(VLOOKUP(Main_L[[#This Row],[Industry]], Mean_ROA_L, 3, FALSE))</f>
        <v>-0.86735930302076125</v>
      </c>
      <c r="S27" s="1">
        <f>(Main_L[[#This Row],[A/E]]-VLOOKUP(Main_L[[#This Row],[Industry]], Mean_AE_L, 2, FALSE))/(VLOOKUP(Main_L[[#This Row],[Industry]], Mean_AE_L, 3, FALSE))</f>
        <v>-0.4054410511162338</v>
      </c>
      <c r="T27" s="1">
        <f>(Main_L[[#This Row],[P/E]]-VLOOKUP(Main_L[[#This Row],[Industry]], Mean_PE_L, 2, FALSE))/(VLOOKUP(Main_L[[#This Row],[Industry]], Mean_PE_L, 3, FALSE))</f>
        <v>-5.6013266265126891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8" spans="1:26" x14ac:dyDescent="0.25">
      <c r="A28" s="67" t="s">
        <v>108</v>
      </c>
      <c r="B28" s="67" t="s">
        <v>190</v>
      </c>
      <c r="C28" s="2">
        <v>10627</v>
      </c>
      <c r="D28">
        <f>RTD("tos.rtd", , "LAST", Main_L[[#This Row],[Symbol]])</f>
        <v>79.59</v>
      </c>
      <c r="E28">
        <v>2.09</v>
      </c>
      <c r="F28">
        <v>17.22</v>
      </c>
      <c r="G28">
        <v>-0.73</v>
      </c>
      <c r="H28" s="1">
        <f>IF(ISNUMBER(Main_L[[#This Row],[Free CF]]),IF(Main_L[[#This Row],[Free CF]]&lt;&gt;0,Main_L[[#This Row],[Current Price]]/Main_L[[#This Row],[Free CF]],""),"")</f>
        <v>38.081339712918663</v>
      </c>
      <c r="I28" s="1">
        <f>IF(ISNUMBER(Main_L[[#This Row],[BVPS]]),IF(Main_L[[#This Row],[BVPS]]&lt;&gt;0,Main_L[[#This Row],[Current Price]]/Main_L[[#This Row],[BVPS]],""),"")</f>
        <v>4.6219512195121952</v>
      </c>
      <c r="J28">
        <v>-4.34</v>
      </c>
      <c r="K28">
        <v>-2.57</v>
      </c>
      <c r="L28">
        <v>1.65</v>
      </c>
      <c r="M28" s="1">
        <f>IF(ISNUMBER(Main_L[[#This Row],[EPS]]),IF(Main_L[[#This Row],[EPS]]&lt;&gt;0,Main_L[[#This Row],[Current Price]]/Main_L[[#This Row],[EPS]],""),"")</f>
        <v>-109.02739726027399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0.16247394979752355</v>
      </c>
      <c r="P28" s="1">
        <f>(Main_L[[#This Row],[P/B]]-VLOOKUP(Main_L[[#This Row],[Industry]], Mean_PB_L, 2, FALSE))/(VLOOKUP(Main_L[[#This Row],[Industry]], Mean_PB_L, 3, FALSE))</f>
        <v>-0.54433515209211936</v>
      </c>
      <c r="Q28" s="1">
        <f>(Main_L[[#This Row],[ROE]]-VLOOKUP(Main_L[[#This Row],[Industry]], Mean_ROE_L, 2, FALSE))/(VLOOKUP(Main_L[[#This Row],[Industry]], Mean_ROE_L, 3, FALSE))</f>
        <v>-0.93339202657651532</v>
      </c>
      <c r="R28" s="1">
        <f>(Main_L[[#This Row],[ROA]]-VLOOKUP(Main_L[[#This Row],[Industry]], Mean_ROA_L, 2, FALSE))/(VLOOKUP(Main_L[[#This Row],[Industry]], Mean_ROA_L, 3, FALSE))</f>
        <v>-1.6969435497154599</v>
      </c>
      <c r="S28" s="1">
        <f>(Main_L[[#This Row],[A/E]]-VLOOKUP(Main_L[[#This Row],[Industry]], Mean_AE_L, 2, FALSE))/(VLOOKUP(Main_L[[#This Row],[Industry]], Mean_AE_L, 3, FALSE))</f>
        <v>-0.6666648155938073</v>
      </c>
      <c r="T28" s="1">
        <f>(Main_L[[#This Row],[P/E]]-VLOOKUP(Main_L[[#This Row],[Industry]], Mean_PE_L, 2, FALSE))/(VLOOKUP(Main_L[[#This Row],[Industry]], Mean_PE_L, 3, FALSE))</f>
        <v>-2.8812494662035304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9" spans="1:26" x14ac:dyDescent="0.25">
      <c r="A29" s="67" t="s">
        <v>108</v>
      </c>
      <c r="B29" s="67" t="s">
        <v>144</v>
      </c>
      <c r="C29" s="2">
        <v>58997</v>
      </c>
      <c r="D29">
        <f>RTD("tos.rtd", , "LAST", Main_L[[#This Row],[Symbol]])</f>
        <v>93.42</v>
      </c>
      <c r="E29">
        <v>1.34</v>
      </c>
      <c r="F29">
        <v>0.46</v>
      </c>
      <c r="G29">
        <v>-1.34</v>
      </c>
      <c r="H29" s="1">
        <f>IF(ISNUMBER(Main_L[[#This Row],[Free CF]]),IF(Main_L[[#This Row],[Free CF]]&lt;&gt;0,Main_L[[#This Row],[Current Price]]/Main_L[[#This Row],[Free CF]],""),"")</f>
        <v>69.71641791044776</v>
      </c>
      <c r="I29" s="1">
        <f>IF(ISNUMBER(Main_L[[#This Row],[BVPS]]),IF(Main_L[[#This Row],[BVPS]]&lt;&gt;0,Main_L[[#This Row],[Current Price]]/Main_L[[#This Row],[BVPS]],""),"")</f>
        <v>203.08695652173913</v>
      </c>
      <c r="J29">
        <v>-492.67</v>
      </c>
      <c r="K29">
        <v>-9.06</v>
      </c>
      <c r="L29">
        <v>23.99</v>
      </c>
      <c r="M29" s="1">
        <f>IF(ISNUMBER(Main_L[[#This Row],[EPS]]),IF(Main_L[[#This Row],[EPS]]&lt;&gt;0,Main_L[[#This Row],[Current Price]]/Main_L[[#This Row],[EPS]],""),"")</f>
        <v>-69.71641791044776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1.7261876926650292</v>
      </c>
      <c r="P29" s="1">
        <f>(Main_L[[#This Row],[P/B]]-VLOOKUP(Main_L[[#This Row],[Industry]], Mean_PB_L, 2, FALSE))/(VLOOKUP(Main_L[[#This Row],[Industry]], Mean_PB_L, 3, FALSE))</f>
        <v>23.461847720325913</v>
      </c>
      <c r="Q29" s="1">
        <f>(Main_L[[#This Row],[ROE]]-VLOOKUP(Main_L[[#This Row],[Industry]], Mean_ROE_L, 2, FALSE))/(VLOOKUP(Main_L[[#This Row],[Industry]], Mean_ROE_L, 3, FALSE))</f>
        <v>-27.073900247076025</v>
      </c>
      <c r="R29" s="1">
        <f>(Main_L[[#This Row],[ROA]]-VLOOKUP(Main_L[[#This Row],[Industry]], Mean_ROA_L, 2, FALSE))/(VLOOKUP(Main_L[[#This Row],[Industry]], Mean_ROA_L, 3, FALSE))</f>
        <v>-3.1250607277124338</v>
      </c>
      <c r="S29" s="1">
        <f>(Main_L[[#This Row],[A/E]]-VLOOKUP(Main_L[[#This Row],[Industry]], Mean_AE_L, 2, FALSE))/(VLOOKUP(Main_L[[#This Row],[Industry]], Mean_AE_L, 3, FALSE))</f>
        <v>23.648913927860331</v>
      </c>
      <c r="T29" s="1">
        <f>(Main_L[[#This Row],[P/E]]-VLOOKUP(Main_L[[#This Row],[Industry]], Mean_PE_L, 2, FALSE))/(VLOOKUP(Main_L[[#This Row],[Industry]], Mean_PE_L, 3, FALSE))</f>
        <v>-2.1252163318368806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s="67" t="s">
        <v>108</v>
      </c>
      <c r="B30" s="67" t="s">
        <v>140</v>
      </c>
      <c r="C30" s="2">
        <v>24667</v>
      </c>
      <c r="D30">
        <f>RTD("tos.rtd", , "LAST", Main_L[[#This Row],[Symbol]])</f>
        <v>9.5299999999999994</v>
      </c>
      <c r="E30">
        <v>1.77</v>
      </c>
      <c r="F30">
        <v>13.68</v>
      </c>
      <c r="G30">
        <v>-4.4000000000000004</v>
      </c>
      <c r="H30" s="1">
        <f>IF(ISNUMBER(Main_L[[#This Row],[Free CF]]),IF(Main_L[[#This Row],[Free CF]]&lt;&gt;0,Main_L[[#This Row],[Current Price]]/Main_L[[#This Row],[Free CF]],""),"")</f>
        <v>5.3841807909604515</v>
      </c>
      <c r="I30" s="1">
        <f>IF(ISNUMBER(Main_L[[#This Row],[BVPS]]),IF(Main_L[[#This Row],[BVPS]]&lt;&gt;0,Main_L[[#This Row],[Current Price]]/Main_L[[#This Row],[BVPS]],""),"")</f>
        <v>0.69663742690058472</v>
      </c>
      <c r="J30">
        <v>-27.28</v>
      </c>
      <c r="K30">
        <v>0.5</v>
      </c>
      <c r="L30">
        <v>3.01</v>
      </c>
      <c r="M30" s="1">
        <f>IF(ISNUMBER(Main_L[[#This Row],[EPS]]),IF(Main_L[[#This Row],[EPS]]&lt;&gt;0,Main_L[[#This Row],[Current Price]]/Main_L[[#This Row],[EPS]],""),"")</f>
        <v>-2.1659090909090906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-1.4537381689062778</v>
      </c>
      <c r="P30" s="1">
        <f>(Main_L[[#This Row],[P/B]]-VLOOKUP(Main_L[[#This Row],[Industry]], Mean_PB_L, 2, FALSE))/(VLOOKUP(Main_L[[#This Row],[Industry]], Mean_PB_L, 3, FALSE))</f>
        <v>-1.0191382570201686</v>
      </c>
      <c r="Q30" s="1">
        <f>(Main_L[[#This Row],[ROE]]-VLOOKUP(Main_L[[#This Row],[Industry]], Mean_ROE_L, 2, FALSE))/(VLOOKUP(Main_L[[#This Row],[Industry]], Mean_ROE_L, 3, FALSE))</f>
        <v>-2.1613797778477024</v>
      </c>
      <c r="R30" s="1">
        <f>(Main_L[[#This Row],[ROA]]-VLOOKUP(Main_L[[#This Row],[Industry]], Mean_ROA_L, 2, FALSE))/(VLOOKUP(Main_L[[#This Row],[Industry]], Mean_ROA_L, 3, FALSE))</f>
        <v>-1.0213935132823764</v>
      </c>
      <c r="S30" s="1">
        <f>(Main_L[[#This Row],[A/E]]-VLOOKUP(Main_L[[#This Row],[Industry]], Mean_AE_L, 2, FALSE))/(VLOOKUP(Main_L[[#This Row],[Industry]], Mean_AE_L, 3, FALSE))</f>
        <v>0.81360318311244273</v>
      </c>
      <c r="T30" s="1">
        <f>(Main_L[[#This Row],[P/E]]-VLOOKUP(Main_L[[#This Row],[Industry]], Mean_PE_L, 2, FALSE))/(VLOOKUP(Main_L[[#This Row],[Industry]], Mean_PE_L, 3, FALSE))</f>
        <v>-0.82607742063283807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s="67" t="s">
        <v>108</v>
      </c>
      <c r="B31" s="67" t="s">
        <v>146</v>
      </c>
      <c r="C31" s="2">
        <v>41384</v>
      </c>
      <c r="D31">
        <f>RTD("tos.rtd", , "LAST", Main_L[[#This Row],[Symbol]])</f>
        <v>233.5</v>
      </c>
      <c r="E31">
        <v>-1.23</v>
      </c>
      <c r="F31">
        <v>12.07</v>
      </c>
      <c r="G31">
        <v>-25.58</v>
      </c>
      <c r="H31" s="1">
        <f>IF(ISNUMBER(Main_L[[#This Row],[Free CF]]),IF(Main_L[[#This Row],[Free CF]]&lt;&gt;0,Main_L[[#This Row],[Current Price]]/Main_L[[#This Row],[Free CF]],""),"")</f>
        <v>-189.83739837398375</v>
      </c>
      <c r="I31" s="1">
        <f>IF(ISNUMBER(Main_L[[#This Row],[BVPS]]),IF(Main_L[[#This Row],[BVPS]]&lt;&gt;0,Main_L[[#This Row],[Current Price]]/Main_L[[#This Row],[BVPS]],""),"")</f>
        <v>19.345484672742337</v>
      </c>
      <c r="J31">
        <v>-114.76</v>
      </c>
      <c r="K31">
        <v>-2.64</v>
      </c>
      <c r="L31">
        <v>4.29</v>
      </c>
      <c r="M31" s="1">
        <f>IF(ISNUMBER(Main_L[[#This Row],[EPS]]),IF(Main_L[[#This Row],[EPS]]&lt;&gt;0,Main_L[[#This Row],[Current Price]]/Main_L[[#This Row],[EPS]],""),"")</f>
        <v>-9.1282251759186863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-11.103490394534207</v>
      </c>
      <c r="P31" s="1">
        <f>(Main_L[[#This Row],[P/B]]-VLOOKUP(Main_L[[#This Row],[Industry]], Mean_PB_L, 2, FALSE))/(VLOOKUP(Main_L[[#This Row],[Industry]], Mean_PB_L, 3, FALSE))</f>
        <v>1.2366127589421558</v>
      </c>
      <c r="Q31" s="1">
        <f>(Main_L[[#This Row],[ROE]]-VLOOKUP(Main_L[[#This Row],[Industry]], Mean_ROE_L, 2, FALSE))/(VLOOKUP(Main_L[[#This Row],[Industry]], Mean_ROE_L, 3, FALSE))</f>
        <v>-6.8442206009167279</v>
      </c>
      <c r="R31" s="1">
        <f>(Main_L[[#This Row],[ROA]]-VLOOKUP(Main_L[[#This Row],[Industry]], Mean_ROA_L, 2, FALSE))/(VLOOKUP(Main_L[[#This Row],[Industry]], Mean_ROA_L, 3, FALSE))</f>
        <v>-1.7123469707416215</v>
      </c>
      <c r="S31" s="1">
        <f>(Main_L[[#This Row],[A/E]]-VLOOKUP(Main_L[[#This Row],[Industry]], Mean_AE_L, 2, FALSE))/(VLOOKUP(Main_L[[#This Row],[Industry]], Mean_AE_L, 3, FALSE))</f>
        <v>2.2067965936595022</v>
      </c>
      <c r="T31" s="1">
        <f>(Main_L[[#This Row],[P/E]]-VLOOKUP(Main_L[[#This Row],[Industry]], Mean_PE_L, 2, FALSE))/(VLOOKUP(Main_L[[#This Row],[Industry]], Mean_PE_L, 3, FALSE))</f>
        <v>-0.95997745922916511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s="67" t="s">
        <v>109</v>
      </c>
      <c r="B32" s="67" t="s">
        <v>150</v>
      </c>
      <c r="C32" s="2">
        <v>1628002</v>
      </c>
      <c r="D32">
        <f>RTD("tos.rtd", , "LAST", Main_L[[#This Row],[Symbol]])</f>
        <v>694.06</v>
      </c>
      <c r="E32">
        <v>20.68</v>
      </c>
      <c r="F32">
        <v>73.34</v>
      </c>
      <c r="G32">
        <v>25.59</v>
      </c>
      <c r="H32" s="1">
        <f>IF(ISNUMBER(Main_L[[#This Row],[Free CF]]),IF(Main_L[[#This Row],[Free CF]]&lt;&gt;0,Main_L[[#This Row],[Current Price]]/Main_L[[#This Row],[Free CF]],""),"")</f>
        <v>33.561895551257251</v>
      </c>
      <c r="I32" s="1">
        <f>IF(ISNUMBER(Main_L[[#This Row],[BVPS]]),IF(Main_L[[#This Row],[BVPS]]&lt;&gt;0,Main_L[[#This Row],[Current Price]]/Main_L[[#This Row],[BVPS]],""),"")</f>
        <v>9.4635942187073887</v>
      </c>
      <c r="J32">
        <v>39.840000000000003</v>
      </c>
      <c r="K32">
        <v>17.88</v>
      </c>
      <c r="L32">
        <v>1.51</v>
      </c>
      <c r="M32" s="1">
        <f>IF(ISNUMBER(Main_L[[#This Row],[EPS]]),IF(Main_L[[#This Row],[EPS]]&lt;&gt;0,Main_L[[#This Row],[Current Price]]/Main_L[[#This Row],[EPS]],""),"")</f>
        <v>27.122313403673306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0.58698217202171687</v>
      </c>
      <c r="P32" s="1">
        <f>(Main_L[[#This Row],[P/B]]-VLOOKUP(Main_L[[#This Row],[Industry]], Mean_PB_L, 2, FALSE))/(VLOOKUP(Main_L[[#This Row],[Industry]], Mean_PB_L, 3, FALSE))</f>
        <v>5.0099424311506819</v>
      </c>
      <c r="Q32" s="1">
        <f>(Main_L[[#This Row],[ROE]]-VLOOKUP(Main_L[[#This Row],[Industry]], Mean_ROE_L, 2, FALSE))/(VLOOKUP(Main_L[[#This Row],[Industry]], Mean_ROE_L, 3, FALSE))</f>
        <v>0.77449225711372049</v>
      </c>
      <c r="R32" s="1">
        <f>(Main_L[[#This Row],[ROA]]-VLOOKUP(Main_L[[#This Row],[Industry]], Mean_ROA_L, 2, FALSE))/(VLOOKUP(Main_L[[#This Row],[Industry]], Mean_ROA_L, 3, FALSE))</f>
        <v>1.0938522862002593</v>
      </c>
      <c r="S32" s="1">
        <f>(Main_L[[#This Row],[A/E]]-VLOOKUP(Main_L[[#This Row],[Industry]], Mean_AE_L, 2, FALSE))/(VLOOKUP(Main_L[[#This Row],[Industry]], Mean_AE_L, 3, FALSE))</f>
        <v>0.69726035793335972</v>
      </c>
      <c r="T32" s="1">
        <f>(Main_L[[#This Row],[P/E]]-VLOOKUP(Main_L[[#This Row],[Industry]], Mean_PE_L, 2, FALSE))/(VLOOKUP(Main_L[[#This Row],[Industry]], Mean_PE_L, 3, FALSE))</f>
        <v>1.6583412331373784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s="67" t="s">
        <v>109</v>
      </c>
      <c r="B33" s="67" t="s">
        <v>147</v>
      </c>
      <c r="C33" s="2">
        <v>28155</v>
      </c>
      <c r="D33">
        <f>RTD("tos.rtd", , "LAST", Main_L[[#This Row],[Symbol]])</f>
        <v>88.66</v>
      </c>
      <c r="E33">
        <v>-0.04</v>
      </c>
      <c r="F33">
        <v>108.05</v>
      </c>
      <c r="G33">
        <v>10.01</v>
      </c>
      <c r="H33" s="1">
        <f>IF(ISNUMBER(Main_L[[#This Row],[Free CF]]),IF(Main_L[[#This Row],[Free CF]]&lt;&gt;0,Main_L[[#This Row],[Current Price]]/Main_L[[#This Row],[Free CF]],""),"")</f>
        <v>-2216.5</v>
      </c>
      <c r="I33" s="1">
        <f>IF(ISNUMBER(Main_L[[#This Row],[BVPS]]),IF(Main_L[[#This Row],[BVPS]]&lt;&gt;0,Main_L[[#This Row],[Current Price]]/Main_L[[#This Row],[BVPS]],""),"")</f>
        <v>0.82054604349838034</v>
      </c>
      <c r="J33">
        <v>9.3699999999999992</v>
      </c>
      <c r="K33">
        <v>2.93</v>
      </c>
      <c r="L33">
        <v>1.68</v>
      </c>
      <c r="M33" s="1">
        <f>IF(ISNUMBER(Main_L[[#This Row],[EPS]]),IF(Main_L[[#This Row],[EPS]]&lt;&gt;0,Main_L[[#This Row],[Current Price]]/Main_L[[#This Row],[EPS]],""),"")</f>
        <v>8.8571428571428577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-171.68539503950876</v>
      </c>
      <c r="P33" s="1">
        <f>(Main_L[[#This Row],[P/B]]-VLOOKUP(Main_L[[#This Row],[Industry]], Mean_PB_L, 2, FALSE))/(VLOOKUP(Main_L[[#This Row],[Industry]], Mean_PB_L, 3, FALSE))</f>
        <v>-6.2044434025939026</v>
      </c>
      <c r="Q33" s="1">
        <f>(Main_L[[#This Row],[ROE]]-VLOOKUP(Main_L[[#This Row],[Industry]], Mean_ROE_L, 2, FALSE))/(VLOOKUP(Main_L[[#This Row],[Industry]], Mean_ROE_L, 3, FALSE))</f>
        <v>-0.6596964907308035</v>
      </c>
      <c r="R33" s="1">
        <f>(Main_L[[#This Row],[ROA]]-VLOOKUP(Main_L[[#This Row],[Industry]], Mean_ROA_L, 2, FALSE))/(VLOOKUP(Main_L[[#This Row],[Industry]], Mean_ROA_L, 3, FALSE))</f>
        <v>-0.68839311351207866</v>
      </c>
      <c r="S33" s="1">
        <f>(Main_L[[#This Row],[A/E]]-VLOOKUP(Main_L[[#This Row],[Industry]], Mean_AE_L, 2, FALSE))/(VLOOKUP(Main_L[[#This Row],[Industry]], Mean_AE_L, 3, FALSE))</f>
        <v>1.5894537191599154</v>
      </c>
      <c r="T33" s="1">
        <f>(Main_L[[#This Row],[P/E]]-VLOOKUP(Main_L[[#This Row],[Industry]], Mean_PE_L, 2, FALSE))/(VLOOKUP(Main_L[[#This Row],[Industry]], Mean_PE_L, 3, FALSE))</f>
        <v>-0.82415240535569778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s="67" t="s">
        <v>109</v>
      </c>
      <c r="B34" s="67" t="s">
        <v>148</v>
      </c>
      <c r="C34" s="2">
        <v>2097492</v>
      </c>
      <c r="D34">
        <f>RTD("tos.rtd", , "LAST", Main_L[[#This Row],[Symbol]])</f>
        <v>177.63</v>
      </c>
      <c r="E34">
        <v>6.11</v>
      </c>
      <c r="F34">
        <v>28.41</v>
      </c>
      <c r="G34">
        <v>8.9600000000000009</v>
      </c>
      <c r="H34" s="1">
        <f>IF(ISNUMBER(Main_L[[#This Row],[Free CF]]),IF(Main_L[[#This Row],[Free CF]]&lt;&gt;0,Main_L[[#This Row],[Current Price]]/Main_L[[#This Row],[Free CF]],""),"")</f>
        <v>29.072013093289687</v>
      </c>
      <c r="I34" s="1">
        <f>IF(ISNUMBER(Main_L[[#This Row],[BVPS]]),IF(Main_L[[#This Row],[BVPS]]&lt;&gt;0,Main_L[[#This Row],[Current Price]]/Main_L[[#This Row],[BVPS]],""),"")</f>
        <v>6.2523759239704324</v>
      </c>
      <c r="J34">
        <v>34.79</v>
      </c>
      <c r="K34">
        <v>16.899999999999999</v>
      </c>
      <c r="L34">
        <v>1.38</v>
      </c>
      <c r="M34" s="1">
        <f>IF(ISNUMBER(Main_L[[#This Row],[EPS]]),IF(Main_L[[#This Row],[EPS]]&lt;&gt;0,Main_L[[#This Row],[Current Price]]/Main_L[[#This Row],[EPS]],""),"")</f>
        <v>19.824776785714285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0.24322152883064532</v>
      </c>
      <c r="P34" s="1">
        <f>(Main_L[[#This Row],[P/B]]-VLOOKUP(Main_L[[#This Row],[Industry]], Mean_PB_L, 2, FALSE))/(VLOOKUP(Main_L[[#This Row],[Industry]], Mean_PB_L, 3, FALSE))</f>
        <v>0.84337524055548241</v>
      </c>
      <c r="Q34" s="1">
        <f>(Main_L[[#This Row],[ROE]]-VLOOKUP(Main_L[[#This Row],[Industry]], Mean_ROE_L, 2, FALSE))/(VLOOKUP(Main_L[[#This Row],[Industry]], Mean_ROE_L, 3, FALSE))</f>
        <v>0.53679441738235023</v>
      </c>
      <c r="R34" s="1">
        <f>(Main_L[[#This Row],[ROA]]-VLOOKUP(Main_L[[#This Row],[Industry]], Mean_ROA_L, 2, FALSE))/(VLOOKUP(Main_L[[#This Row],[Industry]], Mean_ROA_L, 3, FALSE))</f>
        <v>0.97702282187128997</v>
      </c>
      <c r="S34" s="1">
        <f>(Main_L[[#This Row],[A/E]]-VLOOKUP(Main_L[[#This Row],[Industry]], Mean_AE_L, 2, FALSE))/(VLOOKUP(Main_L[[#This Row],[Industry]], Mean_AE_L, 3, FALSE))</f>
        <v>1.4994846407169188E-2</v>
      </c>
      <c r="T34" s="1">
        <f>(Main_L[[#This Row],[P/E]]-VLOOKUP(Main_L[[#This Row],[Industry]], Mean_PE_L, 2, FALSE))/(VLOOKUP(Main_L[[#This Row],[Industry]], Mean_PE_L, 3, FALSE))</f>
        <v>0.66650334229464636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s="67" t="s">
        <v>109</v>
      </c>
      <c r="B35" s="67" t="s">
        <v>149</v>
      </c>
      <c r="C35" s="2">
        <v>2084022</v>
      </c>
      <c r="D35">
        <f>RTD("tos.rtd", , "LAST", Main_L[[#This Row],[Symbol]])</f>
        <v>176.09</v>
      </c>
      <c r="E35">
        <v>6.11</v>
      </c>
      <c r="F35">
        <v>28.41</v>
      </c>
      <c r="G35">
        <v>8.9600000000000009</v>
      </c>
      <c r="H35" s="1">
        <f>IF(ISNUMBER(Main_L[[#This Row],[Free CF]]),IF(Main_L[[#This Row],[Free CF]]&lt;&gt;0,Main_L[[#This Row],[Current Price]]/Main_L[[#This Row],[Free CF]],""),"")</f>
        <v>28.819967266775777</v>
      </c>
      <c r="I35" s="1">
        <f>IF(ISNUMBER(Main_L[[#This Row],[BVPS]]),IF(Main_L[[#This Row],[BVPS]]&lt;&gt;0,Main_L[[#This Row],[Current Price]]/Main_L[[#This Row],[BVPS]],""),"")</f>
        <v>6.1981696585709258</v>
      </c>
      <c r="J35">
        <v>34.79</v>
      </c>
      <c r="K35">
        <v>16.899999999999999</v>
      </c>
      <c r="L35">
        <v>1.38</v>
      </c>
      <c r="M35" s="1">
        <f>IF(ISNUMBER(Main_L[[#This Row],[EPS]]),IF(Main_L[[#This Row],[EPS]]&lt;&gt;0,Main_L[[#This Row],[Current Price]]/Main_L[[#This Row],[EPS]],""),"")</f>
        <v>19.652901785714285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0.22392404471003249</v>
      </c>
      <c r="P35" s="1">
        <f>(Main_L[[#This Row],[P/B]]-VLOOKUP(Main_L[[#This Row],[Industry]], Mean_PB_L, 2, FALSE))/(VLOOKUP(Main_L[[#This Row],[Industry]], Mean_PB_L, 3, FALSE))</f>
        <v>0.77304241786683348</v>
      </c>
      <c r="Q35" s="1">
        <f>(Main_L[[#This Row],[ROE]]-VLOOKUP(Main_L[[#This Row],[Industry]], Mean_ROE_L, 2, FALSE))/(VLOOKUP(Main_L[[#This Row],[Industry]], Mean_ROE_L, 3, FALSE))</f>
        <v>0.53679441738235023</v>
      </c>
      <c r="R35" s="1">
        <f>(Main_L[[#This Row],[ROA]]-VLOOKUP(Main_L[[#This Row],[Industry]], Mean_ROA_L, 2, FALSE))/(VLOOKUP(Main_L[[#This Row],[Industry]], Mean_ROA_L, 3, FALSE))</f>
        <v>0.97702282187128997</v>
      </c>
      <c r="S35" s="1">
        <f>(Main_L[[#This Row],[A/E]]-VLOOKUP(Main_L[[#This Row],[Industry]], Mean_AE_L, 2, FALSE))/(VLOOKUP(Main_L[[#This Row],[Industry]], Mean_AE_L, 3, FALSE))</f>
        <v>1.4994846407169188E-2</v>
      </c>
      <c r="T35" s="1">
        <f>(Main_L[[#This Row],[P/E]]-VLOOKUP(Main_L[[#This Row],[Industry]], Mean_PE_L, 2, FALSE))/(VLOOKUP(Main_L[[#This Row],[Industry]], Mean_PE_L, 3, FALSE))</f>
        <v>0.64314311179315531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s="67" t="s">
        <v>109</v>
      </c>
      <c r="B36" s="67" t="s">
        <v>267</v>
      </c>
      <c r="C36" s="2">
        <v>21704</v>
      </c>
      <c r="D36">
        <f>RTD("tos.rtd", , "LAST", Main_L[[#This Row],[Symbol]])</f>
        <v>38.28</v>
      </c>
      <c r="E36">
        <v>2.39</v>
      </c>
      <c r="F36">
        <v>8.64</v>
      </c>
      <c r="G36">
        <v>2.89</v>
      </c>
      <c r="H36" s="1">
        <f>IF(ISNUMBER(Main_L[[#This Row],[Free CF]]),IF(Main_L[[#This Row],[Free CF]]&lt;&gt;0,Main_L[[#This Row],[Current Price]]/Main_L[[#This Row],[Free CF]],""),"")</f>
        <v>16.01673640167364</v>
      </c>
      <c r="I36" s="1">
        <f>IF(ISNUMBER(Main_L[[#This Row],[BVPS]]),IF(Main_L[[#This Row],[BVPS]]&lt;&gt;0,Main_L[[#This Row],[Current Price]]/Main_L[[#This Row],[BVPS]],""),"")</f>
        <v>4.4305555555555554</v>
      </c>
      <c r="J36">
        <v>35.68</v>
      </c>
      <c r="K36">
        <v>18.04</v>
      </c>
      <c r="L36">
        <v>1.46</v>
      </c>
      <c r="M36" s="1">
        <f>IF(ISNUMBER(Main_L[[#This Row],[EPS]]),IF(Main_L[[#This Row],[EPS]]&lt;&gt;0,Main_L[[#This Row],[Current Price]]/Main_L[[#This Row],[EPS]],""),"")</f>
        <v>13.245674740484429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-0.75633477460516241</v>
      </c>
      <c r="P36" s="1">
        <f>(Main_L[[#This Row],[P/B]]-VLOOKUP(Main_L[[#This Row],[Industry]], Mean_PB_L, 2, FALSE))/(VLOOKUP(Main_L[[#This Row],[Industry]], Mean_PB_L, 3, FALSE))</f>
        <v>-1.5204431851916445</v>
      </c>
      <c r="Q36" s="1">
        <f>(Main_L[[#This Row],[ROE]]-VLOOKUP(Main_L[[#This Row],[Industry]], Mean_ROE_L, 2, FALSE))/(VLOOKUP(Main_L[[#This Row],[Industry]], Mean_ROE_L, 3, FALSE))</f>
        <v>0.57868571983005712</v>
      </c>
      <c r="R36" s="1">
        <f>(Main_L[[#This Row],[ROA]]-VLOOKUP(Main_L[[#This Row],[Industry]], Mean_ROA_L, 2, FALSE))/(VLOOKUP(Main_L[[#This Row],[Industry]], Mean_ROA_L, 3, FALSE))</f>
        <v>1.1129264844580502</v>
      </c>
      <c r="S36" s="1">
        <f>(Main_L[[#This Row],[A/E]]-VLOOKUP(Main_L[[#This Row],[Industry]], Mean_AE_L, 2, FALSE))/(VLOOKUP(Main_L[[#This Row],[Industry]], Mean_AE_L, 3, FALSE))</f>
        <v>0.43485054580790183</v>
      </c>
      <c r="T36" s="1">
        <f>(Main_L[[#This Row],[P/E]]-VLOOKUP(Main_L[[#This Row],[Industry]], Mean_PE_L, 2, FALSE))/(VLOOKUP(Main_L[[#This Row],[Industry]], Mean_PE_L, 3, FALSE))</f>
        <v>-0.227689182909141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s="67" t="s">
        <v>109</v>
      </c>
      <c r="B37" s="67" t="s">
        <v>151</v>
      </c>
      <c r="C37" s="2">
        <v>21050</v>
      </c>
      <c r="D37">
        <f>RTD("tos.rtd", , "LAST", Main_L[[#This Row],[Symbol]])</f>
        <v>34.14</v>
      </c>
      <c r="E37">
        <v>1.4</v>
      </c>
      <c r="F37">
        <v>6.93</v>
      </c>
      <c r="G37">
        <v>2.71</v>
      </c>
      <c r="H37" s="1">
        <f>IF(ISNUMBER(Main_L[[#This Row],[Free CF]]),IF(Main_L[[#This Row],[Free CF]]&lt;&gt;0,Main_L[[#This Row],[Current Price]]/Main_L[[#This Row],[Free CF]],""),"")</f>
        <v>24.385714285714286</v>
      </c>
      <c r="I37" s="1">
        <f>IF(ISNUMBER(Main_L[[#This Row],[BVPS]]),IF(Main_L[[#This Row],[BVPS]]&lt;&gt;0,Main_L[[#This Row],[Current Price]]/Main_L[[#This Row],[BVPS]],""),"")</f>
        <v>4.9264069264069263</v>
      </c>
      <c r="J37">
        <v>48.41</v>
      </c>
      <c r="K37">
        <v>3.26</v>
      </c>
      <c r="L37">
        <v>1.1299999999999999</v>
      </c>
      <c r="M37" s="1">
        <f>IF(ISNUMBER(Main_L[[#This Row],[EPS]]),IF(Main_L[[#This Row],[EPS]]&lt;&gt;0,Main_L[[#This Row],[Current Price]]/Main_L[[#This Row],[EPS]],""),"")</f>
        <v>12.597785977859779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-0.11557741687870567</v>
      </c>
      <c r="P37" s="1">
        <f>(Main_L[[#This Row],[P/B]]-VLOOKUP(Main_L[[#This Row],[Industry]], Mean_PB_L, 2, FALSE))/(VLOOKUP(Main_L[[#This Row],[Industry]], Mean_PB_L, 3, FALSE))</f>
        <v>-0.87707426300187807</v>
      </c>
      <c r="Q37" s="1">
        <f>(Main_L[[#This Row],[ROE]]-VLOOKUP(Main_L[[#This Row],[Industry]], Mean_ROE_L, 2, FALSE))/(VLOOKUP(Main_L[[#This Row],[Industry]], Mean_ROE_L, 3, FALSE))</f>
        <v>1.1778725514697284</v>
      </c>
      <c r="R37" s="1">
        <f>(Main_L[[#This Row],[ROA]]-VLOOKUP(Main_L[[#This Row],[Industry]], Mean_ROA_L, 2, FALSE))/(VLOOKUP(Main_L[[#This Row],[Industry]], Mean_ROA_L, 3, FALSE))</f>
        <v>-0.64905257960538498</v>
      </c>
      <c r="S37" s="1">
        <f>(Main_L[[#This Row],[A/E]]-VLOOKUP(Main_L[[#This Row],[Industry]], Mean_AE_L, 2, FALSE))/(VLOOKUP(Main_L[[#This Row],[Industry]], Mean_AE_L, 3, FALSE))</f>
        <v>-1.2970542142201191</v>
      </c>
      <c r="T37" s="1">
        <f>(Main_L[[#This Row],[P/E]]-VLOOKUP(Main_L[[#This Row],[Industry]], Mean_PE_L, 2, FALSE))/(VLOOKUP(Main_L[[#This Row],[Industry]], Mean_PE_L, 3, FALSE))</f>
        <v>-0.31574638049016018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s="67" t="s">
        <v>109</v>
      </c>
      <c r="B38" s="67" t="s">
        <v>152</v>
      </c>
      <c r="C38" s="2">
        <v>20731</v>
      </c>
      <c r="D38">
        <f>RTD("tos.rtd", , "LAST", Main_L[[#This Row],[Symbol]])</f>
        <v>117.53</v>
      </c>
      <c r="E38">
        <v>1.81</v>
      </c>
      <c r="F38">
        <v>12.03</v>
      </c>
      <c r="G38">
        <v>0.66</v>
      </c>
      <c r="H38" s="1">
        <f>IF(ISNUMBER(Main_L[[#This Row],[Free CF]]),IF(Main_L[[#This Row],[Free CF]]&lt;&gt;0,Main_L[[#This Row],[Current Price]]/Main_L[[#This Row],[Free CF]],""),"")</f>
        <v>64.933701657458556</v>
      </c>
      <c r="I38" s="1">
        <f>IF(ISNUMBER(Main_L[[#This Row],[BVPS]]),IF(Main_L[[#This Row],[BVPS]]&lt;&gt;0,Main_L[[#This Row],[Current Price]]/Main_L[[#This Row],[BVPS]],""),"")</f>
        <v>9.769742310889443</v>
      </c>
      <c r="J38">
        <v>5.77</v>
      </c>
      <c r="K38">
        <v>0.91</v>
      </c>
      <c r="L38">
        <v>1.1000000000000001</v>
      </c>
      <c r="M38" s="1">
        <f>IF(ISNUMBER(Main_L[[#This Row],[EPS]]),IF(Main_L[[#This Row],[EPS]]&lt;&gt;0,Main_L[[#This Row],[Current Price]]/Main_L[[#This Row],[EPS]],""),"")</f>
        <v>178.07575757575756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2.9889141482131647</v>
      </c>
      <c r="P38" s="1">
        <f>(Main_L[[#This Row],[P/B]]-VLOOKUP(Main_L[[#This Row],[Industry]], Mean_PB_L, 2, FALSE))/(VLOOKUP(Main_L[[#This Row],[Industry]], Mean_PB_L, 3, FALSE))</f>
        <v>5.4071706726687658</v>
      </c>
      <c r="Q38" s="1">
        <f>(Main_L[[#This Row],[ROE]]-VLOOKUP(Main_L[[#This Row],[Industry]], Mean_ROE_L, 2, FALSE))/(VLOOKUP(Main_L[[#This Row],[Industry]], Mean_ROE_L, 3, FALSE))</f>
        <v>-0.82914445568781969</v>
      </c>
      <c r="R38" s="1">
        <f>(Main_L[[#This Row],[ROA]]-VLOOKUP(Main_L[[#This Row],[Industry]], Mean_ROA_L, 2, FALSE))/(VLOOKUP(Main_L[[#This Row],[Industry]], Mean_ROA_L, 3, FALSE))</f>
        <v>-0.92920486651668888</v>
      </c>
      <c r="S38" s="1">
        <f>(Main_L[[#This Row],[A/E]]-VLOOKUP(Main_L[[#This Row],[Industry]], Mean_AE_L, 2, FALSE))/(VLOOKUP(Main_L[[#This Row],[Industry]], Mean_AE_L, 3, FALSE))</f>
        <v>-1.4545001014953927</v>
      </c>
      <c r="T38" s="1">
        <f>(Main_L[[#This Row],[P/E]]-VLOOKUP(Main_L[[#This Row],[Industry]], Mean_PE_L, 2, FALSE))/(VLOOKUP(Main_L[[#This Row],[Industry]], Mean_PE_L, 3, FALSE))</f>
        <v>22.175037965377996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9" spans="1:26" x14ac:dyDescent="0.25">
      <c r="A39" s="67" t="s">
        <v>109</v>
      </c>
      <c r="B39" s="67" t="s">
        <v>271</v>
      </c>
      <c r="C39" s="2">
        <v>27582</v>
      </c>
      <c r="D39">
        <f>RTD("tos.rtd", , "LAST", Main_L[[#This Row],[Symbol]])</f>
        <v>1.51</v>
      </c>
      <c r="E39">
        <v>0.69</v>
      </c>
      <c r="F39">
        <v>1.98</v>
      </c>
      <c r="G39">
        <v>0.48</v>
      </c>
      <c r="H39" s="1">
        <f>IF(ISNUMBER(Main_L[[#This Row],[Free CF]]),IF(Main_L[[#This Row],[Free CF]]&lt;&gt;0,Main_L[[#This Row],[Current Price]]/Main_L[[#This Row],[Free CF]],""),"")</f>
        <v>2.1884057971014497</v>
      </c>
      <c r="I39" s="1">
        <f>IF(ISNUMBER(Main_L[[#This Row],[BVPS]]),IF(Main_L[[#This Row],[BVPS]]&lt;&gt;0,Main_L[[#This Row],[Current Price]]/Main_L[[#This Row],[BVPS]],""),"")</f>
        <v>0.76262626262626265</v>
      </c>
      <c r="J39">
        <v>25.78</v>
      </c>
      <c r="K39">
        <v>6.99</v>
      </c>
      <c r="L39">
        <v>2.16</v>
      </c>
      <c r="M39" s="1">
        <f>IF(ISNUMBER(Main_L[[#This Row],[EPS]]),IF(Main_L[[#This Row],[EPS]]&lt;&gt;0,Main_L[[#This Row],[Current Price]]/Main_L[[#This Row],[EPS]],""),"")</f>
        <v>3.1458333333333335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-1.8150787099727588</v>
      </c>
      <c r="P39" s="1">
        <f>(Main_L[[#This Row],[P/B]]-VLOOKUP(Main_L[[#This Row],[Industry]], Mean_PB_L, 2, FALSE))/(VLOOKUP(Main_L[[#This Row],[Industry]], Mean_PB_L, 3, FALSE))</f>
        <v>-6.2795945248529375</v>
      </c>
      <c r="Q39" s="1">
        <f>(Main_L[[#This Row],[ROE]]-VLOOKUP(Main_L[[#This Row],[Industry]], Mean_ROE_L, 2, FALSE))/(VLOOKUP(Main_L[[#This Row],[Industry]], Mean_ROE_L, 3, FALSE))</f>
        <v>0.11270381619826242</v>
      </c>
      <c r="R39" s="1">
        <f>(Main_L[[#This Row],[ROA]]-VLOOKUP(Main_L[[#This Row],[Industry]], Mean_ROA_L, 2, FALSE))/(VLOOKUP(Main_L[[#This Row],[Industry]], Mean_ROA_L, 3, FALSE))</f>
        <v>-0.20438533272063431</v>
      </c>
      <c r="S39" s="1">
        <f>(Main_L[[#This Row],[A/E]]-VLOOKUP(Main_L[[#This Row],[Industry]], Mean_AE_L, 2, FALSE))/(VLOOKUP(Main_L[[#This Row],[Industry]], Mean_AE_L, 3, FALSE))</f>
        <v>4.1085879155643097</v>
      </c>
      <c r="T39" s="1">
        <f>(Main_L[[#This Row],[P/E]]-VLOOKUP(Main_L[[#This Row],[Industry]], Mean_PE_L, 2, FALSE))/(VLOOKUP(Main_L[[#This Row],[Industry]], Mean_PE_L, 3, FALSE))</f>
        <v>-1.6003997184701813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s="67" t="s">
        <v>109</v>
      </c>
      <c r="B40" s="67" t="s">
        <v>153</v>
      </c>
      <c r="C40" s="2">
        <v>13787</v>
      </c>
      <c r="D40">
        <f>RTD("tos.rtd", , "LAST", Main_L[[#This Row],[Symbol]])</f>
        <v>8.5</v>
      </c>
      <c r="E40">
        <v>0.18</v>
      </c>
      <c r="F40">
        <v>1.37</v>
      </c>
      <c r="G40">
        <v>-0.32</v>
      </c>
      <c r="H40" s="1">
        <f>IF(ISNUMBER(Main_L[[#This Row],[Free CF]]),IF(Main_L[[#This Row],[Free CF]]&lt;&gt;0,Main_L[[#This Row],[Current Price]]/Main_L[[#This Row],[Free CF]],""),"")</f>
        <v>47.222222222222221</v>
      </c>
      <c r="I40" s="1">
        <f>IF(ISNUMBER(Main_L[[#This Row],[BVPS]]),IF(Main_L[[#This Row],[BVPS]]&lt;&gt;0,Main_L[[#This Row],[Current Price]]/Main_L[[#This Row],[BVPS]],""),"")</f>
        <v>6.2043795620437949</v>
      </c>
      <c r="J40">
        <v>-23.96</v>
      </c>
      <c r="K40">
        <v>-5.47</v>
      </c>
      <c r="L40">
        <v>3.28</v>
      </c>
      <c r="M40" s="1">
        <f>IF(ISNUMBER(Main_L[[#This Row],[EPS]]),IF(Main_L[[#This Row],[EPS]]&lt;&gt;0,Main_L[[#This Row],[Current Price]]/Main_L[[#This Row],[EPS]],""),"")</f>
        <v>-26.5625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1.632863155894233</v>
      </c>
      <c r="P40" s="1">
        <f>(Main_L[[#This Row],[P/B]]-VLOOKUP(Main_L[[#This Row],[Industry]], Mean_PB_L, 2, FALSE))/(VLOOKUP(Main_L[[#This Row],[Industry]], Mean_PB_L, 3, FALSE))</f>
        <v>0.78109978977120564</v>
      </c>
      <c r="Q40" s="1">
        <f>(Main_L[[#This Row],[ROE]]-VLOOKUP(Main_L[[#This Row],[Industry]], Mean_ROE_L, 2, FALSE))/(VLOOKUP(Main_L[[#This Row],[Industry]], Mean_ROE_L, 3, FALSE))</f>
        <v>-2.2285022329578457</v>
      </c>
      <c r="R40" s="1">
        <f>(Main_L[[#This Row],[ROA]]-VLOOKUP(Main_L[[#This Row],[Industry]], Mean_ROA_L, 2, FALSE))/(VLOOKUP(Main_L[[#This Row],[Industry]], Mean_ROA_L, 3, FALSE))</f>
        <v>-1.6897885220461015</v>
      </c>
      <c r="S40" s="1">
        <f>(Main_L[[#This Row],[A/E]]-VLOOKUP(Main_L[[#This Row],[Industry]], Mean_AE_L, 2, FALSE))/(VLOOKUP(Main_L[[#This Row],[Industry]], Mean_AE_L, 3, FALSE))</f>
        <v>9.9865677071745598</v>
      </c>
      <c r="T40" s="1">
        <f>(Main_L[[#This Row],[P/E]]-VLOOKUP(Main_L[[#This Row],[Industry]], Mean_PE_L, 2, FALSE))/(VLOOKUP(Main_L[[#This Row],[Industry]], Mean_PE_L, 3, FALSE))</f>
        <v>-5.638180166364279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1" spans="1:26" x14ac:dyDescent="0.25">
      <c r="A41" s="67" t="s">
        <v>107</v>
      </c>
      <c r="B41" s="67" t="s">
        <v>126</v>
      </c>
      <c r="C41" s="2">
        <v>54738</v>
      </c>
      <c r="D41">
        <f>RTD("tos.rtd", , "LAST", Main_L[[#This Row],[Symbol]])</f>
        <v>394.56</v>
      </c>
      <c r="E41">
        <v>32.159999999999997</v>
      </c>
      <c r="F41">
        <v>115.75</v>
      </c>
      <c r="G41">
        <v>35.86</v>
      </c>
      <c r="H41" s="1">
        <f>IF(ISNUMBER(Main_L[[#This Row],[Free CF]]),IF(Main_L[[#This Row],[Free CF]]&lt;&gt;0,Main_L[[#This Row],[Current Price]]/Main_L[[#This Row],[Free CF]],""),"")</f>
        <v>12.268656716417912</v>
      </c>
      <c r="I41" s="1">
        <f>IF(ISNUMBER(Main_L[[#This Row],[BVPS]]),IF(Main_L[[#This Row],[BVPS]]&lt;&gt;0,Main_L[[#This Row],[Current Price]]/Main_L[[#This Row],[BVPS]],""),"")</f>
        <v>3.4087257019438444</v>
      </c>
      <c r="J41">
        <v>33.119999999999997</v>
      </c>
      <c r="K41">
        <v>5.64</v>
      </c>
      <c r="L41">
        <v>9.2899999999999991</v>
      </c>
      <c r="M41" s="1">
        <f>IF(ISNUMBER(Main_L[[#This Row],[EPS]]),IF(Main_L[[#This Row],[EPS]]&lt;&gt;0,Main_L[[#This Row],[Current Price]]/Main_L[[#This Row],[EPS]],""),"")</f>
        <v>11.002788622420525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-0.32667187609911241</v>
      </c>
      <c r="P41" s="1">
        <f>(Main_L[[#This Row],[P/B]]-VLOOKUP(Main_L[[#This Row],[Industry]], Mean_PB_L, 2, FALSE))/(VLOOKUP(Main_L[[#This Row],[Industry]], Mean_PB_L, 3, FALSE))</f>
        <v>1.8411169109713748</v>
      </c>
      <c r="Q41" s="1">
        <f>(Main_L[[#This Row],[ROE]]-VLOOKUP(Main_L[[#This Row],[Industry]], Mean_ROE_L, 2, FALSE))/(VLOOKUP(Main_L[[#This Row],[Industry]], Mean_ROE_L, 3, FALSE))</f>
        <v>4.453645741437855</v>
      </c>
      <c r="R41" s="1">
        <f>(Main_L[[#This Row],[ROA]]-VLOOKUP(Main_L[[#This Row],[Industry]], Mean_ROA_L, 2, FALSE))/(VLOOKUP(Main_L[[#This Row],[Industry]], Mean_ROA_L, 3, FALSE))</f>
        <v>-3.5092157353954705E-2</v>
      </c>
      <c r="S41" s="1">
        <f>(Main_L[[#This Row],[A/E]]-VLOOKUP(Main_L[[#This Row],[Industry]], Mean_AE_L, 2, FALSE))/(VLOOKUP(Main_L[[#This Row],[Industry]], Mean_AE_L, 3, FALSE))</f>
        <v>17.628815403969806</v>
      </c>
      <c r="T41" s="1">
        <f>(Main_L[[#This Row],[P/E]]-VLOOKUP(Main_L[[#This Row],[Industry]], Mean_PE_L, 2, FALSE))/(VLOOKUP(Main_L[[#This Row],[Industry]], Mean_PE_L, 3, FALSE))</f>
        <v>-0.62797315247289742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s="67" t="s">
        <v>107</v>
      </c>
      <c r="B42" s="67" t="s">
        <v>122</v>
      </c>
      <c r="C42" s="2">
        <v>14382</v>
      </c>
      <c r="D42">
        <f>RTD("tos.rtd", , "LAST", Main_L[[#This Row],[Symbol]])</f>
        <v>71.55</v>
      </c>
      <c r="E42">
        <v>7.23</v>
      </c>
      <c r="F42">
        <v>22.41</v>
      </c>
      <c r="G42">
        <v>7.32</v>
      </c>
      <c r="H42" s="1">
        <f>IF(ISNUMBER(Main_L[[#This Row],[Free CF]]),IF(Main_L[[#This Row],[Free CF]]&lt;&gt;0,Main_L[[#This Row],[Current Price]]/Main_L[[#This Row],[Free CF]],""),"")</f>
        <v>9.8962655601659737</v>
      </c>
      <c r="I42" s="1">
        <f>IF(ISNUMBER(Main_L[[#This Row],[BVPS]]),IF(Main_L[[#This Row],[BVPS]]&lt;&gt;0,Main_L[[#This Row],[Current Price]]/Main_L[[#This Row],[BVPS]],""),"")</f>
        <v>3.1927710843373491</v>
      </c>
      <c r="J42">
        <v>31.02</v>
      </c>
      <c r="K42">
        <v>5.2</v>
      </c>
      <c r="L42">
        <v>6.43</v>
      </c>
      <c r="M42" s="1">
        <f>IF(ISNUMBER(Main_L[[#This Row],[EPS]]),IF(Main_L[[#This Row],[EPS]]&lt;&gt;0,Main_L[[#This Row],[Current Price]]/Main_L[[#This Row],[EPS]],""),"")</f>
        <v>9.774590163934425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-0.69968300820538254</v>
      </c>
      <c r="P42" s="1">
        <f>(Main_L[[#This Row],[P/B]]-VLOOKUP(Main_L[[#This Row],[Industry]], Mean_PB_L, 2, FALSE))/(VLOOKUP(Main_L[[#This Row],[Industry]], Mean_PB_L, 3, FALSE))</f>
        <v>1.5367364485307491</v>
      </c>
      <c r="Q42" s="1">
        <f>(Main_L[[#This Row],[ROE]]-VLOOKUP(Main_L[[#This Row],[Industry]], Mean_ROE_L, 2, FALSE))/(VLOOKUP(Main_L[[#This Row],[Industry]], Mean_ROE_L, 3, FALSE))</f>
        <v>3.9993852323239216</v>
      </c>
      <c r="R42" s="1">
        <f>(Main_L[[#This Row],[ROA]]-VLOOKUP(Main_L[[#This Row],[Industry]], Mean_ROA_L, 2, FALSE))/(VLOOKUP(Main_L[[#This Row],[Industry]], Mean_ROA_L, 3, FALSE))</f>
        <v>-0.28718275712113822</v>
      </c>
      <c r="S42" s="1">
        <f>(Main_L[[#This Row],[A/E]]-VLOOKUP(Main_L[[#This Row],[Industry]], Mean_AE_L, 2, FALSE))/(VLOOKUP(Main_L[[#This Row],[Industry]], Mean_AE_L, 3, FALSE))</f>
        <v>10.632331510772422</v>
      </c>
      <c r="T42" s="1">
        <f>(Main_L[[#This Row],[P/E]]-VLOOKUP(Main_L[[#This Row],[Industry]], Mean_PE_L, 2, FALSE))/(VLOOKUP(Main_L[[#This Row],[Industry]], Mean_PE_L, 3, FALSE))</f>
        <v>-0.74679978493613475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s="67" t="s">
        <v>107</v>
      </c>
      <c r="B43" s="67" t="s">
        <v>128</v>
      </c>
      <c r="C43" s="2">
        <v>13315</v>
      </c>
      <c r="D43">
        <f>RTD("tos.rtd", , "LAST", Main_L[[#This Row],[Symbol]])</f>
        <v>92.81</v>
      </c>
      <c r="E43">
        <v>-0.85</v>
      </c>
      <c r="F43">
        <v>70.13</v>
      </c>
      <c r="G43">
        <v>6.26</v>
      </c>
      <c r="H43" s="1">
        <f>IF(ISNUMBER(Main_L[[#This Row],[Free CF]]),IF(Main_L[[#This Row],[Free CF]]&lt;&gt;0,Main_L[[#This Row],[Current Price]]/Main_L[[#This Row],[Free CF]],""),"")</f>
        <v>-109.18823529411765</v>
      </c>
      <c r="I43" s="1">
        <f>IF(ISNUMBER(Main_L[[#This Row],[BVPS]]),IF(Main_L[[#This Row],[BVPS]]&lt;&gt;0,Main_L[[#This Row],[Current Price]]/Main_L[[#This Row],[BVPS]],""),"")</f>
        <v>1.3233994011122203</v>
      </c>
      <c r="J43">
        <v>9.32</v>
      </c>
      <c r="K43">
        <v>0.41</v>
      </c>
      <c r="L43">
        <v>1.69</v>
      </c>
      <c r="M43" s="1">
        <f>IF(ISNUMBER(Main_L[[#This Row],[EPS]]),IF(Main_L[[#This Row],[EPS]]&lt;&gt;0,Main_L[[#This Row],[Current Price]]/Main_L[[#This Row],[EPS]],""),"")</f>
        <v>14.825878594249202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-19.423342621801254</v>
      </c>
      <c r="P43" s="1">
        <f>(Main_L[[#This Row],[P/B]]-VLOOKUP(Main_L[[#This Row],[Industry]], Mean_PB_L, 2, FALSE))/(VLOOKUP(Main_L[[#This Row],[Industry]], Mean_PB_L, 3, FALSE))</f>
        <v>-1.0980774013415757</v>
      </c>
      <c r="Q43" s="1">
        <f>(Main_L[[#This Row],[ROE]]-VLOOKUP(Main_L[[#This Row],[Industry]], Mean_ROE_L, 2, FALSE))/(VLOOKUP(Main_L[[#This Row],[Industry]], Mean_ROE_L, 3, FALSE))</f>
        <v>-0.69464002852005691</v>
      </c>
      <c r="R43" s="1">
        <f>(Main_L[[#This Row],[ROA]]-VLOOKUP(Main_L[[#This Row],[Industry]], Mean_ROA_L, 2, FALSE))/(VLOOKUP(Main_L[[#This Row],[Industry]], Mean_ROA_L, 3, FALSE))</f>
        <v>-3.0315326954957071</v>
      </c>
      <c r="S43" s="1">
        <f>(Main_L[[#This Row],[A/E]]-VLOOKUP(Main_L[[#This Row],[Industry]], Mean_AE_L, 2, FALSE))/(VLOOKUP(Main_L[[#This Row],[Industry]], Mean_AE_L, 3, FALSE))</f>
        <v>-0.96323969683442967</v>
      </c>
      <c r="T43" s="1">
        <f>(Main_L[[#This Row],[P/E]]-VLOOKUP(Main_L[[#This Row],[Industry]], Mean_PE_L, 2, FALSE))/(VLOOKUP(Main_L[[#This Row],[Industry]], Mean_PE_L, 3, FALSE))</f>
        <v>-0.25809407974035664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s="67" t="s">
        <v>107</v>
      </c>
      <c r="B44" s="67" t="s">
        <v>129</v>
      </c>
      <c r="C44" s="2">
        <v>13444</v>
      </c>
      <c r="D44">
        <f>RTD("tos.rtd", , "LAST", Main_L[[#This Row],[Symbol]])</f>
        <v>93.63</v>
      </c>
      <c r="E44">
        <v>-0.85</v>
      </c>
      <c r="F44">
        <v>70.13</v>
      </c>
      <c r="G44">
        <v>6.26</v>
      </c>
      <c r="H44" s="1">
        <f>IF(ISNUMBER(Main_L[[#This Row],[Free CF]]),IF(Main_L[[#This Row],[Free CF]]&lt;&gt;0,Main_L[[#This Row],[Current Price]]/Main_L[[#This Row],[Free CF]],""),"")</f>
        <v>-110.15294117647059</v>
      </c>
      <c r="I44" s="1">
        <f>IF(ISNUMBER(Main_L[[#This Row],[BVPS]]),IF(Main_L[[#This Row],[BVPS]]&lt;&gt;0,Main_L[[#This Row],[Current Price]]/Main_L[[#This Row],[BVPS]],""),"")</f>
        <v>1.3350919720519037</v>
      </c>
      <c r="J44">
        <v>9.32</v>
      </c>
      <c r="K44">
        <v>0.41</v>
      </c>
      <c r="L44">
        <v>1.69</v>
      </c>
      <c r="M44" s="1">
        <f>IF(ISNUMBER(Main_L[[#This Row],[EPS]]),IF(Main_L[[#This Row],[EPS]]&lt;&gt;0,Main_L[[#This Row],[Current Price]]/Main_L[[#This Row],[EPS]],""),"")</f>
        <v>14.956869009584665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-19.575023356395864</v>
      </c>
      <c r="P44" s="1">
        <f>(Main_L[[#This Row],[P/B]]-VLOOKUP(Main_L[[#This Row],[Industry]], Mean_PB_L, 2, FALSE))/(VLOOKUP(Main_L[[#This Row],[Industry]], Mean_PB_L, 3, FALSE))</f>
        <v>-1.0815971325277562</v>
      </c>
      <c r="Q44" s="1">
        <f>(Main_L[[#This Row],[ROE]]-VLOOKUP(Main_L[[#This Row],[Industry]], Mean_ROE_L, 2, FALSE))/(VLOOKUP(Main_L[[#This Row],[Industry]], Mean_ROE_L, 3, FALSE))</f>
        <v>-0.69464002852005691</v>
      </c>
      <c r="R44" s="1">
        <f>(Main_L[[#This Row],[ROA]]-VLOOKUP(Main_L[[#This Row],[Industry]], Mean_ROA_L, 2, FALSE))/(VLOOKUP(Main_L[[#This Row],[Industry]], Mean_ROA_L, 3, FALSE))</f>
        <v>-3.0315326954957071</v>
      </c>
      <c r="S44" s="1">
        <f>(Main_L[[#This Row],[A/E]]-VLOOKUP(Main_L[[#This Row],[Industry]], Mean_AE_L, 2, FALSE))/(VLOOKUP(Main_L[[#This Row],[Industry]], Mean_AE_L, 3, FALSE))</f>
        <v>-0.96323969683442967</v>
      </c>
      <c r="T44" s="1">
        <f>(Main_L[[#This Row],[P/E]]-VLOOKUP(Main_L[[#This Row],[Industry]], Mean_PE_L, 2, FALSE))/(VLOOKUP(Main_L[[#This Row],[Industry]], Mean_PE_L, 3, FALSE))</f>
        <v>-0.24542092432990306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s="67" t="s">
        <v>107</v>
      </c>
      <c r="B45" s="67" t="s">
        <v>127</v>
      </c>
      <c r="C45" s="2">
        <v>129074</v>
      </c>
      <c r="D45">
        <f>RTD("tos.rtd", , "LAST", Main_L[[#This Row],[Symbol]])</f>
        <v>34.6</v>
      </c>
      <c r="E45">
        <v>3.5</v>
      </c>
      <c r="F45">
        <v>23.14</v>
      </c>
      <c r="G45">
        <v>4.07</v>
      </c>
      <c r="H45" s="1">
        <f>IF(ISNUMBER(Main_L[[#This Row],[Free CF]]),IF(Main_L[[#This Row],[Free CF]]&lt;&gt;0,Main_L[[#This Row],[Current Price]]/Main_L[[#This Row],[Free CF]],""),"")</f>
        <v>9.8857142857142861</v>
      </c>
      <c r="I45" s="1">
        <f>IF(ISNUMBER(Main_L[[#This Row],[BVPS]]),IF(Main_L[[#This Row],[BVPS]]&lt;&gt;0,Main_L[[#This Row],[Current Price]]/Main_L[[#This Row],[BVPS]],""),"")</f>
        <v>1.4952463267070009</v>
      </c>
      <c r="J45">
        <v>18.05</v>
      </c>
      <c r="K45">
        <v>5.45</v>
      </c>
      <c r="L45">
        <v>3.09</v>
      </c>
      <c r="M45" s="1">
        <f>IF(ISNUMBER(Main_L[[#This Row],[EPS]]),IF(Main_L[[#This Row],[EPS]]&lt;&gt;0,Main_L[[#This Row],[Current Price]]/Main_L[[#This Row],[EPS]],""),"")</f>
        <v>8.5012285012285016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-0.70134198540145576</v>
      </c>
      <c r="P45" s="1">
        <f>(Main_L[[#This Row],[P/B]]-VLOOKUP(Main_L[[#This Row],[Industry]], Mean_PB_L, 2, FALSE))/(VLOOKUP(Main_L[[#This Row],[Industry]], Mean_PB_L, 3, FALSE))</f>
        <v>-0.85586518443565729</v>
      </c>
      <c r="Q45" s="1">
        <f>(Main_L[[#This Row],[ROE]]-VLOOKUP(Main_L[[#This Row],[Industry]], Mean_ROE_L, 2, FALSE))/(VLOOKUP(Main_L[[#This Row],[Industry]], Mean_ROE_L, 3, FALSE))</f>
        <v>1.1937858022250094</v>
      </c>
      <c r="R45" s="1">
        <f>(Main_L[[#This Row],[ROA]]-VLOOKUP(Main_L[[#This Row],[Industry]], Mean_ROA_L, 2, FALSE))/(VLOOKUP(Main_L[[#This Row],[Industry]], Mean_ROA_L, 3, FALSE))</f>
        <v>-0.14394946179887469</v>
      </c>
      <c r="S45" s="1">
        <f>(Main_L[[#This Row],[A/E]]-VLOOKUP(Main_L[[#This Row],[Industry]], Mean_AE_L, 2, FALSE))/(VLOOKUP(Main_L[[#This Row],[Industry]], Mean_AE_L, 3, FALSE))</f>
        <v>2.4616125585768769</v>
      </c>
      <c r="T45" s="1">
        <f>(Main_L[[#This Row],[P/E]]-VLOOKUP(Main_L[[#This Row],[Industry]], Mean_PE_L, 2, FALSE))/(VLOOKUP(Main_L[[#This Row],[Industry]], Mean_PE_L, 3, FALSE))</f>
        <v>-0.86999589973474811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6" spans="1:26" x14ac:dyDescent="0.25">
      <c r="A46" s="67" t="s">
        <v>107</v>
      </c>
      <c r="B46" s="67" t="s">
        <v>124</v>
      </c>
      <c r="C46" s="2">
        <v>22607</v>
      </c>
      <c r="D46">
        <f>RTD("tos.rtd", , "LAST", Main_L[[#This Row],[Symbol]])</f>
        <v>49.56</v>
      </c>
      <c r="E46">
        <v>5.2</v>
      </c>
      <c r="F46">
        <v>25.58</v>
      </c>
      <c r="G46">
        <v>4.03</v>
      </c>
      <c r="H46" s="1">
        <f>IF(ISNUMBER(Main_L[[#This Row],[Free CF]]),IF(Main_L[[#This Row],[Free CF]]&lt;&gt;0,Main_L[[#This Row],[Current Price]]/Main_L[[#This Row],[Free CF]],""),"")</f>
        <v>9.5307692307692307</v>
      </c>
      <c r="I46" s="1">
        <f>IF(ISNUMBER(Main_L[[#This Row],[BVPS]]),IF(Main_L[[#This Row],[BVPS]]&lt;&gt;0,Main_L[[#This Row],[Current Price]]/Main_L[[#This Row],[BVPS]],""),"")</f>
        <v>1.9374511336982019</v>
      </c>
      <c r="J46">
        <v>16.62</v>
      </c>
      <c r="K46">
        <v>8.4</v>
      </c>
      <c r="L46">
        <v>2.0299999999999998</v>
      </c>
      <c r="M46" s="1">
        <f>IF(ISNUMBER(Main_L[[#This Row],[EPS]]),IF(Main_L[[#This Row],[EPS]]&lt;&gt;0,Main_L[[#This Row],[Current Price]]/Main_L[[#This Row],[EPS]],""),"")</f>
        <v>12.297766749379653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46" s="1">
        <f>(Main_L[[#This Row],[P/FCF]]-VLOOKUP(Main_L[[#This Row],[Industry]], Mean_PFCF_L, 2, FALSE))/(VLOOKUP(Main_L[[#This Row],[Industry]], Mean_PFCF_L, 3, FALSE))</f>
        <v>-0.75715000695459178</v>
      </c>
      <c r="P46" s="1">
        <f>(Main_L[[#This Row],[P/B]]-VLOOKUP(Main_L[[#This Row],[Industry]], Mean_PB_L, 2, FALSE))/(VLOOKUP(Main_L[[#This Row],[Industry]], Mean_PB_L, 3, FALSE))</f>
        <v>-0.23259301208178829</v>
      </c>
      <c r="Q46" s="1">
        <f>(Main_L[[#This Row],[ROE]]-VLOOKUP(Main_L[[#This Row],[Industry]], Mean_ROE_L, 2, FALSE))/(VLOOKUP(Main_L[[#This Row],[Industry]], Mean_ROE_L, 3, FALSE))</f>
        <v>0.88445602697123571</v>
      </c>
      <c r="R46" s="1">
        <f>(Main_L[[#This Row],[ROA]]-VLOOKUP(Main_L[[#This Row],[Industry]], Mean_ROA_L, 2, FALSE))/(VLOOKUP(Main_L[[#This Row],[Industry]], Mean_ROA_L, 3, FALSE))</f>
        <v>1.5462034230038348</v>
      </c>
      <c r="S46" s="1">
        <f>(Main_L[[#This Row],[A/E]]-VLOOKUP(Main_L[[#This Row],[Industry]], Mean_AE_L, 2, FALSE))/(VLOOKUP(Main_L[[#This Row],[Industry]], Mean_AE_L, 3, FALSE))</f>
        <v>-0.13148986337739832</v>
      </c>
      <c r="T46" s="1">
        <f>(Main_L[[#This Row],[P/E]]-VLOOKUP(Main_L[[#This Row],[Industry]], Mean_PE_L, 2, FALSE))/(VLOOKUP(Main_L[[#This Row],[Industry]], Mean_PE_L, 3, FALSE))</f>
        <v>-0.50268567236176254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7" spans="1:26" x14ac:dyDescent="0.25">
      <c r="A47" s="67" t="s">
        <v>107</v>
      </c>
      <c r="B47" s="67" t="s">
        <v>125</v>
      </c>
      <c r="C47" s="2">
        <v>24702</v>
      </c>
      <c r="D47">
        <f>RTD("tos.rtd", , "LAST", Main_L[[#This Row],[Symbol]])</f>
        <v>54.1</v>
      </c>
      <c r="E47">
        <v>5.2</v>
      </c>
      <c r="F47">
        <v>25.58</v>
      </c>
      <c r="G47">
        <v>4.03</v>
      </c>
      <c r="H47" s="1">
        <f>IF(ISNUMBER(Main_L[[#This Row],[Free CF]]),IF(Main_L[[#This Row],[Free CF]]&lt;&gt;0,Main_L[[#This Row],[Current Price]]/Main_L[[#This Row],[Free CF]],""),"")</f>
        <v>10.403846153846153</v>
      </c>
      <c r="I47" s="1">
        <f>IF(ISNUMBER(Main_L[[#This Row],[BVPS]]),IF(Main_L[[#This Row],[BVPS]]&lt;&gt;0,Main_L[[#This Row],[Current Price]]/Main_L[[#This Row],[BVPS]],""),"")</f>
        <v>2.1149335418295547</v>
      </c>
      <c r="J47">
        <v>16.62</v>
      </c>
      <c r="K47">
        <v>8.4</v>
      </c>
      <c r="L47">
        <v>2.0299999999999998</v>
      </c>
      <c r="M47" s="1">
        <f>IF(ISNUMBER(Main_L[[#This Row],[EPS]]),IF(Main_L[[#This Row],[EPS]]&lt;&gt;0,Main_L[[#This Row],[Current Price]]/Main_L[[#This Row],[EPS]],""),"")</f>
        <v>13.424317617866004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-0.61987609635407648</v>
      </c>
      <c r="P47" s="1">
        <f>(Main_L[[#This Row],[P/B]]-VLOOKUP(Main_L[[#This Row],[Industry]], Mean_PB_L, 2, FALSE))/(VLOOKUP(Main_L[[#This Row],[Industry]], Mean_PB_L, 3, FALSE))</f>
        <v>1.7562219887061338E-2</v>
      </c>
      <c r="Q47" s="1">
        <f>(Main_L[[#This Row],[ROE]]-VLOOKUP(Main_L[[#This Row],[Industry]], Mean_ROE_L, 2, FALSE))/(VLOOKUP(Main_L[[#This Row],[Industry]], Mean_ROE_L, 3, FALSE))</f>
        <v>0.88445602697123571</v>
      </c>
      <c r="R47" s="1">
        <f>(Main_L[[#This Row],[ROA]]-VLOOKUP(Main_L[[#This Row],[Industry]], Mean_ROA_L, 2, FALSE))/(VLOOKUP(Main_L[[#This Row],[Industry]], Mean_ROA_L, 3, FALSE))</f>
        <v>1.5462034230038348</v>
      </c>
      <c r="S47" s="1">
        <f>(Main_L[[#This Row],[A/E]]-VLOOKUP(Main_L[[#This Row],[Industry]], Mean_AE_L, 2, FALSE))/(VLOOKUP(Main_L[[#This Row],[Industry]], Mean_AE_L, 3, FALSE))</f>
        <v>-0.13148986337739832</v>
      </c>
      <c r="T47" s="1">
        <f>(Main_L[[#This Row],[P/E]]-VLOOKUP(Main_L[[#This Row],[Industry]], Mean_PE_L, 2, FALSE))/(VLOOKUP(Main_L[[#This Row],[Industry]], Mean_PE_L, 3, FALSE))</f>
        <v>-0.39369331442819855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s="67" t="s">
        <v>107</v>
      </c>
      <c r="B48" s="67" t="s">
        <v>130</v>
      </c>
      <c r="C48" s="2">
        <v>18513</v>
      </c>
      <c r="D48">
        <f>RTD("tos.rtd", , "LAST", Main_L[[#This Row],[Symbol]])</f>
        <v>31.82</v>
      </c>
      <c r="E48">
        <v>1.23</v>
      </c>
      <c r="F48">
        <v>14.48</v>
      </c>
      <c r="G48">
        <v>0.82</v>
      </c>
      <c r="H48" s="1">
        <f>IF(ISNUMBER(Main_L[[#This Row],[Free CF]]),IF(Main_L[[#This Row],[Free CF]]&lt;&gt;0,Main_L[[#This Row],[Current Price]]/Main_L[[#This Row],[Free CF]],""),"")</f>
        <v>25.869918699186993</v>
      </c>
      <c r="I48" s="1">
        <f>IF(ISNUMBER(Main_L[[#This Row],[BVPS]]),IF(Main_L[[#This Row],[BVPS]]&lt;&gt;0,Main_L[[#This Row],[Current Price]]/Main_L[[#This Row],[BVPS]],""),"")</f>
        <v>2.1975138121546962</v>
      </c>
      <c r="J48">
        <v>6.72</v>
      </c>
      <c r="K48">
        <v>3.53</v>
      </c>
      <c r="L48">
        <v>2.02</v>
      </c>
      <c r="M48" s="1">
        <f>IF(ISNUMBER(Main_L[[#This Row],[EPS]]),IF(Main_L[[#This Row],[EPS]]&lt;&gt;0,Main_L[[#This Row],[Current Price]]/Main_L[[#This Row],[EPS]],""),"")</f>
        <v>38.804878048780488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1.8118549502620167</v>
      </c>
      <c r="P48" s="1">
        <f>(Main_L[[#This Row],[P/B]]-VLOOKUP(Main_L[[#This Row],[Industry]], Mean_PB_L, 2, FALSE))/(VLOOKUP(Main_L[[#This Row],[Industry]], Mean_PB_L, 3, FALSE))</f>
        <v>0.13395621575817546</v>
      </c>
      <c r="Q48" s="1">
        <f>(Main_L[[#This Row],[ROE]]-VLOOKUP(Main_L[[#This Row],[Industry]], Mean_ROE_L, 2, FALSE))/(VLOOKUP(Main_L[[#This Row],[Industry]], Mean_ROE_L, 3, FALSE))</f>
        <v>-1.2570578017087364</v>
      </c>
      <c r="R48" s="1">
        <f>(Main_L[[#This Row],[ROA]]-VLOOKUP(Main_L[[#This Row],[Industry]], Mean_ROA_L, 2, FALSE))/(VLOOKUP(Main_L[[#This Row],[Industry]], Mean_ROA_L, 3, FALSE))</f>
        <v>-1.2439811698738588</v>
      </c>
      <c r="S48" s="1">
        <f>(Main_L[[#This Row],[A/E]]-VLOOKUP(Main_L[[#This Row],[Industry]], Mean_AE_L, 2, FALSE))/(VLOOKUP(Main_L[[#This Row],[Industry]], Mean_AE_L, 3, FALSE))</f>
        <v>-0.15595309377319283</v>
      </c>
      <c r="T48" s="1">
        <f>(Main_L[[#This Row],[P/E]]-VLOOKUP(Main_L[[#This Row],[Industry]], Mean_PE_L, 2, FALSE))/(VLOOKUP(Main_L[[#This Row],[Industry]], Mean_PE_L, 3, FALSE))</f>
        <v>2.0618434965792809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9" spans="1:26" x14ac:dyDescent="0.25">
      <c r="A49" s="67" t="s">
        <v>107</v>
      </c>
      <c r="B49" s="67" t="s">
        <v>131</v>
      </c>
      <c r="C49" s="2">
        <v>15978</v>
      </c>
      <c r="D49">
        <f>RTD("tos.rtd", , "LAST", Main_L[[#This Row],[Symbol]])</f>
        <v>27.76</v>
      </c>
      <c r="E49">
        <v>1.23</v>
      </c>
      <c r="F49">
        <v>14.48</v>
      </c>
      <c r="G49">
        <v>0.82</v>
      </c>
      <c r="H49" s="1">
        <f>IF(ISNUMBER(Main_L[[#This Row],[Free CF]]),IF(Main_L[[#This Row],[Free CF]]&lt;&gt;0,Main_L[[#This Row],[Current Price]]/Main_L[[#This Row],[Free CF]],""),"")</f>
        <v>22.569105691056912</v>
      </c>
      <c r="I49" s="1">
        <f>IF(ISNUMBER(Main_L[[#This Row],[BVPS]]),IF(Main_L[[#This Row],[BVPS]]&lt;&gt;0,Main_L[[#This Row],[Current Price]]/Main_L[[#This Row],[BVPS]],""),"")</f>
        <v>1.9171270718232045</v>
      </c>
      <c r="J49">
        <v>6.72</v>
      </c>
      <c r="K49">
        <v>3.53</v>
      </c>
      <c r="L49">
        <v>2.02</v>
      </c>
      <c r="M49" s="1">
        <f>IF(ISNUMBER(Main_L[[#This Row],[EPS]]),IF(Main_L[[#This Row],[EPS]]&lt;&gt;0,Main_L[[#This Row],[Current Price]]/Main_L[[#This Row],[EPS]],""),"")</f>
        <v>33.853658536585371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1.2928680227526006</v>
      </c>
      <c r="P49" s="1">
        <f>(Main_L[[#This Row],[P/B]]-VLOOKUP(Main_L[[#This Row],[Industry]], Mean_PB_L, 2, FALSE))/(VLOOKUP(Main_L[[#This Row],[Industry]], Mean_PB_L, 3, FALSE))</f>
        <v>-0.26123906476057818</v>
      </c>
      <c r="Q49" s="1">
        <f>(Main_L[[#This Row],[ROE]]-VLOOKUP(Main_L[[#This Row],[Industry]], Mean_ROE_L, 2, FALSE))/(VLOOKUP(Main_L[[#This Row],[Industry]], Mean_ROE_L, 3, FALSE))</f>
        <v>-1.2570578017087364</v>
      </c>
      <c r="R49" s="1">
        <f>(Main_L[[#This Row],[ROA]]-VLOOKUP(Main_L[[#This Row],[Industry]], Mean_ROA_L, 2, FALSE))/(VLOOKUP(Main_L[[#This Row],[Industry]], Mean_ROA_L, 3, FALSE))</f>
        <v>-1.2439811698738588</v>
      </c>
      <c r="S49" s="1">
        <f>(Main_L[[#This Row],[A/E]]-VLOOKUP(Main_L[[#This Row],[Industry]], Mean_AE_L, 2, FALSE))/(VLOOKUP(Main_L[[#This Row],[Industry]], Mean_AE_L, 3, FALSE))</f>
        <v>-0.15595309377319283</v>
      </c>
      <c r="T49" s="1">
        <f>(Main_L[[#This Row],[P/E]]-VLOOKUP(Main_L[[#This Row],[Industry]], Mean_PE_L, 2, FALSE))/(VLOOKUP(Main_L[[#This Row],[Industry]], Mean_PE_L, 3, FALSE))</f>
        <v>1.5828193314247236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0" spans="1:26" x14ac:dyDescent="0.25">
      <c r="A50" s="67" t="s">
        <v>107</v>
      </c>
      <c r="B50" s="67" t="s">
        <v>123</v>
      </c>
      <c r="C50" s="2">
        <v>36966</v>
      </c>
      <c r="D50">
        <f>RTD("tos.rtd", , "LAST", Main_L[[#This Row],[Symbol]])</f>
        <v>71.489999999999995</v>
      </c>
      <c r="E50">
        <v>1.39</v>
      </c>
      <c r="F50">
        <v>5.53</v>
      </c>
      <c r="G50">
        <v>0.82</v>
      </c>
      <c r="H50" s="1">
        <f>IF(ISNUMBER(Main_L[[#This Row],[Free CF]]),IF(Main_L[[#This Row],[Free CF]]&lt;&gt;0,Main_L[[#This Row],[Current Price]]/Main_L[[#This Row],[Free CF]],""),"")</f>
        <v>51.431654676258994</v>
      </c>
      <c r="I50" s="1">
        <f>IF(ISNUMBER(Main_L[[#This Row],[BVPS]]),IF(Main_L[[#This Row],[BVPS]]&lt;&gt;0,Main_L[[#This Row],[Current Price]]/Main_L[[#This Row],[BVPS]],""),"")</f>
        <v>12.92766726943942</v>
      </c>
      <c r="J50">
        <v>16.88</v>
      </c>
      <c r="K50">
        <v>5.46</v>
      </c>
      <c r="L50">
        <v>2.1</v>
      </c>
      <c r="M50" s="1">
        <f>IF(ISNUMBER(Main_L[[#This Row],[EPS]]),IF(Main_L[[#This Row],[EPS]]&lt;&gt;0,Main_L[[#This Row],[Current Price]]/Main_L[[#This Row],[EPS]],""),"")</f>
        <v>87.182926829268297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5.8309274587234521</v>
      </c>
      <c r="P50" s="1">
        <f>(Main_L[[#This Row],[P/B]]-VLOOKUP(Main_L[[#This Row],[Industry]], Mean_PB_L, 2, FALSE))/(VLOOKUP(Main_L[[#This Row],[Industry]], Mean_PB_L, 3, FALSE))</f>
        <v>15.257731329187235</v>
      </c>
      <c r="Q50" s="1">
        <f>(Main_L[[#This Row],[ROE]]-VLOOKUP(Main_L[[#This Row],[Industry]], Mean_ROE_L, 2, FALSE))/(VLOOKUP(Main_L[[#This Row],[Industry]], Mean_ROE_L, 3, FALSE))</f>
        <v>0.94069780429010319</v>
      </c>
      <c r="R50" s="1">
        <f>(Main_L[[#This Row],[ROA]]-VLOOKUP(Main_L[[#This Row],[Industry]], Mean_ROA_L, 2, FALSE))/(VLOOKUP(Main_L[[#This Row],[Industry]], Mean_ROA_L, 3, FALSE))</f>
        <v>-0.13822012998598426</v>
      </c>
      <c r="S50" s="1">
        <f>(Main_L[[#This Row],[A/E]]-VLOOKUP(Main_L[[#This Row],[Industry]], Mean_AE_L, 2, FALSE))/(VLOOKUP(Main_L[[#This Row],[Industry]], Mean_AE_L, 3, FALSE))</f>
        <v>3.9752749393167738E-2</v>
      </c>
      <c r="T50" s="1">
        <f>(Main_L[[#This Row],[P/E]]-VLOOKUP(Main_L[[#This Row],[Industry]], Mean_PE_L, 2, FALSE))/(VLOOKUP(Main_L[[#This Row],[Industry]], Mean_PE_L, 3, FALSE))</f>
        <v>6.7423579378800973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1" spans="1:26" x14ac:dyDescent="0.25">
      <c r="A51" s="67" t="s">
        <v>106</v>
      </c>
      <c r="B51" s="67" t="s">
        <v>120</v>
      </c>
      <c r="C51" s="2">
        <v>275005</v>
      </c>
      <c r="D51">
        <f>RTD("tos.rtd", , "LAST", Main_L[[#This Row],[Symbol]])</f>
        <v>237.95</v>
      </c>
      <c r="E51">
        <v>10.28</v>
      </c>
      <c r="F51">
        <v>53.73</v>
      </c>
      <c r="G51">
        <v>10.25</v>
      </c>
      <c r="H51" s="1">
        <f>IF(ISNUMBER(Main_L[[#This Row],[Free CF]]),IF(Main_L[[#This Row],[Free CF]]&lt;&gt;0,Main_L[[#This Row],[Current Price]]/Main_L[[#This Row],[Free CF]],""),"")</f>
        <v>23.146887159533073</v>
      </c>
      <c r="I51" s="1">
        <f>IF(ISNUMBER(Main_L[[#This Row],[BVPS]]),IF(Main_L[[#This Row],[BVPS]]&lt;&gt;0,Main_L[[#This Row],[Current Price]]/Main_L[[#This Row],[BVPS]],""),"")</f>
        <v>4.4286246045040016</v>
      </c>
      <c r="J51">
        <v>19.350000000000001</v>
      </c>
      <c r="K51">
        <v>5.6</v>
      </c>
      <c r="L51">
        <v>3.51</v>
      </c>
      <c r="M51" s="1">
        <f>IF(ISNUMBER(Main_L[[#This Row],[EPS]]),IF(Main_L[[#This Row],[EPS]]&lt;&gt;0,Main_L[[#This Row],[Current Price]]/Main_L[[#This Row],[EPS]],""),"")</f>
        <v>23.214634146341464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0.59853578300788779</v>
      </c>
      <c r="P51" s="1">
        <f>(Main_L[[#This Row],[P/B]]-VLOOKUP(Main_L[[#This Row],[Industry]], Mean_PB_L, 2, FALSE))/(VLOOKUP(Main_L[[#This Row],[Industry]], Mean_PB_L, 3, FALSE))</f>
        <v>0.99081432417094029</v>
      </c>
      <c r="Q51" s="1">
        <f>(Main_L[[#This Row],[ROE]]-VLOOKUP(Main_L[[#This Row],[Industry]], Mean_ROE_L, 2, FALSE))/(VLOOKUP(Main_L[[#This Row],[Industry]], Mean_ROE_L, 3, FALSE))</f>
        <v>1.0422832197328058</v>
      </c>
      <c r="R51" s="1">
        <f>(Main_L[[#This Row],[ROA]]-VLOOKUP(Main_L[[#This Row],[Industry]], Mean_ROA_L, 2, FALSE))/(VLOOKUP(Main_L[[#This Row],[Industry]], Mean_ROA_L, 3, FALSE))</f>
        <v>0.35993945123362037</v>
      </c>
      <c r="S51" s="1">
        <f>(Main_L[[#This Row],[A/E]]-VLOOKUP(Main_L[[#This Row],[Industry]], Mean_AE_L, 2, FALSE))/(VLOOKUP(Main_L[[#This Row],[Industry]], Mean_AE_L, 3, FALSE))</f>
        <v>-0.79714564856234582</v>
      </c>
      <c r="T51" s="1">
        <f>(Main_L[[#This Row],[P/E]]-VLOOKUP(Main_L[[#This Row],[Industry]], Mean_PE_L, 2, FALSE))/(VLOOKUP(Main_L[[#This Row],[Industry]], Mean_PE_L, 3, FALSE))</f>
        <v>1.4041211994885925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2" spans="1:26" x14ac:dyDescent="0.25">
      <c r="A52" s="67" t="s">
        <v>106</v>
      </c>
      <c r="B52" s="67" t="s">
        <v>119</v>
      </c>
      <c r="C52" s="2">
        <v>14441</v>
      </c>
      <c r="D52">
        <f>RTD("tos.rtd", , "LAST", Main_L[[#This Row],[Symbol]])</f>
        <v>26.65</v>
      </c>
      <c r="E52">
        <v>2.2000000000000002</v>
      </c>
      <c r="F52">
        <v>13.73</v>
      </c>
      <c r="G52">
        <v>2.2599999999999998</v>
      </c>
      <c r="H52" s="1">
        <f>IF(ISNUMBER(Main_L[[#This Row],[Free CF]]),IF(Main_L[[#This Row],[Free CF]]&lt;&gt;0,Main_L[[#This Row],[Current Price]]/Main_L[[#This Row],[Free CF]],""),"")</f>
        <v>12.113636363636362</v>
      </c>
      <c r="I52" s="1">
        <f>IF(ISNUMBER(Main_L[[#This Row],[BVPS]]),IF(Main_L[[#This Row],[BVPS]]&lt;&gt;0,Main_L[[#This Row],[Current Price]]/Main_L[[#This Row],[BVPS]],""),"")</f>
        <v>1.9410050983248359</v>
      </c>
      <c r="J52">
        <v>16.559999999999999</v>
      </c>
      <c r="K52">
        <v>4.41</v>
      </c>
      <c r="L52">
        <v>6.88</v>
      </c>
      <c r="M52" s="1">
        <f>IF(ISNUMBER(Main_L[[#This Row],[EPS]]),IF(Main_L[[#This Row],[EPS]]&lt;&gt;0,Main_L[[#This Row],[Current Price]]/Main_L[[#This Row],[EPS]],""),"")</f>
        <v>11.792035398230089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2" s="1">
        <f>(Main_L[[#This Row],[P/FCF]]-VLOOKUP(Main_L[[#This Row],[Industry]], Mean_PFCF_L, 2, FALSE))/(VLOOKUP(Main_L[[#This Row],[Industry]], Mean_PFCF_L, 3, FALSE))</f>
        <v>-1.1894309209524434</v>
      </c>
      <c r="P52" s="1">
        <f>(Main_L[[#This Row],[P/B]]-VLOOKUP(Main_L[[#This Row],[Industry]], Mean_PB_L, 2, FALSE))/(VLOOKUP(Main_L[[#This Row],[Industry]], Mean_PB_L, 3, FALSE))</f>
        <v>-1.1017087656874434</v>
      </c>
      <c r="Q52" s="1">
        <f>(Main_L[[#This Row],[ROE]]-VLOOKUP(Main_L[[#This Row],[Industry]], Mean_ROE_L, 2, FALSE))/(VLOOKUP(Main_L[[#This Row],[Industry]], Mean_ROE_L, 3, FALSE))</f>
        <v>0.30468773893267126</v>
      </c>
      <c r="R52" s="1">
        <f>(Main_L[[#This Row],[ROA]]-VLOOKUP(Main_L[[#This Row],[Industry]], Mean_ROA_L, 2, FALSE))/(VLOOKUP(Main_L[[#This Row],[Industry]], Mean_ROA_L, 3, FALSE))</f>
        <v>-0.91865143523804904</v>
      </c>
      <c r="S52" s="1">
        <f>(Main_L[[#This Row],[A/E]]-VLOOKUP(Main_L[[#This Row],[Industry]], Mean_AE_L, 2, FALSE))/(VLOOKUP(Main_L[[#This Row],[Industry]], Mean_AE_L, 3, FALSE))</f>
        <v>1.0973401311662192</v>
      </c>
      <c r="T52" s="1">
        <f>(Main_L[[#This Row],[P/E]]-VLOOKUP(Main_L[[#This Row],[Industry]], Mean_PE_L, 2, FALSE))/(VLOOKUP(Main_L[[#This Row],[Industry]], Mean_PE_L, 3, FALSE))</f>
        <v>-0.84811792705119815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3" spans="1:26" x14ac:dyDescent="0.25">
      <c r="A53" s="67" t="s">
        <v>106</v>
      </c>
      <c r="B53" s="67" t="s">
        <v>268</v>
      </c>
      <c r="C53" s="2">
        <v>15533</v>
      </c>
      <c r="D53">
        <f>RTD("tos.rtd", , "LAST", Main_L[[#This Row],[Symbol]])</f>
        <v>29.6</v>
      </c>
      <c r="E53">
        <v>1.97</v>
      </c>
      <c r="F53">
        <v>13.52</v>
      </c>
      <c r="G53">
        <v>2.23</v>
      </c>
      <c r="H53" s="1">
        <f>IF(ISNUMBER(Main_L[[#This Row],[Free CF]]),IF(Main_L[[#This Row],[Free CF]]&lt;&gt;0,Main_L[[#This Row],[Current Price]]/Main_L[[#This Row],[Free CF]],""),"")</f>
        <v>15.025380710659899</v>
      </c>
      <c r="I53" s="1">
        <f>IF(ISNUMBER(Main_L[[#This Row],[BVPS]]),IF(Main_L[[#This Row],[BVPS]]&lt;&gt;0,Main_L[[#This Row],[Current Price]]/Main_L[[#This Row],[BVPS]],""),"")</f>
        <v>2.1893491124260356</v>
      </c>
      <c r="J53">
        <v>16.559999999999999</v>
      </c>
      <c r="K53">
        <v>4.41</v>
      </c>
      <c r="L53">
        <v>6.88</v>
      </c>
      <c r="M53" s="1">
        <f>IF(ISNUMBER(Main_L[[#This Row],[EPS]]),IF(Main_L[[#This Row],[EPS]]&lt;&gt;0,Main_L[[#This Row],[Current Price]]/Main_L[[#This Row],[EPS]],""),"")</f>
        <v>13.273542600896862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3" s="1">
        <f>(Main_L[[#This Row],[P/FCF]]-VLOOKUP(Main_L[[#This Row],[Industry]], Mean_PFCF_L, 2, FALSE))/(VLOOKUP(Main_L[[#This Row],[Industry]], Mean_PFCF_L, 3, FALSE))</f>
        <v>-0.71757525128354027</v>
      </c>
      <c r="P53" s="1">
        <f>(Main_L[[#This Row],[P/B]]-VLOOKUP(Main_L[[#This Row],[Industry]], Mean_PB_L, 2, FALSE))/(VLOOKUP(Main_L[[#This Row],[Industry]], Mean_PB_L, 3, FALSE))</f>
        <v>-0.89280801440934632</v>
      </c>
      <c r="Q53" s="1">
        <f>(Main_L[[#This Row],[ROE]]-VLOOKUP(Main_L[[#This Row],[Industry]], Mean_ROE_L, 2, FALSE))/(VLOOKUP(Main_L[[#This Row],[Industry]], Mean_ROE_L, 3, FALSE))</f>
        <v>0.30468773893267126</v>
      </c>
      <c r="R53" s="1">
        <f>(Main_L[[#This Row],[ROA]]-VLOOKUP(Main_L[[#This Row],[Industry]], Mean_ROA_L, 2, FALSE))/(VLOOKUP(Main_L[[#This Row],[Industry]], Mean_ROA_L, 3, FALSE))</f>
        <v>-0.91865143523804904</v>
      </c>
      <c r="S53" s="1">
        <f>(Main_L[[#This Row],[A/E]]-VLOOKUP(Main_L[[#This Row],[Industry]], Mean_AE_L, 2, FALSE))/(VLOOKUP(Main_L[[#This Row],[Industry]], Mean_AE_L, 3, FALSE))</f>
        <v>1.0973401311662192</v>
      </c>
      <c r="T53" s="1">
        <f>(Main_L[[#This Row],[P/E]]-VLOOKUP(Main_L[[#This Row],[Industry]], Mean_PE_L, 2, FALSE))/(VLOOKUP(Main_L[[#This Row],[Industry]], Mean_PE_L, 3, FALSE))</f>
        <v>-0.55600327243739445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4" spans="1:26" x14ac:dyDescent="0.25">
      <c r="A54" s="67" t="s">
        <v>106</v>
      </c>
      <c r="B54" s="67" t="s">
        <v>118</v>
      </c>
      <c r="C54" s="2">
        <v>51190</v>
      </c>
      <c r="D54">
        <f>RTD("tos.rtd", , "LAST", Main_L[[#This Row],[Symbol]])</f>
        <v>16.829999999999998</v>
      </c>
      <c r="E54">
        <v>0.09</v>
      </c>
      <c r="F54">
        <v>0.3</v>
      </c>
      <c r="G54">
        <v>0.03</v>
      </c>
      <c r="H54" s="1">
        <f>IF(ISNUMBER(Main_L[[#This Row],[Free CF]]),IF(Main_L[[#This Row],[Free CF]]&lt;&gt;0,Main_L[[#This Row],[Current Price]]/Main_L[[#This Row],[Free CF]],""),"")</f>
        <v>187</v>
      </c>
      <c r="I54" s="1">
        <f>IF(ISNUMBER(Main_L[[#This Row],[BVPS]]),IF(Main_L[[#This Row],[BVPS]]&lt;&gt;0,Main_L[[#This Row],[Current Price]]/Main_L[[#This Row],[BVPS]],""),"")</f>
        <v>56.099999999999994</v>
      </c>
      <c r="J54">
        <v>9.16</v>
      </c>
      <c r="K54">
        <v>6.64</v>
      </c>
      <c r="L54">
        <v>4.93</v>
      </c>
      <c r="M54" s="1">
        <f>IF(ISNUMBER(Main_L[[#This Row],[EPS]]),IF(Main_L[[#This Row],[EPS]]&lt;&gt;0,Main_L[[#This Row],[Current Price]]/Main_L[[#This Row],[EPS]],""),"")</f>
        <v>561</v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4" s="1">
        <f>(Main_L[[#This Row],[P/FCF]]-VLOOKUP(Main_L[[#This Row],[Industry]], Mean_PFCF_L, 2, FALSE))/(VLOOKUP(Main_L[[#This Row],[Industry]], Mean_PFCF_L, 3, FALSE))</f>
        <v>27.151354668260069</v>
      </c>
      <c r="P54" s="1">
        <f>(Main_L[[#This Row],[P/B]]-VLOOKUP(Main_L[[#This Row],[Industry]], Mean_PB_L, 2, FALSE))/(VLOOKUP(Main_L[[#This Row],[Industry]], Mean_PB_L, 3, FALSE))</f>
        <v>44.455478365934709</v>
      </c>
      <c r="Q54" s="1">
        <f>(Main_L[[#This Row],[ROE]]-VLOOKUP(Main_L[[#This Row],[Industry]], Mean_ROE_L, 2, FALSE))/(VLOOKUP(Main_L[[#This Row],[Industry]], Mean_ROE_L, 3, FALSE))</f>
        <v>-1.6516586975981493</v>
      </c>
      <c r="R54" s="1">
        <f>(Main_L[[#This Row],[ROA]]-VLOOKUP(Main_L[[#This Row],[Industry]], Mean_ROA_L, 2, FALSE))/(VLOOKUP(Main_L[[#This Row],[Industry]], Mean_ROA_L, 3, FALSE))</f>
        <v>1.4773634192424749</v>
      </c>
      <c r="S54" s="1">
        <f>(Main_L[[#This Row],[A/E]]-VLOOKUP(Main_L[[#This Row],[Industry]], Mean_AE_L, 2, FALSE))/(VLOOKUP(Main_L[[#This Row],[Industry]], Mean_AE_L, 3, FALSE))</f>
        <v>1.1243239048832974E-3</v>
      </c>
      <c r="T54" s="1">
        <f>(Main_L[[#This Row],[P/E]]-VLOOKUP(Main_L[[#This Row],[Industry]], Mean_PE_L, 2, FALSE))/(VLOOKUP(Main_L[[#This Row],[Industry]], Mean_PE_L, 3, FALSE))</f>
        <v>107.44139602334516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5" spans="1:26" x14ac:dyDescent="0.25">
      <c r="A55" s="67" t="s">
        <v>106</v>
      </c>
      <c r="B55" s="67" t="s">
        <v>121</v>
      </c>
      <c r="C55" s="2">
        <v>25630</v>
      </c>
      <c r="D55">
        <f>RTD("tos.rtd", , "LAST", Main_L[[#This Row],[Symbol]])</f>
        <v>9.91</v>
      </c>
      <c r="E55">
        <v>0.36</v>
      </c>
      <c r="F55">
        <v>2.23</v>
      </c>
      <c r="G55">
        <v>-0.17</v>
      </c>
      <c r="H55" s="1">
        <f>IF(ISNUMBER(Main_L[[#This Row],[Free CF]]),IF(Main_L[[#This Row],[Free CF]]&lt;&gt;0,Main_L[[#This Row],[Current Price]]/Main_L[[#This Row],[Free CF]],""),"")</f>
        <v>27.527777777777779</v>
      </c>
      <c r="I55" s="1">
        <f>IF(ISNUMBER(Main_L[[#This Row],[BVPS]]),IF(Main_L[[#This Row],[BVPS]]&lt;&gt;0,Main_L[[#This Row],[Current Price]]/Main_L[[#This Row],[BVPS]],""),"")</f>
        <v>4.4439461883408073</v>
      </c>
      <c r="J55">
        <v>-6.48</v>
      </c>
      <c r="K55">
        <v>1.94</v>
      </c>
      <c r="L55">
        <v>2.44</v>
      </c>
      <c r="M55" s="1">
        <f>IF(ISNUMBER(Main_L[[#This Row],[EPS]]),IF(Main_L[[#This Row],[EPS]]&lt;&gt;0,Main_L[[#This Row],[Current Price]]/Main_L[[#This Row],[EPS]],""),"")</f>
        <v>-58.294117647058819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5" s="1">
        <f>(Main_L[[#This Row],[P/FCF]]-VLOOKUP(Main_L[[#This Row],[Industry]], Mean_PFCF_L, 2, FALSE))/(VLOOKUP(Main_L[[#This Row],[Industry]], Mean_PFCF_L, 3, FALSE))</f>
        <v>1.3084703892280956</v>
      </c>
      <c r="P55" s="1">
        <f>(Main_L[[#This Row],[P/B]]-VLOOKUP(Main_L[[#This Row],[Industry]], Mean_PB_L, 2, FALSE))/(VLOOKUP(Main_L[[#This Row],[Industry]], Mean_PB_L, 3, FALSE))</f>
        <v>1.0037024559258485</v>
      </c>
      <c r="Q55" s="1">
        <f>(Main_L[[#This Row],[ROE]]-VLOOKUP(Main_L[[#This Row],[Industry]], Mean_ROE_L, 2, FALSE))/(VLOOKUP(Main_L[[#This Row],[Industry]], Mean_ROE_L, 3, FALSE))</f>
        <v>-5.7864233283200468</v>
      </c>
      <c r="R55" s="1">
        <f>(Main_L[[#This Row],[ROA]]-VLOOKUP(Main_L[[#This Row],[Industry]], Mean_ROA_L, 2, FALSE))/(VLOOKUP(Main_L[[#This Row],[Industry]], Mean_ROA_L, 3, FALSE))</f>
        <v>-3.5725333592590784</v>
      </c>
      <c r="S55" s="1">
        <f>(Main_L[[#This Row],[A/E]]-VLOOKUP(Main_L[[#This Row],[Industry]], Mean_AE_L, 2, FALSE))/(VLOOKUP(Main_L[[#This Row],[Industry]], Mean_AE_L, 3, FALSE))</f>
        <v>-1.3986589376749761</v>
      </c>
      <c r="T55" s="1">
        <f>(Main_L[[#This Row],[P/E]]-VLOOKUP(Main_L[[#This Row],[Industry]], Mean_PE_L, 2, FALSE))/(VLOOKUP(Main_L[[#This Row],[Industry]], Mean_PE_L, 3, FALSE))</f>
        <v>-14.667282864745854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56"/>
  <sheetViews>
    <sheetView topLeftCell="H1" workbookViewId="0">
      <selection activeCell="B24" sqref="B24"/>
    </sheetView>
  </sheetViews>
  <sheetFormatPr defaultRowHeight="15" x14ac:dyDescent="0.25"/>
  <cols>
    <col min="1" max="1" width="36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7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105</v>
      </c>
      <c r="B2" s="67" t="s">
        <v>275</v>
      </c>
      <c r="C2" s="2">
        <v>5187</v>
      </c>
      <c r="D2">
        <f>RTD("tos.rtd", , "LAST", Main_M[[#This Row],[Symbol]])</f>
        <v>27.8</v>
      </c>
      <c r="H2" s="1" t="str">
        <f>IF(ISNUMBER(Main_M[[#This Row],[Free CF]]),IF(Main_M[[#This Row],[Free CF]]&lt;&gt;0,Main_M[[#This Row],[Current Price]]/Main_M[[#This Row],[Free CF]],""),"")</f>
        <v/>
      </c>
      <c r="I2" s="1" t="str">
        <f>IF(ISNUMBER(Main_M[[#This Row],[BVPS]]),IF(Main_M[[#This Row],[BVPS]]&lt;&gt;0,Main_M[[#This Row],[Current Price]]/Main_M[[#This Row],[BVPS]],""),"")</f>
        <v/>
      </c>
      <c r="J2">
        <v>0.94</v>
      </c>
      <c r="K2">
        <v>3.3</v>
      </c>
      <c r="L2">
        <v>2.4900000000000002</v>
      </c>
      <c r="M2" s="1" t="str">
        <f>IF(ISNUMBER(Main_M[[#This Row],[EPS]]),IF(Main_M[[#This Row],[EPS]]&lt;&gt;0,Main_M[[#This Row],[Current Price]]/Main_M[[#This Row],[EPS]],""),"")</f>
        <v/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 t="e">
        <f>(Main_M[[#This Row],[P/FCF]]-VLOOKUP(Main_M[[#This Row],[Industry]], Mean_PFCF_M, 2, FALSE))/(VLOOKUP(Main_M[[#This Row],[Industry]], Mean_PFCF_M, 3, FALSE))</f>
        <v>#VALUE!</v>
      </c>
      <c r="P2" s="1" t="e">
        <f>(Main_M[[#This Row],[P/B]]-VLOOKUP(Main_M[[#This Row],[Industry]], Mean_PB_M, 2, FALSE))/(VLOOKUP(Main_M[[#This Row],[Industry]], Mean_PB_M, 3, FALSE))</f>
        <v>#VALUE!</v>
      </c>
      <c r="Q2" s="1">
        <f>(Main_M[[#This Row],[ROE]]-VLOOKUP(Main_M[[#This Row],[Industry]], Mean_ROE_M, 2, FALSE))/(VLOOKUP(Main_M[[#This Row],[Industry]], Mean_ROE_M, 3, FALSE))</f>
        <v>0.21880532560090871</v>
      </c>
      <c r="R2" s="1">
        <f>(Main_M[[#This Row],[ROA]]-VLOOKUP(Main_M[[#This Row],[Industry]], Mean_ROA_M, 2, FALSE))/(VLOOKUP(Main_M[[#This Row],[Industry]], Mean_ROA_M, 3, FALSE))</f>
        <v>0.15384841179876113</v>
      </c>
      <c r="S2" s="1">
        <f>(Main_M[[#This Row],[A/E]]-VLOOKUP(Main_M[[#This Row],[Industry]], Mean_AE_M, 2, FALSE))/(VLOOKUP(Main_M[[#This Row],[Industry]], Mean_AE_M, 3, FALSE))</f>
        <v>-0.57682757944972374</v>
      </c>
      <c r="T2" s="1" t="e">
        <f>(Main_M[[#This Row],[P/E]]-VLOOKUP(Main_M[[#This Row],[Industry]], Mean_PE_M, 2, FALSE))/(VLOOKUP(Main_M[[#This Row],[Industry]], Mean_PE_M, 3, FALSE))</f>
        <v>#VALUE!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" spans="1:26" x14ac:dyDescent="0.25">
      <c r="A3" s="67" t="s">
        <v>105</v>
      </c>
      <c r="B3" s="67" t="s">
        <v>276</v>
      </c>
      <c r="C3" s="2">
        <v>6502</v>
      </c>
      <c r="D3">
        <f>RTD("tos.rtd", , "LAST", Main_M[[#This Row],[Symbol]])</f>
        <v>28.45</v>
      </c>
      <c r="E3">
        <v>2.69</v>
      </c>
      <c r="F3">
        <v>6.68</v>
      </c>
      <c r="G3">
        <v>2.29</v>
      </c>
      <c r="H3" s="1">
        <f>IF(ISNUMBER(Main_M[[#This Row],[Free CF]]),IF(Main_M[[#This Row],[Free CF]]&lt;&gt;0,Main_M[[#This Row],[Current Price]]/Main_M[[#This Row],[Free CF]],""),"")</f>
        <v>10.576208178438662</v>
      </c>
      <c r="I3" s="1">
        <f>IF(ISNUMBER(Main_M[[#This Row],[BVPS]]),IF(Main_M[[#This Row],[BVPS]]&lt;&gt;0,Main_M[[#This Row],[Current Price]]/Main_M[[#This Row],[BVPS]],""),"")</f>
        <v>4.2589820359281436</v>
      </c>
      <c r="J3">
        <v>35.32</v>
      </c>
      <c r="K3">
        <v>7</v>
      </c>
      <c r="L3">
        <v>5.85</v>
      </c>
      <c r="M3" s="1">
        <f>IF(ISNUMBER(Main_M[[#This Row],[EPS]]),IF(Main_M[[#This Row],[EPS]]&lt;&gt;0,Main_M[[#This Row],[Current Price]]/Main_M[[#This Row],[EPS]],""),"")</f>
        <v>12.4235807860262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0.77404857544032768</v>
      </c>
      <c r="P3" s="1">
        <f>(Main_M[[#This Row],[P/B]]-VLOOKUP(Main_M[[#This Row],[Industry]], Mean_PB_M, 2, FALSE))/(VLOOKUP(Main_M[[#This Row],[Industry]], Mean_PB_M, 3, FALSE))</f>
        <v>-0.15399019853805715</v>
      </c>
      <c r="Q3" s="1">
        <f>(Main_M[[#This Row],[ROE]]-VLOOKUP(Main_M[[#This Row],[Industry]], Mean_ROE_M, 2, FALSE))/(VLOOKUP(Main_M[[#This Row],[Industry]], Mean_ROE_M, 3, FALSE))</f>
        <v>1.3843141715308487</v>
      </c>
      <c r="R3" s="1">
        <f>(Main_M[[#This Row],[ROA]]-VLOOKUP(Main_M[[#This Row],[Industry]], Mean_ROA_M, 2, FALSE))/(VLOOKUP(Main_M[[#This Row],[Industry]], Mean_ROA_M, 3, FALSE))</f>
        <v>1.3890870164759761</v>
      </c>
      <c r="S3" s="1">
        <f>(Main_M[[#This Row],[A/E]]-VLOOKUP(Main_M[[#This Row],[Industry]], Mean_AE_M, 2, FALSE))/(VLOOKUP(Main_M[[#This Row],[Industry]], Mean_AE_M, 3, FALSE))</f>
        <v>1.9677772349280502</v>
      </c>
      <c r="T3" s="1">
        <f>(Main_M[[#This Row],[P/E]]-VLOOKUP(Main_M[[#This Row],[Industry]], Mean_PE_M, 2, FALSE))/(VLOOKUP(Main_M[[#This Row],[Industry]], Mean_PE_M, 3, FALSE))</f>
        <v>0.62822626991180186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s="67" t="s">
        <v>105</v>
      </c>
      <c r="B4" s="67" t="s">
        <v>161</v>
      </c>
      <c r="C4" s="2">
        <v>9177</v>
      </c>
      <c r="D4">
        <f>RTD("tos.rtd", , "LAST", Main_M[[#This Row],[Symbol]])</f>
        <v>19.88</v>
      </c>
      <c r="E4">
        <v>1.21</v>
      </c>
      <c r="F4">
        <v>45.85</v>
      </c>
      <c r="G4">
        <v>1.75</v>
      </c>
      <c r="H4" s="1">
        <f>IF(ISNUMBER(Main_M[[#This Row],[Free CF]]),IF(Main_M[[#This Row],[Free CF]]&lt;&gt;0,Main_M[[#This Row],[Current Price]]/Main_M[[#This Row],[Free CF]],""),"")</f>
        <v>16.429752066115704</v>
      </c>
      <c r="I4" s="1">
        <f>IF(ISNUMBER(Main_M[[#This Row],[BVPS]]),IF(Main_M[[#This Row],[BVPS]]&lt;&gt;0,Main_M[[#This Row],[Current Price]]/Main_M[[#This Row],[BVPS]],""),"")</f>
        <v>0.43358778625954197</v>
      </c>
      <c r="J4">
        <v>3.2</v>
      </c>
      <c r="K4">
        <v>1.47</v>
      </c>
      <c r="L4">
        <v>2.54</v>
      </c>
      <c r="M4" s="1">
        <f>IF(ISNUMBER(Main_M[[#This Row],[EPS]]),IF(Main_M[[#This Row],[EPS]]&lt;&gt;0,Main_M[[#This Row],[Current Price]]/Main_M[[#This Row],[EPS]],""),"")</f>
        <v>11.36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1.4919401858514791</v>
      </c>
      <c r="P4" s="1">
        <f>(Main_M[[#This Row],[P/B]]-VLOOKUP(Main_M[[#This Row],[Industry]], Mean_PB_M, 2, FALSE))/(VLOOKUP(Main_M[[#This Row],[Industry]], Mean_PB_M, 3, FALSE))</f>
        <v>-0.89274825786069711</v>
      </c>
      <c r="Q4" s="1">
        <f>(Main_M[[#This Row],[ROE]]-VLOOKUP(Main_M[[#This Row],[Industry]], Mean_ROE_M, 2, FALSE))/(VLOOKUP(Main_M[[#This Row],[Industry]], Mean_ROE_M, 3, FALSE))</f>
        <v>0.29542109034208569</v>
      </c>
      <c r="R4" s="1">
        <f>(Main_M[[#This Row],[ROA]]-VLOOKUP(Main_M[[#This Row],[Industry]], Mean_ROA_M, 2, FALSE))/(VLOOKUP(Main_M[[#This Row],[Industry]], Mean_ROA_M, 3, FALSE))</f>
        <v>-0.45709392510915869</v>
      </c>
      <c r="S4" s="1">
        <f>(Main_M[[#This Row],[A/E]]-VLOOKUP(Main_M[[#This Row],[Industry]], Mean_AE_M, 2, FALSE))/(VLOOKUP(Main_M[[#This Row],[Industry]], Mean_AE_M, 3, FALSE))</f>
        <v>-0.53896143637862604</v>
      </c>
      <c r="T4" s="1">
        <f>(Main_M[[#This Row],[P/E]]-VLOOKUP(Main_M[[#This Row],[Industry]], Mean_PE_M, 2, FALSE))/(VLOOKUP(Main_M[[#This Row],[Industry]], Mean_PE_M, 3, FALSE))</f>
        <v>0.58432968437272748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s="67" t="s">
        <v>105</v>
      </c>
      <c r="B5" s="67" t="s">
        <v>277</v>
      </c>
      <c r="C5" s="2">
        <v>7869</v>
      </c>
      <c r="D5">
        <f>RTD("tos.rtd", , "LAST", Main_M[[#This Row],[Symbol]])</f>
        <v>9.94</v>
      </c>
      <c r="E5">
        <v>1.24</v>
      </c>
      <c r="F5">
        <v>5.62</v>
      </c>
      <c r="G5">
        <v>1.3</v>
      </c>
      <c r="H5" s="1">
        <f>IF(ISNUMBER(Main_M[[#This Row],[Free CF]]),IF(Main_M[[#This Row],[Free CF]]&lt;&gt;0,Main_M[[#This Row],[Current Price]]/Main_M[[#This Row],[Free CF]],""),"")</f>
        <v>8.0161290322580641</v>
      </c>
      <c r="I5" s="1">
        <f>IF(ISNUMBER(Main_M[[#This Row],[BVPS]]),IF(Main_M[[#This Row],[BVPS]]&lt;&gt;0,Main_M[[#This Row],[Current Price]]/Main_M[[#This Row],[BVPS]],""),"")</f>
        <v>1.7686832740213523</v>
      </c>
      <c r="J5">
        <v>23.69</v>
      </c>
      <c r="K5">
        <v>8.6</v>
      </c>
      <c r="L5">
        <v>2.4500000000000002</v>
      </c>
      <c r="M5" s="1">
        <f>IF(ISNUMBER(Main_M[[#This Row],[EPS]]),IF(Main_M[[#This Row],[EPS]]&lt;&gt;0,Main_M[[#This Row],[Current Price]]/Main_M[[#This Row],[EPS]],""),"")</f>
        <v>7.6461538461538456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0.46007478856897926</v>
      </c>
      <c r="P5" s="1">
        <f>(Main_M[[#This Row],[P/B]]-VLOOKUP(Main_M[[#This Row],[Industry]], Mean_PB_M, 2, FALSE))/(VLOOKUP(Main_M[[#This Row],[Industry]], Mean_PB_M, 3, FALSE))</f>
        <v>-0.63491534256450932</v>
      </c>
      <c r="Q5" s="1">
        <f>(Main_M[[#This Row],[ROE]]-VLOOKUP(Main_M[[#This Row],[Industry]], Mean_ROE_M, 2, FALSE))/(VLOOKUP(Main_M[[#This Row],[Industry]], Mean_ROE_M, 3, FALSE))</f>
        <v>0.99004809014151762</v>
      </c>
      <c r="R5" s="1">
        <f>(Main_M[[#This Row],[ROA]]-VLOOKUP(Main_M[[#This Row],[Industry]], Mean_ROA_M, 2, FALSE))/(VLOOKUP(Main_M[[#This Row],[Industry]], Mean_ROA_M, 3, FALSE))</f>
        <v>1.9232442509309879</v>
      </c>
      <c r="S5" s="1">
        <f>(Main_M[[#This Row],[A/E]]-VLOOKUP(Main_M[[#This Row],[Industry]], Mean_AE_M, 2, FALSE))/(VLOOKUP(Main_M[[#This Row],[Industry]], Mean_AE_M, 3, FALSE))</f>
        <v>-0.60712049390660194</v>
      </c>
      <c r="T5" s="1">
        <f>(Main_M[[#This Row],[P/E]]-VLOOKUP(Main_M[[#This Row],[Industry]], Mean_PE_M, 2, FALSE))/(VLOOKUP(Main_M[[#This Row],[Industry]], Mean_PE_M, 3, FALSE))</f>
        <v>0.43105015214239062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s="67" t="s">
        <v>105</v>
      </c>
      <c r="B6" s="67" t="s">
        <v>156</v>
      </c>
      <c r="C6" s="2">
        <v>2747</v>
      </c>
      <c r="D6">
        <f>RTD("tos.rtd", , "LAST", Main_M[[#This Row],[Symbol]])</f>
        <v>28.56</v>
      </c>
      <c r="E6">
        <v>2.48</v>
      </c>
      <c r="F6">
        <v>4.7699999999999996</v>
      </c>
      <c r="G6">
        <v>1.05</v>
      </c>
      <c r="H6" s="1">
        <f>IF(ISNUMBER(Main_M[[#This Row],[Free CF]]),IF(Main_M[[#This Row],[Free CF]]&lt;&gt;0,Main_M[[#This Row],[Current Price]]/Main_M[[#This Row],[Free CF]],""),"")</f>
        <v>11.516129032258064</v>
      </c>
      <c r="I6" s="1">
        <f>IF(ISNUMBER(Main_M[[#This Row],[BVPS]]),IF(Main_M[[#This Row],[BVPS]]&lt;&gt;0,Main_M[[#This Row],[Current Price]]/Main_M[[#This Row],[BVPS]],""),"")</f>
        <v>5.9874213836477992</v>
      </c>
      <c r="J6">
        <v>18.010000000000002</v>
      </c>
      <c r="K6">
        <v>4.97</v>
      </c>
      <c r="L6">
        <v>5.03</v>
      </c>
      <c r="M6" s="1">
        <f>IF(ISNUMBER(Main_M[[#This Row],[EPS]]),IF(Main_M[[#This Row],[EPS]]&lt;&gt;0,Main_M[[#This Row],[Current Price]]/Main_M[[#This Row],[EPS]],""),"")</f>
        <v>27.2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0.88932255447855635</v>
      </c>
      <c r="P6" s="1">
        <f>(Main_M[[#This Row],[P/B]]-VLOOKUP(Main_M[[#This Row],[Industry]], Mean_PB_M, 2, FALSE))/(VLOOKUP(Main_M[[#This Row],[Industry]], Mean_PB_M, 3, FALSE))</f>
        <v>0.17980506930626547</v>
      </c>
      <c r="Q6" s="1">
        <f>(Main_M[[#This Row],[ROE]]-VLOOKUP(Main_M[[#This Row],[Industry]], Mean_ROE_M, 2, FALSE))/(VLOOKUP(Main_M[[#This Row],[Industry]], Mean_ROE_M, 3, FALSE))</f>
        <v>0.79749165486280738</v>
      </c>
      <c r="R6" s="1">
        <f>(Main_M[[#This Row],[ROA]]-VLOOKUP(Main_M[[#This Row],[Industry]], Mean_ROA_M, 2, FALSE))/(VLOOKUP(Main_M[[#This Row],[Industry]], Mean_ROA_M, 3, FALSE))</f>
        <v>0.71137502526117979</v>
      </c>
      <c r="S6" s="1">
        <f>(Main_M[[#This Row],[A/E]]-VLOOKUP(Main_M[[#This Row],[Industry]], Mean_AE_M, 2, FALSE))/(VLOOKUP(Main_M[[#This Row],[Industry]], Mean_AE_M, 3, FALSE))</f>
        <v>1.3467724885620462</v>
      </c>
      <c r="T6" s="1">
        <f>(Main_M[[#This Row],[P/E]]-VLOOKUP(Main_M[[#This Row],[Industry]], Mean_PE_M, 2, FALSE))/(VLOOKUP(Main_M[[#This Row],[Industry]], Mean_PE_M, 3, FALSE))</f>
        <v>1.2380853031977268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s="67" t="s">
        <v>105</v>
      </c>
      <c r="B7" s="67" t="s">
        <v>279</v>
      </c>
      <c r="C7" s="2">
        <v>3384</v>
      </c>
      <c r="D7">
        <f>RTD("tos.rtd", , "LAST", Main_M[[#This Row],[Symbol]])</f>
        <v>39</v>
      </c>
      <c r="E7">
        <v>0.32</v>
      </c>
      <c r="F7">
        <v>5.3</v>
      </c>
      <c r="G7">
        <v>0.75</v>
      </c>
      <c r="H7" s="1">
        <f>IF(ISNUMBER(Main_M[[#This Row],[Free CF]]),IF(Main_M[[#This Row],[Free CF]]&lt;&gt;0,Main_M[[#This Row],[Current Price]]/Main_M[[#This Row],[Free CF]],""),"")</f>
        <v>121.875</v>
      </c>
      <c r="I7" s="1">
        <f>IF(ISNUMBER(Main_M[[#This Row],[BVPS]]),IF(Main_M[[#This Row],[BVPS]]&lt;&gt;0,Main_M[[#This Row],[Current Price]]/Main_M[[#This Row],[BVPS]],""),"")</f>
        <v>7.3584905660377364</v>
      </c>
      <c r="J7">
        <v>14.94</v>
      </c>
      <c r="K7">
        <v>6.42</v>
      </c>
      <c r="L7">
        <v>2.2200000000000002</v>
      </c>
      <c r="M7" s="1">
        <f>IF(ISNUMBER(Main_M[[#This Row],[EPS]]),IF(Main_M[[#This Row],[EPS]]&lt;&gt;0,Main_M[[#This Row],[Current Price]]/Main_M[[#This Row],[EPS]],""),"")</f>
        <v>52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14.423979357680418</v>
      </c>
      <c r="P7" s="1">
        <f>(Main_M[[#This Row],[P/B]]-VLOOKUP(Main_M[[#This Row],[Industry]], Mean_PB_M, 2, FALSE))/(VLOOKUP(Main_M[[#This Row],[Industry]], Mean_PB_M, 3, FALSE))</f>
        <v>0.44458520496606485</v>
      </c>
      <c r="Q7" s="1">
        <f>(Main_M[[#This Row],[ROE]]-VLOOKUP(Main_M[[#This Row],[Industry]], Mean_ROE_M, 2, FALSE))/(VLOOKUP(Main_M[[#This Row],[Industry]], Mean_ROE_M, 3, FALSE))</f>
        <v>0.69341625762589887</v>
      </c>
      <c r="R7" s="1">
        <f>(Main_M[[#This Row],[ROA]]-VLOOKUP(Main_M[[#This Row],[Industry]], Mean_ROA_M, 2, FALSE))/(VLOOKUP(Main_M[[#This Row],[Industry]], Mean_ROA_M, 3, FALSE))</f>
        <v>1.1954550189860345</v>
      </c>
      <c r="S7" s="1">
        <f>(Main_M[[#This Row],[A/E]]-VLOOKUP(Main_M[[#This Row],[Industry]], Mean_AE_M, 2, FALSE))/(VLOOKUP(Main_M[[#This Row],[Industry]], Mean_AE_M, 3, FALSE))</f>
        <v>-0.78130475203365202</v>
      </c>
      <c r="T7" s="1">
        <f>(Main_M[[#This Row],[P/E]]-VLOOKUP(Main_M[[#This Row],[Industry]], Mean_PE_M, 2, FALSE))/(VLOOKUP(Main_M[[#This Row],[Industry]], Mean_PE_M, 3, FALSE))</f>
        <v>2.2616420801459585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s="67" t="s">
        <v>105</v>
      </c>
      <c r="B8" s="67" t="s">
        <v>163</v>
      </c>
      <c r="C8" s="2">
        <v>4200</v>
      </c>
      <c r="D8">
        <f>RTD("tos.rtd", , "LAST", Main_M[[#This Row],[Symbol]])</f>
        <v>9.4600000000000009</v>
      </c>
      <c r="E8">
        <v>0.15</v>
      </c>
      <c r="F8">
        <v>2.6</v>
      </c>
      <c r="G8">
        <v>0.02</v>
      </c>
      <c r="H8" s="1">
        <f>IF(ISNUMBER(Main_M[[#This Row],[Free CF]]),IF(Main_M[[#This Row],[Free CF]]&lt;&gt;0,Main_M[[#This Row],[Current Price]]/Main_M[[#This Row],[Free CF]],""),"")</f>
        <v>63.066666666666677</v>
      </c>
      <c r="I8" s="1">
        <f>IF(ISNUMBER(Main_M[[#This Row],[BVPS]]),IF(Main_M[[#This Row],[BVPS]]&lt;&gt;0,Main_M[[#This Row],[Current Price]]/Main_M[[#This Row],[BVPS]],""),"")</f>
        <v>3.6384615384615389</v>
      </c>
      <c r="J8">
        <v>1.47</v>
      </c>
      <c r="K8">
        <v>0.09</v>
      </c>
      <c r="L8">
        <v>2.33</v>
      </c>
      <c r="M8" s="1">
        <f>IF(ISNUMBER(Main_M[[#This Row],[EPS]]),IF(Main_M[[#This Row],[EPS]]&lt;&gt;0,Main_M[[#This Row],[Current Price]]/Main_M[[#This Row],[EPS]],""),"")</f>
        <v>473.00000000000006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7.2115948719092628</v>
      </c>
      <c r="P8" s="1">
        <f>(Main_M[[#This Row],[P/B]]-VLOOKUP(Main_M[[#This Row],[Industry]], Mean_PB_M, 2, FALSE))/(VLOOKUP(Main_M[[#This Row],[Industry]], Mean_PB_M, 3, FALSE))</f>
        <v>-0.27382477990651638</v>
      </c>
      <c r="Q8" s="1">
        <f>(Main_M[[#This Row],[ROE]]-VLOOKUP(Main_M[[#This Row],[Industry]], Mean_ROE_M, 2, FALSE))/(VLOOKUP(Main_M[[#This Row],[Industry]], Mean_ROE_M, 3, FALSE))</f>
        <v>0.23677273945614044</v>
      </c>
      <c r="R8" s="1">
        <f>(Main_M[[#This Row],[ROA]]-VLOOKUP(Main_M[[#This Row],[Industry]], Mean_ROA_M, 2, FALSE))/(VLOOKUP(Main_M[[#This Row],[Industry]], Mean_ROA_M, 3, FALSE))</f>
        <v>-0.91780453982660648</v>
      </c>
      <c r="S8" s="1">
        <f>(Main_M[[#This Row],[A/E]]-VLOOKUP(Main_M[[#This Row],[Industry]], Mean_AE_M, 2, FALSE))/(VLOOKUP(Main_M[[#This Row],[Industry]], Mean_AE_M, 3, FALSE))</f>
        <v>-0.69799923727723689</v>
      </c>
      <c r="T8" s="1">
        <f>(Main_M[[#This Row],[P/E]]-VLOOKUP(Main_M[[#This Row],[Industry]], Mean_PE_M, 2, FALSE))/(VLOOKUP(Main_M[[#This Row],[Industry]], Mean_PE_M, 3, FALSE))</f>
        <v>19.637343817855857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" spans="1:26" x14ac:dyDescent="0.25">
      <c r="A9" s="67" t="s">
        <v>105</v>
      </c>
      <c r="B9" s="67" t="s">
        <v>159</v>
      </c>
      <c r="C9" s="2">
        <v>4022</v>
      </c>
      <c r="D9">
        <f>RTD("tos.rtd", , "LAST", Main_M[[#This Row],[Symbol]])</f>
        <v>4.2</v>
      </c>
      <c r="E9">
        <v>1.03</v>
      </c>
      <c r="F9">
        <v>0.28000000000000003</v>
      </c>
      <c r="G9">
        <v>-0.32</v>
      </c>
      <c r="H9" s="1">
        <f>IF(ISNUMBER(Main_M[[#This Row],[Free CF]]),IF(Main_M[[#This Row],[Free CF]]&lt;&gt;0,Main_M[[#This Row],[Current Price]]/Main_M[[#This Row],[Free CF]],""),"")</f>
        <v>4.0776699029126213</v>
      </c>
      <c r="I9" s="1">
        <f>IF(ISNUMBER(Main_M[[#This Row],[BVPS]]),IF(Main_M[[#This Row],[BVPS]]&lt;&gt;0,Main_M[[#This Row],[Current Price]]/Main_M[[#This Row],[BVPS]],""),"")</f>
        <v>15</v>
      </c>
      <c r="J9">
        <v>-78.94</v>
      </c>
      <c r="K9">
        <v>0.91</v>
      </c>
      <c r="L9">
        <v>116.05</v>
      </c>
      <c r="M9" s="1">
        <f>IF(ISNUMBER(Main_M[[#This Row],[EPS]]),IF(Main_M[[#This Row],[EPS]]&lt;&gt;0,Main_M[[#This Row],[Current Price]]/Main_M[[#This Row],[EPS]],""),"")</f>
        <v>-13.125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-2.2946577830366292E-2</v>
      </c>
      <c r="P9" s="1">
        <f>(Main_M[[#This Row],[P/B]]-VLOOKUP(Main_M[[#This Row],[Industry]], Mean_PB_M, 2, FALSE))/(VLOOKUP(Main_M[[#This Row],[Industry]], Mean_PB_M, 3, FALSE))</f>
        <v>1.9203093555470565</v>
      </c>
      <c r="Q9" s="1">
        <f>(Main_M[[#This Row],[ROE]]-VLOOKUP(Main_M[[#This Row],[Industry]], Mean_ROE_M, 2, FALSE))/(VLOOKUP(Main_M[[#This Row],[Industry]], Mean_ROE_M, 3, FALSE))</f>
        <v>-2.4891890494102489</v>
      </c>
      <c r="R9" s="1">
        <f>(Main_M[[#This Row],[ROA]]-VLOOKUP(Main_M[[#This Row],[Industry]], Mean_ROA_M, 2, FALSE))/(VLOOKUP(Main_M[[#This Row],[Industry]], Mean_ROA_M, 3, FALSE))</f>
        <v>-0.64404895716841282</v>
      </c>
      <c r="S9" s="1">
        <f>(Main_M[[#This Row],[A/E]]-VLOOKUP(Main_M[[#This Row],[Industry]], Mean_AE_M, 2, FALSE))/(VLOOKUP(Main_M[[#This Row],[Industry]], Mean_AE_M, 3, FALSE))</f>
        <v>85.424756563627668</v>
      </c>
      <c r="T9" s="1">
        <f>(Main_M[[#This Row],[P/E]]-VLOOKUP(Main_M[[#This Row],[Industry]], Mean_PE_M, 2, FALSE))/(VLOOKUP(Main_M[[#This Row],[Industry]], Mean_PE_M, 3, FALSE))</f>
        <v>-0.42622627061023405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s="67" t="s">
        <v>105</v>
      </c>
      <c r="B10" s="67" t="s">
        <v>157</v>
      </c>
      <c r="C10" s="2">
        <v>3328</v>
      </c>
      <c r="D10">
        <f>RTD("tos.rtd", , "LAST", Main_M[[#This Row],[Symbol]])</f>
        <v>9.59</v>
      </c>
      <c r="E10">
        <v>2.7</v>
      </c>
      <c r="F10">
        <v>36.44</v>
      </c>
      <c r="G10">
        <v>-0.41</v>
      </c>
      <c r="H10" s="1">
        <f>IF(ISNUMBER(Main_M[[#This Row],[Free CF]]),IF(Main_M[[#This Row],[Free CF]]&lt;&gt;0,Main_M[[#This Row],[Current Price]]/Main_M[[#This Row],[Free CF]],""),"")</f>
        <v>3.5518518518518514</v>
      </c>
      <c r="I10" s="1">
        <f>IF(ISNUMBER(Main_M[[#This Row],[BVPS]]),IF(Main_M[[#This Row],[BVPS]]&lt;&gt;0,Main_M[[#This Row],[Current Price]]/Main_M[[#This Row],[BVPS]],""),"")</f>
        <v>0.263172338090011</v>
      </c>
      <c r="J10">
        <v>-0.56999999999999995</v>
      </c>
      <c r="K10">
        <v>0.05</v>
      </c>
      <c r="L10">
        <v>2.0499999999999998</v>
      </c>
      <c r="M10" s="1">
        <f>IF(ISNUMBER(Main_M[[#This Row],[EPS]]),IF(Main_M[[#This Row],[EPS]]&lt;&gt;0,Main_M[[#This Row],[Current Price]]/Main_M[[#This Row],[EPS]],""),"")</f>
        <v>-23.390243902439025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-8.7434070314012985E-2</v>
      </c>
      <c r="P10" s="1">
        <f>(Main_M[[#This Row],[P/B]]-VLOOKUP(Main_M[[#This Row],[Industry]], Mean_PB_M, 2, FALSE))/(VLOOKUP(Main_M[[#This Row],[Industry]], Mean_PB_M, 3, FALSE))</f>
        <v>-0.92565879663176032</v>
      </c>
      <c r="Q10" s="1">
        <f>(Main_M[[#This Row],[ROE]]-VLOOKUP(Main_M[[#This Row],[Industry]], Mean_ROE_M, 2, FALSE))/(VLOOKUP(Main_M[[#This Row],[Industry]], Mean_ROE_M, 3, FALSE))</f>
        <v>0.16761514650392759</v>
      </c>
      <c r="R10" s="1">
        <f>(Main_M[[#This Row],[ROA]]-VLOOKUP(Main_M[[#This Row],[Industry]], Mean_ROA_M, 2, FALSE))/(VLOOKUP(Main_M[[#This Row],[Industry]], Mean_ROA_M, 3, FALSE))</f>
        <v>-0.93115847068798185</v>
      </c>
      <c r="S10" s="1">
        <f>(Main_M[[#This Row],[A/E]]-VLOOKUP(Main_M[[#This Row],[Industry]], Mean_AE_M, 2, FALSE))/(VLOOKUP(Main_M[[#This Row],[Industry]], Mean_AE_M, 3, FALSE))</f>
        <v>-0.91004963847538489</v>
      </c>
      <c r="T10" s="1">
        <f>(Main_M[[#This Row],[P/E]]-VLOOKUP(Main_M[[#This Row],[Industry]], Mean_PE_M, 2, FALSE))/(VLOOKUP(Main_M[[#This Row],[Industry]], Mean_PE_M, 3, FALSE))</f>
        <v>-0.84989804332668473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s="67" t="s">
        <v>105</v>
      </c>
      <c r="B11" s="67" t="s">
        <v>158</v>
      </c>
      <c r="C11" s="2">
        <v>3311</v>
      </c>
      <c r="D11">
        <f>RTD("tos.rtd", , "LAST", Main_M[[#This Row],[Symbol]])</f>
        <v>9.89</v>
      </c>
      <c r="E11">
        <v>2.7</v>
      </c>
      <c r="F11">
        <v>36.44</v>
      </c>
      <c r="G11">
        <v>-0.41</v>
      </c>
      <c r="H11" s="1">
        <f>IF(ISNUMBER(Main_M[[#This Row],[Free CF]]),IF(Main_M[[#This Row],[Free CF]]&lt;&gt;0,Main_M[[#This Row],[Current Price]]/Main_M[[#This Row],[Free CF]],""),"")</f>
        <v>3.662962962962963</v>
      </c>
      <c r="I11" s="1">
        <f>IF(ISNUMBER(Main_M[[#This Row],[BVPS]]),IF(Main_M[[#This Row],[BVPS]]&lt;&gt;0,Main_M[[#This Row],[Current Price]]/Main_M[[#This Row],[BVPS]],""),"")</f>
        <v>0.27140504939626786</v>
      </c>
      <c r="J11">
        <v>-0.56999999999999995</v>
      </c>
      <c r="K11">
        <v>0.05</v>
      </c>
      <c r="L11">
        <v>2.0499999999999998</v>
      </c>
      <c r="M11" s="1">
        <f>IF(ISNUMBER(Main_M[[#This Row],[EPS]]),IF(Main_M[[#This Row],[EPS]]&lt;&gt;0,Main_M[[#This Row],[Current Price]]/Main_M[[#This Row],[EPS]],""),"")</f>
        <v>-24.121951219512198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-7.3807157110534288E-2</v>
      </c>
      <c r="P11" s="1">
        <f>(Main_M[[#This Row],[P/B]]-VLOOKUP(Main_M[[#This Row],[Industry]], Mean_PB_M, 2, FALSE))/(VLOOKUP(Main_M[[#This Row],[Industry]], Mean_PB_M, 3, FALSE))</f>
        <v>-0.92406889989677643</v>
      </c>
      <c r="Q11" s="1">
        <f>(Main_M[[#This Row],[ROE]]-VLOOKUP(Main_M[[#This Row],[Industry]], Mean_ROE_M, 2, FALSE))/(VLOOKUP(Main_M[[#This Row],[Industry]], Mean_ROE_M, 3, FALSE))</f>
        <v>0.16761514650392759</v>
      </c>
      <c r="R11" s="1">
        <f>(Main_M[[#This Row],[ROA]]-VLOOKUP(Main_M[[#This Row],[Industry]], Mean_ROA_M, 2, FALSE))/(VLOOKUP(Main_M[[#This Row],[Industry]], Mean_ROA_M, 3, FALSE))</f>
        <v>-0.93115847068798185</v>
      </c>
      <c r="S11" s="1">
        <f>(Main_M[[#This Row],[A/E]]-VLOOKUP(Main_M[[#This Row],[Industry]], Mean_AE_M, 2, FALSE))/(VLOOKUP(Main_M[[#This Row],[Industry]], Mean_AE_M, 3, FALSE))</f>
        <v>-0.91004963847538489</v>
      </c>
      <c r="T11" s="1">
        <f>(Main_M[[#This Row],[P/E]]-VLOOKUP(Main_M[[#This Row],[Industry]], Mean_PE_M, 2, FALSE))/(VLOOKUP(Main_M[[#This Row],[Industry]], Mean_PE_M, 3, FALSE))</f>
        <v>-0.88009739748526761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s="67" t="s">
        <v>105</v>
      </c>
      <c r="B12" s="67" t="s">
        <v>155</v>
      </c>
      <c r="C12" s="2">
        <v>2337</v>
      </c>
      <c r="D12">
        <f>RTD("tos.rtd", , "LAST", Main_M[[#This Row],[Symbol]])</f>
        <v>21.19</v>
      </c>
      <c r="E12">
        <v>0.43</v>
      </c>
      <c r="F12">
        <v>2.72</v>
      </c>
      <c r="G12">
        <v>-0.62</v>
      </c>
      <c r="H12" s="1">
        <f>IF(ISNUMBER(Main_M[[#This Row],[Free CF]]),IF(Main_M[[#This Row],[Free CF]]&lt;&gt;0,Main_M[[#This Row],[Current Price]]/Main_M[[#This Row],[Free CF]],""),"")</f>
        <v>49.279069767441861</v>
      </c>
      <c r="I12" s="1">
        <f>IF(ISNUMBER(Main_M[[#This Row],[BVPS]]),IF(Main_M[[#This Row],[BVPS]]&lt;&gt;0,Main_M[[#This Row],[Current Price]]/Main_M[[#This Row],[BVPS]],""),"")</f>
        <v>7.7904411764705879</v>
      </c>
      <c r="J12">
        <v>-18.66</v>
      </c>
      <c r="K12">
        <v>0.12</v>
      </c>
      <c r="L12">
        <v>5.0199999999999996</v>
      </c>
      <c r="M12" s="1">
        <f>IF(ISNUMBER(Main_M[[#This Row],[EPS]]),IF(Main_M[[#This Row],[EPS]]&lt;&gt;0,Main_M[[#This Row],[Current Price]]/Main_M[[#This Row],[EPS]],""),"")</f>
        <v>-34.177419354838712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5.520653395836673</v>
      </c>
      <c r="P12" s="1">
        <f>(Main_M[[#This Row],[P/B]]-VLOOKUP(Main_M[[#This Row],[Industry]], Mean_PB_M, 2, FALSE))/(VLOOKUP(Main_M[[#This Row],[Industry]], Mean_PB_M, 3, FALSE))</f>
        <v>0.52800327219253373</v>
      </c>
      <c r="Q12" s="1">
        <f>(Main_M[[#This Row],[ROE]]-VLOOKUP(Main_M[[#This Row],[Industry]], Mean_ROE_M, 2, FALSE))/(VLOOKUP(Main_M[[#This Row],[Industry]], Mean_ROE_M, 3, FALSE))</f>
        <v>-0.44564997923407756</v>
      </c>
      <c r="R12" s="1">
        <f>(Main_M[[#This Row],[ROA]]-VLOOKUP(Main_M[[#This Row],[Industry]], Mean_ROA_M, 2, FALSE))/(VLOOKUP(Main_M[[#This Row],[Industry]], Mean_ROA_M, 3, FALSE))</f>
        <v>-0.90778909168057498</v>
      </c>
      <c r="S12" s="1">
        <f>(Main_M[[#This Row],[A/E]]-VLOOKUP(Main_M[[#This Row],[Industry]], Mean_AE_M, 2, FALSE))/(VLOOKUP(Main_M[[#This Row],[Industry]], Mean_AE_M, 3, FALSE))</f>
        <v>1.3391992599478262</v>
      </c>
      <c r="T12" s="1">
        <f>(Main_M[[#This Row],[P/E]]-VLOOKUP(Main_M[[#This Row],[Industry]], Mean_PE_M, 2, FALSE))/(VLOOKUP(Main_M[[#This Row],[Industry]], Mean_PE_M, 3, FALSE))</f>
        <v>-1.2951112101989954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s="67" t="s">
        <v>105</v>
      </c>
      <c r="B13" s="67" t="s">
        <v>160</v>
      </c>
      <c r="C13" s="2">
        <v>9066</v>
      </c>
      <c r="D13">
        <f>RTD("tos.rtd", , "LAST", Main_M[[#This Row],[Symbol]])</f>
        <v>36.270000000000003</v>
      </c>
      <c r="E13">
        <v>-4.29</v>
      </c>
      <c r="F13">
        <v>19.489999999999998</v>
      </c>
      <c r="G13">
        <v>-1.56</v>
      </c>
      <c r="H13" s="1">
        <f>IF(ISNUMBER(Main_M[[#This Row],[Free CF]]),IF(Main_M[[#This Row],[Free CF]]&lt;&gt;0,Main_M[[#This Row],[Current Price]]/Main_M[[#This Row],[Free CF]],""),"")</f>
        <v>-8.454545454545455</v>
      </c>
      <c r="I13" s="1">
        <f>IF(ISNUMBER(Main_M[[#This Row],[BVPS]]),IF(Main_M[[#This Row],[BVPS]]&lt;&gt;0,Main_M[[#This Row],[Current Price]]/Main_M[[#This Row],[BVPS]],""),"")</f>
        <v>1.860954335556696</v>
      </c>
      <c r="J13">
        <v>-7.64</v>
      </c>
      <c r="K13">
        <v>1.47</v>
      </c>
      <c r="L13">
        <v>4.28</v>
      </c>
      <c r="M13" s="1">
        <f>IF(ISNUMBER(Main_M[[#This Row],[EPS]]),IF(Main_M[[#This Row],[EPS]]&lt;&gt;0,Main_M[[#This Row],[Current Price]]/Main_M[[#This Row],[EPS]],""),"")</f>
        <v>-23.25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-1.5599252761408153</v>
      </c>
      <c r="P13" s="1">
        <f>(Main_M[[#This Row],[P/B]]-VLOOKUP(Main_M[[#This Row],[Industry]], Mean_PB_M, 2, FALSE))/(VLOOKUP(Main_M[[#This Row],[Industry]], Mean_PB_M, 3, FALSE))</f>
        <v>-0.61709600528773179</v>
      </c>
      <c r="Q13" s="1">
        <f>(Main_M[[#This Row],[ROE]]-VLOOKUP(Main_M[[#This Row],[Industry]], Mean_ROE_M, 2, FALSE))/(VLOOKUP(Main_M[[#This Row],[Industry]], Mean_ROE_M, 3, FALSE))</f>
        <v>-7.2063374168692407E-2</v>
      </c>
      <c r="R13" s="1">
        <f>(Main_M[[#This Row],[ROA]]-VLOOKUP(Main_M[[#This Row],[Industry]], Mean_ROA_M, 2, FALSE))/(VLOOKUP(Main_M[[#This Row],[Industry]], Mean_ROA_M, 3, FALSE))</f>
        <v>-0.45709392510915869</v>
      </c>
      <c r="S13" s="1">
        <f>(Main_M[[#This Row],[A/E]]-VLOOKUP(Main_M[[#This Row],[Industry]], Mean_AE_M, 2, FALSE))/(VLOOKUP(Main_M[[#This Row],[Industry]], Mean_AE_M, 3, FALSE))</f>
        <v>0.77878034249557881</v>
      </c>
      <c r="T13" s="1">
        <f>(Main_M[[#This Row],[P/E]]-VLOOKUP(Main_M[[#This Row],[Industry]], Mean_PE_M, 2, FALSE))/(VLOOKUP(Main_M[[#This Row],[Industry]], Mean_PE_M, 3, FALSE))</f>
        <v>-0.84410983377962301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s="67" t="s">
        <v>105</v>
      </c>
      <c r="B14" s="67" t="s">
        <v>162</v>
      </c>
      <c r="C14" s="2">
        <v>3669</v>
      </c>
      <c r="D14">
        <f>RTD("tos.rtd", , "LAST", Main_M[[#This Row],[Symbol]])</f>
        <v>52.54</v>
      </c>
      <c r="E14">
        <v>11.09</v>
      </c>
      <c r="F14">
        <v>67.260000000000005</v>
      </c>
      <c r="G14">
        <v>-3.78</v>
      </c>
      <c r="H14" s="1">
        <f>IF(ISNUMBER(Main_M[[#This Row],[Free CF]]),IF(Main_M[[#This Row],[Free CF]]&lt;&gt;0,Main_M[[#This Row],[Current Price]]/Main_M[[#This Row],[Free CF]],""),"")</f>
        <v>4.7376014427412079</v>
      </c>
      <c r="I14" s="1">
        <f>IF(ISNUMBER(Main_M[[#This Row],[BVPS]]),IF(Main_M[[#This Row],[BVPS]]&lt;&gt;0,Main_M[[#This Row],[Current Price]]/Main_M[[#This Row],[BVPS]],""),"")</f>
        <v>0.7811477847160273</v>
      </c>
      <c r="J14">
        <v>-9.09</v>
      </c>
      <c r="K14">
        <v>0.53</v>
      </c>
      <c r="L14">
        <v>2.71</v>
      </c>
      <c r="M14" s="1">
        <f>IF(ISNUMBER(Main_M[[#This Row],[EPS]]),IF(Main_M[[#This Row],[EPS]]&lt;&gt;0,Main_M[[#This Row],[Current Price]]/Main_M[[#This Row],[EPS]],""),"")</f>
        <v>-13.8994708994709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5.7988890490973097E-2</v>
      </c>
      <c r="P14" s="1">
        <f>(Main_M[[#This Row],[P/B]]-VLOOKUP(Main_M[[#This Row],[Industry]], Mean_PB_M, 2, FALSE))/(VLOOKUP(Main_M[[#This Row],[Industry]], Mean_PB_M, 3, FALSE))</f>
        <v>-0.82562765977328789</v>
      </c>
      <c r="Q14" s="1">
        <f>(Main_M[[#This Row],[ROE]]-VLOOKUP(Main_M[[#This Row],[Industry]], Mean_ROE_M, 2, FALSE))/(VLOOKUP(Main_M[[#This Row],[Industry]], Mean_ROE_M, 3, FALSE))</f>
        <v>-0.12121950641413781</v>
      </c>
      <c r="R14" s="1">
        <f>(Main_M[[#This Row],[ROA]]-VLOOKUP(Main_M[[#This Row],[Industry]], Mean_ROA_M, 2, FALSE))/(VLOOKUP(Main_M[[#This Row],[Industry]], Mean_ROA_M, 3, FALSE))</f>
        <v>-0.77091130035147826</v>
      </c>
      <c r="S14" s="1">
        <f>(Main_M[[#This Row],[A/E]]-VLOOKUP(Main_M[[#This Row],[Industry]], Mean_AE_M, 2, FALSE))/(VLOOKUP(Main_M[[#This Row],[Industry]], Mean_AE_M, 3, FALSE))</f>
        <v>-0.41021654993689344</v>
      </c>
      <c r="T14" s="1">
        <f>(Main_M[[#This Row],[P/E]]-VLOOKUP(Main_M[[#This Row],[Industry]], Mean_PE_M, 2, FALSE))/(VLOOKUP(Main_M[[#This Row],[Industry]], Mean_PE_M, 3, FALSE))</f>
        <v>-0.45819058261437251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" spans="1:26" x14ac:dyDescent="0.25">
      <c r="A15" s="67" t="s">
        <v>105</v>
      </c>
      <c r="B15" s="67" t="s">
        <v>154</v>
      </c>
      <c r="C15" s="2">
        <v>2255</v>
      </c>
      <c r="D15">
        <f>RTD("tos.rtd", , "LAST", Main_M[[#This Row],[Symbol]])</f>
        <v>48.96</v>
      </c>
      <c r="E15">
        <v>-4.2699999999999996</v>
      </c>
      <c r="F15">
        <v>3</v>
      </c>
      <c r="G15">
        <v>-4</v>
      </c>
      <c r="H15" s="1">
        <f>IF(ISNUMBER(Main_M[[#This Row],[Free CF]]),IF(Main_M[[#This Row],[Free CF]]&lt;&gt;0,Main_M[[#This Row],[Current Price]]/Main_M[[#This Row],[Free CF]],""),"")</f>
        <v>-11.466042154566747</v>
      </c>
      <c r="I15" s="1">
        <f>IF(ISNUMBER(Main_M[[#This Row],[BVPS]]),IF(Main_M[[#This Row],[BVPS]]&lt;&gt;0,Main_M[[#This Row],[Current Price]]/Main_M[[#This Row],[BVPS]],""),"")</f>
        <v>16.32</v>
      </c>
      <c r="J15">
        <v>-59.3</v>
      </c>
      <c r="K15">
        <v>-3.38</v>
      </c>
      <c r="L15">
        <v>21.85</v>
      </c>
      <c r="M15" s="1">
        <f>IF(ISNUMBER(Main_M[[#This Row],[EPS]]),IF(Main_M[[#This Row],[EPS]]&lt;&gt;0,Main_M[[#This Row],[Current Price]]/Main_M[[#This Row],[EPS]],""),"")</f>
        <v>-12.24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-1.9292619134345876</v>
      </c>
      <c r="P15" s="1">
        <f>(Main_M[[#This Row],[P/B]]-VLOOKUP(Main_M[[#This Row],[Industry]], Mean_PB_M, 2, FALSE))/(VLOOKUP(Main_M[[#This Row],[Industry]], Mean_PB_M, 3, FALSE))</f>
        <v>2.1752270384474173</v>
      </c>
      <c r="Q15" s="1">
        <f>(Main_M[[#This Row],[ROE]]-VLOOKUP(Main_M[[#This Row],[Industry]], Mean_ROE_M, 2, FALSE))/(VLOOKUP(Main_M[[#This Row],[Industry]], Mean_ROE_M, 3, FALSE))</f>
        <v>-1.8233777133409059</v>
      </c>
      <c r="R15" s="1">
        <f>(Main_M[[#This Row],[ROA]]-VLOOKUP(Main_M[[#This Row],[Industry]], Mean_ROA_M, 2, FALSE))/(VLOOKUP(Main_M[[#This Row],[Industry]], Mean_ROA_M, 3, FALSE))</f>
        <v>-2.0762580420509136</v>
      </c>
      <c r="S15" s="1">
        <f>(Main_M[[#This Row],[A/E]]-VLOOKUP(Main_M[[#This Row],[Industry]], Mean_AE_M, 2, FALSE))/(VLOOKUP(Main_M[[#This Row],[Industry]], Mean_AE_M, 3, FALSE))</f>
        <v>14.084943017679359</v>
      </c>
      <c r="T15" s="1">
        <f>(Main_M[[#This Row],[P/E]]-VLOOKUP(Main_M[[#This Row],[Industry]], Mean_PE_M, 2, FALSE))/(VLOOKUP(Main_M[[#This Row],[Industry]], Mean_PE_M, 3, FALSE))</f>
        <v>-0.38970015175542821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s="67" t="s">
        <v>108</v>
      </c>
      <c r="B16" s="67" t="s">
        <v>184</v>
      </c>
      <c r="C16" s="2">
        <v>3884</v>
      </c>
      <c r="D16">
        <f>RTD("tos.rtd", , "LAST", Main_M[[#This Row],[Symbol]])</f>
        <v>31.42</v>
      </c>
      <c r="E16">
        <v>1.84</v>
      </c>
      <c r="F16">
        <v>3.08</v>
      </c>
      <c r="G16">
        <v>1.71</v>
      </c>
      <c r="H16" s="1">
        <f>IF(ISNUMBER(Main_M[[#This Row],[Free CF]]),IF(Main_M[[#This Row],[Free CF]]&lt;&gt;0,Main_M[[#This Row],[Current Price]]/Main_M[[#This Row],[Free CF]],""),"")</f>
        <v>17.076086956521738</v>
      </c>
      <c r="I16" s="1">
        <f>IF(ISNUMBER(Main_M[[#This Row],[BVPS]]),IF(Main_M[[#This Row],[BVPS]]&lt;&gt;0,Main_M[[#This Row],[Current Price]]/Main_M[[#This Row],[BVPS]],""),"")</f>
        <v>10.201298701298702</v>
      </c>
      <c r="J16">
        <v>71.86</v>
      </c>
      <c r="K16">
        <v>4.24</v>
      </c>
      <c r="L16">
        <v>13.41</v>
      </c>
      <c r="M16" s="1">
        <f>IF(ISNUMBER(Main_M[[#This Row],[EPS]]),IF(Main_M[[#This Row],[EPS]]&lt;&gt;0,Main_M[[#This Row],[Current Price]]/Main_M[[#This Row],[EPS]],""),"")</f>
        <v>18.374269005847953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0.3064871273493564</v>
      </c>
      <c r="P16" s="1">
        <f>(Main_M[[#This Row],[P/B]]-VLOOKUP(Main_M[[#This Row],[Industry]], Mean_PB_M, 2, FALSE))/(VLOOKUP(Main_M[[#This Row],[Industry]], Mean_PB_M, 3, FALSE))</f>
        <v>1.0662363036071176</v>
      </c>
      <c r="Q16" s="1">
        <f>(Main_M[[#This Row],[ROE]]-VLOOKUP(Main_M[[#This Row],[Industry]], Mean_ROE_M, 2, FALSE))/(VLOOKUP(Main_M[[#This Row],[Industry]], Mean_ROE_M, 3, FALSE))</f>
        <v>1.6839771876294434</v>
      </c>
      <c r="R16" s="1">
        <f>(Main_M[[#This Row],[ROA]]-VLOOKUP(Main_M[[#This Row],[Industry]], Mean_ROA_M, 2, FALSE))/(VLOOKUP(Main_M[[#This Row],[Industry]], Mean_ROA_M, 3, FALSE))</f>
        <v>0.81873436469364202</v>
      </c>
      <c r="S16" s="1">
        <f>(Main_M[[#This Row],[A/E]]-VLOOKUP(Main_M[[#This Row],[Industry]], Mean_AE_M, 2, FALSE))/(VLOOKUP(Main_M[[#This Row],[Industry]], Mean_AE_M, 3, FALSE))</f>
        <v>1.9898335199988759</v>
      </c>
      <c r="T16" s="1">
        <f>(Main_M[[#This Row],[P/E]]-VLOOKUP(Main_M[[#This Row],[Industry]], Mean_PE_M, 2, FALSE))/(VLOOKUP(Main_M[[#This Row],[Industry]], Mean_PE_M, 3, FALSE))</f>
        <v>-0.1353011940382613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s="67" t="s">
        <v>108</v>
      </c>
      <c r="B17" s="67" t="s">
        <v>278</v>
      </c>
      <c r="C17" s="2">
        <v>5899</v>
      </c>
      <c r="D17">
        <f>RTD("tos.rtd", , "LAST", Main_M[[#This Row],[Symbol]])</f>
        <v>17.86</v>
      </c>
      <c r="E17">
        <v>0.19</v>
      </c>
      <c r="F17">
        <v>7.48</v>
      </c>
      <c r="G17">
        <v>1.17</v>
      </c>
      <c r="H17" s="1">
        <f>IF(ISNUMBER(Main_M[[#This Row],[Free CF]]),IF(Main_M[[#This Row],[Free CF]]&lt;&gt;0,Main_M[[#This Row],[Current Price]]/Main_M[[#This Row],[Free CF]],""),"")</f>
        <v>94</v>
      </c>
      <c r="I17" s="1">
        <f>IF(ISNUMBER(Main_M[[#This Row],[BVPS]]),IF(Main_M[[#This Row],[BVPS]]&lt;&gt;0,Main_M[[#This Row],[Current Price]]/Main_M[[#This Row],[BVPS]],""),"")</f>
        <v>2.3877005347593583</v>
      </c>
      <c r="J17">
        <v>16.88</v>
      </c>
      <c r="K17">
        <v>8.17</v>
      </c>
      <c r="L17">
        <v>1.08</v>
      </c>
      <c r="M17" s="1">
        <f>IF(ISNUMBER(Main_M[[#This Row],[EPS]]),IF(Main_M[[#This Row],[EPS]]&lt;&gt;0,Main_M[[#This Row],[Current Price]]/Main_M[[#This Row],[EPS]],""),"")</f>
        <v>15.264957264957266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1.976741097666755</v>
      </c>
      <c r="P17" s="1">
        <f>(Main_M[[#This Row],[P/B]]-VLOOKUP(Main_M[[#This Row],[Industry]], Mean_PB_M, 2, FALSE))/(VLOOKUP(Main_M[[#This Row],[Industry]], Mean_PB_M, 3, FALSE))</f>
        <v>0.39306261067926124</v>
      </c>
      <c r="Q17" s="1">
        <f>(Main_M[[#This Row],[ROE]]-VLOOKUP(Main_M[[#This Row],[Industry]], Mean_ROE_M, 2, FALSE))/(VLOOKUP(Main_M[[#This Row],[Industry]], Mean_ROE_M, 3, FALSE))</f>
        <v>0.31982416308447797</v>
      </c>
      <c r="R17" s="1">
        <f>(Main_M[[#This Row],[ROA]]-VLOOKUP(Main_M[[#This Row],[Industry]], Mean_ROA_M, 2, FALSE))/(VLOOKUP(Main_M[[#This Row],[Industry]], Mean_ROA_M, 3, FALSE))</f>
        <v>2.0316251763641908</v>
      </c>
      <c r="S17" s="1">
        <f>(Main_M[[#This Row],[A/E]]-VLOOKUP(Main_M[[#This Row],[Industry]], Mean_AE_M, 2, FALSE))/(VLOOKUP(Main_M[[#This Row],[Industry]], Mean_AE_M, 3, FALSE))</f>
        <v>-5.6236028873207652E-2</v>
      </c>
      <c r="T17" s="1">
        <f>(Main_M[[#This Row],[P/E]]-VLOOKUP(Main_M[[#This Row],[Industry]], Mean_PE_M, 2, FALSE))/(VLOOKUP(Main_M[[#This Row],[Industry]], Mean_PE_M, 3, FALSE))</f>
        <v>-0.15623549868729783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s="67" t="s">
        <v>108</v>
      </c>
      <c r="B18" s="67" t="s">
        <v>186</v>
      </c>
      <c r="C18" s="2">
        <v>6600</v>
      </c>
      <c r="D18">
        <f>RTD("tos.rtd", , "LAST", Main_M[[#This Row],[Symbol]])</f>
        <v>74.709999999999994</v>
      </c>
      <c r="E18">
        <v>-0.16</v>
      </c>
      <c r="F18">
        <v>-4.07</v>
      </c>
      <c r="G18">
        <v>0.27</v>
      </c>
      <c r="H18" s="1">
        <f>IF(ISNUMBER(Main_M[[#This Row],[Free CF]]),IF(Main_M[[#This Row],[Free CF]]&lt;&gt;0,Main_M[[#This Row],[Current Price]]/Main_M[[#This Row],[Free CF]],""),"")</f>
        <v>-466.93749999999994</v>
      </c>
      <c r="I18" s="1">
        <f>IF(ISNUMBER(Main_M[[#This Row],[BVPS]]),IF(Main_M[[#This Row],[BVPS]]&lt;&gt;0,Main_M[[#This Row],[Current Price]]/Main_M[[#This Row],[BVPS]],""),"")</f>
        <v>-18.356265356265354</v>
      </c>
      <c r="J18">
        <v>13.15</v>
      </c>
      <c r="K18">
        <v>-0.57999999999999996</v>
      </c>
      <c r="L18">
        <v>-3.29</v>
      </c>
      <c r="M18" s="1">
        <f>IF(ISNUMBER(Main_M[[#This Row],[EPS]]),IF(Main_M[[#This Row],[EPS]]&lt;&gt;0,Main_M[[#This Row],[Current Price]]/Main_M[[#This Row],[EPS]],""),"")</f>
        <v>276.70370370370364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-10.202931638760015</v>
      </c>
      <c r="P18" s="1">
        <f>(Main_M[[#This Row],[P/B]]-VLOOKUP(Main_M[[#This Row],[Industry]], Mean_PB_M, 2, FALSE))/(VLOOKUP(Main_M[[#This Row],[Industry]], Mean_PB_M, 3, FALSE))</f>
        <v>-1.3941155660320463</v>
      </c>
      <c r="Q18" s="1">
        <f>(Main_M[[#This Row],[ROE]]-VLOOKUP(Main_M[[#This Row],[Industry]], Mean_ROE_M, 2, FALSE))/(VLOOKUP(Main_M[[#This Row],[Industry]], Mean_ROE_M, 3, FALSE))</f>
        <v>0.22727613140836453</v>
      </c>
      <c r="R18" s="1">
        <f>(Main_M[[#This Row],[ROA]]-VLOOKUP(Main_M[[#This Row],[Industry]], Mean_ROA_M, 2, FALSE))/(VLOOKUP(Main_M[[#This Row],[Industry]], Mean_ROA_M, 3, FALSE))</f>
        <v>-0.66883146539593685</v>
      </c>
      <c r="S18" s="1">
        <f>(Main_M[[#This Row],[A/E]]-VLOOKUP(Main_M[[#This Row],[Industry]], Mean_AE_M, 2, FALSE))/(VLOOKUP(Main_M[[#This Row],[Industry]], Mean_AE_M, 3, FALSE))</f>
        <v>-0.78140423070378384</v>
      </c>
      <c r="T18" s="1">
        <f>(Main_M[[#This Row],[P/E]]-VLOOKUP(Main_M[[#This Row],[Industry]], Mean_PE_M, 2, FALSE))/(VLOOKUP(Main_M[[#This Row],[Industry]], Mean_PE_M, 3, FALSE))</f>
        <v>1.6039734546430413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s="67" t="s">
        <v>108</v>
      </c>
      <c r="B19" s="67" t="s">
        <v>187</v>
      </c>
      <c r="C19" s="2">
        <v>6700</v>
      </c>
      <c r="D19">
        <f>RTD("tos.rtd", , "LAST", Main_M[[#This Row],[Symbol]])</f>
        <v>75.89</v>
      </c>
      <c r="E19">
        <v>-0.16</v>
      </c>
      <c r="F19">
        <v>-4.07</v>
      </c>
      <c r="G19">
        <v>0.27</v>
      </c>
      <c r="H19" s="1">
        <f>IF(ISNUMBER(Main_M[[#This Row],[Free CF]]),IF(Main_M[[#This Row],[Free CF]]&lt;&gt;0,Main_M[[#This Row],[Current Price]]/Main_M[[#This Row],[Free CF]],""),"")</f>
        <v>-474.3125</v>
      </c>
      <c r="I19" s="1">
        <f>IF(ISNUMBER(Main_M[[#This Row],[BVPS]]),IF(Main_M[[#This Row],[BVPS]]&lt;&gt;0,Main_M[[#This Row],[Current Price]]/Main_M[[#This Row],[BVPS]],""),"")</f>
        <v>-18.646191646191646</v>
      </c>
      <c r="J19">
        <v>13.15</v>
      </c>
      <c r="K19">
        <v>-0.57999999999999996</v>
      </c>
      <c r="L19">
        <v>-3.29</v>
      </c>
      <c r="M19" s="1">
        <f>IF(ISNUMBER(Main_M[[#This Row],[EPS]]),IF(Main_M[[#This Row],[EPS]]&lt;&gt;0,Main_M[[#This Row],[Current Price]]/Main_M[[#This Row],[EPS]],""),"")</f>
        <v>281.07407407407408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-10.363065497578773</v>
      </c>
      <c r="P19" s="1">
        <f>(Main_M[[#This Row],[P/B]]-VLOOKUP(Main_M[[#This Row],[Industry]], Mean_PB_M, 2, FALSE))/(VLOOKUP(Main_M[[#This Row],[Industry]], Mean_PB_M, 3, FALSE))</f>
        <v>-1.419093911105171</v>
      </c>
      <c r="Q19" s="1">
        <f>(Main_M[[#This Row],[ROE]]-VLOOKUP(Main_M[[#This Row],[Industry]], Mean_ROE_M, 2, FALSE))/(VLOOKUP(Main_M[[#This Row],[Industry]], Mean_ROE_M, 3, FALSE))</f>
        <v>0.22727613140836453</v>
      </c>
      <c r="R19" s="1">
        <f>(Main_M[[#This Row],[ROA]]-VLOOKUP(Main_M[[#This Row],[Industry]], Mean_ROA_M, 2, FALSE))/(VLOOKUP(Main_M[[#This Row],[Industry]], Mean_ROA_M, 3, FALSE))</f>
        <v>-0.66883146539593685</v>
      </c>
      <c r="S19" s="1">
        <f>(Main_M[[#This Row],[A/E]]-VLOOKUP(Main_M[[#This Row],[Industry]], Mean_AE_M, 2, FALSE))/(VLOOKUP(Main_M[[#This Row],[Industry]], Mean_AE_M, 3, FALSE))</f>
        <v>-0.78140423070378384</v>
      </c>
      <c r="T19" s="1">
        <f>(Main_M[[#This Row],[P/E]]-VLOOKUP(Main_M[[#This Row],[Industry]], Mean_PE_M, 2, FALSE))/(VLOOKUP(Main_M[[#This Row],[Industry]], Mean_PE_M, 3, FALSE))</f>
        <v>1.6333981866695086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s="67" t="s">
        <v>108</v>
      </c>
      <c r="B20" s="67" t="s">
        <v>189</v>
      </c>
      <c r="C20" s="2">
        <v>4561</v>
      </c>
      <c r="D20">
        <f>RTD("tos.rtd", , "LAST", Main_M[[#This Row],[Symbol]])</f>
        <v>189.98</v>
      </c>
      <c r="E20">
        <v>6.09</v>
      </c>
      <c r="F20">
        <v>-11.8</v>
      </c>
      <c r="G20">
        <v>0.2</v>
      </c>
      <c r="H20" s="1">
        <f>IF(ISNUMBER(Main_M[[#This Row],[Free CF]]),IF(Main_M[[#This Row],[Free CF]]&lt;&gt;0,Main_M[[#This Row],[Current Price]]/Main_M[[#This Row],[Free CF]],""),"")</f>
        <v>31.195402298850574</v>
      </c>
      <c r="I20" s="1">
        <f>IF(ISNUMBER(Main_M[[#This Row],[BVPS]]),IF(Main_M[[#This Row],[BVPS]]&lt;&gt;0,Main_M[[#This Row],[Current Price]]/Main_M[[#This Row],[BVPS]],""),"")</f>
        <v>-16.099999999999998</v>
      </c>
      <c r="J20">
        <v>-1.67</v>
      </c>
      <c r="K20">
        <v>3.86</v>
      </c>
      <c r="L20">
        <v>-5.31</v>
      </c>
      <c r="M20" s="1">
        <f>IF(ISNUMBER(Main_M[[#This Row],[EPS]]),IF(Main_M[[#This Row],[EPS]]&lt;&gt;0,Main_M[[#This Row],[Current Price]]/Main_M[[#This Row],[EPS]],""),"")</f>
        <v>949.89999999999986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0.61306074764034202</v>
      </c>
      <c r="P20" s="1">
        <f>(Main_M[[#This Row],[P/B]]-VLOOKUP(Main_M[[#This Row],[Industry]], Mean_PB_M, 2, FALSE))/(VLOOKUP(Main_M[[#This Row],[Industry]], Mean_PB_M, 3, FALSE))</f>
        <v>-1.1997290043316202</v>
      </c>
      <c r="Q20" s="1">
        <f>(Main_M[[#This Row],[ROE]]-VLOOKUP(Main_M[[#This Row],[Industry]], Mean_ROE_M, 2, FALSE))/(VLOOKUP(Main_M[[#This Row],[Industry]], Mean_ROE_M, 3, FALSE))</f>
        <v>-0.14043481482219908</v>
      </c>
      <c r="R20" s="1">
        <f>(Main_M[[#This Row],[ROA]]-VLOOKUP(Main_M[[#This Row],[Industry]], Mean_ROA_M, 2, FALSE))/(VLOOKUP(Main_M[[#This Row],[Industry]], Mean_ROA_M, 3, FALSE))</f>
        <v>0.70145739053720224</v>
      </c>
      <c r="S20" s="1">
        <f>(Main_M[[#This Row],[A/E]]-VLOOKUP(Main_M[[#This Row],[Industry]], Mean_AE_M, 2, FALSE))/(VLOOKUP(Main_M[[#This Row],[Industry]], Mean_AE_M, 3, FALSE))</f>
        <v>-1.1166078388726086</v>
      </c>
      <c r="T20" s="1">
        <f>(Main_M[[#This Row],[P/E]]-VLOOKUP(Main_M[[#This Row],[Industry]], Mean_PE_M, 2, FALSE))/(VLOOKUP(Main_M[[#This Row],[Industry]], Mean_PE_M, 3, FALSE))</f>
        <v>6.1364544439029682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1" spans="1:26" x14ac:dyDescent="0.25">
      <c r="A21" s="67" t="s">
        <v>108</v>
      </c>
      <c r="B21" s="67" t="s">
        <v>182</v>
      </c>
      <c r="C21" s="2">
        <v>2720</v>
      </c>
      <c r="D21">
        <f>RTD("tos.rtd", , "LAST", Main_M[[#This Row],[Symbol]])</f>
        <v>44.13</v>
      </c>
      <c r="E21">
        <v>-0.91</v>
      </c>
      <c r="F21">
        <v>7.77</v>
      </c>
      <c r="G21">
        <v>-0.34</v>
      </c>
      <c r="H21" s="1">
        <f>IF(ISNUMBER(Main_M[[#This Row],[Free CF]]),IF(Main_M[[#This Row],[Free CF]]&lt;&gt;0,Main_M[[#This Row],[Current Price]]/Main_M[[#This Row],[Free CF]],""),"")</f>
        <v>-48.494505494505496</v>
      </c>
      <c r="I21" s="1">
        <f>IF(ISNUMBER(Main_M[[#This Row],[BVPS]]),IF(Main_M[[#This Row],[BVPS]]&lt;&gt;0,Main_M[[#This Row],[Current Price]]/Main_M[[#This Row],[BVPS]],""),"")</f>
        <v>5.67953667953668</v>
      </c>
      <c r="J21">
        <v>-4.32</v>
      </c>
      <c r="K21">
        <v>-1.1299999999999999</v>
      </c>
      <c r="L21">
        <v>3.46</v>
      </c>
      <c r="M21" s="1">
        <f>IF(ISNUMBER(Main_M[[#This Row],[EPS]]),IF(Main_M[[#This Row],[EPS]]&lt;&gt;0,Main_M[[#This Row],[Current Price]]/Main_M[[#This Row],[EPS]],""),"")</f>
        <v>-129.79411764705881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-1.1172514481374445</v>
      </c>
      <c r="P21" s="1">
        <f>(Main_M[[#This Row],[P/B]]-VLOOKUP(Main_M[[#This Row],[Industry]], Mean_PB_M, 2, FALSE))/(VLOOKUP(Main_M[[#This Row],[Industry]], Mean_PB_M, 3, FALSE))</f>
        <v>0.67666786486071706</v>
      </c>
      <c r="Q21" s="1">
        <f>(Main_M[[#This Row],[ROE]]-VLOOKUP(Main_M[[#This Row],[Industry]], Mean_ROE_M, 2, FALSE))/(VLOOKUP(Main_M[[#This Row],[Industry]], Mean_ROE_M, 3, FALSE))</f>
        <v>-0.20618609738029584</v>
      </c>
      <c r="R21" s="1">
        <f>(Main_M[[#This Row],[ROA]]-VLOOKUP(Main_M[[#This Row],[Industry]], Mean_ROA_M, 2, FALSE))/(VLOOKUP(Main_M[[#This Row],[Industry]], Mean_ROA_M, 3, FALSE))</f>
        <v>-0.83857445430657351</v>
      </c>
      <c r="S21" s="1">
        <f>(Main_M[[#This Row],[A/E]]-VLOOKUP(Main_M[[#This Row],[Industry]], Mean_AE_M, 2, FALSE))/(VLOOKUP(Main_M[[#This Row],[Industry]], Mean_AE_M, 3, FALSE))</f>
        <v>0.33870683619699177</v>
      </c>
      <c r="T21" s="1">
        <f>(Main_M[[#This Row],[P/E]]-VLOOKUP(Main_M[[#This Row],[Industry]], Mean_PE_M, 2, FALSE))/(VLOOKUP(Main_M[[#This Row],[Industry]], Mean_PE_M, 3, FALSE))</f>
        <v>-1.1328859986611817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s="67" t="s">
        <v>108</v>
      </c>
      <c r="B22" s="67" t="s">
        <v>183</v>
      </c>
      <c r="C22" s="2">
        <v>2542</v>
      </c>
      <c r="D22">
        <f>RTD("tos.rtd", , "LAST", Main_M[[#This Row],[Symbol]])</f>
        <v>41.39</v>
      </c>
      <c r="E22">
        <v>-0.91</v>
      </c>
      <c r="F22">
        <v>7.77</v>
      </c>
      <c r="G22">
        <v>-0.34</v>
      </c>
      <c r="H22" s="1">
        <f>IF(ISNUMBER(Main_M[[#This Row],[Free CF]]),IF(Main_M[[#This Row],[Free CF]]&lt;&gt;0,Main_M[[#This Row],[Current Price]]/Main_M[[#This Row],[Free CF]],""),"")</f>
        <v>-45.483516483516482</v>
      </c>
      <c r="I22" s="1">
        <f>IF(ISNUMBER(Main_M[[#This Row],[BVPS]]),IF(Main_M[[#This Row],[BVPS]]&lt;&gt;0,Main_M[[#This Row],[Current Price]]/Main_M[[#This Row],[BVPS]],""),"")</f>
        <v>5.326898326898327</v>
      </c>
      <c r="J22">
        <v>-4.32</v>
      </c>
      <c r="K22">
        <v>-1.1299999999999999</v>
      </c>
      <c r="L22">
        <v>3.46</v>
      </c>
      <c r="M22" s="1">
        <f>IF(ISNUMBER(Main_M[[#This Row],[EPS]]),IF(Main_M[[#This Row],[EPS]]&lt;&gt;0,Main_M[[#This Row],[Current Price]]/Main_M[[#This Row],[EPS]],""),"")</f>
        <v>-121.73529411764706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-1.0518736462133023</v>
      </c>
      <c r="P22" s="1">
        <f>(Main_M[[#This Row],[P/B]]-VLOOKUP(Main_M[[#This Row],[Industry]], Mean_PB_M, 2, FALSE))/(VLOOKUP(Main_M[[#This Row],[Industry]], Mean_PB_M, 3, FALSE))</f>
        <v>0.64628661705991097</v>
      </c>
      <c r="Q22" s="1">
        <f>(Main_M[[#This Row],[ROE]]-VLOOKUP(Main_M[[#This Row],[Industry]], Mean_ROE_M, 2, FALSE))/(VLOOKUP(Main_M[[#This Row],[Industry]], Mean_ROE_M, 3, FALSE))</f>
        <v>-0.20618609738029584</v>
      </c>
      <c r="R22" s="1">
        <f>(Main_M[[#This Row],[ROA]]-VLOOKUP(Main_M[[#This Row],[Industry]], Mean_ROA_M, 2, FALSE))/(VLOOKUP(Main_M[[#This Row],[Industry]], Mean_ROA_M, 3, FALSE))</f>
        <v>-0.83857445430657351</v>
      </c>
      <c r="S22" s="1">
        <f>(Main_M[[#This Row],[A/E]]-VLOOKUP(Main_M[[#This Row],[Industry]], Mean_AE_M, 2, FALSE))/(VLOOKUP(Main_M[[#This Row],[Industry]], Mean_AE_M, 3, FALSE))</f>
        <v>0.33870683619699177</v>
      </c>
      <c r="T22" s="1">
        <f>(Main_M[[#This Row],[P/E]]-VLOOKUP(Main_M[[#This Row],[Industry]], Mean_PE_M, 2, FALSE))/(VLOOKUP(Main_M[[#This Row],[Industry]], Mean_PE_M, 3, FALSE))</f>
        <v>-1.0786277315794761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s="67" t="s">
        <v>108</v>
      </c>
      <c r="B23" s="67" t="s">
        <v>185</v>
      </c>
      <c r="C23" s="2">
        <v>2066</v>
      </c>
      <c r="D23">
        <f>RTD("tos.rtd", , "LAST", Main_M[[#This Row],[Symbol]])</f>
        <v>6.5</v>
      </c>
      <c r="E23">
        <v>-0.55000000000000004</v>
      </c>
      <c r="F23">
        <v>-3.62</v>
      </c>
      <c r="G23">
        <v>-0.43</v>
      </c>
      <c r="H23" s="1">
        <f>IF(ISNUMBER(Main_M[[#This Row],[Free CF]]),IF(Main_M[[#This Row],[Free CF]]&lt;&gt;0,Main_M[[#This Row],[Current Price]]/Main_M[[#This Row],[Free CF]],""),"")</f>
        <v>-11.818181818181817</v>
      </c>
      <c r="I23" s="1">
        <f>IF(ISNUMBER(Main_M[[#This Row],[BVPS]]),IF(Main_M[[#This Row],[BVPS]]&lt;&gt;0,Main_M[[#This Row],[Current Price]]/Main_M[[#This Row],[BVPS]],""),"")</f>
        <v>-1.7955801104972375</v>
      </c>
      <c r="J23">
        <v>22.86</v>
      </c>
      <c r="K23">
        <v>2.5</v>
      </c>
      <c r="L23">
        <v>-4.8899999999999997</v>
      </c>
      <c r="M23" s="1">
        <f>IF(ISNUMBER(Main_M[[#This Row],[EPS]]),IF(Main_M[[#This Row],[EPS]]&lt;&gt;0,Main_M[[#This Row],[Current Price]]/Main_M[[#This Row],[EPS]],""),"")</f>
        <v>-15.116279069767442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-0.32089602609330742</v>
      </c>
      <c r="P23" s="1">
        <f>(Main_M[[#This Row],[P/B]]-VLOOKUP(Main_M[[#This Row],[Industry]], Mean_PB_M, 2, FALSE))/(VLOOKUP(Main_M[[#This Row],[Industry]], Mean_PB_M, 3, FALSE))</f>
        <v>3.2655737878909179E-2</v>
      </c>
      <c r="Q23" s="1">
        <f>(Main_M[[#This Row],[ROE]]-VLOOKUP(Main_M[[#This Row],[Industry]], Mean_ROE_M, 2, FALSE))/(VLOOKUP(Main_M[[#This Row],[Industry]], Mean_ROE_M, 3, FALSE))</f>
        <v>0.46819875542312644</v>
      </c>
      <c r="R23" s="1">
        <f>(Main_M[[#This Row],[ROA]]-VLOOKUP(Main_M[[#This Row],[Industry]], Mean_ROA_M, 2, FALSE))/(VLOOKUP(Main_M[[#This Row],[Industry]], Mean_ROA_M, 3, FALSE))</f>
        <v>0.28172927250362806</v>
      </c>
      <c r="S23" s="1">
        <f>(Main_M[[#This Row],[A/E]]-VLOOKUP(Main_M[[#This Row],[Industry]], Mean_AE_M, 2, FALSE))/(VLOOKUP(Main_M[[#This Row],[Industry]], Mean_AE_M, 3, FALSE))</f>
        <v>-1.0469120391543381</v>
      </c>
      <c r="T23" s="1">
        <f>(Main_M[[#This Row],[P/E]]-VLOOKUP(Main_M[[#This Row],[Industry]], Mean_PE_M, 2, FALSE))/(VLOOKUP(Main_M[[#This Row],[Industry]], Mean_PE_M, 3, FALSE))</f>
        <v>-0.3607856081797976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s="67" t="s">
        <v>108</v>
      </c>
      <c r="B24" s="67" t="s">
        <v>188</v>
      </c>
      <c r="C24" s="2">
        <v>2418</v>
      </c>
      <c r="D24">
        <f>RTD("tos.rtd", , "LAST", Main_M[[#This Row],[Symbol]])</f>
        <v>17.010000000000002</v>
      </c>
      <c r="E24">
        <v>-1.08</v>
      </c>
      <c r="F24">
        <v>1.45</v>
      </c>
      <c r="G24">
        <v>-1</v>
      </c>
      <c r="H24" s="1">
        <f>IF(ISNUMBER(Main_M[[#This Row],[Free CF]]),IF(Main_M[[#This Row],[Free CF]]&lt;&gt;0,Main_M[[#This Row],[Current Price]]/Main_M[[#This Row],[Free CF]],""),"")</f>
        <v>-15.75</v>
      </c>
      <c r="I24" s="1">
        <f>IF(ISNUMBER(Main_M[[#This Row],[BVPS]]),IF(Main_M[[#This Row],[BVPS]]&lt;&gt;0,Main_M[[#This Row],[Current Price]]/Main_M[[#This Row],[BVPS]],""),"")</f>
        <v>11.731034482758622</v>
      </c>
      <c r="J24">
        <v>-91.68</v>
      </c>
      <c r="K24">
        <v>-3.93</v>
      </c>
      <c r="L24">
        <v>8.14</v>
      </c>
      <c r="M24" s="1">
        <f>IF(ISNUMBER(Main_M[[#This Row],[EPS]]),IF(Main_M[[#This Row],[EPS]]&lt;&gt;0,Main_M[[#This Row],[Current Price]]/Main_M[[#This Row],[EPS]],""),"")</f>
        <v>-17.010000000000002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-0.40626785221239914</v>
      </c>
      <c r="P24" s="1">
        <f>(Main_M[[#This Row],[P/B]]-VLOOKUP(Main_M[[#This Row],[Industry]], Mean_PB_M, 2, FALSE))/(VLOOKUP(Main_M[[#This Row],[Industry]], Mean_PB_M, 3, FALSE))</f>
        <v>1.1980293473829209</v>
      </c>
      <c r="Q24" s="1">
        <f>(Main_M[[#This Row],[ROE]]-VLOOKUP(Main_M[[#This Row],[Industry]], Mean_ROE_M, 2, FALSE))/(VLOOKUP(Main_M[[#This Row],[Industry]], Mean_ROE_M, 3, FALSE))</f>
        <v>-2.3737453593709863</v>
      </c>
      <c r="R24" s="1">
        <f>(Main_M[[#This Row],[ROA]]-VLOOKUP(Main_M[[#This Row],[Industry]], Mean_ROA_M, 2, FALSE))/(VLOOKUP(Main_M[[#This Row],[Industry]], Mean_ROA_M, 3, FALSE))</f>
        <v>-1.7027205796698144</v>
      </c>
      <c r="S24" s="1">
        <f>(Main_M[[#This Row],[A/E]]-VLOOKUP(Main_M[[#This Row],[Industry]], Mean_AE_M, 2, FALSE))/(VLOOKUP(Main_M[[#This Row],[Industry]], Mean_AE_M, 3, FALSE))</f>
        <v>1.115317175914863</v>
      </c>
      <c r="T24" s="1">
        <f>(Main_M[[#This Row],[P/E]]-VLOOKUP(Main_M[[#This Row],[Industry]], Mean_PE_M, 2, FALSE))/(VLOOKUP(Main_M[[#This Row],[Industry]], Mean_PE_M, 3, FALSE))</f>
        <v>-0.37353561016653597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s="67" t="s">
        <v>109</v>
      </c>
      <c r="B25" s="67" t="s">
        <v>198</v>
      </c>
      <c r="C25" s="2">
        <v>2476</v>
      </c>
      <c r="D25">
        <f>RTD("tos.rtd", , "LAST", Main_M[[#This Row],[Symbol]])</f>
        <v>48.84</v>
      </c>
      <c r="E25">
        <v>3.87</v>
      </c>
      <c r="F25">
        <v>126.95</v>
      </c>
      <c r="G25">
        <v>31</v>
      </c>
      <c r="H25" s="1">
        <f>IF(ISNUMBER(Main_M[[#This Row],[Free CF]]),IF(Main_M[[#This Row],[Free CF]]&lt;&gt;0,Main_M[[#This Row],[Current Price]]/Main_M[[#This Row],[Free CF]],""),"")</f>
        <v>12.620155038759691</v>
      </c>
      <c r="I25" s="1">
        <f>IF(ISNUMBER(Main_M[[#This Row],[BVPS]]),IF(Main_M[[#This Row],[BVPS]]&lt;&gt;0,Main_M[[#This Row],[Current Price]]/Main_M[[#This Row],[BVPS]],""),"")</f>
        <v>0.3847183930681371</v>
      </c>
      <c r="J25">
        <v>27.33</v>
      </c>
      <c r="K25">
        <v>0.44</v>
      </c>
      <c r="L25">
        <v>1.1499999999999999</v>
      </c>
      <c r="M25" s="1">
        <f>IF(ISNUMBER(Main_M[[#This Row],[EPS]]),IF(Main_M[[#This Row],[EPS]]&lt;&gt;0,Main_M[[#This Row],[Current Price]]/Main_M[[#This Row],[EPS]],""),"")</f>
        <v>1.5754838709677421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-0.13447668375008739</v>
      </c>
      <c r="P25" s="1">
        <f>(Main_M[[#This Row],[P/B]]-VLOOKUP(Main_M[[#This Row],[Industry]], Mean_PB_M, 2, FALSE))/(VLOOKUP(Main_M[[#This Row],[Industry]], Mean_PB_M, 3, FALSE))</f>
        <v>-1.2010713385257423</v>
      </c>
      <c r="Q25" s="1">
        <f>(Main_M[[#This Row],[ROE]]-VLOOKUP(Main_M[[#This Row],[Industry]], Mean_ROE_M, 2, FALSE))/(VLOOKUP(Main_M[[#This Row],[Industry]], Mean_ROE_M, 3, FALSE))</f>
        <v>0.90114025581760404</v>
      </c>
      <c r="R25" s="1">
        <f>(Main_M[[#This Row],[ROA]]-VLOOKUP(Main_M[[#This Row],[Industry]], Mean_ROA_M, 2, FALSE))/(VLOOKUP(Main_M[[#This Row],[Industry]], Mean_ROA_M, 3, FALSE))</f>
        <v>-0.32214855237828782</v>
      </c>
      <c r="S25" s="1">
        <f>(Main_M[[#This Row],[A/E]]-VLOOKUP(Main_M[[#This Row],[Industry]], Mean_AE_M, 2, FALSE))/(VLOOKUP(Main_M[[#This Row],[Industry]], Mean_AE_M, 3, FALSE))</f>
        <v>-1.041747481440694</v>
      </c>
      <c r="T25" s="1">
        <f>(Main_M[[#This Row],[P/E]]-VLOOKUP(Main_M[[#This Row],[Industry]], Mean_PE_M, 2, FALSE))/(VLOOKUP(Main_M[[#This Row],[Industry]], Mean_PE_M, 3, FALSE))</f>
        <v>-0.18474717596544901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s="67" t="s">
        <v>109</v>
      </c>
      <c r="B26" s="67" t="s">
        <v>200</v>
      </c>
      <c r="C26" s="2">
        <v>2437</v>
      </c>
      <c r="D26">
        <f>RTD("tos.rtd", , "LAST", Main_M[[#This Row],[Symbol]])</f>
        <v>37.020000000000003</v>
      </c>
      <c r="E26">
        <v>4.0599999999999996</v>
      </c>
      <c r="F26">
        <v>11.24</v>
      </c>
      <c r="G26">
        <v>2.0499999999999998</v>
      </c>
      <c r="H26" s="1">
        <f>IF(ISNUMBER(Main_M[[#This Row],[Free CF]]),IF(Main_M[[#This Row],[Free CF]]&lt;&gt;0,Main_M[[#This Row],[Current Price]]/Main_M[[#This Row],[Free CF]],""),"")</f>
        <v>9.1182266009852242</v>
      </c>
      <c r="I26" s="1">
        <f>IF(ISNUMBER(Main_M[[#This Row],[BVPS]]),IF(Main_M[[#This Row],[BVPS]]&lt;&gt;0,Main_M[[#This Row],[Current Price]]/Main_M[[#This Row],[BVPS]],""),"")</f>
        <v>3.2935943060498221</v>
      </c>
      <c r="J26">
        <v>19.739999999999998</v>
      </c>
      <c r="K26">
        <v>11.18</v>
      </c>
      <c r="L26">
        <v>1.35</v>
      </c>
      <c r="M26" s="1">
        <f>IF(ISNUMBER(Main_M[[#This Row],[EPS]]),IF(Main_M[[#This Row],[EPS]]&lt;&gt;0,Main_M[[#This Row],[Current Price]]/Main_M[[#This Row],[EPS]],""),"")</f>
        <v>18.058536585365857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-0.8072633781707379</v>
      </c>
      <c r="P26" s="1">
        <f>(Main_M[[#This Row],[P/B]]-VLOOKUP(Main_M[[#This Row],[Industry]], Mean_PB_M, 2, FALSE))/(VLOOKUP(Main_M[[#This Row],[Industry]], Mean_PB_M, 3, FALSE))</f>
        <v>6.4180767234778752E-2</v>
      </c>
      <c r="Q26" s="1">
        <f>(Main_M[[#This Row],[ROE]]-VLOOKUP(Main_M[[#This Row],[Industry]], Mean_ROE_M, 2, FALSE))/(VLOOKUP(Main_M[[#This Row],[Industry]], Mean_ROE_M, 3, FALSE))</f>
        <v>0.61082113577819919</v>
      </c>
      <c r="R26" s="1">
        <f>(Main_M[[#This Row],[ROA]]-VLOOKUP(Main_M[[#This Row],[Industry]], Mean_ROA_M, 2, FALSE))/(VLOOKUP(Main_M[[#This Row],[Industry]], Mean_ROA_M, 3, FALSE))</f>
        <v>1.1480534812801308</v>
      </c>
      <c r="S26" s="1">
        <f>(Main_M[[#This Row],[A/E]]-VLOOKUP(Main_M[[#This Row],[Industry]], Mean_AE_M, 2, FALSE))/(VLOOKUP(Main_M[[#This Row],[Industry]], Mean_AE_M, 3, FALSE))</f>
        <v>-0.56606369996092509</v>
      </c>
      <c r="T26" s="1">
        <f>(Main_M[[#This Row],[P/E]]-VLOOKUP(Main_M[[#This Row],[Industry]], Mean_PE_M, 2, FALSE))/(VLOOKUP(Main_M[[#This Row],[Industry]], Mean_PE_M, 3, FALSE))</f>
        <v>0.12515418231671366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s="67" t="s">
        <v>109</v>
      </c>
      <c r="B27" s="67" t="s">
        <v>192</v>
      </c>
      <c r="C27" s="2">
        <v>2904</v>
      </c>
      <c r="D27">
        <f>RTD("tos.rtd", , "LAST", Main_M[[#This Row],[Symbol]])</f>
        <v>26.26</v>
      </c>
      <c r="E27">
        <v>1.39</v>
      </c>
      <c r="F27">
        <v>27.81</v>
      </c>
      <c r="G27">
        <v>1.8</v>
      </c>
      <c r="H27" s="1">
        <f>IF(ISNUMBER(Main_M[[#This Row],[Free CF]]),IF(Main_M[[#This Row],[Free CF]]&lt;&gt;0,Main_M[[#This Row],[Current Price]]/Main_M[[#This Row],[Free CF]],""),"")</f>
        <v>18.892086330935253</v>
      </c>
      <c r="I27" s="1">
        <f>IF(ISNUMBER(Main_M[[#This Row],[BVPS]]),IF(Main_M[[#This Row],[BVPS]]&lt;&gt;0,Main_M[[#This Row],[Current Price]]/Main_M[[#This Row],[BVPS]],""),"")</f>
        <v>0.94426465300251716</v>
      </c>
      <c r="J27">
        <v>6.24</v>
      </c>
      <c r="K27">
        <v>2.0099999999999998</v>
      </c>
      <c r="L27">
        <v>1.21</v>
      </c>
      <c r="M27" s="1">
        <f>IF(ISNUMBER(Main_M[[#This Row],[EPS]]),IF(Main_M[[#This Row],[EPS]]&lt;&gt;0,Main_M[[#This Row],[Current Price]]/Main_M[[#This Row],[EPS]],""),"")</f>
        <v>14.588888888888889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1.0704799556202782</v>
      </c>
      <c r="P27" s="1">
        <f>(Main_M[[#This Row],[P/B]]-VLOOKUP(Main_M[[#This Row],[Industry]], Mean_PB_M, 2, FALSE))/(VLOOKUP(Main_M[[#This Row],[Industry]], Mean_PB_M, 3, FALSE))</f>
        <v>-0.95768966641903808</v>
      </c>
      <c r="Q27" s="1">
        <f>(Main_M[[#This Row],[ROE]]-VLOOKUP(Main_M[[#This Row],[Industry]], Mean_ROE_M, 2, FALSE))/(VLOOKUP(Main_M[[#This Row],[Industry]], Mean_ROE_M, 3, FALSE))</f>
        <v>9.4443254285186698E-2</v>
      </c>
      <c r="R27" s="1">
        <f>(Main_M[[#This Row],[ROA]]-VLOOKUP(Main_M[[#This Row],[Industry]], Mean_ROA_M, 2, FALSE))/(VLOOKUP(Main_M[[#This Row],[Industry]], Mean_ROA_M, 3, FALSE))</f>
        <v>-0.10723075043753201</v>
      </c>
      <c r="S27" s="1">
        <f>(Main_M[[#This Row],[A/E]]-VLOOKUP(Main_M[[#This Row],[Industry]], Mean_AE_M, 2, FALSE))/(VLOOKUP(Main_M[[#This Row],[Industry]], Mean_AE_M, 3, FALSE))</f>
        <v>-0.89904234699676333</v>
      </c>
      <c r="T27" s="1">
        <f>(Main_M[[#This Row],[P/E]]-VLOOKUP(Main_M[[#This Row],[Industry]], Mean_PE_M, 2, FALSE))/(VLOOKUP(Main_M[[#This Row],[Industry]], Mean_PE_M, 3, FALSE))</f>
        <v>5.9920602558787568E-2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s="67" t="s">
        <v>109</v>
      </c>
      <c r="B28" s="67" t="s">
        <v>199</v>
      </c>
      <c r="C28" s="2">
        <v>2216</v>
      </c>
      <c r="D28">
        <f>RTD("tos.rtd", , "LAST", Main_M[[#This Row],[Symbol]])</f>
        <v>9.7899999999999991</v>
      </c>
      <c r="E28">
        <v>2.44</v>
      </c>
      <c r="F28">
        <v>14.4</v>
      </c>
      <c r="G28">
        <v>1.38</v>
      </c>
      <c r="H28" s="1">
        <f>IF(ISNUMBER(Main_M[[#This Row],[Free CF]]),IF(Main_M[[#This Row],[Free CF]]&lt;&gt;0,Main_M[[#This Row],[Current Price]]/Main_M[[#This Row],[Free CF]],""),"")</f>
        <v>4.0122950819672125</v>
      </c>
      <c r="I28" s="1">
        <f>IF(ISNUMBER(Main_M[[#This Row],[BVPS]]),IF(Main_M[[#This Row],[BVPS]]&lt;&gt;0,Main_M[[#This Row],[Current Price]]/Main_M[[#This Row],[BVPS]],""),"")</f>
        <v>0.67986111111111103</v>
      </c>
      <c r="J28">
        <v>10.79</v>
      </c>
      <c r="K28">
        <v>4.53</v>
      </c>
      <c r="L28">
        <v>1.94</v>
      </c>
      <c r="M28" s="1">
        <f>IF(ISNUMBER(Main_M[[#This Row],[EPS]]),IF(Main_M[[#This Row],[EPS]]&lt;&gt;0,Main_M[[#This Row],[Current Price]]/Main_M[[#This Row],[EPS]],""),"")</f>
        <v>7.0942028985507246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-1.7882094053835229</v>
      </c>
      <c r="P28" s="1">
        <f>(Main_M[[#This Row],[P/B]]-VLOOKUP(Main_M[[#This Row],[Industry]], Mean_PB_M, 2, FALSE))/(VLOOKUP(Main_M[[#This Row],[Industry]], Mean_PB_M, 3, FALSE))</f>
        <v>-1.0726953071394534</v>
      </c>
      <c r="Q28" s="1">
        <f>(Main_M[[#This Row],[ROE]]-VLOOKUP(Main_M[[#This Row],[Industry]], Mean_ROE_M, 2, FALSE))/(VLOOKUP(Main_M[[#This Row],[Industry]], Mean_ROE_M, 3, FALSE))</f>
        <v>0.26848172545505383</v>
      </c>
      <c r="R28" s="1">
        <f>(Main_M[[#This Row],[ROA]]-VLOOKUP(Main_M[[#This Row],[Industry]], Mean_ROA_M, 2, FALSE))/(VLOOKUP(Main_M[[#This Row],[Industry]], Mean_ROA_M, 3, FALSE))</f>
        <v>0.23773285522533724</v>
      </c>
      <c r="S28" s="1">
        <f>(Main_M[[#This Row],[A/E]]-VLOOKUP(Main_M[[#This Row],[Industry]], Mean_AE_M, 2, FALSE))/(VLOOKUP(Main_M[[#This Row],[Industry]], Mean_AE_M, 3, FALSE))</f>
        <v>0.83720345540439178</v>
      </c>
      <c r="T28" s="1">
        <f>(Main_M[[#This Row],[P/E]]-VLOOKUP(Main_M[[#This Row],[Industry]], Mean_PE_M, 2, FALSE))/(VLOOKUP(Main_M[[#This Row],[Industry]], Mean_PE_M, 3, FALSE))</f>
        <v>-8.0988572977323287E-2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s="67" t="s">
        <v>109</v>
      </c>
      <c r="B29" s="67" t="s">
        <v>194</v>
      </c>
      <c r="C29" s="2">
        <v>7482</v>
      </c>
      <c r="D29">
        <f>RTD("tos.rtd", , "LAST", Main_M[[#This Row],[Symbol]])</f>
        <v>18.8</v>
      </c>
      <c r="E29">
        <v>0.87</v>
      </c>
      <c r="F29">
        <v>5.0199999999999996</v>
      </c>
      <c r="G29">
        <v>0.56000000000000005</v>
      </c>
      <c r="H29" s="1">
        <f>IF(ISNUMBER(Main_M[[#This Row],[Free CF]]),IF(Main_M[[#This Row],[Free CF]]&lt;&gt;0,Main_M[[#This Row],[Current Price]]/Main_M[[#This Row],[Free CF]],""),"")</f>
        <v>21.609195402298852</v>
      </c>
      <c r="I29" s="1">
        <f>IF(ISNUMBER(Main_M[[#This Row],[BVPS]]),IF(Main_M[[#This Row],[BVPS]]&lt;&gt;0,Main_M[[#This Row],[Current Price]]/Main_M[[#This Row],[BVPS]],""),"")</f>
        <v>3.7450199203187258</v>
      </c>
      <c r="J29">
        <v>12.26</v>
      </c>
      <c r="K29">
        <v>4.82</v>
      </c>
      <c r="L29">
        <v>1.29</v>
      </c>
      <c r="M29" s="1">
        <f>IF(ISNUMBER(Main_M[[#This Row],[EPS]]),IF(Main_M[[#This Row],[EPS]]&lt;&gt;0,Main_M[[#This Row],[Current Price]]/Main_M[[#This Row],[EPS]],""),"")</f>
        <v>33.571428571428569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1.5924880043241016</v>
      </c>
      <c r="P29" s="1">
        <f>(Main_M[[#This Row],[P/B]]-VLOOKUP(Main_M[[#This Row],[Industry]], Mean_PB_M, 2, FALSE))/(VLOOKUP(Main_M[[#This Row],[Industry]], Mean_PB_M, 3, FALSE))</f>
        <v>0.26053400681401667</v>
      </c>
      <c r="Q29" s="1">
        <f>(Main_M[[#This Row],[ROE]]-VLOOKUP(Main_M[[#This Row],[Industry]], Mean_ROE_M, 2, FALSE))/(VLOOKUP(Main_M[[#This Row],[Industry]], Mean_ROE_M, 3, FALSE))</f>
        <v>0.3247095392176263</v>
      </c>
      <c r="R29" s="1">
        <f>(Main_M[[#This Row],[ROA]]-VLOOKUP(Main_M[[#This Row],[Industry]], Mean_ROA_M, 2, FALSE))/(VLOOKUP(Main_M[[#This Row],[Industry]], Mean_ROA_M, 3, FALSE))</f>
        <v>0.27743104794050871</v>
      </c>
      <c r="S29" s="1">
        <f>(Main_M[[#This Row],[A/E]]-VLOOKUP(Main_M[[#This Row],[Industry]], Mean_AE_M, 2, FALSE))/(VLOOKUP(Main_M[[#This Row],[Industry]], Mean_AE_M, 3, FALSE))</f>
        <v>-0.70876883440485572</v>
      </c>
      <c r="T29" s="1">
        <f>(Main_M[[#This Row],[P/E]]-VLOOKUP(Main_M[[#This Row],[Industry]], Mean_PE_M, 2, FALSE))/(VLOOKUP(Main_M[[#This Row],[Industry]], Mean_PE_M, 3, FALSE))</f>
        <v>0.41681534367221551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s="67" t="s">
        <v>109</v>
      </c>
      <c r="B30" s="67" t="s">
        <v>281</v>
      </c>
      <c r="C30" s="2">
        <v>3040</v>
      </c>
      <c r="D30">
        <f>RTD("tos.rtd", , "LAST", Main_M[[#This Row],[Symbol]])</f>
        <v>29.21</v>
      </c>
      <c r="E30">
        <v>0.59</v>
      </c>
      <c r="F30">
        <v>1.29</v>
      </c>
      <c r="G30">
        <v>0.53</v>
      </c>
      <c r="H30" s="1">
        <f>IF(ISNUMBER(Main_M[[#This Row],[Free CF]]),IF(Main_M[[#This Row],[Free CF]]&lt;&gt;0,Main_M[[#This Row],[Current Price]]/Main_M[[#This Row],[Free CF]],""),"")</f>
        <v>49.50847457627119</v>
      </c>
      <c r="I30" s="1">
        <f>IF(ISNUMBER(Main_M[[#This Row],[BVPS]]),IF(Main_M[[#This Row],[BVPS]]&lt;&gt;0,Main_M[[#This Row],[Current Price]]/Main_M[[#This Row],[BVPS]],""),"")</f>
        <v>22.643410852713178</v>
      </c>
      <c r="J30">
        <v>41.8</v>
      </c>
      <c r="K30">
        <v>19.09</v>
      </c>
      <c r="L30">
        <v>1.77</v>
      </c>
      <c r="M30" s="1">
        <f>IF(ISNUMBER(Main_M[[#This Row],[EPS]]),IF(Main_M[[#This Row],[EPS]]&lt;&gt;0,Main_M[[#This Row],[Current Price]]/Main_M[[#This Row],[EPS]],""),"")</f>
        <v>55.113207547169807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6.9524672688074602</v>
      </c>
      <c r="P30" s="1">
        <f>(Main_M[[#This Row],[P/B]]-VLOOKUP(Main_M[[#This Row],[Industry]], Mean_PB_M, 2, FALSE))/(VLOOKUP(Main_M[[#This Row],[Industry]], Mean_PB_M, 3, FALSE))</f>
        <v>8.4806264542047654</v>
      </c>
      <c r="Q30" s="1">
        <f>(Main_M[[#This Row],[ROE]]-VLOOKUP(Main_M[[#This Row],[Industry]], Mean_ROE_M, 2, FALSE))/(VLOOKUP(Main_M[[#This Row],[Industry]], Mean_ROE_M, 3, FALSE))</f>
        <v>1.4546208443512254</v>
      </c>
      <c r="R30" s="1">
        <f>(Main_M[[#This Row],[ROA]]-VLOOKUP(Main_M[[#This Row],[Industry]], Mean_ROA_M, 2, FALSE))/(VLOOKUP(Main_M[[#This Row],[Industry]], Mean_ROA_M, 3, FALSE))</f>
        <v>2.2308559101663592</v>
      </c>
      <c r="S30" s="1">
        <f>(Main_M[[#This Row],[A/E]]-VLOOKUP(Main_M[[#This Row],[Industry]], Mean_AE_M, 2, FALSE))/(VLOOKUP(Main_M[[#This Row],[Industry]], Mean_AE_M, 3, FALSE))</f>
        <v>0.43287224114658868</v>
      </c>
      <c r="T30" s="1">
        <f>(Main_M[[#This Row],[P/E]]-VLOOKUP(Main_M[[#This Row],[Industry]], Mean_PE_M, 2, FALSE))/(VLOOKUP(Main_M[[#This Row],[Industry]], Mean_PE_M, 3, FALSE))</f>
        <v>0.82182688371084811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s="67" t="s">
        <v>109</v>
      </c>
      <c r="B31" s="67" t="s">
        <v>195</v>
      </c>
      <c r="C31" s="2">
        <v>3098</v>
      </c>
      <c r="D31">
        <f>RTD("tos.rtd", , "LAST", Main_M[[#This Row],[Symbol]])</f>
        <v>32.020000000000003</v>
      </c>
      <c r="E31">
        <v>1.97</v>
      </c>
      <c r="F31">
        <v>4.08</v>
      </c>
      <c r="G31">
        <v>0.36</v>
      </c>
      <c r="H31" s="1">
        <f>IF(ISNUMBER(Main_M[[#This Row],[Free CF]]),IF(Main_M[[#This Row],[Free CF]]&lt;&gt;0,Main_M[[#This Row],[Current Price]]/Main_M[[#This Row],[Free CF]],""),"")</f>
        <v>16.253807106598988</v>
      </c>
      <c r="I31" s="1">
        <f>IF(ISNUMBER(Main_M[[#This Row],[BVPS]]),IF(Main_M[[#This Row],[BVPS]]&lt;&gt;0,Main_M[[#This Row],[Current Price]]/Main_M[[#This Row],[BVPS]],""),"")</f>
        <v>7.848039215686275</v>
      </c>
      <c r="J31">
        <v>7.98</v>
      </c>
      <c r="K31">
        <v>14.21</v>
      </c>
      <c r="L31">
        <v>1.71</v>
      </c>
      <c r="M31" s="1">
        <f>IF(ISNUMBER(Main_M[[#This Row],[EPS]]),IF(Main_M[[#This Row],[EPS]]&lt;&gt;0,Main_M[[#This Row],[Current Price]]/Main_M[[#This Row],[EPS]],""),"")</f>
        <v>88.944444444444457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0.56361661165431309</v>
      </c>
      <c r="P31" s="1">
        <f>(Main_M[[#This Row],[P/B]]-VLOOKUP(Main_M[[#This Row],[Industry]], Mean_PB_M, 2, FALSE))/(VLOOKUP(Main_M[[#This Row],[Industry]], Mean_PB_M, 3, FALSE))</f>
        <v>2.0451937718703226</v>
      </c>
      <c r="Q31" s="1">
        <f>(Main_M[[#This Row],[ROE]]-VLOOKUP(Main_M[[#This Row],[Industry]], Mean_ROE_M, 2, FALSE))/(VLOOKUP(Main_M[[#This Row],[Industry]], Mean_ROE_M, 3, FALSE))</f>
        <v>0.16099862567761944</v>
      </c>
      <c r="R31" s="1">
        <f>(Main_M[[#This Row],[ROA]]-VLOOKUP(Main_M[[#This Row],[Industry]], Mean_ROA_M, 2, FALSE))/(VLOOKUP(Main_M[[#This Row],[Industry]], Mean_ROA_M, 3, FALSE))</f>
        <v>1.562831149993819</v>
      </c>
      <c r="S31" s="1">
        <f>(Main_M[[#This Row],[A/E]]-VLOOKUP(Main_M[[#This Row],[Industry]], Mean_AE_M, 2, FALSE))/(VLOOKUP(Main_M[[#This Row],[Industry]], Mean_AE_M, 3, FALSE))</f>
        <v>0.290167106702658</v>
      </c>
      <c r="T31" s="1">
        <f>(Main_M[[#This Row],[P/E]]-VLOOKUP(Main_M[[#This Row],[Industry]], Mean_PE_M, 2, FALSE))/(VLOOKUP(Main_M[[#This Row],[Industry]], Mean_PE_M, 3, FALSE))</f>
        <v>1.4578951198861076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s="67" t="s">
        <v>109</v>
      </c>
      <c r="B32" s="67" t="s">
        <v>282</v>
      </c>
      <c r="C32" s="2">
        <v>3141</v>
      </c>
      <c r="D32">
        <f>RTD("tos.rtd", , "LAST", Main_M[[#This Row],[Symbol]])</f>
        <v>10.15</v>
      </c>
      <c r="E32">
        <v>0.87</v>
      </c>
      <c r="F32">
        <v>4.92</v>
      </c>
      <c r="G32">
        <v>0.12</v>
      </c>
      <c r="H32" s="1">
        <f>IF(ISNUMBER(Main_M[[#This Row],[Free CF]]),IF(Main_M[[#This Row],[Free CF]]&lt;&gt;0,Main_M[[#This Row],[Current Price]]/Main_M[[#This Row],[Free CF]],""),"")</f>
        <v>11.666666666666668</v>
      </c>
      <c r="I32" s="1">
        <f>IF(ISNUMBER(Main_M[[#This Row],[BVPS]]),IF(Main_M[[#This Row],[BVPS]]&lt;&gt;0,Main_M[[#This Row],[Current Price]]/Main_M[[#This Row],[BVPS]],""),"")</f>
        <v>2.0630081300813008</v>
      </c>
      <c r="J32">
        <v>2.23</v>
      </c>
      <c r="K32">
        <v>2.0099999999999998</v>
      </c>
      <c r="L32">
        <v>3.89</v>
      </c>
      <c r="M32" s="1">
        <f>IF(ISNUMBER(Main_M[[#This Row],[EPS]]),IF(Main_M[[#This Row],[EPS]]&lt;&gt;0,Main_M[[#This Row],[Current Price]]/Main_M[[#This Row],[EPS]],""),"")</f>
        <v>84.583333333333343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-0.31765983595541125</v>
      </c>
      <c r="P32" s="1">
        <f>(Main_M[[#This Row],[P/B]]-VLOOKUP(Main_M[[#This Row],[Industry]], Mean_PB_M, 2, FALSE))/(VLOOKUP(Main_M[[#This Row],[Industry]], Mean_PB_M, 3, FALSE))</f>
        <v>-0.47107814275013887</v>
      </c>
      <c r="Q32" s="1">
        <f>(Main_M[[#This Row],[ROE]]-VLOOKUP(Main_M[[#This Row],[Industry]], Mean_ROE_M, 2, FALSE))/(VLOOKUP(Main_M[[#This Row],[Industry]], Mean_ROE_M, 3, FALSE))</f>
        <v>-5.8940101624960002E-2</v>
      </c>
      <c r="R32" s="1">
        <f>(Main_M[[#This Row],[ROA]]-VLOOKUP(Main_M[[#This Row],[Industry]], Mean_ROA_M, 2, FALSE))/(VLOOKUP(Main_M[[#This Row],[Industry]], Mean_ROA_M, 3, FALSE))</f>
        <v>-0.10723075043753201</v>
      </c>
      <c r="S32" s="1">
        <f>(Main_M[[#This Row],[A/E]]-VLOOKUP(Main_M[[#This Row],[Industry]], Mean_AE_M, 2, FALSE))/(VLOOKUP(Main_M[[#This Row],[Industry]], Mean_AE_M, 3, FALSE))</f>
        <v>5.475120324832135</v>
      </c>
      <c r="T32" s="1">
        <f>(Main_M[[#This Row],[P/E]]-VLOOKUP(Main_M[[#This Row],[Industry]], Mean_PE_M, 2, FALSE))/(VLOOKUP(Main_M[[#This Row],[Industry]], Mean_PE_M, 3, FALSE))</f>
        <v>1.375900948031509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s="67" t="s">
        <v>109</v>
      </c>
      <c r="B33" s="67" t="s">
        <v>193</v>
      </c>
      <c r="C33" s="2">
        <v>7532</v>
      </c>
      <c r="D33">
        <f>RTD("tos.rtd", , "LAST", Main_M[[#This Row],[Symbol]])</f>
        <v>19.45</v>
      </c>
      <c r="E33">
        <v>1.57</v>
      </c>
      <c r="F33">
        <v>4.74</v>
      </c>
      <c r="G33">
        <v>-0.2</v>
      </c>
      <c r="H33" s="1">
        <f>IF(ISNUMBER(Main_M[[#This Row],[Free CF]]),IF(Main_M[[#This Row],[Free CF]]&lt;&gt;0,Main_M[[#This Row],[Current Price]]/Main_M[[#This Row],[Free CF]],""),"")</f>
        <v>12.388535031847132</v>
      </c>
      <c r="I33" s="1">
        <f>IF(ISNUMBER(Main_M[[#This Row],[BVPS]]),IF(Main_M[[#This Row],[BVPS]]&lt;&gt;0,Main_M[[#This Row],[Current Price]]/Main_M[[#This Row],[BVPS]],""),"")</f>
        <v>4.1033755274261603</v>
      </c>
      <c r="J33">
        <v>-4.3099999999999996</v>
      </c>
      <c r="K33">
        <v>-1</v>
      </c>
      <c r="L33">
        <v>2.31</v>
      </c>
      <c r="M33" s="1">
        <f>IF(ISNUMBER(Main_M[[#This Row],[EPS]]),IF(Main_M[[#This Row],[EPS]]&lt;&gt;0,Main_M[[#This Row],[Current Price]]/Main_M[[#This Row],[EPS]],""),"")</f>
        <v>-97.249999999999986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-0.17897526833893232</v>
      </c>
      <c r="P33" s="1">
        <f>(Main_M[[#This Row],[P/B]]-VLOOKUP(Main_M[[#This Row],[Industry]], Mean_PB_M, 2, FALSE))/(VLOOKUP(Main_M[[#This Row],[Industry]], Mean_PB_M, 3, FALSE))</f>
        <v>0.41640527807735922</v>
      </c>
      <c r="Q33" s="1">
        <f>(Main_M[[#This Row],[ROE]]-VLOOKUP(Main_M[[#This Row],[Industry]], Mean_ROE_M, 2, FALSE))/(VLOOKUP(Main_M[[#This Row],[Industry]], Mean_ROE_M, 3, FALSE))</f>
        <v>-0.30909649754824164</v>
      </c>
      <c r="R33" s="1">
        <f>(Main_M[[#This Row],[ROA]]-VLOOKUP(Main_M[[#This Row],[Industry]], Mean_ROA_M, 2, FALSE))/(VLOOKUP(Main_M[[#This Row],[Industry]], Mean_ROA_M, 3, FALSE))</f>
        <v>-0.5192706127570702</v>
      </c>
      <c r="S33" s="1">
        <f>(Main_M[[#This Row],[A/E]]-VLOOKUP(Main_M[[#This Row],[Industry]], Mean_AE_M, 2, FALSE))/(VLOOKUP(Main_M[[#This Row],[Industry]], Mean_AE_M, 3, FALSE))</f>
        <v>1.7172184511419639</v>
      </c>
      <c r="T33" s="1">
        <f>(Main_M[[#This Row],[P/E]]-VLOOKUP(Main_M[[#This Row],[Industry]], Mean_PE_M, 2, FALSE))/(VLOOKUP(Main_M[[#This Row],[Industry]], Mean_PE_M, 3, FALSE))</f>
        <v>-2.0427859880207304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s="67" t="s">
        <v>109</v>
      </c>
      <c r="B34" s="67" t="s">
        <v>196</v>
      </c>
      <c r="C34" s="2">
        <v>4706</v>
      </c>
      <c r="D34">
        <f>RTD("tos.rtd", , "LAST", Main_M[[#This Row],[Symbol]])</f>
        <v>21.22</v>
      </c>
      <c r="E34">
        <v>-0.33</v>
      </c>
      <c r="F34">
        <v>4.04</v>
      </c>
      <c r="G34">
        <v>-0.52</v>
      </c>
      <c r="H34" s="1">
        <f>IF(ISNUMBER(Main_M[[#This Row],[Free CF]]),IF(Main_M[[#This Row],[Free CF]]&lt;&gt;0,Main_M[[#This Row],[Current Price]]/Main_M[[#This Row],[Free CF]],""),"")</f>
        <v>-64.303030303030297</v>
      </c>
      <c r="I34" s="1">
        <f>IF(ISNUMBER(Main_M[[#This Row],[BVPS]]),IF(Main_M[[#This Row],[BVPS]]&lt;&gt;0,Main_M[[#This Row],[Current Price]]/Main_M[[#This Row],[BVPS]],""),"")</f>
        <v>5.2524752475247523</v>
      </c>
      <c r="J34">
        <v>-19.059999999999999</v>
      </c>
      <c r="K34">
        <v>-13.06</v>
      </c>
      <c r="L34">
        <v>1.03</v>
      </c>
      <c r="M34" s="1">
        <f>IF(ISNUMBER(Main_M[[#This Row],[EPS]]),IF(Main_M[[#This Row],[EPS]]&lt;&gt;0,Main_M[[#This Row],[Current Price]]/Main_M[[#This Row],[EPS]],""),"")</f>
        <v>-40.807692307692307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-14.912875645922981</v>
      </c>
      <c r="P34" s="1">
        <f>(Main_M[[#This Row],[P/B]]-VLOOKUP(Main_M[[#This Row],[Industry]], Mean_PB_M, 2, FALSE))/(VLOOKUP(Main_M[[#This Row],[Industry]], Mean_PB_M, 3, FALSE))</f>
        <v>0.91622063083789584</v>
      </c>
      <c r="Q34" s="1">
        <f>(Main_M[[#This Row],[ROE]]-VLOOKUP(Main_M[[#This Row],[Industry]], Mean_ROE_M, 2, FALSE))/(VLOOKUP(Main_M[[#This Row],[Industry]], Mean_ROE_M, 3, FALSE))</f>
        <v>-0.87328714584616263</v>
      </c>
      <c r="R34" s="1">
        <f>(Main_M[[#This Row],[ROA]]-VLOOKUP(Main_M[[#This Row],[Industry]], Mean_ROA_M, 2, FALSE))/(VLOOKUP(Main_M[[#This Row],[Industry]], Mean_ROA_M, 3, FALSE))</f>
        <v>-2.170167868429373</v>
      </c>
      <c r="S34" s="1">
        <f>(Main_M[[#This Row],[A/E]]-VLOOKUP(Main_M[[#This Row],[Industry]], Mean_AE_M, 2, FALSE))/(VLOOKUP(Main_M[[#This Row],[Industry]], Mean_AE_M, 3, FALSE))</f>
        <v>-1.3271577503285548</v>
      </c>
      <c r="T34" s="1">
        <f>(Main_M[[#This Row],[P/E]]-VLOOKUP(Main_M[[#This Row],[Industry]], Mean_PE_M, 2, FALSE))/(VLOOKUP(Main_M[[#This Row],[Industry]], Mean_PE_M, 3, FALSE))</f>
        <v>-0.98160223028470983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s="67" t="s">
        <v>109</v>
      </c>
      <c r="B35" s="67" t="s">
        <v>197</v>
      </c>
      <c r="C35" s="2">
        <v>4784</v>
      </c>
      <c r="D35">
        <f>RTD("tos.rtd", , "LAST", Main_M[[#This Row],[Symbol]])</f>
        <v>23.23</v>
      </c>
      <c r="E35">
        <v>0.52</v>
      </c>
      <c r="F35">
        <v>1.6</v>
      </c>
      <c r="G35">
        <v>-0.57999999999999996</v>
      </c>
      <c r="H35" s="1">
        <f>IF(ISNUMBER(Main_M[[#This Row],[Free CF]]),IF(Main_M[[#This Row],[Free CF]]&lt;&gt;0,Main_M[[#This Row],[Current Price]]/Main_M[[#This Row],[Free CF]],""),"")</f>
        <v>44.67307692307692</v>
      </c>
      <c r="I35" s="1">
        <f>IF(ISNUMBER(Main_M[[#This Row],[BVPS]]),IF(Main_M[[#This Row],[BVPS]]&lt;&gt;0,Main_M[[#This Row],[Current Price]]/Main_M[[#This Row],[BVPS]],""),"")</f>
        <v>14.518749999999999</v>
      </c>
      <c r="J35">
        <v>-63.52</v>
      </c>
      <c r="K35">
        <v>11.19</v>
      </c>
      <c r="L35">
        <v>2.12</v>
      </c>
      <c r="M35" s="1">
        <f>IF(ISNUMBER(Main_M[[#This Row],[EPS]]),IF(Main_M[[#This Row],[EPS]]&lt;&gt;0,Main_M[[#This Row],[Current Price]]/Main_M[[#This Row],[EPS]],""),"")</f>
        <v>-40.051724137931039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6.023495914564311</v>
      </c>
      <c r="P35" s="1">
        <f>(Main_M[[#This Row],[P/B]]-VLOOKUP(Main_M[[#This Row],[Industry]], Mean_PB_M, 2, FALSE))/(VLOOKUP(Main_M[[#This Row],[Industry]], Mean_PB_M, 3, FALSE))</f>
        <v>4.9467031931233487</v>
      </c>
      <c r="Q35" s="1">
        <f>(Main_M[[#This Row],[ROE]]-VLOOKUP(Main_M[[#This Row],[Industry]], Mean_ROE_M, 2, FALSE))/(VLOOKUP(Main_M[[#This Row],[Industry]], Mean_ROE_M, 3, FALSE))</f>
        <v>-2.5738916355631511</v>
      </c>
      <c r="R35" s="1">
        <f>(Main_M[[#This Row],[ROA]]-VLOOKUP(Main_M[[#This Row],[Industry]], Mean_ROA_M, 2, FALSE))/(VLOOKUP(Main_M[[#This Row],[Industry]], Mean_ROA_M, 3, FALSE))</f>
        <v>1.1494223844772056</v>
      </c>
      <c r="S35" s="1">
        <f>(Main_M[[#This Row],[A/E]]-VLOOKUP(Main_M[[#This Row],[Industry]], Mean_AE_M, 2, FALSE))/(VLOOKUP(Main_M[[#This Row],[Industry]], Mean_AE_M, 3, FALSE))</f>
        <v>1.2653188587361839</v>
      </c>
      <c r="T35" s="1">
        <f>(Main_M[[#This Row],[P/E]]-VLOOKUP(Main_M[[#This Row],[Industry]], Mean_PE_M, 2, FALSE))/(VLOOKUP(Main_M[[#This Row],[Industry]], Mean_PE_M, 3, FALSE))</f>
        <v>-0.96738911292796825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s="67" t="s">
        <v>107</v>
      </c>
      <c r="B36" s="67" t="s">
        <v>217</v>
      </c>
      <c r="C36" s="2">
        <v>4023</v>
      </c>
      <c r="D36">
        <f>RTD("tos.rtd", , "LAST", Main_M[[#This Row],[Symbol]])</f>
        <v>21.66</v>
      </c>
      <c r="H36" s="1" t="str">
        <f>IF(ISNUMBER(Main_M[[#This Row],[Free CF]]),IF(Main_M[[#This Row],[Free CF]]&lt;&gt;0,Main_M[[#This Row],[Current Price]]/Main_M[[#This Row],[Free CF]],""),"")</f>
        <v/>
      </c>
      <c r="I36" s="1" t="str">
        <f>IF(ISNUMBER(Main_M[[#This Row],[BVPS]]),IF(Main_M[[#This Row],[BVPS]]&lt;&gt;0,Main_M[[#This Row],[Current Price]]/Main_M[[#This Row],[BVPS]],""),"")</f>
        <v/>
      </c>
      <c r="J36">
        <v>-12.02</v>
      </c>
      <c r="K36">
        <v>-0.53</v>
      </c>
      <c r="L36">
        <v>6.14</v>
      </c>
      <c r="M36" s="1" t="str">
        <f>IF(ISNUMBER(Main_M[[#This Row],[EPS]]),IF(Main_M[[#This Row],[EPS]]&lt;&gt;0,Main_M[[#This Row],[Current Price]]/Main_M[[#This Row],[EPS]],""),"")</f>
        <v/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 t="e">
        <f>(Main_M[[#This Row],[P/FCF]]-VLOOKUP(Main_M[[#This Row],[Industry]], Mean_PFCF_M, 2, FALSE))/(VLOOKUP(Main_M[[#This Row],[Industry]], Mean_PFCF_M, 3, FALSE))</f>
        <v>#VALUE!</v>
      </c>
      <c r="P36" s="1" t="e">
        <f>(Main_M[[#This Row],[P/B]]-VLOOKUP(Main_M[[#This Row],[Industry]], Mean_PB_M, 2, FALSE))/(VLOOKUP(Main_M[[#This Row],[Industry]], Mean_PB_M, 3, FALSE))</f>
        <v>#VALUE!</v>
      </c>
      <c r="Q36" s="1">
        <f>(Main_M[[#This Row],[ROE]]-VLOOKUP(Main_M[[#This Row],[Industry]], Mean_ROE_M, 2, FALSE))/(VLOOKUP(Main_M[[#This Row],[Industry]], Mean_ROE_M, 3, FALSE))</f>
        <v>-0.83825748695807323</v>
      </c>
      <c r="R36" s="1">
        <f>(Main_M[[#This Row],[ROA]]-VLOOKUP(Main_M[[#This Row],[Industry]], Mean_ROA_M, 2, FALSE))/(VLOOKUP(Main_M[[#This Row],[Industry]], Mean_ROA_M, 3, FALSE))</f>
        <v>-1.5887743774205594</v>
      </c>
      <c r="S36" s="1">
        <f>(Main_M[[#This Row],[A/E]]-VLOOKUP(Main_M[[#This Row],[Industry]], Mean_AE_M, 2, FALSE))/(VLOOKUP(Main_M[[#This Row],[Industry]], Mean_AE_M, 3, FALSE))</f>
        <v>1.3685109080511901</v>
      </c>
      <c r="T36" s="1" t="e">
        <f>(Main_M[[#This Row],[P/E]]-VLOOKUP(Main_M[[#This Row],[Industry]], Mean_PE_M, 2, FALSE))/(VLOOKUP(Main_M[[#This Row],[Industry]], Mean_PE_M, 3, FALSE))</f>
        <v>#VALUE!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7" spans="1:26" x14ac:dyDescent="0.25">
      <c r="A37" s="67" t="s">
        <v>107</v>
      </c>
      <c r="B37" s="67" t="s">
        <v>175</v>
      </c>
      <c r="C37" s="2">
        <v>5138</v>
      </c>
      <c r="D37">
        <f>RTD("tos.rtd", , "LAST", Main_M[[#This Row],[Symbol]])</f>
        <v>168.34</v>
      </c>
      <c r="E37">
        <v>37.21</v>
      </c>
      <c r="F37">
        <v>74.02</v>
      </c>
      <c r="G37">
        <v>19.7</v>
      </c>
      <c r="H37" s="1">
        <f>IF(ISNUMBER(Main_M[[#This Row],[Free CF]]),IF(Main_M[[#This Row],[Free CF]]&lt;&gt;0,Main_M[[#This Row],[Current Price]]/Main_M[[#This Row],[Free CF]],""),"")</f>
        <v>4.5240526740123626</v>
      </c>
      <c r="I37" s="1">
        <f>IF(ISNUMBER(Main_M[[#This Row],[BVPS]]),IF(Main_M[[#This Row],[BVPS]]&lt;&gt;0,Main_M[[#This Row],[Current Price]]/Main_M[[#This Row],[BVPS]],""),"")</f>
        <v>2.274250202647933</v>
      </c>
      <c r="J37">
        <v>26.68</v>
      </c>
      <c r="K37">
        <v>6.77</v>
      </c>
      <c r="L37">
        <v>5.08</v>
      </c>
      <c r="M37" s="1">
        <f>IF(ISNUMBER(Main_M[[#This Row],[EPS]]),IF(Main_M[[#This Row],[EPS]]&lt;&gt;0,Main_M[[#This Row],[Current Price]]/Main_M[[#This Row],[EPS]],""),"")</f>
        <v>8.5451776649746201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-1.0908488150780071</v>
      </c>
      <c r="P37" s="1">
        <f>(Main_M[[#This Row],[P/B]]-VLOOKUP(Main_M[[#This Row],[Industry]], Mean_PB_M, 2, FALSE))/(VLOOKUP(Main_M[[#This Row],[Industry]], Mean_PB_M, 3, FALSE))</f>
        <v>-1.3755149293754234E-2</v>
      </c>
      <c r="Q37" s="1">
        <f>(Main_M[[#This Row],[ROE]]-VLOOKUP(Main_M[[#This Row],[Industry]], Mean_ROE_M, 2, FALSE))/(VLOOKUP(Main_M[[#This Row],[Industry]], Mean_ROE_M, 3, FALSE))</f>
        <v>1.1817029579533487</v>
      </c>
      <c r="R37" s="1">
        <f>(Main_M[[#This Row],[ROA]]-VLOOKUP(Main_M[[#This Row],[Industry]], Mean_ROA_M, 2, FALSE))/(VLOOKUP(Main_M[[#This Row],[Industry]], Mean_ROA_M, 3, FALSE))</f>
        <v>0.86532061944149807</v>
      </c>
      <c r="S37" s="1">
        <f>(Main_M[[#This Row],[A/E]]-VLOOKUP(Main_M[[#This Row],[Industry]], Mean_AE_M, 2, FALSE))/(VLOOKUP(Main_M[[#This Row],[Industry]], Mean_AE_M, 3, FALSE))</f>
        <v>0.75231767794814108</v>
      </c>
      <c r="T37" s="1">
        <f>(Main_M[[#This Row],[P/E]]-VLOOKUP(Main_M[[#This Row],[Industry]], Mean_PE_M, 2, FALSE))/(VLOOKUP(Main_M[[#This Row],[Industry]], Mean_PE_M, 3, FALSE))</f>
        <v>-0.50606693371080236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s="67" t="s">
        <v>107</v>
      </c>
      <c r="B38" s="67" t="s">
        <v>176</v>
      </c>
      <c r="C38" s="2">
        <v>2687</v>
      </c>
      <c r="D38">
        <f>RTD("tos.rtd", , "LAST", Main_M[[#This Row],[Symbol]])</f>
        <v>16.559999999999999</v>
      </c>
      <c r="E38">
        <v>3.6</v>
      </c>
      <c r="F38">
        <v>18.91</v>
      </c>
      <c r="G38">
        <v>2.83</v>
      </c>
      <c r="H38" s="1">
        <f>IF(ISNUMBER(Main_M[[#This Row],[Free CF]]),IF(Main_M[[#This Row],[Free CF]]&lt;&gt;0,Main_M[[#This Row],[Current Price]]/Main_M[[#This Row],[Free CF]],""),"")</f>
        <v>4.5999999999999996</v>
      </c>
      <c r="I38" s="1">
        <f>IF(ISNUMBER(Main_M[[#This Row],[BVPS]]),IF(Main_M[[#This Row],[BVPS]]&lt;&gt;0,Main_M[[#This Row],[Current Price]]/Main_M[[#This Row],[BVPS]],""),"")</f>
        <v>0.87572712850343726</v>
      </c>
      <c r="J38">
        <v>15.93</v>
      </c>
      <c r="K38">
        <v>6.47</v>
      </c>
      <c r="L38">
        <v>2.4</v>
      </c>
      <c r="M38" s="1">
        <f>IF(ISNUMBER(Main_M[[#This Row],[EPS]]),IF(Main_M[[#This Row],[EPS]]&lt;&gt;0,Main_M[[#This Row],[Current Price]]/Main_M[[#This Row],[EPS]],""),"")</f>
        <v>5.851590106007067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38" s="1">
        <f>(Main_M[[#This Row],[P/FCF]]-VLOOKUP(Main_M[[#This Row],[Industry]], Mean_PFCF_M, 2, FALSE))/(VLOOKUP(Main_M[[#This Row],[Industry]], Mean_PFCF_M, 3, FALSE))</f>
        <v>-1.0803051678493674</v>
      </c>
      <c r="P38" s="1">
        <f>(Main_M[[#This Row],[P/B]]-VLOOKUP(Main_M[[#This Row],[Industry]], Mean_PB_M, 2, FALSE))/(VLOOKUP(Main_M[[#This Row],[Industry]], Mean_PB_M, 3, FALSE))</f>
        <v>-1.0168394049388239</v>
      </c>
      <c r="Q38" s="1">
        <f>(Main_M[[#This Row],[ROE]]-VLOOKUP(Main_M[[#This Row],[Industry]], Mean_ROE_M, 2, FALSE))/(VLOOKUP(Main_M[[#This Row],[Industry]], Mean_ROE_M, 3, FALSE))</f>
        <v>0.6206028343668426</v>
      </c>
      <c r="R38" s="1">
        <f>(Main_M[[#This Row],[ROA]]-VLOOKUP(Main_M[[#This Row],[Industry]], Mean_ROA_M, 2, FALSE))/(VLOOKUP(Main_M[[#This Row],[Industry]], Mean_ROA_M, 3, FALSE))</f>
        <v>0.76446740039237249</v>
      </c>
      <c r="S38" s="1">
        <f>(Main_M[[#This Row],[A/E]]-VLOOKUP(Main_M[[#This Row],[Industry]], Mean_AE_M, 2, FALSE))/(VLOOKUP(Main_M[[#This Row],[Industry]], Mean_AE_M, 3, FALSE))</f>
        <v>-0.80560482835013414</v>
      </c>
      <c r="T38" s="1">
        <f>(Main_M[[#This Row],[P/E]]-VLOOKUP(Main_M[[#This Row],[Industry]], Mean_PE_M, 2, FALSE))/(VLOOKUP(Main_M[[#This Row],[Industry]], Mean_PE_M, 3, FALSE))</f>
        <v>-0.59113156138926692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s="67" t="s">
        <v>107</v>
      </c>
      <c r="B39" s="67" t="s">
        <v>179</v>
      </c>
      <c r="C39" s="2">
        <v>9313</v>
      </c>
      <c r="D39">
        <f>RTD("tos.rtd", , "LAST", Main_M[[#This Row],[Symbol]])</f>
        <v>55.64</v>
      </c>
      <c r="E39">
        <v>2.59</v>
      </c>
      <c r="F39">
        <v>11.54</v>
      </c>
      <c r="G39">
        <v>1.83</v>
      </c>
      <c r="H39" s="1">
        <f>IF(ISNUMBER(Main_M[[#This Row],[Free CF]]),IF(Main_M[[#This Row],[Free CF]]&lt;&gt;0,Main_M[[#This Row],[Current Price]]/Main_M[[#This Row],[Free CF]],""),"")</f>
        <v>21.482625482625483</v>
      </c>
      <c r="I39" s="1">
        <f>IF(ISNUMBER(Main_M[[#This Row],[BVPS]]),IF(Main_M[[#This Row],[BVPS]]&lt;&gt;0,Main_M[[#This Row],[Current Price]]/Main_M[[#This Row],[BVPS]],""),"")</f>
        <v>4.8214904679376085</v>
      </c>
      <c r="J39">
        <v>16.68</v>
      </c>
      <c r="K39">
        <v>8.7200000000000006</v>
      </c>
      <c r="L39">
        <v>1.45</v>
      </c>
      <c r="M39" s="1">
        <f>IF(ISNUMBER(Main_M[[#This Row],[EPS]]),IF(Main_M[[#This Row],[EPS]]&lt;&gt;0,Main_M[[#This Row],[Current Price]]/Main_M[[#This Row],[EPS]],""),"")</f>
        <v>30.404371584699454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1.2634830441414524</v>
      </c>
      <c r="P39" s="1">
        <f>(Main_M[[#This Row],[P/B]]-VLOOKUP(Main_M[[#This Row],[Industry]], Mean_PB_M, 2, FALSE))/(VLOOKUP(Main_M[[#This Row],[Industry]], Mean_PB_M, 3, FALSE))</f>
        <v>1.8132412390355888</v>
      </c>
      <c r="Q39" s="1">
        <f>(Main_M[[#This Row],[ROE]]-VLOOKUP(Main_M[[#This Row],[Industry]], Mean_ROE_M, 2, FALSE))/(VLOOKUP(Main_M[[#This Row],[Industry]], Mean_ROE_M, 3, FALSE))</f>
        <v>0.65974935461706385</v>
      </c>
      <c r="R39" s="1">
        <f>(Main_M[[#This Row],[ROA]]-VLOOKUP(Main_M[[#This Row],[Industry]], Mean_ROA_M, 2, FALSE))/(VLOOKUP(Main_M[[#This Row],[Industry]], Mean_ROA_M, 3, FALSE))</f>
        <v>1.5208665432608153</v>
      </c>
      <c r="S39" s="1">
        <f>(Main_M[[#This Row],[A/E]]-VLOOKUP(Main_M[[#This Row],[Industry]], Mean_AE_M, 2, FALSE))/(VLOOKUP(Main_M[[#This Row],[Industry]], Mean_AE_M, 3, FALSE))</f>
        <v>-1.3578534779707916</v>
      </c>
      <c r="T39" s="1">
        <f>(Main_M[[#This Row],[P/E]]-VLOOKUP(Main_M[[#This Row],[Industry]], Mean_PE_M, 2, FALSE))/(VLOOKUP(Main_M[[#This Row],[Industry]], Mean_PE_M, 3, FALSE))</f>
        <v>0.18425560135669347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s="67" t="s">
        <v>107</v>
      </c>
      <c r="B40" s="67" t="s">
        <v>172</v>
      </c>
      <c r="C40" s="2">
        <v>8859</v>
      </c>
      <c r="D40">
        <f>RTD("tos.rtd", , "LAST", Main_M[[#This Row],[Symbol]])</f>
        <v>23.08</v>
      </c>
      <c r="E40">
        <v>2.8</v>
      </c>
      <c r="F40">
        <v>9.68</v>
      </c>
      <c r="G40">
        <v>1.31</v>
      </c>
      <c r="H40" s="1">
        <f>IF(ISNUMBER(Main_M[[#This Row],[Free CF]]),IF(Main_M[[#This Row],[Free CF]]&lt;&gt;0,Main_M[[#This Row],[Current Price]]/Main_M[[#This Row],[Free CF]],""),"")</f>
        <v>8.242857142857142</v>
      </c>
      <c r="I40" s="1">
        <f>IF(ISNUMBER(Main_M[[#This Row],[BVPS]]),IF(Main_M[[#This Row],[BVPS]]&lt;&gt;0,Main_M[[#This Row],[Current Price]]/Main_M[[#This Row],[BVPS]],""),"")</f>
        <v>2.384297520661157</v>
      </c>
      <c r="J40">
        <v>13.58</v>
      </c>
      <c r="K40">
        <v>5.12</v>
      </c>
      <c r="L40">
        <v>4.78</v>
      </c>
      <c r="M40" s="1">
        <f>IF(ISNUMBER(Main_M[[#This Row],[EPS]]),IF(Main_M[[#This Row],[EPS]]&lt;&gt;0,Main_M[[#This Row],[Current Price]]/Main_M[[#This Row],[EPS]],""),"")</f>
        <v>17.618320610687022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-0.57457306840891131</v>
      </c>
      <c r="P40" s="1">
        <f>(Main_M[[#This Row],[P/B]]-VLOOKUP(Main_M[[#This Row],[Industry]], Mean_PB_M, 2, FALSE))/(VLOOKUP(Main_M[[#This Row],[Industry]], Mean_PB_M, 3, FALSE))</f>
        <v>6.517578442899237E-2</v>
      </c>
      <c r="Q40" s="1">
        <f>(Main_M[[#This Row],[ROE]]-VLOOKUP(Main_M[[#This Row],[Industry]], Mean_ROE_M, 2, FALSE))/(VLOOKUP(Main_M[[#This Row],[Industry]], Mean_ROE_M, 3, FALSE))</f>
        <v>0.49794373758281568</v>
      </c>
      <c r="R40" s="1">
        <f>(Main_M[[#This Row],[ROA]]-VLOOKUP(Main_M[[#This Row],[Industry]], Mean_ROA_M, 2, FALSE))/(VLOOKUP(Main_M[[#This Row],[Industry]], Mean_ROA_M, 3, FALSE))</f>
        <v>0.31062791467130713</v>
      </c>
      <c r="S40" s="1">
        <f>(Main_M[[#This Row],[A/E]]-VLOOKUP(Main_M[[#This Row],[Industry]], Mean_AE_M, 2, FALSE))/(VLOOKUP(Main_M[[#This Row],[Industry]], Mean_AE_M, 3, FALSE))</f>
        <v>0.57792336754161788</v>
      </c>
      <c r="T40" s="1">
        <f>(Main_M[[#This Row],[P/E]]-VLOOKUP(Main_M[[#This Row],[Industry]], Mean_PE_M, 2, FALSE))/(VLOOKUP(Main_M[[#This Row],[Industry]], Mean_PE_M, 3, FALSE))</f>
        <v>-0.21953326452265709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s="67" t="s">
        <v>107</v>
      </c>
      <c r="B41" s="67" t="s">
        <v>180</v>
      </c>
      <c r="C41" s="2">
        <v>2107</v>
      </c>
      <c r="D41">
        <f>RTD("tos.rtd", , "LAST", Main_M[[#This Row],[Symbol]])</f>
        <v>38.159999999999997</v>
      </c>
      <c r="E41">
        <v>2.77</v>
      </c>
      <c r="F41">
        <v>12.73</v>
      </c>
      <c r="G41">
        <v>0.75</v>
      </c>
      <c r="H41" s="1">
        <f>IF(ISNUMBER(Main_M[[#This Row],[Free CF]]),IF(Main_M[[#This Row],[Free CF]]&lt;&gt;0,Main_M[[#This Row],[Current Price]]/Main_M[[#This Row],[Free CF]],""),"")</f>
        <v>13.776173285198555</v>
      </c>
      <c r="I41" s="1">
        <f>IF(ISNUMBER(Main_M[[#This Row],[BVPS]]),IF(Main_M[[#This Row],[BVPS]]&lt;&gt;0,Main_M[[#This Row],[Current Price]]/Main_M[[#This Row],[BVPS]],""),"")</f>
        <v>2.9976433621366847</v>
      </c>
      <c r="J41">
        <v>5.77</v>
      </c>
      <c r="K41">
        <v>5.56</v>
      </c>
      <c r="L41">
        <v>3.79</v>
      </c>
      <c r="M41" s="1">
        <f>IF(ISNUMBER(Main_M[[#This Row],[EPS]]),IF(Main_M[[#This Row],[EPS]]&lt;&gt;0,Main_M[[#This Row],[Current Price]]/Main_M[[#This Row],[EPS]],""),"")</f>
        <v>50.879999999999995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0.19360846597299522</v>
      </c>
      <c r="P41" s="1">
        <f>(Main_M[[#This Row],[P/B]]-VLOOKUP(Main_M[[#This Row],[Industry]], Mean_PB_M, 2, FALSE))/(VLOOKUP(Main_M[[#This Row],[Industry]], Mean_PB_M, 3, FALSE))</f>
        <v>0.5050952739417639</v>
      </c>
      <c r="Q41" s="1">
        <f>(Main_M[[#This Row],[ROE]]-VLOOKUP(Main_M[[#This Row],[Industry]], Mean_ROE_M, 2, FALSE))/(VLOOKUP(Main_M[[#This Row],[Industry]], Mean_ROE_M, 3, FALSE))</f>
        <v>9.0297973377177279E-2</v>
      </c>
      <c r="R41" s="1">
        <f>(Main_M[[#This Row],[ROA]]-VLOOKUP(Main_M[[#This Row],[Industry]], Mean_ROA_M, 2, FALSE))/(VLOOKUP(Main_M[[#This Row],[Industry]], Mean_ROA_M, 3, FALSE))</f>
        <v>0.45854596927669128</v>
      </c>
      <c r="S41" s="1">
        <f>(Main_M[[#This Row],[A/E]]-VLOOKUP(Main_M[[#This Row],[Industry]], Mean_AE_M, 2, FALSE))/(VLOOKUP(Main_M[[#This Row],[Industry]], Mean_AE_M, 3, FALSE))</f>
        <v>2.4221432000907225E-3</v>
      </c>
      <c r="T41" s="1">
        <f>(Main_M[[#This Row],[P/E]]-VLOOKUP(Main_M[[#This Row],[Industry]], Mean_PE_M, 2, FALSE))/(VLOOKUP(Main_M[[#This Row],[Industry]], Mean_PE_M, 3, FALSE))</f>
        <v>0.83088455605001688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s="67" t="s">
        <v>107</v>
      </c>
      <c r="B42" s="67" t="s">
        <v>181</v>
      </c>
      <c r="C42" s="2">
        <v>2129</v>
      </c>
      <c r="D42">
        <f>RTD("tos.rtd", , "LAST", Main_M[[#This Row],[Symbol]])</f>
        <v>38.799999999999997</v>
      </c>
      <c r="E42">
        <v>2.77</v>
      </c>
      <c r="F42">
        <v>12.73</v>
      </c>
      <c r="G42">
        <v>0.75</v>
      </c>
      <c r="H42" s="1">
        <f>IF(ISNUMBER(Main_M[[#This Row],[Free CF]]),IF(Main_M[[#This Row],[Free CF]]&lt;&gt;0,Main_M[[#This Row],[Current Price]]/Main_M[[#This Row],[Free CF]],""),"")</f>
        <v>14.007220216606497</v>
      </c>
      <c r="I42" s="1">
        <f>IF(ISNUMBER(Main_M[[#This Row],[BVPS]]),IF(Main_M[[#This Row],[BVPS]]&lt;&gt;0,Main_M[[#This Row],[Current Price]]/Main_M[[#This Row],[BVPS]],""),"")</f>
        <v>3.047918303220738</v>
      </c>
      <c r="J42">
        <v>5.77</v>
      </c>
      <c r="K42">
        <v>5.56</v>
      </c>
      <c r="L42">
        <v>3.79</v>
      </c>
      <c r="M42" s="1">
        <f>IF(ISNUMBER(Main_M[[#This Row],[EPS]]),IF(Main_M[[#This Row],[EPS]]&lt;&gt;0,Main_M[[#This Row],[Current Price]]/Main_M[[#This Row],[EPS]],""),"")</f>
        <v>51.733333333333327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0.22568434628011266</v>
      </c>
      <c r="P42" s="1">
        <f>(Main_M[[#This Row],[P/B]]-VLOOKUP(Main_M[[#This Row],[Industry]], Mean_PB_M, 2, FALSE))/(VLOOKUP(Main_M[[#This Row],[Industry]], Mean_PB_M, 3, FALSE))</f>
        <v>0.54115474467001512</v>
      </c>
      <c r="Q42" s="1">
        <f>(Main_M[[#This Row],[ROE]]-VLOOKUP(Main_M[[#This Row],[Industry]], Mean_ROE_M, 2, FALSE))/(VLOOKUP(Main_M[[#This Row],[Industry]], Mean_ROE_M, 3, FALSE))</f>
        <v>9.0297973377177279E-2</v>
      </c>
      <c r="R42" s="1">
        <f>(Main_M[[#This Row],[ROA]]-VLOOKUP(Main_M[[#This Row],[Industry]], Mean_ROA_M, 2, FALSE))/(VLOOKUP(Main_M[[#This Row],[Industry]], Mean_ROA_M, 3, FALSE))</f>
        <v>0.45854596927669128</v>
      </c>
      <c r="S42" s="1">
        <f>(Main_M[[#This Row],[A/E]]-VLOOKUP(Main_M[[#This Row],[Industry]], Mean_AE_M, 2, FALSE))/(VLOOKUP(Main_M[[#This Row],[Industry]], Mean_AE_M, 3, FALSE))</f>
        <v>2.4221432000907225E-3</v>
      </c>
      <c r="T42" s="1">
        <f>(Main_M[[#This Row],[P/E]]-VLOOKUP(Main_M[[#This Row],[Industry]], Mean_PE_M, 2, FALSE))/(VLOOKUP(Main_M[[#This Row],[Industry]], Mean_PE_M, 3, FALSE))</f>
        <v>0.85783318151569354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s="67" t="s">
        <v>107</v>
      </c>
      <c r="B43" s="67" t="s">
        <v>173</v>
      </c>
      <c r="C43" s="2">
        <v>8719</v>
      </c>
      <c r="D43">
        <f>RTD("tos.rtd", , "LAST", Main_M[[#This Row],[Symbol]])</f>
        <v>36.68</v>
      </c>
      <c r="E43">
        <v>1.36</v>
      </c>
      <c r="F43">
        <v>4.03</v>
      </c>
      <c r="G43">
        <v>0.62</v>
      </c>
      <c r="H43" s="1">
        <f>IF(ISNUMBER(Main_M[[#This Row],[Free CF]]),IF(Main_M[[#This Row],[Free CF]]&lt;&gt;0,Main_M[[#This Row],[Current Price]]/Main_M[[#This Row],[Free CF]],""),"")</f>
        <v>26.970588235294116</v>
      </c>
      <c r="I43" s="1">
        <f>IF(ISNUMBER(Main_M[[#This Row],[BVPS]]),IF(Main_M[[#This Row],[BVPS]]&lt;&gt;0,Main_M[[#This Row],[Current Price]]/Main_M[[#This Row],[BVPS]],""),"")</f>
        <v>9.1017369727047139</v>
      </c>
      <c r="J43">
        <v>16.62</v>
      </c>
      <c r="K43">
        <v>3.15</v>
      </c>
      <c r="L43">
        <v>7.34</v>
      </c>
      <c r="M43" s="1">
        <f>IF(ISNUMBER(Main_M[[#This Row],[EPS]]),IF(Main_M[[#This Row],[EPS]]&lt;&gt;0,Main_M[[#This Row],[Current Price]]/Main_M[[#This Row],[EPS]],""),"")</f>
        <v>59.161290322580648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2.0253682391181944</v>
      </c>
      <c r="P43" s="1">
        <f>(Main_M[[#This Row],[P/B]]-VLOOKUP(Main_M[[#This Row],[Industry]], Mean_PB_M, 2, FALSE))/(VLOOKUP(Main_M[[#This Row],[Industry]], Mean_PB_M, 3, FALSE))</f>
        <v>4.8832283980519744</v>
      </c>
      <c r="Q43" s="1">
        <f>(Main_M[[#This Row],[ROE]]-VLOOKUP(Main_M[[#This Row],[Industry]], Mean_ROE_M, 2, FALSE))/(VLOOKUP(Main_M[[#This Row],[Industry]], Mean_ROE_M, 3, FALSE))</f>
        <v>0.65661763299704623</v>
      </c>
      <c r="R43" s="1">
        <f>(Main_M[[#This Row],[ROA]]-VLOOKUP(Main_M[[#This Row],[Industry]], Mean_ROA_M, 2, FALSE))/(VLOOKUP(Main_M[[#This Row],[Industry]], Mean_ROA_M, 3, FALSE))</f>
        <v>-0.35164155708461803</v>
      </c>
      <c r="S43" s="1">
        <f>(Main_M[[#This Row],[A/E]]-VLOOKUP(Main_M[[#This Row],[Industry]], Mean_AE_M, 2, FALSE))/(VLOOKUP(Main_M[[#This Row],[Industry]], Mean_AE_M, 3, FALSE))</f>
        <v>2.0660881496772836</v>
      </c>
      <c r="T43" s="1">
        <f>(Main_M[[#This Row],[P/E]]-VLOOKUP(Main_M[[#This Row],[Industry]], Mean_PE_M, 2, FALSE))/(VLOOKUP(Main_M[[#This Row],[Industry]], Mean_PE_M, 3, FALSE))</f>
        <v>1.0924111864512975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s="67" t="s">
        <v>107</v>
      </c>
      <c r="B44" s="67" t="s">
        <v>218</v>
      </c>
      <c r="C44" s="2">
        <v>2309</v>
      </c>
      <c r="D44">
        <f>RTD("tos.rtd", , "LAST", Main_M[[#This Row],[Symbol]])</f>
        <v>17.53</v>
      </c>
      <c r="E44">
        <v>1.72</v>
      </c>
      <c r="F44">
        <v>5.24</v>
      </c>
      <c r="G44">
        <v>0.21</v>
      </c>
      <c r="H44" s="1">
        <f>IF(ISNUMBER(Main_M[[#This Row],[Free CF]]),IF(Main_M[[#This Row],[Free CF]]&lt;&gt;0,Main_M[[#This Row],[Current Price]]/Main_M[[#This Row],[Free CF]],""),"")</f>
        <v>10.19186046511628</v>
      </c>
      <c r="I44" s="1">
        <f>IF(ISNUMBER(Main_M[[#This Row],[BVPS]]),IF(Main_M[[#This Row],[BVPS]]&lt;&gt;0,Main_M[[#This Row],[Current Price]]/Main_M[[#This Row],[BVPS]],""),"")</f>
        <v>3.3454198473282442</v>
      </c>
      <c r="J44">
        <v>4.3</v>
      </c>
      <c r="K44">
        <v>1.55</v>
      </c>
      <c r="L44">
        <v>3.61</v>
      </c>
      <c r="M44" s="1">
        <f>IF(ISNUMBER(Main_M[[#This Row],[EPS]]),IF(Main_M[[#This Row],[EPS]]&lt;&gt;0,Main_M[[#This Row],[Current Price]]/Main_M[[#This Row],[EPS]],""),"")</f>
        <v>83.476190476190482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-0.30399601766860684</v>
      </c>
      <c r="P44" s="1">
        <f>(Main_M[[#This Row],[P/B]]-VLOOKUP(Main_M[[#This Row],[Industry]], Mean_PB_M, 2, FALSE))/(VLOOKUP(Main_M[[#This Row],[Industry]], Mean_PB_M, 3, FALSE))</f>
        <v>0.75453636163538806</v>
      </c>
      <c r="Q44" s="1">
        <f>(Main_M[[#This Row],[ROE]]-VLOOKUP(Main_M[[#This Row],[Industry]], Mean_ROE_M, 2, FALSE))/(VLOOKUP(Main_M[[#This Row],[Industry]], Mean_ROE_M, 3, FALSE))</f>
        <v>1.3570793686743438E-2</v>
      </c>
      <c r="R44" s="1">
        <f>(Main_M[[#This Row],[ROA]]-VLOOKUP(Main_M[[#This Row],[Industry]], Mean_ROA_M, 2, FALSE))/(VLOOKUP(Main_M[[#This Row],[Industry]], Mean_ROA_M, 3, FALSE))</f>
        <v>-0.88952539201328829</v>
      </c>
      <c r="S44" s="1">
        <f>(Main_M[[#This Row],[A/E]]-VLOOKUP(Main_M[[#This Row],[Industry]], Mean_AE_M, 2, FALSE))/(VLOOKUP(Main_M[[#This Row],[Industry]], Mean_AE_M, 3, FALSE))</f>
        <v>-0.10221444304382338</v>
      </c>
      <c r="T44" s="1">
        <f>(Main_M[[#This Row],[P/E]]-VLOOKUP(Main_M[[#This Row],[Industry]], Mean_PE_M, 2, FALSE))/(VLOOKUP(Main_M[[#This Row],[Industry]], Mean_PE_M, 3, FALSE))</f>
        <v>1.8602859569297632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s="67" t="s">
        <v>107</v>
      </c>
      <c r="B45" s="67" t="s">
        <v>177</v>
      </c>
      <c r="C45" s="2">
        <v>5095</v>
      </c>
      <c r="D45">
        <f>RTD("tos.rtd", , "LAST", Main_M[[#This Row],[Symbol]])</f>
        <v>15.99</v>
      </c>
      <c r="E45">
        <v>-0.99</v>
      </c>
      <c r="F45">
        <v>69.81</v>
      </c>
      <c r="G45">
        <v>-0.78</v>
      </c>
      <c r="H45" s="1">
        <f>IF(ISNUMBER(Main_M[[#This Row],[Free CF]]),IF(Main_M[[#This Row],[Free CF]]&lt;&gt;0,Main_M[[#This Row],[Current Price]]/Main_M[[#This Row],[Free CF]],""),"")</f>
        <v>-16.151515151515152</v>
      </c>
      <c r="I45" s="1">
        <f>IF(ISNUMBER(Main_M[[#This Row],[BVPS]]),IF(Main_M[[#This Row],[BVPS]]&lt;&gt;0,Main_M[[#This Row],[Current Price]]/Main_M[[#This Row],[BVPS]],""),"")</f>
        <v>0.22905027932960895</v>
      </c>
      <c r="J45">
        <v>-1.1000000000000001</v>
      </c>
      <c r="K45">
        <v>-0.41</v>
      </c>
      <c r="L45">
        <v>3.03</v>
      </c>
      <c r="M45" s="1">
        <f>IF(ISNUMBER(Main_M[[#This Row],[EPS]]),IF(Main_M[[#This Row],[EPS]]&lt;&gt;0,Main_M[[#This Row],[Current Price]]/Main_M[[#This Row],[EPS]],""),"")</f>
        <v>-20.5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-3.9612052176149883</v>
      </c>
      <c r="P45" s="1">
        <f>(Main_M[[#This Row],[P/B]]-VLOOKUP(Main_M[[#This Row],[Industry]], Mean_PB_M, 2, FALSE))/(VLOOKUP(Main_M[[#This Row],[Industry]], Mean_PB_M, 3, FALSE))</f>
        <v>-1.480665406732347</v>
      </c>
      <c r="Q45" s="1">
        <f>(Main_M[[#This Row],[ROE]]-VLOOKUP(Main_M[[#This Row],[Industry]], Mean_ROE_M, 2, FALSE))/(VLOOKUP(Main_M[[#This Row],[Industry]], Mean_ROE_M, 3, FALSE))</f>
        <v>-0.26828415211485029</v>
      </c>
      <c r="R45" s="1">
        <f>(Main_M[[#This Row],[ROA]]-VLOOKUP(Main_M[[#This Row],[Industry]], Mean_ROA_M, 2, FALSE))/(VLOOKUP(Main_M[[#This Row],[Industry]], Mean_ROA_M, 3, FALSE))</f>
        <v>-1.5484330898009091</v>
      </c>
      <c r="S45" s="1">
        <f>(Main_M[[#This Row],[A/E]]-VLOOKUP(Main_M[[#This Row],[Industry]], Mean_AE_M, 2, FALSE))/(VLOOKUP(Main_M[[#This Row],[Industry]], Mean_AE_M, 3, FALSE))</f>
        <v>-0.4393767764964352</v>
      </c>
      <c r="T45" s="1">
        <f>(Main_M[[#This Row],[P/E]]-VLOOKUP(Main_M[[#This Row],[Industry]], Mean_PE_M, 2, FALSE))/(VLOOKUP(Main_M[[#This Row],[Industry]], Mean_PE_M, 3, FALSE))</f>
        <v>-1.423325856926553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s="67" t="s">
        <v>107</v>
      </c>
      <c r="B46" s="67" t="s">
        <v>174</v>
      </c>
      <c r="C46" s="2">
        <v>2356</v>
      </c>
      <c r="D46">
        <f>RTD("tos.rtd", , "LAST", Main_M[[#This Row],[Symbol]])</f>
        <v>14.77</v>
      </c>
      <c r="E46">
        <v>-1.48</v>
      </c>
      <c r="F46">
        <v>1.38</v>
      </c>
      <c r="G46">
        <v>-1.19</v>
      </c>
      <c r="H46" s="1">
        <f>IF(ISNUMBER(Main_M[[#This Row],[Free CF]]),IF(Main_M[[#This Row],[Free CF]]&lt;&gt;0,Main_M[[#This Row],[Current Price]]/Main_M[[#This Row],[Free CF]],""),"")</f>
        <v>-9.9797297297297298</v>
      </c>
      <c r="I46" s="1">
        <f>IF(ISNUMBER(Main_M[[#This Row],[BVPS]]),IF(Main_M[[#This Row],[BVPS]]&lt;&gt;0,Main_M[[#This Row],[Current Price]]/Main_M[[#This Row],[BVPS]],""),"")</f>
        <v>10.702898550724639</v>
      </c>
      <c r="J46">
        <v>-50.35</v>
      </c>
      <c r="K46">
        <v>-40.090000000000003</v>
      </c>
      <c r="L46">
        <v>1.57</v>
      </c>
      <c r="M46" s="1">
        <f>IF(ISNUMBER(Main_M[[#This Row],[EPS]]),IF(Main_M[[#This Row],[EPS]]&lt;&gt;0,Main_M[[#This Row],[Current Price]]/Main_M[[#This Row],[EPS]],""),"")</f>
        <v>-12.411764705882353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-3.1043860022977809</v>
      </c>
      <c r="P46" s="1">
        <f>(Main_M[[#This Row],[P/B]]-VLOOKUP(Main_M[[#This Row],[Industry]], Mean_PB_M, 2, FALSE))/(VLOOKUP(Main_M[[#This Row],[Industry]], Mean_PB_M, 3, FALSE))</f>
        <v>6.0316541904816656</v>
      </c>
      <c r="Q46" s="1">
        <f>(Main_M[[#This Row],[ROE]]-VLOOKUP(Main_M[[#This Row],[Industry]], Mean_ROE_M, 2, FALSE))/(VLOOKUP(Main_M[[#This Row],[Industry]], Mean_ROE_M, 3, FALSE))</f>
        <v>-2.8389056485460524</v>
      </c>
      <c r="R46" s="1">
        <f>(Main_M[[#This Row],[ROA]]-VLOOKUP(Main_M[[#This Row],[Industry]], Mean_ROA_M, 2, FALSE))/(VLOOKUP(Main_M[[#This Row],[Industry]], Mean_ROA_M, 3, FALSE))</f>
        <v>-14.887952196031929</v>
      </c>
      <c r="S46" s="1">
        <f>(Main_M[[#This Row],[A/E]]-VLOOKUP(Main_M[[#This Row],[Industry]], Mean_AE_M, 2, FALSE))/(VLOOKUP(Main_M[[#This Row],[Industry]], Mean_AE_M, 3, FALSE))</f>
        <v>-1.2880957538081821</v>
      </c>
      <c r="T46" s="1">
        <f>(Main_M[[#This Row],[P/E]]-VLOOKUP(Main_M[[#This Row],[Industry]], Mean_PE_M, 2, FALSE))/(VLOOKUP(Main_M[[#This Row],[Industry]], Mean_PE_M, 3, FALSE))</f>
        <v>-1.1678959854975168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s="67" t="s">
        <v>107</v>
      </c>
      <c r="B47" s="67" t="s">
        <v>178</v>
      </c>
      <c r="C47" s="2">
        <v>7326</v>
      </c>
      <c r="D47">
        <f>RTD("tos.rtd", , "LAST", Main_M[[#This Row],[Symbol]])</f>
        <v>22</v>
      </c>
      <c r="E47">
        <v>2.88</v>
      </c>
      <c r="F47">
        <v>33.08</v>
      </c>
      <c r="G47">
        <v>-4.9000000000000004</v>
      </c>
      <c r="H47" s="1">
        <f>IF(ISNUMBER(Main_M[[#This Row],[Free CF]]),IF(Main_M[[#This Row],[Free CF]]&lt;&gt;0,Main_M[[#This Row],[Current Price]]/Main_M[[#This Row],[Free CF]],""),"")</f>
        <v>7.6388888888888893</v>
      </c>
      <c r="I47" s="1">
        <f>IF(ISNUMBER(Main_M[[#This Row],[BVPS]]),IF(Main_M[[#This Row],[BVPS]]&lt;&gt;0,Main_M[[#This Row],[Current Price]]/Main_M[[#This Row],[BVPS]],""),"")</f>
        <v>0.66505441354292627</v>
      </c>
      <c r="J47">
        <v>-47.77</v>
      </c>
      <c r="K47">
        <v>6.02</v>
      </c>
      <c r="L47">
        <v>2.4500000000000002</v>
      </c>
      <c r="M47" s="1">
        <f>IF(ISNUMBER(Main_M[[#This Row],[EPS]]),IF(Main_M[[#This Row],[EPS]]&lt;&gt;0,Main_M[[#This Row],[Current Price]]/Main_M[[#This Row],[EPS]],""),"")</f>
        <v>-4.4897959183673466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-0.65842102650786249</v>
      </c>
      <c r="P47" s="1">
        <f>(Main_M[[#This Row],[P/B]]-VLOOKUP(Main_M[[#This Row],[Industry]], Mean_PB_M, 2, FALSE))/(VLOOKUP(Main_M[[#This Row],[Industry]], Mean_PB_M, 3, FALSE))</f>
        <v>-1.1679434427468238</v>
      </c>
      <c r="Q47" s="1">
        <f>(Main_M[[#This Row],[ROE]]-VLOOKUP(Main_M[[#This Row],[Industry]], Mean_ROE_M, 2, FALSE))/(VLOOKUP(Main_M[[#This Row],[Industry]], Mean_ROE_M, 3, FALSE))</f>
        <v>-2.7042416188852911</v>
      </c>
      <c r="R47" s="1">
        <f>(Main_M[[#This Row],[ROA]]-VLOOKUP(Main_M[[#This Row],[Industry]], Mean_ROA_M, 2, FALSE))/(VLOOKUP(Main_M[[#This Row],[Industry]], Mean_ROA_M, 3, FALSE))</f>
        <v>0.61318757181868389</v>
      </c>
      <c r="S47" s="1">
        <f>(Main_M[[#This Row],[A/E]]-VLOOKUP(Main_M[[#This Row],[Industry]], Mean_AE_M, 2, FALSE))/(VLOOKUP(Main_M[[#This Row],[Industry]], Mean_AE_M, 3, FALSE))</f>
        <v>-0.77653910994904685</v>
      </c>
      <c r="T47" s="1">
        <f>(Main_M[[#This Row],[P/E]]-VLOOKUP(Main_M[[#This Row],[Industry]], Mean_PE_M, 2, FALSE))/(VLOOKUP(Main_M[[#This Row],[Industry]], Mean_PE_M, 3, FALSE))</f>
        <v>-0.91771688025666909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8" spans="1:26" x14ac:dyDescent="0.25">
      <c r="A48" s="67" t="s">
        <v>106</v>
      </c>
      <c r="B48" s="67" t="s">
        <v>171</v>
      </c>
      <c r="C48" s="2">
        <v>3741</v>
      </c>
      <c r="D48">
        <f>RTD("tos.rtd", , "LAST", Main_M[[#This Row],[Symbol]])</f>
        <v>48.34</v>
      </c>
      <c r="E48">
        <v>5.82</v>
      </c>
      <c r="F48">
        <v>19.64</v>
      </c>
      <c r="G48">
        <v>6.24</v>
      </c>
      <c r="H48" s="1">
        <f>IF(ISNUMBER(Main_M[[#This Row],[Free CF]]),IF(Main_M[[#This Row],[Free CF]]&lt;&gt;0,Main_M[[#This Row],[Current Price]]/Main_M[[#This Row],[Free CF]],""),"")</f>
        <v>8.3058419243986261</v>
      </c>
      <c r="I48" s="1">
        <f>IF(ISNUMBER(Main_M[[#This Row],[BVPS]]),IF(Main_M[[#This Row],[BVPS]]&lt;&gt;0,Main_M[[#This Row],[Current Price]]/Main_M[[#This Row],[BVPS]],""),"")</f>
        <v>2.4613034623217924</v>
      </c>
      <c r="J48">
        <v>41.69</v>
      </c>
      <c r="K48">
        <v>8.07</v>
      </c>
      <c r="L48">
        <v>5.94</v>
      </c>
      <c r="M48" s="1">
        <f>IF(ISNUMBER(Main_M[[#This Row],[EPS]]),IF(Main_M[[#This Row],[EPS]]&lt;&gt;0,Main_M[[#This Row],[Current Price]]/Main_M[[#This Row],[EPS]],""),"")</f>
        <v>7.7467948717948723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-0.62988238102729865</v>
      </c>
      <c r="P48" s="1">
        <f>(Main_M[[#This Row],[P/B]]-VLOOKUP(Main_M[[#This Row],[Industry]], Mean_PB_M, 2, FALSE))/(VLOOKUP(Main_M[[#This Row],[Industry]], Mean_PB_M, 3, FALSE))</f>
        <v>1.1353764110999143</v>
      </c>
      <c r="Q48" s="1">
        <f>(Main_M[[#This Row],[ROE]]-VLOOKUP(Main_M[[#This Row],[Industry]], Mean_ROE_M, 2, FALSE))/(VLOOKUP(Main_M[[#This Row],[Industry]], Mean_ROE_M, 3, FALSE))</f>
        <v>2.1175883477079558</v>
      </c>
      <c r="R48" s="1">
        <f>(Main_M[[#This Row],[ROA]]-VLOOKUP(Main_M[[#This Row],[Industry]], Mean_ROA_M, 2, FALSE))/(VLOOKUP(Main_M[[#This Row],[Industry]], Mean_ROA_M, 3, FALSE))</f>
        <v>1.1042446854576184</v>
      </c>
      <c r="S48" s="1">
        <f>(Main_M[[#This Row],[A/E]]-VLOOKUP(Main_M[[#This Row],[Industry]], Mean_AE_M, 2, FALSE))/(VLOOKUP(Main_M[[#This Row],[Industry]], Mean_AE_M, 3, FALSE))</f>
        <v>1.8492991581295652</v>
      </c>
      <c r="T48" s="1">
        <f>(Main_M[[#This Row],[P/E]]-VLOOKUP(Main_M[[#This Row],[Industry]], Mean_PE_M, 2, FALSE))/(VLOOKUP(Main_M[[#This Row],[Industry]], Mean_PE_M, 3, FALSE))</f>
        <v>-0.76350948170465605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9" spans="1:26" x14ac:dyDescent="0.25">
      <c r="A49" s="67" t="s">
        <v>106</v>
      </c>
      <c r="B49" s="67" t="s">
        <v>165</v>
      </c>
      <c r="C49" s="2">
        <v>7879</v>
      </c>
      <c r="D49">
        <f>RTD("tos.rtd", , "LAST", Main_M[[#This Row],[Symbol]])</f>
        <v>21.62</v>
      </c>
      <c r="E49">
        <v>8.7200000000000006</v>
      </c>
      <c r="F49">
        <v>37.68</v>
      </c>
      <c r="G49">
        <v>3.95</v>
      </c>
      <c r="H49" s="1">
        <f>IF(ISNUMBER(Main_M[[#This Row],[Free CF]]),IF(Main_M[[#This Row],[Free CF]]&lt;&gt;0,Main_M[[#This Row],[Current Price]]/Main_M[[#This Row],[Free CF]],""),"")</f>
        <v>2.4793577981651373</v>
      </c>
      <c r="I49" s="1">
        <f>IF(ISNUMBER(Main_M[[#This Row],[BVPS]]),IF(Main_M[[#This Row],[BVPS]]&lt;&gt;0,Main_M[[#This Row],[Current Price]]/Main_M[[#This Row],[BVPS]],""),"")</f>
        <v>0.57377919320594484</v>
      </c>
      <c r="J49">
        <v>11.37</v>
      </c>
      <c r="K49">
        <v>3.81</v>
      </c>
      <c r="L49">
        <v>2.5299999999999998</v>
      </c>
      <c r="M49" s="1">
        <f>IF(ISNUMBER(Main_M[[#This Row],[EPS]]),IF(Main_M[[#This Row],[EPS]]&lt;&gt;0,Main_M[[#This Row],[Current Price]]/Main_M[[#This Row],[EPS]],""),"")</f>
        <v>5.4734177215189872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-1.3785614958138093</v>
      </c>
      <c r="P49" s="1">
        <f>(Main_M[[#This Row],[P/B]]-VLOOKUP(Main_M[[#This Row],[Industry]], Mean_PB_M, 2, FALSE))/(VLOOKUP(Main_M[[#This Row],[Industry]], Mean_PB_M, 3, FALSE))</f>
        <v>-1.5521697489581547</v>
      </c>
      <c r="Q49" s="1">
        <f>(Main_M[[#This Row],[ROE]]-VLOOKUP(Main_M[[#This Row],[Industry]], Mean_ROE_M, 2, FALSE))/(VLOOKUP(Main_M[[#This Row],[Industry]], Mean_ROE_M, 3, FALSE))</f>
        <v>-0.23473206068832733</v>
      </c>
      <c r="R49" s="1">
        <f>(Main_M[[#This Row],[ROA]]-VLOOKUP(Main_M[[#This Row],[Industry]], Mean_ROA_M, 2, FALSE))/(VLOOKUP(Main_M[[#This Row],[Industry]], Mean_ROA_M, 3, FALSE))</f>
        <v>-0.41996183055678588</v>
      </c>
      <c r="S49" s="1">
        <f>(Main_M[[#This Row],[A/E]]-VLOOKUP(Main_M[[#This Row],[Industry]], Mean_AE_M, 2, FALSE))/(VLOOKUP(Main_M[[#This Row],[Industry]], Mean_AE_M, 3, FALSE))</f>
        <v>-0.57302227435000641</v>
      </c>
      <c r="T49" s="1">
        <f>(Main_M[[#This Row],[P/E]]-VLOOKUP(Main_M[[#This Row],[Industry]], Mean_PE_M, 2, FALSE))/(VLOOKUP(Main_M[[#This Row],[Industry]], Mean_PE_M, 3, FALSE))</f>
        <v>-0.92535049746267817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0" spans="1:26" x14ac:dyDescent="0.25">
      <c r="A50" s="67" t="s">
        <v>106</v>
      </c>
      <c r="B50" s="67" t="s">
        <v>164</v>
      </c>
      <c r="C50" s="2">
        <v>4844</v>
      </c>
      <c r="D50">
        <f>RTD("tos.rtd", , "LAST", Main_M[[#This Row],[Symbol]])</f>
        <v>22.42</v>
      </c>
      <c r="E50">
        <v>1.36</v>
      </c>
      <c r="F50">
        <v>9.2899999999999991</v>
      </c>
      <c r="G50">
        <v>2.54</v>
      </c>
      <c r="H50" s="1">
        <f>IF(ISNUMBER(Main_M[[#This Row],[Free CF]]),IF(Main_M[[#This Row],[Free CF]]&lt;&gt;0,Main_M[[#This Row],[Current Price]]/Main_M[[#This Row],[Free CF]],""),"")</f>
        <v>16.485294117647058</v>
      </c>
      <c r="I50" s="1">
        <f>IF(ISNUMBER(Main_M[[#This Row],[BVPS]]),IF(Main_M[[#This Row],[BVPS]]&lt;&gt;0,Main_M[[#This Row],[Current Price]]/Main_M[[#This Row],[BVPS]],""),"")</f>
        <v>2.4133476856835312</v>
      </c>
      <c r="J50">
        <v>28.45</v>
      </c>
      <c r="K50">
        <v>5.72</v>
      </c>
      <c r="L50">
        <v>5.45</v>
      </c>
      <c r="M50" s="1">
        <f>IF(ISNUMBER(Main_M[[#This Row],[EPS]]),IF(Main_M[[#This Row],[EPS]]&lt;&gt;0,Main_M[[#This Row],[Current Price]]/Main_M[[#This Row],[EPS]],""),"")</f>
        <v>8.8267716535433074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0.42114339966739972</v>
      </c>
      <c r="P50" s="1">
        <f>(Main_M[[#This Row],[P/B]]-VLOOKUP(Main_M[[#This Row],[Industry]], Mean_PB_M, 2, FALSE))/(VLOOKUP(Main_M[[#This Row],[Industry]], Mean_PB_M, 3, FALSE))</f>
        <v>1.0670947124401493</v>
      </c>
      <c r="Q50" s="1">
        <f>(Main_M[[#This Row],[ROE]]-VLOOKUP(Main_M[[#This Row],[Industry]], Mean_ROE_M, 2, FALSE))/(VLOOKUP(Main_M[[#This Row],[Industry]], Mean_ROE_M, 3, FALSE))</f>
        <v>1.0903877472077319</v>
      </c>
      <c r="R50" s="1">
        <f>(Main_M[[#This Row],[ROA]]-VLOOKUP(Main_M[[#This Row],[Industry]], Mean_ROA_M, 2, FALSE))/(VLOOKUP(Main_M[[#This Row],[Industry]], Mean_ROA_M, 3, FALSE))</f>
        <v>0.26342653695201967</v>
      </c>
      <c r="S50" s="1">
        <f>(Main_M[[#This Row],[A/E]]-VLOOKUP(Main_M[[#This Row],[Industry]], Mean_AE_M, 2, FALSE))/(VLOOKUP(Main_M[[#This Row],[Industry]], Mean_AE_M, 3, FALSE))</f>
        <v>1.5012236443715037</v>
      </c>
      <c r="T50" s="1">
        <f>(Main_M[[#This Row],[P/E]]-VLOOKUP(Main_M[[#This Row],[Industry]], Mean_PE_M, 2, FALSE))/(VLOOKUP(Main_M[[#This Row],[Industry]], Mean_PE_M, 3, FALSE))</f>
        <v>-0.68662626884574463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1" spans="1:26" x14ac:dyDescent="0.25">
      <c r="A51" s="67" t="s">
        <v>106</v>
      </c>
      <c r="B51" s="67" t="s">
        <v>167</v>
      </c>
      <c r="C51" s="2">
        <v>6260</v>
      </c>
      <c r="D51">
        <f>RTD("tos.rtd", , "LAST", Main_M[[#This Row],[Symbol]])</f>
        <v>36.17</v>
      </c>
      <c r="E51">
        <v>5.71</v>
      </c>
      <c r="F51">
        <v>20.29</v>
      </c>
      <c r="G51">
        <v>2.08</v>
      </c>
      <c r="H51" s="1">
        <f>IF(ISNUMBER(Main_M[[#This Row],[Free CF]]),IF(Main_M[[#This Row],[Free CF]]&lt;&gt;0,Main_M[[#This Row],[Current Price]]/Main_M[[#This Row],[Free CF]],""),"")</f>
        <v>6.3345008756567429</v>
      </c>
      <c r="I51" s="1">
        <f>IF(ISNUMBER(Main_M[[#This Row],[BVPS]]),IF(Main_M[[#This Row],[BVPS]]&lt;&gt;0,Main_M[[#This Row],[Current Price]]/Main_M[[#This Row],[BVPS]],""),"")</f>
        <v>1.7826515524889111</v>
      </c>
      <c r="J51">
        <v>11.89</v>
      </c>
      <c r="K51">
        <v>6.45</v>
      </c>
      <c r="L51">
        <v>4.03</v>
      </c>
      <c r="M51" s="1">
        <f>IF(ISNUMBER(Main_M[[#This Row],[EPS]]),IF(Main_M[[#This Row],[EPS]]&lt;&gt;0,Main_M[[#This Row],[Current Price]]/Main_M[[#This Row],[EPS]],""),"")</f>
        <v>17.389423076923077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-0.88319155330654708</v>
      </c>
      <c r="P51" s="1">
        <f>(Main_M[[#This Row],[P/B]]-VLOOKUP(Main_M[[#This Row],[Industry]], Mean_PB_M, 2, FALSE))/(VLOOKUP(Main_M[[#This Row],[Industry]], Mean_PB_M, 3, FALSE))</f>
        <v>0.16907978427996423</v>
      </c>
      <c r="Q51" s="1">
        <f>(Main_M[[#This Row],[ROE]]-VLOOKUP(Main_M[[#This Row],[Industry]], Mean_ROE_M, 2, FALSE))/(VLOOKUP(Main_M[[#This Row],[Industry]], Mean_ROE_M, 3, FALSE))</f>
        <v>-0.19438883468680784</v>
      </c>
      <c r="R51" s="1">
        <f>(Main_M[[#This Row],[ROA]]-VLOOKUP(Main_M[[#This Row],[Industry]], Mean_ROA_M, 2, FALSE))/(VLOOKUP(Main_M[[#This Row],[Industry]], Mean_ROA_M, 3, FALSE))</f>
        <v>0.52461685542397174</v>
      </c>
      <c r="S51" s="1">
        <f>(Main_M[[#This Row],[A/E]]-VLOOKUP(Main_M[[#This Row],[Industry]], Mean_AE_M, 2, FALSE))/(VLOOKUP(Main_M[[#This Row],[Industry]], Mean_AE_M, 3, FALSE))</f>
        <v>0.49251501266446807</v>
      </c>
      <c r="T51" s="1">
        <f>(Main_M[[#This Row],[P/E]]-VLOOKUP(Main_M[[#This Row],[Industry]], Mean_PE_M, 2, FALSE))/(VLOOKUP(Main_M[[#This Row],[Industry]], Mean_PE_M, 3, FALSE))</f>
        <v>-7.7053764004881009E-2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2" spans="1:26" x14ac:dyDescent="0.25">
      <c r="A52" s="67" t="s">
        <v>106</v>
      </c>
      <c r="B52" s="67" t="s">
        <v>280</v>
      </c>
      <c r="C52" s="2">
        <v>4162</v>
      </c>
      <c r="D52">
        <f>RTD("tos.rtd", , "LAST", Main_M[[#This Row],[Symbol]])</f>
        <v>18.03</v>
      </c>
      <c r="E52">
        <v>2.99</v>
      </c>
      <c r="F52">
        <v>13.24</v>
      </c>
      <c r="G52">
        <v>0.71</v>
      </c>
      <c r="H52" s="1">
        <f>IF(ISNUMBER(Main_M[[#This Row],[Free CF]]),IF(Main_M[[#This Row],[Free CF]]&lt;&gt;0,Main_M[[#This Row],[Current Price]]/Main_M[[#This Row],[Free CF]],""),"")</f>
        <v>6.0301003344481607</v>
      </c>
      <c r="I52" s="1">
        <f>IF(ISNUMBER(Main_M[[#This Row],[BVPS]]),IF(Main_M[[#This Row],[BVPS]]&lt;&gt;0,Main_M[[#This Row],[Current Price]]/Main_M[[#This Row],[BVPS]],""),"")</f>
        <v>1.3617824773413898</v>
      </c>
      <c r="J52">
        <v>17.54</v>
      </c>
      <c r="K52">
        <v>7.01</v>
      </c>
      <c r="L52">
        <v>2.14</v>
      </c>
      <c r="M52" s="1">
        <f>IF(ISNUMBER(Main_M[[#This Row],[EPS]]),IF(Main_M[[#This Row],[EPS]]&lt;&gt;0,Main_M[[#This Row],[Current Price]]/Main_M[[#This Row],[EPS]],""),"")</f>
        <v>25.3943661971831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52" s="1">
        <f>(Main_M[[#This Row],[P/FCF]]-VLOOKUP(Main_M[[#This Row],[Industry]], Mean_PFCF_M, 2, FALSE))/(VLOOKUP(Main_M[[#This Row],[Industry]], Mean_PFCF_M, 3, FALSE))</f>
        <v>-0.92230576400292119</v>
      </c>
      <c r="P52" s="1">
        <f>(Main_M[[#This Row],[P/B]]-VLOOKUP(Main_M[[#This Row],[Industry]], Mean_PB_M, 2, FALSE))/(VLOOKUP(Main_M[[#This Row],[Industry]], Mean_PB_M, 3, FALSE))</f>
        <v>-0.43017347317867649</v>
      </c>
      <c r="Q52" s="1">
        <f>(Main_M[[#This Row],[ROE]]-VLOOKUP(Main_M[[#This Row],[Industry]], Mean_ROE_M, 2, FALSE))/(VLOOKUP(Main_M[[#This Row],[Industry]], Mean_ROE_M, 3, FALSE))</f>
        <v>0.24395583244508517</v>
      </c>
      <c r="R52" s="1">
        <f>(Main_M[[#This Row],[ROA]]-VLOOKUP(Main_M[[#This Row],[Industry]], Mean_ROA_M, 2, FALSE))/(VLOOKUP(Main_M[[#This Row],[Industry]], Mean_ROA_M, 3, FALSE))</f>
        <v>0.7249820312380717</v>
      </c>
      <c r="S52" s="1">
        <f>(Main_M[[#This Row],[A/E]]-VLOOKUP(Main_M[[#This Row],[Industry]], Mean_AE_M, 2, FALSE))/(VLOOKUP(Main_M[[#This Row],[Industry]], Mean_AE_M, 3, FALSE))</f>
        <v>-0.85006196897376951</v>
      </c>
      <c r="T52" s="1">
        <f>(Main_M[[#This Row],[P/E]]-VLOOKUP(Main_M[[#This Row],[Industry]], Mean_PE_M, 2, FALSE))/(VLOOKUP(Main_M[[#This Row],[Industry]], Mean_PE_M, 3, FALSE))</f>
        <v>0.49281565933776789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3" spans="1:26" x14ac:dyDescent="0.25">
      <c r="A53" s="67" t="s">
        <v>106</v>
      </c>
      <c r="B53" s="67" t="s">
        <v>168</v>
      </c>
      <c r="C53" s="2">
        <v>8225</v>
      </c>
      <c r="D53">
        <f>RTD("tos.rtd", , "LAST", Main_M[[#This Row],[Symbol]])</f>
        <v>17.8</v>
      </c>
      <c r="E53">
        <v>0.61</v>
      </c>
      <c r="F53">
        <v>1.77</v>
      </c>
      <c r="G53">
        <v>0.25</v>
      </c>
      <c r="H53" s="1">
        <f>IF(ISNUMBER(Main_M[[#This Row],[Free CF]]),IF(Main_M[[#This Row],[Free CF]]&lt;&gt;0,Main_M[[#This Row],[Current Price]]/Main_M[[#This Row],[Free CF]],""),"")</f>
        <v>29.180327868852462</v>
      </c>
      <c r="I53" s="1">
        <f>IF(ISNUMBER(Main_M[[#This Row],[BVPS]]),IF(Main_M[[#This Row],[BVPS]]&lt;&gt;0,Main_M[[#This Row],[Current Price]]/Main_M[[#This Row],[BVPS]],""),"")</f>
        <v>10.056497175141244</v>
      </c>
      <c r="J53">
        <v>13.87</v>
      </c>
      <c r="K53">
        <v>6.76</v>
      </c>
      <c r="L53">
        <v>2.31</v>
      </c>
      <c r="M53" s="1">
        <f>IF(ISNUMBER(Main_M[[#This Row],[EPS]]),IF(Main_M[[#This Row],[EPS]]&lt;&gt;0,Main_M[[#This Row],[Current Price]]/Main_M[[#This Row],[EPS]],""),"")</f>
        <v>71.2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2.0524027363647601</v>
      </c>
      <c r="P53" s="1">
        <f>(Main_M[[#This Row],[P/B]]-VLOOKUP(Main_M[[#This Row],[Industry]], Mean_PB_M, 2, FALSE))/(VLOOKUP(Main_M[[#This Row],[Industry]], Mean_PB_M, 3, FALSE))</f>
        <v>11.949771771084706</v>
      </c>
      <c r="Q53" s="1">
        <f>(Main_M[[#This Row],[ROE]]-VLOOKUP(Main_M[[#This Row],[Industry]], Mean_ROE_M, 2, FALSE))/(VLOOKUP(Main_M[[#This Row],[Industry]], Mean_ROE_M, 3, FALSE))</f>
        <v>-4.0774243373330368E-2</v>
      </c>
      <c r="R53" s="1">
        <f>(Main_M[[#This Row],[ROA]]-VLOOKUP(Main_M[[#This Row],[Industry]], Mean_ROA_M, 2, FALSE))/(VLOOKUP(Main_M[[#This Row],[Industry]], Mean_ROA_M, 3, FALSE))</f>
        <v>0.63553329203534847</v>
      </c>
      <c r="S53" s="1">
        <f>(Main_M[[#This Row],[A/E]]-VLOOKUP(Main_M[[#This Row],[Industry]], Mean_AE_M, 2, FALSE))/(VLOOKUP(Main_M[[#This Row],[Industry]], Mean_AE_M, 3, FALSE))</f>
        <v>-0.72930107644546249</v>
      </c>
      <c r="T53" s="1">
        <f>(Main_M[[#This Row],[P/E]]-VLOOKUP(Main_M[[#This Row],[Industry]], Mean_PE_M, 2, FALSE))/(VLOOKUP(Main_M[[#This Row],[Industry]], Mean_PE_M, 3, FALSE))</f>
        <v>3.7537045537248033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4" spans="1:26" x14ac:dyDescent="0.25">
      <c r="A54" s="67" t="s">
        <v>106</v>
      </c>
      <c r="B54" s="67" t="s">
        <v>169</v>
      </c>
      <c r="C54" s="2">
        <v>5298</v>
      </c>
      <c r="D54">
        <f>RTD("tos.rtd", , "LAST", Main_M[[#This Row],[Symbol]])</f>
        <v>6.44</v>
      </c>
      <c r="E54">
        <v>0.35</v>
      </c>
      <c r="F54">
        <v>2.5299999999999998</v>
      </c>
      <c r="G54">
        <v>0.14000000000000001</v>
      </c>
      <c r="H54" s="1">
        <f>IF(ISNUMBER(Main_M[[#This Row],[Free CF]]),IF(Main_M[[#This Row],[Free CF]]&lt;&gt;0,Main_M[[#This Row],[Current Price]]/Main_M[[#This Row],[Free CF]],""),"")</f>
        <v>18.400000000000002</v>
      </c>
      <c r="I54" s="1">
        <f>IF(ISNUMBER(Main_M[[#This Row],[BVPS]]),IF(Main_M[[#This Row],[BVPS]]&lt;&gt;0,Main_M[[#This Row],[Current Price]]/Main_M[[#This Row],[BVPS]],""),"")</f>
        <v>2.5454545454545459</v>
      </c>
      <c r="J54">
        <v>6.39</v>
      </c>
      <c r="K54">
        <v>8.75</v>
      </c>
      <c r="L54">
        <v>1.99</v>
      </c>
      <c r="M54" s="1">
        <f>IF(ISNUMBER(Main_M[[#This Row],[EPS]]),IF(Main_M[[#This Row],[EPS]]&lt;&gt;0,Main_M[[#This Row],[Current Price]]/Main_M[[#This Row],[EPS]],""),"")</f>
        <v>46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0.6671751872804913</v>
      </c>
      <c r="P54" s="1">
        <f>(Main_M[[#This Row],[P/B]]-VLOOKUP(Main_M[[#This Row],[Industry]], Mean_PB_M, 2, FALSE))/(VLOOKUP(Main_M[[#This Row],[Industry]], Mean_PB_M, 3, FALSE))</f>
        <v>1.255194695843928</v>
      </c>
      <c r="Q54" s="1">
        <f>(Main_M[[#This Row],[ROE]]-VLOOKUP(Main_M[[#This Row],[Industry]], Mean_ROE_M, 2, FALSE))/(VLOOKUP(Main_M[[#This Row],[Industry]], Mean_ROE_M, 3, FALSE))</f>
        <v>-0.62109603277980119</v>
      </c>
      <c r="R54" s="1">
        <f>(Main_M[[#This Row],[ROA]]-VLOOKUP(Main_M[[#This Row],[Industry]], Mean_ROA_M, 2, FALSE))/(VLOOKUP(Main_M[[#This Row],[Industry]], Mean_ROA_M, 3, FALSE))</f>
        <v>1.3475452560890255</v>
      </c>
      <c r="S54" s="1">
        <f>(Main_M[[#This Row],[A/E]]-VLOOKUP(Main_M[[#This Row],[Industry]], Mean_AE_M, 2, FALSE))/(VLOOKUP(Main_M[[#This Row],[Industry]], Mean_AE_M, 3, FALSE))</f>
        <v>-0.95661569767521692</v>
      </c>
      <c r="T54" s="1">
        <f>(Main_M[[#This Row],[P/E]]-VLOOKUP(Main_M[[#This Row],[Industry]], Mean_PE_M, 2, FALSE))/(VLOOKUP(Main_M[[#This Row],[Industry]], Mean_PE_M, 3, FALSE))</f>
        <v>1.9597243526801922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5" spans="1:26" x14ac:dyDescent="0.25">
      <c r="A55" s="67" t="s">
        <v>106</v>
      </c>
      <c r="B55" s="67" t="s">
        <v>170</v>
      </c>
      <c r="C55" s="2">
        <v>5269</v>
      </c>
      <c r="D55">
        <f>RTD("tos.rtd", , "LAST", Main_M[[#This Row],[Symbol]])</f>
        <v>62.56</v>
      </c>
      <c r="E55">
        <v>4.0999999999999996</v>
      </c>
      <c r="F55">
        <v>53.94</v>
      </c>
      <c r="G55">
        <v>-0.45</v>
      </c>
      <c r="H55" s="1">
        <f>IF(ISNUMBER(Main_M[[#This Row],[Free CF]]),IF(Main_M[[#This Row],[Free CF]]&lt;&gt;0,Main_M[[#This Row],[Current Price]]/Main_M[[#This Row],[Free CF]],""),"")</f>
        <v>15.258536585365855</v>
      </c>
      <c r="I55" s="1">
        <f>IF(ISNUMBER(Main_M[[#This Row],[BVPS]]),IF(Main_M[[#This Row],[BVPS]]&lt;&gt;0,Main_M[[#This Row],[Current Price]]/Main_M[[#This Row],[BVPS]],""),"")</f>
        <v>1.1598071931776048</v>
      </c>
      <c r="J55">
        <v>-0.77</v>
      </c>
      <c r="K55">
        <v>0.78</v>
      </c>
      <c r="L55">
        <v>2.2599999999999998</v>
      </c>
      <c r="M55" s="1">
        <f>IF(ISNUMBER(Main_M[[#This Row],[EPS]]),IF(Main_M[[#This Row],[EPS]]&lt;&gt;0,Main_M[[#This Row],[Current Price]]/Main_M[[#This Row],[EPS]],""),"")</f>
        <v>-139.02222222222221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0.26351013002701662</v>
      </c>
      <c r="P55" s="1">
        <f>(Main_M[[#This Row],[P/B]]-VLOOKUP(Main_M[[#This Row],[Industry]], Mean_PB_M, 2, FALSE))/(VLOOKUP(Main_M[[#This Row],[Industry]], Mean_PB_M, 3, FALSE))</f>
        <v>-0.71775541756092487</v>
      </c>
      <c r="Q55" s="1">
        <f>(Main_M[[#This Row],[ROE]]-VLOOKUP(Main_M[[#This Row],[Industry]], Mean_ROE_M, 2, FALSE))/(VLOOKUP(Main_M[[#This Row],[Industry]], Mean_ROE_M, 3, FALSE))</f>
        <v>-1.1765912215699526</v>
      </c>
      <c r="R55" s="1">
        <f>(Main_M[[#This Row],[ROA]]-VLOOKUP(Main_M[[#This Row],[Industry]], Mean_ROA_M, 2, FALSE))/(VLOOKUP(Main_M[[#This Row],[Industry]], Mean_ROA_M, 3, FALSE))</f>
        <v>-1.5040805496937917</v>
      </c>
      <c r="S55" s="1">
        <f>(Main_M[[#This Row],[A/E]]-VLOOKUP(Main_M[[#This Row],[Industry]], Mean_AE_M, 2, FALSE))/(VLOOKUP(Main_M[[#This Row],[Industry]], Mean_AE_M, 3, FALSE))</f>
        <v>-0.76481898601261178</v>
      </c>
      <c r="T55" s="1">
        <f>(Main_M[[#This Row],[P/E]]-VLOOKUP(Main_M[[#This Row],[Industry]], Mean_PE_M, 2, FALSE))/(VLOOKUP(Main_M[[#This Row],[Industry]], Mean_PE_M, 3, FALSE))</f>
        <v>-11.21195038620643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6" spans="1:26" x14ac:dyDescent="0.25">
      <c r="A56" s="67" t="s">
        <v>106</v>
      </c>
      <c r="B56" s="67" t="s">
        <v>166</v>
      </c>
      <c r="C56" s="2">
        <v>3924</v>
      </c>
      <c r="D56">
        <f>RTD("tos.rtd", , "LAST", Main_M[[#This Row],[Symbol]])</f>
        <v>35.58</v>
      </c>
      <c r="E56">
        <v>2.17</v>
      </c>
      <c r="F56">
        <v>35.119999999999997</v>
      </c>
      <c r="G56">
        <v>-1.04</v>
      </c>
      <c r="H56" s="1">
        <f>IF(ISNUMBER(Main_M[[#This Row],[Free CF]]),IF(Main_M[[#This Row],[Free CF]]&lt;&gt;0,Main_M[[#This Row],[Current Price]]/Main_M[[#This Row],[Free CF]],""),"")</f>
        <v>16.396313364055299</v>
      </c>
      <c r="I56" s="1">
        <f>IF(ISNUMBER(Main_M[[#This Row],[BVPS]]),IF(Main_M[[#This Row],[BVPS]]&lt;&gt;0,Main_M[[#This Row],[Current Price]]/Main_M[[#This Row],[BVPS]],""),"")</f>
        <v>1.0130979498861048</v>
      </c>
      <c r="J56">
        <v>-0.87</v>
      </c>
      <c r="K56">
        <v>0.59</v>
      </c>
      <c r="L56">
        <v>3.38</v>
      </c>
      <c r="M56" s="1">
        <f>IF(ISNUMBER(Main_M[[#This Row],[EPS]]),IF(Main_M[[#This Row],[EPS]]&lt;&gt;0,Main_M[[#This Row],[Current Price]]/Main_M[[#This Row],[EPS]],""),"")</f>
        <v>-34.21153846153846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0.40970974081090855</v>
      </c>
      <c r="P56" s="1">
        <f>(Main_M[[#This Row],[P/B]]-VLOOKUP(Main_M[[#This Row],[Industry]], Mean_PB_M, 2, FALSE))/(VLOOKUP(Main_M[[#This Row],[Industry]], Mean_PB_M, 3, FALSE))</f>
        <v>-0.92664696396619983</v>
      </c>
      <c r="Q56" s="1">
        <f>(Main_M[[#This Row],[ROE]]-VLOOKUP(Main_M[[#This Row],[Industry]], Mean_ROE_M, 2, FALSE))/(VLOOKUP(Main_M[[#This Row],[Industry]], Mean_ROE_M, 3, FALSE))</f>
        <v>-1.1843495342625523</v>
      </c>
      <c r="R56" s="1">
        <f>(Main_M[[#This Row],[ROA]]-VLOOKUP(Main_M[[#This Row],[Industry]], Mean_ROA_M, 2, FALSE))/(VLOOKUP(Main_M[[#This Row],[Industry]], Mean_ROA_M, 3, FALSE))</f>
        <v>-1.5720615914878615</v>
      </c>
      <c r="S56" s="1">
        <f>(Main_M[[#This Row],[A/E]]-VLOOKUP(Main_M[[#This Row],[Industry]], Mean_AE_M, 2, FALSE))/(VLOOKUP(Main_M[[#This Row],[Industry]], Mean_AE_M, 3, FALSE))</f>
        <v>3.0782188291529018E-2</v>
      </c>
      <c r="T56" s="1">
        <f>(Main_M[[#This Row],[P/E]]-VLOOKUP(Main_M[[#This Row],[Industry]], Mean_PE_M, 2, FALSE))/(VLOOKUP(Main_M[[#This Row],[Industry]], Mean_PE_M, 3, FALSE))</f>
        <v>-3.750510246340772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70"/>
  <sheetViews>
    <sheetView workbookViewId="0">
      <selection activeCell="B24" sqref="B24"/>
    </sheetView>
  </sheetViews>
  <sheetFormatPr defaultRowHeight="15" x14ac:dyDescent="0.25"/>
  <cols>
    <col min="1" max="1" width="36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105</v>
      </c>
      <c r="B2" t="s">
        <v>204</v>
      </c>
      <c r="C2" s="2">
        <v>1553</v>
      </c>
      <c r="D2">
        <f>RTD("tos.rtd", , "LAST", Main_S[[#This Row],[Symbol]])</f>
        <v>64.98</v>
      </c>
      <c r="E2">
        <v>1.39</v>
      </c>
      <c r="F2">
        <v>10.84</v>
      </c>
      <c r="G2">
        <v>3.15</v>
      </c>
      <c r="H2" s="1">
        <f>IF(ISNUMBER(Main_S[[#This Row],[Free CF]]),IF(Main_S[[#This Row],[Free CF]]&lt;&gt;0,Main_S[[#This Row],[Current Price]]/Main_S[[#This Row],[Free CF]],""),"")</f>
        <v>46.74820143884893</v>
      </c>
      <c r="I2" s="1">
        <f>IF(ISNUMBER(Main_S[[#This Row],[BVPS]]),IF(Main_S[[#This Row],[BVPS]]&lt;&gt;0,Main_S[[#This Row],[Current Price]]/Main_S[[#This Row],[BVPS]],""),"")</f>
        <v>5.9944649446494473</v>
      </c>
      <c r="J2">
        <v>32.24</v>
      </c>
      <c r="K2">
        <v>10.02</v>
      </c>
      <c r="L2">
        <v>2.12</v>
      </c>
      <c r="M2" s="1">
        <f>IF(ISNUMBER(Main_S[[#This Row],[EPS]]),IF(Main_S[[#This Row],[EPS]]&lt;&gt;0,Main_S[[#This Row],[Current Price]]/Main_S[[#This Row],[EPS]],""),"")</f>
        <v>20.62857142857143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10.077205879129211</v>
      </c>
      <c r="P2" s="1">
        <f>(Main_S[[#This Row],[P/B]]-VLOOKUP(Main_S[[#This Row],[Industry]], Mean_PB_S, 2, FALSE))/(VLOOKUP(Main_S[[#This Row],[Industry]], Mean_PB_S, 3, FALSE))</f>
        <v>1.7356628897511017</v>
      </c>
      <c r="Q2" s="1">
        <f>(Main_S[[#This Row],[ROE]]-VLOOKUP(Main_S[[#This Row],[Industry]], Mean_ROE_S, 2, FALSE))/(VLOOKUP(Main_S[[#This Row],[Industry]], Mean_ROE_S, 3, FALSE))</f>
        <v>1.3295768012799529</v>
      </c>
      <c r="R2" s="1">
        <f>(Main_S[[#This Row],[ROA]]-VLOOKUP(Main_S[[#This Row],[Industry]], Mean_ROA_S, 2, FALSE))/(VLOOKUP(Main_S[[#This Row],[Industry]], Mean_ROA_S, 3, FALSE))</f>
        <v>1.3127581017196199</v>
      </c>
      <c r="S2" s="1">
        <f>(Main_S[[#This Row],[A/E]]-VLOOKUP(Main_S[[#This Row],[Industry]], Mean_AE_S, 2, FALSE))/(VLOOKUP(Main_S[[#This Row],[Industry]], Mean_AE_S, 3, FALSE))</f>
        <v>-0.80689135752773833</v>
      </c>
      <c r="T2" s="1">
        <f>(Main_S[[#This Row],[P/E]]-VLOOKUP(Main_S[[#This Row],[Industry]], Mean_PE_S, 2, FALSE))/(VLOOKUP(Main_S[[#This Row],[Industry]], Mean_PE_S, 3, FALSE))</f>
        <v>1.3420743120660934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t="s">
        <v>105</v>
      </c>
      <c r="B3" t="s">
        <v>202</v>
      </c>
      <c r="C3" s="2">
        <v>417</v>
      </c>
      <c r="D3">
        <f>RTD("tos.rtd", , "LAST", Main_S[[#This Row],[Symbol]])</f>
        <v>15.08</v>
      </c>
      <c r="E3">
        <v>1.82</v>
      </c>
      <c r="F3">
        <v>11.62</v>
      </c>
      <c r="G3">
        <v>-0.04</v>
      </c>
      <c r="H3" s="1">
        <f>IF(ISNUMBER(Main_S[[#This Row],[Free CF]]),IF(Main_S[[#This Row],[Free CF]]&lt;&gt;0,Main_S[[#This Row],[Current Price]]/Main_S[[#This Row],[Free CF]],""),"")</f>
        <v>8.2857142857142847</v>
      </c>
      <c r="I3" s="1">
        <f>IF(ISNUMBER(Main_S[[#This Row],[BVPS]]),IF(Main_S[[#This Row],[BVPS]]&lt;&gt;0,Main_S[[#This Row],[Current Price]]/Main_S[[#This Row],[BVPS]],""),"")</f>
        <v>1.2977624784853701</v>
      </c>
      <c r="J3">
        <v>-0.32</v>
      </c>
      <c r="K3">
        <v>-0.88</v>
      </c>
      <c r="L3">
        <v>2.79</v>
      </c>
      <c r="M3" s="1">
        <f>IF(ISNUMBER(Main_S[[#This Row],[EPS]]),IF(Main_S[[#This Row],[EPS]]&lt;&gt;0,Main_S[[#This Row],[Current Price]]/Main_S[[#This Row],[EPS]],""),"")</f>
        <v>-377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1.4777391413407843</v>
      </c>
      <c r="P3" s="1">
        <f>(Main_S[[#This Row],[P/B]]-VLOOKUP(Main_S[[#This Row],[Industry]], Mean_PB_S, 2, FALSE))/(VLOOKUP(Main_S[[#This Row],[Industry]], Mean_PB_S, 3, FALSE))</f>
        <v>-0.62742539189861357</v>
      </c>
      <c r="Q3" s="1">
        <f>(Main_S[[#This Row],[ROE]]-VLOOKUP(Main_S[[#This Row],[Industry]], Mean_ROE_S, 2, FALSE))/(VLOOKUP(Main_S[[#This Row],[Industry]], Mean_ROE_S, 3, FALSE))</f>
        <v>-0.38559834331890869</v>
      </c>
      <c r="R3" s="1">
        <f>(Main_S[[#This Row],[ROA]]-VLOOKUP(Main_S[[#This Row],[Industry]], Mean_ROA_S, 2, FALSE))/(VLOOKUP(Main_S[[#This Row],[Industry]], Mean_ROA_S, 3, FALSE))</f>
        <v>-0.36081655427381359</v>
      </c>
      <c r="S3" s="1">
        <f>(Main_S[[#This Row],[A/E]]-VLOOKUP(Main_S[[#This Row],[Industry]], Mean_AE_S, 2, FALSE))/(VLOOKUP(Main_S[[#This Row],[Industry]], Mean_AE_S, 3, FALSE))</f>
        <v>0.97145472649721221</v>
      </c>
      <c r="T3" s="1">
        <f>(Main_S[[#This Row],[P/E]]-VLOOKUP(Main_S[[#This Row],[Industry]], Mean_PE_S, 2, FALSE))/(VLOOKUP(Main_S[[#This Row],[Industry]], Mean_PE_S, 3, FALSE))</f>
        <v>-9.0473658964447328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" spans="1:26" x14ac:dyDescent="0.25">
      <c r="A4" t="s">
        <v>105</v>
      </c>
      <c r="B4" t="s">
        <v>203</v>
      </c>
      <c r="C4" s="2">
        <v>363</v>
      </c>
      <c r="D4">
        <f>RTD("tos.rtd", , "LAST", Main_S[[#This Row],[Symbol]])</f>
        <v>4.8</v>
      </c>
      <c r="E4">
        <v>-2.41</v>
      </c>
      <c r="F4">
        <v>4.6399999999999997</v>
      </c>
      <c r="G4">
        <v>-0.05</v>
      </c>
      <c r="H4" s="1">
        <f>IF(ISNUMBER(Main_S[[#This Row],[Free CF]]),IF(Main_S[[#This Row],[Free CF]]&lt;&gt;0,Main_S[[#This Row],[Current Price]]/Main_S[[#This Row],[Free CF]],""),"")</f>
        <v>-1.9917012448132778</v>
      </c>
      <c r="I4" s="1">
        <f>IF(ISNUMBER(Main_S[[#This Row],[BVPS]]),IF(Main_S[[#This Row],[BVPS]]&lt;&gt;0,Main_S[[#This Row],[Current Price]]/Main_S[[#This Row],[BVPS]],""),"")</f>
        <v>1.0344827586206897</v>
      </c>
      <c r="J4">
        <v>0.24</v>
      </c>
      <c r="K4">
        <v>2.11</v>
      </c>
      <c r="L4">
        <v>2.95</v>
      </c>
      <c r="M4" s="1">
        <f>IF(ISNUMBER(Main_S[[#This Row],[EPS]]),IF(Main_S[[#This Row],[EPS]]&lt;&gt;0,Main_S[[#This Row],[Current Price]]/Main_S[[#This Row],[EPS]],""),"")</f>
        <v>-95.999999999999986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-0.82009179853901204</v>
      </c>
      <c r="P4" s="1">
        <f>(Main_S[[#This Row],[P/B]]-VLOOKUP(Main_S[[#This Row],[Industry]], Mean_PB_S, 2, FALSE))/(VLOOKUP(Main_S[[#This Row],[Industry]], Mean_PB_S, 3, FALSE))</f>
        <v>-0.75989135611294356</v>
      </c>
      <c r="Q4" s="1">
        <f>(Main_S[[#This Row],[ROE]]-VLOOKUP(Main_S[[#This Row],[Industry]], Mean_ROE_S, 2, FALSE))/(VLOOKUP(Main_S[[#This Row],[Industry]], Mean_ROE_S, 3, FALSE))</f>
        <v>-0.35609901650762604</v>
      </c>
      <c r="R4" s="1">
        <f>(Main_S[[#This Row],[ROA]]-VLOOKUP(Main_S[[#This Row],[Industry]], Mean_ROA_S, 2, FALSE))/(VLOOKUP(Main_S[[#This Row],[Industry]], Mean_ROA_S, 3, FALSE))</f>
        <v>9.8264933929889692E-2</v>
      </c>
      <c r="S4" s="1">
        <f>(Main_S[[#This Row],[A/E]]-VLOOKUP(Main_S[[#This Row],[Industry]], Mean_AE_S, 2, FALSE))/(VLOOKUP(Main_S[[#This Row],[Industry]], Mean_AE_S, 3, FALSE))</f>
        <v>1.3961343883539172</v>
      </c>
      <c r="T4" s="1">
        <f>(Main_S[[#This Row],[P/E]]-VLOOKUP(Main_S[[#This Row],[Industry]], Mean_PE_S, 2, FALSE))/(VLOOKUP(Main_S[[#This Row],[Industry]], Mean_PE_S, 3, FALSE))</f>
        <v>-1.7052559265730667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t="s">
        <v>105</v>
      </c>
      <c r="B5" t="s">
        <v>205</v>
      </c>
      <c r="C5" s="2">
        <v>1861</v>
      </c>
      <c r="D5">
        <f>RTD("tos.rtd", , "LAST", Main_S[[#This Row],[Symbol]])</f>
        <v>5.82</v>
      </c>
      <c r="E5">
        <v>1.79</v>
      </c>
      <c r="F5">
        <v>-1.05</v>
      </c>
      <c r="G5">
        <v>-0.14000000000000001</v>
      </c>
      <c r="H5" s="1">
        <f>IF(ISNUMBER(Main_S[[#This Row],[Free CF]]),IF(Main_S[[#This Row],[Free CF]]&lt;&gt;0,Main_S[[#This Row],[Current Price]]/Main_S[[#This Row],[Free CF]],""),"")</f>
        <v>3.2513966480446927</v>
      </c>
      <c r="I5" s="1">
        <f>IF(ISNUMBER(Main_S[[#This Row],[BVPS]]),IF(Main_S[[#This Row],[BVPS]]&lt;&gt;0,Main_S[[#This Row],[Current Price]]/Main_S[[#This Row],[BVPS]],""),"")</f>
        <v>-5.5428571428571427</v>
      </c>
      <c r="J5">
        <v>32.340000000000003</v>
      </c>
      <c r="K5">
        <v>8.0500000000000007</v>
      </c>
      <c r="L5">
        <v>-12.54</v>
      </c>
      <c r="M5" s="1">
        <f>IF(ISNUMBER(Main_S[[#This Row],[EPS]]),IF(Main_S[[#This Row],[EPS]]&lt;&gt;0,Main_S[[#This Row],[Current Price]]/Main_S[[#This Row],[EPS]],""),"")</f>
        <v>-41.571428571428569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0.35216328088650312</v>
      </c>
      <c r="P5" s="1">
        <f>(Main_S[[#This Row],[P/B]]-VLOOKUP(Main_S[[#This Row],[Industry]], Mean_PB_S, 2, FALSE))/(VLOOKUP(Main_S[[#This Row],[Industry]], Mean_PB_S, 3, FALSE))</f>
        <v>-4.0691993136816524</v>
      </c>
      <c r="Q5" s="1">
        <f>(Main_S[[#This Row],[ROE]]-VLOOKUP(Main_S[[#This Row],[Industry]], Mean_ROE_S, 2, FALSE))/(VLOOKUP(Main_S[[#This Row],[Industry]], Mean_ROE_S, 3, FALSE))</f>
        <v>1.3348445382105392</v>
      </c>
      <c r="R5" s="1">
        <f>(Main_S[[#This Row],[ROA]]-VLOOKUP(Main_S[[#This Row],[Industry]], Mean_ROA_S, 2, FALSE))/(VLOOKUP(Main_S[[#This Row],[Industry]], Mean_ROA_S, 3, FALSE))</f>
        <v>1.0102863519666783</v>
      </c>
      <c r="S5" s="1">
        <f>(Main_S[[#This Row],[A/E]]-VLOOKUP(Main_S[[#This Row],[Industry]], Mean_AE_S, 2, FALSE))/(VLOOKUP(Main_S[[#This Row],[Industry]], Mean_AE_S, 3, FALSE))</f>
        <v>-39.718165375148303</v>
      </c>
      <c r="T5" s="1">
        <f>(Main_S[[#This Row],[P/E]]-VLOOKUP(Main_S[[#This Row],[Industry]], Mean_PE_S, 2, FALSE))/(VLOOKUP(Main_S[[#This Row],[Industry]], Mean_PE_S, 3, FALSE))</f>
        <v>-0.2831187132934001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t="s">
        <v>105</v>
      </c>
      <c r="B6" t="s">
        <v>206</v>
      </c>
      <c r="C6" s="2">
        <v>690</v>
      </c>
      <c r="D6">
        <f>RTD("tos.rtd", , "LAST", Main_S[[#This Row],[Symbol]])</f>
        <v>13.69</v>
      </c>
      <c r="E6">
        <v>-4.82</v>
      </c>
      <c r="F6">
        <v>16.600000000000001</v>
      </c>
      <c r="G6">
        <v>-0.7</v>
      </c>
      <c r="H6" s="1">
        <f>IF(ISNUMBER(Main_S[[#This Row],[Free CF]]),IF(Main_S[[#This Row],[Free CF]]&lt;&gt;0,Main_S[[#This Row],[Current Price]]/Main_S[[#This Row],[Free CF]],""),"")</f>
        <v>-2.8402489626556013</v>
      </c>
      <c r="I6" s="1">
        <f>IF(ISNUMBER(Main_S[[#This Row],[BVPS]]),IF(Main_S[[#This Row],[BVPS]]&lt;&gt;0,Main_S[[#This Row],[Current Price]]/Main_S[[#This Row],[BVPS]],""),"")</f>
        <v>0.82469879518072275</v>
      </c>
      <c r="J6">
        <v>-3.58</v>
      </c>
      <c r="K6">
        <v>-0.65</v>
      </c>
      <c r="L6">
        <v>2</v>
      </c>
      <c r="M6" s="1">
        <f>IF(ISNUMBER(Main_S[[#This Row],[EPS]]),IF(Main_S[[#This Row],[EPS]]&lt;&gt;0,Main_S[[#This Row],[Current Price]]/Main_S[[#This Row],[EPS]],""),"")</f>
        <v>-19.557142857142857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-1.0098106236882756</v>
      </c>
      <c r="P6" s="1">
        <f>(Main_S[[#This Row],[P/B]]-VLOOKUP(Main_S[[#This Row],[Industry]], Mean_PB_S, 2, FALSE))/(VLOOKUP(Main_S[[#This Row],[Industry]], Mean_PB_S, 3, FALSE))</f>
        <v>-0.86544158614229028</v>
      </c>
      <c r="Q6" s="1">
        <f>(Main_S[[#This Row],[ROE]]-VLOOKUP(Main_S[[#This Row],[Industry]], Mean_ROE_S, 2, FALSE))/(VLOOKUP(Main_S[[#This Row],[Industry]], Mean_ROE_S, 3, FALSE))</f>
        <v>-0.55732656725601826</v>
      </c>
      <c r="R6" s="1">
        <f>(Main_S[[#This Row],[ROA]]-VLOOKUP(Main_S[[#This Row],[Industry]], Mean_ROA_S, 2, FALSE))/(VLOOKUP(Main_S[[#This Row],[Industry]], Mean_ROA_S, 3, FALSE))</f>
        <v>-0.32550259364275946</v>
      </c>
      <c r="S6" s="1">
        <f>(Main_S[[#This Row],[A/E]]-VLOOKUP(Main_S[[#This Row],[Industry]], Mean_AE_S, 2, FALSE))/(VLOOKUP(Main_S[[#This Row],[Industry]], Mean_AE_S, 3, FALSE))</f>
        <v>-1.1254011039202672</v>
      </c>
      <c r="T6" s="1">
        <f>(Main_S[[#This Row],[P/E]]-VLOOKUP(Main_S[[#This Row],[Industry]], Mean_PE_S, 2, FALSE))/(VLOOKUP(Main_S[[#This Row],[Industry]], Mean_PE_S, 3, FALSE))</f>
        <v>0.29208166614596126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t="s">
        <v>105</v>
      </c>
      <c r="B7" t="s">
        <v>201</v>
      </c>
      <c r="C7" s="2">
        <v>494</v>
      </c>
      <c r="D7">
        <f>RTD("tos.rtd", , "LAST", Main_S[[#This Row],[Symbol]])</f>
        <v>27.83</v>
      </c>
      <c r="E7">
        <v>-1.1599999999999999</v>
      </c>
      <c r="F7">
        <v>7.79</v>
      </c>
      <c r="G7">
        <v>-1.62</v>
      </c>
      <c r="H7" s="1">
        <f>IF(ISNUMBER(Main_S[[#This Row],[Free CF]]),IF(Main_S[[#This Row],[Free CF]]&lt;&gt;0,Main_S[[#This Row],[Current Price]]/Main_S[[#This Row],[Free CF]],""),"")</f>
        <v>-23.991379310344829</v>
      </c>
      <c r="I7" s="1">
        <f>IF(ISNUMBER(Main_S[[#This Row],[BVPS]]),IF(Main_S[[#This Row],[BVPS]]&lt;&gt;0,Main_S[[#This Row],[Current Price]]/Main_S[[#This Row],[BVPS]],""),"")</f>
        <v>3.5725288831835686</v>
      </c>
      <c r="J7">
        <v>-18.920000000000002</v>
      </c>
      <c r="K7">
        <v>-9.83</v>
      </c>
      <c r="L7">
        <v>2.2599999999999998</v>
      </c>
      <c r="M7" s="1">
        <f>IF(ISNUMBER(Main_S[[#This Row],[EPS]]),IF(Main_S[[#This Row],[EPS]]&lt;&gt;0,Main_S[[#This Row],[Current Price]]/Main_S[[#This Row],[EPS]],""),"")</f>
        <v>-17.179012345679009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-5.7387934678660271</v>
      </c>
      <c r="P7" s="1">
        <f>(Main_S[[#This Row],[P/B]]-VLOOKUP(Main_S[[#This Row],[Industry]], Mean_PB_S, 2, FALSE))/(VLOOKUP(Main_S[[#This Row],[Industry]], Mean_PB_S, 3, FALSE))</f>
        <v>0.5170954444027458</v>
      </c>
      <c r="Q7" s="1">
        <f>(Main_S[[#This Row],[ROE]]-VLOOKUP(Main_S[[#This Row],[Industry]], Mean_ROE_S, 2, FALSE))/(VLOOKUP(Main_S[[#This Row],[Industry]], Mean_ROE_S, 3, FALSE))</f>
        <v>-1.3653974124079391</v>
      </c>
      <c r="R7" s="1">
        <f>(Main_S[[#This Row],[ROA]]-VLOOKUP(Main_S[[#This Row],[Industry]], Mean_ROA_S, 2, FALSE))/(VLOOKUP(Main_S[[#This Row],[Industry]], Mean_ROA_S, 3, FALSE))</f>
        <v>-1.7349902396996146</v>
      </c>
      <c r="S7" s="1">
        <f>(Main_S[[#This Row],[A/E]]-VLOOKUP(Main_S[[#This Row],[Industry]], Mean_AE_S, 2, FALSE))/(VLOOKUP(Main_S[[#This Row],[Industry]], Mean_AE_S, 3, FALSE))</f>
        <v>-0.43529665340312268</v>
      </c>
      <c r="T7" s="1">
        <f>(Main_S[[#This Row],[P/E]]-VLOOKUP(Main_S[[#This Row],[Industry]], Mean_PE_S, 2, FALSE))/(VLOOKUP(Main_S[[#This Row],[Industry]], Mean_PE_S, 3, FALSE))</f>
        <v>0.35421866165441224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t="s">
        <v>108</v>
      </c>
      <c r="B8" t="s">
        <v>285</v>
      </c>
      <c r="C8" s="2">
        <v>350</v>
      </c>
      <c r="D8">
        <f>RTD("tos.rtd", , "LAST", Main_S[[#This Row],[Symbol]])</f>
        <v>16.8</v>
      </c>
      <c r="H8" s="1" t="str">
        <f>IF(ISNUMBER(Main_S[[#This Row],[Free CF]]),IF(Main_S[[#This Row],[Free CF]]&lt;&gt;0,Main_S[[#This Row],[Current Price]]/Main_S[[#This Row],[Free CF]],""),"")</f>
        <v/>
      </c>
      <c r="I8" s="1" t="str">
        <f>IF(ISNUMBER(Main_S[[#This Row],[BVPS]]),IF(Main_S[[#This Row],[BVPS]]&lt;&gt;0,Main_S[[#This Row],[Current Price]]/Main_S[[#This Row],[BVPS]],""),"")</f>
        <v/>
      </c>
      <c r="J8">
        <v>-65.66</v>
      </c>
      <c r="K8">
        <v>-0.35</v>
      </c>
      <c r="L8">
        <v>2.4900000000000002</v>
      </c>
      <c r="M8" s="1" t="str">
        <f>IF(ISNUMBER(Main_S[[#This Row],[EPS]]),IF(Main_S[[#This Row],[EPS]]&lt;&gt;0,Main_S[[#This Row],[Current Price]]/Main_S[[#This Row],[EPS]],""),"")</f>
        <v/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 t="e">
        <f>(Main_S[[#This Row],[P/FCF]]-VLOOKUP(Main_S[[#This Row],[Industry]], Mean_PFCF_S, 2, FALSE))/(VLOOKUP(Main_S[[#This Row],[Industry]], Mean_PFCF_S, 3, FALSE))</f>
        <v>#VALUE!</v>
      </c>
      <c r="P8" s="1" t="e">
        <f>(Main_S[[#This Row],[P/B]]-VLOOKUP(Main_S[[#This Row],[Industry]], Mean_PB_S, 2, FALSE))/(VLOOKUP(Main_S[[#This Row],[Industry]], Mean_PB_S, 3, FALSE))</f>
        <v>#VALUE!</v>
      </c>
      <c r="Q8" s="1">
        <f>(Main_S[[#This Row],[ROE]]-VLOOKUP(Main_S[[#This Row],[Industry]], Mean_ROE_S, 2, FALSE))/(VLOOKUP(Main_S[[#This Row],[Industry]], Mean_ROE_S, 3, FALSE))</f>
        <v>-1.4658404640081786</v>
      </c>
      <c r="R8" s="1">
        <f>(Main_S[[#This Row],[ROA]]-VLOOKUP(Main_S[[#This Row],[Industry]], Mean_ROA_S, 2, FALSE))/(VLOOKUP(Main_S[[#This Row],[Industry]], Mean_ROA_S, 3, FALSE))</f>
        <v>-0.38870354776291993</v>
      </c>
      <c r="S8" s="1">
        <f>(Main_S[[#This Row],[A/E]]-VLOOKUP(Main_S[[#This Row],[Industry]], Mean_AE_S, 2, FALSE))/(VLOOKUP(Main_S[[#This Row],[Industry]], Mean_AE_S, 3, FALSE))</f>
        <v>0.49445712986029178</v>
      </c>
      <c r="T8" s="1" t="e">
        <f>(Main_S[[#This Row],[P/E]]-VLOOKUP(Main_S[[#This Row],[Industry]], Mean_PE_S, 2, FALSE))/(VLOOKUP(Main_S[[#This Row],[Industry]], Mean_PE_S, 3, FALSE))</f>
        <v>#VALUE!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" spans="1:26" x14ac:dyDescent="0.25">
      <c r="A9" t="s">
        <v>108</v>
      </c>
      <c r="B9" t="s">
        <v>245</v>
      </c>
      <c r="C9" s="2">
        <v>302</v>
      </c>
      <c r="D9">
        <f>RTD("tos.rtd", , "LAST", Main_S[[#This Row],[Symbol]])</f>
        <v>10.61</v>
      </c>
      <c r="E9">
        <v>-2.12</v>
      </c>
      <c r="F9">
        <v>36.450000000000003</v>
      </c>
      <c r="G9">
        <v>3.42</v>
      </c>
      <c r="H9" s="1">
        <f>IF(ISNUMBER(Main_S[[#This Row],[Free CF]]),IF(Main_S[[#This Row],[Free CF]]&lt;&gt;0,Main_S[[#This Row],[Current Price]]/Main_S[[#This Row],[Free CF]],""),"")</f>
        <v>-5.0047169811320753</v>
      </c>
      <c r="I9" s="1">
        <f>IF(ISNUMBER(Main_S[[#This Row],[BVPS]]),IF(Main_S[[#This Row],[BVPS]]&lt;&gt;0,Main_S[[#This Row],[Current Price]]/Main_S[[#This Row],[BVPS]],""),"")</f>
        <v>0.29108367626886139</v>
      </c>
      <c r="J9">
        <v>10.08</v>
      </c>
      <c r="K9">
        <v>-3.57</v>
      </c>
      <c r="L9">
        <v>1.56</v>
      </c>
      <c r="M9" s="1">
        <f>IF(ISNUMBER(Main_S[[#This Row],[EPS]]),IF(Main_S[[#This Row],[EPS]]&lt;&gt;0,Main_S[[#This Row],[Current Price]]/Main_S[[#This Row],[EPS]],""),"")</f>
        <v>3.1023391812865495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-0.84999997478871558</v>
      </c>
      <c r="P9" s="1">
        <f>(Main_S[[#This Row],[P/B]]-VLOOKUP(Main_S[[#This Row],[Industry]], Mean_PB_S, 2, FALSE))/(VLOOKUP(Main_S[[#This Row],[Industry]], Mean_PB_S, 3, FALSE))</f>
        <v>9.4146681592590639E-2</v>
      </c>
      <c r="Q9" s="1">
        <f>(Main_S[[#This Row],[ROE]]-VLOOKUP(Main_S[[#This Row],[Industry]], Mean_ROE_S, 2, FALSE))/(VLOOKUP(Main_S[[#This Row],[Industry]], Mean_ROE_S, 3, FALSE))</f>
        <v>0.87042137300780265</v>
      </c>
      <c r="R9" s="1">
        <f>(Main_S[[#This Row],[ROA]]-VLOOKUP(Main_S[[#This Row],[Industry]], Mean_ROA_S, 2, FALSE))/(VLOOKUP(Main_S[[#This Row],[Industry]], Mean_ROA_S, 3, FALSE))</f>
        <v>-1.1683705476362185</v>
      </c>
      <c r="S9" s="1">
        <f>(Main_S[[#This Row],[A/E]]-VLOOKUP(Main_S[[#This Row],[Industry]], Mean_AE_S, 2, FALSE))/(VLOOKUP(Main_S[[#This Row],[Industry]], Mean_AE_S, 3, FALSE))</f>
        <v>0.28567386957876106</v>
      </c>
      <c r="T9" s="1">
        <f>(Main_S[[#This Row],[P/E]]-VLOOKUP(Main_S[[#This Row],[Industry]], Mean_PE_S, 2, FALSE))/(VLOOKUP(Main_S[[#This Row],[Industry]], Mean_PE_S, 3, FALSE))</f>
        <v>-0.11423419805323218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t="s">
        <v>108</v>
      </c>
      <c r="B10" t="s">
        <v>240</v>
      </c>
      <c r="C10" s="2">
        <v>1761</v>
      </c>
      <c r="D10">
        <f>RTD("tos.rtd", , "LAST", Main_S[[#This Row],[Symbol]])</f>
        <v>38.119999999999997</v>
      </c>
      <c r="E10">
        <v>2.5</v>
      </c>
      <c r="F10">
        <v>0.2</v>
      </c>
      <c r="G10">
        <v>2.72</v>
      </c>
      <c r="H10" s="1">
        <f>IF(ISNUMBER(Main_S[[#This Row],[Free CF]]),IF(Main_S[[#This Row],[Free CF]]&lt;&gt;0,Main_S[[#This Row],[Current Price]]/Main_S[[#This Row],[Free CF]],""),"")</f>
        <v>15.247999999999999</v>
      </c>
      <c r="I10" s="1">
        <f>IF(ISNUMBER(Main_S[[#This Row],[BVPS]]),IF(Main_S[[#This Row],[BVPS]]&lt;&gt;0,Main_S[[#This Row],[Current Price]]/Main_S[[#This Row],[BVPS]],""),"")</f>
        <v>190.59999999999997</v>
      </c>
      <c r="J10">
        <v>-309.36</v>
      </c>
      <c r="K10">
        <v>5.79</v>
      </c>
      <c r="L10">
        <v>182.6</v>
      </c>
      <c r="M10" s="1">
        <f>IF(ISNUMBER(Main_S[[#This Row],[EPS]]),IF(Main_S[[#This Row],[EPS]]&lt;&gt;0,Main_S[[#This Row],[Current Price]]/Main_S[[#This Row],[EPS]],""),"")</f>
        <v>14.014705882352938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0.23884975399385674</v>
      </c>
      <c r="P10" s="1">
        <f>(Main_S[[#This Row],[P/B]]-VLOOKUP(Main_S[[#This Row],[Industry]], Mean_PB_S, 2, FALSE))/(VLOOKUP(Main_S[[#This Row],[Industry]], Mean_PB_S, 3, FALSE))</f>
        <v>42.947430047916811</v>
      </c>
      <c r="Q10" s="1">
        <f>(Main_S[[#This Row],[ROE]]-VLOOKUP(Main_S[[#This Row],[Industry]], Mean_ROE_S, 2, FALSE))/(VLOOKUP(Main_S[[#This Row],[Industry]], Mean_ROE_S, 3, FALSE))</f>
        <v>-8.982964964678823</v>
      </c>
      <c r="R10" s="1">
        <f>(Main_S[[#This Row],[ROA]]-VLOOKUP(Main_S[[#This Row],[Industry]], Mean_ROA_S, 2, FALSE))/(VLOOKUP(Main_S[[#This Row],[Industry]], Mean_ROA_S, 3, FALSE))</f>
        <v>1.0979906693867862</v>
      </c>
      <c r="S10" s="1">
        <f>(Main_S[[#This Row],[A/E]]-VLOOKUP(Main_S[[#This Row],[Industry]], Mean_AE_S, 2, FALSE))/(VLOOKUP(Main_S[[#This Row],[Industry]], Mean_AE_S, 3, FALSE))</f>
        <v>40.928815204383405</v>
      </c>
      <c r="T10" s="1">
        <f>(Main_S[[#This Row],[P/E]]-VLOOKUP(Main_S[[#This Row],[Industry]], Mean_PE_S, 2, FALSE))/(VLOOKUP(Main_S[[#This Row],[Industry]], Mean_PE_S, 3, FALSE))</f>
        <v>0.39577879180078884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t="s">
        <v>108</v>
      </c>
      <c r="B11" t="s">
        <v>243</v>
      </c>
      <c r="C11" s="2">
        <v>279</v>
      </c>
      <c r="D11">
        <f>RTD("tos.rtd", , "LAST", Main_S[[#This Row],[Symbol]])</f>
        <v>22.055</v>
      </c>
      <c r="E11">
        <v>1.54</v>
      </c>
      <c r="F11">
        <v>-5.61</v>
      </c>
      <c r="G11">
        <v>1.38</v>
      </c>
      <c r="H11" s="1">
        <f>IF(ISNUMBER(Main_S[[#This Row],[Free CF]]),IF(Main_S[[#This Row],[Free CF]]&lt;&gt;0,Main_S[[#This Row],[Current Price]]/Main_S[[#This Row],[Free CF]],""),"")</f>
        <v>14.321428571428571</v>
      </c>
      <c r="I11" s="1">
        <f>IF(ISNUMBER(Main_S[[#This Row],[BVPS]]),IF(Main_S[[#This Row],[BVPS]]&lt;&gt;0,Main_S[[#This Row],[Current Price]]/Main_S[[#This Row],[BVPS]],""),"")</f>
        <v>-3.9313725490196076</v>
      </c>
      <c r="J11">
        <v>-25.36</v>
      </c>
      <c r="K11">
        <v>8.5399999999999991</v>
      </c>
      <c r="L11">
        <v>-2.68</v>
      </c>
      <c r="M11" s="1">
        <f>IF(ISNUMBER(Main_S[[#This Row],[EPS]]),IF(Main_S[[#This Row],[EPS]]&lt;&gt;0,Main_S[[#This Row],[Current Price]]/Main_S[[#This Row],[EPS]],""),"")</f>
        <v>15.981884057971016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0.18903436134122681</v>
      </c>
      <c r="P11" s="1">
        <f>(Main_S[[#This Row],[P/B]]-VLOOKUP(Main_S[[#This Row],[Industry]], Mean_PB_S, 2, FALSE))/(VLOOKUP(Main_S[[#This Row],[Industry]], Mean_PB_S, 3, FALSE))</f>
        <v>-0.85665539652119727</v>
      </c>
      <c r="Q11" s="1">
        <f>(Main_S[[#This Row],[ROE]]-VLOOKUP(Main_S[[#This Row],[Industry]], Mean_ROE_S, 2, FALSE))/(VLOOKUP(Main_S[[#This Row],[Industry]], Mean_ROE_S, 3, FALSE))</f>
        <v>-0.22275422118082125</v>
      </c>
      <c r="R11" s="1">
        <f>(Main_S[[#This Row],[ROA]]-VLOOKUP(Main_S[[#This Row],[Industry]], Mean_ROA_S, 2, FALSE))/(VLOOKUP(Main_S[[#This Row],[Industry]], Mean_ROA_S, 3, FALSE))</f>
        <v>1.7638553431916222</v>
      </c>
      <c r="S11" s="1">
        <f>(Main_S[[#This Row],[A/E]]-VLOOKUP(Main_S[[#This Row],[Industry]], Mean_AE_S, 2, FALSE))/(VLOOKUP(Main_S[[#This Row],[Industry]], Mean_AE_S, 3, FALSE))</f>
        <v>-0.66619819880155096</v>
      </c>
      <c r="T11" s="1">
        <f>(Main_S[[#This Row],[P/E]]-VLOOKUP(Main_S[[#This Row],[Industry]], Mean_PE_S, 2, FALSE))/(VLOOKUP(Main_S[[#This Row],[Industry]], Mean_PE_S, 3, FALSE))</f>
        <v>0.48771910597887724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t="s">
        <v>108</v>
      </c>
      <c r="B12" t="s">
        <v>237</v>
      </c>
      <c r="C12" s="2">
        <v>1497</v>
      </c>
      <c r="D12">
        <f>RTD("tos.rtd", , "LAST", Main_S[[#This Row],[Symbol]])</f>
        <v>27.03</v>
      </c>
      <c r="E12">
        <v>0.76</v>
      </c>
      <c r="F12">
        <v>5.57</v>
      </c>
      <c r="G12">
        <v>0.46</v>
      </c>
      <c r="H12" s="1">
        <f>IF(ISNUMBER(Main_S[[#This Row],[Free CF]]),IF(Main_S[[#This Row],[Free CF]]&lt;&gt;0,Main_S[[#This Row],[Current Price]]/Main_S[[#This Row],[Free CF]],""),"")</f>
        <v>35.565789473684212</v>
      </c>
      <c r="I12" s="1">
        <f>IF(ISNUMBER(Main_S[[#This Row],[BVPS]]),IF(Main_S[[#This Row],[BVPS]]&lt;&gt;0,Main_S[[#This Row],[Current Price]]/Main_S[[#This Row],[BVPS]],""),"")</f>
        <v>4.8527827648114901</v>
      </c>
      <c r="J12">
        <v>9.8699999999999992</v>
      </c>
      <c r="K12">
        <v>4.1399999999999997</v>
      </c>
      <c r="L12">
        <v>2.83</v>
      </c>
      <c r="M12" s="1">
        <f>IF(ISNUMBER(Main_S[[#This Row],[EPS]]),IF(Main_S[[#This Row],[EPS]]&lt;&gt;0,Main_S[[#This Row],[Current Price]]/Main_S[[#This Row],[EPS]],""),"")</f>
        <v>58.760869565217391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1.3311979845296809</v>
      </c>
      <c r="P12" s="1">
        <f>(Main_S[[#This Row],[P/B]]-VLOOKUP(Main_S[[#This Row],[Industry]], Mean_PB_S, 2, FALSE))/(VLOOKUP(Main_S[[#This Row],[Industry]], Mean_PB_S, 3, FALSE))</f>
        <v>1.1213386148422457</v>
      </c>
      <c r="Q12" s="1">
        <f>(Main_S[[#This Row],[ROE]]-VLOOKUP(Main_S[[#This Row],[Industry]], Mean_ROE_S, 2, FALSE))/(VLOOKUP(Main_S[[#This Row],[Industry]], Mean_ROE_S, 3, FALSE))</f>
        <v>0.86394375238761045</v>
      </c>
      <c r="R12" s="1">
        <f>(Main_S[[#This Row],[ROA]]-VLOOKUP(Main_S[[#This Row],[Industry]], Mean_ROA_S, 2, FALSE))/(VLOOKUP(Main_S[[#This Row],[Industry]], Mean_ROA_S, 3, FALSE))</f>
        <v>0.6984718651038847</v>
      </c>
      <c r="S12" s="1">
        <f>(Main_S[[#This Row],[A/E]]-VLOOKUP(Main_S[[#This Row],[Industry]], Mean_AE_S, 2, FALSE))/(VLOOKUP(Main_S[[#This Row],[Industry]], Mean_AE_S, 3, FALSE))</f>
        <v>0.57078649383418467</v>
      </c>
      <c r="T12" s="1">
        <f>(Main_S[[#This Row],[P/E]]-VLOOKUP(Main_S[[#This Row],[Industry]], Mean_PE_S, 2, FALSE))/(VLOOKUP(Main_S[[#This Row],[Industry]], Mean_PE_S, 3, FALSE))</f>
        <v>2.4870872448208807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" spans="1:26" x14ac:dyDescent="0.25">
      <c r="A13" t="s">
        <v>108</v>
      </c>
      <c r="B13" t="s">
        <v>191</v>
      </c>
      <c r="C13" s="2">
        <v>1779</v>
      </c>
      <c r="D13">
        <f>RTD("tos.rtd", , "LAST", Main_S[[#This Row],[Symbol]])</f>
        <v>4.8099999999999996</v>
      </c>
      <c r="E13">
        <v>1.06</v>
      </c>
      <c r="F13">
        <v>-0.31</v>
      </c>
      <c r="G13">
        <v>0.37</v>
      </c>
      <c r="H13" s="1">
        <f>IF(ISNUMBER(Main_S[[#This Row],[Free CF]]),IF(Main_S[[#This Row],[Free CF]]&lt;&gt;0,Main_S[[#This Row],[Current Price]]/Main_S[[#This Row],[Free CF]],""),"")</f>
        <v>4.5377358490566033</v>
      </c>
      <c r="I13" s="1">
        <f>IF(ISNUMBER(Main_S[[#This Row],[BVPS]]),IF(Main_S[[#This Row],[BVPS]]&lt;&gt;0,Main_S[[#This Row],[Current Price]]/Main_S[[#This Row],[BVPS]],""),"")</f>
        <v>-15.516129032258064</v>
      </c>
      <c r="J13">
        <v>-93.95</v>
      </c>
      <c r="K13">
        <v>8.4</v>
      </c>
      <c r="L13">
        <v>-30.52</v>
      </c>
      <c r="M13" s="1">
        <f>IF(ISNUMBER(Main_S[[#This Row],[EPS]]),IF(Main_S[[#This Row],[EPS]]&lt;&gt;0,Main_S[[#This Row],[Current Price]]/Main_S[[#This Row],[EPS]],""),"")</f>
        <v>12.999999999999998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-0.33696771419122207</v>
      </c>
      <c r="P13" s="1">
        <f>(Main_S[[#This Row],[P/B]]-VLOOKUP(Main_S[[#This Row],[Industry]], Mean_PB_S, 2, FALSE))/(VLOOKUP(Main_S[[#This Row],[Industry]], Mean_PB_S, 3, FALSE))</f>
        <v>-3.4652817388707366</v>
      </c>
      <c r="Q13" s="1">
        <f>(Main_S[[#This Row],[ROE]]-VLOOKUP(Main_S[[#This Row],[Industry]], Mean_ROE_S, 2, FALSE))/(VLOOKUP(Main_S[[#This Row],[Industry]], Mean_ROE_S, 3, FALSE))</f>
        <v>-2.3384684989854971</v>
      </c>
      <c r="R13" s="1">
        <f>(Main_S[[#This Row],[ROA]]-VLOOKUP(Main_S[[#This Row],[Industry]], Mean_ROA_S, 2, FALSE))/(VLOOKUP(Main_S[[#This Row],[Industry]], Mean_ROA_S, 3, FALSE))</f>
        <v>1.7299567779797398</v>
      </c>
      <c r="S13" s="1">
        <f>(Main_S[[#This Row],[A/E]]-VLOOKUP(Main_S[[#This Row],[Industry]], Mean_AE_S, 2, FALSE))/(VLOOKUP(Main_S[[#This Row],[Industry]], Mean_AE_S, 3, FALSE))</f>
        <v>-6.9162261194873729</v>
      </c>
      <c r="T13" s="1">
        <f>(Main_S[[#This Row],[P/E]]-VLOOKUP(Main_S[[#This Row],[Industry]], Mean_PE_S, 2, FALSE))/(VLOOKUP(Main_S[[#This Row],[Industry]], Mean_PE_S, 3, FALSE))</f>
        <v>0.3483543242166201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" spans="1:26" x14ac:dyDescent="0.25">
      <c r="A14" t="s">
        <v>108</v>
      </c>
      <c r="B14" t="s">
        <v>242</v>
      </c>
      <c r="C14" s="2">
        <v>325</v>
      </c>
      <c r="D14">
        <f>RTD("tos.rtd", , "LAST", Main_S[[#This Row],[Symbol]])</f>
        <v>2.4500000000000002</v>
      </c>
      <c r="E14">
        <v>-0.19</v>
      </c>
      <c r="F14">
        <v>0.56000000000000005</v>
      </c>
      <c r="G14">
        <v>0.08</v>
      </c>
      <c r="H14" s="1">
        <f>IF(ISNUMBER(Main_S[[#This Row],[Free CF]]),IF(Main_S[[#This Row],[Free CF]]&lt;&gt;0,Main_S[[#This Row],[Current Price]]/Main_S[[#This Row],[Free CF]],""),"")</f>
        <v>-12.894736842105264</v>
      </c>
      <c r="I14" s="1">
        <f>IF(ISNUMBER(Main_S[[#This Row],[BVPS]]),IF(Main_S[[#This Row],[BVPS]]&lt;&gt;0,Main_S[[#This Row],[Current Price]]/Main_S[[#This Row],[BVPS]],""),"")</f>
        <v>4.375</v>
      </c>
      <c r="J14">
        <v>-5.83</v>
      </c>
      <c r="K14">
        <v>-1.69</v>
      </c>
      <c r="L14">
        <v>4.79</v>
      </c>
      <c r="M14" s="1">
        <f>IF(ISNUMBER(Main_S[[#This Row],[EPS]]),IF(Main_S[[#This Row],[EPS]]&lt;&gt;0,Main_S[[#This Row],[Current Price]]/Main_S[[#This Row],[EPS]],""),"")</f>
        <v>30.625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-1.2741922445821163</v>
      </c>
      <c r="P14" s="1">
        <f>(Main_S[[#This Row],[P/B]]-VLOOKUP(Main_S[[#This Row],[Industry]], Mean_PB_S, 2, FALSE))/(VLOOKUP(Main_S[[#This Row],[Industry]], Mean_PB_S, 3, FALSE))</f>
        <v>1.0137526929446941</v>
      </c>
      <c r="Q14" s="1">
        <f>(Main_S[[#This Row],[ROE]]-VLOOKUP(Main_S[[#This Row],[Industry]], Mean_ROE_S, 2, FALSE))/(VLOOKUP(Main_S[[#This Row],[Industry]], Mean_ROE_S, 3, FALSE))</f>
        <v>0.37966449649705192</v>
      </c>
      <c r="R14" s="1">
        <f>(Main_S[[#This Row],[ROA]]-VLOOKUP(Main_S[[#This Row],[Industry]], Mean_ROA_S, 2, FALSE))/(VLOOKUP(Main_S[[#This Row],[Industry]], Mean_ROA_S, 3, FALSE))</f>
        <v>-0.71316124336236719</v>
      </c>
      <c r="S14" s="1">
        <f>(Main_S[[#This Row],[A/E]]-VLOOKUP(Main_S[[#This Row],[Industry]], Mean_AE_S, 2, FALSE))/(VLOOKUP(Main_S[[#This Row],[Industry]], Mean_AE_S, 3, FALSE))</f>
        <v>1.0108028273307441</v>
      </c>
      <c r="T14" s="1">
        <f>(Main_S[[#This Row],[P/E]]-VLOOKUP(Main_S[[#This Row],[Industry]], Mean_PE_S, 2, FALSE))/(VLOOKUP(Main_S[[#This Row],[Industry]], Mean_PE_S, 3, FALSE))</f>
        <v>1.1720967068199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" spans="1:26" x14ac:dyDescent="0.25">
      <c r="A15" t="s">
        <v>108</v>
      </c>
      <c r="B15" t="s">
        <v>238</v>
      </c>
      <c r="C15" s="2">
        <v>1541</v>
      </c>
      <c r="D15">
        <f>RTD("tos.rtd", , "LAST", Main_S[[#This Row],[Symbol]])</f>
        <v>1.77</v>
      </c>
      <c r="E15">
        <v>0.19</v>
      </c>
      <c r="F15">
        <v>1.95</v>
      </c>
      <c r="G15">
        <v>0.04</v>
      </c>
      <c r="H15" s="1">
        <f>IF(ISNUMBER(Main_S[[#This Row],[Free CF]]),IF(Main_S[[#This Row],[Free CF]]&lt;&gt;0,Main_S[[#This Row],[Current Price]]/Main_S[[#This Row],[Free CF]],""),"")</f>
        <v>9.3157894736842106</v>
      </c>
      <c r="I15" s="1">
        <f>IF(ISNUMBER(Main_S[[#This Row],[BVPS]]),IF(Main_S[[#This Row],[BVPS]]&lt;&gt;0,Main_S[[#This Row],[Current Price]]/Main_S[[#This Row],[BVPS]],""),"")</f>
        <v>0.90769230769230769</v>
      </c>
      <c r="J15">
        <v>2.35</v>
      </c>
      <c r="K15">
        <v>1.74</v>
      </c>
      <c r="L15">
        <v>3.45</v>
      </c>
      <c r="M15" s="1">
        <f>IF(ISNUMBER(Main_S[[#This Row],[EPS]]),IF(Main_S[[#This Row],[EPS]]&lt;&gt;0,Main_S[[#This Row],[Current Price]]/Main_S[[#This Row],[EPS]],""),"")</f>
        <v>44.25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-8.0084531646815338E-2</v>
      </c>
      <c r="P15" s="1">
        <f>(Main_S[[#This Row],[P/B]]-VLOOKUP(Main_S[[#This Row],[Industry]], Mean_PB_S, 2, FALSE))/(VLOOKUP(Main_S[[#This Row],[Industry]], Mean_PB_S, 3, FALSE))</f>
        <v>0.23299306314394908</v>
      </c>
      <c r="Q15" s="1">
        <f>(Main_S[[#This Row],[ROE]]-VLOOKUP(Main_S[[#This Row],[Industry]], Mean_ROE_S, 2, FALSE))/(VLOOKUP(Main_S[[#This Row],[Industry]], Mean_ROE_S, 3, FALSE))</f>
        <v>0.63198324255977611</v>
      </c>
      <c r="R15" s="1">
        <f>(Main_S[[#This Row],[ROA]]-VLOOKUP(Main_S[[#This Row],[Industry]], Mean_ROA_S, 2, FALSE))/(VLOOKUP(Main_S[[#This Row],[Industry]], Mean_ROA_S, 3, FALSE))</f>
        <v>0.11735360432875534</v>
      </c>
      <c r="S15" s="1">
        <f>(Main_S[[#This Row],[A/E]]-VLOOKUP(Main_S[[#This Row],[Industry]], Mean_AE_S, 2, FALSE))/(VLOOKUP(Main_S[[#This Row],[Industry]], Mean_AE_S, 3, FALSE))</f>
        <v>0.70997533402187185</v>
      </c>
      <c r="T15" s="1">
        <f>(Main_S[[#This Row],[P/E]]-VLOOKUP(Main_S[[#This Row],[Industry]], Mean_PE_S, 2, FALSE))/(VLOOKUP(Main_S[[#This Row],[Industry]], Mean_PE_S, 3, FALSE))</f>
        <v>1.8088904635841376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t="s">
        <v>108</v>
      </c>
      <c r="B16" t="s">
        <v>244</v>
      </c>
      <c r="C16" s="2">
        <v>847</v>
      </c>
      <c r="D16">
        <f>RTD("tos.rtd", , "LAST", Main_S[[#This Row],[Symbol]])</f>
        <v>4.0999999999999996</v>
      </c>
      <c r="E16">
        <v>-7.0000000000000007E-2</v>
      </c>
      <c r="F16">
        <v>3.1</v>
      </c>
      <c r="G16">
        <v>-7.0000000000000007E-2</v>
      </c>
      <c r="H16" s="1">
        <f>IF(ISNUMBER(Main_S[[#This Row],[Free CF]]),IF(Main_S[[#This Row],[Free CF]]&lt;&gt;0,Main_S[[#This Row],[Current Price]]/Main_S[[#This Row],[Free CF]],""),"")</f>
        <v>-58.571428571428562</v>
      </c>
      <c r="I16" s="1">
        <f>IF(ISNUMBER(Main_S[[#This Row],[BVPS]]),IF(Main_S[[#This Row],[BVPS]]&lt;&gt;0,Main_S[[#This Row],[Current Price]]/Main_S[[#This Row],[BVPS]],""),"")</f>
        <v>1.3225806451612903</v>
      </c>
      <c r="J16">
        <v>-1.61</v>
      </c>
      <c r="K16">
        <v>-1.06</v>
      </c>
      <c r="L16">
        <v>1.79</v>
      </c>
      <c r="M16" s="1">
        <f>IF(ISNUMBER(Main_S[[#This Row],[EPS]]),IF(Main_S[[#This Row],[EPS]]&lt;&gt;0,Main_S[[#This Row],[Current Price]]/Main_S[[#This Row],[EPS]],""),"")</f>
        <v>-58.571428571428562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-3.7299147754155464</v>
      </c>
      <c r="P16" s="1">
        <f>(Main_S[[#This Row],[P/B]]-VLOOKUP(Main_S[[#This Row],[Industry]], Mean_PB_S, 2, FALSE))/(VLOOKUP(Main_S[[#This Row],[Industry]], Mean_PB_S, 3, FALSE))</f>
        <v>0.32641657600078949</v>
      </c>
      <c r="Q16" s="1">
        <f>(Main_S[[#This Row],[ROE]]-VLOOKUP(Main_S[[#This Row],[Industry]], Mean_ROE_S, 2, FALSE))/(VLOOKUP(Main_S[[#This Row],[Industry]], Mean_ROE_S, 3, FALSE))</f>
        <v>0.50983382515043774</v>
      </c>
      <c r="R16" s="1">
        <f>(Main_S[[#This Row],[ROA]]-VLOOKUP(Main_S[[#This Row],[Industry]], Mean_ROA_S, 2, FALSE))/(VLOOKUP(Main_S[[#This Row],[Industry]], Mean_ROA_S, 3, FALSE))</f>
        <v>-0.56061769990889576</v>
      </c>
      <c r="S16" s="1">
        <f>(Main_S[[#This Row],[A/E]]-VLOOKUP(Main_S[[#This Row],[Industry]], Mean_AE_S, 2, FALSE))/(VLOOKUP(Main_S[[#This Row],[Industry]], Mean_AE_S, 3, FALSE))</f>
        <v>0.33730843932580629</v>
      </c>
      <c r="T16" s="1">
        <f>(Main_S[[#This Row],[P/E]]-VLOOKUP(Main_S[[#This Row],[Industry]], Mean_PE_S, 2, FALSE))/(VLOOKUP(Main_S[[#This Row],[Industry]], Mean_PE_S, 3, FALSE))</f>
        <v>-2.9966907309748141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" spans="1:26" x14ac:dyDescent="0.25">
      <c r="A17" t="s">
        <v>108</v>
      </c>
      <c r="B17" t="s">
        <v>236</v>
      </c>
      <c r="C17" s="2">
        <v>392</v>
      </c>
      <c r="D17">
        <f>RTD("tos.rtd", , "LAST", Main_S[[#This Row],[Symbol]])</f>
        <v>5.82</v>
      </c>
      <c r="E17">
        <v>0.17</v>
      </c>
      <c r="F17">
        <v>1.02</v>
      </c>
      <c r="G17">
        <v>-0.14000000000000001</v>
      </c>
      <c r="H17" s="1">
        <f>IF(ISNUMBER(Main_S[[#This Row],[Free CF]]),IF(Main_S[[#This Row],[Free CF]]&lt;&gt;0,Main_S[[#This Row],[Current Price]]/Main_S[[#This Row],[Free CF]],""),"")</f>
        <v>34.235294117647058</v>
      </c>
      <c r="I17" s="1">
        <f>IF(ISNUMBER(Main_S[[#This Row],[BVPS]]),IF(Main_S[[#This Row],[BVPS]]&lt;&gt;0,Main_S[[#This Row],[Current Price]]/Main_S[[#This Row],[BVPS]],""),"")</f>
        <v>5.7058823529411766</v>
      </c>
      <c r="J17">
        <v>-12.13</v>
      </c>
      <c r="K17">
        <v>-6.53</v>
      </c>
      <c r="L17">
        <v>1.47</v>
      </c>
      <c r="M17" s="1">
        <f>IF(ISNUMBER(Main_S[[#This Row],[EPS]]),IF(Main_S[[#This Row],[EPS]]&lt;&gt;0,Main_S[[#This Row],[Current Price]]/Main_S[[#This Row],[EPS]],""),"")</f>
        <v>-41.571428571428569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1.2596663718123757</v>
      </c>
      <c r="P17" s="1">
        <f>(Main_S[[#This Row],[P/B]]-VLOOKUP(Main_S[[#This Row],[Industry]], Mean_PB_S, 2, FALSE))/(VLOOKUP(Main_S[[#This Row],[Industry]], Mean_PB_S, 3, FALSE))</f>
        <v>1.3134374355177183</v>
      </c>
      <c r="Q17" s="1">
        <f>(Main_S[[#This Row],[ROE]]-VLOOKUP(Main_S[[#This Row],[Industry]], Mean_ROE_S, 2, FALSE))/(VLOOKUP(Main_S[[#This Row],[Industry]], Mean_ROE_S, 3, FALSE))</f>
        <v>0.18533587789128636</v>
      </c>
      <c r="R17" s="1">
        <f>(Main_S[[#This Row],[ROA]]-VLOOKUP(Main_S[[#This Row],[Industry]], Mean_ROA_S, 2, FALSE))/(VLOOKUP(Main_S[[#This Row],[Industry]], Mean_ROA_S, 3, FALSE))</f>
        <v>-1.8850830692588785</v>
      </c>
      <c r="S17" s="1">
        <f>(Main_S[[#This Row],[A/E]]-VLOOKUP(Main_S[[#This Row],[Industry]], Mean_AE_S, 2, FALSE))/(VLOOKUP(Main_S[[#This Row],[Industry]], Mean_AE_S, 3, FALSE))</f>
        <v>0.26546903793861293</v>
      </c>
      <c r="T17" s="1">
        <f>(Main_S[[#This Row],[P/E]]-VLOOKUP(Main_S[[#This Row],[Industry]], Mean_PE_S, 2, FALSE))/(VLOOKUP(Main_S[[#This Row],[Industry]], Mean_PE_S, 3, FALSE))</f>
        <v>-2.2021590711588845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t="s">
        <v>108</v>
      </c>
      <c r="B18" t="s">
        <v>239</v>
      </c>
      <c r="C18" s="2">
        <v>578</v>
      </c>
      <c r="D18">
        <f>RTD("tos.rtd", , "LAST", Main_S[[#This Row],[Symbol]])</f>
        <v>17.47</v>
      </c>
      <c r="E18">
        <v>-0.1</v>
      </c>
      <c r="F18">
        <v>14.12</v>
      </c>
      <c r="G18">
        <v>-0.4</v>
      </c>
      <c r="H18" s="1">
        <f>IF(ISNUMBER(Main_S[[#This Row],[Free CF]]),IF(Main_S[[#This Row],[Free CF]]&lt;&gt;0,Main_S[[#This Row],[Current Price]]/Main_S[[#This Row],[Free CF]],""),"")</f>
        <v>-174.7</v>
      </c>
      <c r="I18" s="1">
        <f>IF(ISNUMBER(Main_S[[#This Row],[BVPS]]),IF(Main_S[[#This Row],[BVPS]]&lt;&gt;0,Main_S[[#This Row],[Current Price]]/Main_S[[#This Row],[BVPS]],""),"")</f>
        <v>1.2372521246458923</v>
      </c>
      <c r="J18">
        <v>-2.83</v>
      </c>
      <c r="K18">
        <v>0.99</v>
      </c>
      <c r="L18">
        <v>2.2999999999999998</v>
      </c>
      <c r="M18" s="1">
        <f>IF(ISNUMBER(Main_S[[#This Row],[EPS]]),IF(Main_S[[#This Row],[EPS]]&lt;&gt;0,Main_S[[#This Row],[Current Price]]/Main_S[[#This Row],[EPS]],""),"")</f>
        <v>-43.674999999999997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-9.973351822489688</v>
      </c>
      <c r="P18" s="1">
        <f>(Main_S[[#This Row],[P/B]]-VLOOKUP(Main_S[[#This Row],[Industry]], Mean_PB_S, 2, FALSE))/(VLOOKUP(Main_S[[#This Row],[Industry]], Mean_PB_S, 3, FALSE))</f>
        <v>0.30720251425575085</v>
      </c>
      <c r="Q18" s="1">
        <f>(Main_S[[#This Row],[ROE]]-VLOOKUP(Main_S[[#This Row],[Industry]], Mean_ROE_S, 2, FALSE))/(VLOOKUP(Main_S[[#This Row],[Industry]], Mean_ROE_S, 3, FALSE))</f>
        <v>0.47220193392836884</v>
      </c>
      <c r="R18" s="1">
        <f>(Main_S[[#This Row],[ROA]]-VLOOKUP(Main_S[[#This Row],[Industry]], Mean_ROA_S, 2, FALSE))/(VLOOKUP(Main_S[[#This Row],[Industry]], Mean_ROA_S, 3, FALSE))</f>
        <v>-6.4245852163472617E-2</v>
      </c>
      <c r="S18" s="1">
        <f>(Main_S[[#This Row],[A/E]]-VLOOKUP(Main_S[[#This Row],[Industry]], Mean_AE_S, 2, FALSE))/(VLOOKUP(Main_S[[#This Row],[Industry]], Mean_AE_S, 3, FALSE))</f>
        <v>0.45180248528664563</v>
      </c>
      <c r="T18" s="1">
        <f>(Main_S[[#This Row],[P/E]]-VLOOKUP(Main_S[[#This Row],[Industry]], Mean_PE_S, 2, FALSE))/(VLOOKUP(Main_S[[#This Row],[Industry]], Mean_PE_S, 3, FALSE))</f>
        <v>-2.3004740181403096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9" spans="1:26" x14ac:dyDescent="0.25">
      <c r="A19" t="s">
        <v>108</v>
      </c>
      <c r="B19" t="s">
        <v>287</v>
      </c>
      <c r="C19" s="2">
        <v>314</v>
      </c>
      <c r="D19">
        <f>RTD("tos.rtd", , "LAST", Main_S[[#This Row],[Symbol]])</f>
        <v>1.528</v>
      </c>
      <c r="E19">
        <v>0.56000000000000005</v>
      </c>
      <c r="F19">
        <v>-0.27</v>
      </c>
      <c r="G19">
        <v>-0.56999999999999995</v>
      </c>
      <c r="H19" s="1">
        <f>IF(ISNUMBER(Main_S[[#This Row],[Free CF]]),IF(Main_S[[#This Row],[Free CF]]&lt;&gt;0,Main_S[[#This Row],[Current Price]]/Main_S[[#This Row],[Free CF]],""),"")</f>
        <v>2.7285714285714282</v>
      </c>
      <c r="I19" s="1">
        <f>IF(ISNUMBER(Main_S[[#This Row],[BVPS]]),IF(Main_S[[#This Row],[BVPS]]&lt;&gt;0,Main_S[[#This Row],[Current Price]]/Main_S[[#This Row],[BVPS]],""),"")</f>
        <v>-5.659259259259259</v>
      </c>
      <c r="J19">
        <v>-55.45</v>
      </c>
      <c r="K19">
        <v>3.16</v>
      </c>
      <c r="L19">
        <v>-12</v>
      </c>
      <c r="M19" s="1">
        <f>IF(ISNUMBER(Main_S[[#This Row],[EPS]]),IF(Main_S[[#This Row],[EPS]]&lt;&gt;0,Main_S[[#This Row],[Current Price]]/Main_S[[#This Row],[EPS]],""),"")</f>
        <v>-2.6807017543859653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-0.43423408049671963</v>
      </c>
      <c r="P19" s="1">
        <f>(Main_S[[#This Row],[P/B]]-VLOOKUP(Main_S[[#This Row],[Industry]], Mean_PB_S, 2, FALSE))/(VLOOKUP(Main_S[[#This Row],[Industry]], Mean_PB_S, 3, FALSE))</f>
        <v>-1.2457365822542286</v>
      </c>
      <c r="Q19" s="1">
        <f>(Main_S[[#This Row],[ROE]]-VLOOKUP(Main_S[[#This Row],[Industry]], Mean_ROE_S, 2, FALSE))/(VLOOKUP(Main_S[[#This Row],[Industry]], Mean_ROE_S, 3, FALSE))</f>
        <v>-1.1509047186169301</v>
      </c>
      <c r="R19" s="1">
        <f>(Main_S[[#This Row],[ROA]]-VLOOKUP(Main_S[[#This Row],[Industry]], Mean_ROA_S, 2, FALSE))/(VLOOKUP(Main_S[[#This Row],[Industry]], Mean_ROA_S, 3, FALSE))</f>
        <v>0.46118190862070702</v>
      </c>
      <c r="S19" s="1">
        <f>(Main_S[[#This Row],[A/E]]-VLOOKUP(Main_S[[#This Row],[Industry]], Mean_AE_S, 2, FALSE))/(VLOOKUP(Main_S[[#This Row],[Industry]], Mean_AE_S, 3, FALSE))</f>
        <v>-2.7585207642035572</v>
      </c>
      <c r="T19" s="1">
        <f>(Main_S[[#This Row],[P/E]]-VLOOKUP(Main_S[[#This Row],[Industry]], Mean_PE_S, 2, FALSE))/(VLOOKUP(Main_S[[#This Row],[Industry]], Mean_PE_S, 3, FALSE))</f>
        <v>-0.38451708707695864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t="s">
        <v>108</v>
      </c>
      <c r="B20" t="s">
        <v>288</v>
      </c>
      <c r="C20" s="2">
        <v>542</v>
      </c>
      <c r="D20">
        <f>RTD("tos.rtd", , "LAST", Main_S[[#This Row],[Symbol]])</f>
        <v>8.4499999999999993</v>
      </c>
      <c r="E20">
        <v>0.18</v>
      </c>
      <c r="F20">
        <v>-0.81</v>
      </c>
      <c r="G20">
        <v>-0.87</v>
      </c>
      <c r="H20" s="1">
        <f>IF(ISNUMBER(Main_S[[#This Row],[Free CF]]),IF(Main_S[[#This Row],[Free CF]]&lt;&gt;0,Main_S[[#This Row],[Current Price]]/Main_S[[#This Row],[Free CF]],""),"")</f>
        <v>46.944444444444443</v>
      </c>
      <c r="I20" s="1">
        <f>IF(ISNUMBER(Main_S[[#This Row],[BVPS]]),IF(Main_S[[#This Row],[BVPS]]&lt;&gt;0,Main_S[[#This Row],[Current Price]]/Main_S[[#This Row],[BVPS]],""),"")</f>
        <v>-10.432098765432098</v>
      </c>
      <c r="J20">
        <v>232.92</v>
      </c>
      <c r="K20">
        <v>2.21</v>
      </c>
      <c r="L20">
        <v>-28.88</v>
      </c>
      <c r="M20" s="1">
        <f>IF(ISNUMBER(Main_S[[#This Row],[EPS]]),IF(Main_S[[#This Row],[EPS]]&lt;&gt;0,Main_S[[#This Row],[Current Price]]/Main_S[[#This Row],[EPS]],""),"")</f>
        <v>-9.7126436781609193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1.9429502442568691</v>
      </c>
      <c r="P20" s="1">
        <f>(Main_S[[#This Row],[P/B]]-VLOOKUP(Main_S[[#This Row],[Industry]], Mean_PB_S, 2, FALSE))/(VLOOKUP(Main_S[[#This Row],[Industry]], Mean_PB_S, 3, FALSE))</f>
        <v>-2.3204725839667608</v>
      </c>
      <c r="Q20" s="1">
        <f>(Main_S[[#This Row],[ROE]]-VLOOKUP(Main_S[[#This Row],[Industry]], Mean_ROE_S, 2, FALSE))/(VLOOKUP(Main_S[[#This Row],[Industry]], Mean_ROE_S, 3, FALSE))</f>
        <v>7.7441022254060234</v>
      </c>
      <c r="R20" s="1">
        <f>(Main_S[[#This Row],[ROA]]-VLOOKUP(Main_S[[#This Row],[Industry]], Mean_ROA_S, 2, FALSE))/(VLOOKUP(Main_S[[#This Row],[Industry]], Mean_ROA_S, 3, FALSE))</f>
        <v>0.23115593039721818</v>
      </c>
      <c r="S20" s="1">
        <f>(Main_S[[#This Row],[A/E]]-VLOOKUP(Main_S[[#This Row],[Industry]], Mean_AE_S, 2, FALSE))/(VLOOKUP(Main_S[[#This Row],[Industry]], Mean_AE_S, 3, FALSE))</f>
        <v>-6.5480491873780071</v>
      </c>
      <c r="T20" s="1">
        <f>(Main_S[[#This Row],[P/E]]-VLOOKUP(Main_S[[#This Row],[Industry]], Mean_PE_S, 2, FALSE))/(VLOOKUP(Main_S[[#This Row],[Industry]], Mean_PE_S, 3, FALSE))</f>
        <v>-0.71317005698437841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t="s">
        <v>108</v>
      </c>
      <c r="B21" t="s">
        <v>235</v>
      </c>
      <c r="C21" s="2">
        <v>1542</v>
      </c>
      <c r="D21">
        <f>RTD("tos.rtd", , "LAST", Main_S[[#This Row],[Symbol]])</f>
        <v>3.35</v>
      </c>
      <c r="E21">
        <v>-1.27</v>
      </c>
      <c r="F21">
        <v>-4.01</v>
      </c>
      <c r="G21">
        <v>-1.04</v>
      </c>
      <c r="H21" s="1">
        <f>IF(ISNUMBER(Main_S[[#This Row],[Free CF]]),IF(Main_S[[#This Row],[Free CF]]&lt;&gt;0,Main_S[[#This Row],[Current Price]]/Main_S[[#This Row],[Free CF]],""),"")</f>
        <v>-2.6377952755905514</v>
      </c>
      <c r="I21" s="1">
        <f>IF(ISNUMBER(Main_S[[#This Row],[BVPS]]),IF(Main_S[[#This Row],[BVPS]]&lt;&gt;0,Main_S[[#This Row],[Current Price]]/Main_S[[#This Row],[BVPS]],""),"")</f>
        <v>-0.8354114713216958</v>
      </c>
      <c r="J21">
        <v>20.76</v>
      </c>
      <c r="K21">
        <v>-0.32</v>
      </c>
      <c r="L21">
        <v>-4.63</v>
      </c>
      <c r="M21" s="1">
        <f>IF(ISNUMBER(Main_S[[#This Row],[EPS]]),IF(Main_S[[#This Row],[EPS]]&lt;&gt;0,Main_S[[#This Row],[Current Price]]/Main_S[[#This Row],[EPS]],""),"")</f>
        <v>-3.2211538461538463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-0.72274682354340491</v>
      </c>
      <c r="P21" s="1">
        <f>(Main_S[[#This Row],[P/B]]-VLOOKUP(Main_S[[#This Row],[Industry]], Mean_PB_S, 2, FALSE))/(VLOOKUP(Main_S[[#This Row],[Industry]], Mean_PB_S, 3, FALSE))</f>
        <v>-0.1595146638819919</v>
      </c>
      <c r="Q21" s="1">
        <f>(Main_S[[#This Row],[ROE]]-VLOOKUP(Main_S[[#This Row],[Industry]], Mean_ROE_S, 2, FALSE))/(VLOOKUP(Main_S[[#This Row],[Industry]], Mean_ROE_S, 3, FALSE))</f>
        <v>1.1998546502632912</v>
      </c>
      <c r="R21" s="1">
        <f>(Main_S[[#This Row],[ROA]]-VLOOKUP(Main_S[[#This Row],[Industry]], Mean_ROA_S, 2, FALSE))/(VLOOKUP(Main_S[[#This Row],[Industry]], Mean_ROA_S, 3, FALSE))</f>
        <v>-0.38143956950323082</v>
      </c>
      <c r="S21" s="1">
        <f>(Main_S[[#This Row],[A/E]]-VLOOKUP(Main_S[[#This Row],[Industry]], Mean_AE_S, 2, FALSE))/(VLOOKUP(Main_S[[#This Row],[Industry]], Mean_AE_S, 3, FALSE))</f>
        <v>-1.1039695510047602</v>
      </c>
      <c r="T21" s="1">
        <f>(Main_S[[#This Row],[P/E]]-VLOOKUP(Main_S[[#This Row],[Industry]], Mean_PE_S, 2, FALSE))/(VLOOKUP(Main_S[[#This Row],[Industry]], Mean_PE_S, 3, FALSE))</f>
        <v>-0.40977628104891894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t="s">
        <v>108</v>
      </c>
      <c r="B22" t="s">
        <v>241</v>
      </c>
      <c r="C22" s="2">
        <v>1357</v>
      </c>
      <c r="D22">
        <f>RTD("tos.rtd", , "LAST", Main_S[[#This Row],[Symbol]])</f>
        <v>38.340000000000003</v>
      </c>
      <c r="E22">
        <v>-3.02</v>
      </c>
      <c r="F22">
        <v>59.75</v>
      </c>
      <c r="G22">
        <v>-13.81</v>
      </c>
      <c r="H22" s="1">
        <f>IF(ISNUMBER(Main_S[[#This Row],[Free CF]]),IF(Main_S[[#This Row],[Free CF]]&lt;&gt;0,Main_S[[#This Row],[Current Price]]/Main_S[[#This Row],[Free CF]],""),"")</f>
        <v>-12.695364238410598</v>
      </c>
      <c r="I22" s="1">
        <f>IF(ISNUMBER(Main_S[[#This Row],[BVPS]]),IF(Main_S[[#This Row],[BVPS]]&lt;&gt;0,Main_S[[#This Row],[Current Price]]/Main_S[[#This Row],[BVPS]],""),"")</f>
        <v>0.64167364016736406</v>
      </c>
      <c r="J22">
        <v>-16.04</v>
      </c>
      <c r="K22">
        <v>-2.62</v>
      </c>
      <c r="L22">
        <v>2.08</v>
      </c>
      <c r="M22" s="1">
        <f>IF(ISNUMBER(Main_S[[#This Row],[EPS]]),IF(Main_S[[#This Row],[EPS]]&lt;&gt;0,Main_S[[#This Row],[Current Price]]/Main_S[[#This Row],[EPS]],""),"")</f>
        <v>-2.7762490948587981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-1.2634733466850165</v>
      </c>
      <c r="P22" s="1">
        <f>(Main_S[[#This Row],[P/B]]-VLOOKUP(Main_S[[#This Row],[Industry]], Mean_PB_S, 2, FALSE))/(VLOOKUP(Main_S[[#This Row],[Industry]], Mean_PB_S, 3, FALSE))</f>
        <v>0.17309164832644022</v>
      </c>
      <c r="Q22" s="1">
        <f>(Main_S[[#This Row],[ROE]]-VLOOKUP(Main_S[[#This Row],[Industry]], Mean_ROE_S, 2, FALSE))/(VLOOKUP(Main_S[[#This Row],[Industry]], Mean_ROE_S, 3, FALSE))</f>
        <v>6.4728751105803339E-2</v>
      </c>
      <c r="R22" s="1">
        <f>(Main_S[[#This Row],[ROA]]-VLOOKUP(Main_S[[#This Row],[Industry]], Mean_ROA_S, 2, FALSE))/(VLOOKUP(Main_S[[#This Row],[Industry]], Mean_ROA_S, 3, FALSE))</f>
        <v>-0.93834456941272992</v>
      </c>
      <c r="S22" s="1">
        <f>(Main_S[[#This Row],[A/E]]-VLOOKUP(Main_S[[#This Row],[Industry]], Mean_AE_S, 2, FALSE))/(VLOOKUP(Main_S[[#This Row],[Industry]], Mean_AE_S, 3, FALSE))</f>
        <v>0.40241289683295028</v>
      </c>
      <c r="T22" s="1">
        <f>(Main_S[[#This Row],[P/E]]-VLOOKUP(Main_S[[#This Row],[Industry]], Mean_PE_S, 2, FALSE))/(VLOOKUP(Main_S[[#This Row],[Industry]], Mean_PE_S, 3, FALSE))</f>
        <v>-0.38898269807795144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t="s">
        <v>109</v>
      </c>
      <c r="B23" t="s">
        <v>283</v>
      </c>
      <c r="C23" s="2">
        <v>1529</v>
      </c>
      <c r="D23">
        <f>RTD("tos.rtd", , "LAST", Main_S[[#This Row],[Symbol]])</f>
        <v>11.5</v>
      </c>
      <c r="H23" s="1" t="str">
        <f>IF(ISNUMBER(Main_S[[#This Row],[Free CF]]),IF(Main_S[[#This Row],[Free CF]]&lt;&gt;0,Main_S[[#This Row],[Current Price]]/Main_S[[#This Row],[Free CF]],""),"")</f>
        <v/>
      </c>
      <c r="I23" s="1" t="str">
        <f>IF(ISNUMBER(Main_S[[#This Row],[BVPS]]),IF(Main_S[[#This Row],[BVPS]]&lt;&gt;0,Main_S[[#This Row],[Current Price]]/Main_S[[#This Row],[BVPS]],""),"")</f>
        <v/>
      </c>
      <c r="J23">
        <v>34.06</v>
      </c>
      <c r="K23">
        <v>17.54</v>
      </c>
      <c r="L23">
        <v>1.68</v>
      </c>
      <c r="M23" s="1" t="str">
        <f>IF(ISNUMBER(Main_S[[#This Row],[EPS]]),IF(Main_S[[#This Row],[EPS]]&lt;&gt;0,Main_S[[#This Row],[Current Price]]/Main_S[[#This Row],[EPS]],""),"")</f>
        <v/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 t="e">
        <f>(Main_S[[#This Row],[P/FCF]]-VLOOKUP(Main_S[[#This Row],[Industry]], Mean_PFCF_S, 2, FALSE))/(VLOOKUP(Main_S[[#This Row],[Industry]], Mean_PFCF_S, 3, FALSE))</f>
        <v>#VALUE!</v>
      </c>
      <c r="P23" s="1" t="e">
        <f>(Main_S[[#This Row],[P/B]]-VLOOKUP(Main_S[[#This Row],[Industry]], Mean_PB_S, 2, FALSE))/(VLOOKUP(Main_S[[#This Row],[Industry]], Mean_PB_S, 3, FALSE))</f>
        <v>#VALUE!</v>
      </c>
      <c r="Q23" s="1">
        <f>(Main_S[[#This Row],[ROE]]-VLOOKUP(Main_S[[#This Row],[Industry]], Mean_ROE_S, 2, FALSE))/(VLOOKUP(Main_S[[#This Row],[Industry]], Mean_ROE_S, 3, FALSE))</f>
        <v>1.937145912008811</v>
      </c>
      <c r="R23" s="1">
        <f>(Main_S[[#This Row],[ROA]]-VLOOKUP(Main_S[[#This Row],[Industry]], Mean_ROA_S, 2, FALSE))/(VLOOKUP(Main_S[[#This Row],[Industry]], Mean_ROA_S, 3, FALSE))</f>
        <v>5.0532180848618813</v>
      </c>
      <c r="S23" s="1">
        <f>(Main_S[[#This Row],[A/E]]-VLOOKUP(Main_S[[#This Row],[Industry]], Mean_AE_S, 2, FALSE))/(VLOOKUP(Main_S[[#This Row],[Industry]], Mean_AE_S, 3, FALSE))</f>
        <v>-0.13344771752354889</v>
      </c>
      <c r="T23" s="1" t="e">
        <f>(Main_S[[#This Row],[P/E]]-VLOOKUP(Main_S[[#This Row],[Industry]], Mean_PE_S, 2, FALSE))/(VLOOKUP(Main_S[[#This Row],[Industry]], Mean_PE_S, 3, FALSE))</f>
        <v>#VALUE!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4" spans="1:26" x14ac:dyDescent="0.25">
      <c r="A24" t="s">
        <v>109</v>
      </c>
      <c r="B24" t="s">
        <v>262</v>
      </c>
      <c r="C24" s="2">
        <v>1365</v>
      </c>
      <c r="D24">
        <f>RTD("tos.rtd", , "LAST", Main_S[[#This Row],[Symbol]])</f>
        <v>33.53</v>
      </c>
      <c r="E24">
        <v>5.3</v>
      </c>
      <c r="F24">
        <v>43.13</v>
      </c>
      <c r="G24">
        <v>1.76</v>
      </c>
      <c r="H24" s="1">
        <f>IF(ISNUMBER(Main_S[[#This Row],[Free CF]]),IF(Main_S[[#This Row],[Free CF]]&lt;&gt;0,Main_S[[#This Row],[Current Price]]/Main_S[[#This Row],[Free CF]],""),"")</f>
        <v>6.3264150943396231</v>
      </c>
      <c r="I24" s="1">
        <f>IF(ISNUMBER(Main_S[[#This Row],[BVPS]]),IF(Main_S[[#This Row],[BVPS]]&lt;&gt;0,Main_S[[#This Row],[Current Price]]/Main_S[[#This Row],[BVPS]],""),"")</f>
        <v>0.77741711105958733</v>
      </c>
      <c r="J24">
        <v>4.12</v>
      </c>
      <c r="K24">
        <v>3.39</v>
      </c>
      <c r="L24">
        <v>1.93</v>
      </c>
      <c r="M24" s="1">
        <f>IF(ISNUMBER(Main_S[[#This Row],[EPS]]),IF(Main_S[[#This Row],[EPS]]&lt;&gt;0,Main_S[[#This Row],[Current Price]]/Main_S[[#This Row],[EPS]],""),"")</f>
        <v>19.051136363636363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-0.54953470852873099</v>
      </c>
      <c r="P24" s="1">
        <f>(Main_S[[#This Row],[P/B]]-VLOOKUP(Main_S[[#This Row],[Industry]], Mean_PB_S, 2, FALSE))/(VLOOKUP(Main_S[[#This Row],[Industry]], Mean_PB_S, 3, FALSE))</f>
        <v>-0.74630235179619531</v>
      </c>
      <c r="Q24" s="1">
        <f>(Main_S[[#This Row],[ROE]]-VLOOKUP(Main_S[[#This Row],[Industry]], Mean_ROE_S, 2, FALSE))/(VLOOKUP(Main_S[[#This Row],[Industry]], Mean_ROE_S, 3, FALSE))</f>
        <v>3.1714758127943637E-2</v>
      </c>
      <c r="R24" s="1">
        <f>(Main_S[[#This Row],[ROA]]-VLOOKUP(Main_S[[#This Row],[Industry]], Mean_ROA_S, 2, FALSE))/(VLOOKUP(Main_S[[#This Row],[Industry]], Mean_ROA_S, 3, FALSE))</f>
        <v>0.30297487603971751</v>
      </c>
      <c r="S24" s="1">
        <f>(Main_S[[#This Row],[A/E]]-VLOOKUP(Main_S[[#This Row],[Industry]], Mean_AE_S, 2, FALSE))/(VLOOKUP(Main_S[[#This Row],[Industry]], Mean_AE_S, 3, FALSE))</f>
        <v>0.39505809445090129</v>
      </c>
      <c r="T24" s="1">
        <f>(Main_S[[#This Row],[P/E]]-VLOOKUP(Main_S[[#This Row],[Industry]], Mean_PE_S, 2, FALSE))/(VLOOKUP(Main_S[[#This Row],[Industry]], Mean_PE_S, 3, FALSE))</f>
        <v>9.3793475350209599E-2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t="s">
        <v>109</v>
      </c>
      <c r="B25" t="s">
        <v>255</v>
      </c>
      <c r="C25" s="2">
        <v>650</v>
      </c>
      <c r="D25">
        <f>RTD("tos.rtd", , "LAST", Main_S[[#This Row],[Symbol]])</f>
        <v>17.760000000000002</v>
      </c>
      <c r="E25">
        <v>0.06</v>
      </c>
      <c r="F25">
        <v>15.68</v>
      </c>
      <c r="G25">
        <v>1.0900000000000001</v>
      </c>
      <c r="H25" s="1">
        <f>IF(ISNUMBER(Main_S[[#This Row],[Free CF]]),IF(Main_S[[#This Row],[Free CF]]&lt;&gt;0,Main_S[[#This Row],[Current Price]]/Main_S[[#This Row],[Free CF]],""),"")</f>
        <v>296.00000000000006</v>
      </c>
      <c r="I25" s="1">
        <f>IF(ISNUMBER(Main_S[[#This Row],[BVPS]]),IF(Main_S[[#This Row],[BVPS]]&lt;&gt;0,Main_S[[#This Row],[Current Price]]/Main_S[[#This Row],[BVPS]],""),"")</f>
        <v>1.1326530612244898</v>
      </c>
      <c r="J25">
        <v>7.07</v>
      </c>
      <c r="K25">
        <v>3.75</v>
      </c>
      <c r="L25">
        <v>2.42</v>
      </c>
      <c r="M25" s="1">
        <f>IF(ISNUMBER(Main_S[[#This Row],[EPS]]),IF(Main_S[[#This Row],[EPS]]&lt;&gt;0,Main_S[[#This Row],[Current Price]]/Main_S[[#This Row],[EPS]],""),"")</f>
        <v>16.293577981651378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25.450323200217976</v>
      </c>
      <c r="P25" s="1">
        <f>(Main_S[[#This Row],[P/B]]-VLOOKUP(Main_S[[#This Row],[Industry]], Mean_PB_S, 2, FALSE))/(VLOOKUP(Main_S[[#This Row],[Industry]], Mean_PB_S, 3, FALSE))</f>
        <v>-0.44928313024222821</v>
      </c>
      <c r="Q25" s="1">
        <f>(Main_S[[#This Row],[ROE]]-VLOOKUP(Main_S[[#This Row],[Industry]], Mean_ROE_S, 2, FALSE))/(VLOOKUP(Main_S[[#This Row],[Industry]], Mean_ROE_S, 3, FALSE))</f>
        <v>0.21945764069135573</v>
      </c>
      <c r="R25" s="1">
        <f>(Main_S[[#This Row],[ROA]]-VLOOKUP(Main_S[[#This Row],[Industry]], Mean_ROA_S, 2, FALSE))/(VLOOKUP(Main_S[[#This Row],[Industry]], Mean_ROA_S, 3, FALSE))</f>
        <v>0.42382912022176544</v>
      </c>
      <c r="S25" s="1">
        <f>(Main_S[[#This Row],[A/E]]-VLOOKUP(Main_S[[#This Row],[Industry]], Mean_AE_S, 2, FALSE))/(VLOOKUP(Main_S[[#This Row],[Industry]], Mean_AE_S, 3, FALSE))</f>
        <v>1.4309294859208237</v>
      </c>
      <c r="T25" s="1">
        <f>(Main_S[[#This Row],[P/E]]-VLOOKUP(Main_S[[#This Row],[Industry]], Mean_PE_S, 2, FALSE))/(VLOOKUP(Main_S[[#This Row],[Industry]], Mean_PE_S, 3, FALSE))</f>
        <v>-6.0319901122519327E-3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t="s">
        <v>109</v>
      </c>
      <c r="B26" t="s">
        <v>249</v>
      </c>
      <c r="C26" s="2">
        <v>833</v>
      </c>
      <c r="D26">
        <f>RTD("tos.rtd", , "LAST", Main_S[[#This Row],[Symbol]])</f>
        <v>25.93</v>
      </c>
      <c r="E26">
        <v>2.12</v>
      </c>
      <c r="F26">
        <v>4.1399999999999997</v>
      </c>
      <c r="G26">
        <v>1.03</v>
      </c>
      <c r="H26" s="1">
        <f>IF(ISNUMBER(Main_S[[#This Row],[Free CF]]),IF(Main_S[[#This Row],[Free CF]]&lt;&gt;0,Main_S[[#This Row],[Current Price]]/Main_S[[#This Row],[Free CF]],""),"")</f>
        <v>12.231132075471697</v>
      </c>
      <c r="I26" s="1">
        <f>IF(ISNUMBER(Main_S[[#This Row],[BVPS]]),IF(Main_S[[#This Row],[BVPS]]&lt;&gt;0,Main_S[[#This Row],[Current Price]]/Main_S[[#This Row],[BVPS]],""),"")</f>
        <v>6.2632850241545901</v>
      </c>
      <c r="J26">
        <v>32.17</v>
      </c>
      <c r="K26">
        <v>15.6</v>
      </c>
      <c r="L26">
        <v>1.55</v>
      </c>
      <c r="M26" s="1">
        <f>IF(ISNUMBER(Main_S[[#This Row],[EPS]]),IF(Main_S[[#This Row],[EPS]]&lt;&gt;0,Main_S[[#This Row],[Current Price]]/Main_S[[#This Row],[EPS]],""),"")</f>
        <v>25.174757281553397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-1.9552651135420481E-2</v>
      </c>
      <c r="P26" s="1">
        <f>(Main_S[[#This Row],[P/B]]-VLOOKUP(Main_S[[#This Row],[Industry]], Mean_PB_S, 2, FALSE))/(VLOOKUP(Main_S[[#This Row],[Industry]], Mean_PB_S, 3, FALSE))</f>
        <v>3.8405313184418066</v>
      </c>
      <c r="Q26" s="1">
        <f>(Main_S[[#This Row],[ROE]]-VLOOKUP(Main_S[[#This Row],[Industry]], Mean_ROE_S, 2, FALSE))/(VLOOKUP(Main_S[[#This Row],[Industry]], Mean_ROE_S, 3, FALSE))</f>
        <v>1.8168631838580147</v>
      </c>
      <c r="R26" s="1">
        <f>(Main_S[[#This Row],[ROA]]-VLOOKUP(Main_S[[#This Row],[Industry]], Mean_ROA_S, 2, FALSE))/(VLOOKUP(Main_S[[#This Row],[Industry]], Mean_ROA_S, 3, FALSE))</f>
        <v>4.4019479912141781</v>
      </c>
      <c r="S26" s="1">
        <f>(Main_S[[#This Row],[A/E]]-VLOOKUP(Main_S[[#This Row],[Industry]], Mean_AE_S, 2, FALSE))/(VLOOKUP(Main_S[[#This Row],[Industry]], Mean_AE_S, 3, FALSE))</f>
        <v>-0.40827073975026273</v>
      </c>
      <c r="T26" s="1">
        <f>(Main_S[[#This Row],[P/E]]-VLOOKUP(Main_S[[#This Row],[Industry]], Mean_PE_S, 2, FALSE))/(VLOOKUP(Main_S[[#This Row],[Industry]], Mean_PE_S, 3, FALSE))</f>
        <v>0.31547266533229218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t="s">
        <v>109</v>
      </c>
      <c r="B27" t="s">
        <v>246</v>
      </c>
      <c r="C27" s="2">
        <v>751</v>
      </c>
      <c r="D27">
        <f>RTD("tos.rtd", , "LAST", Main_S[[#This Row],[Symbol]])</f>
        <v>16.63</v>
      </c>
      <c r="E27">
        <v>1.61</v>
      </c>
      <c r="F27">
        <v>21.18</v>
      </c>
      <c r="G27">
        <v>1.03</v>
      </c>
      <c r="H27" s="1">
        <f>IF(ISNUMBER(Main_S[[#This Row],[Free CF]]),IF(Main_S[[#This Row],[Free CF]]&lt;&gt;0,Main_S[[#This Row],[Current Price]]/Main_S[[#This Row],[Free CF]],""),"")</f>
        <v>10.329192546583849</v>
      </c>
      <c r="I27" s="1">
        <f>IF(ISNUMBER(Main_S[[#This Row],[BVPS]]),IF(Main_S[[#This Row],[BVPS]]&lt;&gt;0,Main_S[[#This Row],[Current Price]]/Main_S[[#This Row],[BVPS]],""),"")</f>
        <v>0.7851746931067044</v>
      </c>
      <c r="J27">
        <v>5.09</v>
      </c>
      <c r="K27">
        <v>1.34</v>
      </c>
      <c r="L27">
        <v>1.72</v>
      </c>
      <c r="M27" s="1">
        <f>IF(ISNUMBER(Main_S[[#This Row],[EPS]]),IF(Main_S[[#This Row],[EPS]]&lt;&gt;0,Main_S[[#This Row],[Current Price]]/Main_S[[#This Row],[EPS]],""),"")</f>
        <v>16.145631067961165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-0.19026258148069997</v>
      </c>
      <c r="P27" s="1">
        <f>(Main_S[[#This Row],[P/B]]-VLOOKUP(Main_S[[#This Row],[Industry]], Mean_PB_S, 2, FALSE))/(VLOOKUP(Main_S[[#This Row],[Industry]], Mean_PB_S, 3, FALSE))</f>
        <v>-0.73981609673190307</v>
      </c>
      <c r="Q27" s="1">
        <f>(Main_S[[#This Row],[ROE]]-VLOOKUP(Main_S[[#This Row],[Industry]], Mean_ROE_S, 2, FALSE))/(VLOOKUP(Main_S[[#This Row],[Industry]], Mean_ROE_S, 3, FALSE))</f>
        <v>9.3447163580997764E-2</v>
      </c>
      <c r="R27" s="1">
        <f>(Main_S[[#This Row],[ROA]]-VLOOKUP(Main_S[[#This Row],[Industry]], Mean_ROA_S, 2, FALSE))/(VLOOKUP(Main_S[[#This Row],[Industry]], Mean_ROA_S, 3, FALSE))</f>
        <v>-0.38522290333027803</v>
      </c>
      <c r="S27" s="1">
        <f>(Main_S[[#This Row],[A/E]]-VLOOKUP(Main_S[[#This Row],[Industry]], Mean_AE_S, 2, FALSE))/(VLOOKUP(Main_S[[#This Row],[Industry]], Mean_AE_S, 3, FALSE))</f>
        <v>-4.8886787607636775E-2</v>
      </c>
      <c r="T27" s="1">
        <f>(Main_S[[#This Row],[P/E]]-VLOOKUP(Main_S[[#This Row],[Industry]], Mean_PE_S, 2, FALSE))/(VLOOKUP(Main_S[[#This Row],[Industry]], Mean_PE_S, 3, FALSE))</f>
        <v>-1.1387767752117873E-2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t="s">
        <v>109</v>
      </c>
      <c r="B28" t="s">
        <v>261</v>
      </c>
      <c r="C28" s="2">
        <v>1087</v>
      </c>
      <c r="D28">
        <f>RTD("tos.rtd", , "LAST", Main_S[[#This Row],[Symbol]])</f>
        <v>6.8</v>
      </c>
      <c r="E28">
        <v>1.07</v>
      </c>
      <c r="F28">
        <v>4.6399999999999997</v>
      </c>
      <c r="G28">
        <v>0.77</v>
      </c>
      <c r="H28" s="1">
        <f>IF(ISNUMBER(Main_S[[#This Row],[Free CF]]),IF(Main_S[[#This Row],[Free CF]]&lt;&gt;0,Main_S[[#This Row],[Current Price]]/Main_S[[#This Row],[Free CF]],""),"")</f>
        <v>6.3551401869158877</v>
      </c>
      <c r="I28" s="1">
        <f>IF(ISNUMBER(Main_S[[#This Row],[BVPS]]),IF(Main_S[[#This Row],[BVPS]]&lt;&gt;0,Main_S[[#This Row],[Current Price]]/Main_S[[#This Row],[BVPS]],""),"")</f>
        <v>1.4655172413793105</v>
      </c>
      <c r="J28">
        <v>20.97</v>
      </c>
      <c r="K28">
        <v>10.33</v>
      </c>
      <c r="L28">
        <v>1.1200000000000001</v>
      </c>
      <c r="M28" s="1">
        <f>IF(ISNUMBER(Main_S[[#This Row],[EPS]]),IF(Main_S[[#This Row],[EPS]]&lt;&gt;0,Main_S[[#This Row],[Current Price]]/Main_S[[#This Row],[EPS]],""),"")</f>
        <v>8.8311688311688314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28" s="1">
        <f>(Main_S[[#This Row],[P/FCF]]-VLOOKUP(Main_S[[#This Row],[Industry]], Mean_PFCF_S, 2, FALSE))/(VLOOKUP(Main_S[[#This Row],[Industry]], Mean_PFCF_S, 3, FALSE))</f>
        <v>-0.54695646748669158</v>
      </c>
      <c r="P28" s="1">
        <f>(Main_S[[#This Row],[P/B]]-VLOOKUP(Main_S[[#This Row],[Industry]], Mean_PB_S, 2, FALSE))/(VLOOKUP(Main_S[[#This Row],[Industry]], Mean_PB_S, 3, FALSE))</f>
        <v>-0.17096935139498698</v>
      </c>
      <c r="Q28" s="1">
        <f>(Main_S[[#This Row],[ROE]]-VLOOKUP(Main_S[[#This Row],[Industry]], Mean_ROE_S, 2, FALSE))/(VLOOKUP(Main_S[[#This Row],[Industry]], Mean_ROE_S, 3, FALSE))</f>
        <v>1.1040766466681109</v>
      </c>
      <c r="R28" s="1">
        <f>(Main_S[[#This Row],[ROA]]-VLOOKUP(Main_S[[#This Row],[Industry]], Mean_ROA_S, 2, FALSE))/(VLOOKUP(Main_S[[#This Row],[Industry]], Mean_ROA_S, 3, FALSE))</f>
        <v>2.6327761388825315</v>
      </c>
      <c r="S28" s="1">
        <f>(Main_S[[#This Row],[A/E]]-VLOOKUP(Main_S[[#This Row],[Industry]], Mean_AE_S, 2, FALSE))/(VLOOKUP(Main_S[[#This Row],[Industry]], Mean_AE_S, 3, FALSE))</f>
        <v>-1.3173007363463169</v>
      </c>
      <c r="T28" s="1">
        <f>(Main_S[[#This Row],[P/E]]-VLOOKUP(Main_S[[#This Row],[Industry]], Mean_PE_S, 2, FALSE))/(VLOOKUP(Main_S[[#This Row],[Industry]], Mean_PE_S, 3, FALSE))</f>
        <v>-0.27617621327173403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" spans="1:26" x14ac:dyDescent="0.25">
      <c r="A29" t="s">
        <v>109</v>
      </c>
      <c r="B29" t="s">
        <v>253</v>
      </c>
      <c r="C29" s="2">
        <v>975</v>
      </c>
      <c r="D29">
        <f>RTD("tos.rtd", , "LAST", Main_S[[#This Row],[Symbol]])</f>
        <v>8.06</v>
      </c>
      <c r="E29">
        <v>1</v>
      </c>
      <c r="F29">
        <v>9.39</v>
      </c>
      <c r="G29">
        <v>0.76</v>
      </c>
      <c r="H29" s="1">
        <f>IF(ISNUMBER(Main_S[[#This Row],[Free CF]]),IF(Main_S[[#This Row],[Free CF]]&lt;&gt;0,Main_S[[#This Row],[Current Price]]/Main_S[[#This Row],[Free CF]],""),"")</f>
        <v>8.06</v>
      </c>
      <c r="I29" s="1">
        <f>IF(ISNUMBER(Main_S[[#This Row],[BVPS]]),IF(Main_S[[#This Row],[BVPS]]&lt;&gt;0,Main_S[[#This Row],[Current Price]]/Main_S[[#This Row],[BVPS]],""),"")</f>
        <v>0.85835995740149096</v>
      </c>
      <c r="J29">
        <v>8.8800000000000008</v>
      </c>
      <c r="K29">
        <v>5.54</v>
      </c>
      <c r="L29">
        <v>1.63</v>
      </c>
      <c r="M29" s="1">
        <f>IF(ISNUMBER(Main_S[[#This Row],[EPS]]),IF(Main_S[[#This Row],[EPS]]&lt;&gt;0,Main_S[[#This Row],[Current Price]]/Main_S[[#This Row],[EPS]],""),"")</f>
        <v>10.605263157894738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-0.39393556670640351</v>
      </c>
      <c r="P29" s="1">
        <f>(Main_S[[#This Row],[P/B]]-VLOOKUP(Main_S[[#This Row],[Industry]], Mean_PB_S, 2, FALSE))/(VLOOKUP(Main_S[[#This Row],[Industry]], Mean_PB_S, 3, FALSE))</f>
        <v>-0.67862456974830754</v>
      </c>
      <c r="Q29" s="1">
        <f>(Main_S[[#This Row],[ROE]]-VLOOKUP(Main_S[[#This Row],[Industry]], Mean_ROE_S, 2, FALSE))/(VLOOKUP(Main_S[[#This Row],[Industry]], Mean_ROE_S, 3, FALSE))</f>
        <v>0.33464903643365274</v>
      </c>
      <c r="R29" s="1">
        <f>(Main_S[[#This Row],[ROA]]-VLOOKUP(Main_S[[#This Row],[Industry]], Mean_ROA_S, 2, FALSE))/(VLOOKUP(Main_S[[#This Row],[Industry]], Mean_ROA_S, 3, FALSE))</f>
        <v>1.0247432787936153</v>
      </c>
      <c r="S29" s="1">
        <f>(Main_S[[#This Row],[A/E]]-VLOOKUP(Main_S[[#This Row],[Industry]], Mean_AE_S, 2, FALSE))/(VLOOKUP(Main_S[[#This Row],[Industry]], Mean_AE_S, 3, FALSE))</f>
        <v>-0.239148879918439</v>
      </c>
      <c r="T29" s="1">
        <f>(Main_S[[#This Row],[P/E]]-VLOOKUP(Main_S[[#This Row],[Industry]], Mean_PE_S, 2, FALSE))/(VLOOKUP(Main_S[[#This Row],[Industry]], Mean_PE_S, 3, FALSE))</f>
        <v>-0.21195280712493711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t="s">
        <v>109</v>
      </c>
      <c r="B30" t="s">
        <v>248</v>
      </c>
      <c r="C30" s="2">
        <v>645</v>
      </c>
      <c r="D30">
        <f>RTD("tos.rtd", , "LAST", Main_S[[#This Row],[Symbol]])</f>
        <v>10.56</v>
      </c>
      <c r="E30">
        <v>1.9</v>
      </c>
      <c r="F30">
        <v>7.69</v>
      </c>
      <c r="G30">
        <v>0.69</v>
      </c>
      <c r="H30" s="1">
        <f>IF(ISNUMBER(Main_S[[#This Row],[Free CF]]),IF(Main_S[[#This Row],[Free CF]]&lt;&gt;0,Main_S[[#This Row],[Current Price]]/Main_S[[#This Row],[Free CF]],""),"")</f>
        <v>5.5578947368421057</v>
      </c>
      <c r="I30" s="1">
        <f>IF(ISNUMBER(Main_S[[#This Row],[BVPS]]),IF(Main_S[[#This Row],[BVPS]]&lt;&gt;0,Main_S[[#This Row],[Current Price]]/Main_S[[#This Row],[BVPS]],""),"")</f>
        <v>1.3732119635890767</v>
      </c>
      <c r="J30">
        <v>9.35</v>
      </c>
      <c r="K30">
        <v>2.66</v>
      </c>
      <c r="L30">
        <v>2.21</v>
      </c>
      <c r="M30" s="1">
        <f>IF(ISNUMBER(Main_S[[#This Row],[EPS]]),IF(Main_S[[#This Row],[EPS]]&lt;&gt;0,Main_S[[#This Row],[Current Price]]/Main_S[[#This Row],[EPS]],""),"")</f>
        <v>15.304347826086959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-0.61851379787656413</v>
      </c>
      <c r="P30" s="1">
        <f>(Main_S[[#This Row],[P/B]]-VLOOKUP(Main_S[[#This Row],[Industry]], Mean_PB_S, 2, FALSE))/(VLOOKUP(Main_S[[#This Row],[Industry]], Mean_PB_S, 3, FALSE))</f>
        <v>-0.24814746847984581</v>
      </c>
      <c r="Q30" s="1">
        <f>(Main_S[[#This Row],[ROE]]-VLOOKUP(Main_S[[#This Row],[Industry]], Mean_ROE_S, 2, FALSE))/(VLOOKUP(Main_S[[#This Row],[Industry]], Mean_ROE_S, 3, FALSE))</f>
        <v>0.36456061433358611</v>
      </c>
      <c r="R30" s="1">
        <f>(Main_S[[#This Row],[ROA]]-VLOOKUP(Main_S[[#This Row],[Industry]], Mean_ROA_S, 2, FALSE))/(VLOOKUP(Main_S[[#This Row],[Industry]], Mean_ROA_S, 3, FALSE))</f>
        <v>5.7909325337231289E-2</v>
      </c>
      <c r="S30" s="1">
        <f>(Main_S[[#This Row],[A/E]]-VLOOKUP(Main_S[[#This Row],[Industry]], Mean_AE_S, 2, FALSE))/(VLOOKUP(Main_S[[#This Row],[Industry]], Mean_AE_S, 3, FALSE))</f>
        <v>0.98698460386228559</v>
      </c>
      <c r="T30" s="1">
        <f>(Main_S[[#This Row],[P/E]]-VLOOKUP(Main_S[[#This Row],[Industry]], Mean_PE_S, 2, FALSE))/(VLOOKUP(Main_S[[#This Row],[Industry]], Mean_PE_S, 3, FALSE))</f>
        <v>-4.1842786131604914E-2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t="s">
        <v>109</v>
      </c>
      <c r="B31" t="s">
        <v>257</v>
      </c>
      <c r="C31" s="2">
        <v>1682</v>
      </c>
      <c r="D31">
        <f>RTD("tos.rtd", , "LAST", Main_S[[#This Row],[Symbol]])</f>
        <v>14.27</v>
      </c>
      <c r="E31">
        <v>0.21</v>
      </c>
      <c r="F31">
        <v>4.53</v>
      </c>
      <c r="G31">
        <v>0.37</v>
      </c>
      <c r="H31" s="1">
        <f>IF(ISNUMBER(Main_S[[#This Row],[Free CF]]),IF(Main_S[[#This Row],[Free CF]]&lt;&gt;0,Main_S[[#This Row],[Current Price]]/Main_S[[#This Row],[Free CF]],""),"")</f>
        <v>67.952380952380949</v>
      </c>
      <c r="I31" s="1">
        <f>IF(ISNUMBER(Main_S[[#This Row],[BVPS]]),IF(Main_S[[#This Row],[BVPS]]&lt;&gt;0,Main_S[[#This Row],[Current Price]]/Main_S[[#This Row],[BVPS]],""),"")</f>
        <v>3.1501103752759381</v>
      </c>
      <c r="J31">
        <v>7.22</v>
      </c>
      <c r="K31">
        <v>2.78</v>
      </c>
      <c r="L31">
        <v>4.29</v>
      </c>
      <c r="M31" s="1">
        <f>IF(ISNUMBER(Main_S[[#This Row],[EPS]]),IF(Main_S[[#This Row],[EPS]]&lt;&gt;0,Main_S[[#This Row],[Current Price]]/Main_S[[#This Row],[EPS]],""),"")</f>
        <v>38.567567567567565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4.9817475322049871</v>
      </c>
      <c r="P31" s="1">
        <f>(Main_S[[#This Row],[P/B]]-VLOOKUP(Main_S[[#This Row],[Industry]], Mean_PB_S, 2, FALSE))/(VLOOKUP(Main_S[[#This Row],[Industry]], Mean_PB_S, 3, FALSE))</f>
        <v>1.237549524672781</v>
      </c>
      <c r="Q31" s="1">
        <f>(Main_S[[#This Row],[ROE]]-VLOOKUP(Main_S[[#This Row],[Industry]], Mean_ROE_S, 2, FALSE))/(VLOOKUP(Main_S[[#This Row],[Industry]], Mean_ROE_S, 3, FALSE))</f>
        <v>0.22900388895729193</v>
      </c>
      <c r="R31" s="1">
        <f>(Main_S[[#This Row],[ROA]]-VLOOKUP(Main_S[[#This Row],[Industry]], Mean_ROA_S, 2, FALSE))/(VLOOKUP(Main_S[[#This Row],[Industry]], Mean_ROA_S, 3, FALSE))</f>
        <v>9.8194073397913847E-2</v>
      </c>
      <c r="S31" s="1">
        <f>(Main_S[[#This Row],[A/E]]-VLOOKUP(Main_S[[#This Row],[Industry]], Mean_AE_S, 2, FALSE))/(VLOOKUP(Main_S[[#This Row],[Industry]], Mean_AE_S, 3, FALSE))</f>
        <v>5.3841529594897111</v>
      </c>
      <c r="T31" s="1">
        <f>(Main_S[[#This Row],[P/E]]-VLOOKUP(Main_S[[#This Row],[Industry]], Mean_PE_S, 2, FALSE))/(VLOOKUP(Main_S[[#This Row],[Industry]], Mean_PE_S, 3, FALSE))</f>
        <v>0.8003013925810073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2" spans="1:26" x14ac:dyDescent="0.25">
      <c r="A32" t="s">
        <v>109</v>
      </c>
      <c r="B32" t="s">
        <v>252</v>
      </c>
      <c r="C32" s="2">
        <v>570</v>
      </c>
      <c r="D32">
        <f>RTD("tos.rtd", , "LAST", Main_S[[#This Row],[Symbol]])</f>
        <v>10.79</v>
      </c>
      <c r="E32">
        <v>1.23</v>
      </c>
      <c r="F32">
        <v>0.14000000000000001</v>
      </c>
      <c r="G32">
        <v>0.28000000000000003</v>
      </c>
      <c r="H32" s="1">
        <f>IF(ISNUMBER(Main_S[[#This Row],[Free CF]]),IF(Main_S[[#This Row],[Free CF]]&lt;&gt;0,Main_S[[#This Row],[Current Price]]/Main_S[[#This Row],[Free CF]],""),"")</f>
        <v>8.772357723577235</v>
      </c>
      <c r="I32" s="1">
        <f>IF(ISNUMBER(Main_S[[#This Row],[BVPS]]),IF(Main_S[[#This Row],[BVPS]]&lt;&gt;0,Main_S[[#This Row],[Current Price]]/Main_S[[#This Row],[BVPS]],""),"")</f>
        <v>77.071428571428555</v>
      </c>
      <c r="J32">
        <v>-32.58</v>
      </c>
      <c r="K32">
        <v>22.51</v>
      </c>
      <c r="L32">
        <v>30.3</v>
      </c>
      <c r="M32" s="1">
        <f>IF(ISNUMBER(Main_S[[#This Row],[EPS]]),IF(Main_S[[#This Row],[EPS]]&lt;&gt;0,Main_S[[#This Row],[Current Price]]/Main_S[[#This Row],[EPS]],""),"")</f>
        <v>38.535714285714278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-0.32999739436929426</v>
      </c>
      <c r="P32" s="1">
        <f>(Main_S[[#This Row],[P/B]]-VLOOKUP(Main_S[[#This Row],[Industry]], Mean_PB_S, 2, FALSE))/(VLOOKUP(Main_S[[#This Row],[Industry]], Mean_PB_S, 3, FALSE))</f>
        <v>63.044504526474341</v>
      </c>
      <c r="Q32" s="1">
        <f>(Main_S[[#This Row],[ROE]]-VLOOKUP(Main_S[[#This Row],[Industry]], Mean_ROE_S, 2, FALSE))/(VLOOKUP(Main_S[[#This Row],[Industry]], Mean_ROE_S, 3, FALSE))</f>
        <v>-2.3039339842711155</v>
      </c>
      <c r="R32" s="1">
        <f>(Main_S[[#This Row],[ROA]]-VLOOKUP(Main_S[[#This Row],[Industry]], Mean_ROA_S, 2, FALSE))/(VLOOKUP(Main_S[[#This Row],[Industry]], Mean_ROA_S, 3, FALSE))</f>
        <v>6.7216780670418226</v>
      </c>
      <c r="S32" s="1">
        <f>(Main_S[[#This Row],[A/E]]-VLOOKUP(Main_S[[#This Row],[Industry]], Mean_AE_S, 2, FALSE))/(VLOOKUP(Main_S[[#This Row],[Industry]], Mean_AE_S, 3, FALSE))</f>
        <v>60.36989763731151</v>
      </c>
      <c r="T32" s="1">
        <f>(Main_S[[#This Row],[P/E]]-VLOOKUP(Main_S[[#This Row],[Industry]], Mean_PE_S, 2, FALSE))/(VLOOKUP(Main_S[[#This Row],[Industry]], Mean_PE_S, 3, FALSE))</f>
        <v>0.79914828238457969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t="s">
        <v>109</v>
      </c>
      <c r="B33" t="s">
        <v>259</v>
      </c>
      <c r="C33" s="2">
        <v>718</v>
      </c>
      <c r="D33">
        <f>RTD("tos.rtd", , "LAST", Main_S[[#This Row],[Symbol]])</f>
        <v>4.59</v>
      </c>
      <c r="E33">
        <v>0.28999999999999998</v>
      </c>
      <c r="F33">
        <v>2.33</v>
      </c>
      <c r="G33">
        <v>0.1</v>
      </c>
      <c r="H33" s="1">
        <f>IF(ISNUMBER(Main_S[[#This Row],[Free CF]]),IF(Main_S[[#This Row],[Free CF]]&lt;&gt;0,Main_S[[#This Row],[Current Price]]/Main_S[[#This Row],[Free CF]],""),"")</f>
        <v>15.827586206896552</v>
      </c>
      <c r="I33" s="1">
        <f>IF(ISNUMBER(Main_S[[#This Row],[BVPS]]),IF(Main_S[[#This Row],[BVPS]]&lt;&gt;0,Main_S[[#This Row],[Current Price]]/Main_S[[#This Row],[BVPS]],""),"")</f>
        <v>1.9699570815450642</v>
      </c>
      <c r="J33">
        <v>4.3899999999999997</v>
      </c>
      <c r="K33">
        <v>1.17</v>
      </c>
      <c r="L33">
        <v>1.58</v>
      </c>
      <c r="M33" s="1">
        <f>IF(ISNUMBER(Main_S[[#This Row],[EPS]]),IF(Main_S[[#This Row],[EPS]]&lt;&gt;0,Main_S[[#This Row],[Current Price]]/Main_S[[#This Row],[EPS]],""),"")</f>
        <v>45.9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0.30324963828570262</v>
      </c>
      <c r="P33" s="1">
        <f>(Main_S[[#This Row],[P/B]]-VLOOKUP(Main_S[[#This Row],[Industry]], Mean_PB_S, 2, FALSE))/(VLOOKUP(Main_S[[#This Row],[Industry]], Mean_PB_S, 3, FALSE))</f>
        <v>0.25080194899645314</v>
      </c>
      <c r="Q33" s="1">
        <f>(Main_S[[#This Row],[ROE]]-VLOOKUP(Main_S[[#This Row],[Industry]], Mean_ROE_S, 2, FALSE))/(VLOOKUP(Main_S[[#This Row],[Industry]], Mean_ROE_S, 3, FALSE))</f>
        <v>4.8898005006628782E-2</v>
      </c>
      <c r="R33" s="1">
        <f>(Main_S[[#This Row],[ROA]]-VLOOKUP(Main_S[[#This Row],[Industry]], Mean_ROA_S, 2, FALSE))/(VLOOKUP(Main_S[[#This Row],[Industry]], Mean_ROA_S, 3, FALSE))</f>
        <v>-0.44229296308291188</v>
      </c>
      <c r="S33" s="1">
        <f>(Main_S[[#This Row],[A/E]]-VLOOKUP(Main_S[[#This Row],[Industry]], Mean_AE_S, 2, FALSE))/(VLOOKUP(Main_S[[#This Row],[Industry]], Mean_AE_S, 3, FALSE))</f>
        <v>-0.34485004231332866</v>
      </c>
      <c r="T33" s="1">
        <f>(Main_S[[#This Row],[P/E]]-VLOOKUP(Main_S[[#This Row],[Industry]], Mean_PE_S, 2, FALSE))/(VLOOKUP(Main_S[[#This Row],[Industry]], Mean_PE_S, 3, FALSE))</f>
        <v>1.0657403712519591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t="s">
        <v>109</v>
      </c>
      <c r="B34" t="s">
        <v>260</v>
      </c>
      <c r="C34" s="2">
        <v>1169</v>
      </c>
      <c r="D34">
        <f>RTD("tos.rtd", , "LAST", Main_S[[#This Row],[Symbol]])</f>
        <v>6.58</v>
      </c>
      <c r="E34">
        <v>0.16</v>
      </c>
      <c r="F34">
        <v>1.35</v>
      </c>
      <c r="G34">
        <v>7.0000000000000007E-2</v>
      </c>
      <c r="H34" s="1">
        <f>IF(ISNUMBER(Main_S[[#This Row],[Free CF]]),IF(Main_S[[#This Row],[Free CF]]&lt;&gt;0,Main_S[[#This Row],[Current Price]]/Main_S[[#This Row],[Free CF]],""),"")</f>
        <v>41.125</v>
      </c>
      <c r="I34" s="1">
        <f>IF(ISNUMBER(Main_S[[#This Row],[BVPS]]),IF(Main_S[[#This Row],[BVPS]]&lt;&gt;0,Main_S[[#This Row],[Current Price]]/Main_S[[#This Row],[BVPS]],""),"")</f>
        <v>4.8740740740740742</v>
      </c>
      <c r="J34">
        <v>5.61</v>
      </c>
      <c r="K34">
        <v>2.21</v>
      </c>
      <c r="L34">
        <v>1.45</v>
      </c>
      <c r="M34" s="1">
        <f>IF(ISNUMBER(Main_S[[#This Row],[EPS]]),IF(Main_S[[#This Row],[EPS]]&lt;&gt;0,Main_S[[#This Row],[Current Price]]/Main_S[[#This Row],[EPS]],""),"")</f>
        <v>93.999999999999986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2.5738369419007867</v>
      </c>
      <c r="P34" s="1">
        <f>(Main_S[[#This Row],[P/B]]-VLOOKUP(Main_S[[#This Row],[Industry]], Mean_PB_S, 2, FALSE))/(VLOOKUP(Main_S[[#This Row],[Industry]], Mean_PB_S, 3, FALSE))</f>
        <v>2.6789868441969551</v>
      </c>
      <c r="Q34" s="1">
        <f>(Main_S[[#This Row],[ROE]]-VLOOKUP(Main_S[[#This Row],[Industry]], Mean_ROE_S, 2, FALSE))/(VLOOKUP(Main_S[[#This Row],[Industry]], Mean_ROE_S, 3, FALSE))</f>
        <v>0.12654082423624333</v>
      </c>
      <c r="R34" s="1">
        <f>(Main_S[[#This Row],[ROA]]-VLOOKUP(Main_S[[#This Row],[Industry]], Mean_ROA_S, 2, FALSE))/(VLOOKUP(Main_S[[#This Row],[Industry]], Mean_ROA_S, 3, FALSE))</f>
        <v>-9.3158479890328771E-2</v>
      </c>
      <c r="S34" s="1">
        <f>(Main_S[[#This Row],[A/E]]-VLOOKUP(Main_S[[#This Row],[Industry]], Mean_AE_S, 2, FALSE))/(VLOOKUP(Main_S[[#This Row],[Industry]], Mean_AE_S, 3, FALSE))</f>
        <v>-0.61967306454004301</v>
      </c>
      <c r="T34" s="1">
        <f>(Main_S[[#This Row],[P/E]]-VLOOKUP(Main_S[[#This Row],[Industry]], Mean_PE_S, 2, FALSE))/(VLOOKUP(Main_S[[#This Row],[Industry]], Mean_PE_S, 3, FALSE))</f>
        <v>2.806992676230553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5" spans="1:26" x14ac:dyDescent="0.25">
      <c r="A35" t="s">
        <v>109</v>
      </c>
      <c r="B35" t="s">
        <v>256</v>
      </c>
      <c r="C35" s="2">
        <v>1189</v>
      </c>
      <c r="D35">
        <f>RTD("tos.rtd", , "LAST", Main_S[[#This Row],[Symbol]])</f>
        <v>3.61</v>
      </c>
      <c r="E35">
        <v>0.46</v>
      </c>
      <c r="F35">
        <v>3.11</v>
      </c>
      <c r="G35">
        <v>0.04</v>
      </c>
      <c r="H35" s="1">
        <f>IF(ISNUMBER(Main_S[[#This Row],[Free CF]]),IF(Main_S[[#This Row],[Free CF]]&lt;&gt;0,Main_S[[#This Row],[Current Price]]/Main_S[[#This Row],[Free CF]],""),"")</f>
        <v>7.8478260869565215</v>
      </c>
      <c r="I35" s="1">
        <f>IF(ISNUMBER(Main_S[[#This Row],[BVPS]]),IF(Main_S[[#This Row],[BVPS]]&lt;&gt;0,Main_S[[#This Row],[Current Price]]/Main_S[[#This Row],[BVPS]],""),"")</f>
        <v>1.1607717041800643</v>
      </c>
      <c r="J35">
        <v>1.35</v>
      </c>
      <c r="K35">
        <v>1.43</v>
      </c>
      <c r="L35">
        <v>1.64</v>
      </c>
      <c r="M35" s="1">
        <f>IF(ISNUMBER(Main_S[[#This Row],[EPS]]),IF(Main_S[[#This Row],[EPS]]&lt;&gt;0,Main_S[[#This Row],[Current Price]]/Main_S[[#This Row],[EPS]],""),"")</f>
        <v>90.25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-0.41297938664210743</v>
      </c>
      <c r="P35" s="1">
        <f>(Main_S[[#This Row],[P/B]]-VLOOKUP(Main_S[[#This Row],[Industry]], Mean_PB_S, 2, FALSE))/(VLOOKUP(Main_S[[#This Row],[Industry]], Mean_PB_S, 3, FALSE))</f>
        <v>-0.4257726228233093</v>
      </c>
      <c r="Q35" s="1">
        <f>(Main_S[[#This Row],[ROE]]-VLOOKUP(Main_S[[#This Row],[Industry]], Mean_ROE_S, 2, FALSE))/(VLOOKUP(Main_S[[#This Row],[Industry]], Mean_ROE_S, 3, FALSE))</f>
        <v>-0.144572626516345</v>
      </c>
      <c r="R35" s="1">
        <f>(Main_S[[#This Row],[ROA]]-VLOOKUP(Main_S[[#This Row],[Industry]], Mean_ROA_S, 2, FALSE))/(VLOOKUP(Main_S[[#This Row],[Industry]], Mean_ROA_S, 3, FALSE))</f>
        <v>-0.35500934228476611</v>
      </c>
      <c r="S35" s="1">
        <f>(Main_S[[#This Row],[A/E]]-VLOOKUP(Main_S[[#This Row],[Industry]], Mean_AE_S, 2, FALSE))/(VLOOKUP(Main_S[[#This Row],[Industry]], Mean_AE_S, 3, FALSE))</f>
        <v>-0.218008647439461</v>
      </c>
      <c r="T35" s="1">
        <f>(Main_S[[#This Row],[P/E]]-VLOOKUP(Main_S[[#This Row],[Industry]], Mean_PE_S, 2, FALSE))/(VLOOKUP(Main_S[[#This Row],[Industry]], Mean_PE_S, 3, FALSE))</f>
        <v>2.6712401576511415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t="s">
        <v>109</v>
      </c>
      <c r="B36" t="s">
        <v>254</v>
      </c>
      <c r="C36" s="2">
        <v>870</v>
      </c>
      <c r="D36">
        <f>RTD("tos.rtd", , "LAST", Main_S[[#This Row],[Symbol]])</f>
        <v>16.05</v>
      </c>
      <c r="E36">
        <v>1.06</v>
      </c>
      <c r="F36">
        <v>4.1399999999999997</v>
      </c>
      <c r="G36">
        <v>-0.01</v>
      </c>
      <c r="H36" s="1">
        <f>IF(ISNUMBER(Main_S[[#This Row],[Free CF]]),IF(Main_S[[#This Row],[Free CF]]&lt;&gt;0,Main_S[[#This Row],[Current Price]]/Main_S[[#This Row],[Free CF]],""),"")</f>
        <v>15.141509433962264</v>
      </c>
      <c r="I36" s="1">
        <f>IF(ISNUMBER(Main_S[[#This Row],[BVPS]]),IF(Main_S[[#This Row],[BVPS]]&lt;&gt;0,Main_S[[#This Row],[Current Price]]/Main_S[[#This Row],[BVPS]],""),"")</f>
        <v>3.8768115942028989</v>
      </c>
      <c r="J36">
        <v>-0.28999999999999998</v>
      </c>
      <c r="K36">
        <v>0.14000000000000001</v>
      </c>
      <c r="L36">
        <v>1.77</v>
      </c>
      <c r="M36" s="1">
        <f>IF(ISNUMBER(Main_S[[#This Row],[EPS]]),IF(Main_S[[#This Row],[EPS]]&lt;&gt;0,Main_S[[#This Row],[Current Price]]/Main_S[[#This Row],[EPS]],""),"")</f>
        <v>-1605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0.24167033129921192</v>
      </c>
      <c r="P36" s="1">
        <f>(Main_S[[#This Row],[P/B]]-VLOOKUP(Main_S[[#This Row],[Industry]], Mean_PB_S, 2, FALSE))/(VLOOKUP(Main_S[[#This Row],[Industry]], Mean_PB_S, 3, FALSE))</f>
        <v>1.8451575954432331</v>
      </c>
      <c r="Q36" s="1">
        <f>(Main_S[[#This Row],[ROE]]-VLOOKUP(Main_S[[#This Row],[Industry]], Mean_ROE_S, 2, FALSE))/(VLOOKUP(Main_S[[#This Row],[Industry]], Mean_ROE_S, 3, FALSE))</f>
        <v>-0.24894494089058089</v>
      </c>
      <c r="R36" s="1">
        <f>(Main_S[[#This Row],[ROA]]-VLOOKUP(Main_S[[#This Row],[Industry]], Mean_ROA_S, 2, FALSE))/(VLOOKUP(Main_S[[#This Row],[Industry]], Mean_ROA_S, 3, FALSE))</f>
        <v>-0.78807038393710471</v>
      </c>
      <c r="S36" s="1">
        <f>(Main_S[[#This Row],[A/E]]-VLOOKUP(Main_S[[#This Row],[Industry]], Mean_AE_S, 2, FALSE))/(VLOOKUP(Main_S[[#This Row],[Industry]], Mean_AE_S, 3, FALSE))</f>
        <v>5.6814374787253361E-2</v>
      </c>
      <c r="T36" s="1">
        <f>(Main_S[[#This Row],[P/E]]-VLOOKUP(Main_S[[#This Row],[Industry]], Mean_PE_S, 2, FALSE))/(VLOOKUP(Main_S[[#This Row],[Industry]], Mean_PE_S, 3, FALSE))</f>
        <v>-58.697948408148491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7" spans="1:26" x14ac:dyDescent="0.25">
      <c r="A37" t="s">
        <v>109</v>
      </c>
      <c r="B37" t="s">
        <v>263</v>
      </c>
      <c r="C37" s="2">
        <v>337</v>
      </c>
      <c r="D37">
        <f>RTD("tos.rtd", , "LAST", Main_S[[#This Row],[Symbol]])</f>
        <v>4.01</v>
      </c>
      <c r="E37">
        <v>-0.43</v>
      </c>
      <c r="F37">
        <v>6.92</v>
      </c>
      <c r="G37">
        <v>-0.03</v>
      </c>
      <c r="H37" s="1">
        <f>IF(ISNUMBER(Main_S[[#This Row],[Free CF]]),IF(Main_S[[#This Row],[Free CF]]&lt;&gt;0,Main_S[[#This Row],[Current Price]]/Main_S[[#This Row],[Free CF]],""),"")</f>
        <v>-9.325581395348836</v>
      </c>
      <c r="I37" s="1">
        <f>IF(ISNUMBER(Main_S[[#This Row],[BVPS]]),IF(Main_S[[#This Row],[BVPS]]&lt;&gt;0,Main_S[[#This Row],[Current Price]]/Main_S[[#This Row],[BVPS]],""),"")</f>
        <v>0.57947976878612717</v>
      </c>
      <c r="J37">
        <v>-0.31</v>
      </c>
      <c r="K37">
        <v>-3.16</v>
      </c>
      <c r="L37">
        <v>1.39</v>
      </c>
      <c r="M37" s="1">
        <f>IF(ISNUMBER(Main_S[[#This Row],[EPS]]),IF(Main_S[[#This Row],[EPS]]&lt;&gt;0,Main_S[[#This Row],[Current Price]]/Main_S[[#This Row],[EPS]],""),"")</f>
        <v>-133.66666666666666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-1.9543907462397141</v>
      </c>
      <c r="P37" s="1">
        <f>(Main_S[[#This Row],[P/B]]-VLOOKUP(Main_S[[#This Row],[Industry]], Mean_PB_S, 2, FALSE))/(VLOOKUP(Main_S[[#This Row],[Industry]], Mean_PB_S, 3, FALSE))</f>
        <v>-0.91180135405436513</v>
      </c>
      <c r="Q37" s="1">
        <f>(Main_S[[#This Row],[ROE]]-VLOOKUP(Main_S[[#This Row],[Industry]], Mean_ROE_S, 2, FALSE))/(VLOOKUP(Main_S[[#This Row],[Industry]], Mean_ROE_S, 3, FALSE))</f>
        <v>-0.25021777399270573</v>
      </c>
      <c r="R37" s="1">
        <f>(Main_S[[#This Row],[ROA]]-VLOOKUP(Main_S[[#This Row],[Industry]], Mean_ROA_S, 2, FALSE))/(VLOOKUP(Main_S[[#This Row],[Industry]], Mean_ROA_S, 3, FALSE))</f>
        <v>-1.8959009556058783</v>
      </c>
      <c r="S37" s="1">
        <f>(Main_S[[#This Row],[A/E]]-VLOOKUP(Main_S[[#This Row],[Industry]], Mean_AE_S, 2, FALSE))/(VLOOKUP(Main_S[[#This Row],[Industry]], Mean_AE_S, 3, FALSE))</f>
        <v>-0.74651445941391115</v>
      </c>
      <c r="T37" s="1">
        <f>(Main_S[[#This Row],[P/E]]-VLOOKUP(Main_S[[#This Row],[Industry]], Mean_PE_S, 2, FALSE))/(VLOOKUP(Main_S[[#This Row],[Industry]], Mean_PE_S, 3, FALSE))</f>
        <v>-5.4346935628573192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8" spans="1:26" x14ac:dyDescent="0.25">
      <c r="A38" t="s">
        <v>109</v>
      </c>
      <c r="B38" t="s">
        <v>250</v>
      </c>
      <c r="C38" s="2">
        <v>736</v>
      </c>
      <c r="D38">
        <f>RTD("tos.rtd", , "LAST", Main_S[[#This Row],[Symbol]])</f>
        <v>1.63</v>
      </c>
      <c r="E38">
        <v>0.13</v>
      </c>
      <c r="F38">
        <v>1.43</v>
      </c>
      <c r="G38">
        <v>-0.19</v>
      </c>
      <c r="H38" s="1">
        <f>IF(ISNUMBER(Main_S[[#This Row],[Free CF]]),IF(Main_S[[#This Row],[Free CF]]&lt;&gt;0,Main_S[[#This Row],[Current Price]]/Main_S[[#This Row],[Free CF]],""),"")</f>
        <v>12.538461538461537</v>
      </c>
      <c r="I38" s="1">
        <f>IF(ISNUMBER(Main_S[[#This Row],[BVPS]]),IF(Main_S[[#This Row],[BVPS]]&lt;&gt;0,Main_S[[#This Row],[Current Price]]/Main_S[[#This Row],[BVPS]],""),"")</f>
        <v>1.1398601398601398</v>
      </c>
      <c r="J38">
        <v>-11.53</v>
      </c>
      <c r="K38">
        <v>5.07</v>
      </c>
      <c r="L38">
        <v>4.33</v>
      </c>
      <c r="M38" s="1">
        <f>IF(ISNUMBER(Main_S[[#This Row],[EPS]]),IF(Main_S[[#This Row],[EPS]]&lt;&gt;0,Main_S[[#This Row],[Current Price]]/Main_S[[#This Row],[EPS]],""),"")</f>
        <v>-8.5789473684210513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8.0319226237283731E-3</v>
      </c>
      <c r="P38" s="1">
        <f>(Main_S[[#This Row],[P/B]]-VLOOKUP(Main_S[[#This Row],[Industry]], Mean_PB_S, 2, FALSE))/(VLOOKUP(Main_S[[#This Row],[Industry]], Mean_PB_S, 3, FALSE))</f>
        <v>-0.44325716106583918</v>
      </c>
      <c r="Q38" s="1">
        <f>(Main_S[[#This Row],[ROE]]-VLOOKUP(Main_S[[#This Row],[Industry]], Mean_ROE_S, 2, FALSE))/(VLOOKUP(Main_S[[#This Row],[Industry]], Mean_ROE_S, 3, FALSE))</f>
        <v>-0.96427714428473399</v>
      </c>
      <c r="R38" s="1">
        <f>(Main_S[[#This Row],[ROA]]-VLOOKUP(Main_S[[#This Row],[Industry]], Mean_ROA_S, 2, FALSE))/(VLOOKUP(Main_S[[#This Row],[Industry]], Mean_ROA_S, 3, FALSE))</f>
        <v>0.8669613488892749</v>
      </c>
      <c r="S38" s="1">
        <f>(Main_S[[#This Row],[A/E]]-VLOOKUP(Main_S[[#This Row],[Industry]], Mean_AE_S, 2, FALSE))/(VLOOKUP(Main_S[[#This Row],[Industry]], Mean_AE_S, 3, FALSE))</f>
        <v>5.4687138894056231</v>
      </c>
      <c r="T38" s="1">
        <f>(Main_S[[#This Row],[P/E]]-VLOOKUP(Main_S[[#This Row],[Industry]], Mean_PE_S, 2, FALSE))/(VLOOKUP(Main_S[[#This Row],[Industry]], Mean_PE_S, 3, FALSE))</f>
        <v>-0.90643411269961449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t="s">
        <v>109</v>
      </c>
      <c r="B39" t="s">
        <v>264</v>
      </c>
      <c r="C39" s="2">
        <v>555</v>
      </c>
      <c r="D39">
        <f>RTD("tos.rtd", , "LAST", Main_S[[#This Row],[Symbol]])</f>
        <v>6.37</v>
      </c>
      <c r="E39">
        <v>0.25</v>
      </c>
      <c r="F39">
        <v>-0.12</v>
      </c>
      <c r="G39">
        <v>-0.19</v>
      </c>
      <c r="H39" s="1">
        <f>IF(ISNUMBER(Main_S[[#This Row],[Free CF]]),IF(Main_S[[#This Row],[Free CF]]&lt;&gt;0,Main_S[[#This Row],[Current Price]]/Main_S[[#This Row],[Free CF]],""),"")</f>
        <v>25.48</v>
      </c>
      <c r="I39" s="1">
        <f>IF(ISNUMBER(Main_S[[#This Row],[BVPS]]),IF(Main_S[[#This Row],[BVPS]]&lt;&gt;0,Main_S[[#This Row],[Current Price]]/Main_S[[#This Row],[BVPS]],""),"")</f>
        <v>-53.083333333333336</v>
      </c>
      <c r="J39">
        <v>-2897.3</v>
      </c>
      <c r="K39">
        <v>-0.92</v>
      </c>
      <c r="L39">
        <v>-55.57</v>
      </c>
      <c r="M39" s="1">
        <f>IF(ISNUMBER(Main_S[[#This Row],[EPS]]),IF(Main_S[[#This Row],[EPS]]&lt;&gt;0,Main_S[[#This Row],[Current Price]]/Main_S[[#This Row],[EPS]],""),"")</f>
        <v>-33.526315789473685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1.1696088790802972</v>
      </c>
      <c r="P39" s="1">
        <f>(Main_S[[#This Row],[P/B]]-VLOOKUP(Main_S[[#This Row],[Industry]], Mean_PB_S, 2, FALSE))/(VLOOKUP(Main_S[[#This Row],[Industry]], Mean_PB_S, 3, FALSE))</f>
        <v>-45.780252777928069</v>
      </c>
      <c r="Q39" s="1">
        <f>(Main_S[[#This Row],[ROE]]-VLOOKUP(Main_S[[#This Row],[Industry]], Mean_ROE_S, 2, FALSE))/(VLOOKUP(Main_S[[#This Row],[Industry]], Mean_ROE_S, 3, FALSE))</f>
        <v>-184.61945620022294</v>
      </c>
      <c r="R39" s="1">
        <f>(Main_S[[#This Row],[ROA]]-VLOOKUP(Main_S[[#This Row],[Industry]], Mean_ROA_S, 2, FALSE))/(VLOOKUP(Main_S[[#This Row],[Industry]], Mean_ROA_S, 3, FALSE))</f>
        <v>-1.1439189918064683</v>
      </c>
      <c r="S39" s="1">
        <f>(Main_S[[#This Row],[A/E]]-VLOOKUP(Main_S[[#This Row],[Industry]], Mean_AE_S, 2, FALSE))/(VLOOKUP(Main_S[[#This Row],[Industry]], Mean_AE_S, 3, FALSE))</f>
        <v>-121.16127865967265</v>
      </c>
      <c r="T39" s="1">
        <f>(Main_S[[#This Row],[P/E]]-VLOOKUP(Main_S[[#This Row],[Industry]], Mean_PE_S, 2, FALSE))/(VLOOKUP(Main_S[[#This Row],[Industry]], Mean_PE_S, 3, FALSE))</f>
        <v>-1.8095456047226519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t="s">
        <v>109</v>
      </c>
      <c r="B40" t="s">
        <v>251</v>
      </c>
      <c r="C40" s="2">
        <v>585</v>
      </c>
      <c r="D40">
        <f>RTD("tos.rtd", , "LAST", Main_S[[#This Row],[Symbol]])</f>
        <v>1.65</v>
      </c>
      <c r="E40">
        <v>-0.02</v>
      </c>
      <c r="F40">
        <v>1.1399999999999999</v>
      </c>
      <c r="G40">
        <v>-0.24</v>
      </c>
      <c r="H40" s="1">
        <f>IF(ISNUMBER(Main_S[[#This Row],[Free CF]]),IF(Main_S[[#This Row],[Free CF]]&lt;&gt;0,Main_S[[#This Row],[Current Price]]/Main_S[[#This Row],[Free CF]],""),"")</f>
        <v>-82.5</v>
      </c>
      <c r="I40" s="1">
        <f>IF(ISNUMBER(Main_S[[#This Row],[BVPS]]),IF(Main_S[[#This Row],[BVPS]]&lt;&gt;0,Main_S[[#This Row],[Current Price]]/Main_S[[#This Row],[BVPS]],""),"")</f>
        <v>1.4473684210526316</v>
      </c>
      <c r="J40">
        <v>-18.77</v>
      </c>
      <c r="K40">
        <v>-9.7899999999999991</v>
      </c>
      <c r="L40">
        <v>1.1399999999999999</v>
      </c>
      <c r="M40" s="1">
        <f>IF(ISNUMBER(Main_S[[#This Row],[EPS]]),IF(Main_S[[#This Row],[EPS]]&lt;&gt;0,Main_S[[#This Row],[Current Price]]/Main_S[[#This Row],[EPS]],""),"")</f>
        <v>-6.875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-8.5222125477881256</v>
      </c>
      <c r="P40" s="1">
        <f>(Main_S[[#This Row],[P/B]]-VLOOKUP(Main_S[[#This Row],[Industry]], Mean_PB_S, 2, FALSE))/(VLOOKUP(Main_S[[#This Row],[Industry]], Mean_PB_S, 3, FALSE))</f>
        <v>-0.18614390927138053</v>
      </c>
      <c r="Q40" s="1">
        <f>(Main_S[[#This Row],[ROE]]-VLOOKUP(Main_S[[#This Row],[Industry]], Mean_ROE_S, 2, FALSE))/(VLOOKUP(Main_S[[#This Row],[Industry]], Mean_ROE_S, 3, FALSE))</f>
        <v>-1.4250427272539217</v>
      </c>
      <c r="R40" s="1">
        <f>(Main_S[[#This Row],[ROA]]-VLOOKUP(Main_S[[#This Row],[Industry]], Mean_ROA_S, 2, FALSE))/(VLOOKUP(Main_S[[#This Row],[Industry]], Mean_ROA_S, 3, FALSE))</f>
        <v>-4.1216332859585956</v>
      </c>
      <c r="S40" s="1">
        <f>(Main_S[[#This Row],[A/E]]-VLOOKUP(Main_S[[#This Row],[Industry]], Mean_AE_S, 2, FALSE))/(VLOOKUP(Main_S[[#This Row],[Industry]], Mean_AE_S, 3, FALSE))</f>
        <v>-1.2750202713883614</v>
      </c>
      <c r="T40" s="1">
        <f>(Main_S[[#This Row],[P/E]]-VLOOKUP(Main_S[[#This Row],[Industry]], Mean_PE_S, 2, FALSE))/(VLOOKUP(Main_S[[#This Row],[Industry]], Mean_PE_S, 3, FALSE))</f>
        <v>-0.84475007355563603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t="s">
        <v>109</v>
      </c>
      <c r="B41" t="s">
        <v>258</v>
      </c>
      <c r="C41" s="2">
        <v>284</v>
      </c>
      <c r="D41">
        <f>RTD("tos.rtd", , "LAST", Main_S[[#This Row],[Symbol]])</f>
        <v>4.2699999999999996</v>
      </c>
      <c r="E41">
        <v>0.15</v>
      </c>
      <c r="F41">
        <v>2.94</v>
      </c>
      <c r="G41">
        <v>-0.38</v>
      </c>
      <c r="H41" s="1">
        <f>IF(ISNUMBER(Main_S[[#This Row],[Free CF]]),IF(Main_S[[#This Row],[Free CF]]&lt;&gt;0,Main_S[[#This Row],[Current Price]]/Main_S[[#This Row],[Free CF]],""),"")</f>
        <v>28.466666666666665</v>
      </c>
      <c r="I41" s="1">
        <f>IF(ISNUMBER(Main_S[[#This Row],[BVPS]]),IF(Main_S[[#This Row],[BVPS]]&lt;&gt;0,Main_S[[#This Row],[Current Price]]/Main_S[[#This Row],[BVPS]],""),"")</f>
        <v>1.4523809523809523</v>
      </c>
      <c r="J41">
        <v>-11.61</v>
      </c>
      <c r="K41">
        <v>0</v>
      </c>
      <c r="L41">
        <v>1.58</v>
      </c>
      <c r="M41" s="1">
        <f>IF(ISNUMBER(Main_S[[#This Row],[EPS]]),IF(Main_S[[#This Row],[EPS]]&lt;&gt;0,Main_S[[#This Row],[Current Price]]/Main_S[[#This Row],[EPS]],""),"")</f>
        <v>-11.236842105263158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1.4376792624375272</v>
      </c>
      <c r="P41" s="1">
        <f>(Main_S[[#This Row],[P/B]]-VLOOKUP(Main_S[[#This Row],[Industry]], Mean_PB_S, 2, FALSE))/(VLOOKUP(Main_S[[#This Row],[Industry]], Mean_PB_S, 3, FALSE))</f>
        <v>-0.18195284090551958</v>
      </c>
      <c r="Q41" s="1">
        <f>(Main_S[[#This Row],[ROE]]-VLOOKUP(Main_S[[#This Row],[Industry]], Mean_ROE_S, 2, FALSE))/(VLOOKUP(Main_S[[#This Row],[Industry]], Mean_ROE_S, 3, FALSE))</f>
        <v>-0.96936847669323334</v>
      </c>
      <c r="R41" s="1">
        <f>(Main_S[[#This Row],[ROA]]-VLOOKUP(Main_S[[#This Row],[Industry]], Mean_ROA_S, 2, FALSE))/(VLOOKUP(Main_S[[#This Row],[Industry]], Mean_ROA_S, 3, FALSE))</f>
        <v>-0.83506925667456788</v>
      </c>
      <c r="S41" s="1">
        <f>(Main_S[[#This Row],[A/E]]-VLOOKUP(Main_S[[#This Row],[Industry]], Mean_AE_S, 2, FALSE))/(VLOOKUP(Main_S[[#This Row],[Industry]], Mean_AE_S, 3, FALSE))</f>
        <v>-0.34485004231332866</v>
      </c>
      <c r="T41" s="1">
        <f>(Main_S[[#This Row],[P/E]]-VLOOKUP(Main_S[[#This Row],[Industry]], Mean_PE_S, 2, FALSE))/(VLOOKUP(Main_S[[#This Row],[Industry]], Mean_PE_S, 3, FALSE))</f>
        <v>-1.0026516872716893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t="s">
        <v>109</v>
      </c>
      <c r="B42" t="s">
        <v>247</v>
      </c>
      <c r="C42" s="2">
        <v>580</v>
      </c>
      <c r="D42">
        <f>RTD("tos.rtd", , "LAST", Main_S[[#This Row],[Symbol]])</f>
        <v>5.34</v>
      </c>
      <c r="E42">
        <v>1.2</v>
      </c>
      <c r="F42">
        <v>7.89</v>
      </c>
      <c r="G42">
        <v>-4.95</v>
      </c>
      <c r="H42" s="1">
        <f>IF(ISNUMBER(Main_S[[#This Row],[Free CF]]),IF(Main_S[[#This Row],[Free CF]]&lt;&gt;0,Main_S[[#This Row],[Current Price]]/Main_S[[#This Row],[Free CF]],""),"")</f>
        <v>4.45</v>
      </c>
      <c r="I42" s="1">
        <f>IF(ISNUMBER(Main_S[[#This Row],[BVPS]]),IF(Main_S[[#This Row],[BVPS]]&lt;&gt;0,Main_S[[#This Row],[Current Price]]/Main_S[[#This Row],[BVPS]],""),"")</f>
        <v>0.67680608365019013</v>
      </c>
      <c r="J42">
        <v>-43.26</v>
      </c>
      <c r="K42">
        <v>4.07</v>
      </c>
      <c r="L42">
        <v>3.08</v>
      </c>
      <c r="M42" s="1">
        <f>IF(ISNUMBER(Main_S[[#This Row],[EPS]]),IF(Main_S[[#This Row],[EPS]]&lt;&gt;0,Main_S[[#This Row],[Current Price]]/Main_S[[#This Row],[EPS]],""),"")</f>
        <v>-1.0787878787878786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-0.71795367516162678</v>
      </c>
      <c r="P42" s="1">
        <f>(Main_S[[#This Row],[P/B]]-VLOOKUP(Main_S[[#This Row],[Industry]], Mean_PB_S, 2, FALSE))/(VLOOKUP(Main_S[[#This Row],[Industry]], Mean_PB_S, 3, FALSE))</f>
        <v>-0.83042505679554002</v>
      </c>
      <c r="Q42" s="1">
        <f>(Main_S[[#This Row],[ROE]]-VLOOKUP(Main_S[[#This Row],[Industry]], Mean_ROE_S, 2, FALSE))/(VLOOKUP(Main_S[[#This Row],[Industry]], Mean_ROE_S, 3, FALSE))</f>
        <v>-2.9836268608057734</v>
      </c>
      <c r="R42" s="1">
        <f>(Main_S[[#This Row],[ROA]]-VLOOKUP(Main_S[[#This Row],[Industry]], Mean_ROA_S, 2, FALSE))/(VLOOKUP(Main_S[[#This Row],[Industry]], Mean_ROA_S, 3, FALSE))</f>
        <v>0.53125511505025269</v>
      </c>
      <c r="S42" s="1">
        <f>(Main_S[[#This Row],[A/E]]-VLOOKUP(Main_S[[#This Row],[Industry]], Mean_AE_S, 2, FALSE))/(VLOOKUP(Main_S[[#This Row],[Industry]], Mean_AE_S, 3, FALSE))</f>
        <v>2.8261848295333727</v>
      </c>
      <c r="T42" s="1">
        <f>(Main_S[[#This Row],[P/E]]-VLOOKUP(Main_S[[#This Row],[Industry]], Mean_PE_S, 2, FALSE))/(VLOOKUP(Main_S[[#This Row],[Industry]], Mean_PE_S, 3, FALSE))</f>
        <v>-0.63492330190895252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t="s">
        <v>107</v>
      </c>
      <c r="B43" t="s">
        <v>284</v>
      </c>
      <c r="C43" s="2">
        <v>1942</v>
      </c>
      <c r="D43">
        <f>RTD("tos.rtd", , "LAST", Main_S[[#This Row],[Symbol]])</f>
        <v>24.16</v>
      </c>
      <c r="H43" s="1" t="str">
        <f>IF(ISNUMBER(Main_S[[#This Row],[Free CF]]),IF(Main_S[[#This Row],[Free CF]]&lt;&gt;0,Main_S[[#This Row],[Current Price]]/Main_S[[#This Row],[Free CF]],""),"")</f>
        <v/>
      </c>
      <c r="I43" s="1" t="str">
        <f>IF(ISNUMBER(Main_S[[#This Row],[BVPS]]),IF(Main_S[[#This Row],[BVPS]]&lt;&gt;0,Main_S[[#This Row],[Current Price]]/Main_S[[#This Row],[BVPS]],""),"")</f>
        <v/>
      </c>
      <c r="J43">
        <v>-52.92</v>
      </c>
      <c r="K43">
        <v>-0.47</v>
      </c>
      <c r="L43">
        <v>-2.1800000000000002</v>
      </c>
      <c r="M43" s="1" t="str">
        <f>IF(ISNUMBER(Main_S[[#This Row],[EPS]]),IF(Main_S[[#This Row],[EPS]]&lt;&gt;0,Main_S[[#This Row],[Current Price]]/Main_S[[#This Row],[EPS]],""),"")</f>
        <v/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 t="e">
        <f>(Main_S[[#This Row],[P/FCF]]-VLOOKUP(Main_S[[#This Row],[Industry]], Mean_PFCF_S, 2, FALSE))/(VLOOKUP(Main_S[[#This Row],[Industry]], Mean_PFCF_S, 3, FALSE))</f>
        <v>#VALUE!</v>
      </c>
      <c r="P43" s="1" t="e">
        <f>(Main_S[[#This Row],[P/B]]-VLOOKUP(Main_S[[#This Row],[Industry]], Mean_PB_S, 2, FALSE))/(VLOOKUP(Main_S[[#This Row],[Industry]], Mean_PB_S, 3, FALSE))</f>
        <v>#VALUE!</v>
      </c>
      <c r="Q43" s="1">
        <f>(Main_S[[#This Row],[ROE]]-VLOOKUP(Main_S[[#This Row],[Industry]], Mean_ROE_S, 2, FALSE))/(VLOOKUP(Main_S[[#This Row],[Industry]], Mean_ROE_S, 3, FALSE))</f>
        <v>-3.9445912057888295</v>
      </c>
      <c r="R43" s="1">
        <f>(Main_S[[#This Row],[ROA]]-VLOOKUP(Main_S[[#This Row],[Industry]], Mean_ROA_S, 2, FALSE))/(VLOOKUP(Main_S[[#This Row],[Industry]], Mean_ROA_S, 3, FALSE))</f>
        <v>-0.9111786119965537</v>
      </c>
      <c r="S43" s="1">
        <f>(Main_S[[#This Row],[A/E]]-VLOOKUP(Main_S[[#This Row],[Industry]], Mean_AE_S, 2, FALSE))/(VLOOKUP(Main_S[[#This Row],[Industry]], Mean_AE_S, 3, FALSE))</f>
        <v>-2.142091160763365</v>
      </c>
      <c r="T43" s="1" t="e">
        <f>(Main_S[[#This Row],[P/E]]-VLOOKUP(Main_S[[#This Row],[Industry]], Mean_PE_S, 2, FALSE))/(VLOOKUP(Main_S[[#This Row],[Industry]], Mean_PE_S, 3, FALSE))</f>
        <v>#VALUE!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4" spans="1:26" x14ac:dyDescent="0.25">
      <c r="A44" t="s">
        <v>107</v>
      </c>
      <c r="B44" t="s">
        <v>212</v>
      </c>
      <c r="C44" s="2">
        <v>1353</v>
      </c>
      <c r="D44">
        <f>RTD("tos.rtd", , "LAST", Main_S[[#This Row],[Symbol]])</f>
        <v>25.78</v>
      </c>
      <c r="E44">
        <v>4.13</v>
      </c>
      <c r="F44">
        <v>19.87</v>
      </c>
      <c r="G44">
        <v>2.44</v>
      </c>
      <c r="H44" s="1">
        <f>IF(ISNUMBER(Main_S[[#This Row],[Free CF]]),IF(Main_S[[#This Row],[Free CF]]&lt;&gt;0,Main_S[[#This Row],[Current Price]]/Main_S[[#This Row],[Free CF]],""),"")</f>
        <v>6.2421307506053276</v>
      </c>
      <c r="I44" s="1">
        <f>IF(ISNUMBER(Main_S[[#This Row],[BVPS]]),IF(Main_S[[#This Row],[BVPS]]&lt;&gt;0,Main_S[[#This Row],[Current Price]]/Main_S[[#This Row],[BVPS]],""),"")</f>
        <v>1.2974333165576246</v>
      </c>
      <c r="J44">
        <v>13.45</v>
      </c>
      <c r="K44">
        <v>5.77</v>
      </c>
      <c r="L44">
        <v>2</v>
      </c>
      <c r="M44" s="1">
        <f>IF(ISNUMBER(Main_S[[#This Row],[EPS]]),IF(Main_S[[#This Row],[EPS]]&lt;&gt;0,Main_S[[#This Row],[Current Price]]/Main_S[[#This Row],[EPS]],""),"")</f>
        <v>10.565573770491804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44" s="1">
        <f>(Main_S[[#This Row],[P/FCF]]-VLOOKUP(Main_S[[#This Row],[Industry]], Mean_PFCF_S, 2, FALSE))/(VLOOKUP(Main_S[[#This Row],[Industry]], Mean_PFCF_S, 3, FALSE))</f>
        <v>-3.3702468060381324E-2</v>
      </c>
      <c r="P44" s="1">
        <f>(Main_S[[#This Row],[P/B]]-VLOOKUP(Main_S[[#This Row],[Industry]], Mean_PB_S, 2, FALSE))/(VLOOKUP(Main_S[[#This Row],[Industry]], Mean_PB_S, 3, FALSE))</f>
        <v>-3.7507017175841095E-2</v>
      </c>
      <c r="Q44" s="1">
        <f>(Main_S[[#This Row],[ROE]]-VLOOKUP(Main_S[[#This Row],[Industry]], Mean_ROE_S, 2, FALSE))/(VLOOKUP(Main_S[[#This Row],[Industry]], Mean_ROE_S, 3, FALSE))</f>
        <v>0.68613858237517045</v>
      </c>
      <c r="R44" s="1">
        <f>(Main_S[[#This Row],[ROA]]-VLOOKUP(Main_S[[#This Row],[Industry]], Mean_ROA_S, 2, FALSE))/(VLOOKUP(Main_S[[#This Row],[Industry]], Mean_ROA_S, 3, FALSE))</f>
        <v>1.1491644961612286</v>
      </c>
      <c r="S44" s="1">
        <f>(Main_S[[#This Row],[A/E]]-VLOOKUP(Main_S[[#This Row],[Industry]], Mean_AE_S, 2, FALSE))/(VLOOKUP(Main_S[[#This Row],[Industry]], Mean_AE_S, 3, FALSE))</f>
        <v>-0.19174615410629431</v>
      </c>
      <c r="T44" s="1">
        <f>(Main_S[[#This Row],[P/E]]-VLOOKUP(Main_S[[#This Row],[Industry]], Mean_PE_S, 2, FALSE))/(VLOOKUP(Main_S[[#This Row],[Industry]], Mean_PE_S, 3, FALSE))</f>
        <v>0.54025707480340235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5" spans="1:26" x14ac:dyDescent="0.25">
      <c r="A45" t="s">
        <v>107</v>
      </c>
      <c r="B45" t="s">
        <v>227</v>
      </c>
      <c r="C45" s="2">
        <v>404</v>
      </c>
      <c r="D45">
        <f>RTD("tos.rtd", , "LAST", Main_S[[#This Row],[Symbol]])</f>
        <v>3.96</v>
      </c>
      <c r="E45">
        <v>6.69</v>
      </c>
      <c r="F45">
        <v>23.33</v>
      </c>
      <c r="G45">
        <v>2.34</v>
      </c>
      <c r="H45" s="1">
        <f>IF(ISNUMBER(Main_S[[#This Row],[Free CF]]),IF(Main_S[[#This Row],[Free CF]]&lt;&gt;0,Main_S[[#This Row],[Current Price]]/Main_S[[#This Row],[Free CF]],""),"")</f>
        <v>0.59192825112107617</v>
      </c>
      <c r="I45" s="1">
        <f>IF(ISNUMBER(Main_S[[#This Row],[BVPS]]),IF(Main_S[[#This Row],[BVPS]]&lt;&gt;0,Main_S[[#This Row],[Current Price]]/Main_S[[#This Row],[BVPS]],""),"")</f>
        <v>0.16973853407629663</v>
      </c>
      <c r="J45">
        <v>9.92</v>
      </c>
      <c r="K45">
        <v>4.96</v>
      </c>
      <c r="L45">
        <v>4.63</v>
      </c>
      <c r="M45" s="1">
        <f>IF(ISNUMBER(Main_S[[#This Row],[EPS]]),IF(Main_S[[#This Row],[EPS]]&lt;&gt;0,Main_S[[#This Row],[Current Price]]/Main_S[[#This Row],[EPS]],""),"")</f>
        <v>1.6923076923076923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-0.44497902414723284</v>
      </c>
      <c r="P45" s="1">
        <f>(Main_S[[#This Row],[P/B]]-VLOOKUP(Main_S[[#This Row],[Industry]], Mean_PB_S, 2, FALSE))/(VLOOKUP(Main_S[[#This Row],[Industry]], Mean_PB_S, 3, FALSE))</f>
        <v>-0.95246830979313069</v>
      </c>
      <c r="Q45" s="1">
        <f>(Main_S[[#This Row],[ROE]]-VLOOKUP(Main_S[[#This Row],[Industry]], Mean_ROE_S, 2, FALSE))/(VLOOKUP(Main_S[[#This Row],[Industry]], Mean_ROE_S, 3, FALSE))</f>
        <v>0.43984543558868683</v>
      </c>
      <c r="R45" s="1">
        <f>(Main_S[[#This Row],[ROA]]-VLOOKUP(Main_S[[#This Row],[Industry]], Mean_ROA_S, 2, FALSE))/(VLOOKUP(Main_S[[#This Row],[Industry]], Mean_ROA_S, 3, FALSE))</f>
        <v>0.88171611192920896</v>
      </c>
      <c r="S45" s="1">
        <f>(Main_S[[#This Row],[A/E]]-VLOOKUP(Main_S[[#This Row],[Industry]], Mean_AE_S, 2, FALSE))/(VLOOKUP(Main_S[[#This Row],[Industry]], Mean_AE_S, 3, FALSE))</f>
        <v>1.0353847950583221</v>
      </c>
      <c r="T45" s="1">
        <f>(Main_S[[#This Row],[P/E]]-VLOOKUP(Main_S[[#This Row],[Industry]], Mean_PE_S, 2, FALSE))/(VLOOKUP(Main_S[[#This Row],[Industry]], Mean_PE_S, 3, FALSE))</f>
        <v>-8.2978586009473782E-4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t="s">
        <v>107</v>
      </c>
      <c r="B46" t="s">
        <v>216</v>
      </c>
      <c r="C46" s="2">
        <v>1265</v>
      </c>
      <c r="D46">
        <f>RTD("tos.rtd", , "LAST", Main_S[[#This Row],[Symbol]])</f>
        <v>46.13</v>
      </c>
      <c r="E46">
        <v>3.52</v>
      </c>
      <c r="F46">
        <v>13.62</v>
      </c>
      <c r="G46">
        <v>2.0299999999999998</v>
      </c>
      <c r="H46" s="1">
        <f>IF(ISNUMBER(Main_S[[#This Row],[Free CF]]),IF(Main_S[[#This Row],[Free CF]]&lt;&gt;0,Main_S[[#This Row],[Current Price]]/Main_S[[#This Row],[Free CF]],""),"")</f>
        <v>13.105113636363637</v>
      </c>
      <c r="I46" s="1">
        <f>IF(ISNUMBER(Main_S[[#This Row],[BVPS]]),IF(Main_S[[#This Row],[BVPS]]&lt;&gt;0,Main_S[[#This Row],[Current Price]]/Main_S[[#This Row],[BVPS]],""),"")</f>
        <v>3.3869309838472836</v>
      </c>
      <c r="J46">
        <v>26.94</v>
      </c>
      <c r="K46">
        <v>1.28</v>
      </c>
      <c r="L46">
        <v>1.59</v>
      </c>
      <c r="M46" s="1">
        <f>IF(ISNUMBER(Main_S[[#This Row],[EPS]]),IF(Main_S[[#This Row],[EPS]]&lt;&gt;0,Main_S[[#This Row],[Current Price]]/Main_S[[#This Row],[EPS]],""),"")</f>
        <v>22.724137931034488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0.46585201091542949</v>
      </c>
      <c r="P46" s="1">
        <f>(Main_S[[#This Row],[P/B]]-VLOOKUP(Main_S[[#This Row],[Industry]], Mean_PB_S, 2, FALSE))/(VLOOKUP(Main_S[[#This Row],[Industry]], Mean_PB_S, 3, FALSE))</f>
        <v>1.6578182749900936</v>
      </c>
      <c r="Q46" s="1">
        <f>(Main_S[[#This Row],[ROE]]-VLOOKUP(Main_S[[#This Row],[Industry]], Mean_ROE_S, 2, FALSE))/(VLOOKUP(Main_S[[#This Row],[Industry]], Mean_ROE_S, 3, FALSE))</f>
        <v>1.6273551688198349</v>
      </c>
      <c r="R46" s="1">
        <f>(Main_S[[#This Row],[ROA]]-VLOOKUP(Main_S[[#This Row],[Industry]], Mean_ROA_S, 2, FALSE))/(VLOOKUP(Main_S[[#This Row],[Industry]], Mean_ROA_S, 3, FALSE))</f>
        <v>-0.33335802877922693</v>
      </c>
      <c r="S46" s="1">
        <f>(Main_S[[#This Row],[A/E]]-VLOOKUP(Main_S[[#This Row],[Industry]], Mean_AE_S, 2, FALSE))/(VLOOKUP(Main_S[[#This Row],[Industry]], Mean_AE_S, 3, FALSE))</f>
        <v>-0.38304793705591128</v>
      </c>
      <c r="T46" s="1">
        <f>(Main_S[[#This Row],[P/E]]-VLOOKUP(Main_S[[#This Row],[Industry]], Mean_PE_S, 2, FALSE))/(VLOOKUP(Main_S[[#This Row],[Industry]], Mean_PE_S, 3, FALSE))</f>
        <v>1.2816795965486409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t="s">
        <v>107</v>
      </c>
      <c r="B47" t="s">
        <v>228</v>
      </c>
      <c r="C47" s="2">
        <v>976</v>
      </c>
      <c r="D47">
        <f>RTD("tos.rtd", , "LAST", Main_S[[#This Row],[Symbol]])</f>
        <v>13.39</v>
      </c>
      <c r="E47">
        <v>0.42</v>
      </c>
      <c r="F47">
        <v>6.27</v>
      </c>
      <c r="G47">
        <v>1.97</v>
      </c>
      <c r="H47" s="1">
        <f>IF(ISNUMBER(Main_S[[#This Row],[Free CF]]),IF(Main_S[[#This Row],[Free CF]]&lt;&gt;0,Main_S[[#This Row],[Current Price]]/Main_S[[#This Row],[Free CF]],""),"")</f>
        <v>31.880952380952383</v>
      </c>
      <c r="I47" s="1">
        <f>IF(ISNUMBER(Main_S[[#This Row],[BVPS]]),IF(Main_S[[#This Row],[BVPS]]&lt;&gt;0,Main_S[[#This Row],[Current Price]]/Main_S[[#This Row],[BVPS]],""),"")</f>
        <v>2.1355661881977674</v>
      </c>
      <c r="J47">
        <v>43.96</v>
      </c>
      <c r="K47">
        <v>5.7</v>
      </c>
      <c r="L47">
        <v>13.26</v>
      </c>
      <c r="M47" s="1">
        <f>IF(ISNUMBER(Main_S[[#This Row],[EPS]]),IF(Main_S[[#This Row],[EPS]]&lt;&gt;0,Main_S[[#This Row],[Current Price]]/Main_S[[#This Row],[EPS]],""),"")</f>
        <v>6.7969543147208125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1.8325397176341531</v>
      </c>
      <c r="P47" s="1">
        <f>(Main_S[[#This Row],[P/B]]-VLOOKUP(Main_S[[#This Row],[Industry]], Mean_PB_S, 2, FALSE))/(VLOOKUP(Main_S[[#This Row],[Industry]], Mean_PB_S, 3, FALSE))</f>
        <v>0.64251664484159254</v>
      </c>
      <c r="Q47" s="1">
        <f>(Main_S[[#This Row],[ROE]]-VLOOKUP(Main_S[[#This Row],[Industry]], Mean_ROE_S, 2, FALSE))/(VLOOKUP(Main_S[[#This Row],[Industry]], Mean_ROE_S, 3, FALSE))</f>
        <v>2.8148649020509824</v>
      </c>
      <c r="R47" s="1">
        <f>(Main_S[[#This Row],[ROA]]-VLOOKUP(Main_S[[#This Row],[Industry]], Mean_ROA_S, 2, FALSE))/(VLOOKUP(Main_S[[#This Row],[Industry]], Mean_ROA_S, 3, FALSE))</f>
        <v>1.1260516728325358</v>
      </c>
      <c r="S47" s="1">
        <f>(Main_S[[#This Row],[A/E]]-VLOOKUP(Main_S[[#This Row],[Industry]], Mean_AE_S, 2, FALSE))/(VLOOKUP(Main_S[[#This Row],[Industry]], Mean_AE_S, 3, FALSE))</f>
        <v>5.0620540312905042</v>
      </c>
      <c r="T47" s="1">
        <f>(Main_S[[#This Row],[P/E]]-VLOOKUP(Main_S[[#This Row],[Industry]], Mean_PE_S, 2, FALSE))/(VLOOKUP(Main_S[[#This Row],[Industry]], Mean_PE_S, 3, FALSE))</f>
        <v>0.31044874353156371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t="s">
        <v>107</v>
      </c>
      <c r="B48" t="s">
        <v>214</v>
      </c>
      <c r="C48" s="2">
        <v>420</v>
      </c>
      <c r="D48">
        <f>RTD("tos.rtd", , "LAST", Main_S[[#This Row],[Symbol]])</f>
        <v>12.05</v>
      </c>
      <c r="E48">
        <v>0.43</v>
      </c>
      <c r="F48">
        <v>4.1399999999999997</v>
      </c>
      <c r="G48">
        <v>0.96</v>
      </c>
      <c r="H48" s="1">
        <f>IF(ISNUMBER(Main_S[[#This Row],[Free CF]]),IF(Main_S[[#This Row],[Free CF]]&lt;&gt;0,Main_S[[#This Row],[Current Price]]/Main_S[[#This Row],[Free CF]],""),"")</f>
        <v>28.02325581395349</v>
      </c>
      <c r="I48" s="1">
        <f>IF(ISNUMBER(Main_S[[#This Row],[BVPS]]),IF(Main_S[[#This Row],[BVPS]]&lt;&gt;0,Main_S[[#This Row],[Current Price]]/Main_S[[#This Row],[BVPS]],""),"")</f>
        <v>2.910628019323672</v>
      </c>
      <c r="J48">
        <v>25.74</v>
      </c>
      <c r="K48">
        <v>10.82</v>
      </c>
      <c r="L48">
        <v>2.0699999999999998</v>
      </c>
      <c r="M48" s="1">
        <f>IF(ISNUMBER(Main_S[[#This Row],[EPS]]),IF(Main_S[[#This Row],[EPS]]&lt;&gt;0,Main_S[[#This Row],[Current Price]]/Main_S[[#This Row],[EPS]],""),"")</f>
        <v>12.552083333333334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1.5517391341775078</v>
      </c>
      <c r="P48" s="1">
        <f>(Main_S[[#This Row],[P/B]]-VLOOKUP(Main_S[[#This Row],[Industry]], Mean_PB_S, 2, FALSE))/(VLOOKUP(Main_S[[#This Row],[Industry]], Mean_PB_S, 3, FALSE))</f>
        <v>1.2713672752443479</v>
      </c>
      <c r="Q48" s="1">
        <f>(Main_S[[#This Row],[ROE]]-VLOOKUP(Main_S[[#This Row],[Industry]], Mean_ROE_S, 2, FALSE))/(VLOOKUP(Main_S[[#This Row],[Industry]], Mean_ROE_S, 3, FALSE))</f>
        <v>1.543629453198367</v>
      </c>
      <c r="R48" s="1">
        <f>(Main_S[[#This Row],[ROA]]-VLOOKUP(Main_S[[#This Row],[Industry]], Mean_ROA_S, 2, FALSE))/(VLOOKUP(Main_S[[#This Row],[Industry]], Mean_ROA_S, 3, FALSE))</f>
        <v>2.8165896077312293</v>
      </c>
      <c r="S48" s="1">
        <f>(Main_S[[#This Row],[A/E]]-VLOOKUP(Main_S[[#This Row],[Industry]], Mean_AE_S, 2, FALSE))/(VLOOKUP(Main_S[[#This Row],[Industry]], Mean_AE_S, 3, FALSE))</f>
        <v>-0.15908487409050612</v>
      </c>
      <c r="T48" s="1">
        <f>(Main_S[[#This Row],[P/E]]-VLOOKUP(Main_S[[#This Row],[Industry]], Mean_PE_S, 2, FALSE))/(VLOOKUP(Main_S[[#This Row],[Industry]], Mean_PE_S, 3, FALSE))</f>
        <v>0.66139332988298727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9" spans="1:26" x14ac:dyDescent="0.25">
      <c r="A49" t="s">
        <v>107</v>
      </c>
      <c r="B49" t="s">
        <v>234</v>
      </c>
      <c r="C49" s="2">
        <v>461</v>
      </c>
      <c r="D49">
        <f>RTD("tos.rtd", , "LAST", Main_S[[#This Row],[Symbol]])</f>
        <v>19.28</v>
      </c>
      <c r="E49">
        <v>1.1599999999999999</v>
      </c>
      <c r="F49">
        <v>35.270000000000003</v>
      </c>
      <c r="G49">
        <v>0.65</v>
      </c>
      <c r="H49" s="1">
        <f>IF(ISNUMBER(Main_S[[#This Row],[Free CF]]),IF(Main_S[[#This Row],[Free CF]]&lt;&gt;0,Main_S[[#This Row],[Current Price]]/Main_S[[#This Row],[Free CF]],""),"")</f>
        <v>16.620689655172416</v>
      </c>
      <c r="I49" s="1">
        <f>IF(ISNUMBER(Main_S[[#This Row],[BVPS]]),IF(Main_S[[#This Row],[BVPS]]&lt;&gt;0,Main_S[[#This Row],[Current Price]]/Main_S[[#This Row],[BVPS]],""),"")</f>
        <v>0.54664020413949532</v>
      </c>
      <c r="J49">
        <v>1.92</v>
      </c>
      <c r="K49">
        <v>1.1200000000000001</v>
      </c>
      <c r="L49">
        <v>2.08</v>
      </c>
      <c r="M49" s="1">
        <f>IF(ISNUMBER(Main_S[[#This Row],[EPS]]),IF(Main_S[[#This Row],[EPS]]&lt;&gt;0,Main_S[[#This Row],[Current Price]]/Main_S[[#This Row],[EPS]],""),"")</f>
        <v>29.661538461538463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0.72174974162670535</v>
      </c>
      <c r="P49" s="1">
        <f>(Main_S[[#This Row],[P/B]]-VLOOKUP(Main_S[[#This Row],[Industry]], Mean_PB_S, 2, FALSE))/(VLOOKUP(Main_S[[#This Row],[Industry]], Mean_PB_S, 3, FALSE))</f>
        <v>-0.64666709071517559</v>
      </c>
      <c r="Q49" s="1">
        <f>(Main_S[[#This Row],[ROE]]-VLOOKUP(Main_S[[#This Row],[Industry]], Mean_ROE_S, 2, FALSE))/(VLOOKUP(Main_S[[#This Row],[Industry]], Mean_ROE_S, 3, FALSE))</f>
        <v>-0.11832600188776335</v>
      </c>
      <c r="R49" s="1">
        <f>(Main_S[[#This Row],[ROA]]-VLOOKUP(Main_S[[#This Row],[Industry]], Mean_ROA_S, 2, FALSE))/(VLOOKUP(Main_S[[#This Row],[Industry]], Mean_ROA_S, 3, FALSE))</f>
        <v>-0.38618733924481108</v>
      </c>
      <c r="S49" s="1">
        <f>(Main_S[[#This Row],[A/E]]-VLOOKUP(Main_S[[#This Row],[Industry]], Mean_AE_S, 2, FALSE))/(VLOOKUP(Main_S[[#This Row],[Industry]], Mean_AE_S, 3, FALSE))</f>
        <v>-0.15441897694539339</v>
      </c>
      <c r="T49" s="1">
        <f>(Main_S[[#This Row],[P/E]]-VLOOKUP(Main_S[[#This Row],[Industry]], Mean_PE_S, 2, FALSE))/(VLOOKUP(Main_S[[#This Row],[Industry]], Mean_PE_S, 3, FALSE))</f>
        <v>1.7047184461831226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t="s">
        <v>107</v>
      </c>
      <c r="B50" t="s">
        <v>220</v>
      </c>
      <c r="C50" s="2">
        <v>737</v>
      </c>
      <c r="D50">
        <f>RTD("tos.rtd", , "LAST", Main_S[[#This Row],[Symbol]])</f>
        <v>10.55</v>
      </c>
      <c r="E50">
        <v>1.67</v>
      </c>
      <c r="F50">
        <v>9.24</v>
      </c>
      <c r="G50">
        <v>0.65</v>
      </c>
      <c r="H50" s="1">
        <f>IF(ISNUMBER(Main_S[[#This Row],[Free CF]]),IF(Main_S[[#This Row],[Free CF]]&lt;&gt;0,Main_S[[#This Row],[Current Price]]/Main_S[[#This Row],[Free CF]],""),"")</f>
        <v>6.3173652694610789</v>
      </c>
      <c r="I50" s="1">
        <f>IF(ISNUMBER(Main_S[[#This Row],[BVPS]]),IF(Main_S[[#This Row],[BVPS]]&lt;&gt;0,Main_S[[#This Row],[Current Price]]/Main_S[[#This Row],[BVPS]],""),"")</f>
        <v>1.1417748917748918</v>
      </c>
      <c r="J50">
        <v>8.57</v>
      </c>
      <c r="K50">
        <v>3.94</v>
      </c>
      <c r="L50">
        <v>1.5</v>
      </c>
      <c r="M50" s="1">
        <f>IF(ISNUMBER(Main_S[[#This Row],[EPS]]),IF(Main_S[[#This Row],[EPS]]&lt;&gt;0,Main_S[[#This Row],[Current Price]]/Main_S[[#This Row],[EPS]],""),"")</f>
        <v>16.23076923076923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-2.8226169853959687E-2</v>
      </c>
      <c r="P50" s="1">
        <f>(Main_S[[#This Row],[P/B]]-VLOOKUP(Main_S[[#This Row],[Industry]], Mean_PB_S, 2, FALSE))/(VLOOKUP(Main_S[[#This Row],[Industry]], Mean_PB_S, 3, FALSE))</f>
        <v>-0.16380132637943853</v>
      </c>
      <c r="Q50" s="1">
        <f>(Main_S[[#This Row],[ROE]]-VLOOKUP(Main_S[[#This Row],[Industry]], Mean_ROE_S, 2, FALSE))/(VLOOKUP(Main_S[[#This Row],[Industry]], Mean_ROE_S, 3, FALSE))</f>
        <v>0.3456540055145359</v>
      </c>
      <c r="R50" s="1">
        <f>(Main_S[[#This Row],[ROA]]-VLOOKUP(Main_S[[#This Row],[Industry]], Mean_ROA_S, 2, FALSE))/(VLOOKUP(Main_S[[#This Row],[Industry]], Mean_ROA_S, 3, FALSE))</f>
        <v>0.54492925771110989</v>
      </c>
      <c r="S50" s="1">
        <f>(Main_S[[#This Row],[A/E]]-VLOOKUP(Main_S[[#This Row],[Industry]], Mean_AE_S, 2, FALSE))/(VLOOKUP(Main_S[[#This Row],[Industry]], Mean_AE_S, 3, FALSE))</f>
        <v>-0.42504101136192479</v>
      </c>
      <c r="T50" s="1">
        <f>(Main_S[[#This Row],[P/E]]-VLOOKUP(Main_S[[#This Row],[Industry]], Mean_PE_S, 2, FALSE))/(VLOOKUP(Main_S[[#This Row],[Industry]], Mean_PE_S, 3, FALSE))</f>
        <v>0.8857175624792013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t="s">
        <v>107</v>
      </c>
      <c r="B51" t="s">
        <v>233</v>
      </c>
      <c r="C51" s="2">
        <v>518</v>
      </c>
      <c r="D51">
        <f>RTD("tos.rtd", , "LAST", Main_S[[#This Row],[Symbol]])</f>
        <v>3.56</v>
      </c>
      <c r="E51">
        <v>0.36</v>
      </c>
      <c r="F51">
        <v>1.05</v>
      </c>
      <c r="G51">
        <v>0.36</v>
      </c>
      <c r="H51" s="1">
        <f>IF(ISNUMBER(Main_S[[#This Row],[Free CF]]),IF(Main_S[[#This Row],[Free CF]]&lt;&gt;0,Main_S[[#This Row],[Current Price]]/Main_S[[#This Row],[Free CF]],""),"")</f>
        <v>9.8888888888888893</v>
      </c>
      <c r="I51" s="1">
        <f>IF(ISNUMBER(Main_S[[#This Row],[BVPS]]),IF(Main_S[[#This Row],[BVPS]]&lt;&gt;0,Main_S[[#This Row],[Current Price]]/Main_S[[#This Row],[BVPS]],""),"")</f>
        <v>3.3904761904761904</v>
      </c>
      <c r="J51">
        <v>26.68</v>
      </c>
      <c r="K51">
        <v>2.11</v>
      </c>
      <c r="L51">
        <v>13</v>
      </c>
      <c r="M51" s="1">
        <f>IF(ISNUMBER(Main_S[[#This Row],[EPS]]),IF(Main_S[[#This Row],[EPS]]&lt;&gt;0,Main_S[[#This Row],[Current Price]]/Main_S[[#This Row],[EPS]],""),"")</f>
        <v>9.8888888888888893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0.23174397003309674</v>
      </c>
      <c r="P51" s="1">
        <f>(Main_S[[#This Row],[P/B]]-VLOOKUP(Main_S[[#This Row],[Industry]], Mean_PB_S, 2, FALSE))/(VLOOKUP(Main_S[[#This Row],[Industry]], Mean_PB_S, 3, FALSE))</f>
        <v>1.660694697662408</v>
      </c>
      <c r="Q51" s="1">
        <f>(Main_S[[#This Row],[ROE]]-VLOOKUP(Main_S[[#This Row],[Industry]], Mean_ROE_S, 2, FALSE))/(VLOOKUP(Main_S[[#This Row],[Industry]], Mean_ROE_S, 3, FALSE))</f>
        <v>1.6092145971018499</v>
      </c>
      <c r="R51" s="1">
        <f>(Main_S[[#This Row],[ROA]]-VLOOKUP(Main_S[[#This Row],[Industry]], Mean_ROA_S, 2, FALSE))/(VLOOKUP(Main_S[[#This Row],[Industry]], Mean_ROA_S, 3, FALSE))</f>
        <v>-5.9305980739009119E-2</v>
      </c>
      <c r="S51" s="1">
        <f>(Main_S[[#This Row],[A/E]]-VLOOKUP(Main_S[[#This Row],[Industry]], Mean_AE_S, 2, FALSE))/(VLOOKUP(Main_S[[#This Row],[Industry]], Mean_AE_S, 3, FALSE))</f>
        <v>4.9407407055175767</v>
      </c>
      <c r="T51" s="1">
        <f>(Main_S[[#This Row],[P/E]]-VLOOKUP(Main_S[[#This Row],[Industry]], Mean_PE_S, 2, FALSE))/(VLOOKUP(Main_S[[#This Row],[Industry]], Mean_PE_S, 3, FALSE))</f>
        <v>0.49899320476740966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t="s">
        <v>107</v>
      </c>
      <c r="B52" t="s">
        <v>215</v>
      </c>
      <c r="C52" s="2">
        <v>1343</v>
      </c>
      <c r="D52">
        <f>RTD("tos.rtd", , "LAST", Main_S[[#This Row],[Symbol]])</f>
        <v>8.1300000000000008</v>
      </c>
      <c r="E52">
        <v>0.5</v>
      </c>
      <c r="F52">
        <v>6.31</v>
      </c>
      <c r="G52">
        <v>0.28999999999999998</v>
      </c>
      <c r="H52" s="1">
        <f>IF(ISNUMBER(Main_S[[#This Row],[Free CF]]),IF(Main_S[[#This Row],[Free CF]]&lt;&gt;0,Main_S[[#This Row],[Current Price]]/Main_S[[#This Row],[Free CF]],""),"")</f>
        <v>16.260000000000002</v>
      </c>
      <c r="I52" s="1">
        <f>IF(ISNUMBER(Main_S[[#This Row],[BVPS]]),IF(Main_S[[#This Row],[BVPS]]&lt;&gt;0,Main_S[[#This Row],[Current Price]]/Main_S[[#This Row],[BVPS]],""),"")</f>
        <v>1.2884310618066563</v>
      </c>
      <c r="J52">
        <v>4.8</v>
      </c>
      <c r="K52">
        <v>3.94</v>
      </c>
      <c r="L52">
        <v>1.0900000000000001</v>
      </c>
      <c r="M52" s="1">
        <f>IF(ISNUMBER(Main_S[[#This Row],[EPS]]),IF(Main_S[[#This Row],[EPS]]&lt;&gt;0,Main_S[[#This Row],[Current Price]]/Main_S[[#This Row],[EPS]],""),"")</f>
        <v>28.034482758620694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0.69549524911798455</v>
      </c>
      <c r="P52" s="1">
        <f>(Main_S[[#This Row],[P/B]]-VLOOKUP(Main_S[[#This Row],[Industry]], Mean_PB_S, 2, FALSE))/(VLOOKUP(Main_S[[#This Row],[Industry]], Mean_PB_S, 3, FALSE))</f>
        <v>-4.4811045509901823E-2</v>
      </c>
      <c r="Q52" s="1">
        <f>(Main_S[[#This Row],[ROE]]-VLOOKUP(Main_S[[#This Row],[Industry]], Mean_ROE_S, 2, FALSE))/(VLOOKUP(Main_S[[#This Row],[Industry]], Mean_ROE_S, 3, FALSE))</f>
        <v>8.2615715603758702E-2</v>
      </c>
      <c r="R52" s="1">
        <f>(Main_S[[#This Row],[ROA]]-VLOOKUP(Main_S[[#This Row],[Industry]], Mean_ROA_S, 2, FALSE))/(VLOOKUP(Main_S[[#This Row],[Industry]], Mean_ROA_S, 3, FALSE))</f>
        <v>0.54492925771110989</v>
      </c>
      <c r="S52" s="1">
        <f>(Main_S[[#This Row],[A/E]]-VLOOKUP(Main_S[[#This Row],[Industry]], Mean_AE_S, 2, FALSE))/(VLOOKUP(Main_S[[#This Row],[Industry]], Mean_AE_S, 3, FALSE))</f>
        <v>-0.61634279431154182</v>
      </c>
      <c r="T52" s="1">
        <f>(Main_S[[#This Row],[P/E]]-VLOOKUP(Main_S[[#This Row],[Industry]], Mean_PE_S, 2, FALSE))/(VLOOKUP(Main_S[[#This Row],[Industry]], Mean_PE_S, 3, FALSE))</f>
        <v>1.6055014887900696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t="s">
        <v>107</v>
      </c>
      <c r="B53" t="s">
        <v>222</v>
      </c>
      <c r="C53" s="2">
        <v>568</v>
      </c>
      <c r="D53">
        <f>RTD("tos.rtd", , "LAST", Main_S[[#This Row],[Symbol]])</f>
        <v>12.11</v>
      </c>
      <c r="E53">
        <v>0.53</v>
      </c>
      <c r="F53">
        <v>5.7</v>
      </c>
      <c r="G53">
        <v>0.1</v>
      </c>
      <c r="H53" s="1">
        <f>IF(ISNUMBER(Main_S[[#This Row],[Free CF]]),IF(Main_S[[#This Row],[Free CF]]&lt;&gt;0,Main_S[[#This Row],[Current Price]]/Main_S[[#This Row],[Free CF]],""),"")</f>
        <v>22.849056603773583</v>
      </c>
      <c r="I53" s="1">
        <f>IF(ISNUMBER(Main_S[[#This Row],[BVPS]]),IF(Main_S[[#This Row],[BVPS]]&lt;&gt;0,Main_S[[#This Row],[Current Price]]/Main_S[[#This Row],[BVPS]],""),"")</f>
        <v>2.1245614035087717</v>
      </c>
      <c r="J53">
        <v>1.94</v>
      </c>
      <c r="K53">
        <v>-0.24</v>
      </c>
      <c r="L53">
        <v>2.4300000000000002</v>
      </c>
      <c r="M53" s="1">
        <f>IF(ISNUMBER(Main_S[[#This Row],[EPS]]),IF(Main_S[[#This Row],[EPS]]&lt;&gt;0,Main_S[[#This Row],[Current Price]]/Main_S[[#This Row],[EPS]],""),"")</f>
        <v>121.1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1.1751107156625351</v>
      </c>
      <c r="P53" s="1">
        <f>(Main_S[[#This Row],[P/B]]-VLOOKUP(Main_S[[#This Row],[Industry]], Mean_PB_S, 2, FALSE))/(VLOOKUP(Main_S[[#This Row],[Industry]], Mean_PB_S, 3, FALSE))</f>
        <v>0.6335878529553135</v>
      </c>
      <c r="Q53" s="1">
        <f>(Main_S[[#This Row],[ROE]]-VLOOKUP(Main_S[[#This Row],[Industry]], Mean_ROE_S, 2, FALSE))/(VLOOKUP(Main_S[[#This Row],[Industry]], Mean_ROE_S, 3, FALSE))</f>
        <v>-0.11693057329407222</v>
      </c>
      <c r="R53" s="1">
        <f>(Main_S[[#This Row],[ROA]]-VLOOKUP(Main_S[[#This Row],[Industry]], Mean_ROA_S, 2, FALSE))/(VLOOKUP(Main_S[[#This Row],[Industry]], Mean_ROA_S, 3, FALSE))</f>
        <v>-0.83523647820227664</v>
      </c>
      <c r="S53" s="1">
        <f>(Main_S[[#This Row],[A/E]]-VLOOKUP(Main_S[[#This Row],[Industry]], Mean_AE_S, 2, FALSE))/(VLOOKUP(Main_S[[#This Row],[Industry]], Mean_AE_S, 3, FALSE))</f>
        <v>8.8874231335480045E-3</v>
      </c>
      <c r="T53" s="1">
        <f>(Main_S[[#This Row],[P/E]]-VLOOKUP(Main_S[[#This Row],[Industry]], Mean_PE_S, 2, FALSE))/(VLOOKUP(Main_S[[#This Row],[Industry]], Mean_PE_S, 3, FALSE))</f>
        <v>7.2805852872991075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4" spans="1:26" x14ac:dyDescent="0.25">
      <c r="A54" t="s">
        <v>107</v>
      </c>
      <c r="B54" t="s">
        <v>286</v>
      </c>
      <c r="C54" s="2">
        <v>1106</v>
      </c>
      <c r="D54">
        <f>RTD("tos.rtd", , "LAST", Main_S[[#This Row],[Symbol]])</f>
        <v>5.6</v>
      </c>
      <c r="E54">
        <v>1.79</v>
      </c>
      <c r="F54">
        <v>12.16</v>
      </c>
      <c r="G54">
        <v>0.04</v>
      </c>
      <c r="H54" s="1">
        <f>IF(ISNUMBER(Main_S[[#This Row],[Free CF]]),IF(Main_S[[#This Row],[Free CF]]&lt;&gt;0,Main_S[[#This Row],[Current Price]]/Main_S[[#This Row],[Free CF]],""),"")</f>
        <v>3.1284916201117317</v>
      </c>
      <c r="I54" s="1">
        <f>IF(ISNUMBER(Main_S[[#This Row],[BVPS]]),IF(Main_S[[#This Row],[BVPS]]&lt;&gt;0,Main_S[[#This Row],[Current Price]]/Main_S[[#This Row],[BVPS]],""),"")</f>
        <v>0.46052631578947367</v>
      </c>
      <c r="J54">
        <v>1.2</v>
      </c>
      <c r="K54">
        <v>0.02</v>
      </c>
      <c r="L54">
        <v>5.96</v>
      </c>
      <c r="M54" s="1">
        <f>IF(ISNUMBER(Main_S[[#This Row],[EPS]]),IF(Main_S[[#This Row],[EPS]]&lt;&gt;0,Main_S[[#This Row],[Current Price]]/Main_S[[#This Row],[EPS]],""),"")</f>
        <v>140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-0.26034333245480873</v>
      </c>
      <c r="P54" s="1">
        <f>(Main_S[[#This Row],[P/B]]-VLOOKUP(Main_S[[#This Row],[Industry]], Mean_PB_S, 2, FALSE))/(VLOOKUP(Main_S[[#This Row],[Industry]], Mean_PB_S, 3, FALSE))</f>
        <v>-0.71653606219668675</v>
      </c>
      <c r="Q54" s="1">
        <f>(Main_S[[#This Row],[ROE]]-VLOOKUP(Main_S[[#This Row],[Industry]], Mean_ROE_S, 2, FALSE))/(VLOOKUP(Main_S[[#This Row],[Industry]], Mean_ROE_S, 3, FALSE))</f>
        <v>-0.16856143126064385</v>
      </c>
      <c r="R54" s="1">
        <f>(Main_S[[#This Row],[ROA]]-VLOOKUP(Main_S[[#This Row],[Industry]], Mean_ROA_S, 2, FALSE))/(VLOOKUP(Main_S[[#This Row],[Industry]], Mean_ROA_S, 3, FALSE))</f>
        <v>-0.74938884869570233</v>
      </c>
      <c r="S54" s="1">
        <f>(Main_S[[#This Row],[A/E]]-VLOOKUP(Main_S[[#This Row],[Industry]], Mean_AE_S, 2, FALSE))/(VLOOKUP(Main_S[[#This Row],[Industry]], Mean_AE_S, 3, FALSE))</f>
        <v>1.6559491153582993</v>
      </c>
      <c r="T54" s="1">
        <f>(Main_S[[#This Row],[P/E]]-VLOOKUP(Main_S[[#This Row],[Industry]], Mean_PE_S, 2, FALSE))/(VLOOKUP(Main_S[[#This Row],[Industry]], Mean_PE_S, 3, FALSE))</f>
        <v>8.4330968401401929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5" spans="1:26" x14ac:dyDescent="0.25">
      <c r="A55" t="s">
        <v>107</v>
      </c>
      <c r="B55" t="s">
        <v>210</v>
      </c>
      <c r="C55" s="2">
        <v>462</v>
      </c>
      <c r="D55">
        <f>RTD("tos.rtd", , "LAST", Main_S[[#This Row],[Symbol]])</f>
        <v>14.04</v>
      </c>
      <c r="E55">
        <v>-0.28999999999999998</v>
      </c>
      <c r="F55">
        <v>16.95</v>
      </c>
      <c r="G55">
        <v>0.03</v>
      </c>
      <c r="H55" s="1">
        <f>IF(ISNUMBER(Main_S[[#This Row],[Free CF]]),IF(Main_S[[#This Row],[Free CF]]&lt;&gt;0,Main_S[[#This Row],[Current Price]]/Main_S[[#This Row],[Free CF]],""),"")</f>
        <v>-48.413793103448278</v>
      </c>
      <c r="I55" s="1">
        <f>IF(ISNUMBER(Main_S[[#This Row],[BVPS]]),IF(Main_S[[#This Row],[BVPS]]&lt;&gt;0,Main_S[[#This Row],[Current Price]]/Main_S[[#This Row],[BVPS]],""),"")</f>
        <v>0.82831858407079639</v>
      </c>
      <c r="J55">
        <v>0.71</v>
      </c>
      <c r="K55">
        <v>-0.55000000000000004</v>
      </c>
      <c r="L55">
        <v>1.37</v>
      </c>
      <c r="M55" s="1">
        <f>IF(ISNUMBER(Main_S[[#This Row],[EPS]]),IF(Main_S[[#This Row],[EPS]]&lt;&gt;0,Main_S[[#This Row],[Current Price]]/Main_S[[#This Row],[EPS]],""),"")</f>
        <v>468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-4.0120908770585029</v>
      </c>
      <c r="P55" s="1">
        <f>(Main_S[[#This Row],[P/B]]-VLOOKUP(Main_S[[#This Row],[Industry]], Mean_PB_S, 2, FALSE))/(VLOOKUP(Main_S[[#This Row],[Industry]], Mean_PB_S, 3, FALSE))</f>
        <v>-0.41812580577883729</v>
      </c>
      <c r="Q55" s="1">
        <f>(Main_S[[#This Row],[ROE]]-VLOOKUP(Main_S[[#This Row],[Industry]], Mean_ROE_S, 2, FALSE))/(VLOOKUP(Main_S[[#This Row],[Industry]], Mean_ROE_S, 3, FALSE))</f>
        <v>-0.20274943180607644</v>
      </c>
      <c r="R55" s="1">
        <f>(Main_S[[#This Row],[ROA]]-VLOOKUP(Main_S[[#This Row],[Industry]], Mean_ROA_S, 2, FALSE))/(VLOOKUP(Main_S[[#This Row],[Industry]], Mean_ROA_S, 3, FALSE))</f>
        <v>-0.93759326722934588</v>
      </c>
      <c r="S55" s="1">
        <f>(Main_S[[#This Row],[A/E]]-VLOOKUP(Main_S[[#This Row],[Industry]], Mean_AE_S, 2, FALSE))/(VLOOKUP(Main_S[[#This Row],[Industry]], Mean_AE_S, 3, FALSE))</f>
        <v>-0.48569767424838867</v>
      </c>
      <c r="T55" s="1">
        <f>(Main_S[[#This Row],[P/E]]-VLOOKUP(Main_S[[#This Row],[Industry]], Mean_PE_S, 2, FALSE))/(VLOOKUP(Main_S[[#This Row],[Industry]], Mean_PE_S, 3, FALSE))</f>
        <v>28.434355534948441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6" spans="1:26" x14ac:dyDescent="0.25">
      <c r="A56" t="s">
        <v>107</v>
      </c>
      <c r="B56" t="s">
        <v>213</v>
      </c>
      <c r="C56" s="2">
        <v>911</v>
      </c>
      <c r="D56">
        <f>RTD("tos.rtd", , "LAST", Main_S[[#This Row],[Symbol]])</f>
        <v>4.8499999999999996</v>
      </c>
      <c r="E56">
        <v>0.23</v>
      </c>
      <c r="F56">
        <v>1.96</v>
      </c>
      <c r="G56">
        <v>0.02</v>
      </c>
      <c r="H56" s="1">
        <f>IF(ISNUMBER(Main_S[[#This Row],[Free CF]]),IF(Main_S[[#This Row],[Free CF]]&lt;&gt;0,Main_S[[#This Row],[Current Price]]/Main_S[[#This Row],[Free CF]],""),"")</f>
        <v>21.086956521739129</v>
      </c>
      <c r="I56" s="1">
        <f>IF(ISNUMBER(Main_S[[#This Row],[BVPS]]),IF(Main_S[[#This Row],[BVPS]]&lt;&gt;0,Main_S[[#This Row],[Current Price]]/Main_S[[#This Row],[BVPS]],""),"")</f>
        <v>2.4744897959183674</v>
      </c>
      <c r="J56">
        <v>1.62</v>
      </c>
      <c r="K56">
        <v>4.4800000000000004</v>
      </c>
      <c r="L56">
        <v>3.02</v>
      </c>
      <c r="M56" s="1">
        <f>IF(ISNUMBER(Main_S[[#This Row],[EPS]]),IF(Main_S[[#This Row],[EPS]]&lt;&gt;0,Main_S[[#This Row],[Current Price]]/Main_S[[#This Row],[EPS]],""),"")</f>
        <v>242.49999999999997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1.0468479758252212</v>
      </c>
      <c r="P56" s="1">
        <f>(Main_S[[#This Row],[P/B]]-VLOOKUP(Main_S[[#This Row],[Industry]], Mean_PB_S, 2, FALSE))/(VLOOKUP(Main_S[[#This Row],[Industry]], Mean_PB_S, 3, FALSE))</f>
        <v>0.9175041565654839</v>
      </c>
      <c r="Q56" s="1">
        <f>(Main_S[[#This Row],[ROE]]-VLOOKUP(Main_S[[#This Row],[Industry]], Mean_ROE_S, 2, FALSE))/(VLOOKUP(Main_S[[#This Row],[Industry]], Mean_ROE_S, 3, FALSE))</f>
        <v>-0.13925743079313022</v>
      </c>
      <c r="R56" s="1">
        <f>(Main_S[[#This Row],[ROA]]-VLOOKUP(Main_S[[#This Row],[Industry]], Mean_ROA_S, 2, FALSE))/(VLOOKUP(Main_S[[#This Row],[Industry]], Mean_ROA_S, 3, FALSE))</f>
        <v>0.72322818053245663</v>
      </c>
      <c r="S56" s="1">
        <f>(Main_S[[#This Row],[A/E]]-VLOOKUP(Main_S[[#This Row],[Industry]], Mean_AE_S, 2, FALSE))/(VLOOKUP(Main_S[[#This Row],[Industry]], Mean_AE_S, 3, FALSE))</f>
        <v>0.28417535469519195</v>
      </c>
      <c r="T56" s="1">
        <f>(Main_S[[#This Row],[P/E]]-VLOOKUP(Main_S[[#This Row],[Industry]], Mean_PE_S, 2, FALSE))/(VLOOKUP(Main_S[[#This Row],[Industry]], Mean_PE_S, 3, FALSE))</f>
        <v>14.683490182267768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7" spans="1:26" x14ac:dyDescent="0.25">
      <c r="A57" t="s">
        <v>107</v>
      </c>
      <c r="B57" t="s">
        <v>223</v>
      </c>
      <c r="C57" s="2">
        <v>1194</v>
      </c>
      <c r="D57">
        <f>RTD("tos.rtd", , "LAST", Main_S[[#This Row],[Symbol]])</f>
        <v>4.55</v>
      </c>
      <c r="E57">
        <v>0.73</v>
      </c>
      <c r="F57">
        <v>2.94</v>
      </c>
      <c r="G57">
        <v>-0.04</v>
      </c>
      <c r="H57" s="1">
        <f>IF(ISNUMBER(Main_S[[#This Row],[Free CF]]),IF(Main_S[[#This Row],[Free CF]]&lt;&gt;0,Main_S[[#This Row],[Current Price]]/Main_S[[#This Row],[Free CF]],""),"")</f>
        <v>6.2328767123287667</v>
      </c>
      <c r="I57" s="1">
        <f>IF(ISNUMBER(Main_S[[#This Row],[BVPS]]),IF(Main_S[[#This Row],[BVPS]]&lt;&gt;0,Main_S[[#This Row],[Current Price]]/Main_S[[#This Row],[BVPS]],""),"")</f>
        <v>1.5476190476190477</v>
      </c>
      <c r="J57">
        <v>2.5499999999999998</v>
      </c>
      <c r="K57">
        <v>2.4900000000000002</v>
      </c>
      <c r="L57">
        <v>11.91</v>
      </c>
      <c r="M57" s="1">
        <f>IF(ISNUMBER(Main_S[[#This Row],[EPS]]),IF(Main_S[[#This Row],[EPS]]&lt;&gt;0,Main_S[[#This Row],[Current Price]]/Main_S[[#This Row],[EPS]],""),"")</f>
        <v>-113.75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-3.4376066748680954E-2</v>
      </c>
      <c r="P57" s="1">
        <f>(Main_S[[#This Row],[P/B]]-VLOOKUP(Main_S[[#This Row],[Industry]], Mean_PB_S, 2, FALSE))/(VLOOKUP(Main_S[[#This Row],[Industry]], Mean_PB_S, 3, FALSE))</f>
        <v>0.16548253588627165</v>
      </c>
      <c r="Q57" s="1">
        <f>(Main_S[[#This Row],[ROE]]-VLOOKUP(Main_S[[#This Row],[Industry]], Mean_ROE_S, 2, FALSE))/(VLOOKUP(Main_S[[#This Row],[Industry]], Mean_ROE_S, 3, FALSE))</f>
        <v>-7.4370001186492909E-2</v>
      </c>
      <c r="R57" s="1">
        <f>(Main_S[[#This Row],[ROA]]-VLOOKUP(Main_S[[#This Row],[Industry]], Mean_ROA_S, 2, FALSE))/(VLOOKUP(Main_S[[#This Row],[Industry]], Mean_ROA_S, 3, FALSE))</f>
        <v>6.6163631616753399E-2</v>
      </c>
      <c r="S57" s="1">
        <f>(Main_S[[#This Row],[A/E]]-VLOOKUP(Main_S[[#This Row],[Industry]], Mean_AE_S, 2, FALSE))/(VLOOKUP(Main_S[[#This Row],[Industry]], Mean_AE_S, 3, FALSE))</f>
        <v>4.4321579167003025</v>
      </c>
      <c r="T57" s="1">
        <f>(Main_S[[#This Row],[P/E]]-VLOOKUP(Main_S[[#This Row],[Industry]], Mean_PE_S, 2, FALSE))/(VLOOKUP(Main_S[[#This Row],[Industry]], Mean_PE_S, 3, FALSE))</f>
        <v>-7.0404378970780774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8" spans="1:26" x14ac:dyDescent="0.25">
      <c r="A58" t="s">
        <v>107</v>
      </c>
      <c r="B58" t="s">
        <v>231</v>
      </c>
      <c r="C58" s="2">
        <v>1029</v>
      </c>
      <c r="D58">
        <f>RTD("tos.rtd", , "LAST", Main_S[[#This Row],[Symbol]])</f>
        <v>2</v>
      </c>
      <c r="E58">
        <v>0.41</v>
      </c>
      <c r="F58">
        <v>1.86</v>
      </c>
      <c r="G58">
        <v>-0.16</v>
      </c>
      <c r="H58" s="1">
        <f>IF(ISNUMBER(Main_S[[#This Row],[Free CF]]),IF(Main_S[[#This Row],[Free CF]]&lt;&gt;0,Main_S[[#This Row],[Current Price]]/Main_S[[#This Row],[Free CF]],""),"")</f>
        <v>4.8780487804878048</v>
      </c>
      <c r="I58" s="1">
        <f>IF(ISNUMBER(Main_S[[#This Row],[BVPS]]),IF(Main_S[[#This Row],[BVPS]]&lt;&gt;0,Main_S[[#This Row],[Current Price]]/Main_S[[#This Row],[BVPS]],""),"")</f>
        <v>1.075268817204301</v>
      </c>
      <c r="J58">
        <v>-7.48</v>
      </c>
      <c r="K58">
        <v>-0.15</v>
      </c>
      <c r="L58">
        <v>2.41</v>
      </c>
      <c r="M58" s="1">
        <f>IF(ISNUMBER(Main_S[[#This Row],[EPS]]),IF(Main_S[[#This Row],[EPS]]&lt;&gt;0,Main_S[[#This Row],[Current Price]]/Main_S[[#This Row],[EPS]],""),"")</f>
        <v>-12.5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-0.13299358814701742</v>
      </c>
      <c r="P58" s="1">
        <f>(Main_S[[#This Row],[P/B]]-VLOOKUP(Main_S[[#This Row],[Industry]], Mean_PB_S, 2, FALSE))/(VLOOKUP(Main_S[[#This Row],[Industry]], Mean_PB_S, 3, FALSE))</f>
        <v>-0.21776139155072269</v>
      </c>
      <c r="Q58" s="1">
        <f>(Main_S[[#This Row],[ROE]]-VLOOKUP(Main_S[[#This Row],[Industry]], Mean_ROE_S, 2, FALSE))/(VLOOKUP(Main_S[[#This Row],[Industry]], Mean_ROE_S, 3, FALSE))</f>
        <v>-0.77417744092259233</v>
      </c>
      <c r="R58" s="1">
        <f>(Main_S[[#This Row],[ROA]]-VLOOKUP(Main_S[[#This Row],[Industry]], Mean_ROA_S, 2, FALSE))/(VLOOKUP(Main_S[[#This Row],[Industry]], Mean_ROA_S, 3, FALSE))</f>
        <v>-0.80551999106538541</v>
      </c>
      <c r="S58" s="1">
        <f>(Main_S[[#This Row],[A/E]]-VLOOKUP(Main_S[[#This Row],[Industry]], Mean_AE_S, 2, FALSE))/(VLOOKUP(Main_S[[#This Row],[Industry]], Mean_AE_S, 3, FALSE))</f>
        <v>-4.4437115667722408E-4</v>
      </c>
      <c r="T58" s="1">
        <f>(Main_S[[#This Row],[P/E]]-VLOOKUP(Main_S[[#This Row],[Industry]], Mean_PE_S, 2, FALSE))/(VLOOKUP(Main_S[[#This Row],[Industry]], Mean_PE_S, 3, FALSE))</f>
        <v>-0.86626886400083625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t="s">
        <v>107</v>
      </c>
      <c r="B59" t="s">
        <v>221</v>
      </c>
      <c r="C59" s="2">
        <v>478</v>
      </c>
      <c r="D59">
        <f>RTD("tos.rtd", , "LAST", Main_S[[#This Row],[Symbol]])</f>
        <v>10.4</v>
      </c>
      <c r="E59">
        <v>-0.33</v>
      </c>
      <c r="F59">
        <v>15.95</v>
      </c>
      <c r="G59">
        <v>-0.17</v>
      </c>
      <c r="H59" s="1">
        <f>IF(ISNUMBER(Main_S[[#This Row],[Free CF]]),IF(Main_S[[#This Row],[Free CF]]&lt;&gt;0,Main_S[[#This Row],[Current Price]]/Main_S[[#This Row],[Free CF]],""),"")</f>
        <v>-31.515151515151516</v>
      </c>
      <c r="I59" s="1">
        <f>IF(ISNUMBER(Main_S[[#This Row],[BVPS]]),IF(Main_S[[#This Row],[BVPS]]&lt;&gt;0,Main_S[[#This Row],[Current Price]]/Main_S[[#This Row],[BVPS]],""),"")</f>
        <v>0.65203761755485901</v>
      </c>
      <c r="J59">
        <v>-1.03</v>
      </c>
      <c r="K59">
        <v>-0.98</v>
      </c>
      <c r="L59">
        <v>1.23</v>
      </c>
      <c r="M59" s="1">
        <f>IF(ISNUMBER(Main_S[[#This Row],[EPS]]),IF(Main_S[[#This Row],[EPS]]&lt;&gt;0,Main_S[[#This Row],[Current Price]]/Main_S[[#This Row],[EPS]],""),"")</f>
        <v>-61.17647058823529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-2.7820437919115317</v>
      </c>
      <c r="P59" s="1">
        <f>(Main_S[[#This Row],[P/B]]-VLOOKUP(Main_S[[#This Row],[Industry]], Mean_PB_S, 2, FALSE))/(VLOOKUP(Main_S[[#This Row],[Industry]], Mean_PB_S, 3, FALSE))</f>
        <v>-0.56115232633464895</v>
      </c>
      <c r="Q59" s="1">
        <f>(Main_S[[#This Row],[ROE]]-VLOOKUP(Main_S[[#This Row],[Industry]], Mean_ROE_S, 2, FALSE))/(VLOOKUP(Main_S[[#This Row],[Industry]], Mean_ROE_S, 3, FALSE))</f>
        <v>-0.32415171945720439</v>
      </c>
      <c r="R59" s="1">
        <f>(Main_S[[#This Row],[ROA]]-VLOOKUP(Main_S[[#This Row],[Industry]], Mean_ROA_S, 2, FALSE))/(VLOOKUP(Main_S[[#This Row],[Industry]], Mean_ROA_S, 3, FALSE))</f>
        <v>-1.0795720391056034</v>
      </c>
      <c r="S59" s="1">
        <f>(Main_S[[#This Row],[A/E]]-VLOOKUP(Main_S[[#This Row],[Industry]], Mean_AE_S, 2, FALSE))/(VLOOKUP(Main_S[[#This Row],[Industry]], Mean_AE_S, 3, FALSE))</f>
        <v>-0.55102023427996527</v>
      </c>
      <c r="T59" s="1">
        <f>(Main_S[[#This Row],[P/E]]-VLOOKUP(Main_S[[#This Row],[Industry]], Mean_PE_S, 2, FALSE))/(VLOOKUP(Main_S[[#This Row],[Industry]], Mean_PE_S, 3, FALSE))</f>
        <v>-3.8345331340786379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0" spans="1:26" x14ac:dyDescent="0.25">
      <c r="A60" t="s">
        <v>107</v>
      </c>
      <c r="B60" t="s">
        <v>219</v>
      </c>
      <c r="C60" s="2">
        <v>514</v>
      </c>
      <c r="D60">
        <f>RTD("tos.rtd", , "LAST", Main_S[[#This Row],[Symbol]])</f>
        <v>5.26</v>
      </c>
      <c r="E60">
        <v>0.39</v>
      </c>
      <c r="F60">
        <v>3.91</v>
      </c>
      <c r="G60">
        <v>-0.19</v>
      </c>
      <c r="H60" s="1">
        <f>IF(ISNUMBER(Main_S[[#This Row],[Free CF]]),IF(Main_S[[#This Row],[Free CF]]&lt;&gt;0,Main_S[[#This Row],[Current Price]]/Main_S[[#This Row],[Free CF]],""),"")</f>
        <v>13.487179487179485</v>
      </c>
      <c r="I60" s="1">
        <f>IF(ISNUMBER(Main_S[[#This Row],[BVPS]]),IF(Main_S[[#This Row],[BVPS]]&lt;&gt;0,Main_S[[#This Row],[Current Price]]/Main_S[[#This Row],[BVPS]],""),"")</f>
        <v>1.3452685421994883</v>
      </c>
      <c r="J60">
        <v>-4.7300000000000004</v>
      </c>
      <c r="K60">
        <v>-2.57</v>
      </c>
      <c r="L60">
        <v>1.36</v>
      </c>
      <c r="M60" s="1">
        <f>IF(ISNUMBER(Main_S[[#This Row],[EPS]]),IF(Main_S[[#This Row],[EPS]]&lt;&gt;0,Main_S[[#This Row],[Current Price]]/Main_S[[#This Row],[EPS]],""),"")</f>
        <v>-27.684210526315788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0.49366247033458804</v>
      </c>
      <c r="P60" s="1">
        <f>(Main_S[[#This Row],[P/B]]-VLOOKUP(Main_S[[#This Row],[Industry]], Mean_PB_S, 2, FALSE))/(VLOOKUP(Main_S[[#This Row],[Industry]], Mean_PB_S, 3, FALSE))</f>
        <v>1.3043532107590782E-3</v>
      </c>
      <c r="Q60" s="1">
        <f>(Main_S[[#This Row],[ROE]]-VLOOKUP(Main_S[[#This Row],[Industry]], Mean_ROE_S, 2, FALSE))/(VLOOKUP(Main_S[[#This Row],[Industry]], Mean_ROE_S, 3, FALSE))</f>
        <v>-0.5823060092900626</v>
      </c>
      <c r="R60" s="1">
        <f>(Main_S[[#This Row],[ROA]]-VLOOKUP(Main_S[[#This Row],[Industry]], Mean_ROA_S, 2, FALSE))/(VLOOKUP(Main_S[[#This Row],[Industry]], Mean_ROA_S, 3, FALSE))</f>
        <v>-1.6045633118573461</v>
      </c>
      <c r="S60" s="1">
        <f>(Main_S[[#This Row],[A/E]]-VLOOKUP(Main_S[[#This Row],[Industry]], Mean_AE_S, 2, FALSE))/(VLOOKUP(Main_S[[#This Row],[Industry]], Mean_AE_S, 3, FALSE))</f>
        <v>-0.49036357139350129</v>
      </c>
      <c r="T60" s="1">
        <f>(Main_S[[#This Row],[P/E]]-VLOOKUP(Main_S[[#This Row],[Industry]], Mean_PE_S, 2, FALSE))/(VLOOKUP(Main_S[[#This Row],[Industry]], Mean_PE_S, 3, FALSE))</f>
        <v>-1.7921936286754476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t="s">
        <v>107</v>
      </c>
      <c r="B61" t="s">
        <v>211</v>
      </c>
      <c r="C61" s="2">
        <v>531</v>
      </c>
      <c r="D61">
        <f>RTD("tos.rtd", , "LAST", Main_S[[#This Row],[Symbol]])</f>
        <v>1.1399999999999999</v>
      </c>
      <c r="E61">
        <v>-0.01</v>
      </c>
      <c r="F61">
        <v>-6.99</v>
      </c>
      <c r="G61">
        <v>-0.23</v>
      </c>
      <c r="H61" s="1">
        <f>IF(ISNUMBER(Main_S[[#This Row],[Free CF]]),IF(Main_S[[#This Row],[Free CF]]&lt;&gt;0,Main_S[[#This Row],[Current Price]]/Main_S[[#This Row],[Free CF]],""),"")</f>
        <v>-113.99999999999999</v>
      </c>
      <c r="I61" s="1">
        <f>IF(ISNUMBER(Main_S[[#This Row],[BVPS]]),IF(Main_S[[#This Row],[BVPS]]&lt;&gt;0,Main_S[[#This Row],[Current Price]]/Main_S[[#This Row],[BVPS]],""),"")</f>
        <v>-0.1630901287553648</v>
      </c>
      <c r="J61">
        <v>3.15</v>
      </c>
      <c r="K61">
        <v>4.67</v>
      </c>
      <c r="L61">
        <v>-1.1599999999999999</v>
      </c>
      <c r="M61" s="1">
        <f>IF(ISNUMBER(Main_S[[#This Row],[EPS]]),IF(Main_S[[#This Row],[EPS]]&lt;&gt;0,Main_S[[#This Row],[Current Price]]/Main_S[[#This Row],[EPS]],""),"")</f>
        <v>-4.9565217391304337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-8.7860913313211029</v>
      </c>
      <c r="P61" s="1">
        <f>(Main_S[[#This Row],[P/B]]-VLOOKUP(Main_S[[#This Row],[Industry]], Mean_PB_S, 2, FALSE))/(VLOOKUP(Main_S[[#This Row],[Industry]], Mean_PB_S, 3, FALSE))</f>
        <v>-1.2225106548454661</v>
      </c>
      <c r="Q61" s="1">
        <f>(Main_S[[#This Row],[ROE]]-VLOOKUP(Main_S[[#This Row],[Industry]], Mean_ROE_S, 2, FALSE))/(VLOOKUP(Main_S[[#This Row],[Industry]], Mean_ROE_S, 3, FALSE))</f>
        <v>-3.2507143375759134E-2</v>
      </c>
      <c r="R61" s="1">
        <f>(Main_S[[#This Row],[ROA]]-VLOOKUP(Main_S[[#This Row],[Industry]], Mean_ROA_S, 2, FALSE))/(VLOOKUP(Main_S[[#This Row],[Industry]], Mean_ROA_S, 3, FALSE))</f>
        <v>0.7859629867103376</v>
      </c>
      <c r="S61" s="1">
        <f>(Main_S[[#This Row],[A/E]]-VLOOKUP(Main_S[[#This Row],[Industry]], Mean_AE_S, 2, FALSE))/(VLOOKUP(Main_S[[#This Row],[Industry]], Mean_AE_S, 3, FALSE))</f>
        <v>-1.6661696519618792</v>
      </c>
      <c r="T61" s="1">
        <f>(Main_S[[#This Row],[P/E]]-VLOOKUP(Main_S[[#This Row],[Industry]], Mean_PE_S, 2, FALSE))/(VLOOKUP(Main_S[[#This Row],[Industry]], Mean_PE_S, 3, FALSE))</f>
        <v>-0.40627172938402395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2" spans="1:26" x14ac:dyDescent="0.25">
      <c r="A62" t="s">
        <v>107</v>
      </c>
      <c r="B62" t="s">
        <v>229</v>
      </c>
      <c r="C62" s="2">
        <v>1080</v>
      </c>
      <c r="D62">
        <f>RTD("tos.rtd", , "LAST", Main_S[[#This Row],[Symbol]])</f>
        <v>2.15</v>
      </c>
      <c r="E62">
        <v>-0.18</v>
      </c>
      <c r="F62">
        <v>-1.1599999999999999</v>
      </c>
      <c r="G62">
        <v>-0.34</v>
      </c>
      <c r="H62" s="1">
        <f>IF(ISNUMBER(Main_S[[#This Row],[Free CF]]),IF(Main_S[[#This Row],[Free CF]]&lt;&gt;0,Main_S[[#This Row],[Current Price]]/Main_S[[#This Row],[Free CF]],""),"")</f>
        <v>-11.944444444444445</v>
      </c>
      <c r="I62" s="1">
        <f>IF(ISNUMBER(Main_S[[#This Row],[BVPS]]),IF(Main_S[[#This Row],[BVPS]]&lt;&gt;0,Main_S[[#This Row],[Current Price]]/Main_S[[#This Row],[BVPS]],""),"")</f>
        <v>-1.853448275862069</v>
      </c>
      <c r="J62">
        <v>28.43</v>
      </c>
      <c r="K62">
        <v>3.19</v>
      </c>
      <c r="L62">
        <v>-58.35</v>
      </c>
      <c r="M62" s="1">
        <f>IF(ISNUMBER(Main_S[[#This Row],[EPS]]),IF(Main_S[[#This Row],[EPS]]&lt;&gt;0,Main_S[[#This Row],[Current Price]]/Main_S[[#This Row],[EPS]],""),"")</f>
        <v>-6.3235294117647047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-1.3574978566181144</v>
      </c>
      <c r="P62" s="1">
        <f>(Main_S[[#This Row],[P/B]]-VLOOKUP(Main_S[[#This Row],[Industry]], Mean_PB_S, 2, FALSE))/(VLOOKUP(Main_S[[#This Row],[Industry]], Mean_PB_S, 3, FALSE))</f>
        <v>-2.5939919273399807</v>
      </c>
      <c r="Q62" s="1">
        <f>(Main_S[[#This Row],[ROE]]-VLOOKUP(Main_S[[#This Row],[Industry]], Mean_ROE_S, 2, FALSE))/(VLOOKUP(Main_S[[#This Row],[Industry]], Mean_ROE_S, 3, FALSE))</f>
        <v>1.7313145990498233</v>
      </c>
      <c r="R62" s="1">
        <f>(Main_S[[#This Row],[ROA]]-VLOOKUP(Main_S[[#This Row],[Industry]], Mean_ROA_S, 2, FALSE))/(VLOOKUP(Main_S[[#This Row],[Industry]], Mean_ROA_S, 3, FALSE))</f>
        <v>0.29729186490368403</v>
      </c>
      <c r="S62" s="1">
        <f>(Main_S[[#This Row],[A/E]]-VLOOKUP(Main_S[[#This Row],[Industry]], Mean_AE_S, 2, FALSE))/(VLOOKUP(Main_S[[#This Row],[Industry]], Mean_AE_S, 3, FALSE))</f>
        <v>-28.350435424860898</v>
      </c>
      <c r="T62" s="1">
        <f>(Main_S[[#This Row],[P/E]]-VLOOKUP(Main_S[[#This Row],[Industry]], Mean_PE_S, 2, FALSE))/(VLOOKUP(Main_S[[#This Row],[Industry]], Mean_PE_S, 3, FALSE))</f>
        <v>-0.48963110163446855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t="s">
        <v>107</v>
      </c>
      <c r="B63" t="s">
        <v>232</v>
      </c>
      <c r="C63" s="2">
        <v>360</v>
      </c>
      <c r="D63">
        <f>RTD("tos.rtd", , "LAST", Main_S[[#This Row],[Symbol]])</f>
        <v>4.08</v>
      </c>
      <c r="E63">
        <v>-0.43</v>
      </c>
      <c r="F63">
        <v>2.37</v>
      </c>
      <c r="G63">
        <v>-0.71</v>
      </c>
      <c r="H63" s="1">
        <f>IF(ISNUMBER(Main_S[[#This Row],[Free CF]]),IF(Main_S[[#This Row],[Free CF]]&lt;&gt;0,Main_S[[#This Row],[Current Price]]/Main_S[[#This Row],[Free CF]],""),"")</f>
        <v>-9.4883720930232567</v>
      </c>
      <c r="I63" s="1">
        <f>IF(ISNUMBER(Main_S[[#This Row],[BVPS]]),IF(Main_S[[#This Row],[BVPS]]&lt;&gt;0,Main_S[[#This Row],[Current Price]]/Main_S[[#This Row],[BVPS]],""),"")</f>
        <v>1.721518987341772</v>
      </c>
      <c r="J63">
        <v>-26.19</v>
      </c>
      <c r="K63">
        <v>0.41</v>
      </c>
      <c r="L63">
        <v>7.66</v>
      </c>
      <c r="M63" s="1">
        <f>IF(ISNUMBER(Main_S[[#This Row],[EPS]]),IF(Main_S[[#This Row],[EPS]]&lt;&gt;0,Main_S[[#This Row],[Current Price]]/Main_S[[#This Row],[EPS]],""),"")</f>
        <v>-5.746478873239437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-1.1787210821069627</v>
      </c>
      <c r="P63" s="1">
        <f>(Main_S[[#This Row],[P/B]]-VLOOKUP(Main_S[[#This Row],[Industry]], Mean_PB_S, 2, FALSE))/(VLOOKUP(Main_S[[#This Row],[Industry]], Mean_PB_S, 3, FALSE))</f>
        <v>0.30657719740866557</v>
      </c>
      <c r="Q63" s="1">
        <f>(Main_S[[#This Row],[ROE]]-VLOOKUP(Main_S[[#This Row],[Industry]], Mean_ROE_S, 2, FALSE))/(VLOOKUP(Main_S[[#This Row],[Industry]], Mean_ROE_S, 3, FALSE))</f>
        <v>-2.07960089032064</v>
      </c>
      <c r="R63" s="1">
        <f>(Main_S[[#This Row],[ROA]]-VLOOKUP(Main_S[[#This Row],[Industry]], Mean_ROA_S, 2, FALSE))/(VLOOKUP(Main_S[[#This Row],[Industry]], Mean_ROA_S, 3, FALSE))</f>
        <v>-0.6206174044358409</v>
      </c>
      <c r="S63" s="1">
        <f>(Main_S[[#This Row],[A/E]]-VLOOKUP(Main_S[[#This Row],[Industry]], Mean_AE_S, 2, FALSE))/(VLOOKUP(Main_S[[#This Row],[Industry]], Mean_AE_S, 3, FALSE))</f>
        <v>2.4491516300274432</v>
      </c>
      <c r="T63" s="1">
        <f>(Main_S[[#This Row],[P/E]]-VLOOKUP(Main_S[[#This Row],[Industry]], Mean_PE_S, 2, FALSE))/(VLOOKUP(Main_S[[#This Row],[Industry]], Mean_PE_S, 3, FALSE))</f>
        <v>-0.45444287876549805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4" spans="1:26" x14ac:dyDescent="0.25">
      <c r="A64" t="s">
        <v>107</v>
      </c>
      <c r="B64" t="s">
        <v>224</v>
      </c>
      <c r="C64" s="2">
        <v>582</v>
      </c>
      <c r="D64">
        <f>RTD("tos.rtd", , "LAST", Main_S[[#This Row],[Symbol]])</f>
        <v>13.74</v>
      </c>
      <c r="E64">
        <v>1.03</v>
      </c>
      <c r="F64">
        <v>4.42</v>
      </c>
      <c r="G64">
        <v>-2.35</v>
      </c>
      <c r="H64" s="1">
        <f>IF(ISNUMBER(Main_S[[#This Row],[Free CF]]),IF(Main_S[[#This Row],[Free CF]]&lt;&gt;0,Main_S[[#This Row],[Current Price]]/Main_S[[#This Row],[Free CF]],""),"")</f>
        <v>13.339805825242719</v>
      </c>
      <c r="I64" s="1">
        <f>IF(ISNUMBER(Main_S[[#This Row],[BVPS]]),IF(Main_S[[#This Row],[BVPS]]&lt;&gt;0,Main_S[[#This Row],[Current Price]]/Main_S[[#This Row],[BVPS]],""),"")</f>
        <v>3.1085972850678734</v>
      </c>
      <c r="J64">
        <v>-51.21</v>
      </c>
      <c r="K64">
        <v>3.46</v>
      </c>
      <c r="L64">
        <v>3.64</v>
      </c>
      <c r="M64" s="1">
        <f>IF(ISNUMBER(Main_S[[#This Row],[EPS]]),IF(Main_S[[#This Row],[EPS]]&lt;&gt;0,Main_S[[#This Row],[Current Price]]/Main_S[[#This Row],[EPS]],""),"")</f>
        <v>-5.8468085106382981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0.48293518540191632</v>
      </c>
      <c r="P64" s="1">
        <f>(Main_S[[#This Row],[P/B]]-VLOOKUP(Main_S[[#This Row],[Industry]], Mean_PB_S, 2, FALSE))/(VLOOKUP(Main_S[[#This Row],[Industry]], Mean_PB_S, 3, FALSE))</f>
        <v>1.4319907152901117</v>
      </c>
      <c r="Q64" s="1">
        <f>(Main_S[[#This Row],[ROE]]-VLOOKUP(Main_S[[#This Row],[Industry]], Mean_ROE_S, 2, FALSE))/(VLOOKUP(Main_S[[#This Row],[Industry]], Mean_ROE_S, 3, FALSE))</f>
        <v>-3.8252820610282381</v>
      </c>
      <c r="R64" s="1">
        <f>(Main_S[[#This Row],[ROA]]-VLOOKUP(Main_S[[#This Row],[Industry]], Mean_ROA_S, 2, FALSE))/(VLOOKUP(Main_S[[#This Row],[Industry]], Mean_ROA_S, 3, FALSE))</f>
        <v>0.38644132631435735</v>
      </c>
      <c r="S64" s="1">
        <f>(Main_S[[#This Row],[A/E]]-VLOOKUP(Main_S[[#This Row],[Industry]], Mean_AE_S, 2, FALSE))/(VLOOKUP(Main_S[[#This Row],[Industry]], Mean_AE_S, 3, FALSE))</f>
        <v>0.57346097769217386</v>
      </c>
      <c r="T64" s="1">
        <f>(Main_S[[#This Row],[P/E]]-VLOOKUP(Main_S[[#This Row],[Industry]], Mean_PE_S, 2, FALSE))/(VLOOKUP(Main_S[[#This Row],[Industry]], Mean_PE_S, 3, FALSE))</f>
        <v>-0.46056092459589726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t="s">
        <v>107</v>
      </c>
      <c r="B65" t="s">
        <v>225</v>
      </c>
      <c r="C65" s="2">
        <v>578</v>
      </c>
      <c r="D65">
        <f>RTD("tos.rtd", , "LAST", Main_S[[#This Row],[Symbol]])</f>
        <v>7.67</v>
      </c>
      <c r="E65">
        <v>-1.63</v>
      </c>
      <c r="F65">
        <v>22</v>
      </c>
      <c r="G65">
        <v>-2.65</v>
      </c>
      <c r="H65" s="1">
        <f>IF(ISNUMBER(Main_S[[#This Row],[Free CF]]),IF(Main_S[[#This Row],[Free CF]]&lt;&gt;0,Main_S[[#This Row],[Current Price]]/Main_S[[#This Row],[Free CF]],""),"")</f>
        <v>-4.705521472392638</v>
      </c>
      <c r="I65" s="1">
        <f>IF(ISNUMBER(Main_S[[#This Row],[BVPS]]),IF(Main_S[[#This Row],[BVPS]]&lt;&gt;0,Main_S[[#This Row],[Current Price]]/Main_S[[#This Row],[BVPS]],""),"")</f>
        <v>0.34863636363636363</v>
      </c>
      <c r="J65">
        <v>-15.4</v>
      </c>
      <c r="K65">
        <v>-0.98</v>
      </c>
      <c r="L65">
        <v>1.44</v>
      </c>
      <c r="M65" s="1">
        <f>IF(ISNUMBER(Main_S[[#This Row],[EPS]]),IF(Main_S[[#This Row],[EPS]]&lt;&gt;0,Main_S[[#This Row],[Current Price]]/Main_S[[#This Row],[EPS]],""),"")</f>
        <v>-2.8943396226415095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-0.83057881079715135</v>
      </c>
      <c r="P65" s="1">
        <f>(Main_S[[#This Row],[P/B]]-VLOOKUP(Main_S[[#This Row],[Industry]], Mean_PB_S, 2, FALSE))/(VLOOKUP(Main_S[[#This Row],[Industry]], Mean_PB_S, 3, FALSE))</f>
        <v>-0.8073185831795674</v>
      </c>
      <c r="Q65" s="1">
        <f>(Main_S[[#This Row],[ROE]]-VLOOKUP(Main_S[[#This Row],[Industry]], Mean_ROE_S, 2, FALSE))/(VLOOKUP(Main_S[[#This Row],[Industry]], Mean_ROE_S, 3, FALSE))</f>
        <v>-1.326767164024278</v>
      </c>
      <c r="R65" s="1">
        <f>(Main_S[[#This Row],[ROA]]-VLOOKUP(Main_S[[#This Row],[Industry]], Mean_ROA_S, 2, FALSE))/(VLOOKUP(Main_S[[#This Row],[Industry]], Mean_ROA_S, 3, FALSE))</f>
        <v>-1.0795720391056034</v>
      </c>
      <c r="S65" s="1">
        <f>(Main_S[[#This Row],[A/E]]-VLOOKUP(Main_S[[#This Row],[Industry]], Mean_AE_S, 2, FALSE))/(VLOOKUP(Main_S[[#This Row],[Industry]], Mean_AE_S, 3, FALSE))</f>
        <v>-0.4530363942326005</v>
      </c>
      <c r="T65" s="1">
        <f>(Main_S[[#This Row],[P/E]]-VLOOKUP(Main_S[[#This Row],[Industry]], Mean_PE_S, 2, FALSE))/(VLOOKUP(Main_S[[#This Row],[Industry]], Mean_PE_S, 3, FALSE))</f>
        <v>-0.28052100381176126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6" spans="1:26" x14ac:dyDescent="0.25">
      <c r="A66" t="s">
        <v>107</v>
      </c>
      <c r="B66" t="s">
        <v>209</v>
      </c>
      <c r="C66" s="2">
        <v>842</v>
      </c>
      <c r="D66">
        <f>RTD("tos.rtd", , "LAST", Main_S[[#This Row],[Symbol]])</f>
        <v>10.49</v>
      </c>
      <c r="E66">
        <v>-1.91</v>
      </c>
      <c r="F66">
        <v>3.64</v>
      </c>
      <c r="G66">
        <v>-2.93</v>
      </c>
      <c r="H66" s="1">
        <f>IF(ISNUMBER(Main_S[[#This Row],[Free CF]]),IF(Main_S[[#This Row],[Free CF]]&lt;&gt;0,Main_S[[#This Row],[Current Price]]/Main_S[[#This Row],[Free CF]],""),"")</f>
        <v>-5.4921465968586389</v>
      </c>
      <c r="I66" s="1">
        <f>IF(ISNUMBER(Main_S[[#This Row],[BVPS]]),IF(Main_S[[#This Row],[BVPS]]&lt;&gt;0,Main_S[[#This Row],[Current Price]]/Main_S[[#This Row],[BVPS]],""),"")</f>
        <v>2.8818681318681318</v>
      </c>
      <c r="J66">
        <v>500.2</v>
      </c>
      <c r="K66">
        <v>-2.2400000000000002</v>
      </c>
      <c r="L66">
        <v>-17.87</v>
      </c>
      <c r="M66" s="1">
        <f>IF(ISNUMBER(Main_S[[#This Row],[EPS]]),IF(Main_S[[#This Row],[EPS]]&lt;&gt;0,Main_S[[#This Row],[Current Price]]/Main_S[[#This Row],[EPS]],""),"")</f>
        <v>-3.5802047781569963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-0.88783701918017821</v>
      </c>
      <c r="P66" s="1">
        <f>(Main_S[[#This Row],[P/B]]-VLOOKUP(Main_S[[#This Row],[Industry]], Mean_PB_S, 2, FALSE))/(VLOOKUP(Main_S[[#This Row],[Industry]], Mean_PB_S, 3, FALSE))</f>
        <v>1.248032784200638</v>
      </c>
      <c r="Q66" s="1">
        <f>(Main_S[[#This Row],[ROE]]-VLOOKUP(Main_S[[#This Row],[Industry]], Mean_ROE_S, 2, FALSE))/(VLOOKUP(Main_S[[#This Row],[Industry]], Mean_ROE_S, 3, FALSE))</f>
        <v>34.647381981332934</v>
      </c>
      <c r="R66" s="1">
        <f>(Main_S[[#This Row],[ROA]]-VLOOKUP(Main_S[[#This Row],[Industry]], Mean_ROA_S, 2, FALSE))/(VLOOKUP(Main_S[[#This Row],[Industry]], Mean_ROA_S, 3, FALSE))</f>
        <v>-1.4956028590220787</v>
      </c>
      <c r="S66" s="1">
        <f>(Main_S[[#This Row],[A/E]]-VLOOKUP(Main_S[[#This Row],[Industry]], Mean_AE_S, 2, FALSE))/(VLOOKUP(Main_S[[#This Row],[Industry]], Mean_AE_S, 3, FALSE))</f>
        <v>-9.4628837814450506</v>
      </c>
      <c r="T66" s="1">
        <f>(Main_S[[#This Row],[P/E]]-VLOOKUP(Main_S[[#This Row],[Industry]], Mean_PE_S, 2, FALSE))/(VLOOKUP(Main_S[[#This Row],[Industry]], Mean_PE_S, 3, FALSE))</f>
        <v>-0.32234468187645682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7" spans="1:26" x14ac:dyDescent="0.25">
      <c r="A67" t="s">
        <v>107</v>
      </c>
      <c r="B67" t="s">
        <v>230</v>
      </c>
      <c r="C67" s="2">
        <v>824</v>
      </c>
      <c r="D67">
        <f>RTD("tos.rtd", , "LAST", Main_S[[#This Row],[Symbol]])</f>
        <v>135.87</v>
      </c>
      <c r="E67">
        <v>57.62</v>
      </c>
      <c r="F67">
        <v>315.5</v>
      </c>
      <c r="G67">
        <v>-3.88</v>
      </c>
      <c r="H67" s="1">
        <f>IF(ISNUMBER(Main_S[[#This Row],[Free CF]]),IF(Main_S[[#This Row],[Free CF]]&lt;&gt;0,Main_S[[#This Row],[Current Price]]/Main_S[[#This Row],[Free CF]],""),"")</f>
        <v>2.3580354043734815</v>
      </c>
      <c r="I67" s="1">
        <f>IF(ISNUMBER(Main_S[[#This Row],[BVPS]]),IF(Main_S[[#This Row],[BVPS]]&lt;&gt;0,Main_S[[#This Row],[Current Price]]/Main_S[[#This Row],[BVPS]],""),"")</f>
        <v>0.43064976228209195</v>
      </c>
      <c r="J67">
        <v>-1.0900000000000001</v>
      </c>
      <c r="K67">
        <v>4.09</v>
      </c>
      <c r="L67">
        <v>3.62</v>
      </c>
      <c r="M67" s="1">
        <f>IF(ISNUMBER(Main_S[[#This Row],[EPS]]),IF(Main_S[[#This Row],[EPS]]&lt;&gt;0,Main_S[[#This Row],[Current Price]]/Main_S[[#This Row],[EPS]],""),"")</f>
        <v>-35.018041237113401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-0.31642461079013556</v>
      </c>
      <c r="P67" s="1">
        <f>(Main_S[[#This Row],[P/B]]-VLOOKUP(Main_S[[#This Row],[Industry]], Mean_PB_S, 2, FALSE))/(VLOOKUP(Main_S[[#This Row],[Industry]], Mean_PB_S, 3, FALSE))</f>
        <v>-0.74077656631245015</v>
      </c>
      <c r="Q67" s="1">
        <f>(Main_S[[#This Row],[ROE]]-VLOOKUP(Main_S[[#This Row],[Industry]], Mean_ROE_S, 2, FALSE))/(VLOOKUP(Main_S[[#This Row],[Industry]], Mean_ROE_S, 3, FALSE))</f>
        <v>-0.32833800523827772</v>
      </c>
      <c r="R67" s="1">
        <f>(Main_S[[#This Row],[ROA]]-VLOOKUP(Main_S[[#This Row],[Industry]], Mean_ROA_S, 2, FALSE))/(VLOOKUP(Main_S[[#This Row],[Industry]], Mean_ROA_S, 3, FALSE))</f>
        <v>0.59445673627259499</v>
      </c>
      <c r="S67" s="1">
        <f>(Main_S[[#This Row],[A/E]]-VLOOKUP(Main_S[[#This Row],[Industry]], Mean_AE_S, 2, FALSE))/(VLOOKUP(Main_S[[#This Row],[Industry]], Mean_AE_S, 3, FALSE))</f>
        <v>0.56412918340194862</v>
      </c>
      <c r="T67" s="1">
        <f>(Main_S[[#This Row],[P/E]]-VLOOKUP(Main_S[[#This Row],[Industry]], Mean_PE_S, 2, FALSE))/(VLOOKUP(Main_S[[#This Row],[Industry]], Mean_PE_S, 3, FALSE))</f>
        <v>-2.2394065715735954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8" spans="1:26" x14ac:dyDescent="0.25">
      <c r="A68" t="s">
        <v>107</v>
      </c>
      <c r="B68" t="s">
        <v>226</v>
      </c>
      <c r="C68" s="2">
        <v>297</v>
      </c>
      <c r="D68">
        <f>RTD("tos.rtd", , "LAST", Main_S[[#This Row],[Symbol]])</f>
        <v>6.75</v>
      </c>
      <c r="E68">
        <v>6.29</v>
      </c>
      <c r="F68">
        <v>19.79</v>
      </c>
      <c r="G68">
        <v>-5.7</v>
      </c>
      <c r="H68" s="1">
        <f>IF(ISNUMBER(Main_S[[#This Row],[Free CF]]),IF(Main_S[[#This Row],[Free CF]]&lt;&gt;0,Main_S[[#This Row],[Current Price]]/Main_S[[#This Row],[Free CF]],""),"")</f>
        <v>1.0731319554848966</v>
      </c>
      <c r="I68" s="1">
        <f>IF(ISNUMBER(Main_S[[#This Row],[BVPS]]),IF(Main_S[[#This Row],[BVPS]]&lt;&gt;0,Main_S[[#This Row],[Current Price]]/Main_S[[#This Row],[BVPS]],""),"")</f>
        <v>0.34108135421930269</v>
      </c>
      <c r="J68">
        <v>-22.15</v>
      </c>
      <c r="K68">
        <v>5.26</v>
      </c>
      <c r="L68">
        <v>4.87</v>
      </c>
      <c r="M68" s="1">
        <f>IF(ISNUMBER(Main_S[[#This Row],[EPS]]),IF(Main_S[[#This Row],[EPS]]&lt;&gt;0,Main_S[[#This Row],[Current Price]]/Main_S[[#This Row],[EPS]],""),"")</f>
        <v>-1.1842105263157894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-0.40995234991298152</v>
      </c>
      <c r="P68" s="1">
        <f>(Main_S[[#This Row],[P/B]]-VLOOKUP(Main_S[[#This Row],[Industry]], Mean_PB_S, 2, FALSE))/(VLOOKUP(Main_S[[#This Row],[Industry]], Mean_PB_S, 3, FALSE))</f>
        <v>-0.81344838114383555</v>
      </c>
      <c r="Q68" s="1">
        <f>(Main_S[[#This Row],[ROE]]-VLOOKUP(Main_S[[#This Row],[Industry]], Mean_ROE_S, 2, FALSE))/(VLOOKUP(Main_S[[#This Row],[Industry]], Mean_ROE_S, 3, FALSE))</f>
        <v>-1.7977243143950328</v>
      </c>
      <c r="R68" s="1">
        <f>(Main_S[[#This Row],[ROA]]-VLOOKUP(Main_S[[#This Row],[Industry]], Mean_ROA_S, 2, FALSE))/(VLOOKUP(Main_S[[#This Row],[Industry]], Mean_ROA_S, 3, FALSE))</f>
        <v>0.98077106905217926</v>
      </c>
      <c r="S68" s="1">
        <f>(Main_S[[#This Row],[A/E]]-VLOOKUP(Main_S[[#This Row],[Industry]], Mean_AE_S, 2, FALSE))/(VLOOKUP(Main_S[[#This Row],[Industry]], Mean_AE_S, 3, FALSE))</f>
        <v>1.1473663265410248</v>
      </c>
      <c r="T68" s="1">
        <f>(Main_S[[#This Row],[P/E]]-VLOOKUP(Main_S[[#This Row],[Industry]], Mean_PE_S, 2, FALSE))/(VLOOKUP(Main_S[[#This Row],[Industry]], Mean_PE_S, 3, FALSE))</f>
        <v>-0.17623827680831802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t="s">
        <v>106</v>
      </c>
      <c r="B69" t="s">
        <v>208</v>
      </c>
      <c r="C69" s="2">
        <v>333</v>
      </c>
      <c r="D69">
        <f>RTD("tos.rtd", , "LAST", Main_S[[#This Row],[Symbol]])</f>
        <v>16.54</v>
      </c>
      <c r="E69">
        <v>1.29</v>
      </c>
      <c r="F69">
        <v>7.38</v>
      </c>
      <c r="G69">
        <v>0.77</v>
      </c>
      <c r="H69" s="1">
        <f>IF(ISNUMBER(Main_S[[#This Row],[Free CF]]),IF(Main_S[[#This Row],[Free CF]]&lt;&gt;0,Main_S[[#This Row],[Current Price]]/Main_S[[#This Row],[Free CF]],""),"")</f>
        <v>12.821705426356589</v>
      </c>
      <c r="I69" s="1">
        <f>IF(ISNUMBER(Main_S[[#This Row],[BVPS]]),IF(Main_S[[#This Row],[BVPS]]&lt;&gt;0,Main_S[[#This Row],[Current Price]]/Main_S[[#This Row],[BVPS]],""),"")</f>
        <v>2.2411924119241191</v>
      </c>
      <c r="J69">
        <v>10.210000000000001</v>
      </c>
      <c r="K69">
        <v>6.21</v>
      </c>
      <c r="L69">
        <v>1.35</v>
      </c>
      <c r="M69" s="1">
        <f>IF(ISNUMBER(Main_S[[#This Row],[EPS]]),IF(Main_S[[#This Row],[EPS]]&lt;&gt;0,Main_S[[#This Row],[Current Price]]/Main_S[[#This Row],[EPS]],""),"")</f>
        <v>21.480519480519479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69" s="1">
        <f>(Main_S[[#This Row],[P/FCF]]-VLOOKUP(Main_S[[#This Row],[Industry]], Mean_PFCF_S, 2, FALSE))/(VLOOKUP(Main_S[[#This Row],[Industry]], Mean_PFCF_S, 3, FALSE))</f>
        <v>-1</v>
      </c>
      <c r="P69" s="1">
        <f>(Main_S[[#This Row],[P/B]]-VLOOKUP(Main_S[[#This Row],[Industry]], Mean_PB_S, 2, FALSE))/(VLOOKUP(Main_S[[#This Row],[Industry]], Mean_PB_S, 3, FALSE))</f>
        <v>-1</v>
      </c>
      <c r="Q69" s="1">
        <f>(Main_S[[#This Row],[ROE]]-VLOOKUP(Main_S[[#This Row],[Industry]], Mean_ROE_S, 2, FALSE))/(VLOOKUP(Main_S[[#This Row],[Industry]], Mean_ROE_S, 3, FALSE))</f>
        <v>0.99999999999999978</v>
      </c>
      <c r="R69" s="1">
        <f>(Main_S[[#This Row],[ROA]]-VLOOKUP(Main_S[[#This Row],[Industry]], Mean_ROA_S, 2, FALSE))/(VLOOKUP(Main_S[[#This Row],[Industry]], Mean_ROA_S, 3, FALSE))</f>
        <v>-1.0000000000000338</v>
      </c>
      <c r="S69" s="1">
        <f>(Main_S[[#This Row],[A/E]]-VLOOKUP(Main_S[[#This Row],[Industry]], Mean_AE_S, 2, FALSE))/(VLOOKUP(Main_S[[#This Row],[Industry]], Mean_AE_S, 3, FALSE))</f>
        <v>-1.0000000000000002</v>
      </c>
      <c r="T69" s="1">
        <f>(Main_S[[#This Row],[P/E]]-VLOOKUP(Main_S[[#This Row],[Industry]], Mean_PE_S, 2, FALSE))/(VLOOKUP(Main_S[[#This Row],[Industry]], Mean_PE_S, 3, FALSE))</f>
        <v>1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t="s">
        <v>106</v>
      </c>
      <c r="B70" t="s">
        <v>207</v>
      </c>
      <c r="C70" s="2">
        <v>1403</v>
      </c>
      <c r="D70">
        <f>RTD("tos.rtd", , "LAST", Main_S[[#This Row],[Symbol]])</f>
        <v>11.75</v>
      </c>
      <c r="E70">
        <v>0.12</v>
      </c>
      <c r="F70">
        <v>0.63</v>
      </c>
      <c r="G70">
        <v>-0.04</v>
      </c>
      <c r="H70" s="1">
        <f>IF(ISNUMBER(Main_S[[#This Row],[Free CF]]),IF(Main_S[[#This Row],[Free CF]]&lt;&gt;0,Main_S[[#This Row],[Current Price]]/Main_S[[#This Row],[Free CF]],""),"")</f>
        <v>97.916666666666671</v>
      </c>
      <c r="I70" s="1">
        <f>IF(ISNUMBER(Main_S[[#This Row],[BVPS]]),IF(Main_S[[#This Row],[BVPS]]&lt;&gt;0,Main_S[[#This Row],[Current Price]]/Main_S[[#This Row],[BVPS]],""),"")</f>
        <v>18.650793650793652</v>
      </c>
      <c r="J70">
        <v>-6.47</v>
      </c>
      <c r="K70">
        <v>6.7</v>
      </c>
      <c r="L70">
        <v>14.93</v>
      </c>
      <c r="M70" s="1">
        <f>IF(ISNUMBER(Main_S[[#This Row],[EPS]]),IF(Main_S[[#This Row],[EPS]]&lt;&gt;0,Main_S[[#This Row],[Current Price]]/Main_S[[#This Row],[EPS]],""),"")</f>
        <v>-293.75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1</v>
      </c>
      <c r="P70" s="1">
        <f>(Main_S[[#This Row],[P/B]]-VLOOKUP(Main_S[[#This Row],[Industry]], Mean_PB_S, 2, FALSE))/(VLOOKUP(Main_S[[#This Row],[Industry]], Mean_PB_S, 3, FALSE))</f>
        <v>1.0000000000000002</v>
      </c>
      <c r="Q70" s="1">
        <f>(Main_S[[#This Row],[ROE]]-VLOOKUP(Main_S[[#This Row],[Industry]], Mean_ROE_S, 2, FALSE))/(VLOOKUP(Main_S[[#This Row],[Industry]], Mean_ROE_S, 3, FALSE))</f>
        <v>-0.99999999999999978</v>
      </c>
      <c r="R70" s="1">
        <f>(Main_S[[#This Row],[ROA]]-VLOOKUP(Main_S[[#This Row],[Industry]], Mean_ROA_S, 2, FALSE))/(VLOOKUP(Main_S[[#This Row],[Industry]], Mean_ROA_S, 3, FALSE))</f>
        <v>1.0000000000000338</v>
      </c>
      <c r="S70" s="1">
        <f>(Main_S[[#This Row],[A/E]]-VLOOKUP(Main_S[[#This Row],[Industry]], Mean_AE_S, 2, FALSE))/(VLOOKUP(Main_S[[#This Row],[Industry]], Mean_AE_S, 3, FALSE))</f>
        <v>1</v>
      </c>
      <c r="T70" s="1">
        <f>(Main_S[[#This Row],[P/E]]-VLOOKUP(Main_S[[#This Row],[Industry]], Mean_PE_S, 2, FALSE))/(VLOOKUP(Main_S[[#This Row],[Industry]], Mean_PE_S, 3, FALSE))</f>
        <v>-1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25"/>
  <sheetViews>
    <sheetView topLeftCell="A5" workbookViewId="0">
      <selection activeCell="B24" sqref="B24"/>
    </sheetView>
  </sheetViews>
  <sheetFormatPr defaultRowHeight="15" x14ac:dyDescent="0.25"/>
  <cols>
    <col min="1" max="1" width="36.7109375" bestFit="1" customWidth="1"/>
    <col min="2" max="3" width="60.140625" bestFit="1" customWidth="1"/>
    <col min="4" max="4" width="45.140625" bestFit="1" customWidth="1"/>
    <col min="5" max="5" width="45.42578125" bestFit="1" customWidth="1"/>
    <col min="6" max="7" width="58" bestFit="1" customWidth="1"/>
    <col min="8" max="8" width="39" bestFit="1" customWidth="1"/>
    <col min="9" max="9" width="39.28515625" bestFit="1" customWidth="1"/>
    <col min="10" max="11" width="58.7109375" bestFit="1" customWidth="1"/>
    <col min="12" max="12" width="40.7109375" bestFit="1" customWidth="1"/>
    <col min="13" max="13" width="41" bestFit="1" customWidth="1"/>
    <col min="14" max="15" width="58.85546875" bestFit="1" customWidth="1"/>
    <col min="16" max="16" width="41.140625" bestFit="1" customWidth="1"/>
    <col min="17" max="17" width="41.42578125" bestFit="1" customWidth="1"/>
    <col min="18" max="19" width="57.85546875" bestFit="1" customWidth="1"/>
    <col min="20" max="20" width="38.5703125" bestFit="1" customWidth="1"/>
    <col min="21" max="21" width="38.85546875" bestFit="1" customWidth="1"/>
    <col min="22" max="23" width="57.8554687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107</v>
      </c>
      <c r="B3" s="1" cm="1">
        <f t="array" ref="B3">_xlfn.QUARTILE.INC(IF(Quartile_L[[#This Row],[Industry]]=Main_L[Industry],Main_L[P/FCF]),1)</f>
        <v>9.6195054945054945</v>
      </c>
      <c r="C3" s="1" cm="1">
        <f t="array" ref="C3">_xlfn.QUARTILE.INC(IF(Quartile_L[[#This Row],[Industry]]=Main_L[Industry],Main_L[P/FCF]),3)</f>
        <v>19.993993447397163</v>
      </c>
      <c r="D3" s="1">
        <f>Quartile_L[[#This Row],[P/FCF Q1]]-1.5*(Quartile_L[[#This Row],[P/FCF Q3]]-Quartile_L[[#This Row],[P/FCF Q1]])</f>
        <v>-5.9422264348320066</v>
      </c>
      <c r="E3" s="1">
        <f>Quartile_L[[#This Row],[P/FCF Q3]]+1.5*(Quartile_L[[#This Row],[P/FCF Q3]]-Quartile_L[[#This Row],[P/FCF Q1]])</f>
        <v>35.555725376734664</v>
      </c>
      <c r="F3" s="1" cm="1">
        <f t="array" ref="F3">_xlfn.QUARTILE.INC(IF(Quartile_L[[#This Row],[Industry]]=Main_L[Industry],Main_L[P/B]),1)</f>
        <v>1.6007165129860517</v>
      </c>
      <c r="G3" s="1" cm="1">
        <f t="array" ref="G3">_xlfn.QUARTILE.INC(IF(Quartile_L[[#This Row],[Industry]]=Main_L[Industry],Main_L[P/B]),3)</f>
        <v>2.9439567662916861</v>
      </c>
      <c r="H3" s="1">
        <f>Quartile_L[[#This Row],[P/B Q1]]-1.5*(Quartile_L[[#This Row],[P/B Q3]]-Quartile_L[[#This Row],[P/B Q1]])</f>
        <v>-0.41414386697240024</v>
      </c>
      <c r="I3" s="1">
        <f>Quartile_L[[#This Row],[P/B Q3]]+1.5*(Quartile_L[[#This Row],[P/B Q3]]-Quartile_L[[#This Row],[P/B Q1]])</f>
        <v>4.958817146250138</v>
      </c>
      <c r="J3" s="1" cm="1">
        <f t="array" ref="J3">_xlfn.QUARTILE.INC(IF(Quartile_L[[#This Row],[Industry]]=Main_L[Industry],Main_L[ROE]),1)</f>
        <v>9.32</v>
      </c>
      <c r="K3" s="1" cm="1">
        <f t="array" ref="K3">_xlfn.QUARTILE.INC(IF(Quartile_L[[#This Row],[Industry]]=Main_L[Industry],Main_L[ROE]),3)</f>
        <v>17.7575</v>
      </c>
      <c r="L3" s="1">
        <f>Quartile_L[[#This Row],[ROE Q1]]-1.5*(Quartile_L[[#This Row],[ROE Q3]]-Quartile_L[[#This Row],[ROE Q1]])</f>
        <v>-3.3362499999999997</v>
      </c>
      <c r="M3" s="1">
        <f>Quartile_L[[#This Row],[ROE Q3]]+1.5*(Quartile_L[[#This Row],[ROE Q3]]-Quartile_L[[#This Row],[ROE Q1]])</f>
        <v>30.41375</v>
      </c>
      <c r="N3" s="1" cm="1">
        <f t="array" ref="N3">_xlfn.QUARTILE.INC(IF(Quartile_L[[#This Row],[Industry]]=Main_L[Industry],Main_L[ROA]),1)</f>
        <v>3.53</v>
      </c>
      <c r="O3" s="1" cm="1">
        <f t="array" ref="O3">_xlfn.QUARTILE.INC(IF(Quartile_L[[#This Row],[Industry]]=Main_L[Industry],Main_L[ROA]),3)</f>
        <v>5.5949999999999998</v>
      </c>
      <c r="P3" s="1">
        <f>Quartile_L[[#This Row],[ROA Q1]]-1.5*(Quartile_L[[#This Row],[ROA Q3]]-Quartile_L[[#This Row],[ROA Q1]])</f>
        <v>0.43249999999999966</v>
      </c>
      <c r="Q3" s="1">
        <f>Quartile_L[[#This Row],[ROA Q3]]+1.5*(Quartile_L[[#This Row],[ROA Q3]]-Quartile_L[[#This Row],[ROA Q1]])</f>
        <v>8.692499999999999</v>
      </c>
      <c r="R3" s="1" cm="1">
        <f t="array" ref="R3">_xlfn.QUARTILE.INC(IF(Quartile_L[[#This Row],[Industry]]=Main_L[Industry],Main_L[P/E]),1)</f>
        <v>11.326533154160307</v>
      </c>
      <c r="S3" s="1" cm="1">
        <f t="array" ref="S3">_xlfn.QUARTILE.INC(IF(Quartile_L[[#This Row],[Industry]]=Main_L[Industry],Main_L[P/E]),3)</f>
        <v>29.129461154835194</v>
      </c>
      <c r="T3" s="1">
        <f>Quartile_L[[#This Row],[P/E Q1]]-1.5*(Quartile_L[[#This Row],[P/E Q3]]-Quartile_L[[#This Row],[P/E Q1]])</f>
        <v>-15.377858846852027</v>
      </c>
      <c r="U3" s="1">
        <f>Quartile_L[[#This Row],[P/E Q3]]+1.5*(Quartile_L[[#This Row],[P/E Q3]]-Quartile_L[[#This Row],[P/E Q1]])</f>
        <v>55.833853155847528</v>
      </c>
      <c r="V3" s="1" cm="1">
        <f t="array" ref="V3">_xlfn.QUARTILE.INC(IF(Quartile_L[[#This Row],[Industry]]=Main_L[Industry],Main_L[A/E]),1)</f>
        <v>2.02</v>
      </c>
      <c r="W3" s="1" cm="1">
        <f t="array" ref="W3">_xlfn.QUARTILE.INC(IF(Quartile_L[[#This Row],[Industry]]=Main_L[Industry],Main_L[A/E]),3)</f>
        <v>2.8424999999999998</v>
      </c>
      <c r="X3" s="1">
        <f>Quartile_L[[#This Row],[A/E Q1]]-1.5*(Quartile_L[[#This Row],[A/E Q3]]-Quartile_L[[#This Row],[A/E Q1]])</f>
        <v>0.78625000000000034</v>
      </c>
      <c r="Y3" s="1">
        <f>Quartile_L[[#This Row],[A/E Q3]]+1.5*(Quartile_L[[#This Row],[A/E Q3]]-Quartile_L[[#This Row],[A/E Q1]])</f>
        <v>4.0762499999999999</v>
      </c>
    </row>
    <row r="4" spans="1:25" x14ac:dyDescent="0.25">
      <c r="A4" t="s">
        <v>109</v>
      </c>
      <c r="B4" s="1" cm="1">
        <f t="array" ref="B4">_xlfn.QUARTILE.INC(IF(Quartile_L[[#This Row],[Industry]]=Main_L[Industry],Main_L[P/FCF]),1)</f>
        <v>16.01673640167364</v>
      </c>
      <c r="C4" s="1" cm="1">
        <f t="array" ref="C4">_xlfn.QUARTILE.INC(IF(Quartile_L[[#This Row],[Industry]]=Main_L[Industry],Main_L[P/FCF]),3)</f>
        <v>33.561895551257251</v>
      </c>
      <c r="D4" s="1">
        <f>Quartile_L[[#This Row],[P/FCF Q1]]-1.5*(Quartile_L[[#This Row],[P/FCF Q3]]-Quartile_L[[#This Row],[P/FCF Q1]])</f>
        <v>-10.301002322701777</v>
      </c>
      <c r="E4" s="1">
        <f>Quartile_L[[#This Row],[P/FCF Q3]]+1.5*(Quartile_L[[#This Row],[P/FCF Q3]]-Quartile_L[[#This Row],[P/FCF Q1]])</f>
        <v>59.879634275632668</v>
      </c>
      <c r="F4" s="1" cm="1">
        <f t="array" ref="F4">_xlfn.QUARTILE.INC(IF(Quartile_L[[#This Row],[Industry]]=Main_L[Industry],Main_L[P/B]),1)</f>
        <v>4.4305555555555554</v>
      </c>
      <c r="G4" s="1" cm="1">
        <f t="array" ref="G4">_xlfn.QUARTILE.INC(IF(Quartile_L[[#This Row],[Industry]]=Main_L[Industry],Main_L[P/B]),3)</f>
        <v>6.2523759239704324</v>
      </c>
      <c r="H4" s="1">
        <f>Quartile_L[[#This Row],[P/B Q1]]-1.5*(Quartile_L[[#This Row],[P/B Q3]]-Quartile_L[[#This Row],[P/B Q1]])</f>
        <v>1.6978250029332398</v>
      </c>
      <c r="I4" s="1">
        <f>Quartile_L[[#This Row],[P/B Q3]]+1.5*(Quartile_L[[#This Row],[P/B Q3]]-Quartile_L[[#This Row],[P/B Q1]])</f>
        <v>8.9851064765927475</v>
      </c>
      <c r="J4" s="1" cm="1">
        <f t="array" ref="J4">_xlfn.QUARTILE.INC(IF(Quartile_L[[#This Row],[Industry]]=Main_L[Industry],Main_L[ROE]),1)</f>
        <v>9.3699999999999992</v>
      </c>
      <c r="K4" s="1" cm="1">
        <f t="array" ref="K4">_xlfn.QUARTILE.INC(IF(Quartile_L[[#This Row],[Industry]]=Main_L[Industry],Main_L[ROE]),3)</f>
        <v>35.68</v>
      </c>
      <c r="L4" s="1">
        <f>Quartile_L[[#This Row],[ROE Q1]]-1.5*(Quartile_L[[#This Row],[ROE Q3]]-Quartile_L[[#This Row],[ROE Q1]])</f>
        <v>-30.095000000000006</v>
      </c>
      <c r="M4" s="1">
        <f>Quartile_L[[#This Row],[ROE Q3]]+1.5*(Quartile_L[[#This Row],[ROE Q3]]-Quartile_L[[#This Row],[ROE Q1]])</f>
        <v>75.14500000000001</v>
      </c>
      <c r="N4" s="1" cm="1">
        <f t="array" ref="N4">_xlfn.QUARTILE.INC(IF(Quartile_L[[#This Row],[Industry]]=Main_L[Industry],Main_L[ROA]),1)</f>
        <v>2.93</v>
      </c>
      <c r="O4" s="1" cm="1">
        <f t="array" ref="O4">_xlfn.QUARTILE.INC(IF(Quartile_L[[#This Row],[Industry]]=Main_L[Industry],Main_L[ROA]),3)</f>
        <v>16.899999999999999</v>
      </c>
      <c r="P4" s="1">
        <f>Quartile_L[[#This Row],[ROA Q1]]-1.5*(Quartile_L[[#This Row],[ROA Q3]]-Quartile_L[[#This Row],[ROA Q1]])</f>
        <v>-18.024999999999999</v>
      </c>
      <c r="Q4" s="1">
        <f>Quartile_L[[#This Row],[ROA Q3]]+1.5*(Quartile_L[[#This Row],[ROA Q3]]-Quartile_L[[#This Row],[ROA Q1]])</f>
        <v>37.854999999999997</v>
      </c>
      <c r="R4" s="1" cm="1">
        <f t="array" ref="R4">_xlfn.QUARTILE.INC(IF(Quartile_L[[#This Row],[Industry]]=Main_L[Industry],Main_L[P/E]),1)</f>
        <v>8.8571428571428577</v>
      </c>
      <c r="S4" s="1" cm="1">
        <f t="array" ref="S4">_xlfn.QUARTILE.INC(IF(Quartile_L[[#This Row],[Industry]]=Main_L[Industry],Main_L[P/E]),3)</f>
        <v>19.824776785714285</v>
      </c>
      <c r="T4" s="1">
        <f>Quartile_L[[#This Row],[P/E Q1]]-1.5*(Quartile_L[[#This Row],[P/E Q3]]-Quartile_L[[#This Row],[P/E Q1]])</f>
        <v>-7.5943080357142811</v>
      </c>
      <c r="U4" s="1">
        <f>Quartile_L[[#This Row],[P/E Q3]]+1.5*(Quartile_L[[#This Row],[P/E Q3]]-Quartile_L[[#This Row],[P/E Q1]])</f>
        <v>36.276227678571423</v>
      </c>
      <c r="V4" s="1" cm="1">
        <f t="array" ref="V4">_xlfn.QUARTILE.INC(IF(Quartile_L[[#This Row],[Industry]]=Main_L[Industry],Main_L[A/E]),1)</f>
        <v>1.38</v>
      </c>
      <c r="W4" s="1" cm="1">
        <f t="array" ref="W4">_xlfn.QUARTILE.INC(IF(Quartile_L[[#This Row],[Industry]]=Main_L[Industry],Main_L[A/E]),3)</f>
        <v>1.68</v>
      </c>
      <c r="X4" s="1">
        <f>Quartile_L[[#This Row],[A/E Q1]]-1.5*(Quartile_L[[#This Row],[A/E Q3]]-Quartile_L[[#This Row],[A/E Q1]])</f>
        <v>0.92999999999999983</v>
      </c>
      <c r="Y4" s="1">
        <f>Quartile_L[[#This Row],[A/E Q3]]+1.5*(Quartile_L[[#This Row],[A/E Q3]]-Quartile_L[[#This Row],[A/E Q1]])</f>
        <v>2.13</v>
      </c>
    </row>
    <row r="5" spans="1:25" x14ac:dyDescent="0.25">
      <c r="A5" t="s">
        <v>108</v>
      </c>
      <c r="B5" s="1" cm="1">
        <f t="array" ref="B5">_xlfn.QUARTILE.INC(IF(Quartile_L[[#This Row],[Industry]]=Main_L[Industry],Main_L[P/FCF]),1)</f>
        <v>19.983368105343935</v>
      </c>
      <c r="C5" s="1" cm="1">
        <f t="array" ref="C5">_xlfn.QUARTILE.INC(IF(Quartile_L[[#This Row],[Industry]]=Main_L[Industry],Main_L[P/FCF]),3)</f>
        <v>47.782141776560962</v>
      </c>
      <c r="D5" s="1">
        <f>Quartile_L[[#This Row],[P/FCF Q1]]-1.5*(Quartile_L[[#This Row],[P/FCF Q3]]-Quartile_L[[#This Row],[P/FCF Q1]])</f>
        <v>-21.71479240148161</v>
      </c>
      <c r="E5" s="1">
        <f>Quartile_L[[#This Row],[P/FCF Q3]]+1.5*(Quartile_L[[#This Row],[P/FCF Q3]]-Quartile_L[[#This Row],[P/FCF Q1]])</f>
        <v>89.480302283386507</v>
      </c>
      <c r="F5" s="1" cm="1">
        <f t="array" ref="F5">_xlfn.QUARTILE.INC(IF(Quartile_L[[#This Row],[Industry]]=Main_L[Industry],Main_L[P/B]),1)</f>
        <v>3.0862673051305931</v>
      </c>
      <c r="G5" s="1" cm="1">
        <f t="array" ref="G5">_xlfn.QUARTILE.INC(IF(Quartile_L[[#This Row],[Industry]]=Main_L[Industry],Main_L[P/B]),3)</f>
        <v>21.037321850883743</v>
      </c>
      <c r="H5" s="1">
        <f>Quartile_L[[#This Row],[P/B Q1]]-1.5*(Quartile_L[[#This Row],[P/B Q3]]-Quartile_L[[#This Row],[P/B Q1]])</f>
        <v>-23.840314513499127</v>
      </c>
      <c r="I5" s="1">
        <f>Quartile_L[[#This Row],[P/B Q3]]+1.5*(Quartile_L[[#This Row],[P/B Q3]]-Quartile_L[[#This Row],[P/B Q1]])</f>
        <v>47.963903669513464</v>
      </c>
      <c r="J5" s="1" cm="1">
        <f t="array" ref="J5">_xlfn.QUARTILE.INC(IF(Quartile_L[[#This Row],[Industry]]=Main_L[Industry],Main_L[ROE]),1)</f>
        <v>-0.43</v>
      </c>
      <c r="K5" s="1" cm="1">
        <f t="array" ref="K5">_xlfn.QUARTILE.INC(IF(Quartile_L[[#This Row],[Industry]]=Main_L[Industry],Main_L[ROE]),3)</f>
        <v>24.049999999999997</v>
      </c>
      <c r="L5" s="1">
        <f>Quartile_L[[#This Row],[ROE Q1]]-1.5*(Quartile_L[[#This Row],[ROE Q3]]-Quartile_L[[#This Row],[ROE Q1]])</f>
        <v>-37.15</v>
      </c>
      <c r="M5" s="1">
        <f>Quartile_L[[#This Row],[ROE Q3]]+1.5*(Quartile_L[[#This Row],[ROE Q3]]-Quartile_L[[#This Row],[ROE Q1]])</f>
        <v>60.769999999999996</v>
      </c>
      <c r="N5" s="1" cm="1">
        <f t="array" ref="N5">_xlfn.QUARTILE.INC(IF(Quartile_L[[#This Row],[Industry]]=Main_L[Industry],Main_L[ROA]),1)</f>
        <v>1.2</v>
      </c>
      <c r="O5" s="1" cm="1">
        <f t="array" ref="O5">_xlfn.QUARTILE.INC(IF(Quartile_L[[#This Row],[Industry]]=Main_L[Industry],Main_L[ROA]),3)</f>
        <v>7.83</v>
      </c>
      <c r="P5" s="1">
        <f>Quartile_L[[#This Row],[ROA Q1]]-1.5*(Quartile_L[[#This Row],[ROA Q3]]-Quartile_L[[#This Row],[ROA Q1]])</f>
        <v>-8.745000000000001</v>
      </c>
      <c r="Q5" s="1">
        <f>Quartile_L[[#This Row],[ROA Q3]]+1.5*(Quartile_L[[#This Row],[ROA Q3]]-Quartile_L[[#This Row],[ROA Q1]])</f>
        <v>17.774999999999999</v>
      </c>
      <c r="R5" s="1" cm="1">
        <f t="array" ref="R5">_xlfn.QUARTILE.INC(IF(Quartile_L[[#This Row],[Industry]]=Main_L[Industry],Main_L[P/E]),1)</f>
        <v>-5.6470671334138887</v>
      </c>
      <c r="S5" s="1" cm="1">
        <f t="array" ref="S5">_xlfn.QUARTILE.INC(IF(Quartile_L[[#This Row],[Industry]]=Main_L[Industry],Main_L[P/E]),3)</f>
        <v>53.101927072139837</v>
      </c>
      <c r="T5" s="1">
        <f>Quartile_L[[#This Row],[P/E Q1]]-1.5*(Quartile_L[[#This Row],[P/E Q3]]-Quartile_L[[#This Row],[P/E Q1]])</f>
        <v>-93.77055844174447</v>
      </c>
      <c r="U5" s="1">
        <f>Quartile_L[[#This Row],[P/E Q3]]+1.5*(Quartile_L[[#This Row],[P/E Q3]]-Quartile_L[[#This Row],[P/E Q1]])</f>
        <v>141.22541838047042</v>
      </c>
      <c r="V5" s="1" cm="1">
        <f t="array" ref="V5">_xlfn.QUARTILE.INC(IF(Quartile_L[[#This Row],[Industry]]=Main_L[Industry],Main_L[A/E]),1)</f>
        <v>1.7649999999999999</v>
      </c>
      <c r="W5" s="1" cm="1">
        <f t="array" ref="W5">_xlfn.QUARTILE.INC(IF(Quartile_L[[#This Row],[Industry]]=Main_L[Industry],Main_L[A/E]),3)</f>
        <v>3.7199999999999998</v>
      </c>
      <c r="X5" s="1">
        <f>Quartile_L[[#This Row],[A/E Q1]]-1.5*(Quartile_L[[#This Row],[A/E Q3]]-Quartile_L[[#This Row],[A/E Q1]])</f>
        <v>-1.1674999999999998</v>
      </c>
      <c r="Y5" s="1">
        <f>Quartile_L[[#This Row],[A/E Q3]]+1.5*(Quartile_L[[#This Row],[A/E Q3]]-Quartile_L[[#This Row],[A/E Q1]])</f>
        <v>6.6524999999999999</v>
      </c>
    </row>
    <row r="6" spans="1:25" x14ac:dyDescent="0.25">
      <c r="A6" t="s">
        <v>105</v>
      </c>
      <c r="B6" s="1" cm="1">
        <f t="array" ref="B6">_xlfn.QUARTILE.INC(IF(Quartile_L[[#This Row],[Industry]]=Main_L[Industry],Main_L[P/FCF]),1)</f>
        <v>9.113224684470616</v>
      </c>
      <c r="C6" s="1" cm="1">
        <f t="array" ref="C6">_xlfn.QUARTILE.INC(IF(Quartile_L[[#This Row],[Industry]]=Main_L[Industry],Main_L[P/FCF]),3)</f>
        <v>91.161713286713308</v>
      </c>
      <c r="D6" s="1">
        <f>Quartile_L[[#This Row],[P/FCF Q1]]-1.5*(Quartile_L[[#This Row],[P/FCF Q3]]-Quartile_L[[#This Row],[P/FCF Q1]])</f>
        <v>-113.9595082188934</v>
      </c>
      <c r="E6" s="1">
        <f>Quartile_L[[#This Row],[P/FCF Q3]]+1.5*(Quartile_L[[#This Row],[P/FCF Q3]]-Quartile_L[[#This Row],[P/FCF Q1]])</f>
        <v>214.23444619007734</v>
      </c>
      <c r="F6" s="1" cm="1">
        <f t="array" ref="F6">_xlfn.QUARTILE.INC(IF(Quartile_L[[#This Row],[Industry]]=Main_L[Industry],Main_L[P/B]),1)</f>
        <v>1.6262270675512545</v>
      </c>
      <c r="G6" s="1" cm="1">
        <f t="array" ref="G6">_xlfn.QUARTILE.INC(IF(Quartile_L[[#This Row],[Industry]]=Main_L[Industry],Main_L[P/B]),3)</f>
        <v>11.551819620253164</v>
      </c>
      <c r="H6" s="1">
        <f>Quartile_L[[#This Row],[P/B Q1]]-1.5*(Quartile_L[[#This Row],[P/B Q3]]-Quartile_L[[#This Row],[P/B Q1]])</f>
        <v>-13.262161761501613</v>
      </c>
      <c r="I6" s="1">
        <f>Quartile_L[[#This Row],[P/B Q3]]+1.5*(Quartile_L[[#This Row],[P/B Q3]]-Quartile_L[[#This Row],[P/B Q1]])</f>
        <v>26.440208449306031</v>
      </c>
      <c r="J6" s="1" cm="1">
        <f t="array" ref="J6">_xlfn.QUARTILE.INC(IF(Quartile_L[[#This Row],[Industry]]=Main_L[Industry],Main_L[ROE]),1)</f>
        <v>1.7</v>
      </c>
      <c r="K6" s="1" cm="1">
        <f t="array" ref="K6">_xlfn.QUARTILE.INC(IF(Quartile_L[[#This Row],[Industry]]=Main_L[Industry],Main_L[ROE]),3)</f>
        <v>10.765000000000001</v>
      </c>
      <c r="L6" s="1">
        <f>Quartile_L[[#This Row],[ROE Q1]]-1.5*(Quartile_L[[#This Row],[ROE Q3]]-Quartile_L[[#This Row],[ROE Q1]])</f>
        <v>-11.897500000000003</v>
      </c>
      <c r="M6" s="1">
        <f>Quartile_L[[#This Row],[ROE Q3]]+1.5*(Quartile_L[[#This Row],[ROE Q3]]-Quartile_L[[#This Row],[ROE Q1]])</f>
        <v>24.362500000000004</v>
      </c>
      <c r="N6" s="1" cm="1">
        <f t="array" ref="N6">_xlfn.QUARTILE.INC(IF(Quartile_L[[#This Row],[Industry]]=Main_L[Industry],Main_L[ROA]),1)</f>
        <v>3.12</v>
      </c>
      <c r="O6" s="1" cm="1">
        <f t="array" ref="O6">_xlfn.QUARTILE.INC(IF(Quartile_L[[#This Row],[Industry]]=Main_L[Industry],Main_L[ROA]),3)</f>
        <v>5.19</v>
      </c>
      <c r="P6" s="1">
        <f>Quartile_L[[#This Row],[ROA Q1]]-1.5*(Quartile_L[[#This Row],[ROA Q3]]-Quartile_L[[#This Row],[ROA Q1]])</f>
        <v>1.499999999999968E-2</v>
      </c>
      <c r="Q6" s="1">
        <f>Quartile_L[[#This Row],[ROA Q3]]+1.5*(Quartile_L[[#This Row],[ROA Q3]]-Quartile_L[[#This Row],[ROA Q1]])</f>
        <v>8.2950000000000017</v>
      </c>
      <c r="R6" s="1" cm="1">
        <f t="array" ref="R6">_xlfn.QUARTILE.INC(IF(Quartile_L[[#This Row],[Industry]]=Main_L[Industry],Main_L[P/E]),1)</f>
        <v>-24.248015873015873</v>
      </c>
      <c r="S6" s="1" cm="1">
        <f t="array" ref="S6">_xlfn.QUARTILE.INC(IF(Quartile_L[[#This Row],[Industry]]=Main_L[Industry],Main_L[P/E]),3)</f>
        <v>125.88888888888891</v>
      </c>
      <c r="T6" s="1">
        <f>Quartile_L[[#This Row],[P/E Q1]]-1.5*(Quartile_L[[#This Row],[P/E Q3]]-Quartile_L[[#This Row],[P/E Q1]])</f>
        <v>-249.45337301587304</v>
      </c>
      <c r="U6" s="1">
        <f>Quartile_L[[#This Row],[P/E Q3]]+1.5*(Quartile_L[[#This Row],[P/E Q3]]-Quartile_L[[#This Row],[P/E Q1]])</f>
        <v>351.09424603174608</v>
      </c>
      <c r="V6" s="1" cm="1">
        <f t="array" ref="V6">_xlfn.QUARTILE.INC(IF(Quartile_L[[#This Row],[Industry]]=Main_L[Industry],Main_L[A/E]),1)</f>
        <v>2.4350000000000001</v>
      </c>
      <c r="W6" s="1" cm="1">
        <f t="array" ref="W6">_xlfn.QUARTILE.INC(IF(Quartile_L[[#This Row],[Industry]]=Main_L[Industry],Main_L[A/E]),3)</f>
        <v>4.4249999999999998</v>
      </c>
      <c r="X6" s="1">
        <f>Quartile_L[[#This Row],[A/E Q1]]-1.5*(Quartile_L[[#This Row],[A/E Q3]]-Quartile_L[[#This Row],[A/E Q1]])</f>
        <v>-0.54999999999999938</v>
      </c>
      <c r="Y6" s="1">
        <f>Quartile_L[[#This Row],[A/E Q3]]+1.5*(Quartile_L[[#This Row],[A/E Q3]]-Quartile_L[[#This Row],[A/E Q1]])</f>
        <v>7.4099999999999993</v>
      </c>
    </row>
    <row r="7" spans="1:25" x14ac:dyDescent="0.25">
      <c r="A7" t="s">
        <v>106</v>
      </c>
      <c r="B7" s="1" cm="1">
        <f t="array" ref="B7">_xlfn.QUARTILE.INC(IF(Quartile_L[[#This Row],[Industry]]=Main_L[Industry],Main_L[P/FCF]),1)</f>
        <v>15.025380710659899</v>
      </c>
      <c r="C7" s="1" cm="1">
        <f t="array" ref="C7">_xlfn.QUARTILE.INC(IF(Quartile_L[[#This Row],[Industry]]=Main_L[Industry],Main_L[P/FCF]),3)</f>
        <v>27.527777777777779</v>
      </c>
      <c r="D7" s="1">
        <f>Quartile_L[[#This Row],[P/FCF Q1]]-1.5*(Quartile_L[[#This Row],[P/FCF Q3]]-Quartile_L[[#This Row],[P/FCF Q1]])</f>
        <v>-3.7282148900169183</v>
      </c>
      <c r="E7" s="1">
        <f>Quartile_L[[#This Row],[P/FCF Q3]]+1.5*(Quartile_L[[#This Row],[P/FCF Q3]]-Quartile_L[[#This Row],[P/FCF Q1]])</f>
        <v>46.281373378454596</v>
      </c>
      <c r="F7" s="1" cm="1">
        <f t="array" ref="F7">_xlfn.QUARTILE.INC(IF(Quartile_L[[#This Row],[Industry]]=Main_L[Industry],Main_L[P/B]),1)</f>
        <v>2.1893491124260356</v>
      </c>
      <c r="G7" s="1" cm="1">
        <f t="array" ref="G7">_xlfn.QUARTILE.INC(IF(Quartile_L[[#This Row],[Industry]]=Main_L[Industry],Main_L[P/B]),3)</f>
        <v>4.4439461883408073</v>
      </c>
      <c r="H7" s="1">
        <f>Quartile_L[[#This Row],[P/B Q1]]-1.5*(Quartile_L[[#This Row],[P/B Q3]]-Quartile_L[[#This Row],[P/B Q1]])</f>
        <v>-1.1925465014461221</v>
      </c>
      <c r="I7" s="1">
        <f>Quartile_L[[#This Row],[P/B Q3]]+1.5*(Quartile_L[[#This Row],[P/B Q3]]-Quartile_L[[#This Row],[P/B Q1]])</f>
        <v>7.825841802212965</v>
      </c>
      <c r="J7" s="1" cm="1">
        <f t="array" ref="J7">_xlfn.QUARTILE.INC(IF(Quartile_L[[#This Row],[Industry]]=Main_L[Industry],Main_L[ROE]),1)</f>
        <v>9.16</v>
      </c>
      <c r="K7" s="1" cm="1">
        <f t="array" ref="K7">_xlfn.QUARTILE.INC(IF(Quartile_L[[#This Row],[Industry]]=Main_L[Industry],Main_L[ROE]),3)</f>
        <v>16.559999999999999</v>
      </c>
      <c r="L7" s="1">
        <f>Quartile_L[[#This Row],[ROE Q1]]-1.5*(Quartile_L[[#This Row],[ROE Q3]]-Quartile_L[[#This Row],[ROE Q1]])</f>
        <v>-1.9399999999999977</v>
      </c>
      <c r="M7" s="1">
        <f>Quartile_L[[#This Row],[ROE Q3]]+1.5*(Quartile_L[[#This Row],[ROE Q3]]-Quartile_L[[#This Row],[ROE Q1]])</f>
        <v>27.659999999999997</v>
      </c>
      <c r="N7" s="1" cm="1">
        <f t="array" ref="N7">_xlfn.QUARTILE.INC(IF(Quartile_L[[#This Row],[Industry]]=Main_L[Industry],Main_L[ROA]),1)</f>
        <v>4.41</v>
      </c>
      <c r="O7" s="1" cm="1">
        <f t="array" ref="O7">_xlfn.QUARTILE.INC(IF(Quartile_L[[#This Row],[Industry]]=Main_L[Industry],Main_L[ROA]),3)</f>
        <v>5.6</v>
      </c>
      <c r="P7" s="1">
        <f>Quartile_L[[#This Row],[ROA Q1]]-1.5*(Quartile_L[[#This Row],[ROA Q3]]-Quartile_L[[#This Row],[ROA Q1]])</f>
        <v>2.6250000000000009</v>
      </c>
      <c r="Q7" s="1">
        <f>Quartile_L[[#This Row],[ROA Q3]]+1.5*(Quartile_L[[#This Row],[ROA Q3]]-Quartile_L[[#This Row],[ROA Q1]])</f>
        <v>7.3849999999999989</v>
      </c>
      <c r="R7" s="1" cm="1">
        <f t="array" ref="R7">_xlfn.QUARTILE.INC(IF(Quartile_L[[#This Row],[Industry]]=Main_L[Industry],Main_L[P/E]),1)</f>
        <v>11.792035398230089</v>
      </c>
      <c r="S7" s="1" cm="1">
        <f t="array" ref="S7">_xlfn.QUARTILE.INC(IF(Quartile_L[[#This Row],[Industry]]=Main_L[Industry],Main_L[P/E]),3)</f>
        <v>23.214634146341464</v>
      </c>
      <c r="T7" s="1">
        <f>Quartile_L[[#This Row],[P/E Q1]]-1.5*(Quartile_L[[#This Row],[P/E Q3]]-Quartile_L[[#This Row],[P/E Q1]])</f>
        <v>-5.3418627239369716</v>
      </c>
      <c r="U7" s="1">
        <f>Quartile_L[[#This Row],[P/E Q3]]+1.5*(Quartile_L[[#This Row],[P/E Q3]]-Quartile_L[[#This Row],[P/E Q1]])</f>
        <v>40.348532268508521</v>
      </c>
      <c r="V7" s="1" cm="1">
        <f t="array" ref="V7">_xlfn.QUARTILE.INC(IF(Quartile_L[[#This Row],[Industry]]=Main_L[Industry],Main_L[A/E]),1)</f>
        <v>3.51</v>
      </c>
      <c r="W7" s="1" cm="1">
        <f t="array" ref="W7">_xlfn.QUARTILE.INC(IF(Quartile_L[[#This Row],[Industry]]=Main_L[Industry],Main_L[A/E]),3)</f>
        <v>6.88</v>
      </c>
      <c r="X7" s="1">
        <f>Quartile_L[[#This Row],[A/E Q1]]-1.5*(Quartile_L[[#This Row],[A/E Q3]]-Quartile_L[[#This Row],[A/E Q1]])</f>
        <v>-1.5449999999999999</v>
      </c>
      <c r="Y7" s="1">
        <f>Quartile_L[[#This Row],[A/E Q3]]+1.5*(Quartile_L[[#This Row],[A/E Q3]]-Quartile_L[[#This Row],[A/E Q1]])</f>
        <v>11.934999999999999</v>
      </c>
    </row>
    <row r="10" spans="1:25" x14ac:dyDescent="0.25">
      <c r="A10" t="s">
        <v>22</v>
      </c>
    </row>
    <row r="11" spans="1:25" x14ac:dyDescent="0.25">
      <c r="A11" t="s">
        <v>1</v>
      </c>
      <c r="B11" t="s">
        <v>2</v>
      </c>
      <c r="C11" t="s">
        <v>3</v>
      </c>
      <c r="D11" t="s">
        <v>4</v>
      </c>
      <c r="E11" t="s">
        <v>5</v>
      </c>
      <c r="F11" t="s">
        <v>72</v>
      </c>
      <c r="G11" t="s">
        <v>73</v>
      </c>
      <c r="H11" t="s">
        <v>74</v>
      </c>
      <c r="I11" t="s">
        <v>75</v>
      </c>
      <c r="J11" t="s">
        <v>6</v>
      </c>
      <c r="K11" t="s">
        <v>7</v>
      </c>
      <c r="L11" t="s">
        <v>8</v>
      </c>
      <c r="M11" t="s">
        <v>9</v>
      </c>
      <c r="N11" t="s">
        <v>10</v>
      </c>
      <c r="O11" t="s">
        <v>11</v>
      </c>
      <c r="P11" t="s">
        <v>12</v>
      </c>
      <c r="Q11" t="s">
        <v>13</v>
      </c>
      <c r="R11" t="s">
        <v>14</v>
      </c>
      <c r="S11" t="s">
        <v>15</v>
      </c>
      <c r="T11" t="s">
        <v>16</v>
      </c>
      <c r="U11" t="s">
        <v>17</v>
      </c>
      <c r="V11" t="s">
        <v>18</v>
      </c>
      <c r="W11" t="s">
        <v>19</v>
      </c>
      <c r="X11" t="s">
        <v>20</v>
      </c>
      <c r="Y11" t="s">
        <v>21</v>
      </c>
    </row>
    <row r="12" spans="1:25" x14ac:dyDescent="0.25">
      <c r="A12" t="s">
        <v>107</v>
      </c>
      <c r="B12" s="1" cm="1">
        <f t="array" ref="B12">_xlfn.QUARTILE.INC(IF(Quartile_M[[#This Row],[Industry]]=Main_M[Industry],Main_M[P/FCF]),1)</f>
        <v>4.5620263370061807</v>
      </c>
      <c r="C12" s="1" cm="1">
        <f t="array" ref="C12">_xlfn.QUARTILE.INC(IF(Quartile_M[[#This Row],[Industry]]=Main_M[Industry],Main_M[P/FCF]),3)</f>
        <v>13.891696750902526</v>
      </c>
      <c r="D12" s="1">
        <f>Quartile_M[[#This Row],[P/FCF Q1]]-1.5*(Quartile_M[[#This Row],[P/FCF Q3]]-Quartile_M[[#This Row],[P/FCF Q1]])</f>
        <v>-9.4324792838383367</v>
      </c>
      <c r="E12" s="1">
        <f>Quartile_M[[#This Row],[P/FCF Q3]]+1.5*(Quartile_M[[#This Row],[P/FCF Q3]]-Quartile_M[[#This Row],[P/FCF Q1]])</f>
        <v>27.886202371747043</v>
      </c>
      <c r="F12" s="1" cm="1">
        <f t="array" ref="F12">_xlfn.QUARTILE.INC(IF(Quartile_M[[#This Row],[Industry]]=Main_M[Industry],Main_M[P/B]),1)</f>
        <v>1.5749886655756851</v>
      </c>
      <c r="G12" s="1" cm="1">
        <f t="array" ref="G12">_xlfn.QUARTILE.INC(IF(Quartile_M[[#This Row],[Industry]]=Main_M[Industry],Main_M[P/B]),3)</f>
        <v>4.0834551576329261</v>
      </c>
      <c r="H12" s="1">
        <f>Quartile_M[[#This Row],[P/B Q1]]-1.5*(Quartile_M[[#This Row],[P/B Q3]]-Quartile_M[[#This Row],[P/B Q1]])</f>
        <v>-2.1877110725101763</v>
      </c>
      <c r="I12" s="1">
        <f>Quartile_M[[#This Row],[P/B Q3]]+1.5*(Quartile_M[[#This Row],[P/B Q3]]-Quartile_M[[#This Row],[P/B Q1]])</f>
        <v>7.8461548957187874</v>
      </c>
      <c r="J12" s="1" cm="1">
        <f t="array" ref="J12">_xlfn.QUARTILE.INC(IF(Quartile_M[[#This Row],[Industry]]=Main_M[Industry],Main_M[ROE]),1)</f>
        <v>-3.83</v>
      </c>
      <c r="K12" s="1" cm="1">
        <f t="array" ref="K12">_xlfn.QUARTILE.INC(IF(Quartile_M[[#This Row],[Industry]]=Main_M[Industry],Main_M[ROE]),3)</f>
        <v>16.102499999999999</v>
      </c>
      <c r="L12" s="1">
        <f>Quartile_M[[#This Row],[ROE Q1]]-1.5*(Quartile_M[[#This Row],[ROE Q3]]-Quartile_M[[#This Row],[ROE Q1]])</f>
        <v>-33.728749999999998</v>
      </c>
      <c r="M12" s="1">
        <f>Quartile_M[[#This Row],[ROE Q3]]+1.5*(Quartile_M[[#This Row],[ROE Q3]]-Quartile_M[[#This Row],[ROE Q1]])</f>
        <v>46.001249999999999</v>
      </c>
      <c r="N12" s="1" cm="1">
        <f t="array" ref="N12">_xlfn.QUARTILE.INC(IF(Quartile_M[[#This Row],[Industry]]=Main_M[Industry],Main_M[ROA]),1)</f>
        <v>1.06</v>
      </c>
      <c r="O12" s="1" cm="1">
        <f t="array" ref="O12">_xlfn.QUARTILE.INC(IF(Quartile_M[[#This Row],[Industry]]=Main_M[Industry],Main_M[ROA]),3)</f>
        <v>6.1324999999999994</v>
      </c>
      <c r="P12" s="1">
        <f>Quartile_M[[#This Row],[ROA Q1]]-1.5*(Quartile_M[[#This Row],[ROA Q3]]-Quartile_M[[#This Row],[ROA Q1]])</f>
        <v>-6.5487500000000001</v>
      </c>
      <c r="Q12" s="1">
        <f>Quartile_M[[#This Row],[ROA Q3]]+1.5*(Quartile_M[[#This Row],[ROA Q3]]-Quartile_M[[#This Row],[ROA Q1]])</f>
        <v>13.741249999999999</v>
      </c>
      <c r="R12" s="1" cm="1">
        <f t="array" ref="R12">_xlfn.QUARTILE.INC(IF(Quartile_M[[#This Row],[Industry]]=Main_M[Industry],Main_M[P/E]),1)</f>
        <v>0.68089709381986019</v>
      </c>
      <c r="S12" s="1" cm="1">
        <f t="array" ref="S12">_xlfn.QUARTILE.INC(IF(Quartile_M[[#This Row],[Industry]]=Main_M[Industry],Main_M[P/E]),3)</f>
        <v>51.306666666666658</v>
      </c>
      <c r="T12" s="1">
        <f>Quartile_M[[#This Row],[P/E Q1]]-1.5*(Quartile_M[[#This Row],[P/E Q3]]-Quartile_M[[#This Row],[P/E Q1]])</f>
        <v>-75.257757265450337</v>
      </c>
      <c r="U12" s="1">
        <f>Quartile_M[[#This Row],[P/E Q3]]+1.5*(Quartile_M[[#This Row],[P/E Q3]]-Quartile_M[[#This Row],[P/E Q1]])</f>
        <v>127.24532102593686</v>
      </c>
      <c r="V12" s="1" cm="1">
        <f t="array" ref="V12">_xlfn.QUARTILE.INC(IF(Quartile_M[[#This Row],[Industry]]=Main_M[Industry],Main_M[A/E]),1)</f>
        <v>2.4375</v>
      </c>
      <c r="W12" s="1" cm="1">
        <f t="array" ref="W12">_xlfn.QUARTILE.INC(IF(Quartile_M[[#This Row],[Industry]]=Main_M[Industry],Main_M[A/E]),3)</f>
        <v>4.8550000000000004</v>
      </c>
      <c r="X12" s="1">
        <f>Quartile_M[[#This Row],[A/E Q1]]-1.5*(Quartile_M[[#This Row],[A/E Q3]]-Quartile_M[[#This Row],[A/E Q1]])</f>
        <v>-1.1887500000000006</v>
      </c>
      <c r="Y12" s="1">
        <f>Quartile_M[[#This Row],[A/E Q3]]+1.5*(Quartile_M[[#This Row],[A/E Q3]]-Quartile_M[[#This Row],[A/E Q1]])</f>
        <v>8.4812500000000011</v>
      </c>
    </row>
    <row r="13" spans="1:25" x14ac:dyDescent="0.25">
      <c r="A13" t="s">
        <v>109</v>
      </c>
      <c r="B13" s="1" cm="1">
        <f t="array" ref="B13">_xlfn.QUARTILE.INC(IF(Quartile_M[[#This Row],[Industry]]=Main_M[Industry],Main_M[P/FCF]),1)</f>
        <v>10.392446633825946</v>
      </c>
      <c r="C13" s="1" cm="1">
        <f t="array" ref="C13">_xlfn.QUARTILE.INC(IF(Quartile_M[[#This Row],[Industry]]=Main_M[Industry],Main_M[P/FCF]),3)</f>
        <v>20.250640866617054</v>
      </c>
      <c r="D13" s="1">
        <f>Quartile_M[[#This Row],[P/FCF Q1]]-1.5*(Quartile_M[[#This Row],[P/FCF Q3]]-Quartile_M[[#This Row],[P/FCF Q1]])</f>
        <v>-4.3948447153607173</v>
      </c>
      <c r="E13" s="1">
        <f>Quartile_M[[#This Row],[P/FCF Q3]]+1.5*(Quartile_M[[#This Row],[P/FCF Q3]]-Quartile_M[[#This Row],[P/FCF Q1]])</f>
        <v>35.037932215803721</v>
      </c>
      <c r="F13" s="1" cm="1">
        <f t="array" ref="F13">_xlfn.QUARTILE.INC(IF(Quartile_M[[#This Row],[Industry]]=Main_M[Industry],Main_M[P/B]),1)</f>
        <v>1.5036363915419089</v>
      </c>
      <c r="G13" s="1" cm="1">
        <f t="array" ref="G13">_xlfn.QUARTILE.INC(IF(Quartile_M[[#This Row],[Industry]]=Main_M[Industry],Main_M[P/B]),3)</f>
        <v>6.5502572316055137</v>
      </c>
      <c r="H13" s="1">
        <f>Quartile_M[[#This Row],[P/B Q1]]-1.5*(Quartile_M[[#This Row],[P/B Q3]]-Quartile_M[[#This Row],[P/B Q1]])</f>
        <v>-6.0662948685534985</v>
      </c>
      <c r="I13" s="1">
        <f>Quartile_M[[#This Row],[P/B Q3]]+1.5*(Quartile_M[[#This Row],[P/B Q3]]-Quartile_M[[#This Row],[P/B Q1]])</f>
        <v>14.120188491700922</v>
      </c>
      <c r="J13" s="1" cm="1">
        <f t="array" ref="J13">_xlfn.QUARTILE.INC(IF(Quartile_M[[#This Row],[Industry]]=Main_M[Industry],Main_M[ROE]),1)</f>
        <v>-1.04</v>
      </c>
      <c r="K13" s="1" cm="1">
        <f t="array" ref="K13">_xlfn.QUARTILE.INC(IF(Quartile_M[[#This Row],[Industry]]=Main_M[Industry],Main_M[ROE]),3)</f>
        <v>16</v>
      </c>
      <c r="L13" s="1">
        <f>Quartile_M[[#This Row],[ROE Q1]]-1.5*(Quartile_M[[#This Row],[ROE Q3]]-Quartile_M[[#This Row],[ROE Q1]])</f>
        <v>-26.599999999999998</v>
      </c>
      <c r="M13" s="1">
        <f>Quartile_M[[#This Row],[ROE Q3]]+1.5*(Quartile_M[[#This Row],[ROE Q3]]-Quartile_M[[#This Row],[ROE Q1]])</f>
        <v>41.56</v>
      </c>
      <c r="N13" s="1" cm="1">
        <f t="array" ref="N13">_xlfn.QUARTILE.INC(IF(Quartile_M[[#This Row],[Industry]]=Main_M[Industry],Main_M[ROA]),1)</f>
        <v>1.2249999999999999</v>
      </c>
      <c r="O13" s="1" cm="1">
        <f t="array" ref="O13">_xlfn.QUARTILE.INC(IF(Quartile_M[[#This Row],[Industry]]=Main_M[Industry],Main_M[ROA]),3)</f>
        <v>11.184999999999999</v>
      </c>
      <c r="P13" s="1">
        <f>Quartile_M[[#This Row],[ROA Q1]]-1.5*(Quartile_M[[#This Row],[ROA Q3]]-Quartile_M[[#This Row],[ROA Q1]])</f>
        <v>-13.714999999999998</v>
      </c>
      <c r="Q13" s="1">
        <f>Quartile_M[[#This Row],[ROA Q3]]+1.5*(Quartile_M[[#This Row],[ROA Q3]]-Quartile_M[[#This Row],[ROA Q1]])</f>
        <v>26.124999999999996</v>
      </c>
      <c r="R13" s="1" cm="1">
        <f t="array" ref="R13">_xlfn.QUARTILE.INC(IF(Quartile_M[[#This Row],[Industry]]=Main_M[Industry],Main_M[P/E]),1)</f>
        <v>-19.238120133481647</v>
      </c>
      <c r="S13" s="1" cm="1">
        <f t="array" ref="S13">_xlfn.QUARTILE.INC(IF(Quartile_M[[#This Row],[Industry]]=Main_M[Industry],Main_M[P/E]),3)</f>
        <v>44.342318059299188</v>
      </c>
      <c r="T13" s="1">
        <f>Quartile_M[[#This Row],[P/E Q1]]-1.5*(Quartile_M[[#This Row],[P/E Q3]]-Quartile_M[[#This Row],[P/E Q1]])</f>
        <v>-114.60877742265289</v>
      </c>
      <c r="U13" s="1">
        <f>Quartile_M[[#This Row],[P/E Q3]]+1.5*(Quartile_M[[#This Row],[P/E Q3]]-Quartile_M[[#This Row],[P/E Q1]])</f>
        <v>139.71297534847042</v>
      </c>
      <c r="V13" s="1" cm="1">
        <f t="array" ref="V13">_xlfn.QUARTILE.INC(IF(Quartile_M[[#This Row],[Industry]]=Main_M[Industry],Main_M[A/E]),1)</f>
        <v>1.25</v>
      </c>
      <c r="W13" s="1" cm="1">
        <f t="array" ref="W13">_xlfn.QUARTILE.INC(IF(Quartile_M[[#This Row],[Industry]]=Main_M[Industry],Main_M[A/E]),3)</f>
        <v>2.0300000000000002</v>
      </c>
      <c r="X13" s="1">
        <f>Quartile_M[[#This Row],[A/E Q1]]-1.5*(Quartile_M[[#This Row],[A/E Q3]]-Quartile_M[[#This Row],[A/E Q1]])</f>
        <v>7.9999999999999627E-2</v>
      </c>
      <c r="Y13" s="1">
        <f>Quartile_M[[#This Row],[A/E Q3]]+1.5*(Quartile_M[[#This Row],[A/E Q3]]-Quartile_M[[#This Row],[A/E Q1]])</f>
        <v>3.2000000000000006</v>
      </c>
    </row>
    <row r="14" spans="1:25" x14ac:dyDescent="0.25">
      <c r="A14" t="s">
        <v>108</v>
      </c>
      <c r="B14" s="1" cm="1">
        <f t="array" ref="B14">_xlfn.QUARTILE.INC(IF(Quartile_M[[#This Row],[Industry]]=Main_M[Industry],Main_M[P/FCF]),1)</f>
        <v>-48.494505494505496</v>
      </c>
      <c r="C14" s="1" cm="1">
        <f t="array" ref="C14">_xlfn.QUARTILE.INC(IF(Quartile_M[[#This Row],[Industry]]=Main_M[Industry],Main_M[P/FCF]),3)</f>
        <v>17.076086956521738</v>
      </c>
      <c r="D14" s="1">
        <f>Quartile_M[[#This Row],[P/FCF Q1]]-1.5*(Quartile_M[[#This Row],[P/FCF Q3]]-Quartile_M[[#This Row],[P/FCF Q1]])</f>
        <v>-146.85039417104636</v>
      </c>
      <c r="E14" s="1">
        <f>Quartile_M[[#This Row],[P/FCF Q3]]+1.5*(Quartile_M[[#This Row],[P/FCF Q3]]-Quartile_M[[#This Row],[P/FCF Q1]])</f>
        <v>115.43197563306259</v>
      </c>
      <c r="F14" s="1" cm="1">
        <f t="array" ref="F14">_xlfn.QUARTILE.INC(IF(Quartile_M[[#This Row],[Industry]]=Main_M[Industry],Main_M[P/B]),1)</f>
        <v>-16.099999999999998</v>
      </c>
      <c r="G14" s="1" cm="1">
        <f t="array" ref="G14">_xlfn.QUARTILE.INC(IF(Quartile_M[[#This Row],[Industry]]=Main_M[Industry],Main_M[P/B]),3)</f>
        <v>5.67953667953668</v>
      </c>
      <c r="H14" s="1">
        <f>Quartile_M[[#This Row],[P/B Q1]]-1.5*(Quartile_M[[#This Row],[P/B Q3]]-Quartile_M[[#This Row],[P/B Q1]])</f>
        <v>-48.769305019305008</v>
      </c>
      <c r="I14" s="1">
        <f>Quartile_M[[#This Row],[P/B Q3]]+1.5*(Quartile_M[[#This Row],[P/B Q3]]-Quartile_M[[#This Row],[P/B Q1]])</f>
        <v>38.348841698841696</v>
      </c>
      <c r="J14" s="1" cm="1">
        <f t="array" ref="J14">_xlfn.QUARTILE.INC(IF(Quartile_M[[#This Row],[Industry]]=Main_M[Industry],Main_M[ROE]),1)</f>
        <v>-4.32</v>
      </c>
      <c r="K14" s="1" cm="1">
        <f t="array" ref="K14">_xlfn.QUARTILE.INC(IF(Quartile_M[[#This Row],[Industry]]=Main_M[Industry],Main_M[ROE]),3)</f>
        <v>16.88</v>
      </c>
      <c r="L14" s="1">
        <f>Quartile_M[[#This Row],[ROE Q1]]-1.5*(Quartile_M[[#This Row],[ROE Q3]]-Quartile_M[[#This Row],[ROE Q1]])</f>
        <v>-36.119999999999997</v>
      </c>
      <c r="M14" s="1">
        <f>Quartile_M[[#This Row],[ROE Q3]]+1.5*(Quartile_M[[#This Row],[ROE Q3]]-Quartile_M[[#This Row],[ROE Q1]])</f>
        <v>48.679999999999993</v>
      </c>
      <c r="N14" s="1" cm="1">
        <f t="array" ref="N14">_xlfn.QUARTILE.INC(IF(Quartile_M[[#This Row],[Industry]]=Main_M[Industry],Main_M[ROA]),1)</f>
        <v>-1.1299999999999999</v>
      </c>
      <c r="O14" s="1" cm="1">
        <f t="array" ref="O14">_xlfn.QUARTILE.INC(IF(Quartile_M[[#This Row],[Industry]]=Main_M[Industry],Main_M[ROA]),3)</f>
        <v>3.86</v>
      </c>
      <c r="P14" s="1">
        <f>Quartile_M[[#This Row],[ROA Q1]]-1.5*(Quartile_M[[#This Row],[ROA Q3]]-Quartile_M[[#This Row],[ROA Q1]])</f>
        <v>-8.6150000000000002</v>
      </c>
      <c r="Q14" s="1">
        <f>Quartile_M[[#This Row],[ROA Q3]]+1.5*(Quartile_M[[#This Row],[ROA Q3]]-Quartile_M[[#This Row],[ROA Q1]])</f>
        <v>11.345000000000001</v>
      </c>
      <c r="R14" s="1" cm="1">
        <f t="array" ref="R14">_xlfn.QUARTILE.INC(IF(Quartile_M[[#This Row],[Industry]]=Main_M[Industry],Main_M[P/E]),1)</f>
        <v>-17.010000000000002</v>
      </c>
      <c r="S14" s="1" cm="1">
        <f t="array" ref="S14">_xlfn.QUARTILE.INC(IF(Quartile_M[[#This Row],[Industry]]=Main_M[Industry],Main_M[P/E]),3)</f>
        <v>276.70370370370364</v>
      </c>
      <c r="T14" s="1">
        <f>Quartile_M[[#This Row],[P/E Q1]]-1.5*(Quartile_M[[#This Row],[P/E Q3]]-Quartile_M[[#This Row],[P/E Q1]])</f>
        <v>-457.58055555555541</v>
      </c>
      <c r="U14" s="1">
        <f>Quartile_M[[#This Row],[P/E Q3]]+1.5*(Quartile_M[[#This Row],[P/E Q3]]-Quartile_M[[#This Row],[P/E Q1]])</f>
        <v>717.274259259259</v>
      </c>
      <c r="V14" s="1" cm="1">
        <f t="array" ref="V14">_xlfn.QUARTILE.INC(IF(Quartile_M[[#This Row],[Industry]]=Main_M[Industry],Main_M[A/E]),1)</f>
        <v>-3.29</v>
      </c>
      <c r="W14" s="1" cm="1">
        <f t="array" ref="W14">_xlfn.QUARTILE.INC(IF(Quartile_M[[#This Row],[Industry]]=Main_M[Industry],Main_M[A/E]),3)</f>
        <v>3.46</v>
      </c>
      <c r="X14" s="1">
        <f>Quartile_M[[#This Row],[A/E Q1]]-1.5*(Quartile_M[[#This Row],[A/E Q3]]-Quartile_M[[#This Row],[A/E Q1]])</f>
        <v>-13.414999999999999</v>
      </c>
      <c r="Y14" s="1">
        <f>Quartile_M[[#This Row],[A/E Q3]]+1.5*(Quartile_M[[#This Row],[A/E Q3]]-Quartile_M[[#This Row],[A/E Q1]])</f>
        <v>13.585000000000001</v>
      </c>
    </row>
    <row r="15" spans="1:25" x14ac:dyDescent="0.25">
      <c r="A15" t="s">
        <v>105</v>
      </c>
      <c r="B15" s="1" cm="1">
        <f t="array" ref="B15">_xlfn.QUARTILE.INC(IF(Quartile_M[[#This Row],[Industry]]=Main_M[Industry],Main_M[P/FCF]),1)</f>
        <v>3.662962962962963</v>
      </c>
      <c r="C15" s="1" cm="1">
        <f t="array" ref="C15">_xlfn.QUARTILE.INC(IF(Quartile_M[[#This Row],[Industry]]=Main_M[Industry],Main_M[P/FCF]),3)</f>
        <v>16.429752066115704</v>
      </c>
      <c r="D15" s="1">
        <f>Quartile_M[[#This Row],[P/FCF Q1]]-1.5*(Quartile_M[[#This Row],[P/FCF Q3]]-Quartile_M[[#This Row],[P/FCF Q1]])</f>
        <v>-15.487220691766149</v>
      </c>
      <c r="E15" s="1">
        <f>Quartile_M[[#This Row],[P/FCF Q3]]+1.5*(Quartile_M[[#This Row],[P/FCF Q3]]-Quartile_M[[#This Row],[P/FCF Q1]])</f>
        <v>35.579935720844816</v>
      </c>
      <c r="F15" s="1" cm="1">
        <f t="array" ref="F15">_xlfn.QUARTILE.INC(IF(Quartile_M[[#This Row],[Industry]]=Main_M[Industry],Main_M[P/B]),1)</f>
        <v>0.7811477847160273</v>
      </c>
      <c r="G15" s="1" cm="1">
        <f t="array" ref="G15">_xlfn.QUARTILE.INC(IF(Quartile_M[[#This Row],[Industry]]=Main_M[Industry],Main_M[P/B]),3)</f>
        <v>7.3584905660377364</v>
      </c>
      <c r="H15" s="1">
        <f>Quartile_M[[#This Row],[P/B Q1]]-1.5*(Quartile_M[[#This Row],[P/B Q3]]-Quartile_M[[#This Row],[P/B Q1]])</f>
        <v>-9.0848663872665352</v>
      </c>
      <c r="I15" s="1">
        <f>Quartile_M[[#This Row],[P/B Q3]]+1.5*(Quartile_M[[#This Row],[P/B Q3]]-Quartile_M[[#This Row],[P/B Q1]])</f>
        <v>17.2245047380203</v>
      </c>
      <c r="J15" s="1" cm="1">
        <f t="array" ref="J15">_xlfn.QUARTILE.INC(IF(Quartile_M[[#This Row],[Industry]]=Main_M[Industry],Main_M[ROE]),1)</f>
        <v>-8.7274999999999991</v>
      </c>
      <c r="K15" s="1" cm="1">
        <f t="array" ref="K15">_xlfn.QUARTILE.INC(IF(Quartile_M[[#This Row],[Industry]]=Main_M[Industry],Main_M[ROE]),3)</f>
        <v>12.004999999999999</v>
      </c>
      <c r="L15" s="1">
        <f>Quartile_M[[#This Row],[ROE Q1]]-1.5*(Quartile_M[[#This Row],[ROE Q3]]-Quartile_M[[#This Row],[ROE Q1]])</f>
        <v>-39.826249999999995</v>
      </c>
      <c r="M15" s="1">
        <f>Quartile_M[[#This Row],[ROE Q3]]+1.5*(Quartile_M[[#This Row],[ROE Q3]]-Quartile_M[[#This Row],[ROE Q1]])</f>
        <v>43.103749999999991</v>
      </c>
      <c r="N15" s="1" cm="1">
        <f t="array" ref="N15">_xlfn.QUARTILE.INC(IF(Quartile_M[[#This Row],[Industry]]=Main_M[Industry],Main_M[ROA]),1)</f>
        <v>9.7500000000000003E-2</v>
      </c>
      <c r="O15" s="1" cm="1">
        <f t="array" ref="O15">_xlfn.QUARTILE.INC(IF(Quartile_M[[#This Row],[Industry]]=Main_M[Industry],Main_M[ROA]),3)</f>
        <v>4.5525000000000002</v>
      </c>
      <c r="P15" s="1">
        <f>Quartile_M[[#This Row],[ROA Q1]]-1.5*(Quartile_M[[#This Row],[ROA Q3]]-Quartile_M[[#This Row],[ROA Q1]])</f>
        <v>-6.585</v>
      </c>
      <c r="Q15" s="1">
        <f>Quartile_M[[#This Row],[ROA Q3]]+1.5*(Quartile_M[[#This Row],[ROA Q3]]-Quartile_M[[#This Row],[ROA Q1]])</f>
        <v>11.234999999999999</v>
      </c>
      <c r="R15" s="1" cm="1">
        <f t="array" ref="R15">_xlfn.QUARTILE.INC(IF(Quartile_M[[#This Row],[Industry]]=Main_M[Industry],Main_M[P/E]),1)</f>
        <v>-23.25</v>
      </c>
      <c r="S15" s="1" cm="1">
        <f t="array" ref="S15">_xlfn.QUARTILE.INC(IF(Quartile_M[[#This Row],[Industry]]=Main_M[Industry],Main_M[P/E]),3)</f>
        <v>12.4235807860262</v>
      </c>
      <c r="T15" s="1">
        <f>Quartile_M[[#This Row],[P/E Q1]]-1.5*(Quartile_M[[#This Row],[P/E Q3]]-Quartile_M[[#This Row],[P/E Q1]])</f>
        <v>-76.760371179039296</v>
      </c>
      <c r="U15" s="1">
        <f>Quartile_M[[#This Row],[P/E Q3]]+1.5*(Quartile_M[[#This Row],[P/E Q3]]-Quartile_M[[#This Row],[P/E Q1]])</f>
        <v>65.933951965065489</v>
      </c>
      <c r="V15" s="1" cm="1">
        <f t="array" ref="V15">_xlfn.QUARTILE.INC(IF(Quartile_M[[#This Row],[Industry]]=Main_M[Industry],Main_M[A/E]),1)</f>
        <v>2.3600000000000003</v>
      </c>
      <c r="W15" s="1" cm="1">
        <f t="array" ref="W15">_xlfn.QUARTILE.INC(IF(Quartile_M[[#This Row],[Industry]]=Main_M[Industry],Main_M[A/E]),3)</f>
        <v>5.0274999999999999</v>
      </c>
      <c r="X15" s="1">
        <f>Quartile_M[[#This Row],[A/E Q1]]-1.5*(Quartile_M[[#This Row],[A/E Q3]]-Quartile_M[[#This Row],[A/E Q1]])</f>
        <v>-1.6412499999999985</v>
      </c>
      <c r="Y15" s="1">
        <f>Quartile_M[[#This Row],[A/E Q3]]+1.5*(Quartile_M[[#This Row],[A/E Q3]]-Quartile_M[[#This Row],[A/E Q1]])</f>
        <v>9.0287499999999987</v>
      </c>
    </row>
    <row r="16" spans="1:25" x14ac:dyDescent="0.25">
      <c r="A16" t="s">
        <v>106</v>
      </c>
      <c r="B16" s="1" cm="1">
        <f t="array" ref="B16">_xlfn.QUARTILE.INC(IF(Quartile_M[[#This Row],[Industry]]=Main_M[Industry],Main_M[P/FCF]),1)</f>
        <v>6.3345008756567429</v>
      </c>
      <c r="C16" s="1" cm="1">
        <f t="array" ref="C16">_xlfn.QUARTILE.INC(IF(Quartile_M[[#This Row],[Industry]]=Main_M[Industry],Main_M[P/FCF]),3)</f>
        <v>16.485294117647058</v>
      </c>
      <c r="D16" s="1">
        <f>Quartile_M[[#This Row],[P/FCF Q1]]-1.5*(Quartile_M[[#This Row],[P/FCF Q3]]-Quartile_M[[#This Row],[P/FCF Q1]])</f>
        <v>-8.8916889873287275</v>
      </c>
      <c r="E16" s="1">
        <f>Quartile_M[[#This Row],[P/FCF Q3]]+1.5*(Quartile_M[[#This Row],[P/FCF Q3]]-Quartile_M[[#This Row],[P/FCF Q1]])</f>
        <v>31.711483980632529</v>
      </c>
      <c r="F16" s="1" cm="1">
        <f t="array" ref="F16">_xlfn.QUARTILE.INC(IF(Quartile_M[[#This Row],[Industry]]=Main_M[Industry],Main_M[P/B]),1)</f>
        <v>1.1598071931776048</v>
      </c>
      <c r="G16" s="1" cm="1">
        <f t="array" ref="G16">_xlfn.QUARTILE.INC(IF(Quartile_M[[#This Row],[Industry]]=Main_M[Industry],Main_M[P/B]),3)</f>
        <v>2.4613034623217924</v>
      </c>
      <c r="H16" s="1">
        <f>Quartile_M[[#This Row],[P/B Q1]]-1.5*(Quartile_M[[#This Row],[P/B Q3]]-Quartile_M[[#This Row],[P/B Q1]])</f>
        <v>-0.79243721053867655</v>
      </c>
      <c r="I16" s="1">
        <f>Quartile_M[[#This Row],[P/B Q3]]+1.5*(Quartile_M[[#This Row],[P/B Q3]]-Quartile_M[[#This Row],[P/B Q1]])</f>
        <v>4.4135478660380736</v>
      </c>
      <c r="J16" s="1" cm="1">
        <f t="array" ref="J16">_xlfn.QUARTILE.INC(IF(Quartile_M[[#This Row],[Industry]]=Main_M[Industry],Main_M[ROE]),1)</f>
        <v>6.39</v>
      </c>
      <c r="K16" s="1" cm="1">
        <f t="array" ref="K16">_xlfn.QUARTILE.INC(IF(Quartile_M[[#This Row],[Industry]]=Main_M[Industry],Main_M[ROE]),3)</f>
        <v>17.54</v>
      </c>
      <c r="L16" s="1">
        <f>Quartile_M[[#This Row],[ROE Q1]]-1.5*(Quartile_M[[#This Row],[ROE Q3]]-Quartile_M[[#This Row],[ROE Q1]])</f>
        <v>-10.334999999999997</v>
      </c>
      <c r="M16" s="1">
        <f>Quartile_M[[#This Row],[ROE Q3]]+1.5*(Quartile_M[[#This Row],[ROE Q3]]-Quartile_M[[#This Row],[ROE Q1]])</f>
        <v>34.265000000000001</v>
      </c>
      <c r="N16" s="1" cm="1">
        <f t="array" ref="N16">_xlfn.QUARTILE.INC(IF(Quartile_M[[#This Row],[Industry]]=Main_M[Industry],Main_M[ROA]),1)</f>
        <v>3.81</v>
      </c>
      <c r="O16" s="1" cm="1">
        <f t="array" ref="O16">_xlfn.QUARTILE.INC(IF(Quartile_M[[#This Row],[Industry]]=Main_M[Industry],Main_M[ROA]),3)</f>
        <v>7.01</v>
      </c>
      <c r="P16" s="1">
        <f>Quartile_M[[#This Row],[ROA Q1]]-1.5*(Quartile_M[[#This Row],[ROA Q3]]-Quartile_M[[#This Row],[ROA Q1]])</f>
        <v>-0.98999999999999977</v>
      </c>
      <c r="Q16" s="1">
        <f>Quartile_M[[#This Row],[ROA Q3]]+1.5*(Quartile_M[[#This Row],[ROA Q3]]-Quartile_M[[#This Row],[ROA Q1]])</f>
        <v>11.809999999999999</v>
      </c>
      <c r="R16" s="1" cm="1">
        <f t="array" ref="R16">_xlfn.QUARTILE.INC(IF(Quartile_M[[#This Row],[Industry]]=Main_M[Industry],Main_M[P/E]),1)</f>
        <v>5.4734177215189872</v>
      </c>
      <c r="S16" s="1" cm="1">
        <f t="array" ref="S16">_xlfn.QUARTILE.INC(IF(Quartile_M[[#This Row],[Industry]]=Main_M[Industry],Main_M[P/E]),3)</f>
        <v>25.3943661971831</v>
      </c>
      <c r="T16" s="1">
        <f>Quartile_M[[#This Row],[P/E Q1]]-1.5*(Quartile_M[[#This Row],[P/E Q3]]-Quartile_M[[#This Row],[P/E Q1]])</f>
        <v>-24.40800499197718</v>
      </c>
      <c r="U16" s="1">
        <f>Quartile_M[[#This Row],[P/E Q3]]+1.5*(Quartile_M[[#This Row],[P/E Q3]]-Quartile_M[[#This Row],[P/E Q1]])</f>
        <v>55.275788910679267</v>
      </c>
      <c r="V16" s="1" cm="1">
        <f t="array" ref="V16">_xlfn.QUARTILE.INC(IF(Quartile_M[[#This Row],[Industry]]=Main_M[Industry],Main_M[A/E]),1)</f>
        <v>2.2599999999999998</v>
      </c>
      <c r="W16" s="1" cm="1">
        <f t="array" ref="W16">_xlfn.QUARTILE.INC(IF(Quartile_M[[#This Row],[Industry]]=Main_M[Industry],Main_M[A/E]),3)</f>
        <v>4.03</v>
      </c>
      <c r="X16" s="1">
        <f>Quartile_M[[#This Row],[A/E Q1]]-1.5*(Quartile_M[[#This Row],[A/E Q3]]-Quartile_M[[#This Row],[A/E Q1]])</f>
        <v>-0.39500000000000091</v>
      </c>
      <c r="Y16" s="1">
        <f>Quartile_M[[#This Row],[A/E Q3]]+1.5*(Quartile_M[[#This Row],[A/E Q3]]-Quartile_M[[#This Row],[A/E Q1]])</f>
        <v>6.6850000000000005</v>
      </c>
    </row>
    <row r="19" spans="1:25" x14ac:dyDescent="0.25">
      <c r="A19" t="s">
        <v>23</v>
      </c>
    </row>
    <row r="20" spans="1:25" x14ac:dyDescent="0.25">
      <c r="A20" t="s">
        <v>1</v>
      </c>
      <c r="B20" t="s">
        <v>2</v>
      </c>
      <c r="C20" t="s">
        <v>3</v>
      </c>
      <c r="D20" t="s">
        <v>4</v>
      </c>
      <c r="E20" t="s">
        <v>5</v>
      </c>
      <c r="F20" t="s">
        <v>72</v>
      </c>
      <c r="G20" t="s">
        <v>73</v>
      </c>
      <c r="H20" t="s">
        <v>74</v>
      </c>
      <c r="I20" t="s">
        <v>75</v>
      </c>
      <c r="J20" t="s">
        <v>6</v>
      </c>
      <c r="K20" t="s">
        <v>7</v>
      </c>
      <c r="L20" t="s">
        <v>8</v>
      </c>
      <c r="M20" t="s">
        <v>9</v>
      </c>
      <c r="N20" t="s">
        <v>10</v>
      </c>
      <c r="O20" t="s">
        <v>11</v>
      </c>
      <c r="P20" t="s">
        <v>12</v>
      </c>
      <c r="Q20" t="s">
        <v>13</v>
      </c>
      <c r="R20" t="s">
        <v>14</v>
      </c>
      <c r="S20" t="s">
        <v>15</v>
      </c>
      <c r="T20" t="s">
        <v>16</v>
      </c>
      <c r="U20" t="s">
        <v>17</v>
      </c>
      <c r="V20" t="s">
        <v>18</v>
      </c>
      <c r="W20" t="s">
        <v>19</v>
      </c>
      <c r="X20" t="s">
        <v>20</v>
      </c>
      <c r="Y20" t="s">
        <v>21</v>
      </c>
    </row>
    <row r="21" spans="1:25" x14ac:dyDescent="0.25">
      <c r="A21" t="s">
        <v>107</v>
      </c>
      <c r="B21" s="1" cm="1">
        <f t="array" ref="B21">_xlfn.QUARTILE.INC(IF(Quartile_S[[#This Row],[Industry]]=Main_S[Industry],Main_S[P/FCF]),1)</f>
        <v>-4.705521472392638</v>
      </c>
      <c r="C21" s="1" cm="1">
        <f t="array" ref="C21">_xlfn.QUARTILE.INC(IF(Quartile_S[[#This Row],[Industry]]=Main_S[Industry],Main_S[P/FCF]),3)</f>
        <v>13.487179487179485</v>
      </c>
      <c r="D21" s="1">
        <f>Quartile_S[[#This Row],[P/FCF Q1]]-1.5*(Quartile_S[[#This Row],[P/FCF Q3]]-Quartile_S[[#This Row],[P/FCF Q1]])</f>
        <v>-31.994572911750822</v>
      </c>
      <c r="E21" s="1">
        <f>Quartile_S[[#This Row],[P/FCF Q3]]+1.5*(Quartile_S[[#This Row],[P/FCF Q3]]-Quartile_S[[#This Row],[P/FCF Q1]])</f>
        <v>40.776230926537664</v>
      </c>
      <c r="F21" s="1" cm="1">
        <f t="array" ref="F21">_xlfn.QUARTILE.INC(IF(Quartile_S[[#This Row],[Industry]]=Main_S[Industry],Main_S[P/B]),1)</f>
        <v>0.46052631578947367</v>
      </c>
      <c r="G21" s="1" cm="1">
        <f t="array" ref="G21">_xlfn.QUARTILE.INC(IF(Quartile_S[[#This Row],[Industry]]=Main_S[Industry],Main_S[P/B]),3)</f>
        <v>2.1355661881977674</v>
      </c>
      <c r="H21" s="1">
        <f>Quartile_S[[#This Row],[P/B Q1]]-1.5*(Quartile_S[[#This Row],[P/B Q3]]-Quartile_S[[#This Row],[P/B Q1]])</f>
        <v>-2.0520334928229671</v>
      </c>
      <c r="I21" s="1">
        <f>Quartile_S[[#This Row],[P/B Q3]]+1.5*(Quartile_S[[#This Row],[P/B Q3]]-Quartile_S[[#This Row],[P/B Q1]])</f>
        <v>4.648125996810208</v>
      </c>
      <c r="J21" s="1" cm="1">
        <f t="array" ref="J21">_xlfn.QUARTILE.INC(IF(Quartile_S[[#This Row],[Industry]]=Main_S[Industry],Main_S[ROE]),1)</f>
        <v>-3.8200000000000003</v>
      </c>
      <c r="K21" s="1" cm="1">
        <f t="array" ref="K21">_xlfn.QUARTILE.INC(IF(Quartile_S[[#This Row],[Industry]]=Main_S[Industry],Main_S[ROE]),3)</f>
        <v>12.567499999999999</v>
      </c>
      <c r="L21" s="1">
        <f>Quartile_S[[#This Row],[ROE Q1]]-1.5*(Quartile_S[[#This Row],[ROE Q3]]-Quartile_S[[#This Row],[ROE Q1]])</f>
        <v>-28.401249999999997</v>
      </c>
      <c r="M21" s="1">
        <f>Quartile_S[[#This Row],[ROE Q3]]+1.5*(Quartile_S[[#This Row],[ROE Q3]]-Quartile_S[[#This Row],[ROE Q1]])</f>
        <v>37.148749999999993</v>
      </c>
      <c r="N21" s="1" cm="1">
        <f t="array" ref="N21">_xlfn.QUARTILE.INC(IF(Quartile_S[[#This Row],[Industry]]=Main_S[Industry],Main_S[ROA]),1)</f>
        <v>-0.2175</v>
      </c>
      <c r="O21" s="1" cm="1">
        <f t="array" ref="O21">_xlfn.QUARTILE.INC(IF(Quartile_S[[#This Row],[Industry]]=Main_S[Industry],Main_S[ROA]),3)</f>
        <v>4.3825000000000003</v>
      </c>
      <c r="P21" s="1">
        <f>Quartile_S[[#This Row],[ROA Q1]]-1.5*(Quartile_S[[#This Row],[ROA Q3]]-Quartile_S[[#This Row],[ROA Q1]])</f>
        <v>-7.1175000000000006</v>
      </c>
      <c r="Q21" s="1">
        <f>Quartile_S[[#This Row],[ROA Q3]]+1.5*(Quartile_S[[#This Row],[ROA Q3]]-Quartile_S[[#This Row],[ROA Q1]])</f>
        <v>11.282500000000001</v>
      </c>
      <c r="R21" s="1" cm="1">
        <f t="array" ref="R21">_xlfn.QUARTILE.INC(IF(Quartile_S[[#This Row],[Industry]]=Main_S[Industry],Main_S[P/E]),1)</f>
        <v>-5.8468085106382981</v>
      </c>
      <c r="S21" s="1" cm="1">
        <f t="array" ref="S21">_xlfn.QUARTILE.INC(IF(Quartile_S[[#This Row],[Industry]]=Main_S[Industry],Main_S[P/E]),3)</f>
        <v>22.724137931034488</v>
      </c>
      <c r="T21" s="1">
        <f>Quartile_S[[#This Row],[P/E Q1]]-1.5*(Quartile_S[[#This Row],[P/E Q3]]-Quartile_S[[#This Row],[P/E Q1]])</f>
        <v>-48.703228173147473</v>
      </c>
      <c r="U21" s="1">
        <f>Quartile_S[[#This Row],[P/E Q3]]+1.5*(Quartile_S[[#This Row],[P/E Q3]]-Quartile_S[[#This Row],[P/E Q1]])</f>
        <v>65.580557593543659</v>
      </c>
      <c r="V21" s="1" cm="1">
        <f t="array" ref="V21">_xlfn.QUARTILE.INC(IF(Quartile_S[[#This Row],[Industry]]=Main_S[Industry],Main_S[A/E]),1)</f>
        <v>1.3625</v>
      </c>
      <c r="W21" s="1" cm="1">
        <f t="array" ref="W21">_xlfn.QUARTILE.INC(IF(Quartile_S[[#This Row],[Industry]]=Main_S[Industry],Main_S[A/E]),3)</f>
        <v>4.3825000000000003</v>
      </c>
      <c r="X21" s="1">
        <f>Quartile_S[[#This Row],[A/E Q1]]-1.5*(Quartile_S[[#This Row],[A/E Q3]]-Quartile_S[[#This Row],[A/E Q1]])</f>
        <v>-3.1675000000000013</v>
      </c>
      <c r="Y21" s="1">
        <f>Quartile_S[[#This Row],[A/E Q3]]+1.5*(Quartile_S[[#This Row],[A/E Q3]]-Quartile_S[[#This Row],[A/E Q1]])</f>
        <v>8.9125000000000014</v>
      </c>
    </row>
    <row r="22" spans="1:25" x14ac:dyDescent="0.25">
      <c r="A22" t="s">
        <v>109</v>
      </c>
      <c r="B22" s="1" cm="1">
        <f t="array" ref="B22">_xlfn.QUARTILE.INC(IF(Quartile_S[[#This Row],[Industry]]=Main_S[Industry],Main_S[P/FCF]),1)</f>
        <v>6.3407776406277554</v>
      </c>
      <c r="C22" s="1" cm="1">
        <f t="array" ref="C22">_xlfn.QUARTILE.INC(IF(Quartile_S[[#This Row],[Industry]]=Main_S[Industry],Main_S[P/FCF]),3)</f>
        <v>20.653793103448276</v>
      </c>
      <c r="D22" s="1">
        <f>Quartile_S[[#This Row],[P/FCF Q1]]-1.5*(Quartile_S[[#This Row],[P/FCF Q3]]-Quartile_S[[#This Row],[P/FCF Q1]])</f>
        <v>-15.128745553603025</v>
      </c>
      <c r="E22" s="1">
        <f>Quartile_S[[#This Row],[P/FCF Q3]]+1.5*(Quartile_S[[#This Row],[P/FCF Q3]]-Quartile_S[[#This Row],[P/FCF Q1]])</f>
        <v>42.123316297679054</v>
      </c>
      <c r="F22" s="1" cm="1">
        <f t="array" ref="F22">_xlfn.QUARTILE.INC(IF(Quartile_S[[#This Row],[Industry]]=Main_S[Industry],Main_S[P/B]),1)</f>
        <v>0.82176732525409768</v>
      </c>
      <c r="G22" s="1" cm="1">
        <f t="array" ref="G22">_xlfn.QUARTILE.INC(IF(Quartile_S[[#This Row],[Industry]]=Main_S[Industry],Main_S[P/B]),3)</f>
        <v>2.560033728410501</v>
      </c>
      <c r="H22" s="1">
        <f>Quartile_S[[#This Row],[P/B Q1]]-1.5*(Quartile_S[[#This Row],[P/B Q3]]-Quartile_S[[#This Row],[P/B Q1]])</f>
        <v>-1.7856322794805068</v>
      </c>
      <c r="I22" s="1">
        <f>Quartile_S[[#This Row],[P/B Q3]]+1.5*(Quartile_S[[#This Row],[P/B Q3]]-Quartile_S[[#This Row],[P/B Q1]])</f>
        <v>5.1674333331451052</v>
      </c>
      <c r="J22" s="1" cm="1">
        <f t="array" ref="J22">_xlfn.QUARTILE.INC(IF(Quartile_S[[#This Row],[Industry]]=Main_S[Industry],Main_S[ROE]),1)</f>
        <v>-11.549999999999999</v>
      </c>
      <c r="K22" s="1" cm="1">
        <f t="array" ref="K22">_xlfn.QUARTILE.INC(IF(Quartile_S[[#This Row],[Industry]]=Main_S[Industry],Main_S[ROE]),3)</f>
        <v>7.6349999999999998</v>
      </c>
      <c r="L22" s="1">
        <f>Quartile_S[[#This Row],[ROE Q1]]-1.5*(Quartile_S[[#This Row],[ROE Q3]]-Quartile_S[[#This Row],[ROE Q1]])</f>
        <v>-40.327499999999993</v>
      </c>
      <c r="M22" s="1">
        <f>Quartile_S[[#This Row],[ROE Q3]]+1.5*(Quartile_S[[#This Row],[ROE Q3]]-Quartile_S[[#This Row],[ROE Q1]])</f>
        <v>36.412499999999994</v>
      </c>
      <c r="N22" s="1" cm="1">
        <f t="array" ref="N22">_xlfn.QUARTILE.INC(IF(Quartile_S[[#This Row],[Industry]]=Main_S[Industry],Main_S[ROA]),1)</f>
        <v>0.91249999999999987</v>
      </c>
      <c r="O22" s="1" cm="1">
        <f t="array" ref="O22">_xlfn.QUARTILE.INC(IF(Quartile_S[[#This Row],[Industry]]=Main_S[Industry],Main_S[ROA]),3)</f>
        <v>5.1875</v>
      </c>
      <c r="P22" s="1">
        <f>Quartile_S[[#This Row],[ROA Q1]]-1.5*(Quartile_S[[#This Row],[ROA Q3]]-Quartile_S[[#This Row],[ROA Q1]])</f>
        <v>-5.5000000000000009</v>
      </c>
      <c r="Q22" s="1">
        <f>Quartile_S[[#This Row],[ROA Q3]]+1.5*(Quartile_S[[#This Row],[ROA Q3]]-Quartile_S[[#This Row],[ROA Q1]])</f>
        <v>11.600000000000001</v>
      </c>
      <c r="R22" s="1" cm="1">
        <f t="array" ref="R22">_xlfn.QUARTILE.INC(IF(Quartile_S[[#This Row],[Industry]]=Main_S[Industry],Main_S[P/E]),1)</f>
        <v>-7.7269736842105257</v>
      </c>
      <c r="S22" s="1" cm="1">
        <f t="array" ref="S22">_xlfn.QUARTILE.INC(IF(Quartile_S[[#This Row],[Industry]]=Main_S[Industry],Main_S[P/E]),3)</f>
        <v>31.855235783633837</v>
      </c>
      <c r="T22" s="1">
        <f>Quartile_S[[#This Row],[P/E Q1]]-1.5*(Quartile_S[[#This Row],[P/E Q3]]-Quartile_S[[#This Row],[P/E Q1]])</f>
        <v>-67.100287885977068</v>
      </c>
      <c r="U22" s="1">
        <f>Quartile_S[[#This Row],[P/E Q3]]+1.5*(Quartile_S[[#This Row],[P/E Q3]]-Quartile_S[[#This Row],[P/E Q1]])</f>
        <v>91.228549985400377</v>
      </c>
      <c r="V22" s="1" cm="1">
        <f t="array" ref="V22">_xlfn.QUARTILE.INC(IF(Quartile_S[[#This Row],[Industry]]=Main_S[Industry],Main_S[A/E]),1)</f>
        <v>1.5249999999999999</v>
      </c>
      <c r="W22" s="1" cm="1">
        <f t="array" ref="W22">_xlfn.QUARTILE.INC(IF(Quartile_S[[#This Row],[Industry]]=Main_S[Industry],Main_S[A/E]),3)</f>
        <v>2.2625000000000002</v>
      </c>
      <c r="X22" s="1">
        <f>Quartile_S[[#This Row],[A/E Q1]]-1.5*(Quartile_S[[#This Row],[A/E Q3]]-Quartile_S[[#This Row],[A/E Q1]])</f>
        <v>0.41874999999999951</v>
      </c>
      <c r="Y22" s="1">
        <f>Quartile_S[[#This Row],[A/E Q3]]+1.5*(Quartile_S[[#This Row],[A/E Q3]]-Quartile_S[[#This Row],[A/E Q1]])</f>
        <v>3.3687500000000004</v>
      </c>
    </row>
    <row r="23" spans="1:25" x14ac:dyDescent="0.25">
      <c r="A23" t="s">
        <v>108</v>
      </c>
      <c r="B23" s="1" cm="1">
        <f t="array" ref="B23">_xlfn.QUARTILE.INC(IF(Quartile_S[[#This Row],[Industry]]=Main_S[Industry],Main_S[P/FCF]),1)</f>
        <v>-10.772702424090967</v>
      </c>
      <c r="C23" s="1" cm="1">
        <f t="array" ref="C23">_xlfn.QUARTILE.INC(IF(Quartile_S[[#This Row],[Industry]]=Main_S[Industry],Main_S[P/FCF]),3)</f>
        <v>15.016357142857142</v>
      </c>
      <c r="D23" s="1">
        <f>Quartile_S[[#This Row],[P/FCF Q1]]-1.5*(Quartile_S[[#This Row],[P/FCF Q3]]-Quartile_S[[#This Row],[P/FCF Q1]])</f>
        <v>-49.456291774513133</v>
      </c>
      <c r="E23" s="1">
        <f>Quartile_S[[#This Row],[P/FCF Q3]]+1.5*(Quartile_S[[#This Row],[P/FCF Q3]]-Quartile_S[[#This Row],[P/FCF Q1]])</f>
        <v>53.699946493279313</v>
      </c>
      <c r="F23" s="1" cm="1">
        <f t="array" ref="F23">_xlfn.QUARTILE.INC(IF(Quartile_S[[#This Row],[Industry]]=Main_S[Industry],Main_S[P/B]),1)</f>
        <v>-3.1573822795951294</v>
      </c>
      <c r="G23" s="1" cm="1">
        <f t="array" ref="G23">_xlfn.QUARTILE.INC(IF(Quartile_S[[#This Row],[Industry]]=Main_S[Industry],Main_S[P/B]),3)</f>
        <v>3.611895161290323</v>
      </c>
      <c r="H23" s="1">
        <f>Quartile_S[[#This Row],[P/B Q1]]-1.5*(Quartile_S[[#This Row],[P/B Q3]]-Quartile_S[[#This Row],[P/B Q1]])</f>
        <v>-13.311298440923307</v>
      </c>
      <c r="I23" s="1">
        <f>Quartile_S[[#This Row],[P/B Q3]]+1.5*(Quartile_S[[#This Row],[P/B Q3]]-Quartile_S[[#This Row],[P/B Q1]])</f>
        <v>13.7658113226185</v>
      </c>
      <c r="J23" s="1" cm="1">
        <f t="array" ref="J23">_xlfn.QUARTILE.INC(IF(Quartile_S[[#This Row],[Industry]]=Main_S[Industry],Main_S[ROE]),1)</f>
        <v>-40.405000000000001</v>
      </c>
      <c r="K23" s="1" cm="1">
        <f t="array" ref="K23">_xlfn.QUARTILE.INC(IF(Quartile_S[[#This Row],[Industry]]=Main_S[Industry],Main_S[ROE]),3)</f>
        <v>6.1099999999999994</v>
      </c>
      <c r="L23" s="1">
        <f>Quartile_S[[#This Row],[ROE Q1]]-1.5*(Quartile_S[[#This Row],[ROE Q3]]-Quartile_S[[#This Row],[ROE Q1]])</f>
        <v>-110.17750000000001</v>
      </c>
      <c r="M23" s="1">
        <f>Quartile_S[[#This Row],[ROE Q3]]+1.5*(Quartile_S[[#This Row],[ROE Q3]]-Quartile_S[[#This Row],[ROE Q1]])</f>
        <v>75.882500000000007</v>
      </c>
      <c r="N23" s="1" cm="1">
        <f t="array" ref="N23">_xlfn.QUARTILE.INC(IF(Quartile_S[[#This Row],[Industry]]=Main_S[Industry],Main_S[ROA]),1)</f>
        <v>-1.375</v>
      </c>
      <c r="O23" s="1" cm="1">
        <f t="array" ref="O23">_xlfn.QUARTILE.INC(IF(Quartile_S[[#This Row],[Industry]]=Main_S[Industry],Main_S[ROA]),3)</f>
        <v>3.65</v>
      </c>
      <c r="P23" s="1">
        <f>Quartile_S[[#This Row],[ROA Q1]]-1.5*(Quartile_S[[#This Row],[ROA Q3]]-Quartile_S[[#This Row],[ROA Q1]])</f>
        <v>-8.9125000000000014</v>
      </c>
      <c r="Q23" s="1">
        <f>Quartile_S[[#This Row],[ROA Q3]]+1.5*(Quartile_S[[#This Row],[ROA Q3]]-Quartile_S[[#This Row],[ROA Q1]])</f>
        <v>11.1875</v>
      </c>
      <c r="R23" s="1" cm="1">
        <f t="array" ref="R23">_xlfn.QUARTILE.INC(IF(Quartile_S[[#This Row],[Industry]]=Main_S[Industry],Main_S[P/E]),1)</f>
        <v>-8.0897712201591503</v>
      </c>
      <c r="S23" s="1" cm="1">
        <f t="array" ref="S23">_xlfn.QUARTILE.INC(IF(Quartile_S[[#This Row],[Industry]]=Main_S[Industry],Main_S[P/E]),3)</f>
        <v>15.490089514066497</v>
      </c>
      <c r="T23" s="1">
        <f>Quartile_S[[#This Row],[P/E Q1]]-1.5*(Quartile_S[[#This Row],[P/E Q3]]-Quartile_S[[#This Row],[P/E Q1]])</f>
        <v>-43.459562321497621</v>
      </c>
      <c r="U23" s="1">
        <f>Quartile_S[[#This Row],[P/E Q3]]+1.5*(Quartile_S[[#This Row],[P/E Q3]]-Quartile_S[[#This Row],[P/E Q1]])</f>
        <v>50.859880615404968</v>
      </c>
      <c r="V23" s="1" cm="1">
        <f t="array" ref="V23">_xlfn.QUARTILE.INC(IF(Quartile_S[[#This Row],[Industry]]=Main_S[Industry],Main_S[A/E]),1)</f>
        <v>-3.6550000000000002</v>
      </c>
      <c r="W23" s="1" cm="1">
        <f t="array" ref="W23">_xlfn.QUARTILE.INC(IF(Quartile_S[[#This Row],[Industry]]=Main_S[Industry],Main_S[A/E]),3)</f>
        <v>2.66</v>
      </c>
      <c r="X23" s="1">
        <f>Quartile_S[[#This Row],[A/E Q1]]-1.5*(Quartile_S[[#This Row],[A/E Q3]]-Quartile_S[[#This Row],[A/E Q1]])</f>
        <v>-13.127500000000001</v>
      </c>
      <c r="Y23" s="1">
        <f>Quartile_S[[#This Row],[A/E Q3]]+1.5*(Quartile_S[[#This Row],[A/E Q3]]-Quartile_S[[#This Row],[A/E Q1]])</f>
        <v>12.1325</v>
      </c>
    </row>
    <row r="24" spans="1:25" x14ac:dyDescent="0.25">
      <c r="A24" t="s">
        <v>105</v>
      </c>
      <c r="B24" s="1" cm="1">
        <f t="array" ref="B24">_xlfn.QUARTILE.INC(IF(Quartile_S[[#This Row],[Industry]]=Main_S[Industry],Main_S[P/FCF]),1)</f>
        <v>-2.6281120331950203</v>
      </c>
      <c r="C24" s="1" cm="1">
        <f t="array" ref="C24">_xlfn.QUARTILE.INC(IF(Quartile_S[[#This Row],[Industry]]=Main_S[Industry],Main_S[P/FCF]),3)</f>
        <v>7.0271348762968859</v>
      </c>
      <c r="D24" s="1">
        <f>Quartile_S[[#This Row],[P/FCF Q1]]-1.5*(Quartile_S[[#This Row],[P/FCF Q3]]-Quartile_S[[#This Row],[P/FCF Q1]])</f>
        <v>-17.110982397432878</v>
      </c>
      <c r="E24" s="1">
        <f>Quartile_S[[#This Row],[P/FCF Q3]]+1.5*(Quartile_S[[#This Row],[P/FCF Q3]]-Quartile_S[[#This Row],[P/FCF Q1]])</f>
        <v>21.510005240534745</v>
      </c>
      <c r="F24" s="1" cm="1">
        <f t="array" ref="F24">_xlfn.QUARTILE.INC(IF(Quartile_S[[#This Row],[Industry]]=Main_S[Industry],Main_S[P/B]),1)</f>
        <v>0.87714478604071444</v>
      </c>
      <c r="G24" s="1" cm="1">
        <f t="array" ref="G24">_xlfn.QUARTILE.INC(IF(Quartile_S[[#This Row],[Industry]]=Main_S[Industry],Main_S[P/B]),3)</f>
        <v>3.0038372820090191</v>
      </c>
      <c r="H24" s="1">
        <f>Quartile_S[[#This Row],[P/B Q1]]-1.5*(Quartile_S[[#This Row],[P/B Q3]]-Quartile_S[[#This Row],[P/B Q1]])</f>
        <v>-2.3128939579117427</v>
      </c>
      <c r="I24" s="1">
        <f>Quartile_S[[#This Row],[P/B Q3]]+1.5*(Quartile_S[[#This Row],[P/B Q3]]-Quartile_S[[#This Row],[P/B Q1]])</f>
        <v>6.193876025961476</v>
      </c>
      <c r="J24" s="1" cm="1">
        <f t="array" ref="J24">_xlfn.QUARTILE.INC(IF(Quartile_S[[#This Row],[Industry]]=Main_S[Industry],Main_S[ROE]),1)</f>
        <v>-2.7650000000000001</v>
      </c>
      <c r="K24" s="1" cm="1">
        <f t="array" ref="K24">_xlfn.QUARTILE.INC(IF(Quartile_S[[#This Row],[Industry]]=Main_S[Industry],Main_S[ROE]),3)</f>
        <v>24.24</v>
      </c>
      <c r="L24" s="1">
        <f>Quartile_S[[#This Row],[ROE Q1]]-1.5*(Quartile_S[[#This Row],[ROE Q3]]-Quartile_S[[#This Row],[ROE Q1]])</f>
        <v>-43.272500000000001</v>
      </c>
      <c r="M24" s="1">
        <f>Quartile_S[[#This Row],[ROE Q3]]+1.5*(Quartile_S[[#This Row],[ROE Q3]]-Quartile_S[[#This Row],[ROE Q1]])</f>
        <v>64.747500000000002</v>
      </c>
      <c r="N24" s="1" cm="1">
        <f t="array" ref="N24">_xlfn.QUARTILE.INC(IF(Quartile_S[[#This Row],[Industry]]=Main_S[Industry],Main_S[ROA]),1)</f>
        <v>-0.82250000000000001</v>
      </c>
      <c r="O24" s="1" cm="1">
        <f t="array" ref="O24">_xlfn.QUARTILE.INC(IF(Quartile_S[[#This Row],[Industry]]=Main_S[Industry],Main_S[ROA]),3)</f>
        <v>6.5650000000000013</v>
      </c>
      <c r="P24" s="1">
        <f>Quartile_S[[#This Row],[ROA Q1]]-1.5*(Quartile_S[[#This Row],[ROA Q3]]-Quartile_S[[#This Row],[ROA Q1]])</f>
        <v>-11.90375</v>
      </c>
      <c r="Q24" s="1">
        <f>Quartile_S[[#This Row],[ROA Q3]]+1.5*(Quartile_S[[#This Row],[ROA Q3]]-Quartile_S[[#This Row],[ROA Q1]])</f>
        <v>17.646250000000002</v>
      </c>
      <c r="R24" s="1" cm="1">
        <f t="array" ref="R24">_xlfn.QUARTILE.INC(IF(Quartile_S[[#This Row],[Industry]]=Main_S[Industry],Main_S[P/E]),1)</f>
        <v>-82.392857142857139</v>
      </c>
      <c r="S24" s="1" cm="1">
        <f t="array" ref="S24">_xlfn.QUARTILE.INC(IF(Quartile_S[[#This Row],[Industry]]=Main_S[Industry],Main_S[P/E]),3)</f>
        <v>-17.773544973544972</v>
      </c>
      <c r="T24" s="1">
        <f>Quartile_S[[#This Row],[P/E Q1]]-1.5*(Quartile_S[[#This Row],[P/E Q3]]-Quartile_S[[#This Row],[P/E Q1]])</f>
        <v>-179.32182539682537</v>
      </c>
      <c r="U24" s="1">
        <f>Quartile_S[[#This Row],[P/E Q3]]+1.5*(Quartile_S[[#This Row],[P/E Q3]]-Quartile_S[[#This Row],[P/E Q1]])</f>
        <v>79.155423280423278</v>
      </c>
      <c r="V24" s="1" cm="1">
        <f t="array" ref="V24">_xlfn.QUARTILE.INC(IF(Quartile_S[[#This Row],[Industry]]=Main_S[Industry],Main_S[A/E]),1)</f>
        <v>2.0300000000000002</v>
      </c>
      <c r="W24" s="1" cm="1">
        <f t="array" ref="W24">_xlfn.QUARTILE.INC(IF(Quartile_S[[#This Row],[Industry]]=Main_S[Industry],Main_S[A/E]),3)</f>
        <v>2.6574999999999998</v>
      </c>
      <c r="X24" s="1">
        <f>Quartile_S[[#This Row],[A/E Q1]]-1.5*(Quartile_S[[#This Row],[A/E Q3]]-Quartile_S[[#This Row],[A/E Q1]])</f>
        <v>1.088750000000001</v>
      </c>
      <c r="Y24" s="1">
        <f>Quartile_S[[#This Row],[A/E Q3]]+1.5*(Quartile_S[[#This Row],[A/E Q3]]-Quartile_S[[#This Row],[A/E Q1]])</f>
        <v>3.598749999999999</v>
      </c>
    </row>
    <row r="25" spans="1:25" x14ac:dyDescent="0.25">
      <c r="A25" t="s">
        <v>106</v>
      </c>
      <c r="B25" s="1" cm="1">
        <f t="array" ref="B25">_xlfn.QUARTILE.INC(IF(Quartile_S[[#This Row],[Industry]]=Main_S[Industry],Main_S[P/FCF]),1)</f>
        <v>34.095445736434108</v>
      </c>
      <c r="C25" s="1" cm="1">
        <f t="array" ref="C25">_xlfn.QUARTILE.INC(IF(Quartile_S[[#This Row],[Industry]]=Main_S[Industry],Main_S[P/FCF]),3)</f>
        <v>76.642926356589157</v>
      </c>
      <c r="D25" s="1">
        <f>Quartile_S[[#This Row],[P/FCF Q1]]-1.5*(Quartile_S[[#This Row],[P/FCF Q3]]-Quartile_S[[#This Row],[P/FCF Q1]])</f>
        <v>-29.725775193798462</v>
      </c>
      <c r="E25" s="1">
        <f>Quartile_S[[#This Row],[P/FCF Q3]]+1.5*(Quartile_S[[#This Row],[P/FCF Q3]]-Quartile_S[[#This Row],[P/FCF Q1]])</f>
        <v>140.46414728682174</v>
      </c>
      <c r="F25" s="1" cm="1">
        <f t="array" ref="F25">_xlfn.QUARTILE.INC(IF(Quartile_S[[#This Row],[Industry]]=Main_S[Industry],Main_S[P/B]),1)</f>
        <v>6.3435927216415031</v>
      </c>
      <c r="G25" s="1" cm="1">
        <f t="array" ref="G25">_xlfn.QUARTILE.INC(IF(Quartile_S[[#This Row],[Industry]]=Main_S[Industry],Main_S[P/B]),3)</f>
        <v>14.54839334107627</v>
      </c>
      <c r="H25" s="1">
        <f>Quartile_S[[#This Row],[P/B Q1]]-1.5*(Quartile_S[[#This Row],[P/B Q3]]-Quartile_S[[#This Row],[P/B Q1]])</f>
        <v>-5.9636082075106476</v>
      </c>
      <c r="I25" s="1">
        <f>Quartile_S[[#This Row],[P/B Q3]]+1.5*(Quartile_S[[#This Row],[P/B Q3]]-Quartile_S[[#This Row],[P/B Q1]])</f>
        <v>26.855594270228423</v>
      </c>
      <c r="J25" s="1" cm="1">
        <f t="array" ref="J25">_xlfn.QUARTILE.INC(IF(Quartile_S[[#This Row],[Industry]]=Main_S[Industry],Main_S[ROE]),1)</f>
        <v>-2.2999999999999998</v>
      </c>
      <c r="K25" s="1" cm="1">
        <f t="array" ref="K25">_xlfn.QUARTILE.INC(IF(Quartile_S[[#This Row],[Industry]]=Main_S[Industry],Main_S[ROE]),3)</f>
        <v>6.04</v>
      </c>
      <c r="L25" s="1">
        <f>Quartile_S[[#This Row],[ROE Q1]]-1.5*(Quartile_S[[#This Row],[ROE Q3]]-Quartile_S[[#This Row],[ROE Q1]])</f>
        <v>-14.809999999999999</v>
      </c>
      <c r="M25" s="1">
        <f>Quartile_S[[#This Row],[ROE Q3]]+1.5*(Quartile_S[[#This Row],[ROE Q3]]-Quartile_S[[#This Row],[ROE Q1]])</f>
        <v>18.55</v>
      </c>
      <c r="N25" s="1" cm="1">
        <f t="array" ref="N25">_xlfn.QUARTILE.INC(IF(Quartile_S[[#This Row],[Industry]]=Main_S[Industry],Main_S[ROA]),1)</f>
        <v>6.3324999999999996</v>
      </c>
      <c r="O25" s="1" cm="1">
        <f t="array" ref="O25">_xlfn.QUARTILE.INC(IF(Quartile_S[[#This Row],[Industry]]=Main_S[Industry],Main_S[ROA]),3)</f>
        <v>6.5775000000000006</v>
      </c>
      <c r="P25" s="1">
        <f>Quartile_S[[#This Row],[ROA Q1]]-1.5*(Quartile_S[[#This Row],[ROA Q3]]-Quartile_S[[#This Row],[ROA Q1]])</f>
        <v>5.9649999999999981</v>
      </c>
      <c r="Q25" s="1">
        <f>Quartile_S[[#This Row],[ROA Q3]]+1.5*(Quartile_S[[#This Row],[ROA Q3]]-Quartile_S[[#This Row],[ROA Q1]])</f>
        <v>6.9450000000000021</v>
      </c>
      <c r="R25" s="1" cm="1">
        <f t="array" ref="R25">_xlfn.QUARTILE.INC(IF(Quartile_S[[#This Row],[Industry]]=Main_S[Industry],Main_S[P/E]),1)</f>
        <v>-214.94237012987014</v>
      </c>
      <c r="S25" s="1" cm="1">
        <f t="array" ref="S25">_xlfn.QUARTILE.INC(IF(Quartile_S[[#This Row],[Industry]]=Main_S[Industry],Main_S[P/E]),3)</f>
        <v>-57.327110389610368</v>
      </c>
      <c r="T25" s="1">
        <f>Quartile_S[[#This Row],[P/E Q1]]-1.5*(Quartile_S[[#This Row],[P/E Q3]]-Quartile_S[[#This Row],[P/E Q1]])</f>
        <v>-451.36525974025983</v>
      </c>
      <c r="U25" s="1">
        <f>Quartile_S[[#This Row],[P/E Q3]]+1.5*(Quartile_S[[#This Row],[P/E Q3]]-Quartile_S[[#This Row],[P/E Q1]])</f>
        <v>179.09577922077929</v>
      </c>
      <c r="V25" s="1" cm="1">
        <f t="array" ref="V25">_xlfn.QUARTILE.INC(IF(Quartile_S[[#This Row],[Industry]]=Main_S[Industry],Main_S[A/E]),1)</f>
        <v>4.7450000000000001</v>
      </c>
      <c r="W25" s="1" cm="1">
        <f t="array" ref="W25">_xlfn.QUARTILE.INC(IF(Quartile_S[[#This Row],[Industry]]=Main_S[Industry],Main_S[A/E]),3)</f>
        <v>11.535</v>
      </c>
      <c r="X25" s="1">
        <f>Quartile_S[[#This Row],[A/E Q1]]-1.5*(Quartile_S[[#This Row],[A/E Q3]]-Quartile_S[[#This Row],[A/E Q1]])</f>
        <v>-5.44</v>
      </c>
      <c r="Y25" s="1">
        <f>Quartile_S[[#This Row],[A/E Q3]]+1.5*(Quartile_S[[#This Row],[A/E Q3]]-Quartile_S[[#This Row],[A/E Q1]])</f>
        <v>21.72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29"/>
  <sheetViews>
    <sheetView workbookViewId="0">
      <selection activeCell="I29" sqref="I29"/>
    </sheetView>
  </sheetViews>
  <sheetFormatPr defaultRowHeight="15" x14ac:dyDescent="0.25"/>
  <cols>
    <col min="1" max="1" width="36.7109375" bestFit="1" customWidth="1"/>
    <col min="2" max="2" width="16.28515625" bestFit="1" customWidth="1"/>
    <col min="3" max="3" width="16.85546875" bestFit="1" customWidth="1"/>
    <col min="5" max="5" width="36.7109375" bestFit="1" customWidth="1"/>
    <col min="6" max="6" width="14" bestFit="1" customWidth="1"/>
    <col min="7" max="7" width="14.5703125" bestFit="1" customWidth="1"/>
    <col min="9" max="9" width="36.7109375" bestFit="1" customWidth="1"/>
    <col min="10" max="10" width="14" bestFit="1" customWidth="1"/>
    <col min="11" max="11" width="14.5703125" bestFit="1" customWidth="1"/>
  </cols>
  <sheetData>
    <row r="1" spans="1:11" x14ac:dyDescent="0.25">
      <c r="A1" s="24" t="s">
        <v>55</v>
      </c>
      <c r="B1" s="24"/>
      <c r="C1" s="24"/>
      <c r="E1" s="24" t="s">
        <v>80</v>
      </c>
      <c r="F1" s="24"/>
      <c r="G1" s="24"/>
      <c r="I1" s="24" t="s">
        <v>56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28.894580467017622</v>
      </c>
      <c r="C5" s="1">
        <v>42.305163216029193</v>
      </c>
      <c r="E5" s="6" t="s">
        <v>105</v>
      </c>
      <c r="F5" s="1">
        <v>3.8790714034463725</v>
      </c>
      <c r="G5" s="1">
        <v>5.8275766772802076</v>
      </c>
      <c r="I5" s="6" t="s">
        <v>105</v>
      </c>
      <c r="J5" s="1">
        <v>7.81</v>
      </c>
      <c r="K5" s="1">
        <v>6.3764852102364102</v>
      </c>
    </row>
    <row r="6" spans="1:11" x14ac:dyDescent="0.25">
      <c r="A6" s="6" t="s">
        <v>108</v>
      </c>
      <c r="B6" s="1">
        <v>34.794372305776307</v>
      </c>
      <c r="C6" s="1">
        <v>20.230734903894461</v>
      </c>
      <c r="E6" s="6" t="s">
        <v>108</v>
      </c>
      <c r="F6" s="1">
        <v>9.1221035102903354</v>
      </c>
      <c r="G6" s="1">
        <v>8.2672454157738589</v>
      </c>
      <c r="I6" s="6" t="s">
        <v>108</v>
      </c>
      <c r="J6" s="1">
        <v>13.096666666666664</v>
      </c>
      <c r="K6" s="1">
        <v>18.680968092925191</v>
      </c>
    </row>
    <row r="7" spans="1:11" x14ac:dyDescent="0.25">
      <c r="A7" s="6" t="s">
        <v>109</v>
      </c>
      <c r="B7" s="1">
        <v>25.895279231147757</v>
      </c>
      <c r="C7" s="1">
        <v>13.06107184431804</v>
      </c>
      <c r="E7" s="6" t="s">
        <v>109</v>
      </c>
      <c r="F7" s="1">
        <v>5.6023775253095272</v>
      </c>
      <c r="G7" s="1">
        <v>0.77071079088448102</v>
      </c>
      <c r="I7" s="6" t="s">
        <v>109</v>
      </c>
      <c r="J7" s="1">
        <v>23.385555555555555</v>
      </c>
      <c r="K7" s="1">
        <v>21.245460226761704</v>
      </c>
    </row>
    <row r="8" spans="1:11" x14ac:dyDescent="0.25">
      <c r="A8" s="6" t="s">
        <v>107</v>
      </c>
      <c r="B8" s="1">
        <v>14.346325191022496</v>
      </c>
      <c r="C8" s="1">
        <v>6.3601081899508802</v>
      </c>
      <c r="E8" s="6" t="s">
        <v>107</v>
      </c>
      <c r="F8" s="1">
        <v>2.1024733384064413</v>
      </c>
      <c r="G8" s="1">
        <v>0.70948909097153601</v>
      </c>
      <c r="I8" s="6" t="s">
        <v>107</v>
      </c>
      <c r="J8" s="1">
        <v>12.531250000000002</v>
      </c>
      <c r="K8" s="1">
        <v>4.6228980020653685</v>
      </c>
    </row>
    <row r="9" spans="1:11" x14ac:dyDescent="0.25">
      <c r="A9" s="6" t="s">
        <v>106</v>
      </c>
      <c r="B9" s="1">
        <v>19.453420502901778</v>
      </c>
      <c r="C9" s="1">
        <v>6.1708368346335272</v>
      </c>
      <c r="E9" s="6" t="s">
        <v>106</v>
      </c>
      <c r="F9" s="1">
        <v>3.2507312508989203</v>
      </c>
      <c r="G9" s="1">
        <v>1.188813408193991</v>
      </c>
      <c r="I9" s="6" t="s">
        <v>106</v>
      </c>
      <c r="J9" s="1">
        <v>15.407500000000001</v>
      </c>
      <c r="K9" s="1">
        <v>3.7825611363202021</v>
      </c>
    </row>
    <row r="21" spans="1:11" x14ac:dyDescent="0.25">
      <c r="A21" s="24" t="s">
        <v>57</v>
      </c>
      <c r="B21" s="24"/>
      <c r="C21" s="24"/>
      <c r="E21" s="24" t="s">
        <v>58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3.9419999999999993</v>
      </c>
      <c r="C25" s="1">
        <v>1.38250352621612</v>
      </c>
      <c r="E25" s="6" t="s">
        <v>105</v>
      </c>
      <c r="F25" s="1">
        <v>3.4318181818181817</v>
      </c>
      <c r="G25" s="1">
        <v>1.271647593992056</v>
      </c>
      <c r="I25" s="6" t="s">
        <v>105</v>
      </c>
      <c r="J25" s="1">
        <v>57.618098616426352</v>
      </c>
      <c r="K25" s="1">
        <v>107.41528342584219</v>
      </c>
    </row>
    <row r="26" spans="1:11" x14ac:dyDescent="0.25">
      <c r="A26" s="6" t="s">
        <v>108</v>
      </c>
      <c r="B26" s="1">
        <v>5.1416666666666675</v>
      </c>
      <c r="C26" s="1">
        <v>4.5444450217331891</v>
      </c>
      <c r="E26" s="6" t="s">
        <v>108</v>
      </c>
      <c r="F26" s="1">
        <v>2.2624999999999997</v>
      </c>
      <c r="G26" s="1">
        <v>0.91875255101686715</v>
      </c>
      <c r="I26" s="6" t="s">
        <v>108</v>
      </c>
      <c r="J26" s="1">
        <v>40.787118954693064</v>
      </c>
      <c r="K26" s="1">
        <v>51.996371009265538</v>
      </c>
    </row>
    <row r="27" spans="1:11" x14ac:dyDescent="0.25">
      <c r="A27" s="6" t="s">
        <v>109</v>
      </c>
      <c r="B27" s="1">
        <v>8.7044444444444427</v>
      </c>
      <c r="C27" s="1">
        <v>8.3882949017082566</v>
      </c>
      <c r="E27" s="6" t="s">
        <v>109</v>
      </c>
      <c r="F27" s="1">
        <v>1.377142857142857</v>
      </c>
      <c r="G27" s="1">
        <v>0.19054165541681456</v>
      </c>
      <c r="I27" s="6" t="s">
        <v>109</v>
      </c>
      <c r="J27" s="1">
        <v>14.920918411988897</v>
      </c>
      <c r="K27" s="1">
        <v>7.3575900712550375</v>
      </c>
    </row>
    <row r="28" spans="1:11" x14ac:dyDescent="0.25">
      <c r="A28" s="6" t="s">
        <v>107</v>
      </c>
      <c r="B28" s="1">
        <v>5.7012499999999999</v>
      </c>
      <c r="C28" s="1">
        <v>1.7454042332651769</v>
      </c>
      <c r="E28" s="6" t="s">
        <v>107</v>
      </c>
      <c r="F28" s="1">
        <v>2.0837499999999998</v>
      </c>
      <c r="G28" s="1">
        <v>0.40877675753398807</v>
      </c>
      <c r="I28" s="6" t="s">
        <v>107</v>
      </c>
      <c r="J28" s="1">
        <v>17.493552871558755</v>
      </c>
      <c r="K28" s="1">
        <v>10.336053736657737</v>
      </c>
    </row>
    <row r="29" spans="1:11" x14ac:dyDescent="0.25">
      <c r="A29" s="6" t="s">
        <v>106</v>
      </c>
      <c r="B29" s="1">
        <v>5.2650000000000006</v>
      </c>
      <c r="C29" s="1">
        <v>0.93071209296967494</v>
      </c>
      <c r="E29" s="6" t="s">
        <v>106</v>
      </c>
      <c r="F29" s="1">
        <v>4.9279999999999999</v>
      </c>
      <c r="G29" s="1">
        <v>1.7788468174634922</v>
      </c>
      <c r="I29" s="6" t="s">
        <v>106</v>
      </c>
      <c r="J29" s="1">
        <v>16.093404048489472</v>
      </c>
      <c r="K29" s="1">
        <v>5.0716634008842529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29"/>
  <sheetViews>
    <sheetView workbookViewId="0">
      <selection activeCell="G13" sqref="G13"/>
    </sheetView>
  </sheetViews>
  <sheetFormatPr defaultRowHeight="15" x14ac:dyDescent="0.25"/>
  <cols>
    <col min="1" max="1" width="36.7109375" bestFit="1" customWidth="1"/>
    <col min="2" max="2" width="14.85546875" bestFit="1" customWidth="1"/>
    <col min="3" max="3" width="15.42578125" bestFit="1" customWidth="1"/>
    <col min="5" max="5" width="36.7109375" bestFit="1" customWidth="1"/>
    <col min="6" max="6" width="14" bestFit="1" customWidth="1"/>
    <col min="7" max="7" width="14.5703125" bestFit="1" customWidth="1"/>
    <col min="9" max="9" width="36.710937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60</v>
      </c>
      <c r="B1" s="24"/>
      <c r="C1" s="24"/>
      <c r="E1" s="24" t="s">
        <v>79</v>
      </c>
      <c r="F1" s="24"/>
      <c r="G1" s="24"/>
      <c r="I1" s="24" t="s">
        <v>62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4.2647716860426943</v>
      </c>
      <c r="C5" s="1">
        <v>8.1537989896895358</v>
      </c>
      <c r="E5" s="6" t="s">
        <v>105</v>
      </c>
      <c r="F5" s="1">
        <v>5.0563651745065918</v>
      </c>
      <c r="G5" s="1">
        <v>5.1781421554657125</v>
      </c>
      <c r="I5" s="6" t="s">
        <v>105</v>
      </c>
      <c r="J5" s="1">
        <v>-5.5142857142857133</v>
      </c>
      <c r="K5" s="1">
        <v>29.497845614864271</v>
      </c>
    </row>
    <row r="6" spans="1:11" x14ac:dyDescent="0.25">
      <c r="A6" s="6" t="s">
        <v>108</v>
      </c>
      <c r="B6" s="1">
        <v>2.9607550655955026</v>
      </c>
      <c r="C6" s="1">
        <v>46.055219392090649</v>
      </c>
      <c r="E6" s="6" t="s">
        <v>108</v>
      </c>
      <c r="F6" s="1">
        <v>-2.1746187097447267</v>
      </c>
      <c r="G6" s="1">
        <v>11.607105638004663</v>
      </c>
      <c r="I6" s="6" t="s">
        <v>108</v>
      </c>
      <c r="J6" s="1">
        <v>3.9900000000000011</v>
      </c>
      <c r="K6" s="1">
        <v>40.303396327797934</v>
      </c>
    </row>
    <row r="7" spans="1:11" x14ac:dyDescent="0.25">
      <c r="A7" s="6" t="s">
        <v>109</v>
      </c>
      <c r="B7" s="1">
        <v>13.320120907507377</v>
      </c>
      <c r="C7" s="1">
        <v>5.2051095344417364</v>
      </c>
      <c r="E7" s="6" t="s">
        <v>109</v>
      </c>
      <c r="F7" s="1">
        <v>3.1460396115854223</v>
      </c>
      <c r="G7" s="1">
        <v>2.2990484661025006</v>
      </c>
      <c r="I7" s="6" t="s">
        <v>109</v>
      </c>
      <c r="J7" s="1">
        <v>3.7709090909090905</v>
      </c>
      <c r="K7" s="1">
        <v>26.143644962032862</v>
      </c>
    </row>
    <row r="8" spans="1:11" x14ac:dyDescent="0.25">
      <c r="A8" s="6" t="s">
        <v>107</v>
      </c>
      <c r="B8" s="1">
        <v>12.381585154511036</v>
      </c>
      <c r="C8" s="1">
        <v>7.2031361008874342</v>
      </c>
      <c r="E8" s="6" t="s">
        <v>107</v>
      </c>
      <c r="F8" s="1">
        <v>2.293427947256482</v>
      </c>
      <c r="G8" s="1">
        <v>1.3942229341892372</v>
      </c>
      <c r="I8" s="6" t="s">
        <v>107</v>
      </c>
      <c r="J8" s="1">
        <v>4.0399999999999991</v>
      </c>
      <c r="K8" s="1">
        <v>19.158791003799607</v>
      </c>
    </row>
    <row r="9" spans="1:11" x14ac:dyDescent="0.25">
      <c r="A9" s="6" t="s">
        <v>106</v>
      </c>
      <c r="B9" s="1">
        <v>13.207808096509927</v>
      </c>
      <c r="C9" s="1">
        <v>7.7823516258964123</v>
      </c>
      <c r="E9" s="6" t="s">
        <v>106</v>
      </c>
      <c r="F9" s="1">
        <v>1.6639030074449781</v>
      </c>
      <c r="G9" s="1">
        <v>0.70232254878742784</v>
      </c>
      <c r="I9" s="6" t="s">
        <v>106</v>
      </c>
      <c r="J9" s="1">
        <v>14.395555555555553</v>
      </c>
      <c r="K9" s="1">
        <v>12.889400564556148</v>
      </c>
    </row>
    <row r="21" spans="1:11" x14ac:dyDescent="0.25">
      <c r="A21" s="24" t="s">
        <v>64</v>
      </c>
      <c r="B21" s="24"/>
      <c r="C21" s="24"/>
      <c r="E21" s="24" t="s">
        <v>66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2.8391666666666668</v>
      </c>
      <c r="C25" s="1">
        <v>2.9953727045042129</v>
      </c>
      <c r="E25" s="6" t="s">
        <v>105</v>
      </c>
      <c r="F25" s="1">
        <v>3.2516666666666669</v>
      </c>
      <c r="G25" s="1">
        <v>1.3204407934053257</v>
      </c>
      <c r="I25" s="6" t="s">
        <v>105</v>
      </c>
      <c r="J25" s="1">
        <v>-2.7978625620067326</v>
      </c>
      <c r="K25" s="1">
        <v>24.229237262188839</v>
      </c>
    </row>
    <row r="26" spans="1:11" x14ac:dyDescent="0.25">
      <c r="A26" s="6" t="s">
        <v>108</v>
      </c>
      <c r="B26" s="1">
        <v>1.587142857142857</v>
      </c>
      <c r="C26" s="1">
        <v>3.2401927380314639</v>
      </c>
      <c r="E26" s="6" t="s">
        <v>108</v>
      </c>
      <c r="F26" s="1">
        <v>1.4188888888888889</v>
      </c>
      <c r="G26" s="1">
        <v>6.0261881160379112</v>
      </c>
      <c r="I26" s="6" t="s">
        <v>108</v>
      </c>
      <c r="J26" s="1">
        <v>38.470164151763711</v>
      </c>
      <c r="K26" s="1">
        <v>148.52710863906285</v>
      </c>
    </row>
    <row r="27" spans="1:11" x14ac:dyDescent="0.25">
      <c r="A27" s="6" t="s">
        <v>109</v>
      </c>
      <c r="B27" s="1">
        <v>2.7933333333333326</v>
      </c>
      <c r="C27" s="1">
        <v>7.3051184491119345</v>
      </c>
      <c r="E27" s="6" t="s">
        <v>109</v>
      </c>
      <c r="F27" s="1">
        <v>1.5880000000000003</v>
      </c>
      <c r="G27" s="1">
        <v>0.42044738077433541</v>
      </c>
      <c r="I27" s="6" t="s">
        <v>109</v>
      </c>
      <c r="J27" s="1">
        <v>11.401828154047822</v>
      </c>
      <c r="K27" s="1">
        <v>53.188062181355235</v>
      </c>
    </row>
    <row r="28" spans="1:11" x14ac:dyDescent="0.25">
      <c r="A28" s="6" t="s">
        <v>107</v>
      </c>
      <c r="B28" s="1">
        <v>4.1959999999999997</v>
      </c>
      <c r="C28" s="1">
        <v>2.9746199757279919</v>
      </c>
      <c r="E28" s="6" t="s">
        <v>107</v>
      </c>
      <c r="F28" s="1">
        <v>3.7858333333333332</v>
      </c>
      <c r="G28" s="1">
        <v>1.7202396070186146</v>
      </c>
      <c r="I28" s="6" t="s">
        <v>107</v>
      </c>
      <c r="J28" s="1">
        <v>24.569883043111176</v>
      </c>
      <c r="K28" s="1">
        <v>31.665189544460645</v>
      </c>
    </row>
    <row r="29" spans="1:11" x14ac:dyDescent="0.25">
      <c r="A29" s="6" t="s">
        <v>106</v>
      </c>
      <c r="B29" s="1">
        <v>4.9837500000000006</v>
      </c>
      <c r="C29" s="1">
        <v>2.7948968563258272</v>
      </c>
      <c r="E29" s="6" t="s">
        <v>106</v>
      </c>
      <c r="F29" s="1">
        <v>3.3366666666666669</v>
      </c>
      <c r="G29" s="1">
        <v>1.4077405063907671</v>
      </c>
      <c r="I29" s="6" t="s">
        <v>106</v>
      </c>
      <c r="J29" s="1">
        <v>18.471795586827223</v>
      </c>
      <c r="K29" s="1">
        <v>14.04697776782953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29"/>
  <sheetViews>
    <sheetView workbookViewId="0">
      <selection activeCell="F12" sqref="F12"/>
    </sheetView>
  </sheetViews>
  <sheetFormatPr defaultRowHeight="15" x14ac:dyDescent="0.25"/>
  <cols>
    <col min="1" max="1" width="36.7109375" bestFit="1" customWidth="1"/>
    <col min="2" max="2" width="16.28515625" bestFit="1" customWidth="1"/>
    <col min="3" max="3" width="16.85546875" bestFit="1" customWidth="1"/>
    <col min="5" max="5" width="36.7109375" bestFit="1" customWidth="1"/>
    <col min="6" max="6" width="14" bestFit="1" customWidth="1"/>
    <col min="7" max="7" width="14.5703125" bestFit="1" customWidth="1"/>
    <col min="9" max="9" width="36.710937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61</v>
      </c>
      <c r="B1" s="24"/>
      <c r="C1" s="24"/>
      <c r="E1" s="24" t="s">
        <v>81</v>
      </c>
      <c r="F1" s="24"/>
      <c r="G1" s="24"/>
      <c r="I1" s="24" t="s">
        <v>63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105</v>
      </c>
      <c r="B5" s="1">
        <v>1.6762901815725246</v>
      </c>
      <c r="C5" s="1">
        <v>4.4726595643564586</v>
      </c>
      <c r="E5" s="6" t="s">
        <v>105</v>
      </c>
      <c r="F5" s="1">
        <v>2.5447875720239597</v>
      </c>
      <c r="G5" s="1">
        <v>1.9875272974927636</v>
      </c>
      <c r="I5" s="6" t="s">
        <v>105</v>
      </c>
      <c r="J5" s="1">
        <v>7</v>
      </c>
      <c r="K5" s="1">
        <v>18.983484049738259</v>
      </c>
    </row>
    <row r="6" spans="1:11" x14ac:dyDescent="0.25">
      <c r="A6" s="6" t="s">
        <v>108</v>
      </c>
      <c r="B6" s="1">
        <v>10.805370001773172</v>
      </c>
      <c r="C6" s="1">
        <v>18.600102884514978</v>
      </c>
      <c r="E6" s="6" t="s">
        <v>108</v>
      </c>
      <c r="F6" s="1">
        <v>-0.1270162111120231</v>
      </c>
      <c r="G6" s="1">
        <v>4.4409413089052414</v>
      </c>
      <c r="I6" s="6" t="s">
        <v>108</v>
      </c>
      <c r="J6" s="1">
        <v>-18.138461538461542</v>
      </c>
      <c r="K6" s="1">
        <v>32.419311397364531</v>
      </c>
    </row>
    <row r="7" spans="1:11" x14ac:dyDescent="0.25">
      <c r="A7" s="6" t="s">
        <v>109</v>
      </c>
      <c r="B7" s="1">
        <v>12.448975056332818</v>
      </c>
      <c r="C7" s="1">
        <v>11.141352615169881</v>
      </c>
      <c r="E7" s="6" t="s">
        <v>109</v>
      </c>
      <c r="F7" s="1">
        <v>1.6699971389230461</v>
      </c>
      <c r="G7" s="1">
        <v>1.1960032361082655</v>
      </c>
      <c r="I7" s="6" t="s">
        <v>109</v>
      </c>
      <c r="J7" s="1">
        <v>3.6216666666666666</v>
      </c>
      <c r="K7" s="1">
        <v>15.712979153836136</v>
      </c>
    </row>
    <row r="8" spans="1:11" x14ac:dyDescent="0.25">
      <c r="A8" s="6" t="s">
        <v>107</v>
      </c>
      <c r="B8" s="1">
        <v>6.7051422363204081</v>
      </c>
      <c r="C8" s="1">
        <v>13.738207091704657</v>
      </c>
      <c r="E8" s="6" t="s">
        <v>107</v>
      </c>
      <c r="F8" s="1">
        <v>1.3436609197545233</v>
      </c>
      <c r="G8" s="1">
        <v>1.2325054530509201</v>
      </c>
      <c r="I8" s="6" t="s">
        <v>107</v>
      </c>
      <c r="J8" s="1">
        <v>3.6159090909090903</v>
      </c>
      <c r="K8" s="1">
        <v>14.332514103854567</v>
      </c>
    </row>
    <row r="9" spans="1:11" x14ac:dyDescent="0.25">
      <c r="A9" s="6" t="s">
        <v>106</v>
      </c>
      <c r="B9" s="1">
        <v>55.369186046511629</v>
      </c>
      <c r="C9" s="1">
        <v>42.547480620155042</v>
      </c>
      <c r="E9" s="6" t="s">
        <v>106</v>
      </c>
      <c r="F9" s="1">
        <v>10.445993031358885</v>
      </c>
      <c r="G9" s="1">
        <v>8.2048006194347654</v>
      </c>
      <c r="I9" s="6" t="s">
        <v>106</v>
      </c>
      <c r="J9" s="1">
        <v>1.8700000000000006</v>
      </c>
      <c r="K9" s="1">
        <v>8.3400000000000016</v>
      </c>
    </row>
    <row r="21" spans="1:11" x14ac:dyDescent="0.25">
      <c r="A21" s="24" t="s">
        <v>65</v>
      </c>
      <c r="B21" s="24"/>
      <c r="C21" s="24"/>
      <c r="E21" s="24" t="s">
        <v>67</v>
      </c>
      <c r="F21" s="24"/>
      <c r="G21" s="24"/>
      <c r="I21" s="24" t="s">
        <v>68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105</v>
      </c>
      <c r="B25" s="1">
        <v>1.4699999999999998</v>
      </c>
      <c r="C25" s="1">
        <v>6.513004938838395</v>
      </c>
      <c r="E25" s="6" t="s">
        <v>105</v>
      </c>
      <c r="F25" s="1">
        <v>2.4239999999999999</v>
      </c>
      <c r="G25" s="1">
        <v>0.37675456201617485</v>
      </c>
      <c r="I25" s="6" t="s">
        <v>105</v>
      </c>
      <c r="J25" s="1">
        <v>-30.735802469135798</v>
      </c>
      <c r="K25" s="1">
        <v>38.272376898886414</v>
      </c>
    </row>
    <row r="26" spans="1:11" x14ac:dyDescent="0.25">
      <c r="A26" s="6" t="s">
        <v>108</v>
      </c>
      <c r="B26" s="1">
        <v>1.2553333333333332</v>
      </c>
      <c r="C26" s="1">
        <v>4.1299683076534883</v>
      </c>
      <c r="E26" s="6" t="s">
        <v>108</v>
      </c>
      <c r="F26" s="1">
        <v>0.28750000000000003</v>
      </c>
      <c r="G26" s="1">
        <v>4.4543801009044275</v>
      </c>
      <c r="I26" s="6" t="s">
        <v>108</v>
      </c>
      <c r="J26" s="1">
        <v>5.5465229251474915</v>
      </c>
      <c r="K26" s="1">
        <v>21.39625248405887</v>
      </c>
    </row>
    <row r="27" spans="1:11" x14ac:dyDescent="0.25">
      <c r="A27" s="6" t="s">
        <v>109</v>
      </c>
      <c r="B27" s="1">
        <v>2.4875000000000003</v>
      </c>
      <c r="C27" s="1">
        <v>2.9787948485922957</v>
      </c>
      <c r="E27" s="6" t="s">
        <v>109</v>
      </c>
      <c r="F27" s="1">
        <v>1.743125</v>
      </c>
      <c r="G27" s="1">
        <v>0.47303169489474955</v>
      </c>
      <c r="I27" s="6" t="s">
        <v>109</v>
      </c>
      <c r="J27" s="1">
        <v>16.460204451330558</v>
      </c>
      <c r="K27" s="1">
        <v>27.623796885995393</v>
      </c>
    </row>
    <row r="28" spans="1:11" x14ac:dyDescent="0.25">
      <c r="A28" s="6" t="s">
        <v>107</v>
      </c>
      <c r="B28" s="1">
        <v>2.2896153846153844</v>
      </c>
      <c r="C28" s="1">
        <v>3.0286217743506709</v>
      </c>
      <c r="E28" s="6" t="s">
        <v>107</v>
      </c>
      <c r="F28" s="1">
        <v>2.4109523809523807</v>
      </c>
      <c r="G28" s="1">
        <v>2.1432105528675671</v>
      </c>
      <c r="I28" s="6" t="s">
        <v>107</v>
      </c>
      <c r="J28" s="1">
        <v>1.7059153240204765</v>
      </c>
      <c r="K28" s="1">
        <v>16.398967935209967</v>
      </c>
    </row>
    <row r="29" spans="1:11" x14ac:dyDescent="0.25">
      <c r="A29" s="6" t="s">
        <v>106</v>
      </c>
      <c r="B29" s="1">
        <v>6.4550000000000001</v>
      </c>
      <c r="C29" s="1">
        <v>0.24499999999999184</v>
      </c>
      <c r="E29" s="6" t="s">
        <v>106</v>
      </c>
      <c r="F29" s="1">
        <v>8.14</v>
      </c>
      <c r="G29" s="1">
        <v>6.7899999999999991</v>
      </c>
      <c r="I29" s="6" t="s">
        <v>106</v>
      </c>
      <c r="J29" s="1">
        <v>-136.13474025974025</v>
      </c>
      <c r="K29" s="1">
        <v>157.61525974025975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13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L19" sqref="L19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Large Cap"</f>
        <v>Communication Services - Large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x14ac:dyDescent="0.25">
      <c r="C2" s="34" t="s">
        <v>104</v>
      </c>
      <c r="D2" s="35"/>
      <c r="E2" s="35"/>
      <c r="F2" s="35"/>
      <c r="G2" s="35"/>
      <c r="H2" s="36"/>
      <c r="I2" s="42" t="s">
        <v>69</v>
      </c>
      <c r="J2" s="43"/>
      <c r="K2" s="43"/>
      <c r="L2" s="43"/>
      <c r="M2" s="44"/>
      <c r="N2" s="45" t="s">
        <v>86</v>
      </c>
      <c r="O2" s="46"/>
      <c r="P2" s="46"/>
      <c r="Q2" s="46"/>
      <c r="R2" s="46"/>
      <c r="S2" s="47"/>
      <c r="T2" s="40" t="str">
        <f>"Max Score:"&amp;IFERROR(CHAR(10)&amp;MAX($T$9:$T$1048576)&amp;"/5", CHAR(10)&amp;"0/5")</f>
        <v>Max Score:
5/5</v>
      </c>
    </row>
    <row r="3" spans="1:20" s="10" customFormat="1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265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5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3">_xlfn._xlws.FILTER(_xlfn._xlws.FILTER(Main_L[], Main_L[Preliminary Criteria]="YES"), COUNTIF($A$8:$S$8,Main_L[#Headers]))</f>
        <v>Entertainment</v>
      </c>
      <c r="B9" t="str">
        <v>EA</v>
      </c>
      <c r="C9" s="9">
        <v>36055</v>
      </c>
      <c r="D9" s="1">
        <v>146.91999999999999</v>
      </c>
      <c r="E9" s="1">
        <v>7.09</v>
      </c>
      <c r="F9" s="1">
        <v>25.31</v>
      </c>
      <c r="G9" s="1">
        <v>4.25</v>
      </c>
      <c r="H9" s="1">
        <v>20.722143864598024</v>
      </c>
      <c r="I9" s="1">
        <v>5.8048202291584348</v>
      </c>
      <c r="J9" s="1">
        <v>16.13</v>
      </c>
      <c r="K9" s="1">
        <v>7.68</v>
      </c>
      <c r="L9" s="1">
        <v>1.94</v>
      </c>
      <c r="M9" s="1">
        <v>34.569411764705876</v>
      </c>
      <c r="N9" s="1">
        <v>-0.69558661650345421</v>
      </c>
      <c r="O9" s="1">
        <v>-0.40125617594495772</v>
      </c>
      <c r="P9" s="1">
        <v>0.16237559628840173</v>
      </c>
      <c r="Q9" s="1">
        <v>0.55855738625818974</v>
      </c>
      <c r="R9" s="1">
        <v>-0.35101943351673925</v>
      </c>
      <c r="S9" s="1">
        <v>-0.11957963737275469</v>
      </c>
      <c r="T9">
        <f t="shared" ref="T9:T13" si="0">SUM(IF($I9&lt;(0.7*VLOOKUP($A9, Mean_PB_L, 2, FALSE)),1,0), IF($J9&gt;VLOOKUP($A9, Mean_ROE_L, 2, FALSE),1,0), IF($K9&gt;VLOOKUP($A9, Mean_ROA_L, 2,FALSE),1,0), IF($M9&lt;VLOOKUP($A9, Mean_PE_L, 2, FALSE),1,0), IF(AND($M9&gt;1,$M9&lt;25),1,0))</f>
        <v>4</v>
      </c>
    </row>
    <row r="10" spans="1:20" x14ac:dyDescent="0.25">
      <c r="A10" t="str">
        <v>Entertainment</v>
      </c>
      <c r="B10" t="str">
        <v>KONMY</v>
      </c>
      <c r="C10" s="2">
        <v>18436</v>
      </c>
      <c r="D10" s="1">
        <v>69.75</v>
      </c>
      <c r="E10" s="1">
        <v>2.93</v>
      </c>
      <c r="F10" s="1">
        <v>22.92</v>
      </c>
      <c r="G10" s="1">
        <v>3.5</v>
      </c>
      <c r="H10" s="1">
        <v>23.805460750853243</v>
      </c>
      <c r="I10" s="1">
        <v>3.0431937172774868</v>
      </c>
      <c r="J10" s="1">
        <v>16.43</v>
      </c>
      <c r="K10" s="1">
        <v>10.59</v>
      </c>
      <c r="L10" s="1">
        <v>1.38</v>
      </c>
      <c r="M10" s="1">
        <v>19.928571428571427</v>
      </c>
      <c r="N10" s="1">
        <v>-0.54317905934339905</v>
      </c>
      <c r="O10" s="1">
        <v>-0.735300512721483</v>
      </c>
      <c r="P10" s="1">
        <v>0.17843472119604589</v>
      </c>
      <c r="Q10" s="1">
        <v>1.1988996032029038</v>
      </c>
      <c r="R10" s="1">
        <v>-0.9605415506310776</v>
      </c>
      <c r="S10" s="1">
        <v>-0.4011539098066042</v>
      </c>
      <c r="T10">
        <f t="shared" si="0"/>
        <v>5</v>
      </c>
    </row>
    <row r="11" spans="1:20" x14ac:dyDescent="0.25">
      <c r="A11" t="str">
        <v>Entertainment</v>
      </c>
      <c r="B11" t="str">
        <v>NEXOY</v>
      </c>
      <c r="C11" s="2">
        <v>14745</v>
      </c>
      <c r="D11" s="1">
        <v>18.04</v>
      </c>
      <c r="E11" s="1">
        <v>1.05</v>
      </c>
      <c r="F11" s="1">
        <v>8.15</v>
      </c>
      <c r="G11" s="1">
        <v>1</v>
      </c>
      <c r="H11" s="1">
        <v>17.18095238095238</v>
      </c>
      <c r="I11" s="1">
        <v>2.2134969325153371</v>
      </c>
      <c r="J11" s="1">
        <v>12.87</v>
      </c>
      <c r="K11" s="1">
        <v>7.53</v>
      </c>
      <c r="L11" s="1">
        <v>1.23</v>
      </c>
      <c r="M11" s="1">
        <v>18.04</v>
      </c>
      <c r="N11" s="1">
        <v>-0.87062679672765142</v>
      </c>
      <c r="O11" s="1">
        <v>-0.83566003309801529</v>
      </c>
      <c r="P11" s="1">
        <v>-1.2133561041331013E-2</v>
      </c>
      <c r="Q11" s="1">
        <v>0.52555005548784373</v>
      </c>
      <c r="R11" s="1">
        <v>-1.123806403429561</v>
      </c>
      <c r="S11" s="1">
        <v>-0.43747512592060744</v>
      </c>
      <c r="T11">
        <f t="shared" si="0"/>
        <v>4</v>
      </c>
    </row>
    <row r="12" spans="1:20" x14ac:dyDescent="0.25">
      <c r="A12" t="str">
        <v>Entertainment</v>
      </c>
      <c r="B12" t="str">
        <v>TME</v>
      </c>
      <c r="C12" s="2">
        <v>25949</v>
      </c>
      <c r="D12" s="1">
        <v>18.510000000000002</v>
      </c>
      <c r="E12" s="1">
        <v>0.81</v>
      </c>
      <c r="F12" s="1">
        <v>6.61</v>
      </c>
      <c r="G12" s="1">
        <v>0.84</v>
      </c>
      <c r="H12" s="1">
        <v>22.851851851851851</v>
      </c>
      <c r="I12" s="1">
        <v>2.8003025718608172</v>
      </c>
      <c r="J12" s="1">
        <v>14.66</v>
      </c>
      <c r="K12" s="1">
        <v>7.35</v>
      </c>
      <c r="L12" s="1">
        <v>1.34</v>
      </c>
      <c r="M12" s="1">
        <v>22.035714285714288</v>
      </c>
      <c r="N12" s="1">
        <v>-0.59031570087083163</v>
      </c>
      <c r="O12" s="1">
        <v>-0.76468044923010958</v>
      </c>
      <c r="P12" s="1">
        <v>8.3685884240945613E-2</v>
      </c>
      <c r="Q12" s="1">
        <v>0.48594125856342829</v>
      </c>
      <c r="R12" s="1">
        <v>-1.004078844710673</v>
      </c>
      <c r="S12" s="1">
        <v>-0.36062910362796957</v>
      </c>
      <c r="T12">
        <f t="shared" si="0"/>
        <v>5</v>
      </c>
    </row>
    <row r="13" spans="1:20" x14ac:dyDescent="0.25">
      <c r="A13" t="str">
        <v>Media</v>
      </c>
      <c r="B13" t="str">
        <v>FOX</v>
      </c>
      <c r="C13" s="2">
        <v>22607</v>
      </c>
      <c r="D13" s="1">
        <v>49.56</v>
      </c>
      <c r="E13" s="1">
        <v>5.2</v>
      </c>
      <c r="F13" s="1">
        <v>25.58</v>
      </c>
      <c r="G13" s="1">
        <v>4.03</v>
      </c>
      <c r="H13" s="1">
        <v>9.5307692307692307</v>
      </c>
      <c r="I13" s="1">
        <v>1.9374511336982019</v>
      </c>
      <c r="J13" s="1">
        <v>16.62</v>
      </c>
      <c r="K13" s="1">
        <v>8.4</v>
      </c>
      <c r="L13" s="1">
        <v>2.0299999999999998</v>
      </c>
      <c r="M13" s="1">
        <v>12.297766749379653</v>
      </c>
      <c r="N13" s="1">
        <v>-0.75715000695459178</v>
      </c>
      <c r="O13" s="1">
        <v>-0.23259301208178829</v>
      </c>
      <c r="P13" s="1">
        <v>0.88445602697123571</v>
      </c>
      <c r="Q13" s="1">
        <v>1.5462034230038348</v>
      </c>
      <c r="R13" s="1">
        <v>-0.13148986337739832</v>
      </c>
      <c r="S13" s="1">
        <v>-0.50268567236176254</v>
      </c>
      <c r="T13">
        <f t="shared" si="0"/>
        <v>4</v>
      </c>
    </row>
  </sheetData>
  <autoFilter ref="A8:T8" xr:uid="{97C29769-BCC2-47EA-9108-B1B7CE962C71}"/>
  <mergeCells count="15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  <mergeCell ref="L4:L6"/>
  </mergeCells>
  <phoneticPr fontId="6" type="noConversion"/>
  <conditionalFormatting sqref="I9:I1048576">
    <cfRule type="expression" dxfId="117" priority="1">
      <formula>$I9 &lt; (0.7*VLOOKUP($A9, Mean_PB_L, 2, FALSE))</formula>
    </cfRule>
  </conditionalFormatting>
  <conditionalFormatting sqref="J9:J1048576">
    <cfRule type="expression" dxfId="116" priority="3">
      <formula>$J9 &gt; VLOOKUP($A9, Mean_ROE_L, 2, FALSE)</formula>
    </cfRule>
  </conditionalFormatting>
  <conditionalFormatting sqref="K9:K1048576">
    <cfRule type="expression" dxfId="115" priority="4">
      <formula>$K9 &gt; VLOOKUP($A9, Mean_ROA_L, 2, FALSE)</formula>
    </cfRule>
  </conditionalFormatting>
  <conditionalFormatting sqref="M9:M1048576">
    <cfRule type="expression" dxfId="114" priority="5">
      <formula>AND($M9&gt;1, $M9&lt;25, $M9 &lt; VLOOKUP($A9, Mean_PE_L, 2, FALSE))</formula>
    </cfRule>
    <cfRule type="expression" dxfId="113" priority="6">
      <formula>AND($M9&gt;1, $M9&lt;25)</formula>
    </cfRule>
    <cfRule type="expression" dxfId="112" priority="9">
      <formula xml:space="preserve"> $M9 &lt; VLOOKUP($A9, Mean_PE_L, 2, FALSE)</formula>
    </cfRule>
  </conditionalFormatting>
  <conditionalFormatting sqref="N9:N1048576">
    <cfRule type="expression" dxfId="111" priority="10">
      <formula>$N9&lt;0</formula>
    </cfRule>
  </conditionalFormatting>
  <conditionalFormatting sqref="O9:O1048576">
    <cfRule type="expression" dxfId="110" priority="11">
      <formula>$O9&lt;0</formula>
    </cfRule>
  </conditionalFormatting>
  <conditionalFormatting sqref="P9:P1048576">
    <cfRule type="expression" dxfId="109" priority="12">
      <formula>$P9&gt;0</formula>
    </cfRule>
  </conditionalFormatting>
  <conditionalFormatting sqref="Q9:Q1048576">
    <cfRule type="expression" dxfId="108" priority="14">
      <formula>$Q9&gt;0</formula>
    </cfRule>
  </conditionalFormatting>
  <conditionalFormatting sqref="R9:R1048576">
    <cfRule type="expression" dxfId="107" priority="15">
      <formula>$R9&lt;0</formula>
    </cfRule>
  </conditionalFormatting>
  <conditionalFormatting sqref="S9:S1048576">
    <cfRule type="expression" dxfId="106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10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L3" sqref="L3:L6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Mid Cap"</f>
        <v>Communication Services - Mid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7" t="s">
        <v>88</v>
      </c>
      <c r="D2" s="58"/>
      <c r="E2" s="58"/>
      <c r="F2" s="58"/>
      <c r="G2" s="58"/>
      <c r="H2" s="59"/>
      <c r="I2" s="60" t="s">
        <v>69</v>
      </c>
      <c r="J2" s="61"/>
      <c r="K2" s="61"/>
      <c r="L2" s="61"/>
      <c r="M2" s="62"/>
      <c r="N2" s="64" t="s">
        <v>86</v>
      </c>
      <c r="O2" s="65"/>
      <c r="P2" s="65"/>
      <c r="Q2" s="65"/>
      <c r="R2" s="65"/>
      <c r="S2" s="66"/>
      <c r="T2" s="63" t="str">
        <f>"Max Score:"&amp;IFERROR(CHAR(10)&amp;MAX($T$9:$T$1048576)&amp;"/5", CHAR(10)&amp;"0/5")</f>
        <v>Max Score:
5/5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265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2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0">_xlfn._xlws.FILTER(_xlfn._xlws.FILTER(Main_M[], Main_M[Preliminary Criteria]="YES"), COUNTIF($A$8:$S$8,Main_M[#Headers]))</f>
        <v>Media</v>
      </c>
      <c r="B9" t="str">
        <v>TGNA</v>
      </c>
      <c r="C9" s="2">
        <v>2687</v>
      </c>
      <c r="D9" s="1">
        <v>16.559999999999999</v>
      </c>
      <c r="E9" s="1">
        <v>3.6</v>
      </c>
      <c r="F9" s="1">
        <v>18.91</v>
      </c>
      <c r="G9" s="1">
        <v>2.83</v>
      </c>
      <c r="H9" s="1">
        <v>4.5999999999999996</v>
      </c>
      <c r="I9" s="1">
        <v>0.87572712850343726</v>
      </c>
      <c r="J9" s="1">
        <v>15.93</v>
      </c>
      <c r="K9" s="1">
        <v>6.47</v>
      </c>
      <c r="L9" s="1">
        <v>2.4</v>
      </c>
      <c r="M9" s="1">
        <v>5.851590106007067</v>
      </c>
      <c r="N9" s="1">
        <v>-1.0803051678493674</v>
      </c>
      <c r="O9" s="1">
        <v>-1.0168394049388239</v>
      </c>
      <c r="P9" s="1">
        <v>0.6206028343668426</v>
      </c>
      <c r="Q9" s="1">
        <v>0.76446740039237249</v>
      </c>
      <c r="R9" s="1">
        <v>-0.80560482835013414</v>
      </c>
      <c r="S9" s="1">
        <v>-0.59113156138926692</v>
      </c>
      <c r="T9">
        <f t="shared" ref="T9:T10" si="0">SUM(IF($I9 &lt; (0.7*VLOOKUP($A9, Mean_PB_M, 2, FALSE)),1,0), IF($J9&gt;VLOOKUP($A9, Mean_ROE_M, 2, FALSE),1,0), IF($K9&gt;VLOOKUP($A9, Mean_ROA_M, 2,FALSE),1,0), IF($M9&lt;VLOOKUP($A9, Mean_PE_M, 2, FALSE),1,0), IF(AND($M9&gt;1,$M9&lt;25),1,0))</f>
        <v>5</v>
      </c>
    </row>
    <row r="10" spans="1:20" x14ac:dyDescent="0.25">
      <c r="A10" t="str">
        <v>Wireless Telecommunication Services</v>
      </c>
      <c r="B10" t="str">
        <v>FRTAY</v>
      </c>
      <c r="C10" s="2">
        <v>4162</v>
      </c>
      <c r="D10" s="1">
        <v>18.03</v>
      </c>
      <c r="E10" s="1">
        <v>2.99</v>
      </c>
      <c r="F10" s="1">
        <v>13.24</v>
      </c>
      <c r="G10" s="1">
        <v>0.71</v>
      </c>
      <c r="H10" s="1">
        <v>6.0301003344481607</v>
      </c>
      <c r="I10" s="1">
        <v>1.3617824773413898</v>
      </c>
      <c r="J10" s="1">
        <v>17.54</v>
      </c>
      <c r="K10" s="1">
        <v>7.01</v>
      </c>
      <c r="L10" s="1">
        <v>2.14</v>
      </c>
      <c r="M10" s="1">
        <v>25.3943661971831</v>
      </c>
      <c r="N10" s="1">
        <v>-0.92230576400292119</v>
      </c>
      <c r="O10" s="1">
        <v>-0.43017347317867649</v>
      </c>
      <c r="P10" s="1">
        <v>0.24395583244508517</v>
      </c>
      <c r="Q10" s="1">
        <v>0.7249820312380717</v>
      </c>
      <c r="R10" s="1">
        <v>-0.85006196897376951</v>
      </c>
      <c r="S10" s="1">
        <v>0.49281565933776789</v>
      </c>
      <c r="T10">
        <f t="shared" si="0"/>
        <v>2</v>
      </c>
    </row>
  </sheetData>
  <autoFilter ref="A8:T8" xr:uid="{0BF3C1E5-2754-4118-8E3A-5ED7654E3417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105" priority="1">
      <formula>$I9 &lt; (0.7*VLOOKUP($A9, Mean_PB_M, 2, FALSE))</formula>
    </cfRule>
  </conditionalFormatting>
  <conditionalFormatting sqref="J9:J1048576">
    <cfRule type="expression" dxfId="104" priority="3">
      <formula>$J9 &gt; VLOOKUP($A9, Mean_ROE_M, 2, FALSE)</formula>
    </cfRule>
  </conditionalFormatting>
  <conditionalFormatting sqref="K9:K1048576">
    <cfRule type="expression" dxfId="103" priority="4">
      <formula>$K9 &gt; VLOOKUP($A9, Mean_ROA_M, 2, FALSE)</formula>
    </cfRule>
  </conditionalFormatting>
  <conditionalFormatting sqref="M9:M1048576">
    <cfRule type="expression" dxfId="102" priority="5">
      <formula>AND($M9&gt;1, $M9&lt;25, $M9 &lt; VLOOKUP($A9, Mean_PE_M, 2, FALSE))</formula>
    </cfRule>
    <cfRule type="expression" dxfId="101" priority="6">
      <formula>AND($M9&gt;1, $M9&lt;25)</formula>
    </cfRule>
    <cfRule type="expression" dxfId="100" priority="7">
      <formula xml:space="preserve"> $M9 &lt; VLOOKUP($A9, Mean_PE_M, 2, FALSE)</formula>
    </cfRule>
  </conditionalFormatting>
  <conditionalFormatting sqref="N9:N1048576">
    <cfRule type="expression" dxfId="99" priority="8">
      <formula>$N9&lt;0</formula>
    </cfRule>
  </conditionalFormatting>
  <conditionalFormatting sqref="O9:O1048576">
    <cfRule type="expression" dxfId="98" priority="9">
      <formula>$O9&lt;0</formula>
    </cfRule>
  </conditionalFormatting>
  <conditionalFormatting sqref="P9:P1048576">
    <cfRule type="expression" dxfId="97" priority="10">
      <formula>$P9&gt;0</formula>
    </cfRule>
  </conditionalFormatting>
  <conditionalFormatting sqref="Q9:Q1048576">
    <cfRule type="expression" dxfId="96" priority="11">
      <formula>$Q9&gt;0</formula>
    </cfRule>
  </conditionalFormatting>
  <conditionalFormatting sqref="R9:R1048576">
    <cfRule type="expression" dxfId="95" priority="12">
      <formula>$R9&lt;0</formula>
    </cfRule>
  </conditionalFormatting>
  <conditionalFormatting sqref="S9:S1048576">
    <cfRule type="expression" dxfId="9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11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H22" sqref="H2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Small Cap"</f>
        <v>Communication Services - Small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7" t="s">
        <v>89</v>
      </c>
      <c r="D2" s="58"/>
      <c r="E2" s="58"/>
      <c r="F2" s="58"/>
      <c r="G2" s="58"/>
      <c r="H2" s="59"/>
      <c r="I2" s="60" t="s">
        <v>69</v>
      </c>
      <c r="J2" s="61"/>
      <c r="K2" s="61"/>
      <c r="L2" s="61"/>
      <c r="M2" s="62"/>
      <c r="N2" s="64" t="s">
        <v>86</v>
      </c>
      <c r="O2" s="65"/>
      <c r="P2" s="65"/>
      <c r="Q2" s="65"/>
      <c r="R2" s="65"/>
      <c r="S2" s="66"/>
      <c r="T2" s="63" t="str">
        <f>"Max Score:"&amp;IFERROR(CHAR(10)&amp;MAX($T$9:$T$1048576)&amp;"/5", CHAR(10)&amp;"0/5")</f>
        <v>Max Score:
4/5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265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3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1">_xlfn._xlws.FILTER(_xlfn._xlws.FILTER(Main_S[], Main_S[Preliminary Criteria]="YES"), COUNTIF($A$8:$S$8,Main_S[#Headers]))</f>
        <v>Interactive Media &amp; Services</v>
      </c>
      <c r="B9" t="str">
        <v>YALA</v>
      </c>
      <c r="C9">
        <v>1087</v>
      </c>
      <c r="D9">
        <v>6.8</v>
      </c>
      <c r="E9">
        <v>1.07</v>
      </c>
      <c r="F9">
        <v>4.6399999999999997</v>
      </c>
      <c r="G9">
        <v>0.77</v>
      </c>
      <c r="H9" s="1">
        <v>6.3551401869158877</v>
      </c>
      <c r="I9" s="1">
        <v>1.4655172413793105</v>
      </c>
      <c r="J9" s="1">
        <v>20.97</v>
      </c>
      <c r="K9" s="1">
        <v>10.33</v>
      </c>
      <c r="L9" s="1">
        <v>1.1200000000000001</v>
      </c>
      <c r="M9" s="1">
        <v>8.8311688311688314</v>
      </c>
      <c r="N9" s="1">
        <v>-0.54695646748669158</v>
      </c>
      <c r="O9" s="1">
        <v>-0.17096935139498698</v>
      </c>
      <c r="P9" s="1">
        <v>1.1040766466681109</v>
      </c>
      <c r="Q9" s="1">
        <v>2.6327761388825315</v>
      </c>
      <c r="R9" s="1">
        <v>-1.3173007363463169</v>
      </c>
      <c r="S9" s="1">
        <v>-0.27617621327173403</v>
      </c>
      <c r="T9">
        <f>SUM(IF($I9 &lt; (0.7*VLOOKUP($A9, Mean_PB_S, 2, FALSE)),1,0), IF($J9&gt;VLOOKUP($A9, Mean_ROE_S, 2, FALSE),1,0), IF($K9&gt;VLOOKUP($A9, Mean_ROA_S, 2,FALSE),1,0), IF($M9&lt;VLOOKUP($A9, Mean_PE_S, 2, FALSE),1,0), IF(AND($M9&gt;1,$M9&lt;25),1,0))</f>
        <v>4</v>
      </c>
    </row>
    <row r="10" spans="1:20" x14ac:dyDescent="0.25">
      <c r="A10" t="str">
        <v>Media</v>
      </c>
      <c r="B10" t="str">
        <v>CRTO</v>
      </c>
      <c r="C10">
        <v>1353</v>
      </c>
      <c r="D10">
        <v>25.78</v>
      </c>
      <c r="E10">
        <v>4.13</v>
      </c>
      <c r="F10">
        <v>19.87</v>
      </c>
      <c r="G10">
        <v>2.44</v>
      </c>
      <c r="H10" s="1">
        <v>6.2421307506053276</v>
      </c>
      <c r="I10" s="1">
        <v>1.2974333165576246</v>
      </c>
      <c r="J10" s="1">
        <v>13.45</v>
      </c>
      <c r="K10" s="1">
        <v>5.77</v>
      </c>
      <c r="L10" s="1">
        <v>2</v>
      </c>
      <c r="M10" s="1">
        <v>10.565573770491804</v>
      </c>
      <c r="N10" s="1">
        <v>-3.3702468060381324E-2</v>
      </c>
      <c r="O10" s="1">
        <v>-3.7507017175841095E-2</v>
      </c>
      <c r="P10" s="1">
        <v>0.68613858237517045</v>
      </c>
      <c r="Q10" s="1">
        <v>1.1491644961612286</v>
      </c>
      <c r="R10" s="1">
        <v>-0.19174615410629431</v>
      </c>
      <c r="S10" s="1">
        <v>0.54025707480340235</v>
      </c>
      <c r="T10">
        <f>SUM(IF($I10 &lt; (0.7*VLOOKUP($A10, Mean_PB_S, 2, FALSE)),1,0), IF($J10&gt;VLOOKUP($A10, Mean_ROE_S, 2, FALSE),1,0), IF($K10&gt;VLOOKUP($A10, Mean_ROA_S, 2,FALSE),1,0), IF($M10&lt;VLOOKUP($A10, Mean_PE_S, 2, FALSE),1,0), IF(AND($M10&gt;1,$M10&lt;25),1,0))</f>
        <v>3</v>
      </c>
    </row>
    <row r="11" spans="1:20" x14ac:dyDescent="0.25">
      <c r="A11" t="str">
        <v>Wireless Telecommunication Services</v>
      </c>
      <c r="B11" t="str">
        <v>SPOK</v>
      </c>
      <c r="C11">
        <v>333</v>
      </c>
      <c r="D11">
        <v>16.54</v>
      </c>
      <c r="E11">
        <v>1.29</v>
      </c>
      <c r="F11">
        <v>7.38</v>
      </c>
      <c r="G11">
        <v>0.77</v>
      </c>
      <c r="H11" s="1">
        <v>12.821705426356589</v>
      </c>
      <c r="I11" s="1">
        <v>2.2411924119241191</v>
      </c>
      <c r="J11" s="1">
        <v>10.210000000000001</v>
      </c>
      <c r="K11" s="1">
        <v>6.21</v>
      </c>
      <c r="L11" s="1">
        <v>1.35</v>
      </c>
      <c r="M11" s="1">
        <v>21.480519480519479</v>
      </c>
      <c r="N11" s="1">
        <v>-1</v>
      </c>
      <c r="O11" s="1">
        <v>-1</v>
      </c>
      <c r="P11" s="1">
        <v>0.99999999999999978</v>
      </c>
      <c r="Q11" s="1">
        <v>-1.0000000000000338</v>
      </c>
      <c r="R11" s="1">
        <v>-1.0000000000000002</v>
      </c>
      <c r="S11" s="1">
        <v>1</v>
      </c>
      <c r="T11">
        <f>SUM(IF($I11 &lt; (0.7*VLOOKUP($A11, Mean_PB_S, 2, FALSE)),1,0), IF($J11&gt;VLOOKUP($A11, Mean_ROE_S, 2, FALSE),1,0), IF($K11&gt;VLOOKUP($A11, Mean_ROA_S, 2,FALSE),1,0), IF($M11&lt;VLOOKUP($A11, Mean_PE_S, 2, FALSE),1,0), IF(AND($M11&gt;1,$M11&lt;25),1,0))</f>
        <v>3</v>
      </c>
    </row>
  </sheetData>
  <autoFilter ref="A8:T8" xr:uid="{F6F40F71-5FB0-44DA-81D2-9D55F6DCA29E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93" priority="1">
      <formula>$I9 &lt; (0.7*VLOOKUP($A9, Mean_PB_S, 2, FALSE))</formula>
    </cfRule>
  </conditionalFormatting>
  <conditionalFormatting sqref="J9:J1048576">
    <cfRule type="expression" dxfId="92" priority="3">
      <formula>$J9 &gt; VLOOKUP($A9, Mean_ROE_S, 2, FALSE)</formula>
    </cfRule>
  </conditionalFormatting>
  <conditionalFormatting sqref="K9:K1048576">
    <cfRule type="expression" dxfId="91" priority="4">
      <formula>$K9 &gt; VLOOKUP($A9, Mean_ROA_S, 2, FALSE)</formula>
    </cfRule>
  </conditionalFormatting>
  <conditionalFormatting sqref="M9:M1048576">
    <cfRule type="expression" dxfId="90" priority="5">
      <formula>AND($M9&gt;1, $M9&lt;25, $M9 &lt; VLOOKUP($A9, Mean_PE_S, 2, FALSE))</formula>
    </cfRule>
    <cfRule type="expression" dxfId="89" priority="6">
      <formula>AND($M9&gt;1, $M9&lt;25)</formula>
    </cfRule>
    <cfRule type="expression" dxfId="88" priority="7">
      <formula xml:space="preserve"> $M9 &lt; VLOOKUP($A9, Mean_PE_S, 2, FALSE)</formula>
    </cfRule>
  </conditionalFormatting>
  <conditionalFormatting sqref="N9:N1048576">
    <cfRule type="expression" dxfId="87" priority="8">
      <formula>$N9&lt;0</formula>
    </cfRule>
  </conditionalFormatting>
  <conditionalFormatting sqref="O9:O1048576">
    <cfRule type="expression" dxfId="86" priority="9">
      <formula>$O9&lt;0</formula>
    </cfRule>
  </conditionalFormatting>
  <conditionalFormatting sqref="P9:P1048576">
    <cfRule type="expression" dxfId="85" priority="10">
      <formula>$P9&gt;0</formula>
    </cfRule>
  </conditionalFormatting>
  <conditionalFormatting sqref="Q9:Q1048576">
    <cfRule type="expression" dxfId="84" priority="11">
      <formula>$Q9&gt;0</formula>
    </cfRule>
  </conditionalFormatting>
  <conditionalFormatting sqref="R9:R1048576">
    <cfRule type="expression" dxfId="83" priority="12">
      <formula>$R9&lt;0</formula>
    </cfRule>
  </conditionalFormatting>
  <conditionalFormatting sqref="S9:S1048576">
    <cfRule type="expression" dxfId="82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Khoi Le</cp:lastModifiedBy>
  <dcterms:created xsi:type="dcterms:W3CDTF">2024-11-08T05:29:25Z</dcterms:created>
  <dcterms:modified xsi:type="dcterms:W3CDTF">2025-06-09T20:15:46Z</dcterms:modified>
</cp:coreProperties>
</file>
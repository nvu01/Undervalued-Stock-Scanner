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drawings/drawing3.xml" ContentType="application/vnd.openxmlformats-officedocument.drawing+xml"/>
  <Override PartName="/xl/activeX/activeX3.xml" ContentType="application/vnd.ms-office.activeX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D:\PROJECTS\Undervalued Stock Scanner\Main\Results\"/>
    </mc:Choice>
  </mc:AlternateContent>
  <xr:revisionPtr revIDLastSave="0" documentId="13_ncr:1_{4061C231-33DC-4B74-BEC3-664FC0E0E628}" xr6:coauthVersionLast="47" xr6:coauthVersionMax="47" xr10:uidLastSave="{00000000-0000-0000-0000-000000000000}"/>
  <bookViews>
    <workbookView xWindow="-120" yWindow="-120" windowWidth="29040" windowHeight="15720" firstSheet="5" activeTab="8" xr2:uid="{4DD57E3E-5037-436A-BD0D-C524F435A914}"/>
  </bookViews>
  <sheets>
    <sheet name="Dynamic Path" sheetId="15" state="hidden" r:id="rId1"/>
    <sheet name="Main_L" sheetId="2" state="hidden" r:id="rId2"/>
    <sheet name="Main_M" sheetId="3" state="hidden" r:id="rId3"/>
    <sheet name="Main_S" sheetId="4" state="hidden" r:id="rId4"/>
    <sheet name="Quartile Tables" sheetId="1" state="hidden" r:id="rId5"/>
    <sheet name="Mean_L" sheetId="7" r:id="rId6"/>
    <sheet name="Mean_M" sheetId="14" r:id="rId7"/>
    <sheet name="Mean_S" sheetId="13" r:id="rId8"/>
    <sheet name="Result_L" sheetId="9" r:id="rId9"/>
    <sheet name="Result_M" sheetId="11" r:id="rId10"/>
    <sheet name="Result_S" sheetId="12" r:id="rId11"/>
  </sheets>
  <definedNames>
    <definedName name="_xlnm._FilterDatabase" localSheetId="8" hidden="1">Result_L!$A$8:$T$8</definedName>
    <definedName name="_xlnm._FilterDatabase" localSheetId="9" hidden="1">Result_M!$A$8:$T$8</definedName>
    <definedName name="_xlnm._FilterDatabase" localSheetId="10" hidden="1">Result_S!$A$8:$T$8</definedName>
    <definedName name="_xleta.LARGE" hidden="1" xlm="1">#NAME?</definedName>
    <definedName name="_xleta.LEFT" hidden="1" xlm="1">#NAME?</definedName>
    <definedName name="_xleta.MID" hidden="1" xlm="1">#NAME?</definedName>
    <definedName name="ExternalData_1" localSheetId="1" hidden="1">Main_L!$A$1:$M$43</definedName>
    <definedName name="ExternalData_1" localSheetId="2" hidden="1">Main_M!$A$1:$M$54</definedName>
    <definedName name="ExternalData_1" localSheetId="3" hidden="1">Main_S!$A$1:$M$74</definedName>
    <definedName name="ExternalData_5" localSheetId="4" hidden="1">'Quartile Tables'!$A$2:$Y$11</definedName>
    <definedName name="ExternalData_6" localSheetId="4" hidden="1">'Quartile Tables'!$A$15:$Y$24</definedName>
    <definedName name="ExternalData_7" localSheetId="4" hidden="1">'Quartile Tables'!$A$28:$Y$37</definedName>
    <definedName name="Mean_AE_L">Mean_L!$E$24:$G$38</definedName>
    <definedName name="Mean_AE_M">Mean_M!$E$24:$G$38</definedName>
    <definedName name="Mean_AE_S">Mean_S!$E$24:$G$38</definedName>
    <definedName name="Mean_PB_L">Mean_L!$E$4:$G$18</definedName>
    <definedName name="Mean_PB_M">Mean_M!$E$4:$G$18</definedName>
    <definedName name="Mean_PB_S">Mean_S!$E$4:$G$18</definedName>
    <definedName name="Mean_PE_L">Mean_L!$I$24:$K$38</definedName>
    <definedName name="Mean_PE_M">Mean_M!$I$24:$K$38</definedName>
    <definedName name="Mean_PE_S">Mean_S!$I$24:$K$38</definedName>
    <definedName name="Mean_PFCF_L">Mean_L!$A$4:$C$18</definedName>
    <definedName name="Mean_PFCF_M">Mean_M!$A$4:$C$18</definedName>
    <definedName name="Mean_PFCF_S">Mean_S!$A$4:$C$18</definedName>
    <definedName name="Mean_ROA_L">Mean_L!$A$24:$C$38</definedName>
    <definedName name="Mean_ROA_M">Mean_M!$A$24:$C$38</definedName>
    <definedName name="Mean_ROA_S">Mean_S!$A$24:$C$38</definedName>
    <definedName name="Mean_ROE_L">Mean_L!$I$4:$K$18</definedName>
    <definedName name="Mean_ROE_M">Mean_M!$I$4:$K$18</definedName>
    <definedName name="Mean_ROE_S">Mean_S!$I$4:$K$18</definedName>
  </definedNames>
  <calcPr calcId="191029"/>
  <pivotCaches>
    <pivotCache cacheId="92" r:id="rId12"/>
    <pivotCache cacheId="152" r:id="rId13"/>
    <pivotCache cacheId="212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7" i="1" l="1"/>
  <c r="Y36" i="1"/>
  <c r="Y35" i="1"/>
  <c r="Y34" i="1"/>
  <c r="Y57" i="4" s="1"/>
  <c r="Y33" i="1"/>
  <c r="Y32" i="1"/>
  <c r="Y29" i="4" s="1"/>
  <c r="Y31" i="1"/>
  <c r="Y30" i="1"/>
  <c r="Y29" i="1"/>
  <c r="X37" i="1"/>
  <c r="X36" i="1"/>
  <c r="X35" i="1"/>
  <c r="X34" i="1"/>
  <c r="X33" i="1"/>
  <c r="X32" i="1"/>
  <c r="Y33" i="4" s="1"/>
  <c r="X31" i="1"/>
  <c r="X30" i="1"/>
  <c r="X29" i="1"/>
  <c r="Y8" i="4" s="1"/>
  <c r="W37" i="1" a="1"/>
  <c r="W37" i="1" s="1"/>
  <c r="W36" i="1" a="1"/>
  <c r="W36" i="1" s="1"/>
  <c r="W35" i="1" a="1"/>
  <c r="W35" i="1" s="1"/>
  <c r="W34" i="1" a="1"/>
  <c r="W34" i="1" s="1"/>
  <c r="W33" i="1" a="1"/>
  <c r="W33" i="1"/>
  <c r="W32" i="1" a="1"/>
  <c r="W32" i="1" s="1"/>
  <c r="W31" i="1" a="1"/>
  <c r="W31" i="1"/>
  <c r="W30" i="1" a="1"/>
  <c r="W30" i="1"/>
  <c r="W29" i="1" a="1"/>
  <c r="W29" i="1"/>
  <c r="V37" i="1" a="1"/>
  <c r="V37" i="1"/>
  <c r="V36" i="1" a="1"/>
  <c r="V36" i="1" s="1"/>
  <c r="V35" i="1" a="1"/>
  <c r="V35" i="1"/>
  <c r="V34" i="1" a="1"/>
  <c r="V34" i="1"/>
  <c r="V33" i="1" a="1"/>
  <c r="V33" i="1" s="1"/>
  <c r="V32" i="1" a="1"/>
  <c r="V32" i="1"/>
  <c r="V31" i="1" a="1"/>
  <c r="V31" i="1" s="1"/>
  <c r="V30" i="1" a="1"/>
  <c r="V30" i="1" s="1"/>
  <c r="V29" i="1" a="1"/>
  <c r="V29" i="1" s="1"/>
  <c r="Q37" i="1"/>
  <c r="Q36" i="1"/>
  <c r="Q35" i="1"/>
  <c r="X66" i="4" s="1"/>
  <c r="Q34" i="1"/>
  <c r="Q33" i="1"/>
  <c r="Q32" i="1"/>
  <c r="Q31" i="1"/>
  <c r="Q30" i="1"/>
  <c r="Q29" i="1"/>
  <c r="P37" i="1"/>
  <c r="X55" i="4" s="1"/>
  <c r="P36" i="1"/>
  <c r="P35" i="1"/>
  <c r="P34" i="1"/>
  <c r="X58" i="4" s="1"/>
  <c r="P33" i="1"/>
  <c r="P32" i="1"/>
  <c r="P31" i="1"/>
  <c r="X24" i="4" s="1"/>
  <c r="P30" i="1"/>
  <c r="P29" i="1"/>
  <c r="O37" i="1" a="1"/>
  <c r="O37" i="1"/>
  <c r="O36" i="1" a="1"/>
  <c r="O36" i="1" s="1"/>
  <c r="O35" i="1" a="1"/>
  <c r="O35" i="1"/>
  <c r="O34" i="1" a="1"/>
  <c r="O34" i="1"/>
  <c r="O33" i="1" a="1"/>
  <c r="O33" i="1" s="1"/>
  <c r="O32" i="1" a="1"/>
  <c r="O32" i="1"/>
  <c r="O31" i="1" a="1"/>
  <c r="O31" i="1"/>
  <c r="O30" i="1" a="1"/>
  <c r="O30" i="1" s="1"/>
  <c r="O29" i="1" a="1"/>
  <c r="O29" i="1" s="1"/>
  <c r="N37" i="1" a="1"/>
  <c r="N37" i="1" s="1"/>
  <c r="N36" i="1" a="1"/>
  <c r="N36" i="1"/>
  <c r="N35" i="1" a="1"/>
  <c r="N35" i="1"/>
  <c r="N34" i="1" a="1"/>
  <c r="N34" i="1"/>
  <c r="N33" i="1" a="1"/>
  <c r="N33" i="1" s="1"/>
  <c r="N32" i="1" a="1"/>
  <c r="N32" i="1" s="1"/>
  <c r="N31" i="1" a="1"/>
  <c r="N31" i="1" s="1"/>
  <c r="N30" i="1" a="1"/>
  <c r="N30" i="1" s="1"/>
  <c r="N29" i="1" a="1"/>
  <c r="N29" i="1" s="1"/>
  <c r="M37" i="1"/>
  <c r="M36" i="1"/>
  <c r="M35" i="1"/>
  <c r="M34" i="1"/>
  <c r="W59" i="4" s="1"/>
  <c r="M33" i="1"/>
  <c r="M32" i="1"/>
  <c r="M31" i="1"/>
  <c r="M30" i="1"/>
  <c r="M29" i="1"/>
  <c r="L37" i="1"/>
  <c r="W48" i="4" s="1"/>
  <c r="L36" i="1"/>
  <c r="L35" i="1"/>
  <c r="L34" i="1"/>
  <c r="L33" i="1"/>
  <c r="L32" i="1"/>
  <c r="W34" i="4" s="1"/>
  <c r="L31" i="1"/>
  <c r="L30" i="1"/>
  <c r="L29" i="1"/>
  <c r="K37" i="1" a="1"/>
  <c r="K37" i="1" s="1"/>
  <c r="K36" i="1" a="1"/>
  <c r="K36" i="1" s="1"/>
  <c r="K35" i="1" a="1"/>
  <c r="K35" i="1" s="1"/>
  <c r="K34" i="1" a="1"/>
  <c r="K34" i="1" s="1"/>
  <c r="K33" i="1" a="1"/>
  <c r="K33" i="1" s="1"/>
  <c r="K32" i="1" a="1"/>
  <c r="K32" i="1"/>
  <c r="K31" i="1" a="1"/>
  <c r="K31" i="1" s="1"/>
  <c r="K30" i="1" a="1"/>
  <c r="K30" i="1" s="1"/>
  <c r="K29" i="1" a="1"/>
  <c r="K29" i="1" s="1"/>
  <c r="J37" i="1" a="1"/>
  <c r="J37" i="1"/>
  <c r="J36" i="1" a="1"/>
  <c r="J36" i="1" s="1"/>
  <c r="J35" i="1" a="1"/>
  <c r="J35" i="1"/>
  <c r="J34" i="1" a="1"/>
  <c r="J34" i="1" s="1"/>
  <c r="J33" i="1" a="1"/>
  <c r="J33" i="1" s="1"/>
  <c r="J32" i="1" a="1"/>
  <c r="J32" i="1" s="1"/>
  <c r="J31" i="1" a="1"/>
  <c r="J31" i="1" s="1"/>
  <c r="J30" i="1" a="1"/>
  <c r="J30" i="1"/>
  <c r="J29" i="1" a="1"/>
  <c r="J29" i="1"/>
  <c r="Y24" i="1"/>
  <c r="Y26" i="3" s="1"/>
  <c r="Y23" i="1"/>
  <c r="Y53" i="3" s="1"/>
  <c r="Y22" i="1"/>
  <c r="Y21" i="1"/>
  <c r="Y34" i="3" s="1"/>
  <c r="Y20" i="1"/>
  <c r="Y7" i="3" s="1"/>
  <c r="Y19" i="1"/>
  <c r="Y18" i="1"/>
  <c r="Y17" i="1"/>
  <c r="Y16" i="1"/>
  <c r="X24" i="1"/>
  <c r="X23" i="1"/>
  <c r="X22" i="1"/>
  <c r="Y39" i="3" s="1"/>
  <c r="X21" i="1"/>
  <c r="X20" i="1"/>
  <c r="X19" i="1"/>
  <c r="Y20" i="3" s="1"/>
  <c r="X18" i="1"/>
  <c r="X17" i="1"/>
  <c r="X16" i="1"/>
  <c r="W24" i="1" a="1"/>
  <c r="W24" i="1"/>
  <c r="W23" i="1" a="1"/>
  <c r="W23" i="1"/>
  <c r="W22" i="1" a="1"/>
  <c r="W22" i="1"/>
  <c r="W21" i="1" a="1"/>
  <c r="W21" i="1" s="1"/>
  <c r="W20" i="1" a="1"/>
  <c r="W20" i="1"/>
  <c r="W19" i="1" a="1"/>
  <c r="W19" i="1" s="1"/>
  <c r="W18" i="1" a="1"/>
  <c r="W18" i="1" s="1"/>
  <c r="W17" i="1" a="1"/>
  <c r="W17" i="1" s="1"/>
  <c r="W16" i="1" a="1"/>
  <c r="W16" i="1"/>
  <c r="V24" i="1" a="1"/>
  <c r="V24" i="1"/>
  <c r="V23" i="1" a="1"/>
  <c r="V23" i="1"/>
  <c r="V22" i="1" a="1"/>
  <c r="V22" i="1" s="1"/>
  <c r="V21" i="1" a="1"/>
  <c r="V21" i="1" s="1"/>
  <c r="V20" i="1" a="1"/>
  <c r="V20" i="1" s="1"/>
  <c r="V19" i="1" a="1"/>
  <c r="V19" i="1"/>
  <c r="V18" i="1" a="1"/>
  <c r="V18" i="1" s="1"/>
  <c r="V17" i="1" a="1"/>
  <c r="V17" i="1"/>
  <c r="V16" i="1" a="1"/>
  <c r="V16" i="1" s="1"/>
  <c r="Q24" i="1"/>
  <c r="Q23" i="1"/>
  <c r="W53" i="3" s="1"/>
  <c r="Q22" i="1"/>
  <c r="Q21" i="1"/>
  <c r="W34" i="3" s="1"/>
  <c r="Q20" i="1"/>
  <c r="Q19" i="1"/>
  <c r="Q18" i="1"/>
  <c r="W10" i="3" s="1"/>
  <c r="Q17" i="1"/>
  <c r="Q16" i="1"/>
  <c r="P24" i="1"/>
  <c r="P23" i="1"/>
  <c r="P22" i="1"/>
  <c r="P21" i="1"/>
  <c r="P20" i="1"/>
  <c r="P19" i="1"/>
  <c r="P18" i="1"/>
  <c r="P17" i="1"/>
  <c r="P16" i="1"/>
  <c r="O24" i="1" a="1"/>
  <c r="O24" i="1"/>
  <c r="O23" i="1" a="1"/>
  <c r="O23" i="1" s="1"/>
  <c r="O22" i="1" a="1"/>
  <c r="O22" i="1"/>
  <c r="O21" i="1" a="1"/>
  <c r="O21" i="1" s="1"/>
  <c r="O20" i="1" a="1"/>
  <c r="O20" i="1" s="1"/>
  <c r="O19" i="1" a="1"/>
  <c r="O19" i="1" s="1"/>
  <c r="O18" i="1" a="1"/>
  <c r="O18" i="1"/>
  <c r="O17" i="1" a="1"/>
  <c r="O17" i="1"/>
  <c r="O16" i="1" a="1"/>
  <c r="O16" i="1" s="1"/>
  <c r="N24" i="1" a="1"/>
  <c r="N24" i="1"/>
  <c r="N23" i="1" a="1"/>
  <c r="N23" i="1" s="1"/>
  <c r="N22" i="1" a="1"/>
  <c r="N22" i="1"/>
  <c r="N21" i="1" a="1"/>
  <c r="N21" i="1"/>
  <c r="N20" i="1" a="1"/>
  <c r="N20" i="1"/>
  <c r="N19" i="1" a="1"/>
  <c r="N19" i="1" s="1"/>
  <c r="N18" i="1" a="1"/>
  <c r="N18" i="1"/>
  <c r="N17" i="1" a="1"/>
  <c r="N17" i="1"/>
  <c r="N16" i="1" a="1"/>
  <c r="N16" i="1" s="1"/>
  <c r="M24" i="1"/>
  <c r="M23" i="1"/>
  <c r="X47" i="3" s="1"/>
  <c r="M22" i="1"/>
  <c r="M21" i="1"/>
  <c r="M20" i="1"/>
  <c r="X6" i="3" s="1"/>
  <c r="M19" i="1"/>
  <c r="M18" i="1"/>
  <c r="M17" i="1"/>
  <c r="M16" i="1"/>
  <c r="L24" i="1"/>
  <c r="L23" i="1"/>
  <c r="L22" i="1"/>
  <c r="L21" i="1"/>
  <c r="L20" i="1"/>
  <c r="L19" i="1"/>
  <c r="L18" i="1"/>
  <c r="L17" i="1"/>
  <c r="L16" i="1"/>
  <c r="K24" i="1" a="1"/>
  <c r="K24" i="1"/>
  <c r="K23" i="1" a="1"/>
  <c r="K23" i="1"/>
  <c r="K22" i="1" a="1"/>
  <c r="K22" i="1"/>
  <c r="K21" i="1" a="1"/>
  <c r="K21" i="1" s="1"/>
  <c r="K20" i="1" a="1"/>
  <c r="K20" i="1" s="1"/>
  <c r="K19" i="1" a="1"/>
  <c r="K19" i="1"/>
  <c r="K18" i="1" a="1"/>
  <c r="K18" i="1"/>
  <c r="K17" i="1" a="1"/>
  <c r="K17" i="1" s="1"/>
  <c r="K16" i="1" a="1"/>
  <c r="K16" i="1"/>
  <c r="J24" i="1" a="1"/>
  <c r="J24" i="1"/>
  <c r="J23" i="1" a="1"/>
  <c r="J23" i="1"/>
  <c r="J22" i="1" a="1"/>
  <c r="J22" i="1"/>
  <c r="J21" i="1" a="1"/>
  <c r="J21" i="1" s="1"/>
  <c r="J20" i="1" a="1"/>
  <c r="J20" i="1" s="1"/>
  <c r="J19" i="1" a="1"/>
  <c r="J19" i="1"/>
  <c r="J18" i="1" a="1"/>
  <c r="J18" i="1"/>
  <c r="J17" i="1" a="1"/>
  <c r="J17" i="1"/>
  <c r="J16" i="1" a="1"/>
  <c r="J16" i="1" s="1"/>
  <c r="Y11" i="1"/>
  <c r="Y10" i="1"/>
  <c r="Y9" i="1"/>
  <c r="Y8" i="1"/>
  <c r="Y7" i="1"/>
  <c r="Y6" i="1"/>
  <c r="Y5" i="1"/>
  <c r="Y4" i="1"/>
  <c r="Y3" i="1"/>
  <c r="X11" i="1"/>
  <c r="X10" i="1"/>
  <c r="X9" i="1"/>
  <c r="X8" i="1"/>
  <c r="X7" i="1"/>
  <c r="X6" i="1"/>
  <c r="X5" i="1"/>
  <c r="X4" i="1"/>
  <c r="X3" i="1"/>
  <c r="W11" i="1" a="1"/>
  <c r="W11" i="1" s="1"/>
  <c r="W10" i="1" a="1"/>
  <c r="W10" i="1" s="1"/>
  <c r="W9" i="1" a="1"/>
  <c r="W9" i="1" s="1"/>
  <c r="W8" i="1" a="1"/>
  <c r="W8" i="1"/>
  <c r="W7" i="1" a="1"/>
  <c r="W7" i="1"/>
  <c r="W6" i="1" a="1"/>
  <c r="W6" i="1" s="1"/>
  <c r="W5" i="1" a="1"/>
  <c r="W5" i="1" s="1"/>
  <c r="W4" i="1" a="1"/>
  <c r="W4" i="1"/>
  <c r="W3" i="1" a="1"/>
  <c r="W3" i="1" s="1"/>
  <c r="V11" i="1" a="1"/>
  <c r="V11" i="1" s="1"/>
  <c r="V10" i="1" a="1"/>
  <c r="V10" i="1" s="1"/>
  <c r="V9" i="1" a="1"/>
  <c r="V9" i="1"/>
  <c r="V8" i="1" a="1"/>
  <c r="V8" i="1"/>
  <c r="V7" i="1" a="1"/>
  <c r="V7" i="1"/>
  <c r="V6" i="1" a="1"/>
  <c r="V6" i="1"/>
  <c r="V5" i="1" a="1"/>
  <c r="V5" i="1"/>
  <c r="V4" i="1" a="1"/>
  <c r="V4" i="1"/>
  <c r="V3" i="1" a="1"/>
  <c r="V3" i="1" s="1"/>
  <c r="Q11" i="1"/>
  <c r="Q10" i="1"/>
  <c r="Q9" i="1"/>
  <c r="Q8" i="1"/>
  <c r="Q7" i="1"/>
  <c r="Q6" i="1"/>
  <c r="Q5" i="1"/>
  <c r="Q4" i="1"/>
  <c r="Q3" i="1"/>
  <c r="P11" i="1"/>
  <c r="P10" i="1"/>
  <c r="P9" i="1"/>
  <c r="P8" i="1"/>
  <c r="P7" i="1"/>
  <c r="P6" i="1"/>
  <c r="P5" i="1"/>
  <c r="P4" i="1"/>
  <c r="P3" i="1"/>
  <c r="O11" i="1" a="1"/>
  <c r="O11" i="1" s="1"/>
  <c r="O10" i="1" a="1"/>
  <c r="O10" i="1" s="1"/>
  <c r="O9" i="1" a="1"/>
  <c r="O9" i="1" s="1"/>
  <c r="O8" i="1" a="1"/>
  <c r="O8" i="1" s="1"/>
  <c r="O7" i="1" a="1"/>
  <c r="O7" i="1" s="1"/>
  <c r="O6" i="1" a="1"/>
  <c r="O6" i="1" s="1"/>
  <c r="O5" i="1" a="1"/>
  <c r="O5" i="1"/>
  <c r="O4" i="1" a="1"/>
  <c r="O4" i="1"/>
  <c r="O3" i="1" a="1"/>
  <c r="O3" i="1" s="1"/>
  <c r="N11" i="1" a="1"/>
  <c r="N11" i="1" s="1"/>
  <c r="N10" i="1" a="1"/>
  <c r="N10" i="1" s="1"/>
  <c r="N9" i="1" a="1"/>
  <c r="N9" i="1" s="1"/>
  <c r="N8" i="1" a="1"/>
  <c r="N8" i="1" s="1"/>
  <c r="N7" i="1" a="1"/>
  <c r="N7" i="1" s="1"/>
  <c r="N6" i="1" a="1"/>
  <c r="N6" i="1"/>
  <c r="N5" i="1" a="1"/>
  <c r="N5" i="1"/>
  <c r="N4" i="1" a="1"/>
  <c r="N4" i="1" s="1"/>
  <c r="N3" i="1" a="1"/>
  <c r="N3" i="1"/>
  <c r="M11" i="1"/>
  <c r="M10" i="1"/>
  <c r="M9" i="1"/>
  <c r="M8" i="1"/>
  <c r="M7" i="1"/>
  <c r="M6" i="1"/>
  <c r="M5" i="1"/>
  <c r="M4" i="1"/>
  <c r="M3" i="1"/>
  <c r="L11" i="1"/>
  <c r="L10" i="1"/>
  <c r="L9" i="1"/>
  <c r="W28" i="2" s="1"/>
  <c r="L8" i="1"/>
  <c r="L7" i="1"/>
  <c r="W4" i="2" s="1"/>
  <c r="L6" i="1"/>
  <c r="L5" i="1"/>
  <c r="L4" i="1"/>
  <c r="L3" i="1"/>
  <c r="K11" i="1" a="1"/>
  <c r="K11" i="1" s="1"/>
  <c r="K10" i="1" a="1"/>
  <c r="K10" i="1" s="1"/>
  <c r="K9" i="1" a="1"/>
  <c r="K9" i="1" s="1"/>
  <c r="K8" i="1" a="1"/>
  <c r="K8" i="1" s="1"/>
  <c r="K7" i="1" a="1"/>
  <c r="K7" i="1" s="1"/>
  <c r="K6" i="1" a="1"/>
  <c r="K6" i="1" s="1"/>
  <c r="K5" i="1" a="1"/>
  <c r="K5" i="1"/>
  <c r="K4" i="1" a="1"/>
  <c r="K4" i="1" s="1"/>
  <c r="K3" i="1" a="1"/>
  <c r="K3" i="1" s="1"/>
  <c r="J11" i="1" a="1"/>
  <c r="J11" i="1" s="1"/>
  <c r="J10" i="1" a="1"/>
  <c r="J10" i="1" s="1"/>
  <c r="J9" i="1" a="1"/>
  <c r="J9" i="1"/>
  <c r="J8" i="1" a="1"/>
  <c r="J8" i="1" s="1"/>
  <c r="J7" i="1" a="1"/>
  <c r="J7" i="1" s="1"/>
  <c r="J6" i="1" a="1"/>
  <c r="J6" i="1" s="1"/>
  <c r="J5" i="1" a="1"/>
  <c r="J5" i="1" s="1"/>
  <c r="J4" i="1" a="1"/>
  <c r="J4" i="1" s="1"/>
  <c r="J3" i="1" a="1"/>
  <c r="J3" i="1" s="1"/>
  <c r="M74" i="4"/>
  <c r="M72" i="4"/>
  <c r="T72" i="4" s="1"/>
  <c r="M68" i="4"/>
  <c r="T68" i="4" s="1"/>
  <c r="M65" i="4"/>
  <c r="M64" i="4"/>
  <c r="M63" i="4"/>
  <c r="M61" i="4"/>
  <c r="M59" i="4"/>
  <c r="M51" i="4"/>
  <c r="M48" i="4"/>
  <c r="M45" i="4"/>
  <c r="M43" i="4"/>
  <c r="T43" i="4" s="1"/>
  <c r="M41" i="4"/>
  <c r="M39" i="4"/>
  <c r="T39" i="4" s="1"/>
  <c r="M36" i="4"/>
  <c r="M34" i="4"/>
  <c r="T34" i="4" s="1"/>
  <c r="M33" i="4"/>
  <c r="M32" i="4"/>
  <c r="M31" i="4"/>
  <c r="M28" i="4"/>
  <c r="T28" i="4" s="1"/>
  <c r="M25" i="4"/>
  <c r="M23" i="4"/>
  <c r="M21" i="4"/>
  <c r="T21" i="4" s="1"/>
  <c r="M14" i="4"/>
  <c r="M13" i="4"/>
  <c r="M8" i="4"/>
  <c r="T8" i="4" s="1"/>
  <c r="M5" i="4"/>
  <c r="M3" i="4"/>
  <c r="I74" i="4"/>
  <c r="I73" i="4"/>
  <c r="I69" i="4"/>
  <c r="N69" i="4" s="1"/>
  <c r="I68" i="4"/>
  <c r="I67" i="4"/>
  <c r="P67" i="4" s="1"/>
  <c r="I66" i="4"/>
  <c r="I65" i="4"/>
  <c r="I61" i="4"/>
  <c r="P61" i="4" s="1"/>
  <c r="I58" i="4"/>
  <c r="I54" i="4"/>
  <c r="P54" i="4" s="1"/>
  <c r="I49" i="4"/>
  <c r="P49" i="4" s="1"/>
  <c r="I48" i="4"/>
  <c r="N48" i="4" s="1"/>
  <c r="I45" i="4"/>
  <c r="I41" i="4"/>
  <c r="I36" i="4"/>
  <c r="I33" i="4"/>
  <c r="P33" i="4" s="1"/>
  <c r="I32" i="4"/>
  <c r="I31" i="4"/>
  <c r="I30" i="4"/>
  <c r="P30" i="4" s="1"/>
  <c r="I29" i="4"/>
  <c r="I28" i="4"/>
  <c r="I27" i="4"/>
  <c r="P27" i="4" s="1"/>
  <c r="I26" i="4"/>
  <c r="P26" i="4" s="1"/>
  <c r="I25" i="4"/>
  <c r="I21" i="4"/>
  <c r="P21" i="4" s="1"/>
  <c r="I14" i="4"/>
  <c r="P14" i="4" s="1"/>
  <c r="I9" i="4"/>
  <c r="P9" i="4" s="1"/>
  <c r="I8" i="4"/>
  <c r="I7" i="4"/>
  <c r="I6" i="4"/>
  <c r="I5" i="4"/>
  <c r="N5" i="4" s="1"/>
  <c r="H74" i="4"/>
  <c r="H71" i="4"/>
  <c r="H70" i="4"/>
  <c r="H69" i="4"/>
  <c r="H68" i="4"/>
  <c r="H67" i="4"/>
  <c r="H66" i="4"/>
  <c r="H65" i="4"/>
  <c r="H63" i="4"/>
  <c r="O63" i="4" s="1"/>
  <c r="H61" i="4"/>
  <c r="H59" i="4"/>
  <c r="N59" i="4" s="1"/>
  <c r="H54" i="4"/>
  <c r="H51" i="4"/>
  <c r="H49" i="4"/>
  <c r="H48" i="4"/>
  <c r="H47" i="4"/>
  <c r="H46" i="4"/>
  <c r="H45" i="4"/>
  <c r="O45" i="4" s="1"/>
  <c r="H44" i="4"/>
  <c r="H43" i="4"/>
  <c r="H41" i="4"/>
  <c r="N41" i="4" s="1"/>
  <c r="H39" i="4"/>
  <c r="H34" i="4"/>
  <c r="O34" i="4" s="1"/>
  <c r="H31" i="4"/>
  <c r="H29" i="4"/>
  <c r="H28" i="4"/>
  <c r="O28" i="4" s="1"/>
  <c r="H27" i="4"/>
  <c r="O27" i="4" s="1"/>
  <c r="H26" i="4"/>
  <c r="H25" i="4"/>
  <c r="H23" i="4"/>
  <c r="H22" i="4"/>
  <c r="H21" i="4"/>
  <c r="H19" i="4"/>
  <c r="N19" i="4" s="1"/>
  <c r="H11" i="4"/>
  <c r="H9" i="4"/>
  <c r="H8" i="4"/>
  <c r="H7" i="4"/>
  <c r="H6" i="4"/>
  <c r="H5" i="4"/>
  <c r="O5" i="4" s="1"/>
  <c r="H4" i="4"/>
  <c r="H3" i="4"/>
  <c r="H2" i="4"/>
  <c r="D74" i="4"/>
  <c r="D73" i="4"/>
  <c r="D72" i="4"/>
  <c r="D71" i="4"/>
  <c r="D70" i="4"/>
  <c r="D69" i="4"/>
  <c r="M69" i="4" s="1"/>
  <c r="D68" i="4"/>
  <c r="D67" i="4"/>
  <c r="M67" i="4" s="1"/>
  <c r="D66" i="4"/>
  <c r="M66" i="4" s="1"/>
  <c r="T66" i="4" s="1"/>
  <c r="D65" i="4"/>
  <c r="D64" i="4"/>
  <c r="D63" i="4"/>
  <c r="I63" i="4" s="1"/>
  <c r="D62" i="4"/>
  <c r="D61" i="4"/>
  <c r="D60" i="4"/>
  <c r="D59" i="4"/>
  <c r="I59" i="4" s="1"/>
  <c r="D58" i="4"/>
  <c r="H58" i="4" s="1"/>
  <c r="D57" i="4"/>
  <c r="D56" i="4"/>
  <c r="D55" i="4"/>
  <c r="D54" i="4"/>
  <c r="M54" i="4" s="1"/>
  <c r="T54" i="4" s="1"/>
  <c r="D53" i="4"/>
  <c r="I53" i="4" s="1"/>
  <c r="D52" i="4"/>
  <c r="I52" i="4" s="1"/>
  <c r="D51" i="4"/>
  <c r="I51" i="4" s="1"/>
  <c r="D50" i="4"/>
  <c r="M50" i="4" s="1"/>
  <c r="T50" i="4" s="1"/>
  <c r="D49" i="4"/>
  <c r="M49" i="4" s="1"/>
  <c r="D48" i="4"/>
  <c r="D47" i="4"/>
  <c r="M47" i="4" s="1"/>
  <c r="D46" i="4"/>
  <c r="M46" i="4" s="1"/>
  <c r="D45" i="4"/>
  <c r="D44" i="4"/>
  <c r="M44" i="4" s="1"/>
  <c r="T44" i="4" s="1"/>
  <c r="D43" i="4"/>
  <c r="I43" i="4" s="1"/>
  <c r="D42" i="4"/>
  <c r="D41" i="4"/>
  <c r="D40" i="4"/>
  <c r="D39" i="4"/>
  <c r="I39" i="4" s="1"/>
  <c r="D38" i="4"/>
  <c r="D37" i="4"/>
  <c r="D36" i="4"/>
  <c r="H36" i="4" s="1"/>
  <c r="D35" i="4"/>
  <c r="D34" i="4"/>
  <c r="I34" i="4" s="1"/>
  <c r="P34" i="4" s="1"/>
  <c r="D33" i="4"/>
  <c r="H33" i="4" s="1"/>
  <c r="D32" i="4"/>
  <c r="H32" i="4" s="1"/>
  <c r="N32" i="4" s="1"/>
  <c r="D31" i="4"/>
  <c r="D30" i="4"/>
  <c r="D29" i="4"/>
  <c r="M29" i="4" s="1"/>
  <c r="T29" i="4" s="1"/>
  <c r="D28" i="4"/>
  <c r="D27" i="4"/>
  <c r="M27" i="4" s="1"/>
  <c r="T27" i="4" s="1"/>
  <c r="D26" i="4"/>
  <c r="M26" i="4" s="1"/>
  <c r="D25" i="4"/>
  <c r="D24" i="4"/>
  <c r="M24" i="4" s="1"/>
  <c r="T24" i="4" s="1"/>
  <c r="D23" i="4"/>
  <c r="I23" i="4" s="1"/>
  <c r="D22" i="4"/>
  <c r="D21" i="4"/>
  <c r="D20" i="4"/>
  <c r="D19" i="4"/>
  <c r="I19" i="4" s="1"/>
  <c r="D18" i="4"/>
  <c r="D17" i="4"/>
  <c r="D16" i="4"/>
  <c r="D15" i="4"/>
  <c r="D14" i="4"/>
  <c r="H14" i="4" s="1"/>
  <c r="D13" i="4"/>
  <c r="D12" i="4"/>
  <c r="M12" i="4" s="1"/>
  <c r="D11" i="4"/>
  <c r="I11" i="4" s="1"/>
  <c r="P11" i="4" s="1"/>
  <c r="D10" i="4"/>
  <c r="I10" i="4" s="1"/>
  <c r="D9" i="4"/>
  <c r="M9" i="4" s="1"/>
  <c r="T9" i="4" s="1"/>
  <c r="D8" i="4"/>
  <c r="D7" i="4"/>
  <c r="M7" i="4" s="1"/>
  <c r="D6" i="4"/>
  <c r="M6" i="4" s="1"/>
  <c r="T6" i="4" s="1"/>
  <c r="D5" i="4"/>
  <c r="D4" i="4"/>
  <c r="M4" i="4" s="1"/>
  <c r="D3" i="4"/>
  <c r="I3" i="4" s="1"/>
  <c r="D2" i="4"/>
  <c r="M53" i="3"/>
  <c r="T53" i="3" s="1"/>
  <c r="M52" i="3"/>
  <c r="T52" i="3" s="1"/>
  <c r="M50" i="3"/>
  <c r="T50" i="3" s="1"/>
  <c r="M49" i="3"/>
  <c r="M48" i="3"/>
  <c r="M47" i="3"/>
  <c r="M46" i="3"/>
  <c r="M45" i="3"/>
  <c r="T45" i="3" s="1"/>
  <c r="M44" i="3"/>
  <c r="T44" i="3" s="1"/>
  <c r="M43" i="3"/>
  <c r="M40" i="3"/>
  <c r="M37" i="3"/>
  <c r="M33" i="3"/>
  <c r="T33" i="3" s="1"/>
  <c r="M29" i="3"/>
  <c r="M28" i="3"/>
  <c r="M26" i="3"/>
  <c r="T26" i="3" s="1"/>
  <c r="M25" i="3"/>
  <c r="M24" i="3"/>
  <c r="M23" i="3"/>
  <c r="T23" i="3" s="1"/>
  <c r="M20" i="3"/>
  <c r="M17" i="3"/>
  <c r="T17" i="3" s="1"/>
  <c r="M15" i="3"/>
  <c r="M13" i="3"/>
  <c r="M9" i="3"/>
  <c r="T9" i="3" s="1"/>
  <c r="M8" i="3"/>
  <c r="M5" i="3"/>
  <c r="M4" i="3"/>
  <c r="I53" i="3"/>
  <c r="I50" i="3"/>
  <c r="P50" i="3" s="1"/>
  <c r="I49" i="3"/>
  <c r="I48" i="3"/>
  <c r="I46" i="3"/>
  <c r="I45" i="3"/>
  <c r="I44" i="3"/>
  <c r="I43" i="3"/>
  <c r="I42" i="3"/>
  <c r="I41" i="3"/>
  <c r="I40" i="3"/>
  <c r="I37" i="3"/>
  <c r="P37" i="3" s="1"/>
  <c r="I33" i="3"/>
  <c r="I32" i="3"/>
  <c r="I29" i="3"/>
  <c r="I28" i="3"/>
  <c r="I25" i="3"/>
  <c r="I24" i="3"/>
  <c r="I21" i="3"/>
  <c r="I20" i="3"/>
  <c r="I17" i="3"/>
  <c r="I13" i="3"/>
  <c r="P13" i="3" s="1"/>
  <c r="I10" i="3"/>
  <c r="I9" i="3"/>
  <c r="P9" i="3" s="1"/>
  <c r="I8" i="3"/>
  <c r="I6" i="3"/>
  <c r="I5" i="3"/>
  <c r="I3" i="3"/>
  <c r="H53" i="3"/>
  <c r="H51" i="3"/>
  <c r="O51" i="3" s="1"/>
  <c r="H49" i="3"/>
  <c r="H46" i="3"/>
  <c r="N46" i="3" s="1"/>
  <c r="H45" i="3"/>
  <c r="H43" i="3"/>
  <c r="H41" i="3"/>
  <c r="H40" i="3"/>
  <c r="O40" i="3" s="1"/>
  <c r="H37" i="3"/>
  <c r="H35" i="3"/>
  <c r="H33" i="3"/>
  <c r="N33" i="3" s="1"/>
  <c r="H32" i="3"/>
  <c r="H31" i="3"/>
  <c r="H30" i="3"/>
  <c r="O30" i="3" s="1"/>
  <c r="H29" i="3"/>
  <c r="O29" i="3" s="1"/>
  <c r="H26" i="3"/>
  <c r="O26" i="3" s="1"/>
  <c r="H25" i="3"/>
  <c r="H21" i="3"/>
  <c r="H20" i="3"/>
  <c r="H17" i="3"/>
  <c r="H13" i="3"/>
  <c r="O13" i="3" s="1"/>
  <c r="H10" i="3"/>
  <c r="H9" i="3"/>
  <c r="N9" i="3" s="1"/>
  <c r="H6" i="3"/>
  <c r="O6" i="3" s="1"/>
  <c r="H5" i="3"/>
  <c r="H3" i="3"/>
  <c r="H2" i="3"/>
  <c r="D54" i="3"/>
  <c r="D53" i="3"/>
  <c r="D52" i="3"/>
  <c r="D51" i="3"/>
  <c r="D50" i="3"/>
  <c r="H50" i="3" s="1"/>
  <c r="D49" i="3"/>
  <c r="D48" i="3"/>
  <c r="H48" i="3" s="1"/>
  <c r="D47" i="3"/>
  <c r="D46" i="3"/>
  <c r="D45" i="3"/>
  <c r="D44" i="3"/>
  <c r="H44" i="3" s="1"/>
  <c r="D43" i="3"/>
  <c r="D42" i="3"/>
  <c r="D41" i="3"/>
  <c r="M41" i="3" s="1"/>
  <c r="D40" i="3"/>
  <c r="D39" i="3"/>
  <c r="D38" i="3"/>
  <c r="D37" i="3"/>
  <c r="D36" i="3"/>
  <c r="D35" i="3"/>
  <c r="D34" i="3"/>
  <c r="D33" i="3"/>
  <c r="D32" i="3"/>
  <c r="M32" i="3" s="1"/>
  <c r="D31" i="3"/>
  <c r="D30" i="3"/>
  <c r="M30" i="3" s="1"/>
  <c r="D29" i="3"/>
  <c r="D28" i="3"/>
  <c r="H28" i="3" s="1"/>
  <c r="D27" i="3"/>
  <c r="M27" i="3" s="1"/>
  <c r="D26" i="3"/>
  <c r="I26" i="3" s="1"/>
  <c r="P26" i="3" s="1"/>
  <c r="D25" i="3"/>
  <c r="D24" i="3"/>
  <c r="H24" i="3" s="1"/>
  <c r="D23" i="3"/>
  <c r="H23" i="3" s="1"/>
  <c r="D22" i="3"/>
  <c r="M22" i="3" s="1"/>
  <c r="D21" i="3"/>
  <c r="M21" i="3" s="1"/>
  <c r="T21" i="3" s="1"/>
  <c r="D20" i="3"/>
  <c r="D19" i="3"/>
  <c r="M19" i="3" s="1"/>
  <c r="D18" i="3"/>
  <c r="D17" i="3"/>
  <c r="D16" i="3"/>
  <c r="M16" i="3" s="1"/>
  <c r="D15" i="3"/>
  <c r="D14" i="3"/>
  <c r="D13" i="3"/>
  <c r="D12" i="3"/>
  <c r="D11" i="3"/>
  <c r="D10" i="3"/>
  <c r="M10" i="3" s="1"/>
  <c r="T10" i="3" s="1"/>
  <c r="D9" i="3"/>
  <c r="D8" i="3"/>
  <c r="H8" i="3" s="1"/>
  <c r="D7" i="3"/>
  <c r="M7" i="3" s="1"/>
  <c r="D6" i="3"/>
  <c r="M6" i="3" s="1"/>
  <c r="D5" i="3"/>
  <c r="D4" i="3"/>
  <c r="H4" i="3" s="1"/>
  <c r="O4" i="3" s="1"/>
  <c r="D3" i="3"/>
  <c r="M3" i="3" s="1"/>
  <c r="D2" i="3"/>
  <c r="M2" i="3" s="1"/>
  <c r="M41" i="2"/>
  <c r="M38" i="2"/>
  <c r="M36" i="2"/>
  <c r="M34" i="2"/>
  <c r="M31" i="2"/>
  <c r="M30" i="2"/>
  <c r="M29" i="2"/>
  <c r="M28" i="2"/>
  <c r="M25" i="2"/>
  <c r="M21" i="2"/>
  <c r="M11" i="2"/>
  <c r="M10" i="2"/>
  <c r="M9" i="2"/>
  <c r="T9" i="2" s="1"/>
  <c r="M8" i="2"/>
  <c r="T8" i="2" s="1"/>
  <c r="M7" i="2"/>
  <c r="T7" i="2" s="1"/>
  <c r="M6" i="2"/>
  <c r="M5" i="2"/>
  <c r="M4" i="2"/>
  <c r="T4" i="2" s="1"/>
  <c r="I35" i="2"/>
  <c r="I31" i="2"/>
  <c r="I30" i="2"/>
  <c r="I29" i="2"/>
  <c r="I28" i="2"/>
  <c r="I26" i="2"/>
  <c r="I22" i="2"/>
  <c r="I14" i="2"/>
  <c r="I11" i="2"/>
  <c r="P11" i="2" s="1"/>
  <c r="I10" i="2"/>
  <c r="I9" i="2"/>
  <c r="I8" i="2"/>
  <c r="P8" i="2" s="1"/>
  <c r="I7" i="2"/>
  <c r="I6" i="2"/>
  <c r="I3" i="2"/>
  <c r="I2" i="2"/>
  <c r="H42" i="2"/>
  <c r="H41" i="2"/>
  <c r="H30" i="2"/>
  <c r="H29" i="2"/>
  <c r="O29" i="2" s="1"/>
  <c r="H28" i="2"/>
  <c r="H25" i="2"/>
  <c r="H24" i="2"/>
  <c r="H22" i="2"/>
  <c r="O22" i="2" s="1"/>
  <c r="H21" i="2"/>
  <c r="H16" i="2"/>
  <c r="H15" i="2"/>
  <c r="H10" i="2"/>
  <c r="H9" i="2"/>
  <c r="H8" i="2"/>
  <c r="H5" i="2"/>
  <c r="H2" i="2"/>
  <c r="D43" i="2"/>
  <c r="D42" i="2"/>
  <c r="M42" i="2" s="1"/>
  <c r="D41" i="2"/>
  <c r="I41" i="2" s="1"/>
  <c r="P41" i="2" s="1"/>
  <c r="D40" i="2"/>
  <c r="D39" i="2"/>
  <c r="D38" i="2"/>
  <c r="D37" i="2"/>
  <c r="D36" i="2"/>
  <c r="D35" i="2"/>
  <c r="D34" i="2"/>
  <c r="D33" i="2"/>
  <c r="D32" i="2"/>
  <c r="D31" i="2"/>
  <c r="H31" i="2" s="1"/>
  <c r="O31" i="2" s="1"/>
  <c r="D30" i="2"/>
  <c r="D29" i="2"/>
  <c r="D28" i="2"/>
  <c r="D27" i="2"/>
  <c r="I27" i="2" s="1"/>
  <c r="D26" i="2"/>
  <c r="H26" i="2" s="1"/>
  <c r="O26" i="2" s="1"/>
  <c r="D25" i="2"/>
  <c r="I25" i="2" s="1"/>
  <c r="P25" i="2" s="1"/>
  <c r="D24" i="2"/>
  <c r="I24" i="2" s="1"/>
  <c r="D23" i="2"/>
  <c r="D22" i="2"/>
  <c r="M22" i="2" s="1"/>
  <c r="D21" i="2"/>
  <c r="I21" i="2" s="1"/>
  <c r="D20" i="2"/>
  <c r="H20" i="2" s="1"/>
  <c r="D19" i="2"/>
  <c r="D18" i="2"/>
  <c r="D17" i="2"/>
  <c r="H17" i="2" s="1"/>
  <c r="D16" i="2"/>
  <c r="D15" i="2"/>
  <c r="D14" i="2"/>
  <c r="D13" i="2"/>
  <c r="D12" i="2"/>
  <c r="D11" i="2"/>
  <c r="H11" i="2" s="1"/>
  <c r="D10" i="2"/>
  <c r="D9" i="2"/>
  <c r="D8" i="2"/>
  <c r="D7" i="2"/>
  <c r="H7" i="2" s="1"/>
  <c r="O7" i="2" s="1"/>
  <c r="D6" i="2"/>
  <c r="H6" i="2" s="1"/>
  <c r="D5" i="2"/>
  <c r="I5" i="2" s="1"/>
  <c r="P5" i="2" s="1"/>
  <c r="D4" i="2"/>
  <c r="D3" i="2"/>
  <c r="D2" i="2"/>
  <c r="M2" i="2" s="1"/>
  <c r="N7" i="4"/>
  <c r="N8" i="4"/>
  <c r="N9" i="4"/>
  <c r="N26" i="4"/>
  <c r="N27" i="4"/>
  <c r="N14" i="4"/>
  <c r="N63" i="4"/>
  <c r="N66" i="4"/>
  <c r="N67" i="4"/>
  <c r="N49" i="4"/>
  <c r="O8" i="4"/>
  <c r="O9" i="4"/>
  <c r="O32" i="4"/>
  <c r="O36" i="4"/>
  <c r="O14" i="4"/>
  <c r="O61" i="4"/>
  <c r="O65" i="4"/>
  <c r="O66" i="4"/>
  <c r="O68" i="4"/>
  <c r="O41" i="4"/>
  <c r="O46" i="4"/>
  <c r="O48" i="4"/>
  <c r="O49" i="4"/>
  <c r="O51" i="4"/>
  <c r="P3" i="4"/>
  <c r="P19" i="4"/>
  <c r="P23" i="4"/>
  <c r="P25" i="4"/>
  <c r="P32" i="4"/>
  <c r="P36" i="4"/>
  <c r="P59" i="4"/>
  <c r="P63" i="4"/>
  <c r="P66" i="4"/>
  <c r="P39" i="4"/>
  <c r="P41" i="4"/>
  <c r="P43" i="4"/>
  <c r="P45" i="4"/>
  <c r="P51" i="4"/>
  <c r="P53" i="4"/>
  <c r="Q2" i="4"/>
  <c r="Q3" i="4"/>
  <c r="Q4" i="4"/>
  <c r="Q5" i="4"/>
  <c r="Q6" i="4"/>
  <c r="Q7" i="4"/>
  <c r="Q8" i="4"/>
  <c r="Q9" i="4"/>
  <c r="Q10" i="4"/>
  <c r="Q11" i="4"/>
  <c r="Q26" i="4"/>
  <c r="Q27" i="4"/>
  <c r="Q17" i="4"/>
  <c r="Q18" i="4"/>
  <c r="Q19" i="4"/>
  <c r="Q20" i="4"/>
  <c r="Q21" i="4"/>
  <c r="Q22" i="4"/>
  <c r="Q23" i="4"/>
  <c r="Q24" i="4"/>
  <c r="Q25" i="4"/>
  <c r="Q28" i="4"/>
  <c r="Q29" i="4"/>
  <c r="Q30" i="4"/>
  <c r="Q31" i="4"/>
  <c r="Q32" i="4"/>
  <c r="Q33" i="4"/>
  <c r="Q34" i="4"/>
  <c r="Q35" i="4"/>
  <c r="Q36" i="4"/>
  <c r="Q37" i="4"/>
  <c r="Q12" i="4"/>
  <c r="Q13" i="4"/>
  <c r="Q14" i="4"/>
  <c r="Q15" i="4"/>
  <c r="Q16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38" i="4"/>
  <c r="Q39" i="4"/>
  <c r="Q40" i="4"/>
  <c r="Q41" i="4"/>
  <c r="Q42" i="4"/>
  <c r="Q43" i="4"/>
  <c r="Q44" i="4"/>
  <c r="Q45" i="4"/>
  <c r="Q46" i="4"/>
  <c r="Q47" i="4"/>
  <c r="Q48" i="4"/>
  <c r="Q49" i="4"/>
  <c r="Q50" i="4"/>
  <c r="Q51" i="4"/>
  <c r="Q52" i="4"/>
  <c r="Q53" i="4"/>
  <c r="Q54" i="4"/>
  <c r="Q55" i="4"/>
  <c r="R2" i="4"/>
  <c r="R3" i="4"/>
  <c r="R4" i="4"/>
  <c r="R5" i="4"/>
  <c r="R6" i="4"/>
  <c r="R7" i="4"/>
  <c r="R8" i="4"/>
  <c r="R9" i="4"/>
  <c r="R10" i="4"/>
  <c r="R11" i="4"/>
  <c r="R26" i="4"/>
  <c r="R27" i="4"/>
  <c r="R17" i="4"/>
  <c r="R18" i="4"/>
  <c r="R19" i="4"/>
  <c r="R20" i="4"/>
  <c r="R21" i="4"/>
  <c r="R22" i="4"/>
  <c r="R23" i="4"/>
  <c r="R24" i="4"/>
  <c r="R25" i="4"/>
  <c r="R28" i="4"/>
  <c r="R29" i="4"/>
  <c r="R30" i="4"/>
  <c r="R31" i="4"/>
  <c r="R32" i="4"/>
  <c r="R33" i="4"/>
  <c r="R34" i="4"/>
  <c r="R35" i="4"/>
  <c r="R36" i="4"/>
  <c r="R37" i="4"/>
  <c r="R12" i="4"/>
  <c r="R13" i="4"/>
  <c r="R14" i="4"/>
  <c r="R15" i="4"/>
  <c r="R16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R71" i="4"/>
  <c r="R72" i="4"/>
  <c r="R73" i="4"/>
  <c r="R74" i="4"/>
  <c r="R38" i="4"/>
  <c r="R39" i="4"/>
  <c r="R40" i="4"/>
  <c r="R41" i="4"/>
  <c r="R42" i="4"/>
  <c r="R43" i="4"/>
  <c r="R44" i="4"/>
  <c r="R45" i="4"/>
  <c r="R46" i="4"/>
  <c r="R47" i="4"/>
  <c r="R48" i="4"/>
  <c r="R49" i="4"/>
  <c r="R50" i="4"/>
  <c r="R51" i="4"/>
  <c r="R52" i="4"/>
  <c r="R53" i="4"/>
  <c r="R54" i="4"/>
  <c r="R55" i="4"/>
  <c r="S2" i="4"/>
  <c r="S3" i="4"/>
  <c r="S4" i="4"/>
  <c r="S5" i="4"/>
  <c r="S6" i="4"/>
  <c r="S7" i="4"/>
  <c r="S8" i="4"/>
  <c r="S9" i="4"/>
  <c r="S10" i="4"/>
  <c r="S11" i="4"/>
  <c r="S26" i="4"/>
  <c r="S27" i="4"/>
  <c r="S17" i="4"/>
  <c r="S18" i="4"/>
  <c r="S19" i="4"/>
  <c r="S20" i="4"/>
  <c r="S21" i="4"/>
  <c r="S22" i="4"/>
  <c r="S23" i="4"/>
  <c r="S24" i="4"/>
  <c r="S25" i="4"/>
  <c r="S28" i="4"/>
  <c r="S29" i="4"/>
  <c r="S30" i="4"/>
  <c r="S31" i="4"/>
  <c r="S32" i="4"/>
  <c r="S33" i="4"/>
  <c r="S34" i="4"/>
  <c r="S35" i="4"/>
  <c r="S36" i="4"/>
  <c r="S37" i="4"/>
  <c r="S12" i="4"/>
  <c r="S13" i="4"/>
  <c r="S14" i="4"/>
  <c r="S15" i="4"/>
  <c r="S16" i="4"/>
  <c r="S56" i="4"/>
  <c r="S57" i="4"/>
  <c r="S58" i="4"/>
  <c r="S59" i="4"/>
  <c r="S60" i="4"/>
  <c r="S61" i="4"/>
  <c r="S62" i="4"/>
  <c r="S63" i="4"/>
  <c r="S64" i="4"/>
  <c r="S65" i="4"/>
  <c r="S66" i="4"/>
  <c r="S67" i="4"/>
  <c r="S68" i="4"/>
  <c r="S69" i="4"/>
  <c r="S70" i="4"/>
  <c r="S71" i="4"/>
  <c r="S72" i="4"/>
  <c r="S73" i="4"/>
  <c r="S74" i="4"/>
  <c r="S38" i="4"/>
  <c r="S39" i="4"/>
  <c r="S40" i="4"/>
  <c r="S41" i="4"/>
  <c r="S42" i="4"/>
  <c r="S43" i="4"/>
  <c r="S44" i="4"/>
  <c r="S45" i="4"/>
  <c r="S46" i="4"/>
  <c r="S47" i="4"/>
  <c r="S48" i="4"/>
  <c r="S49" i="4"/>
  <c r="S50" i="4"/>
  <c r="S51" i="4"/>
  <c r="S52" i="4"/>
  <c r="S53" i="4"/>
  <c r="S54" i="4"/>
  <c r="S55" i="4"/>
  <c r="T5" i="4"/>
  <c r="T7" i="4"/>
  <c r="T26" i="4"/>
  <c r="T23" i="4"/>
  <c r="T25" i="4"/>
  <c r="T14" i="4"/>
  <c r="T59" i="4"/>
  <c r="T61" i="4"/>
  <c r="T63" i="4"/>
  <c r="T64" i="4"/>
  <c r="T67" i="4"/>
  <c r="T74" i="4"/>
  <c r="T41" i="4"/>
  <c r="T45" i="4"/>
  <c r="T46" i="4"/>
  <c r="T47" i="4"/>
  <c r="T48" i="4"/>
  <c r="T49" i="4"/>
  <c r="T51" i="4"/>
  <c r="W2" i="4"/>
  <c r="W3" i="4"/>
  <c r="W4" i="4"/>
  <c r="W5" i="4"/>
  <c r="W6" i="4"/>
  <c r="W7" i="4"/>
  <c r="W8" i="4"/>
  <c r="W9" i="4"/>
  <c r="W10" i="4"/>
  <c r="W11" i="4"/>
  <c r="W26" i="4"/>
  <c r="W27" i="4"/>
  <c r="W17" i="4"/>
  <c r="W18" i="4"/>
  <c r="W19" i="4"/>
  <c r="W20" i="4"/>
  <c r="W21" i="4"/>
  <c r="W22" i="4"/>
  <c r="W23" i="4"/>
  <c r="W24" i="4"/>
  <c r="W25" i="4"/>
  <c r="W28" i="4"/>
  <c r="W29" i="4"/>
  <c r="W30" i="4"/>
  <c r="W31" i="4"/>
  <c r="W32" i="4"/>
  <c r="W33" i="4"/>
  <c r="W35" i="4"/>
  <c r="W36" i="4"/>
  <c r="W37" i="4"/>
  <c r="W12" i="4"/>
  <c r="W13" i="4"/>
  <c r="W14" i="4"/>
  <c r="W15" i="4"/>
  <c r="W16" i="4"/>
  <c r="W56" i="4"/>
  <c r="W57" i="4"/>
  <c r="W58" i="4"/>
  <c r="W62" i="4"/>
  <c r="W63" i="4"/>
  <c r="W64" i="4"/>
  <c r="W65" i="4"/>
  <c r="W66" i="4"/>
  <c r="W67" i="4"/>
  <c r="W68" i="4"/>
  <c r="W69" i="4"/>
  <c r="W70" i="4"/>
  <c r="W71" i="4"/>
  <c r="W72" i="4"/>
  <c r="W73" i="4"/>
  <c r="W74" i="4"/>
  <c r="W38" i="4"/>
  <c r="W39" i="4"/>
  <c r="W40" i="4"/>
  <c r="W41" i="4"/>
  <c r="W42" i="4"/>
  <c r="W43" i="4"/>
  <c r="W44" i="4"/>
  <c r="W45" i="4"/>
  <c r="W46" i="4"/>
  <c r="W47" i="4"/>
  <c r="W49" i="4"/>
  <c r="W50" i="4"/>
  <c r="W51" i="4"/>
  <c r="W52" i="4"/>
  <c r="W53" i="4"/>
  <c r="W54" i="4"/>
  <c r="W55" i="4"/>
  <c r="X2" i="4"/>
  <c r="X3" i="4"/>
  <c r="X4" i="4"/>
  <c r="X5" i="4"/>
  <c r="X6" i="4"/>
  <c r="X7" i="4"/>
  <c r="X8" i="4"/>
  <c r="X9" i="4"/>
  <c r="X10" i="4"/>
  <c r="X11" i="4"/>
  <c r="X26" i="4"/>
  <c r="X27" i="4"/>
  <c r="X17" i="4"/>
  <c r="X18" i="4"/>
  <c r="X19" i="4"/>
  <c r="X20" i="4"/>
  <c r="X21" i="4"/>
  <c r="X22" i="4"/>
  <c r="X23" i="4"/>
  <c r="X25" i="4"/>
  <c r="X28" i="4"/>
  <c r="X29" i="4"/>
  <c r="X30" i="4"/>
  <c r="X31" i="4"/>
  <c r="X32" i="4"/>
  <c r="X33" i="4"/>
  <c r="X34" i="4"/>
  <c r="X35" i="4"/>
  <c r="X36" i="4"/>
  <c r="X37" i="4"/>
  <c r="X12" i="4"/>
  <c r="X13" i="4"/>
  <c r="X14" i="4"/>
  <c r="X15" i="4"/>
  <c r="X16" i="4"/>
  <c r="X56" i="4"/>
  <c r="X57" i="4"/>
  <c r="X59" i="4"/>
  <c r="X60" i="4"/>
  <c r="X61" i="4"/>
  <c r="X62" i="4"/>
  <c r="X63" i="4"/>
  <c r="X64" i="4"/>
  <c r="X65" i="4"/>
  <c r="X68" i="4"/>
  <c r="X69" i="4"/>
  <c r="X70" i="4"/>
  <c r="X71" i="4"/>
  <c r="X72" i="4"/>
  <c r="X73" i="4"/>
  <c r="X74" i="4"/>
  <c r="X38" i="4"/>
  <c r="X39" i="4"/>
  <c r="X40" i="4"/>
  <c r="X41" i="4"/>
  <c r="X42" i="4"/>
  <c r="X43" i="4"/>
  <c r="X44" i="4"/>
  <c r="X45" i="4"/>
  <c r="X46" i="4"/>
  <c r="X47" i="4"/>
  <c r="X48" i="4"/>
  <c r="X49" i="4"/>
  <c r="X50" i="4"/>
  <c r="X51" i="4"/>
  <c r="X52" i="4"/>
  <c r="X53" i="4"/>
  <c r="X54" i="4"/>
  <c r="Y2" i="4"/>
  <c r="Y3" i="4"/>
  <c r="Y4" i="4"/>
  <c r="Y5" i="4"/>
  <c r="Y6" i="4"/>
  <c r="Y7" i="4"/>
  <c r="Y10" i="4"/>
  <c r="Y26" i="4"/>
  <c r="Y27" i="4"/>
  <c r="Y17" i="4"/>
  <c r="Y18" i="4"/>
  <c r="Y19" i="4"/>
  <c r="Y20" i="4"/>
  <c r="Y21" i="4"/>
  <c r="Y22" i="4"/>
  <c r="Y23" i="4"/>
  <c r="Y24" i="4"/>
  <c r="Y25" i="4"/>
  <c r="Y28" i="4"/>
  <c r="Y30" i="4"/>
  <c r="Y31" i="4"/>
  <c r="Y32" i="4"/>
  <c r="Y34" i="4"/>
  <c r="Y35" i="4"/>
  <c r="Y36" i="4"/>
  <c r="Y37" i="4"/>
  <c r="Y12" i="4"/>
  <c r="Y13" i="4"/>
  <c r="Y14" i="4"/>
  <c r="Y15" i="4"/>
  <c r="Y16" i="4"/>
  <c r="Y56" i="4"/>
  <c r="Y58" i="4"/>
  <c r="Y59" i="4"/>
  <c r="Y61" i="4"/>
  <c r="Y62" i="4"/>
  <c r="Y63" i="4"/>
  <c r="Y64" i="4"/>
  <c r="Y65" i="4"/>
  <c r="Y66" i="4"/>
  <c r="Y67" i="4"/>
  <c r="Y68" i="4"/>
  <c r="Y69" i="4"/>
  <c r="Y70" i="4"/>
  <c r="Y71" i="4"/>
  <c r="Y72" i="4"/>
  <c r="Y73" i="4"/>
  <c r="Y74" i="4"/>
  <c r="Y38" i="4"/>
  <c r="Y39" i="4"/>
  <c r="Y40" i="4"/>
  <c r="Y41" i="4"/>
  <c r="Y42" i="4"/>
  <c r="Y43" i="4"/>
  <c r="Y44" i="4"/>
  <c r="Y45" i="4"/>
  <c r="Y46" i="4"/>
  <c r="Y47" i="4"/>
  <c r="Y48" i="4"/>
  <c r="Y49" i="4"/>
  <c r="Y50" i="4"/>
  <c r="Y51" i="4"/>
  <c r="Y52" i="4"/>
  <c r="Y53" i="4"/>
  <c r="Y54" i="4"/>
  <c r="Y55" i="4"/>
  <c r="N20" i="3"/>
  <c r="N8" i="3"/>
  <c r="N44" i="3"/>
  <c r="O17" i="3"/>
  <c r="O10" i="3"/>
  <c r="O20" i="3"/>
  <c r="O5" i="3"/>
  <c r="O8" i="3"/>
  <c r="O35" i="3"/>
  <c r="O37" i="3"/>
  <c r="O41" i="3"/>
  <c r="O44" i="3"/>
  <c r="O48" i="3"/>
  <c r="O49" i="3"/>
  <c r="O33" i="3"/>
  <c r="P17" i="3"/>
  <c r="P10" i="3"/>
  <c r="P24" i="3"/>
  <c r="P8" i="3"/>
  <c r="P40" i="3"/>
  <c r="P46" i="3"/>
  <c r="P53" i="3"/>
  <c r="P28" i="3"/>
  <c r="P29" i="3"/>
  <c r="P33" i="3"/>
  <c r="Q2" i="3"/>
  <c r="Q3" i="3"/>
  <c r="Q12" i="3"/>
  <c r="Q13" i="3"/>
  <c r="Q14" i="3"/>
  <c r="Q15" i="3"/>
  <c r="Q16" i="3"/>
  <c r="Q17" i="3"/>
  <c r="Q18" i="3"/>
  <c r="Q10" i="3"/>
  <c r="Q11" i="3"/>
  <c r="Q19" i="3"/>
  <c r="Q20" i="3"/>
  <c r="Q21" i="3"/>
  <c r="Q22" i="3"/>
  <c r="Q23" i="3"/>
  <c r="Q24" i="3"/>
  <c r="Q25" i="3"/>
  <c r="Q4" i="3"/>
  <c r="Q5" i="3"/>
  <c r="Q6" i="3"/>
  <c r="Q7" i="3"/>
  <c r="Q8" i="3"/>
  <c r="Q9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26" i="3"/>
  <c r="Q27" i="3"/>
  <c r="Q28" i="3"/>
  <c r="Q29" i="3"/>
  <c r="Q30" i="3"/>
  <c r="Q31" i="3"/>
  <c r="Q32" i="3"/>
  <c r="Q33" i="3"/>
  <c r="R2" i="3"/>
  <c r="R3" i="3"/>
  <c r="R12" i="3"/>
  <c r="R13" i="3"/>
  <c r="R14" i="3"/>
  <c r="R15" i="3"/>
  <c r="R16" i="3"/>
  <c r="R17" i="3"/>
  <c r="R18" i="3"/>
  <c r="R10" i="3"/>
  <c r="R11" i="3"/>
  <c r="R19" i="3"/>
  <c r="R20" i="3"/>
  <c r="R21" i="3"/>
  <c r="R22" i="3"/>
  <c r="R23" i="3"/>
  <c r="R24" i="3"/>
  <c r="R25" i="3"/>
  <c r="R4" i="3"/>
  <c r="R5" i="3"/>
  <c r="R6" i="3"/>
  <c r="R7" i="3"/>
  <c r="R8" i="3"/>
  <c r="R9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26" i="3"/>
  <c r="R27" i="3"/>
  <c r="R28" i="3"/>
  <c r="R29" i="3"/>
  <c r="R30" i="3"/>
  <c r="R31" i="3"/>
  <c r="R32" i="3"/>
  <c r="R33" i="3"/>
  <c r="S2" i="3"/>
  <c r="S3" i="3"/>
  <c r="S12" i="3"/>
  <c r="S13" i="3"/>
  <c r="S14" i="3"/>
  <c r="S15" i="3"/>
  <c r="S16" i="3"/>
  <c r="S17" i="3"/>
  <c r="S18" i="3"/>
  <c r="S10" i="3"/>
  <c r="S11" i="3"/>
  <c r="S19" i="3"/>
  <c r="S20" i="3"/>
  <c r="S21" i="3"/>
  <c r="S22" i="3"/>
  <c r="S23" i="3"/>
  <c r="S24" i="3"/>
  <c r="S25" i="3"/>
  <c r="S4" i="3"/>
  <c r="S5" i="3"/>
  <c r="S6" i="3"/>
  <c r="S7" i="3"/>
  <c r="S8" i="3"/>
  <c r="S9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26" i="3"/>
  <c r="S27" i="3"/>
  <c r="S28" i="3"/>
  <c r="S29" i="3"/>
  <c r="S30" i="3"/>
  <c r="S31" i="3"/>
  <c r="S32" i="3"/>
  <c r="S33" i="3"/>
  <c r="T3" i="3"/>
  <c r="T4" i="3"/>
  <c r="T5" i="3"/>
  <c r="T8" i="3"/>
  <c r="T41" i="3"/>
  <c r="T47" i="3"/>
  <c r="T49" i="3"/>
  <c r="T28" i="3"/>
  <c r="T30" i="3"/>
  <c r="W2" i="3"/>
  <c r="W3" i="3"/>
  <c r="W12" i="3"/>
  <c r="W13" i="3"/>
  <c r="W14" i="3"/>
  <c r="W15" i="3"/>
  <c r="W16" i="3"/>
  <c r="W17" i="3"/>
  <c r="W18" i="3"/>
  <c r="W11" i="3"/>
  <c r="W19" i="3"/>
  <c r="W20" i="3"/>
  <c r="W21" i="3"/>
  <c r="W22" i="3"/>
  <c r="W23" i="3"/>
  <c r="W24" i="3"/>
  <c r="W25" i="3"/>
  <c r="W4" i="3"/>
  <c r="W5" i="3"/>
  <c r="W6" i="3"/>
  <c r="W7" i="3"/>
  <c r="W8" i="3"/>
  <c r="W9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4" i="3"/>
  <c r="W26" i="3"/>
  <c r="W27" i="3"/>
  <c r="W28" i="3"/>
  <c r="W29" i="3"/>
  <c r="W30" i="3"/>
  <c r="W31" i="3"/>
  <c r="W32" i="3"/>
  <c r="W33" i="3"/>
  <c r="X2" i="3"/>
  <c r="X3" i="3"/>
  <c r="X12" i="3"/>
  <c r="X13" i="3"/>
  <c r="X14" i="3"/>
  <c r="X15" i="3"/>
  <c r="X16" i="3"/>
  <c r="X17" i="3"/>
  <c r="X18" i="3"/>
  <c r="X10" i="3"/>
  <c r="X11" i="3"/>
  <c r="X19" i="3"/>
  <c r="X20" i="3"/>
  <c r="X21" i="3"/>
  <c r="X22" i="3"/>
  <c r="X23" i="3"/>
  <c r="X24" i="3"/>
  <c r="X25" i="3"/>
  <c r="X4" i="3"/>
  <c r="X5" i="3"/>
  <c r="X7" i="3"/>
  <c r="X9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8" i="3"/>
  <c r="X49" i="3"/>
  <c r="X50" i="3"/>
  <c r="X51" i="3"/>
  <c r="X52" i="3"/>
  <c r="X53" i="3"/>
  <c r="X54" i="3"/>
  <c r="X26" i="3"/>
  <c r="X27" i="3"/>
  <c r="X28" i="3"/>
  <c r="X29" i="3"/>
  <c r="X30" i="3"/>
  <c r="X31" i="3"/>
  <c r="X32" i="3"/>
  <c r="X33" i="3"/>
  <c r="Y2" i="3"/>
  <c r="Y3" i="3"/>
  <c r="Y12" i="3"/>
  <c r="Y13" i="3"/>
  <c r="Y14" i="3"/>
  <c r="Y15" i="3"/>
  <c r="Y16" i="3"/>
  <c r="Y17" i="3"/>
  <c r="Y18" i="3"/>
  <c r="Y10" i="3"/>
  <c r="Y11" i="3"/>
  <c r="Y19" i="3"/>
  <c r="Y21" i="3"/>
  <c r="Y23" i="3"/>
  <c r="Y24" i="3"/>
  <c r="Y25" i="3"/>
  <c r="Y4" i="3"/>
  <c r="Y5" i="3"/>
  <c r="Y6" i="3"/>
  <c r="Y8" i="3"/>
  <c r="Y9" i="3"/>
  <c r="Y35" i="3"/>
  <c r="Y36" i="3"/>
  <c r="Y37" i="3"/>
  <c r="Y38" i="3"/>
  <c r="Y42" i="3"/>
  <c r="Y43" i="3"/>
  <c r="Y44" i="3"/>
  <c r="Y45" i="3"/>
  <c r="Y46" i="3"/>
  <c r="Y47" i="3"/>
  <c r="Y48" i="3"/>
  <c r="Y49" i="3"/>
  <c r="Y50" i="3"/>
  <c r="Y51" i="3"/>
  <c r="Y52" i="3"/>
  <c r="Y27" i="3"/>
  <c r="Y28" i="3"/>
  <c r="Y29" i="3"/>
  <c r="Y30" i="3"/>
  <c r="Y31" i="3"/>
  <c r="Y32" i="3"/>
  <c r="Y33" i="3"/>
  <c r="N25" i="2"/>
  <c r="N30" i="2"/>
  <c r="O9" i="2"/>
  <c r="O10" i="2"/>
  <c r="O8" i="2"/>
  <c r="O11" i="2"/>
  <c r="O5" i="2"/>
  <c r="O6" i="2"/>
  <c r="O25" i="2"/>
  <c r="O30" i="2"/>
  <c r="O41" i="2"/>
  <c r="O42" i="2"/>
  <c r="O16" i="2"/>
  <c r="P26" i="2"/>
  <c r="P28" i="2"/>
  <c r="P29" i="2"/>
  <c r="P30" i="2"/>
  <c r="P31" i="2"/>
  <c r="Q2" i="2"/>
  <c r="Q9" i="2"/>
  <c r="Q10" i="2"/>
  <c r="Q8" i="2"/>
  <c r="Q11" i="2"/>
  <c r="Q3" i="2"/>
  <c r="Q4" i="2"/>
  <c r="Q5" i="2"/>
  <c r="Q6" i="2"/>
  <c r="Q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12" i="2"/>
  <c r="Q13" i="2"/>
  <c r="Q14" i="2"/>
  <c r="Q15" i="2"/>
  <c r="Q16" i="2"/>
  <c r="Q17" i="2"/>
  <c r="R2" i="2"/>
  <c r="R9" i="2"/>
  <c r="R10" i="2"/>
  <c r="R8" i="2"/>
  <c r="R11" i="2"/>
  <c r="R3" i="2"/>
  <c r="R4" i="2"/>
  <c r="R5" i="2"/>
  <c r="R6" i="2"/>
  <c r="R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12" i="2"/>
  <c r="R13" i="2"/>
  <c r="R14" i="2"/>
  <c r="R15" i="2"/>
  <c r="R16" i="2"/>
  <c r="R17" i="2"/>
  <c r="S2" i="2"/>
  <c r="S9" i="2"/>
  <c r="S10" i="2"/>
  <c r="S8" i="2"/>
  <c r="S11" i="2"/>
  <c r="S3" i="2"/>
  <c r="S4" i="2"/>
  <c r="S5" i="2"/>
  <c r="S6" i="2"/>
  <c r="S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12" i="2"/>
  <c r="S13" i="2"/>
  <c r="S14" i="2"/>
  <c r="S15" i="2"/>
  <c r="S16" i="2"/>
  <c r="S17" i="2"/>
  <c r="T2" i="2"/>
  <c r="T21" i="2"/>
  <c r="T22" i="2"/>
  <c r="T28" i="2"/>
  <c r="T29" i="2"/>
  <c r="T30" i="2"/>
  <c r="T31" i="2"/>
  <c r="T41" i="2"/>
  <c r="T42" i="2"/>
  <c r="W2" i="2"/>
  <c r="W9" i="2"/>
  <c r="W10" i="2"/>
  <c r="W8" i="2"/>
  <c r="W11" i="2"/>
  <c r="W3" i="2"/>
  <c r="W5" i="2"/>
  <c r="W6" i="2"/>
  <c r="W7" i="2"/>
  <c r="W18" i="2"/>
  <c r="W19" i="2"/>
  <c r="W20" i="2"/>
  <c r="W21" i="2"/>
  <c r="W22" i="2"/>
  <c r="W23" i="2"/>
  <c r="W24" i="2"/>
  <c r="W25" i="2"/>
  <c r="W26" i="2"/>
  <c r="W27" i="2"/>
  <c r="W30" i="2"/>
  <c r="W32" i="2"/>
  <c r="W33" i="2"/>
  <c r="W34" i="2"/>
  <c r="W35" i="2"/>
  <c r="W36" i="2"/>
  <c r="W37" i="2"/>
  <c r="W38" i="2"/>
  <c r="W39" i="2"/>
  <c r="W40" i="2"/>
  <c r="W41" i="2"/>
  <c r="W42" i="2"/>
  <c r="W43" i="2"/>
  <c r="W12" i="2"/>
  <c r="W13" i="2"/>
  <c r="W14" i="2"/>
  <c r="W15" i="2"/>
  <c r="W16" i="2"/>
  <c r="W17" i="2"/>
  <c r="X2" i="2"/>
  <c r="X9" i="2"/>
  <c r="X10" i="2"/>
  <c r="X8" i="2"/>
  <c r="X11" i="2"/>
  <c r="X3" i="2"/>
  <c r="X4" i="2"/>
  <c r="X5" i="2"/>
  <c r="X6" i="2"/>
  <c r="X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12" i="2"/>
  <c r="X16" i="2"/>
  <c r="X17" i="2"/>
  <c r="Y2" i="2"/>
  <c r="Y9" i="2"/>
  <c r="Y10" i="2"/>
  <c r="Y8" i="2"/>
  <c r="Y11" i="2"/>
  <c r="Y3" i="2"/>
  <c r="Y4" i="2"/>
  <c r="Y5" i="2"/>
  <c r="Y6" i="2"/>
  <c r="Y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12" i="2"/>
  <c r="Y13" i="2"/>
  <c r="Y14" i="2"/>
  <c r="Y15" i="2"/>
  <c r="Y16" i="2"/>
  <c r="Y17" i="2"/>
  <c r="C1" i="12" a="1"/>
  <c r="C1" i="12" s="1"/>
  <c r="C1" i="11" a="1"/>
  <c r="C1" i="11" s="1"/>
  <c r="C1" i="9" a="1"/>
  <c r="C1" i="9" s="1"/>
  <c r="O17" i="2" l="1"/>
  <c r="N15" i="2"/>
  <c r="O20" i="2"/>
  <c r="T19" i="3"/>
  <c r="T16" i="3"/>
  <c r="I57" i="4"/>
  <c r="H57" i="4"/>
  <c r="I18" i="2"/>
  <c r="M18" i="2"/>
  <c r="I38" i="2"/>
  <c r="H38" i="2"/>
  <c r="T15" i="3"/>
  <c r="I18" i="4"/>
  <c r="H18" i="4"/>
  <c r="M18" i="4"/>
  <c r="H38" i="4"/>
  <c r="O38" i="4" s="1"/>
  <c r="I38" i="4"/>
  <c r="N38" i="4" s="1"/>
  <c r="M38" i="4"/>
  <c r="N58" i="4"/>
  <c r="O44" i="4"/>
  <c r="N44" i="4"/>
  <c r="T31" i="4"/>
  <c r="I37" i="2"/>
  <c r="H37" i="2"/>
  <c r="M39" i="2"/>
  <c r="H39" i="2"/>
  <c r="I40" i="2"/>
  <c r="H40" i="2"/>
  <c r="T38" i="2"/>
  <c r="I20" i="4"/>
  <c r="M20" i="4"/>
  <c r="H20" i="4"/>
  <c r="O7" i="4"/>
  <c r="T25" i="3"/>
  <c r="P27" i="2"/>
  <c r="T10" i="2"/>
  <c r="N28" i="4"/>
  <c r="P28" i="4"/>
  <c r="N37" i="3"/>
  <c r="P74" i="4"/>
  <c r="M36" i="3"/>
  <c r="I36" i="3"/>
  <c r="P36" i="3" s="1"/>
  <c r="M19" i="2"/>
  <c r="H19" i="2"/>
  <c r="I39" i="3"/>
  <c r="M39" i="3"/>
  <c r="H39" i="3"/>
  <c r="I60" i="4"/>
  <c r="H60" i="4"/>
  <c r="P58" i="4"/>
  <c r="O47" i="4"/>
  <c r="N30" i="3"/>
  <c r="N10" i="3"/>
  <c r="M57" i="4"/>
  <c r="N16" i="2"/>
  <c r="O31" i="3"/>
  <c r="P10" i="4"/>
  <c r="P31" i="4"/>
  <c r="M58" i="4"/>
  <c r="I16" i="3"/>
  <c r="H16" i="3"/>
  <c r="P5" i="4"/>
  <c r="M38" i="3"/>
  <c r="I38" i="3"/>
  <c r="H38" i="3"/>
  <c r="P32" i="3"/>
  <c r="T32" i="4"/>
  <c r="T33" i="4"/>
  <c r="M40" i="2"/>
  <c r="T5" i="2"/>
  <c r="T36" i="4"/>
  <c r="O11" i="4"/>
  <c r="P3" i="3"/>
  <c r="N5" i="3"/>
  <c r="P5" i="3"/>
  <c r="P7" i="2"/>
  <c r="N7" i="2"/>
  <c r="P69" i="4"/>
  <c r="O15" i="2"/>
  <c r="O58" i="4"/>
  <c r="P14" i="2"/>
  <c r="N50" i="3"/>
  <c r="O50" i="3"/>
  <c r="O32" i="3"/>
  <c r="N32" i="3"/>
  <c r="O67" i="4"/>
  <c r="I17" i="4"/>
  <c r="H17" i="4"/>
  <c r="N17" i="4" s="1"/>
  <c r="M17" i="4"/>
  <c r="T34" i="2"/>
  <c r="N3" i="3"/>
  <c r="O3" i="3"/>
  <c r="T48" i="3"/>
  <c r="H37" i="4"/>
  <c r="M37" i="4"/>
  <c r="I37" i="4"/>
  <c r="N43" i="4"/>
  <c r="O43" i="4"/>
  <c r="M18" i="3"/>
  <c r="H18" i="3"/>
  <c r="P35" i="2"/>
  <c r="I39" i="2"/>
  <c r="P3" i="2"/>
  <c r="P42" i="3"/>
  <c r="N6" i="3"/>
  <c r="I12" i="2"/>
  <c r="H12" i="2"/>
  <c r="C11" i="1" s="1" a="1"/>
  <c r="C11" i="1" s="1"/>
  <c r="M12" i="2"/>
  <c r="R7" i="1" s="1" a="1"/>
  <c r="R7" i="1" s="1"/>
  <c r="N8" i="2"/>
  <c r="P29" i="4"/>
  <c r="I13" i="2"/>
  <c r="H13" i="2"/>
  <c r="M13" i="2"/>
  <c r="H33" i="2"/>
  <c r="I33" i="2"/>
  <c r="I12" i="3"/>
  <c r="P12" i="3" s="1"/>
  <c r="M12" i="3"/>
  <c r="H12" i="3"/>
  <c r="T32" i="3"/>
  <c r="H52" i="3"/>
  <c r="I52" i="3"/>
  <c r="N31" i="4"/>
  <c r="O69" i="4"/>
  <c r="N45" i="4"/>
  <c r="H18" i="2"/>
  <c r="M60" i="4"/>
  <c r="H14" i="2"/>
  <c r="M14" i="2"/>
  <c r="H34" i="2"/>
  <c r="I34" i="2"/>
  <c r="O21" i="2"/>
  <c r="N21" i="2"/>
  <c r="H36" i="3"/>
  <c r="O70" i="4"/>
  <c r="O4" i="4"/>
  <c r="M20" i="2"/>
  <c r="I20" i="2"/>
  <c r="H19" i="3"/>
  <c r="I19" i="3"/>
  <c r="I40" i="4"/>
  <c r="H40" i="4"/>
  <c r="M40" i="4"/>
  <c r="N61" i="4"/>
  <c r="T20" i="3"/>
  <c r="N43" i="3"/>
  <c r="P43" i="3"/>
  <c r="P6" i="3"/>
  <c r="I32" i="2"/>
  <c r="H32" i="2"/>
  <c r="I19" i="2"/>
  <c r="I18" i="3"/>
  <c r="M15" i="2"/>
  <c r="I15" i="2"/>
  <c r="M35" i="2"/>
  <c r="H35" i="2"/>
  <c r="M32" i="2"/>
  <c r="I14" i="3"/>
  <c r="P14" i="3" s="1"/>
  <c r="M14" i="3"/>
  <c r="H14" i="3"/>
  <c r="I34" i="3"/>
  <c r="M34" i="3"/>
  <c r="H34" i="3"/>
  <c r="I54" i="3"/>
  <c r="M54" i="3"/>
  <c r="H54" i="3"/>
  <c r="T46" i="3"/>
  <c r="H15" i="4"/>
  <c r="I15" i="4"/>
  <c r="M15" i="4"/>
  <c r="H35" i="4"/>
  <c r="I35" i="4"/>
  <c r="M35" i="4"/>
  <c r="H55" i="4"/>
  <c r="I55" i="4"/>
  <c r="M55" i="4"/>
  <c r="T55" i="4" s="1"/>
  <c r="O2" i="4"/>
  <c r="N2" i="4"/>
  <c r="O39" i="4"/>
  <c r="N39" i="4"/>
  <c r="O71" i="4"/>
  <c r="I44" i="4"/>
  <c r="I17" i="2"/>
  <c r="P17" i="2" s="1"/>
  <c r="M17" i="2"/>
  <c r="T13" i="3"/>
  <c r="M37" i="2"/>
  <c r="N47" i="4"/>
  <c r="P65" i="4"/>
  <c r="T6" i="2"/>
  <c r="N41" i="3"/>
  <c r="P41" i="3"/>
  <c r="O23" i="3"/>
  <c r="N23" i="3"/>
  <c r="T4" i="4"/>
  <c r="P6" i="2"/>
  <c r="N6" i="2"/>
  <c r="N26" i="3"/>
  <c r="T12" i="4"/>
  <c r="P45" i="3"/>
  <c r="N11" i="4"/>
  <c r="I16" i="2"/>
  <c r="M16" i="2"/>
  <c r="I36" i="2"/>
  <c r="P36" i="2" s="1"/>
  <c r="H36" i="2"/>
  <c r="O24" i="2"/>
  <c r="N24" i="2"/>
  <c r="M33" i="2"/>
  <c r="I15" i="3"/>
  <c r="H15" i="3"/>
  <c r="I35" i="3"/>
  <c r="M35" i="3"/>
  <c r="C20" i="1" a="1"/>
  <c r="C20" i="1" s="1"/>
  <c r="B16" i="1" a="1"/>
  <c r="B16" i="1" s="1"/>
  <c r="O2" i="3"/>
  <c r="N2" i="3"/>
  <c r="H16" i="4"/>
  <c r="I16" i="4"/>
  <c r="M16" i="4"/>
  <c r="H56" i="4"/>
  <c r="M56" i="4"/>
  <c r="I56" i="4"/>
  <c r="O3" i="4"/>
  <c r="N3" i="4"/>
  <c r="N74" i="4"/>
  <c r="O74" i="4"/>
  <c r="N17" i="3"/>
  <c r="I4" i="4"/>
  <c r="T65" i="4"/>
  <c r="P48" i="3"/>
  <c r="N48" i="3"/>
  <c r="P7" i="4"/>
  <c r="M3" i="2"/>
  <c r="H3" i="2"/>
  <c r="M23" i="2"/>
  <c r="H23" i="2"/>
  <c r="M43" i="2"/>
  <c r="T43" i="2" s="1"/>
  <c r="H43" i="2"/>
  <c r="I43" i="2"/>
  <c r="I23" i="2"/>
  <c r="P21" i="3"/>
  <c r="P49" i="3"/>
  <c r="N21" i="4"/>
  <c r="O21" i="4"/>
  <c r="H50" i="4"/>
  <c r="P8" i="4"/>
  <c r="P6" i="4"/>
  <c r="M42" i="3"/>
  <c r="H42" i="3"/>
  <c r="T24" i="3"/>
  <c r="O2" i="2"/>
  <c r="N2" i="2"/>
  <c r="I22" i="3"/>
  <c r="O22" i="4"/>
  <c r="N51" i="4"/>
  <c r="N49" i="3"/>
  <c r="I23" i="3"/>
  <c r="N23" i="4"/>
  <c r="O23" i="4"/>
  <c r="N54" i="4"/>
  <c r="I50" i="4"/>
  <c r="M11" i="4"/>
  <c r="T11" i="4" s="1"/>
  <c r="P21" i="2"/>
  <c r="O19" i="4"/>
  <c r="I4" i="2"/>
  <c r="H4" i="2"/>
  <c r="T22" i="3"/>
  <c r="O46" i="3"/>
  <c r="T6" i="3"/>
  <c r="N21" i="3"/>
  <c r="O21" i="3"/>
  <c r="T37" i="3"/>
  <c r="T69" i="4"/>
  <c r="H24" i="4"/>
  <c r="R23" i="1" a="1"/>
  <c r="R23" i="1" s="1"/>
  <c r="T2" i="3"/>
  <c r="N13" i="3"/>
  <c r="P73" i="4"/>
  <c r="H27" i="2"/>
  <c r="M27" i="2"/>
  <c r="N29" i="2"/>
  <c r="H22" i="3"/>
  <c r="P25" i="3"/>
  <c r="M10" i="4"/>
  <c r="H10" i="4"/>
  <c r="B35" i="1" s="1" a="1"/>
  <c r="B35" i="1" s="1"/>
  <c r="M30" i="4"/>
  <c r="H30" i="4"/>
  <c r="M70" i="4"/>
  <c r="I70" i="4"/>
  <c r="N70" i="4" s="1"/>
  <c r="N25" i="4"/>
  <c r="O25" i="4"/>
  <c r="T13" i="4"/>
  <c r="P24" i="2"/>
  <c r="T29" i="3"/>
  <c r="M24" i="2"/>
  <c r="T40" i="3"/>
  <c r="I71" i="4"/>
  <c r="M71" i="4"/>
  <c r="I24" i="4"/>
  <c r="N41" i="2"/>
  <c r="N25" i="3"/>
  <c r="O25" i="3"/>
  <c r="O53" i="3"/>
  <c r="N53" i="3"/>
  <c r="N28" i="2"/>
  <c r="O28" i="2"/>
  <c r="H12" i="4"/>
  <c r="B34" i="1" s="1" a="1"/>
  <c r="B34" i="1" s="1"/>
  <c r="I12" i="4"/>
  <c r="H72" i="4"/>
  <c r="I72" i="4"/>
  <c r="H13" i="4"/>
  <c r="O13" i="4" s="1"/>
  <c r="I13" i="4"/>
  <c r="P13" i="4" s="1"/>
  <c r="N33" i="4"/>
  <c r="O33" i="4"/>
  <c r="H53" i="4"/>
  <c r="B31" i="1" s="1" a="1"/>
  <c r="B31" i="1" s="1"/>
  <c r="M53" i="4"/>
  <c r="H73" i="4"/>
  <c r="M73" i="4"/>
  <c r="T11" i="2"/>
  <c r="H64" i="4"/>
  <c r="I64" i="4"/>
  <c r="T3" i="4"/>
  <c r="P44" i="3"/>
  <c r="T43" i="3"/>
  <c r="H52" i="4"/>
  <c r="O52" i="4" s="1"/>
  <c r="M52" i="4"/>
  <c r="T27" i="3"/>
  <c r="P20" i="3"/>
  <c r="N11" i="2"/>
  <c r="P2" i="2"/>
  <c r="I11" i="3"/>
  <c r="P11" i="3" s="1"/>
  <c r="M11" i="3"/>
  <c r="S16" i="1" s="1" a="1"/>
  <c r="S16" i="1" s="1"/>
  <c r="H11" i="3"/>
  <c r="I31" i="3"/>
  <c r="M31" i="3"/>
  <c r="I51" i="3"/>
  <c r="N51" i="3" s="1"/>
  <c r="M51" i="3"/>
  <c r="I2" i="3"/>
  <c r="I30" i="3"/>
  <c r="N29" i="4"/>
  <c r="O29" i="4"/>
  <c r="I4" i="3"/>
  <c r="N29" i="3"/>
  <c r="N6" i="4"/>
  <c r="N24" i="3"/>
  <c r="O24" i="3"/>
  <c r="I2" i="4"/>
  <c r="M2" i="4"/>
  <c r="I22" i="4"/>
  <c r="M22" i="4"/>
  <c r="I42" i="4"/>
  <c r="M42" i="4"/>
  <c r="I62" i="4"/>
  <c r="M62" i="4"/>
  <c r="M19" i="4"/>
  <c r="H62" i="4"/>
  <c r="P68" i="4"/>
  <c r="N68" i="4"/>
  <c r="H7" i="3"/>
  <c r="I7" i="3"/>
  <c r="H27" i="3"/>
  <c r="I27" i="3"/>
  <c r="N10" i="2"/>
  <c r="I42" i="2"/>
  <c r="N28" i="3"/>
  <c r="O28" i="3"/>
  <c r="N65" i="4"/>
  <c r="I46" i="4"/>
  <c r="H47" i="3"/>
  <c r="I47" i="3"/>
  <c r="M26" i="2"/>
  <c r="H42" i="4"/>
  <c r="C31" i="1" s="1" a="1"/>
  <c r="C31" i="1" s="1"/>
  <c r="E31" i="1" s="1"/>
  <c r="I47" i="4"/>
  <c r="S4" i="1" a="1"/>
  <c r="S4" i="1" s="1"/>
  <c r="Y60" i="4"/>
  <c r="Y11" i="4"/>
  <c r="Y9" i="4"/>
  <c r="X67" i="4"/>
  <c r="W61" i="4"/>
  <c r="W60" i="4"/>
  <c r="Y54" i="3"/>
  <c r="Y40" i="3"/>
  <c r="Y41" i="3"/>
  <c r="Y22" i="3"/>
  <c r="X8" i="3"/>
  <c r="X13" i="2"/>
  <c r="X15" i="2"/>
  <c r="X14" i="2"/>
  <c r="W31" i="2"/>
  <c r="W29" i="2"/>
  <c r="T42" i="4"/>
  <c r="N60" i="4"/>
  <c r="P60" i="4"/>
  <c r="P57" i="4"/>
  <c r="P52" i="4"/>
  <c r="P48" i="4"/>
  <c r="P38" i="4"/>
  <c r="N34" i="4"/>
  <c r="O60" i="4"/>
  <c r="O59" i="4"/>
  <c r="O54" i="4"/>
  <c r="N36" i="4"/>
  <c r="O31" i="4"/>
  <c r="O26" i="4"/>
  <c r="O17" i="4"/>
  <c r="O6" i="4"/>
  <c r="T7" i="3"/>
  <c r="P31" i="3"/>
  <c r="N12" i="3"/>
  <c r="O45" i="3"/>
  <c r="N45" i="3"/>
  <c r="O43" i="3"/>
  <c r="N40" i="3"/>
  <c r="O9" i="3"/>
  <c r="T36" i="2"/>
  <c r="T25" i="2"/>
  <c r="N42" i="2"/>
  <c r="P42" i="2"/>
  <c r="P22" i="2"/>
  <c r="N22" i="2"/>
  <c r="P10" i="2"/>
  <c r="P9" i="2"/>
  <c r="N9" i="2"/>
  <c r="N5" i="2"/>
  <c r="N38" i="2"/>
  <c r="N31" i="2"/>
  <c r="N26" i="2"/>
  <c r="A2" i="15" a="1"/>
  <c r="A2" i="15" s="1"/>
  <c r="C10" i="1" l="1" a="1"/>
  <c r="C10" i="1" s="1"/>
  <c r="C3" i="1" a="1"/>
  <c r="C3" i="1" s="1"/>
  <c r="G11" i="1" a="1"/>
  <c r="G11" i="1" s="1"/>
  <c r="D31" i="1"/>
  <c r="P37" i="4"/>
  <c r="O39" i="3"/>
  <c r="N39" i="3"/>
  <c r="N37" i="2"/>
  <c r="O37" i="2"/>
  <c r="N18" i="2"/>
  <c r="P18" i="2"/>
  <c r="N7" i="3"/>
  <c r="O7" i="3"/>
  <c r="T31" i="3"/>
  <c r="P24" i="4"/>
  <c r="R24" i="1" a="1"/>
  <c r="R24" i="1" s="1"/>
  <c r="C9" i="1" a="1"/>
  <c r="C9" i="1" s="1"/>
  <c r="N56" i="4"/>
  <c r="O56" i="4"/>
  <c r="C16" i="1" a="1"/>
  <c r="C16" i="1" s="1"/>
  <c r="E16" i="1" s="1"/>
  <c r="B33" i="1" a="1"/>
  <c r="B33" i="1" s="1"/>
  <c r="D33" i="1" s="1"/>
  <c r="O35" i="4"/>
  <c r="N35" i="4"/>
  <c r="P20" i="2"/>
  <c r="T37" i="4"/>
  <c r="T39" i="3"/>
  <c r="P37" i="2"/>
  <c r="N57" i="4"/>
  <c r="O57" i="4"/>
  <c r="P35" i="4"/>
  <c r="T15" i="2"/>
  <c r="N19" i="3"/>
  <c r="O19" i="3"/>
  <c r="P47" i="4"/>
  <c r="T71" i="4"/>
  <c r="N22" i="3"/>
  <c r="O22" i="3"/>
  <c r="B3" i="1" a="1"/>
  <c r="B3" i="1" s="1"/>
  <c r="D3" i="1" s="1"/>
  <c r="N50" i="4"/>
  <c r="O50" i="4"/>
  <c r="T16" i="4"/>
  <c r="C19" i="1" a="1"/>
  <c r="C19" i="1" s="1"/>
  <c r="B37" i="1" a="1"/>
  <c r="B37" i="1" s="1"/>
  <c r="T15" i="4"/>
  <c r="P18" i="3"/>
  <c r="T20" i="2"/>
  <c r="N37" i="4"/>
  <c r="O37" i="4"/>
  <c r="P39" i="3"/>
  <c r="N53" i="4"/>
  <c r="O19" i="2"/>
  <c r="N19" i="2"/>
  <c r="N32" i="2"/>
  <c r="O32" i="2"/>
  <c r="P12" i="2"/>
  <c r="T40" i="2"/>
  <c r="T19" i="2"/>
  <c r="P4" i="2"/>
  <c r="C32" i="1" a="1"/>
  <c r="C32" i="1" s="1"/>
  <c r="G7" i="1" a="1"/>
  <c r="G7" i="1" s="1"/>
  <c r="P15" i="4"/>
  <c r="T35" i="3"/>
  <c r="C33" i="1" a="1"/>
  <c r="C33" i="1" s="1"/>
  <c r="P52" i="3"/>
  <c r="T36" i="3"/>
  <c r="C36" i="1" a="1"/>
  <c r="C36" i="1" s="1"/>
  <c r="E36" i="1" s="1"/>
  <c r="N54" i="3"/>
  <c r="O54" i="3"/>
  <c r="O52" i="3"/>
  <c r="N52" i="3"/>
  <c r="G6" i="1" a="1"/>
  <c r="G6" i="1" s="1"/>
  <c r="I6" i="1" s="1"/>
  <c r="C8" i="1" a="1"/>
  <c r="C8" i="1" s="1"/>
  <c r="O11" i="3"/>
  <c r="C21" i="1" a="1"/>
  <c r="C21" i="1" s="1"/>
  <c r="N11" i="3"/>
  <c r="B5" i="1" a="1"/>
  <c r="B5" i="1" s="1"/>
  <c r="F8" i="1" a="1"/>
  <c r="F8" i="1" s="1"/>
  <c r="N72" i="4"/>
  <c r="O72" i="4"/>
  <c r="B10" i="1" a="1"/>
  <c r="B10" i="1" s="1"/>
  <c r="D10" i="1" s="1"/>
  <c r="N15" i="3"/>
  <c r="O15" i="3"/>
  <c r="B32" i="1" a="1"/>
  <c r="B32" i="1" s="1"/>
  <c r="D32" i="1" s="1"/>
  <c r="T54" i="3"/>
  <c r="T57" i="4"/>
  <c r="T38" i="4"/>
  <c r="O42" i="4"/>
  <c r="N42" i="4"/>
  <c r="P71" i="4"/>
  <c r="N71" i="4"/>
  <c r="B21" i="1" a="1"/>
  <c r="B21" i="1" s="1"/>
  <c r="D21" i="1" s="1"/>
  <c r="P15" i="3"/>
  <c r="T17" i="2"/>
  <c r="P54" i="3"/>
  <c r="O36" i="3"/>
  <c r="N36" i="3"/>
  <c r="G8" i="1" a="1"/>
  <c r="G8" i="1" s="1"/>
  <c r="N20" i="2"/>
  <c r="B6" i="1" a="1"/>
  <c r="B6" i="1" s="1"/>
  <c r="B18" i="1" a="1"/>
  <c r="B18" i="1" s="1"/>
  <c r="S6" i="1" a="1"/>
  <c r="S6" i="1" s="1"/>
  <c r="P72" i="4"/>
  <c r="P35" i="3"/>
  <c r="N35" i="3"/>
  <c r="S7" i="1" a="1"/>
  <c r="S7" i="1" s="1"/>
  <c r="U7" i="1" s="1"/>
  <c r="F10" i="1" a="1"/>
  <c r="F10" i="1" s="1"/>
  <c r="P12" i="4"/>
  <c r="B11" i="1" a="1"/>
  <c r="B11" i="1" s="1"/>
  <c r="D11" i="1" s="1"/>
  <c r="N31" i="3"/>
  <c r="T62" i="4"/>
  <c r="S9" i="1" a="1"/>
  <c r="S9" i="1" s="1"/>
  <c r="O12" i="4"/>
  <c r="N12" i="4"/>
  <c r="P23" i="3"/>
  <c r="P4" i="4"/>
  <c r="B20" i="1" a="1"/>
  <c r="B20" i="1" s="1"/>
  <c r="D20" i="1" s="1"/>
  <c r="T33" i="2"/>
  <c r="N34" i="3"/>
  <c r="O34" i="3"/>
  <c r="O12" i="3"/>
  <c r="G4" i="1" a="1"/>
  <c r="G4" i="1" s="1"/>
  <c r="T17" i="4"/>
  <c r="N20" i="4"/>
  <c r="U20" i="4"/>
  <c r="O20" i="4"/>
  <c r="B9" i="1" a="1"/>
  <c r="B9" i="1" s="1"/>
  <c r="P19" i="2"/>
  <c r="B29" i="1" a="1"/>
  <c r="B29" i="1" s="1"/>
  <c r="D29" i="1" s="1"/>
  <c r="R10" i="1" a="1"/>
  <c r="R10" i="1" s="1"/>
  <c r="B7" i="1" a="1"/>
  <c r="B7" i="1" s="1"/>
  <c r="T18" i="4"/>
  <c r="T11" i="3"/>
  <c r="R19" i="1" a="1"/>
  <c r="R19" i="1" s="1"/>
  <c r="R18" i="1" a="1"/>
  <c r="R18" i="1" s="1"/>
  <c r="R21" i="1" a="1"/>
  <c r="R21" i="1" s="1"/>
  <c r="S17" i="1" a="1"/>
  <c r="S17" i="1" s="1"/>
  <c r="O18" i="4"/>
  <c r="N18" i="4"/>
  <c r="B8" i="1" a="1"/>
  <c r="B8" i="1" s="1"/>
  <c r="O62" i="4"/>
  <c r="N62" i="4"/>
  <c r="O16" i="4"/>
  <c r="N16" i="4"/>
  <c r="C34" i="1" a="1"/>
  <c r="C34" i="1" s="1"/>
  <c r="E34" i="1" s="1"/>
  <c r="T27" i="2"/>
  <c r="F5" i="1" a="1"/>
  <c r="F5" i="1" s="1"/>
  <c r="S3" i="1" a="1"/>
  <c r="S3" i="1" s="1"/>
  <c r="S20" i="1" a="1"/>
  <c r="S20" i="1" s="1"/>
  <c r="P23" i="2"/>
  <c r="B36" i="1" a="1"/>
  <c r="B36" i="1" s="1"/>
  <c r="T34" i="3"/>
  <c r="T12" i="3"/>
  <c r="N64" i="4"/>
  <c r="O64" i="4"/>
  <c r="P44" i="4"/>
  <c r="P34" i="3"/>
  <c r="P17" i="4"/>
  <c r="P20" i="4"/>
  <c r="T12" i="2"/>
  <c r="P38" i="3"/>
  <c r="P42" i="4"/>
  <c r="G5" i="1" a="1"/>
  <c r="G5" i="1" s="1"/>
  <c r="G9" i="1" a="1"/>
  <c r="G9" i="1" s="1"/>
  <c r="S22" i="1" a="1"/>
  <c r="S22" i="1" s="1"/>
  <c r="U22" i="1" s="1"/>
  <c r="N43" i="2"/>
  <c r="O43" i="2"/>
  <c r="B24" i="1" a="1"/>
  <c r="B24" i="1" s="1"/>
  <c r="N14" i="3"/>
  <c r="O14" i="3"/>
  <c r="P34" i="2"/>
  <c r="P33" i="2"/>
  <c r="N39" i="2"/>
  <c r="P39" i="2"/>
  <c r="T38" i="3"/>
  <c r="P18" i="4"/>
  <c r="E20" i="1"/>
  <c r="P4" i="3"/>
  <c r="N4" i="3"/>
  <c r="A9" i="11" s="1" a="1"/>
  <c r="A6" i="11" s="1"/>
  <c r="B4" i="1" a="1"/>
  <c r="B4" i="1" s="1"/>
  <c r="D4" i="1" s="1"/>
  <c r="F3" i="1" a="1"/>
  <c r="F3" i="1" s="1"/>
  <c r="P50" i="4"/>
  <c r="B19" i="1" a="1"/>
  <c r="B19" i="1" s="1"/>
  <c r="D19" i="1" s="1"/>
  <c r="T19" i="4"/>
  <c r="R4" i="1" a="1"/>
  <c r="R4" i="1" s="1"/>
  <c r="T4" i="1" s="1"/>
  <c r="S23" i="1" a="1"/>
  <c r="S23" i="1" s="1"/>
  <c r="U23" i="1" s="1"/>
  <c r="F6" i="1" a="1"/>
  <c r="F6" i="1" s="1"/>
  <c r="N34" i="2"/>
  <c r="O34" i="2"/>
  <c r="N33" i="2"/>
  <c r="O33" i="2"/>
  <c r="S21" i="1" a="1"/>
  <c r="S21" i="1" s="1"/>
  <c r="U21" i="1" s="1"/>
  <c r="T7" i="1"/>
  <c r="N24" i="4"/>
  <c r="O24" i="4"/>
  <c r="U24" i="4"/>
  <c r="S5" i="1" a="1"/>
  <c r="S5" i="1" s="1"/>
  <c r="U5" i="1" s="1"/>
  <c r="N47" i="3"/>
  <c r="O47" i="3"/>
  <c r="O27" i="2"/>
  <c r="N27" i="2"/>
  <c r="O53" i="4"/>
  <c r="F11" i="1" a="1"/>
  <c r="F11" i="1" s="1"/>
  <c r="F4" i="1" a="1"/>
  <c r="F4" i="1" s="1"/>
  <c r="C29" i="1" a="1"/>
  <c r="C29" i="1" s="1"/>
  <c r="T22" i="4"/>
  <c r="S24" i="1" a="1"/>
  <c r="S24" i="1" s="1"/>
  <c r="U24" i="1" s="1"/>
  <c r="C18" i="1" a="1"/>
  <c r="C18" i="1" s="1"/>
  <c r="E18" i="1" s="1"/>
  <c r="N36" i="2"/>
  <c r="O36" i="2"/>
  <c r="T14" i="2"/>
  <c r="T13" i="2"/>
  <c r="N18" i="3"/>
  <c r="O18" i="3"/>
  <c r="N40" i="2"/>
  <c r="O40" i="2"/>
  <c r="T52" i="4"/>
  <c r="P47" i="3"/>
  <c r="U18" i="4"/>
  <c r="P62" i="4"/>
  <c r="P64" i="4"/>
  <c r="P43" i="2"/>
  <c r="P70" i="4"/>
  <c r="O42" i="3"/>
  <c r="N42" i="3"/>
  <c r="C30" i="1" a="1"/>
  <c r="C30" i="1" s="1"/>
  <c r="P22" i="4"/>
  <c r="F7" i="1" a="1"/>
  <c r="F7" i="1" s="1"/>
  <c r="T70" i="4"/>
  <c r="T42" i="3"/>
  <c r="O12" i="2"/>
  <c r="R31" i="1" a="1"/>
  <c r="R31" i="1" s="1"/>
  <c r="T31" i="1" s="1"/>
  <c r="T2" i="4"/>
  <c r="S35" i="1" a="1"/>
  <c r="S35" i="1" s="1"/>
  <c r="S33" i="1" a="1"/>
  <c r="S33" i="1" s="1"/>
  <c r="U33" i="1" s="1"/>
  <c r="R29" i="1" a="1"/>
  <c r="R29" i="1" s="1"/>
  <c r="T29" i="1" s="1"/>
  <c r="S32" i="1" a="1"/>
  <c r="S32" i="1" s="1"/>
  <c r="U32" i="1" s="1"/>
  <c r="S30" i="1" a="1"/>
  <c r="S30" i="1" s="1"/>
  <c r="U30" i="1" s="1"/>
  <c r="R36" i="1" a="1"/>
  <c r="R36" i="1" s="1"/>
  <c r="T36" i="1" s="1"/>
  <c r="R35" i="1" a="1"/>
  <c r="R35" i="1" s="1"/>
  <c r="T35" i="1" s="1"/>
  <c r="R34" i="1" a="1"/>
  <c r="R34" i="1" s="1"/>
  <c r="T34" i="1" s="1"/>
  <c r="R32" i="1" a="1"/>
  <c r="R32" i="1" s="1"/>
  <c r="R33" i="1" a="1"/>
  <c r="R33" i="1" s="1"/>
  <c r="S36" i="1" a="1"/>
  <c r="S36" i="1" s="1"/>
  <c r="R37" i="1" a="1"/>
  <c r="R37" i="1" s="1"/>
  <c r="S37" i="1" a="1"/>
  <c r="S37" i="1" s="1"/>
  <c r="U37" i="1" s="1"/>
  <c r="S34" i="1" a="1"/>
  <c r="S34" i="1" s="1"/>
  <c r="S31" i="1" a="1"/>
  <c r="S31" i="1" s="1"/>
  <c r="S29" i="1" a="1"/>
  <c r="S29" i="1" s="1"/>
  <c r="R30" i="1" a="1"/>
  <c r="R30" i="1" s="1"/>
  <c r="F9" i="1" a="1"/>
  <c r="F9" i="1" s="1"/>
  <c r="H9" i="1" s="1"/>
  <c r="N30" i="4"/>
  <c r="O30" i="4"/>
  <c r="R16" i="1" a="1"/>
  <c r="R16" i="1" s="1"/>
  <c r="T16" i="1" s="1"/>
  <c r="T23" i="2"/>
  <c r="C23" i="1" a="1"/>
  <c r="C23" i="1" s="1"/>
  <c r="E23" i="1" s="1"/>
  <c r="T32" i="2"/>
  <c r="T40" i="4"/>
  <c r="O14" i="2"/>
  <c r="N14" i="2"/>
  <c r="O13" i="2"/>
  <c r="T18" i="3"/>
  <c r="O16" i="3"/>
  <c r="N16" i="3"/>
  <c r="P40" i="2"/>
  <c r="P7" i="3"/>
  <c r="T56" i="4"/>
  <c r="N52" i="4"/>
  <c r="T26" i="2"/>
  <c r="C22" i="1" a="1"/>
  <c r="C22" i="1" s="1"/>
  <c r="P32" i="2"/>
  <c r="T24" i="2"/>
  <c r="T37" i="2"/>
  <c r="T20" i="4"/>
  <c r="B23" i="1" a="1"/>
  <c r="B23" i="1" s="1"/>
  <c r="C17" i="1" a="1"/>
  <c r="C17" i="1" s="1"/>
  <c r="E17" i="1" s="1"/>
  <c r="T14" i="3"/>
  <c r="O23" i="2"/>
  <c r="N23" i="2"/>
  <c r="P51" i="3"/>
  <c r="P27" i="3"/>
  <c r="G29" i="1" a="1"/>
  <c r="G29" i="1" s="1"/>
  <c r="F37" i="1" a="1"/>
  <c r="F37" i="1" s="1"/>
  <c r="F35" i="1" a="1"/>
  <c r="F35" i="1" s="1"/>
  <c r="F34" i="1" a="1"/>
  <c r="F34" i="1" s="1"/>
  <c r="F33" i="1" a="1"/>
  <c r="F33" i="1" s="1"/>
  <c r="F31" i="1" a="1"/>
  <c r="F31" i="1" s="1"/>
  <c r="H31" i="1" s="1"/>
  <c r="F32" i="1" a="1"/>
  <c r="F32" i="1" s="1"/>
  <c r="F30" i="1" a="1"/>
  <c r="F30" i="1" s="1"/>
  <c r="H30" i="1" s="1"/>
  <c r="F29" i="1" a="1"/>
  <c r="F29" i="1" s="1"/>
  <c r="H29" i="1" s="1"/>
  <c r="G37" i="1" a="1"/>
  <c r="G37" i="1" s="1"/>
  <c r="I37" i="1" s="1"/>
  <c r="G36" i="1" a="1"/>
  <c r="G36" i="1" s="1"/>
  <c r="I36" i="1" s="1"/>
  <c r="G34" i="1" a="1"/>
  <c r="G34" i="1" s="1"/>
  <c r="I34" i="1" s="1"/>
  <c r="G35" i="1" a="1"/>
  <c r="G35" i="1" s="1"/>
  <c r="I35" i="1" s="1"/>
  <c r="G33" i="1" a="1"/>
  <c r="G33" i="1" s="1"/>
  <c r="I33" i="1" s="1"/>
  <c r="G32" i="1" a="1"/>
  <c r="G32" i="1" s="1"/>
  <c r="I32" i="1" s="1"/>
  <c r="G31" i="1" a="1"/>
  <c r="G31" i="1" s="1"/>
  <c r="G30" i="1" a="1"/>
  <c r="G30" i="1" s="1"/>
  <c r="F36" i="1" a="1"/>
  <c r="F36" i="1" s="1"/>
  <c r="P2" i="4"/>
  <c r="P30" i="3"/>
  <c r="T73" i="4"/>
  <c r="T30" i="4"/>
  <c r="R17" i="1" a="1"/>
  <c r="R17" i="1" s="1"/>
  <c r="T17" i="1" s="1"/>
  <c r="N22" i="4"/>
  <c r="N3" i="2"/>
  <c r="C4" i="1" a="1"/>
  <c r="C4" i="1" s="1"/>
  <c r="O3" i="2"/>
  <c r="C5" i="1" a="1"/>
  <c r="C5" i="1" s="1"/>
  <c r="C7" i="1" a="1"/>
  <c r="C7" i="1" s="1"/>
  <c r="T16" i="2"/>
  <c r="P55" i="4"/>
  <c r="O35" i="2"/>
  <c r="N35" i="2"/>
  <c r="N40" i="4"/>
  <c r="O40" i="4"/>
  <c r="T60" i="4"/>
  <c r="N13" i="2"/>
  <c r="P13" i="2"/>
  <c r="P16" i="3"/>
  <c r="O39" i="2"/>
  <c r="O38" i="2"/>
  <c r="N17" i="2"/>
  <c r="N13" i="4"/>
  <c r="N15" i="4"/>
  <c r="O15" i="4"/>
  <c r="P46" i="4"/>
  <c r="N46" i="4"/>
  <c r="S10" i="1" a="1"/>
  <c r="S10" i="1" s="1"/>
  <c r="B22" i="1" a="1"/>
  <c r="B22" i="1" s="1"/>
  <c r="D22" i="1" s="1"/>
  <c r="O38" i="3"/>
  <c r="N38" i="3"/>
  <c r="N27" i="3"/>
  <c r="G17" i="1" a="1"/>
  <c r="G17" i="1" s="1"/>
  <c r="G16" i="1" a="1"/>
  <c r="G16" i="1" s="1"/>
  <c r="I16" i="1" s="1"/>
  <c r="F24" i="1" a="1"/>
  <c r="F24" i="1" s="1"/>
  <c r="H24" i="1" s="1"/>
  <c r="F22" i="1" a="1"/>
  <c r="F22" i="1" s="1"/>
  <c r="H22" i="1" s="1"/>
  <c r="G19" i="1" a="1"/>
  <c r="G19" i="1" s="1"/>
  <c r="I19" i="1" s="1"/>
  <c r="G18" i="1" a="1"/>
  <c r="G18" i="1" s="1"/>
  <c r="I18" i="1" s="1"/>
  <c r="F23" i="1" a="1"/>
  <c r="F23" i="1" s="1"/>
  <c r="H23" i="1" s="1"/>
  <c r="F21" i="1" a="1"/>
  <c r="F21" i="1" s="1"/>
  <c r="H21" i="1" s="1"/>
  <c r="F19" i="1" a="1"/>
  <c r="F19" i="1" s="1"/>
  <c r="G23" i="1" a="1"/>
  <c r="G23" i="1" s="1"/>
  <c r="G24" i="1" a="1"/>
  <c r="G24" i="1" s="1"/>
  <c r="G22" i="1" a="1"/>
  <c r="G22" i="1" s="1"/>
  <c r="F18" i="1" a="1"/>
  <c r="F18" i="1" s="1"/>
  <c r="G21" i="1" a="1"/>
  <c r="G21" i="1" s="1"/>
  <c r="G20" i="1" a="1"/>
  <c r="G20" i="1" s="1"/>
  <c r="F20" i="1" a="1"/>
  <c r="F20" i="1" s="1"/>
  <c r="H20" i="1" s="1"/>
  <c r="F17" i="1" a="1"/>
  <c r="F17" i="1" s="1"/>
  <c r="H17" i="1" s="1"/>
  <c r="F16" i="1" a="1"/>
  <c r="F16" i="1" s="1"/>
  <c r="P2" i="3"/>
  <c r="O73" i="4"/>
  <c r="N73" i="4"/>
  <c r="N10" i="4"/>
  <c r="O10" i="4"/>
  <c r="R20" i="1" a="1"/>
  <c r="R20" i="1" s="1"/>
  <c r="T20" i="1" s="1"/>
  <c r="P22" i="3"/>
  <c r="T3" i="2"/>
  <c r="R11" i="1" a="1"/>
  <c r="R11" i="1" s="1"/>
  <c r="R9" i="1" a="1"/>
  <c r="R9" i="1" s="1"/>
  <c r="R6" i="1" a="1"/>
  <c r="R6" i="1" s="1"/>
  <c r="T6" i="1" s="1"/>
  <c r="R8" i="1" a="1"/>
  <c r="R8" i="1" s="1"/>
  <c r="R5" i="1" a="1"/>
  <c r="R5" i="1" s="1"/>
  <c r="R3" i="1" a="1"/>
  <c r="R3" i="1" s="1"/>
  <c r="S11" i="1" a="1"/>
  <c r="S11" i="1" s="1"/>
  <c r="S8" i="1" a="1"/>
  <c r="S8" i="1" s="1"/>
  <c r="C24" i="1" a="1"/>
  <c r="C24" i="1" s="1"/>
  <c r="E24" i="1" s="1"/>
  <c r="P16" i="2"/>
  <c r="C35" i="1" a="1"/>
  <c r="C35" i="1" s="1"/>
  <c r="E35" i="1" s="1"/>
  <c r="N55" i="4"/>
  <c r="O55" i="4"/>
  <c r="T35" i="2"/>
  <c r="P40" i="4"/>
  <c r="O18" i="2"/>
  <c r="G10" i="1" a="1"/>
  <c r="G10" i="1" s="1"/>
  <c r="I10" i="1" s="1"/>
  <c r="T39" i="2"/>
  <c r="P38" i="2"/>
  <c r="T23" i="1"/>
  <c r="Z54" i="3" s="1"/>
  <c r="P16" i="4"/>
  <c r="N12" i="2"/>
  <c r="O27" i="3"/>
  <c r="T51" i="3"/>
  <c r="Z51" i="3"/>
  <c r="T53" i="4"/>
  <c r="T10" i="4"/>
  <c r="R22" i="1" a="1"/>
  <c r="R22" i="1" s="1"/>
  <c r="N4" i="2"/>
  <c r="O4" i="2"/>
  <c r="C6" i="1" a="1"/>
  <c r="C6" i="1" s="1"/>
  <c r="S19" i="1" a="1"/>
  <c r="S19" i="1" s="1"/>
  <c r="U19" i="1" s="1"/>
  <c r="S18" i="1" a="1"/>
  <c r="S18" i="1" s="1"/>
  <c r="U18" i="1" s="1"/>
  <c r="P56" i="4"/>
  <c r="B17" i="1" a="1"/>
  <c r="B17" i="1" s="1"/>
  <c r="B30" i="1" a="1"/>
  <c r="B30" i="1" s="1"/>
  <c r="D30" i="1" s="1"/>
  <c r="T35" i="4"/>
  <c r="P15" i="2"/>
  <c r="P19" i="3"/>
  <c r="G3" i="1" a="1"/>
  <c r="G3" i="1" s="1"/>
  <c r="T58" i="4"/>
  <c r="C37" i="1" a="1"/>
  <c r="C37" i="1" s="1"/>
  <c r="E37" i="1" s="1"/>
  <c r="T18" i="2"/>
  <c r="N4" i="4"/>
  <c r="I11" i="1" l="1"/>
  <c r="D8" i="1"/>
  <c r="A9" i="12" a="1"/>
  <c r="A6" i="12" s="1"/>
  <c r="A9" i="9" a="1"/>
  <c r="A9" i="9" s="1"/>
  <c r="T9" i="9" s="1"/>
  <c r="I8" i="1"/>
  <c r="U11" i="1"/>
  <c r="D6" i="1"/>
  <c r="E5" i="1"/>
  <c r="T10" i="1"/>
  <c r="E7" i="1"/>
  <c r="U8" i="1"/>
  <c r="T3" i="1"/>
  <c r="D9" i="1"/>
  <c r="U4" i="1"/>
  <c r="Z10" i="2" s="1"/>
  <c r="I3" i="1"/>
  <c r="T9" i="1"/>
  <c r="H11" i="1"/>
  <c r="V17" i="2" s="1"/>
  <c r="I5" i="1"/>
  <c r="E3" i="1"/>
  <c r="U2" i="2" s="1"/>
  <c r="I4" i="1"/>
  <c r="I7" i="1"/>
  <c r="U37" i="4"/>
  <c r="V39" i="3"/>
  <c r="U36" i="3"/>
  <c r="U20" i="3"/>
  <c r="U21" i="3"/>
  <c r="U24" i="3"/>
  <c r="H19" i="1"/>
  <c r="I30" i="1"/>
  <c r="T32" i="1"/>
  <c r="V38" i="3"/>
  <c r="H5" i="1"/>
  <c r="U8" i="3"/>
  <c r="U9" i="3"/>
  <c r="U4" i="3"/>
  <c r="U5" i="3"/>
  <c r="U6" i="3"/>
  <c r="U7" i="3"/>
  <c r="I31" i="1"/>
  <c r="V21" i="4" s="1"/>
  <c r="Z59" i="4"/>
  <c r="Z61" i="4"/>
  <c r="U6" i="1"/>
  <c r="Z11" i="2" s="1"/>
  <c r="E32" i="1"/>
  <c r="E30" i="1"/>
  <c r="U27" i="4" s="1"/>
  <c r="D7" i="1"/>
  <c r="V4" i="4"/>
  <c r="D18" i="1"/>
  <c r="E8" i="1"/>
  <c r="U23" i="2" s="1"/>
  <c r="V43" i="3"/>
  <c r="V40" i="3"/>
  <c r="V37" i="3"/>
  <c r="V45" i="3"/>
  <c r="V41" i="3"/>
  <c r="V44" i="3"/>
  <c r="V46" i="3"/>
  <c r="H3" i="1"/>
  <c r="V2" i="2" s="1"/>
  <c r="D24" i="1"/>
  <c r="U9" i="2"/>
  <c r="Z8" i="3"/>
  <c r="Z6" i="3"/>
  <c r="Z9" i="3"/>
  <c r="Z5" i="3"/>
  <c r="Z7" i="3"/>
  <c r="V33" i="3"/>
  <c r="V29" i="3"/>
  <c r="V32" i="3"/>
  <c r="V26" i="3"/>
  <c r="I17" i="1"/>
  <c r="E4" i="1"/>
  <c r="U10" i="2" s="1"/>
  <c r="D23" i="1"/>
  <c r="Z3" i="3"/>
  <c r="U9" i="1"/>
  <c r="U32" i="4"/>
  <c r="U28" i="4"/>
  <c r="U29" i="4"/>
  <c r="U33" i="4"/>
  <c r="U36" i="4"/>
  <c r="U34" i="4"/>
  <c r="U31" i="4"/>
  <c r="V3" i="4"/>
  <c r="V9" i="4"/>
  <c r="V11" i="4"/>
  <c r="V6" i="4"/>
  <c r="V5" i="4"/>
  <c r="V8" i="4"/>
  <c r="V10" i="4"/>
  <c r="V7" i="4"/>
  <c r="U35" i="1"/>
  <c r="Z66" i="4" s="1"/>
  <c r="V54" i="3"/>
  <c r="U19" i="3"/>
  <c r="U13" i="4"/>
  <c r="U14" i="4"/>
  <c r="V26" i="4"/>
  <c r="V27" i="4"/>
  <c r="Z24" i="4"/>
  <c r="Z25" i="4"/>
  <c r="I9" i="1"/>
  <c r="V30" i="2" s="1"/>
  <c r="D37" i="1"/>
  <c r="U9" i="4"/>
  <c r="U8" i="4"/>
  <c r="U3" i="4"/>
  <c r="H32" i="1"/>
  <c r="E19" i="1"/>
  <c r="U22" i="3" s="1"/>
  <c r="Z7" i="4"/>
  <c r="Z5" i="4"/>
  <c r="Z9" i="4"/>
  <c r="U17" i="1"/>
  <c r="Z14" i="3" s="1"/>
  <c r="U10" i="1"/>
  <c r="H34" i="1"/>
  <c r="Z37" i="2"/>
  <c r="U31" i="1"/>
  <c r="Z20" i="4" s="1"/>
  <c r="D36" i="1"/>
  <c r="V52" i="3"/>
  <c r="D16" i="1"/>
  <c r="E9" i="1"/>
  <c r="T8" i="1"/>
  <c r="H35" i="1"/>
  <c r="T21" i="1"/>
  <c r="Z34" i="3" s="1"/>
  <c r="H10" i="1"/>
  <c r="E33" i="1"/>
  <c r="T24" i="1"/>
  <c r="E11" i="1"/>
  <c r="U12" i="2" s="1"/>
  <c r="H16" i="1"/>
  <c r="H33" i="1"/>
  <c r="E6" i="1"/>
  <c r="U34" i="1"/>
  <c r="V47" i="3"/>
  <c r="H18" i="1"/>
  <c r="V30" i="3"/>
  <c r="H37" i="1"/>
  <c r="E29" i="1"/>
  <c r="U10" i="4" s="1"/>
  <c r="T18" i="1"/>
  <c r="Z3" i="2"/>
  <c r="H8" i="1"/>
  <c r="D34" i="1"/>
  <c r="Z6" i="2"/>
  <c r="Z7" i="2"/>
  <c r="Z4" i="2"/>
  <c r="Z5" i="2"/>
  <c r="Z15" i="3"/>
  <c r="Z13" i="3"/>
  <c r="Z17" i="3"/>
  <c r="Z16" i="3"/>
  <c r="Z49" i="3"/>
  <c r="Z52" i="3"/>
  <c r="Z53" i="3"/>
  <c r="Z50" i="3"/>
  <c r="Z48" i="3"/>
  <c r="Z47" i="3"/>
  <c r="U44" i="3"/>
  <c r="U35" i="3"/>
  <c r="U46" i="3"/>
  <c r="U43" i="3"/>
  <c r="U41" i="3"/>
  <c r="U45" i="3"/>
  <c r="U40" i="3"/>
  <c r="U29" i="1"/>
  <c r="Z6" i="4" s="1"/>
  <c r="I20" i="1"/>
  <c r="V5" i="3" s="1"/>
  <c r="I21" i="1"/>
  <c r="V34" i="3" s="1"/>
  <c r="Z28" i="2"/>
  <c r="I22" i="1"/>
  <c r="V42" i="3" s="1"/>
  <c r="I29" i="1"/>
  <c r="V2" i="4" s="1"/>
  <c r="T37" i="1"/>
  <c r="H4" i="1"/>
  <c r="U20" i="1"/>
  <c r="Z4" i="3" s="1"/>
  <c r="T19" i="1"/>
  <c r="D5" i="1"/>
  <c r="U22" i="4"/>
  <c r="U21" i="4"/>
  <c r="U25" i="4"/>
  <c r="U17" i="4"/>
  <c r="U23" i="4"/>
  <c r="U19" i="4"/>
  <c r="V14" i="3"/>
  <c r="V12" i="3"/>
  <c r="V17" i="3"/>
  <c r="V8" i="3"/>
  <c r="V6" i="3"/>
  <c r="T5" i="1"/>
  <c r="Z8" i="2" s="1"/>
  <c r="T11" i="1"/>
  <c r="I24" i="1"/>
  <c r="U14" i="2"/>
  <c r="U36" i="1"/>
  <c r="Z71" i="4" s="1"/>
  <c r="H6" i="1"/>
  <c r="V11" i="2" s="1"/>
  <c r="V35" i="3"/>
  <c r="D35" i="1"/>
  <c r="D17" i="1"/>
  <c r="T30" i="1"/>
  <c r="T22" i="1"/>
  <c r="U18" i="2"/>
  <c r="I23" i="1"/>
  <c r="V53" i="3" s="1"/>
  <c r="H36" i="1"/>
  <c r="E22" i="1"/>
  <c r="T33" i="1"/>
  <c r="H7" i="1"/>
  <c r="U3" i="1"/>
  <c r="Z2" i="2" s="1"/>
  <c r="E10" i="1"/>
  <c r="U35" i="2" s="1"/>
  <c r="E21" i="1"/>
  <c r="U34" i="3" s="1"/>
  <c r="U16" i="1"/>
  <c r="Z2" i="3" s="1"/>
  <c r="A9" i="11"/>
  <c r="T9" i="11" s="1"/>
  <c r="A6" i="9"/>
  <c r="Z35" i="2" l="1"/>
  <c r="U8" i="2"/>
  <c r="U11" i="2"/>
  <c r="U40" i="2"/>
  <c r="Z31" i="2"/>
  <c r="A9" i="12"/>
  <c r="T9" i="12" s="1"/>
  <c r="V14" i="2"/>
  <c r="U37" i="2"/>
  <c r="Z33" i="2"/>
  <c r="Z40" i="2"/>
  <c r="Z29" i="2"/>
  <c r="U43" i="2"/>
  <c r="V15" i="2"/>
  <c r="V16" i="2"/>
  <c r="V13" i="2"/>
  <c r="V12" i="2"/>
  <c r="Z43" i="2"/>
  <c r="Z9" i="2"/>
  <c r="U16" i="2"/>
  <c r="U19" i="2"/>
  <c r="Z32" i="2"/>
  <c r="U41" i="2"/>
  <c r="V8" i="2"/>
  <c r="U42" i="2"/>
  <c r="U15" i="2"/>
  <c r="U17" i="2"/>
  <c r="U29" i="2"/>
  <c r="U13" i="2"/>
  <c r="U17" i="3"/>
  <c r="U13" i="3"/>
  <c r="U16" i="3"/>
  <c r="U18" i="3"/>
  <c r="U12" i="3"/>
  <c r="U15" i="3"/>
  <c r="U14" i="3"/>
  <c r="Z30" i="2"/>
  <c r="V41" i="2"/>
  <c r="V35" i="2"/>
  <c r="V36" i="2"/>
  <c r="V42" i="2"/>
  <c r="V37" i="2"/>
  <c r="V32" i="2"/>
  <c r="V39" i="2"/>
  <c r="V38" i="2"/>
  <c r="V40" i="2"/>
  <c r="V43" i="2"/>
  <c r="V34" i="2"/>
  <c r="V33" i="2"/>
  <c r="Z3" i="4"/>
  <c r="U11" i="4"/>
  <c r="V25" i="3"/>
  <c r="V24" i="3"/>
  <c r="V20" i="3"/>
  <c r="V21" i="3"/>
  <c r="V23" i="3"/>
  <c r="V19" i="3"/>
  <c r="V22" i="3"/>
  <c r="Z44" i="3"/>
  <c r="Z41" i="3"/>
  <c r="Z45" i="3"/>
  <c r="Z43" i="3"/>
  <c r="Z40" i="3"/>
  <c r="Z37" i="3"/>
  <c r="Z46" i="3"/>
  <c r="Z35" i="3"/>
  <c r="Z42" i="3"/>
  <c r="Z38" i="3"/>
  <c r="Z36" i="3"/>
  <c r="Z39" i="3"/>
  <c r="Z8" i="4"/>
  <c r="U6" i="4"/>
  <c r="V17" i="4"/>
  <c r="U23" i="3"/>
  <c r="Z4" i="4"/>
  <c r="U25" i="3"/>
  <c r="V68" i="4"/>
  <c r="V66" i="4"/>
  <c r="V63" i="4"/>
  <c r="V67" i="4"/>
  <c r="V69" i="4"/>
  <c r="V65" i="4"/>
  <c r="V64" i="4"/>
  <c r="U31" i="2"/>
  <c r="V10" i="3"/>
  <c r="V11" i="3"/>
  <c r="U65" i="4"/>
  <c r="U66" i="4"/>
  <c r="U68" i="4"/>
  <c r="U63" i="4"/>
  <c r="U67" i="4"/>
  <c r="U69" i="4"/>
  <c r="U64" i="4"/>
  <c r="U48" i="3"/>
  <c r="U51" i="3"/>
  <c r="U49" i="3"/>
  <c r="U53" i="3"/>
  <c r="U50" i="3"/>
  <c r="U52" i="3"/>
  <c r="U54" i="3"/>
  <c r="U47" i="3"/>
  <c r="V14" i="4"/>
  <c r="V15" i="4"/>
  <c r="V16" i="4"/>
  <c r="V12" i="4"/>
  <c r="V13" i="4"/>
  <c r="U74" i="4"/>
  <c r="U71" i="4"/>
  <c r="U70" i="4"/>
  <c r="U73" i="4"/>
  <c r="U72" i="4"/>
  <c r="Z23" i="4"/>
  <c r="U28" i="2"/>
  <c r="U32" i="2"/>
  <c r="V9" i="3"/>
  <c r="V7" i="3"/>
  <c r="V18" i="4"/>
  <c r="Z22" i="4"/>
  <c r="Z21" i="4"/>
  <c r="V13" i="3"/>
  <c r="V16" i="3"/>
  <c r="U5" i="2"/>
  <c r="U6" i="2"/>
  <c r="U7" i="2"/>
  <c r="U3" i="2"/>
  <c r="U4" i="2"/>
  <c r="V24" i="4"/>
  <c r="U38" i="4"/>
  <c r="U54" i="4"/>
  <c r="U44" i="4"/>
  <c r="U46" i="4"/>
  <c r="U48" i="4"/>
  <c r="U41" i="4"/>
  <c r="U43" i="4"/>
  <c r="U39" i="4"/>
  <c r="U47" i="4"/>
  <c r="U51" i="4"/>
  <c r="U45" i="4"/>
  <c r="U49" i="4"/>
  <c r="U42" i="4"/>
  <c r="U50" i="4"/>
  <c r="U55" i="4"/>
  <c r="U53" i="4"/>
  <c r="U40" i="4"/>
  <c r="U52" i="4"/>
  <c r="Z11" i="4"/>
  <c r="Z2" i="4"/>
  <c r="U10" i="3"/>
  <c r="U11" i="3"/>
  <c r="U26" i="3"/>
  <c r="U28" i="3"/>
  <c r="U29" i="3"/>
  <c r="U32" i="3"/>
  <c r="U33" i="3"/>
  <c r="U30" i="3"/>
  <c r="U31" i="3"/>
  <c r="U27" i="3"/>
  <c r="Z69" i="4"/>
  <c r="Z18" i="4"/>
  <c r="Z21" i="2"/>
  <c r="Z22" i="2"/>
  <c r="Z25" i="2"/>
  <c r="Z18" i="2"/>
  <c r="Z24" i="2"/>
  <c r="Z23" i="2"/>
  <c r="Z20" i="2"/>
  <c r="Z19" i="2"/>
  <c r="Z27" i="2"/>
  <c r="Z26" i="2"/>
  <c r="U30" i="2"/>
  <c r="V20" i="4"/>
  <c r="V58" i="4"/>
  <c r="V61" i="4"/>
  <c r="V59" i="4"/>
  <c r="V60" i="4"/>
  <c r="V57" i="4"/>
  <c r="V62" i="4"/>
  <c r="V56" i="4"/>
  <c r="Z73" i="4"/>
  <c r="Z72" i="4"/>
  <c r="U27" i="2"/>
  <c r="Z27" i="4"/>
  <c r="Z26" i="4"/>
  <c r="U2" i="3"/>
  <c r="U3" i="3"/>
  <c r="Z60" i="4"/>
  <c r="Z56" i="4"/>
  <c r="Z62" i="4"/>
  <c r="Z57" i="4"/>
  <c r="Z58" i="4"/>
  <c r="Z10" i="4"/>
  <c r="V29" i="2"/>
  <c r="U26" i="4"/>
  <c r="Z17" i="4"/>
  <c r="V25" i="4"/>
  <c r="U59" i="4"/>
  <c r="U60" i="4"/>
  <c r="U61" i="4"/>
  <c r="U58" i="4"/>
  <c r="U57" i="4"/>
  <c r="U56" i="4"/>
  <c r="U62" i="4"/>
  <c r="V3" i="3"/>
  <c r="V2" i="3"/>
  <c r="V36" i="4"/>
  <c r="V30" i="4"/>
  <c r="V28" i="4"/>
  <c r="V34" i="4"/>
  <c r="V32" i="4"/>
  <c r="V29" i="4"/>
  <c r="V33" i="4"/>
  <c r="V31" i="4"/>
  <c r="V37" i="4"/>
  <c r="V35" i="4"/>
  <c r="U24" i="2"/>
  <c r="Z74" i="4"/>
  <c r="Z34" i="2"/>
  <c r="V49" i="3"/>
  <c r="Z63" i="4"/>
  <c r="Z18" i="3"/>
  <c r="V39" i="4"/>
  <c r="V51" i="4"/>
  <c r="V45" i="4"/>
  <c r="V49" i="4"/>
  <c r="V43" i="4"/>
  <c r="V41" i="4"/>
  <c r="V53" i="4"/>
  <c r="V38" i="4"/>
  <c r="V52" i="4"/>
  <c r="V54" i="4"/>
  <c r="V48" i="4"/>
  <c r="V50" i="4"/>
  <c r="V46" i="4"/>
  <c r="V42" i="4"/>
  <c r="V47" i="4"/>
  <c r="V44" i="4"/>
  <c r="V55" i="4"/>
  <c r="V40" i="4"/>
  <c r="U36" i="2"/>
  <c r="U33" i="2"/>
  <c r="U38" i="2"/>
  <c r="U39" i="2"/>
  <c r="Z21" i="3"/>
  <c r="Z24" i="3"/>
  <c r="Z25" i="3"/>
  <c r="Z20" i="3"/>
  <c r="Z22" i="3"/>
  <c r="Z19" i="3"/>
  <c r="Z23" i="3"/>
  <c r="U38" i="3"/>
  <c r="U39" i="3"/>
  <c r="U42" i="3"/>
  <c r="U26" i="2"/>
  <c r="V18" i="3"/>
  <c r="Z38" i="2"/>
  <c r="V48" i="3"/>
  <c r="Z68" i="4"/>
  <c r="Z19" i="4"/>
  <c r="U37" i="3"/>
  <c r="U21" i="2"/>
  <c r="Z64" i="4"/>
  <c r="Z70" i="4"/>
  <c r="Z16" i="2"/>
  <c r="Z17" i="2"/>
  <c r="Z15" i="2"/>
  <c r="Z12" i="2"/>
  <c r="Z14" i="2"/>
  <c r="Z13" i="2"/>
  <c r="Z26" i="3"/>
  <c r="Z30" i="3"/>
  <c r="Z33" i="3"/>
  <c r="Z27" i="3"/>
  <c r="Z29" i="3"/>
  <c r="Z32" i="3"/>
  <c r="Z28" i="3"/>
  <c r="Z31" i="3"/>
  <c r="V51" i="3"/>
  <c r="U7" i="4"/>
  <c r="U25" i="2"/>
  <c r="Z36" i="2"/>
  <c r="V50" i="3"/>
  <c r="Z67" i="4"/>
  <c r="V22" i="4"/>
  <c r="V31" i="2"/>
  <c r="V28" i="2"/>
  <c r="Z65" i="4"/>
  <c r="V3" i="2"/>
  <c r="V6" i="2"/>
  <c r="V7" i="2"/>
  <c r="V5" i="2"/>
  <c r="V4" i="2"/>
  <c r="Z14" i="4"/>
  <c r="Z13" i="4"/>
  <c r="Z12" i="4"/>
  <c r="Z16" i="4"/>
  <c r="Z15" i="4"/>
  <c r="V9" i="2"/>
  <c r="V10" i="2"/>
  <c r="V28" i="3"/>
  <c r="V31" i="3"/>
  <c r="V25" i="2"/>
  <c r="V26" i="2"/>
  <c r="V22" i="2"/>
  <c r="V21" i="2"/>
  <c r="V24" i="2"/>
  <c r="V27" i="2"/>
  <c r="V23" i="2"/>
  <c r="V20" i="2"/>
  <c r="V19" i="2"/>
  <c r="V18" i="2"/>
  <c r="U4" i="4"/>
  <c r="Z39" i="2"/>
  <c r="V19" i="4"/>
  <c r="Z10" i="3"/>
  <c r="Z11" i="3"/>
  <c r="U15" i="4"/>
  <c r="U12" i="4"/>
  <c r="U16" i="4"/>
  <c r="U5" i="4"/>
  <c r="U22" i="2"/>
  <c r="Z41" i="2"/>
  <c r="Z29" i="4"/>
  <c r="Z34" i="4"/>
  <c r="Z28" i="4"/>
  <c r="Z32" i="4"/>
  <c r="Z33" i="4"/>
  <c r="Z31" i="4"/>
  <c r="Z36" i="4"/>
  <c r="Z35" i="4"/>
  <c r="Z30" i="4"/>
  <c r="Z37" i="4"/>
  <c r="V15" i="3"/>
  <c r="U20" i="2"/>
  <c r="V4" i="3"/>
  <c r="V23" i="4"/>
  <c r="V27" i="3"/>
  <c r="Z55" i="4"/>
  <c r="Z48" i="4"/>
  <c r="Z51" i="4"/>
  <c r="Z54" i="4"/>
  <c r="Z47" i="4"/>
  <c r="Z43" i="4"/>
  <c r="Z39" i="4"/>
  <c r="Z41" i="4"/>
  <c r="Z46" i="4"/>
  <c r="Z45" i="4"/>
  <c r="Z49" i="4"/>
  <c r="Z50" i="4"/>
  <c r="Z44" i="4"/>
  <c r="Z52" i="4"/>
  <c r="Z53" i="4"/>
  <c r="Z42" i="4"/>
  <c r="Z38" i="4"/>
  <c r="Z40" i="4"/>
  <c r="V74" i="4"/>
  <c r="V73" i="4"/>
  <c r="V72" i="4"/>
  <c r="V71" i="4"/>
  <c r="V70" i="4"/>
  <c r="U34" i="2"/>
  <c r="V36" i="3"/>
  <c r="U2" i="4"/>
  <c r="Z12" i="3"/>
  <c r="Z42" i="2"/>
  <c r="U30" i="4"/>
  <c r="U35" i="4"/>
  <c r="T2" i="12"/>
  <c r="T2" i="11"/>
  <c r="T2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02F7248-1599-41F5-872F-43DE63CC1D80}" keepAlive="1" name="Query - A/E LB" description="Connection to the 'A/E LB' query in the workbook." type="5" refreshedVersion="0" background="1">
    <dbPr connection="Provider=Microsoft.Mashup.OleDb.1;Data Source=$Workbook$;Location=&quot;A/E LB&quot;;Extended Properties=&quot;&quot;" command="SELECT * FROM [A/E LB]"/>
  </connection>
  <connection id="2" xr16:uid="{7352744C-3CD2-4A55-B1D1-F2A3A752D6CA}" keepAlive="1" name="Query - A/E UB" description="Connection to the 'A/E UB' query in the workbook." type="5" refreshedVersion="0" background="1">
    <dbPr connection="Provider=Microsoft.Mashup.OleDb.1;Data Source=$Workbook$;Location=&quot;A/E UB&quot;;Extended Properties=&quot;&quot;" command="SELECT * FROM [A/E UB]"/>
  </connection>
  <connection id="3" xr16:uid="{89E07994-A6AF-4E49-BF23-AB2D4F2C2578}" keepAlive="1" name="Query - Current Price" description="Connection to the 'Current Price' query in the workbook." type="5" refreshedVersion="0" background="1">
    <dbPr connection="Provider=Microsoft.Mashup.OleDb.1;Data Source=$Workbook$;Location=&quot;Current Price&quot;;Extended Properties=&quot;&quot;" command="SELECT * FROM [Current Price]"/>
  </connection>
  <connection id="4" xr16:uid="{A5FD463A-200B-46E1-B0FD-2D544A6B5774}" keepAlive="1" name="Query - FileName" description="Connection to the 'FileName' query in the workbook." type="5" refreshedVersion="0" background="1">
    <dbPr connection="Provider=Microsoft.Mashup.OleDb.1;Data Source=$Workbook$;Location=FileName;Extended Properties=&quot;&quot;" command="SELECT * FROM [FileName]"/>
  </connection>
  <connection id="5" xr16:uid="{8F6414D8-7688-4127-BBA8-BDE875D0FCCC}" keepAlive="1" name="Query - L_A/E Q1" description="Connection to the 'L_A/E Q1' query in the workbook." type="5" refreshedVersion="0" background="1">
    <dbPr connection="Provider=Microsoft.Mashup.OleDb.1;Data Source=$Workbook$;Location=&quot;L_A/E Q1&quot;;Extended Properties=&quot;&quot;" command="SELECT * FROM [L_A/E Q1]"/>
  </connection>
  <connection id="6" xr16:uid="{8F5D3B78-38BC-4BAE-80C9-222CAF869EC0}" keepAlive="1" name="Query - L_A/E Q3" description="Connection to the 'L_A/E Q3' query in the workbook." type="5" refreshedVersion="0" background="1">
    <dbPr connection="Provider=Microsoft.Mashup.OleDb.1;Data Source=$Workbook$;Location=&quot;L_A/E Q3&quot;;Extended Properties=&quot;&quot;" command="SELECT * FROM [L_A/E Q3]"/>
  </connection>
  <connection id="7" xr16:uid="{7976D156-18D1-4D9E-AF90-F491B65081EB}" keepAlive="1" name="Query - L_P/B Q1" description="Connection to the 'L_P/B Q1' query in the workbook." type="5" refreshedVersion="0" background="1">
    <dbPr connection="Provider=Microsoft.Mashup.OleDb.1;Data Source=$Workbook$;Location=&quot;L_P/B Q1&quot;;Extended Properties=&quot;&quot;" command="SELECT * FROM [L_P/B Q1]"/>
  </connection>
  <connection id="8" xr16:uid="{AF37842F-8AC7-44A6-9E85-DA45C4E89B77}" keepAlive="1" name="Query - L_P/B Q3" description="Connection to the 'L_P/B Q3' query in the workbook." type="5" refreshedVersion="0" background="1">
    <dbPr connection="Provider=Microsoft.Mashup.OleDb.1;Data Source=$Workbook$;Location=&quot;L_P/B Q3&quot;;Extended Properties=&quot;&quot;" command="SELECT * FROM [L_P/B Q3]"/>
  </connection>
  <connection id="9" xr16:uid="{DC2C7C9A-B063-413D-88A4-5569D5BA1EC0}" keepAlive="1" name="Query - L_P/E Q1" description="Connection to the 'L_P/E Q1' query in the workbook." type="5" refreshedVersion="0" background="1">
    <dbPr connection="Provider=Microsoft.Mashup.OleDb.1;Data Source=$Workbook$;Location=&quot;L_P/E Q1&quot;;Extended Properties=&quot;&quot;" command="SELECT * FROM [L_P/E Q1]"/>
  </connection>
  <connection id="10" xr16:uid="{AC603448-C045-49E0-A887-F24B829281E0}" keepAlive="1" name="Query - L_P/E Q3" description="Connection to the 'L_P/E Q3' query in the workbook." type="5" refreshedVersion="0" background="1">
    <dbPr connection="Provider=Microsoft.Mashup.OleDb.1;Data Source=$Workbook$;Location=&quot;L_P/E Q3&quot;;Extended Properties=&quot;&quot;" command="SELECT * FROM [L_P/E Q3]"/>
  </connection>
  <connection id="11" xr16:uid="{7EF7D169-7C60-4FA6-8C8C-4FC0B5A7D8EF}" keepAlive="1" name="Query - L_P/FCF Q1" description="Connection to the 'L_P/FCF Q1' query in the workbook." type="5" refreshedVersion="0" background="1">
    <dbPr connection="Provider=Microsoft.Mashup.OleDb.1;Data Source=$Workbook$;Location=&quot;L_P/FCF Q1&quot;;Extended Properties=&quot;&quot;" command="SELECT * FROM [L_P/FCF Q1]"/>
  </connection>
  <connection id="12" xr16:uid="{53300647-8231-438B-A2B5-452EF55DC44C}" keepAlive="1" name="Query - L_P/FCF Q3" description="Connection to the 'L_P/FCF Q3' query in the workbook." type="5" refreshedVersion="0" background="1">
    <dbPr connection="Provider=Microsoft.Mashup.OleDb.1;Data Source=$Workbook$;Location=&quot;L_P/FCF Q3&quot;;Extended Properties=&quot;&quot;" command="SELECT * FROM [L_P/FCF Q3]"/>
  </connection>
  <connection id="13" xr16:uid="{C0006842-4341-4B5D-A500-4292508822B7}" keepAlive="1" name="Query - L_ROA Q1" description="Connection to the 'L_ROA Q1' query in the workbook." type="5" refreshedVersion="0" background="1">
    <dbPr connection="Provider=Microsoft.Mashup.OleDb.1;Data Source=$Workbook$;Location=&quot;L_ROA Q1&quot;;Extended Properties=&quot;&quot;" command="SELECT * FROM [L_ROA Q1]"/>
  </connection>
  <connection id="14" xr16:uid="{9185592E-90EB-462B-B18D-4A6073DF275B}" keepAlive="1" name="Query - L_ROA Q3" description="Connection to the 'L_ROA Q3' query in the workbook." type="5" refreshedVersion="0" background="1">
    <dbPr connection="Provider=Microsoft.Mashup.OleDb.1;Data Source=$Workbook$;Location=&quot;L_ROA Q3&quot;;Extended Properties=&quot;&quot;" command="SELECT * FROM [L_ROA Q3]"/>
  </connection>
  <connection id="15" xr16:uid="{BD9F7199-0EF4-4E9D-A19E-B37DF6C44251}" keepAlive="1" name="Query - L_ROE Q1" description="Connection to the 'L_ROE Q1' query in the workbook." type="5" refreshedVersion="0" background="1">
    <dbPr connection="Provider=Microsoft.Mashup.OleDb.1;Data Source=$Workbook$;Location=&quot;L_ROE Q1&quot;;Extended Properties=&quot;&quot;" command="SELECT * FROM [L_ROE Q1]"/>
  </connection>
  <connection id="16" xr16:uid="{64EE08C2-B107-4DC0-AFA5-46467F57F013}" keepAlive="1" name="Query - L_ROE Q3" description="Connection to the 'L_ROE Q3' query in the workbook." type="5" refreshedVersion="0" background="1">
    <dbPr connection="Provider=Microsoft.Mashup.OleDb.1;Data Source=$Workbook$;Location=&quot;L_ROE Q3&quot;;Extended Properties=&quot;&quot;" command="SELECT * FROM [L_ROE Q3]"/>
  </connection>
  <connection id="17" xr16:uid="{5AA9ED2A-89CA-4A05-92A9-127940BE4365}" keepAlive="1" name="Query - M_A/E Q1" description="Connection to the 'M_A/E Q1' query in the workbook." type="5" refreshedVersion="0" background="1">
    <dbPr connection="Provider=Microsoft.Mashup.OleDb.1;Data Source=$Workbook$;Location=&quot;M_A/E Q1&quot;;Extended Properties=&quot;&quot;" command="SELECT * FROM [M_A/E Q1]"/>
  </connection>
  <connection id="18" xr16:uid="{7500DFAD-DAEA-419D-B8B3-E17191EFB922}" keepAlive="1" name="Query - M_A/E Q3" description="Connection to the 'M_A/E Q3' query in the workbook." type="5" refreshedVersion="0" background="1">
    <dbPr connection="Provider=Microsoft.Mashup.OleDb.1;Data Source=$Workbook$;Location=&quot;M_A/E Q3&quot;;Extended Properties=&quot;&quot;" command="SELECT * FROM [M_A/E Q3]"/>
  </connection>
  <connection id="19" xr16:uid="{12B254E2-FDD0-4672-A591-AD373AE577AA}" keepAlive="1" name="Query - M_P/B Q1" description="Connection to the 'M_P/B Q1' query in the workbook." type="5" refreshedVersion="0" background="1">
    <dbPr connection="Provider=Microsoft.Mashup.OleDb.1;Data Source=$Workbook$;Location=&quot;M_P/B Q1&quot;;Extended Properties=&quot;&quot;" command="SELECT * FROM [M_P/B Q1]"/>
  </connection>
  <connection id="20" xr16:uid="{A8F557FB-E157-4CAC-8226-2A3BE2290F29}" keepAlive="1" name="Query - M_P/B Q3" description="Connection to the 'M_P/B Q3' query in the workbook." type="5" refreshedVersion="0" background="1">
    <dbPr connection="Provider=Microsoft.Mashup.OleDb.1;Data Source=$Workbook$;Location=&quot;M_P/B Q3&quot;;Extended Properties=&quot;&quot;" command="SELECT * FROM [M_P/B Q3]"/>
  </connection>
  <connection id="21" xr16:uid="{D1FDE65E-6399-471C-AC76-D64BD746D229}" keepAlive="1" name="Query - M_P/E Q1" description="Connection to the 'M_P/E Q1' query in the workbook." type="5" refreshedVersion="0" background="1">
    <dbPr connection="Provider=Microsoft.Mashup.OleDb.1;Data Source=$Workbook$;Location=&quot;M_P/E Q1&quot;;Extended Properties=&quot;&quot;" command="SELECT * FROM [M_P/E Q1]"/>
  </connection>
  <connection id="22" xr16:uid="{310C80E6-69BE-4890-AA29-B2C576B782E2}" keepAlive="1" name="Query - M_P/E Q3" description="Connection to the 'M_P/E Q3' query in the workbook." type="5" refreshedVersion="0" background="1">
    <dbPr connection="Provider=Microsoft.Mashup.OleDb.1;Data Source=$Workbook$;Location=&quot;M_P/E Q3&quot;;Extended Properties=&quot;&quot;" command="SELECT * FROM [M_P/E Q3]"/>
  </connection>
  <connection id="23" xr16:uid="{12F6CADF-8BF7-4296-BE2F-FC551CF42082}" keepAlive="1" name="Query - M_P/FCF Q1" description="Connection to the 'M_P/FCF Q1' query in the workbook." type="5" refreshedVersion="0" background="1">
    <dbPr connection="Provider=Microsoft.Mashup.OleDb.1;Data Source=$Workbook$;Location=&quot;M_P/FCF Q1&quot;;Extended Properties=&quot;&quot;" command="SELECT * FROM [M_P/FCF Q1]"/>
  </connection>
  <connection id="24" xr16:uid="{A273217E-82A6-4C1C-9E5B-9758866AFC05}" keepAlive="1" name="Query - M_P/FCF Q3" description="Connection to the 'M_P/FCF Q3' query in the workbook." type="5" refreshedVersion="0" background="1">
    <dbPr connection="Provider=Microsoft.Mashup.OleDb.1;Data Source=$Workbook$;Location=&quot;M_P/FCF Q3&quot;;Extended Properties=&quot;&quot;" command="SELECT * FROM [M_P/FCF Q3]"/>
  </connection>
  <connection id="25" xr16:uid="{A961C549-E9F2-4582-AD90-542B8A2DF8D6}" keepAlive="1" name="Query - M_ROA Q1" description="Connection to the 'M_ROA Q1' query in the workbook." type="5" refreshedVersion="0" background="1">
    <dbPr connection="Provider=Microsoft.Mashup.OleDb.1;Data Source=$Workbook$;Location=&quot;M_ROA Q1&quot;;Extended Properties=&quot;&quot;" command="SELECT * FROM [M_ROA Q1]"/>
  </connection>
  <connection id="26" xr16:uid="{F84929B3-3245-40ED-A522-C32C272E21C2}" keepAlive="1" name="Query - M_ROA Q3" description="Connection to the 'M_ROA Q3' query in the workbook." type="5" refreshedVersion="0" background="1">
    <dbPr connection="Provider=Microsoft.Mashup.OleDb.1;Data Source=$Workbook$;Location=&quot;M_ROA Q3&quot;;Extended Properties=&quot;&quot;" command="SELECT * FROM [M_ROA Q3]"/>
  </connection>
  <connection id="27" xr16:uid="{C8B04757-CC02-449A-A17B-92B2333219DD}" keepAlive="1" name="Query - M_ROE Q1" description="Connection to the 'M_ROE Q1' query in the workbook." type="5" refreshedVersion="0" background="1">
    <dbPr connection="Provider=Microsoft.Mashup.OleDb.1;Data Source=$Workbook$;Location=&quot;M_ROE Q1&quot;;Extended Properties=&quot;&quot;" command="SELECT * FROM [M_ROE Q1]"/>
  </connection>
  <connection id="28" xr16:uid="{E914265A-F3A6-4877-BFFE-EAB75F4385E6}" keepAlive="1" name="Query - M_ROE Q3" description="Connection to the 'M_ROE Q3' query in the workbook." type="5" refreshedVersion="0" background="1">
    <dbPr connection="Provider=Microsoft.Mashup.OleDb.1;Data Source=$Workbook$;Location=&quot;M_ROE Q3&quot;;Extended Properties=&quot;&quot;" command="SELECT * FROM [M_ROE Q3]"/>
  </connection>
  <connection id="29" xr16:uid="{CDE2AB40-03BB-4E85-A364-BE7158498E57}" keepAlive="1" name="Query - Main_L" description="Connection to the 'Main_L' query in the workbook." type="5" refreshedVersion="8" background="1" saveData="1">
    <dbPr connection="Provider=Microsoft.Mashup.OleDb.1;Data Source=$Workbook$;Location=Main_L;Extended Properties=&quot;&quot;" command="SELECT * FROM [Main_L]"/>
  </connection>
  <connection id="30" xr16:uid="{92827891-F650-4461-969A-5281B14CC67C}" keepAlive="1" name="Query - Main_M" description="Connection to the 'Main_M' query in the workbook." type="5" refreshedVersion="8" background="1" saveData="1">
    <dbPr connection="Provider=Microsoft.Mashup.OleDb.1;Data Source=$Workbook$;Location=Main_M;Extended Properties=&quot;&quot;" command="SELECT * FROM [Main_M]"/>
  </connection>
  <connection id="31" xr16:uid="{AE4AC620-A60D-4667-B234-1492FA4F9C44}" keepAlive="1" name="Query - Main_S" description="Connection to the 'Main_S' query in the workbook." type="5" refreshedVersion="8" background="1" saveData="1">
    <dbPr connection="Provider=Microsoft.Mashup.OleDb.1;Data Source=$Workbook$;Location=Main_S;Extended Properties=&quot;&quot;" command="SELECT * FROM [Main_S]"/>
  </connection>
  <connection id="32" xr16:uid="{627BF07A-2AE9-4599-9B72-75AB04F6D252}" keepAlive="1" name="Query - P/B" description="Connection to the 'P/B' query in the workbook." type="5" refreshedVersion="0" background="1">
    <dbPr connection="Provider=Microsoft.Mashup.OleDb.1;Data Source=$Workbook$;Location=P/B;Extended Properties=&quot;&quot;" command="SELECT * FROM [P/B]"/>
  </connection>
  <connection id="33" xr16:uid="{E4BA60D9-BFC8-401B-B0A1-EF441CB7E867}" keepAlive="1" name="Query - P/B LB" description="Connection to the 'P/B LB' query in the workbook." type="5" refreshedVersion="0" background="1">
    <dbPr connection="Provider=Microsoft.Mashup.OleDb.1;Data Source=$Workbook$;Location=&quot;P/B LB&quot;;Extended Properties=&quot;&quot;" command="SELECT * FROM [P/B LB]"/>
  </connection>
  <connection id="34" xr16:uid="{D446C18C-F5FB-4931-9D08-9460AB87F88D}" keepAlive="1" name="Query - P/B UB" description="Connection to the 'P/B UB' query in the workbook." type="5" refreshedVersion="0" background="1">
    <dbPr connection="Provider=Microsoft.Mashup.OleDb.1;Data Source=$Workbook$;Location=&quot;P/B UB&quot;;Extended Properties=&quot;&quot;" command="SELECT * FROM [P/B UB]"/>
  </connection>
  <connection id="35" xr16:uid="{54E51695-4AC3-42F6-A71C-6D5C0B94366D}" keepAlive="1" name="Query - P/E" description="Connection to the 'P/E' query in the workbook." type="5" refreshedVersion="0" background="1">
    <dbPr connection="Provider=Microsoft.Mashup.OleDb.1;Data Source=$Workbook$;Location=P/E;Extended Properties=&quot;&quot;" command="SELECT * FROM [P/E]"/>
  </connection>
  <connection id="36" xr16:uid="{E1D25C74-8E63-475D-AEB0-3EF1CBA274F2}" keepAlive="1" name="Query - P/E LB" description="Connection to the 'P/E LB' query in the workbook." type="5" refreshedVersion="0" background="1">
    <dbPr connection="Provider=Microsoft.Mashup.OleDb.1;Data Source=$Workbook$;Location=&quot;P/E LB&quot;;Extended Properties=&quot;&quot;" command="SELECT * FROM [P/E LB]"/>
  </connection>
  <connection id="37" xr16:uid="{FF5E838B-CEA1-42F7-AE46-37297C47D203}" keepAlive="1" name="Query - P/E UB" description="Connection to the 'P/E UB' query in the workbook." type="5" refreshedVersion="0" background="1">
    <dbPr connection="Provider=Microsoft.Mashup.OleDb.1;Data Source=$Workbook$;Location=&quot;P/E UB&quot;;Extended Properties=&quot;&quot;" command="SELECT * FROM [P/E UB]"/>
  </connection>
  <connection id="38" xr16:uid="{6DD17A4C-9203-4DAC-B3F1-5BE914B61962}" keepAlive="1" name="Query - P/FCF" description="Connection to the 'P/FCF' query in the workbook." type="5" refreshedVersion="0" background="1">
    <dbPr connection="Provider=Microsoft.Mashup.OleDb.1;Data Source=$Workbook$;Location=P/FCF;Extended Properties=&quot;&quot;" command="SELECT * FROM [P/FCF]"/>
  </connection>
  <connection id="39" xr16:uid="{ED1BC823-1B10-4015-8C9B-4026B498C8E4}" keepAlive="1" name="Query - P/FCF LB" description="Connection to the 'P/FCF LB' query in the workbook." type="5" refreshedVersion="0" background="1">
    <dbPr connection="Provider=Microsoft.Mashup.OleDb.1;Data Source=$Workbook$;Location=&quot;P/FCF LB&quot;;Extended Properties=&quot;&quot;" command="SELECT * FROM [P/FCF LB]"/>
  </connection>
  <connection id="40" xr16:uid="{77F87E7C-4F98-4E55-8BC1-D73052D39933}" keepAlive="1" name="Query - P/FCF UB" description="Connection to the 'P/FCF UB' query in the workbook." type="5" refreshedVersion="0" background="1">
    <dbPr connection="Provider=Microsoft.Mashup.OleDb.1;Data Source=$Workbook$;Location=&quot;P/FCF UB&quot;;Extended Properties=&quot;&quot;" command="SELECT * FROM [P/FCF UB]"/>
  </connection>
  <connection id="41" xr16:uid="{825B6038-9066-46FB-97C2-7511C1C36627}" keepAlive="1" name="Query - Quartile_L" description="Connection to the 'Quartile_L' query in the workbook." type="5" refreshedVersion="8" background="1" saveData="1">
    <dbPr connection="Provider=Microsoft.Mashup.OleDb.1;Data Source=$Workbook$;Location=Quartile_L;Extended Properties=&quot;&quot;" command="SELECT * FROM [Quartile_L]"/>
  </connection>
  <connection id="42" xr16:uid="{BC12B107-1C9F-443C-9878-4391CA921439}" keepAlive="1" name="Query - Quartile_M" description="Connection to the 'Quartile_M' query in the workbook." type="5" refreshedVersion="8" background="1" saveData="1">
    <dbPr connection="Provider=Microsoft.Mashup.OleDb.1;Data Source=$Workbook$;Location=Quartile_M;Extended Properties=&quot;&quot;" command="SELECT * FROM [Quartile_M]"/>
  </connection>
  <connection id="43" xr16:uid="{0BAC9000-D3DC-468C-84BE-9876AD7DC20E}" keepAlive="1" name="Query - Quartile_S" description="Connection to the 'Quartile_S' query in the workbook." type="5" refreshedVersion="8" background="1" saveData="1">
    <dbPr connection="Provider=Microsoft.Mashup.OleDb.1;Data Source=$Workbook$;Location=Quartile_S;Extended Properties=&quot;&quot;" command="SELECT * FROM [Quartile_S]"/>
  </connection>
  <connection id="44" xr16:uid="{32A4EE5B-8ECE-47ED-A25E-516D8F1963E0}" keepAlive="1" name="Query - ROA LB" description="Connection to the 'ROA LB' query in the workbook." type="5" refreshedVersion="0" background="1">
    <dbPr connection="Provider=Microsoft.Mashup.OleDb.1;Data Source=$Workbook$;Location=&quot;ROA LB&quot;;Extended Properties=&quot;&quot;" command="SELECT * FROM [ROA LB]"/>
  </connection>
  <connection id="45" xr16:uid="{3CB1A2E7-29EF-463B-9B8F-50B9BB799DF9}" keepAlive="1" name="Query - ROA UB" description="Connection to the 'ROA UB' query in the workbook." type="5" refreshedVersion="0" background="1">
    <dbPr connection="Provider=Microsoft.Mashup.OleDb.1;Data Source=$Workbook$;Location=&quot;ROA UB&quot;;Extended Properties=&quot;&quot;" command="SELECT * FROM [ROA UB]"/>
  </connection>
  <connection id="46" xr16:uid="{259AC3C8-A1E8-4A93-8DC7-A79DC2446E18}" keepAlive="1" name="Query - ROE LB" description="Connection to the 'ROE LB' query in the workbook." type="5" refreshedVersion="0" background="1">
    <dbPr connection="Provider=Microsoft.Mashup.OleDb.1;Data Source=$Workbook$;Location=&quot;ROE LB&quot;;Extended Properties=&quot;&quot;" command="SELECT * FROM [ROE LB]"/>
  </connection>
  <connection id="47" xr16:uid="{3354C7C5-E00D-4F96-8A48-30E7BB6E3B52}" keepAlive="1" name="Query - ROE UB" description="Connection to the 'ROE UB' query in the workbook." type="5" refreshedVersion="0" background="1">
    <dbPr connection="Provider=Microsoft.Mashup.OleDb.1;Data Source=$Workbook$;Location=&quot;ROE UB&quot;;Extended Properties=&quot;&quot;" command="SELECT * FROM [ROE UB]"/>
  </connection>
  <connection id="48" xr16:uid="{6AA428F4-DCB2-4249-8244-34CC930F360F}" keepAlive="1" name="Query - S_A/E Q1" description="Connection to the 'S_A/E Q1' query in the workbook." type="5" refreshedVersion="0" background="1">
    <dbPr connection="Provider=Microsoft.Mashup.OleDb.1;Data Source=$Workbook$;Location=&quot;S_A/E Q1&quot;;Extended Properties=&quot;&quot;" command="SELECT * FROM [S_A/E Q1]"/>
  </connection>
  <connection id="49" xr16:uid="{F329DF8A-065D-44EF-A2F0-DCA45E926EEF}" keepAlive="1" name="Query - S_A/E Q3" description="Connection to the 'S_A/E Q3' query in the workbook." type="5" refreshedVersion="0" background="1">
    <dbPr connection="Provider=Microsoft.Mashup.OleDb.1;Data Source=$Workbook$;Location=&quot;S_A/E Q3&quot;;Extended Properties=&quot;&quot;" command="SELECT * FROM [S_A/E Q3]"/>
  </connection>
  <connection id="50" xr16:uid="{DF16565B-3E7C-4861-8F2C-973CEF0B4115}" keepAlive="1" name="Query - S_P/B Q1" description="Connection to the 'S_P/B Q1' query in the workbook." type="5" refreshedVersion="0" background="1">
    <dbPr connection="Provider=Microsoft.Mashup.OleDb.1;Data Source=$Workbook$;Location=&quot;S_P/B Q1&quot;;Extended Properties=&quot;&quot;" command="SELECT * FROM [S_P/B Q1]"/>
  </connection>
  <connection id="51" xr16:uid="{278FB231-D87C-4E37-A358-3EBAC32E8893}" keepAlive="1" name="Query - S_P/B Q3" description="Connection to the 'S_P/B Q3' query in the workbook." type="5" refreshedVersion="0" background="1">
    <dbPr connection="Provider=Microsoft.Mashup.OleDb.1;Data Source=$Workbook$;Location=&quot;S_P/B Q3&quot;;Extended Properties=&quot;&quot;" command="SELECT * FROM [S_P/B Q3]"/>
  </connection>
  <connection id="52" xr16:uid="{D7EDA865-E03C-45AF-800C-ABF1A6910F71}" keepAlive="1" name="Query - S_P/E Q1" description="Connection to the 'S_P/E Q1' query in the workbook." type="5" refreshedVersion="0" background="1">
    <dbPr connection="Provider=Microsoft.Mashup.OleDb.1;Data Source=$Workbook$;Location=&quot;S_P/E Q1&quot;;Extended Properties=&quot;&quot;" command="SELECT * FROM [S_P/E Q1]"/>
  </connection>
  <connection id="53" xr16:uid="{8FD3B37C-F51A-4D18-B833-FCD1ABE6B024}" keepAlive="1" name="Query - S_P/E Q3" description="Connection to the 'S_P/E Q3' query in the workbook." type="5" refreshedVersion="0" background="1">
    <dbPr connection="Provider=Microsoft.Mashup.OleDb.1;Data Source=$Workbook$;Location=&quot;S_P/E Q3&quot;;Extended Properties=&quot;&quot;" command="SELECT * FROM [S_P/E Q3]"/>
  </connection>
  <connection id="54" xr16:uid="{952CB9AB-E981-4AF7-AEA1-CA6F2A1AFC42}" keepAlive="1" name="Query - S_P/FCF Q1" description="Connection to the 'S_P/FCF Q1' query in the workbook." type="5" refreshedVersion="0" background="1">
    <dbPr connection="Provider=Microsoft.Mashup.OleDb.1;Data Source=$Workbook$;Location=&quot;S_P/FCF Q1&quot;;Extended Properties=&quot;&quot;" command="SELECT * FROM [S_P/FCF Q1]"/>
  </connection>
  <connection id="55" xr16:uid="{D8F6EC2D-76DE-48E3-B762-4DC4E07D15FD}" keepAlive="1" name="Query - S_P/FCF Q3" description="Connection to the 'S_P/FCF Q3' query in the workbook." type="5" refreshedVersion="0" background="1">
    <dbPr connection="Provider=Microsoft.Mashup.OleDb.1;Data Source=$Workbook$;Location=&quot;S_P/FCF Q3&quot;;Extended Properties=&quot;&quot;" command="SELECT * FROM [S_P/FCF Q3]"/>
  </connection>
  <connection id="56" xr16:uid="{811EE5D1-4D19-40D7-A8CD-93B62064D851}" keepAlive="1" name="Query - S_ROA Q1" description="Connection to the 'S_ROA Q1' query in the workbook." type="5" refreshedVersion="0" background="1">
    <dbPr connection="Provider=Microsoft.Mashup.OleDb.1;Data Source=$Workbook$;Location=&quot;S_ROA Q1&quot;;Extended Properties=&quot;&quot;" command="SELECT * FROM [S_ROA Q1]"/>
  </connection>
  <connection id="57" xr16:uid="{34B3F74D-F492-4853-8143-8CCE93981422}" keepAlive="1" name="Query - S_ROA Q3" description="Connection to the 'S_ROA Q3' query in the workbook." type="5" refreshedVersion="0" background="1">
    <dbPr connection="Provider=Microsoft.Mashup.OleDb.1;Data Source=$Workbook$;Location=&quot;S_ROA Q3&quot;;Extended Properties=&quot;&quot;" command="SELECT * FROM [S_ROA Q3]"/>
  </connection>
  <connection id="58" xr16:uid="{81F95821-726F-43C8-808F-F69920F82EC8}" keepAlive="1" name="Query - S_ROE Q1" description="Connection to the 'S_ROE Q1' query in the workbook." type="5" refreshedVersion="0" background="1">
    <dbPr connection="Provider=Microsoft.Mashup.OleDb.1;Data Source=$Workbook$;Location=&quot;S_ROE Q1&quot;;Extended Properties=&quot;&quot;" command="SELECT * FROM [S_ROE Q1]"/>
  </connection>
  <connection id="59" xr16:uid="{974A7E5D-22A4-44DE-B56F-011601E78962}" keepAlive="1" name="Query - S_ROE Q3" description="Connection to the 'S_ROE Q3' query in the workbook." type="5" refreshedVersion="0" background="1">
    <dbPr connection="Provider=Microsoft.Mashup.OleDb.1;Data Source=$Workbook$;Location=&quot;S_ROE Q3&quot;;Extended Properties=&quot;&quot;" command="SELECT * FROM [S_ROE Q3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<sst xmlns="http://schemas.openxmlformats.org/spreadsheetml/2006/main" count="925" uniqueCount="282">
  <si>
    <t>Quartile_L</t>
  </si>
  <si>
    <t>Industry</t>
  </si>
  <si>
    <t>P/FCF Q1</t>
  </si>
  <si>
    <t>P/FCF Q3</t>
  </si>
  <si>
    <t>P/FCF LB</t>
  </si>
  <si>
    <t>P/FCF UB</t>
  </si>
  <si>
    <t>ROE Q1</t>
  </si>
  <si>
    <t>ROE Q3</t>
  </si>
  <si>
    <t>ROE LB</t>
  </si>
  <si>
    <t>ROE UB</t>
  </si>
  <si>
    <t>ROA Q1</t>
  </si>
  <si>
    <t>ROA Q3</t>
  </si>
  <si>
    <t>ROA LB</t>
  </si>
  <si>
    <t>ROA UB</t>
  </si>
  <si>
    <t>P/E Q1</t>
  </si>
  <si>
    <t>P/E Q3</t>
  </si>
  <si>
    <t>P/E LB</t>
  </si>
  <si>
    <t>P/E UB</t>
  </si>
  <si>
    <t>A/E Q1</t>
  </si>
  <si>
    <t>A/E Q3</t>
  </si>
  <si>
    <t>A/E LB</t>
  </si>
  <si>
    <t>A/E UB</t>
  </si>
  <si>
    <t>Quartile_M</t>
  </si>
  <si>
    <t>Quartile_S</t>
  </si>
  <si>
    <t>Symbol</t>
  </si>
  <si>
    <t>Current Price</t>
  </si>
  <si>
    <t>Free CF</t>
  </si>
  <si>
    <t>BVPS</t>
  </si>
  <si>
    <t>EPS</t>
  </si>
  <si>
    <t>P/FCF</t>
  </si>
  <si>
    <t>ROE</t>
  </si>
  <si>
    <t>ROA</t>
  </si>
  <si>
    <t>P/E</t>
  </si>
  <si>
    <t>A/E</t>
  </si>
  <si>
    <t>Preliminary Criteria</t>
  </si>
  <si>
    <t>P/FCF Outlier</t>
  </si>
  <si>
    <t>ROE Outlier</t>
  </si>
  <si>
    <t>ROA Outlier</t>
  </si>
  <si>
    <t>P/E Outlier</t>
  </si>
  <si>
    <t>A/E Outlier</t>
  </si>
  <si>
    <t>Row Labels</t>
  </si>
  <si>
    <t>No</t>
  </si>
  <si>
    <t>Average of P/FCF</t>
  </si>
  <si>
    <t>StdDevp of P/FCF</t>
  </si>
  <si>
    <t>Average of ROE</t>
  </si>
  <si>
    <t>StdDevp of ROE</t>
  </si>
  <si>
    <t>Average of ROA</t>
  </si>
  <si>
    <t>StdDevp of ROA</t>
  </si>
  <si>
    <t>Average of A/E</t>
  </si>
  <si>
    <t>StdDevp of A/E</t>
  </si>
  <si>
    <t>Average of P/E</t>
  </si>
  <si>
    <t>StdDevp of P/E</t>
  </si>
  <si>
    <t>SCORE</t>
  </si>
  <si>
    <t>1 &lt; P/E &lt; 25</t>
  </si>
  <si>
    <t>Market Cap (M)</t>
  </si>
  <si>
    <t>Mean_PFCF_L</t>
  </si>
  <si>
    <t>Mean_ROE_L</t>
  </si>
  <si>
    <t>Mean_ROA_L</t>
  </si>
  <si>
    <t>Mean_AE_L</t>
  </si>
  <si>
    <t>Mean_PE_L</t>
  </si>
  <si>
    <t>Mean_PFCF_M</t>
  </si>
  <si>
    <t>Mean_PFCF_S</t>
  </si>
  <si>
    <t>Mean_ROE_M</t>
  </si>
  <si>
    <t>Mean_ROE_S</t>
  </si>
  <si>
    <t>Mean_ROA_M</t>
  </si>
  <si>
    <t>Mean_ROA_S</t>
  </si>
  <si>
    <t>Mean_AE_M</t>
  </si>
  <si>
    <t>Mean_AE_S</t>
  </si>
  <si>
    <t>Mean_PE_S</t>
  </si>
  <si>
    <t>Additional Criteria</t>
  </si>
  <si>
    <t>Path</t>
  </si>
  <si>
    <t>P/B</t>
  </si>
  <si>
    <t>P/B Q1</t>
  </si>
  <si>
    <t>P/B Q3</t>
  </si>
  <si>
    <t>P/B LB</t>
  </si>
  <si>
    <t>P/B UB</t>
  </si>
  <si>
    <t>P/B Outlier</t>
  </si>
  <si>
    <t>Average of P/B</t>
  </si>
  <si>
    <t>StdDevp of P/B</t>
  </si>
  <si>
    <t>Mean_PB_M</t>
  </si>
  <si>
    <t>Mean_PB_L</t>
  </si>
  <si>
    <t>Mean_PB_S</t>
  </si>
  <si>
    <t>&lt; 0.7 x Mean</t>
  </si>
  <si>
    <t xml:space="preserve">ROA </t>
  </si>
  <si>
    <t>&lt; Mean</t>
  </si>
  <si>
    <t>&lt; Mean &amp;
1 &lt; P/E &lt; 25</t>
  </si>
  <si>
    <t>Z Score Criteria</t>
  </si>
  <si>
    <t>&gt; Mean</t>
  </si>
  <si>
    <t>All the stocks below are mid cap stocks that meet the preliminary criteria. Five additional criteria are used to compare these stocks. For each additional criterion met, a stock gets 1 point. The metrics that meet criteria are in bold and color coded. The additional criteria and corresponding text format are shown in the table on the right.</t>
  </si>
  <si>
    <t>All the stocks below are small cap stocks that meet the preliminary criteria. Five additional criteria are used to compare these stocks. For each additional criterion met, a stock gets 1 point. The metrics that meet criteria are in bold and color coded. The additional criteria and corresponding text format are shown in the table on the right.</t>
  </si>
  <si>
    <t>P/FCF Z-Score</t>
  </si>
  <si>
    <t>P/B Z-Score</t>
  </si>
  <si>
    <t>ROE Z-Score</t>
  </si>
  <si>
    <t>ROA Z-Score</t>
  </si>
  <si>
    <t>A/E Z-Score</t>
  </si>
  <si>
    <t>P/E Z-Score</t>
  </si>
  <si>
    <t>P/FCF z-score</t>
  </si>
  <si>
    <t>P/BV z-score</t>
  </si>
  <si>
    <t>ROE z-score</t>
  </si>
  <si>
    <t>ROA z-score</t>
  </si>
  <si>
    <t>A/E z-score</t>
  </si>
  <si>
    <t>P/E z-score</t>
  </si>
  <si>
    <t>&lt; 0</t>
  </si>
  <si>
    <t>&gt; 0</t>
  </si>
  <si>
    <t>All the stocks below are large cap stocks that meet the preliminary criteria. Five additional criteria are used to compare these stocks. For each additional criterion met, a stock gets 1 point. The metrics that meet criteria are in bold and color coded. The additional criteria and corresponding text format are shown in the table on the right.</t>
  </si>
  <si>
    <t>Diversified REITs</t>
  </si>
  <si>
    <t>WPC</t>
  </si>
  <si>
    <t>Industrial REITs</t>
  </si>
  <si>
    <t>LINE</t>
  </si>
  <si>
    <t>PLD</t>
  </si>
  <si>
    <t>Hotel &amp; Resort REITs</t>
  </si>
  <si>
    <t>HST</t>
  </si>
  <si>
    <t>Office REITs</t>
  </si>
  <si>
    <t>BXP</t>
  </si>
  <si>
    <t>Health Care REITs</t>
  </si>
  <si>
    <t>ARE</t>
  </si>
  <si>
    <t>DOC</t>
  </si>
  <si>
    <t>OHI</t>
  </si>
  <si>
    <t>VTR</t>
  </si>
  <si>
    <t>WELL</t>
  </si>
  <si>
    <t>Residential REITs</t>
  </si>
  <si>
    <t>AVB</t>
  </si>
  <si>
    <t>CPT</t>
  </si>
  <si>
    <t>EQR</t>
  </si>
  <si>
    <t>ESS</t>
  </si>
  <si>
    <t>MAA</t>
  </si>
  <si>
    <t>UDR</t>
  </si>
  <si>
    <t>AMH</t>
  </si>
  <si>
    <t>ELS</t>
  </si>
  <si>
    <t>INVH</t>
  </si>
  <si>
    <t>SUI</t>
  </si>
  <si>
    <t>Retail REITs</t>
  </si>
  <si>
    <t>KIM</t>
  </si>
  <si>
    <t>O</t>
  </si>
  <si>
    <t>REG</t>
  </si>
  <si>
    <t>SPG</t>
  </si>
  <si>
    <t>Specialized REITs</t>
  </si>
  <si>
    <t>GLPI</t>
  </si>
  <si>
    <t>IRM</t>
  </si>
  <si>
    <t>LAMR</t>
  </si>
  <si>
    <t>VICI</t>
  </si>
  <si>
    <t>EXR</t>
  </si>
  <si>
    <t>PSA</t>
  </si>
  <si>
    <t>AMT</t>
  </si>
  <si>
    <t>CCI</t>
  </si>
  <si>
    <t>SBAC</t>
  </si>
  <si>
    <t>WY</t>
  </si>
  <si>
    <t>DLR</t>
  </si>
  <si>
    <t>EQIX</t>
  </si>
  <si>
    <t>Real Estate Management &amp; Development</t>
  </si>
  <si>
    <t>BEKE</t>
  </si>
  <si>
    <t>CBRE</t>
  </si>
  <si>
    <t>CSGP</t>
  </si>
  <si>
    <t>JLL</t>
  </si>
  <si>
    <t>Z</t>
  </si>
  <si>
    <t>ZG</t>
  </si>
  <si>
    <t>BNL</t>
  </si>
  <si>
    <t>EPRT</t>
  </si>
  <si>
    <t>COLD</t>
  </si>
  <si>
    <t>EGP</t>
  </si>
  <si>
    <t>FR</t>
  </si>
  <si>
    <t>LXP</t>
  </si>
  <si>
    <t>REXR</t>
  </si>
  <si>
    <t>STAG</t>
  </si>
  <si>
    <t>TRNO</t>
  </si>
  <si>
    <t>APLE</t>
  </si>
  <si>
    <t>RHP</t>
  </si>
  <si>
    <t>CDP</t>
  </si>
  <si>
    <t>CUZ</t>
  </si>
  <si>
    <t>DEI</t>
  </si>
  <si>
    <t>HIW</t>
  </si>
  <si>
    <t>KRC</t>
  </si>
  <si>
    <t>SLG</t>
  </si>
  <si>
    <t>VNO</t>
  </si>
  <si>
    <t>AHR</t>
  </si>
  <si>
    <t>CTRE</t>
  </si>
  <si>
    <t>HR</t>
  </si>
  <si>
    <t>MPW</t>
  </si>
  <si>
    <t>NHI</t>
  </si>
  <si>
    <t>SBRA</t>
  </si>
  <si>
    <t>IRT</t>
  </si>
  <si>
    <t>ADC</t>
  </si>
  <si>
    <t>AKR</t>
  </si>
  <si>
    <t>BRX</t>
  </si>
  <si>
    <t>CURB</t>
  </si>
  <si>
    <t>FRT</t>
  </si>
  <si>
    <t>IVT</t>
  </si>
  <si>
    <t>KRG</t>
  </si>
  <si>
    <t>MAC</t>
  </si>
  <si>
    <t>NNN</t>
  </si>
  <si>
    <t>PECO</t>
  </si>
  <si>
    <t>SKT</t>
  </si>
  <si>
    <t>UE</t>
  </si>
  <si>
    <t>EPR</t>
  </si>
  <si>
    <t>FCPT</t>
  </si>
  <si>
    <t>MRP</t>
  </si>
  <si>
    <t>OUT</t>
  </si>
  <si>
    <t>CUBE</t>
  </si>
  <si>
    <t>NSA</t>
  </si>
  <si>
    <t>PCH</t>
  </si>
  <si>
    <t>RYN</t>
  </si>
  <si>
    <t>JOE</t>
  </si>
  <si>
    <t>VTMX</t>
  </si>
  <si>
    <t>HHH</t>
  </si>
  <si>
    <t>CIGI</t>
  </si>
  <si>
    <t>COMP</t>
  </si>
  <si>
    <t>CWK</t>
  </si>
  <si>
    <t>FSV</t>
  </si>
  <si>
    <t>NMRK</t>
  </si>
  <si>
    <t>AAT</t>
  </si>
  <si>
    <t>AHH</t>
  </si>
  <si>
    <t>ALEX</t>
  </si>
  <si>
    <t>CTO</t>
  </si>
  <si>
    <t>ESBA</t>
  </si>
  <si>
    <t>FISK</t>
  </si>
  <si>
    <t>GNL</t>
  </si>
  <si>
    <t>GOOD</t>
  </si>
  <si>
    <t>OGCP</t>
  </si>
  <si>
    <t>OLP</t>
  </si>
  <si>
    <t>IIPR</t>
  </si>
  <si>
    <t>PLYM</t>
  </si>
  <si>
    <t>CLDT</t>
  </si>
  <si>
    <t>DRH</t>
  </si>
  <si>
    <t>INN</t>
  </si>
  <si>
    <t>PEB</t>
  </si>
  <si>
    <t>PK</t>
  </si>
  <si>
    <t>RLJ</t>
  </si>
  <si>
    <t>SHO</t>
  </si>
  <si>
    <t>SVC</t>
  </si>
  <si>
    <t>XHR</t>
  </si>
  <si>
    <t>BDN</t>
  </si>
  <si>
    <t>DEA</t>
  </si>
  <si>
    <t>ESRT</t>
  </si>
  <si>
    <t>HPP</t>
  </si>
  <si>
    <t>JBGS</t>
  </si>
  <si>
    <t>NLOP</t>
  </si>
  <si>
    <t>PDM</t>
  </si>
  <si>
    <t>PGRE</t>
  </si>
  <si>
    <t>PKST</t>
  </si>
  <si>
    <t>PSTL</t>
  </si>
  <si>
    <t>CHCT</t>
  </si>
  <si>
    <t>GMRE</t>
  </si>
  <si>
    <t>LTC</t>
  </si>
  <si>
    <t>SILA</t>
  </si>
  <si>
    <t>UHT</t>
  </si>
  <si>
    <t>AIV</t>
  </si>
  <si>
    <t>BRT</t>
  </si>
  <si>
    <t>CSR</t>
  </si>
  <si>
    <t>ELME</t>
  </si>
  <si>
    <t>NXRT</t>
  </si>
  <si>
    <t>VRE</t>
  </si>
  <si>
    <t>UMH</t>
  </si>
  <si>
    <t>ALX</t>
  </si>
  <si>
    <t>BFS</t>
  </si>
  <si>
    <t>CBL</t>
  </si>
  <si>
    <t>GTY</t>
  </si>
  <si>
    <t>NTST</t>
  </si>
  <si>
    <t>SITC</t>
  </si>
  <si>
    <t>WSR</t>
  </si>
  <si>
    <t>FPI</t>
  </si>
  <si>
    <t>LAND</t>
  </si>
  <si>
    <t>SAFE</t>
  </si>
  <si>
    <t>UNIT</t>
  </si>
  <si>
    <t>SMA</t>
  </si>
  <si>
    <t>FPH</t>
  </si>
  <si>
    <t>TRC</t>
  </si>
  <si>
    <t>FRPH</t>
  </si>
  <si>
    <t>IRS</t>
  </si>
  <si>
    <t>KW</t>
  </si>
  <si>
    <t>LB</t>
  </si>
  <si>
    <t>MLP</t>
  </si>
  <si>
    <t>MRNO</t>
  </si>
  <si>
    <t>NEN</t>
  </si>
  <si>
    <t>TCI</t>
  </si>
  <si>
    <t>FOR</t>
  </si>
  <si>
    <t>EXPI</t>
  </si>
  <si>
    <t>HOUS</t>
  </si>
  <si>
    <t>IRMTF</t>
  </si>
  <si>
    <t>MMI</t>
  </si>
  <si>
    <t>OPEN</t>
  </si>
  <si>
    <t>RDFN</t>
  </si>
  <si>
    <t>REAX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</si>
</sst>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1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B050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00B0F0"/>
      <name val="Aptos Narrow"/>
      <family val="2"/>
      <scheme val="minor"/>
    </font>
    <font>
      <b/>
      <sz val="11"/>
      <color theme="5" tint="-0.249977111117893"/>
      <name val="Aptos Narrow"/>
      <family val="2"/>
      <scheme val="minor"/>
    </font>
    <font>
      <b/>
      <sz val="1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8"/>
      <color theme="9" tint="-0.249977111117893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-0.499984740745262"/>
        <bgColor theme="9"/>
      </patternFill>
    </fill>
  </fills>
  <borders count="41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68">
    <xf numFmtId="0" fontId="0" fillId="0" borderId="0" xfId="0"/>
    <xf numFmtId="2" fontId="0" fillId="0" borderId="0" xfId="0" applyNumberFormat="1"/>
    <xf numFmtId="3" fontId="0" fillId="0" borderId="0" xfId="0" applyNumberFormat="1"/>
    <xf numFmtId="0" fontId="0" fillId="0" borderId="0" xfId="0" pivotButton="1"/>
    <xf numFmtId="0" fontId="3" fillId="2" borderId="1" xfId="0" applyFont="1" applyFill="1" applyBorder="1"/>
    <xf numFmtId="0" fontId="3" fillId="2" borderId="2" xfId="0" applyFont="1" applyFill="1" applyBorder="1"/>
    <xf numFmtId="0" fontId="0" fillId="0" borderId="0" xfId="0" applyAlignment="1">
      <alignment horizontal="left"/>
    </xf>
    <xf numFmtId="2" fontId="3" fillId="2" borderId="2" xfId="0" applyNumberFormat="1" applyFont="1" applyFill="1" applyBorder="1"/>
    <xf numFmtId="3" fontId="3" fillId="2" borderId="2" xfId="0" applyNumberFormat="1" applyFont="1" applyFill="1" applyBorder="1"/>
    <xf numFmtId="3" fontId="0" fillId="0" borderId="0" xfId="1" applyNumberFormat="1" applyFont="1"/>
    <xf numFmtId="0" fontId="0" fillId="0" borderId="0" xfId="0" applyAlignment="1">
      <alignment vertical="center"/>
    </xf>
    <xf numFmtId="2" fontId="3" fillId="4" borderId="2" xfId="0" applyNumberFormat="1" applyFont="1" applyFill="1" applyBorder="1"/>
    <xf numFmtId="0" fontId="3" fillId="4" borderId="0" xfId="0" applyFont="1" applyFill="1"/>
    <xf numFmtId="2" fontId="0" fillId="0" borderId="0" xfId="0" applyNumberFormat="1" applyAlignment="1">
      <alignment horizontal="center" vertical="center"/>
    </xf>
    <xf numFmtId="2" fontId="9" fillId="0" borderId="3" xfId="0" applyNumberFormat="1" applyFont="1" applyBorder="1" applyAlignment="1">
      <alignment horizontal="center" vertical="center"/>
    </xf>
    <xf numFmtId="2" fontId="9" fillId="0" borderId="6" xfId="0" applyNumberFormat="1" applyFont="1" applyBorder="1" applyAlignment="1">
      <alignment horizontal="center" vertical="center" wrapText="1"/>
    </xf>
    <xf numFmtId="2" fontId="9" fillId="0" borderId="10" xfId="0" applyNumberFormat="1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/>
    </xf>
    <xf numFmtId="2" fontId="7" fillId="0" borderId="11" xfId="0" applyNumberFormat="1" applyFont="1" applyBorder="1" applyAlignment="1">
      <alignment horizontal="center" vertical="center"/>
    </xf>
    <xf numFmtId="2" fontId="8" fillId="0" borderId="11" xfId="0" applyNumberFormat="1" applyFont="1" applyBorder="1" applyAlignment="1">
      <alignment horizontal="center" vertical="center"/>
    </xf>
    <xf numFmtId="2" fontId="0" fillId="0" borderId="14" xfId="0" applyNumberFormat="1" applyBorder="1" applyAlignment="1">
      <alignment horizontal="center" vertical="center"/>
    </xf>
    <xf numFmtId="2" fontId="5" fillId="0" borderId="15" xfId="0" applyNumberFormat="1" applyFont="1" applyBorder="1" applyAlignment="1">
      <alignment horizontal="center" vertical="center" wrapText="1"/>
    </xf>
    <xf numFmtId="2" fontId="9" fillId="0" borderId="27" xfId="0" applyNumberFormat="1" applyFont="1" applyBorder="1" applyAlignment="1">
      <alignment horizontal="center" vertical="center"/>
    </xf>
    <xf numFmtId="2" fontId="9" fillId="0" borderId="6" xfId="0" applyNumberFormat="1" applyFont="1" applyBorder="1" applyAlignment="1">
      <alignment horizontal="center" vertical="center"/>
    </xf>
    <xf numFmtId="2" fontId="9" fillId="0" borderId="28" xfId="0" applyNumberFormat="1" applyFont="1" applyBorder="1" applyAlignment="1">
      <alignment horizontal="center" vertical="center"/>
    </xf>
    <xf numFmtId="0" fontId="1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1" fillId="3" borderId="0" xfId="0" applyFont="1" applyFill="1" applyAlignment="1">
      <alignment horizontal="center"/>
    </xf>
    <xf numFmtId="0" fontId="11" fillId="0" borderId="35" xfId="0" applyFont="1" applyBorder="1" applyAlignment="1">
      <alignment horizontal="center" vertical="center" wrapText="1"/>
    </xf>
    <xf numFmtId="0" fontId="11" fillId="0" borderId="36" xfId="0" applyFont="1" applyBorder="1" applyAlignment="1">
      <alignment horizontal="center" vertical="center" wrapText="1"/>
    </xf>
    <xf numFmtId="0" fontId="11" fillId="0" borderId="37" xfId="0" applyFont="1" applyBorder="1" applyAlignment="1">
      <alignment horizontal="center" vertical="center" wrapText="1"/>
    </xf>
    <xf numFmtId="2" fontId="4" fillId="0" borderId="4" xfId="0" applyNumberFormat="1" applyFont="1" applyBorder="1" applyAlignment="1">
      <alignment horizontal="center" vertical="center"/>
    </xf>
    <xf numFmtId="2" fontId="4" fillId="0" borderId="5" xfId="0" applyNumberFormat="1" applyFont="1" applyBorder="1" applyAlignment="1">
      <alignment horizontal="center" vertical="center"/>
    </xf>
    <xf numFmtId="2" fontId="4" fillId="0" borderId="23" xfId="0" applyNumberFormat="1" applyFont="1" applyBorder="1" applyAlignment="1">
      <alignment horizontal="center" vertical="center"/>
    </xf>
    <xf numFmtId="2" fontId="4" fillId="0" borderId="30" xfId="0" applyNumberFormat="1" applyFont="1" applyBorder="1" applyAlignment="1">
      <alignment horizontal="center" vertical="center"/>
    </xf>
    <xf numFmtId="2" fontId="4" fillId="0" borderId="32" xfId="0" applyNumberFormat="1" applyFont="1" applyBorder="1" applyAlignment="1">
      <alignment horizontal="center" vertical="center"/>
    </xf>
    <xf numFmtId="2" fontId="4" fillId="0" borderId="34" xfId="0" applyNumberFormat="1" applyFont="1" applyBorder="1" applyAlignment="1">
      <alignment horizontal="center" vertical="center"/>
    </xf>
    <xf numFmtId="3" fontId="10" fillId="0" borderId="19" xfId="0" applyNumberFormat="1" applyFont="1" applyBorder="1" applyAlignment="1">
      <alignment horizontal="left" vertical="center" wrapText="1"/>
    </xf>
    <xf numFmtId="3" fontId="10" fillId="0" borderId="0" xfId="0" applyNumberFormat="1" applyFont="1" applyAlignment="1">
      <alignment horizontal="left" vertical="center" wrapText="1"/>
    </xf>
    <xf numFmtId="3" fontId="10" fillId="0" borderId="20" xfId="0" applyNumberFormat="1" applyFont="1" applyBorder="1" applyAlignment="1">
      <alignment horizontal="left" vertical="center" wrapText="1"/>
    </xf>
    <xf numFmtId="3" fontId="10" fillId="0" borderId="21" xfId="0" applyNumberFormat="1" applyFont="1" applyBorder="1" applyAlignment="1">
      <alignment horizontal="left" vertical="center" wrapText="1"/>
    </xf>
    <xf numFmtId="3" fontId="10" fillId="0" borderId="14" xfId="0" applyNumberFormat="1" applyFont="1" applyBorder="1" applyAlignment="1">
      <alignment horizontal="left" vertical="center" wrapText="1"/>
    </xf>
    <xf numFmtId="3" fontId="10" fillId="0" borderId="22" xfId="0" applyNumberFormat="1" applyFont="1" applyBorder="1" applyAlignment="1">
      <alignment horizontal="left" vertical="center" wrapText="1"/>
    </xf>
    <xf numFmtId="0" fontId="0" fillId="0" borderId="25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2" fontId="1" fillId="0" borderId="38" xfId="0" applyNumberFormat="1" applyFont="1" applyBorder="1" applyAlignment="1">
      <alignment horizontal="center" vertical="center" wrapText="1"/>
    </xf>
    <xf numFmtId="2" fontId="1" fillId="0" borderId="39" xfId="0" applyNumberFormat="1" applyFont="1" applyBorder="1" applyAlignment="1">
      <alignment horizontal="center" vertical="center" wrapText="1"/>
    </xf>
    <xf numFmtId="2" fontId="1" fillId="0" borderId="40" xfId="0" applyNumberFormat="1" applyFont="1" applyBorder="1" applyAlignment="1">
      <alignment horizontal="center" vertical="center" wrapText="1"/>
    </xf>
    <xf numFmtId="2" fontId="1" fillId="0" borderId="38" xfId="0" applyNumberFormat="1" applyFont="1" applyBorder="1" applyAlignment="1">
      <alignment horizontal="center"/>
    </xf>
    <xf numFmtId="2" fontId="1" fillId="0" borderId="39" xfId="0" applyNumberFormat="1" applyFont="1" applyBorder="1" applyAlignment="1">
      <alignment horizontal="center"/>
    </xf>
    <xf numFmtId="2" fontId="1" fillId="0" borderId="40" xfId="0" applyNumberFormat="1" applyFont="1" applyBorder="1" applyAlignment="1">
      <alignment horizontal="center"/>
    </xf>
    <xf numFmtId="2" fontId="5" fillId="0" borderId="6" xfId="0" applyNumberFormat="1" applyFont="1" applyBorder="1" applyAlignment="1">
      <alignment horizontal="center" vertical="center" wrapText="1"/>
    </xf>
    <xf numFmtId="2" fontId="5" fillId="0" borderId="13" xfId="0" applyNumberFormat="1" applyFont="1" applyBorder="1" applyAlignment="1">
      <alignment horizontal="center" vertical="center" wrapText="1"/>
    </xf>
    <xf numFmtId="2" fontId="5" fillId="0" borderId="10" xfId="0" applyNumberFormat="1" applyFont="1" applyBorder="1" applyAlignment="1">
      <alignment horizontal="center" vertical="center" wrapText="1"/>
    </xf>
    <xf numFmtId="2" fontId="5" fillId="0" borderId="12" xfId="0" applyNumberFormat="1" applyFont="1" applyBorder="1" applyAlignment="1">
      <alignment horizontal="center" vertical="center" wrapText="1"/>
    </xf>
    <xf numFmtId="2" fontId="4" fillId="0" borderId="29" xfId="0" applyNumberFormat="1" applyFont="1" applyBorder="1" applyAlignment="1">
      <alignment horizontal="center" vertical="center"/>
    </xf>
    <xf numFmtId="2" fontId="4" fillId="0" borderId="31" xfId="0" applyNumberFormat="1" applyFont="1" applyBorder="1" applyAlignment="1">
      <alignment horizontal="center" vertical="center"/>
    </xf>
    <xf numFmtId="2" fontId="4" fillId="0" borderId="33" xfId="0" applyNumberFormat="1" applyFont="1" applyBorder="1" applyAlignment="1">
      <alignment horizontal="center" vertical="center"/>
    </xf>
    <xf numFmtId="3" fontId="10" fillId="0" borderId="16" xfId="0" applyNumberFormat="1" applyFont="1" applyBorder="1" applyAlignment="1">
      <alignment horizontal="left" vertical="center" wrapText="1"/>
    </xf>
    <xf numFmtId="3" fontId="10" fillId="0" borderId="17" xfId="0" applyNumberFormat="1" applyFont="1" applyBorder="1" applyAlignment="1">
      <alignment horizontal="left" vertical="center" wrapText="1"/>
    </xf>
    <xf numFmtId="3" fontId="10" fillId="0" borderId="18" xfId="0" applyNumberFormat="1" applyFont="1" applyBorder="1" applyAlignment="1">
      <alignment horizontal="left" vertical="center" wrapText="1"/>
    </xf>
    <xf numFmtId="2" fontId="1" fillId="0" borderId="7" xfId="0" applyNumberFormat="1" applyFont="1" applyBorder="1" applyAlignment="1">
      <alignment horizontal="center" vertical="center" wrapText="1"/>
    </xf>
    <xf numFmtId="2" fontId="1" fillId="0" borderId="8" xfId="0" applyNumberFormat="1" applyFont="1" applyBorder="1" applyAlignment="1">
      <alignment horizontal="center" vertical="center" wrapText="1"/>
    </xf>
    <xf numFmtId="2" fontId="1" fillId="0" borderId="9" xfId="0" applyNumberFormat="1" applyFont="1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2" fontId="1" fillId="0" borderId="7" xfId="0" applyNumberFormat="1" applyFont="1" applyBorder="1" applyAlignment="1">
      <alignment horizontal="center"/>
    </xf>
    <xf numFmtId="2" fontId="1" fillId="0" borderId="8" xfId="0" applyNumberFormat="1" applyFont="1" applyBorder="1" applyAlignment="1">
      <alignment horizontal="center"/>
    </xf>
    <xf numFmtId="2" fontId="1" fillId="0" borderId="9" xfId="0" applyNumberFormat="1" applyFont="1" applyBorder="1" applyAlignment="1">
      <alignment horizontal="center"/>
    </xf>
  </cellXfs>
  <cellStyles count="2">
    <cellStyle name="Comma" xfId="1" builtinId="3"/>
    <cellStyle name="Normal" xfId="0" builtinId="0"/>
  </cellStyles>
  <dxfs count="147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b/>
        <i val="0"/>
        <color rgb="FF00B0F0"/>
      </font>
    </dxf>
    <dxf>
      <font>
        <b/>
        <i val="0"/>
        <color theme="5" tint="-0.24994659260841701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b/>
        <i val="0"/>
        <color rgb="FF00B0F0"/>
      </font>
    </dxf>
    <dxf>
      <font>
        <b/>
        <i val="0"/>
        <color theme="5" tint="-0.24994659260841701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b/>
        <i val="0"/>
        <color rgb="FF00B0F0"/>
      </font>
    </dxf>
    <dxf>
      <font>
        <b/>
        <i val="0"/>
        <color theme="5" tint="-0.24994659260841701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" formatCode="#,##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" formatCode="#,##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" formatCode="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tos.rtd">
      <tp>
        <v>15.3</v>
        <stp/>
        <stp>LAST</stp>
        <stp>VRE</stp>
        <tr r="D61" s="4"/>
      </tp>
      <tp>
        <v>64.180000000000007</v>
        <stp/>
        <stp>LAST</stp>
        <stp>VTR</stp>
        <tr r="D6" s="2"/>
      </tp>
      <tp>
        <v>39.520000000000003</v>
        <stp/>
        <stp>LAST</stp>
        <stp>VNO</stp>
        <tr r="D25" s="3"/>
      </tp>
      <tp>
        <v>12.58</v>
        <stp/>
        <stp>LAST</stp>
        <stp>WSR</stp>
        <tr r="D69" s="4"/>
      </tp>
      <tp>
        <v>60.02</v>
        <stp/>
        <stp>LAST</stp>
        <stp>WPC</stp>
        <tr r="D2" s="2"/>
      </tp>
      <tp>
        <v>16.309999999999999</v>
        <stp/>
        <stp>LAST</stp>
        <stp>TRC</stp>
        <tr r="D39" s="4"/>
      </tp>
      <tp>
        <v>34.840000000000003</v>
        <stp/>
        <stp>LAST</stp>
        <stp>TCI</stp>
        <tr r="D47" s="4"/>
      </tp>
      <tp>
        <v>38.770000000000003</v>
        <stp/>
        <stp>LAST</stp>
        <stp>UHT</stp>
        <tr r="D16" s="4"/>
      </tp>
      <tp>
        <v>17.05</v>
        <stp/>
        <stp>LAST</stp>
        <stp>UMH</stp>
        <tr r="D62" s="4"/>
      </tp>
      <tp>
        <v>41.65</v>
        <stp/>
        <stp>LAST</stp>
        <stp>UDR</stp>
        <tr r="D23" s="2"/>
      </tp>
      <tp>
        <v>23.9</v>
        <stp/>
        <stp>LAST</stp>
        <stp>RYN</stp>
        <tr r="D54" s="3"/>
      </tp>
      <tp>
        <v>100.37</v>
        <stp/>
        <stp>LAST</stp>
        <stp>RHP</stp>
        <tr r="D11" s="3"/>
      </tp>
      <tp>
        <v>7.72</v>
        <stp/>
        <stp>LAST</stp>
        <stp>RLJ</stp>
        <tr r="D22" s="4"/>
      </tp>
      <tp>
        <v>73.05</v>
        <stp/>
        <stp>LAST</stp>
        <stp>REG</stp>
        <tr r="D30" s="2"/>
      </tp>
      <tp>
        <v>160.88</v>
        <stp/>
        <stp>LAST</stp>
        <stp>SPG</stp>
        <tr r="D31" s="2"/>
      </tp>
      <tp>
        <v>2.2799999999999998</v>
        <stp/>
        <stp>LAST</stp>
        <stp>SVC</stp>
        <tr r="D24" s="4"/>
      </tp>
      <tp>
        <v>124.3</v>
        <stp/>
        <stp>LAST</stp>
        <stp>SUI</stp>
        <tr r="D27" s="2"/>
      </tp>
      <tp>
        <v>31.34</v>
        <stp/>
        <stp>LAST</stp>
        <stp>SKT</stp>
        <tr r="D45" s="3"/>
      </tp>
      <tp>
        <v>9.06</v>
        <stp/>
        <stp>LAST</stp>
        <stp>SHO</stp>
        <tr r="D23" s="4"/>
      </tp>
      <tp>
        <v>57.53</v>
        <stp/>
        <stp>LAST</stp>
        <stp>SLG</stp>
        <tr r="D24" s="3"/>
      </tp>
      <tp>
        <v>36</v>
        <stp/>
        <stp>LAST</stp>
        <stp>SMA</stp>
        <tr r="D74" s="4"/>
      </tp>
      <tp>
        <v>302.13</v>
        <stp/>
        <stp>LAST</stp>
        <stp>PSA</stp>
        <tr r="D37" s="2"/>
      </tp>
      <tp>
        <v>109.7</v>
        <stp/>
        <stp>LAST</stp>
        <stp>PLD</stp>
        <tr r="D10" s="2"/>
      </tp>
      <tp>
        <v>40.1</v>
        <stp/>
        <stp>LAST</stp>
        <stp>PCH</stp>
        <tr r="D53" s="3"/>
      </tp>
      <tp>
        <v>6.89</v>
        <stp/>
        <stp>LAST</stp>
        <stp>PDM</stp>
        <tr r="D34" s="4"/>
      </tp>
      <tp>
        <v>10.43</v>
        <stp/>
        <stp>LAST</stp>
        <stp>PEB</stp>
        <tr r="D20" s="4"/>
      </tp>
      <tp>
        <v>12.32</v>
        <stp/>
        <stp>LAST</stp>
        <stp>XHR</stp>
        <tr r="D25" s="4"/>
      </tp>
      <tp>
        <v>96.91</v>
        <stp/>
        <stp>LAST</stp>
        <stp>FRT</stp>
        <tr r="D39" s="3"/>
      </tp>
      <tp>
        <v>175.15</v>
        <stp/>
        <stp>LAST</stp>
        <stp>FSV</stp>
        <tr r="D32" s="3"/>
      </tp>
      <tp>
        <v>5.48</v>
        <stp/>
        <stp>LAST</stp>
        <stp>FPH</stp>
        <tr r="D38" s="4"/>
      </tp>
      <tp>
        <v>10.4</v>
        <stp/>
        <stp>LAST</stp>
        <stp>FPI</stp>
        <tr r="D70" s="4"/>
      </tp>
      <tp>
        <v>20.61</v>
        <stp/>
        <stp>LAST</stp>
        <stp>FOR</stp>
        <tr r="D48" s="4"/>
      </tp>
      <tp>
        <v>28.17</v>
        <stp/>
        <stp>LAST</stp>
        <stp>GTY</stp>
        <tr r="D66" s="4"/>
      </tp>
      <tp>
        <v>7.95</v>
        <stp/>
        <stp>LAST</stp>
        <stp>GNL</stp>
        <tr r="D8" s="4"/>
      </tp>
      <tp>
        <v>7.95</v>
        <stp/>
        <stp>LAST</stp>
        <stp>DRH</stp>
        <tr r="D18" s="4"/>
      </tp>
      <tp>
        <v>17.25</v>
        <stp/>
        <stp>LAST</stp>
        <stp>DOC</stp>
        <tr r="D4" s="2"/>
      </tp>
      <tp>
        <v>165.8</v>
        <stp/>
        <stp>LAST</stp>
        <stp>DLR</stp>
        <tr r="D42" s="2"/>
      </tp>
      <tp>
        <v>20.77</v>
        <stp/>
        <stp>LAST</stp>
        <stp>DEA</stp>
        <tr r="D29" s="4"/>
      </tp>
      <tp>
        <v>14.81</v>
        <stp/>
        <stp>LAST</stp>
        <stp>DEI</stp>
        <tr r="D21" s="3"/>
      </tp>
      <tp>
        <v>147.02000000000001</v>
        <stp/>
        <stp>LAST</stp>
        <stp>EXR</stp>
        <tr r="D36" s="2"/>
      </tp>
      <tp>
        <v>280.8</v>
        <stp/>
        <stp>LAST</stp>
        <stp>ESS</stp>
        <tr r="D21" s="2"/>
      </tp>
      <tp>
        <v>52.36</v>
        <stp/>
        <stp>LAST</stp>
        <stp>EPR</stp>
        <tr r="D47" s="3"/>
      </tp>
      <tp>
        <v>69.59</v>
        <stp/>
        <stp>LAST</stp>
        <stp>EQR</stp>
        <tr r="D20" s="2"/>
      </tp>
      <tp>
        <v>62.6</v>
        <stp/>
        <stp>LAST</stp>
        <stp>ELS</stp>
        <tr r="D25" s="2"/>
      </tp>
      <tp>
        <v>171.32</v>
        <stp/>
        <stp>LAST</stp>
        <stp>EGP</stp>
        <tr r="D13" s="3"/>
      </tp>
      <tp>
        <v>66.040000000000006</v>
        <stp/>
        <stp>LAST</stp>
        <stp>BXP</stp>
        <tr r="D11" s="2"/>
      </tp>
      <tp>
        <v>15.19</v>
        <stp/>
        <stp>LAST</stp>
        <stp>BRT</stp>
        <tr r="D57" s="4"/>
      </tp>
      <tp>
        <v>26.04</v>
        <stp/>
        <stp>LAST</stp>
        <stp>BRX</stp>
        <tr r="D37" s="3"/>
      </tp>
      <tp>
        <v>15.97</v>
        <stp/>
        <stp>LAST</stp>
        <stp>BNL</stp>
        <tr r="D2" s="3"/>
      </tp>
      <tp>
        <v>33.47</v>
        <stp/>
        <stp>LAST</stp>
        <stp>BFS</stp>
        <tr r="D64" s="4"/>
      </tp>
      <tp>
        <v>4.24</v>
        <stp/>
        <stp>LAST</stp>
        <stp>BDN</stp>
        <tr r="D28" s="4"/>
      </tp>
      <tp>
        <v>59.9</v>
        <stp/>
        <stp>LAST</stp>
        <stp>CSR</stp>
        <tr r="D58" s="4"/>
      </tp>
      <tp>
        <v>117.23</v>
        <stp/>
        <stp>LAST</stp>
        <stp>CPT</stp>
        <tr r="D19" s="2"/>
      </tp>
      <tp>
        <v>10.8</v>
        <stp/>
        <stp>LAST</stp>
        <stp>CWK</stp>
        <tr r="D31" s="3"/>
      </tp>
      <tp>
        <v>17.96</v>
        <stp/>
        <stp>LAST</stp>
        <stp>CTO</stp>
        <tr r="D5" s="4"/>
      </tp>
      <tp>
        <v>28.33</v>
        <stp/>
        <stp>LAST</stp>
        <stp>CUZ</stp>
        <tr r="D20" s="3"/>
      </tp>
      <tp>
        <v>25.3</v>
        <stp/>
        <stp>LAST</stp>
        <stp>CBL</stp>
        <tr r="D65" s="4"/>
      </tp>
      <tp>
        <v>98.32</v>
        <stp/>
        <stp>LAST</stp>
        <stp>CCI</stp>
        <tr r="D39" s="2"/>
      </tp>
      <tp>
        <v>27.02</v>
        <stp/>
        <stp>LAST</stp>
        <stp>CDP</stp>
        <tr r="D19" s="3"/>
      </tp>
      <tp>
        <v>72.400000000000006</v>
        <stp/>
        <stp>LAST</stp>
        <stp>ARE</stp>
        <tr r="D3" s="2"/>
      </tp>
      <tp>
        <v>204.7</v>
        <stp/>
        <stp>LAST</stp>
        <stp>AVB</stp>
        <tr r="D18" s="2"/>
      </tp>
      <tp>
        <v>20.23</v>
        <stp/>
        <stp>LAST</stp>
        <stp>AKR</stp>
        <tr r="D36" s="3"/>
      </tp>
      <tp>
        <v>34.630000000000003</v>
        <stp/>
        <stp>LAST</stp>
        <stp>AHR</stp>
        <tr r="D4" s="3"/>
      </tp>
      <tp>
        <v>7.22</v>
        <stp/>
        <stp>LAST</stp>
        <stp>AHH</stp>
        <tr r="D3" s="4"/>
      </tp>
      <tp>
        <v>8</v>
        <stp/>
        <stp>LAST</stp>
        <stp>AIV</stp>
        <tr r="D56" s="4"/>
      </tp>
      <tp>
        <v>216.47</v>
        <stp/>
        <stp>LAST</stp>
        <stp>ALX</stp>
        <tr r="D63" s="4"/>
      </tp>
      <tp>
        <v>203.96</v>
        <stp/>
        <stp>LAST</stp>
        <stp>AMT</stp>
        <tr r="D38" s="2"/>
      </tp>
      <tp>
        <v>37.68</v>
        <stp/>
        <stp>LAST</stp>
        <stp>AMH</stp>
        <tr r="D24" s="2"/>
      </tp>
      <tp>
        <v>19.5</v>
        <stp/>
        <stp>LAST</stp>
        <stp>AAT</stp>
        <tr r="D2" s="4"/>
      </tp>
      <tp>
        <v>72.92</v>
        <stp/>
        <stp>LAST</stp>
        <stp>ADC</stp>
        <tr r="D35" s="3"/>
      </tp>
      <tp>
        <v>35.4</v>
        <stp/>
        <stp>LAST</stp>
        <stp>NSA</stp>
        <tr r="D52" s="3"/>
      </tp>
      <tp>
        <v>74.63</v>
        <stp/>
        <stp>LAST</stp>
        <stp>NHI</stp>
        <tr r="D8" s="3"/>
      </tp>
      <tp>
        <v>40.83</v>
        <stp/>
        <stp>LAST</stp>
        <stp>NNN</stp>
        <tr r="D43" s="3"/>
      </tp>
      <tp>
        <v>79.849999999999994</v>
        <stp/>
        <stp>LAST</stp>
        <stp>NEN</stp>
        <tr r="D46" s="4"/>
      </tp>
      <tp>
        <v>16.600000000000001</v>
        <stp/>
        <stp>LAST</stp>
        <stp>OUT</stp>
        <tr r="D50" s="3"/>
      </tp>
      <tp>
        <v>36.43</v>
        <stp/>
        <stp>LAST</stp>
        <stp>OHI</stp>
        <tr r="D5" s="2"/>
      </tp>
      <tp>
        <v>24.04</v>
        <stp/>
        <stp>LAST</stp>
        <stp>OLP</stp>
        <tr r="D11" s="4"/>
      </tp>
      <tp>
        <v>8.35</v>
        <stp/>
        <stp>LAST</stp>
        <stp>LXP</stp>
        <tr r="D15" s="3"/>
      </tp>
      <tp>
        <v>35.56</v>
        <stp/>
        <stp>LAST</stp>
        <stp>LTC</stp>
        <tr r="D14" s="4"/>
      </tp>
      <tp>
        <v>20.83</v>
        <stp/>
        <stp>LAST</stp>
        <stp>IRMTF</stp>
        <tr r="D51" s="4"/>
      </tp>
      <tp>
        <v>26.64</v>
        <stp/>
        <stp>LAST</stp>
        <stp>MRP</stp>
        <tr r="D49" s="3"/>
      </tp>
      <tp>
        <v>5.04</v>
        <stp/>
        <stp>LAST</stp>
        <stp>MPW</stp>
        <tr r="D7" s="3"/>
      </tp>
      <tp>
        <v>14.79</v>
        <stp/>
        <stp>LAST</stp>
        <stp>MLP</stp>
        <tr r="D44" s="4"/>
      </tp>
      <tp>
        <v>30.03</v>
        <stp/>
        <stp>LAST</stp>
        <stp>MMI</stp>
        <tr r="D52" s="4"/>
      </tp>
      <tp>
        <v>16.07</v>
        <stp/>
        <stp>LAST</stp>
        <stp>MAC</stp>
        <tr r="D42" s="3"/>
      </tp>
      <tp>
        <v>160.93</v>
        <stp/>
        <stp>LAST</stp>
        <stp>MAA</stp>
        <tr r="D22" s="2"/>
      </tp>
      <tp>
        <v>46.12</v>
        <stp/>
        <stp>LAST</stp>
        <stp>JOE</stp>
        <tr r="D26" s="3"/>
      </tp>
      <tp>
        <v>239.62</v>
        <stp/>
        <stp>LAST</stp>
        <stp>JLL</stp>
        <tr r="D15" s="2"/>
      </tp>
      <tp>
        <v>22.91</v>
        <stp/>
        <stp>LAST</stp>
        <stp>KRG</stp>
        <tr r="D41" s="3"/>
      </tp>
      <tp>
        <v>31.74</v>
        <stp/>
        <stp>LAST</stp>
        <stp>KRC</stp>
        <tr r="D23" s="3"/>
      </tp>
      <tp>
        <v>21.46</v>
        <stp/>
        <stp>LAST</stp>
        <stp>KIM</stp>
        <tr r="D28" s="2"/>
      </tp>
      <tp>
        <v>15.76</v>
        <stp/>
        <stp>LAST</stp>
        <stp>HST</stp>
        <tr r="D8" s="2"/>
      </tp>
      <tp>
        <v>2.23</v>
        <stp/>
        <stp>LAST</stp>
        <stp>HPP</stp>
        <tr r="D31" s="4"/>
      </tp>
      <tp>
        <v>71.650000000000006</v>
        <stp/>
        <stp>LAST</stp>
        <stp>HHH</stp>
        <tr r="D28" s="3"/>
      </tp>
      <tp>
        <v>30.46</v>
        <stp/>
        <stp>LAST</stp>
        <stp>HIW</stp>
        <tr r="D22" s="3"/>
      </tp>
      <tp>
        <v>18.920000000000002</v>
        <stp/>
        <stp>LAST</stp>
        <stp>IRT</stp>
        <tr r="D34" s="3"/>
      </tp>
      <tp>
        <v>15.49</v>
        <stp/>
        <stp>LAST</stp>
        <stp>IRS</stp>
        <tr r="D41" s="4"/>
      </tp>
      <tp>
        <v>97.38</v>
        <stp/>
        <stp>LAST</stp>
        <stp>IRM</stp>
        <tr r="D33" s="2"/>
      </tp>
      <tp>
        <v>28.33</v>
        <stp/>
        <stp>LAST</stp>
        <stp>IVT</stp>
        <tr r="D40" s="3"/>
      </tp>
      <tp>
        <v>4.5999999999999996</v>
        <stp/>
        <stp>LAST</stp>
        <stp>INN</stp>
        <tr r="D19" s="4"/>
      </tp>
      <tp>
        <v>36.22</v>
        <stp/>
        <stp>LAST</stp>
        <stp>NXRT</stp>
        <tr r="D60" s="4"/>
      </tp>
      <tp>
        <v>7.95</v>
        <stp/>
        <stp>LAST</stp>
        <stp>EXPI</stp>
        <tr r="D49" s="4"/>
      </tp>
      <tp>
        <v>26.6</v>
        <stp/>
        <stp>LAST</stp>
        <stp>FRPH</stp>
        <tr r="D40" s="4"/>
      </tp>
      <tp>
        <v>58.85</v>
        <stp/>
        <stp>LAST</stp>
        <stp>TRNO</stp>
        <tr r="D18" s="3"/>
      </tp>
      <tp>
        <v>10.67</v>
        <stp/>
        <stp>LAST</stp>
        <stp>MRNO</stp>
        <tr r="D45" s="4"/>
      </tp>
      <tp>
        <v>12.75</v>
        <stp/>
        <stp>LAST</stp>
        <stp>PSTL</stp>
        <tr r="D37" s="4"/>
      </tp>
      <tp>
        <v>7.82</v>
        <stp/>
        <stp>LAST</stp>
        <stp>ESRT</stp>
        <tr r="D30" s="4"/>
      </tp>
      <tp>
        <v>75.180000000000007</v>
        <stp/>
        <stp>LAST</stp>
        <stp>CSGP</stp>
        <tr r="D14" s="2"/>
      </tp>
      <tp>
        <v>7.84</v>
        <stp/>
        <stp>LAST</stp>
        <stp>ESBA</stp>
        <tr r="D6" s="4"/>
      </tp>
      <tp>
        <v>31.43</v>
        <stp/>
        <stp>LAST</stp>
        <stp>EPRT</stp>
        <tr r="D3" s="3"/>
      </tp>
      <tp>
        <v>0.71109999999999995</v>
        <stp/>
        <stp>LAST</stp>
        <stp>OPEN</stp>
        <tr r="D53" s="4"/>
      </tp>
      <tp>
        <v>12.29</v>
        <stp/>
        <stp>LAST</stp>
        <stp>APLE</stp>
        <tr r="D10" s="3"/>
      </tp>
      <tp>
        <v>868.79</v>
        <stp/>
        <stp>LAST</stp>
        <stp>EQIX</stp>
        <tr r="D43" s="2"/>
      </tp>
      <tp>
        <v>28.28</v>
        <stp/>
        <stp>LAST</stp>
        <stp>CTRE</stp>
        <tr r="D5" s="3"/>
      </tp>
      <tp>
        <v>15.54</v>
        <stp/>
        <stp>LAST</stp>
        <stp>NTST</stp>
        <tr r="D67" s="4"/>
      </tp>
      <tp>
        <v>35.32</v>
        <stp/>
        <stp>LAST</stp>
        <stp>STAG</stp>
        <tr r="D17" s="3"/>
      </tp>
      <tp>
        <v>27.59</v>
        <stp/>
        <stp>LAST</stp>
        <stp>VTMX</stp>
        <tr r="D27" s="3"/>
      </tp>
      <tp>
        <v>23.4</v>
        <stp/>
        <stp>LAST</stp>
        <stp>CURB</stp>
        <tr r="D38" s="3"/>
      </tp>
      <tp>
        <v>42.65</v>
        <stp/>
        <stp>LAST</stp>
        <stp>CUBE</stp>
        <tr r="D51" s="3"/>
      </tp>
      <tp>
        <v>12.03</v>
        <stp/>
        <stp>LAST</stp>
        <stp>PKST</stp>
        <tr r="D36" s="4"/>
      </tp>
      <tp>
        <v>16.25</v>
        <stp/>
        <stp>LAST</stp>
        <stp>CHCT</stp>
        <tr r="D12" s="4"/>
      </tp>
      <tp>
        <v>12.42</v>
        <stp/>
        <stp>LAST</stp>
        <stp>SITC</stp>
        <tr r="D68" s="4"/>
      </tp>
      <tp>
        <v>7.42</v>
        <stp/>
        <stp>LAST</stp>
        <stp>FISK</stp>
        <tr r="D7" s="4"/>
      </tp>
      <tp>
        <v>55.47</v>
        <stp/>
        <stp>LAST</stp>
        <stp>IIPR</stp>
        <tr r="D26" s="4"/>
      </tp>
      <tp>
        <v>128.91999999999999</v>
        <stp/>
        <stp>LAST</stp>
        <stp>CIGI</stp>
        <tr r="D29" s="3"/>
      </tp>
      <tp>
        <v>31.36</v>
        <stp/>
        <stp>LAST</stp>
        <stp>VICI</stp>
        <tr r="D35" s="2"/>
      </tp>
      <tp>
        <v>46.58</v>
        <stp/>
        <stp>LAST</stp>
        <stp>LINE</stp>
        <tr r="D9" s="2"/>
      </tp>
      <tp>
        <v>25.09</v>
        <stp/>
        <stp>LAST</stp>
        <stp>SILA</stp>
        <tr r="D15" s="4"/>
      </tp>
      <tp>
        <v>33.729999999999997</v>
        <stp/>
        <stp>LAST</stp>
        <stp>INVH</stp>
        <tr r="D26" s="2"/>
      </tp>
      <tp>
        <v>4.66</v>
        <stp/>
        <stp>LAST</stp>
        <stp>UNIT</stp>
        <tr r="D73" s="4"/>
      </tp>
      <tp>
        <v>3.81</v>
        <stp/>
        <stp>LAST</stp>
        <stp>HOUS</stp>
        <tr r="D50" s="4"/>
      </tp>
      <tp>
        <v>14.35</v>
        <stp/>
        <stp>LAST</stp>
        <stp>GOOD</stp>
        <tr r="D9" s="4"/>
      </tp>
      <tp>
        <v>17.7</v>
        <stp/>
        <stp>LAST</stp>
        <stp>COLD</stp>
        <tr r="D12" s="3"/>
      </tp>
      <tp>
        <v>6.46</v>
        <stp/>
        <stp>LAST</stp>
        <stp>COMP</stp>
        <tr r="D30" s="3"/>
      </tp>
      <tp>
        <v>45.98</v>
        <stp/>
        <stp>LAST</stp>
        <stp>GLPI</stp>
        <tr r="D32" s="2"/>
      </tp>
      <tp>
        <v>16.260000000000002</v>
        <stp/>
        <stp>LAST</stp>
        <stp>PLYM</stp>
        <tr r="D27" s="4"/>
      </tp>
      <tp>
        <v>7.3</v>
        <stp/>
        <stp>LAST</stp>
        <stp>CLDT</stp>
        <tr r="D17" s="4"/>
      </tp>
      <tp>
        <v>17.57</v>
        <stp/>
        <stp>LAST</stp>
        <stp>ALEX</stp>
        <tr r="D4" s="4"/>
      </tp>
      <tp>
        <v>30.16</v>
        <stp/>
        <stp>LAST</stp>
        <stp>NLOP</stp>
        <tr r="D33" s="4"/>
      </tp>
      <tp>
        <v>15.91</v>
        <stp/>
        <stp>LAST</stp>
        <stp>ELME</stp>
        <tr r="D59" s="4"/>
      </tp>
      <tp>
        <v>6.79</v>
        <stp/>
        <stp>LAST</stp>
        <stp>GMRE</stp>
        <tr r="D13" s="4"/>
      </tp>
      <tp>
        <v>11.87</v>
        <stp/>
        <stp>LAST</stp>
        <stp>NMRK</stp>
        <tr r="D33" s="3"/>
      </tp>
      <tp>
        <v>17.75</v>
        <stp/>
        <stp>LAST</stp>
        <stp>SBRA</stp>
        <tr r="D9" s="3"/>
      </tp>
      <tp>
        <v>131.36000000000001</v>
        <stp/>
        <stp>LAST</stp>
        <stp>CBRE</stp>
        <tr r="D13" s="2"/>
      </tp>
      <tp>
        <v>16.62</v>
        <stp/>
        <stp>LAST</stp>
        <stp>JBGS</stp>
        <tr r="D32" s="4"/>
      </tp>
      <tp>
        <v>225.82</v>
        <stp/>
        <stp>LAST</stp>
        <stp>SBAC</stp>
        <tr r="D40" s="2"/>
      </tp>
      <tp>
        <v>26.88</v>
        <stp/>
        <stp>LAST</stp>
        <stp>FCPT</stp>
        <tr r="D48" s="3"/>
      </tp>
      <tp>
        <v>15.3</v>
        <stp/>
        <stp>LAST</stp>
        <stp>SAFE</stp>
        <tr r="D72" s="4"/>
      </tp>
      <tp>
        <v>9.91</v>
        <stp/>
        <stp>LAST</stp>
        <stp>LAND</stp>
        <tr r="D71" s="4"/>
      </tp>
      <tp>
        <v>118.89</v>
        <stp/>
        <stp>LAST</stp>
        <stp>LAMR</stp>
        <tr r="D34" s="2"/>
      </tp>
      <tp>
        <v>4.53</v>
        <stp/>
        <stp>LAST</stp>
        <stp>PGRE</stp>
        <tr r="D35" s="4"/>
      </tp>
      <tp>
        <v>7.35</v>
        <stp/>
        <stp>LAST</stp>
        <stp>OGCP</stp>
        <tr r="D10" s="4"/>
      </tp>
      <tp>
        <v>9.84</v>
        <stp/>
        <stp>LAST</stp>
        <stp>RDFN</stp>
        <tr r="D54" s="4"/>
      </tp>
      <tp>
        <v>35.5</v>
        <stp/>
        <stp>LAST</stp>
        <stp>REXR</stp>
        <tr r="D16" s="3"/>
      </tp>
      <tp>
        <v>35.69</v>
        <stp/>
        <stp>LAST</stp>
        <stp>PECO</stp>
        <tr r="D44" s="3"/>
      </tp>
      <tp>
        <v>4.3899999999999997</v>
        <stp/>
        <stp>LAST</stp>
        <stp>REAX</stp>
        <tr r="D55" s="4"/>
      </tp>
      <tp>
        <v>145.28</v>
        <stp/>
        <stp>LAST</stp>
        <stp>WELL</stp>
        <tr r="D7" s="2"/>
      </tp>
      <tp>
        <v>20</v>
        <stp/>
        <stp>LAST</stp>
        <stp>BEKE</stp>
        <tr r="D12" s="2"/>
      </tp>
      <tp>
        <v>26.69</v>
        <stp/>
        <stp>LAST</stp>
        <stp>WY</stp>
        <tr r="D41" s="2"/>
      </tp>
      <tp>
        <v>18.760000000000002</v>
        <stp/>
        <stp>LAST</stp>
        <stp>UE</stp>
        <tr r="D46" s="3"/>
      </tp>
      <tp>
        <v>11.18</v>
        <stp/>
        <stp>LAST</stp>
        <stp>PK</stp>
        <tr r="D21" s="4"/>
      </tp>
      <tp>
        <v>69.239999999999995</v>
        <stp/>
        <stp>LAST</stp>
        <stp>ZG</stp>
        <tr r="D17" s="2"/>
      </tp>
      <tp>
        <v>50.89</v>
        <stp/>
        <stp>LAST</stp>
        <stp>FR</stp>
        <tr r="D14" s="3"/>
      </tp>
      <tp>
        <v>78.95</v>
        <stp/>
        <stp>LAST</stp>
        <stp>LB</stp>
        <tr r="D43" s="4"/>
      </tp>
      <tp>
        <v>6.42</v>
        <stp/>
        <stp>LAST</stp>
        <stp>KW</stp>
        <tr r="D42" s="4"/>
      </tp>
      <tp>
        <v>14.71</v>
        <stp/>
        <stp>LAST</stp>
        <stp>HR</stp>
        <tr r="D6" s="3"/>
      </tp>
      <tp>
        <v>70.290000000000006</v>
        <stp/>
        <stp>LAST</stp>
        <stp>Z</stp>
        <tr r="D16" s="2"/>
      </tp>
      <tp>
        <v>55.06</v>
        <stp/>
        <stp>LAST</stp>
        <stp>O</stp>
        <tr r="D29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sharedStrings" Target="sharedStrings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microsoft.com/office/2017/06/relationships/rdRichValueStructure" Target="richData/rdrichvaluestructure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tyles" Target="styles.xml"/><Relationship Id="rId25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microsoft.com/office/2017/06/relationships/rdRichValueTypes" Target="richData/rdRichValueTyp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2</xdr:row>
          <xdr:rowOff>0</xdr:rowOff>
        </xdr:to>
        <xdr:sp macro="" textlink="">
          <xdr:nvSpPr>
            <xdr:cNvPr id="9219" name="CommandButton1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8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2</xdr:row>
          <xdr:rowOff>0</xdr:rowOff>
        </xdr:to>
        <xdr:sp macro="" textlink="">
          <xdr:nvSpPr>
            <xdr:cNvPr id="11269" name="CommandButton1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A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5790.967039120369" createdVersion="8" refreshedVersion="8" minRefreshableVersion="3" recordCount="42" xr:uid="{3432845B-C090-4238-AA0B-FA56B072311B}">
  <cacheSource type="worksheet">
    <worksheetSource name="Main_L"/>
  </cacheSource>
  <cacheFields count="26">
    <cacheField name="Industry" numFmtId="0">
      <sharedItems count="67">
        <s v="Diversified REITs"/>
        <s v="Health Care REITs"/>
        <s v="Hotel &amp; Resort REITs"/>
        <s v="Industrial REITs"/>
        <s v="Office REITs"/>
        <s v="Real Estate Management &amp; Development"/>
        <s v="Residential REITs"/>
        <s v="Retail REITs"/>
        <s v="Specialized REITs"/>
        <s v="Aerospace &amp; Defense" u="1"/>
        <s v="Air Freight &amp; Logistics" u="1"/>
        <s v="Building Products" u="1"/>
        <s v="Commercial Services &amp; Supplies" u="1"/>
        <s v="Construction &amp; Engineering" u="1"/>
        <s v="Electrical Equipment" u="1"/>
        <s v="Ground Transportation" u="1"/>
        <s v="Industrial Conglomerates" u="1"/>
        <s v="Machinery" u="1"/>
        <s v="Passenger Airlines" u="1"/>
        <s v="Professional Services" u="1"/>
        <s v="Trading Companies &amp; Distributors" u="1"/>
        <s v="Banks" u="1"/>
        <s v="Capital Markets" u="1"/>
        <s v="Consumer Finance" u="1"/>
        <s v="Financial Services" u="1"/>
        <s v="Insurance" u="1"/>
        <s v="Mortgage Real Estate Investment Trusts (REITs)" u="1"/>
        <s v="Communications Equipment" u="1"/>
        <s v="Electronic Equipment, Instruments &amp; Components" u="1"/>
        <s v="IT Services" u="1"/>
        <s v="Semiconductors &amp; Semiconductor Equipment" u="1"/>
        <s v="Software" u="1"/>
        <s v="Technology Hardware, Storage &amp; Peripherals" u="1"/>
        <s v="Transportation Infrastructure" u="1"/>
        <s v="Biotechnology" u="1"/>
        <s v="Health Care Equipment &amp; Supplies" u="1"/>
        <s v="Health Care Providers &amp; Services" u="1"/>
        <s v="Health Care Technology" u="1"/>
        <s v="Life Sciences Tools &amp; Services" u="1"/>
        <s v="Pharmaceuticals" u="1"/>
        <s v="Energy Equipment &amp; Services" u="1"/>
        <s v="Oil, Gas &amp; Consumable Fuels" u="1"/>
        <s v="Beverages" u="1"/>
        <s v="Consumer Staples Distribution &amp; Retail" u="1"/>
        <s v="Food Products" u="1"/>
        <s v="Household Products" u="1"/>
        <s v="Personal Care Products" u="1"/>
        <s v="Tobacco" u="1"/>
        <s v="Automobile Components" u="1"/>
        <s v="Automobiles" u="1"/>
        <s v="Broadline Retail" u="1"/>
        <s v="Distributors" u="1"/>
        <s v="Diversified Consumer Services" u="1"/>
        <s v="Hotels, Restaurants &amp; Leisure" u="1"/>
        <s v="Household Durables" u="1"/>
        <s v="Specialty Retail" u="1"/>
        <s v="Textiles, Apparel &amp; Luxury Goods" u="1"/>
        <s v="Diversified Telecommunication Services" u="1"/>
        <s v="Entertainment" u="1"/>
        <s v="Interactive Media &amp; Services" u="1"/>
        <s v="Media" u="1"/>
        <s v="Wireless Telecommunication Services" u="1"/>
        <s v="Electric Utilities" u="1"/>
        <s v="Gas Utilities" u="1"/>
        <s v="Independent Power &amp; Renewable Electricity Producers" u="1"/>
        <s v="Multi-Utilities" u="1"/>
        <s v="Water Utilities" u="1"/>
      </sharedItems>
    </cacheField>
    <cacheField name="Symbol" numFmtId="0">
      <sharedItems/>
    </cacheField>
    <cacheField name="Market Cap (M)" numFmtId="3">
      <sharedItems containsSemiMixedTypes="0" containsString="0" containsNumber="1" containsInteger="1" minValue="10044" maxValue="102752"/>
    </cacheField>
    <cacheField name="Current Price" numFmtId="0">
      <sharedItems containsSemiMixedTypes="0" containsString="0" containsNumber="1" minValue="15.76" maxValue="868.79"/>
    </cacheField>
    <cacheField name="Free CF" numFmtId="0">
      <sharedItems containsSemiMixedTypes="0" containsString="0" containsNumber="1" minValue="-3.43" maxValue="35.979999999999997"/>
    </cacheField>
    <cacheField name="BVPS" numFmtId="0">
      <sharedItems containsSemiMixedTypes="0" containsString="0" containsNumber="1" minValue="-46.01" maxValue="142.81"/>
    </cacheField>
    <cacheField name="EPS" numFmtId="0">
      <sharedItems containsSemiMixedTypes="0" containsString="0" containsNumber="1" minValue="-9.01" maxValue="11.3"/>
    </cacheField>
    <cacheField name="P/FCF" numFmtId="2">
      <sharedItems containsSemiMixedTypes="0" containsString="0" containsNumber="1" minValue="-939.75000000000011" maxValue="63.9"/>
    </cacheField>
    <cacheField name="P/B" numFmtId="2">
      <sharedItems containsSemiMixedTypes="0" containsString="0" containsNumber="1" minValue="-41.088607594936704" maxValue="27.014569536423842"/>
    </cacheField>
    <cacheField name="ROE" numFmtId="0">
      <sharedItems containsSemiMixedTypes="0" containsString="0" containsNumber="1" minValue="-163.21" maxValue="74.900000000000006"/>
    </cacheField>
    <cacheField name="ROA" numFmtId="0">
      <sharedItems containsSemiMixedTypes="0" containsString="0" containsNumber="1" minValue="-1.9" maxValue="9.36"/>
    </cacheField>
    <cacheField name="A/E" numFmtId="0">
      <sharedItems containsSemiMixedTypes="0" containsString="0" containsNumber="1" minValue="-27.72" maxValue="17.559999999999999"/>
    </cacheField>
    <cacheField name="P/E" numFmtId="2">
      <sharedItems containsSemiMixedTypes="0" containsString="0" containsNumber="1" minValue="-2201.3333333333335" maxValue="268.5"/>
    </cacheField>
    <cacheField name="Preliminary Criteria" numFmtId="0">
      <sharedItems/>
    </cacheField>
    <cacheField name="P/FCF Z-Score" numFmtId="2">
      <sharedItems containsMixedTypes="1" containsNumber="1" minValue="-48.319123201844263" maxValue="2.2460739734096671"/>
    </cacheField>
    <cacheField name="P/B Z-Score" numFmtId="2">
      <sharedItems containsMixedTypes="1" containsNumber="1" minValue="-9.5987219687015255" maxValue="48.527053616595524"/>
    </cacheField>
    <cacheField name="ROE Z-Score" numFmtId="2">
      <sharedItems containsMixedTypes="1" containsNumber="1" minValue="-13.063171896019815" maxValue="48.937615871408092"/>
    </cacheField>
    <cacheField name="ROA Z-Score" numFmtId="2">
      <sharedItems containsMixedTypes="1" containsNumber="1" minValue="-5.9727939108072094" maxValue="33.375003812415976"/>
    </cacheField>
    <cacheField name="A/E Z-Score" numFmtId="2">
      <sharedItems containsMixedTypes="1" containsNumber="1" minValue="-14.524393864150856" maxValue="151.86477946713498"/>
    </cacheField>
    <cacheField name="P/E Z-Score" numFmtId="2">
      <sharedItems containsMixedTypes="1" containsNumber="1" minValue="-1.7092145036311395" maxValue="8.0925329170065101"/>
    </cacheField>
    <cacheField name="P/FCF Outlier" numFmtId="0">
      <sharedItems count="4">
        <s v="No"/>
        <s v="Yes"/>
        <e v="#VALUE!" u="1"/>
        <e v="#NUM!" u="1"/>
      </sharedItems>
    </cacheField>
    <cacheField name="P/B Outlier" numFmtId="0">
      <sharedItems count="4">
        <s v="No"/>
        <s v="Yes"/>
        <e v="#VALUE!" u="1"/>
        <e v="#REF!" u="1"/>
      </sharedItems>
    </cacheField>
    <cacheField name="ROE Outlier" numFmtId="0">
      <sharedItems count="2">
        <s v="No"/>
        <s v="Yes"/>
      </sharedItems>
    </cacheField>
    <cacheField name="ROA Outlier" numFmtId="0">
      <sharedItems count="2">
        <s v="No"/>
        <s v="Yes"/>
      </sharedItems>
    </cacheField>
    <cacheField name="A/E Outlier" numFmtId="0">
      <sharedItems count="2">
        <s v="No"/>
        <s v="Yes"/>
      </sharedItems>
    </cacheField>
    <cacheField name="P/E Outlier" numFmtId="0">
      <sharedItems count="4">
        <s v="No"/>
        <s v="Yes"/>
        <e v="#VALUE!" u="1"/>
        <e v="#NUM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5790.967040625001" createdVersion="8" refreshedVersion="8" minRefreshableVersion="3" recordCount="53" xr:uid="{A2646FF5-8A5C-4026-A340-9C8CC354FDFF}">
  <cacheSource type="worksheet">
    <worksheetSource name="Main_M"/>
  </cacheSource>
  <cacheFields count="26">
    <cacheField name="Industry" numFmtId="0">
      <sharedItems count="68">
        <s v="Diversified REITs"/>
        <s v="Health Care REITs"/>
        <s v="Hotel &amp; Resort REITs"/>
        <s v="Industrial REITs"/>
        <s v="Office REITs"/>
        <s v="Real Estate Management &amp; Development"/>
        <s v="Residential REITs"/>
        <s v="Retail REITs"/>
        <s v="Specialized REITs"/>
        <s v="Aerospace &amp; Defense" u="1"/>
        <s v="Air Freight &amp; Logistics" u="1"/>
        <s v="Building Products" u="1"/>
        <s v="Commercial Services &amp; Supplies" u="1"/>
        <s v="Construction &amp; Engineering" u="1"/>
        <s v="Electrical Equipment" u="1"/>
        <s v="Ground Transportation" u="1"/>
        <s v="Industrial Conglomerates" u="1"/>
        <s v="Machinery" u="1"/>
        <s v="Marine Transportation" u="1"/>
        <s v="Passenger Airlines" u="1"/>
        <s v="Professional Services" u="1"/>
        <s v="Trading Companies &amp; Distributors" u="1"/>
        <s v="Transportation Infrastructure" u="1"/>
        <s v="Banks" u="1"/>
        <s v="Capital Markets" u="1"/>
        <s v="Consumer Finance" u="1"/>
        <s v="Financial Services" u="1"/>
        <s v="Insurance" u="1"/>
        <s v="Mortgage Real Estate Investment Trusts (REITs)" u="1"/>
        <s v="Communications Equipment" u="1"/>
        <s v="Electronic Equipment, Instruments &amp; Components" u="1"/>
        <s v="IT Services" u="1"/>
        <s v="Semiconductors &amp; Semiconductor Equipment" u="1"/>
        <s v="Software" u="1"/>
        <s v="Technology Hardware, Storage &amp; Peripherals" u="1"/>
        <s v="Biotechnology" u="1"/>
        <s v="Health Care Equipment &amp; Supplies" u="1"/>
        <s v="Health Care Providers &amp; Services" u="1"/>
        <s v="Health Care Technology" u="1"/>
        <s v="Life Sciences Tools &amp; Services" u="1"/>
        <s v="Pharmaceuticals" u="1"/>
        <s v="Energy Equipment &amp; Services" u="1"/>
        <s v="Oil, Gas &amp; Consumable Fuels" u="1"/>
        <s v="Beverages" u="1"/>
        <s v="Consumer Staples Distribution &amp; Retail" u="1"/>
        <s v="Food Products" u="1"/>
        <s v="Household Products" u="1"/>
        <s v="Personal Care Products" u="1"/>
        <s v="Tobacco" u="1"/>
        <s v="Automobile Components" u="1"/>
        <s v="Automobiles" u="1"/>
        <s v="Broadline Retail" u="1"/>
        <s v="Diversified Consumer Services" u="1"/>
        <s v="Hotels, Restaurants &amp; Leisure" u="1"/>
        <s v="Household Durables" u="1"/>
        <s v="Leisure Products" u="1"/>
        <s v="Specialty Retail" u="1"/>
        <s v="Textiles, Apparel &amp; Luxury Goods" u="1"/>
        <s v="Diversified Telecommunication Services" u="1"/>
        <s v="Entertainment" u="1"/>
        <s v="Interactive Media &amp; Services" u="1"/>
        <s v="Media" u="1"/>
        <s v="Wireless Telecommunication Services" u="1"/>
        <s v="Electric Utilities" u="1"/>
        <s v="Gas Utilities" u="1"/>
        <s v="Independent Power &amp; Renewable Electricity Producers" u="1"/>
        <s v="Multi-Utilities" u="1"/>
        <s v="Water Utilities" u="1"/>
      </sharedItems>
    </cacheField>
    <cacheField name="Symbol" numFmtId="0">
      <sharedItems/>
    </cacheField>
    <cacheField name="Market Cap (M)" numFmtId="3">
      <sharedItems containsSemiMixedTypes="0" containsString="0" containsNumber="1" containsInteger="1" minValue="2063" maxValue="9613"/>
    </cacheField>
    <cacheField name="Current Price" numFmtId="0">
      <sharedItems containsSemiMixedTypes="0" containsString="0" containsNumber="1" minValue="5.04" maxValue="175.15"/>
    </cacheField>
    <cacheField name="Free CF" numFmtId="0">
      <sharedItems containsString="0" containsBlank="1" containsNumber="1" minValue="-0.89" maxValue="11.14"/>
    </cacheField>
    <cacheField name="BVPS" numFmtId="0">
      <sharedItems containsString="0" containsBlank="1" containsNumber="1" minValue="0.8" maxValue="64.09"/>
    </cacheField>
    <cacheField name="EPS" numFmtId="0">
      <sharedItems containsString="0" containsBlank="1" containsNumber="1" minValue="-2.76" maxValue="5.73"/>
    </cacheField>
    <cacheField name="P/FCF" numFmtId="2">
      <sharedItems containsMixedTypes="1" containsNumber="1" minValue="-13.337078651685392" maxValue="153.27777777777777"/>
    </cacheField>
    <cacheField name="P/B" numFmtId="2">
      <sharedItems containsMixedTypes="1" containsNumber="1" minValue="0.63556116015132413" maxValue="11.202008928571429"/>
    </cacheField>
    <cacheField name="ROE" numFmtId="0">
      <sharedItems containsSemiMixedTypes="0" containsString="0" containsNumber="1" minValue="-36.590000000000003" maxValue="34.17"/>
    </cacheField>
    <cacheField name="ROA" numFmtId="0">
      <sharedItems containsSemiMixedTypes="0" containsString="0" containsNumber="1" minValue="-7.43" maxValue="7.01"/>
    </cacheField>
    <cacheField name="A/E" numFmtId="0">
      <sharedItems containsSemiMixedTypes="0" containsString="0" containsNumber="1" minValue="1.06" maxValue="9.86"/>
    </cacheField>
    <cacheField name="P/E" numFmtId="2">
      <sharedItems containsMixedTypes="1" containsNumber="1" minValue="-127.84444444444445" maxValue="381.83333333333337"/>
    </cacheField>
    <cacheField name="Preliminary Criteria" numFmtId="0">
      <sharedItems/>
    </cacheField>
    <cacheField name="P/FCF Z-Score" numFmtId="2">
      <sharedItems containsMixedTypes="1" containsNumber="1" minValue="-4.3765812195310358" maxValue="15.017375834029576"/>
    </cacheField>
    <cacheField name="P/B Z-Score" numFmtId="2">
      <sharedItems containsMixedTypes="1" containsNumber="1" minValue="-1.5153242510704301" maxValue="7.3970166219905167"/>
    </cacheField>
    <cacheField name="ROE Z-Score" numFmtId="2">
      <sharedItems containsMixedTypes="1" containsNumber="1" minValue="-17.901198096525697" maxValue="2.6493506493506498"/>
    </cacheField>
    <cacheField name="ROA Z-Score" numFmtId="2">
      <sharedItems containsMixedTypes="1" containsNumber="1" minValue="-12.891917382015626" maxValue="1.9333720071288421"/>
    </cacheField>
    <cacheField name="A/E Z-Score" numFmtId="2">
      <sharedItems containsMixedTypes="1" containsNumber="1" minValue="-12.784290955624456" maxValue="22.152931655929414"/>
    </cacheField>
    <cacheField name="P/E Z-Score" numFmtId="2">
      <sharedItems containsMixedTypes="1" containsNumber="1" minValue="-14.438297232699027" maxValue="15.799621537841524"/>
    </cacheField>
    <cacheField name="P/FCF Outlier" numFmtId="0">
      <sharedItems count="4">
        <s v="No"/>
        <s v="Yes"/>
        <e v="#VALUE!" u="1"/>
        <e v="#NUM!" u="1"/>
      </sharedItems>
    </cacheField>
    <cacheField name="P/B Outlier" numFmtId="0">
      <sharedItems count="4">
        <s v="No"/>
        <s v="Yes"/>
        <e v="#VALUE!" u="1"/>
        <e v="#REF!" u="1"/>
      </sharedItems>
    </cacheField>
    <cacheField name="ROE Outlier" numFmtId="0">
      <sharedItems count="2">
        <s v="No"/>
        <s v="Yes"/>
      </sharedItems>
    </cacheField>
    <cacheField name="ROA Outlier" numFmtId="0">
      <sharedItems count="2">
        <s v="No"/>
        <s v="Yes"/>
      </sharedItems>
    </cacheField>
    <cacheField name="A/E Outlier" numFmtId="0">
      <sharedItems count="2">
        <s v="No"/>
        <s v="Yes"/>
      </sharedItems>
    </cacheField>
    <cacheField name="P/E Outlier" numFmtId="0">
      <sharedItems count="4">
        <s v="No"/>
        <s v="Yes"/>
        <e v="#VALUE!" u="1"/>
        <e v="#NUM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5790.967042129632" createdVersion="8" refreshedVersion="8" minRefreshableVersion="3" recordCount="73" xr:uid="{FEEDC4AE-CB7E-4F82-B64E-6462C5DE2153}">
  <cacheSource type="worksheet">
    <worksheetSource name="Main_S"/>
  </cacheSource>
  <cacheFields count="26">
    <cacheField name="Industry" numFmtId="0">
      <sharedItems count="69">
        <s v="Diversified REITs"/>
        <s v="Health Care REITs"/>
        <s v="Hotel &amp; Resort REITs"/>
        <s v="Industrial REITs"/>
        <s v="Office REITs"/>
        <s v="Real Estate Management &amp; Development"/>
        <s v="Residential REITs"/>
        <s v="Retail REITs"/>
        <s v="Specialized REITs"/>
        <s v="Aerospace &amp; Defense" u="1"/>
        <s v="Air Freight &amp; Logistics" u="1"/>
        <s v="Building Products" u="1"/>
        <s v="Commercial Services &amp; Supplies" u="1"/>
        <s v="Construction &amp; Engineering" u="1"/>
        <s v="Electrical Equipment" u="1"/>
        <s v="Ground Transportation" u="1"/>
        <s v="Industrial Conglomerates" u="1"/>
        <s v="Machinery" u="1"/>
        <s v="Marine Transportation" u="1"/>
        <s v="Passenger Airlines" u="1"/>
        <s v="Professional Services" u="1"/>
        <s v="Trading Companies &amp; Distributors" u="1"/>
        <s v="Transportation Infrastructure" u="1"/>
        <s v="Banks" u="1"/>
        <s v="Capital Markets" u="1"/>
        <s v="Consumer Finance" u="1"/>
        <s v="Financial Services" u="1"/>
        <s v="Insurance" u="1"/>
        <s v="Mortgage Real Estate Investment Trusts (REITs)" u="1"/>
        <s v="Communications Equipment" u="1"/>
        <s v="Electronic Equipment, Instruments &amp; Components" u="1"/>
        <s v="IT Services" u="1"/>
        <s v="Semiconductors &amp; Semiconductor Equipment" u="1"/>
        <s v="Software" u="1"/>
        <s v="Technology Hardware, Storage &amp; Peripherals" u="1"/>
        <s v="Biotechnology" u="1"/>
        <s v="Health Care Equipment &amp; Supplies" u="1"/>
        <s v="Health Care Providers &amp; Services" u="1"/>
        <s v="Health Care Technology" u="1"/>
        <s v="Life Sciences Tools &amp; Services" u="1"/>
        <s v="Pharmaceuticals" u="1"/>
        <s v="Energy Equipment &amp; Services" u="1"/>
        <s v="Oil, Gas &amp; Consumable Fuels" u="1"/>
        <s v="Beverages" u="1"/>
        <s v="Consumer Staples Distribution &amp; Retail" u="1"/>
        <s v="Food Products" u="1"/>
        <s v="Household Products" u="1"/>
        <s v="Personal Care Products" u="1"/>
        <s v="Tobacco" u="1"/>
        <s v="Automobile Components" u="1"/>
        <s v="Automobiles" u="1"/>
        <s v="Broadline Retail" u="1"/>
        <s v="Distributors" u="1"/>
        <s v="Diversified Consumer Services" u="1"/>
        <s v="Hotels, Restaurants &amp; Leisure" u="1"/>
        <s v="Household Durables" u="1"/>
        <s v="Leisure Products" u="1"/>
        <s v="Specialty Retail" u="1"/>
        <s v="Textiles, Apparel &amp; Luxury Goods" u="1"/>
        <s v="Diversified Telecommunication Services" u="1"/>
        <s v="Entertainment" u="1"/>
        <s v="Interactive Media &amp; Services" u="1"/>
        <s v="Media" u="1"/>
        <s v="Wireless Telecommunication Services" u="1"/>
        <s v="Electric Utilities" u="1"/>
        <s v="Gas Utilities" u="1"/>
        <s v="Independent Power &amp; Renewable Electricity Producers" u="1"/>
        <s v="Multi-Utilities" u="1"/>
        <s v="Water Utilities" u="1"/>
      </sharedItems>
    </cacheField>
    <cacheField name="Symbol" numFmtId="0">
      <sharedItems/>
    </cacheField>
    <cacheField name="Market Cap (M)" numFmtId="3">
      <sharedItems containsSemiMixedTypes="0" containsString="0" containsNumber="1" containsInteger="1" minValue="267" maxValue="1999"/>
    </cacheField>
    <cacheField name="Current Price" numFmtId="0">
      <sharedItems containsSemiMixedTypes="0" containsString="0" containsNumber="1" minValue="0.71109999999999995" maxValue="216.47"/>
    </cacheField>
    <cacheField name="Free CF" numFmtId="0">
      <sharedItems containsString="0" containsBlank="1" containsNumber="1" minValue="-8.16" maxValue="10.33"/>
    </cacheField>
    <cacheField name="BVPS" numFmtId="0">
      <sharedItems containsString="0" containsBlank="1" containsNumber="1" minValue="-17.66" maxValue="96.34"/>
    </cacheField>
    <cacheField name="EPS" numFmtId="0">
      <sharedItems containsString="0" containsBlank="1" containsNumber="1" minValue="-6.18" maxValue="9.65"/>
    </cacheField>
    <cacheField name="P/FCF" numFmtId="2">
      <sharedItems containsMixedTypes="1" containsNumber="1" minValue="-184.87499999999997" maxValue="232.26666666666671"/>
    </cacheField>
    <cacheField name="P/B" numFmtId="2">
      <sharedItems containsMixedTypes="1" containsNumber="1" minValue="-15.138461538461538" maxValue="31.382352941176467"/>
    </cacheField>
    <cacheField name="ROE" numFmtId="0">
      <sharedItems containsSemiMixedTypes="0" containsString="0" containsNumber="1" minValue="-76.42" maxValue="824.81"/>
    </cacheField>
    <cacheField name="ROA" numFmtId="0">
      <sharedItems containsSemiMixedTypes="0" containsString="0" containsNumber="1" minValue="-13.21" maxValue="6.89"/>
    </cacheField>
    <cacheField name="A/E" numFmtId="0">
      <sharedItems containsSemiMixedTypes="0" containsString="0" containsNumber="1" minValue="-12.25" maxValue="15.92"/>
    </cacheField>
    <cacheField name="P/E" numFmtId="2">
      <sharedItems containsMixedTypes="1" containsNumber="1" minValue="-110.99999999999999" maxValue="1127.8571428571429"/>
    </cacheField>
    <cacheField name="Preliminary Criteria" numFmtId="0">
      <sharedItems/>
    </cacheField>
    <cacheField name="P/FCF Z-Score" numFmtId="2">
      <sharedItems containsMixedTypes="1" containsNumber="1" minValue="-5.4535276360704641" maxValue="8.0507055214071013"/>
    </cacheField>
    <cacheField name="P/B Z-Score" numFmtId="2">
      <sharedItems containsMixedTypes="1" containsNumber="1" minValue="-4.9227346598672534" maxValue="18.801624681630205"/>
    </cacheField>
    <cacheField name="ROE Z-Score" numFmtId="2">
      <sharedItems containsSemiMixedTypes="0" containsString="0" containsNumber="1" minValue="-22.329559842050006" maxValue="47.043795244411513"/>
    </cacheField>
    <cacheField name="ROA Z-Score" numFmtId="2">
      <sharedItems containsSemiMixedTypes="0" containsString="0" containsNumber="1" minValue="-9.6847687367535542" maxValue="9.278574785958952"/>
    </cacheField>
    <cacheField name="A/E Z-Score" numFmtId="2">
      <sharedItems containsSemiMixedTypes="0" containsString="0" containsNumber="1" minValue="-14.365075890188622" maxValue="13.002279709853589"/>
    </cacheField>
    <cacheField name="P/E Z-Score" numFmtId="2">
      <sharedItems containsMixedTypes="1" containsNumber="1" minValue="-42.6778992764376" maxValue="103.94755221195386"/>
    </cacheField>
    <cacheField name="P/FCF Outlier" numFmtId="0">
      <sharedItems count="4">
        <s v="No"/>
        <s v="Yes"/>
        <e v="#VALUE!" u="1"/>
        <e v="#NUM!" u="1"/>
      </sharedItems>
    </cacheField>
    <cacheField name="P/B Outlier" numFmtId="0">
      <sharedItems count="3">
        <s v="No"/>
        <s v="Yes"/>
        <e v="#VALUE!" u="1"/>
      </sharedItems>
    </cacheField>
    <cacheField name="ROE Outlier" numFmtId="0">
      <sharedItems count="2">
        <s v="No"/>
        <s v="Yes"/>
      </sharedItems>
    </cacheField>
    <cacheField name="ROA Outlier" numFmtId="0">
      <sharedItems count="2">
        <s v="No"/>
        <s v="Yes"/>
      </sharedItems>
    </cacheField>
    <cacheField name="A/E Outlier" numFmtId="0">
      <sharedItems count="2">
        <s v="No"/>
        <s v="Yes"/>
      </sharedItems>
    </cacheField>
    <cacheField name="P/E Outlier" numFmtId="0">
      <sharedItems count="4">
        <s v="No"/>
        <s v="Yes"/>
        <e v="#VALUE!" u="1"/>
        <e v="#NUM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">
  <r>
    <x v="0"/>
    <s v="WPC"/>
    <n v="13487"/>
    <n v="60.02"/>
    <n v="4.8600000000000003"/>
    <n v="38.19"/>
    <n v="1.94"/>
    <n v="12.349794238683128"/>
    <n v="1.5716156061796283"/>
    <n v="5.01"/>
    <n v="2.9"/>
    <n v="2.0699999999999998"/>
    <n v="30.938144329896911"/>
    <s v="NO"/>
    <e v="#DIV/0!"/>
    <e v="#DIV/0!"/>
    <e v="#DIV/0!"/>
    <e v="#DIV/0!"/>
    <e v="#DIV/0!"/>
    <e v="#DIV/0!"/>
    <x v="0"/>
    <x v="0"/>
    <x v="0"/>
    <x v="0"/>
    <x v="0"/>
    <x v="0"/>
  </r>
  <r>
    <x v="1"/>
    <s v="ARE"/>
    <n v="12436"/>
    <n v="72.400000000000006"/>
    <n v="7.99"/>
    <n v="102.65"/>
    <n v="0.76"/>
    <n v="9.0613266583229048"/>
    <n v="0.70530930345835363"/>
    <n v="1.48"/>
    <n v="1.3"/>
    <n v="2.15"/>
    <n v="95.26315789473685"/>
    <s v="NO"/>
    <n v="-0.89625568780992271"/>
    <n v="-1.626206624531253"/>
    <n v="-0.94706916624019977"/>
    <n v="-5.9727939108072094"/>
    <n v="-0.52502126504046676"/>
    <n v="1.151569545416693"/>
    <x v="0"/>
    <x v="0"/>
    <x v="0"/>
    <x v="1"/>
    <x v="0"/>
    <x v="0"/>
  </r>
  <r>
    <x v="1"/>
    <s v="DOC"/>
    <n v="12051"/>
    <n v="17.25"/>
    <n v="1.71"/>
    <n v="11.72"/>
    <n v="0.4"/>
    <n v="10.087719298245615"/>
    <n v="1.4718430034129693"/>
    <n v="3.32"/>
    <n v="1.74"/>
    <n v="2.42"/>
    <n v="43.125"/>
    <s v="NO"/>
    <n v="-0.79999613442263062"/>
    <n v="-0.61494380399199389"/>
    <n v="0.91668192026457818"/>
    <n v="-0.64570744981699457"/>
    <n v="1.430230342696438"/>
    <n v="-0.61538822277576732"/>
    <x v="0"/>
    <x v="0"/>
    <x v="0"/>
    <x v="0"/>
    <x v="0"/>
    <x v="0"/>
  </r>
  <r>
    <x v="1"/>
    <s v="OHI"/>
    <n v="10320"/>
    <n v="36.43"/>
    <n v="2.92"/>
    <n v="16.559999999999999"/>
    <n v="1.6"/>
    <n v="12.476027397260275"/>
    <n v="2.1998792270531404"/>
    <n v="10.67"/>
    <n v="4.55"/>
    <n v="2.0499999999999998"/>
    <n v="22.768749999999997"/>
    <s v="NO"/>
    <n v="-0.57601024245470323"/>
    <n v="0.34553055612642081"/>
    <n v="8.361557184291815"/>
    <n v="33.375003812415976"/>
    <n v="-1.249188527165247"/>
    <n v="-1.3052598162713762"/>
    <x v="0"/>
    <x v="0"/>
    <x v="1"/>
    <x v="1"/>
    <x v="0"/>
    <x v="0"/>
  </r>
  <r>
    <x v="1"/>
    <s v="VTR"/>
    <n v="29817"/>
    <n v="64.180000000000007"/>
    <n v="2.6"/>
    <n v="25.43"/>
    <n v="0.33"/>
    <n v="24.684615384615388"/>
    <n v="2.5237907982697605"/>
    <n v="1.38"/>
    <n v="1.91"/>
    <n v="2.27"/>
    <n v="194.4848484848485"/>
    <s v="NO"/>
    <n v="0.56896408943524346"/>
    <n v="0.77285648991539346"/>
    <n v="-1.0483599861589379"/>
    <n v="1.4124850464746788"/>
    <n v="0.34397944950926934"/>
    <n v="4.5141842606382383"/>
    <x v="0"/>
    <x v="0"/>
    <x v="0"/>
    <x v="0"/>
    <x v="0"/>
    <x v="1"/>
  </r>
  <r>
    <x v="1"/>
    <s v="WELL"/>
    <n v="98969"/>
    <n v="145.28"/>
    <n v="3.95"/>
    <n v="52.09"/>
    <n v="1.73"/>
    <n v="36.779746835443035"/>
    <n v="2.7890190055672872"/>
    <n v="3.48"/>
    <n v="1.73"/>
    <n v="1.57"/>
    <n v="83.97687861271676"/>
    <s v="NO"/>
    <n v="1.7032979752520137"/>
    <n v="1.1227633824814327"/>
    <n v="1.078747232134559"/>
    <n v="-0.76677759665768142"/>
    <n v="-4.7251913853641865"/>
    <n v="0.76907849363045167"/>
    <x v="0"/>
    <x v="0"/>
    <x v="0"/>
    <x v="0"/>
    <x v="1"/>
    <x v="0"/>
  </r>
  <r>
    <x v="2"/>
    <s v="HST"/>
    <n v="10128"/>
    <n v="15.76"/>
    <n v="2.0499999999999998"/>
    <n v="9.59"/>
    <n v="0.96"/>
    <n v="7.6878048780487811"/>
    <n v="1.643378519290928"/>
    <n v="10"/>
    <n v="3.91"/>
    <n v="1.95"/>
    <n v="16.416666666666668"/>
    <s v="NO"/>
    <e v="#DIV/0!"/>
    <e v="#DIV/0!"/>
    <e v="#DIV/0!"/>
    <e v="#DIV/0!"/>
    <e v="#DIV/0!"/>
    <e v="#DIV/0!"/>
    <x v="0"/>
    <x v="0"/>
    <x v="0"/>
    <x v="0"/>
    <x v="0"/>
    <x v="0"/>
  </r>
  <r>
    <x v="3"/>
    <s v="LINE"/>
    <n v="10044"/>
    <n v="46.58"/>
    <n v="3.55"/>
    <n v="37.619999999999997"/>
    <n v="-3.18"/>
    <n v="13.12112676056338"/>
    <n v="1.2381711855396067"/>
    <n v="-9.07"/>
    <n v="0.5"/>
    <n v="2.19"/>
    <n v="-14.647798742138363"/>
    <s v="NO"/>
    <n v="-1.0000000000000013"/>
    <n v="-0.99999999999999889"/>
    <n v="-1"/>
    <n v="-1"/>
    <n v="0.99999999999999656"/>
    <n v="-1.0000000000000002"/>
    <x v="0"/>
    <x v="0"/>
    <x v="0"/>
    <x v="0"/>
    <x v="0"/>
    <x v="0"/>
  </r>
  <r>
    <x v="3"/>
    <s v="PLD"/>
    <n v="97469"/>
    <n v="109.7"/>
    <n v="5.41"/>
    <n v="57.55"/>
    <n v="4.01"/>
    <n v="20.277264325323475"/>
    <n v="1.90616854908775"/>
    <n v="6.83"/>
    <n v="2.38"/>
    <n v="1.8"/>
    <n v="27.356608478802993"/>
    <s v="NO"/>
    <n v="1.0000000000000007"/>
    <n v="0.99999999999999889"/>
    <n v="1"/>
    <n v="1"/>
    <n v="-0.99999999999999767"/>
    <n v="1.0000000000000002"/>
    <x v="0"/>
    <x v="0"/>
    <x v="0"/>
    <x v="0"/>
    <x v="0"/>
    <x v="0"/>
  </r>
  <r>
    <x v="4"/>
    <s v="BXP"/>
    <n v="10141"/>
    <n v="66.040000000000006"/>
    <n v="7.84"/>
    <n v="33.6"/>
    <n v="-0.03"/>
    <n v="8.4234693877551035"/>
    <n v="1.9654761904761906"/>
    <n v="0.8"/>
    <n v="2.4300000000000002"/>
    <n v="4.78"/>
    <n v="-2201.3333333333335"/>
    <s v="NO"/>
    <e v="#DIV/0!"/>
    <e v="#DIV/0!"/>
    <e v="#DIV/0!"/>
    <e v="#DIV/0!"/>
    <e v="#DIV/0!"/>
    <e v="#DIV/0!"/>
    <x v="0"/>
    <x v="0"/>
    <x v="0"/>
    <x v="0"/>
    <x v="0"/>
    <x v="0"/>
  </r>
  <r>
    <x v="5"/>
    <s v="BEKE"/>
    <n v="23516"/>
    <n v="20"/>
    <n v="1.01"/>
    <n v="8.1300000000000008"/>
    <n v="0.47"/>
    <n v="19.801980198019802"/>
    <n v="2.460024600246002"/>
    <n v="5.68"/>
    <n v="1.93"/>
    <n v="1.87"/>
    <n v="42.553191489361701"/>
    <s v="NO"/>
    <n v="-0.94975892819324259"/>
    <n v="-0.82963320311389332"/>
    <n v="0.36115472060369319"/>
    <n v="0.43211686312856029"/>
    <n v="1.5480778605689183E-2"/>
    <n v="0.90349839389661935"/>
    <x v="0"/>
    <x v="0"/>
    <x v="0"/>
    <x v="0"/>
    <x v="0"/>
    <x v="0"/>
  </r>
  <r>
    <x v="5"/>
    <s v="CBRE"/>
    <n v="37266"/>
    <n v="131.36000000000001"/>
    <n v="4.4400000000000004"/>
    <n v="28.06"/>
    <n v="3.28"/>
    <n v="29.585585585585587"/>
    <n v="4.6813970064148265"/>
    <n v="11.92"/>
    <n v="3.89"/>
    <n v="3.18"/>
    <n v="40.048780487804883"/>
    <s v="NO"/>
    <n v="-0.46678022867805957"/>
    <n v="1.4947192797902278"/>
    <n v="1.5298351648044084"/>
    <n v="1.2748522379862499"/>
    <n v="1.7537510620444632"/>
    <n v="0.87518921123771576"/>
    <x v="0"/>
    <x v="0"/>
    <x v="0"/>
    <x v="0"/>
    <x v="0"/>
    <x v="0"/>
  </r>
  <r>
    <x v="5"/>
    <s v="CSGP"/>
    <n v="31785"/>
    <n v="75.180000000000007"/>
    <n v="-0.08"/>
    <n v="20.22"/>
    <n v="0.28000000000000003"/>
    <n v="-939.75000000000011"/>
    <n v="3.7181008902077157"/>
    <n v="1.47"/>
    <n v="0.14000000000000001"/>
    <n v="1.22"/>
    <n v="268.5"/>
    <s v="NO"/>
    <n v="-48.319123201844263"/>
    <n v="0.4867659473098172"/>
    <n v="-0.42733000216634048"/>
    <n v="-0.33752411697106438"/>
    <n v="-0.84701974371125988"/>
    <n v="3.457539830924246"/>
    <x v="1"/>
    <x v="0"/>
    <x v="0"/>
    <x v="0"/>
    <x v="0"/>
    <x v="1"/>
  </r>
  <r>
    <x v="5"/>
    <s v="JLL"/>
    <n v="10841"/>
    <n v="239.62"/>
    <n v="12.63"/>
    <n v="142.81"/>
    <n v="11.3"/>
    <n v="18.972288202692003"/>
    <n v="1.6778937049226246"/>
    <n v="8.2200000000000006"/>
    <n v="3.39"/>
    <n v="2.48"/>
    <n v="21.205309734513275"/>
    <s v="NO"/>
    <n v="-0.99071760804871456"/>
    <n v="-1.648022719186216"/>
    <n v="0.83686759372385622"/>
    <n v="1.0598687239919413"/>
    <n v="0.82490434570313331"/>
    <n v="0.66218772899257483"/>
    <x v="0"/>
    <x v="0"/>
    <x v="0"/>
    <x v="0"/>
    <x v="0"/>
    <x v="0"/>
  </r>
  <r>
    <x v="5"/>
    <s v="Z"/>
    <n v="16298"/>
    <n v="70.290000000000006"/>
    <n v="1.1000000000000001"/>
    <n v="19.989999999999998"/>
    <n v="-0.48"/>
    <n v="63.9"/>
    <n v="3.5162581290645329"/>
    <n v="-2.39"/>
    <n v="-1.9"/>
    <n v="1.2"/>
    <n v="-146.43750000000003"/>
    <s v="NO"/>
    <n v="1.2271894882079166"/>
    <n v="0.2755660054556171"/>
    <n v="-1.1502637384828085"/>
    <n v="-1.2146568540678433"/>
    <n v="-0.87355822132101213"/>
    <n v="-1.2328011203919735"/>
    <x v="0"/>
    <x v="0"/>
    <x v="0"/>
    <x v="0"/>
    <x v="0"/>
    <x v="0"/>
  </r>
  <r>
    <x v="5"/>
    <s v="ZG"/>
    <n v="15952"/>
    <n v="69.239999999999995"/>
    <n v="1.1000000000000001"/>
    <n v="19.989999999999998"/>
    <n v="-0.48"/>
    <n v="62.945454545454538"/>
    <n v="3.4637318659329663"/>
    <n v="-2.39"/>
    <n v="-1.9"/>
    <n v="1.2"/>
    <n v="-144.25"/>
    <s v="NO"/>
    <n v="1.180067276712099"/>
    <n v="0.22060468974444442"/>
    <n v="-1.1502637384828085"/>
    <n v="-1.2146568540678433"/>
    <n v="-0.87355822132101213"/>
    <n v="-1.2080742137349363"/>
    <x v="0"/>
    <x v="0"/>
    <x v="0"/>
    <x v="0"/>
    <x v="0"/>
    <x v="0"/>
  </r>
  <r>
    <x v="6"/>
    <s v="AVB"/>
    <n v="29597"/>
    <n v="204.7"/>
    <n v="11.29"/>
    <n v="83.81"/>
    <n v="8.0299999999999994"/>
    <n v="18.131089459698849"/>
    <n v="2.442429304378952"/>
    <n v="9.69"/>
    <n v="2.93"/>
    <n v="1.78"/>
    <n v="25.491905354919055"/>
    <s v="NO"/>
    <n v="0.53517689351766884"/>
    <n v="-0.42232680241509934"/>
    <n v="0.86956917222270025"/>
    <n v="0.89287197385060657"/>
    <n v="-1.087114613009208"/>
    <n v="-0.74205043652007352"/>
    <x v="0"/>
    <x v="0"/>
    <x v="0"/>
    <x v="0"/>
    <x v="0"/>
    <x v="0"/>
  </r>
  <r>
    <x v="6"/>
    <s v="CPT"/>
    <n v="12713"/>
    <n v="117.23"/>
    <n v="7.22"/>
    <n v="42.39"/>
    <n v="1.0900000000000001"/>
    <n v="16.236842105263158"/>
    <n v="2.7655107336636"/>
    <n v="2.6"/>
    <n v="2.08"/>
    <n v="1.95"/>
    <n v="107.55045871559632"/>
    <s v="NO"/>
    <n v="-1.2600995595894788"/>
    <n v="6.184477084692707E-2"/>
    <n v="-1.0664813818432635"/>
    <n v="-0.75700015174290747"/>
    <n v="-0.27476523185946983"/>
    <n v="0.92084553224805099"/>
    <x v="0"/>
    <x v="0"/>
    <x v="0"/>
    <x v="0"/>
    <x v="0"/>
    <x v="0"/>
  </r>
  <r>
    <x v="6"/>
    <s v="EQR"/>
    <n v="26809"/>
    <n v="69.59"/>
    <n v="4.1500000000000004"/>
    <n v="29.04"/>
    <n v="2.62"/>
    <n v="16.768674698795181"/>
    <n v="2.3963498622589534"/>
    <n v="8.9"/>
    <n v="2.64"/>
    <n v="1.86"/>
    <n v="26.561068702290076"/>
    <s v="NO"/>
    <n v="-0.75605422996177396"/>
    <n v="-0.49138170301918166"/>
    <n v="0.65384562670618263"/>
    <n v="0.32997442511870173"/>
    <n v="-0.70483255129168354"/>
    <n v="-0.72038410988519652"/>
    <x v="0"/>
    <x v="0"/>
    <x v="0"/>
    <x v="0"/>
    <x v="0"/>
    <x v="0"/>
  </r>
  <r>
    <x v="6"/>
    <s v="ESS"/>
    <n v="18346"/>
    <n v="280.8"/>
    <n v="16.11"/>
    <n v="86.55"/>
    <n v="10.45"/>
    <n v="17.430167597765365"/>
    <n v="3.2443674176776431"/>
    <n v="12.81"/>
    <n v="2.83"/>
    <n v="2.37"/>
    <n v="26.87081339712919"/>
    <s v="NO"/>
    <n v="-0.12912310471148156"/>
    <n v="0.77946198140423217"/>
    <n v="1.7215406431233786"/>
    <n v="0.69876937083960478"/>
    <n v="1.7322155921575317"/>
    <n v="-0.71410721145961331"/>
    <x v="0"/>
    <x v="0"/>
    <x v="0"/>
    <x v="0"/>
    <x v="0"/>
    <x v="0"/>
  </r>
  <r>
    <x v="6"/>
    <s v="MAA"/>
    <n v="19293"/>
    <n v="160.93"/>
    <n v="9.34"/>
    <n v="50.89"/>
    <n v="4.8099999999999996"/>
    <n v="17.230192719486084"/>
    <n v="3.1623108665749657"/>
    <n v="9.3699999999999992"/>
    <n v="3.49"/>
    <n v="1.99"/>
    <n v="33.457380457380459"/>
    <s v="NO"/>
    <n v="-0.31864966751600682"/>
    <n v="0.65649159114749012"/>
    <n v="0.78218748289955364"/>
    <n v="1.9798465507122156"/>
    <n v="-8.3624201000707651E-2"/>
    <n v="-0.58063208468798588"/>
    <x v="0"/>
    <x v="0"/>
    <x v="0"/>
    <x v="0"/>
    <x v="0"/>
    <x v="0"/>
  </r>
  <r>
    <x v="6"/>
    <s v="UDR"/>
    <n v="14153"/>
    <n v="41.65"/>
    <n v="2.5299999999999998"/>
    <n v="9.93"/>
    <n v="0.36"/>
    <n v="16.462450592885375"/>
    <n v="4.1943605236656598"/>
    <n v="2.85"/>
    <n v="1.8"/>
    <n v="3.27"/>
    <n v="115.69444444444444"/>
    <s v="NO"/>
    <n v="-1.0462786958565353"/>
    <n v="2.203126776167331"/>
    <n v="-0.99821443705955537"/>
    <n v="-1.3004874401737121"/>
    <n v="6.0328887864796759"/>
    <n v="1.0858813570776944"/>
    <x v="0"/>
    <x v="0"/>
    <x v="0"/>
    <x v="0"/>
    <x v="1"/>
    <x v="0"/>
  </r>
  <r>
    <x v="6"/>
    <s v="AMH"/>
    <n v="14359"/>
    <n v="37.68"/>
    <n v="2.2200000000000002"/>
    <n v="19.329999999999998"/>
    <n v="1.08"/>
    <n v="16.972972972972972"/>
    <n v="1.9493016037247803"/>
    <n v="6.03"/>
    <n v="1.99"/>
    <n v="1.86"/>
    <n v="34.888888888888886"/>
    <s v="NO"/>
    <n v="-0.56243016065373985"/>
    <n v="-1.161330635515206"/>
    <n v="-0.12985889941078727"/>
    <n v="-0.93169249445280899"/>
    <n v="-0.70483255129168354"/>
    <n v="-0.55162292595288132"/>
    <x v="0"/>
    <x v="0"/>
    <x v="0"/>
    <x v="0"/>
    <x v="0"/>
    <x v="0"/>
  </r>
  <r>
    <x v="6"/>
    <s v="ELS"/>
    <n v="12301"/>
    <n v="62.6"/>
    <n v="3.14"/>
    <n v="9.15"/>
    <n v="1.94"/>
    <n v="19.936305732484076"/>
    <n v="6.8415300546448083"/>
    <n v="22.9"/>
    <n v="5.85"/>
    <n v="3.22"/>
    <n v="32.268041237113401"/>
    <s v="NO"/>
    <n v="2.2460739734096671"/>
    <n v="6.1701893193265622"/>
    <n v="4.4767945345938402"/>
    <n v="6.5606679817718527"/>
    <n v="5.7939624979062243"/>
    <n v="-0.60473374519602574"/>
    <x v="0"/>
    <x v="1"/>
    <x v="1"/>
    <x v="1"/>
    <x v="1"/>
    <x v="0"/>
  </r>
  <r>
    <x v="6"/>
    <s v="INVH"/>
    <n v="21392"/>
    <n v="33.729999999999997"/>
    <n v="1.82"/>
    <n v="15.86"/>
    <n v="0.78"/>
    <n v="18.532967032967029"/>
    <n v="2.1267339218158887"/>
    <n v="4.8099999999999996"/>
    <n v="2.37"/>
    <n v="1.91"/>
    <n v="43.243589743589737"/>
    <s v="NO"/>
    <n v="0.91605711099863263"/>
    <n v="-0.89542960620531009"/>
    <n v="-0.46300158995528334"/>
    <n v="-0.19410260301100266"/>
    <n v="-0.46590626271823193"/>
    <n v="-0.3823170120345496"/>
    <x v="0"/>
    <x v="0"/>
    <x v="0"/>
    <x v="0"/>
    <x v="0"/>
    <x v="0"/>
  </r>
  <r>
    <x v="6"/>
    <s v="SUI"/>
    <n v="15900"/>
    <n v="124.3"/>
    <n v="6.92"/>
    <n v="55.57"/>
    <n v="0.71"/>
    <n v="17.962427745664741"/>
    <n v="2.2368184272089255"/>
    <n v="1.49"/>
    <n v="2.1"/>
    <n v="2.34"/>
    <n v="175.07042253521126"/>
    <s v="NO"/>
    <n v="0.37532744036305127"/>
    <n v="-0.73045637241117767"/>
    <n v="-1.3695866166829278"/>
    <n v="-0.71817963114070704"/>
    <n v="1.5888598190134591"/>
    <n v="2.2891206364105821"/>
    <x v="0"/>
    <x v="0"/>
    <x v="0"/>
    <x v="0"/>
    <x v="0"/>
    <x v="0"/>
  </r>
  <r>
    <x v="7"/>
    <s v="KIM"/>
    <n v="13970"/>
    <n v="21.46"/>
    <n v="1.5"/>
    <n v="15.58"/>
    <n v="0.76"/>
    <n v="14.306666666666667"/>
    <n v="1.3774069319640565"/>
    <n v="5.21"/>
    <n v="2.16"/>
    <n v="1.86"/>
    <n v="28.236842105263158"/>
    <s v="NO"/>
    <n v="-0.69802663637776075"/>
    <n v="-0.54980671887278509"/>
    <n v="0.4843702271795936"/>
    <n v="-0.73446855653769416"/>
    <n v="-5.4392829322037387E-2"/>
    <n v="-0.53442522534221504"/>
    <x v="0"/>
    <x v="0"/>
    <x v="0"/>
    <x v="0"/>
    <x v="0"/>
    <x v="0"/>
  </r>
  <r>
    <x v="7"/>
    <s v="O"/>
    <n v="51240"/>
    <n v="55.06"/>
    <n v="4.13"/>
    <n v="43.22"/>
    <n v="1.0900000000000001"/>
    <n v="13.331719128329299"/>
    <n v="1.2739472466450719"/>
    <n v="2.5099999999999998"/>
    <n v="2.17"/>
    <n v="1.79"/>
    <n v="50.513761467889907"/>
    <s v="NO"/>
    <n v="-1.2613160784882365"/>
    <n v="-0.85349569626675803"/>
    <n v="-1.3928540982532798"/>
    <n v="-0.72779156966007885"/>
    <n v="-1.1966422450848733"/>
    <n v="1.5742211289423427"/>
    <x v="0"/>
    <x v="0"/>
    <x v="0"/>
    <x v="0"/>
    <x v="0"/>
    <x v="0"/>
  </r>
  <r>
    <x v="7"/>
    <s v="REG"/>
    <n v="13072"/>
    <n v="73.05"/>
    <n v="4.2300000000000004"/>
    <n v="35.76"/>
    <n v="2.11"/>
    <n v="17.269503546099287"/>
    <n v="2.0427852348993287"/>
    <n v="5.82"/>
    <n v="2.91"/>
    <n v="1.94"/>
    <n v="34.620853080568722"/>
    <s v="NO"/>
    <n v="1.0137934023969104"/>
    <n v="1.4033024151395419"/>
    <n v="0.90848387107368733"/>
    <n v="-0.23369454071653889"/>
    <n v="1.2510350744069143"/>
    <n v="6.9860369522162805E-2"/>
    <x v="0"/>
    <x v="0"/>
    <x v="0"/>
    <x v="0"/>
    <x v="0"/>
    <x v="0"/>
  </r>
  <r>
    <x v="7"/>
    <s v="SPG"/>
    <n v="52680"/>
    <n v="160.88"/>
    <n v="9.3800000000000008"/>
    <n v="8.89"/>
    <n v="7.26"/>
    <n v="17.151385927505327"/>
    <n v="18.096737907761529"/>
    <n v="74.900000000000006"/>
    <n v="5.8"/>
    <n v="11.17"/>
    <n v="22.159779614325068"/>
    <s v="NO"/>
    <n v="0.94554931246908269"/>
    <n v="48.527053616595524"/>
    <n v="48.937615871408092"/>
    <n v="1.6959546669143126"/>
    <n v="151.86477946713498"/>
    <n v="-1.1096562731222905"/>
    <x v="0"/>
    <x v="1"/>
    <x v="1"/>
    <x v="0"/>
    <x v="1"/>
    <x v="0"/>
  </r>
  <r>
    <x v="8"/>
    <s v="GLPI"/>
    <n v="12804"/>
    <n v="45.98"/>
    <n v="3.9"/>
    <n v="15.34"/>
    <n v="2.83"/>
    <n v="11.789743589743589"/>
    <n v="2.997392438070404"/>
    <n v="17.559999999999999"/>
    <n v="5.9"/>
    <n v="2.88"/>
    <n v="16.247349823321553"/>
    <s v="NO"/>
    <n v="-1.4444145310594243"/>
    <n v="-0.17180631801846341"/>
    <n v="0.48264999043339668"/>
    <n v="1.1123706921321646"/>
    <n v="0.25709266697196193"/>
    <n v="-0.63761245016704204"/>
    <x v="0"/>
    <x v="0"/>
    <x v="0"/>
    <x v="0"/>
    <x v="0"/>
    <x v="0"/>
  </r>
  <r>
    <x v="8"/>
    <s v="IRM"/>
    <n v="28711"/>
    <n v="97.38"/>
    <n v="-3.43"/>
    <n v="-2.37"/>
    <n v="0.41"/>
    <n v="-28.390670553935859"/>
    <n v="-41.088607594936704"/>
    <n v="-108.66"/>
    <n v="4.16"/>
    <n v="-27.72"/>
    <n v="237.51219512195121"/>
    <s v="NO"/>
    <n v="-8.2733825997070181"/>
    <n v="-9.5987219687015255"/>
    <n v="-8.9755213793078443"/>
    <n v="1.490806082238972E-2"/>
    <n v="-14.524393864150856"/>
    <n v="8.0925329170065101"/>
    <x v="1"/>
    <x v="1"/>
    <x v="1"/>
    <x v="0"/>
    <x v="1"/>
    <x v="1"/>
  </r>
  <r>
    <x v="8"/>
    <s v="LAMR"/>
    <n v="12140"/>
    <n v="118.89"/>
    <n v="7.53"/>
    <n v="10.23"/>
    <n v="3.52"/>
    <n v="15.788844621513944"/>
    <n v="11.621700879765395"/>
    <n v="32.049999999999997"/>
    <n v="5.05"/>
    <n v="6.29"/>
    <n v="33.77556818181818"/>
    <s v="NO"/>
    <n v="-0.76473678678332813"/>
    <n v="1.6723307813886712"/>
    <n v="1.5684438673748529"/>
    <n v="0.57625388948083756"/>
    <n v="1.9043106104729035"/>
    <n v="5.3974566698232328E-2"/>
    <x v="0"/>
    <x v="0"/>
    <x v="0"/>
    <x v="0"/>
    <x v="0"/>
    <x v="0"/>
  </r>
  <r>
    <x v="8"/>
    <s v="VICI"/>
    <n v="33455"/>
    <n v="31.36"/>
    <n v="2.31"/>
    <n v="25.18"/>
    <n v="2.5"/>
    <n v="13.575757575757574"/>
    <n v="1.2454328832406671"/>
    <n v="10.119999999999999"/>
    <n v="4.87"/>
    <n v="1.71"/>
    <n v="12.544"/>
    <s v="NO"/>
    <n v="-1.1408678220326309"/>
    <n v="-0.54642807854159992"/>
    <n v="-7.4859080956833357E-2"/>
    <n v="0.46272327244879202"/>
    <n v="-0.30808181804155754"/>
    <n v="-0.78373047564668152"/>
    <x v="0"/>
    <x v="0"/>
    <x v="0"/>
    <x v="0"/>
    <x v="0"/>
    <x v="0"/>
  </r>
  <r>
    <x v="8"/>
    <s v="EXR"/>
    <n v="31244"/>
    <n v="147.02000000000001"/>
    <n v="8.9"/>
    <n v="65.430000000000007"/>
    <n v="4.26"/>
    <n v="16.519101123595505"/>
    <n v="2.2469815069539965"/>
    <n v="6.39"/>
    <n v="3.33"/>
    <n v="2.09"/>
    <n v="34.51173708920188"/>
    <s v="NO"/>
    <n v="-0.64062412042790362"/>
    <n v="-0.332266794035534"/>
    <n v="-0.35436295680166641"/>
    <n v="-0.50859422882537642"/>
    <n v="-0.12452087419101279"/>
    <n v="8.3020579712993092E-2"/>
    <x v="0"/>
    <x v="0"/>
    <x v="0"/>
    <x v="0"/>
    <x v="0"/>
    <x v="0"/>
  </r>
  <r>
    <x v="8"/>
    <s v="PSA"/>
    <n v="52612"/>
    <n v="302.13"/>
    <n v="18.14"/>
    <n v="29.73"/>
    <n v="10.08"/>
    <n v="16.65545755237045"/>
    <n v="10.162462159434915"/>
    <n v="20.12"/>
    <n v="7.06"/>
    <n v="3.76"/>
    <n v="29.973214285714285"/>
    <s v="NO"/>
    <n v="-0.61744930459028746"/>
    <n v="1.3603015584955316"/>
    <n v="0.67448106876121794"/>
    <n v="1.8440124463386807"/>
    <n v="0.68218116852059196"/>
    <n v="-9.6049727516350297E-2"/>
    <x v="0"/>
    <x v="0"/>
    <x v="0"/>
    <x v="0"/>
    <x v="0"/>
    <x v="0"/>
  </r>
  <r>
    <x v="8"/>
    <s v="AMT"/>
    <n v="102752"/>
    <n v="203.96"/>
    <n v="11.35"/>
    <n v="7.55"/>
    <n v="6.18"/>
    <n v="17.970044052863436"/>
    <n v="27.014569536423842"/>
    <n v="28.42"/>
    <n v="4.53"/>
    <n v="17.559999999999999"/>
    <n v="33.003236245954696"/>
    <s v="NO"/>
    <n v="-0.39402529499097499"/>
    <n v="4.9637900732210154"/>
    <n v="1.2964333930272005"/>
    <n v="0.24827655138826143"/>
    <n v="7.3483417609877444"/>
    <n v="2.3501718367090165E-2"/>
    <x v="0"/>
    <x v="1"/>
    <x v="0"/>
    <x v="0"/>
    <x v="1"/>
    <x v="0"/>
  </r>
  <r>
    <x v="8"/>
    <s v="CCI"/>
    <n v="45612"/>
    <n v="98.32"/>
    <n v="4.08"/>
    <n v="-2.88"/>
    <n v="-9.01"/>
    <n v="24.098039215686274"/>
    <n v="-34.138888888888886"/>
    <n v="-163.21"/>
    <n v="4.04"/>
    <n v="-25.35"/>
    <n v="-10.912319644839068"/>
    <s v="NO"/>
    <n v="0.64747425606148534"/>
    <n v="-8.1126626303892166"/>
    <n v="-13.063171896019815"/>
    <n v="-6.077901719897412E-2"/>
    <n v="-13.379553240661933"/>
    <n v="-1.7092145036311395"/>
    <x v="0"/>
    <x v="1"/>
    <x v="1"/>
    <x v="0"/>
    <x v="1"/>
    <x v="0"/>
  </r>
  <r>
    <x v="8"/>
    <s v="SBAC"/>
    <n v="25820"/>
    <n v="225.82"/>
    <n v="7.79"/>
    <n v="-46.01"/>
    <n v="7.56"/>
    <n v="28.988446726572526"/>
    <n v="-4.9080634644642469"/>
    <n v="-16.09"/>
    <n v="9.36"/>
    <n v="-2.1"/>
    <n v="29.87037037037037"/>
    <s v="NO"/>
    <n v="1.478636339535679"/>
    <n v="-1.8622310768442281"/>
    <n v="-2.0388796133678455"/>
    <n v="3.2946814417481529"/>
    <n v="-2.1485218077009671"/>
    <n v="-0.10010749968467597"/>
    <x v="0"/>
    <x v="0"/>
    <x v="0"/>
    <x v="1"/>
    <x v="0"/>
    <x v="0"/>
  </r>
  <r>
    <x v="8"/>
    <s v="WY"/>
    <n v="18737"/>
    <n v="26.69"/>
    <n v="0.89"/>
    <n v="13.29"/>
    <n v="0.49"/>
    <n v="29.988764044943821"/>
    <n v="2.0082768999247556"/>
    <n v="3.71"/>
    <n v="2.4"/>
    <n v="1.71"/>
    <n v="54.469387755102048"/>
    <s v="NO"/>
    <n v="1.6486479029119447"/>
    <n v="-0.38330903407113137"/>
    <n v="-0.55518611692610409"/>
    <n v="-1.0951690834909458"/>
    <n v="-0.30808181804155754"/>
    <n v="0.87046239526856872"/>
    <x v="0"/>
    <x v="0"/>
    <x v="0"/>
    <x v="0"/>
    <x v="0"/>
    <x v="0"/>
  </r>
  <r>
    <x v="8"/>
    <s v="DLR"/>
    <n v="56305"/>
    <n v="165.8"/>
    <n v="7.01"/>
    <n v="61.07"/>
    <n v="1.08"/>
    <n v="23.651925820256778"/>
    <n v="2.7149173080072049"/>
    <n v="1.85"/>
    <n v="1"/>
    <n v="2.19"/>
    <n v="153.5185185185185"/>
    <s v="NO"/>
    <n v="0.5716538794598367"/>
    <n v="-0.23220801521321502"/>
    <n v="-0.69456338477366164"/>
    <n v="-1.9781849937401899"/>
    <n v="-7.6215362651395696E-2"/>
    <n v="4.7785089215468348"/>
    <x v="0"/>
    <x v="0"/>
    <x v="0"/>
    <x v="0"/>
    <x v="0"/>
    <x v="1"/>
  </r>
  <r>
    <x v="8"/>
    <s v="EQIX"/>
    <n v="85345"/>
    <n v="868.79"/>
    <n v="35.979999999999997"/>
    <n v="141.99"/>
    <n v="9.59"/>
    <n v="24.146470261256255"/>
    <n v="6.1186703288964006"/>
    <n v="7.06"/>
    <n v="3.16"/>
    <n v="2.6"/>
    <n v="90.593326381647543"/>
    <s v="NO"/>
    <n v="0.65570548191560307"/>
    <n v="0.49561697683996997"/>
    <n v="-0.30415716677055699"/>
    <n v="-0.61581758935564179"/>
    <n v="0.12183723466103429"/>
    <n v="2.2957553965990019"/>
    <x v="0"/>
    <x v="0"/>
    <x v="0"/>
    <x v="0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3">
  <r>
    <x v="0"/>
    <s v="BNL"/>
    <n v="3076"/>
    <n v="15.97"/>
    <n v="1.33"/>
    <n v="15.6"/>
    <n v="0.6"/>
    <n v="12.007518796992482"/>
    <n v="1.0237179487179489"/>
    <n v="3.76"/>
    <n v="2.58"/>
    <n v="1.78"/>
    <n v="26.616666666666667"/>
    <s v="NO"/>
    <n v="-0.99999999999999933"/>
    <n v="-1.0000000000000024"/>
    <n v="-0.99999999999999944"/>
    <n v="-1.000000000000002"/>
    <n v="1.0000000000000087"/>
    <n v="-1.00000000000001"/>
    <x v="0"/>
    <x v="0"/>
    <x v="0"/>
    <x v="0"/>
    <x v="0"/>
    <x v="0"/>
  </r>
  <r>
    <x v="0"/>
    <s v="EPRT"/>
    <n v="6279"/>
    <n v="31.43"/>
    <n v="1.78"/>
    <n v="19.32"/>
    <n v="1.1599999999999999"/>
    <n v="17.657303370786515"/>
    <n v="1.6268115942028984"/>
    <n v="6.02"/>
    <n v="3.42"/>
    <n v="1.59"/>
    <n v="27.094827586206897"/>
    <s v="NO"/>
    <n v="0.99999999999999933"/>
    <n v="1.0000000000000016"/>
    <n v="0.99999999999999944"/>
    <n v="1.000000000000002"/>
    <n v="-1.0000000000000087"/>
    <n v="1.00000000000001"/>
    <x v="0"/>
    <x v="0"/>
    <x v="0"/>
    <x v="0"/>
    <x v="0"/>
    <x v="0"/>
  </r>
  <r>
    <x v="1"/>
    <s v="AHR"/>
    <n v="5183"/>
    <n v="34.630000000000003"/>
    <n v="0.64"/>
    <n v="14.36"/>
    <n v="-0.28999999999999998"/>
    <n v="54.109375"/>
    <n v="2.4115598885793874"/>
    <n v="-1.89"/>
    <n v="1.77"/>
    <n v="1.98"/>
    <n v="-119.4137931034483"/>
    <s v="NO"/>
    <n v="7.4290625339351406"/>
    <n v="1.1454937644544672"/>
    <n v="4.7114801475831157E-2"/>
    <n v="-0.63659199310997516"/>
    <n v="-9.759000729484113E-2"/>
    <n v="-7.490315214203787"/>
    <x v="1"/>
    <x v="0"/>
    <x v="0"/>
    <x v="0"/>
    <x v="0"/>
    <x v="1"/>
  </r>
  <r>
    <x v="1"/>
    <s v="CTRE"/>
    <n v="5590"/>
    <n v="28.28"/>
    <n v="1.53"/>
    <n v="15.6"/>
    <n v="0.95"/>
    <n v="18.483660130718956"/>
    <n v="1.812820512820513"/>
    <n v="6.96"/>
    <n v="4.4000000000000004"/>
    <n v="1.33"/>
    <n v="29.768421052631581"/>
    <s v="NO"/>
    <n v="0.30643346727526133"/>
    <n v="0.24845679470763118"/>
    <n v="0.72510828612803557"/>
    <n v="0.96708323857511558"/>
    <n v="-12.784290955624456"/>
    <n v="0.91186461755942572"/>
    <x v="0"/>
    <x v="0"/>
    <x v="0"/>
    <x v="0"/>
    <x v="1"/>
    <x v="0"/>
  </r>
  <r>
    <x v="1"/>
    <s v="HR"/>
    <n v="5345"/>
    <n v="14.71"/>
    <n v="0.56999999999999995"/>
    <n v="14.47"/>
    <n v="-1.1100000000000001"/>
    <n v="25.807017543859654"/>
    <n v="1.0165860400829303"/>
    <n v="-6.76"/>
    <n v="0.22"/>
    <n v="2.0699999999999998"/>
    <n v="-13.252252252252251"/>
    <s v="NO"/>
    <n v="1.7705881815811444"/>
    <n v="-0.94446918870077579"/>
    <n v="-0.32597313866611638"/>
    <n v="-1.5817237836468154"/>
    <n v="1.659030124012334"/>
    <n v="-1.5111282012292038"/>
    <x v="0"/>
    <x v="0"/>
    <x v="0"/>
    <x v="0"/>
    <x v="0"/>
    <x v="0"/>
  </r>
  <r>
    <x v="1"/>
    <s v="MPW"/>
    <n v="3033"/>
    <n v="5.04"/>
    <n v="0.41"/>
    <n v="7.93"/>
    <n v="-2.76"/>
    <n v="12.292682926829269"/>
    <n v="0.63556116015132413"/>
    <n v="-28.8"/>
    <n v="1.5"/>
    <n v="3.12"/>
    <n v="-1.8260869565217392"/>
    <s v="NO"/>
    <n v="-0.93132511091052106"/>
    <n v="-1.5153242510704301"/>
    <n v="-2.0144450484666345"/>
    <n v="-0.80122785339703773"/>
    <n v="22.152931655929414"/>
    <n v="-0.86758837883632767"/>
    <x v="0"/>
    <x v="0"/>
    <x v="0"/>
    <x v="1"/>
    <x v="1"/>
    <x v="0"/>
  </r>
  <r>
    <x v="1"/>
    <s v="NHI"/>
    <n v="3576"/>
    <n v="74.63"/>
    <n v="4.71"/>
    <n v="30.55"/>
    <n v="3.16"/>
    <n v="15.845010615711251"/>
    <n v="2.4428805237315872"/>
    <n v="10.31"/>
    <n v="4.55"/>
    <n v="1.95"/>
    <n v="23.617088607594933"/>
    <s v="NO"/>
    <n v="-0.22111024100629414"/>
    <n v="1.1924186349156181"/>
    <n v="0.98174988766305094"/>
    <n v="1.0585476054012612"/>
    <n v="-0.6831300510639009"/>
    <n v="0.56541177999741377"/>
    <x v="0"/>
    <x v="0"/>
    <x v="0"/>
    <x v="0"/>
    <x v="0"/>
    <x v="0"/>
  </r>
  <r>
    <x v="1"/>
    <s v="SBRA"/>
    <n v="4300"/>
    <n v="17.75"/>
    <n v="1.44"/>
    <n v="11.36"/>
    <n v="0.6"/>
    <n v="12.326388888888889"/>
    <n v="1.5625"/>
    <n v="5.15"/>
    <n v="3.13"/>
    <n v="1.94"/>
    <n v="29.583333333333336"/>
    <s v="NO"/>
    <n v="-0.92458629693958805"/>
    <n v="-0.12657575430651113"/>
    <n v="0.58644521186583332"/>
    <n v="0.19268493278041382"/>
    <n v="-0.87831006565358749"/>
    <n v="0.90144018250869151"/>
    <x v="0"/>
    <x v="0"/>
    <x v="0"/>
    <x v="0"/>
    <x v="0"/>
    <x v="0"/>
  </r>
  <r>
    <x v="2"/>
    <s v="APLE"/>
    <n v="2703"/>
    <n v="12.29"/>
    <n v="1.66"/>
    <n v="13.48"/>
    <n v="0.79"/>
    <n v="7.403614457831325"/>
    <n v="0.91172106824925803"/>
    <n v="5.84"/>
    <n v="3.38"/>
    <n v="1.54"/>
    <n v="15.556962025316453"/>
    <s v="NO"/>
    <n v="-0.99999999999999312"/>
    <n v="-1.0000000000000002"/>
    <n v="-0.99999999999999956"/>
    <n v="-1.0000000000000016"/>
    <n v="-0.99999999999999978"/>
    <n v="-1.0000000000000058"/>
    <x v="0"/>
    <x v="0"/>
    <x v="0"/>
    <x v="0"/>
    <x v="0"/>
    <x v="0"/>
  </r>
  <r>
    <x v="2"/>
    <s v="RHP"/>
    <n v="5674"/>
    <n v="100.37"/>
    <n v="11.14"/>
    <n v="8.9600000000000009"/>
    <n v="4.7"/>
    <n v="9.0098743267504489"/>
    <n v="11.202008928571429"/>
    <n v="32.49"/>
    <n v="6.17"/>
    <n v="9.86"/>
    <n v="21.355319148936172"/>
    <s v="NO"/>
    <n v="0.99999999999999423"/>
    <n v="1"/>
    <n v="0.99999999999999989"/>
    <n v="1.0000000000000009"/>
    <n v="1"/>
    <n v="1.0000000000000051"/>
    <x v="0"/>
    <x v="0"/>
    <x v="0"/>
    <x v="0"/>
    <x v="0"/>
    <x v="0"/>
  </r>
  <r>
    <x v="3"/>
    <s v="COLD"/>
    <n v="5242"/>
    <n v="17.7"/>
    <n v="1.45"/>
    <n v="11.54"/>
    <n v="-0.33"/>
    <n v="12.206896551724137"/>
    <n v="1.5337954939341423"/>
    <n v="-2.73"/>
    <n v="1.8"/>
    <n v="2.36"/>
    <n v="-53.636363636363633"/>
    <s v="NO"/>
    <n v="-1.2430677185231946"/>
    <n v="-0.41718176389263328"/>
    <n v="-1.948610077713872"/>
    <n v="-0.62486930171559019"/>
    <n v="1.6093351865376251"/>
    <n v="-14.438297232699027"/>
    <x v="0"/>
    <x v="0"/>
    <x v="0"/>
    <x v="0"/>
    <x v="0"/>
    <x v="1"/>
  </r>
  <r>
    <x v="3"/>
    <s v="EGP"/>
    <n v="8672"/>
    <n v="171.32"/>
    <n v="8.6999999999999993"/>
    <n v="64.09"/>
    <n v="4.58"/>
    <n v="19.691954022988508"/>
    <n v="2.6731159307224215"/>
    <n v="7.61"/>
    <n v="3.35"/>
    <n v="1.53"/>
    <n v="37.406113537117903"/>
    <s v="NO"/>
    <n v="0.59026917915570076"/>
    <n v="1.5152929502748742"/>
    <n v="0.70053337504589597"/>
    <n v="1.3289727511991514"/>
    <n v="-0.80051982216948936"/>
    <n v="0.95509891767932298"/>
    <x v="0"/>
    <x v="0"/>
    <x v="0"/>
    <x v="0"/>
    <x v="0"/>
    <x v="0"/>
  </r>
  <r>
    <x v="3"/>
    <s v="FR"/>
    <n v="6445"/>
    <n v="50.89"/>
    <n v="2.86"/>
    <n v="20.02"/>
    <n v="2.0099999999999998"/>
    <n v="17.793706293706293"/>
    <n v="2.5419580419580421"/>
    <n v="10.28"/>
    <n v="3.3"/>
    <n v="2.06"/>
    <n v="25.318407960199007"/>
    <s v="NO"/>
    <n v="0.12532584152753931"/>
    <n v="1.2928276144337527"/>
    <n v="1.3845965296753522"/>
    <n v="1.2659455882019013"/>
    <n v="0.73830325567963229"/>
    <n v="-1.0886815930386802"/>
    <x v="0"/>
    <x v="0"/>
    <x v="0"/>
    <x v="0"/>
    <x v="0"/>
    <x v="0"/>
  </r>
  <r>
    <x v="3"/>
    <s v="LXP"/>
    <n v="2360"/>
    <n v="8.35"/>
    <n v="0.66"/>
    <n v="6.7"/>
    <n v="0.2"/>
    <n v="12.65151515151515"/>
    <n v="1.2462686567164178"/>
    <n v="2.85"/>
    <n v="1"/>
    <n v="1.9"/>
    <n v="41.749999999999993"/>
    <s v="NO"/>
    <n v="-1.1341659916466074"/>
    <n v="-0.90487453637913629"/>
    <n v="-0.51899494556691783"/>
    <n v="-1.633303909671586"/>
    <n v="0.27375289255536878"/>
    <n v="1.6895600970252489"/>
    <x v="0"/>
    <x v="0"/>
    <x v="0"/>
    <x v="0"/>
    <x v="0"/>
    <x v="0"/>
  </r>
  <r>
    <x v="3"/>
    <s v="REXR"/>
    <n v="7981"/>
    <n v="35.5"/>
    <n v="0.52"/>
    <n v="36.700000000000003"/>
    <n v="1.23"/>
    <n v="68.269230769230774"/>
    <n v="0.96730245231607626"/>
    <n v="3.36"/>
    <n v="1.84"/>
    <n v="1.51"/>
    <n v="28.86178861788618"/>
    <s v="NO"/>
    <n v="12.488442865803593"/>
    <n v="-1.3780470686218147"/>
    <n v="-0.38833119692983076"/>
    <n v="-0.57444757131779045"/>
    <n v="-0.85858861756002236"/>
    <n v="-0.48956935588555534"/>
    <x v="1"/>
    <x v="0"/>
    <x v="0"/>
    <x v="0"/>
    <x v="0"/>
    <x v="0"/>
  </r>
  <r>
    <x v="3"/>
    <s v="STAG"/>
    <n v="6239"/>
    <n v="35.32"/>
    <n v="2.0499999999999998"/>
    <n v="18.579999999999998"/>
    <n v="1.33"/>
    <n v="17.229268292682928"/>
    <n v="1.9009687836383209"/>
    <n v="7.15"/>
    <n v="2.65"/>
    <n v="1.98"/>
    <n v="26.556390977443609"/>
    <s v="NO"/>
    <n v="-1.2923599802863112E-2"/>
    <n v="0.2056044823290544"/>
    <n v="0.58267979784381729"/>
    <n v="0.44659246923765494"/>
    <n v="0.5060280741175005"/>
    <n v="-0.87936432044762203"/>
    <x v="0"/>
    <x v="0"/>
    <x v="0"/>
    <x v="0"/>
    <x v="0"/>
    <x v="0"/>
  </r>
  <r>
    <x v="3"/>
    <s v="TRNO"/>
    <n v="5798"/>
    <n v="58.85"/>
    <n v="2.44"/>
    <n v="36.9"/>
    <n v="1.92"/>
    <n v="24.118852459016395"/>
    <n v="1.5948509485094853"/>
    <n v="5.61"/>
    <n v="2.13"/>
    <n v="1.3"/>
    <n v="30.651041666666668"/>
    <s v="NO"/>
    <n v="1.6745622892894259"/>
    <n v="-0.31362167814409769"/>
    <n v="0.18812651764555402"/>
    <n v="-0.20889002593374223"/>
    <n v="-1.4683109691606175"/>
    <n v="-0.1870437453327177"/>
    <x v="0"/>
    <x v="0"/>
    <x v="0"/>
    <x v="0"/>
    <x v="0"/>
    <x v="0"/>
  </r>
  <r>
    <x v="4"/>
    <s v="CDP"/>
    <n v="3003"/>
    <n v="27.02"/>
    <n v="2.96"/>
    <n v="13.23"/>
    <n v="1.24"/>
    <n v="9.128378378378379"/>
    <n v="2.0423280423280423"/>
    <n v="9.42"/>
    <n v="3.22"/>
    <n v="2.85"/>
    <n v="21.79032258064516"/>
    <s v="NO"/>
    <n v="-0.59510320576999232"/>
    <n v="1.6414586808069953"/>
    <n v="2.6493506493506498"/>
    <n v="1.4904766573401298"/>
    <n v="-0.12511971891996013"/>
    <n v="-0.90005532172035818"/>
    <x v="0"/>
    <x v="0"/>
    <x v="1"/>
    <x v="0"/>
    <x v="0"/>
    <x v="0"/>
  </r>
  <r>
    <x v="4"/>
    <s v="CUZ"/>
    <n v="4644"/>
    <n v="28.33"/>
    <n v="1.1599999999999999"/>
    <n v="28.67"/>
    <n v="0.34"/>
    <n v="24.422413793103448"/>
    <n v="0.98814091384722691"/>
    <n v="1.1599999999999999"/>
    <n v="1.43"/>
    <n v="1.8"/>
    <n v="83.323529411764696"/>
    <s v="NO"/>
    <n v="1.5111784523777136"/>
    <n v="-0.77305724697831446"/>
    <n v="-0.70292207792207795"/>
    <n v="-0.1030107587410842"/>
    <n v="-1.2892082430487017"/>
    <n v="0.7431597385143216"/>
    <x v="0"/>
    <x v="0"/>
    <x v="0"/>
    <x v="0"/>
    <x v="0"/>
    <x v="0"/>
  </r>
  <r>
    <x v="4"/>
    <s v="DEI"/>
    <n v="2428"/>
    <n v="14.81"/>
    <n v="2.44"/>
    <n v="12.3"/>
    <n v="0.13"/>
    <n v="6.0696721311475414"/>
    <n v="1.2040650406504065"/>
    <n v="0.2"/>
    <n v="1.37"/>
    <n v="4.57"/>
    <n v="113.92307692307692"/>
    <s v="NO"/>
    <n v="-1.0163456503900232"/>
    <n v="-0.27850345356335343"/>
    <n v="-1.0925324675324675"/>
    <n v="-0.15642374475497947"/>
    <n v="1.7817681491766453"/>
    <n v="1.5603061200600605"/>
    <x v="0"/>
    <x v="0"/>
    <x v="0"/>
    <x v="0"/>
    <x v="0"/>
    <x v="0"/>
  </r>
  <r>
    <x v="4"/>
    <s v="HIW"/>
    <n v="3136"/>
    <n v="30.46"/>
    <n v="3.52"/>
    <n v="22.09"/>
    <n v="1.6"/>
    <n v="8.6534090909090917"/>
    <n v="1.3789044816659122"/>
    <n v="7.16"/>
    <n v="2.2200000000000002"/>
    <n v="2.5499999999999998"/>
    <n v="19.037499999999998"/>
    <s v="NO"/>
    <n v="-0.6605155754456139"/>
    <n v="0.12194975225920376"/>
    <n v="1.7321428571428574"/>
    <n v="0.60026022377520594"/>
    <n v="-0.45771644009960089"/>
    <n v="-0.97356814114946932"/>
    <x v="0"/>
    <x v="0"/>
    <x v="0"/>
    <x v="0"/>
    <x v="0"/>
    <x v="0"/>
  </r>
  <r>
    <x v="4"/>
    <s v="KRC"/>
    <n v="3646"/>
    <n v="31.74"/>
    <n v="4.5999999999999996"/>
    <n v="45.32"/>
    <n v="1.68"/>
    <n v="6.9"/>
    <n v="0.70035304501323914"/>
    <n v="3.94"/>
    <n v="1.82"/>
    <n v="2.0299999999999998"/>
    <n v="18.892857142857142"/>
    <s v="NO"/>
    <n v="-0.9019935965998922"/>
    <n v="-1.4322081456659363"/>
    <n v="0.42532467532467533"/>
    <n v="0.24417365034923624"/>
    <n v="-1.0342174234776444"/>
    <n v="-0.97743075994430695"/>
    <x v="0"/>
    <x v="0"/>
    <x v="0"/>
    <x v="0"/>
    <x v="0"/>
    <x v="0"/>
  </r>
  <r>
    <x v="4"/>
    <s v="SLG"/>
    <n v="3909"/>
    <n v="57.53"/>
    <n v="2.42"/>
    <n v="50.9"/>
    <n v="-0.45"/>
    <n v="23.772727272727273"/>
    <n v="1.1302554027504912"/>
    <n v="-0.22"/>
    <n v="-0.79"/>
    <n v="3.16"/>
    <n v="-127.84444444444445"/>
    <s v="NO"/>
    <n v="1.4217041727447119"/>
    <n v="-0.44755744930909558"/>
    <n v="-1.2629870129870131"/>
    <n v="-2.0792912412552154"/>
    <n v="0.21856355963233506"/>
    <n v="-4.8959806988125782"/>
    <x v="0"/>
    <x v="0"/>
    <x v="1"/>
    <x v="0"/>
    <x v="0"/>
    <x v="1"/>
  </r>
  <r>
    <x v="4"/>
    <s v="VNO"/>
    <n v="7465"/>
    <n v="39.520000000000003"/>
    <n v="2.6"/>
    <n v="21.53"/>
    <n v="0.52"/>
    <n v="15.200000000000001"/>
    <n v="1.8355782628889921"/>
    <n v="2"/>
    <n v="1.55"/>
    <n v="3.78"/>
    <n v="76"/>
    <s v="NO"/>
    <n v="0.24107540308309469"/>
    <n v="1.1679178624505024"/>
    <n v="-0.36201298701298695"/>
    <n v="3.8152132867067634E-3"/>
    <n v="0.90593011673692492"/>
    <n v="0.5475883642397521"/>
    <x v="0"/>
    <x v="0"/>
    <x v="0"/>
    <x v="0"/>
    <x v="0"/>
    <x v="0"/>
  </r>
  <r>
    <x v="5"/>
    <s v="JOE"/>
    <n v="2550"/>
    <n v="46.12"/>
    <n v="1.76"/>
    <n v="12.5"/>
    <n v="1.33"/>
    <n v="26.204545454545453"/>
    <n v="3.6896"/>
    <n v="10.52"/>
    <n v="3.91"/>
    <n v="2.13"/>
    <n v="34.676691729323302"/>
    <s v="NO"/>
    <n v="0.22606092282158027"/>
    <n v="-0.29181380917437233"/>
    <n v="0.57599397925532658"/>
    <n v="0.3042193270030768"/>
    <n v="-1.1016948858169222"/>
    <n v="0.41099393146229563"/>
    <x v="0"/>
    <x v="0"/>
    <x v="0"/>
    <x v="0"/>
    <x v="0"/>
    <x v="0"/>
  </r>
  <r>
    <x v="5"/>
    <s v="VTMX"/>
    <n v="2357"/>
    <n v="27.59"/>
    <n v="0.18"/>
    <n v="3.06"/>
    <n v="0.13"/>
    <n v="153.27777777777777"/>
    <n v="9.0163398692810457"/>
    <n v="4.4800000000000004"/>
    <n v="3.11"/>
    <n v="1.55"/>
    <n v="212.23076923076923"/>
    <s v="NO"/>
    <n v="15.017375834029576"/>
    <n v="1.5310718723426959"/>
    <n v="-1.7929773673317535"/>
    <n v="-0.62672506164021824"/>
    <n v="-1.722820556556961"/>
    <n v="7.8516182379897215"/>
    <x v="1"/>
    <x v="0"/>
    <x v="0"/>
    <x v="0"/>
    <x v="0"/>
    <x v="1"/>
  </r>
  <r>
    <x v="5"/>
    <s v="HHH"/>
    <n v="3462"/>
    <n v="71.650000000000006"/>
    <n v="7.57"/>
    <n v="55.81"/>
    <n v="5.73"/>
    <n v="9.4649933949801852"/>
    <n v="1.283820103924028"/>
    <n v="9.67"/>
    <n v="3.57"/>
    <n v="3.32"/>
    <n v="12.504363001745201"/>
    <s v="NO"/>
    <n v="-1.722421707696369"/>
    <n v="-1.1151056974697209"/>
    <n v="0.24261225001707862"/>
    <n v="-9.1432038170323776E-2"/>
    <n v="0.17268364552901982"/>
    <n v="-0.51816506271169294"/>
    <x v="0"/>
    <x v="0"/>
    <x v="0"/>
    <x v="0"/>
    <x v="0"/>
    <x v="0"/>
  </r>
  <r>
    <x v="5"/>
    <s v="CIGI"/>
    <n v="6113"/>
    <n v="128.91999999999999"/>
    <n v="5.23"/>
    <n v="26.18"/>
    <n v="3.22"/>
    <n v="24.650095602294449"/>
    <n v="4.924369747899159"/>
    <n v="10.77"/>
    <n v="3.9"/>
    <n v="4.5999999999999996"/>
    <n v="40.037267080745337"/>
    <s v="NO"/>
    <n v="4.5123074165614896E-2"/>
    <n v="0.13074185313538023"/>
    <n v="0.6740474290312819"/>
    <n v="0.29258252214503538"/>
    <n v="1.5434437464725539"/>
    <n v="0.63563550443004557"/>
    <x v="0"/>
    <x v="0"/>
    <x v="0"/>
    <x v="0"/>
    <x v="0"/>
    <x v="0"/>
  </r>
  <r>
    <x v="5"/>
    <s v="COMP"/>
    <n v="3968"/>
    <n v="6.46"/>
    <n v="0.21"/>
    <n v="0.8"/>
    <n v="-0.31"/>
    <n v="30.761904761904763"/>
    <n v="8.0749999999999993"/>
    <n v="-36.590000000000003"/>
    <n v="-7.43"/>
    <n v="2.88"/>
    <n v="-20.838709677419356"/>
    <s v="NO"/>
    <n v="0.75653721154310427"/>
    <n v="1.2089320623907651"/>
    <n v="-17.901198096525697"/>
    <n v="-12.891917382015626"/>
    <n v="-0.29851513917032002"/>
    <n v="-1.9154479667265667"/>
    <x v="0"/>
    <x v="0"/>
    <x v="1"/>
    <x v="1"/>
    <x v="0"/>
    <x v="0"/>
  </r>
  <r>
    <x v="5"/>
    <s v="CWK"/>
    <n v="2306"/>
    <n v="10.8"/>
    <n v="0.59"/>
    <n v="7.68"/>
    <n v="0.69"/>
    <n v="18.305084745762713"/>
    <n v="1.4062500000000002"/>
    <n v="9.52"/>
    <n v="3.49"/>
    <n v="4.17"/>
    <n v="15.65217391304348"/>
    <s v="NO"/>
    <n v="-0.69343572360910766"/>
    <n v="-1.0732084563760547"/>
    <n v="0.1837801801515053"/>
    <n v="-0.1845264770346528"/>
    <n v="1.0829540250618357"/>
    <n v="-0.38625213393782415"/>
    <x v="0"/>
    <x v="0"/>
    <x v="0"/>
    <x v="0"/>
    <x v="0"/>
    <x v="0"/>
  </r>
  <r>
    <x v="5"/>
    <s v="FSV"/>
    <n v="7945"/>
    <n v="175.15"/>
    <n v="4.84"/>
    <n v="26.53"/>
    <n v="2.88"/>
    <n v="36.188016528925623"/>
    <n v="6.601960045231813"/>
    <n v="12.27"/>
    <n v="5.31"/>
    <n v="3.51"/>
    <n v="60.815972222222229"/>
    <s v="NO"/>
    <n v="1.3881362227751755"/>
    <n v="0.70483696712719679"/>
    <n v="1.2623681276870138"/>
    <n v="1.9333720071288421"/>
    <n v="0.37615584801282564"/>
    <n v="1.5063929700398131"/>
    <x v="0"/>
    <x v="0"/>
    <x v="0"/>
    <x v="0"/>
    <x v="0"/>
    <x v="0"/>
  </r>
  <r>
    <x v="5"/>
    <s v="NMRK"/>
    <n v="2063"/>
    <n v="11.87"/>
    <n v="-0.89"/>
    <n v="8.85"/>
    <n v="0.38"/>
    <n v="-13.337078651685392"/>
    <n v="1.3412429378531072"/>
    <n v="6.13"/>
    <n v="2.25"/>
    <n v="3.11"/>
    <n v="31.236842105263154"/>
    <s v="NO"/>
    <n v="-4.3765812195310358"/>
    <n v="-1.0954547919758921"/>
    <n v="-1.1458245988104487"/>
    <n v="-1.6274902794317598"/>
    <n v="-5.2206683532028737E-2"/>
    <n v="0.26684275744393082"/>
    <x v="1"/>
    <x v="0"/>
    <x v="0"/>
    <x v="0"/>
    <x v="0"/>
    <x v="0"/>
  </r>
  <r>
    <x v="6"/>
    <s v="IRT"/>
    <n v="4524"/>
    <n v="18.920000000000002"/>
    <n v="0.71"/>
    <n v="14.81"/>
    <n v="0.13"/>
    <n v="26.647887323943667"/>
    <n v="1.2775151924375423"/>
    <n v="0.86"/>
    <n v="1.32"/>
    <n v="1.73"/>
    <n v="145.53846153846155"/>
    <s v="NO"/>
    <e v="#DIV/0!"/>
    <e v="#DIV/0!"/>
    <e v="#DIV/0!"/>
    <e v="#DIV/0!"/>
    <e v="#DIV/0!"/>
    <e v="#DIV/0!"/>
    <x v="0"/>
    <x v="0"/>
    <x v="0"/>
    <x v="0"/>
    <x v="0"/>
    <x v="0"/>
  </r>
  <r>
    <x v="7"/>
    <s v="ADC"/>
    <n v="8382"/>
    <n v="72.92"/>
    <n v="4.4000000000000004"/>
    <n v="49.81"/>
    <n v="1.77"/>
    <n v="16.572727272727271"/>
    <n v="1.4639630596265809"/>
    <n v="3.55"/>
    <n v="2.2999999999999998"/>
    <n v="1.61"/>
    <n v="41.197740112994353"/>
    <s v="NO"/>
    <n v="0.38302652794877745"/>
    <n v="-0.53590565271835389"/>
    <n v="-0.15331226370333048"/>
    <n v="-3.1010065745589368E-2"/>
    <n v="-0.96174595423503317"/>
    <n v="-0.32512634638770604"/>
    <x v="0"/>
    <x v="0"/>
    <x v="0"/>
    <x v="0"/>
    <x v="0"/>
    <x v="0"/>
  </r>
  <r>
    <x v="7"/>
    <s v="AKR"/>
    <n v="2537"/>
    <n v="20.23"/>
    <n v="1.24"/>
    <n v="17.55"/>
    <n v="0.17"/>
    <n v="16.31451612903226"/>
    <n v="1.1527065527065528"/>
    <n v="0.13"/>
    <n v="1.24"/>
    <n v="2.06"/>
    <n v="119"/>
    <s v="NO"/>
    <n v="0.28812020853243503"/>
    <n v="-1.1334118314976334"/>
    <n v="-0.72582684990757818"/>
    <n v="-1.0424152869863579"/>
    <n v="-0.36134963598426079"/>
    <n v="0.93388177394845373"/>
    <x v="0"/>
    <x v="0"/>
    <x v="0"/>
    <x v="0"/>
    <x v="0"/>
    <x v="0"/>
  </r>
  <r>
    <x v="7"/>
    <s v="BRX"/>
    <n v="7734"/>
    <n v="26.04"/>
    <n v="2.06"/>
    <n v="9.65"/>
    <n v="1.05"/>
    <n v="12.640776699029125"/>
    <n v="2.6984455958549223"/>
    <n v="11.01"/>
    <n v="3.39"/>
    <n v="2.91"/>
    <n v="24.799999999999997"/>
    <s v="NO"/>
    <n v="-1.0621742938927374"/>
    <n v="1.8338791601050639"/>
    <n v="1.0955061026954087"/>
    <n v="1.0090198315680314"/>
    <n v="0.7727322984894206"/>
    <n v="-0.59047709567705842"/>
    <x v="0"/>
    <x v="0"/>
    <x v="0"/>
    <x v="0"/>
    <x v="0"/>
    <x v="0"/>
  </r>
  <r>
    <x v="7"/>
    <s v="CURB"/>
    <n v="2460"/>
    <n v="23.4"/>
    <n v="0.61"/>
    <n v="18.38"/>
    <n v="0.11"/>
    <n v="38.360655737704917"/>
    <n v="1.2731229597388465"/>
    <n v="0.92"/>
    <n v="1.44"/>
    <n v="1.1000000000000001"/>
    <n v="212.72727272727272"/>
    <s v="NO"/>
    <n v="8.391248282932402"/>
    <n v="-0.90225346009471097"/>
    <n v="-0.59357932853291273"/>
    <n v="-0.85158411316734495"/>
    <n v="-1.642195114919242"/>
    <n v="2.4505908982332474"/>
    <x v="1"/>
    <x v="0"/>
    <x v="0"/>
    <x v="0"/>
    <x v="0"/>
    <x v="0"/>
  </r>
  <r>
    <x v="7"/>
    <s v="FRT"/>
    <n v="8167"/>
    <n v="96.91"/>
    <n v="5.59"/>
    <n v="35.159999999999997"/>
    <n v="3.42"/>
    <n v="17.336314847942756"/>
    <n v="2.7562571103526738"/>
    <n v="9.15"/>
    <n v="3.11"/>
    <n v="2.83"/>
    <n v="28.336257309941519"/>
    <s v="NO"/>
    <n v="0.66368554707054406"/>
    <n v="1.9448575215176642"/>
    <n v="0.78413852072467749"/>
    <n v="0.74185618822141308"/>
    <n v="0.66599517524483876"/>
    <n v="-0.53325283669948498"/>
    <x v="0"/>
    <x v="0"/>
    <x v="0"/>
    <x v="0"/>
    <x v="0"/>
    <x v="0"/>
  </r>
  <r>
    <x v="7"/>
    <s v="IVT"/>
    <n v="2183"/>
    <n v="28.33"/>
    <n v="1.45"/>
    <n v="22.49"/>
    <n v="0.24"/>
    <n v="19.537931034482757"/>
    <n v="1.2596709648732771"/>
    <n v="1.07"/>
    <n v="1.23"/>
    <n v="1.49"/>
    <n v="118.04166666666666"/>
    <s v="NO"/>
    <n v="1.4728965131114042"/>
    <n v="-0.92807669549826821"/>
    <n v="-0.5684690396643054"/>
    <n v="-1.0519568456773085"/>
    <n v="-1.121851639101906"/>
    <n v="0.91837387674331084"/>
    <x v="0"/>
    <x v="0"/>
    <x v="0"/>
    <x v="0"/>
    <x v="0"/>
    <x v="0"/>
  </r>
  <r>
    <x v="7"/>
    <s v="KRG"/>
    <n v="4917"/>
    <n v="22.91"/>
    <n v="1.33"/>
    <n v="14.87"/>
    <n v="0.06"/>
    <n v="17.225563909774436"/>
    <n v="1.5406859448554138"/>
    <n v="0.41"/>
    <n v="1.73"/>
    <n v="2.04"/>
    <n v="381.83333333333337"/>
    <s v="NO"/>
    <n v="0.62297869080148516"/>
    <n v="-0.38862391897525966"/>
    <n v="-0.67895431068617773"/>
    <n v="-0.57487891112977607"/>
    <n v="-0.38803391679540628"/>
    <n v="5.1870911465589158"/>
    <x v="0"/>
    <x v="0"/>
    <x v="0"/>
    <x v="0"/>
    <x v="0"/>
    <x v="1"/>
  </r>
  <r>
    <x v="7"/>
    <s v="MAC"/>
    <n v="3759"/>
    <n v="16.07"/>
    <n v="1.28"/>
    <n v="10.9"/>
    <n v="-0.88"/>
    <n v="12.5546875"/>
    <n v="1.4743119266055045"/>
    <n v="-7.36"/>
    <n v="1.1399999999999999"/>
    <n v="3.11"/>
    <n v="-18.261363636363637"/>
    <s v="NO"/>
    <n v="-1.093816650238929"/>
    <n v="-0.51603936293550146"/>
    <n v="-1.9796672740800387"/>
    <n v="-1.1378308738958645"/>
    <n v="1.0395751066008747"/>
    <n v="-1.2873026964972325"/>
    <x v="0"/>
    <x v="0"/>
    <x v="0"/>
    <x v="0"/>
    <x v="0"/>
    <x v="0"/>
  </r>
  <r>
    <x v="7"/>
    <s v="NNN"/>
    <n v="7843"/>
    <n v="40.83"/>
    <n v="3.5"/>
    <n v="23.23"/>
    <n v="2.14"/>
    <n v="11.665714285714285"/>
    <n v="1.7576409814894531"/>
    <n v="9.35"/>
    <n v="3.89"/>
    <n v="2.0699999999999998"/>
    <n v="19.079439252336446"/>
    <s v="NO"/>
    <n v="-1.4205615560561091"/>
    <n v="2.7855646990665988E-2"/>
    <n v="0.8176189058828206"/>
    <n v="1.4860977661155639"/>
    <n v="-0.34800749557868838"/>
    <n v="-0.68304808840457942"/>
    <x v="0"/>
    <x v="0"/>
    <x v="0"/>
    <x v="0"/>
    <x v="0"/>
    <x v="0"/>
  </r>
  <r>
    <x v="7"/>
    <s v="PECO"/>
    <n v="4453"/>
    <n v="35.69"/>
    <n v="1.81"/>
    <n v="18.43"/>
    <n v="0.56999999999999995"/>
    <n v="19.718232044198892"/>
    <n v="1.9365165491047205"/>
    <n v="3"/>
    <n v="2.2200000000000002"/>
    <n v="2.23"/>
    <n v="62.614035087719301"/>
    <s v="NO"/>
    <n v="1.5391667173107255"/>
    <n v="0.37123563907620899"/>
    <n v="-0.24538332288822409"/>
    <n v="-0.10734253527319419"/>
    <n v="-0.13453324908952463"/>
    <n v="2.1435428551128961E-2"/>
    <x v="0"/>
    <x v="0"/>
    <x v="0"/>
    <x v="0"/>
    <x v="0"/>
    <x v="0"/>
  </r>
  <r>
    <x v="7"/>
    <s v="SKT"/>
    <n v="3371"/>
    <n v="31.34"/>
    <n v="2.4"/>
    <n v="5.6"/>
    <n v="0.85"/>
    <n v="13.058333333333334"/>
    <n v="5.5964285714285715"/>
    <n v="16.04"/>
    <n v="4.3099999999999996"/>
    <n v="3.91"/>
    <n v="36.870588235294122"/>
    <s v="NO"/>
    <n v="-0.90870003734982041"/>
    <n v="7.3970166219905167"/>
    <n v="1.9375377894227086"/>
    <n v="1.8868432311354906"/>
    <n v="2.1069463390466927"/>
    <n v="-0.3951489827464007"/>
    <x v="0"/>
    <x v="1"/>
    <x v="0"/>
    <x v="0"/>
    <x v="0"/>
    <x v="0"/>
  </r>
  <r>
    <x v="7"/>
    <s v="UE"/>
    <n v="2316"/>
    <n v="18.760000000000002"/>
    <n v="1.32"/>
    <n v="10.08"/>
    <n v="0.63"/>
    <n v="14.212121212121213"/>
    <n v="1.8611111111111112"/>
    <n v="6.32"/>
    <n v="1.99"/>
    <n v="2.61"/>
    <n v="29.777777777777779"/>
    <s v="NO"/>
    <n v="-0.48462166723777755"/>
    <n v="0.22648295403012403"/>
    <n v="0.3103910707369521"/>
    <n v="-0.32679838516505927"/>
    <n v="0.3724680863222386"/>
    <n v="-0.50992593106367912"/>
    <x v="0"/>
    <x v="0"/>
    <x v="0"/>
    <x v="0"/>
    <x v="0"/>
    <x v="0"/>
  </r>
  <r>
    <x v="8"/>
    <s v="EPR"/>
    <n v="3831"/>
    <n v="52.36"/>
    <n v="5.2"/>
    <n v="30.67"/>
    <n v="1.6"/>
    <n v="10.069230769230769"/>
    <n v="1.7072057385066839"/>
    <n v="6.1"/>
    <n v="3.92"/>
    <n v="2.42"/>
    <n v="32.724999999999994"/>
    <s v="NO"/>
    <n v="-1.0135572788580127"/>
    <n v="-0.8751358557628206"/>
    <n v="-0.51554903005559671"/>
    <n v="0.3351227200225928"/>
    <n v="1.2246071637957385"/>
    <n v="0.23694140201968261"/>
    <x v="0"/>
    <x v="0"/>
    <x v="0"/>
    <x v="0"/>
    <x v="0"/>
    <x v="0"/>
  </r>
  <r>
    <x v="8"/>
    <s v="FCPT"/>
    <n v="2789"/>
    <n v="26.88"/>
    <n v="1.54"/>
    <n v="15.58"/>
    <n v="1.07"/>
    <n v="17.454545454545453"/>
    <n v="1.7252888318356867"/>
    <n v="7.62"/>
    <n v="3.66"/>
    <n v="1.9"/>
    <n v="25.121495327102803"/>
    <s v="NO"/>
    <n v="1.3858139252536821"/>
    <n v="-0.85798383746095352"/>
    <n v="-0.37246299371636837"/>
    <n v="0.24582208306196052"/>
    <n v="0.10085000172435442"/>
    <n v="-0.17237614186465239"/>
    <x v="0"/>
    <x v="0"/>
    <x v="0"/>
    <x v="0"/>
    <x v="0"/>
    <x v="0"/>
  </r>
  <r>
    <x v="8"/>
    <s v="MRP"/>
    <n v="4220"/>
    <n v="26.64"/>
    <m/>
    <m/>
    <m/>
    <s v=""/>
    <s v=""/>
    <n v="-5.12"/>
    <n v="-3.01"/>
    <n v="1.06"/>
    <s v=""/>
    <s v="NO"/>
    <e v="#VALUE!"/>
    <e v="#VALUE!"/>
    <n v="-1.571749903559637"/>
    <n v="-2.0450827189665692"/>
    <n v="-1.7144500293140348"/>
    <e v="#VALUE!"/>
    <x v="1"/>
    <x v="1"/>
    <x v="1"/>
    <x v="0"/>
    <x v="0"/>
    <x v="1"/>
  </r>
  <r>
    <x v="8"/>
    <s v="OUT"/>
    <n v="2610"/>
    <n v="16.600000000000001"/>
    <n v="1.24"/>
    <n v="4.01"/>
    <n v="1.51"/>
    <n v="13.38709677419355"/>
    <n v="4.1396508728179553"/>
    <n v="34.17"/>
    <n v="3.27"/>
    <n v="8.0399999999999991"/>
    <n v="10.993377483443709"/>
    <s v="NO"/>
    <n v="6.4364582378100707E-2"/>
    <n v="1.4320658327380691"/>
    <n v="2.1268358647089673"/>
    <n v="0.11187112762101194"/>
    <n v="13.36982880002877"/>
    <n v="-0.93293153628535619"/>
    <x v="0"/>
    <x v="0"/>
    <x v="0"/>
    <x v="1"/>
    <x v="1"/>
    <x v="0"/>
  </r>
  <r>
    <x v="8"/>
    <s v="CUBE"/>
    <n v="9613"/>
    <n v="42.65"/>
    <n v="2.76"/>
    <n v="12.48"/>
    <n v="1.69"/>
    <n v="15.452898550724639"/>
    <n v="3.4174679487179485"/>
    <n v="13.34"/>
    <n v="4.6500000000000004"/>
    <n v="2.37"/>
    <n v="25.236686390532544"/>
    <s v="NO"/>
    <n v="0.73551070237586724"/>
    <n v="0.74706717094427544"/>
    <n v="0.16599235356020106"/>
    <n v="0.58585143148898378"/>
    <n v="1.1165535905196442"/>
    <n v="-0.16617509048257695"/>
    <x v="0"/>
    <x v="0"/>
    <x v="0"/>
    <x v="0"/>
    <x v="0"/>
    <x v="0"/>
  </r>
  <r>
    <x v="8"/>
    <s v="NSA"/>
    <n v="2760"/>
    <n v="35.4"/>
    <n v="4.1900000000000004"/>
    <n v="9.07"/>
    <n v="0.11"/>
    <n v="8.4486873508353213"/>
    <n v="3.902976846747519"/>
    <n v="5.92"/>
    <n v="3.15"/>
    <n v="7.58"/>
    <n v="321.81818181818181"/>
    <s v="NO"/>
    <n v="-1.5400460445760695"/>
    <n v="1.2075778453744299"/>
    <n v="-0.53249342909576847"/>
    <n v="7.065544902379696E-2"/>
    <n v="12.375735925888703"/>
    <n v="15.799621537841524"/>
    <x v="0"/>
    <x v="0"/>
    <x v="0"/>
    <x v="0"/>
    <x v="1"/>
    <x v="1"/>
  </r>
  <r>
    <x v="8"/>
    <s v="PCH"/>
    <n v="2973"/>
    <n v="40.1"/>
    <n v="2.8"/>
    <n v="25.54"/>
    <n v="0.61"/>
    <n v="14.321428571428573"/>
    <n v="1.5700861393891936"/>
    <n v="2.31"/>
    <n v="1.23"/>
    <n v="1.62"/>
    <n v="65.73770491803279"/>
    <s v="NO"/>
    <n v="0.36791411342643399"/>
    <n v="-1.005195344524944"/>
    <n v="-0.8723227654014355"/>
    <n v="-0.58879540853164192"/>
    <n v="-0.50425000862177494"/>
    <n v="2.0141059958935634"/>
    <x v="0"/>
    <x v="0"/>
    <x v="0"/>
    <x v="0"/>
    <x v="0"/>
    <x v="0"/>
  </r>
  <r>
    <x v="8"/>
    <s v="RYN"/>
    <n v="3656"/>
    <n v="23.9"/>
    <n v="0.92"/>
    <n v="12.28"/>
    <n v="2.36"/>
    <n v="25.978260869565215"/>
    <n v="1.9462540716612378"/>
    <n v="18.87"/>
    <n v="7.01"/>
    <n v="1.75"/>
    <n v="10.127118644067796"/>
    <s v="NO"/>
    <n v="4.155033408819933"/>
    <n v="-0.64839581130805746"/>
    <n v="0.68656194629436706"/>
    <n v="1.3964264439008773"/>
    <n v="-0.22331071810392922"/>
    <n v="-0.97956462928066013"/>
    <x v="1"/>
    <x v="0"/>
    <x v="1"/>
    <x v="0"/>
    <x v="0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3">
  <r>
    <x v="0"/>
    <s v="AAT"/>
    <n v="1163"/>
    <n v="19.5"/>
    <n v="1.88"/>
    <n v="19.600000000000001"/>
    <n v="1.33"/>
    <n v="10.372340425531915"/>
    <n v="0.99489795918367341"/>
    <n v="8.8699999999999992"/>
    <n v="2.65"/>
    <n v="2.48"/>
    <n v="14.661654135338345"/>
    <s v="NO"/>
    <n v="0.56180102703797263"/>
    <n v="-0.72341250504081378"/>
    <n v="1.2375184697611095"/>
    <n v="0.46324105461207876"/>
    <n v="-0.28394934293109481"/>
    <n v="-1.5355790925481134"/>
    <x v="0"/>
    <x v="0"/>
    <x v="0"/>
    <x v="0"/>
    <x v="0"/>
    <x v="0"/>
  </r>
  <r>
    <x v="0"/>
    <s v="AHH"/>
    <n v="552"/>
    <n v="7.22"/>
    <n v="1.59"/>
    <n v="6.27"/>
    <n v="0.34"/>
    <n v="4.5408805031446535"/>
    <n v="1.1515151515151516"/>
    <n v="5.01"/>
    <n v="2.14"/>
    <n v="5.03"/>
    <n v="21.235294117647058"/>
    <s v="NO"/>
    <n v="-2.101522729398225"/>
    <n v="0.41166617229037611"/>
    <n v="-0.70329261943254573"/>
    <n v="-0.95427657250087916"/>
    <n v="8.3067214559164118"/>
    <n v="-0.1481322222127914"/>
    <x v="0"/>
    <x v="0"/>
    <x v="0"/>
    <x v="0"/>
    <x v="1"/>
    <x v="0"/>
  </r>
  <r>
    <x v="0"/>
    <s v="ALEX"/>
    <n v="1259"/>
    <n v="17.57"/>
    <n v="1.49"/>
    <n v="13.82"/>
    <n v="0.89"/>
    <n v="11.791946308724832"/>
    <n v="1.2713458755426919"/>
    <n v="6.47"/>
    <n v="3.05"/>
    <n v="1.64"/>
    <n v="19.741573033707866"/>
    <s v="NO"/>
    <n v="1.2101584064601203"/>
    <n v="1.2801359597255921"/>
    <n v="3.0796549018940453E-2"/>
    <n v="1.5750195856810656"/>
    <n v="-3.113817370786744"/>
    <n v="-0.46340026984588584"/>
    <x v="0"/>
    <x v="0"/>
    <x v="0"/>
    <x v="0"/>
    <x v="1"/>
    <x v="0"/>
  </r>
  <r>
    <x v="0"/>
    <s v="CTO"/>
    <n v="585"/>
    <n v="17.96"/>
    <n v="2.19"/>
    <n v="18.649999999999999"/>
    <n v="-0.5"/>
    <n v="8.2009132420091326"/>
    <n v="0.96300268096514752"/>
    <n v="-1.05"/>
    <n v="0.68"/>
    <n v="2.09"/>
    <n v="-35.92"/>
    <s v="NO"/>
    <n v="-0.42992551832428361"/>
    <n v="-0.95457263295812533"/>
    <n v="-3.7502654693065227"/>
    <n v="-5.0122682109026817"/>
    <n v="-1.5978166415783608"/>
    <n v="-12.211453937432966"/>
    <x v="0"/>
    <x v="0"/>
    <x v="1"/>
    <x v="1"/>
    <x v="0"/>
    <x v="1"/>
  </r>
  <r>
    <x v="0"/>
    <s v="ESBA"/>
    <n v="1909"/>
    <n v="7.84"/>
    <n v="0.92"/>
    <n v="6.39"/>
    <n v="0.28000000000000003"/>
    <n v="8.5217391304347814"/>
    <n v="1.2269170579029733"/>
    <n v="4.57"/>
    <n v="2.27"/>
    <n v="2.57"/>
    <n v="27.999999999999996"/>
    <s v="NO"/>
    <n v="-0.28339905296293333"/>
    <n v="0.95813935889810786"/>
    <n v="-0.92452497156860991"/>
    <n v="-0.59294854990345869"/>
    <n v="1.9250802910581379E-2"/>
    <n v="1.2796414359839887"/>
    <x v="0"/>
    <x v="0"/>
    <x v="0"/>
    <x v="0"/>
    <x v="0"/>
    <x v="0"/>
  </r>
  <r>
    <x v="0"/>
    <s v="FISK"/>
    <n v="1904"/>
    <n v="7.42"/>
    <n v="0.92"/>
    <n v="6.39"/>
    <n v="0.28000000000000003"/>
    <n v="8.0652173913043477"/>
    <n v="1.1611893583724571"/>
    <n v="4.57"/>
    <n v="2.27"/>
    <n v="2.57"/>
    <n v="26.499999999999996"/>
    <s v="NO"/>
    <n v="-0.49190004745453336"/>
    <n v="0.4817797132136325"/>
    <n v="-0.92452497156860991"/>
    <n v="-0.59294854990345869"/>
    <n v="1.9250802910581379E-2"/>
    <n v="0.96304814655774607"/>
    <x v="0"/>
    <x v="0"/>
    <x v="0"/>
    <x v="0"/>
    <x v="0"/>
    <x v="0"/>
  </r>
  <r>
    <x v="0"/>
    <s v="GNL"/>
    <n v="1722"/>
    <n v="7.95"/>
    <n v="0.91"/>
    <n v="9.48"/>
    <n v="-0.76"/>
    <n v="8.7362637362637354"/>
    <n v="0.83860759493670889"/>
    <n v="-5.45"/>
    <n v="1.99"/>
    <n v="3.18"/>
    <n v="-10.460526315789474"/>
    <s v="NO"/>
    <n v="-0.18542213352104028"/>
    <n v="-1.8561225050616652"/>
    <n v="-5.9625889906671663"/>
    <n v="-1.3711935216517497"/>
    <n v="2.07427401361528"/>
    <n v="-6.837921590269584"/>
    <x v="0"/>
    <x v="0"/>
    <x v="1"/>
    <x v="0"/>
    <x v="0"/>
    <x v="1"/>
  </r>
  <r>
    <x v="0"/>
    <s v="GOOD"/>
    <n v="633"/>
    <n v="14.35"/>
    <n v="1.36"/>
    <n v="3.89"/>
    <n v="0.27"/>
    <n v="10.551470588235293"/>
    <n v="3.6889460154241642"/>
    <n v="7.22"/>
    <n v="3"/>
    <n v="6.39"/>
    <n v="53.148148148148145"/>
    <s v="NO"/>
    <n v="0.64361272156589866"/>
    <n v="18.801624681630205"/>
    <n v="0.40789714925086834"/>
    <n v="1.4360472692974426"/>
    <n v="12.888412548635079"/>
    <n v="6.5874647327844524"/>
    <x v="0"/>
    <x v="1"/>
    <x v="0"/>
    <x v="0"/>
    <x v="1"/>
    <x v="1"/>
  </r>
  <r>
    <x v="0"/>
    <s v="OGCP"/>
    <n v="1931"/>
    <n v="7.35"/>
    <n v="0.92"/>
    <n v="6.39"/>
    <n v="0.28000000000000003"/>
    <n v="7.9891304347826075"/>
    <n v="1.1502347417840375"/>
    <n v="4.57"/>
    <n v="2.27"/>
    <n v="2.57"/>
    <n v="26.249999999999996"/>
    <s v="NO"/>
    <n v="-0.52665021320313388"/>
    <n v="0.40238643893288528"/>
    <n v="-0.92452497156860991"/>
    <n v="-0.59294854990345869"/>
    <n v="1.9250802910581379E-2"/>
    <n v="0.91028259832003899"/>
    <x v="0"/>
    <x v="0"/>
    <x v="0"/>
    <x v="0"/>
    <x v="0"/>
    <x v="0"/>
  </r>
  <r>
    <x v="0"/>
    <s v="OLP"/>
    <n v="503"/>
    <n v="24.04"/>
    <n v="1.9"/>
    <n v="14.85"/>
    <n v="1.4"/>
    <n v="12.652631578947368"/>
    <n v="1.6188552188552188"/>
    <n v="9.99"/>
    <n v="2.71"/>
    <n v="2.4900000000000002"/>
    <n v="17.171428571428571"/>
    <s v="NO"/>
    <n v="1.6032475398001609"/>
    <n v="3.7987001090085415"/>
    <n v="1.8006553661074554"/>
    <n v="0.63000783427242701"/>
    <n v="-0.2502604378375744"/>
    <n v="-1.0058605962549816"/>
    <x v="0"/>
    <x v="1"/>
    <x v="0"/>
    <x v="0"/>
    <x v="0"/>
    <x v="0"/>
  </r>
  <r>
    <x v="1"/>
    <s v="CHCT"/>
    <n v="485"/>
    <n v="16.25"/>
    <n v="2.2799999999999998"/>
    <n v="17.25"/>
    <n v="-0.31"/>
    <n v="7.1271929824561413"/>
    <n v="0.94202898550724634"/>
    <n v="-1.08"/>
    <n v="1.93"/>
    <n v="2.14"/>
    <n v="-52.41935483870968"/>
    <s v="NO"/>
    <n v="-1.1741097192656544"/>
    <n v="-0.67072907923777525"/>
    <n v="-1.246064176760687"/>
    <n v="-0.72451167106572345"/>
    <n v="-0.23608505466362323"/>
    <n v="-12.637692420255059"/>
    <x v="0"/>
    <x v="0"/>
    <x v="0"/>
    <x v="0"/>
    <x v="0"/>
    <x v="1"/>
  </r>
  <r>
    <x v="1"/>
    <s v="GMRE"/>
    <n v="514"/>
    <n v="6.79"/>
    <n v="0.97"/>
    <n v="6.87"/>
    <n v="0.01"/>
    <n v="7"/>
    <n v="0.98835516739446871"/>
    <n v="1.1499999999999999"/>
    <n v="1.63"/>
    <n v="2.74"/>
    <n v="679"/>
    <s v="NO"/>
    <n v="-1.2346222096842501"/>
    <n v="-0.52338433137548468"/>
    <n v="-0.74897596313343628"/>
    <n v="-0.99620354771537001"/>
    <n v="0.66044046937545287"/>
    <n v="103.94755221195386"/>
    <x v="0"/>
    <x v="0"/>
    <x v="0"/>
    <x v="0"/>
    <x v="0"/>
    <x v="1"/>
  </r>
  <r>
    <x v="1"/>
    <s v="LTC"/>
    <n v="1665"/>
    <n v="35.56"/>
    <n v="3.01"/>
    <n v="20.96"/>
    <n v="1.93"/>
    <n v="11.813953488372094"/>
    <n v="1.6965648854961832"/>
    <n v="9.39"/>
    <n v="4.12"/>
    <n v="1.85"/>
    <n v="18.424870466321245"/>
    <s v="NO"/>
    <n v="1.0556323996148831"/>
    <n v="1.7291428162611511"/>
    <n v="1.0877984226461814"/>
    <n v="1.2588390284766957"/>
    <n v="-0.66940572461584336"/>
    <n v="-1.3454135335585324"/>
    <x v="0"/>
    <x v="0"/>
    <x v="0"/>
    <x v="0"/>
    <x v="0"/>
    <x v="0"/>
  </r>
  <r>
    <x v="1"/>
    <s v="SILA"/>
    <n v="1418"/>
    <n v="25.09"/>
    <n v="2.36"/>
    <n v="25.48"/>
    <n v="0.75"/>
    <n v="10.631355932203391"/>
    <n v="0.98469387755102034"/>
    <n v="2.94"/>
    <n v="1.94"/>
    <n v="1.43"/>
    <n v="33.453333333333333"/>
    <s v="NO"/>
    <n v="0.49300762342969323"/>
    <n v="-0.53502940564789003"/>
    <n v="-0.34996793515461155"/>
    <n v="-0.71545527517740193"/>
    <n v="-1.2969735914431968"/>
    <n v="1.050061795615713"/>
    <x v="0"/>
    <x v="0"/>
    <x v="0"/>
    <x v="0"/>
    <x v="0"/>
    <x v="0"/>
  </r>
  <r>
    <x v="1"/>
    <s v="UHT"/>
    <n v="537"/>
    <n v="38.770000000000003"/>
    <n v="3.4"/>
    <n v="12.43"/>
    <n v="1.35"/>
    <n v="11.402941176470589"/>
    <n v="3.1190667739340308"/>
    <n v="10.15"/>
    <n v="4.03"/>
    <n v="3.33"/>
    <n v="28.718518518518518"/>
    <s v="NO"/>
    <n v="0.86009190590532791"/>
    <n v="6.2535429189019833"/>
    <n v="1.257209652402554"/>
    <n v="1.1773314654818019"/>
    <n v="1.5420239013472108"/>
    <n v="0.29535173794282066"/>
    <x v="0"/>
    <x v="1"/>
    <x v="0"/>
    <x v="0"/>
    <x v="0"/>
    <x v="0"/>
  </r>
  <r>
    <x v="2"/>
    <s v="CLDT"/>
    <n v="342"/>
    <n v="7.3"/>
    <n v="1.33"/>
    <n v="15.5"/>
    <n v="-0.08"/>
    <n v="5.488721804511278"/>
    <n v="0.47096774193548385"/>
    <n v="0.51"/>
    <n v="1.54"/>
    <n v="1.65"/>
    <n v="-91.25"/>
    <s v="NO"/>
    <n v="-0.38196149209125646"/>
    <n v="-0.93803378797446668"/>
    <n v="-1.2552580777130065"/>
    <n v="-0.368001540926846"/>
    <n v="-1.3114756669151286"/>
    <n v="-4.3014106929364599"/>
    <x v="0"/>
    <x v="0"/>
    <x v="0"/>
    <x v="0"/>
    <x v="0"/>
    <x v="1"/>
  </r>
  <r>
    <x v="2"/>
    <s v="DRH"/>
    <n v="1527"/>
    <n v="7.95"/>
    <n v="1.01"/>
    <n v="7.56"/>
    <n v="0.19"/>
    <n v="7.8712871287128712"/>
    <n v="1.0515873015873016"/>
    <n v="3.21"/>
    <n v="3.31"/>
    <n v="1.98"/>
    <n v="41.842105263157897"/>
    <s v="NO"/>
    <n v="0.56892479439917221"/>
    <n v="1.5021219745489329"/>
    <n v="0.84983310851377492"/>
    <n v="4.0109075511102414"/>
    <n v="-0.61060607973781245"/>
    <n v="0.57854400645696658"/>
    <x v="0"/>
    <x v="0"/>
    <x v="0"/>
    <x v="1"/>
    <x v="0"/>
    <x v="0"/>
  </r>
  <r>
    <x v="2"/>
    <s v="INN"/>
    <n v="463"/>
    <n v="4.5999999999999996"/>
    <n v="0.49"/>
    <n v="8.42"/>
    <n v="0.2"/>
    <n v="9.3877551020408152"/>
    <n v="0.54631828978622321"/>
    <n v="2.66"/>
    <n v="1.66"/>
    <n v="3.15"/>
    <n v="22.999999999999996"/>
    <s v="NO"/>
    <n v="1.1741500048444267"/>
    <n v="-0.62135986528137477"/>
    <n v="0.42101823724535664"/>
    <n v="-7.1126348246365795E-2"/>
    <n v="1.8742951838908535"/>
    <n v="-0.11232056393664579"/>
    <x v="0"/>
    <x v="0"/>
    <x v="0"/>
    <x v="0"/>
    <x v="0"/>
    <x v="0"/>
  </r>
  <r>
    <x v="2"/>
    <s v="PEB"/>
    <n v="1066"/>
    <n v="10.43"/>
    <n v="1.94"/>
    <n v="22.28"/>
    <n v="-0.44"/>
    <n v="5.3762886597938149"/>
    <n v="0.46813285457809689"/>
    <n v="-0.17"/>
    <n v="0.85"/>
    <n v="2.14"/>
    <n v="-23.704545454545453"/>
    <s v="NO"/>
    <n v="-0.42683377087952257"/>
    <n v="-0.94994790041907806"/>
    <n v="-1.7854291912812328"/>
    <n v="-2.0750338988396089"/>
    <n v="-0.27079052231850742"/>
    <n v="-1.8247892759109083"/>
    <x v="0"/>
    <x v="0"/>
    <x v="0"/>
    <x v="0"/>
    <x v="0"/>
    <x v="0"/>
  </r>
  <r>
    <x v="2"/>
    <s v="PK"/>
    <n v="1999"/>
    <n v="11.18"/>
    <n v="2.0699999999999998"/>
    <n v="17.489999999999998"/>
    <n v="0.61"/>
    <n v="5.4009661835748792"/>
    <n v="0.63922241280731851"/>
    <n v="3.9"/>
    <n v="2.27"/>
    <n v="2.5499999999999998"/>
    <n v="18.327868852459016"/>
    <s v="NO"/>
    <n v="-0.4169849248858376"/>
    <n v="-0.23091395731359143"/>
    <n v="1.3878008561050634"/>
    <n v="1.4379892145460769"/>
    <n v="0.59998684356846044"/>
    <n v="-0.28362890942072888"/>
    <x v="0"/>
    <x v="0"/>
    <x v="0"/>
    <x v="0"/>
    <x v="0"/>
    <x v="0"/>
  </r>
  <r>
    <x v="2"/>
    <s v="RLJ"/>
    <n v="1074"/>
    <n v="7.72"/>
    <n v="1.7"/>
    <n v="12.42"/>
    <n v="0.26"/>
    <n v="4.5411764705882351"/>
    <n v="0.62157809983896939"/>
    <n v="2.91"/>
    <n v="1.96"/>
    <n v="2.58"/>
    <n v="29.69230769230769"/>
    <s v="NO"/>
    <n v="-0.76012861082800998"/>
    <n v="-0.30506728413451756"/>
    <n v="0.6159340878219105"/>
    <n v="0.67106163345483549"/>
    <n v="0.66370226058458059"/>
    <n v="0.13305956817780221"/>
    <x v="0"/>
    <x v="0"/>
    <x v="0"/>
    <x v="0"/>
    <x v="0"/>
    <x v="0"/>
  </r>
  <r>
    <x v="2"/>
    <s v="SHO"/>
    <n v="1644"/>
    <n v="9.06"/>
    <n v="0.84"/>
    <n v="9.08"/>
    <n v="0.14000000000000001"/>
    <n v="10.785714285714286"/>
    <n v="0.99779735682819393"/>
    <n v="2.0299999999999998"/>
    <n v="1.57"/>
    <n v="1.7"/>
    <n v="64.714285714285708"/>
    <s v="NO"/>
    <n v="1.7320781352195769"/>
    <n v="1.276060276337349"/>
    <n v="-7.0169706207559274E-2"/>
    <n v="-0.29378274275672578"/>
    <n v="-1.2052833052215959"/>
    <n v="1.4171753006059558"/>
    <x v="0"/>
    <x v="0"/>
    <x v="0"/>
    <x v="0"/>
    <x v="0"/>
    <x v="0"/>
  </r>
  <r>
    <x v="2"/>
    <s v="SVC"/>
    <n v="335"/>
    <n v="2.2799999999999998"/>
    <n v="0.84"/>
    <n v="5.1100000000000003"/>
    <n v="-1.67"/>
    <n v="2.714285714285714"/>
    <n v="0.44618395303326802"/>
    <n v="-26.52"/>
    <n v="1.59"/>
    <n v="8.36"/>
    <n v="-1.3652694610778442"/>
    <s v="NO"/>
    <n v="-1.4892441357785486"/>
    <n v="-1.0421920174064401"/>
    <n v="-22.329559842050006"/>
    <n v="-0.24430354397664569"/>
    <n v="12.939539272356964"/>
    <n v="-1.0056974548760051"/>
    <x v="0"/>
    <x v="0"/>
    <x v="1"/>
    <x v="0"/>
    <x v="1"/>
    <x v="0"/>
  </r>
  <r>
    <x v="2"/>
    <s v="XHR"/>
    <n v="1114"/>
    <n v="12.32"/>
    <n v="0.53"/>
    <n v="12.25"/>
    <n v="0.22"/>
    <n v="23.245283018867923"/>
    <n v="1.0057142857142858"/>
    <n v="1.91"/>
    <n v="2.0699999999999998"/>
    <n v="2.39"/>
    <n v="56"/>
    <s v="NO"/>
    <n v="6.7047153693784782"/>
    <n v="1.3093325616431866"/>
    <n v="-0.16372931448430503"/>
    <n v="0.94319722674527562"/>
    <n v="0.26017128614915624"/>
    <n v="1.0976573289035632"/>
    <x v="1"/>
    <x v="0"/>
    <x v="0"/>
    <x v="0"/>
    <x v="0"/>
    <x v="0"/>
  </r>
  <r>
    <x v="3"/>
    <s v="IIPR"/>
    <n v="1495"/>
    <n v="55.47"/>
    <n v="9.1"/>
    <n v="67.5"/>
    <n v="5.52"/>
    <n v="6.0956043956043962"/>
    <n v="0.82177777777777772"/>
    <n v="8.31"/>
    <n v="4.5199999999999996"/>
    <n v="1.24"/>
    <n v="10.048913043478262"/>
    <s v="NO"/>
    <n v="-1.0000000000000027"/>
    <n v="-0.99999999999999878"/>
    <n v="-1.0000000000000004"/>
    <n v="1.0000000000000002"/>
    <n v="-1.0000000000000004"/>
    <n v="0.99999999999999944"/>
    <x v="0"/>
    <x v="0"/>
    <x v="0"/>
    <x v="0"/>
    <x v="0"/>
    <x v="0"/>
  </r>
  <r>
    <x v="3"/>
    <s v="PLYM"/>
    <n v="703"/>
    <n v="16.260000000000002"/>
    <n v="2.11"/>
    <n v="12.54"/>
    <n v="3.05"/>
    <n v="7.7061611374407599"/>
    <n v="1.2966507177033495"/>
    <n v="26.78"/>
    <n v="0.99"/>
    <n v="2.46"/>
    <n v="5.3311475409836078"/>
    <s v="NO"/>
    <n v="1.0000000000000027"/>
    <n v="0.99999999999999978"/>
    <n v="1.0000000000000002"/>
    <n v="-1.0000000000000002"/>
    <n v="1.0000000000000002"/>
    <n v="-0.99999999999999944"/>
    <x v="0"/>
    <x v="0"/>
    <x v="0"/>
    <x v="0"/>
    <x v="0"/>
    <x v="0"/>
  </r>
  <r>
    <x v="4"/>
    <s v="BDN"/>
    <n v="725"/>
    <n v="4.24"/>
    <n v="0.95"/>
    <n v="5.74"/>
    <n v="-1.2"/>
    <n v="4.4631578947368427"/>
    <n v="0.73867595818815335"/>
    <n v="-18.079999999999998"/>
    <n v="-1.77"/>
    <n v="3.45"/>
    <n v="-3.5333333333333337"/>
    <s v="NO"/>
    <n v="-0.89477775901675816"/>
    <n v="0.36078069909739113"/>
    <n v="-1.7832099203698084"/>
    <n v="-2.1510262763684551"/>
    <n v="1.7734368269254239"/>
    <n v="-0.25475628198149392"/>
    <x v="0"/>
    <x v="0"/>
    <x v="0"/>
    <x v="0"/>
    <x v="0"/>
    <x v="0"/>
  </r>
  <r>
    <x v="4"/>
    <s v="DEA"/>
    <n v="902"/>
    <n v="20.77"/>
    <n v="3.88"/>
    <n v="29.87"/>
    <n v="0.41"/>
    <n v="5.3530927835051543"/>
    <n v="0.69534650150652821"/>
    <n v="1.36"/>
    <n v="1.74"/>
    <n v="2.42"/>
    <n v="50.658536585365859"/>
    <s v="NO"/>
    <n v="-1.5026966943439269E-2"/>
    <n v="0.21037275190755758"/>
    <n v="0.83959410868285689"/>
    <n v="0.64013905821686001"/>
    <n v="-0.85692467477036305"/>
    <n v="1.7315303395118971"/>
    <x v="0"/>
    <x v="0"/>
    <x v="0"/>
    <x v="0"/>
    <x v="0"/>
    <x v="0"/>
  </r>
  <r>
    <x v="4"/>
    <s v="ESRT"/>
    <n v="1237"/>
    <n v="7.82"/>
    <n v="1.56"/>
    <n v="10.68"/>
    <n v="0.3"/>
    <n v="5.0128205128205128"/>
    <n v="0.73220973782771537"/>
    <n v="4.8899999999999997"/>
    <n v="2.31"/>
    <n v="2.2999999999999998"/>
    <n v="26.06666666666667"/>
    <s v="NO"/>
    <n v="-0.35140528341748312"/>
    <n v="0.33833474650590567"/>
    <n v="1.3158543053163914"/>
    <n v="1.0934052236623384"/>
    <n v="-1.1633745584630764"/>
    <n v="0.83016815565849922"/>
    <x v="0"/>
    <x v="0"/>
    <x v="0"/>
    <x v="0"/>
    <x v="0"/>
    <x v="0"/>
  </r>
  <r>
    <x v="4"/>
    <s v="HPP"/>
    <n v="322"/>
    <n v="2.23"/>
    <n v="0.86"/>
    <n v="17.23"/>
    <n v="-2.58"/>
    <n v="2.5930232558139537"/>
    <n v="0.1294254207777133"/>
    <n v="-11.32"/>
    <n v="-0.42"/>
    <n v="3.35"/>
    <n v="-0.86434108527131781"/>
    <s v="NO"/>
    <n v="-2.7435112457477091"/>
    <n v="-1.7540882532074649"/>
    <n v="-0.87116489792145391"/>
    <n v="-1.0775011476817953"/>
    <n v="1.518061923848163"/>
    <n v="-0.15693010246142014"/>
    <x v="1"/>
    <x v="0"/>
    <x v="0"/>
    <x v="0"/>
    <x v="0"/>
    <x v="0"/>
  </r>
  <r>
    <x v="4"/>
    <s v="JBGS"/>
    <n v="1120"/>
    <n v="16.62"/>
    <n v="1.23"/>
    <n v="21.51"/>
    <n v="-1.86"/>
    <n v="13.512195121951221"/>
    <n v="0.77266387726638774"/>
    <n v="-8.23"/>
    <n v="-0.02"/>
    <n v="3.01"/>
    <n v="-8.935483870967742"/>
    <s v="NO"/>
    <n v="8.0507055214071013"/>
    <n v="0.47876171084590224"/>
    <n v="-0.45426857848869995"/>
    <n v="-0.75941962807093322"/>
    <n v="0.64978725338547538"/>
    <n v="-0.45276050948452085"/>
    <x v="1"/>
    <x v="0"/>
    <x v="0"/>
    <x v="0"/>
    <x v="0"/>
    <x v="0"/>
  </r>
  <r>
    <x v="4"/>
    <s v="NLOP"/>
    <n v="446"/>
    <n v="30.16"/>
    <n v="4.8600000000000003"/>
    <n v="39.229999999999997"/>
    <n v="-6.18"/>
    <n v="6.2057613168724277"/>
    <n v="0.76879938822329852"/>
    <n v="-14.43"/>
    <n v="2.04"/>
    <n v="1.39"/>
    <n v="-4.8802588996763756"/>
    <s v="NO"/>
    <n v="0.82788393257647674"/>
    <n v="0.46534705235665447"/>
    <n v="-1.2907595754087886"/>
    <n v="0.87870019792500653"/>
    <n v="-3.4872861764661494"/>
    <n v="-0.30412494625877956"/>
    <x v="0"/>
    <x v="0"/>
    <x v="0"/>
    <x v="0"/>
    <x v="1"/>
    <x v="0"/>
  </r>
  <r>
    <x v="4"/>
    <s v="PDM"/>
    <n v="835"/>
    <n v="6.89"/>
    <n v="1.44"/>
    <n v="12.54"/>
    <n v="-0.5"/>
    <n v="4.7847222222222223"/>
    <n v="0.54944178628389151"/>
    <n v="-3.79"/>
    <n v="1.24"/>
    <n v="2.57"/>
    <n v="-13.78"/>
    <s v="NO"/>
    <n v="-0.57689329872852124"/>
    <n v="-0.2961009124912955"/>
    <n v="0.14476690962826691"/>
    <n v="0.24253715870328238"/>
    <n v="-0.47386232015447205"/>
    <n v="-0.63032584519155455"/>
    <x v="0"/>
    <x v="0"/>
    <x v="0"/>
    <x v="0"/>
    <x v="0"/>
    <x v="0"/>
  </r>
  <r>
    <x v="4"/>
    <s v="PGRE"/>
    <n v="1044"/>
    <n v="4.53"/>
    <n v="0.94"/>
    <n v="14.08"/>
    <n v="-0.31"/>
    <n v="4.8191489361702136"/>
    <n v="0.32173295454545459"/>
    <n v="-1.48"/>
    <n v="0.77"/>
    <n v="2.57"/>
    <n v="-14.612903225806452"/>
    <s v="NO"/>
    <n v="-0.54286055178661341"/>
    <n v="-1.0865381937715315"/>
    <n v="0.45642726493236452"/>
    <n v="-0.13120862683948056"/>
    <n v="-0.47386232015447205"/>
    <n v="-0.66085412437623692"/>
    <x v="0"/>
    <x v="0"/>
    <x v="0"/>
    <x v="0"/>
    <x v="0"/>
    <x v="0"/>
  </r>
  <r>
    <x v="4"/>
    <s v="PKST"/>
    <n v="410"/>
    <n v="12.03"/>
    <n v="2.6"/>
    <n v="29.54"/>
    <n v="-0.28999999999999998"/>
    <n v="4.6269230769230765"/>
    <n v="0.40724441435341907"/>
    <n v="-0.96"/>
    <n v="1.18"/>
    <n v="2.4700000000000002"/>
    <n v="-41.482758620689658"/>
    <s v="NO"/>
    <n v="-0.7328866470256663"/>
    <n v="-0.78970541265853489"/>
    <n v="0.52658457435146877"/>
    <n v="0.19482493076165303"/>
    <n v="-0.72923722323173201"/>
    <n v="-1.6457109741654801"/>
    <x v="0"/>
    <x v="0"/>
    <x v="0"/>
    <x v="0"/>
    <x v="0"/>
    <x v="0"/>
  </r>
  <r>
    <x v="4"/>
    <s v="PSTL"/>
    <n v="301"/>
    <n v="12.75"/>
    <n v="1.66"/>
    <n v="10.35"/>
    <n v="0.28000000000000003"/>
    <n v="7.6807228915662655"/>
    <n v="1.2318840579710146"/>
    <n v="3.41"/>
    <n v="2.2799999999999998"/>
    <n v="2.66"/>
    <n v="45.535714285714285"/>
    <s v="NO"/>
    <n v="2.2859665743420075"/>
    <n v="2.0728358114154175"/>
    <n v="1.1161758092774023"/>
    <n v="1.0695491096915235"/>
    <n v="-0.24402490738493657"/>
    <n v="1.5437642887490897"/>
    <x v="0"/>
    <x v="0"/>
    <x v="0"/>
    <x v="0"/>
    <x v="0"/>
    <x v="0"/>
  </r>
  <r>
    <x v="5"/>
    <s v="FPH"/>
    <n v="381"/>
    <n v="5.48"/>
    <n v="2.86"/>
    <n v="11.08"/>
    <n v="1.24"/>
    <n v="1.9160839160839163"/>
    <n v="0.49458483754512639"/>
    <n v="10.92"/>
    <n v="1.44"/>
    <n v="4.08"/>
    <n v="4.4193548387096779"/>
    <s v="NO"/>
    <n v="-0.66346534341222774"/>
    <n v="-0.51985806121940425"/>
    <n v="1.1309470801977874"/>
    <n v="0.30763564686717987"/>
    <n v="1.5892443968288481"/>
    <n v="0.36786157308122996"/>
    <x v="0"/>
    <x v="0"/>
    <x v="0"/>
    <x v="0"/>
    <x v="0"/>
    <x v="0"/>
  </r>
  <r>
    <x v="5"/>
    <s v="TRC"/>
    <n v="463"/>
    <n v="16.309999999999999"/>
    <n v="0.2"/>
    <n v="17.66"/>
    <n v="0.1"/>
    <n v="81.549999999999983"/>
    <n v="0.92355605889014714"/>
    <n v="0.55000000000000004"/>
    <n v="-1"/>
    <n v="1.28"/>
    <n v="163.09999999999997"/>
    <s v="NO"/>
    <n v="1.3786632777892214"/>
    <n v="-0.39904300658922448"/>
    <n v="0.54595864753133849"/>
    <n v="-0.33702863942883193"/>
    <n v="-1.146340220663431"/>
    <n v="3.9202451748949354"/>
    <x v="0"/>
    <x v="0"/>
    <x v="0"/>
    <x v="0"/>
    <x v="0"/>
    <x v="1"/>
  </r>
  <r>
    <x v="5"/>
    <s v="FRPH"/>
    <n v="527"/>
    <n v="26.6"/>
    <n v="1.54"/>
    <n v="22.21"/>
    <n v="0.34"/>
    <n v="17.272727272727273"/>
    <n v="1.1976587122917606"/>
    <n v="1.41"/>
    <n v="0.03"/>
    <n v="1.72"/>
    <n v="78.235294117647058"/>
    <s v="NO"/>
    <n v="-0.26966026052345055"/>
    <n v="-0.32184499097139296"/>
    <n v="0.59447263519702276"/>
    <n v="-6.4895764476007256E-2"/>
    <n v="-0.71646263791464437"/>
    <n v="2.0203790050619124"/>
    <x v="0"/>
    <x v="0"/>
    <x v="0"/>
    <x v="0"/>
    <x v="0"/>
    <x v="0"/>
  </r>
  <r>
    <x v="5"/>
    <s v="IRS"/>
    <n v="1045"/>
    <n v="15.49"/>
    <n v="0.14000000000000001"/>
    <n v="1.52"/>
    <n v="-0.48"/>
    <n v="110.64285714285714"/>
    <n v="10.190789473684211"/>
    <n v="-36.950000000000003"/>
    <n v="4.54"/>
    <n v="2.16"/>
    <n v="-32.270833333333336"/>
    <s v="NO"/>
    <n v="2.1247192193474329"/>
    <n v="2.2109719677683737"/>
    <n v="-1.5694768611467569"/>
    <n v="1.1266763384727687"/>
    <n v="-0.28658505516585747"/>
    <n v="-0.45352166919979064"/>
    <x v="0"/>
    <x v="0"/>
    <x v="0"/>
    <x v="0"/>
    <x v="0"/>
    <x v="0"/>
  </r>
  <r>
    <x v="5"/>
    <s v="KW"/>
    <n v="912"/>
    <n v="6.42"/>
    <n v="0.08"/>
    <n v="5.9"/>
    <n v="-0.56000000000000005"/>
    <n v="80.25"/>
    <n v="1.0881355932203389"/>
    <n v="-1.96"/>
    <n v="0.41"/>
    <n v="8.58"/>
    <n v="-11.464285714285714"/>
    <s v="NO"/>
    <n v="1.3453261352987738"/>
    <n v="-0.35269098006220656"/>
    <n v="0.40436549748381789"/>
    <n v="3.550277191435524E-2"/>
    <n v="5.9857196749414401"/>
    <n v="1.2274512162670803E-2"/>
    <x v="0"/>
    <x v="0"/>
    <x v="0"/>
    <x v="0"/>
    <x v="1"/>
    <x v="0"/>
  </r>
  <r>
    <x v="5"/>
    <s v="LB"/>
    <n v="1814"/>
    <n v="78.95"/>
    <n v="3.74"/>
    <n v="18.75"/>
    <n v="7.0000000000000007E-2"/>
    <n v="21.109625668449198"/>
    <n v="4.2106666666666666"/>
    <n v="1.42"/>
    <n v="-1.6"/>
    <n v="2.2999999999999998"/>
    <n v="1127.8571428571429"/>
    <s v="NO"/>
    <n v="-0.17126700780071752"/>
    <n v="0.52673575872927847"/>
    <n v="0.5950367513326702"/>
    <n v="-0.4955526442557201"/>
    <n v="-0.14980582429124384"/>
    <n v="25.518263323452413"/>
    <x v="0"/>
    <x v="0"/>
    <x v="0"/>
    <x v="0"/>
    <x v="0"/>
    <x v="1"/>
  </r>
  <r>
    <x v="5"/>
    <s v="MLP"/>
    <n v="292"/>
    <n v="14.79"/>
    <n v="-0.08"/>
    <n v="1.69"/>
    <n v="-0.38"/>
    <n v="-184.87499999999997"/>
    <n v="8.7514792899408285"/>
    <n v="-21.78"/>
    <n v="-11.24"/>
    <n v="1.51"/>
    <n v="-38.921052631578945"/>
    <s v="NO"/>
    <n v="-5.4535276360704641"/>
    <n v="1.8056059902244606"/>
    <n v="-0.71371268336951132"/>
    <n v="-3.04250498847439"/>
    <n v="-0.92163148422656527"/>
    <n v="-0.60240012857043479"/>
    <x v="1"/>
    <x v="0"/>
    <x v="0"/>
    <x v="1"/>
    <x v="0"/>
    <x v="0"/>
  </r>
  <r>
    <x v="5"/>
    <s v="MRNO"/>
    <n v="808"/>
    <n v="10.67"/>
    <n v="-7.0000000000000007E-2"/>
    <n v="0.34"/>
    <n v="-0.13"/>
    <n v="-152.42857142857142"/>
    <n v="31.382352941176467"/>
    <n v="-35.47"/>
    <n v="-1.85"/>
    <n v="3.63"/>
    <n v="-82.07692307692308"/>
    <s v="NO"/>
    <n v="-4.6214728571536527"/>
    <n v="8.1793441350117"/>
    <n v="-1.4859876730709278"/>
    <n v="-0.56160431293359014"/>
    <n v="1.1495968690175888"/>
    <n v="-1.5685305998463097"/>
    <x v="1"/>
    <x v="1"/>
    <x v="0"/>
    <x v="0"/>
    <x v="0"/>
    <x v="0"/>
  </r>
  <r>
    <x v="5"/>
    <s v="NEN"/>
    <n v="270"/>
    <n v="79.849999999999994"/>
    <n v="9.1"/>
    <n v="-17.66"/>
    <n v="4.46"/>
    <n v="8.7747252747252737"/>
    <n v="-4.5215175537938839"/>
    <n v="-24.51"/>
    <n v="4.28"/>
    <n v="-6.37"/>
    <n v="17.903587443946186"/>
    <s v="NO"/>
    <n v="-0.48758264782460742"/>
    <n v="-1.9325884596364498"/>
    <n v="-0.86771638840127663"/>
    <n v="1.0579826030477839"/>
    <n v="-8.6203481934548378"/>
    <n v="0.66973308829466349"/>
    <x v="0"/>
    <x v="0"/>
    <x v="0"/>
    <x v="0"/>
    <x v="1"/>
    <x v="0"/>
  </r>
  <r>
    <x v="5"/>
    <s v="TCI"/>
    <n v="267"/>
    <n v="34.840000000000003"/>
    <n v="0.15"/>
    <n v="96.34"/>
    <n v="0.68"/>
    <n v="232.26666666666671"/>
    <n v="0.36163587294996891"/>
    <n v="0.78"/>
    <n v="-0.3"/>
    <n v="1.29"/>
    <n v="51.235294117647058"/>
    <s v="NO"/>
    <n v="5.2436348103676931"/>
    <n v="-0.5573016835916168"/>
    <n v="0.55893331865123064"/>
    <n v="-0.15208396713079572"/>
    <n v="-1.1365702756009586"/>
    <n v="1.4159300053021857"/>
    <x v="1"/>
    <x v="0"/>
    <x v="0"/>
    <x v="0"/>
    <x v="0"/>
    <x v="0"/>
  </r>
  <r>
    <x v="5"/>
    <s v="FOR"/>
    <n v="994"/>
    <n v="20.61"/>
    <n v="-8.16"/>
    <n v="32.36"/>
    <n v="3.29"/>
    <n v="-2.5257352941176467"/>
    <n v="0.63689740420271945"/>
    <n v="10.79"/>
    <n v="4.47"/>
    <n v="1.85"/>
    <n v="6.264437689969605"/>
    <s v="NO"/>
    <n v="-0.77737115874091889"/>
    <n v="-0.47977728269680603"/>
    <n v="1.1236135704343702"/>
    <n v="1.108181871242965"/>
    <n v="-0.58945335210250271"/>
    <n v="0.40916744285596657"/>
    <x v="0"/>
    <x v="0"/>
    <x v="0"/>
    <x v="0"/>
    <x v="0"/>
    <x v="0"/>
  </r>
  <r>
    <x v="5"/>
    <s v="EXPI"/>
    <n v="1134"/>
    <n v="7.95"/>
    <n v="1.19"/>
    <n v="1.33"/>
    <n v="-0.11"/>
    <n v="6.6806722689075633"/>
    <n v="5.977443609022556"/>
    <n v="-7.48"/>
    <n v="3.21"/>
    <n v="1.91"/>
    <n v="-72.27272727272728"/>
    <s v="NO"/>
    <n v="-0.54128245046883494"/>
    <n v="1.0243291687039506"/>
    <n v="9.2973390606402292E-2"/>
    <n v="0.77528146110649987"/>
    <n v="-0.53083368172766832"/>
    <n v="-1.3490440684650258"/>
    <x v="0"/>
    <x v="0"/>
    <x v="0"/>
    <x v="0"/>
    <x v="0"/>
    <x v="0"/>
  </r>
  <r>
    <x v="5"/>
    <s v="HOUS"/>
    <n v="415"/>
    <n v="3.81"/>
    <n v="0.37"/>
    <n v="13.35"/>
    <n v="-0.94"/>
    <n v="10.297297297297298"/>
    <n v="0.28539325842696628"/>
    <n v="-6.76"/>
    <n v="0.93"/>
    <n v="3.74"/>
    <n v="-4.0531914893617023"/>
    <s v="NO"/>
    <n v="-0.44853787823348962"/>
    <n v="-0.57877458242586222"/>
    <n v="0.13358975237302176"/>
    <n v="0.17289024276432499"/>
    <n v="1.2570662647047859"/>
    <n v="0.17818667851009326"/>
    <x v="0"/>
    <x v="0"/>
    <x v="0"/>
    <x v="0"/>
    <x v="0"/>
    <x v="0"/>
  </r>
  <r>
    <x v="5"/>
    <s v="IRMTF"/>
    <n v="386"/>
    <n v="20.83"/>
    <n v="2.6"/>
    <n v="7.08"/>
    <n v="0.85"/>
    <n v="8.0115384615384606"/>
    <n v="2.9420903954802258"/>
    <n v="11.6"/>
    <n v="6.36"/>
    <n v="2.88"/>
    <n v="24.505882352941175"/>
    <s v="NO"/>
    <n v="-0.50715377670002249"/>
    <n v="0.16945512105528795"/>
    <n v="1.169306977421817"/>
    <n v="1.6075324864476628"/>
    <n v="0.41685098933215692"/>
    <n v="0.81753866436358025"/>
    <x v="0"/>
    <x v="0"/>
    <x v="0"/>
    <x v="0"/>
    <x v="0"/>
    <x v="0"/>
  </r>
  <r>
    <x v="5"/>
    <s v="MMI"/>
    <n v="1181"/>
    <n v="30.03"/>
    <n v="0.36"/>
    <n v="16.239999999999998"/>
    <n v="-0.32"/>
    <n v="83.416666666666671"/>
    <n v="1.8491379310344831"/>
    <n v="-1.94"/>
    <n v="-2.35"/>
    <n v="1.38"/>
    <n v="-93.84375"/>
    <s v="NO"/>
    <n v="1.4265319952114035"/>
    <n v="-0.13836299151221773"/>
    <n v="0.40549372975511294"/>
    <n v="-0.69370765028933035"/>
    <n v="-1.048640770038707"/>
    <n v="-1.8319545540685196"/>
    <x v="0"/>
    <x v="0"/>
    <x v="0"/>
    <x v="0"/>
    <x v="0"/>
    <x v="0"/>
  </r>
  <r>
    <x v="5"/>
    <s v="OPEN"/>
    <n v="636"/>
    <n v="0.71109999999999995"/>
    <n v="-0.89"/>
    <n v="0.99"/>
    <n v="-0.56000000000000005"/>
    <n v="-0.79898876404494379"/>
    <n v="0.71828282828282819"/>
    <n v="-46.67"/>
    <n v="-5.53"/>
    <n v="4.38"/>
    <n v="-1.2698214285714284"/>
    <s v="NO"/>
    <n v="-0.73309054711174937"/>
    <n v="-0.45685596777617093"/>
    <n v="-2.1177977449961194"/>
    <n v="-1.5338848758718375"/>
    <n v="1.8823427487030207"/>
    <n v="0.2404979840362359"/>
    <x v="0"/>
    <x v="0"/>
    <x v="0"/>
    <x v="0"/>
    <x v="0"/>
    <x v="0"/>
  </r>
  <r>
    <x v="5"/>
    <s v="RDFN"/>
    <n v="1148"/>
    <n v="9.84"/>
    <n v="-0.36"/>
    <n v="-0.65"/>
    <n v="-1.36"/>
    <n v="-27.333333333333336"/>
    <n v="-15.138461538461538"/>
    <n v="824.81"/>
    <n v="-8.6300000000000008"/>
    <n v="-12.25"/>
    <n v="-7.235294117647058"/>
    <s v="NO"/>
    <n v="-1.413536105417142"/>
    <n v="-4.9227346598672534"/>
    <n v="47.043795244411513"/>
    <n v="-2.3529255674774263"/>
    <n v="-14.365075890188622"/>
    <n v="0.10694894699898655"/>
    <x v="0"/>
    <x v="1"/>
    <x v="1"/>
    <x v="0"/>
    <x v="1"/>
    <x v="0"/>
  </r>
  <r>
    <x v="5"/>
    <s v="REAX"/>
    <n v="916"/>
    <n v="4.3899999999999997"/>
    <n v="0.25"/>
    <n v="0.16"/>
    <n v="-0.14000000000000001"/>
    <n v="17.559999999999999"/>
    <n v="27.437499999999996"/>
    <n v="-76.42"/>
    <n v="-13.21"/>
    <n v="2.69"/>
    <n v="-31.357142857142851"/>
    <s v="NO"/>
    <n v="-0.26229345141367327"/>
    <n v="7.0683194324642677"/>
    <n v="-3.796043248547408"/>
    <n v="-3.5629921376560061"/>
    <n v="0.23122203314518086"/>
    <n v="-0.43306688051744524"/>
    <x v="0"/>
    <x v="1"/>
    <x v="1"/>
    <x v="1"/>
    <x v="0"/>
    <x v="0"/>
  </r>
  <r>
    <x v="6"/>
    <s v="AIV"/>
    <n v="1150"/>
    <n v="8"/>
    <n v="-0.82"/>
    <n v="0.9"/>
    <n v="-0.75"/>
    <n v="-9.7560975609756095"/>
    <n v="8.8888888888888893"/>
    <n v="-21.24"/>
    <n v="-0.05"/>
    <n v="15.92"/>
    <n v="-10.666666666666666"/>
    <s v="NO"/>
    <n v="-3.7967867847709882"/>
    <n v="14.736842572927701"/>
    <n v="-5.8350381736336123"/>
    <n v="-9.6847687367535542"/>
    <n v="13.002279709853589"/>
    <n v="1.5403772877035207"/>
    <x v="1"/>
    <x v="1"/>
    <x v="1"/>
    <x v="1"/>
    <x v="1"/>
    <x v="0"/>
  </r>
  <r>
    <x v="6"/>
    <s v="BRT"/>
    <n v="290"/>
    <n v="15.19"/>
    <n v="1.36"/>
    <n v="10.91"/>
    <n v="-0.52"/>
    <n v="11.169117647058822"/>
    <n v="1.3923006416131989"/>
    <n v="-4.45"/>
    <n v="1.05"/>
    <n v="3.48"/>
    <n v="-29.21153846153846"/>
    <s v="NO"/>
    <n v="-0.79017959873079446"/>
    <n v="-0.71481032605132766"/>
    <n v="-0.65142489663317049"/>
    <n v="1.4587936172515814"/>
    <n v="0.40669038417582259"/>
    <n v="0.23044085413652612"/>
    <x v="0"/>
    <x v="0"/>
    <x v="0"/>
    <x v="0"/>
    <x v="0"/>
    <x v="0"/>
  </r>
  <r>
    <x v="6"/>
    <s v="CSR"/>
    <n v="1015"/>
    <n v="59.9"/>
    <n v="5.98"/>
    <n v="38.049999999999997"/>
    <n v="-1.1200000000000001"/>
    <n v="10.016722408026755"/>
    <n v="1.5742444152431012"/>
    <n v="-1.51"/>
    <n v="0.8"/>
    <n v="2.97"/>
    <n v="-53.482142857142854"/>
    <s v="NO"/>
    <n v="-0.95575972645640939"/>
    <n v="-0.33979546001792621"/>
    <n v="0.25624770815428044"/>
    <n v="-1.0738341904768582"/>
    <n v="-0.10968827788974481"/>
    <n v="-1.4839386958631202"/>
    <x v="0"/>
    <x v="0"/>
    <x v="0"/>
    <x v="0"/>
    <x v="0"/>
    <x v="0"/>
  </r>
  <r>
    <x v="6"/>
    <s v="ELME"/>
    <n v="1398"/>
    <n v="15.91"/>
    <n v="1.02"/>
    <n v="12.06"/>
    <n v="-0.16"/>
    <n v="15.598039215686274"/>
    <n v="1.3192371475953566"/>
    <n v="-1.28"/>
    <n v="0.8"/>
    <n v="1.72"/>
    <n v="-99.4375"/>
    <s v="NO"/>
    <n v="-0.15381685252922186"/>
    <n v="-0.86540573184283531"/>
    <n v="0.32725610920908099"/>
    <n v="-1.0738341904768582"/>
    <n v="-1.375322253540646"/>
    <n v="-4.7300434575934487"/>
    <x v="0"/>
    <x v="0"/>
    <x v="0"/>
    <x v="0"/>
    <x v="0"/>
    <x v="1"/>
  </r>
  <r>
    <x v="6"/>
    <s v="NXRT"/>
    <n v="950"/>
    <n v="36.22"/>
    <n v="3.23"/>
    <n v="14.86"/>
    <n v="-1.26"/>
    <n v="11.213622291021672"/>
    <n v="2.4374158815612383"/>
    <n v="-7.13"/>
    <n v="0.9"/>
    <n v="4.95"/>
    <n v="-28.746031746031743"/>
    <s v="NO"/>
    <n v="-0.78378501779002185"/>
    <n v="1.4393373201100916"/>
    <n v="-1.4788271350108466"/>
    <n v="-6.07830673854826E-2"/>
    <n v="1.8950759395412824"/>
    <n v="0.2633224083180426"/>
    <x v="0"/>
    <x v="0"/>
    <x v="0"/>
    <x v="0"/>
    <x v="0"/>
    <x v="0"/>
  </r>
  <r>
    <x v="6"/>
    <s v="VRE"/>
    <n v="1466"/>
    <n v="15.3"/>
    <n v="0.54"/>
    <n v="11.59"/>
    <n v="-0.38"/>
    <n v="28.333333333333332"/>
    <n v="1.3201035375323555"/>
    <n v="-3.09"/>
    <n v="0.98"/>
    <n v="2.73"/>
    <n v="-40.263157894736842"/>
    <s v="NO"/>
    <n v="1.6760341874615754"/>
    <n v="-0.86361996528608986"/>
    <n v="-0.23154913387434958"/>
    <n v="0.74965783108761763"/>
    <n v="-0.352690001214718"/>
    <n v="-0.55020185429497004"/>
    <x v="0"/>
    <x v="0"/>
    <x v="0"/>
    <x v="0"/>
    <x v="0"/>
    <x v="0"/>
  </r>
  <r>
    <x v="6"/>
    <s v="UMH"/>
    <n v="1455"/>
    <n v="17.05"/>
    <n v="0.72"/>
    <n v="7.13"/>
    <n v="0.1"/>
    <n v="23.680555555555557"/>
    <n v="2.3913043478260869"/>
    <n v="3.42"/>
    <n v="1.82"/>
    <n v="2.62"/>
    <n v="170.5"/>
    <s v="NO"/>
    <n v="1.0075070080448711"/>
    <n v="1.3442941630880891"/>
    <n v="1.7782973481550057"/>
    <n v="9.2592872650551747"/>
    <n v="-0.46406579107199719"/>
    <n v="14.337274448253259"/>
    <x v="0"/>
    <x v="0"/>
    <x v="0"/>
    <x v="1"/>
    <x v="0"/>
    <x v="1"/>
  </r>
  <r>
    <x v="7"/>
    <s v="ALX"/>
    <n v="1087"/>
    <n v="216.47"/>
    <n v="10.33"/>
    <n v="31.93"/>
    <n v="7.72"/>
    <n v="20.955469506292353"/>
    <n v="6.7795176949577201"/>
    <n v="20.16"/>
    <n v="3.48"/>
    <n v="8.17"/>
    <n v="28.040155440414509"/>
    <s v="NO"/>
    <n v="1.9463664652999071"/>
    <n v="1.8406145915196848"/>
    <n v="0.38576205418967835"/>
    <n v="0.73261659632969889"/>
    <n v="0.56765023932833691"/>
    <n v="1.1883674252745895"/>
    <x v="0"/>
    <x v="0"/>
    <x v="0"/>
    <x v="0"/>
    <x v="0"/>
    <x v="0"/>
  </r>
  <r>
    <x v="7"/>
    <s v="BFS"/>
    <n v="794"/>
    <n v="33.47"/>
    <n v="4.5599999999999996"/>
    <n v="6.2"/>
    <n v="1.63"/>
    <n v="7.3399122807017552"/>
    <n v="5.3983870967741936"/>
    <n v="13.47"/>
    <n v="3.68"/>
    <n v="14.1"/>
    <n v="20.533742331288344"/>
    <s v="NO"/>
    <n v="-0.63420181458677916"/>
    <n v="1.1885600639689664"/>
    <n v="-0.16652278218154271"/>
    <n v="0.92872811351164519"/>
    <n v="1.8914233536271723"/>
    <n v="0.33295664315002721"/>
    <x v="0"/>
    <x v="0"/>
    <x v="0"/>
    <x v="0"/>
    <x v="0"/>
    <x v="0"/>
  </r>
  <r>
    <x v="7"/>
    <s v="CBL"/>
    <n v="754"/>
    <n v="25.3"/>
    <n v="6.54"/>
    <n v="9.5399999999999991"/>
    <n v="2.16"/>
    <n v="3.8685015290519877"/>
    <n v="2.6519916142557656"/>
    <n v="22.04"/>
    <n v="3.15"/>
    <n v="8.9"/>
    <n v="11.712962962962962"/>
    <s v="NO"/>
    <n v="-1.292141282192844"/>
    <n v="-0.10805852602987531"/>
    <n v="0.54096317412658346"/>
    <n v="0.40903259297948774"/>
    <n v="0.73061050466360689"/>
    <n v="-0.67223580612163192"/>
    <x v="0"/>
    <x v="0"/>
    <x v="0"/>
    <x v="0"/>
    <x v="0"/>
    <x v="0"/>
  </r>
  <r>
    <x v="7"/>
    <s v="GTY"/>
    <n v="1567"/>
    <n v="28.17"/>
    <n v="2.35"/>
    <n v="17.34"/>
    <n v="1.2"/>
    <n v="11.987234042553192"/>
    <n v="1.624567474048443"/>
    <n v="7.23"/>
    <n v="3.6"/>
    <n v="2.0499999999999998"/>
    <n v="23.475000000000001"/>
    <s v="NO"/>
    <n v="0.24660907889031256"/>
    <n v="-0.59312240284079709"/>
    <n v="-0.68165841431254715"/>
    <n v="0.85028350663886676"/>
    <n v="-0.7985371906057056"/>
    <n v="0.66813450856268575"/>
    <x v="0"/>
    <x v="0"/>
    <x v="0"/>
    <x v="0"/>
    <x v="0"/>
    <x v="0"/>
  </r>
  <r>
    <x v="7"/>
    <s v="NTST"/>
    <n v="1307"/>
    <n v="15.54"/>
    <n v="1.28"/>
    <n v="15.99"/>
    <n v="-0.14000000000000001"/>
    <n v="12.140624999999998"/>
    <n v="0.97185741088180111"/>
    <n v="-0.88"/>
    <n v="1.54"/>
    <n v="1.75"/>
    <n v="-110.99999999999999"/>
    <s v="NO"/>
    <n v="0.27568139907891992"/>
    <n v="-0.90127758557694093"/>
    <n v="-1.351169628508452"/>
    <n v="-1.1696651203351784"/>
    <n v="-0.8655071626612959"/>
    <n v="-14.656277198321314"/>
    <x v="0"/>
    <x v="0"/>
    <x v="0"/>
    <x v="0"/>
    <x v="0"/>
    <x v="1"/>
  </r>
  <r>
    <x v="7"/>
    <s v="SITC"/>
    <n v="632"/>
    <n v="12.42"/>
    <n v="2.14"/>
    <n v="9.9"/>
    <n v="9.65"/>
    <n v="5.8037383177570092"/>
    <n v="1.2545454545454544"/>
    <n v="39.06"/>
    <n v="0.87"/>
    <n v="1.81"/>
    <n v="1.2870466321243523"/>
    <s v="NO"/>
    <n v="-0.92535418796979974"/>
    <n v="-0.76781589918915838"/>
    <n v="1.9460286322787788"/>
    <n v="-1.826638702894698"/>
    <n v="-0.8521131682501778"/>
    <n v="-1.8603453750028089"/>
    <x v="0"/>
    <x v="0"/>
    <x v="0"/>
    <x v="0"/>
    <x v="0"/>
    <x v="0"/>
  </r>
  <r>
    <x v="7"/>
    <s v="WSR"/>
    <n v="640"/>
    <n v="12.58"/>
    <n v="0.99"/>
    <n v="8.4700000000000006"/>
    <n v="0.61"/>
    <n v="12.707070707070708"/>
    <n v="1.4852420306965761"/>
    <n v="7.33"/>
    <n v="2.81"/>
    <n v="2.61"/>
    <n v="20.622950819672131"/>
    <s v="NO"/>
    <n v="0.38304034148028404"/>
    <n v="-0.65890024185187945"/>
    <n v="-0.67340303559249903"/>
    <n v="7.5643013770179471E-2"/>
    <n v="-0.673526576101937"/>
    <n v="0.34312260413713946"/>
    <x v="0"/>
    <x v="0"/>
    <x v="0"/>
    <x v="0"/>
    <x v="0"/>
    <x v="0"/>
  </r>
  <r>
    <x v="8"/>
    <s v="FPI"/>
    <n v="461"/>
    <n v="10.4"/>
    <n v="0.34"/>
    <n v="10.57"/>
    <n v="1.06"/>
    <n v="30.588235294117645"/>
    <n v="0.98391674550614949"/>
    <n v="10.01"/>
    <n v="1.79"/>
    <n v="1.8"/>
    <n v="9.8113207547169807"/>
    <s v="NO"/>
    <n v="-0.90098797686561549"/>
    <n v="1.4074461450124034"/>
    <n v="1.6166432891459552"/>
    <n v="-0.5034885542768428"/>
    <n v="-0.81151723905554007"/>
    <n v="-0.94204638001125907"/>
    <x v="0"/>
    <x v="0"/>
    <x v="0"/>
    <x v="0"/>
    <x v="0"/>
    <x v="0"/>
  </r>
  <r>
    <x v="8"/>
    <s v="LAND"/>
    <n v="335"/>
    <n v="9.91"/>
    <n v="0.15"/>
    <n v="18.989999999999998"/>
    <n v="-0.28999999999999998"/>
    <n v="66.066666666666677"/>
    <n v="0.52185360716166407"/>
    <n v="1.89"/>
    <n v="1.45"/>
    <n v="1.91"/>
    <n v="-34.172413793103452"/>
    <s v="NO"/>
    <n v="0.42580161102378572"/>
    <n v="-0.5840505540765587"/>
    <n v="-9.8426413998172868E-2"/>
    <n v="-1.1556261102925627"/>
    <n v="-0.59727668794487754"/>
    <n v="-42.6778992764376"/>
    <x v="0"/>
    <x v="0"/>
    <x v="0"/>
    <x v="0"/>
    <x v="0"/>
    <x v="1"/>
  </r>
  <r>
    <x v="8"/>
    <s v="SAFE"/>
    <n v="1146"/>
    <n v="15.3"/>
    <n v="0.53"/>
    <n v="32.81"/>
    <n v="1.48"/>
    <n v="28.867924528301888"/>
    <n v="0.46632124352331605"/>
    <n v="4.57"/>
    <n v="2.86"/>
    <n v="2.94"/>
    <n v="10.337837837837839"/>
    <s v="NO"/>
    <n v="-0.96532256900275371"/>
    <n v="-0.82339559093584425"/>
    <n v="0.46763107423166261"/>
    <n v="1.5488266955373338"/>
    <n v="1.4087939270004193"/>
    <n v="-0.44243806447142869"/>
    <x v="0"/>
    <x v="0"/>
    <x v="0"/>
    <x v="0"/>
    <x v="0"/>
    <x v="0"/>
  </r>
  <r>
    <x v="8"/>
    <s v="UNIT"/>
    <n v="1068"/>
    <n v="4.66"/>
    <n v="0.05"/>
    <n v="-10.33"/>
    <n v="0.38"/>
    <n v="93.2"/>
    <n v="-0.45111326234269122"/>
    <n v="-3.79"/>
    <n v="6.89"/>
    <n v="-2.15"/>
    <n v="12.263157894736842"/>
    <s v="NO"/>
    <n v="1.4405089348445839"/>
    <n v="-4.7775473906414492"/>
    <n v="-1.2981303442763314"/>
    <n v="9.278574785958952"/>
    <n v="-8.5047006653020674"/>
    <n v="1.3844844444826894"/>
    <x v="0"/>
    <x v="1"/>
    <x v="0"/>
    <x v="1"/>
    <x v="1"/>
    <x v="0"/>
  </r>
  <r>
    <x v="8"/>
    <s v="SMA"/>
    <n v="1926"/>
    <n v="36"/>
    <m/>
    <m/>
    <m/>
    <s v=""/>
    <s v=""/>
    <n v="-0.9"/>
    <n v="2.11"/>
    <n v="6.27"/>
    <s v=""/>
    <s v="NO"/>
    <e v="#VALUE!"/>
    <e v="#VALUE!"/>
    <n v="-0.68771760510311342"/>
    <n v="0.11028796903206961"/>
    <n v="7.8944397015323"/>
    <e v="#VALUE!"/>
    <x v="1"/>
    <x v="1"/>
    <x v="0"/>
    <x v="0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C84801-102E-4C37-8560-F938FC21BCC4}" name="PivotTable1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4:C13" firstHeaderRow="0" firstDataRow="1" firstDataCol="1" rowPageCount="1" colPageCount="1"/>
  <pivotFields count="26">
    <pivotField axis="axisRow" showAll="0">
      <items count="68">
        <item m="1" x="34"/>
        <item m="1" x="35"/>
        <item m="1" x="36"/>
        <item m="1" x="37"/>
        <item m="1" x="38"/>
        <item m="1" x="39"/>
        <item m="1" x="21"/>
        <item m="1" x="22"/>
        <item m="1" x="23"/>
        <item m="1" x="24"/>
        <item m="1" x="25"/>
        <item m="1" x="26"/>
        <item m="1" x="62"/>
        <item m="1" x="63"/>
        <item m="1" x="64"/>
        <item m="1" x="65"/>
        <item m="1" x="66"/>
        <item m="1" x="42"/>
        <item m="1" x="43"/>
        <item m="1" x="44"/>
        <item m="1" x="45"/>
        <item m="1" x="46"/>
        <item m="1" x="47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57"/>
        <item m="1" x="58"/>
        <item m="1" x="59"/>
        <item m="1" x="60"/>
        <item m="1" x="61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40"/>
        <item m="1" x="41"/>
        <item m="1" x="33"/>
        <item m="1" x="27"/>
        <item m="1" x="28"/>
        <item m="1" x="29"/>
        <item m="1" x="30"/>
        <item m="1" x="31"/>
        <item m="1" x="32"/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dataField="1" numFmtId="2" showAll="0"/>
    <pivotField showAll="0"/>
    <pivotField showAll="0"/>
    <pivotField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axis="axisPage" showAll="0">
      <items count="5">
        <item x="0"/>
        <item x="1"/>
        <item m="1" x="3"/>
        <item m="1" x="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9"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rowItems>
  <colFields count="1">
    <field x="-2"/>
  </colFields>
  <colItems count="2">
    <i>
      <x/>
    </i>
    <i i="1">
      <x v="1"/>
    </i>
  </colItems>
  <pageFields count="1">
    <pageField fld="20" item="0" hier="-1"/>
  </pageFields>
  <dataFields count="2">
    <dataField name="Average of P/FCF" fld="7" subtotal="average" baseField="0" baseItem="0" numFmtId="2"/>
    <dataField name="StdDevp of P/FCF" fld="7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B0E771-8D8C-40A3-A257-A5C33EA82892}" name="PivotTable2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4:G13" firstHeaderRow="0" firstDataRow="1" firstDataCol="1" rowPageCount="1" colPageCount="1"/>
  <pivotFields count="26">
    <pivotField axis="axisRow" showAll="0">
      <items count="68">
        <item m="1" x="34"/>
        <item m="1" x="35"/>
        <item m="1" x="36"/>
        <item m="1" x="37"/>
        <item m="1" x="38"/>
        <item m="1" x="39"/>
        <item m="1" x="21"/>
        <item m="1" x="22"/>
        <item m="1" x="23"/>
        <item m="1" x="24"/>
        <item m="1" x="25"/>
        <item m="1" x="26"/>
        <item m="1" x="62"/>
        <item m="1" x="63"/>
        <item m="1" x="64"/>
        <item m="1" x="65"/>
        <item m="1" x="66"/>
        <item m="1" x="42"/>
        <item m="1" x="43"/>
        <item m="1" x="44"/>
        <item m="1" x="45"/>
        <item m="1" x="46"/>
        <item m="1" x="47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57"/>
        <item m="1" x="58"/>
        <item m="1" x="59"/>
        <item m="1" x="60"/>
        <item m="1" x="61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40"/>
        <item m="1" x="41"/>
        <item m="1" x="33"/>
        <item m="1" x="27"/>
        <item m="1" x="28"/>
        <item m="1" x="29"/>
        <item m="1" x="30"/>
        <item m="1" x="31"/>
        <item m="1" x="32"/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dataField="1" showAll="0"/>
    <pivotField showAll="0"/>
    <pivotField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axis="axisPage" showAll="0">
      <items count="5">
        <item m="1" x="3"/>
        <item x="0"/>
        <item x="1"/>
        <item m="1"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9"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rowItems>
  <colFields count="1">
    <field x="-2"/>
  </colFields>
  <colItems count="2">
    <i>
      <x/>
    </i>
    <i i="1">
      <x v="1"/>
    </i>
  </colItems>
  <pageFields count="1">
    <pageField fld="21" item="1" hier="-1"/>
  </pageFields>
  <dataFields count="2">
    <dataField name="Average of P/B" fld="8" subtotal="average" baseField="0" baseItem="7" numFmtId="2"/>
    <dataField name="StdDevp of P/B" fld="8" subtotal="stdDevp" baseField="0" baseItem="7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5A8AE6-DC6C-4B19-8032-04D5D0183A50}" name="PivotTable3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4:K13" firstHeaderRow="0" firstDataRow="1" firstDataCol="1" rowPageCount="1" colPageCount="1"/>
  <pivotFields count="26">
    <pivotField axis="axisRow" showAll="0">
      <items count="68">
        <item m="1" x="34"/>
        <item m="1" x="35"/>
        <item m="1" x="36"/>
        <item m="1" x="37"/>
        <item m="1" x="38"/>
        <item m="1" x="39"/>
        <item m="1" x="21"/>
        <item m="1" x="22"/>
        <item m="1" x="23"/>
        <item m="1" x="24"/>
        <item m="1" x="25"/>
        <item m="1" x="26"/>
        <item m="1" x="62"/>
        <item m="1" x="63"/>
        <item m="1" x="64"/>
        <item m="1" x="65"/>
        <item m="1" x="66"/>
        <item m="1" x="42"/>
        <item m="1" x="43"/>
        <item m="1" x="44"/>
        <item m="1" x="45"/>
        <item m="1" x="46"/>
        <item m="1" x="47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57"/>
        <item m="1" x="58"/>
        <item m="1" x="59"/>
        <item m="1" x="60"/>
        <item m="1" x="61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40"/>
        <item m="1" x="41"/>
        <item m="1" x="33"/>
        <item m="1" x="27"/>
        <item m="1" x="28"/>
        <item m="1" x="29"/>
        <item m="1" x="30"/>
        <item m="1" x="31"/>
        <item m="1" x="32"/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dataField="1" showAll="0"/>
    <pivotField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</pivotFields>
  <rowFields count="1">
    <field x="0"/>
  </rowFields>
  <rowItems count="9"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rowItems>
  <colFields count="1">
    <field x="-2"/>
  </colFields>
  <colItems count="2">
    <i>
      <x/>
    </i>
    <i i="1">
      <x v="1"/>
    </i>
  </colItems>
  <pageFields count="1">
    <pageField fld="22" item="0" hier="-1"/>
  </pageFields>
  <dataFields count="2">
    <dataField name="Average of ROE" fld="9" subtotal="average" baseField="0" baseItem="0" numFmtId="2"/>
    <dataField name="StdDevp of ROE" fld="9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34D68E-4AF6-49FE-80B9-8288F8934083}" name="PivotTable4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24:C33" firstHeaderRow="0" firstDataRow="1" firstDataCol="1" rowPageCount="1" colPageCount="1"/>
  <pivotFields count="26">
    <pivotField axis="axisRow" showAll="0">
      <items count="68">
        <item m="1" x="34"/>
        <item m="1" x="35"/>
        <item m="1" x="36"/>
        <item m="1" x="37"/>
        <item m="1" x="38"/>
        <item m="1" x="39"/>
        <item m="1" x="21"/>
        <item m="1" x="22"/>
        <item m="1" x="23"/>
        <item m="1" x="24"/>
        <item m="1" x="25"/>
        <item m="1" x="26"/>
        <item m="1" x="62"/>
        <item m="1" x="63"/>
        <item m="1" x="64"/>
        <item m="1" x="65"/>
        <item m="1" x="66"/>
        <item m="1" x="42"/>
        <item m="1" x="43"/>
        <item m="1" x="44"/>
        <item m="1" x="45"/>
        <item m="1" x="46"/>
        <item m="1" x="47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57"/>
        <item m="1" x="58"/>
        <item m="1" x="59"/>
        <item m="1" x="60"/>
        <item m="1" x="61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40"/>
        <item m="1" x="41"/>
        <item m="1" x="33"/>
        <item m="1" x="27"/>
        <item m="1" x="28"/>
        <item m="1" x="29"/>
        <item m="1" x="30"/>
        <item m="1" x="31"/>
        <item m="1" x="32"/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showAll="0"/>
    <pivotField dataField="1"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</pivotFields>
  <rowFields count="1">
    <field x="0"/>
  </rowFields>
  <rowItems count="9"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rowItems>
  <colFields count="1">
    <field x="-2"/>
  </colFields>
  <colItems count="2">
    <i>
      <x/>
    </i>
    <i i="1">
      <x v="1"/>
    </i>
  </colItems>
  <pageFields count="1">
    <pageField fld="23" item="0" hier="-1"/>
  </pageFields>
  <dataFields count="2">
    <dataField name="Average of ROA" fld="10" subtotal="average" baseField="0" baseItem="0" numFmtId="2"/>
    <dataField name="StdDevp of ROA" fld="10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C96544-0E1B-4AD0-9EEF-13BE1677F031}" name="PivotTable5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24:G33" firstHeaderRow="0" firstDataRow="1" firstDataCol="1" rowPageCount="1" colPageCount="1"/>
  <pivotFields count="26">
    <pivotField axis="axisRow" showAll="0">
      <items count="68">
        <item m="1" x="34"/>
        <item m="1" x="35"/>
        <item m="1" x="36"/>
        <item m="1" x="37"/>
        <item m="1" x="38"/>
        <item m="1" x="39"/>
        <item m="1" x="21"/>
        <item m="1" x="22"/>
        <item m="1" x="23"/>
        <item m="1" x="24"/>
        <item m="1" x="25"/>
        <item m="1" x="26"/>
        <item m="1" x="62"/>
        <item m="1" x="63"/>
        <item m="1" x="64"/>
        <item m="1" x="65"/>
        <item m="1" x="66"/>
        <item m="1" x="42"/>
        <item m="1" x="43"/>
        <item m="1" x="44"/>
        <item m="1" x="45"/>
        <item m="1" x="46"/>
        <item m="1" x="47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57"/>
        <item m="1" x="58"/>
        <item m="1" x="59"/>
        <item m="1" x="60"/>
        <item m="1" x="61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40"/>
        <item m="1" x="41"/>
        <item m="1" x="33"/>
        <item m="1" x="27"/>
        <item m="1" x="28"/>
        <item m="1" x="29"/>
        <item m="1" x="30"/>
        <item m="1" x="31"/>
        <item m="1" x="32"/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showAll="0"/>
    <pivotField showAll="0"/>
    <pivotField dataField="1"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</pivotFields>
  <rowFields count="1">
    <field x="0"/>
  </rowFields>
  <rowItems count="9"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rowItems>
  <colFields count="1">
    <field x="-2"/>
  </colFields>
  <colItems count="2">
    <i>
      <x/>
    </i>
    <i i="1">
      <x v="1"/>
    </i>
  </colItems>
  <pageFields count="1">
    <pageField fld="24" item="0" hier="-1"/>
  </pageFields>
  <dataFields count="2">
    <dataField name="Average of A/E" fld="11" subtotal="average" baseField="0" baseItem="0" numFmtId="2"/>
    <dataField name="StdDevp of A/E" fld="11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F4AD83-0107-4E11-9496-253AE5F4ECE5}" name="PivotTable6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24:K33" firstHeaderRow="0" firstDataRow="1" firstDataCol="1" rowPageCount="1" colPageCount="1"/>
  <pivotFields count="26">
    <pivotField axis="axisRow" showAll="0">
      <items count="68">
        <item m="1" x="34"/>
        <item m="1" x="35"/>
        <item m="1" x="36"/>
        <item m="1" x="37"/>
        <item m="1" x="38"/>
        <item m="1" x="39"/>
        <item m="1" x="21"/>
        <item m="1" x="22"/>
        <item m="1" x="23"/>
        <item m="1" x="24"/>
        <item m="1" x="25"/>
        <item m="1" x="26"/>
        <item m="1" x="62"/>
        <item m="1" x="63"/>
        <item m="1" x="64"/>
        <item m="1" x="65"/>
        <item m="1" x="66"/>
        <item m="1" x="42"/>
        <item m="1" x="43"/>
        <item m="1" x="44"/>
        <item m="1" x="45"/>
        <item m="1" x="46"/>
        <item m="1" x="47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57"/>
        <item m="1" x="58"/>
        <item m="1" x="59"/>
        <item m="1" x="60"/>
        <item m="1" x="61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40"/>
        <item m="1" x="41"/>
        <item m="1" x="33"/>
        <item m="1" x="27"/>
        <item m="1" x="28"/>
        <item m="1" x="29"/>
        <item m="1" x="30"/>
        <item m="1" x="31"/>
        <item m="1" x="32"/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showAll="0"/>
    <pivotField showAll="0"/>
    <pivotField showAll="0"/>
    <pivotField dataField="1"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</pivotFields>
  <rowFields count="1">
    <field x="0"/>
  </rowFields>
  <rowItems count="9"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rowItems>
  <colFields count="1">
    <field x="-2"/>
  </colFields>
  <colItems count="2">
    <i>
      <x/>
    </i>
    <i i="1">
      <x v="1"/>
    </i>
  </colItems>
  <pageFields count="1">
    <pageField fld="25" item="0" hier="-1"/>
  </pageFields>
  <dataFields count="2">
    <dataField name="Average of P/E" fld="12" subtotal="average" baseField="0" baseItem="3" numFmtId="2"/>
    <dataField name="StdDevp of P/E" fld="12" subtotal="stdDevp" baseField="0" baseItem="3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7B78ED-8281-409F-B6A4-5ECFEBADC554}" name="PivotTable12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24:K33" firstHeaderRow="0" firstDataRow="1" firstDataCol="1" rowPageCount="1" colPageCount="1"/>
  <pivotFields count="26">
    <pivotField axis="axisRow" showAll="0">
      <items count="69">
        <item m="1" x="35"/>
        <item m="1" x="36"/>
        <item m="1" x="37"/>
        <item m="1" x="38"/>
        <item m="1" x="39"/>
        <item m="1" x="40"/>
        <item m="1" x="23"/>
        <item m="1" x="24"/>
        <item m="1" x="25"/>
        <item m="1" x="26"/>
        <item m="1" x="27"/>
        <item m="1" x="28"/>
        <item m="1" x="63"/>
        <item m="1" x="64"/>
        <item m="1" x="65"/>
        <item m="1" x="66"/>
        <item m="1" x="67"/>
        <item m="1" x="43"/>
        <item m="1" x="44"/>
        <item m="1" x="45"/>
        <item m="1" x="46"/>
        <item m="1" x="47"/>
        <item m="1" x="4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58"/>
        <item m="1" x="59"/>
        <item m="1" x="60"/>
        <item m="1" x="61"/>
        <item m="1" x="62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41"/>
        <item m="1" x="42"/>
        <item m="1" x="29"/>
        <item m="1" x="30"/>
        <item m="1" x="31"/>
        <item m="1" x="32"/>
        <item m="1" x="33"/>
        <item m="1" x="34"/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</pivotFields>
  <rowFields count="1">
    <field x="0"/>
  </rowFields>
  <rowItems count="9"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</rowItems>
  <colFields count="1">
    <field x="-2"/>
  </colFields>
  <colItems count="2">
    <i>
      <x/>
    </i>
    <i i="1">
      <x v="1"/>
    </i>
  </colItems>
  <pageFields count="1">
    <pageField fld="25" item="0" hier="-1"/>
  </pageFields>
  <dataFields count="2">
    <dataField name="Average of P/E" fld="12" subtotal="average" baseField="0" baseItem="0" numFmtId="2"/>
    <dataField name="StdDevp of P/E" fld="12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223830-A9B5-4DB6-9D33-8B43732388BE}" name="PivotTable11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24:G33" firstHeaderRow="0" firstDataRow="1" firstDataCol="1" rowPageCount="1" colPageCount="1"/>
  <pivotFields count="26">
    <pivotField axis="axisRow" showAll="0">
      <items count="69">
        <item m="1" x="35"/>
        <item m="1" x="36"/>
        <item m="1" x="37"/>
        <item m="1" x="38"/>
        <item m="1" x="39"/>
        <item m="1" x="40"/>
        <item m="1" x="23"/>
        <item m="1" x="24"/>
        <item m="1" x="25"/>
        <item m="1" x="26"/>
        <item m="1" x="27"/>
        <item m="1" x="28"/>
        <item m="1" x="63"/>
        <item m="1" x="64"/>
        <item m="1" x="65"/>
        <item m="1" x="66"/>
        <item m="1" x="67"/>
        <item m="1" x="43"/>
        <item m="1" x="44"/>
        <item m="1" x="45"/>
        <item m="1" x="46"/>
        <item m="1" x="47"/>
        <item m="1" x="4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58"/>
        <item m="1" x="59"/>
        <item m="1" x="60"/>
        <item m="1" x="61"/>
        <item m="1" x="62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41"/>
        <item m="1" x="42"/>
        <item m="1" x="29"/>
        <item m="1" x="30"/>
        <item m="1" x="31"/>
        <item m="1" x="32"/>
        <item m="1" x="33"/>
        <item m="1" x="34"/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</pivotFields>
  <rowFields count="1">
    <field x="0"/>
  </rowFields>
  <rowItems count="9"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</rowItems>
  <colFields count="1">
    <field x="-2"/>
  </colFields>
  <colItems count="2">
    <i>
      <x/>
    </i>
    <i i="1">
      <x v="1"/>
    </i>
  </colItems>
  <pageFields count="1">
    <pageField fld="24" item="0" hier="-1"/>
  </pageFields>
  <dataFields count="2">
    <dataField name="Average of A/E" fld="11" subtotal="average" baseField="0" baseItem="0" numFmtId="2"/>
    <dataField name="StdDevp of A/E" fld="11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FB9E3F-AA64-4A67-B90F-619AA980102E}" name="PivotTable10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24:C33" firstHeaderRow="0" firstDataRow="1" firstDataCol="1" rowPageCount="1" colPageCount="1"/>
  <pivotFields count="26">
    <pivotField axis="axisRow" showAll="0">
      <items count="69">
        <item m="1" x="35"/>
        <item m="1" x="36"/>
        <item m="1" x="37"/>
        <item m="1" x="38"/>
        <item m="1" x="39"/>
        <item m="1" x="40"/>
        <item m="1" x="23"/>
        <item m="1" x="24"/>
        <item m="1" x="25"/>
        <item m="1" x="26"/>
        <item m="1" x="27"/>
        <item m="1" x="28"/>
        <item m="1" x="63"/>
        <item m="1" x="64"/>
        <item m="1" x="65"/>
        <item m="1" x="66"/>
        <item m="1" x="67"/>
        <item m="1" x="43"/>
        <item m="1" x="44"/>
        <item m="1" x="45"/>
        <item m="1" x="46"/>
        <item m="1" x="47"/>
        <item m="1" x="4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58"/>
        <item m="1" x="59"/>
        <item m="1" x="60"/>
        <item m="1" x="61"/>
        <item m="1" x="62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41"/>
        <item m="1" x="42"/>
        <item m="1" x="29"/>
        <item m="1" x="30"/>
        <item m="1" x="31"/>
        <item m="1" x="32"/>
        <item m="1" x="33"/>
        <item m="1" x="34"/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</pivotFields>
  <rowFields count="1">
    <field x="0"/>
  </rowFields>
  <rowItems count="9"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</rowItems>
  <colFields count="1">
    <field x="-2"/>
  </colFields>
  <colItems count="2">
    <i>
      <x/>
    </i>
    <i i="1">
      <x v="1"/>
    </i>
  </colItems>
  <pageFields count="1">
    <pageField fld="23" item="0" hier="-1"/>
  </pageFields>
  <dataFields count="2">
    <dataField name="Average of ROA" fld="10" subtotal="average" baseField="0" baseItem="0" numFmtId="2"/>
    <dataField name="StdDevp of ROA" fld="10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4F5758-9BD1-4847-AE9E-D0276B5B9C8C}" name="PivotTable9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4:K13" firstHeaderRow="0" firstDataRow="1" firstDataCol="1" rowPageCount="1" colPageCount="1"/>
  <pivotFields count="26">
    <pivotField axis="axisRow" showAll="0">
      <items count="69">
        <item m="1" x="35"/>
        <item m="1" x="36"/>
        <item m="1" x="37"/>
        <item m="1" x="38"/>
        <item m="1" x="39"/>
        <item m="1" x="40"/>
        <item m="1" x="23"/>
        <item m="1" x="24"/>
        <item m="1" x="25"/>
        <item m="1" x="26"/>
        <item m="1" x="27"/>
        <item m="1" x="28"/>
        <item m="1" x="63"/>
        <item m="1" x="64"/>
        <item m="1" x="65"/>
        <item m="1" x="66"/>
        <item m="1" x="67"/>
        <item m="1" x="43"/>
        <item m="1" x="44"/>
        <item m="1" x="45"/>
        <item m="1" x="46"/>
        <item m="1" x="47"/>
        <item m="1" x="4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58"/>
        <item m="1" x="59"/>
        <item m="1" x="60"/>
        <item m="1" x="61"/>
        <item m="1" x="62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41"/>
        <item m="1" x="42"/>
        <item m="1" x="29"/>
        <item m="1" x="30"/>
        <item m="1" x="31"/>
        <item m="1" x="32"/>
        <item m="1" x="33"/>
        <item m="1" x="34"/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</pivotFields>
  <rowFields count="1">
    <field x="0"/>
  </rowFields>
  <rowItems count="9"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</rowItems>
  <colFields count="1">
    <field x="-2"/>
  </colFields>
  <colItems count="2">
    <i>
      <x/>
    </i>
    <i i="1">
      <x v="1"/>
    </i>
  </colItems>
  <pageFields count="1">
    <pageField fld="22" item="0" hier="-1"/>
  </pageFields>
  <dataFields count="2">
    <dataField name="Average of ROE" fld="9" subtotal="average" baseField="0" baseItem="0" numFmtId="2"/>
    <dataField name="StdDevp of ROE" fld="9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27776E-7C7E-402C-B296-4D93FD39F0DF}" name="PivotTable7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4:C13" firstHeaderRow="0" firstDataRow="1" firstDataCol="1" rowPageCount="1" colPageCount="1"/>
  <pivotFields count="26">
    <pivotField axis="axisRow" showAll="0">
      <items count="69">
        <item m="1" x="35"/>
        <item m="1" x="36"/>
        <item m="1" x="37"/>
        <item m="1" x="38"/>
        <item m="1" x="39"/>
        <item m="1" x="40"/>
        <item m="1" x="23"/>
        <item m="1" x="24"/>
        <item m="1" x="25"/>
        <item m="1" x="26"/>
        <item m="1" x="27"/>
        <item m="1" x="28"/>
        <item m="1" x="63"/>
        <item m="1" x="64"/>
        <item m="1" x="65"/>
        <item m="1" x="66"/>
        <item m="1" x="67"/>
        <item m="1" x="43"/>
        <item m="1" x="44"/>
        <item m="1" x="45"/>
        <item m="1" x="46"/>
        <item m="1" x="47"/>
        <item m="1" x="4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58"/>
        <item m="1" x="59"/>
        <item m="1" x="60"/>
        <item m="1" x="61"/>
        <item m="1" x="62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41"/>
        <item m="1" x="42"/>
        <item m="1" x="29"/>
        <item m="1" x="30"/>
        <item m="1" x="31"/>
        <item m="1" x="32"/>
        <item m="1" x="33"/>
        <item m="1" x="34"/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9"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</rowItems>
  <colFields count="1">
    <field x="-2"/>
  </colFields>
  <colItems count="2">
    <i>
      <x/>
    </i>
    <i i="1">
      <x v="1"/>
    </i>
  </colItems>
  <pageFields count="1">
    <pageField fld="20" item="0" hier="-1"/>
  </pageFields>
  <dataFields count="2">
    <dataField name="Average of P/FCF" fld="7" subtotal="average" baseField="0" baseItem="0" numFmtId="2"/>
    <dataField name="StdDevp of P/FCF" fld="7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7D752-2C3F-43DB-BC07-248E77950594}" name="PivotTable8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4:G13" firstHeaderRow="0" firstDataRow="1" firstDataCol="1" rowPageCount="1" colPageCount="1"/>
  <pivotFields count="26">
    <pivotField axis="axisRow" showAll="0">
      <items count="69">
        <item m="1" x="35"/>
        <item m="1" x="36"/>
        <item m="1" x="37"/>
        <item m="1" x="38"/>
        <item m="1" x="39"/>
        <item m="1" x="40"/>
        <item m="1" x="23"/>
        <item m="1" x="24"/>
        <item m="1" x="25"/>
        <item m="1" x="26"/>
        <item m="1" x="27"/>
        <item m="1" x="28"/>
        <item m="1" x="63"/>
        <item m="1" x="64"/>
        <item m="1" x="65"/>
        <item m="1" x="66"/>
        <item m="1" x="67"/>
        <item m="1" x="43"/>
        <item m="1" x="44"/>
        <item m="1" x="45"/>
        <item m="1" x="46"/>
        <item m="1" x="47"/>
        <item m="1" x="4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58"/>
        <item m="1" x="59"/>
        <item m="1" x="60"/>
        <item m="1" x="61"/>
        <item m="1" x="62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41"/>
        <item m="1" x="42"/>
        <item m="1" x="29"/>
        <item m="1" x="30"/>
        <item m="1" x="31"/>
        <item m="1" x="32"/>
        <item m="1" x="33"/>
        <item m="1" x="34"/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m="1" x="3"/>
        <item x="0"/>
        <item x="1"/>
        <item m="1"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9"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</rowItems>
  <colFields count="1">
    <field x="-2"/>
  </colFields>
  <colItems count="2">
    <i>
      <x/>
    </i>
    <i i="1">
      <x v="1"/>
    </i>
  </colItems>
  <pageFields count="1">
    <pageField fld="21" item="1" hier="-1"/>
  </pageFields>
  <dataFields count="2">
    <dataField name="Average of P/B" fld="8" subtotal="average" baseField="0" baseItem="8" numFmtId="2"/>
    <dataField name="StdDevp of P/B" fld="8" subtotal="stdDevp" baseField="0" baseItem="8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6196AD-A949-492C-A608-C48A1F76FC08}" name="PivotTable14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4:G13" firstHeaderRow="0" firstDataRow="1" firstDataCol="1" rowPageCount="1" colPageCount="1"/>
  <pivotFields count="26">
    <pivotField axis="axisRow" showAll="0">
      <items count="70">
        <item m="1" x="35"/>
        <item m="1" x="36"/>
        <item m="1" x="37"/>
        <item m="1" x="38"/>
        <item m="1" x="39"/>
        <item m="1" x="40"/>
        <item m="1" x="23"/>
        <item m="1" x="24"/>
        <item m="1" x="25"/>
        <item m="1" x="26"/>
        <item m="1" x="27"/>
        <item m="1" x="28"/>
        <item m="1" x="64"/>
        <item m="1" x="65"/>
        <item m="1" x="66"/>
        <item m="1" x="67"/>
        <item m="1" x="68"/>
        <item m="1" x="43"/>
        <item m="1" x="44"/>
        <item m="1" x="45"/>
        <item m="1" x="46"/>
        <item m="1" x="47"/>
        <item m="1" x="4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59"/>
        <item m="1" x="60"/>
        <item m="1" x="61"/>
        <item m="1" x="62"/>
        <item m="1" x="63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41"/>
        <item m="1" x="42"/>
        <item m="1" x="29"/>
        <item m="1" x="30"/>
        <item m="1" x="31"/>
        <item m="1" x="32"/>
        <item m="1" x="33"/>
        <item m="1" x="34"/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9"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rowItems>
  <colFields count="1">
    <field x="-2"/>
  </colFields>
  <colItems count="2">
    <i>
      <x/>
    </i>
    <i i="1">
      <x v="1"/>
    </i>
  </colItems>
  <pageFields count="1">
    <pageField fld="21" item="0" hier="-1"/>
  </pageFields>
  <dataFields count="2">
    <dataField name="Average of P/B" fld="8" subtotal="average" baseField="0" baseItem="9" numFmtId="2"/>
    <dataField name="StdDevp of P/B" fld="8" subtotal="stdDevp" baseField="0" baseItem="9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C9DE58-9145-4A38-9D87-BB993A306C05}" name="PivotTable18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24:K33" firstHeaderRow="0" firstDataRow="1" firstDataCol="1" rowPageCount="1" colPageCount="1"/>
  <pivotFields count="26">
    <pivotField axis="axisRow" showAll="0">
      <items count="70">
        <item m="1" x="35"/>
        <item m="1" x="36"/>
        <item m="1" x="37"/>
        <item m="1" x="38"/>
        <item m="1" x="39"/>
        <item m="1" x="40"/>
        <item m="1" x="23"/>
        <item m="1" x="24"/>
        <item m="1" x="25"/>
        <item m="1" x="26"/>
        <item m="1" x="27"/>
        <item m="1" x="28"/>
        <item m="1" x="64"/>
        <item m="1" x="65"/>
        <item m="1" x="66"/>
        <item m="1" x="67"/>
        <item m="1" x="68"/>
        <item m="1" x="43"/>
        <item m="1" x="44"/>
        <item m="1" x="45"/>
        <item m="1" x="46"/>
        <item m="1" x="47"/>
        <item m="1" x="4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59"/>
        <item m="1" x="60"/>
        <item m="1" x="61"/>
        <item m="1" x="62"/>
        <item m="1" x="63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41"/>
        <item m="1" x="42"/>
        <item m="1" x="29"/>
        <item m="1" x="30"/>
        <item m="1" x="31"/>
        <item m="1" x="32"/>
        <item m="1" x="33"/>
        <item m="1" x="34"/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</pivotFields>
  <rowFields count="1">
    <field x="0"/>
  </rowFields>
  <rowItems count="9"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rowItems>
  <colFields count="1">
    <field x="-2"/>
  </colFields>
  <colItems count="2">
    <i>
      <x/>
    </i>
    <i i="1">
      <x v="1"/>
    </i>
  </colItems>
  <pageFields count="1">
    <pageField fld="25" item="0" hier="-1"/>
  </pageFields>
  <dataFields count="2">
    <dataField name="Average of P/E" fld="12" subtotal="average" baseField="0" baseItem="0" numFmtId="2"/>
    <dataField name="StdDevp of P/E" fld="12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225C56-22CE-417F-B876-CBEEB96F76CA}" name="PivotTable17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24:G33" firstHeaderRow="0" firstDataRow="1" firstDataCol="1" rowPageCount="1" colPageCount="1"/>
  <pivotFields count="26">
    <pivotField axis="axisRow" showAll="0">
      <items count="70">
        <item m="1" x="35"/>
        <item m="1" x="36"/>
        <item m="1" x="37"/>
        <item m="1" x="38"/>
        <item m="1" x="39"/>
        <item m="1" x="40"/>
        <item m="1" x="23"/>
        <item m="1" x="24"/>
        <item m="1" x="25"/>
        <item m="1" x="26"/>
        <item m="1" x="27"/>
        <item m="1" x="28"/>
        <item m="1" x="64"/>
        <item m="1" x="65"/>
        <item m="1" x="66"/>
        <item m="1" x="67"/>
        <item m="1" x="68"/>
        <item m="1" x="43"/>
        <item m="1" x="44"/>
        <item m="1" x="45"/>
        <item m="1" x="46"/>
        <item m="1" x="47"/>
        <item m="1" x="4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59"/>
        <item m="1" x="60"/>
        <item m="1" x="61"/>
        <item m="1" x="62"/>
        <item m="1" x="63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41"/>
        <item m="1" x="42"/>
        <item m="1" x="29"/>
        <item m="1" x="30"/>
        <item m="1" x="31"/>
        <item m="1" x="32"/>
        <item m="1" x="33"/>
        <item m="1" x="34"/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</pivotFields>
  <rowFields count="1">
    <field x="0"/>
  </rowFields>
  <rowItems count="9"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rowItems>
  <colFields count="1">
    <field x="-2"/>
  </colFields>
  <colItems count="2">
    <i>
      <x/>
    </i>
    <i i="1">
      <x v="1"/>
    </i>
  </colItems>
  <pageFields count="1">
    <pageField fld="24" item="0" hier="-1"/>
  </pageFields>
  <dataFields count="2">
    <dataField name="Average of A/E" fld="11" subtotal="average" baseField="0" baseItem="0" numFmtId="2"/>
    <dataField name="StdDevp of A/E" fld="11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D94F80-7952-4D43-A79C-D494CF193FB3}" name="PivotTable16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24:C33" firstHeaderRow="0" firstDataRow="1" firstDataCol="1" rowPageCount="1" colPageCount="1"/>
  <pivotFields count="26">
    <pivotField axis="axisRow" showAll="0">
      <items count="70">
        <item m="1" x="35"/>
        <item m="1" x="36"/>
        <item m="1" x="37"/>
        <item m="1" x="38"/>
        <item m="1" x="39"/>
        <item m="1" x="40"/>
        <item m="1" x="23"/>
        <item m="1" x="24"/>
        <item m="1" x="25"/>
        <item m="1" x="26"/>
        <item m="1" x="27"/>
        <item m="1" x="28"/>
        <item m="1" x="64"/>
        <item m="1" x="65"/>
        <item m="1" x="66"/>
        <item m="1" x="67"/>
        <item m="1" x="68"/>
        <item m="1" x="43"/>
        <item m="1" x="44"/>
        <item m="1" x="45"/>
        <item m="1" x="46"/>
        <item m="1" x="47"/>
        <item m="1" x="4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59"/>
        <item m="1" x="60"/>
        <item m="1" x="61"/>
        <item m="1" x="62"/>
        <item m="1" x="63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41"/>
        <item m="1" x="42"/>
        <item m="1" x="29"/>
        <item m="1" x="30"/>
        <item m="1" x="31"/>
        <item m="1" x="32"/>
        <item m="1" x="33"/>
        <item m="1" x="34"/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</pivotFields>
  <rowFields count="1">
    <field x="0"/>
  </rowFields>
  <rowItems count="9"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rowItems>
  <colFields count="1">
    <field x="-2"/>
  </colFields>
  <colItems count="2">
    <i>
      <x/>
    </i>
    <i i="1">
      <x v="1"/>
    </i>
  </colItems>
  <pageFields count="1">
    <pageField fld="23" item="0" hier="-1"/>
  </pageFields>
  <dataFields count="2">
    <dataField name="Average of ROA" fld="10" subtotal="average" baseField="0" baseItem="0" numFmtId="2"/>
    <dataField name="StdDevp of ROA" fld="10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D0308A-0527-477A-9E60-ED92EDA45CE6}" name="PivotTable15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4:K13" firstHeaderRow="0" firstDataRow="1" firstDataCol="1" rowPageCount="1" colPageCount="1"/>
  <pivotFields count="26">
    <pivotField axis="axisRow" showAll="0">
      <items count="70">
        <item m="1" x="35"/>
        <item m="1" x="36"/>
        <item m="1" x="37"/>
        <item m="1" x="38"/>
        <item m="1" x="39"/>
        <item m="1" x="40"/>
        <item m="1" x="23"/>
        <item m="1" x="24"/>
        <item m="1" x="25"/>
        <item m="1" x="26"/>
        <item m="1" x="27"/>
        <item m="1" x="28"/>
        <item m="1" x="64"/>
        <item m="1" x="65"/>
        <item m="1" x="66"/>
        <item m="1" x="67"/>
        <item m="1" x="68"/>
        <item m="1" x="43"/>
        <item m="1" x="44"/>
        <item m="1" x="45"/>
        <item m="1" x="46"/>
        <item m="1" x="47"/>
        <item m="1" x="4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59"/>
        <item m="1" x="60"/>
        <item m="1" x="61"/>
        <item m="1" x="62"/>
        <item m="1" x="63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41"/>
        <item m="1" x="42"/>
        <item m="1" x="29"/>
        <item m="1" x="30"/>
        <item m="1" x="31"/>
        <item m="1" x="32"/>
        <item m="1" x="33"/>
        <item m="1" x="34"/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</pivotFields>
  <rowFields count="1">
    <field x="0"/>
  </rowFields>
  <rowItems count="9"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rowItems>
  <colFields count="1">
    <field x="-2"/>
  </colFields>
  <colItems count="2">
    <i>
      <x/>
    </i>
    <i i="1">
      <x v="1"/>
    </i>
  </colItems>
  <pageFields count="1">
    <pageField fld="22" item="0" hier="-1"/>
  </pageFields>
  <dataFields count="2">
    <dataField name="Average of ROE" fld="9" subtotal="average" baseField="0" baseItem="0" numFmtId="2"/>
    <dataField name="StdDevp of ROE" fld="9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4021F3-AE23-44CA-B4F3-CC1FD8F04DE9}" name="PivotTable13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4:C13" firstHeaderRow="0" firstDataRow="1" firstDataCol="1" rowPageCount="1" colPageCount="1"/>
  <pivotFields count="26">
    <pivotField axis="axisRow" showAll="0">
      <items count="70">
        <item m="1" x="35"/>
        <item m="1" x="36"/>
        <item m="1" x="37"/>
        <item m="1" x="38"/>
        <item m="1" x="39"/>
        <item m="1" x="40"/>
        <item m="1" x="23"/>
        <item m="1" x="24"/>
        <item m="1" x="25"/>
        <item m="1" x="26"/>
        <item m="1" x="27"/>
        <item m="1" x="28"/>
        <item m="1" x="64"/>
        <item m="1" x="65"/>
        <item m="1" x="66"/>
        <item m="1" x="67"/>
        <item m="1" x="68"/>
        <item m="1" x="43"/>
        <item m="1" x="44"/>
        <item m="1" x="45"/>
        <item m="1" x="46"/>
        <item m="1" x="47"/>
        <item m="1" x="4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59"/>
        <item m="1" x="60"/>
        <item m="1" x="61"/>
        <item m="1" x="62"/>
        <item m="1" x="63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41"/>
        <item m="1" x="42"/>
        <item m="1" x="29"/>
        <item m="1" x="30"/>
        <item m="1" x="31"/>
        <item m="1" x="32"/>
        <item m="1" x="33"/>
        <item m="1" x="34"/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9"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rowItems>
  <colFields count="1">
    <field x="-2"/>
  </colFields>
  <colItems count="2">
    <i>
      <x/>
    </i>
    <i i="1">
      <x v="1"/>
    </i>
  </colItems>
  <pageFields count="1">
    <pageField fld="20" item="0" hier="-1"/>
  </pageFields>
  <dataFields count="2">
    <dataField name="Average of P/FCF" fld="7" subtotal="average" baseField="0" baseItem="0" numFmtId="2"/>
    <dataField name="StdDevp of P/FCF" fld="7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9" xr16:uid="{D32EA3CB-BE38-416D-9CDC-630CA7437C5A}" autoFormatId="16" applyNumberFormats="0" applyBorderFormats="0" applyFontFormats="0" applyPatternFormats="0" applyAlignmentFormats="0" applyWidthHeightFormats="0">
  <queryTableRefresh nextId="48" unboundColumnsRight="13">
    <queryTableFields count="26">
      <queryTableField id="1" name="Industry" tableColumnId="1"/>
      <queryTableField id="2" name="Symbol" tableColumnId="2"/>
      <queryTableField id="44" name="Market Cap (M)" tableColumnId="3"/>
      <queryTableField id="4" name="Current Price" tableColumnId="4"/>
      <queryTableField id="5" name="Free CF" tableColumnId="5"/>
      <queryTableField id="6" name="BVPS" tableColumnId="6"/>
      <queryTableField id="7" name="EPS" tableColumnId="7"/>
      <queryTableField id="8" name="P/FCF" tableColumnId="8"/>
      <queryTableField id="46" name="P/B" tableColumnId="9"/>
      <queryTableField id="10" name="ROE" tableColumnId="10"/>
      <queryTableField id="11" name="ROA" tableColumnId="11"/>
      <queryTableField id="13" name="A/E" tableColumnId="13"/>
      <queryTableField id="12" name="P/E" tableColumnId="12"/>
      <queryTableField id="28" dataBound="0" tableColumnId="14"/>
      <queryTableField id="29" dataBound="0" tableColumnId="15"/>
      <queryTableField id="30" dataBound="0" tableColumnId="16"/>
      <queryTableField id="31" dataBound="0" tableColumnId="17"/>
      <queryTableField id="32" dataBound="0" tableColumnId="18"/>
      <queryTableField id="34" dataBound="0" tableColumnId="20"/>
      <queryTableField id="33" dataBound="0" tableColumnId="19"/>
      <queryTableField id="35" dataBound="0" tableColumnId="21"/>
      <queryTableField id="36" dataBound="0" tableColumnId="22"/>
      <queryTableField id="37" dataBound="0" tableColumnId="23"/>
      <queryTableField id="38" dataBound="0" tableColumnId="24"/>
      <queryTableField id="40" dataBound="0" tableColumnId="26"/>
      <queryTableField id="39" dataBound="0" tableColumnId="2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0" xr16:uid="{8D69D8E8-A8D7-45B1-9C88-2D4B75DE819C}" autoFormatId="16" applyNumberFormats="0" applyBorderFormats="0" applyFontFormats="0" applyPatternFormats="0" applyAlignmentFormats="0" applyWidthHeightFormats="0">
  <queryTableRefresh nextId="47" unboundColumnsRight="13">
    <queryTableFields count="26">
      <queryTableField id="1" name="Industry" tableColumnId="1"/>
      <queryTableField id="2" name="Symbol" tableColumnId="2"/>
      <queryTableField id="43" name="Market Cap (M)" tableColumnId="3"/>
      <queryTableField id="4" name="Current Price" tableColumnId="4"/>
      <queryTableField id="5" name="Free CF" tableColumnId="5"/>
      <queryTableField id="6" name="BVPS" tableColumnId="6"/>
      <queryTableField id="7" name="EPS" tableColumnId="7"/>
      <queryTableField id="8" name="P/FCF" tableColumnId="8"/>
      <queryTableField id="45" name="P/B" tableColumnId="9"/>
      <queryTableField id="10" name="ROE" tableColumnId="10"/>
      <queryTableField id="11" name="ROA" tableColumnId="11"/>
      <queryTableField id="13" name="A/E" tableColumnId="13"/>
      <queryTableField id="12" name="P/E" tableColumnId="12"/>
      <queryTableField id="27" dataBound="0" tableColumnId="14"/>
      <queryTableField id="28" dataBound="0" tableColumnId="15"/>
      <queryTableField id="29" dataBound="0" tableColumnId="16"/>
      <queryTableField id="30" dataBound="0" tableColumnId="17"/>
      <queryTableField id="31" dataBound="0" tableColumnId="18"/>
      <queryTableField id="33" dataBound="0" tableColumnId="20"/>
      <queryTableField id="32" dataBound="0" tableColumnId="19"/>
      <queryTableField id="34" dataBound="0" tableColumnId="21"/>
      <queryTableField id="35" dataBound="0" tableColumnId="22"/>
      <queryTableField id="36" dataBound="0" tableColumnId="23"/>
      <queryTableField id="37" dataBound="0" tableColumnId="24"/>
      <queryTableField id="39" dataBound="0" tableColumnId="26"/>
      <queryTableField id="38" dataBound="0" tableColumnId="2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1" xr16:uid="{1D322613-0263-476D-865E-3ED9D756CED7}" autoFormatId="16" applyNumberFormats="0" applyBorderFormats="0" applyFontFormats="0" applyPatternFormats="0" applyAlignmentFormats="0" applyWidthHeightFormats="0">
  <queryTableRefresh nextId="47" unboundColumnsRight="13">
    <queryTableFields count="26">
      <queryTableField id="1" name="Industry" tableColumnId="1"/>
      <queryTableField id="2" name="Symbol" tableColumnId="2"/>
      <queryTableField id="43" name="Market Cap (M)" tableColumnId="3"/>
      <queryTableField id="4" name="Current Price" tableColumnId="4"/>
      <queryTableField id="5" name="Free CF" tableColumnId="5"/>
      <queryTableField id="6" name="BVPS" tableColumnId="6"/>
      <queryTableField id="7" name="EPS" tableColumnId="7"/>
      <queryTableField id="8" name="P/FCF" tableColumnId="8"/>
      <queryTableField id="45" name="P/B" tableColumnId="9"/>
      <queryTableField id="10" name="ROE" tableColumnId="10"/>
      <queryTableField id="11" name="ROA" tableColumnId="11"/>
      <queryTableField id="13" name="A/E" tableColumnId="13"/>
      <queryTableField id="12" name="P/E" tableColumnId="12"/>
      <queryTableField id="27" dataBound="0" tableColumnId="14"/>
      <queryTableField id="28" dataBound="0" tableColumnId="15"/>
      <queryTableField id="29" dataBound="0" tableColumnId="16"/>
      <queryTableField id="30" dataBound="0" tableColumnId="17"/>
      <queryTableField id="31" dataBound="0" tableColumnId="18"/>
      <queryTableField id="33" dataBound="0" tableColumnId="20"/>
      <queryTableField id="32" dataBound="0" tableColumnId="19"/>
      <queryTableField id="34" dataBound="0" tableColumnId="21"/>
      <queryTableField id="35" dataBound="0" tableColumnId="22"/>
      <queryTableField id="36" dataBound="0" tableColumnId="23"/>
      <queryTableField id="37" dataBound="0" tableColumnId="24"/>
      <queryTableField id="39" dataBound="0" tableColumnId="26"/>
      <queryTableField id="38" dataBound="0" tableColumnId="2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41" xr16:uid="{2A3DD76B-3B32-4587-BDD7-433C5119B98E}" autoFormatId="16" applyNumberFormats="0" applyBorderFormats="0" applyFontFormats="0" applyPatternFormats="0" applyAlignmentFormats="0" applyWidthHeightFormats="0">
  <queryTableRefresh nextId="26">
    <queryTableFields count="25">
      <queryTableField id="1" name="Industry" tableColumnId="1"/>
      <queryTableField id="2" name="P/FCF Q1" tableColumnId="2"/>
      <queryTableField id="3" name="P/FCF Q3" tableColumnId="3"/>
      <queryTableField id="4" name="P/FCF LB" tableColumnId="4"/>
      <queryTableField id="5" name="P/FCF UB" tableColumnId="5"/>
      <queryTableField id="6" name="P/B Q1" tableColumnId="6"/>
      <queryTableField id="7" name="P/B Q3" tableColumnId="7"/>
      <queryTableField id="8" name="P/B LB" tableColumnId="8"/>
      <queryTableField id="9" name="P/B UB" tableColumnId="9"/>
      <queryTableField id="10" name="ROE Q1" tableColumnId="10"/>
      <queryTableField id="11" name="ROE Q3" tableColumnId="11"/>
      <queryTableField id="12" name="ROE LB" tableColumnId="12"/>
      <queryTableField id="13" name="ROE UB" tableColumnId="13"/>
      <queryTableField id="14" name="ROA Q1" tableColumnId="14"/>
      <queryTableField id="15" name="ROA Q3" tableColumnId="15"/>
      <queryTableField id="16" name="ROA LB" tableColumnId="16"/>
      <queryTableField id="17" name="ROA UB" tableColumnId="17"/>
      <queryTableField id="18" name="P/E Q1" tableColumnId="18"/>
      <queryTableField id="19" name="P/E Q3" tableColumnId="19"/>
      <queryTableField id="20" name="P/E LB" tableColumnId="20"/>
      <queryTableField id="21" name="P/E UB" tableColumnId="21"/>
      <queryTableField id="22" name="A/E Q1" tableColumnId="22"/>
      <queryTableField id="23" name="A/E Q3" tableColumnId="23"/>
      <queryTableField id="24" name="A/E LB" tableColumnId="24"/>
      <queryTableField id="25" name="A/E UB" tableColumnId="2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42" xr16:uid="{1104BD5D-D315-4F66-94E6-5B0693021F92}" autoFormatId="16" applyNumberFormats="0" applyBorderFormats="0" applyFontFormats="0" applyPatternFormats="0" applyAlignmentFormats="0" applyWidthHeightFormats="0">
  <queryTableRefresh nextId="26">
    <queryTableFields count="25">
      <queryTableField id="1" name="Industry" tableColumnId="1"/>
      <queryTableField id="2" name="P/FCF Q1" tableColumnId="2"/>
      <queryTableField id="3" name="P/FCF Q3" tableColumnId="3"/>
      <queryTableField id="4" name="P/FCF LB" tableColumnId="4"/>
      <queryTableField id="5" name="P/FCF UB" tableColumnId="5"/>
      <queryTableField id="6" name="P/B Q1" tableColumnId="6"/>
      <queryTableField id="7" name="P/B Q3" tableColumnId="7"/>
      <queryTableField id="8" name="P/B LB" tableColumnId="8"/>
      <queryTableField id="9" name="P/B UB" tableColumnId="9"/>
      <queryTableField id="10" name="ROE Q1" tableColumnId="10"/>
      <queryTableField id="11" name="ROE Q3" tableColumnId="11"/>
      <queryTableField id="12" name="ROE LB" tableColumnId="12"/>
      <queryTableField id="13" name="ROE UB" tableColumnId="13"/>
      <queryTableField id="14" name="ROA Q1" tableColumnId="14"/>
      <queryTableField id="15" name="ROA Q3" tableColumnId="15"/>
      <queryTableField id="16" name="ROA LB" tableColumnId="16"/>
      <queryTableField id="17" name="ROA UB" tableColumnId="17"/>
      <queryTableField id="18" name="P/E Q1" tableColumnId="18"/>
      <queryTableField id="19" name="P/E Q3" tableColumnId="19"/>
      <queryTableField id="20" name="P/E LB" tableColumnId="20"/>
      <queryTableField id="21" name="P/E UB" tableColumnId="21"/>
      <queryTableField id="22" name="A/E Q1" tableColumnId="22"/>
      <queryTableField id="23" name="A/E Q3" tableColumnId="23"/>
      <queryTableField id="24" name="A/E LB" tableColumnId="24"/>
      <queryTableField id="25" name="A/E UB" tableColumnId="25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43" xr16:uid="{14E5BAAC-5265-4112-9064-4EF86CDFE054}" autoFormatId="16" applyNumberFormats="0" applyBorderFormats="0" applyFontFormats="0" applyPatternFormats="0" applyAlignmentFormats="0" applyWidthHeightFormats="0">
  <queryTableRefresh nextId="26">
    <queryTableFields count="25">
      <queryTableField id="1" name="Industry" tableColumnId="1"/>
      <queryTableField id="2" name="P/FCF Q1" tableColumnId="2"/>
      <queryTableField id="3" name="P/FCF Q3" tableColumnId="3"/>
      <queryTableField id="4" name="P/FCF LB" tableColumnId="4"/>
      <queryTableField id="5" name="P/FCF UB" tableColumnId="5"/>
      <queryTableField id="6" name="P/B Q1" tableColumnId="6"/>
      <queryTableField id="7" name="P/B Q3" tableColumnId="7"/>
      <queryTableField id="8" name="P/B LB" tableColumnId="8"/>
      <queryTableField id="9" name="P/B UB" tableColumnId="9"/>
      <queryTableField id="10" name="ROE Q1" tableColumnId="10"/>
      <queryTableField id="11" name="ROE Q3" tableColumnId="11"/>
      <queryTableField id="12" name="ROE LB" tableColumnId="12"/>
      <queryTableField id="13" name="ROE UB" tableColumnId="13"/>
      <queryTableField id="14" name="ROA Q1" tableColumnId="14"/>
      <queryTableField id="15" name="ROA Q3" tableColumnId="15"/>
      <queryTableField id="16" name="ROA LB" tableColumnId="16"/>
      <queryTableField id="17" name="ROA UB" tableColumnId="17"/>
      <queryTableField id="18" name="P/E Q1" tableColumnId="18"/>
      <queryTableField id="19" name="P/E Q3" tableColumnId="19"/>
      <queryTableField id="20" name="P/E LB" tableColumnId="20"/>
      <queryTableField id="21" name="P/E UB" tableColumnId="21"/>
      <queryTableField id="22" name="A/E Q1" tableColumnId="22"/>
      <queryTableField id="23" name="A/E Q3" tableColumnId="23"/>
      <queryTableField id="24" name="A/E LB" tableColumnId="24"/>
      <queryTableField id="25" name="A/E UB" tableColumnId="25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3099FB-6B0A-4C40-9407-89EC83C9DBE4}" name="DynamicPath" displayName="DynamicPath" ref="A1:A2" totalsRowShown="0">
  <autoFilter ref="A1:A2" xr:uid="{EB3099FB-6B0A-4C40-9407-89EC83C9DBE4}"/>
  <tableColumns count="1">
    <tableColumn id="1" xr3:uid="{72CF0EC1-9118-4F51-B3B2-06BCDC74DB25}" name="Path">
      <calculatedColumnFormula array="1">LEFT(CELL("filename"),SEARCH("\M",CELL("filename")))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B3BB95A-07C7-4768-8185-A2A759A39458}" name="Main_L" displayName="Main_L" ref="A1:Z43" tableType="queryTable" totalsRowShown="0">
  <autoFilter ref="A1:Z43" xr:uid="{1B3BB95A-07C7-4768-8185-A2A759A39458}"/>
  <sortState xmlns:xlrd2="http://schemas.microsoft.com/office/spreadsheetml/2017/richdata2" ref="A2:Z43">
    <sortCondition ref="A1:A43"/>
  </sortState>
  <tableColumns count="26">
    <tableColumn id="1" xr3:uid="{FDA9EBBF-F574-44F1-B885-6A5ED1C1C8A3}" uniqueName="1" name="Industry" queryTableFieldId="1" dataDxfId="146"/>
    <tableColumn id="2" xr3:uid="{8F96E341-8F97-4BC1-90E1-73E9D5DAC8C9}" uniqueName="2" name="Symbol" queryTableFieldId="2" dataDxfId="145"/>
    <tableColumn id="3" xr3:uid="{F543FE77-4EA4-4170-A3F2-7D6D401D6817}" uniqueName="3" name="Market Cap (M)" queryTableFieldId="44" dataDxfId="137"/>
    <tableColumn id="4" xr3:uid="{D2480B0A-A335-4942-BCC8-5B641403DC2B}" uniqueName="4" name="Current Price" queryTableFieldId="4"/>
    <tableColumn id="5" xr3:uid="{720C3F4D-C635-4D4E-9155-738C72CE1044}" uniqueName="5" name="Free CF" queryTableFieldId="5"/>
    <tableColumn id="6" xr3:uid="{1BF86AC4-6154-48CF-AE5D-28B545E17514}" uniqueName="6" name="BVPS" queryTableFieldId="6"/>
    <tableColumn id="7" xr3:uid="{AE4742F3-E34E-4DC7-86A0-26BD37855B44}" uniqueName="7" name="EPS" queryTableFieldId="7"/>
    <tableColumn id="8" xr3:uid="{EDCA5355-465F-4050-92F2-EF8C3D568FEB}" uniqueName="8" name="P/FCF" queryTableFieldId="8" dataDxfId="136"/>
    <tableColumn id="9" xr3:uid="{92CA53A2-ADA4-45CE-B0FD-3AD68E123166}" uniqueName="9" name="P/B" queryTableFieldId="46" dataDxfId="135"/>
    <tableColumn id="10" xr3:uid="{0F3AADEE-F89A-40C7-BCB2-1F6E4395C5A8}" uniqueName="10" name="ROE" queryTableFieldId="10"/>
    <tableColumn id="11" xr3:uid="{8EB3611A-D40B-43FC-B57A-5DE27BFFEC7B}" uniqueName="11" name="ROA" queryTableFieldId="11"/>
    <tableColumn id="13" xr3:uid="{7CCDC820-7CD2-44AF-837F-E7A822FFB771}" uniqueName="13" name="A/E" queryTableFieldId="13"/>
    <tableColumn id="12" xr3:uid="{0DC01881-794E-4375-9285-108B89105E86}" uniqueName="12" name="P/E" queryTableFieldId="12" dataDxfId="134"/>
    <tableColumn id="14" xr3:uid="{ADA8B331-0D92-4BD4-AA99-F51061DC5068}" uniqueName="14" name="Preliminary Criteria" queryTableFieldId="28">
      <calculatedColumnFormula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calculatedColumnFormula>
    </tableColumn>
    <tableColumn id="15" xr3:uid="{B45ED73C-689C-4C77-89EB-99104D4657D6}" uniqueName="15" name="P/FCF Z-Score" queryTableFieldId="29" dataDxfId="133">
      <calculatedColumnFormula>(Main_L[[#This Row],[P/FCF]]-VLOOKUP(Main_L[[#This Row],[Industry]], Mean_PFCF_L, 2, FALSE))/(VLOOKUP(Main_L[[#This Row],[Industry]], Mean_PFCF_L, 3, FALSE))</calculatedColumnFormula>
    </tableColumn>
    <tableColumn id="16" xr3:uid="{080B9365-919D-47BA-8A56-96DFF3796262}" uniqueName="16" name="P/B Z-Score" queryTableFieldId="30" dataDxfId="132">
      <calculatedColumnFormula>(Main_L[[#This Row],[P/B]]-VLOOKUP(Main_L[[#This Row],[Industry]], Mean_PB_L, 2, FALSE))/(VLOOKUP(Main_L[[#This Row],[Industry]], Mean_PB_L, 3, FALSE))</calculatedColumnFormula>
    </tableColumn>
    <tableColumn id="17" xr3:uid="{45C38654-5156-4CDD-B790-6B274E590EC6}" uniqueName="17" name="ROE Z-Score" queryTableFieldId="31" dataDxfId="131">
      <calculatedColumnFormula>(Main_L[[#This Row],[ROE]]-VLOOKUP(Main_L[[#This Row],[Industry]], Mean_ROE_L, 2, FALSE))/(VLOOKUP(Main_L[[#This Row],[Industry]], Mean_ROE_L, 3, FALSE))</calculatedColumnFormula>
    </tableColumn>
    <tableColumn id="18" xr3:uid="{3C7295D9-1028-4428-B7DA-9EE1A954EF49}" uniqueName="18" name="ROA Z-Score" queryTableFieldId="32" dataDxfId="130">
      <calculatedColumnFormula>(Main_L[[#This Row],[ROA]]-VLOOKUP(Main_L[[#This Row],[Industry]], Mean_ROA_L, 2, FALSE))/(VLOOKUP(Main_L[[#This Row],[Industry]], Mean_ROA_L, 3, FALSE))</calculatedColumnFormula>
    </tableColumn>
    <tableColumn id="20" xr3:uid="{E4637726-26C6-4C24-BF10-0827D14B65BD}" uniqueName="20" name="A/E Z-Score" queryTableFieldId="34" dataDxfId="129">
      <calculatedColumnFormula>(Main_L[[#This Row],[A/E]]-VLOOKUP(Main_L[[#This Row],[Industry]], Mean_AE_L, 2, FALSE))/(VLOOKUP(Main_L[[#This Row],[Industry]], Mean_AE_L, 3, FALSE))</calculatedColumnFormula>
    </tableColumn>
    <tableColumn id="19" xr3:uid="{CD34899F-DB8F-4F0C-A283-548D3119A76B}" uniqueName="19" name="P/E Z-Score" queryTableFieldId="33" dataDxfId="128">
      <calculatedColumnFormula>(Main_L[[#This Row],[P/E]]-VLOOKUP(Main_L[[#This Row],[Industry]], Mean_PE_L, 2, FALSE))/(VLOOKUP(Main_L[[#This Row],[Industry]], Mean_PE_L, 3, FALSE))</calculatedColumnFormula>
    </tableColumn>
    <tableColumn id="21" xr3:uid="{B8EED667-9033-483B-905E-1DA4798C856D}" uniqueName="21" name="P/FCF Outlier" queryTableFieldId="35">
      <calculatedColumnFormula>IF(OR(Main_L[[#This Row],[P/FCF]]&lt;_xlfn.XLOOKUP(Main_L[[#This Row],[Industry]], Quartile_L[Industry], Quartile_L[P/FCF LB]), Main_L[[#This Row],[P/FCF]]&gt;_xlfn.XLOOKUP(Main_L[[#This Row],[Industry]], Quartile_L[Industry], Quartile_L[P/FCF UB])), "Yes", "No")</calculatedColumnFormula>
    </tableColumn>
    <tableColumn id="22" xr3:uid="{2111912A-D4BE-498A-BE98-FC4140F1FE20}" uniqueName="22" name="P/B Outlier" queryTableFieldId="36">
      <calculatedColumnFormula>IF(OR(Main_L[[#This Row],[P/B]]&lt;_xlfn.XLOOKUP(Main_L[[#This Row],[Industry]],Quartile_L[Industry],Quartile_L[P/B LB]),Main_L[[#This Row],[P/B]]&gt;_xlfn.XLOOKUP(Main_L[[#This Row],[Industry]],Quartile_L[Industry],Quartile_L[P/B UB])),"Yes","No")</calculatedColumnFormula>
    </tableColumn>
    <tableColumn id="23" xr3:uid="{E09174D4-F8A8-44DF-BAED-F71867CB52D9}" uniqueName="23" name="ROE Outlier" queryTableFieldId="37">
      <calculatedColumnFormula>IF(OR(Main_L[[#This Row],[ROE]]&lt;_xlfn.XLOOKUP(Main_L[[#This Row],[Industry]],Quartile_L[Industry],Quartile_L[ROE LB]),Main_L[[#This Row],[ROE]]&gt;_xlfn.XLOOKUP(Main_L[[#This Row],[Industry]],Quartile_L[Industry],Quartile_L[ROE UB])),"Yes","No")</calculatedColumnFormula>
    </tableColumn>
    <tableColumn id="24" xr3:uid="{EAC875A6-B1C3-4281-B62E-B64F07AA66FC}" uniqueName="24" name="ROA Outlier" queryTableFieldId="38">
      <calculatedColumnFormula>IF(OR(Main_L[[#This Row],[ROA]]&lt;_xlfn.XLOOKUP(Main_L[[#This Row],[Industry]],Quartile_L[Industry],Quartile_L[ROA LB]),Main_L[[#This Row],[ROA]]&gt;_xlfn.XLOOKUP(Main_L[[#This Row],[Industry]],Quartile_L[Industry],Quartile_L[ROA UB])),"Yes","No")</calculatedColumnFormula>
    </tableColumn>
    <tableColumn id="26" xr3:uid="{3295BE9F-81DF-457D-A9E7-B30BEC3A883D}" uniqueName="26" name="A/E Outlier" queryTableFieldId="40">
      <calculatedColumnFormula>IF(OR(Main_L[[#This Row],[A/E]]&lt;_xlfn.XLOOKUP(Main_L[[#This Row],[Industry]],Quartile_L[Industry],Quartile_L[A/E LB]),Main_L[[#This Row],[A/E]]&gt;_xlfn.XLOOKUP(Main_L[[#This Row],[Industry]],Quartile_L[Industry],Quartile_L[A/E UB])),"Yes","No")</calculatedColumnFormula>
    </tableColumn>
    <tableColumn id="25" xr3:uid="{DC78815E-40EE-4655-B536-DCB9E645779C}" uniqueName="25" name="P/E Outlier" queryTableFieldId="39">
      <calculatedColumnFormula>IF(OR(Main_L[[#This Row],[P/E]]&lt;_xlfn.XLOOKUP(Main_L[[#This Row],[Industry]],Quartile_L[Industry],Quartile_L[P/E LB]),Main_L[[#This Row],[P/E]]&gt;_xlfn.XLOOKUP(Main_L[[#This Row],[Industry]],Quartile_L[Industry],Quartile_L[P/E UB])),"Yes","No")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A05384F-F989-4428-B033-1A9B3ACA4EBB}" name="Main_M" displayName="Main_M" ref="A1:Z54" tableType="queryTable" totalsRowShown="0">
  <autoFilter ref="A1:Z54" xr:uid="{8A05384F-F989-4428-B033-1A9B3ACA4EBB}"/>
  <sortState xmlns:xlrd2="http://schemas.microsoft.com/office/spreadsheetml/2017/richdata2" ref="A2:Z54">
    <sortCondition ref="A1:A54"/>
  </sortState>
  <tableColumns count="26">
    <tableColumn id="1" xr3:uid="{3547F496-7B67-42E8-9760-1F3941836443}" uniqueName="1" name="Industry" queryTableFieldId="1" dataDxfId="144"/>
    <tableColumn id="2" xr3:uid="{0A09E186-076D-4A57-B743-EBD7817F4082}" uniqueName="2" name="Symbol" queryTableFieldId="2" dataDxfId="143"/>
    <tableColumn id="3" xr3:uid="{C567BD69-49B3-415C-87A5-73BCB80F1796}" uniqueName="3" name="Market Cap (M)" queryTableFieldId="43" dataDxfId="127"/>
    <tableColumn id="4" xr3:uid="{4087682F-874F-4DAE-BAEC-138B7CABA861}" uniqueName="4" name="Current Price" queryTableFieldId="4"/>
    <tableColumn id="5" xr3:uid="{F7C5403B-3B7F-48E6-B20A-A8985D69DCA6}" uniqueName="5" name="Free CF" queryTableFieldId="5"/>
    <tableColumn id="6" xr3:uid="{0920E6C9-A031-45AE-AC78-DF5C9ACB89C8}" uniqueName="6" name="BVPS" queryTableFieldId="6"/>
    <tableColumn id="7" xr3:uid="{7F4BE925-C945-4781-8167-81541AF47A3C}" uniqueName="7" name="EPS" queryTableFieldId="7"/>
    <tableColumn id="8" xr3:uid="{22055AE5-DCAA-431A-BB58-FDE6663E7511}" uniqueName="8" name="P/FCF" queryTableFieldId="8" dataDxfId="126"/>
    <tableColumn id="9" xr3:uid="{F1DC44A8-3710-4CCA-B495-699F6ACADE85}" uniqueName="9" name="P/B" queryTableFieldId="45" dataDxfId="125"/>
    <tableColumn id="10" xr3:uid="{0316F646-5D0C-4D89-BBE5-559FC2836E25}" uniqueName="10" name="ROE" queryTableFieldId="10"/>
    <tableColumn id="11" xr3:uid="{4F083877-E4AF-420C-949F-710C1B627C04}" uniqueName="11" name="ROA" queryTableFieldId="11"/>
    <tableColumn id="13" xr3:uid="{57B80CA9-D107-4FD7-B08F-B230D181D163}" uniqueName="13" name="A/E" queryTableFieldId="13"/>
    <tableColumn id="12" xr3:uid="{CC835683-DCE2-4109-80DD-DE5E7A99A2F4}" uniqueName="12" name="P/E" queryTableFieldId="12" dataDxfId="124"/>
    <tableColumn id="14" xr3:uid="{748A606C-A5FD-438C-807A-2C5137C87528}" uniqueName="14" name="Preliminary Criteria" queryTableFieldId="27">
      <calculatedColumnFormula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calculatedColumnFormula>
    </tableColumn>
    <tableColumn id="15" xr3:uid="{8DBD4B33-6A20-4DEB-9596-BEAEA7FCD5C6}" uniqueName="15" name="P/FCF Z-Score" queryTableFieldId="28" dataDxfId="123">
      <calculatedColumnFormula>(Main_M[[#This Row],[P/FCF]]-VLOOKUP(Main_M[[#This Row],[Industry]], Mean_PFCF_M, 2, FALSE))/(VLOOKUP(Main_M[[#This Row],[Industry]], Mean_PFCF_M, 3, FALSE))</calculatedColumnFormula>
    </tableColumn>
    <tableColumn id="16" xr3:uid="{9E97918F-BB4B-4F88-A428-5A1A279239B2}" uniqueName="16" name="P/B Z-Score" queryTableFieldId="29" dataDxfId="122">
      <calculatedColumnFormula>(Main_M[[#This Row],[P/B]]-VLOOKUP(Main_M[[#This Row],[Industry]], Mean_PB_M, 2, FALSE))/(VLOOKUP(Main_M[[#This Row],[Industry]], Mean_PB_M, 3, FALSE))</calculatedColumnFormula>
    </tableColumn>
    <tableColumn id="17" xr3:uid="{11EE28ED-72CA-481E-B33F-2CF1EB757823}" uniqueName="17" name="ROE Z-Score" queryTableFieldId="30" dataDxfId="121">
      <calculatedColumnFormula>(Main_M[[#This Row],[ROE]]-VLOOKUP(Main_M[[#This Row],[Industry]], Mean_ROE_M, 2, FALSE))/(VLOOKUP(Main_M[[#This Row],[Industry]], Mean_ROE_M, 3, FALSE))</calculatedColumnFormula>
    </tableColumn>
    <tableColumn id="18" xr3:uid="{635EB97C-188F-4205-9857-00D3D350B32D}" uniqueName="18" name="ROA Z-Score" queryTableFieldId="31" dataDxfId="120">
      <calculatedColumnFormula>(Main_M[[#This Row],[ROA]]-VLOOKUP(Main_M[[#This Row],[Industry]], Mean_ROA_M, 2, FALSE))/(VLOOKUP(Main_M[[#This Row],[Industry]], Mean_ROA_M, 3, FALSE))</calculatedColumnFormula>
    </tableColumn>
    <tableColumn id="20" xr3:uid="{118AB99B-E87A-4721-99E0-5041A9ACACB5}" uniqueName="20" name="A/E Z-Score" queryTableFieldId="33" dataDxfId="119">
      <calculatedColumnFormula>(Main_M[[#This Row],[A/E]]-VLOOKUP(Main_M[[#This Row],[Industry]], Mean_AE_M, 2, FALSE))/(VLOOKUP(Main_M[[#This Row],[Industry]], Mean_AE_M, 3, FALSE))</calculatedColumnFormula>
    </tableColumn>
    <tableColumn id="19" xr3:uid="{27A37C9A-3957-4ABD-BA38-E258FE504892}" uniqueName="19" name="P/E Z-Score" queryTableFieldId="32" dataDxfId="118">
      <calculatedColumnFormula>(Main_M[[#This Row],[P/E]]-VLOOKUP(Main_M[[#This Row],[Industry]], Mean_PE_M, 2, FALSE))/(VLOOKUP(Main_M[[#This Row],[Industry]], Mean_PE_M, 3, FALSE))</calculatedColumnFormula>
    </tableColumn>
    <tableColumn id="21" xr3:uid="{1219C7A9-AB23-4567-8019-077342A2D565}" uniqueName="21" name="P/FCF Outlier" queryTableFieldId="34">
      <calculatedColumnFormula>IF(OR(Main_M[[#This Row],[P/FCF]]&lt;_xlfn.XLOOKUP(Main_M[[#This Row],[Industry]], Quartile_M[Industry], Quartile_M[P/FCF LB]), Main_M[[#This Row],[P/FCF]]&gt;_xlfn.XLOOKUP(Main_M[[#This Row],[Industry]], Quartile_M[Industry], Quartile_M[P/FCF UB])), "Yes", "No")</calculatedColumnFormula>
    </tableColumn>
    <tableColumn id="22" xr3:uid="{81369071-E61A-45A3-8DA9-A692581BA198}" uniqueName="22" name="P/B Outlier" queryTableFieldId="35">
      <calculatedColumnFormula>IF(OR(Main_M[[#This Row],[P/B]]&lt;_xlfn.XLOOKUP(Main_M[[#This Row],[Industry]],Quartile_M[Industry],Quartile_M[P/B LB]),Main_M[[#This Row],[P/B]]&gt;_xlfn.XLOOKUP(Main_M[[#This Row],[Industry]],Quartile_M[Industry],Quartile_M[P/B UB])),"Yes","No")</calculatedColumnFormula>
    </tableColumn>
    <tableColumn id="23" xr3:uid="{CDA4E768-55A6-4FC5-8A2D-99FE07B7A7F3}" uniqueName="23" name="ROE Outlier" queryTableFieldId="36">
      <calculatedColumnFormula>IF(OR(Main_M[[#This Row],[ROA]]&lt;_xlfn.XLOOKUP(Main_M[[#This Row],[Industry]],Quartile_M[Industry],Quartile_M[ROA LB]),Main_M[[#This Row],[ROA]]&gt;_xlfn.XLOOKUP(Main_M[[#This Row],[Industry]],Quartile_M[Industry],Quartile_M[ROA UB])),"Yes","No")</calculatedColumnFormula>
    </tableColumn>
    <tableColumn id="24" xr3:uid="{7828AE38-C299-4609-816E-49E350A922CB}" uniqueName="24" name="ROA Outlier" queryTableFieldId="37">
      <calculatedColumnFormula>IF(OR(Main_M[[#This Row],[ROE]]&lt;_xlfn.XLOOKUP(Main_M[[#This Row],[Industry]],Quartile_M[Industry],Quartile_M[ROE LB]),Main_M[[#This Row],[ROE]]&gt;_xlfn.XLOOKUP(Main_M[[#This Row],[Industry]],Quartile_M[Industry],Quartile_M[ROE UB])),"Yes","No")</calculatedColumnFormula>
    </tableColumn>
    <tableColumn id="26" xr3:uid="{A06F209E-A224-4F74-8C3C-CAB1CB61E937}" uniqueName="26" name="A/E Outlier" queryTableFieldId="39">
      <calculatedColumnFormula>IF(OR(Main_M[[#This Row],[A/E]]&lt;_xlfn.XLOOKUP(Main_M[[#This Row],[Industry]],Quartile_M[Industry],Quartile_M[A/E LB]),Main_M[[#This Row],[A/E]]&gt;_xlfn.XLOOKUP(Main_M[[#This Row],[Industry]],Quartile_M[Industry],Quartile_M[A/E UB])),"Yes","No")</calculatedColumnFormula>
    </tableColumn>
    <tableColumn id="25" xr3:uid="{956CA899-4888-4E58-AFBD-20889570CED8}" uniqueName="25" name="P/E Outlier" queryTableFieldId="38">
      <calculatedColumnFormula>IF(OR(Main_M[[#This Row],[P/E]]&lt;_xlfn.XLOOKUP(Main_M[[#This Row],[Industry]],Quartile_M[Industry],Quartile_M[P/E LB]),Main_M[[#This Row],[P/E]]&gt;_xlfn.XLOOKUP(Main_M[[#This Row],[Industry]],Quartile_M[Industry],Quartile_M[P/E UB])),"Yes","No")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E7CBD96-9DC7-4F09-9B11-F8C87451A82B}" name="Main_S" displayName="Main_S" ref="A1:Z74" tableType="queryTable" totalsRowShown="0">
  <autoFilter ref="A1:Z74" xr:uid="{DE7CBD96-9DC7-4F09-9B11-F8C87451A82B}"/>
  <sortState xmlns:xlrd2="http://schemas.microsoft.com/office/spreadsheetml/2017/richdata2" ref="A2:Z74">
    <sortCondition ref="A1:A74"/>
  </sortState>
  <tableColumns count="26">
    <tableColumn id="1" xr3:uid="{261FC5A1-AB9E-4068-9D87-D85D75FE0DD5}" uniqueName="1" name="Industry" queryTableFieldId="1" dataDxfId="142"/>
    <tableColumn id="2" xr3:uid="{4D1C6415-A4DE-450C-A6A0-32BD8F91DEB2}" uniqueName="2" name="Symbol" queryTableFieldId="2" dataDxfId="141"/>
    <tableColumn id="3" xr3:uid="{1913483F-1018-45E5-BBAD-415B97CDE58A}" uniqueName="3" name="Market Cap (M)" queryTableFieldId="43" dataDxfId="117"/>
    <tableColumn id="4" xr3:uid="{7E1635D0-4161-41FC-8D5D-5E03248D8D6C}" uniqueName="4" name="Current Price" queryTableFieldId="4"/>
    <tableColumn id="5" xr3:uid="{BFCEC97F-F42F-47E0-AE26-1709930A540B}" uniqueName="5" name="Free CF" queryTableFieldId="5"/>
    <tableColumn id="6" xr3:uid="{BCF39D81-8D8C-4AD8-9282-1C38028E3882}" uniqueName="6" name="BVPS" queryTableFieldId="6"/>
    <tableColumn id="7" xr3:uid="{EA83C4F8-920B-446E-81C2-B27D7026DC52}" uniqueName="7" name="EPS" queryTableFieldId="7"/>
    <tableColumn id="8" xr3:uid="{8E353476-C9B7-45A7-9139-76A9351BCA3B}" uniqueName="8" name="P/FCF" queryTableFieldId="8" dataDxfId="116"/>
    <tableColumn id="9" xr3:uid="{A85952D4-A3AB-4C1A-90DC-2E32ECE72481}" uniqueName="9" name="P/B" queryTableFieldId="45" dataDxfId="115"/>
    <tableColumn id="10" xr3:uid="{01C97A02-D515-4709-AAB2-49B06E62230D}" uniqueName="10" name="ROE" queryTableFieldId="10"/>
    <tableColumn id="11" xr3:uid="{94550A35-0E2A-4175-B54D-9D47C831DD48}" uniqueName="11" name="ROA" queryTableFieldId="11"/>
    <tableColumn id="13" xr3:uid="{94B8BA82-09F9-47C7-85B4-949FB0DF2A91}" uniqueName="13" name="A/E" queryTableFieldId="13"/>
    <tableColumn id="12" xr3:uid="{09F2AC5A-FBF9-4E80-AA6A-45689E659B60}" uniqueName="12" name="P/E" queryTableFieldId="12" dataDxfId="114"/>
    <tableColumn id="14" xr3:uid="{75658179-B2A8-47DA-8E22-05CB7BD8FE28}" uniqueName="14" name="Preliminary Criteria" queryTableFieldId="27">
      <calculatedColumnFormula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calculatedColumnFormula>
    </tableColumn>
    <tableColumn id="15" xr3:uid="{AE789B69-7955-4C5D-B0D8-BE506B154C66}" uniqueName="15" name="P/FCF Z-Score" queryTableFieldId="28" dataDxfId="113">
      <calculatedColumnFormula>(Main_S[[#This Row],[P/FCF]]-VLOOKUP(Main_S[[#This Row],[Industry]], Mean_PFCF_S, 2, FALSE))/(VLOOKUP(Main_S[[#This Row],[Industry]], Mean_PFCF_S, 3, FALSE))</calculatedColumnFormula>
    </tableColumn>
    <tableColumn id="16" xr3:uid="{6292DB1C-BF6D-4741-96E6-E3A145286F0A}" uniqueName="16" name="P/B Z-Score" queryTableFieldId="29" dataDxfId="112">
      <calculatedColumnFormula>(Main_S[[#This Row],[P/B]]-VLOOKUP(Main_S[[#This Row],[Industry]], Mean_PB_S, 2, FALSE))/(VLOOKUP(Main_S[[#This Row],[Industry]], Mean_PB_S, 3, FALSE))</calculatedColumnFormula>
    </tableColumn>
    <tableColumn id="17" xr3:uid="{DC5AB4EF-1E9A-4D34-B743-84444CD7A0DD}" uniqueName="17" name="ROE Z-Score" queryTableFieldId="30" dataDxfId="111">
      <calculatedColumnFormula>(Main_S[[#This Row],[ROE]]-VLOOKUP(Main_S[[#This Row],[Industry]], Mean_ROE_S, 2, FALSE))/(VLOOKUP(Main_S[[#This Row],[Industry]], Mean_ROE_S, 3, FALSE))</calculatedColumnFormula>
    </tableColumn>
    <tableColumn id="18" xr3:uid="{F8312DD8-C161-4C81-B590-85BC95BC6C2A}" uniqueName="18" name="ROA Z-Score" queryTableFieldId="31" dataDxfId="110">
      <calculatedColumnFormula>(Main_S[[#This Row],[ROA]]-VLOOKUP(Main_S[[#This Row],[Industry]], Mean_ROA_S, 2, FALSE))/(VLOOKUP(Main_S[[#This Row],[Industry]], Mean_ROA_S, 3, FALSE))</calculatedColumnFormula>
    </tableColumn>
    <tableColumn id="20" xr3:uid="{B2499DBE-D709-4AF4-AD2E-3CBB0EB50568}" uniqueName="20" name="A/E Z-Score" queryTableFieldId="33" dataDxfId="109">
      <calculatedColumnFormula>(Main_S[[#This Row],[A/E]]-VLOOKUP(Main_S[[#This Row],[Industry]], Mean_AE_S, 2, FALSE))/(VLOOKUP(Main_S[[#This Row],[Industry]], Mean_AE_S, 3, FALSE))</calculatedColumnFormula>
    </tableColumn>
    <tableColumn id="19" xr3:uid="{9CD668E1-B037-4423-81E4-CD131B72FC22}" uniqueName="19" name="P/E Z-Score" queryTableFieldId="32" dataDxfId="108">
      <calculatedColumnFormula>(Main_S[[#This Row],[P/E]]-VLOOKUP(Main_S[[#This Row],[Industry]], Mean_PE_S, 2, FALSE))/(VLOOKUP(Main_S[[#This Row],[Industry]], Mean_PE_S, 3, FALSE))</calculatedColumnFormula>
    </tableColumn>
    <tableColumn id="21" xr3:uid="{4B9DCA2A-2DD7-47E5-BE49-5397A59B85D5}" uniqueName="21" name="P/FCF Outlier" queryTableFieldId="34">
      <calculatedColumnFormula>IF(OR(Main_S[[#This Row],[P/FCF]]&lt;_xlfn.XLOOKUP(Main_S[[#This Row],[Industry]], Quartile_S[Industry], Quartile_S[P/FCF LB]), Main_S[[#This Row],[P/FCF]]&gt;_xlfn.XLOOKUP(Main_S[[#This Row],[Industry]], Quartile_S[Industry], Quartile_S[P/FCF UB])), "Yes", "No")</calculatedColumnFormula>
    </tableColumn>
    <tableColumn id="22" xr3:uid="{D6112E0B-D69F-47CE-948E-32CCD6C1EB14}" uniqueName="22" name="P/B Outlier" queryTableFieldId="35">
      <calculatedColumnFormula>IF(OR(Main_S[[#This Row],[P/B]]&lt;_xlfn.XLOOKUP(Main_S[[#This Row],[Industry]],Quartile_S[Industry],Quartile_S[P/B LB]),Main_S[[#This Row],[P/B]]&gt;_xlfn.XLOOKUP(Main_S[[#This Row],[Industry]],Quartile_S[Industry],Quartile_S[P/B UB])),"Yes","No")</calculatedColumnFormula>
    </tableColumn>
    <tableColumn id="23" xr3:uid="{70FBC285-BF41-49BB-887F-AFB1C19C5B62}" uniqueName="23" name="ROE Outlier" queryTableFieldId="36">
      <calculatedColumnFormula>IF(OR(Main_S[[#This Row],[ROE]]&lt;_xlfn.XLOOKUP(Main_S[[#This Row],[Industry]],Quartile_S[Industry],Quartile_S[ROE LB]),Main_S[[#This Row],[ROE]]&gt;_xlfn.XLOOKUP(Main_S[[#This Row],[Industry]],Quartile_S[Industry],Quartile_S[ROE UB])),"Yes","No")</calculatedColumnFormula>
    </tableColumn>
    <tableColumn id="24" xr3:uid="{C8DF68EE-BC04-4A1D-8CE7-C9115FA2FA9C}" uniqueName="24" name="ROA Outlier" queryTableFieldId="37">
      <calculatedColumnFormula>IF(OR(Main_S[[#This Row],[ROA]]&lt;_xlfn.XLOOKUP(Main_S[[#This Row],[Industry]],Quartile_S[Industry],Quartile_S[ROA LB]),Main_S[[#This Row],[ROA]]&gt;_xlfn.XLOOKUP(Main_S[[#This Row],[Industry]],Quartile_S[Industry],Quartile_S[ROA UB])),"Yes","No")</calculatedColumnFormula>
    </tableColumn>
    <tableColumn id="26" xr3:uid="{CAEB1F13-C76E-4164-AE70-884EC5A28B82}" uniqueName="26" name="A/E Outlier" queryTableFieldId="39">
      <calculatedColumnFormula>IF(OR(Main_S[[#This Row],[A/E]]&lt;_xlfn.XLOOKUP(Main_S[[#This Row],[Industry]],Quartile_S[Industry],Quartile_S[A/E LB]),Main_S[[#This Row],[A/E]]&gt;_xlfn.XLOOKUP(Main_S[[#This Row],[Industry]],Quartile_S[Industry],Quartile_S[A/E UB])),"Yes","No")</calculatedColumnFormula>
    </tableColumn>
    <tableColumn id="25" xr3:uid="{0C4DC875-A443-4C26-8D18-71F5BA699597}" uniqueName="25" name="P/E Outlier" queryTableFieldId="38">
      <calculatedColumnFormula>IF(OR(Main_S[[#This Row],[P/E]]&lt;_xlfn.XLOOKUP(Main_S[[#This Row],[Industry]],Quartile_S[Industry],Quartile_S[P/E LB]),Main_S[[#This Row],[P/E]]&gt;_xlfn.XLOOKUP(Main_S[[#This Row],[Industry]],Quartile_S[Industry],Quartile_S[P/E UB])),"Yes","No")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08F30B-5B6A-425F-B235-3500A3319B88}" name="Quartile_L" displayName="Quartile_L" ref="A2:Y11" tableType="queryTable" totalsRowShown="0">
  <autoFilter ref="A2:Y11" xr:uid="{CF08F30B-5B6A-425F-B235-3500A3319B88}"/>
  <tableColumns count="25">
    <tableColumn id="1" xr3:uid="{FD842081-B64F-4301-AA21-FB7B05A836D4}" uniqueName="1" name="Industry" queryTableFieldId="1" dataDxfId="140"/>
    <tableColumn id="2" xr3:uid="{E59C1D9B-F213-4C25-84A0-0FA886F9704F}" uniqueName="2" name="P/FCF Q1" queryTableFieldId="2" dataDxfId="23"/>
    <tableColumn id="3" xr3:uid="{04B713EC-FD8B-48E2-A2D2-C366A9A339B7}" uniqueName="3" name="P/FCF Q3" queryTableFieldId="3" dataDxfId="22"/>
    <tableColumn id="4" xr3:uid="{9DCEA951-E29F-4D9E-B9F0-5DC32A557DF0}" uniqueName="4" name="P/FCF LB" queryTableFieldId="4" dataDxfId="21"/>
    <tableColumn id="5" xr3:uid="{C2B6F391-AB27-4C2B-B68A-D2B47E1AA772}" uniqueName="5" name="P/FCF UB" queryTableFieldId="5" dataDxfId="20"/>
    <tableColumn id="6" xr3:uid="{1FD6B89C-F582-4857-A32F-326E69C5DFFD}" uniqueName="6" name="P/B Q1" queryTableFieldId="6" dataDxfId="19"/>
    <tableColumn id="7" xr3:uid="{A3697E12-D8D4-4284-AE2B-01C3BA154C99}" uniqueName="7" name="P/B Q3" queryTableFieldId="7" dataDxfId="18"/>
    <tableColumn id="8" xr3:uid="{A270BB2A-00C0-4246-AFBA-EDE9D5F40C76}" uniqueName="8" name="P/B LB" queryTableFieldId="8" dataDxfId="17"/>
    <tableColumn id="9" xr3:uid="{F99BB669-75E9-428A-88A3-E037E705383F}" uniqueName="9" name="P/B UB" queryTableFieldId="9" dataDxfId="16"/>
    <tableColumn id="10" xr3:uid="{D3A49932-F6DE-43A8-B449-B1C4E41499CF}" uniqueName="10" name="ROE Q1" queryTableFieldId="10" dataDxfId="15"/>
    <tableColumn id="11" xr3:uid="{BD8F2597-7442-49AD-BA3A-A3F29A6E60DD}" uniqueName="11" name="ROE Q3" queryTableFieldId="11" dataDxfId="14"/>
    <tableColumn id="12" xr3:uid="{3B29ED46-D0C8-4AF8-BFC0-41462C6C29EB}" uniqueName="12" name="ROE LB" queryTableFieldId="12" dataDxfId="13"/>
    <tableColumn id="13" xr3:uid="{F62F045D-EA3F-4608-85C5-21D743180D21}" uniqueName="13" name="ROE UB" queryTableFieldId="13" dataDxfId="12"/>
    <tableColumn id="14" xr3:uid="{9D898AB4-6F4D-4D03-BA61-39B91E78C9C6}" uniqueName="14" name="ROA Q1" queryTableFieldId="14" dataDxfId="11"/>
    <tableColumn id="15" xr3:uid="{2D1DFB04-09CE-4BEC-AD50-26246811DCDA}" uniqueName="15" name="ROA Q3" queryTableFieldId="15" dataDxfId="10"/>
    <tableColumn id="16" xr3:uid="{753F114C-61F5-4444-9EB0-76DCEA7F1F1B}" uniqueName="16" name="ROA LB" queryTableFieldId="16" dataDxfId="9"/>
    <tableColumn id="17" xr3:uid="{AA60DB6D-6DE2-4BF0-A375-18A578568BBF}" uniqueName="17" name="ROA UB" queryTableFieldId="17" dataDxfId="8"/>
    <tableColumn id="18" xr3:uid="{5357CEC7-DB8C-48BE-BDAD-FCBB1FB43389}" uniqueName="18" name="P/E Q1" queryTableFieldId="18" dataDxfId="7"/>
    <tableColumn id="19" xr3:uid="{C18FE8DB-95D8-42EC-BC42-C15678D7CE64}" uniqueName="19" name="P/E Q3" queryTableFieldId="19" dataDxfId="6"/>
    <tableColumn id="20" xr3:uid="{B7040099-49E4-464B-9BD8-1326A00D0599}" uniqueName="20" name="P/E LB" queryTableFieldId="20" dataDxfId="5"/>
    <tableColumn id="21" xr3:uid="{E8713F96-91B8-41CB-AA45-CCA61FACA752}" uniqueName="21" name="P/E UB" queryTableFieldId="21" dataDxfId="4"/>
    <tableColumn id="22" xr3:uid="{91693169-B783-4EDC-94CF-D23F08159B62}" uniqueName="22" name="A/E Q1" queryTableFieldId="22" dataDxfId="3"/>
    <tableColumn id="23" xr3:uid="{F98A9AC1-1CAF-483B-A342-F3A466AEB043}" uniqueName="23" name="A/E Q3" queryTableFieldId="23" dataDxfId="2"/>
    <tableColumn id="24" xr3:uid="{04D140EC-A8E6-4894-B430-208F20D411DB}" uniqueName="24" name="A/E LB" queryTableFieldId="24" dataDxfId="1"/>
    <tableColumn id="25" xr3:uid="{3E6CFD0C-10B0-4D91-A289-A353306CC102}" uniqueName="25" name="A/E UB" queryTableFieldId="25" dataDxfId="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9F54F15-11E6-4F5B-BF51-37096268E20C}" name="Quartile_M" displayName="Quartile_M" ref="A15:Y24" tableType="queryTable" totalsRowShown="0">
  <autoFilter ref="A15:Y24" xr:uid="{89F54F15-11E6-4F5B-BF51-37096268E20C}"/>
  <tableColumns count="25">
    <tableColumn id="1" xr3:uid="{1DD86F6C-5649-4964-82C3-51A7F8B44C8D}" uniqueName="1" name="Industry" queryTableFieldId="1" dataDxfId="139"/>
    <tableColumn id="2" xr3:uid="{E9710093-0C0E-47F6-BA82-6DF1689DE3FF}" uniqueName="2" name="P/FCF Q1" queryTableFieldId="2" dataDxfId="83"/>
    <tableColumn id="3" xr3:uid="{BB549C0D-7552-41A2-B049-C1E0C569FC5B}" uniqueName="3" name="P/FCF Q3" queryTableFieldId="3" dataDxfId="82"/>
    <tableColumn id="4" xr3:uid="{F8874757-4F98-4408-A256-B3DBB97E40A5}" uniqueName="4" name="P/FCF LB" queryTableFieldId="4" dataDxfId="81"/>
    <tableColumn id="5" xr3:uid="{7F92E8F9-91DF-48EA-A8F2-F3E13D8104D3}" uniqueName="5" name="P/FCF UB" queryTableFieldId="5" dataDxfId="80"/>
    <tableColumn id="6" xr3:uid="{837AC52A-2B15-4BFB-A555-2456F010C7C9}" uniqueName="6" name="P/B Q1" queryTableFieldId="6" dataDxfId="79"/>
    <tableColumn id="7" xr3:uid="{C672A3A3-8D6C-4E08-B6E3-1D85CD510A41}" uniqueName="7" name="P/B Q3" queryTableFieldId="7" dataDxfId="78"/>
    <tableColumn id="8" xr3:uid="{47FBFC34-1D36-49FE-8583-28072989EA1C}" uniqueName="8" name="P/B LB" queryTableFieldId="8" dataDxfId="77"/>
    <tableColumn id="9" xr3:uid="{98DADD72-A76B-4DE4-AB34-515EBE2E4A04}" uniqueName="9" name="P/B UB" queryTableFieldId="9" dataDxfId="76"/>
    <tableColumn id="10" xr3:uid="{C06AFB5F-1921-4B19-AFA7-04514BD3BC35}" uniqueName="10" name="ROE Q1" queryTableFieldId="10" dataDxfId="75"/>
    <tableColumn id="11" xr3:uid="{38FF7E38-2AC1-4486-B824-BCBE4156ADA7}" uniqueName="11" name="ROE Q3" queryTableFieldId="11" dataDxfId="74"/>
    <tableColumn id="12" xr3:uid="{1BBD6DC1-3C0C-48AF-9986-81D1F4A26368}" uniqueName="12" name="ROE LB" queryTableFieldId="12" dataDxfId="73"/>
    <tableColumn id="13" xr3:uid="{5775303C-3550-4762-86D0-7A82C106A3F0}" uniqueName="13" name="ROE UB" queryTableFieldId="13" dataDxfId="72"/>
    <tableColumn id="14" xr3:uid="{9FE06177-2E94-4066-A65B-77414C97B4DC}" uniqueName="14" name="ROA Q1" queryTableFieldId="14" dataDxfId="71"/>
    <tableColumn id="15" xr3:uid="{386179E5-15F0-4AED-9E0C-1EB211C80CEE}" uniqueName="15" name="ROA Q3" queryTableFieldId="15" dataDxfId="70"/>
    <tableColumn id="16" xr3:uid="{C7DC1506-2223-42A0-AC4B-68B0E14D2B9D}" uniqueName="16" name="ROA LB" queryTableFieldId="16" dataDxfId="69"/>
    <tableColumn id="17" xr3:uid="{C45AE1E6-1326-44B3-972F-838B081A78FC}" uniqueName="17" name="ROA UB" queryTableFieldId="17" dataDxfId="68"/>
    <tableColumn id="18" xr3:uid="{17D85B47-F40C-47C3-996F-C47242CFB7D2}" uniqueName="18" name="P/E Q1" queryTableFieldId="18" dataDxfId="67"/>
    <tableColumn id="19" xr3:uid="{44248722-1EBA-4DF8-B99D-B6B2F31E253B}" uniqueName="19" name="P/E Q3" queryTableFieldId="19" dataDxfId="66"/>
    <tableColumn id="20" xr3:uid="{93299C7A-5544-43AE-ACC5-72F0CB129F08}" uniqueName="20" name="P/E LB" queryTableFieldId="20" dataDxfId="65"/>
    <tableColumn id="21" xr3:uid="{3E027012-2DA9-4754-8880-25FEEDEFA94A}" uniqueName="21" name="P/E UB" queryTableFieldId="21" dataDxfId="64"/>
    <tableColumn id="22" xr3:uid="{FF2638EF-6EA0-401C-B7D8-A2BC49ECD2B0}" uniqueName="22" name="A/E Q1" queryTableFieldId="22" dataDxfId="63"/>
    <tableColumn id="23" xr3:uid="{546FB46A-BFEC-4020-A8E1-97073EBE991F}" uniqueName="23" name="A/E Q3" queryTableFieldId="23" dataDxfId="62"/>
    <tableColumn id="24" xr3:uid="{41F03CE5-975A-469D-B609-D8C5D8D172FA}" uniqueName="24" name="A/E LB" queryTableFieldId="24" dataDxfId="61"/>
    <tableColumn id="25" xr3:uid="{1863137D-3C8C-4A15-9A63-5E253392AFAD}" uniqueName="25" name="A/E UB" queryTableFieldId="25" dataDxfId="6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F689D08-98E7-4B08-8D8B-630159DED978}" name="Quartile_S" displayName="Quartile_S" ref="A28:Y37" tableType="queryTable" totalsRowShown="0">
  <autoFilter ref="A28:Y37" xr:uid="{CF689D08-98E7-4B08-8D8B-630159DED978}"/>
  <tableColumns count="25">
    <tableColumn id="1" xr3:uid="{1B5FE8EC-4B8C-444E-96DC-3618818E7D45}" uniqueName="1" name="Industry" queryTableFieldId="1" dataDxfId="138"/>
    <tableColumn id="2" xr3:uid="{0E20A80F-BE74-42F8-83EF-419A13269CF8}" uniqueName="2" name="P/FCF Q1" queryTableFieldId="2" dataDxfId="107"/>
    <tableColumn id="3" xr3:uid="{6D66145B-6613-41BC-8233-7356853CCFEF}" uniqueName="3" name="P/FCF Q3" queryTableFieldId="3" dataDxfId="106"/>
    <tableColumn id="4" xr3:uid="{90A69125-3CA2-4D0A-8F1A-65993DFA9D46}" uniqueName="4" name="P/FCF LB" queryTableFieldId="4" dataDxfId="105"/>
    <tableColumn id="5" xr3:uid="{BED6E3D4-DC60-428F-B5E8-4C3C64096FD7}" uniqueName="5" name="P/FCF UB" queryTableFieldId="5" dataDxfId="104"/>
    <tableColumn id="6" xr3:uid="{FC33B186-B76E-4D86-8EBD-E25B773D256E}" uniqueName="6" name="P/B Q1" queryTableFieldId="6" dataDxfId="103"/>
    <tableColumn id="7" xr3:uid="{D82D1432-7C03-4449-BD2D-F895D50A5F32}" uniqueName="7" name="P/B Q3" queryTableFieldId="7" dataDxfId="102"/>
    <tableColumn id="8" xr3:uid="{D3389429-24FB-4947-AACF-CAA92D678F94}" uniqueName="8" name="P/B LB" queryTableFieldId="8" dataDxfId="101"/>
    <tableColumn id="9" xr3:uid="{452E932D-DD5B-4C62-A8B3-25C90C8C7751}" uniqueName="9" name="P/B UB" queryTableFieldId="9" dataDxfId="100"/>
    <tableColumn id="10" xr3:uid="{99E11285-9679-47B1-9540-1BD10239596C}" uniqueName="10" name="ROE Q1" queryTableFieldId="10" dataDxfId="99"/>
    <tableColumn id="11" xr3:uid="{B4F1825A-C678-4C01-BB96-B04FAB1938BD}" uniqueName="11" name="ROE Q3" queryTableFieldId="11" dataDxfId="98"/>
    <tableColumn id="12" xr3:uid="{9F07026D-928C-42B1-8DD2-9BD3176C8B6A}" uniqueName="12" name="ROE LB" queryTableFieldId="12" dataDxfId="97"/>
    <tableColumn id="13" xr3:uid="{47360B1B-7AC4-49FA-9F18-2F1F1B72CA28}" uniqueName="13" name="ROE UB" queryTableFieldId="13" dataDxfId="96"/>
    <tableColumn id="14" xr3:uid="{58B0248D-BCFF-4737-ADF5-EE087C03D561}" uniqueName="14" name="ROA Q1" queryTableFieldId="14" dataDxfId="95"/>
    <tableColumn id="15" xr3:uid="{CCD6E6AE-6BBB-4675-8C50-0F87AF280A3C}" uniqueName="15" name="ROA Q3" queryTableFieldId="15" dataDxfId="94"/>
    <tableColumn id="16" xr3:uid="{BB86731C-A605-4988-A848-B35835CAF73E}" uniqueName="16" name="ROA LB" queryTableFieldId="16" dataDxfId="93"/>
    <tableColumn id="17" xr3:uid="{9760AC7A-70E9-4457-8DC8-4BDA6646C74E}" uniqueName="17" name="ROA UB" queryTableFieldId="17" dataDxfId="92"/>
    <tableColumn id="18" xr3:uid="{931D5CA9-41B9-424B-87E6-FA364034B249}" uniqueName="18" name="P/E Q1" queryTableFieldId="18" dataDxfId="91"/>
    <tableColumn id="19" xr3:uid="{23E1DD3D-5F02-4A6D-9773-5EA3466661AF}" uniqueName="19" name="P/E Q3" queryTableFieldId="19" dataDxfId="90"/>
    <tableColumn id="20" xr3:uid="{478DC28A-5ACD-47E8-8720-6EEE2D43205B}" uniqueName="20" name="P/E LB" queryTableFieldId="20" dataDxfId="89"/>
    <tableColumn id="21" xr3:uid="{AC7D613F-0AC5-4542-BBED-886B4C332840}" uniqueName="21" name="P/E UB" queryTableFieldId="21" dataDxfId="88"/>
    <tableColumn id="22" xr3:uid="{1E3F527B-4B19-4D38-9A78-D4BBA95224B9}" uniqueName="22" name="A/E Q1" queryTableFieldId="22" dataDxfId="87"/>
    <tableColumn id="23" xr3:uid="{1256121C-1427-4F44-988A-E08E26F80A67}" uniqueName="23" name="A/E Q3" queryTableFieldId="23" dataDxfId="86"/>
    <tableColumn id="24" xr3:uid="{3F6A6F05-B80E-47C0-9039-80E1A481FF30}" uniqueName="24" name="A/E LB" queryTableFieldId="24" dataDxfId="85"/>
    <tableColumn id="25" xr3:uid="{08969B40-89DA-4EAE-925B-3C841EB86C63}" uniqueName="25" name="A/E UB" queryTableFieldId="25" dataDxfId="8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6" Type="http://schemas.openxmlformats.org/officeDocument/2006/relationships/pivotTable" Target="../pivotTables/pivotTable12.xml"/><Relationship Id="rId5" Type="http://schemas.openxmlformats.org/officeDocument/2006/relationships/pivotTable" Target="../pivotTables/pivotTable11.xml"/><Relationship Id="rId4" Type="http://schemas.openxmlformats.org/officeDocument/2006/relationships/pivotTable" Target="../pivotTables/pivotTable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5.xml"/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Relationship Id="rId6" Type="http://schemas.openxmlformats.org/officeDocument/2006/relationships/pivotTable" Target="../pivotTables/pivotTable18.xml"/><Relationship Id="rId5" Type="http://schemas.openxmlformats.org/officeDocument/2006/relationships/pivotTable" Target="../pivotTables/pivotTable17.xml"/><Relationship Id="rId4" Type="http://schemas.openxmlformats.org/officeDocument/2006/relationships/pivotTable" Target="../pivotTables/pivotTable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16758-3ABF-45AA-95BE-571D40518C86}">
  <sheetPr codeName="Sheet1"/>
  <dimension ref="A1:A2"/>
  <sheetViews>
    <sheetView workbookViewId="0">
      <selection activeCell="A2" sqref="A2"/>
    </sheetView>
  </sheetViews>
  <sheetFormatPr defaultRowHeight="15" x14ac:dyDescent="0.25"/>
  <cols>
    <col min="1" max="1" width="38.42578125" bestFit="1" customWidth="1"/>
  </cols>
  <sheetData>
    <row r="1" spans="1:1" x14ac:dyDescent="0.25">
      <c r="A1" t="s">
        <v>70</v>
      </c>
    </row>
    <row r="2" spans="1:1" x14ac:dyDescent="0.25">
      <c r="A2" t="str" cm="1">
        <f t="array" aca="1" ref="A2" ca="1">LEFT(CELL("filename"),SEARCH("\M",CELL("filename")))</f>
        <v>D:\PROJECTS\Undervalued Stock Scanner\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2EAB8-3883-4B73-9311-1CC6D851AC56}">
  <sheetPr codeName="Sheet2"/>
  <dimension ref="A1:Z43"/>
  <sheetViews>
    <sheetView workbookViewId="0">
      <selection activeCell="B24" sqref="B24"/>
    </sheetView>
  </sheetViews>
  <sheetFormatPr defaultRowHeight="15" x14ac:dyDescent="0.25"/>
  <cols>
    <col min="1" max="1" width="36.85546875" bestFit="1" customWidth="1"/>
    <col min="2" max="2" width="10" bestFit="1" customWidth="1"/>
    <col min="3" max="3" width="17" style="2" bestFit="1" customWidth="1"/>
    <col min="4" max="4" width="32.42578125" bestFit="1" customWidth="1"/>
    <col min="5" max="5" width="10.140625" bestFit="1" customWidth="1"/>
    <col min="6" max="6" width="7.85546875" bestFit="1" customWidth="1"/>
    <col min="7" max="7" width="6.7109375" bestFit="1" customWidth="1"/>
    <col min="8" max="8" width="75.85546875" bestFit="1" customWidth="1"/>
    <col min="9" max="9" width="66.42578125" bestFit="1" customWidth="1"/>
    <col min="10" max="10" width="7.7109375" bestFit="1" customWidth="1"/>
    <col min="11" max="11" width="7.140625" bestFit="1" customWidth="1"/>
    <col min="12" max="12" width="6.7109375" bestFit="1" customWidth="1"/>
    <col min="13" max="13" width="62.42578125" bestFit="1" customWidth="1"/>
    <col min="14" max="14" width="21.140625" bestFit="1" customWidth="1"/>
    <col min="15" max="15" width="16" bestFit="1" customWidth="1"/>
    <col min="16" max="16" width="13.5703125" bestFit="1" customWidth="1"/>
    <col min="17" max="18" width="14.42578125" bestFit="1" customWidth="1"/>
    <col min="19" max="20" width="13.5703125" bestFit="1" customWidth="1"/>
    <col min="21" max="21" width="15.42578125" bestFit="1" customWidth="1"/>
    <col min="22" max="22" width="13" bestFit="1" customWidth="1"/>
    <col min="23" max="24" width="13.85546875" bestFit="1" customWidth="1"/>
    <col min="25" max="28" width="13" bestFit="1" customWidth="1"/>
    <col min="30" max="30" width="13" bestFit="1" customWidth="1"/>
  </cols>
  <sheetData>
    <row r="1" spans="1:26" x14ac:dyDescent="0.25">
      <c r="A1" t="s">
        <v>1</v>
      </c>
      <c r="B1" t="s">
        <v>24</v>
      </c>
      <c r="C1" s="2" t="s">
        <v>54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71</v>
      </c>
      <c r="J1" t="s">
        <v>30</v>
      </c>
      <c r="K1" t="s">
        <v>31</v>
      </c>
      <c r="L1" t="s">
        <v>33</v>
      </c>
      <c r="M1" t="s">
        <v>32</v>
      </c>
      <c r="N1" t="s">
        <v>34</v>
      </c>
      <c r="O1" t="s">
        <v>90</v>
      </c>
      <c r="P1" t="s">
        <v>91</v>
      </c>
      <c r="Q1" t="s">
        <v>92</v>
      </c>
      <c r="R1" t="s">
        <v>93</v>
      </c>
      <c r="S1" t="s">
        <v>94</v>
      </c>
      <c r="T1" t="s">
        <v>95</v>
      </c>
      <c r="U1" t="s">
        <v>35</v>
      </c>
      <c r="V1" t="s">
        <v>76</v>
      </c>
      <c r="W1" t="s">
        <v>36</v>
      </c>
      <c r="X1" t="s">
        <v>37</v>
      </c>
      <c r="Y1" t="s">
        <v>39</v>
      </c>
      <c r="Z1" t="s">
        <v>38</v>
      </c>
    </row>
    <row r="2" spans="1:26" x14ac:dyDescent="0.25">
      <c r="A2" t="s">
        <v>105</v>
      </c>
      <c r="B2" t="s">
        <v>106</v>
      </c>
      <c r="C2" s="2">
        <v>13487</v>
      </c>
      <c r="D2">
        <f>RTD("tos.rtd", , "LAST", Main_L[[#This Row],[Symbol]])</f>
        <v>60.02</v>
      </c>
      <c r="E2">
        <v>4.8600000000000003</v>
      </c>
      <c r="F2">
        <v>38.19</v>
      </c>
      <c r="G2">
        <v>1.94</v>
      </c>
      <c r="H2" s="1">
        <f>IF(ISNUMBER(Main_L[[#This Row],[Free CF]]),IF(Main_L[[#This Row],[Free CF]]&lt;&gt;0,Main_L[[#This Row],[Current Price]]/Main_L[[#This Row],[Free CF]],""),"")</f>
        <v>12.349794238683128</v>
      </c>
      <c r="I2" s="1">
        <f>IF(ISNUMBER(Main_L[[#This Row],[BVPS]]),IF(Main_L[[#This Row],[BVPS]]&lt;&gt;0,Main_L[[#This Row],[Current Price]]/Main_L[[#This Row],[BVPS]],""),"")</f>
        <v>1.5716156061796283</v>
      </c>
      <c r="J2">
        <v>5.01</v>
      </c>
      <c r="K2">
        <v>2.9</v>
      </c>
      <c r="L2">
        <v>2.0699999999999998</v>
      </c>
      <c r="M2" s="1">
        <f>IF(ISNUMBER(Main_L[[#This Row],[EPS]]),IF(Main_L[[#This Row],[EPS]]&lt;&gt;0,Main_L[[#This Row],[Current Price]]/Main_L[[#This Row],[EPS]],""),"")</f>
        <v>30.938144329896911</v>
      </c>
      <c r="N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" s="1" t="e">
        <f>(Main_L[[#This Row],[P/FCF]]-VLOOKUP(Main_L[[#This Row],[Industry]], Mean_PFCF_L, 2, FALSE))/(VLOOKUP(Main_L[[#This Row],[Industry]], Mean_PFCF_L, 3, FALSE))</f>
        <v>#DIV/0!</v>
      </c>
      <c r="P2" s="1" t="e">
        <f>(Main_L[[#This Row],[P/B]]-VLOOKUP(Main_L[[#This Row],[Industry]], Mean_PB_L, 2, FALSE))/(VLOOKUP(Main_L[[#This Row],[Industry]], Mean_PB_L, 3, FALSE))</f>
        <v>#DIV/0!</v>
      </c>
      <c r="Q2" s="1" t="e">
        <f>(Main_L[[#This Row],[ROE]]-VLOOKUP(Main_L[[#This Row],[Industry]], Mean_ROE_L, 2, FALSE))/(VLOOKUP(Main_L[[#This Row],[Industry]], Mean_ROE_L, 3, FALSE))</f>
        <v>#DIV/0!</v>
      </c>
      <c r="R2" s="1" t="e">
        <f>(Main_L[[#This Row],[ROA]]-VLOOKUP(Main_L[[#This Row],[Industry]], Mean_ROA_L, 2, FALSE))/(VLOOKUP(Main_L[[#This Row],[Industry]], Mean_ROA_L, 3, FALSE))</f>
        <v>#DIV/0!</v>
      </c>
      <c r="S2" s="1" t="e">
        <f>(Main_L[[#This Row],[A/E]]-VLOOKUP(Main_L[[#This Row],[Industry]], Mean_AE_L, 2, FALSE))/(VLOOKUP(Main_L[[#This Row],[Industry]], Mean_AE_L, 3, FALSE))</f>
        <v>#DIV/0!</v>
      </c>
      <c r="T2" s="1" t="e">
        <f>(Main_L[[#This Row],[P/E]]-VLOOKUP(Main_L[[#This Row],[Industry]], Mean_PE_L, 2, FALSE))/(VLOOKUP(Main_L[[#This Row],[Industry]], Mean_PE_L, 3, FALSE))</f>
        <v>#DIV/0!</v>
      </c>
      <c r="U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" spans="1:26" x14ac:dyDescent="0.25">
      <c r="A3" t="s">
        <v>114</v>
      </c>
      <c r="B3" t="s">
        <v>115</v>
      </c>
      <c r="C3" s="2">
        <v>12436</v>
      </c>
      <c r="D3">
        <f>RTD("tos.rtd", , "LAST", Main_L[[#This Row],[Symbol]])</f>
        <v>72.400000000000006</v>
      </c>
      <c r="E3">
        <v>7.99</v>
      </c>
      <c r="F3">
        <v>102.65</v>
      </c>
      <c r="G3">
        <v>0.76</v>
      </c>
      <c r="H3" s="1">
        <f>IF(ISNUMBER(Main_L[[#This Row],[Free CF]]),IF(Main_L[[#This Row],[Free CF]]&lt;&gt;0,Main_L[[#This Row],[Current Price]]/Main_L[[#This Row],[Free CF]],""),"")</f>
        <v>9.0613266583229048</v>
      </c>
      <c r="I3" s="1">
        <f>IF(ISNUMBER(Main_L[[#This Row],[BVPS]]),IF(Main_L[[#This Row],[BVPS]]&lt;&gt;0,Main_L[[#This Row],[Current Price]]/Main_L[[#This Row],[BVPS]],""),"")</f>
        <v>0.70530930345835363</v>
      </c>
      <c r="J3">
        <v>1.48</v>
      </c>
      <c r="K3">
        <v>1.3</v>
      </c>
      <c r="L3">
        <v>2.15</v>
      </c>
      <c r="M3" s="1">
        <f>IF(ISNUMBER(Main_L[[#This Row],[EPS]]),IF(Main_L[[#This Row],[EPS]]&lt;&gt;0,Main_L[[#This Row],[Current Price]]/Main_L[[#This Row],[EPS]],""),"")</f>
        <v>95.26315789473685</v>
      </c>
      <c r="N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" s="1">
        <f>(Main_L[[#This Row],[P/FCF]]-VLOOKUP(Main_L[[#This Row],[Industry]], Mean_PFCF_L, 2, FALSE))/(VLOOKUP(Main_L[[#This Row],[Industry]], Mean_PFCF_L, 3, FALSE))</f>
        <v>-0.89625568780992271</v>
      </c>
      <c r="P3" s="1">
        <f>(Main_L[[#This Row],[P/B]]-VLOOKUP(Main_L[[#This Row],[Industry]], Mean_PB_L, 2, FALSE))/(VLOOKUP(Main_L[[#This Row],[Industry]], Mean_PB_L, 3, FALSE))</f>
        <v>-1.626206624531253</v>
      </c>
      <c r="Q3" s="1">
        <f>(Main_L[[#This Row],[ROE]]-VLOOKUP(Main_L[[#This Row],[Industry]], Mean_ROE_L, 2, FALSE))/(VLOOKUP(Main_L[[#This Row],[Industry]], Mean_ROE_L, 3, FALSE))</f>
        <v>-0.94706916624019977</v>
      </c>
      <c r="R3" s="1">
        <f>(Main_L[[#This Row],[ROA]]-VLOOKUP(Main_L[[#This Row],[Industry]], Mean_ROA_L, 2, FALSE))/(VLOOKUP(Main_L[[#This Row],[Industry]], Mean_ROA_L, 3, FALSE))</f>
        <v>-5.9727939108072094</v>
      </c>
      <c r="S3" s="1">
        <f>(Main_L[[#This Row],[A/E]]-VLOOKUP(Main_L[[#This Row],[Industry]], Mean_AE_L, 2, FALSE))/(VLOOKUP(Main_L[[#This Row],[Industry]], Mean_AE_L, 3, FALSE))</f>
        <v>-0.52502126504046676</v>
      </c>
      <c r="T3" s="1">
        <f>(Main_L[[#This Row],[P/E]]-VLOOKUP(Main_L[[#This Row],[Industry]], Mean_PE_L, 2, FALSE))/(VLOOKUP(Main_L[[#This Row],[Industry]], Mean_PE_L, 3, FALSE))</f>
        <v>1.151569545416693</v>
      </c>
      <c r="U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" spans="1:26" x14ac:dyDescent="0.25">
      <c r="A4" t="s">
        <v>114</v>
      </c>
      <c r="B4" t="s">
        <v>116</v>
      </c>
      <c r="C4" s="2">
        <v>12051</v>
      </c>
      <c r="D4">
        <f>RTD("tos.rtd", , "LAST", Main_L[[#This Row],[Symbol]])</f>
        <v>17.25</v>
      </c>
      <c r="E4">
        <v>1.71</v>
      </c>
      <c r="F4">
        <v>11.72</v>
      </c>
      <c r="G4">
        <v>0.4</v>
      </c>
      <c r="H4" s="1">
        <f>IF(ISNUMBER(Main_L[[#This Row],[Free CF]]),IF(Main_L[[#This Row],[Free CF]]&lt;&gt;0,Main_L[[#This Row],[Current Price]]/Main_L[[#This Row],[Free CF]],""),"")</f>
        <v>10.087719298245615</v>
      </c>
      <c r="I4" s="1">
        <f>IF(ISNUMBER(Main_L[[#This Row],[BVPS]]),IF(Main_L[[#This Row],[BVPS]]&lt;&gt;0,Main_L[[#This Row],[Current Price]]/Main_L[[#This Row],[BVPS]],""),"")</f>
        <v>1.4718430034129693</v>
      </c>
      <c r="J4">
        <v>3.32</v>
      </c>
      <c r="K4">
        <v>1.74</v>
      </c>
      <c r="L4">
        <v>2.42</v>
      </c>
      <c r="M4" s="1">
        <f>IF(ISNUMBER(Main_L[[#This Row],[EPS]]),IF(Main_L[[#This Row],[EPS]]&lt;&gt;0,Main_L[[#This Row],[Current Price]]/Main_L[[#This Row],[EPS]],""),"")</f>
        <v>43.125</v>
      </c>
      <c r="N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" s="1">
        <f>(Main_L[[#This Row],[P/FCF]]-VLOOKUP(Main_L[[#This Row],[Industry]], Mean_PFCF_L, 2, FALSE))/(VLOOKUP(Main_L[[#This Row],[Industry]], Mean_PFCF_L, 3, FALSE))</f>
        <v>-0.79999613442263062</v>
      </c>
      <c r="P4" s="1">
        <f>(Main_L[[#This Row],[P/B]]-VLOOKUP(Main_L[[#This Row],[Industry]], Mean_PB_L, 2, FALSE))/(VLOOKUP(Main_L[[#This Row],[Industry]], Mean_PB_L, 3, FALSE))</f>
        <v>-0.61494380399199389</v>
      </c>
      <c r="Q4" s="1">
        <f>(Main_L[[#This Row],[ROE]]-VLOOKUP(Main_L[[#This Row],[Industry]], Mean_ROE_L, 2, FALSE))/(VLOOKUP(Main_L[[#This Row],[Industry]], Mean_ROE_L, 3, FALSE))</f>
        <v>0.91668192026457818</v>
      </c>
      <c r="R4" s="1">
        <f>(Main_L[[#This Row],[ROA]]-VLOOKUP(Main_L[[#This Row],[Industry]], Mean_ROA_L, 2, FALSE))/(VLOOKUP(Main_L[[#This Row],[Industry]], Mean_ROA_L, 3, FALSE))</f>
        <v>-0.64570744981699457</v>
      </c>
      <c r="S4" s="1">
        <f>(Main_L[[#This Row],[A/E]]-VLOOKUP(Main_L[[#This Row],[Industry]], Mean_AE_L, 2, FALSE))/(VLOOKUP(Main_L[[#This Row],[Industry]], Mean_AE_L, 3, FALSE))</f>
        <v>1.430230342696438</v>
      </c>
      <c r="T4" s="1">
        <f>(Main_L[[#This Row],[P/E]]-VLOOKUP(Main_L[[#This Row],[Industry]], Mean_PE_L, 2, FALSE))/(VLOOKUP(Main_L[[#This Row],[Industry]], Mean_PE_L, 3, FALSE))</f>
        <v>-0.61538822277576732</v>
      </c>
      <c r="U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" spans="1:26" x14ac:dyDescent="0.25">
      <c r="A5" t="s">
        <v>114</v>
      </c>
      <c r="B5" t="s">
        <v>117</v>
      </c>
      <c r="C5" s="2">
        <v>10320</v>
      </c>
      <c r="D5">
        <f>RTD("tos.rtd", , "LAST", Main_L[[#This Row],[Symbol]])</f>
        <v>36.43</v>
      </c>
      <c r="E5">
        <v>2.92</v>
      </c>
      <c r="F5">
        <v>16.559999999999999</v>
      </c>
      <c r="G5">
        <v>1.6</v>
      </c>
      <c r="H5" s="1">
        <f>IF(ISNUMBER(Main_L[[#This Row],[Free CF]]),IF(Main_L[[#This Row],[Free CF]]&lt;&gt;0,Main_L[[#This Row],[Current Price]]/Main_L[[#This Row],[Free CF]],""),"")</f>
        <v>12.476027397260275</v>
      </c>
      <c r="I5" s="1">
        <f>IF(ISNUMBER(Main_L[[#This Row],[BVPS]]),IF(Main_L[[#This Row],[BVPS]]&lt;&gt;0,Main_L[[#This Row],[Current Price]]/Main_L[[#This Row],[BVPS]],""),"")</f>
        <v>2.1998792270531404</v>
      </c>
      <c r="J5">
        <v>10.67</v>
      </c>
      <c r="K5">
        <v>4.55</v>
      </c>
      <c r="L5">
        <v>2.0499999999999998</v>
      </c>
      <c r="M5" s="1">
        <f>IF(ISNUMBER(Main_L[[#This Row],[EPS]]),IF(Main_L[[#This Row],[EPS]]&lt;&gt;0,Main_L[[#This Row],[Current Price]]/Main_L[[#This Row],[EPS]],""),"")</f>
        <v>22.768749999999997</v>
      </c>
      <c r="N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" s="1">
        <f>(Main_L[[#This Row],[P/FCF]]-VLOOKUP(Main_L[[#This Row],[Industry]], Mean_PFCF_L, 2, FALSE))/(VLOOKUP(Main_L[[#This Row],[Industry]], Mean_PFCF_L, 3, FALSE))</f>
        <v>-0.57601024245470323</v>
      </c>
      <c r="P5" s="1">
        <f>(Main_L[[#This Row],[P/B]]-VLOOKUP(Main_L[[#This Row],[Industry]], Mean_PB_L, 2, FALSE))/(VLOOKUP(Main_L[[#This Row],[Industry]], Mean_PB_L, 3, FALSE))</f>
        <v>0.34553055612642081</v>
      </c>
      <c r="Q5" s="1">
        <f>(Main_L[[#This Row],[ROE]]-VLOOKUP(Main_L[[#This Row],[Industry]], Mean_ROE_L, 2, FALSE))/(VLOOKUP(Main_L[[#This Row],[Industry]], Mean_ROE_L, 3, FALSE))</f>
        <v>8.361557184291815</v>
      </c>
      <c r="R5" s="1">
        <f>(Main_L[[#This Row],[ROA]]-VLOOKUP(Main_L[[#This Row],[Industry]], Mean_ROA_L, 2, FALSE))/(VLOOKUP(Main_L[[#This Row],[Industry]], Mean_ROA_L, 3, FALSE))</f>
        <v>33.375003812415976</v>
      </c>
      <c r="S5" s="1">
        <f>(Main_L[[#This Row],[A/E]]-VLOOKUP(Main_L[[#This Row],[Industry]], Mean_AE_L, 2, FALSE))/(VLOOKUP(Main_L[[#This Row],[Industry]], Mean_AE_L, 3, FALSE))</f>
        <v>-1.249188527165247</v>
      </c>
      <c r="T5" s="1">
        <f>(Main_L[[#This Row],[P/E]]-VLOOKUP(Main_L[[#This Row],[Industry]], Mean_PE_L, 2, FALSE))/(VLOOKUP(Main_L[[#This Row],[Industry]], Mean_PE_L, 3, FALSE))</f>
        <v>-1.3052598162713762</v>
      </c>
      <c r="U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" spans="1:26" x14ac:dyDescent="0.25">
      <c r="A6" t="s">
        <v>114</v>
      </c>
      <c r="B6" t="s">
        <v>118</v>
      </c>
      <c r="C6" s="2">
        <v>29817</v>
      </c>
      <c r="D6">
        <f>RTD("tos.rtd", , "LAST", Main_L[[#This Row],[Symbol]])</f>
        <v>64.180000000000007</v>
      </c>
      <c r="E6">
        <v>2.6</v>
      </c>
      <c r="F6">
        <v>25.43</v>
      </c>
      <c r="G6">
        <v>0.33</v>
      </c>
      <c r="H6" s="1">
        <f>IF(ISNUMBER(Main_L[[#This Row],[Free CF]]),IF(Main_L[[#This Row],[Free CF]]&lt;&gt;0,Main_L[[#This Row],[Current Price]]/Main_L[[#This Row],[Free CF]],""),"")</f>
        <v>24.684615384615388</v>
      </c>
      <c r="I6" s="1">
        <f>IF(ISNUMBER(Main_L[[#This Row],[BVPS]]),IF(Main_L[[#This Row],[BVPS]]&lt;&gt;0,Main_L[[#This Row],[Current Price]]/Main_L[[#This Row],[BVPS]],""),"")</f>
        <v>2.5237907982697605</v>
      </c>
      <c r="J6">
        <v>1.38</v>
      </c>
      <c r="K6">
        <v>1.91</v>
      </c>
      <c r="L6">
        <v>2.27</v>
      </c>
      <c r="M6" s="1">
        <f>IF(ISNUMBER(Main_L[[#This Row],[EPS]]),IF(Main_L[[#This Row],[EPS]]&lt;&gt;0,Main_L[[#This Row],[Current Price]]/Main_L[[#This Row],[EPS]],""),"")</f>
        <v>194.4848484848485</v>
      </c>
      <c r="N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" s="1">
        <f>(Main_L[[#This Row],[P/FCF]]-VLOOKUP(Main_L[[#This Row],[Industry]], Mean_PFCF_L, 2, FALSE))/(VLOOKUP(Main_L[[#This Row],[Industry]], Mean_PFCF_L, 3, FALSE))</f>
        <v>0.56896408943524346</v>
      </c>
      <c r="P6" s="1">
        <f>(Main_L[[#This Row],[P/B]]-VLOOKUP(Main_L[[#This Row],[Industry]], Mean_PB_L, 2, FALSE))/(VLOOKUP(Main_L[[#This Row],[Industry]], Mean_PB_L, 3, FALSE))</f>
        <v>0.77285648991539346</v>
      </c>
      <c r="Q6" s="1">
        <f>(Main_L[[#This Row],[ROE]]-VLOOKUP(Main_L[[#This Row],[Industry]], Mean_ROE_L, 2, FALSE))/(VLOOKUP(Main_L[[#This Row],[Industry]], Mean_ROE_L, 3, FALSE))</f>
        <v>-1.0483599861589379</v>
      </c>
      <c r="R6" s="1">
        <f>(Main_L[[#This Row],[ROA]]-VLOOKUP(Main_L[[#This Row],[Industry]], Mean_ROA_L, 2, FALSE))/(VLOOKUP(Main_L[[#This Row],[Industry]], Mean_ROA_L, 3, FALSE))</f>
        <v>1.4124850464746788</v>
      </c>
      <c r="S6" s="1">
        <f>(Main_L[[#This Row],[A/E]]-VLOOKUP(Main_L[[#This Row],[Industry]], Mean_AE_L, 2, FALSE))/(VLOOKUP(Main_L[[#This Row],[Industry]], Mean_AE_L, 3, FALSE))</f>
        <v>0.34397944950926934</v>
      </c>
      <c r="T6" s="1">
        <f>(Main_L[[#This Row],[P/E]]-VLOOKUP(Main_L[[#This Row],[Industry]], Mean_PE_L, 2, FALSE))/(VLOOKUP(Main_L[[#This Row],[Industry]], Mean_PE_L, 3, FALSE))</f>
        <v>4.5141842606382383</v>
      </c>
      <c r="U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7" spans="1:26" x14ac:dyDescent="0.25">
      <c r="A7" t="s">
        <v>114</v>
      </c>
      <c r="B7" t="s">
        <v>119</v>
      </c>
      <c r="C7" s="2">
        <v>98969</v>
      </c>
      <c r="D7">
        <f>RTD("tos.rtd", , "LAST", Main_L[[#This Row],[Symbol]])</f>
        <v>145.28</v>
      </c>
      <c r="E7">
        <v>3.95</v>
      </c>
      <c r="F7">
        <v>52.09</v>
      </c>
      <c r="G7">
        <v>1.73</v>
      </c>
      <c r="H7" s="1">
        <f>IF(ISNUMBER(Main_L[[#This Row],[Free CF]]),IF(Main_L[[#This Row],[Free CF]]&lt;&gt;0,Main_L[[#This Row],[Current Price]]/Main_L[[#This Row],[Free CF]],""),"")</f>
        <v>36.779746835443035</v>
      </c>
      <c r="I7" s="1">
        <f>IF(ISNUMBER(Main_L[[#This Row],[BVPS]]),IF(Main_L[[#This Row],[BVPS]]&lt;&gt;0,Main_L[[#This Row],[Current Price]]/Main_L[[#This Row],[BVPS]],""),"")</f>
        <v>2.7890190055672872</v>
      </c>
      <c r="J7">
        <v>3.48</v>
      </c>
      <c r="K7">
        <v>1.73</v>
      </c>
      <c r="L7">
        <v>1.57</v>
      </c>
      <c r="M7" s="1">
        <f>IF(ISNUMBER(Main_L[[#This Row],[EPS]]),IF(Main_L[[#This Row],[EPS]]&lt;&gt;0,Main_L[[#This Row],[Current Price]]/Main_L[[#This Row],[EPS]],""),"")</f>
        <v>83.97687861271676</v>
      </c>
      <c r="N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" s="1">
        <f>(Main_L[[#This Row],[P/FCF]]-VLOOKUP(Main_L[[#This Row],[Industry]], Mean_PFCF_L, 2, FALSE))/(VLOOKUP(Main_L[[#This Row],[Industry]], Mean_PFCF_L, 3, FALSE))</f>
        <v>1.7032979752520137</v>
      </c>
      <c r="P7" s="1">
        <f>(Main_L[[#This Row],[P/B]]-VLOOKUP(Main_L[[#This Row],[Industry]], Mean_PB_L, 2, FALSE))/(VLOOKUP(Main_L[[#This Row],[Industry]], Mean_PB_L, 3, FALSE))</f>
        <v>1.1227633824814327</v>
      </c>
      <c r="Q7" s="1">
        <f>(Main_L[[#This Row],[ROE]]-VLOOKUP(Main_L[[#This Row],[Industry]], Mean_ROE_L, 2, FALSE))/(VLOOKUP(Main_L[[#This Row],[Industry]], Mean_ROE_L, 3, FALSE))</f>
        <v>1.078747232134559</v>
      </c>
      <c r="R7" s="1">
        <f>(Main_L[[#This Row],[ROA]]-VLOOKUP(Main_L[[#This Row],[Industry]], Mean_ROA_L, 2, FALSE))/(VLOOKUP(Main_L[[#This Row],[Industry]], Mean_ROA_L, 3, FALSE))</f>
        <v>-0.76677759665768142</v>
      </c>
      <c r="S7" s="1">
        <f>(Main_L[[#This Row],[A/E]]-VLOOKUP(Main_L[[#This Row],[Industry]], Mean_AE_L, 2, FALSE))/(VLOOKUP(Main_L[[#This Row],[Industry]], Mean_AE_L, 3, FALSE))</f>
        <v>-4.7251913853641865</v>
      </c>
      <c r="T7" s="1">
        <f>(Main_L[[#This Row],[P/E]]-VLOOKUP(Main_L[[#This Row],[Industry]], Mean_PE_L, 2, FALSE))/(VLOOKUP(Main_L[[#This Row],[Industry]], Mean_PE_L, 3, FALSE))</f>
        <v>0.76907849363045167</v>
      </c>
      <c r="U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" spans="1:26" x14ac:dyDescent="0.25">
      <c r="A8" t="s">
        <v>110</v>
      </c>
      <c r="B8" t="s">
        <v>111</v>
      </c>
      <c r="C8" s="2">
        <v>10128</v>
      </c>
      <c r="D8">
        <f>RTD("tos.rtd", , "LAST", Main_L[[#This Row],[Symbol]])</f>
        <v>15.76</v>
      </c>
      <c r="E8">
        <v>2.0499999999999998</v>
      </c>
      <c r="F8">
        <v>9.59</v>
      </c>
      <c r="G8">
        <v>0.96</v>
      </c>
      <c r="H8" s="1">
        <f>IF(ISNUMBER(Main_L[[#This Row],[Free CF]]),IF(Main_L[[#This Row],[Free CF]]&lt;&gt;0,Main_L[[#This Row],[Current Price]]/Main_L[[#This Row],[Free CF]],""),"")</f>
        <v>7.6878048780487811</v>
      </c>
      <c r="I8" s="1">
        <f>IF(ISNUMBER(Main_L[[#This Row],[BVPS]]),IF(Main_L[[#This Row],[BVPS]]&lt;&gt;0,Main_L[[#This Row],[Current Price]]/Main_L[[#This Row],[BVPS]],""),"")</f>
        <v>1.643378519290928</v>
      </c>
      <c r="J8">
        <v>10</v>
      </c>
      <c r="K8">
        <v>3.91</v>
      </c>
      <c r="L8">
        <v>1.95</v>
      </c>
      <c r="M8" s="1">
        <f>IF(ISNUMBER(Main_L[[#This Row],[EPS]]),IF(Main_L[[#This Row],[EPS]]&lt;&gt;0,Main_L[[#This Row],[Current Price]]/Main_L[[#This Row],[EPS]],""),"")</f>
        <v>16.416666666666668</v>
      </c>
      <c r="N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" s="1" t="e">
        <f>(Main_L[[#This Row],[P/FCF]]-VLOOKUP(Main_L[[#This Row],[Industry]], Mean_PFCF_L, 2, FALSE))/(VLOOKUP(Main_L[[#This Row],[Industry]], Mean_PFCF_L, 3, FALSE))</f>
        <v>#DIV/0!</v>
      </c>
      <c r="P8" s="1" t="e">
        <f>(Main_L[[#This Row],[P/B]]-VLOOKUP(Main_L[[#This Row],[Industry]], Mean_PB_L, 2, FALSE))/(VLOOKUP(Main_L[[#This Row],[Industry]], Mean_PB_L, 3, FALSE))</f>
        <v>#DIV/0!</v>
      </c>
      <c r="Q8" s="1" t="e">
        <f>(Main_L[[#This Row],[ROE]]-VLOOKUP(Main_L[[#This Row],[Industry]], Mean_ROE_L, 2, FALSE))/(VLOOKUP(Main_L[[#This Row],[Industry]], Mean_ROE_L, 3, FALSE))</f>
        <v>#DIV/0!</v>
      </c>
      <c r="R8" s="1" t="e">
        <f>(Main_L[[#This Row],[ROA]]-VLOOKUP(Main_L[[#This Row],[Industry]], Mean_ROA_L, 2, FALSE))/(VLOOKUP(Main_L[[#This Row],[Industry]], Mean_ROA_L, 3, FALSE))</f>
        <v>#DIV/0!</v>
      </c>
      <c r="S8" s="1" t="e">
        <f>(Main_L[[#This Row],[A/E]]-VLOOKUP(Main_L[[#This Row],[Industry]], Mean_AE_L, 2, FALSE))/(VLOOKUP(Main_L[[#This Row],[Industry]], Mean_AE_L, 3, FALSE))</f>
        <v>#DIV/0!</v>
      </c>
      <c r="T8" s="1" t="e">
        <f>(Main_L[[#This Row],[P/E]]-VLOOKUP(Main_L[[#This Row],[Industry]], Mean_PE_L, 2, FALSE))/(VLOOKUP(Main_L[[#This Row],[Industry]], Mean_PE_L, 3, FALSE))</f>
        <v>#DIV/0!</v>
      </c>
      <c r="U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" spans="1:26" x14ac:dyDescent="0.25">
      <c r="A9" t="s">
        <v>107</v>
      </c>
      <c r="B9" t="s">
        <v>108</v>
      </c>
      <c r="C9" s="2">
        <v>10044</v>
      </c>
      <c r="D9">
        <f>RTD("tos.rtd", , "LAST", Main_L[[#This Row],[Symbol]])</f>
        <v>46.58</v>
      </c>
      <c r="E9">
        <v>3.55</v>
      </c>
      <c r="F9">
        <v>37.619999999999997</v>
      </c>
      <c r="G9">
        <v>-3.18</v>
      </c>
      <c r="H9" s="1">
        <f>IF(ISNUMBER(Main_L[[#This Row],[Free CF]]),IF(Main_L[[#This Row],[Free CF]]&lt;&gt;0,Main_L[[#This Row],[Current Price]]/Main_L[[#This Row],[Free CF]],""),"")</f>
        <v>13.12112676056338</v>
      </c>
      <c r="I9" s="1">
        <f>IF(ISNUMBER(Main_L[[#This Row],[BVPS]]),IF(Main_L[[#This Row],[BVPS]]&lt;&gt;0,Main_L[[#This Row],[Current Price]]/Main_L[[#This Row],[BVPS]],""),"")</f>
        <v>1.2381711855396067</v>
      </c>
      <c r="J9">
        <v>-9.07</v>
      </c>
      <c r="K9">
        <v>0.5</v>
      </c>
      <c r="L9">
        <v>2.19</v>
      </c>
      <c r="M9" s="1">
        <f>IF(ISNUMBER(Main_L[[#This Row],[EPS]]),IF(Main_L[[#This Row],[EPS]]&lt;&gt;0,Main_L[[#This Row],[Current Price]]/Main_L[[#This Row],[EPS]],""),"")</f>
        <v>-14.647798742138363</v>
      </c>
      <c r="N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" s="1">
        <f>(Main_L[[#This Row],[P/FCF]]-VLOOKUP(Main_L[[#This Row],[Industry]], Mean_PFCF_L, 2, FALSE))/(VLOOKUP(Main_L[[#This Row],[Industry]], Mean_PFCF_L, 3, FALSE))</f>
        <v>-1.0000000000000013</v>
      </c>
      <c r="P9" s="1">
        <f>(Main_L[[#This Row],[P/B]]-VLOOKUP(Main_L[[#This Row],[Industry]], Mean_PB_L, 2, FALSE))/(VLOOKUP(Main_L[[#This Row],[Industry]], Mean_PB_L, 3, FALSE))</f>
        <v>-0.99999999999999889</v>
      </c>
      <c r="Q9" s="1">
        <f>(Main_L[[#This Row],[ROE]]-VLOOKUP(Main_L[[#This Row],[Industry]], Mean_ROE_L, 2, FALSE))/(VLOOKUP(Main_L[[#This Row],[Industry]], Mean_ROE_L, 3, FALSE))</f>
        <v>-1</v>
      </c>
      <c r="R9" s="1">
        <f>(Main_L[[#This Row],[ROA]]-VLOOKUP(Main_L[[#This Row],[Industry]], Mean_ROA_L, 2, FALSE))/(VLOOKUP(Main_L[[#This Row],[Industry]], Mean_ROA_L, 3, FALSE))</f>
        <v>-1</v>
      </c>
      <c r="S9" s="1">
        <f>(Main_L[[#This Row],[A/E]]-VLOOKUP(Main_L[[#This Row],[Industry]], Mean_AE_L, 2, FALSE))/(VLOOKUP(Main_L[[#This Row],[Industry]], Mean_AE_L, 3, FALSE))</f>
        <v>0.99999999999999656</v>
      </c>
      <c r="T9" s="1">
        <f>(Main_L[[#This Row],[P/E]]-VLOOKUP(Main_L[[#This Row],[Industry]], Mean_PE_L, 2, FALSE))/(VLOOKUP(Main_L[[#This Row],[Industry]], Mean_PE_L, 3, FALSE))</f>
        <v>-1.0000000000000002</v>
      </c>
      <c r="U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0" spans="1:26" x14ac:dyDescent="0.25">
      <c r="A10" t="s">
        <v>107</v>
      </c>
      <c r="B10" t="s">
        <v>109</v>
      </c>
      <c r="C10" s="2">
        <v>97469</v>
      </c>
      <c r="D10">
        <f>RTD("tos.rtd", , "LAST", Main_L[[#This Row],[Symbol]])</f>
        <v>109.7</v>
      </c>
      <c r="E10">
        <v>5.41</v>
      </c>
      <c r="F10">
        <v>57.55</v>
      </c>
      <c r="G10">
        <v>4.01</v>
      </c>
      <c r="H10" s="1">
        <f>IF(ISNUMBER(Main_L[[#This Row],[Free CF]]),IF(Main_L[[#This Row],[Free CF]]&lt;&gt;0,Main_L[[#This Row],[Current Price]]/Main_L[[#This Row],[Free CF]],""),"")</f>
        <v>20.277264325323475</v>
      </c>
      <c r="I10" s="1">
        <f>IF(ISNUMBER(Main_L[[#This Row],[BVPS]]),IF(Main_L[[#This Row],[BVPS]]&lt;&gt;0,Main_L[[#This Row],[Current Price]]/Main_L[[#This Row],[BVPS]],""),"")</f>
        <v>1.90616854908775</v>
      </c>
      <c r="J10">
        <v>6.83</v>
      </c>
      <c r="K10">
        <v>2.38</v>
      </c>
      <c r="L10">
        <v>1.8</v>
      </c>
      <c r="M10" s="1">
        <f>IF(ISNUMBER(Main_L[[#This Row],[EPS]]),IF(Main_L[[#This Row],[EPS]]&lt;&gt;0,Main_L[[#This Row],[Current Price]]/Main_L[[#This Row],[EPS]],""),"")</f>
        <v>27.356608478802993</v>
      </c>
      <c r="N1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" s="1">
        <f>(Main_L[[#This Row],[P/FCF]]-VLOOKUP(Main_L[[#This Row],[Industry]], Mean_PFCF_L, 2, FALSE))/(VLOOKUP(Main_L[[#This Row],[Industry]], Mean_PFCF_L, 3, FALSE))</f>
        <v>1.0000000000000007</v>
      </c>
      <c r="P10" s="1">
        <f>(Main_L[[#This Row],[P/B]]-VLOOKUP(Main_L[[#This Row],[Industry]], Mean_PB_L, 2, FALSE))/(VLOOKUP(Main_L[[#This Row],[Industry]], Mean_PB_L, 3, FALSE))</f>
        <v>0.99999999999999889</v>
      </c>
      <c r="Q10" s="1">
        <f>(Main_L[[#This Row],[ROE]]-VLOOKUP(Main_L[[#This Row],[Industry]], Mean_ROE_L, 2, FALSE))/(VLOOKUP(Main_L[[#This Row],[Industry]], Mean_ROE_L, 3, FALSE))</f>
        <v>1</v>
      </c>
      <c r="R10" s="1">
        <f>(Main_L[[#This Row],[ROA]]-VLOOKUP(Main_L[[#This Row],[Industry]], Mean_ROA_L, 2, FALSE))/(VLOOKUP(Main_L[[#This Row],[Industry]], Mean_ROA_L, 3, FALSE))</f>
        <v>1</v>
      </c>
      <c r="S10" s="1">
        <f>(Main_L[[#This Row],[A/E]]-VLOOKUP(Main_L[[#This Row],[Industry]], Mean_AE_L, 2, FALSE))/(VLOOKUP(Main_L[[#This Row],[Industry]], Mean_AE_L, 3, FALSE))</f>
        <v>-0.99999999999999767</v>
      </c>
      <c r="T10" s="1">
        <f>(Main_L[[#This Row],[P/E]]-VLOOKUP(Main_L[[#This Row],[Industry]], Mean_PE_L, 2, FALSE))/(VLOOKUP(Main_L[[#This Row],[Industry]], Mean_PE_L, 3, FALSE))</f>
        <v>1.0000000000000002</v>
      </c>
      <c r="U1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1" spans="1:26" x14ac:dyDescent="0.25">
      <c r="A11" t="s">
        <v>112</v>
      </c>
      <c r="B11" t="s">
        <v>113</v>
      </c>
      <c r="C11" s="2">
        <v>10141</v>
      </c>
      <c r="D11">
        <f>RTD("tos.rtd", , "LAST", Main_L[[#This Row],[Symbol]])</f>
        <v>66.040000000000006</v>
      </c>
      <c r="E11">
        <v>7.84</v>
      </c>
      <c r="F11">
        <v>33.6</v>
      </c>
      <c r="G11">
        <v>-0.03</v>
      </c>
      <c r="H11" s="1">
        <f>IF(ISNUMBER(Main_L[[#This Row],[Free CF]]),IF(Main_L[[#This Row],[Free CF]]&lt;&gt;0,Main_L[[#This Row],[Current Price]]/Main_L[[#This Row],[Free CF]],""),"")</f>
        <v>8.4234693877551035</v>
      </c>
      <c r="I11" s="1">
        <f>IF(ISNUMBER(Main_L[[#This Row],[BVPS]]),IF(Main_L[[#This Row],[BVPS]]&lt;&gt;0,Main_L[[#This Row],[Current Price]]/Main_L[[#This Row],[BVPS]],""),"")</f>
        <v>1.9654761904761906</v>
      </c>
      <c r="J11">
        <v>0.8</v>
      </c>
      <c r="K11">
        <v>2.4300000000000002</v>
      </c>
      <c r="L11">
        <v>4.78</v>
      </c>
      <c r="M11" s="1">
        <f>IF(ISNUMBER(Main_L[[#This Row],[EPS]]),IF(Main_L[[#This Row],[EPS]]&lt;&gt;0,Main_L[[#This Row],[Current Price]]/Main_L[[#This Row],[EPS]],""),"")</f>
        <v>-2201.3333333333335</v>
      </c>
      <c r="N1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" s="1" t="e">
        <f>(Main_L[[#This Row],[P/FCF]]-VLOOKUP(Main_L[[#This Row],[Industry]], Mean_PFCF_L, 2, FALSE))/(VLOOKUP(Main_L[[#This Row],[Industry]], Mean_PFCF_L, 3, FALSE))</f>
        <v>#DIV/0!</v>
      </c>
      <c r="P11" s="1" t="e">
        <f>(Main_L[[#This Row],[P/B]]-VLOOKUP(Main_L[[#This Row],[Industry]], Mean_PB_L, 2, FALSE))/(VLOOKUP(Main_L[[#This Row],[Industry]], Mean_PB_L, 3, FALSE))</f>
        <v>#DIV/0!</v>
      </c>
      <c r="Q11" s="1" t="e">
        <f>(Main_L[[#This Row],[ROE]]-VLOOKUP(Main_L[[#This Row],[Industry]], Mean_ROE_L, 2, FALSE))/(VLOOKUP(Main_L[[#This Row],[Industry]], Mean_ROE_L, 3, FALSE))</f>
        <v>#DIV/0!</v>
      </c>
      <c r="R11" s="1" t="e">
        <f>(Main_L[[#This Row],[ROA]]-VLOOKUP(Main_L[[#This Row],[Industry]], Mean_ROA_L, 2, FALSE))/(VLOOKUP(Main_L[[#This Row],[Industry]], Mean_ROA_L, 3, FALSE))</f>
        <v>#DIV/0!</v>
      </c>
      <c r="S11" s="1" t="e">
        <f>(Main_L[[#This Row],[A/E]]-VLOOKUP(Main_L[[#This Row],[Industry]], Mean_AE_L, 2, FALSE))/(VLOOKUP(Main_L[[#This Row],[Industry]], Mean_AE_L, 3, FALSE))</f>
        <v>#DIV/0!</v>
      </c>
      <c r="T11" s="1" t="e">
        <f>(Main_L[[#This Row],[P/E]]-VLOOKUP(Main_L[[#This Row],[Industry]], Mean_PE_L, 2, FALSE))/(VLOOKUP(Main_L[[#This Row],[Industry]], Mean_PE_L, 3, FALSE))</f>
        <v>#DIV/0!</v>
      </c>
      <c r="U1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2" spans="1:26" x14ac:dyDescent="0.25">
      <c r="A12" t="s">
        <v>149</v>
      </c>
      <c r="B12" t="s">
        <v>150</v>
      </c>
      <c r="C12" s="2">
        <v>23516</v>
      </c>
      <c r="D12">
        <f>RTD("tos.rtd", , "LAST", Main_L[[#This Row],[Symbol]])</f>
        <v>20</v>
      </c>
      <c r="E12">
        <v>1.01</v>
      </c>
      <c r="F12">
        <v>8.1300000000000008</v>
      </c>
      <c r="G12">
        <v>0.47</v>
      </c>
      <c r="H12" s="1">
        <f>IF(ISNUMBER(Main_L[[#This Row],[Free CF]]),IF(Main_L[[#This Row],[Free CF]]&lt;&gt;0,Main_L[[#This Row],[Current Price]]/Main_L[[#This Row],[Free CF]],""),"")</f>
        <v>19.801980198019802</v>
      </c>
      <c r="I12" s="1">
        <f>IF(ISNUMBER(Main_L[[#This Row],[BVPS]]),IF(Main_L[[#This Row],[BVPS]]&lt;&gt;0,Main_L[[#This Row],[Current Price]]/Main_L[[#This Row],[BVPS]],""),"")</f>
        <v>2.460024600246002</v>
      </c>
      <c r="J12">
        <v>5.68</v>
      </c>
      <c r="K12">
        <v>1.93</v>
      </c>
      <c r="L12">
        <v>1.87</v>
      </c>
      <c r="M12" s="1">
        <f>IF(ISNUMBER(Main_L[[#This Row],[EPS]]),IF(Main_L[[#This Row],[EPS]]&lt;&gt;0,Main_L[[#This Row],[Current Price]]/Main_L[[#This Row],[EPS]],""),"")</f>
        <v>42.553191489361701</v>
      </c>
      <c r="N1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2" s="1">
        <f>(Main_L[[#This Row],[P/FCF]]-VLOOKUP(Main_L[[#This Row],[Industry]], Mean_PFCF_L, 2, FALSE))/(VLOOKUP(Main_L[[#This Row],[Industry]], Mean_PFCF_L, 3, FALSE))</f>
        <v>-0.94975892819324259</v>
      </c>
      <c r="P12" s="1">
        <f>(Main_L[[#This Row],[P/B]]-VLOOKUP(Main_L[[#This Row],[Industry]], Mean_PB_L, 2, FALSE))/(VLOOKUP(Main_L[[#This Row],[Industry]], Mean_PB_L, 3, FALSE))</f>
        <v>-0.82963320311389332</v>
      </c>
      <c r="Q12" s="1">
        <f>(Main_L[[#This Row],[ROE]]-VLOOKUP(Main_L[[#This Row],[Industry]], Mean_ROE_L, 2, FALSE))/(VLOOKUP(Main_L[[#This Row],[Industry]], Mean_ROE_L, 3, FALSE))</f>
        <v>0.36115472060369319</v>
      </c>
      <c r="R12" s="1">
        <f>(Main_L[[#This Row],[ROA]]-VLOOKUP(Main_L[[#This Row],[Industry]], Mean_ROA_L, 2, FALSE))/(VLOOKUP(Main_L[[#This Row],[Industry]], Mean_ROA_L, 3, FALSE))</f>
        <v>0.43211686312856029</v>
      </c>
      <c r="S12" s="1">
        <f>(Main_L[[#This Row],[A/E]]-VLOOKUP(Main_L[[#This Row],[Industry]], Mean_AE_L, 2, FALSE))/(VLOOKUP(Main_L[[#This Row],[Industry]], Mean_AE_L, 3, FALSE))</f>
        <v>1.5480778605689183E-2</v>
      </c>
      <c r="T12" s="1">
        <f>(Main_L[[#This Row],[P/E]]-VLOOKUP(Main_L[[#This Row],[Industry]], Mean_PE_L, 2, FALSE))/(VLOOKUP(Main_L[[#This Row],[Industry]], Mean_PE_L, 3, FALSE))</f>
        <v>0.90349839389661935</v>
      </c>
      <c r="U1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3" spans="1:26" x14ac:dyDescent="0.25">
      <c r="A13" t="s">
        <v>149</v>
      </c>
      <c r="B13" t="s">
        <v>151</v>
      </c>
      <c r="C13" s="2">
        <v>37266</v>
      </c>
      <c r="D13">
        <f>RTD("tos.rtd", , "LAST", Main_L[[#This Row],[Symbol]])</f>
        <v>131.36000000000001</v>
      </c>
      <c r="E13">
        <v>4.4400000000000004</v>
      </c>
      <c r="F13">
        <v>28.06</v>
      </c>
      <c r="G13">
        <v>3.28</v>
      </c>
      <c r="H13" s="1">
        <f>IF(ISNUMBER(Main_L[[#This Row],[Free CF]]),IF(Main_L[[#This Row],[Free CF]]&lt;&gt;0,Main_L[[#This Row],[Current Price]]/Main_L[[#This Row],[Free CF]],""),"")</f>
        <v>29.585585585585587</v>
      </c>
      <c r="I13" s="1">
        <f>IF(ISNUMBER(Main_L[[#This Row],[BVPS]]),IF(Main_L[[#This Row],[BVPS]]&lt;&gt;0,Main_L[[#This Row],[Current Price]]/Main_L[[#This Row],[BVPS]],""),"")</f>
        <v>4.6813970064148265</v>
      </c>
      <c r="J13">
        <v>11.92</v>
      </c>
      <c r="K13">
        <v>3.89</v>
      </c>
      <c r="L13">
        <v>3.18</v>
      </c>
      <c r="M13" s="1">
        <f>IF(ISNUMBER(Main_L[[#This Row],[EPS]]),IF(Main_L[[#This Row],[EPS]]&lt;&gt;0,Main_L[[#This Row],[Current Price]]/Main_L[[#This Row],[EPS]],""),"")</f>
        <v>40.048780487804883</v>
      </c>
      <c r="N1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3" s="1">
        <f>(Main_L[[#This Row],[P/FCF]]-VLOOKUP(Main_L[[#This Row],[Industry]], Mean_PFCF_L, 2, FALSE))/(VLOOKUP(Main_L[[#This Row],[Industry]], Mean_PFCF_L, 3, FALSE))</f>
        <v>-0.46678022867805957</v>
      </c>
      <c r="P13" s="1">
        <f>(Main_L[[#This Row],[P/B]]-VLOOKUP(Main_L[[#This Row],[Industry]], Mean_PB_L, 2, FALSE))/(VLOOKUP(Main_L[[#This Row],[Industry]], Mean_PB_L, 3, FALSE))</f>
        <v>1.4947192797902278</v>
      </c>
      <c r="Q13" s="1">
        <f>(Main_L[[#This Row],[ROE]]-VLOOKUP(Main_L[[#This Row],[Industry]], Mean_ROE_L, 2, FALSE))/(VLOOKUP(Main_L[[#This Row],[Industry]], Mean_ROE_L, 3, FALSE))</f>
        <v>1.5298351648044084</v>
      </c>
      <c r="R13" s="1">
        <f>(Main_L[[#This Row],[ROA]]-VLOOKUP(Main_L[[#This Row],[Industry]], Mean_ROA_L, 2, FALSE))/(VLOOKUP(Main_L[[#This Row],[Industry]], Mean_ROA_L, 3, FALSE))</f>
        <v>1.2748522379862499</v>
      </c>
      <c r="S13" s="1">
        <f>(Main_L[[#This Row],[A/E]]-VLOOKUP(Main_L[[#This Row],[Industry]], Mean_AE_L, 2, FALSE))/(VLOOKUP(Main_L[[#This Row],[Industry]], Mean_AE_L, 3, FALSE))</f>
        <v>1.7537510620444632</v>
      </c>
      <c r="T13" s="1">
        <f>(Main_L[[#This Row],[P/E]]-VLOOKUP(Main_L[[#This Row],[Industry]], Mean_PE_L, 2, FALSE))/(VLOOKUP(Main_L[[#This Row],[Industry]], Mean_PE_L, 3, FALSE))</f>
        <v>0.87518921123771576</v>
      </c>
      <c r="U1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4" spans="1:26" x14ac:dyDescent="0.25">
      <c r="A14" t="s">
        <v>149</v>
      </c>
      <c r="B14" t="s">
        <v>152</v>
      </c>
      <c r="C14" s="2">
        <v>31785</v>
      </c>
      <c r="D14">
        <f>RTD("tos.rtd", , "LAST", Main_L[[#This Row],[Symbol]])</f>
        <v>75.180000000000007</v>
      </c>
      <c r="E14">
        <v>-0.08</v>
      </c>
      <c r="F14">
        <v>20.22</v>
      </c>
      <c r="G14">
        <v>0.28000000000000003</v>
      </c>
      <c r="H14" s="1">
        <f>IF(ISNUMBER(Main_L[[#This Row],[Free CF]]),IF(Main_L[[#This Row],[Free CF]]&lt;&gt;0,Main_L[[#This Row],[Current Price]]/Main_L[[#This Row],[Free CF]],""),"")</f>
        <v>-939.75000000000011</v>
      </c>
      <c r="I14" s="1">
        <f>IF(ISNUMBER(Main_L[[#This Row],[BVPS]]),IF(Main_L[[#This Row],[BVPS]]&lt;&gt;0,Main_L[[#This Row],[Current Price]]/Main_L[[#This Row],[BVPS]],""),"")</f>
        <v>3.7181008902077157</v>
      </c>
      <c r="J14">
        <v>1.47</v>
      </c>
      <c r="K14">
        <v>0.14000000000000001</v>
      </c>
      <c r="L14">
        <v>1.22</v>
      </c>
      <c r="M14" s="1">
        <f>IF(ISNUMBER(Main_L[[#This Row],[EPS]]),IF(Main_L[[#This Row],[EPS]]&lt;&gt;0,Main_L[[#This Row],[Current Price]]/Main_L[[#This Row],[EPS]],""),"")</f>
        <v>268.5</v>
      </c>
      <c r="N1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4" s="1">
        <f>(Main_L[[#This Row],[P/FCF]]-VLOOKUP(Main_L[[#This Row],[Industry]], Mean_PFCF_L, 2, FALSE))/(VLOOKUP(Main_L[[#This Row],[Industry]], Mean_PFCF_L, 3, FALSE))</f>
        <v>-48.319123201844263</v>
      </c>
      <c r="P14" s="1">
        <f>(Main_L[[#This Row],[P/B]]-VLOOKUP(Main_L[[#This Row],[Industry]], Mean_PB_L, 2, FALSE))/(VLOOKUP(Main_L[[#This Row],[Industry]], Mean_PB_L, 3, FALSE))</f>
        <v>0.4867659473098172</v>
      </c>
      <c r="Q14" s="1">
        <f>(Main_L[[#This Row],[ROE]]-VLOOKUP(Main_L[[#This Row],[Industry]], Mean_ROE_L, 2, FALSE))/(VLOOKUP(Main_L[[#This Row],[Industry]], Mean_ROE_L, 3, FALSE))</f>
        <v>-0.42733000216634048</v>
      </c>
      <c r="R14" s="1">
        <f>(Main_L[[#This Row],[ROA]]-VLOOKUP(Main_L[[#This Row],[Industry]], Mean_ROA_L, 2, FALSE))/(VLOOKUP(Main_L[[#This Row],[Industry]], Mean_ROA_L, 3, FALSE))</f>
        <v>-0.33752411697106438</v>
      </c>
      <c r="S14" s="1">
        <f>(Main_L[[#This Row],[A/E]]-VLOOKUP(Main_L[[#This Row],[Industry]], Mean_AE_L, 2, FALSE))/(VLOOKUP(Main_L[[#This Row],[Industry]], Mean_AE_L, 3, FALSE))</f>
        <v>-0.84701974371125988</v>
      </c>
      <c r="T14" s="1">
        <f>(Main_L[[#This Row],[P/E]]-VLOOKUP(Main_L[[#This Row],[Industry]], Mean_PE_L, 2, FALSE))/(VLOOKUP(Main_L[[#This Row],[Industry]], Mean_PE_L, 3, FALSE))</f>
        <v>3.457539830924246</v>
      </c>
      <c r="U1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1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5" spans="1:26" x14ac:dyDescent="0.25">
      <c r="A15" t="s">
        <v>149</v>
      </c>
      <c r="B15" t="s">
        <v>153</v>
      </c>
      <c r="C15" s="2">
        <v>10841</v>
      </c>
      <c r="D15">
        <f>RTD("tos.rtd", , "LAST", Main_L[[#This Row],[Symbol]])</f>
        <v>239.62</v>
      </c>
      <c r="E15">
        <v>12.63</v>
      </c>
      <c r="F15">
        <v>142.81</v>
      </c>
      <c r="G15">
        <v>11.3</v>
      </c>
      <c r="H15" s="1">
        <f>IF(ISNUMBER(Main_L[[#This Row],[Free CF]]),IF(Main_L[[#This Row],[Free CF]]&lt;&gt;0,Main_L[[#This Row],[Current Price]]/Main_L[[#This Row],[Free CF]],""),"")</f>
        <v>18.972288202692003</v>
      </c>
      <c r="I15" s="1">
        <f>IF(ISNUMBER(Main_L[[#This Row],[BVPS]]),IF(Main_L[[#This Row],[BVPS]]&lt;&gt;0,Main_L[[#This Row],[Current Price]]/Main_L[[#This Row],[BVPS]],""),"")</f>
        <v>1.6778937049226246</v>
      </c>
      <c r="J15">
        <v>8.2200000000000006</v>
      </c>
      <c r="K15">
        <v>3.39</v>
      </c>
      <c r="L15">
        <v>2.48</v>
      </c>
      <c r="M15" s="1">
        <f>IF(ISNUMBER(Main_L[[#This Row],[EPS]]),IF(Main_L[[#This Row],[EPS]]&lt;&gt;0,Main_L[[#This Row],[Current Price]]/Main_L[[#This Row],[EPS]],""),"")</f>
        <v>21.205309734513275</v>
      </c>
      <c r="N1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5" s="1">
        <f>(Main_L[[#This Row],[P/FCF]]-VLOOKUP(Main_L[[#This Row],[Industry]], Mean_PFCF_L, 2, FALSE))/(VLOOKUP(Main_L[[#This Row],[Industry]], Mean_PFCF_L, 3, FALSE))</f>
        <v>-0.99071760804871456</v>
      </c>
      <c r="P15" s="1">
        <f>(Main_L[[#This Row],[P/B]]-VLOOKUP(Main_L[[#This Row],[Industry]], Mean_PB_L, 2, FALSE))/(VLOOKUP(Main_L[[#This Row],[Industry]], Mean_PB_L, 3, FALSE))</f>
        <v>-1.648022719186216</v>
      </c>
      <c r="Q15" s="1">
        <f>(Main_L[[#This Row],[ROE]]-VLOOKUP(Main_L[[#This Row],[Industry]], Mean_ROE_L, 2, FALSE))/(VLOOKUP(Main_L[[#This Row],[Industry]], Mean_ROE_L, 3, FALSE))</f>
        <v>0.83686759372385622</v>
      </c>
      <c r="R15" s="1">
        <f>(Main_L[[#This Row],[ROA]]-VLOOKUP(Main_L[[#This Row],[Industry]], Mean_ROA_L, 2, FALSE))/(VLOOKUP(Main_L[[#This Row],[Industry]], Mean_ROA_L, 3, FALSE))</f>
        <v>1.0598687239919413</v>
      </c>
      <c r="S15" s="1">
        <f>(Main_L[[#This Row],[A/E]]-VLOOKUP(Main_L[[#This Row],[Industry]], Mean_AE_L, 2, FALSE))/(VLOOKUP(Main_L[[#This Row],[Industry]], Mean_AE_L, 3, FALSE))</f>
        <v>0.82490434570313331</v>
      </c>
      <c r="T15" s="1">
        <f>(Main_L[[#This Row],[P/E]]-VLOOKUP(Main_L[[#This Row],[Industry]], Mean_PE_L, 2, FALSE))/(VLOOKUP(Main_L[[#This Row],[Industry]], Mean_PE_L, 3, FALSE))</f>
        <v>0.66218772899257483</v>
      </c>
      <c r="U1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6" spans="1:26" x14ac:dyDescent="0.25">
      <c r="A16" t="s">
        <v>149</v>
      </c>
      <c r="B16" t="s">
        <v>154</v>
      </c>
      <c r="C16" s="2">
        <v>16298</v>
      </c>
      <c r="D16">
        <f>RTD("tos.rtd", , "LAST", Main_L[[#This Row],[Symbol]])</f>
        <v>70.290000000000006</v>
      </c>
      <c r="E16">
        <v>1.1000000000000001</v>
      </c>
      <c r="F16">
        <v>19.989999999999998</v>
      </c>
      <c r="G16">
        <v>-0.48</v>
      </c>
      <c r="H16" s="1">
        <f>IF(ISNUMBER(Main_L[[#This Row],[Free CF]]),IF(Main_L[[#This Row],[Free CF]]&lt;&gt;0,Main_L[[#This Row],[Current Price]]/Main_L[[#This Row],[Free CF]],""),"")</f>
        <v>63.9</v>
      </c>
      <c r="I16" s="1">
        <f>IF(ISNUMBER(Main_L[[#This Row],[BVPS]]),IF(Main_L[[#This Row],[BVPS]]&lt;&gt;0,Main_L[[#This Row],[Current Price]]/Main_L[[#This Row],[BVPS]],""),"")</f>
        <v>3.5162581290645329</v>
      </c>
      <c r="J16">
        <v>-2.39</v>
      </c>
      <c r="K16">
        <v>-1.9</v>
      </c>
      <c r="L16">
        <v>1.2</v>
      </c>
      <c r="M16" s="1">
        <f>IF(ISNUMBER(Main_L[[#This Row],[EPS]]),IF(Main_L[[#This Row],[EPS]]&lt;&gt;0,Main_L[[#This Row],[Current Price]]/Main_L[[#This Row],[EPS]],""),"")</f>
        <v>-146.43750000000003</v>
      </c>
      <c r="N1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6" s="1">
        <f>(Main_L[[#This Row],[P/FCF]]-VLOOKUP(Main_L[[#This Row],[Industry]], Mean_PFCF_L, 2, FALSE))/(VLOOKUP(Main_L[[#This Row],[Industry]], Mean_PFCF_L, 3, FALSE))</f>
        <v>1.2271894882079166</v>
      </c>
      <c r="P16" s="1">
        <f>(Main_L[[#This Row],[P/B]]-VLOOKUP(Main_L[[#This Row],[Industry]], Mean_PB_L, 2, FALSE))/(VLOOKUP(Main_L[[#This Row],[Industry]], Mean_PB_L, 3, FALSE))</f>
        <v>0.2755660054556171</v>
      </c>
      <c r="Q16" s="1">
        <f>(Main_L[[#This Row],[ROE]]-VLOOKUP(Main_L[[#This Row],[Industry]], Mean_ROE_L, 2, FALSE))/(VLOOKUP(Main_L[[#This Row],[Industry]], Mean_ROE_L, 3, FALSE))</f>
        <v>-1.1502637384828085</v>
      </c>
      <c r="R16" s="1">
        <f>(Main_L[[#This Row],[ROA]]-VLOOKUP(Main_L[[#This Row],[Industry]], Mean_ROA_L, 2, FALSE))/(VLOOKUP(Main_L[[#This Row],[Industry]], Mean_ROA_L, 3, FALSE))</f>
        <v>-1.2146568540678433</v>
      </c>
      <c r="S16" s="1">
        <f>(Main_L[[#This Row],[A/E]]-VLOOKUP(Main_L[[#This Row],[Industry]], Mean_AE_L, 2, FALSE))/(VLOOKUP(Main_L[[#This Row],[Industry]], Mean_AE_L, 3, FALSE))</f>
        <v>-0.87355822132101213</v>
      </c>
      <c r="T16" s="1">
        <f>(Main_L[[#This Row],[P/E]]-VLOOKUP(Main_L[[#This Row],[Industry]], Mean_PE_L, 2, FALSE))/(VLOOKUP(Main_L[[#This Row],[Industry]], Mean_PE_L, 3, FALSE))</f>
        <v>-1.2328011203919735</v>
      </c>
      <c r="U1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7" spans="1:26" x14ac:dyDescent="0.25">
      <c r="A17" t="s">
        <v>149</v>
      </c>
      <c r="B17" t="s">
        <v>155</v>
      </c>
      <c r="C17" s="2">
        <v>15952</v>
      </c>
      <c r="D17">
        <f>RTD("tos.rtd", , "LAST", Main_L[[#This Row],[Symbol]])</f>
        <v>69.239999999999995</v>
      </c>
      <c r="E17">
        <v>1.1000000000000001</v>
      </c>
      <c r="F17">
        <v>19.989999999999998</v>
      </c>
      <c r="G17">
        <v>-0.48</v>
      </c>
      <c r="H17" s="1">
        <f>IF(ISNUMBER(Main_L[[#This Row],[Free CF]]),IF(Main_L[[#This Row],[Free CF]]&lt;&gt;0,Main_L[[#This Row],[Current Price]]/Main_L[[#This Row],[Free CF]],""),"")</f>
        <v>62.945454545454538</v>
      </c>
      <c r="I17" s="1">
        <f>IF(ISNUMBER(Main_L[[#This Row],[BVPS]]),IF(Main_L[[#This Row],[BVPS]]&lt;&gt;0,Main_L[[#This Row],[Current Price]]/Main_L[[#This Row],[BVPS]],""),"")</f>
        <v>3.4637318659329663</v>
      </c>
      <c r="J17">
        <v>-2.39</v>
      </c>
      <c r="K17">
        <v>-1.9</v>
      </c>
      <c r="L17">
        <v>1.2</v>
      </c>
      <c r="M17" s="1">
        <f>IF(ISNUMBER(Main_L[[#This Row],[EPS]]),IF(Main_L[[#This Row],[EPS]]&lt;&gt;0,Main_L[[#This Row],[Current Price]]/Main_L[[#This Row],[EPS]],""),"")</f>
        <v>-144.25</v>
      </c>
      <c r="N1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7" s="1">
        <f>(Main_L[[#This Row],[P/FCF]]-VLOOKUP(Main_L[[#This Row],[Industry]], Mean_PFCF_L, 2, FALSE))/(VLOOKUP(Main_L[[#This Row],[Industry]], Mean_PFCF_L, 3, FALSE))</f>
        <v>1.180067276712099</v>
      </c>
      <c r="P17" s="1">
        <f>(Main_L[[#This Row],[P/B]]-VLOOKUP(Main_L[[#This Row],[Industry]], Mean_PB_L, 2, FALSE))/(VLOOKUP(Main_L[[#This Row],[Industry]], Mean_PB_L, 3, FALSE))</f>
        <v>0.22060468974444442</v>
      </c>
      <c r="Q17" s="1">
        <f>(Main_L[[#This Row],[ROE]]-VLOOKUP(Main_L[[#This Row],[Industry]], Mean_ROE_L, 2, FALSE))/(VLOOKUP(Main_L[[#This Row],[Industry]], Mean_ROE_L, 3, FALSE))</f>
        <v>-1.1502637384828085</v>
      </c>
      <c r="R17" s="1">
        <f>(Main_L[[#This Row],[ROA]]-VLOOKUP(Main_L[[#This Row],[Industry]], Mean_ROA_L, 2, FALSE))/(VLOOKUP(Main_L[[#This Row],[Industry]], Mean_ROA_L, 3, FALSE))</f>
        <v>-1.2146568540678433</v>
      </c>
      <c r="S17" s="1">
        <f>(Main_L[[#This Row],[A/E]]-VLOOKUP(Main_L[[#This Row],[Industry]], Mean_AE_L, 2, FALSE))/(VLOOKUP(Main_L[[#This Row],[Industry]], Mean_AE_L, 3, FALSE))</f>
        <v>-0.87355822132101213</v>
      </c>
      <c r="T17" s="1">
        <f>(Main_L[[#This Row],[P/E]]-VLOOKUP(Main_L[[#This Row],[Industry]], Mean_PE_L, 2, FALSE))/(VLOOKUP(Main_L[[#This Row],[Industry]], Mean_PE_L, 3, FALSE))</f>
        <v>-1.2080742137349363</v>
      </c>
      <c r="U1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8" spans="1:26" x14ac:dyDescent="0.25">
      <c r="A18" t="s">
        <v>120</v>
      </c>
      <c r="B18" t="s">
        <v>121</v>
      </c>
      <c r="C18" s="2">
        <v>29597</v>
      </c>
      <c r="D18">
        <f>RTD("tos.rtd", , "LAST", Main_L[[#This Row],[Symbol]])</f>
        <v>204.7</v>
      </c>
      <c r="E18">
        <v>11.29</v>
      </c>
      <c r="F18">
        <v>83.81</v>
      </c>
      <c r="G18">
        <v>8.0299999999999994</v>
      </c>
      <c r="H18" s="1">
        <f>IF(ISNUMBER(Main_L[[#This Row],[Free CF]]),IF(Main_L[[#This Row],[Free CF]]&lt;&gt;0,Main_L[[#This Row],[Current Price]]/Main_L[[#This Row],[Free CF]],""),"")</f>
        <v>18.131089459698849</v>
      </c>
      <c r="I18" s="1">
        <f>IF(ISNUMBER(Main_L[[#This Row],[BVPS]]),IF(Main_L[[#This Row],[BVPS]]&lt;&gt;0,Main_L[[#This Row],[Current Price]]/Main_L[[#This Row],[BVPS]],""),"")</f>
        <v>2.442429304378952</v>
      </c>
      <c r="J18">
        <v>9.69</v>
      </c>
      <c r="K18">
        <v>2.93</v>
      </c>
      <c r="L18">
        <v>1.78</v>
      </c>
      <c r="M18" s="1">
        <f>IF(ISNUMBER(Main_L[[#This Row],[EPS]]),IF(Main_L[[#This Row],[EPS]]&lt;&gt;0,Main_L[[#This Row],[Current Price]]/Main_L[[#This Row],[EPS]],""),"")</f>
        <v>25.491905354919055</v>
      </c>
      <c r="N1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8" s="1">
        <f>(Main_L[[#This Row],[P/FCF]]-VLOOKUP(Main_L[[#This Row],[Industry]], Mean_PFCF_L, 2, FALSE))/(VLOOKUP(Main_L[[#This Row],[Industry]], Mean_PFCF_L, 3, FALSE))</f>
        <v>0.53517689351766884</v>
      </c>
      <c r="P18" s="1">
        <f>(Main_L[[#This Row],[P/B]]-VLOOKUP(Main_L[[#This Row],[Industry]], Mean_PB_L, 2, FALSE))/(VLOOKUP(Main_L[[#This Row],[Industry]], Mean_PB_L, 3, FALSE))</f>
        <v>-0.42232680241509934</v>
      </c>
      <c r="Q18" s="1">
        <f>(Main_L[[#This Row],[ROE]]-VLOOKUP(Main_L[[#This Row],[Industry]], Mean_ROE_L, 2, FALSE))/(VLOOKUP(Main_L[[#This Row],[Industry]], Mean_ROE_L, 3, FALSE))</f>
        <v>0.86956917222270025</v>
      </c>
      <c r="R18" s="1">
        <f>(Main_L[[#This Row],[ROA]]-VLOOKUP(Main_L[[#This Row],[Industry]], Mean_ROA_L, 2, FALSE))/(VLOOKUP(Main_L[[#This Row],[Industry]], Mean_ROA_L, 3, FALSE))</f>
        <v>0.89287197385060657</v>
      </c>
      <c r="S18" s="1">
        <f>(Main_L[[#This Row],[A/E]]-VLOOKUP(Main_L[[#This Row],[Industry]], Mean_AE_L, 2, FALSE))/(VLOOKUP(Main_L[[#This Row],[Industry]], Mean_AE_L, 3, FALSE))</f>
        <v>-1.087114613009208</v>
      </c>
      <c r="T18" s="1">
        <f>(Main_L[[#This Row],[P/E]]-VLOOKUP(Main_L[[#This Row],[Industry]], Mean_PE_L, 2, FALSE))/(VLOOKUP(Main_L[[#This Row],[Industry]], Mean_PE_L, 3, FALSE))</f>
        <v>-0.74205043652007352</v>
      </c>
      <c r="U1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9" spans="1:26" x14ac:dyDescent="0.25">
      <c r="A19" t="s">
        <v>120</v>
      </c>
      <c r="B19" t="s">
        <v>122</v>
      </c>
      <c r="C19" s="2">
        <v>12713</v>
      </c>
      <c r="D19">
        <f>RTD("tos.rtd", , "LAST", Main_L[[#This Row],[Symbol]])</f>
        <v>117.23</v>
      </c>
      <c r="E19">
        <v>7.22</v>
      </c>
      <c r="F19">
        <v>42.39</v>
      </c>
      <c r="G19">
        <v>1.0900000000000001</v>
      </c>
      <c r="H19" s="1">
        <f>IF(ISNUMBER(Main_L[[#This Row],[Free CF]]),IF(Main_L[[#This Row],[Free CF]]&lt;&gt;0,Main_L[[#This Row],[Current Price]]/Main_L[[#This Row],[Free CF]],""),"")</f>
        <v>16.236842105263158</v>
      </c>
      <c r="I19" s="1">
        <f>IF(ISNUMBER(Main_L[[#This Row],[BVPS]]),IF(Main_L[[#This Row],[BVPS]]&lt;&gt;0,Main_L[[#This Row],[Current Price]]/Main_L[[#This Row],[BVPS]],""),"")</f>
        <v>2.7655107336636</v>
      </c>
      <c r="J19">
        <v>2.6</v>
      </c>
      <c r="K19">
        <v>2.08</v>
      </c>
      <c r="L19">
        <v>1.95</v>
      </c>
      <c r="M19" s="1">
        <f>IF(ISNUMBER(Main_L[[#This Row],[EPS]]),IF(Main_L[[#This Row],[EPS]]&lt;&gt;0,Main_L[[#This Row],[Current Price]]/Main_L[[#This Row],[EPS]],""),"")</f>
        <v>107.55045871559632</v>
      </c>
      <c r="N1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9" s="1">
        <f>(Main_L[[#This Row],[P/FCF]]-VLOOKUP(Main_L[[#This Row],[Industry]], Mean_PFCF_L, 2, FALSE))/(VLOOKUP(Main_L[[#This Row],[Industry]], Mean_PFCF_L, 3, FALSE))</f>
        <v>-1.2600995595894788</v>
      </c>
      <c r="P19" s="1">
        <f>(Main_L[[#This Row],[P/B]]-VLOOKUP(Main_L[[#This Row],[Industry]], Mean_PB_L, 2, FALSE))/(VLOOKUP(Main_L[[#This Row],[Industry]], Mean_PB_L, 3, FALSE))</f>
        <v>6.184477084692707E-2</v>
      </c>
      <c r="Q19" s="1">
        <f>(Main_L[[#This Row],[ROE]]-VLOOKUP(Main_L[[#This Row],[Industry]], Mean_ROE_L, 2, FALSE))/(VLOOKUP(Main_L[[#This Row],[Industry]], Mean_ROE_L, 3, FALSE))</f>
        <v>-1.0664813818432635</v>
      </c>
      <c r="R19" s="1">
        <f>(Main_L[[#This Row],[ROA]]-VLOOKUP(Main_L[[#This Row],[Industry]], Mean_ROA_L, 2, FALSE))/(VLOOKUP(Main_L[[#This Row],[Industry]], Mean_ROA_L, 3, FALSE))</f>
        <v>-0.75700015174290747</v>
      </c>
      <c r="S19" s="1">
        <f>(Main_L[[#This Row],[A/E]]-VLOOKUP(Main_L[[#This Row],[Industry]], Mean_AE_L, 2, FALSE))/(VLOOKUP(Main_L[[#This Row],[Industry]], Mean_AE_L, 3, FALSE))</f>
        <v>-0.27476523185946983</v>
      </c>
      <c r="T19" s="1">
        <f>(Main_L[[#This Row],[P/E]]-VLOOKUP(Main_L[[#This Row],[Industry]], Mean_PE_L, 2, FALSE))/(VLOOKUP(Main_L[[#This Row],[Industry]], Mean_PE_L, 3, FALSE))</f>
        <v>0.92084553224805099</v>
      </c>
      <c r="U1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0" spans="1:26" x14ac:dyDescent="0.25">
      <c r="A20" t="s">
        <v>120</v>
      </c>
      <c r="B20" t="s">
        <v>123</v>
      </c>
      <c r="C20" s="2">
        <v>26809</v>
      </c>
      <c r="D20">
        <f>RTD("tos.rtd", , "LAST", Main_L[[#This Row],[Symbol]])</f>
        <v>69.59</v>
      </c>
      <c r="E20">
        <v>4.1500000000000004</v>
      </c>
      <c r="F20">
        <v>29.04</v>
      </c>
      <c r="G20">
        <v>2.62</v>
      </c>
      <c r="H20" s="1">
        <f>IF(ISNUMBER(Main_L[[#This Row],[Free CF]]),IF(Main_L[[#This Row],[Free CF]]&lt;&gt;0,Main_L[[#This Row],[Current Price]]/Main_L[[#This Row],[Free CF]],""),"")</f>
        <v>16.768674698795181</v>
      </c>
      <c r="I20" s="1">
        <f>IF(ISNUMBER(Main_L[[#This Row],[BVPS]]),IF(Main_L[[#This Row],[BVPS]]&lt;&gt;0,Main_L[[#This Row],[Current Price]]/Main_L[[#This Row],[BVPS]],""),"")</f>
        <v>2.3963498622589534</v>
      </c>
      <c r="J20">
        <v>8.9</v>
      </c>
      <c r="K20">
        <v>2.64</v>
      </c>
      <c r="L20">
        <v>1.86</v>
      </c>
      <c r="M20" s="1">
        <f>IF(ISNUMBER(Main_L[[#This Row],[EPS]]),IF(Main_L[[#This Row],[EPS]]&lt;&gt;0,Main_L[[#This Row],[Current Price]]/Main_L[[#This Row],[EPS]],""),"")</f>
        <v>26.561068702290076</v>
      </c>
      <c r="N2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0" s="1">
        <f>(Main_L[[#This Row],[P/FCF]]-VLOOKUP(Main_L[[#This Row],[Industry]], Mean_PFCF_L, 2, FALSE))/(VLOOKUP(Main_L[[#This Row],[Industry]], Mean_PFCF_L, 3, FALSE))</f>
        <v>-0.75605422996177396</v>
      </c>
      <c r="P20" s="1">
        <f>(Main_L[[#This Row],[P/B]]-VLOOKUP(Main_L[[#This Row],[Industry]], Mean_PB_L, 2, FALSE))/(VLOOKUP(Main_L[[#This Row],[Industry]], Mean_PB_L, 3, FALSE))</f>
        <v>-0.49138170301918166</v>
      </c>
      <c r="Q20" s="1">
        <f>(Main_L[[#This Row],[ROE]]-VLOOKUP(Main_L[[#This Row],[Industry]], Mean_ROE_L, 2, FALSE))/(VLOOKUP(Main_L[[#This Row],[Industry]], Mean_ROE_L, 3, FALSE))</f>
        <v>0.65384562670618263</v>
      </c>
      <c r="R20" s="1">
        <f>(Main_L[[#This Row],[ROA]]-VLOOKUP(Main_L[[#This Row],[Industry]], Mean_ROA_L, 2, FALSE))/(VLOOKUP(Main_L[[#This Row],[Industry]], Mean_ROA_L, 3, FALSE))</f>
        <v>0.32997442511870173</v>
      </c>
      <c r="S20" s="1">
        <f>(Main_L[[#This Row],[A/E]]-VLOOKUP(Main_L[[#This Row],[Industry]], Mean_AE_L, 2, FALSE))/(VLOOKUP(Main_L[[#This Row],[Industry]], Mean_AE_L, 3, FALSE))</f>
        <v>-0.70483255129168354</v>
      </c>
      <c r="T20" s="1">
        <f>(Main_L[[#This Row],[P/E]]-VLOOKUP(Main_L[[#This Row],[Industry]], Mean_PE_L, 2, FALSE))/(VLOOKUP(Main_L[[#This Row],[Industry]], Mean_PE_L, 3, FALSE))</f>
        <v>-0.72038410988519652</v>
      </c>
      <c r="U2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1" spans="1:26" x14ac:dyDescent="0.25">
      <c r="A21" t="s">
        <v>120</v>
      </c>
      <c r="B21" t="s">
        <v>124</v>
      </c>
      <c r="C21" s="2">
        <v>18346</v>
      </c>
      <c r="D21">
        <f>RTD("tos.rtd", , "LAST", Main_L[[#This Row],[Symbol]])</f>
        <v>280.8</v>
      </c>
      <c r="E21">
        <v>16.11</v>
      </c>
      <c r="F21">
        <v>86.55</v>
      </c>
      <c r="G21">
        <v>10.45</v>
      </c>
      <c r="H21" s="1">
        <f>IF(ISNUMBER(Main_L[[#This Row],[Free CF]]),IF(Main_L[[#This Row],[Free CF]]&lt;&gt;0,Main_L[[#This Row],[Current Price]]/Main_L[[#This Row],[Free CF]],""),"")</f>
        <v>17.430167597765365</v>
      </c>
      <c r="I21" s="1">
        <f>IF(ISNUMBER(Main_L[[#This Row],[BVPS]]),IF(Main_L[[#This Row],[BVPS]]&lt;&gt;0,Main_L[[#This Row],[Current Price]]/Main_L[[#This Row],[BVPS]],""),"")</f>
        <v>3.2443674176776431</v>
      </c>
      <c r="J21">
        <v>12.81</v>
      </c>
      <c r="K21">
        <v>2.83</v>
      </c>
      <c r="L21">
        <v>2.37</v>
      </c>
      <c r="M21" s="1">
        <f>IF(ISNUMBER(Main_L[[#This Row],[EPS]]),IF(Main_L[[#This Row],[EPS]]&lt;&gt;0,Main_L[[#This Row],[Current Price]]/Main_L[[#This Row],[EPS]],""),"")</f>
        <v>26.87081339712919</v>
      </c>
      <c r="N2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1" s="1">
        <f>(Main_L[[#This Row],[P/FCF]]-VLOOKUP(Main_L[[#This Row],[Industry]], Mean_PFCF_L, 2, FALSE))/(VLOOKUP(Main_L[[#This Row],[Industry]], Mean_PFCF_L, 3, FALSE))</f>
        <v>-0.12912310471148156</v>
      </c>
      <c r="P21" s="1">
        <f>(Main_L[[#This Row],[P/B]]-VLOOKUP(Main_L[[#This Row],[Industry]], Mean_PB_L, 2, FALSE))/(VLOOKUP(Main_L[[#This Row],[Industry]], Mean_PB_L, 3, FALSE))</f>
        <v>0.77946198140423217</v>
      </c>
      <c r="Q21" s="1">
        <f>(Main_L[[#This Row],[ROE]]-VLOOKUP(Main_L[[#This Row],[Industry]], Mean_ROE_L, 2, FALSE))/(VLOOKUP(Main_L[[#This Row],[Industry]], Mean_ROE_L, 3, FALSE))</f>
        <v>1.7215406431233786</v>
      </c>
      <c r="R21" s="1">
        <f>(Main_L[[#This Row],[ROA]]-VLOOKUP(Main_L[[#This Row],[Industry]], Mean_ROA_L, 2, FALSE))/(VLOOKUP(Main_L[[#This Row],[Industry]], Mean_ROA_L, 3, FALSE))</f>
        <v>0.69876937083960478</v>
      </c>
      <c r="S21" s="1">
        <f>(Main_L[[#This Row],[A/E]]-VLOOKUP(Main_L[[#This Row],[Industry]], Mean_AE_L, 2, FALSE))/(VLOOKUP(Main_L[[#This Row],[Industry]], Mean_AE_L, 3, FALSE))</f>
        <v>1.7322155921575317</v>
      </c>
      <c r="T21" s="1">
        <f>(Main_L[[#This Row],[P/E]]-VLOOKUP(Main_L[[#This Row],[Industry]], Mean_PE_L, 2, FALSE))/(VLOOKUP(Main_L[[#This Row],[Industry]], Mean_PE_L, 3, FALSE))</f>
        <v>-0.71410721145961331</v>
      </c>
      <c r="U2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2" spans="1:26" x14ac:dyDescent="0.25">
      <c r="A22" t="s">
        <v>120</v>
      </c>
      <c r="B22" t="s">
        <v>125</v>
      </c>
      <c r="C22" s="2">
        <v>19293</v>
      </c>
      <c r="D22">
        <f>RTD("tos.rtd", , "LAST", Main_L[[#This Row],[Symbol]])</f>
        <v>160.93</v>
      </c>
      <c r="E22">
        <v>9.34</v>
      </c>
      <c r="F22">
        <v>50.89</v>
      </c>
      <c r="G22">
        <v>4.8099999999999996</v>
      </c>
      <c r="H22" s="1">
        <f>IF(ISNUMBER(Main_L[[#This Row],[Free CF]]),IF(Main_L[[#This Row],[Free CF]]&lt;&gt;0,Main_L[[#This Row],[Current Price]]/Main_L[[#This Row],[Free CF]],""),"")</f>
        <v>17.230192719486084</v>
      </c>
      <c r="I22" s="1">
        <f>IF(ISNUMBER(Main_L[[#This Row],[BVPS]]),IF(Main_L[[#This Row],[BVPS]]&lt;&gt;0,Main_L[[#This Row],[Current Price]]/Main_L[[#This Row],[BVPS]],""),"")</f>
        <v>3.1623108665749657</v>
      </c>
      <c r="J22">
        <v>9.3699999999999992</v>
      </c>
      <c r="K22">
        <v>3.49</v>
      </c>
      <c r="L22">
        <v>1.99</v>
      </c>
      <c r="M22" s="1">
        <f>IF(ISNUMBER(Main_L[[#This Row],[EPS]]),IF(Main_L[[#This Row],[EPS]]&lt;&gt;0,Main_L[[#This Row],[Current Price]]/Main_L[[#This Row],[EPS]],""),"")</f>
        <v>33.457380457380459</v>
      </c>
      <c r="N2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2" s="1">
        <f>(Main_L[[#This Row],[P/FCF]]-VLOOKUP(Main_L[[#This Row],[Industry]], Mean_PFCF_L, 2, FALSE))/(VLOOKUP(Main_L[[#This Row],[Industry]], Mean_PFCF_L, 3, FALSE))</f>
        <v>-0.31864966751600682</v>
      </c>
      <c r="P22" s="1">
        <f>(Main_L[[#This Row],[P/B]]-VLOOKUP(Main_L[[#This Row],[Industry]], Mean_PB_L, 2, FALSE))/(VLOOKUP(Main_L[[#This Row],[Industry]], Mean_PB_L, 3, FALSE))</f>
        <v>0.65649159114749012</v>
      </c>
      <c r="Q22" s="1">
        <f>(Main_L[[#This Row],[ROE]]-VLOOKUP(Main_L[[#This Row],[Industry]], Mean_ROE_L, 2, FALSE))/(VLOOKUP(Main_L[[#This Row],[Industry]], Mean_ROE_L, 3, FALSE))</f>
        <v>0.78218748289955364</v>
      </c>
      <c r="R22" s="1">
        <f>(Main_L[[#This Row],[ROA]]-VLOOKUP(Main_L[[#This Row],[Industry]], Mean_ROA_L, 2, FALSE))/(VLOOKUP(Main_L[[#This Row],[Industry]], Mean_ROA_L, 3, FALSE))</f>
        <v>1.9798465507122156</v>
      </c>
      <c r="S22" s="1">
        <f>(Main_L[[#This Row],[A/E]]-VLOOKUP(Main_L[[#This Row],[Industry]], Mean_AE_L, 2, FALSE))/(VLOOKUP(Main_L[[#This Row],[Industry]], Mean_AE_L, 3, FALSE))</f>
        <v>-8.3624201000707651E-2</v>
      </c>
      <c r="T22" s="1">
        <f>(Main_L[[#This Row],[P/E]]-VLOOKUP(Main_L[[#This Row],[Industry]], Mean_PE_L, 2, FALSE))/(VLOOKUP(Main_L[[#This Row],[Industry]], Mean_PE_L, 3, FALSE))</f>
        <v>-0.58063208468798588</v>
      </c>
      <c r="U2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3" spans="1:26" x14ac:dyDescent="0.25">
      <c r="A23" t="s">
        <v>120</v>
      </c>
      <c r="B23" t="s">
        <v>126</v>
      </c>
      <c r="C23" s="2">
        <v>14153</v>
      </c>
      <c r="D23">
        <f>RTD("tos.rtd", , "LAST", Main_L[[#This Row],[Symbol]])</f>
        <v>41.65</v>
      </c>
      <c r="E23">
        <v>2.5299999999999998</v>
      </c>
      <c r="F23">
        <v>9.93</v>
      </c>
      <c r="G23">
        <v>0.36</v>
      </c>
      <c r="H23" s="1">
        <f>IF(ISNUMBER(Main_L[[#This Row],[Free CF]]),IF(Main_L[[#This Row],[Free CF]]&lt;&gt;0,Main_L[[#This Row],[Current Price]]/Main_L[[#This Row],[Free CF]],""),"")</f>
        <v>16.462450592885375</v>
      </c>
      <c r="I23" s="1">
        <f>IF(ISNUMBER(Main_L[[#This Row],[BVPS]]),IF(Main_L[[#This Row],[BVPS]]&lt;&gt;0,Main_L[[#This Row],[Current Price]]/Main_L[[#This Row],[BVPS]],""),"")</f>
        <v>4.1943605236656598</v>
      </c>
      <c r="J23">
        <v>2.85</v>
      </c>
      <c r="K23">
        <v>1.8</v>
      </c>
      <c r="L23">
        <v>3.27</v>
      </c>
      <c r="M23" s="1">
        <f>IF(ISNUMBER(Main_L[[#This Row],[EPS]]),IF(Main_L[[#This Row],[EPS]]&lt;&gt;0,Main_L[[#This Row],[Current Price]]/Main_L[[#This Row],[EPS]],""),"")</f>
        <v>115.69444444444444</v>
      </c>
      <c r="N2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3" s="1">
        <f>(Main_L[[#This Row],[P/FCF]]-VLOOKUP(Main_L[[#This Row],[Industry]], Mean_PFCF_L, 2, FALSE))/(VLOOKUP(Main_L[[#This Row],[Industry]], Mean_PFCF_L, 3, FALSE))</f>
        <v>-1.0462786958565353</v>
      </c>
      <c r="P23" s="1">
        <f>(Main_L[[#This Row],[P/B]]-VLOOKUP(Main_L[[#This Row],[Industry]], Mean_PB_L, 2, FALSE))/(VLOOKUP(Main_L[[#This Row],[Industry]], Mean_PB_L, 3, FALSE))</f>
        <v>2.203126776167331</v>
      </c>
      <c r="Q23" s="1">
        <f>(Main_L[[#This Row],[ROE]]-VLOOKUP(Main_L[[#This Row],[Industry]], Mean_ROE_L, 2, FALSE))/(VLOOKUP(Main_L[[#This Row],[Industry]], Mean_ROE_L, 3, FALSE))</f>
        <v>-0.99821443705955537</v>
      </c>
      <c r="R23" s="1">
        <f>(Main_L[[#This Row],[ROA]]-VLOOKUP(Main_L[[#This Row],[Industry]], Mean_ROA_L, 2, FALSE))/(VLOOKUP(Main_L[[#This Row],[Industry]], Mean_ROA_L, 3, FALSE))</f>
        <v>-1.3004874401737121</v>
      </c>
      <c r="S23" s="1">
        <f>(Main_L[[#This Row],[A/E]]-VLOOKUP(Main_L[[#This Row],[Industry]], Mean_AE_L, 2, FALSE))/(VLOOKUP(Main_L[[#This Row],[Industry]], Mean_AE_L, 3, FALSE))</f>
        <v>6.0328887864796759</v>
      </c>
      <c r="T23" s="1">
        <f>(Main_L[[#This Row],[P/E]]-VLOOKUP(Main_L[[#This Row],[Industry]], Mean_PE_L, 2, FALSE))/(VLOOKUP(Main_L[[#This Row],[Industry]], Mean_PE_L, 3, FALSE))</f>
        <v>1.0858813570776944</v>
      </c>
      <c r="U2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2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4" spans="1:26" x14ac:dyDescent="0.25">
      <c r="A24" t="s">
        <v>120</v>
      </c>
      <c r="B24" t="s">
        <v>127</v>
      </c>
      <c r="C24" s="2">
        <v>14359</v>
      </c>
      <c r="D24">
        <f>RTD("tos.rtd", , "LAST", Main_L[[#This Row],[Symbol]])</f>
        <v>37.68</v>
      </c>
      <c r="E24">
        <v>2.2200000000000002</v>
      </c>
      <c r="F24">
        <v>19.329999999999998</v>
      </c>
      <c r="G24">
        <v>1.08</v>
      </c>
      <c r="H24" s="1">
        <f>IF(ISNUMBER(Main_L[[#This Row],[Free CF]]),IF(Main_L[[#This Row],[Free CF]]&lt;&gt;0,Main_L[[#This Row],[Current Price]]/Main_L[[#This Row],[Free CF]],""),"")</f>
        <v>16.972972972972972</v>
      </c>
      <c r="I24" s="1">
        <f>IF(ISNUMBER(Main_L[[#This Row],[BVPS]]),IF(Main_L[[#This Row],[BVPS]]&lt;&gt;0,Main_L[[#This Row],[Current Price]]/Main_L[[#This Row],[BVPS]],""),"")</f>
        <v>1.9493016037247803</v>
      </c>
      <c r="J24">
        <v>6.03</v>
      </c>
      <c r="K24">
        <v>1.99</v>
      </c>
      <c r="L24">
        <v>1.86</v>
      </c>
      <c r="M24" s="1">
        <f>IF(ISNUMBER(Main_L[[#This Row],[EPS]]),IF(Main_L[[#This Row],[EPS]]&lt;&gt;0,Main_L[[#This Row],[Current Price]]/Main_L[[#This Row],[EPS]],""),"")</f>
        <v>34.888888888888886</v>
      </c>
      <c r="N2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4" s="1">
        <f>(Main_L[[#This Row],[P/FCF]]-VLOOKUP(Main_L[[#This Row],[Industry]], Mean_PFCF_L, 2, FALSE))/(VLOOKUP(Main_L[[#This Row],[Industry]], Mean_PFCF_L, 3, FALSE))</f>
        <v>-0.56243016065373985</v>
      </c>
      <c r="P24" s="1">
        <f>(Main_L[[#This Row],[P/B]]-VLOOKUP(Main_L[[#This Row],[Industry]], Mean_PB_L, 2, FALSE))/(VLOOKUP(Main_L[[#This Row],[Industry]], Mean_PB_L, 3, FALSE))</f>
        <v>-1.161330635515206</v>
      </c>
      <c r="Q24" s="1">
        <f>(Main_L[[#This Row],[ROE]]-VLOOKUP(Main_L[[#This Row],[Industry]], Mean_ROE_L, 2, FALSE))/(VLOOKUP(Main_L[[#This Row],[Industry]], Mean_ROE_L, 3, FALSE))</f>
        <v>-0.12985889941078727</v>
      </c>
      <c r="R24" s="1">
        <f>(Main_L[[#This Row],[ROA]]-VLOOKUP(Main_L[[#This Row],[Industry]], Mean_ROA_L, 2, FALSE))/(VLOOKUP(Main_L[[#This Row],[Industry]], Mean_ROA_L, 3, FALSE))</f>
        <v>-0.93169249445280899</v>
      </c>
      <c r="S24" s="1">
        <f>(Main_L[[#This Row],[A/E]]-VLOOKUP(Main_L[[#This Row],[Industry]], Mean_AE_L, 2, FALSE))/(VLOOKUP(Main_L[[#This Row],[Industry]], Mean_AE_L, 3, FALSE))</f>
        <v>-0.70483255129168354</v>
      </c>
      <c r="T24" s="1">
        <f>(Main_L[[#This Row],[P/E]]-VLOOKUP(Main_L[[#This Row],[Industry]], Mean_PE_L, 2, FALSE))/(VLOOKUP(Main_L[[#This Row],[Industry]], Mean_PE_L, 3, FALSE))</f>
        <v>-0.55162292595288132</v>
      </c>
      <c r="U2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5" spans="1:26" x14ac:dyDescent="0.25">
      <c r="A25" t="s">
        <v>120</v>
      </c>
      <c r="B25" t="s">
        <v>128</v>
      </c>
      <c r="C25" s="2">
        <v>12301</v>
      </c>
      <c r="D25">
        <f>RTD("tos.rtd", , "LAST", Main_L[[#This Row],[Symbol]])</f>
        <v>62.6</v>
      </c>
      <c r="E25">
        <v>3.14</v>
      </c>
      <c r="F25">
        <v>9.15</v>
      </c>
      <c r="G25">
        <v>1.94</v>
      </c>
      <c r="H25" s="1">
        <f>IF(ISNUMBER(Main_L[[#This Row],[Free CF]]),IF(Main_L[[#This Row],[Free CF]]&lt;&gt;0,Main_L[[#This Row],[Current Price]]/Main_L[[#This Row],[Free CF]],""),"")</f>
        <v>19.936305732484076</v>
      </c>
      <c r="I25" s="1">
        <f>IF(ISNUMBER(Main_L[[#This Row],[BVPS]]),IF(Main_L[[#This Row],[BVPS]]&lt;&gt;0,Main_L[[#This Row],[Current Price]]/Main_L[[#This Row],[BVPS]],""),"")</f>
        <v>6.8415300546448083</v>
      </c>
      <c r="J25">
        <v>22.9</v>
      </c>
      <c r="K25">
        <v>5.85</v>
      </c>
      <c r="L25">
        <v>3.22</v>
      </c>
      <c r="M25" s="1">
        <f>IF(ISNUMBER(Main_L[[#This Row],[EPS]]),IF(Main_L[[#This Row],[EPS]]&lt;&gt;0,Main_L[[#This Row],[Current Price]]/Main_L[[#This Row],[EPS]],""),"")</f>
        <v>32.268041237113401</v>
      </c>
      <c r="N2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5" s="1">
        <f>(Main_L[[#This Row],[P/FCF]]-VLOOKUP(Main_L[[#This Row],[Industry]], Mean_PFCF_L, 2, FALSE))/(VLOOKUP(Main_L[[#This Row],[Industry]], Mean_PFCF_L, 3, FALSE))</f>
        <v>2.2460739734096671</v>
      </c>
      <c r="P25" s="1">
        <f>(Main_L[[#This Row],[P/B]]-VLOOKUP(Main_L[[#This Row],[Industry]], Mean_PB_L, 2, FALSE))/(VLOOKUP(Main_L[[#This Row],[Industry]], Mean_PB_L, 3, FALSE))</f>
        <v>6.1701893193265622</v>
      </c>
      <c r="Q25" s="1">
        <f>(Main_L[[#This Row],[ROE]]-VLOOKUP(Main_L[[#This Row],[Industry]], Mean_ROE_L, 2, FALSE))/(VLOOKUP(Main_L[[#This Row],[Industry]], Mean_ROE_L, 3, FALSE))</f>
        <v>4.4767945345938402</v>
      </c>
      <c r="R25" s="1">
        <f>(Main_L[[#This Row],[ROA]]-VLOOKUP(Main_L[[#This Row],[Industry]], Mean_ROA_L, 2, FALSE))/(VLOOKUP(Main_L[[#This Row],[Industry]], Mean_ROA_L, 3, FALSE))</f>
        <v>6.5606679817718527</v>
      </c>
      <c r="S25" s="1">
        <f>(Main_L[[#This Row],[A/E]]-VLOOKUP(Main_L[[#This Row],[Industry]], Mean_AE_L, 2, FALSE))/(VLOOKUP(Main_L[[#This Row],[Industry]], Mean_AE_L, 3, FALSE))</f>
        <v>5.7939624979062243</v>
      </c>
      <c r="T25" s="1">
        <f>(Main_L[[#This Row],[P/E]]-VLOOKUP(Main_L[[#This Row],[Industry]], Mean_PE_L, 2, FALSE))/(VLOOKUP(Main_L[[#This Row],[Industry]], Mean_PE_L, 3, FALSE))</f>
        <v>-0.60473374519602574</v>
      </c>
      <c r="U2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2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2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2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2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6" spans="1:26" x14ac:dyDescent="0.25">
      <c r="A26" t="s">
        <v>120</v>
      </c>
      <c r="B26" t="s">
        <v>129</v>
      </c>
      <c r="C26" s="2">
        <v>21392</v>
      </c>
      <c r="D26">
        <f>RTD("tos.rtd", , "LAST", Main_L[[#This Row],[Symbol]])</f>
        <v>33.729999999999997</v>
      </c>
      <c r="E26">
        <v>1.82</v>
      </c>
      <c r="F26">
        <v>15.86</v>
      </c>
      <c r="G26">
        <v>0.78</v>
      </c>
      <c r="H26" s="1">
        <f>IF(ISNUMBER(Main_L[[#This Row],[Free CF]]),IF(Main_L[[#This Row],[Free CF]]&lt;&gt;0,Main_L[[#This Row],[Current Price]]/Main_L[[#This Row],[Free CF]],""),"")</f>
        <v>18.532967032967029</v>
      </c>
      <c r="I26" s="1">
        <f>IF(ISNUMBER(Main_L[[#This Row],[BVPS]]),IF(Main_L[[#This Row],[BVPS]]&lt;&gt;0,Main_L[[#This Row],[Current Price]]/Main_L[[#This Row],[BVPS]],""),"")</f>
        <v>2.1267339218158887</v>
      </c>
      <c r="J26">
        <v>4.8099999999999996</v>
      </c>
      <c r="K26">
        <v>2.37</v>
      </c>
      <c r="L26">
        <v>1.91</v>
      </c>
      <c r="M26" s="1">
        <f>IF(ISNUMBER(Main_L[[#This Row],[EPS]]),IF(Main_L[[#This Row],[EPS]]&lt;&gt;0,Main_L[[#This Row],[Current Price]]/Main_L[[#This Row],[EPS]],""),"")</f>
        <v>43.243589743589737</v>
      </c>
      <c r="N2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6" s="1">
        <f>(Main_L[[#This Row],[P/FCF]]-VLOOKUP(Main_L[[#This Row],[Industry]], Mean_PFCF_L, 2, FALSE))/(VLOOKUP(Main_L[[#This Row],[Industry]], Mean_PFCF_L, 3, FALSE))</f>
        <v>0.91605711099863263</v>
      </c>
      <c r="P26" s="1">
        <f>(Main_L[[#This Row],[P/B]]-VLOOKUP(Main_L[[#This Row],[Industry]], Mean_PB_L, 2, FALSE))/(VLOOKUP(Main_L[[#This Row],[Industry]], Mean_PB_L, 3, FALSE))</f>
        <v>-0.89542960620531009</v>
      </c>
      <c r="Q26" s="1">
        <f>(Main_L[[#This Row],[ROE]]-VLOOKUP(Main_L[[#This Row],[Industry]], Mean_ROE_L, 2, FALSE))/(VLOOKUP(Main_L[[#This Row],[Industry]], Mean_ROE_L, 3, FALSE))</f>
        <v>-0.46300158995528334</v>
      </c>
      <c r="R26" s="1">
        <f>(Main_L[[#This Row],[ROA]]-VLOOKUP(Main_L[[#This Row],[Industry]], Mean_ROA_L, 2, FALSE))/(VLOOKUP(Main_L[[#This Row],[Industry]], Mean_ROA_L, 3, FALSE))</f>
        <v>-0.19410260301100266</v>
      </c>
      <c r="S26" s="1">
        <f>(Main_L[[#This Row],[A/E]]-VLOOKUP(Main_L[[#This Row],[Industry]], Mean_AE_L, 2, FALSE))/(VLOOKUP(Main_L[[#This Row],[Industry]], Mean_AE_L, 3, FALSE))</f>
        <v>-0.46590626271823193</v>
      </c>
      <c r="T26" s="1">
        <f>(Main_L[[#This Row],[P/E]]-VLOOKUP(Main_L[[#This Row],[Industry]], Mean_PE_L, 2, FALSE))/(VLOOKUP(Main_L[[#This Row],[Industry]], Mean_PE_L, 3, FALSE))</f>
        <v>-0.3823170120345496</v>
      </c>
      <c r="U2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7" spans="1:26" x14ac:dyDescent="0.25">
      <c r="A27" t="s">
        <v>120</v>
      </c>
      <c r="B27" t="s">
        <v>130</v>
      </c>
      <c r="C27" s="2">
        <v>15900</v>
      </c>
      <c r="D27">
        <f>RTD("tos.rtd", , "LAST", Main_L[[#This Row],[Symbol]])</f>
        <v>124.3</v>
      </c>
      <c r="E27">
        <v>6.92</v>
      </c>
      <c r="F27">
        <v>55.57</v>
      </c>
      <c r="G27">
        <v>0.71</v>
      </c>
      <c r="H27" s="1">
        <f>IF(ISNUMBER(Main_L[[#This Row],[Free CF]]),IF(Main_L[[#This Row],[Free CF]]&lt;&gt;0,Main_L[[#This Row],[Current Price]]/Main_L[[#This Row],[Free CF]],""),"")</f>
        <v>17.962427745664741</v>
      </c>
      <c r="I27" s="1">
        <f>IF(ISNUMBER(Main_L[[#This Row],[BVPS]]),IF(Main_L[[#This Row],[BVPS]]&lt;&gt;0,Main_L[[#This Row],[Current Price]]/Main_L[[#This Row],[BVPS]],""),"")</f>
        <v>2.2368184272089255</v>
      </c>
      <c r="J27">
        <v>1.49</v>
      </c>
      <c r="K27">
        <v>2.1</v>
      </c>
      <c r="L27">
        <v>2.34</v>
      </c>
      <c r="M27" s="1">
        <f>IF(ISNUMBER(Main_L[[#This Row],[EPS]]),IF(Main_L[[#This Row],[EPS]]&lt;&gt;0,Main_L[[#This Row],[Current Price]]/Main_L[[#This Row],[EPS]],""),"")</f>
        <v>175.07042253521126</v>
      </c>
      <c r="N2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7" s="1">
        <f>(Main_L[[#This Row],[P/FCF]]-VLOOKUP(Main_L[[#This Row],[Industry]], Mean_PFCF_L, 2, FALSE))/(VLOOKUP(Main_L[[#This Row],[Industry]], Mean_PFCF_L, 3, FALSE))</f>
        <v>0.37532744036305127</v>
      </c>
      <c r="P27" s="1">
        <f>(Main_L[[#This Row],[P/B]]-VLOOKUP(Main_L[[#This Row],[Industry]], Mean_PB_L, 2, FALSE))/(VLOOKUP(Main_L[[#This Row],[Industry]], Mean_PB_L, 3, FALSE))</f>
        <v>-0.73045637241117767</v>
      </c>
      <c r="Q27" s="1">
        <f>(Main_L[[#This Row],[ROE]]-VLOOKUP(Main_L[[#This Row],[Industry]], Mean_ROE_L, 2, FALSE))/(VLOOKUP(Main_L[[#This Row],[Industry]], Mean_ROE_L, 3, FALSE))</f>
        <v>-1.3695866166829278</v>
      </c>
      <c r="R27" s="1">
        <f>(Main_L[[#This Row],[ROA]]-VLOOKUP(Main_L[[#This Row],[Industry]], Mean_ROA_L, 2, FALSE))/(VLOOKUP(Main_L[[#This Row],[Industry]], Mean_ROA_L, 3, FALSE))</f>
        <v>-0.71817963114070704</v>
      </c>
      <c r="S27" s="1">
        <f>(Main_L[[#This Row],[A/E]]-VLOOKUP(Main_L[[#This Row],[Industry]], Mean_AE_L, 2, FALSE))/(VLOOKUP(Main_L[[#This Row],[Industry]], Mean_AE_L, 3, FALSE))</f>
        <v>1.5888598190134591</v>
      </c>
      <c r="T27" s="1">
        <f>(Main_L[[#This Row],[P/E]]-VLOOKUP(Main_L[[#This Row],[Industry]], Mean_PE_L, 2, FALSE))/(VLOOKUP(Main_L[[#This Row],[Industry]], Mean_PE_L, 3, FALSE))</f>
        <v>2.2891206364105821</v>
      </c>
      <c r="U2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8" spans="1:26" x14ac:dyDescent="0.25">
      <c r="A28" t="s">
        <v>131</v>
      </c>
      <c r="B28" t="s">
        <v>132</v>
      </c>
      <c r="C28" s="2">
        <v>13970</v>
      </c>
      <c r="D28">
        <f>RTD("tos.rtd", , "LAST", Main_L[[#This Row],[Symbol]])</f>
        <v>21.46</v>
      </c>
      <c r="E28">
        <v>1.5</v>
      </c>
      <c r="F28">
        <v>15.58</v>
      </c>
      <c r="G28">
        <v>0.76</v>
      </c>
      <c r="H28" s="1">
        <f>IF(ISNUMBER(Main_L[[#This Row],[Free CF]]),IF(Main_L[[#This Row],[Free CF]]&lt;&gt;0,Main_L[[#This Row],[Current Price]]/Main_L[[#This Row],[Free CF]],""),"")</f>
        <v>14.306666666666667</v>
      </c>
      <c r="I28" s="1">
        <f>IF(ISNUMBER(Main_L[[#This Row],[BVPS]]),IF(Main_L[[#This Row],[BVPS]]&lt;&gt;0,Main_L[[#This Row],[Current Price]]/Main_L[[#This Row],[BVPS]],""),"")</f>
        <v>1.3774069319640565</v>
      </c>
      <c r="J28">
        <v>5.21</v>
      </c>
      <c r="K28">
        <v>2.16</v>
      </c>
      <c r="L28">
        <v>1.86</v>
      </c>
      <c r="M28" s="1">
        <f>IF(ISNUMBER(Main_L[[#This Row],[EPS]]),IF(Main_L[[#This Row],[EPS]]&lt;&gt;0,Main_L[[#This Row],[Current Price]]/Main_L[[#This Row],[EPS]],""),"")</f>
        <v>28.236842105263158</v>
      </c>
      <c r="N2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8" s="1">
        <f>(Main_L[[#This Row],[P/FCF]]-VLOOKUP(Main_L[[#This Row],[Industry]], Mean_PFCF_L, 2, FALSE))/(VLOOKUP(Main_L[[#This Row],[Industry]], Mean_PFCF_L, 3, FALSE))</f>
        <v>-0.69802663637776075</v>
      </c>
      <c r="P28" s="1">
        <f>(Main_L[[#This Row],[P/B]]-VLOOKUP(Main_L[[#This Row],[Industry]], Mean_PB_L, 2, FALSE))/(VLOOKUP(Main_L[[#This Row],[Industry]], Mean_PB_L, 3, FALSE))</f>
        <v>-0.54980671887278509</v>
      </c>
      <c r="Q28" s="1">
        <f>(Main_L[[#This Row],[ROE]]-VLOOKUP(Main_L[[#This Row],[Industry]], Mean_ROE_L, 2, FALSE))/(VLOOKUP(Main_L[[#This Row],[Industry]], Mean_ROE_L, 3, FALSE))</f>
        <v>0.4843702271795936</v>
      </c>
      <c r="R28" s="1">
        <f>(Main_L[[#This Row],[ROA]]-VLOOKUP(Main_L[[#This Row],[Industry]], Mean_ROA_L, 2, FALSE))/(VLOOKUP(Main_L[[#This Row],[Industry]], Mean_ROA_L, 3, FALSE))</f>
        <v>-0.73446855653769416</v>
      </c>
      <c r="S28" s="1">
        <f>(Main_L[[#This Row],[A/E]]-VLOOKUP(Main_L[[#This Row],[Industry]], Mean_AE_L, 2, FALSE))/(VLOOKUP(Main_L[[#This Row],[Industry]], Mean_AE_L, 3, FALSE))</f>
        <v>-5.4392829322037387E-2</v>
      </c>
      <c r="T28" s="1">
        <f>(Main_L[[#This Row],[P/E]]-VLOOKUP(Main_L[[#This Row],[Industry]], Mean_PE_L, 2, FALSE))/(VLOOKUP(Main_L[[#This Row],[Industry]], Mean_PE_L, 3, FALSE))</f>
        <v>-0.53442522534221504</v>
      </c>
      <c r="U2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9" spans="1:26" x14ac:dyDescent="0.25">
      <c r="A29" t="s">
        <v>131</v>
      </c>
      <c r="B29" t="s">
        <v>133</v>
      </c>
      <c r="C29" s="2">
        <v>51240</v>
      </c>
      <c r="D29">
        <f>RTD("tos.rtd", , "LAST", Main_L[[#This Row],[Symbol]])</f>
        <v>55.06</v>
      </c>
      <c r="E29">
        <v>4.13</v>
      </c>
      <c r="F29">
        <v>43.22</v>
      </c>
      <c r="G29">
        <v>1.0900000000000001</v>
      </c>
      <c r="H29" s="1">
        <f>IF(ISNUMBER(Main_L[[#This Row],[Free CF]]),IF(Main_L[[#This Row],[Free CF]]&lt;&gt;0,Main_L[[#This Row],[Current Price]]/Main_L[[#This Row],[Free CF]],""),"")</f>
        <v>13.331719128329299</v>
      </c>
      <c r="I29" s="1">
        <f>IF(ISNUMBER(Main_L[[#This Row],[BVPS]]),IF(Main_L[[#This Row],[BVPS]]&lt;&gt;0,Main_L[[#This Row],[Current Price]]/Main_L[[#This Row],[BVPS]],""),"")</f>
        <v>1.2739472466450719</v>
      </c>
      <c r="J29">
        <v>2.5099999999999998</v>
      </c>
      <c r="K29">
        <v>2.17</v>
      </c>
      <c r="L29">
        <v>1.79</v>
      </c>
      <c r="M29" s="1">
        <f>IF(ISNUMBER(Main_L[[#This Row],[EPS]]),IF(Main_L[[#This Row],[EPS]]&lt;&gt;0,Main_L[[#This Row],[Current Price]]/Main_L[[#This Row],[EPS]],""),"")</f>
        <v>50.513761467889907</v>
      </c>
      <c r="N2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9" s="1">
        <f>(Main_L[[#This Row],[P/FCF]]-VLOOKUP(Main_L[[#This Row],[Industry]], Mean_PFCF_L, 2, FALSE))/(VLOOKUP(Main_L[[#This Row],[Industry]], Mean_PFCF_L, 3, FALSE))</f>
        <v>-1.2613160784882365</v>
      </c>
      <c r="P29" s="1">
        <f>(Main_L[[#This Row],[P/B]]-VLOOKUP(Main_L[[#This Row],[Industry]], Mean_PB_L, 2, FALSE))/(VLOOKUP(Main_L[[#This Row],[Industry]], Mean_PB_L, 3, FALSE))</f>
        <v>-0.85349569626675803</v>
      </c>
      <c r="Q29" s="1">
        <f>(Main_L[[#This Row],[ROE]]-VLOOKUP(Main_L[[#This Row],[Industry]], Mean_ROE_L, 2, FALSE))/(VLOOKUP(Main_L[[#This Row],[Industry]], Mean_ROE_L, 3, FALSE))</f>
        <v>-1.3928540982532798</v>
      </c>
      <c r="R29" s="1">
        <f>(Main_L[[#This Row],[ROA]]-VLOOKUP(Main_L[[#This Row],[Industry]], Mean_ROA_L, 2, FALSE))/(VLOOKUP(Main_L[[#This Row],[Industry]], Mean_ROA_L, 3, FALSE))</f>
        <v>-0.72779156966007885</v>
      </c>
      <c r="S29" s="1">
        <f>(Main_L[[#This Row],[A/E]]-VLOOKUP(Main_L[[#This Row],[Industry]], Mean_AE_L, 2, FALSE))/(VLOOKUP(Main_L[[#This Row],[Industry]], Mean_AE_L, 3, FALSE))</f>
        <v>-1.1966422450848733</v>
      </c>
      <c r="T29" s="1">
        <f>(Main_L[[#This Row],[P/E]]-VLOOKUP(Main_L[[#This Row],[Industry]], Mean_PE_L, 2, FALSE))/(VLOOKUP(Main_L[[#This Row],[Industry]], Mean_PE_L, 3, FALSE))</f>
        <v>1.5742211289423427</v>
      </c>
      <c r="U2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0" spans="1:26" x14ac:dyDescent="0.25">
      <c r="A30" t="s">
        <v>131</v>
      </c>
      <c r="B30" t="s">
        <v>134</v>
      </c>
      <c r="C30" s="2">
        <v>13072</v>
      </c>
      <c r="D30">
        <f>RTD("tos.rtd", , "LAST", Main_L[[#This Row],[Symbol]])</f>
        <v>73.05</v>
      </c>
      <c r="E30">
        <v>4.2300000000000004</v>
      </c>
      <c r="F30">
        <v>35.76</v>
      </c>
      <c r="G30">
        <v>2.11</v>
      </c>
      <c r="H30" s="1">
        <f>IF(ISNUMBER(Main_L[[#This Row],[Free CF]]),IF(Main_L[[#This Row],[Free CF]]&lt;&gt;0,Main_L[[#This Row],[Current Price]]/Main_L[[#This Row],[Free CF]],""),"")</f>
        <v>17.269503546099287</v>
      </c>
      <c r="I30" s="1">
        <f>IF(ISNUMBER(Main_L[[#This Row],[BVPS]]),IF(Main_L[[#This Row],[BVPS]]&lt;&gt;0,Main_L[[#This Row],[Current Price]]/Main_L[[#This Row],[BVPS]],""),"")</f>
        <v>2.0427852348993287</v>
      </c>
      <c r="J30">
        <v>5.82</v>
      </c>
      <c r="K30">
        <v>2.91</v>
      </c>
      <c r="L30">
        <v>1.94</v>
      </c>
      <c r="M30" s="1">
        <f>IF(ISNUMBER(Main_L[[#This Row],[EPS]]),IF(Main_L[[#This Row],[EPS]]&lt;&gt;0,Main_L[[#This Row],[Current Price]]/Main_L[[#This Row],[EPS]],""),"")</f>
        <v>34.620853080568722</v>
      </c>
      <c r="N3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0" s="1">
        <f>(Main_L[[#This Row],[P/FCF]]-VLOOKUP(Main_L[[#This Row],[Industry]], Mean_PFCF_L, 2, FALSE))/(VLOOKUP(Main_L[[#This Row],[Industry]], Mean_PFCF_L, 3, FALSE))</f>
        <v>1.0137934023969104</v>
      </c>
      <c r="P30" s="1">
        <f>(Main_L[[#This Row],[P/B]]-VLOOKUP(Main_L[[#This Row],[Industry]], Mean_PB_L, 2, FALSE))/(VLOOKUP(Main_L[[#This Row],[Industry]], Mean_PB_L, 3, FALSE))</f>
        <v>1.4033024151395419</v>
      </c>
      <c r="Q30" s="1">
        <f>(Main_L[[#This Row],[ROE]]-VLOOKUP(Main_L[[#This Row],[Industry]], Mean_ROE_L, 2, FALSE))/(VLOOKUP(Main_L[[#This Row],[Industry]], Mean_ROE_L, 3, FALSE))</f>
        <v>0.90848387107368733</v>
      </c>
      <c r="R30" s="1">
        <f>(Main_L[[#This Row],[ROA]]-VLOOKUP(Main_L[[#This Row],[Industry]], Mean_ROA_L, 2, FALSE))/(VLOOKUP(Main_L[[#This Row],[Industry]], Mean_ROA_L, 3, FALSE))</f>
        <v>-0.23369454071653889</v>
      </c>
      <c r="S30" s="1">
        <f>(Main_L[[#This Row],[A/E]]-VLOOKUP(Main_L[[#This Row],[Industry]], Mean_AE_L, 2, FALSE))/(VLOOKUP(Main_L[[#This Row],[Industry]], Mean_AE_L, 3, FALSE))</f>
        <v>1.2510350744069143</v>
      </c>
      <c r="T30" s="1">
        <f>(Main_L[[#This Row],[P/E]]-VLOOKUP(Main_L[[#This Row],[Industry]], Mean_PE_L, 2, FALSE))/(VLOOKUP(Main_L[[#This Row],[Industry]], Mean_PE_L, 3, FALSE))</f>
        <v>6.9860369522162805E-2</v>
      </c>
      <c r="U3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1" spans="1:26" x14ac:dyDescent="0.25">
      <c r="A31" t="s">
        <v>131</v>
      </c>
      <c r="B31" t="s">
        <v>135</v>
      </c>
      <c r="C31" s="2">
        <v>52680</v>
      </c>
      <c r="D31">
        <f>RTD("tos.rtd", , "LAST", Main_L[[#This Row],[Symbol]])</f>
        <v>160.88</v>
      </c>
      <c r="E31">
        <v>9.3800000000000008</v>
      </c>
      <c r="F31">
        <v>8.89</v>
      </c>
      <c r="G31">
        <v>7.26</v>
      </c>
      <c r="H31" s="1">
        <f>IF(ISNUMBER(Main_L[[#This Row],[Free CF]]),IF(Main_L[[#This Row],[Free CF]]&lt;&gt;0,Main_L[[#This Row],[Current Price]]/Main_L[[#This Row],[Free CF]],""),"")</f>
        <v>17.151385927505327</v>
      </c>
      <c r="I31" s="1">
        <f>IF(ISNUMBER(Main_L[[#This Row],[BVPS]]),IF(Main_L[[#This Row],[BVPS]]&lt;&gt;0,Main_L[[#This Row],[Current Price]]/Main_L[[#This Row],[BVPS]],""),"")</f>
        <v>18.096737907761529</v>
      </c>
      <c r="J31">
        <v>74.900000000000006</v>
      </c>
      <c r="K31">
        <v>5.8</v>
      </c>
      <c r="L31">
        <v>11.17</v>
      </c>
      <c r="M31" s="1">
        <f>IF(ISNUMBER(Main_L[[#This Row],[EPS]]),IF(Main_L[[#This Row],[EPS]]&lt;&gt;0,Main_L[[#This Row],[Current Price]]/Main_L[[#This Row],[EPS]],""),"")</f>
        <v>22.159779614325068</v>
      </c>
      <c r="N3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1" s="1">
        <f>(Main_L[[#This Row],[P/FCF]]-VLOOKUP(Main_L[[#This Row],[Industry]], Mean_PFCF_L, 2, FALSE))/(VLOOKUP(Main_L[[#This Row],[Industry]], Mean_PFCF_L, 3, FALSE))</f>
        <v>0.94554931246908269</v>
      </c>
      <c r="P31" s="1">
        <f>(Main_L[[#This Row],[P/B]]-VLOOKUP(Main_L[[#This Row],[Industry]], Mean_PB_L, 2, FALSE))/(VLOOKUP(Main_L[[#This Row],[Industry]], Mean_PB_L, 3, FALSE))</f>
        <v>48.527053616595524</v>
      </c>
      <c r="Q31" s="1">
        <f>(Main_L[[#This Row],[ROE]]-VLOOKUP(Main_L[[#This Row],[Industry]], Mean_ROE_L, 2, FALSE))/(VLOOKUP(Main_L[[#This Row],[Industry]], Mean_ROE_L, 3, FALSE))</f>
        <v>48.937615871408092</v>
      </c>
      <c r="R31" s="1">
        <f>(Main_L[[#This Row],[ROA]]-VLOOKUP(Main_L[[#This Row],[Industry]], Mean_ROA_L, 2, FALSE))/(VLOOKUP(Main_L[[#This Row],[Industry]], Mean_ROA_L, 3, FALSE))</f>
        <v>1.6959546669143126</v>
      </c>
      <c r="S31" s="1">
        <f>(Main_L[[#This Row],[A/E]]-VLOOKUP(Main_L[[#This Row],[Industry]], Mean_AE_L, 2, FALSE))/(VLOOKUP(Main_L[[#This Row],[Industry]], Mean_AE_L, 3, FALSE))</f>
        <v>151.86477946713498</v>
      </c>
      <c r="T31" s="1">
        <f>(Main_L[[#This Row],[P/E]]-VLOOKUP(Main_L[[#This Row],[Industry]], Mean_PE_L, 2, FALSE))/(VLOOKUP(Main_L[[#This Row],[Industry]], Mean_PE_L, 3, FALSE))</f>
        <v>-1.1096562731222905</v>
      </c>
      <c r="U3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3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3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3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2" spans="1:26" x14ac:dyDescent="0.25">
      <c r="A32" t="s">
        <v>136</v>
      </c>
      <c r="B32" t="s">
        <v>137</v>
      </c>
      <c r="C32" s="2">
        <v>12804</v>
      </c>
      <c r="D32">
        <f>RTD("tos.rtd", , "LAST", Main_L[[#This Row],[Symbol]])</f>
        <v>45.98</v>
      </c>
      <c r="E32">
        <v>3.9</v>
      </c>
      <c r="F32">
        <v>15.34</v>
      </c>
      <c r="G32">
        <v>2.83</v>
      </c>
      <c r="H32" s="1">
        <f>IF(ISNUMBER(Main_L[[#This Row],[Free CF]]),IF(Main_L[[#This Row],[Free CF]]&lt;&gt;0,Main_L[[#This Row],[Current Price]]/Main_L[[#This Row],[Free CF]],""),"")</f>
        <v>11.789743589743589</v>
      </c>
      <c r="I32" s="1">
        <f>IF(ISNUMBER(Main_L[[#This Row],[BVPS]]),IF(Main_L[[#This Row],[BVPS]]&lt;&gt;0,Main_L[[#This Row],[Current Price]]/Main_L[[#This Row],[BVPS]],""),"")</f>
        <v>2.997392438070404</v>
      </c>
      <c r="J32">
        <v>17.559999999999999</v>
      </c>
      <c r="K32">
        <v>5.9</v>
      </c>
      <c r="L32">
        <v>2.88</v>
      </c>
      <c r="M32" s="1">
        <f>IF(ISNUMBER(Main_L[[#This Row],[EPS]]),IF(Main_L[[#This Row],[EPS]]&lt;&gt;0,Main_L[[#This Row],[Current Price]]/Main_L[[#This Row],[EPS]],""),"")</f>
        <v>16.247349823321553</v>
      </c>
      <c r="N3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2" s="1">
        <f>(Main_L[[#This Row],[P/FCF]]-VLOOKUP(Main_L[[#This Row],[Industry]], Mean_PFCF_L, 2, FALSE))/(VLOOKUP(Main_L[[#This Row],[Industry]], Mean_PFCF_L, 3, FALSE))</f>
        <v>-1.4444145310594243</v>
      </c>
      <c r="P32" s="1">
        <f>(Main_L[[#This Row],[P/B]]-VLOOKUP(Main_L[[#This Row],[Industry]], Mean_PB_L, 2, FALSE))/(VLOOKUP(Main_L[[#This Row],[Industry]], Mean_PB_L, 3, FALSE))</f>
        <v>-0.17180631801846341</v>
      </c>
      <c r="Q32" s="1">
        <f>(Main_L[[#This Row],[ROE]]-VLOOKUP(Main_L[[#This Row],[Industry]], Mean_ROE_L, 2, FALSE))/(VLOOKUP(Main_L[[#This Row],[Industry]], Mean_ROE_L, 3, FALSE))</f>
        <v>0.48264999043339668</v>
      </c>
      <c r="R32" s="1">
        <f>(Main_L[[#This Row],[ROA]]-VLOOKUP(Main_L[[#This Row],[Industry]], Mean_ROA_L, 2, FALSE))/(VLOOKUP(Main_L[[#This Row],[Industry]], Mean_ROA_L, 3, FALSE))</f>
        <v>1.1123706921321646</v>
      </c>
      <c r="S32" s="1">
        <f>(Main_L[[#This Row],[A/E]]-VLOOKUP(Main_L[[#This Row],[Industry]], Mean_AE_L, 2, FALSE))/(VLOOKUP(Main_L[[#This Row],[Industry]], Mean_AE_L, 3, FALSE))</f>
        <v>0.25709266697196193</v>
      </c>
      <c r="T32" s="1">
        <f>(Main_L[[#This Row],[P/E]]-VLOOKUP(Main_L[[#This Row],[Industry]], Mean_PE_L, 2, FALSE))/(VLOOKUP(Main_L[[#This Row],[Industry]], Mean_PE_L, 3, FALSE))</f>
        <v>-0.63761245016704204</v>
      </c>
      <c r="U3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3" spans="1:26" x14ac:dyDescent="0.25">
      <c r="A33" t="s">
        <v>136</v>
      </c>
      <c r="B33" t="s">
        <v>138</v>
      </c>
      <c r="C33" s="2">
        <v>28711</v>
      </c>
      <c r="D33">
        <f>RTD("tos.rtd", , "LAST", Main_L[[#This Row],[Symbol]])</f>
        <v>97.38</v>
      </c>
      <c r="E33">
        <v>-3.43</v>
      </c>
      <c r="F33">
        <v>-2.37</v>
      </c>
      <c r="G33">
        <v>0.41</v>
      </c>
      <c r="H33" s="1">
        <f>IF(ISNUMBER(Main_L[[#This Row],[Free CF]]),IF(Main_L[[#This Row],[Free CF]]&lt;&gt;0,Main_L[[#This Row],[Current Price]]/Main_L[[#This Row],[Free CF]],""),"")</f>
        <v>-28.390670553935859</v>
      </c>
      <c r="I33" s="1">
        <f>IF(ISNUMBER(Main_L[[#This Row],[BVPS]]),IF(Main_L[[#This Row],[BVPS]]&lt;&gt;0,Main_L[[#This Row],[Current Price]]/Main_L[[#This Row],[BVPS]],""),"")</f>
        <v>-41.088607594936704</v>
      </c>
      <c r="J33">
        <v>-108.66</v>
      </c>
      <c r="K33">
        <v>4.16</v>
      </c>
      <c r="L33">
        <v>-27.72</v>
      </c>
      <c r="M33" s="1">
        <f>IF(ISNUMBER(Main_L[[#This Row],[EPS]]),IF(Main_L[[#This Row],[EPS]]&lt;&gt;0,Main_L[[#This Row],[Current Price]]/Main_L[[#This Row],[EPS]],""),"")</f>
        <v>237.51219512195121</v>
      </c>
      <c r="N3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3" s="1">
        <f>(Main_L[[#This Row],[P/FCF]]-VLOOKUP(Main_L[[#This Row],[Industry]], Mean_PFCF_L, 2, FALSE))/(VLOOKUP(Main_L[[#This Row],[Industry]], Mean_PFCF_L, 3, FALSE))</f>
        <v>-8.2733825997070181</v>
      </c>
      <c r="P33" s="1">
        <f>(Main_L[[#This Row],[P/B]]-VLOOKUP(Main_L[[#This Row],[Industry]], Mean_PB_L, 2, FALSE))/(VLOOKUP(Main_L[[#This Row],[Industry]], Mean_PB_L, 3, FALSE))</f>
        <v>-9.5987219687015255</v>
      </c>
      <c r="Q33" s="1">
        <f>(Main_L[[#This Row],[ROE]]-VLOOKUP(Main_L[[#This Row],[Industry]], Mean_ROE_L, 2, FALSE))/(VLOOKUP(Main_L[[#This Row],[Industry]], Mean_ROE_L, 3, FALSE))</f>
        <v>-8.9755213793078443</v>
      </c>
      <c r="R33" s="1">
        <f>(Main_L[[#This Row],[ROA]]-VLOOKUP(Main_L[[#This Row],[Industry]], Mean_ROA_L, 2, FALSE))/(VLOOKUP(Main_L[[#This Row],[Industry]], Mean_ROA_L, 3, FALSE))</f>
        <v>1.490806082238972E-2</v>
      </c>
      <c r="S33" s="1">
        <f>(Main_L[[#This Row],[A/E]]-VLOOKUP(Main_L[[#This Row],[Industry]], Mean_AE_L, 2, FALSE))/(VLOOKUP(Main_L[[#This Row],[Industry]], Mean_AE_L, 3, FALSE))</f>
        <v>-14.524393864150856</v>
      </c>
      <c r="T33" s="1">
        <f>(Main_L[[#This Row],[P/E]]-VLOOKUP(Main_L[[#This Row],[Industry]], Mean_PE_L, 2, FALSE))/(VLOOKUP(Main_L[[#This Row],[Industry]], Mean_PE_L, 3, FALSE))</f>
        <v>8.0925329170065101</v>
      </c>
      <c r="U3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3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3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3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3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34" spans="1:26" x14ac:dyDescent="0.25">
      <c r="A34" t="s">
        <v>136</v>
      </c>
      <c r="B34" t="s">
        <v>139</v>
      </c>
      <c r="C34" s="2">
        <v>12140</v>
      </c>
      <c r="D34">
        <f>RTD("tos.rtd", , "LAST", Main_L[[#This Row],[Symbol]])</f>
        <v>118.89</v>
      </c>
      <c r="E34">
        <v>7.53</v>
      </c>
      <c r="F34">
        <v>10.23</v>
      </c>
      <c r="G34">
        <v>3.52</v>
      </c>
      <c r="H34" s="1">
        <f>IF(ISNUMBER(Main_L[[#This Row],[Free CF]]),IF(Main_L[[#This Row],[Free CF]]&lt;&gt;0,Main_L[[#This Row],[Current Price]]/Main_L[[#This Row],[Free CF]],""),"")</f>
        <v>15.788844621513944</v>
      </c>
      <c r="I34" s="1">
        <f>IF(ISNUMBER(Main_L[[#This Row],[BVPS]]),IF(Main_L[[#This Row],[BVPS]]&lt;&gt;0,Main_L[[#This Row],[Current Price]]/Main_L[[#This Row],[BVPS]],""),"")</f>
        <v>11.621700879765395</v>
      </c>
      <c r="J34">
        <v>32.049999999999997</v>
      </c>
      <c r="K34">
        <v>5.05</v>
      </c>
      <c r="L34">
        <v>6.29</v>
      </c>
      <c r="M34" s="1">
        <f>IF(ISNUMBER(Main_L[[#This Row],[EPS]]),IF(Main_L[[#This Row],[EPS]]&lt;&gt;0,Main_L[[#This Row],[Current Price]]/Main_L[[#This Row],[EPS]],""),"")</f>
        <v>33.77556818181818</v>
      </c>
      <c r="N3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4" s="1">
        <f>(Main_L[[#This Row],[P/FCF]]-VLOOKUP(Main_L[[#This Row],[Industry]], Mean_PFCF_L, 2, FALSE))/(VLOOKUP(Main_L[[#This Row],[Industry]], Mean_PFCF_L, 3, FALSE))</f>
        <v>-0.76473678678332813</v>
      </c>
      <c r="P34" s="1">
        <f>(Main_L[[#This Row],[P/B]]-VLOOKUP(Main_L[[#This Row],[Industry]], Mean_PB_L, 2, FALSE))/(VLOOKUP(Main_L[[#This Row],[Industry]], Mean_PB_L, 3, FALSE))</f>
        <v>1.6723307813886712</v>
      </c>
      <c r="Q34" s="1">
        <f>(Main_L[[#This Row],[ROE]]-VLOOKUP(Main_L[[#This Row],[Industry]], Mean_ROE_L, 2, FALSE))/(VLOOKUP(Main_L[[#This Row],[Industry]], Mean_ROE_L, 3, FALSE))</f>
        <v>1.5684438673748529</v>
      </c>
      <c r="R34" s="1">
        <f>(Main_L[[#This Row],[ROA]]-VLOOKUP(Main_L[[#This Row],[Industry]], Mean_ROA_L, 2, FALSE))/(VLOOKUP(Main_L[[#This Row],[Industry]], Mean_ROA_L, 3, FALSE))</f>
        <v>0.57625388948083756</v>
      </c>
      <c r="S34" s="1">
        <f>(Main_L[[#This Row],[A/E]]-VLOOKUP(Main_L[[#This Row],[Industry]], Mean_AE_L, 2, FALSE))/(VLOOKUP(Main_L[[#This Row],[Industry]], Mean_AE_L, 3, FALSE))</f>
        <v>1.9043106104729035</v>
      </c>
      <c r="T34" s="1">
        <f>(Main_L[[#This Row],[P/E]]-VLOOKUP(Main_L[[#This Row],[Industry]], Mean_PE_L, 2, FALSE))/(VLOOKUP(Main_L[[#This Row],[Industry]], Mean_PE_L, 3, FALSE))</f>
        <v>5.3974566698232328E-2</v>
      </c>
      <c r="U3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5" spans="1:26" x14ac:dyDescent="0.25">
      <c r="A35" t="s">
        <v>136</v>
      </c>
      <c r="B35" t="s">
        <v>140</v>
      </c>
      <c r="C35" s="2">
        <v>33455</v>
      </c>
      <c r="D35">
        <f>RTD("tos.rtd", , "LAST", Main_L[[#This Row],[Symbol]])</f>
        <v>31.36</v>
      </c>
      <c r="E35">
        <v>2.31</v>
      </c>
      <c r="F35">
        <v>25.18</v>
      </c>
      <c r="G35">
        <v>2.5</v>
      </c>
      <c r="H35" s="1">
        <f>IF(ISNUMBER(Main_L[[#This Row],[Free CF]]),IF(Main_L[[#This Row],[Free CF]]&lt;&gt;0,Main_L[[#This Row],[Current Price]]/Main_L[[#This Row],[Free CF]],""),"")</f>
        <v>13.575757575757574</v>
      </c>
      <c r="I35" s="1">
        <f>IF(ISNUMBER(Main_L[[#This Row],[BVPS]]),IF(Main_L[[#This Row],[BVPS]]&lt;&gt;0,Main_L[[#This Row],[Current Price]]/Main_L[[#This Row],[BVPS]],""),"")</f>
        <v>1.2454328832406671</v>
      </c>
      <c r="J35">
        <v>10.119999999999999</v>
      </c>
      <c r="K35">
        <v>4.87</v>
      </c>
      <c r="L35">
        <v>1.71</v>
      </c>
      <c r="M35" s="1">
        <f>IF(ISNUMBER(Main_L[[#This Row],[EPS]]),IF(Main_L[[#This Row],[EPS]]&lt;&gt;0,Main_L[[#This Row],[Current Price]]/Main_L[[#This Row],[EPS]],""),"")</f>
        <v>12.544</v>
      </c>
      <c r="N3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5" s="1">
        <f>(Main_L[[#This Row],[P/FCF]]-VLOOKUP(Main_L[[#This Row],[Industry]], Mean_PFCF_L, 2, FALSE))/(VLOOKUP(Main_L[[#This Row],[Industry]], Mean_PFCF_L, 3, FALSE))</f>
        <v>-1.1408678220326309</v>
      </c>
      <c r="P35" s="1">
        <f>(Main_L[[#This Row],[P/B]]-VLOOKUP(Main_L[[#This Row],[Industry]], Mean_PB_L, 2, FALSE))/(VLOOKUP(Main_L[[#This Row],[Industry]], Mean_PB_L, 3, FALSE))</f>
        <v>-0.54642807854159992</v>
      </c>
      <c r="Q35" s="1">
        <f>(Main_L[[#This Row],[ROE]]-VLOOKUP(Main_L[[#This Row],[Industry]], Mean_ROE_L, 2, FALSE))/(VLOOKUP(Main_L[[#This Row],[Industry]], Mean_ROE_L, 3, FALSE))</f>
        <v>-7.4859080956833357E-2</v>
      </c>
      <c r="R35" s="1">
        <f>(Main_L[[#This Row],[ROA]]-VLOOKUP(Main_L[[#This Row],[Industry]], Mean_ROA_L, 2, FALSE))/(VLOOKUP(Main_L[[#This Row],[Industry]], Mean_ROA_L, 3, FALSE))</f>
        <v>0.46272327244879202</v>
      </c>
      <c r="S35" s="1">
        <f>(Main_L[[#This Row],[A/E]]-VLOOKUP(Main_L[[#This Row],[Industry]], Mean_AE_L, 2, FALSE))/(VLOOKUP(Main_L[[#This Row],[Industry]], Mean_AE_L, 3, FALSE))</f>
        <v>-0.30808181804155754</v>
      </c>
      <c r="T35" s="1">
        <f>(Main_L[[#This Row],[P/E]]-VLOOKUP(Main_L[[#This Row],[Industry]], Mean_PE_L, 2, FALSE))/(VLOOKUP(Main_L[[#This Row],[Industry]], Mean_PE_L, 3, FALSE))</f>
        <v>-0.78373047564668152</v>
      </c>
      <c r="U3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6" spans="1:26" x14ac:dyDescent="0.25">
      <c r="A36" t="s">
        <v>136</v>
      </c>
      <c r="B36" t="s">
        <v>141</v>
      </c>
      <c r="C36" s="2">
        <v>31244</v>
      </c>
      <c r="D36">
        <f>RTD("tos.rtd", , "LAST", Main_L[[#This Row],[Symbol]])</f>
        <v>147.02000000000001</v>
      </c>
      <c r="E36">
        <v>8.9</v>
      </c>
      <c r="F36">
        <v>65.430000000000007</v>
      </c>
      <c r="G36">
        <v>4.26</v>
      </c>
      <c r="H36" s="1">
        <f>IF(ISNUMBER(Main_L[[#This Row],[Free CF]]),IF(Main_L[[#This Row],[Free CF]]&lt;&gt;0,Main_L[[#This Row],[Current Price]]/Main_L[[#This Row],[Free CF]],""),"")</f>
        <v>16.519101123595505</v>
      </c>
      <c r="I36" s="1">
        <f>IF(ISNUMBER(Main_L[[#This Row],[BVPS]]),IF(Main_L[[#This Row],[BVPS]]&lt;&gt;0,Main_L[[#This Row],[Current Price]]/Main_L[[#This Row],[BVPS]],""),"")</f>
        <v>2.2469815069539965</v>
      </c>
      <c r="J36">
        <v>6.39</v>
      </c>
      <c r="K36">
        <v>3.33</v>
      </c>
      <c r="L36">
        <v>2.09</v>
      </c>
      <c r="M36" s="1">
        <f>IF(ISNUMBER(Main_L[[#This Row],[EPS]]),IF(Main_L[[#This Row],[EPS]]&lt;&gt;0,Main_L[[#This Row],[Current Price]]/Main_L[[#This Row],[EPS]],""),"")</f>
        <v>34.51173708920188</v>
      </c>
      <c r="N3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6" s="1">
        <f>(Main_L[[#This Row],[P/FCF]]-VLOOKUP(Main_L[[#This Row],[Industry]], Mean_PFCF_L, 2, FALSE))/(VLOOKUP(Main_L[[#This Row],[Industry]], Mean_PFCF_L, 3, FALSE))</f>
        <v>-0.64062412042790362</v>
      </c>
      <c r="P36" s="1">
        <f>(Main_L[[#This Row],[P/B]]-VLOOKUP(Main_L[[#This Row],[Industry]], Mean_PB_L, 2, FALSE))/(VLOOKUP(Main_L[[#This Row],[Industry]], Mean_PB_L, 3, FALSE))</f>
        <v>-0.332266794035534</v>
      </c>
      <c r="Q36" s="1">
        <f>(Main_L[[#This Row],[ROE]]-VLOOKUP(Main_L[[#This Row],[Industry]], Mean_ROE_L, 2, FALSE))/(VLOOKUP(Main_L[[#This Row],[Industry]], Mean_ROE_L, 3, FALSE))</f>
        <v>-0.35436295680166641</v>
      </c>
      <c r="R36" s="1">
        <f>(Main_L[[#This Row],[ROA]]-VLOOKUP(Main_L[[#This Row],[Industry]], Mean_ROA_L, 2, FALSE))/(VLOOKUP(Main_L[[#This Row],[Industry]], Mean_ROA_L, 3, FALSE))</f>
        <v>-0.50859422882537642</v>
      </c>
      <c r="S36" s="1">
        <f>(Main_L[[#This Row],[A/E]]-VLOOKUP(Main_L[[#This Row],[Industry]], Mean_AE_L, 2, FALSE))/(VLOOKUP(Main_L[[#This Row],[Industry]], Mean_AE_L, 3, FALSE))</f>
        <v>-0.12452087419101279</v>
      </c>
      <c r="T36" s="1">
        <f>(Main_L[[#This Row],[P/E]]-VLOOKUP(Main_L[[#This Row],[Industry]], Mean_PE_L, 2, FALSE))/(VLOOKUP(Main_L[[#This Row],[Industry]], Mean_PE_L, 3, FALSE))</f>
        <v>8.3020579712993092E-2</v>
      </c>
      <c r="U3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7" spans="1:26" x14ac:dyDescent="0.25">
      <c r="A37" t="s">
        <v>136</v>
      </c>
      <c r="B37" t="s">
        <v>142</v>
      </c>
      <c r="C37" s="2">
        <v>52612</v>
      </c>
      <c r="D37">
        <f>RTD("tos.rtd", , "LAST", Main_L[[#This Row],[Symbol]])</f>
        <v>302.13</v>
      </c>
      <c r="E37">
        <v>18.14</v>
      </c>
      <c r="F37">
        <v>29.73</v>
      </c>
      <c r="G37">
        <v>10.08</v>
      </c>
      <c r="H37" s="1">
        <f>IF(ISNUMBER(Main_L[[#This Row],[Free CF]]),IF(Main_L[[#This Row],[Free CF]]&lt;&gt;0,Main_L[[#This Row],[Current Price]]/Main_L[[#This Row],[Free CF]],""),"")</f>
        <v>16.65545755237045</v>
      </c>
      <c r="I37" s="1">
        <f>IF(ISNUMBER(Main_L[[#This Row],[BVPS]]),IF(Main_L[[#This Row],[BVPS]]&lt;&gt;0,Main_L[[#This Row],[Current Price]]/Main_L[[#This Row],[BVPS]],""),"")</f>
        <v>10.162462159434915</v>
      </c>
      <c r="J37">
        <v>20.12</v>
      </c>
      <c r="K37">
        <v>7.06</v>
      </c>
      <c r="L37">
        <v>3.76</v>
      </c>
      <c r="M37" s="1">
        <f>IF(ISNUMBER(Main_L[[#This Row],[EPS]]),IF(Main_L[[#This Row],[EPS]]&lt;&gt;0,Main_L[[#This Row],[Current Price]]/Main_L[[#This Row],[EPS]],""),"")</f>
        <v>29.973214285714285</v>
      </c>
      <c r="N3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7" s="1">
        <f>(Main_L[[#This Row],[P/FCF]]-VLOOKUP(Main_L[[#This Row],[Industry]], Mean_PFCF_L, 2, FALSE))/(VLOOKUP(Main_L[[#This Row],[Industry]], Mean_PFCF_L, 3, FALSE))</f>
        <v>-0.61744930459028746</v>
      </c>
      <c r="P37" s="1">
        <f>(Main_L[[#This Row],[P/B]]-VLOOKUP(Main_L[[#This Row],[Industry]], Mean_PB_L, 2, FALSE))/(VLOOKUP(Main_L[[#This Row],[Industry]], Mean_PB_L, 3, FALSE))</f>
        <v>1.3603015584955316</v>
      </c>
      <c r="Q37" s="1">
        <f>(Main_L[[#This Row],[ROE]]-VLOOKUP(Main_L[[#This Row],[Industry]], Mean_ROE_L, 2, FALSE))/(VLOOKUP(Main_L[[#This Row],[Industry]], Mean_ROE_L, 3, FALSE))</f>
        <v>0.67448106876121794</v>
      </c>
      <c r="R37" s="1">
        <f>(Main_L[[#This Row],[ROA]]-VLOOKUP(Main_L[[#This Row],[Industry]], Mean_ROA_L, 2, FALSE))/(VLOOKUP(Main_L[[#This Row],[Industry]], Mean_ROA_L, 3, FALSE))</f>
        <v>1.8440124463386807</v>
      </c>
      <c r="S37" s="1">
        <f>(Main_L[[#This Row],[A/E]]-VLOOKUP(Main_L[[#This Row],[Industry]], Mean_AE_L, 2, FALSE))/(VLOOKUP(Main_L[[#This Row],[Industry]], Mean_AE_L, 3, FALSE))</f>
        <v>0.68218116852059196</v>
      </c>
      <c r="T37" s="1">
        <f>(Main_L[[#This Row],[P/E]]-VLOOKUP(Main_L[[#This Row],[Industry]], Mean_PE_L, 2, FALSE))/(VLOOKUP(Main_L[[#This Row],[Industry]], Mean_PE_L, 3, FALSE))</f>
        <v>-9.6049727516350297E-2</v>
      </c>
      <c r="U3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8" spans="1:26" x14ac:dyDescent="0.25">
      <c r="A38" t="s">
        <v>136</v>
      </c>
      <c r="B38" t="s">
        <v>143</v>
      </c>
      <c r="C38" s="2">
        <v>102752</v>
      </c>
      <c r="D38">
        <f>RTD("tos.rtd", , "LAST", Main_L[[#This Row],[Symbol]])</f>
        <v>203.96</v>
      </c>
      <c r="E38">
        <v>11.35</v>
      </c>
      <c r="F38">
        <v>7.55</v>
      </c>
      <c r="G38">
        <v>6.18</v>
      </c>
      <c r="H38" s="1">
        <f>IF(ISNUMBER(Main_L[[#This Row],[Free CF]]),IF(Main_L[[#This Row],[Free CF]]&lt;&gt;0,Main_L[[#This Row],[Current Price]]/Main_L[[#This Row],[Free CF]],""),"")</f>
        <v>17.970044052863436</v>
      </c>
      <c r="I38" s="1">
        <f>IF(ISNUMBER(Main_L[[#This Row],[BVPS]]),IF(Main_L[[#This Row],[BVPS]]&lt;&gt;0,Main_L[[#This Row],[Current Price]]/Main_L[[#This Row],[BVPS]],""),"")</f>
        <v>27.014569536423842</v>
      </c>
      <c r="J38">
        <v>28.42</v>
      </c>
      <c r="K38">
        <v>4.53</v>
      </c>
      <c r="L38">
        <v>17.559999999999999</v>
      </c>
      <c r="M38" s="1">
        <f>IF(ISNUMBER(Main_L[[#This Row],[EPS]]),IF(Main_L[[#This Row],[EPS]]&lt;&gt;0,Main_L[[#This Row],[Current Price]]/Main_L[[#This Row],[EPS]],""),"")</f>
        <v>33.003236245954696</v>
      </c>
      <c r="N3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8" s="1">
        <f>(Main_L[[#This Row],[P/FCF]]-VLOOKUP(Main_L[[#This Row],[Industry]], Mean_PFCF_L, 2, FALSE))/(VLOOKUP(Main_L[[#This Row],[Industry]], Mean_PFCF_L, 3, FALSE))</f>
        <v>-0.39402529499097499</v>
      </c>
      <c r="P38" s="1">
        <f>(Main_L[[#This Row],[P/B]]-VLOOKUP(Main_L[[#This Row],[Industry]], Mean_PB_L, 2, FALSE))/(VLOOKUP(Main_L[[#This Row],[Industry]], Mean_PB_L, 3, FALSE))</f>
        <v>4.9637900732210154</v>
      </c>
      <c r="Q38" s="1">
        <f>(Main_L[[#This Row],[ROE]]-VLOOKUP(Main_L[[#This Row],[Industry]], Mean_ROE_L, 2, FALSE))/(VLOOKUP(Main_L[[#This Row],[Industry]], Mean_ROE_L, 3, FALSE))</f>
        <v>1.2964333930272005</v>
      </c>
      <c r="R38" s="1">
        <f>(Main_L[[#This Row],[ROA]]-VLOOKUP(Main_L[[#This Row],[Industry]], Mean_ROA_L, 2, FALSE))/(VLOOKUP(Main_L[[#This Row],[Industry]], Mean_ROA_L, 3, FALSE))</f>
        <v>0.24827655138826143</v>
      </c>
      <c r="S38" s="1">
        <f>(Main_L[[#This Row],[A/E]]-VLOOKUP(Main_L[[#This Row],[Industry]], Mean_AE_L, 2, FALSE))/(VLOOKUP(Main_L[[#This Row],[Industry]], Mean_AE_L, 3, FALSE))</f>
        <v>7.3483417609877444</v>
      </c>
      <c r="T38" s="1">
        <f>(Main_L[[#This Row],[P/E]]-VLOOKUP(Main_L[[#This Row],[Industry]], Mean_PE_L, 2, FALSE))/(VLOOKUP(Main_L[[#This Row],[Industry]], Mean_PE_L, 3, FALSE))</f>
        <v>2.3501718367090165E-2</v>
      </c>
      <c r="U3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3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3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9" spans="1:26" x14ac:dyDescent="0.25">
      <c r="A39" t="s">
        <v>136</v>
      </c>
      <c r="B39" t="s">
        <v>144</v>
      </c>
      <c r="C39" s="2">
        <v>45612</v>
      </c>
      <c r="D39">
        <f>RTD("tos.rtd", , "LAST", Main_L[[#This Row],[Symbol]])</f>
        <v>98.32</v>
      </c>
      <c r="E39">
        <v>4.08</v>
      </c>
      <c r="F39">
        <v>-2.88</v>
      </c>
      <c r="G39">
        <v>-9.01</v>
      </c>
      <c r="H39" s="1">
        <f>IF(ISNUMBER(Main_L[[#This Row],[Free CF]]),IF(Main_L[[#This Row],[Free CF]]&lt;&gt;0,Main_L[[#This Row],[Current Price]]/Main_L[[#This Row],[Free CF]],""),"")</f>
        <v>24.098039215686274</v>
      </c>
      <c r="I39" s="1">
        <f>IF(ISNUMBER(Main_L[[#This Row],[BVPS]]),IF(Main_L[[#This Row],[BVPS]]&lt;&gt;0,Main_L[[#This Row],[Current Price]]/Main_L[[#This Row],[BVPS]],""),"")</f>
        <v>-34.138888888888886</v>
      </c>
      <c r="J39">
        <v>-163.21</v>
      </c>
      <c r="K39">
        <v>4.04</v>
      </c>
      <c r="L39">
        <v>-25.35</v>
      </c>
      <c r="M39" s="1">
        <f>IF(ISNUMBER(Main_L[[#This Row],[EPS]]),IF(Main_L[[#This Row],[EPS]]&lt;&gt;0,Main_L[[#This Row],[Current Price]]/Main_L[[#This Row],[EPS]],""),"")</f>
        <v>-10.912319644839068</v>
      </c>
      <c r="N3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9" s="1">
        <f>(Main_L[[#This Row],[P/FCF]]-VLOOKUP(Main_L[[#This Row],[Industry]], Mean_PFCF_L, 2, FALSE))/(VLOOKUP(Main_L[[#This Row],[Industry]], Mean_PFCF_L, 3, FALSE))</f>
        <v>0.64747425606148534</v>
      </c>
      <c r="P39" s="1">
        <f>(Main_L[[#This Row],[P/B]]-VLOOKUP(Main_L[[#This Row],[Industry]], Mean_PB_L, 2, FALSE))/(VLOOKUP(Main_L[[#This Row],[Industry]], Mean_PB_L, 3, FALSE))</f>
        <v>-8.1126626303892166</v>
      </c>
      <c r="Q39" s="1">
        <f>(Main_L[[#This Row],[ROE]]-VLOOKUP(Main_L[[#This Row],[Industry]], Mean_ROE_L, 2, FALSE))/(VLOOKUP(Main_L[[#This Row],[Industry]], Mean_ROE_L, 3, FALSE))</f>
        <v>-13.063171896019815</v>
      </c>
      <c r="R39" s="1">
        <f>(Main_L[[#This Row],[ROA]]-VLOOKUP(Main_L[[#This Row],[Industry]], Mean_ROA_L, 2, FALSE))/(VLOOKUP(Main_L[[#This Row],[Industry]], Mean_ROA_L, 3, FALSE))</f>
        <v>-6.077901719897412E-2</v>
      </c>
      <c r="S39" s="1">
        <f>(Main_L[[#This Row],[A/E]]-VLOOKUP(Main_L[[#This Row],[Industry]], Mean_AE_L, 2, FALSE))/(VLOOKUP(Main_L[[#This Row],[Industry]], Mean_AE_L, 3, FALSE))</f>
        <v>-13.379553240661933</v>
      </c>
      <c r="T39" s="1">
        <f>(Main_L[[#This Row],[P/E]]-VLOOKUP(Main_L[[#This Row],[Industry]], Mean_PE_L, 2, FALSE))/(VLOOKUP(Main_L[[#This Row],[Industry]], Mean_PE_L, 3, FALSE))</f>
        <v>-1.7092145036311395</v>
      </c>
      <c r="U3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3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3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3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0" spans="1:26" x14ac:dyDescent="0.25">
      <c r="A40" t="s">
        <v>136</v>
      </c>
      <c r="B40" t="s">
        <v>145</v>
      </c>
      <c r="C40" s="2">
        <v>25820</v>
      </c>
      <c r="D40">
        <f>RTD("tos.rtd", , "LAST", Main_L[[#This Row],[Symbol]])</f>
        <v>225.82</v>
      </c>
      <c r="E40">
        <v>7.79</v>
      </c>
      <c r="F40">
        <v>-46.01</v>
      </c>
      <c r="G40">
        <v>7.56</v>
      </c>
      <c r="H40" s="1">
        <f>IF(ISNUMBER(Main_L[[#This Row],[Free CF]]),IF(Main_L[[#This Row],[Free CF]]&lt;&gt;0,Main_L[[#This Row],[Current Price]]/Main_L[[#This Row],[Free CF]],""),"")</f>
        <v>28.988446726572526</v>
      </c>
      <c r="I40" s="1">
        <f>IF(ISNUMBER(Main_L[[#This Row],[BVPS]]),IF(Main_L[[#This Row],[BVPS]]&lt;&gt;0,Main_L[[#This Row],[Current Price]]/Main_L[[#This Row],[BVPS]],""),"")</f>
        <v>-4.9080634644642469</v>
      </c>
      <c r="J40">
        <v>-16.09</v>
      </c>
      <c r="K40">
        <v>9.36</v>
      </c>
      <c r="L40">
        <v>-2.1</v>
      </c>
      <c r="M40" s="1">
        <f>IF(ISNUMBER(Main_L[[#This Row],[EPS]]),IF(Main_L[[#This Row],[EPS]]&lt;&gt;0,Main_L[[#This Row],[Current Price]]/Main_L[[#This Row],[EPS]],""),"")</f>
        <v>29.87037037037037</v>
      </c>
      <c r="N4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0" s="1">
        <f>(Main_L[[#This Row],[P/FCF]]-VLOOKUP(Main_L[[#This Row],[Industry]], Mean_PFCF_L, 2, FALSE))/(VLOOKUP(Main_L[[#This Row],[Industry]], Mean_PFCF_L, 3, FALSE))</f>
        <v>1.478636339535679</v>
      </c>
      <c r="P40" s="1">
        <f>(Main_L[[#This Row],[P/B]]-VLOOKUP(Main_L[[#This Row],[Industry]], Mean_PB_L, 2, FALSE))/(VLOOKUP(Main_L[[#This Row],[Industry]], Mean_PB_L, 3, FALSE))</f>
        <v>-1.8622310768442281</v>
      </c>
      <c r="Q40" s="1">
        <f>(Main_L[[#This Row],[ROE]]-VLOOKUP(Main_L[[#This Row],[Industry]], Mean_ROE_L, 2, FALSE))/(VLOOKUP(Main_L[[#This Row],[Industry]], Mean_ROE_L, 3, FALSE))</f>
        <v>-2.0388796133678455</v>
      </c>
      <c r="R40" s="1">
        <f>(Main_L[[#This Row],[ROA]]-VLOOKUP(Main_L[[#This Row],[Industry]], Mean_ROA_L, 2, FALSE))/(VLOOKUP(Main_L[[#This Row],[Industry]], Mean_ROA_L, 3, FALSE))</f>
        <v>3.2946814417481529</v>
      </c>
      <c r="S40" s="1">
        <f>(Main_L[[#This Row],[A/E]]-VLOOKUP(Main_L[[#This Row],[Industry]], Mean_AE_L, 2, FALSE))/(VLOOKUP(Main_L[[#This Row],[Industry]], Mean_AE_L, 3, FALSE))</f>
        <v>-2.1485218077009671</v>
      </c>
      <c r="T40" s="1">
        <f>(Main_L[[#This Row],[P/E]]-VLOOKUP(Main_L[[#This Row],[Industry]], Mean_PE_L, 2, FALSE))/(VLOOKUP(Main_L[[#This Row],[Industry]], Mean_PE_L, 3, FALSE))</f>
        <v>-0.10010749968467597</v>
      </c>
      <c r="U4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4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1" spans="1:26" x14ac:dyDescent="0.25">
      <c r="A41" t="s">
        <v>136</v>
      </c>
      <c r="B41" t="s">
        <v>146</v>
      </c>
      <c r="C41" s="2">
        <v>18737</v>
      </c>
      <c r="D41">
        <f>RTD("tos.rtd", , "LAST", Main_L[[#This Row],[Symbol]])</f>
        <v>26.69</v>
      </c>
      <c r="E41">
        <v>0.89</v>
      </c>
      <c r="F41">
        <v>13.29</v>
      </c>
      <c r="G41">
        <v>0.49</v>
      </c>
      <c r="H41" s="1">
        <f>IF(ISNUMBER(Main_L[[#This Row],[Free CF]]),IF(Main_L[[#This Row],[Free CF]]&lt;&gt;0,Main_L[[#This Row],[Current Price]]/Main_L[[#This Row],[Free CF]],""),"")</f>
        <v>29.988764044943821</v>
      </c>
      <c r="I41" s="1">
        <f>IF(ISNUMBER(Main_L[[#This Row],[BVPS]]),IF(Main_L[[#This Row],[BVPS]]&lt;&gt;0,Main_L[[#This Row],[Current Price]]/Main_L[[#This Row],[BVPS]],""),"")</f>
        <v>2.0082768999247556</v>
      </c>
      <c r="J41">
        <v>3.71</v>
      </c>
      <c r="K41">
        <v>2.4</v>
      </c>
      <c r="L41">
        <v>1.71</v>
      </c>
      <c r="M41" s="1">
        <f>IF(ISNUMBER(Main_L[[#This Row],[EPS]]),IF(Main_L[[#This Row],[EPS]]&lt;&gt;0,Main_L[[#This Row],[Current Price]]/Main_L[[#This Row],[EPS]],""),"")</f>
        <v>54.469387755102048</v>
      </c>
      <c r="N4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1" s="1">
        <f>(Main_L[[#This Row],[P/FCF]]-VLOOKUP(Main_L[[#This Row],[Industry]], Mean_PFCF_L, 2, FALSE))/(VLOOKUP(Main_L[[#This Row],[Industry]], Mean_PFCF_L, 3, FALSE))</f>
        <v>1.6486479029119447</v>
      </c>
      <c r="P41" s="1">
        <f>(Main_L[[#This Row],[P/B]]-VLOOKUP(Main_L[[#This Row],[Industry]], Mean_PB_L, 2, FALSE))/(VLOOKUP(Main_L[[#This Row],[Industry]], Mean_PB_L, 3, FALSE))</f>
        <v>-0.38330903407113137</v>
      </c>
      <c r="Q41" s="1">
        <f>(Main_L[[#This Row],[ROE]]-VLOOKUP(Main_L[[#This Row],[Industry]], Mean_ROE_L, 2, FALSE))/(VLOOKUP(Main_L[[#This Row],[Industry]], Mean_ROE_L, 3, FALSE))</f>
        <v>-0.55518611692610409</v>
      </c>
      <c r="R41" s="1">
        <f>(Main_L[[#This Row],[ROA]]-VLOOKUP(Main_L[[#This Row],[Industry]], Mean_ROA_L, 2, FALSE))/(VLOOKUP(Main_L[[#This Row],[Industry]], Mean_ROA_L, 3, FALSE))</f>
        <v>-1.0951690834909458</v>
      </c>
      <c r="S41" s="1">
        <f>(Main_L[[#This Row],[A/E]]-VLOOKUP(Main_L[[#This Row],[Industry]], Mean_AE_L, 2, FALSE))/(VLOOKUP(Main_L[[#This Row],[Industry]], Mean_AE_L, 3, FALSE))</f>
        <v>-0.30808181804155754</v>
      </c>
      <c r="T41" s="1">
        <f>(Main_L[[#This Row],[P/E]]-VLOOKUP(Main_L[[#This Row],[Industry]], Mean_PE_L, 2, FALSE))/(VLOOKUP(Main_L[[#This Row],[Industry]], Mean_PE_L, 3, FALSE))</f>
        <v>0.87046239526856872</v>
      </c>
      <c r="U4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2" spans="1:26" x14ac:dyDescent="0.25">
      <c r="A42" t="s">
        <v>136</v>
      </c>
      <c r="B42" t="s">
        <v>147</v>
      </c>
      <c r="C42" s="2">
        <v>56305</v>
      </c>
      <c r="D42">
        <f>RTD("tos.rtd", , "LAST", Main_L[[#This Row],[Symbol]])</f>
        <v>165.8</v>
      </c>
      <c r="E42">
        <v>7.01</v>
      </c>
      <c r="F42">
        <v>61.07</v>
      </c>
      <c r="G42">
        <v>1.08</v>
      </c>
      <c r="H42" s="1">
        <f>IF(ISNUMBER(Main_L[[#This Row],[Free CF]]),IF(Main_L[[#This Row],[Free CF]]&lt;&gt;0,Main_L[[#This Row],[Current Price]]/Main_L[[#This Row],[Free CF]],""),"")</f>
        <v>23.651925820256778</v>
      </c>
      <c r="I42" s="1">
        <f>IF(ISNUMBER(Main_L[[#This Row],[BVPS]]),IF(Main_L[[#This Row],[BVPS]]&lt;&gt;0,Main_L[[#This Row],[Current Price]]/Main_L[[#This Row],[BVPS]],""),"")</f>
        <v>2.7149173080072049</v>
      </c>
      <c r="J42">
        <v>1.85</v>
      </c>
      <c r="K42">
        <v>1</v>
      </c>
      <c r="L42">
        <v>2.19</v>
      </c>
      <c r="M42" s="1">
        <f>IF(ISNUMBER(Main_L[[#This Row],[EPS]]),IF(Main_L[[#This Row],[EPS]]&lt;&gt;0,Main_L[[#This Row],[Current Price]]/Main_L[[#This Row],[EPS]],""),"")</f>
        <v>153.5185185185185</v>
      </c>
      <c r="N4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2" s="1">
        <f>(Main_L[[#This Row],[P/FCF]]-VLOOKUP(Main_L[[#This Row],[Industry]], Mean_PFCF_L, 2, FALSE))/(VLOOKUP(Main_L[[#This Row],[Industry]], Mean_PFCF_L, 3, FALSE))</f>
        <v>0.5716538794598367</v>
      </c>
      <c r="P42" s="1">
        <f>(Main_L[[#This Row],[P/B]]-VLOOKUP(Main_L[[#This Row],[Industry]], Mean_PB_L, 2, FALSE))/(VLOOKUP(Main_L[[#This Row],[Industry]], Mean_PB_L, 3, FALSE))</f>
        <v>-0.23220801521321502</v>
      </c>
      <c r="Q42" s="1">
        <f>(Main_L[[#This Row],[ROE]]-VLOOKUP(Main_L[[#This Row],[Industry]], Mean_ROE_L, 2, FALSE))/(VLOOKUP(Main_L[[#This Row],[Industry]], Mean_ROE_L, 3, FALSE))</f>
        <v>-0.69456338477366164</v>
      </c>
      <c r="R42" s="1">
        <f>(Main_L[[#This Row],[ROA]]-VLOOKUP(Main_L[[#This Row],[Industry]], Mean_ROA_L, 2, FALSE))/(VLOOKUP(Main_L[[#This Row],[Industry]], Mean_ROA_L, 3, FALSE))</f>
        <v>-1.9781849937401899</v>
      </c>
      <c r="S42" s="1">
        <f>(Main_L[[#This Row],[A/E]]-VLOOKUP(Main_L[[#This Row],[Industry]], Mean_AE_L, 2, FALSE))/(VLOOKUP(Main_L[[#This Row],[Industry]], Mean_AE_L, 3, FALSE))</f>
        <v>-7.6215362651395696E-2</v>
      </c>
      <c r="T42" s="1">
        <f>(Main_L[[#This Row],[P/E]]-VLOOKUP(Main_L[[#This Row],[Industry]], Mean_PE_L, 2, FALSE))/(VLOOKUP(Main_L[[#This Row],[Industry]], Mean_PE_L, 3, FALSE))</f>
        <v>4.7785089215468348</v>
      </c>
      <c r="U4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43" spans="1:26" x14ac:dyDescent="0.25">
      <c r="A43" t="s">
        <v>136</v>
      </c>
      <c r="B43" t="s">
        <v>148</v>
      </c>
      <c r="C43" s="2">
        <v>85345</v>
      </c>
      <c r="D43">
        <f>RTD("tos.rtd", , "LAST", Main_L[[#This Row],[Symbol]])</f>
        <v>868.79</v>
      </c>
      <c r="E43">
        <v>35.979999999999997</v>
      </c>
      <c r="F43">
        <v>141.99</v>
      </c>
      <c r="G43">
        <v>9.59</v>
      </c>
      <c r="H43" s="1">
        <f>IF(ISNUMBER(Main_L[[#This Row],[Free CF]]),IF(Main_L[[#This Row],[Free CF]]&lt;&gt;0,Main_L[[#This Row],[Current Price]]/Main_L[[#This Row],[Free CF]],""),"")</f>
        <v>24.146470261256255</v>
      </c>
      <c r="I43" s="1">
        <f>IF(ISNUMBER(Main_L[[#This Row],[BVPS]]),IF(Main_L[[#This Row],[BVPS]]&lt;&gt;0,Main_L[[#This Row],[Current Price]]/Main_L[[#This Row],[BVPS]],""),"")</f>
        <v>6.1186703288964006</v>
      </c>
      <c r="J43">
        <v>7.06</v>
      </c>
      <c r="K43">
        <v>3.16</v>
      </c>
      <c r="L43">
        <v>2.6</v>
      </c>
      <c r="M43" s="1">
        <f>IF(ISNUMBER(Main_L[[#This Row],[EPS]]),IF(Main_L[[#This Row],[EPS]]&lt;&gt;0,Main_L[[#This Row],[Current Price]]/Main_L[[#This Row],[EPS]],""),"")</f>
        <v>90.593326381647543</v>
      </c>
      <c r="N4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3" s="1">
        <f>(Main_L[[#This Row],[P/FCF]]-VLOOKUP(Main_L[[#This Row],[Industry]], Mean_PFCF_L, 2, FALSE))/(VLOOKUP(Main_L[[#This Row],[Industry]], Mean_PFCF_L, 3, FALSE))</f>
        <v>0.65570548191560307</v>
      </c>
      <c r="P43" s="1">
        <f>(Main_L[[#This Row],[P/B]]-VLOOKUP(Main_L[[#This Row],[Industry]], Mean_PB_L, 2, FALSE))/(VLOOKUP(Main_L[[#This Row],[Industry]], Mean_PB_L, 3, FALSE))</f>
        <v>0.49561697683996997</v>
      </c>
      <c r="Q43" s="1">
        <f>(Main_L[[#This Row],[ROE]]-VLOOKUP(Main_L[[#This Row],[Industry]], Mean_ROE_L, 2, FALSE))/(VLOOKUP(Main_L[[#This Row],[Industry]], Mean_ROE_L, 3, FALSE))</f>
        <v>-0.30415716677055699</v>
      </c>
      <c r="R43" s="1">
        <f>(Main_L[[#This Row],[ROA]]-VLOOKUP(Main_L[[#This Row],[Industry]], Mean_ROA_L, 2, FALSE))/(VLOOKUP(Main_L[[#This Row],[Industry]], Mean_ROA_L, 3, FALSE))</f>
        <v>-0.61581758935564179</v>
      </c>
      <c r="S43" s="1">
        <f>(Main_L[[#This Row],[A/E]]-VLOOKUP(Main_L[[#This Row],[Industry]], Mean_AE_L, 2, FALSE))/(VLOOKUP(Main_L[[#This Row],[Industry]], Mean_AE_L, 3, FALSE))</f>
        <v>0.12183723466103429</v>
      </c>
      <c r="T43" s="1">
        <f>(Main_L[[#This Row],[P/E]]-VLOOKUP(Main_L[[#This Row],[Industry]], Mean_PE_L, 2, FALSE))/(VLOOKUP(Main_L[[#This Row],[Industry]], Mean_PE_L, 3, FALSE))</f>
        <v>2.2957553965990019</v>
      </c>
      <c r="U4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EE163-3A46-4293-9585-D09BA5F26B8C}">
  <sheetPr codeName="Sheet3"/>
  <dimension ref="A1:Z54"/>
  <sheetViews>
    <sheetView topLeftCell="H1" workbookViewId="0">
      <selection activeCell="B24" sqref="B24"/>
    </sheetView>
  </sheetViews>
  <sheetFormatPr defaultRowHeight="15" x14ac:dyDescent="0.25"/>
  <cols>
    <col min="1" max="1" width="36.85546875" bestFit="1" customWidth="1"/>
    <col min="2" max="2" width="10" bestFit="1" customWidth="1"/>
    <col min="3" max="3" width="17" style="2" bestFit="1" customWidth="1"/>
    <col min="4" max="4" width="32.42578125" bestFit="1" customWidth="1"/>
    <col min="5" max="5" width="10.140625" bestFit="1" customWidth="1"/>
    <col min="6" max="6" width="7.85546875" bestFit="1" customWidth="1"/>
    <col min="7" max="7" width="6.7109375" bestFit="1" customWidth="1"/>
    <col min="8" max="8" width="75.85546875" bestFit="1" customWidth="1"/>
    <col min="9" max="9" width="66.42578125" bestFit="1" customWidth="1"/>
    <col min="10" max="11" width="7.140625" bestFit="1" customWidth="1"/>
    <col min="12" max="12" width="6.28515625" bestFit="1" customWidth="1"/>
    <col min="13" max="13" width="62.42578125" bestFit="1" customWidth="1"/>
    <col min="14" max="14" width="21.140625" bestFit="1" customWidth="1"/>
    <col min="15" max="15" width="16" bestFit="1" customWidth="1"/>
    <col min="16" max="16" width="13.5703125" bestFit="1" customWidth="1"/>
    <col min="17" max="18" width="14.42578125" bestFit="1" customWidth="1"/>
    <col min="19" max="20" width="13.5703125" bestFit="1" customWidth="1"/>
    <col min="21" max="21" width="15.42578125" bestFit="1" customWidth="1"/>
    <col min="22" max="22" width="13" bestFit="1" customWidth="1"/>
    <col min="23" max="24" width="13.85546875" bestFit="1" customWidth="1"/>
    <col min="25" max="28" width="13" bestFit="1" customWidth="1"/>
    <col min="30" max="30" width="13" bestFit="1" customWidth="1"/>
  </cols>
  <sheetData>
    <row r="1" spans="1:26" x14ac:dyDescent="0.25">
      <c r="A1" t="s">
        <v>1</v>
      </c>
      <c r="B1" t="s">
        <v>24</v>
      </c>
      <c r="C1" s="2" t="s">
        <v>54</v>
      </c>
      <c r="D1" t="s">
        <v>25</v>
      </c>
      <c r="E1" t="s">
        <v>26</v>
      </c>
      <c r="F1" t="s">
        <v>27</v>
      </c>
      <c r="G1" t="s">
        <v>28</v>
      </c>
      <c r="H1" s="1" t="s">
        <v>29</v>
      </c>
      <c r="I1" t="s">
        <v>71</v>
      </c>
      <c r="J1" t="s">
        <v>30</v>
      </c>
      <c r="K1" t="s">
        <v>31</v>
      </c>
      <c r="L1" t="s">
        <v>33</v>
      </c>
      <c r="M1" t="s">
        <v>32</v>
      </c>
      <c r="N1" t="s">
        <v>34</v>
      </c>
      <c r="O1" t="s">
        <v>90</v>
      </c>
      <c r="P1" t="s">
        <v>91</v>
      </c>
      <c r="Q1" t="s">
        <v>92</v>
      </c>
      <c r="R1" t="s">
        <v>93</v>
      </c>
      <c r="S1" t="s">
        <v>94</v>
      </c>
      <c r="T1" t="s">
        <v>95</v>
      </c>
      <c r="U1" t="s">
        <v>35</v>
      </c>
      <c r="V1" t="s">
        <v>76</v>
      </c>
      <c r="W1" t="s">
        <v>36</v>
      </c>
      <c r="X1" t="s">
        <v>37</v>
      </c>
      <c r="Y1" t="s">
        <v>39</v>
      </c>
      <c r="Z1" t="s">
        <v>38</v>
      </c>
    </row>
    <row r="2" spans="1:26" x14ac:dyDescent="0.25">
      <c r="A2" t="s">
        <v>105</v>
      </c>
      <c r="B2" t="s">
        <v>156</v>
      </c>
      <c r="C2" s="2">
        <v>3076</v>
      </c>
      <c r="D2">
        <f>RTD("tos.rtd", , "LAST", Main_M[[#This Row],[Symbol]])</f>
        <v>15.97</v>
      </c>
      <c r="E2">
        <v>1.33</v>
      </c>
      <c r="F2">
        <v>15.6</v>
      </c>
      <c r="G2">
        <v>0.6</v>
      </c>
      <c r="H2" s="1">
        <f>IF(ISNUMBER(Main_M[[#This Row],[Free CF]]),IF(Main_M[[#This Row],[Free CF]]&lt;&gt;0,Main_M[[#This Row],[Current Price]]/Main_M[[#This Row],[Free CF]],""),"")</f>
        <v>12.007518796992482</v>
      </c>
      <c r="I2" s="1">
        <f>IF(ISNUMBER(Main_M[[#This Row],[BVPS]]),IF(Main_M[[#This Row],[BVPS]]&lt;&gt;0,Main_M[[#This Row],[Current Price]]/Main_M[[#This Row],[BVPS]],""),"")</f>
        <v>1.0237179487179489</v>
      </c>
      <c r="J2">
        <v>3.76</v>
      </c>
      <c r="K2">
        <v>2.58</v>
      </c>
      <c r="L2">
        <v>1.78</v>
      </c>
      <c r="M2" s="1">
        <f>IF(ISNUMBER(Main_M[[#This Row],[EPS]]),IF(Main_M[[#This Row],[EPS]]&lt;&gt;0,Main_M[[#This Row],[Current Price]]/Main_M[[#This Row],[EPS]],""),"")</f>
        <v>26.616666666666667</v>
      </c>
      <c r="N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" s="1">
        <f>(Main_M[[#This Row],[P/FCF]]-VLOOKUP(Main_M[[#This Row],[Industry]], Mean_PFCF_M, 2, FALSE))/(VLOOKUP(Main_M[[#This Row],[Industry]], Mean_PFCF_M, 3, FALSE))</f>
        <v>-0.99999999999999933</v>
      </c>
      <c r="P2" s="1">
        <f>(Main_M[[#This Row],[P/B]]-VLOOKUP(Main_M[[#This Row],[Industry]], Mean_PB_M, 2, FALSE))/(VLOOKUP(Main_M[[#This Row],[Industry]], Mean_PB_M, 3, FALSE))</f>
        <v>-1.0000000000000024</v>
      </c>
      <c r="Q2" s="1">
        <f>(Main_M[[#This Row],[ROE]]-VLOOKUP(Main_M[[#This Row],[Industry]], Mean_ROE_M, 2, FALSE))/(VLOOKUP(Main_M[[#This Row],[Industry]], Mean_ROE_M, 3, FALSE))</f>
        <v>-0.99999999999999944</v>
      </c>
      <c r="R2" s="1">
        <f>(Main_M[[#This Row],[ROA]]-VLOOKUP(Main_M[[#This Row],[Industry]], Mean_ROA_M, 2, FALSE))/(VLOOKUP(Main_M[[#This Row],[Industry]], Mean_ROA_M, 3, FALSE))</f>
        <v>-1.000000000000002</v>
      </c>
      <c r="S2" s="1">
        <f>(Main_M[[#This Row],[A/E]]-VLOOKUP(Main_M[[#This Row],[Industry]], Mean_AE_M, 2, FALSE))/(VLOOKUP(Main_M[[#This Row],[Industry]], Mean_AE_M, 3, FALSE))</f>
        <v>1.0000000000000087</v>
      </c>
      <c r="T2" s="1">
        <f>(Main_M[[#This Row],[P/E]]-VLOOKUP(Main_M[[#This Row],[Industry]], Mean_PE_M, 2, FALSE))/(VLOOKUP(Main_M[[#This Row],[Industry]], Mean_PE_M, 3, FALSE))</f>
        <v>-1.00000000000001</v>
      </c>
      <c r="U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" spans="1:26" x14ac:dyDescent="0.25">
      <c r="A3" t="s">
        <v>105</v>
      </c>
      <c r="B3" t="s">
        <v>157</v>
      </c>
      <c r="C3" s="2">
        <v>6279</v>
      </c>
      <c r="D3">
        <f>RTD("tos.rtd", , "LAST", Main_M[[#This Row],[Symbol]])</f>
        <v>31.43</v>
      </c>
      <c r="E3">
        <v>1.78</v>
      </c>
      <c r="F3">
        <v>19.32</v>
      </c>
      <c r="G3">
        <v>1.1599999999999999</v>
      </c>
      <c r="H3" s="1">
        <f>IF(ISNUMBER(Main_M[[#This Row],[Free CF]]),IF(Main_M[[#This Row],[Free CF]]&lt;&gt;0,Main_M[[#This Row],[Current Price]]/Main_M[[#This Row],[Free CF]],""),"")</f>
        <v>17.657303370786515</v>
      </c>
      <c r="I3" s="1">
        <f>IF(ISNUMBER(Main_M[[#This Row],[BVPS]]),IF(Main_M[[#This Row],[BVPS]]&lt;&gt;0,Main_M[[#This Row],[Current Price]]/Main_M[[#This Row],[BVPS]],""),"")</f>
        <v>1.6268115942028984</v>
      </c>
      <c r="J3">
        <v>6.02</v>
      </c>
      <c r="K3">
        <v>3.42</v>
      </c>
      <c r="L3">
        <v>1.59</v>
      </c>
      <c r="M3" s="1">
        <f>IF(ISNUMBER(Main_M[[#This Row],[EPS]]),IF(Main_M[[#This Row],[EPS]]&lt;&gt;0,Main_M[[#This Row],[Current Price]]/Main_M[[#This Row],[EPS]],""),"")</f>
        <v>27.094827586206897</v>
      </c>
      <c r="N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" s="1">
        <f>(Main_M[[#This Row],[P/FCF]]-VLOOKUP(Main_M[[#This Row],[Industry]], Mean_PFCF_M, 2, FALSE))/(VLOOKUP(Main_M[[#This Row],[Industry]], Mean_PFCF_M, 3, FALSE))</f>
        <v>0.99999999999999933</v>
      </c>
      <c r="P3" s="1">
        <f>(Main_M[[#This Row],[P/B]]-VLOOKUP(Main_M[[#This Row],[Industry]], Mean_PB_M, 2, FALSE))/(VLOOKUP(Main_M[[#This Row],[Industry]], Mean_PB_M, 3, FALSE))</f>
        <v>1.0000000000000016</v>
      </c>
      <c r="Q3" s="1">
        <f>(Main_M[[#This Row],[ROE]]-VLOOKUP(Main_M[[#This Row],[Industry]], Mean_ROE_M, 2, FALSE))/(VLOOKUP(Main_M[[#This Row],[Industry]], Mean_ROE_M, 3, FALSE))</f>
        <v>0.99999999999999944</v>
      </c>
      <c r="R3" s="1">
        <f>(Main_M[[#This Row],[ROA]]-VLOOKUP(Main_M[[#This Row],[Industry]], Mean_ROA_M, 2, FALSE))/(VLOOKUP(Main_M[[#This Row],[Industry]], Mean_ROA_M, 3, FALSE))</f>
        <v>1.000000000000002</v>
      </c>
      <c r="S3" s="1">
        <f>(Main_M[[#This Row],[A/E]]-VLOOKUP(Main_M[[#This Row],[Industry]], Mean_AE_M, 2, FALSE))/(VLOOKUP(Main_M[[#This Row],[Industry]], Mean_AE_M, 3, FALSE))</f>
        <v>-1.0000000000000087</v>
      </c>
      <c r="T3" s="1">
        <f>(Main_M[[#This Row],[P/E]]-VLOOKUP(Main_M[[#This Row],[Industry]], Mean_PE_M, 2, FALSE))/(VLOOKUP(Main_M[[#This Row],[Industry]], Mean_PE_M, 3, FALSE))</f>
        <v>1.00000000000001</v>
      </c>
      <c r="U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" spans="1:26" x14ac:dyDescent="0.25">
      <c r="A4" t="s">
        <v>114</v>
      </c>
      <c r="B4" t="s">
        <v>174</v>
      </c>
      <c r="C4" s="2">
        <v>5183</v>
      </c>
      <c r="D4">
        <f>RTD("tos.rtd", , "LAST", Main_M[[#This Row],[Symbol]])</f>
        <v>34.630000000000003</v>
      </c>
      <c r="E4">
        <v>0.64</v>
      </c>
      <c r="F4">
        <v>14.36</v>
      </c>
      <c r="G4">
        <v>-0.28999999999999998</v>
      </c>
      <c r="H4" s="1">
        <f>IF(ISNUMBER(Main_M[[#This Row],[Free CF]]),IF(Main_M[[#This Row],[Free CF]]&lt;&gt;0,Main_M[[#This Row],[Current Price]]/Main_M[[#This Row],[Free CF]],""),"")</f>
        <v>54.109375</v>
      </c>
      <c r="I4" s="1">
        <f>IF(ISNUMBER(Main_M[[#This Row],[BVPS]]),IF(Main_M[[#This Row],[BVPS]]&lt;&gt;0,Main_M[[#This Row],[Current Price]]/Main_M[[#This Row],[BVPS]],""),"")</f>
        <v>2.4115598885793874</v>
      </c>
      <c r="J4">
        <v>-1.89</v>
      </c>
      <c r="K4">
        <v>1.77</v>
      </c>
      <c r="L4">
        <v>1.98</v>
      </c>
      <c r="M4" s="1">
        <f>IF(ISNUMBER(Main_M[[#This Row],[EPS]]),IF(Main_M[[#This Row],[EPS]]&lt;&gt;0,Main_M[[#This Row],[Current Price]]/Main_M[[#This Row],[EPS]],""),"")</f>
        <v>-119.4137931034483</v>
      </c>
      <c r="N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" s="1">
        <f>(Main_M[[#This Row],[P/FCF]]-VLOOKUP(Main_M[[#This Row],[Industry]], Mean_PFCF_M, 2, FALSE))/(VLOOKUP(Main_M[[#This Row],[Industry]], Mean_PFCF_M, 3, FALSE))</f>
        <v>7.4290625339351406</v>
      </c>
      <c r="P4" s="1">
        <f>(Main_M[[#This Row],[P/B]]-VLOOKUP(Main_M[[#This Row],[Industry]], Mean_PB_M, 2, FALSE))/(VLOOKUP(Main_M[[#This Row],[Industry]], Mean_PB_M, 3, FALSE))</f>
        <v>1.1454937644544672</v>
      </c>
      <c r="Q4" s="1">
        <f>(Main_M[[#This Row],[ROE]]-VLOOKUP(Main_M[[#This Row],[Industry]], Mean_ROE_M, 2, FALSE))/(VLOOKUP(Main_M[[#This Row],[Industry]], Mean_ROE_M, 3, FALSE))</f>
        <v>4.7114801475831157E-2</v>
      </c>
      <c r="R4" s="1">
        <f>(Main_M[[#This Row],[ROA]]-VLOOKUP(Main_M[[#This Row],[Industry]], Mean_ROA_M, 2, FALSE))/(VLOOKUP(Main_M[[#This Row],[Industry]], Mean_ROA_M, 3, FALSE))</f>
        <v>-0.63659199310997516</v>
      </c>
      <c r="S4" s="1">
        <f>(Main_M[[#This Row],[A/E]]-VLOOKUP(Main_M[[#This Row],[Industry]], Mean_AE_M, 2, FALSE))/(VLOOKUP(Main_M[[#This Row],[Industry]], Mean_AE_M, 3, FALSE))</f>
        <v>-9.759000729484113E-2</v>
      </c>
      <c r="T4" s="1">
        <f>(Main_M[[#This Row],[P/E]]-VLOOKUP(Main_M[[#This Row],[Industry]], Mean_PE_M, 2, FALSE))/(VLOOKUP(Main_M[[#This Row],[Industry]], Mean_PE_M, 3, FALSE))</f>
        <v>-7.490315214203787</v>
      </c>
      <c r="U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5" spans="1:26" x14ac:dyDescent="0.25">
      <c r="A5" t="s">
        <v>114</v>
      </c>
      <c r="B5" t="s">
        <v>175</v>
      </c>
      <c r="C5" s="2">
        <v>5590</v>
      </c>
      <c r="D5">
        <f>RTD("tos.rtd", , "LAST", Main_M[[#This Row],[Symbol]])</f>
        <v>28.28</v>
      </c>
      <c r="E5">
        <v>1.53</v>
      </c>
      <c r="F5">
        <v>15.6</v>
      </c>
      <c r="G5">
        <v>0.95</v>
      </c>
      <c r="H5" s="1">
        <f>IF(ISNUMBER(Main_M[[#This Row],[Free CF]]),IF(Main_M[[#This Row],[Free CF]]&lt;&gt;0,Main_M[[#This Row],[Current Price]]/Main_M[[#This Row],[Free CF]],""),"")</f>
        <v>18.483660130718956</v>
      </c>
      <c r="I5" s="1">
        <f>IF(ISNUMBER(Main_M[[#This Row],[BVPS]]),IF(Main_M[[#This Row],[BVPS]]&lt;&gt;0,Main_M[[#This Row],[Current Price]]/Main_M[[#This Row],[BVPS]],""),"")</f>
        <v>1.812820512820513</v>
      </c>
      <c r="J5">
        <v>6.96</v>
      </c>
      <c r="K5">
        <v>4.4000000000000004</v>
      </c>
      <c r="L5">
        <v>1.33</v>
      </c>
      <c r="M5" s="1">
        <f>IF(ISNUMBER(Main_M[[#This Row],[EPS]]),IF(Main_M[[#This Row],[EPS]]&lt;&gt;0,Main_M[[#This Row],[Current Price]]/Main_M[[#This Row],[EPS]],""),"")</f>
        <v>29.768421052631581</v>
      </c>
      <c r="N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" s="1">
        <f>(Main_M[[#This Row],[P/FCF]]-VLOOKUP(Main_M[[#This Row],[Industry]], Mean_PFCF_M, 2, FALSE))/(VLOOKUP(Main_M[[#This Row],[Industry]], Mean_PFCF_M, 3, FALSE))</f>
        <v>0.30643346727526133</v>
      </c>
      <c r="P5" s="1">
        <f>(Main_M[[#This Row],[P/B]]-VLOOKUP(Main_M[[#This Row],[Industry]], Mean_PB_M, 2, FALSE))/(VLOOKUP(Main_M[[#This Row],[Industry]], Mean_PB_M, 3, FALSE))</f>
        <v>0.24845679470763118</v>
      </c>
      <c r="Q5" s="1">
        <f>(Main_M[[#This Row],[ROE]]-VLOOKUP(Main_M[[#This Row],[Industry]], Mean_ROE_M, 2, FALSE))/(VLOOKUP(Main_M[[#This Row],[Industry]], Mean_ROE_M, 3, FALSE))</f>
        <v>0.72510828612803557</v>
      </c>
      <c r="R5" s="1">
        <f>(Main_M[[#This Row],[ROA]]-VLOOKUP(Main_M[[#This Row],[Industry]], Mean_ROA_M, 2, FALSE))/(VLOOKUP(Main_M[[#This Row],[Industry]], Mean_ROA_M, 3, FALSE))</f>
        <v>0.96708323857511558</v>
      </c>
      <c r="S5" s="1">
        <f>(Main_M[[#This Row],[A/E]]-VLOOKUP(Main_M[[#This Row],[Industry]], Mean_AE_M, 2, FALSE))/(VLOOKUP(Main_M[[#This Row],[Industry]], Mean_AE_M, 3, FALSE))</f>
        <v>-12.784290955624456</v>
      </c>
      <c r="T5" s="1">
        <f>(Main_M[[#This Row],[P/E]]-VLOOKUP(Main_M[[#This Row],[Industry]], Mean_PE_M, 2, FALSE))/(VLOOKUP(Main_M[[#This Row],[Industry]], Mean_PE_M, 3, FALSE))</f>
        <v>0.91186461755942572</v>
      </c>
      <c r="U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" spans="1:26" x14ac:dyDescent="0.25">
      <c r="A6" t="s">
        <v>114</v>
      </c>
      <c r="B6" t="s">
        <v>176</v>
      </c>
      <c r="C6" s="2">
        <v>5345</v>
      </c>
      <c r="D6">
        <f>RTD("tos.rtd", , "LAST", Main_M[[#This Row],[Symbol]])</f>
        <v>14.71</v>
      </c>
      <c r="E6">
        <v>0.56999999999999995</v>
      </c>
      <c r="F6">
        <v>14.47</v>
      </c>
      <c r="G6">
        <v>-1.1100000000000001</v>
      </c>
      <c r="H6" s="1">
        <f>IF(ISNUMBER(Main_M[[#This Row],[Free CF]]),IF(Main_M[[#This Row],[Free CF]]&lt;&gt;0,Main_M[[#This Row],[Current Price]]/Main_M[[#This Row],[Free CF]],""),"")</f>
        <v>25.807017543859654</v>
      </c>
      <c r="I6" s="1">
        <f>IF(ISNUMBER(Main_M[[#This Row],[BVPS]]),IF(Main_M[[#This Row],[BVPS]]&lt;&gt;0,Main_M[[#This Row],[Current Price]]/Main_M[[#This Row],[BVPS]],""),"")</f>
        <v>1.0165860400829303</v>
      </c>
      <c r="J6">
        <v>-6.76</v>
      </c>
      <c r="K6">
        <v>0.22</v>
      </c>
      <c r="L6">
        <v>2.0699999999999998</v>
      </c>
      <c r="M6" s="1">
        <f>IF(ISNUMBER(Main_M[[#This Row],[EPS]]),IF(Main_M[[#This Row],[EPS]]&lt;&gt;0,Main_M[[#This Row],[Current Price]]/Main_M[[#This Row],[EPS]],""),"")</f>
        <v>-13.252252252252251</v>
      </c>
      <c r="N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" s="1">
        <f>(Main_M[[#This Row],[P/FCF]]-VLOOKUP(Main_M[[#This Row],[Industry]], Mean_PFCF_M, 2, FALSE))/(VLOOKUP(Main_M[[#This Row],[Industry]], Mean_PFCF_M, 3, FALSE))</f>
        <v>1.7705881815811444</v>
      </c>
      <c r="P6" s="1">
        <f>(Main_M[[#This Row],[P/B]]-VLOOKUP(Main_M[[#This Row],[Industry]], Mean_PB_M, 2, FALSE))/(VLOOKUP(Main_M[[#This Row],[Industry]], Mean_PB_M, 3, FALSE))</f>
        <v>-0.94446918870077579</v>
      </c>
      <c r="Q6" s="1">
        <f>(Main_M[[#This Row],[ROE]]-VLOOKUP(Main_M[[#This Row],[Industry]], Mean_ROE_M, 2, FALSE))/(VLOOKUP(Main_M[[#This Row],[Industry]], Mean_ROE_M, 3, FALSE))</f>
        <v>-0.32597313866611638</v>
      </c>
      <c r="R6" s="1">
        <f>(Main_M[[#This Row],[ROA]]-VLOOKUP(Main_M[[#This Row],[Industry]], Mean_ROA_M, 2, FALSE))/(VLOOKUP(Main_M[[#This Row],[Industry]], Mean_ROA_M, 3, FALSE))</f>
        <v>-1.5817237836468154</v>
      </c>
      <c r="S6" s="1">
        <f>(Main_M[[#This Row],[A/E]]-VLOOKUP(Main_M[[#This Row],[Industry]], Mean_AE_M, 2, FALSE))/(VLOOKUP(Main_M[[#This Row],[Industry]], Mean_AE_M, 3, FALSE))</f>
        <v>1.659030124012334</v>
      </c>
      <c r="T6" s="1">
        <f>(Main_M[[#This Row],[P/E]]-VLOOKUP(Main_M[[#This Row],[Industry]], Mean_PE_M, 2, FALSE))/(VLOOKUP(Main_M[[#This Row],[Industry]], Mean_PE_M, 3, FALSE))</f>
        <v>-1.5111282012292038</v>
      </c>
      <c r="U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" spans="1:26" x14ac:dyDescent="0.25">
      <c r="A7" t="s">
        <v>114</v>
      </c>
      <c r="B7" t="s">
        <v>177</v>
      </c>
      <c r="C7" s="2">
        <v>3033</v>
      </c>
      <c r="D7">
        <f>RTD("tos.rtd", , "LAST", Main_M[[#This Row],[Symbol]])</f>
        <v>5.04</v>
      </c>
      <c r="E7">
        <v>0.41</v>
      </c>
      <c r="F7">
        <v>7.93</v>
      </c>
      <c r="G7">
        <v>-2.76</v>
      </c>
      <c r="H7" s="1">
        <f>IF(ISNUMBER(Main_M[[#This Row],[Free CF]]),IF(Main_M[[#This Row],[Free CF]]&lt;&gt;0,Main_M[[#This Row],[Current Price]]/Main_M[[#This Row],[Free CF]],""),"")</f>
        <v>12.292682926829269</v>
      </c>
      <c r="I7" s="1">
        <f>IF(ISNUMBER(Main_M[[#This Row],[BVPS]]),IF(Main_M[[#This Row],[BVPS]]&lt;&gt;0,Main_M[[#This Row],[Current Price]]/Main_M[[#This Row],[BVPS]],""),"")</f>
        <v>0.63556116015132413</v>
      </c>
      <c r="J7">
        <v>-28.8</v>
      </c>
      <c r="K7">
        <v>1.5</v>
      </c>
      <c r="L7">
        <v>3.12</v>
      </c>
      <c r="M7" s="1">
        <f>IF(ISNUMBER(Main_M[[#This Row],[EPS]]),IF(Main_M[[#This Row],[EPS]]&lt;&gt;0,Main_M[[#This Row],[Current Price]]/Main_M[[#This Row],[EPS]],""),"")</f>
        <v>-1.8260869565217392</v>
      </c>
      <c r="N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" s="1">
        <f>(Main_M[[#This Row],[P/FCF]]-VLOOKUP(Main_M[[#This Row],[Industry]], Mean_PFCF_M, 2, FALSE))/(VLOOKUP(Main_M[[#This Row],[Industry]], Mean_PFCF_M, 3, FALSE))</f>
        <v>-0.93132511091052106</v>
      </c>
      <c r="P7" s="1">
        <f>(Main_M[[#This Row],[P/B]]-VLOOKUP(Main_M[[#This Row],[Industry]], Mean_PB_M, 2, FALSE))/(VLOOKUP(Main_M[[#This Row],[Industry]], Mean_PB_M, 3, FALSE))</f>
        <v>-1.5153242510704301</v>
      </c>
      <c r="Q7" s="1">
        <f>(Main_M[[#This Row],[ROE]]-VLOOKUP(Main_M[[#This Row],[Industry]], Mean_ROE_M, 2, FALSE))/(VLOOKUP(Main_M[[#This Row],[Industry]], Mean_ROE_M, 3, FALSE))</f>
        <v>-2.0144450484666345</v>
      </c>
      <c r="R7" s="1">
        <f>(Main_M[[#This Row],[ROA]]-VLOOKUP(Main_M[[#This Row],[Industry]], Mean_ROA_M, 2, FALSE))/(VLOOKUP(Main_M[[#This Row],[Industry]], Mean_ROA_M, 3, FALSE))</f>
        <v>-0.80122785339703773</v>
      </c>
      <c r="S7" s="1">
        <f>(Main_M[[#This Row],[A/E]]-VLOOKUP(Main_M[[#This Row],[Industry]], Mean_AE_M, 2, FALSE))/(VLOOKUP(Main_M[[#This Row],[Industry]], Mean_AE_M, 3, FALSE))</f>
        <v>22.152931655929414</v>
      </c>
      <c r="T7" s="1">
        <f>(Main_M[[#This Row],[P/E]]-VLOOKUP(Main_M[[#This Row],[Industry]], Mean_PE_M, 2, FALSE))/(VLOOKUP(Main_M[[#This Row],[Industry]], Mean_PE_M, 3, FALSE))</f>
        <v>-0.86758837883632767</v>
      </c>
      <c r="U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" spans="1:26" x14ac:dyDescent="0.25">
      <c r="A8" t="s">
        <v>114</v>
      </c>
      <c r="B8" t="s">
        <v>178</v>
      </c>
      <c r="C8" s="2">
        <v>3576</v>
      </c>
      <c r="D8">
        <f>RTD("tos.rtd", , "LAST", Main_M[[#This Row],[Symbol]])</f>
        <v>74.63</v>
      </c>
      <c r="E8">
        <v>4.71</v>
      </c>
      <c r="F8">
        <v>30.55</v>
      </c>
      <c r="G8">
        <v>3.16</v>
      </c>
      <c r="H8" s="1">
        <f>IF(ISNUMBER(Main_M[[#This Row],[Free CF]]),IF(Main_M[[#This Row],[Free CF]]&lt;&gt;0,Main_M[[#This Row],[Current Price]]/Main_M[[#This Row],[Free CF]],""),"")</f>
        <v>15.845010615711251</v>
      </c>
      <c r="I8" s="1">
        <f>IF(ISNUMBER(Main_M[[#This Row],[BVPS]]),IF(Main_M[[#This Row],[BVPS]]&lt;&gt;0,Main_M[[#This Row],[Current Price]]/Main_M[[#This Row],[BVPS]],""),"")</f>
        <v>2.4428805237315872</v>
      </c>
      <c r="J8">
        <v>10.31</v>
      </c>
      <c r="K8">
        <v>4.55</v>
      </c>
      <c r="L8">
        <v>1.95</v>
      </c>
      <c r="M8" s="1">
        <f>IF(ISNUMBER(Main_M[[#This Row],[EPS]]),IF(Main_M[[#This Row],[EPS]]&lt;&gt;0,Main_M[[#This Row],[Current Price]]/Main_M[[#This Row],[EPS]],""),"")</f>
        <v>23.617088607594933</v>
      </c>
      <c r="N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" s="1">
        <f>(Main_M[[#This Row],[P/FCF]]-VLOOKUP(Main_M[[#This Row],[Industry]], Mean_PFCF_M, 2, FALSE))/(VLOOKUP(Main_M[[#This Row],[Industry]], Mean_PFCF_M, 3, FALSE))</f>
        <v>-0.22111024100629414</v>
      </c>
      <c r="P8" s="1">
        <f>(Main_M[[#This Row],[P/B]]-VLOOKUP(Main_M[[#This Row],[Industry]], Mean_PB_M, 2, FALSE))/(VLOOKUP(Main_M[[#This Row],[Industry]], Mean_PB_M, 3, FALSE))</f>
        <v>1.1924186349156181</v>
      </c>
      <c r="Q8" s="1">
        <f>(Main_M[[#This Row],[ROE]]-VLOOKUP(Main_M[[#This Row],[Industry]], Mean_ROE_M, 2, FALSE))/(VLOOKUP(Main_M[[#This Row],[Industry]], Mean_ROE_M, 3, FALSE))</f>
        <v>0.98174988766305094</v>
      </c>
      <c r="R8" s="1">
        <f>(Main_M[[#This Row],[ROA]]-VLOOKUP(Main_M[[#This Row],[Industry]], Mean_ROA_M, 2, FALSE))/(VLOOKUP(Main_M[[#This Row],[Industry]], Mean_ROA_M, 3, FALSE))</f>
        <v>1.0585476054012612</v>
      </c>
      <c r="S8" s="1">
        <f>(Main_M[[#This Row],[A/E]]-VLOOKUP(Main_M[[#This Row],[Industry]], Mean_AE_M, 2, FALSE))/(VLOOKUP(Main_M[[#This Row],[Industry]], Mean_AE_M, 3, FALSE))</f>
        <v>-0.6831300510639009</v>
      </c>
      <c r="T8" s="1">
        <f>(Main_M[[#This Row],[P/E]]-VLOOKUP(Main_M[[#This Row],[Industry]], Mean_PE_M, 2, FALSE))/(VLOOKUP(Main_M[[#This Row],[Industry]], Mean_PE_M, 3, FALSE))</f>
        <v>0.56541177999741377</v>
      </c>
      <c r="U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" spans="1:26" x14ac:dyDescent="0.25">
      <c r="A9" t="s">
        <v>114</v>
      </c>
      <c r="B9" t="s">
        <v>179</v>
      </c>
      <c r="C9" s="2">
        <v>4300</v>
      </c>
      <c r="D9">
        <f>RTD("tos.rtd", , "LAST", Main_M[[#This Row],[Symbol]])</f>
        <v>17.75</v>
      </c>
      <c r="E9">
        <v>1.44</v>
      </c>
      <c r="F9">
        <v>11.36</v>
      </c>
      <c r="G9">
        <v>0.6</v>
      </c>
      <c r="H9" s="1">
        <f>IF(ISNUMBER(Main_M[[#This Row],[Free CF]]),IF(Main_M[[#This Row],[Free CF]]&lt;&gt;0,Main_M[[#This Row],[Current Price]]/Main_M[[#This Row],[Free CF]],""),"")</f>
        <v>12.326388888888889</v>
      </c>
      <c r="I9" s="1">
        <f>IF(ISNUMBER(Main_M[[#This Row],[BVPS]]),IF(Main_M[[#This Row],[BVPS]]&lt;&gt;0,Main_M[[#This Row],[Current Price]]/Main_M[[#This Row],[BVPS]],""),"")</f>
        <v>1.5625</v>
      </c>
      <c r="J9">
        <v>5.15</v>
      </c>
      <c r="K9">
        <v>3.13</v>
      </c>
      <c r="L9">
        <v>1.94</v>
      </c>
      <c r="M9" s="1">
        <f>IF(ISNUMBER(Main_M[[#This Row],[EPS]]),IF(Main_M[[#This Row],[EPS]]&lt;&gt;0,Main_M[[#This Row],[Current Price]]/Main_M[[#This Row],[EPS]],""),"")</f>
        <v>29.583333333333336</v>
      </c>
      <c r="N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" s="1">
        <f>(Main_M[[#This Row],[P/FCF]]-VLOOKUP(Main_M[[#This Row],[Industry]], Mean_PFCF_M, 2, FALSE))/(VLOOKUP(Main_M[[#This Row],[Industry]], Mean_PFCF_M, 3, FALSE))</f>
        <v>-0.92458629693958805</v>
      </c>
      <c r="P9" s="1">
        <f>(Main_M[[#This Row],[P/B]]-VLOOKUP(Main_M[[#This Row],[Industry]], Mean_PB_M, 2, FALSE))/(VLOOKUP(Main_M[[#This Row],[Industry]], Mean_PB_M, 3, FALSE))</f>
        <v>-0.12657575430651113</v>
      </c>
      <c r="Q9" s="1">
        <f>(Main_M[[#This Row],[ROE]]-VLOOKUP(Main_M[[#This Row],[Industry]], Mean_ROE_M, 2, FALSE))/(VLOOKUP(Main_M[[#This Row],[Industry]], Mean_ROE_M, 3, FALSE))</f>
        <v>0.58644521186583332</v>
      </c>
      <c r="R9" s="1">
        <f>(Main_M[[#This Row],[ROA]]-VLOOKUP(Main_M[[#This Row],[Industry]], Mean_ROA_M, 2, FALSE))/(VLOOKUP(Main_M[[#This Row],[Industry]], Mean_ROA_M, 3, FALSE))</f>
        <v>0.19268493278041382</v>
      </c>
      <c r="S9" s="1">
        <f>(Main_M[[#This Row],[A/E]]-VLOOKUP(Main_M[[#This Row],[Industry]], Mean_AE_M, 2, FALSE))/(VLOOKUP(Main_M[[#This Row],[Industry]], Mean_AE_M, 3, FALSE))</f>
        <v>-0.87831006565358749</v>
      </c>
      <c r="T9" s="1">
        <f>(Main_M[[#This Row],[P/E]]-VLOOKUP(Main_M[[#This Row],[Industry]], Mean_PE_M, 2, FALSE))/(VLOOKUP(Main_M[[#This Row],[Industry]], Mean_PE_M, 3, FALSE))</f>
        <v>0.90144018250869151</v>
      </c>
      <c r="U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" spans="1:26" x14ac:dyDescent="0.25">
      <c r="A10" t="s">
        <v>110</v>
      </c>
      <c r="B10" t="s">
        <v>165</v>
      </c>
      <c r="C10" s="2">
        <v>2703</v>
      </c>
      <c r="D10">
        <f>RTD("tos.rtd", , "LAST", Main_M[[#This Row],[Symbol]])</f>
        <v>12.29</v>
      </c>
      <c r="E10">
        <v>1.66</v>
      </c>
      <c r="F10">
        <v>13.48</v>
      </c>
      <c r="G10">
        <v>0.79</v>
      </c>
      <c r="H10" s="1">
        <f>IF(ISNUMBER(Main_M[[#This Row],[Free CF]]),IF(Main_M[[#This Row],[Free CF]]&lt;&gt;0,Main_M[[#This Row],[Current Price]]/Main_M[[#This Row],[Free CF]],""),"")</f>
        <v>7.403614457831325</v>
      </c>
      <c r="I10" s="1">
        <f>IF(ISNUMBER(Main_M[[#This Row],[BVPS]]),IF(Main_M[[#This Row],[BVPS]]&lt;&gt;0,Main_M[[#This Row],[Current Price]]/Main_M[[#This Row],[BVPS]],""),"")</f>
        <v>0.91172106824925803</v>
      </c>
      <c r="J10">
        <v>5.84</v>
      </c>
      <c r="K10">
        <v>3.38</v>
      </c>
      <c r="L10">
        <v>1.54</v>
      </c>
      <c r="M10" s="1">
        <f>IF(ISNUMBER(Main_M[[#This Row],[EPS]]),IF(Main_M[[#This Row],[EPS]]&lt;&gt;0,Main_M[[#This Row],[Current Price]]/Main_M[[#This Row],[EPS]],""),"")</f>
        <v>15.556962025316453</v>
      </c>
      <c r="N1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" s="1">
        <f>(Main_M[[#This Row],[P/FCF]]-VLOOKUP(Main_M[[#This Row],[Industry]], Mean_PFCF_M, 2, FALSE))/(VLOOKUP(Main_M[[#This Row],[Industry]], Mean_PFCF_M, 3, FALSE))</f>
        <v>-0.99999999999999312</v>
      </c>
      <c r="P10" s="1">
        <f>(Main_M[[#This Row],[P/B]]-VLOOKUP(Main_M[[#This Row],[Industry]], Mean_PB_M, 2, FALSE))/(VLOOKUP(Main_M[[#This Row],[Industry]], Mean_PB_M, 3, FALSE))</f>
        <v>-1.0000000000000002</v>
      </c>
      <c r="Q10" s="1">
        <f>(Main_M[[#This Row],[ROE]]-VLOOKUP(Main_M[[#This Row],[Industry]], Mean_ROE_M, 2, FALSE))/(VLOOKUP(Main_M[[#This Row],[Industry]], Mean_ROE_M, 3, FALSE))</f>
        <v>-0.99999999999999956</v>
      </c>
      <c r="R10" s="1">
        <f>(Main_M[[#This Row],[ROA]]-VLOOKUP(Main_M[[#This Row],[Industry]], Mean_ROA_M, 2, FALSE))/(VLOOKUP(Main_M[[#This Row],[Industry]], Mean_ROA_M, 3, FALSE))</f>
        <v>-1.0000000000000016</v>
      </c>
      <c r="S10" s="1">
        <f>(Main_M[[#This Row],[A/E]]-VLOOKUP(Main_M[[#This Row],[Industry]], Mean_AE_M, 2, FALSE))/(VLOOKUP(Main_M[[#This Row],[Industry]], Mean_AE_M, 3, FALSE))</f>
        <v>-0.99999999999999978</v>
      </c>
      <c r="T10" s="1">
        <f>(Main_M[[#This Row],[P/E]]-VLOOKUP(Main_M[[#This Row],[Industry]], Mean_PE_M, 2, FALSE))/(VLOOKUP(Main_M[[#This Row],[Industry]], Mean_PE_M, 3, FALSE))</f>
        <v>-1.0000000000000058</v>
      </c>
      <c r="U1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" spans="1:26" x14ac:dyDescent="0.25">
      <c r="A11" t="s">
        <v>110</v>
      </c>
      <c r="B11" t="s">
        <v>166</v>
      </c>
      <c r="C11" s="2">
        <v>5674</v>
      </c>
      <c r="D11">
        <f>RTD("tos.rtd", , "LAST", Main_M[[#This Row],[Symbol]])</f>
        <v>100.37</v>
      </c>
      <c r="E11">
        <v>11.14</v>
      </c>
      <c r="F11">
        <v>8.9600000000000009</v>
      </c>
      <c r="G11">
        <v>4.7</v>
      </c>
      <c r="H11" s="1">
        <f>IF(ISNUMBER(Main_M[[#This Row],[Free CF]]),IF(Main_M[[#This Row],[Free CF]]&lt;&gt;0,Main_M[[#This Row],[Current Price]]/Main_M[[#This Row],[Free CF]],""),"")</f>
        <v>9.0098743267504489</v>
      </c>
      <c r="I11" s="1">
        <f>IF(ISNUMBER(Main_M[[#This Row],[BVPS]]),IF(Main_M[[#This Row],[BVPS]]&lt;&gt;0,Main_M[[#This Row],[Current Price]]/Main_M[[#This Row],[BVPS]],""),"")</f>
        <v>11.202008928571429</v>
      </c>
      <c r="J11">
        <v>32.49</v>
      </c>
      <c r="K11">
        <v>6.17</v>
      </c>
      <c r="L11">
        <v>9.86</v>
      </c>
      <c r="M11" s="1">
        <f>IF(ISNUMBER(Main_M[[#This Row],[EPS]]),IF(Main_M[[#This Row],[EPS]]&lt;&gt;0,Main_M[[#This Row],[Current Price]]/Main_M[[#This Row],[EPS]],""),"")</f>
        <v>21.355319148936172</v>
      </c>
      <c r="N1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" s="1">
        <f>(Main_M[[#This Row],[P/FCF]]-VLOOKUP(Main_M[[#This Row],[Industry]], Mean_PFCF_M, 2, FALSE))/(VLOOKUP(Main_M[[#This Row],[Industry]], Mean_PFCF_M, 3, FALSE))</f>
        <v>0.99999999999999423</v>
      </c>
      <c r="P11" s="1">
        <f>(Main_M[[#This Row],[P/B]]-VLOOKUP(Main_M[[#This Row],[Industry]], Mean_PB_M, 2, FALSE))/(VLOOKUP(Main_M[[#This Row],[Industry]], Mean_PB_M, 3, FALSE))</f>
        <v>1</v>
      </c>
      <c r="Q11" s="1">
        <f>(Main_M[[#This Row],[ROE]]-VLOOKUP(Main_M[[#This Row],[Industry]], Mean_ROE_M, 2, FALSE))/(VLOOKUP(Main_M[[#This Row],[Industry]], Mean_ROE_M, 3, FALSE))</f>
        <v>0.99999999999999989</v>
      </c>
      <c r="R11" s="1">
        <f>(Main_M[[#This Row],[ROA]]-VLOOKUP(Main_M[[#This Row],[Industry]], Mean_ROA_M, 2, FALSE))/(VLOOKUP(Main_M[[#This Row],[Industry]], Mean_ROA_M, 3, FALSE))</f>
        <v>1.0000000000000009</v>
      </c>
      <c r="S11" s="1">
        <f>(Main_M[[#This Row],[A/E]]-VLOOKUP(Main_M[[#This Row],[Industry]], Mean_AE_M, 2, FALSE))/(VLOOKUP(Main_M[[#This Row],[Industry]], Mean_AE_M, 3, FALSE))</f>
        <v>1</v>
      </c>
      <c r="T11" s="1">
        <f>(Main_M[[#This Row],[P/E]]-VLOOKUP(Main_M[[#This Row],[Industry]], Mean_PE_M, 2, FALSE))/(VLOOKUP(Main_M[[#This Row],[Industry]], Mean_PE_M, 3, FALSE))</f>
        <v>1.0000000000000051</v>
      </c>
      <c r="U1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" spans="1:26" x14ac:dyDescent="0.25">
      <c r="A12" t="s">
        <v>107</v>
      </c>
      <c r="B12" t="s">
        <v>158</v>
      </c>
      <c r="C12" s="2">
        <v>5242</v>
      </c>
      <c r="D12">
        <f>RTD("tos.rtd", , "LAST", Main_M[[#This Row],[Symbol]])</f>
        <v>17.7</v>
      </c>
      <c r="E12">
        <v>1.45</v>
      </c>
      <c r="F12">
        <v>11.54</v>
      </c>
      <c r="G12">
        <v>-0.33</v>
      </c>
      <c r="H12" s="1">
        <f>IF(ISNUMBER(Main_M[[#This Row],[Free CF]]),IF(Main_M[[#This Row],[Free CF]]&lt;&gt;0,Main_M[[#This Row],[Current Price]]/Main_M[[#This Row],[Free CF]],""),"")</f>
        <v>12.206896551724137</v>
      </c>
      <c r="I12" s="1">
        <f>IF(ISNUMBER(Main_M[[#This Row],[BVPS]]),IF(Main_M[[#This Row],[BVPS]]&lt;&gt;0,Main_M[[#This Row],[Current Price]]/Main_M[[#This Row],[BVPS]],""),"")</f>
        <v>1.5337954939341423</v>
      </c>
      <c r="J12">
        <v>-2.73</v>
      </c>
      <c r="K12">
        <v>1.8</v>
      </c>
      <c r="L12">
        <v>2.36</v>
      </c>
      <c r="M12" s="1">
        <f>IF(ISNUMBER(Main_M[[#This Row],[EPS]]),IF(Main_M[[#This Row],[EPS]]&lt;&gt;0,Main_M[[#This Row],[Current Price]]/Main_M[[#This Row],[EPS]],""),"")</f>
        <v>-53.636363636363633</v>
      </c>
      <c r="N1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" s="1">
        <f>(Main_M[[#This Row],[P/FCF]]-VLOOKUP(Main_M[[#This Row],[Industry]], Mean_PFCF_M, 2, FALSE))/(VLOOKUP(Main_M[[#This Row],[Industry]], Mean_PFCF_M, 3, FALSE))</f>
        <v>-1.2430677185231946</v>
      </c>
      <c r="P12" s="1">
        <f>(Main_M[[#This Row],[P/B]]-VLOOKUP(Main_M[[#This Row],[Industry]], Mean_PB_M, 2, FALSE))/(VLOOKUP(Main_M[[#This Row],[Industry]], Mean_PB_M, 3, FALSE))</f>
        <v>-0.41718176389263328</v>
      </c>
      <c r="Q12" s="1">
        <f>(Main_M[[#This Row],[ROE]]-VLOOKUP(Main_M[[#This Row],[Industry]], Mean_ROE_M, 2, FALSE))/(VLOOKUP(Main_M[[#This Row],[Industry]], Mean_ROE_M, 3, FALSE))</f>
        <v>-1.948610077713872</v>
      </c>
      <c r="R12" s="1">
        <f>(Main_M[[#This Row],[ROA]]-VLOOKUP(Main_M[[#This Row],[Industry]], Mean_ROA_M, 2, FALSE))/(VLOOKUP(Main_M[[#This Row],[Industry]], Mean_ROA_M, 3, FALSE))</f>
        <v>-0.62486930171559019</v>
      </c>
      <c r="S12" s="1">
        <f>(Main_M[[#This Row],[A/E]]-VLOOKUP(Main_M[[#This Row],[Industry]], Mean_AE_M, 2, FALSE))/(VLOOKUP(Main_M[[#This Row],[Industry]], Mean_AE_M, 3, FALSE))</f>
        <v>1.6093351865376251</v>
      </c>
      <c r="T12" s="1">
        <f>(Main_M[[#This Row],[P/E]]-VLOOKUP(Main_M[[#This Row],[Industry]], Mean_PE_M, 2, FALSE))/(VLOOKUP(Main_M[[#This Row],[Industry]], Mean_PE_M, 3, FALSE))</f>
        <v>-14.438297232699027</v>
      </c>
      <c r="U1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3" spans="1:26" x14ac:dyDescent="0.25">
      <c r="A13" t="s">
        <v>107</v>
      </c>
      <c r="B13" t="s">
        <v>159</v>
      </c>
      <c r="C13" s="2">
        <v>8672</v>
      </c>
      <c r="D13">
        <f>RTD("tos.rtd", , "LAST", Main_M[[#This Row],[Symbol]])</f>
        <v>171.32</v>
      </c>
      <c r="E13">
        <v>8.6999999999999993</v>
      </c>
      <c r="F13">
        <v>64.09</v>
      </c>
      <c r="G13">
        <v>4.58</v>
      </c>
      <c r="H13" s="1">
        <f>IF(ISNUMBER(Main_M[[#This Row],[Free CF]]),IF(Main_M[[#This Row],[Free CF]]&lt;&gt;0,Main_M[[#This Row],[Current Price]]/Main_M[[#This Row],[Free CF]],""),"")</f>
        <v>19.691954022988508</v>
      </c>
      <c r="I13" s="1">
        <f>IF(ISNUMBER(Main_M[[#This Row],[BVPS]]),IF(Main_M[[#This Row],[BVPS]]&lt;&gt;0,Main_M[[#This Row],[Current Price]]/Main_M[[#This Row],[BVPS]],""),"")</f>
        <v>2.6731159307224215</v>
      </c>
      <c r="J13">
        <v>7.61</v>
      </c>
      <c r="K13">
        <v>3.35</v>
      </c>
      <c r="L13">
        <v>1.53</v>
      </c>
      <c r="M13" s="1">
        <f>IF(ISNUMBER(Main_M[[#This Row],[EPS]]),IF(Main_M[[#This Row],[EPS]]&lt;&gt;0,Main_M[[#This Row],[Current Price]]/Main_M[[#This Row],[EPS]],""),"")</f>
        <v>37.406113537117903</v>
      </c>
      <c r="N1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" s="1">
        <f>(Main_M[[#This Row],[P/FCF]]-VLOOKUP(Main_M[[#This Row],[Industry]], Mean_PFCF_M, 2, FALSE))/(VLOOKUP(Main_M[[#This Row],[Industry]], Mean_PFCF_M, 3, FALSE))</f>
        <v>0.59026917915570076</v>
      </c>
      <c r="P13" s="1">
        <f>(Main_M[[#This Row],[P/B]]-VLOOKUP(Main_M[[#This Row],[Industry]], Mean_PB_M, 2, FALSE))/(VLOOKUP(Main_M[[#This Row],[Industry]], Mean_PB_M, 3, FALSE))</f>
        <v>1.5152929502748742</v>
      </c>
      <c r="Q13" s="1">
        <f>(Main_M[[#This Row],[ROE]]-VLOOKUP(Main_M[[#This Row],[Industry]], Mean_ROE_M, 2, FALSE))/(VLOOKUP(Main_M[[#This Row],[Industry]], Mean_ROE_M, 3, FALSE))</f>
        <v>0.70053337504589597</v>
      </c>
      <c r="R13" s="1">
        <f>(Main_M[[#This Row],[ROA]]-VLOOKUP(Main_M[[#This Row],[Industry]], Mean_ROA_M, 2, FALSE))/(VLOOKUP(Main_M[[#This Row],[Industry]], Mean_ROA_M, 3, FALSE))</f>
        <v>1.3289727511991514</v>
      </c>
      <c r="S13" s="1">
        <f>(Main_M[[#This Row],[A/E]]-VLOOKUP(Main_M[[#This Row],[Industry]], Mean_AE_M, 2, FALSE))/(VLOOKUP(Main_M[[#This Row],[Industry]], Mean_AE_M, 3, FALSE))</f>
        <v>-0.80051982216948936</v>
      </c>
      <c r="T13" s="1">
        <f>(Main_M[[#This Row],[P/E]]-VLOOKUP(Main_M[[#This Row],[Industry]], Mean_PE_M, 2, FALSE))/(VLOOKUP(Main_M[[#This Row],[Industry]], Mean_PE_M, 3, FALSE))</f>
        <v>0.95509891767932298</v>
      </c>
      <c r="U1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4" spans="1:26" x14ac:dyDescent="0.25">
      <c r="A14" t="s">
        <v>107</v>
      </c>
      <c r="B14" t="s">
        <v>160</v>
      </c>
      <c r="C14" s="2">
        <v>6445</v>
      </c>
      <c r="D14">
        <f>RTD("tos.rtd", , "LAST", Main_M[[#This Row],[Symbol]])</f>
        <v>50.89</v>
      </c>
      <c r="E14">
        <v>2.86</v>
      </c>
      <c r="F14">
        <v>20.02</v>
      </c>
      <c r="G14">
        <v>2.0099999999999998</v>
      </c>
      <c r="H14" s="1">
        <f>IF(ISNUMBER(Main_M[[#This Row],[Free CF]]),IF(Main_M[[#This Row],[Free CF]]&lt;&gt;0,Main_M[[#This Row],[Current Price]]/Main_M[[#This Row],[Free CF]],""),"")</f>
        <v>17.793706293706293</v>
      </c>
      <c r="I14" s="1">
        <f>IF(ISNUMBER(Main_M[[#This Row],[BVPS]]),IF(Main_M[[#This Row],[BVPS]]&lt;&gt;0,Main_M[[#This Row],[Current Price]]/Main_M[[#This Row],[BVPS]],""),"")</f>
        <v>2.5419580419580421</v>
      </c>
      <c r="J14">
        <v>10.28</v>
      </c>
      <c r="K14">
        <v>3.3</v>
      </c>
      <c r="L14">
        <v>2.06</v>
      </c>
      <c r="M14" s="1">
        <f>IF(ISNUMBER(Main_M[[#This Row],[EPS]]),IF(Main_M[[#This Row],[EPS]]&lt;&gt;0,Main_M[[#This Row],[Current Price]]/Main_M[[#This Row],[EPS]],""),"")</f>
        <v>25.318407960199007</v>
      </c>
      <c r="N1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4" s="1">
        <f>(Main_M[[#This Row],[P/FCF]]-VLOOKUP(Main_M[[#This Row],[Industry]], Mean_PFCF_M, 2, FALSE))/(VLOOKUP(Main_M[[#This Row],[Industry]], Mean_PFCF_M, 3, FALSE))</f>
        <v>0.12532584152753931</v>
      </c>
      <c r="P14" s="1">
        <f>(Main_M[[#This Row],[P/B]]-VLOOKUP(Main_M[[#This Row],[Industry]], Mean_PB_M, 2, FALSE))/(VLOOKUP(Main_M[[#This Row],[Industry]], Mean_PB_M, 3, FALSE))</f>
        <v>1.2928276144337527</v>
      </c>
      <c r="Q14" s="1">
        <f>(Main_M[[#This Row],[ROE]]-VLOOKUP(Main_M[[#This Row],[Industry]], Mean_ROE_M, 2, FALSE))/(VLOOKUP(Main_M[[#This Row],[Industry]], Mean_ROE_M, 3, FALSE))</f>
        <v>1.3845965296753522</v>
      </c>
      <c r="R14" s="1">
        <f>(Main_M[[#This Row],[ROA]]-VLOOKUP(Main_M[[#This Row],[Industry]], Mean_ROA_M, 2, FALSE))/(VLOOKUP(Main_M[[#This Row],[Industry]], Mean_ROA_M, 3, FALSE))</f>
        <v>1.2659455882019013</v>
      </c>
      <c r="S14" s="1">
        <f>(Main_M[[#This Row],[A/E]]-VLOOKUP(Main_M[[#This Row],[Industry]], Mean_AE_M, 2, FALSE))/(VLOOKUP(Main_M[[#This Row],[Industry]], Mean_AE_M, 3, FALSE))</f>
        <v>0.73830325567963229</v>
      </c>
      <c r="T14" s="1">
        <f>(Main_M[[#This Row],[P/E]]-VLOOKUP(Main_M[[#This Row],[Industry]], Mean_PE_M, 2, FALSE))/(VLOOKUP(Main_M[[#This Row],[Industry]], Mean_PE_M, 3, FALSE))</f>
        <v>-1.0886815930386802</v>
      </c>
      <c r="U1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5" spans="1:26" x14ac:dyDescent="0.25">
      <c r="A15" t="s">
        <v>107</v>
      </c>
      <c r="B15" t="s">
        <v>161</v>
      </c>
      <c r="C15" s="2">
        <v>2360</v>
      </c>
      <c r="D15">
        <f>RTD("tos.rtd", , "LAST", Main_M[[#This Row],[Symbol]])</f>
        <v>8.35</v>
      </c>
      <c r="E15">
        <v>0.66</v>
      </c>
      <c r="F15">
        <v>6.7</v>
      </c>
      <c r="G15">
        <v>0.2</v>
      </c>
      <c r="H15" s="1">
        <f>IF(ISNUMBER(Main_M[[#This Row],[Free CF]]),IF(Main_M[[#This Row],[Free CF]]&lt;&gt;0,Main_M[[#This Row],[Current Price]]/Main_M[[#This Row],[Free CF]],""),"")</f>
        <v>12.65151515151515</v>
      </c>
      <c r="I15" s="1">
        <f>IF(ISNUMBER(Main_M[[#This Row],[BVPS]]),IF(Main_M[[#This Row],[BVPS]]&lt;&gt;0,Main_M[[#This Row],[Current Price]]/Main_M[[#This Row],[BVPS]],""),"")</f>
        <v>1.2462686567164178</v>
      </c>
      <c r="J15">
        <v>2.85</v>
      </c>
      <c r="K15">
        <v>1</v>
      </c>
      <c r="L15">
        <v>1.9</v>
      </c>
      <c r="M15" s="1">
        <f>IF(ISNUMBER(Main_M[[#This Row],[EPS]]),IF(Main_M[[#This Row],[EPS]]&lt;&gt;0,Main_M[[#This Row],[Current Price]]/Main_M[[#This Row],[EPS]],""),"")</f>
        <v>41.749999999999993</v>
      </c>
      <c r="N1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5" s="1">
        <f>(Main_M[[#This Row],[P/FCF]]-VLOOKUP(Main_M[[#This Row],[Industry]], Mean_PFCF_M, 2, FALSE))/(VLOOKUP(Main_M[[#This Row],[Industry]], Mean_PFCF_M, 3, FALSE))</f>
        <v>-1.1341659916466074</v>
      </c>
      <c r="P15" s="1">
        <f>(Main_M[[#This Row],[P/B]]-VLOOKUP(Main_M[[#This Row],[Industry]], Mean_PB_M, 2, FALSE))/(VLOOKUP(Main_M[[#This Row],[Industry]], Mean_PB_M, 3, FALSE))</f>
        <v>-0.90487453637913629</v>
      </c>
      <c r="Q15" s="1">
        <f>(Main_M[[#This Row],[ROE]]-VLOOKUP(Main_M[[#This Row],[Industry]], Mean_ROE_M, 2, FALSE))/(VLOOKUP(Main_M[[#This Row],[Industry]], Mean_ROE_M, 3, FALSE))</f>
        <v>-0.51899494556691783</v>
      </c>
      <c r="R15" s="1">
        <f>(Main_M[[#This Row],[ROA]]-VLOOKUP(Main_M[[#This Row],[Industry]], Mean_ROA_M, 2, FALSE))/(VLOOKUP(Main_M[[#This Row],[Industry]], Mean_ROA_M, 3, FALSE))</f>
        <v>-1.633303909671586</v>
      </c>
      <c r="S15" s="1">
        <f>(Main_M[[#This Row],[A/E]]-VLOOKUP(Main_M[[#This Row],[Industry]], Mean_AE_M, 2, FALSE))/(VLOOKUP(Main_M[[#This Row],[Industry]], Mean_AE_M, 3, FALSE))</f>
        <v>0.27375289255536878</v>
      </c>
      <c r="T15" s="1">
        <f>(Main_M[[#This Row],[P/E]]-VLOOKUP(Main_M[[#This Row],[Industry]], Mean_PE_M, 2, FALSE))/(VLOOKUP(Main_M[[#This Row],[Industry]], Mean_PE_M, 3, FALSE))</f>
        <v>1.6895600970252489</v>
      </c>
      <c r="U1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6" spans="1:26" x14ac:dyDescent="0.25">
      <c r="A16" t="s">
        <v>107</v>
      </c>
      <c r="B16" t="s">
        <v>162</v>
      </c>
      <c r="C16" s="2">
        <v>7981</v>
      </c>
      <c r="D16">
        <f>RTD("tos.rtd", , "LAST", Main_M[[#This Row],[Symbol]])</f>
        <v>35.5</v>
      </c>
      <c r="E16">
        <v>0.52</v>
      </c>
      <c r="F16">
        <v>36.700000000000003</v>
      </c>
      <c r="G16">
        <v>1.23</v>
      </c>
      <c r="H16" s="1">
        <f>IF(ISNUMBER(Main_M[[#This Row],[Free CF]]),IF(Main_M[[#This Row],[Free CF]]&lt;&gt;0,Main_M[[#This Row],[Current Price]]/Main_M[[#This Row],[Free CF]],""),"")</f>
        <v>68.269230769230774</v>
      </c>
      <c r="I16" s="1">
        <f>IF(ISNUMBER(Main_M[[#This Row],[BVPS]]),IF(Main_M[[#This Row],[BVPS]]&lt;&gt;0,Main_M[[#This Row],[Current Price]]/Main_M[[#This Row],[BVPS]],""),"")</f>
        <v>0.96730245231607626</v>
      </c>
      <c r="J16">
        <v>3.36</v>
      </c>
      <c r="K16">
        <v>1.84</v>
      </c>
      <c r="L16">
        <v>1.51</v>
      </c>
      <c r="M16" s="1">
        <f>IF(ISNUMBER(Main_M[[#This Row],[EPS]]),IF(Main_M[[#This Row],[EPS]]&lt;&gt;0,Main_M[[#This Row],[Current Price]]/Main_M[[#This Row],[EPS]],""),"")</f>
        <v>28.86178861788618</v>
      </c>
      <c r="N1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6" s="1">
        <f>(Main_M[[#This Row],[P/FCF]]-VLOOKUP(Main_M[[#This Row],[Industry]], Mean_PFCF_M, 2, FALSE))/(VLOOKUP(Main_M[[#This Row],[Industry]], Mean_PFCF_M, 3, FALSE))</f>
        <v>12.488442865803593</v>
      </c>
      <c r="P16" s="1">
        <f>(Main_M[[#This Row],[P/B]]-VLOOKUP(Main_M[[#This Row],[Industry]], Mean_PB_M, 2, FALSE))/(VLOOKUP(Main_M[[#This Row],[Industry]], Mean_PB_M, 3, FALSE))</f>
        <v>-1.3780470686218147</v>
      </c>
      <c r="Q16" s="1">
        <f>(Main_M[[#This Row],[ROE]]-VLOOKUP(Main_M[[#This Row],[Industry]], Mean_ROE_M, 2, FALSE))/(VLOOKUP(Main_M[[#This Row],[Industry]], Mean_ROE_M, 3, FALSE))</f>
        <v>-0.38833119692983076</v>
      </c>
      <c r="R16" s="1">
        <f>(Main_M[[#This Row],[ROA]]-VLOOKUP(Main_M[[#This Row],[Industry]], Mean_ROA_M, 2, FALSE))/(VLOOKUP(Main_M[[#This Row],[Industry]], Mean_ROA_M, 3, FALSE))</f>
        <v>-0.57444757131779045</v>
      </c>
      <c r="S16" s="1">
        <f>(Main_M[[#This Row],[A/E]]-VLOOKUP(Main_M[[#This Row],[Industry]], Mean_AE_M, 2, FALSE))/(VLOOKUP(Main_M[[#This Row],[Industry]], Mean_AE_M, 3, FALSE))</f>
        <v>-0.85858861756002236</v>
      </c>
      <c r="T16" s="1">
        <f>(Main_M[[#This Row],[P/E]]-VLOOKUP(Main_M[[#This Row],[Industry]], Mean_PE_M, 2, FALSE))/(VLOOKUP(Main_M[[#This Row],[Industry]], Mean_PE_M, 3, FALSE))</f>
        <v>-0.48956935588555534</v>
      </c>
      <c r="U1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7" spans="1:26" x14ac:dyDescent="0.25">
      <c r="A17" t="s">
        <v>107</v>
      </c>
      <c r="B17" t="s">
        <v>163</v>
      </c>
      <c r="C17" s="2">
        <v>6239</v>
      </c>
      <c r="D17">
        <f>RTD("tos.rtd", , "LAST", Main_M[[#This Row],[Symbol]])</f>
        <v>35.32</v>
      </c>
      <c r="E17">
        <v>2.0499999999999998</v>
      </c>
      <c r="F17">
        <v>18.579999999999998</v>
      </c>
      <c r="G17">
        <v>1.33</v>
      </c>
      <c r="H17" s="1">
        <f>IF(ISNUMBER(Main_M[[#This Row],[Free CF]]),IF(Main_M[[#This Row],[Free CF]]&lt;&gt;0,Main_M[[#This Row],[Current Price]]/Main_M[[#This Row],[Free CF]],""),"")</f>
        <v>17.229268292682928</v>
      </c>
      <c r="I17" s="1">
        <f>IF(ISNUMBER(Main_M[[#This Row],[BVPS]]),IF(Main_M[[#This Row],[BVPS]]&lt;&gt;0,Main_M[[#This Row],[Current Price]]/Main_M[[#This Row],[BVPS]],""),"")</f>
        <v>1.9009687836383209</v>
      </c>
      <c r="J17">
        <v>7.15</v>
      </c>
      <c r="K17">
        <v>2.65</v>
      </c>
      <c r="L17">
        <v>1.98</v>
      </c>
      <c r="M17" s="1">
        <f>IF(ISNUMBER(Main_M[[#This Row],[EPS]]),IF(Main_M[[#This Row],[EPS]]&lt;&gt;0,Main_M[[#This Row],[Current Price]]/Main_M[[#This Row],[EPS]],""),"")</f>
        <v>26.556390977443609</v>
      </c>
      <c r="N1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7" s="1">
        <f>(Main_M[[#This Row],[P/FCF]]-VLOOKUP(Main_M[[#This Row],[Industry]], Mean_PFCF_M, 2, FALSE))/(VLOOKUP(Main_M[[#This Row],[Industry]], Mean_PFCF_M, 3, FALSE))</f>
        <v>-1.2923599802863112E-2</v>
      </c>
      <c r="P17" s="1">
        <f>(Main_M[[#This Row],[P/B]]-VLOOKUP(Main_M[[#This Row],[Industry]], Mean_PB_M, 2, FALSE))/(VLOOKUP(Main_M[[#This Row],[Industry]], Mean_PB_M, 3, FALSE))</f>
        <v>0.2056044823290544</v>
      </c>
      <c r="Q17" s="1">
        <f>(Main_M[[#This Row],[ROE]]-VLOOKUP(Main_M[[#This Row],[Industry]], Mean_ROE_M, 2, FALSE))/(VLOOKUP(Main_M[[#This Row],[Industry]], Mean_ROE_M, 3, FALSE))</f>
        <v>0.58267979784381729</v>
      </c>
      <c r="R17" s="1">
        <f>(Main_M[[#This Row],[ROA]]-VLOOKUP(Main_M[[#This Row],[Industry]], Mean_ROA_M, 2, FALSE))/(VLOOKUP(Main_M[[#This Row],[Industry]], Mean_ROA_M, 3, FALSE))</f>
        <v>0.44659246923765494</v>
      </c>
      <c r="S17" s="1">
        <f>(Main_M[[#This Row],[A/E]]-VLOOKUP(Main_M[[#This Row],[Industry]], Mean_AE_M, 2, FALSE))/(VLOOKUP(Main_M[[#This Row],[Industry]], Mean_AE_M, 3, FALSE))</f>
        <v>0.5060280741175005</v>
      </c>
      <c r="T17" s="1">
        <f>(Main_M[[#This Row],[P/E]]-VLOOKUP(Main_M[[#This Row],[Industry]], Mean_PE_M, 2, FALSE))/(VLOOKUP(Main_M[[#This Row],[Industry]], Mean_PE_M, 3, FALSE))</f>
        <v>-0.87936432044762203</v>
      </c>
      <c r="U1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8" spans="1:26" x14ac:dyDescent="0.25">
      <c r="A18" t="s">
        <v>107</v>
      </c>
      <c r="B18" t="s">
        <v>164</v>
      </c>
      <c r="C18" s="2">
        <v>5798</v>
      </c>
      <c r="D18">
        <f>RTD("tos.rtd", , "LAST", Main_M[[#This Row],[Symbol]])</f>
        <v>58.85</v>
      </c>
      <c r="E18">
        <v>2.44</v>
      </c>
      <c r="F18">
        <v>36.9</v>
      </c>
      <c r="G18">
        <v>1.92</v>
      </c>
      <c r="H18" s="1">
        <f>IF(ISNUMBER(Main_M[[#This Row],[Free CF]]),IF(Main_M[[#This Row],[Free CF]]&lt;&gt;0,Main_M[[#This Row],[Current Price]]/Main_M[[#This Row],[Free CF]],""),"")</f>
        <v>24.118852459016395</v>
      </c>
      <c r="I18" s="1">
        <f>IF(ISNUMBER(Main_M[[#This Row],[BVPS]]),IF(Main_M[[#This Row],[BVPS]]&lt;&gt;0,Main_M[[#This Row],[Current Price]]/Main_M[[#This Row],[BVPS]],""),"")</f>
        <v>1.5948509485094853</v>
      </c>
      <c r="J18">
        <v>5.61</v>
      </c>
      <c r="K18">
        <v>2.13</v>
      </c>
      <c r="L18">
        <v>1.3</v>
      </c>
      <c r="M18" s="1">
        <f>IF(ISNUMBER(Main_M[[#This Row],[EPS]]),IF(Main_M[[#This Row],[EPS]]&lt;&gt;0,Main_M[[#This Row],[Current Price]]/Main_M[[#This Row],[EPS]],""),"")</f>
        <v>30.651041666666668</v>
      </c>
      <c r="N1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8" s="1">
        <f>(Main_M[[#This Row],[P/FCF]]-VLOOKUP(Main_M[[#This Row],[Industry]], Mean_PFCF_M, 2, FALSE))/(VLOOKUP(Main_M[[#This Row],[Industry]], Mean_PFCF_M, 3, FALSE))</f>
        <v>1.6745622892894259</v>
      </c>
      <c r="P18" s="1">
        <f>(Main_M[[#This Row],[P/B]]-VLOOKUP(Main_M[[#This Row],[Industry]], Mean_PB_M, 2, FALSE))/(VLOOKUP(Main_M[[#This Row],[Industry]], Mean_PB_M, 3, FALSE))</f>
        <v>-0.31362167814409769</v>
      </c>
      <c r="Q18" s="1">
        <f>(Main_M[[#This Row],[ROE]]-VLOOKUP(Main_M[[#This Row],[Industry]], Mean_ROE_M, 2, FALSE))/(VLOOKUP(Main_M[[#This Row],[Industry]], Mean_ROE_M, 3, FALSE))</f>
        <v>0.18812651764555402</v>
      </c>
      <c r="R18" s="1">
        <f>(Main_M[[#This Row],[ROA]]-VLOOKUP(Main_M[[#This Row],[Industry]], Mean_ROA_M, 2, FALSE))/(VLOOKUP(Main_M[[#This Row],[Industry]], Mean_ROA_M, 3, FALSE))</f>
        <v>-0.20889002593374223</v>
      </c>
      <c r="S18" s="1">
        <f>(Main_M[[#This Row],[A/E]]-VLOOKUP(Main_M[[#This Row],[Industry]], Mean_AE_M, 2, FALSE))/(VLOOKUP(Main_M[[#This Row],[Industry]], Mean_AE_M, 3, FALSE))</f>
        <v>-1.4683109691606175</v>
      </c>
      <c r="T18" s="1">
        <f>(Main_M[[#This Row],[P/E]]-VLOOKUP(Main_M[[#This Row],[Industry]], Mean_PE_M, 2, FALSE))/(VLOOKUP(Main_M[[#This Row],[Industry]], Mean_PE_M, 3, FALSE))</f>
        <v>-0.1870437453327177</v>
      </c>
      <c r="U1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9" spans="1:26" x14ac:dyDescent="0.25">
      <c r="A19" t="s">
        <v>112</v>
      </c>
      <c r="B19" t="s">
        <v>167</v>
      </c>
      <c r="C19" s="2">
        <v>3003</v>
      </c>
      <c r="D19">
        <f>RTD("tos.rtd", , "LAST", Main_M[[#This Row],[Symbol]])</f>
        <v>27.02</v>
      </c>
      <c r="E19">
        <v>2.96</v>
      </c>
      <c r="F19">
        <v>13.23</v>
      </c>
      <c r="G19">
        <v>1.24</v>
      </c>
      <c r="H19" s="1">
        <f>IF(ISNUMBER(Main_M[[#This Row],[Free CF]]),IF(Main_M[[#This Row],[Free CF]]&lt;&gt;0,Main_M[[#This Row],[Current Price]]/Main_M[[#This Row],[Free CF]],""),"")</f>
        <v>9.128378378378379</v>
      </c>
      <c r="I19" s="1">
        <f>IF(ISNUMBER(Main_M[[#This Row],[BVPS]]),IF(Main_M[[#This Row],[BVPS]]&lt;&gt;0,Main_M[[#This Row],[Current Price]]/Main_M[[#This Row],[BVPS]],""),"")</f>
        <v>2.0423280423280423</v>
      </c>
      <c r="J19">
        <v>9.42</v>
      </c>
      <c r="K19">
        <v>3.22</v>
      </c>
      <c r="L19">
        <v>2.85</v>
      </c>
      <c r="M19" s="1">
        <f>IF(ISNUMBER(Main_M[[#This Row],[EPS]]),IF(Main_M[[#This Row],[EPS]]&lt;&gt;0,Main_M[[#This Row],[Current Price]]/Main_M[[#This Row],[EPS]],""),"")</f>
        <v>21.79032258064516</v>
      </c>
      <c r="N1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9" s="1">
        <f>(Main_M[[#This Row],[P/FCF]]-VLOOKUP(Main_M[[#This Row],[Industry]], Mean_PFCF_M, 2, FALSE))/(VLOOKUP(Main_M[[#This Row],[Industry]], Mean_PFCF_M, 3, FALSE))</f>
        <v>-0.59510320576999232</v>
      </c>
      <c r="P19" s="1">
        <f>(Main_M[[#This Row],[P/B]]-VLOOKUP(Main_M[[#This Row],[Industry]], Mean_PB_M, 2, FALSE))/(VLOOKUP(Main_M[[#This Row],[Industry]], Mean_PB_M, 3, FALSE))</f>
        <v>1.6414586808069953</v>
      </c>
      <c r="Q19" s="1">
        <f>(Main_M[[#This Row],[ROE]]-VLOOKUP(Main_M[[#This Row],[Industry]], Mean_ROE_M, 2, FALSE))/(VLOOKUP(Main_M[[#This Row],[Industry]], Mean_ROE_M, 3, FALSE))</f>
        <v>2.6493506493506498</v>
      </c>
      <c r="R19" s="1">
        <f>(Main_M[[#This Row],[ROA]]-VLOOKUP(Main_M[[#This Row],[Industry]], Mean_ROA_M, 2, FALSE))/(VLOOKUP(Main_M[[#This Row],[Industry]], Mean_ROA_M, 3, FALSE))</f>
        <v>1.4904766573401298</v>
      </c>
      <c r="S19" s="1">
        <f>(Main_M[[#This Row],[A/E]]-VLOOKUP(Main_M[[#This Row],[Industry]], Mean_AE_M, 2, FALSE))/(VLOOKUP(Main_M[[#This Row],[Industry]], Mean_AE_M, 3, FALSE))</f>
        <v>-0.12511971891996013</v>
      </c>
      <c r="T19" s="1">
        <f>(Main_M[[#This Row],[P/E]]-VLOOKUP(Main_M[[#This Row],[Industry]], Mean_PE_M, 2, FALSE))/(VLOOKUP(Main_M[[#This Row],[Industry]], Mean_PE_M, 3, FALSE))</f>
        <v>-0.90005532172035818</v>
      </c>
      <c r="U1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1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0" spans="1:26" x14ac:dyDescent="0.25">
      <c r="A20" t="s">
        <v>112</v>
      </c>
      <c r="B20" t="s">
        <v>168</v>
      </c>
      <c r="C20" s="2">
        <v>4644</v>
      </c>
      <c r="D20">
        <f>RTD("tos.rtd", , "LAST", Main_M[[#This Row],[Symbol]])</f>
        <v>28.33</v>
      </c>
      <c r="E20">
        <v>1.1599999999999999</v>
      </c>
      <c r="F20">
        <v>28.67</v>
      </c>
      <c r="G20">
        <v>0.34</v>
      </c>
      <c r="H20" s="1">
        <f>IF(ISNUMBER(Main_M[[#This Row],[Free CF]]),IF(Main_M[[#This Row],[Free CF]]&lt;&gt;0,Main_M[[#This Row],[Current Price]]/Main_M[[#This Row],[Free CF]],""),"")</f>
        <v>24.422413793103448</v>
      </c>
      <c r="I20" s="1">
        <f>IF(ISNUMBER(Main_M[[#This Row],[BVPS]]),IF(Main_M[[#This Row],[BVPS]]&lt;&gt;0,Main_M[[#This Row],[Current Price]]/Main_M[[#This Row],[BVPS]],""),"")</f>
        <v>0.98814091384722691</v>
      </c>
      <c r="J20">
        <v>1.1599999999999999</v>
      </c>
      <c r="K20">
        <v>1.43</v>
      </c>
      <c r="L20">
        <v>1.8</v>
      </c>
      <c r="M20" s="1">
        <f>IF(ISNUMBER(Main_M[[#This Row],[EPS]]),IF(Main_M[[#This Row],[EPS]]&lt;&gt;0,Main_M[[#This Row],[Current Price]]/Main_M[[#This Row],[EPS]],""),"")</f>
        <v>83.323529411764696</v>
      </c>
      <c r="N2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0" s="1">
        <f>(Main_M[[#This Row],[P/FCF]]-VLOOKUP(Main_M[[#This Row],[Industry]], Mean_PFCF_M, 2, FALSE))/(VLOOKUP(Main_M[[#This Row],[Industry]], Mean_PFCF_M, 3, FALSE))</f>
        <v>1.5111784523777136</v>
      </c>
      <c r="P20" s="1">
        <f>(Main_M[[#This Row],[P/B]]-VLOOKUP(Main_M[[#This Row],[Industry]], Mean_PB_M, 2, FALSE))/(VLOOKUP(Main_M[[#This Row],[Industry]], Mean_PB_M, 3, FALSE))</f>
        <v>-0.77305724697831446</v>
      </c>
      <c r="Q20" s="1">
        <f>(Main_M[[#This Row],[ROE]]-VLOOKUP(Main_M[[#This Row],[Industry]], Mean_ROE_M, 2, FALSE))/(VLOOKUP(Main_M[[#This Row],[Industry]], Mean_ROE_M, 3, FALSE))</f>
        <v>-0.70292207792207795</v>
      </c>
      <c r="R20" s="1">
        <f>(Main_M[[#This Row],[ROA]]-VLOOKUP(Main_M[[#This Row],[Industry]], Mean_ROA_M, 2, FALSE))/(VLOOKUP(Main_M[[#This Row],[Industry]], Mean_ROA_M, 3, FALSE))</f>
        <v>-0.1030107587410842</v>
      </c>
      <c r="S20" s="1">
        <f>(Main_M[[#This Row],[A/E]]-VLOOKUP(Main_M[[#This Row],[Industry]], Mean_AE_M, 2, FALSE))/(VLOOKUP(Main_M[[#This Row],[Industry]], Mean_AE_M, 3, FALSE))</f>
        <v>-1.2892082430487017</v>
      </c>
      <c r="T20" s="1">
        <f>(Main_M[[#This Row],[P/E]]-VLOOKUP(Main_M[[#This Row],[Industry]], Mean_PE_M, 2, FALSE))/(VLOOKUP(Main_M[[#This Row],[Industry]], Mean_PE_M, 3, FALSE))</f>
        <v>0.7431597385143216</v>
      </c>
      <c r="U2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1" spans="1:26" x14ac:dyDescent="0.25">
      <c r="A21" t="s">
        <v>112</v>
      </c>
      <c r="B21" t="s">
        <v>169</v>
      </c>
      <c r="C21" s="2">
        <v>2428</v>
      </c>
      <c r="D21">
        <f>RTD("tos.rtd", , "LAST", Main_M[[#This Row],[Symbol]])</f>
        <v>14.81</v>
      </c>
      <c r="E21">
        <v>2.44</v>
      </c>
      <c r="F21">
        <v>12.3</v>
      </c>
      <c r="G21">
        <v>0.13</v>
      </c>
      <c r="H21" s="1">
        <f>IF(ISNUMBER(Main_M[[#This Row],[Free CF]]),IF(Main_M[[#This Row],[Free CF]]&lt;&gt;0,Main_M[[#This Row],[Current Price]]/Main_M[[#This Row],[Free CF]],""),"")</f>
        <v>6.0696721311475414</v>
      </c>
      <c r="I21" s="1">
        <f>IF(ISNUMBER(Main_M[[#This Row],[BVPS]]),IF(Main_M[[#This Row],[BVPS]]&lt;&gt;0,Main_M[[#This Row],[Current Price]]/Main_M[[#This Row],[BVPS]],""),"")</f>
        <v>1.2040650406504065</v>
      </c>
      <c r="J21">
        <v>0.2</v>
      </c>
      <c r="K21">
        <v>1.37</v>
      </c>
      <c r="L21">
        <v>4.57</v>
      </c>
      <c r="M21" s="1">
        <f>IF(ISNUMBER(Main_M[[#This Row],[EPS]]),IF(Main_M[[#This Row],[EPS]]&lt;&gt;0,Main_M[[#This Row],[Current Price]]/Main_M[[#This Row],[EPS]],""),"")</f>
        <v>113.92307692307692</v>
      </c>
      <c r="N2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1" s="1">
        <f>(Main_M[[#This Row],[P/FCF]]-VLOOKUP(Main_M[[#This Row],[Industry]], Mean_PFCF_M, 2, FALSE))/(VLOOKUP(Main_M[[#This Row],[Industry]], Mean_PFCF_M, 3, FALSE))</f>
        <v>-1.0163456503900232</v>
      </c>
      <c r="P21" s="1">
        <f>(Main_M[[#This Row],[P/B]]-VLOOKUP(Main_M[[#This Row],[Industry]], Mean_PB_M, 2, FALSE))/(VLOOKUP(Main_M[[#This Row],[Industry]], Mean_PB_M, 3, FALSE))</f>
        <v>-0.27850345356335343</v>
      </c>
      <c r="Q21" s="1">
        <f>(Main_M[[#This Row],[ROE]]-VLOOKUP(Main_M[[#This Row],[Industry]], Mean_ROE_M, 2, FALSE))/(VLOOKUP(Main_M[[#This Row],[Industry]], Mean_ROE_M, 3, FALSE))</f>
        <v>-1.0925324675324675</v>
      </c>
      <c r="R21" s="1">
        <f>(Main_M[[#This Row],[ROA]]-VLOOKUP(Main_M[[#This Row],[Industry]], Mean_ROA_M, 2, FALSE))/(VLOOKUP(Main_M[[#This Row],[Industry]], Mean_ROA_M, 3, FALSE))</f>
        <v>-0.15642374475497947</v>
      </c>
      <c r="S21" s="1">
        <f>(Main_M[[#This Row],[A/E]]-VLOOKUP(Main_M[[#This Row],[Industry]], Mean_AE_M, 2, FALSE))/(VLOOKUP(Main_M[[#This Row],[Industry]], Mean_AE_M, 3, FALSE))</f>
        <v>1.7817681491766453</v>
      </c>
      <c r="T21" s="1">
        <f>(Main_M[[#This Row],[P/E]]-VLOOKUP(Main_M[[#This Row],[Industry]], Mean_PE_M, 2, FALSE))/(VLOOKUP(Main_M[[#This Row],[Industry]], Mean_PE_M, 3, FALSE))</f>
        <v>1.5603061200600605</v>
      </c>
      <c r="U2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2" spans="1:26" x14ac:dyDescent="0.25">
      <c r="A22" t="s">
        <v>112</v>
      </c>
      <c r="B22" t="s">
        <v>170</v>
      </c>
      <c r="C22" s="2">
        <v>3136</v>
      </c>
      <c r="D22">
        <f>RTD("tos.rtd", , "LAST", Main_M[[#This Row],[Symbol]])</f>
        <v>30.46</v>
      </c>
      <c r="E22">
        <v>3.52</v>
      </c>
      <c r="F22">
        <v>22.09</v>
      </c>
      <c r="G22">
        <v>1.6</v>
      </c>
      <c r="H22" s="1">
        <f>IF(ISNUMBER(Main_M[[#This Row],[Free CF]]),IF(Main_M[[#This Row],[Free CF]]&lt;&gt;0,Main_M[[#This Row],[Current Price]]/Main_M[[#This Row],[Free CF]],""),"")</f>
        <v>8.6534090909090917</v>
      </c>
      <c r="I22" s="1">
        <f>IF(ISNUMBER(Main_M[[#This Row],[BVPS]]),IF(Main_M[[#This Row],[BVPS]]&lt;&gt;0,Main_M[[#This Row],[Current Price]]/Main_M[[#This Row],[BVPS]],""),"")</f>
        <v>1.3789044816659122</v>
      </c>
      <c r="J22">
        <v>7.16</v>
      </c>
      <c r="K22">
        <v>2.2200000000000002</v>
      </c>
      <c r="L22">
        <v>2.5499999999999998</v>
      </c>
      <c r="M22" s="1">
        <f>IF(ISNUMBER(Main_M[[#This Row],[EPS]]),IF(Main_M[[#This Row],[EPS]]&lt;&gt;0,Main_M[[#This Row],[Current Price]]/Main_M[[#This Row],[EPS]],""),"")</f>
        <v>19.037499999999998</v>
      </c>
      <c r="N2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2" s="1">
        <f>(Main_M[[#This Row],[P/FCF]]-VLOOKUP(Main_M[[#This Row],[Industry]], Mean_PFCF_M, 2, FALSE))/(VLOOKUP(Main_M[[#This Row],[Industry]], Mean_PFCF_M, 3, FALSE))</f>
        <v>-0.6605155754456139</v>
      </c>
      <c r="P22" s="1">
        <f>(Main_M[[#This Row],[P/B]]-VLOOKUP(Main_M[[#This Row],[Industry]], Mean_PB_M, 2, FALSE))/(VLOOKUP(Main_M[[#This Row],[Industry]], Mean_PB_M, 3, FALSE))</f>
        <v>0.12194975225920376</v>
      </c>
      <c r="Q22" s="1">
        <f>(Main_M[[#This Row],[ROE]]-VLOOKUP(Main_M[[#This Row],[Industry]], Mean_ROE_M, 2, FALSE))/(VLOOKUP(Main_M[[#This Row],[Industry]], Mean_ROE_M, 3, FALSE))</f>
        <v>1.7321428571428574</v>
      </c>
      <c r="R22" s="1">
        <f>(Main_M[[#This Row],[ROA]]-VLOOKUP(Main_M[[#This Row],[Industry]], Mean_ROA_M, 2, FALSE))/(VLOOKUP(Main_M[[#This Row],[Industry]], Mean_ROA_M, 3, FALSE))</f>
        <v>0.60026022377520594</v>
      </c>
      <c r="S22" s="1">
        <f>(Main_M[[#This Row],[A/E]]-VLOOKUP(Main_M[[#This Row],[Industry]], Mean_AE_M, 2, FALSE))/(VLOOKUP(Main_M[[#This Row],[Industry]], Mean_AE_M, 3, FALSE))</f>
        <v>-0.45771644009960089</v>
      </c>
      <c r="T22" s="1">
        <f>(Main_M[[#This Row],[P/E]]-VLOOKUP(Main_M[[#This Row],[Industry]], Mean_PE_M, 2, FALSE))/(VLOOKUP(Main_M[[#This Row],[Industry]], Mean_PE_M, 3, FALSE))</f>
        <v>-0.97356814114946932</v>
      </c>
      <c r="U2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3" spans="1:26" x14ac:dyDescent="0.25">
      <c r="A23" t="s">
        <v>112</v>
      </c>
      <c r="B23" t="s">
        <v>171</v>
      </c>
      <c r="C23" s="2">
        <v>3646</v>
      </c>
      <c r="D23">
        <f>RTD("tos.rtd", , "LAST", Main_M[[#This Row],[Symbol]])</f>
        <v>31.74</v>
      </c>
      <c r="E23">
        <v>4.5999999999999996</v>
      </c>
      <c r="F23">
        <v>45.32</v>
      </c>
      <c r="G23">
        <v>1.68</v>
      </c>
      <c r="H23" s="1">
        <f>IF(ISNUMBER(Main_M[[#This Row],[Free CF]]),IF(Main_M[[#This Row],[Free CF]]&lt;&gt;0,Main_M[[#This Row],[Current Price]]/Main_M[[#This Row],[Free CF]],""),"")</f>
        <v>6.9</v>
      </c>
      <c r="I23" s="1">
        <f>IF(ISNUMBER(Main_M[[#This Row],[BVPS]]),IF(Main_M[[#This Row],[BVPS]]&lt;&gt;0,Main_M[[#This Row],[Current Price]]/Main_M[[#This Row],[BVPS]],""),"")</f>
        <v>0.70035304501323914</v>
      </c>
      <c r="J23">
        <v>3.94</v>
      </c>
      <c r="K23">
        <v>1.82</v>
      </c>
      <c r="L23">
        <v>2.0299999999999998</v>
      </c>
      <c r="M23" s="1">
        <f>IF(ISNUMBER(Main_M[[#This Row],[EPS]]),IF(Main_M[[#This Row],[EPS]]&lt;&gt;0,Main_M[[#This Row],[Current Price]]/Main_M[[#This Row],[EPS]],""),"")</f>
        <v>18.892857142857142</v>
      </c>
      <c r="N2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3" s="1">
        <f>(Main_M[[#This Row],[P/FCF]]-VLOOKUP(Main_M[[#This Row],[Industry]], Mean_PFCF_M, 2, FALSE))/(VLOOKUP(Main_M[[#This Row],[Industry]], Mean_PFCF_M, 3, FALSE))</f>
        <v>-0.9019935965998922</v>
      </c>
      <c r="P23" s="1">
        <f>(Main_M[[#This Row],[P/B]]-VLOOKUP(Main_M[[#This Row],[Industry]], Mean_PB_M, 2, FALSE))/(VLOOKUP(Main_M[[#This Row],[Industry]], Mean_PB_M, 3, FALSE))</f>
        <v>-1.4322081456659363</v>
      </c>
      <c r="Q23" s="1">
        <f>(Main_M[[#This Row],[ROE]]-VLOOKUP(Main_M[[#This Row],[Industry]], Mean_ROE_M, 2, FALSE))/(VLOOKUP(Main_M[[#This Row],[Industry]], Mean_ROE_M, 3, FALSE))</f>
        <v>0.42532467532467533</v>
      </c>
      <c r="R23" s="1">
        <f>(Main_M[[#This Row],[ROA]]-VLOOKUP(Main_M[[#This Row],[Industry]], Mean_ROA_M, 2, FALSE))/(VLOOKUP(Main_M[[#This Row],[Industry]], Mean_ROA_M, 3, FALSE))</f>
        <v>0.24417365034923624</v>
      </c>
      <c r="S23" s="1">
        <f>(Main_M[[#This Row],[A/E]]-VLOOKUP(Main_M[[#This Row],[Industry]], Mean_AE_M, 2, FALSE))/(VLOOKUP(Main_M[[#This Row],[Industry]], Mean_AE_M, 3, FALSE))</f>
        <v>-1.0342174234776444</v>
      </c>
      <c r="T23" s="1">
        <f>(Main_M[[#This Row],[P/E]]-VLOOKUP(Main_M[[#This Row],[Industry]], Mean_PE_M, 2, FALSE))/(VLOOKUP(Main_M[[#This Row],[Industry]], Mean_PE_M, 3, FALSE))</f>
        <v>-0.97743075994430695</v>
      </c>
      <c r="U2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4" spans="1:26" x14ac:dyDescent="0.25">
      <c r="A24" t="s">
        <v>112</v>
      </c>
      <c r="B24" t="s">
        <v>172</v>
      </c>
      <c r="C24" s="2">
        <v>3909</v>
      </c>
      <c r="D24">
        <f>RTD("tos.rtd", , "LAST", Main_M[[#This Row],[Symbol]])</f>
        <v>57.53</v>
      </c>
      <c r="E24">
        <v>2.42</v>
      </c>
      <c r="F24">
        <v>50.9</v>
      </c>
      <c r="G24">
        <v>-0.45</v>
      </c>
      <c r="H24" s="1">
        <f>IF(ISNUMBER(Main_M[[#This Row],[Free CF]]),IF(Main_M[[#This Row],[Free CF]]&lt;&gt;0,Main_M[[#This Row],[Current Price]]/Main_M[[#This Row],[Free CF]],""),"")</f>
        <v>23.772727272727273</v>
      </c>
      <c r="I24" s="1">
        <f>IF(ISNUMBER(Main_M[[#This Row],[BVPS]]),IF(Main_M[[#This Row],[BVPS]]&lt;&gt;0,Main_M[[#This Row],[Current Price]]/Main_M[[#This Row],[BVPS]],""),"")</f>
        <v>1.1302554027504912</v>
      </c>
      <c r="J24">
        <v>-0.22</v>
      </c>
      <c r="K24">
        <v>-0.79</v>
      </c>
      <c r="L24">
        <v>3.16</v>
      </c>
      <c r="M24" s="1">
        <f>IF(ISNUMBER(Main_M[[#This Row],[EPS]]),IF(Main_M[[#This Row],[EPS]]&lt;&gt;0,Main_M[[#This Row],[Current Price]]/Main_M[[#This Row],[EPS]],""),"")</f>
        <v>-127.84444444444445</v>
      </c>
      <c r="N2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4" s="1">
        <f>(Main_M[[#This Row],[P/FCF]]-VLOOKUP(Main_M[[#This Row],[Industry]], Mean_PFCF_M, 2, FALSE))/(VLOOKUP(Main_M[[#This Row],[Industry]], Mean_PFCF_M, 3, FALSE))</f>
        <v>1.4217041727447119</v>
      </c>
      <c r="P24" s="1">
        <f>(Main_M[[#This Row],[P/B]]-VLOOKUP(Main_M[[#This Row],[Industry]], Mean_PB_M, 2, FALSE))/(VLOOKUP(Main_M[[#This Row],[Industry]], Mean_PB_M, 3, FALSE))</f>
        <v>-0.44755744930909558</v>
      </c>
      <c r="Q24" s="1">
        <f>(Main_M[[#This Row],[ROE]]-VLOOKUP(Main_M[[#This Row],[Industry]], Mean_ROE_M, 2, FALSE))/(VLOOKUP(Main_M[[#This Row],[Industry]], Mean_ROE_M, 3, FALSE))</f>
        <v>-1.2629870129870131</v>
      </c>
      <c r="R24" s="1">
        <f>(Main_M[[#This Row],[ROA]]-VLOOKUP(Main_M[[#This Row],[Industry]], Mean_ROA_M, 2, FALSE))/(VLOOKUP(Main_M[[#This Row],[Industry]], Mean_ROA_M, 3, FALSE))</f>
        <v>-2.0792912412552154</v>
      </c>
      <c r="S24" s="1">
        <f>(Main_M[[#This Row],[A/E]]-VLOOKUP(Main_M[[#This Row],[Industry]], Mean_AE_M, 2, FALSE))/(VLOOKUP(Main_M[[#This Row],[Industry]], Mean_AE_M, 3, FALSE))</f>
        <v>0.21856355963233506</v>
      </c>
      <c r="T24" s="1">
        <f>(Main_M[[#This Row],[P/E]]-VLOOKUP(Main_M[[#This Row],[Industry]], Mean_PE_M, 2, FALSE))/(VLOOKUP(Main_M[[#This Row],[Industry]], Mean_PE_M, 3, FALSE))</f>
        <v>-4.8959806988125782</v>
      </c>
      <c r="U2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2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25" spans="1:26" x14ac:dyDescent="0.25">
      <c r="A25" t="s">
        <v>112</v>
      </c>
      <c r="B25" t="s">
        <v>173</v>
      </c>
      <c r="C25" s="2">
        <v>7465</v>
      </c>
      <c r="D25">
        <f>RTD("tos.rtd", , "LAST", Main_M[[#This Row],[Symbol]])</f>
        <v>39.520000000000003</v>
      </c>
      <c r="E25">
        <v>2.6</v>
      </c>
      <c r="F25">
        <v>21.53</v>
      </c>
      <c r="G25">
        <v>0.52</v>
      </c>
      <c r="H25" s="1">
        <f>IF(ISNUMBER(Main_M[[#This Row],[Free CF]]),IF(Main_M[[#This Row],[Free CF]]&lt;&gt;0,Main_M[[#This Row],[Current Price]]/Main_M[[#This Row],[Free CF]],""),"")</f>
        <v>15.200000000000001</v>
      </c>
      <c r="I25" s="1">
        <f>IF(ISNUMBER(Main_M[[#This Row],[BVPS]]),IF(Main_M[[#This Row],[BVPS]]&lt;&gt;0,Main_M[[#This Row],[Current Price]]/Main_M[[#This Row],[BVPS]],""),"")</f>
        <v>1.8355782628889921</v>
      </c>
      <c r="J25">
        <v>2</v>
      </c>
      <c r="K25">
        <v>1.55</v>
      </c>
      <c r="L25">
        <v>3.78</v>
      </c>
      <c r="M25" s="1">
        <f>IF(ISNUMBER(Main_M[[#This Row],[EPS]]),IF(Main_M[[#This Row],[EPS]]&lt;&gt;0,Main_M[[#This Row],[Current Price]]/Main_M[[#This Row],[EPS]],""),"")</f>
        <v>76</v>
      </c>
      <c r="N2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5" s="1">
        <f>(Main_M[[#This Row],[P/FCF]]-VLOOKUP(Main_M[[#This Row],[Industry]], Mean_PFCF_M, 2, FALSE))/(VLOOKUP(Main_M[[#This Row],[Industry]], Mean_PFCF_M, 3, FALSE))</f>
        <v>0.24107540308309469</v>
      </c>
      <c r="P25" s="1">
        <f>(Main_M[[#This Row],[P/B]]-VLOOKUP(Main_M[[#This Row],[Industry]], Mean_PB_M, 2, FALSE))/(VLOOKUP(Main_M[[#This Row],[Industry]], Mean_PB_M, 3, FALSE))</f>
        <v>1.1679178624505024</v>
      </c>
      <c r="Q25" s="1">
        <f>(Main_M[[#This Row],[ROE]]-VLOOKUP(Main_M[[#This Row],[Industry]], Mean_ROE_M, 2, FALSE))/(VLOOKUP(Main_M[[#This Row],[Industry]], Mean_ROE_M, 3, FALSE))</f>
        <v>-0.36201298701298695</v>
      </c>
      <c r="R25" s="1">
        <f>(Main_M[[#This Row],[ROA]]-VLOOKUP(Main_M[[#This Row],[Industry]], Mean_ROA_M, 2, FALSE))/(VLOOKUP(Main_M[[#This Row],[Industry]], Mean_ROA_M, 3, FALSE))</f>
        <v>3.8152132867067634E-3</v>
      </c>
      <c r="S25" s="1">
        <f>(Main_M[[#This Row],[A/E]]-VLOOKUP(Main_M[[#This Row],[Industry]], Mean_AE_M, 2, FALSE))/(VLOOKUP(Main_M[[#This Row],[Industry]], Mean_AE_M, 3, FALSE))</f>
        <v>0.90593011673692492</v>
      </c>
      <c r="T25" s="1">
        <f>(Main_M[[#This Row],[P/E]]-VLOOKUP(Main_M[[#This Row],[Industry]], Mean_PE_M, 2, FALSE))/(VLOOKUP(Main_M[[#This Row],[Industry]], Mean_PE_M, 3, FALSE))</f>
        <v>0.5475883642397521</v>
      </c>
      <c r="U2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6" spans="1:26" x14ac:dyDescent="0.25">
      <c r="A26" t="s">
        <v>149</v>
      </c>
      <c r="B26" t="s">
        <v>201</v>
      </c>
      <c r="C26" s="2">
        <v>2550</v>
      </c>
      <c r="D26">
        <f>RTD("tos.rtd", , "LAST", Main_M[[#This Row],[Symbol]])</f>
        <v>46.12</v>
      </c>
      <c r="E26">
        <v>1.76</v>
      </c>
      <c r="F26">
        <v>12.5</v>
      </c>
      <c r="G26">
        <v>1.33</v>
      </c>
      <c r="H26" s="1">
        <f>IF(ISNUMBER(Main_M[[#This Row],[Free CF]]),IF(Main_M[[#This Row],[Free CF]]&lt;&gt;0,Main_M[[#This Row],[Current Price]]/Main_M[[#This Row],[Free CF]],""),"")</f>
        <v>26.204545454545453</v>
      </c>
      <c r="I26" s="1">
        <f>IF(ISNUMBER(Main_M[[#This Row],[BVPS]]),IF(Main_M[[#This Row],[BVPS]]&lt;&gt;0,Main_M[[#This Row],[Current Price]]/Main_M[[#This Row],[BVPS]],""),"")</f>
        <v>3.6896</v>
      </c>
      <c r="J26">
        <v>10.52</v>
      </c>
      <c r="K26">
        <v>3.91</v>
      </c>
      <c r="L26">
        <v>2.13</v>
      </c>
      <c r="M26" s="1">
        <f>IF(ISNUMBER(Main_M[[#This Row],[EPS]]),IF(Main_M[[#This Row],[EPS]]&lt;&gt;0,Main_M[[#This Row],[Current Price]]/Main_M[[#This Row],[EPS]],""),"")</f>
        <v>34.676691729323302</v>
      </c>
      <c r="N2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6" s="1">
        <f>(Main_M[[#This Row],[P/FCF]]-VLOOKUP(Main_M[[#This Row],[Industry]], Mean_PFCF_M, 2, FALSE))/(VLOOKUP(Main_M[[#This Row],[Industry]], Mean_PFCF_M, 3, FALSE))</f>
        <v>0.22606092282158027</v>
      </c>
      <c r="P26" s="1">
        <f>(Main_M[[#This Row],[P/B]]-VLOOKUP(Main_M[[#This Row],[Industry]], Mean_PB_M, 2, FALSE))/(VLOOKUP(Main_M[[#This Row],[Industry]], Mean_PB_M, 3, FALSE))</f>
        <v>-0.29181380917437233</v>
      </c>
      <c r="Q26" s="1">
        <f>(Main_M[[#This Row],[ROE]]-VLOOKUP(Main_M[[#This Row],[Industry]], Mean_ROE_M, 2, FALSE))/(VLOOKUP(Main_M[[#This Row],[Industry]], Mean_ROE_M, 3, FALSE))</f>
        <v>0.57599397925532658</v>
      </c>
      <c r="R26" s="1">
        <f>(Main_M[[#This Row],[ROA]]-VLOOKUP(Main_M[[#This Row],[Industry]], Mean_ROA_M, 2, FALSE))/(VLOOKUP(Main_M[[#This Row],[Industry]], Mean_ROA_M, 3, FALSE))</f>
        <v>0.3042193270030768</v>
      </c>
      <c r="S26" s="1">
        <f>(Main_M[[#This Row],[A/E]]-VLOOKUP(Main_M[[#This Row],[Industry]], Mean_AE_M, 2, FALSE))/(VLOOKUP(Main_M[[#This Row],[Industry]], Mean_AE_M, 3, FALSE))</f>
        <v>-1.1016948858169222</v>
      </c>
      <c r="T26" s="1">
        <f>(Main_M[[#This Row],[P/E]]-VLOOKUP(Main_M[[#This Row],[Industry]], Mean_PE_M, 2, FALSE))/(VLOOKUP(Main_M[[#This Row],[Industry]], Mean_PE_M, 3, FALSE))</f>
        <v>0.41099393146229563</v>
      </c>
      <c r="U2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7" spans="1:26" x14ac:dyDescent="0.25">
      <c r="A27" t="s">
        <v>149</v>
      </c>
      <c r="B27" t="s">
        <v>202</v>
      </c>
      <c r="C27" s="2">
        <v>2357</v>
      </c>
      <c r="D27">
        <f>RTD("tos.rtd", , "LAST", Main_M[[#This Row],[Symbol]])</f>
        <v>27.59</v>
      </c>
      <c r="E27">
        <v>0.18</v>
      </c>
      <c r="F27">
        <v>3.06</v>
      </c>
      <c r="G27">
        <v>0.13</v>
      </c>
      <c r="H27" s="1">
        <f>IF(ISNUMBER(Main_M[[#This Row],[Free CF]]),IF(Main_M[[#This Row],[Free CF]]&lt;&gt;0,Main_M[[#This Row],[Current Price]]/Main_M[[#This Row],[Free CF]],""),"")</f>
        <v>153.27777777777777</v>
      </c>
      <c r="I27" s="1">
        <f>IF(ISNUMBER(Main_M[[#This Row],[BVPS]]),IF(Main_M[[#This Row],[BVPS]]&lt;&gt;0,Main_M[[#This Row],[Current Price]]/Main_M[[#This Row],[BVPS]],""),"")</f>
        <v>9.0163398692810457</v>
      </c>
      <c r="J27">
        <v>4.4800000000000004</v>
      </c>
      <c r="K27">
        <v>3.11</v>
      </c>
      <c r="L27">
        <v>1.55</v>
      </c>
      <c r="M27" s="1">
        <f>IF(ISNUMBER(Main_M[[#This Row],[EPS]]),IF(Main_M[[#This Row],[EPS]]&lt;&gt;0,Main_M[[#This Row],[Current Price]]/Main_M[[#This Row],[EPS]],""),"")</f>
        <v>212.23076923076923</v>
      </c>
      <c r="N2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7" s="1">
        <f>(Main_M[[#This Row],[P/FCF]]-VLOOKUP(Main_M[[#This Row],[Industry]], Mean_PFCF_M, 2, FALSE))/(VLOOKUP(Main_M[[#This Row],[Industry]], Mean_PFCF_M, 3, FALSE))</f>
        <v>15.017375834029576</v>
      </c>
      <c r="P27" s="1">
        <f>(Main_M[[#This Row],[P/B]]-VLOOKUP(Main_M[[#This Row],[Industry]], Mean_PB_M, 2, FALSE))/(VLOOKUP(Main_M[[#This Row],[Industry]], Mean_PB_M, 3, FALSE))</f>
        <v>1.5310718723426959</v>
      </c>
      <c r="Q27" s="1">
        <f>(Main_M[[#This Row],[ROE]]-VLOOKUP(Main_M[[#This Row],[Industry]], Mean_ROE_M, 2, FALSE))/(VLOOKUP(Main_M[[#This Row],[Industry]], Mean_ROE_M, 3, FALSE))</f>
        <v>-1.7929773673317535</v>
      </c>
      <c r="R27" s="1">
        <f>(Main_M[[#This Row],[ROA]]-VLOOKUP(Main_M[[#This Row],[Industry]], Mean_ROA_M, 2, FALSE))/(VLOOKUP(Main_M[[#This Row],[Industry]], Mean_ROA_M, 3, FALSE))</f>
        <v>-0.62672506164021824</v>
      </c>
      <c r="S27" s="1">
        <f>(Main_M[[#This Row],[A/E]]-VLOOKUP(Main_M[[#This Row],[Industry]], Mean_AE_M, 2, FALSE))/(VLOOKUP(Main_M[[#This Row],[Industry]], Mean_AE_M, 3, FALSE))</f>
        <v>-1.722820556556961</v>
      </c>
      <c r="T27" s="1">
        <f>(Main_M[[#This Row],[P/E]]-VLOOKUP(Main_M[[#This Row],[Industry]], Mean_PE_M, 2, FALSE))/(VLOOKUP(Main_M[[#This Row],[Industry]], Mean_PE_M, 3, FALSE))</f>
        <v>7.8516182379897215</v>
      </c>
      <c r="U2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2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28" spans="1:26" x14ac:dyDescent="0.25">
      <c r="A28" t="s">
        <v>149</v>
      </c>
      <c r="B28" t="s">
        <v>203</v>
      </c>
      <c r="C28" s="2">
        <v>3462</v>
      </c>
      <c r="D28">
        <f>RTD("tos.rtd", , "LAST", Main_M[[#This Row],[Symbol]])</f>
        <v>71.650000000000006</v>
      </c>
      <c r="E28">
        <v>7.57</v>
      </c>
      <c r="F28">
        <v>55.81</v>
      </c>
      <c r="G28">
        <v>5.73</v>
      </c>
      <c r="H28" s="1">
        <f>IF(ISNUMBER(Main_M[[#This Row],[Free CF]]),IF(Main_M[[#This Row],[Free CF]]&lt;&gt;0,Main_M[[#This Row],[Current Price]]/Main_M[[#This Row],[Free CF]],""),"")</f>
        <v>9.4649933949801852</v>
      </c>
      <c r="I28" s="1">
        <f>IF(ISNUMBER(Main_M[[#This Row],[BVPS]]),IF(Main_M[[#This Row],[BVPS]]&lt;&gt;0,Main_M[[#This Row],[Current Price]]/Main_M[[#This Row],[BVPS]],""),"")</f>
        <v>1.283820103924028</v>
      </c>
      <c r="J28">
        <v>9.67</v>
      </c>
      <c r="K28">
        <v>3.57</v>
      </c>
      <c r="L28">
        <v>3.32</v>
      </c>
      <c r="M28" s="1">
        <f>IF(ISNUMBER(Main_M[[#This Row],[EPS]]),IF(Main_M[[#This Row],[EPS]]&lt;&gt;0,Main_M[[#This Row],[Current Price]]/Main_M[[#This Row],[EPS]],""),"")</f>
        <v>12.504363001745201</v>
      </c>
      <c r="N2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8" s="1">
        <f>(Main_M[[#This Row],[P/FCF]]-VLOOKUP(Main_M[[#This Row],[Industry]], Mean_PFCF_M, 2, FALSE))/(VLOOKUP(Main_M[[#This Row],[Industry]], Mean_PFCF_M, 3, FALSE))</f>
        <v>-1.722421707696369</v>
      </c>
      <c r="P28" s="1">
        <f>(Main_M[[#This Row],[P/B]]-VLOOKUP(Main_M[[#This Row],[Industry]], Mean_PB_M, 2, FALSE))/(VLOOKUP(Main_M[[#This Row],[Industry]], Mean_PB_M, 3, FALSE))</f>
        <v>-1.1151056974697209</v>
      </c>
      <c r="Q28" s="1">
        <f>(Main_M[[#This Row],[ROE]]-VLOOKUP(Main_M[[#This Row],[Industry]], Mean_ROE_M, 2, FALSE))/(VLOOKUP(Main_M[[#This Row],[Industry]], Mean_ROE_M, 3, FALSE))</f>
        <v>0.24261225001707862</v>
      </c>
      <c r="R28" s="1">
        <f>(Main_M[[#This Row],[ROA]]-VLOOKUP(Main_M[[#This Row],[Industry]], Mean_ROA_M, 2, FALSE))/(VLOOKUP(Main_M[[#This Row],[Industry]], Mean_ROA_M, 3, FALSE))</f>
        <v>-9.1432038170323776E-2</v>
      </c>
      <c r="S28" s="1">
        <f>(Main_M[[#This Row],[A/E]]-VLOOKUP(Main_M[[#This Row],[Industry]], Mean_AE_M, 2, FALSE))/(VLOOKUP(Main_M[[#This Row],[Industry]], Mean_AE_M, 3, FALSE))</f>
        <v>0.17268364552901982</v>
      </c>
      <c r="T28" s="1">
        <f>(Main_M[[#This Row],[P/E]]-VLOOKUP(Main_M[[#This Row],[Industry]], Mean_PE_M, 2, FALSE))/(VLOOKUP(Main_M[[#This Row],[Industry]], Mean_PE_M, 3, FALSE))</f>
        <v>-0.51816506271169294</v>
      </c>
      <c r="U2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9" spans="1:26" x14ac:dyDescent="0.25">
      <c r="A29" t="s">
        <v>149</v>
      </c>
      <c r="B29" t="s">
        <v>204</v>
      </c>
      <c r="C29" s="2">
        <v>6113</v>
      </c>
      <c r="D29">
        <f>RTD("tos.rtd", , "LAST", Main_M[[#This Row],[Symbol]])</f>
        <v>128.91999999999999</v>
      </c>
      <c r="E29">
        <v>5.23</v>
      </c>
      <c r="F29">
        <v>26.18</v>
      </c>
      <c r="G29">
        <v>3.22</v>
      </c>
      <c r="H29" s="1">
        <f>IF(ISNUMBER(Main_M[[#This Row],[Free CF]]),IF(Main_M[[#This Row],[Free CF]]&lt;&gt;0,Main_M[[#This Row],[Current Price]]/Main_M[[#This Row],[Free CF]],""),"")</f>
        <v>24.650095602294449</v>
      </c>
      <c r="I29" s="1">
        <f>IF(ISNUMBER(Main_M[[#This Row],[BVPS]]),IF(Main_M[[#This Row],[BVPS]]&lt;&gt;0,Main_M[[#This Row],[Current Price]]/Main_M[[#This Row],[BVPS]],""),"")</f>
        <v>4.924369747899159</v>
      </c>
      <c r="J29">
        <v>10.77</v>
      </c>
      <c r="K29">
        <v>3.9</v>
      </c>
      <c r="L29">
        <v>4.5999999999999996</v>
      </c>
      <c r="M29" s="1">
        <f>IF(ISNUMBER(Main_M[[#This Row],[EPS]]),IF(Main_M[[#This Row],[EPS]]&lt;&gt;0,Main_M[[#This Row],[Current Price]]/Main_M[[#This Row],[EPS]],""),"")</f>
        <v>40.037267080745337</v>
      </c>
      <c r="N2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9" s="1">
        <f>(Main_M[[#This Row],[P/FCF]]-VLOOKUP(Main_M[[#This Row],[Industry]], Mean_PFCF_M, 2, FALSE))/(VLOOKUP(Main_M[[#This Row],[Industry]], Mean_PFCF_M, 3, FALSE))</f>
        <v>4.5123074165614896E-2</v>
      </c>
      <c r="P29" s="1">
        <f>(Main_M[[#This Row],[P/B]]-VLOOKUP(Main_M[[#This Row],[Industry]], Mean_PB_M, 2, FALSE))/(VLOOKUP(Main_M[[#This Row],[Industry]], Mean_PB_M, 3, FALSE))</f>
        <v>0.13074185313538023</v>
      </c>
      <c r="Q29" s="1">
        <f>(Main_M[[#This Row],[ROE]]-VLOOKUP(Main_M[[#This Row],[Industry]], Mean_ROE_M, 2, FALSE))/(VLOOKUP(Main_M[[#This Row],[Industry]], Mean_ROE_M, 3, FALSE))</f>
        <v>0.6740474290312819</v>
      </c>
      <c r="R29" s="1">
        <f>(Main_M[[#This Row],[ROA]]-VLOOKUP(Main_M[[#This Row],[Industry]], Mean_ROA_M, 2, FALSE))/(VLOOKUP(Main_M[[#This Row],[Industry]], Mean_ROA_M, 3, FALSE))</f>
        <v>0.29258252214503538</v>
      </c>
      <c r="S29" s="1">
        <f>(Main_M[[#This Row],[A/E]]-VLOOKUP(Main_M[[#This Row],[Industry]], Mean_AE_M, 2, FALSE))/(VLOOKUP(Main_M[[#This Row],[Industry]], Mean_AE_M, 3, FALSE))</f>
        <v>1.5434437464725539</v>
      </c>
      <c r="T29" s="1">
        <f>(Main_M[[#This Row],[P/E]]-VLOOKUP(Main_M[[#This Row],[Industry]], Mean_PE_M, 2, FALSE))/(VLOOKUP(Main_M[[#This Row],[Industry]], Mean_PE_M, 3, FALSE))</f>
        <v>0.63563550443004557</v>
      </c>
      <c r="U2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0" spans="1:26" x14ac:dyDescent="0.25">
      <c r="A30" t="s">
        <v>149</v>
      </c>
      <c r="B30" t="s">
        <v>205</v>
      </c>
      <c r="C30" s="2">
        <v>3968</v>
      </c>
      <c r="D30">
        <f>RTD("tos.rtd", , "LAST", Main_M[[#This Row],[Symbol]])</f>
        <v>6.46</v>
      </c>
      <c r="E30">
        <v>0.21</v>
      </c>
      <c r="F30">
        <v>0.8</v>
      </c>
      <c r="G30">
        <v>-0.31</v>
      </c>
      <c r="H30" s="1">
        <f>IF(ISNUMBER(Main_M[[#This Row],[Free CF]]),IF(Main_M[[#This Row],[Free CF]]&lt;&gt;0,Main_M[[#This Row],[Current Price]]/Main_M[[#This Row],[Free CF]],""),"")</f>
        <v>30.761904761904763</v>
      </c>
      <c r="I30" s="1">
        <f>IF(ISNUMBER(Main_M[[#This Row],[BVPS]]),IF(Main_M[[#This Row],[BVPS]]&lt;&gt;0,Main_M[[#This Row],[Current Price]]/Main_M[[#This Row],[BVPS]],""),"")</f>
        <v>8.0749999999999993</v>
      </c>
      <c r="J30">
        <v>-36.590000000000003</v>
      </c>
      <c r="K30">
        <v>-7.43</v>
      </c>
      <c r="L30">
        <v>2.88</v>
      </c>
      <c r="M30" s="1">
        <f>IF(ISNUMBER(Main_M[[#This Row],[EPS]]),IF(Main_M[[#This Row],[EPS]]&lt;&gt;0,Main_M[[#This Row],[Current Price]]/Main_M[[#This Row],[EPS]],""),"")</f>
        <v>-20.838709677419356</v>
      </c>
      <c r="N3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0" s="1">
        <f>(Main_M[[#This Row],[P/FCF]]-VLOOKUP(Main_M[[#This Row],[Industry]], Mean_PFCF_M, 2, FALSE))/(VLOOKUP(Main_M[[#This Row],[Industry]], Mean_PFCF_M, 3, FALSE))</f>
        <v>0.75653721154310427</v>
      </c>
      <c r="P30" s="1">
        <f>(Main_M[[#This Row],[P/B]]-VLOOKUP(Main_M[[#This Row],[Industry]], Mean_PB_M, 2, FALSE))/(VLOOKUP(Main_M[[#This Row],[Industry]], Mean_PB_M, 3, FALSE))</f>
        <v>1.2089320623907651</v>
      </c>
      <c r="Q30" s="1">
        <f>(Main_M[[#This Row],[ROE]]-VLOOKUP(Main_M[[#This Row],[Industry]], Mean_ROE_M, 2, FALSE))/(VLOOKUP(Main_M[[#This Row],[Industry]], Mean_ROE_M, 3, FALSE))</f>
        <v>-17.901198096525697</v>
      </c>
      <c r="R30" s="1">
        <f>(Main_M[[#This Row],[ROA]]-VLOOKUP(Main_M[[#This Row],[Industry]], Mean_ROA_M, 2, FALSE))/(VLOOKUP(Main_M[[#This Row],[Industry]], Mean_ROA_M, 3, FALSE))</f>
        <v>-12.891917382015626</v>
      </c>
      <c r="S30" s="1">
        <f>(Main_M[[#This Row],[A/E]]-VLOOKUP(Main_M[[#This Row],[Industry]], Mean_AE_M, 2, FALSE))/(VLOOKUP(Main_M[[#This Row],[Industry]], Mean_AE_M, 3, FALSE))</f>
        <v>-0.29851513917032002</v>
      </c>
      <c r="T30" s="1">
        <f>(Main_M[[#This Row],[P/E]]-VLOOKUP(Main_M[[#This Row],[Industry]], Mean_PE_M, 2, FALSE))/(VLOOKUP(Main_M[[#This Row],[Industry]], Mean_PE_M, 3, FALSE))</f>
        <v>-1.9154479667265667</v>
      </c>
      <c r="U3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3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3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1" spans="1:26" x14ac:dyDescent="0.25">
      <c r="A31" t="s">
        <v>149</v>
      </c>
      <c r="B31" t="s">
        <v>206</v>
      </c>
      <c r="C31" s="2">
        <v>2306</v>
      </c>
      <c r="D31">
        <f>RTD("tos.rtd", , "LAST", Main_M[[#This Row],[Symbol]])</f>
        <v>10.8</v>
      </c>
      <c r="E31">
        <v>0.59</v>
      </c>
      <c r="F31">
        <v>7.68</v>
      </c>
      <c r="G31">
        <v>0.69</v>
      </c>
      <c r="H31" s="1">
        <f>IF(ISNUMBER(Main_M[[#This Row],[Free CF]]),IF(Main_M[[#This Row],[Free CF]]&lt;&gt;0,Main_M[[#This Row],[Current Price]]/Main_M[[#This Row],[Free CF]],""),"")</f>
        <v>18.305084745762713</v>
      </c>
      <c r="I31" s="1">
        <f>IF(ISNUMBER(Main_M[[#This Row],[BVPS]]),IF(Main_M[[#This Row],[BVPS]]&lt;&gt;0,Main_M[[#This Row],[Current Price]]/Main_M[[#This Row],[BVPS]],""),"")</f>
        <v>1.4062500000000002</v>
      </c>
      <c r="J31">
        <v>9.52</v>
      </c>
      <c r="K31">
        <v>3.49</v>
      </c>
      <c r="L31">
        <v>4.17</v>
      </c>
      <c r="M31" s="1">
        <f>IF(ISNUMBER(Main_M[[#This Row],[EPS]]),IF(Main_M[[#This Row],[EPS]]&lt;&gt;0,Main_M[[#This Row],[Current Price]]/Main_M[[#This Row],[EPS]],""),"")</f>
        <v>15.65217391304348</v>
      </c>
      <c r="N3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1" s="1">
        <f>(Main_M[[#This Row],[P/FCF]]-VLOOKUP(Main_M[[#This Row],[Industry]], Mean_PFCF_M, 2, FALSE))/(VLOOKUP(Main_M[[#This Row],[Industry]], Mean_PFCF_M, 3, FALSE))</f>
        <v>-0.69343572360910766</v>
      </c>
      <c r="P31" s="1">
        <f>(Main_M[[#This Row],[P/B]]-VLOOKUP(Main_M[[#This Row],[Industry]], Mean_PB_M, 2, FALSE))/(VLOOKUP(Main_M[[#This Row],[Industry]], Mean_PB_M, 3, FALSE))</f>
        <v>-1.0732084563760547</v>
      </c>
      <c r="Q31" s="1">
        <f>(Main_M[[#This Row],[ROE]]-VLOOKUP(Main_M[[#This Row],[Industry]], Mean_ROE_M, 2, FALSE))/(VLOOKUP(Main_M[[#This Row],[Industry]], Mean_ROE_M, 3, FALSE))</f>
        <v>0.1837801801515053</v>
      </c>
      <c r="R31" s="1">
        <f>(Main_M[[#This Row],[ROA]]-VLOOKUP(Main_M[[#This Row],[Industry]], Mean_ROA_M, 2, FALSE))/(VLOOKUP(Main_M[[#This Row],[Industry]], Mean_ROA_M, 3, FALSE))</f>
        <v>-0.1845264770346528</v>
      </c>
      <c r="S31" s="1">
        <f>(Main_M[[#This Row],[A/E]]-VLOOKUP(Main_M[[#This Row],[Industry]], Mean_AE_M, 2, FALSE))/(VLOOKUP(Main_M[[#This Row],[Industry]], Mean_AE_M, 3, FALSE))</f>
        <v>1.0829540250618357</v>
      </c>
      <c r="T31" s="1">
        <f>(Main_M[[#This Row],[P/E]]-VLOOKUP(Main_M[[#This Row],[Industry]], Mean_PE_M, 2, FALSE))/(VLOOKUP(Main_M[[#This Row],[Industry]], Mean_PE_M, 3, FALSE))</f>
        <v>-0.38625213393782415</v>
      </c>
      <c r="U3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2" spans="1:26" x14ac:dyDescent="0.25">
      <c r="A32" t="s">
        <v>149</v>
      </c>
      <c r="B32" t="s">
        <v>207</v>
      </c>
      <c r="C32" s="2">
        <v>7945</v>
      </c>
      <c r="D32">
        <f>RTD("tos.rtd", , "LAST", Main_M[[#This Row],[Symbol]])</f>
        <v>175.15</v>
      </c>
      <c r="E32">
        <v>4.84</v>
      </c>
      <c r="F32">
        <v>26.53</v>
      </c>
      <c r="G32">
        <v>2.88</v>
      </c>
      <c r="H32" s="1">
        <f>IF(ISNUMBER(Main_M[[#This Row],[Free CF]]),IF(Main_M[[#This Row],[Free CF]]&lt;&gt;0,Main_M[[#This Row],[Current Price]]/Main_M[[#This Row],[Free CF]],""),"")</f>
        <v>36.188016528925623</v>
      </c>
      <c r="I32" s="1">
        <f>IF(ISNUMBER(Main_M[[#This Row],[BVPS]]),IF(Main_M[[#This Row],[BVPS]]&lt;&gt;0,Main_M[[#This Row],[Current Price]]/Main_M[[#This Row],[BVPS]],""),"")</f>
        <v>6.601960045231813</v>
      </c>
      <c r="J32">
        <v>12.27</v>
      </c>
      <c r="K32">
        <v>5.31</v>
      </c>
      <c r="L32">
        <v>3.51</v>
      </c>
      <c r="M32" s="1">
        <f>IF(ISNUMBER(Main_M[[#This Row],[EPS]]),IF(Main_M[[#This Row],[EPS]]&lt;&gt;0,Main_M[[#This Row],[Current Price]]/Main_M[[#This Row],[EPS]],""),"")</f>
        <v>60.815972222222229</v>
      </c>
      <c r="N3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2" s="1">
        <f>(Main_M[[#This Row],[P/FCF]]-VLOOKUP(Main_M[[#This Row],[Industry]], Mean_PFCF_M, 2, FALSE))/(VLOOKUP(Main_M[[#This Row],[Industry]], Mean_PFCF_M, 3, FALSE))</f>
        <v>1.3881362227751755</v>
      </c>
      <c r="P32" s="1">
        <f>(Main_M[[#This Row],[P/B]]-VLOOKUP(Main_M[[#This Row],[Industry]], Mean_PB_M, 2, FALSE))/(VLOOKUP(Main_M[[#This Row],[Industry]], Mean_PB_M, 3, FALSE))</f>
        <v>0.70483696712719679</v>
      </c>
      <c r="Q32" s="1">
        <f>(Main_M[[#This Row],[ROE]]-VLOOKUP(Main_M[[#This Row],[Industry]], Mean_ROE_M, 2, FALSE))/(VLOOKUP(Main_M[[#This Row],[Industry]], Mean_ROE_M, 3, FALSE))</f>
        <v>1.2623681276870138</v>
      </c>
      <c r="R32" s="1">
        <f>(Main_M[[#This Row],[ROA]]-VLOOKUP(Main_M[[#This Row],[Industry]], Mean_ROA_M, 2, FALSE))/(VLOOKUP(Main_M[[#This Row],[Industry]], Mean_ROA_M, 3, FALSE))</f>
        <v>1.9333720071288421</v>
      </c>
      <c r="S32" s="1">
        <f>(Main_M[[#This Row],[A/E]]-VLOOKUP(Main_M[[#This Row],[Industry]], Mean_AE_M, 2, FALSE))/(VLOOKUP(Main_M[[#This Row],[Industry]], Mean_AE_M, 3, FALSE))</f>
        <v>0.37615584801282564</v>
      </c>
      <c r="T32" s="1">
        <f>(Main_M[[#This Row],[P/E]]-VLOOKUP(Main_M[[#This Row],[Industry]], Mean_PE_M, 2, FALSE))/(VLOOKUP(Main_M[[#This Row],[Industry]], Mean_PE_M, 3, FALSE))</f>
        <v>1.5063929700398131</v>
      </c>
      <c r="U3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3" spans="1:26" x14ac:dyDescent="0.25">
      <c r="A33" t="s">
        <v>149</v>
      </c>
      <c r="B33" t="s">
        <v>208</v>
      </c>
      <c r="C33" s="2">
        <v>2063</v>
      </c>
      <c r="D33">
        <f>RTD("tos.rtd", , "LAST", Main_M[[#This Row],[Symbol]])</f>
        <v>11.87</v>
      </c>
      <c r="E33">
        <v>-0.89</v>
      </c>
      <c r="F33">
        <v>8.85</v>
      </c>
      <c r="G33">
        <v>0.38</v>
      </c>
      <c r="H33" s="1">
        <f>IF(ISNUMBER(Main_M[[#This Row],[Free CF]]),IF(Main_M[[#This Row],[Free CF]]&lt;&gt;0,Main_M[[#This Row],[Current Price]]/Main_M[[#This Row],[Free CF]],""),"")</f>
        <v>-13.337078651685392</v>
      </c>
      <c r="I33" s="1">
        <f>IF(ISNUMBER(Main_M[[#This Row],[BVPS]]),IF(Main_M[[#This Row],[BVPS]]&lt;&gt;0,Main_M[[#This Row],[Current Price]]/Main_M[[#This Row],[BVPS]],""),"")</f>
        <v>1.3412429378531072</v>
      </c>
      <c r="J33">
        <v>6.13</v>
      </c>
      <c r="K33">
        <v>2.25</v>
      </c>
      <c r="L33">
        <v>3.11</v>
      </c>
      <c r="M33" s="1">
        <f>IF(ISNUMBER(Main_M[[#This Row],[EPS]]),IF(Main_M[[#This Row],[EPS]]&lt;&gt;0,Main_M[[#This Row],[Current Price]]/Main_M[[#This Row],[EPS]],""),"")</f>
        <v>31.236842105263154</v>
      </c>
      <c r="N3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3" s="1">
        <f>(Main_M[[#This Row],[P/FCF]]-VLOOKUP(Main_M[[#This Row],[Industry]], Mean_PFCF_M, 2, FALSE))/(VLOOKUP(Main_M[[#This Row],[Industry]], Mean_PFCF_M, 3, FALSE))</f>
        <v>-4.3765812195310358</v>
      </c>
      <c r="P33" s="1">
        <f>(Main_M[[#This Row],[P/B]]-VLOOKUP(Main_M[[#This Row],[Industry]], Mean_PB_M, 2, FALSE))/(VLOOKUP(Main_M[[#This Row],[Industry]], Mean_PB_M, 3, FALSE))</f>
        <v>-1.0954547919758921</v>
      </c>
      <c r="Q33" s="1">
        <f>(Main_M[[#This Row],[ROE]]-VLOOKUP(Main_M[[#This Row],[Industry]], Mean_ROE_M, 2, FALSE))/(VLOOKUP(Main_M[[#This Row],[Industry]], Mean_ROE_M, 3, FALSE))</f>
        <v>-1.1458245988104487</v>
      </c>
      <c r="R33" s="1">
        <f>(Main_M[[#This Row],[ROA]]-VLOOKUP(Main_M[[#This Row],[Industry]], Mean_ROA_M, 2, FALSE))/(VLOOKUP(Main_M[[#This Row],[Industry]], Mean_ROA_M, 3, FALSE))</f>
        <v>-1.6274902794317598</v>
      </c>
      <c r="S33" s="1">
        <f>(Main_M[[#This Row],[A/E]]-VLOOKUP(Main_M[[#This Row],[Industry]], Mean_AE_M, 2, FALSE))/(VLOOKUP(Main_M[[#This Row],[Industry]], Mean_AE_M, 3, FALSE))</f>
        <v>-5.2206683532028737E-2</v>
      </c>
      <c r="T33" s="1">
        <f>(Main_M[[#This Row],[P/E]]-VLOOKUP(Main_M[[#This Row],[Industry]], Mean_PE_M, 2, FALSE))/(VLOOKUP(Main_M[[#This Row],[Industry]], Mean_PE_M, 3, FALSE))</f>
        <v>0.26684275744393082</v>
      </c>
      <c r="U3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3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4" spans="1:26" x14ac:dyDescent="0.25">
      <c r="A34" t="s">
        <v>120</v>
      </c>
      <c r="B34" t="s">
        <v>180</v>
      </c>
      <c r="C34" s="2">
        <v>4524</v>
      </c>
      <c r="D34">
        <f>RTD("tos.rtd", , "LAST", Main_M[[#This Row],[Symbol]])</f>
        <v>18.920000000000002</v>
      </c>
      <c r="E34">
        <v>0.71</v>
      </c>
      <c r="F34">
        <v>14.81</v>
      </c>
      <c r="G34">
        <v>0.13</v>
      </c>
      <c r="H34" s="1">
        <f>IF(ISNUMBER(Main_M[[#This Row],[Free CF]]),IF(Main_M[[#This Row],[Free CF]]&lt;&gt;0,Main_M[[#This Row],[Current Price]]/Main_M[[#This Row],[Free CF]],""),"")</f>
        <v>26.647887323943667</v>
      </c>
      <c r="I34" s="1">
        <f>IF(ISNUMBER(Main_M[[#This Row],[BVPS]]),IF(Main_M[[#This Row],[BVPS]]&lt;&gt;0,Main_M[[#This Row],[Current Price]]/Main_M[[#This Row],[BVPS]],""),"")</f>
        <v>1.2775151924375423</v>
      </c>
      <c r="J34">
        <v>0.86</v>
      </c>
      <c r="K34">
        <v>1.32</v>
      </c>
      <c r="L34">
        <v>1.73</v>
      </c>
      <c r="M34" s="1">
        <f>IF(ISNUMBER(Main_M[[#This Row],[EPS]]),IF(Main_M[[#This Row],[EPS]]&lt;&gt;0,Main_M[[#This Row],[Current Price]]/Main_M[[#This Row],[EPS]],""),"")</f>
        <v>145.53846153846155</v>
      </c>
      <c r="N3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4" s="1" t="e">
        <f>(Main_M[[#This Row],[P/FCF]]-VLOOKUP(Main_M[[#This Row],[Industry]], Mean_PFCF_M, 2, FALSE))/(VLOOKUP(Main_M[[#This Row],[Industry]], Mean_PFCF_M, 3, FALSE))</f>
        <v>#DIV/0!</v>
      </c>
      <c r="P34" s="1" t="e">
        <f>(Main_M[[#This Row],[P/B]]-VLOOKUP(Main_M[[#This Row],[Industry]], Mean_PB_M, 2, FALSE))/(VLOOKUP(Main_M[[#This Row],[Industry]], Mean_PB_M, 3, FALSE))</f>
        <v>#DIV/0!</v>
      </c>
      <c r="Q34" s="1" t="e">
        <f>(Main_M[[#This Row],[ROE]]-VLOOKUP(Main_M[[#This Row],[Industry]], Mean_ROE_M, 2, FALSE))/(VLOOKUP(Main_M[[#This Row],[Industry]], Mean_ROE_M, 3, FALSE))</f>
        <v>#DIV/0!</v>
      </c>
      <c r="R34" s="1" t="e">
        <f>(Main_M[[#This Row],[ROA]]-VLOOKUP(Main_M[[#This Row],[Industry]], Mean_ROA_M, 2, FALSE))/(VLOOKUP(Main_M[[#This Row],[Industry]], Mean_ROA_M, 3, FALSE))</f>
        <v>#DIV/0!</v>
      </c>
      <c r="S34" s="1" t="e">
        <f>(Main_M[[#This Row],[A/E]]-VLOOKUP(Main_M[[#This Row],[Industry]], Mean_AE_M, 2, FALSE))/(VLOOKUP(Main_M[[#This Row],[Industry]], Mean_AE_M, 3, FALSE))</f>
        <v>#DIV/0!</v>
      </c>
      <c r="T34" s="1" t="e">
        <f>(Main_M[[#This Row],[P/E]]-VLOOKUP(Main_M[[#This Row],[Industry]], Mean_PE_M, 2, FALSE))/(VLOOKUP(Main_M[[#This Row],[Industry]], Mean_PE_M, 3, FALSE))</f>
        <v>#DIV/0!</v>
      </c>
      <c r="U3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5" spans="1:26" x14ac:dyDescent="0.25">
      <c r="A35" t="s">
        <v>131</v>
      </c>
      <c r="B35" t="s">
        <v>181</v>
      </c>
      <c r="C35" s="2">
        <v>8382</v>
      </c>
      <c r="D35">
        <f>RTD("tos.rtd", , "LAST", Main_M[[#This Row],[Symbol]])</f>
        <v>72.92</v>
      </c>
      <c r="E35">
        <v>4.4000000000000004</v>
      </c>
      <c r="F35">
        <v>49.81</v>
      </c>
      <c r="G35">
        <v>1.77</v>
      </c>
      <c r="H35" s="1">
        <f>IF(ISNUMBER(Main_M[[#This Row],[Free CF]]),IF(Main_M[[#This Row],[Free CF]]&lt;&gt;0,Main_M[[#This Row],[Current Price]]/Main_M[[#This Row],[Free CF]],""),"")</f>
        <v>16.572727272727271</v>
      </c>
      <c r="I35" s="1">
        <f>IF(ISNUMBER(Main_M[[#This Row],[BVPS]]),IF(Main_M[[#This Row],[BVPS]]&lt;&gt;0,Main_M[[#This Row],[Current Price]]/Main_M[[#This Row],[BVPS]],""),"")</f>
        <v>1.4639630596265809</v>
      </c>
      <c r="J35">
        <v>3.55</v>
      </c>
      <c r="K35">
        <v>2.2999999999999998</v>
      </c>
      <c r="L35">
        <v>1.61</v>
      </c>
      <c r="M35" s="1">
        <f>IF(ISNUMBER(Main_M[[#This Row],[EPS]]),IF(Main_M[[#This Row],[EPS]]&lt;&gt;0,Main_M[[#This Row],[Current Price]]/Main_M[[#This Row],[EPS]],""),"")</f>
        <v>41.197740112994353</v>
      </c>
      <c r="N3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5" s="1">
        <f>(Main_M[[#This Row],[P/FCF]]-VLOOKUP(Main_M[[#This Row],[Industry]], Mean_PFCF_M, 2, FALSE))/(VLOOKUP(Main_M[[#This Row],[Industry]], Mean_PFCF_M, 3, FALSE))</f>
        <v>0.38302652794877745</v>
      </c>
      <c r="P35" s="1">
        <f>(Main_M[[#This Row],[P/B]]-VLOOKUP(Main_M[[#This Row],[Industry]], Mean_PB_M, 2, FALSE))/(VLOOKUP(Main_M[[#This Row],[Industry]], Mean_PB_M, 3, FALSE))</f>
        <v>-0.53590565271835389</v>
      </c>
      <c r="Q35" s="1">
        <f>(Main_M[[#This Row],[ROE]]-VLOOKUP(Main_M[[#This Row],[Industry]], Mean_ROE_M, 2, FALSE))/(VLOOKUP(Main_M[[#This Row],[Industry]], Mean_ROE_M, 3, FALSE))</f>
        <v>-0.15331226370333048</v>
      </c>
      <c r="R35" s="1">
        <f>(Main_M[[#This Row],[ROA]]-VLOOKUP(Main_M[[#This Row],[Industry]], Mean_ROA_M, 2, FALSE))/(VLOOKUP(Main_M[[#This Row],[Industry]], Mean_ROA_M, 3, FALSE))</f>
        <v>-3.1010065745589368E-2</v>
      </c>
      <c r="S35" s="1">
        <f>(Main_M[[#This Row],[A/E]]-VLOOKUP(Main_M[[#This Row],[Industry]], Mean_AE_M, 2, FALSE))/(VLOOKUP(Main_M[[#This Row],[Industry]], Mean_AE_M, 3, FALSE))</f>
        <v>-0.96174595423503317</v>
      </c>
      <c r="T35" s="1">
        <f>(Main_M[[#This Row],[P/E]]-VLOOKUP(Main_M[[#This Row],[Industry]], Mean_PE_M, 2, FALSE))/(VLOOKUP(Main_M[[#This Row],[Industry]], Mean_PE_M, 3, FALSE))</f>
        <v>-0.32512634638770604</v>
      </c>
      <c r="U3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6" spans="1:26" x14ac:dyDescent="0.25">
      <c r="A36" t="s">
        <v>131</v>
      </c>
      <c r="B36" t="s">
        <v>182</v>
      </c>
      <c r="C36" s="2">
        <v>2537</v>
      </c>
      <c r="D36">
        <f>RTD("tos.rtd", , "LAST", Main_M[[#This Row],[Symbol]])</f>
        <v>20.23</v>
      </c>
      <c r="E36">
        <v>1.24</v>
      </c>
      <c r="F36">
        <v>17.55</v>
      </c>
      <c r="G36">
        <v>0.17</v>
      </c>
      <c r="H36" s="1">
        <f>IF(ISNUMBER(Main_M[[#This Row],[Free CF]]),IF(Main_M[[#This Row],[Free CF]]&lt;&gt;0,Main_M[[#This Row],[Current Price]]/Main_M[[#This Row],[Free CF]],""),"")</f>
        <v>16.31451612903226</v>
      </c>
      <c r="I36" s="1">
        <f>IF(ISNUMBER(Main_M[[#This Row],[BVPS]]),IF(Main_M[[#This Row],[BVPS]]&lt;&gt;0,Main_M[[#This Row],[Current Price]]/Main_M[[#This Row],[BVPS]],""),"")</f>
        <v>1.1527065527065528</v>
      </c>
      <c r="J36">
        <v>0.13</v>
      </c>
      <c r="K36">
        <v>1.24</v>
      </c>
      <c r="L36">
        <v>2.06</v>
      </c>
      <c r="M36" s="1">
        <f>IF(ISNUMBER(Main_M[[#This Row],[EPS]]),IF(Main_M[[#This Row],[EPS]]&lt;&gt;0,Main_M[[#This Row],[Current Price]]/Main_M[[#This Row],[EPS]],""),"")</f>
        <v>119</v>
      </c>
      <c r="N3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6" s="1">
        <f>(Main_M[[#This Row],[P/FCF]]-VLOOKUP(Main_M[[#This Row],[Industry]], Mean_PFCF_M, 2, FALSE))/(VLOOKUP(Main_M[[#This Row],[Industry]], Mean_PFCF_M, 3, FALSE))</f>
        <v>0.28812020853243503</v>
      </c>
      <c r="P36" s="1">
        <f>(Main_M[[#This Row],[P/B]]-VLOOKUP(Main_M[[#This Row],[Industry]], Mean_PB_M, 2, FALSE))/(VLOOKUP(Main_M[[#This Row],[Industry]], Mean_PB_M, 3, FALSE))</f>
        <v>-1.1334118314976334</v>
      </c>
      <c r="Q36" s="1">
        <f>(Main_M[[#This Row],[ROE]]-VLOOKUP(Main_M[[#This Row],[Industry]], Mean_ROE_M, 2, FALSE))/(VLOOKUP(Main_M[[#This Row],[Industry]], Mean_ROE_M, 3, FALSE))</f>
        <v>-0.72582684990757818</v>
      </c>
      <c r="R36" s="1">
        <f>(Main_M[[#This Row],[ROA]]-VLOOKUP(Main_M[[#This Row],[Industry]], Mean_ROA_M, 2, FALSE))/(VLOOKUP(Main_M[[#This Row],[Industry]], Mean_ROA_M, 3, FALSE))</f>
        <v>-1.0424152869863579</v>
      </c>
      <c r="S36" s="1">
        <f>(Main_M[[#This Row],[A/E]]-VLOOKUP(Main_M[[#This Row],[Industry]], Mean_AE_M, 2, FALSE))/(VLOOKUP(Main_M[[#This Row],[Industry]], Mean_AE_M, 3, FALSE))</f>
        <v>-0.36134963598426079</v>
      </c>
      <c r="T36" s="1">
        <f>(Main_M[[#This Row],[P/E]]-VLOOKUP(Main_M[[#This Row],[Industry]], Mean_PE_M, 2, FALSE))/(VLOOKUP(Main_M[[#This Row],[Industry]], Mean_PE_M, 3, FALSE))</f>
        <v>0.93388177394845373</v>
      </c>
      <c r="U3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7" spans="1:26" x14ac:dyDescent="0.25">
      <c r="A37" t="s">
        <v>131</v>
      </c>
      <c r="B37" t="s">
        <v>183</v>
      </c>
      <c r="C37" s="2">
        <v>7734</v>
      </c>
      <c r="D37">
        <f>RTD("tos.rtd", , "LAST", Main_M[[#This Row],[Symbol]])</f>
        <v>26.04</v>
      </c>
      <c r="E37">
        <v>2.06</v>
      </c>
      <c r="F37">
        <v>9.65</v>
      </c>
      <c r="G37">
        <v>1.05</v>
      </c>
      <c r="H37" s="1">
        <f>IF(ISNUMBER(Main_M[[#This Row],[Free CF]]),IF(Main_M[[#This Row],[Free CF]]&lt;&gt;0,Main_M[[#This Row],[Current Price]]/Main_M[[#This Row],[Free CF]],""),"")</f>
        <v>12.640776699029125</v>
      </c>
      <c r="I37" s="1">
        <f>IF(ISNUMBER(Main_M[[#This Row],[BVPS]]),IF(Main_M[[#This Row],[BVPS]]&lt;&gt;0,Main_M[[#This Row],[Current Price]]/Main_M[[#This Row],[BVPS]],""),"")</f>
        <v>2.6984455958549223</v>
      </c>
      <c r="J37">
        <v>11.01</v>
      </c>
      <c r="K37">
        <v>3.39</v>
      </c>
      <c r="L37">
        <v>2.91</v>
      </c>
      <c r="M37" s="1">
        <f>IF(ISNUMBER(Main_M[[#This Row],[EPS]]),IF(Main_M[[#This Row],[EPS]]&lt;&gt;0,Main_M[[#This Row],[Current Price]]/Main_M[[#This Row],[EPS]],""),"")</f>
        <v>24.799999999999997</v>
      </c>
      <c r="N3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7" s="1">
        <f>(Main_M[[#This Row],[P/FCF]]-VLOOKUP(Main_M[[#This Row],[Industry]], Mean_PFCF_M, 2, FALSE))/(VLOOKUP(Main_M[[#This Row],[Industry]], Mean_PFCF_M, 3, FALSE))</f>
        <v>-1.0621742938927374</v>
      </c>
      <c r="P37" s="1">
        <f>(Main_M[[#This Row],[P/B]]-VLOOKUP(Main_M[[#This Row],[Industry]], Mean_PB_M, 2, FALSE))/(VLOOKUP(Main_M[[#This Row],[Industry]], Mean_PB_M, 3, FALSE))</f>
        <v>1.8338791601050639</v>
      </c>
      <c r="Q37" s="1">
        <f>(Main_M[[#This Row],[ROE]]-VLOOKUP(Main_M[[#This Row],[Industry]], Mean_ROE_M, 2, FALSE))/(VLOOKUP(Main_M[[#This Row],[Industry]], Mean_ROE_M, 3, FALSE))</f>
        <v>1.0955061026954087</v>
      </c>
      <c r="R37" s="1">
        <f>(Main_M[[#This Row],[ROA]]-VLOOKUP(Main_M[[#This Row],[Industry]], Mean_ROA_M, 2, FALSE))/(VLOOKUP(Main_M[[#This Row],[Industry]], Mean_ROA_M, 3, FALSE))</f>
        <v>1.0090198315680314</v>
      </c>
      <c r="S37" s="1">
        <f>(Main_M[[#This Row],[A/E]]-VLOOKUP(Main_M[[#This Row],[Industry]], Mean_AE_M, 2, FALSE))/(VLOOKUP(Main_M[[#This Row],[Industry]], Mean_AE_M, 3, FALSE))</f>
        <v>0.7727322984894206</v>
      </c>
      <c r="T37" s="1">
        <f>(Main_M[[#This Row],[P/E]]-VLOOKUP(Main_M[[#This Row],[Industry]], Mean_PE_M, 2, FALSE))/(VLOOKUP(Main_M[[#This Row],[Industry]], Mean_PE_M, 3, FALSE))</f>
        <v>-0.59047709567705842</v>
      </c>
      <c r="U3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8" spans="1:26" x14ac:dyDescent="0.25">
      <c r="A38" t="s">
        <v>131</v>
      </c>
      <c r="B38" t="s">
        <v>184</v>
      </c>
      <c r="C38" s="2">
        <v>2460</v>
      </c>
      <c r="D38">
        <f>RTD("tos.rtd", , "LAST", Main_M[[#This Row],[Symbol]])</f>
        <v>23.4</v>
      </c>
      <c r="E38">
        <v>0.61</v>
      </c>
      <c r="F38">
        <v>18.38</v>
      </c>
      <c r="G38">
        <v>0.11</v>
      </c>
      <c r="H38" s="1">
        <f>IF(ISNUMBER(Main_M[[#This Row],[Free CF]]),IF(Main_M[[#This Row],[Free CF]]&lt;&gt;0,Main_M[[#This Row],[Current Price]]/Main_M[[#This Row],[Free CF]],""),"")</f>
        <v>38.360655737704917</v>
      </c>
      <c r="I38" s="1">
        <f>IF(ISNUMBER(Main_M[[#This Row],[BVPS]]),IF(Main_M[[#This Row],[BVPS]]&lt;&gt;0,Main_M[[#This Row],[Current Price]]/Main_M[[#This Row],[BVPS]],""),"")</f>
        <v>1.2731229597388465</v>
      </c>
      <c r="J38">
        <v>0.92</v>
      </c>
      <c r="K38">
        <v>1.44</v>
      </c>
      <c r="L38">
        <v>1.1000000000000001</v>
      </c>
      <c r="M38" s="1">
        <f>IF(ISNUMBER(Main_M[[#This Row],[EPS]]),IF(Main_M[[#This Row],[EPS]]&lt;&gt;0,Main_M[[#This Row],[Current Price]]/Main_M[[#This Row],[EPS]],""),"")</f>
        <v>212.72727272727272</v>
      </c>
      <c r="N3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8" s="1">
        <f>(Main_M[[#This Row],[P/FCF]]-VLOOKUP(Main_M[[#This Row],[Industry]], Mean_PFCF_M, 2, FALSE))/(VLOOKUP(Main_M[[#This Row],[Industry]], Mean_PFCF_M, 3, FALSE))</f>
        <v>8.391248282932402</v>
      </c>
      <c r="P38" s="1">
        <f>(Main_M[[#This Row],[P/B]]-VLOOKUP(Main_M[[#This Row],[Industry]], Mean_PB_M, 2, FALSE))/(VLOOKUP(Main_M[[#This Row],[Industry]], Mean_PB_M, 3, FALSE))</f>
        <v>-0.90225346009471097</v>
      </c>
      <c r="Q38" s="1">
        <f>(Main_M[[#This Row],[ROE]]-VLOOKUP(Main_M[[#This Row],[Industry]], Mean_ROE_M, 2, FALSE))/(VLOOKUP(Main_M[[#This Row],[Industry]], Mean_ROE_M, 3, FALSE))</f>
        <v>-0.59357932853291273</v>
      </c>
      <c r="R38" s="1">
        <f>(Main_M[[#This Row],[ROA]]-VLOOKUP(Main_M[[#This Row],[Industry]], Mean_ROA_M, 2, FALSE))/(VLOOKUP(Main_M[[#This Row],[Industry]], Mean_ROA_M, 3, FALSE))</f>
        <v>-0.85158411316734495</v>
      </c>
      <c r="S38" s="1">
        <f>(Main_M[[#This Row],[A/E]]-VLOOKUP(Main_M[[#This Row],[Industry]], Mean_AE_M, 2, FALSE))/(VLOOKUP(Main_M[[#This Row],[Industry]], Mean_AE_M, 3, FALSE))</f>
        <v>-1.642195114919242</v>
      </c>
      <c r="T38" s="1">
        <f>(Main_M[[#This Row],[P/E]]-VLOOKUP(Main_M[[#This Row],[Industry]], Mean_PE_M, 2, FALSE))/(VLOOKUP(Main_M[[#This Row],[Industry]], Mean_PE_M, 3, FALSE))</f>
        <v>2.4505908982332474</v>
      </c>
      <c r="U3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3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9" spans="1:26" x14ac:dyDescent="0.25">
      <c r="A39" t="s">
        <v>131</v>
      </c>
      <c r="B39" t="s">
        <v>185</v>
      </c>
      <c r="C39" s="2">
        <v>8167</v>
      </c>
      <c r="D39">
        <f>RTD("tos.rtd", , "LAST", Main_M[[#This Row],[Symbol]])</f>
        <v>96.91</v>
      </c>
      <c r="E39">
        <v>5.59</v>
      </c>
      <c r="F39">
        <v>35.159999999999997</v>
      </c>
      <c r="G39">
        <v>3.42</v>
      </c>
      <c r="H39" s="1">
        <f>IF(ISNUMBER(Main_M[[#This Row],[Free CF]]),IF(Main_M[[#This Row],[Free CF]]&lt;&gt;0,Main_M[[#This Row],[Current Price]]/Main_M[[#This Row],[Free CF]],""),"")</f>
        <v>17.336314847942756</v>
      </c>
      <c r="I39" s="1">
        <f>IF(ISNUMBER(Main_M[[#This Row],[BVPS]]),IF(Main_M[[#This Row],[BVPS]]&lt;&gt;0,Main_M[[#This Row],[Current Price]]/Main_M[[#This Row],[BVPS]],""),"")</f>
        <v>2.7562571103526738</v>
      </c>
      <c r="J39">
        <v>9.15</v>
      </c>
      <c r="K39">
        <v>3.11</v>
      </c>
      <c r="L39">
        <v>2.83</v>
      </c>
      <c r="M39" s="1">
        <f>IF(ISNUMBER(Main_M[[#This Row],[EPS]]),IF(Main_M[[#This Row],[EPS]]&lt;&gt;0,Main_M[[#This Row],[Current Price]]/Main_M[[#This Row],[EPS]],""),"")</f>
        <v>28.336257309941519</v>
      </c>
      <c r="N3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9" s="1">
        <f>(Main_M[[#This Row],[P/FCF]]-VLOOKUP(Main_M[[#This Row],[Industry]], Mean_PFCF_M, 2, FALSE))/(VLOOKUP(Main_M[[#This Row],[Industry]], Mean_PFCF_M, 3, FALSE))</f>
        <v>0.66368554707054406</v>
      </c>
      <c r="P39" s="1">
        <f>(Main_M[[#This Row],[P/B]]-VLOOKUP(Main_M[[#This Row],[Industry]], Mean_PB_M, 2, FALSE))/(VLOOKUP(Main_M[[#This Row],[Industry]], Mean_PB_M, 3, FALSE))</f>
        <v>1.9448575215176642</v>
      </c>
      <c r="Q39" s="1">
        <f>(Main_M[[#This Row],[ROE]]-VLOOKUP(Main_M[[#This Row],[Industry]], Mean_ROE_M, 2, FALSE))/(VLOOKUP(Main_M[[#This Row],[Industry]], Mean_ROE_M, 3, FALSE))</f>
        <v>0.78413852072467749</v>
      </c>
      <c r="R39" s="1">
        <f>(Main_M[[#This Row],[ROA]]-VLOOKUP(Main_M[[#This Row],[Industry]], Mean_ROA_M, 2, FALSE))/(VLOOKUP(Main_M[[#This Row],[Industry]], Mean_ROA_M, 3, FALSE))</f>
        <v>0.74185618822141308</v>
      </c>
      <c r="S39" s="1">
        <f>(Main_M[[#This Row],[A/E]]-VLOOKUP(Main_M[[#This Row],[Industry]], Mean_AE_M, 2, FALSE))/(VLOOKUP(Main_M[[#This Row],[Industry]], Mean_AE_M, 3, FALSE))</f>
        <v>0.66599517524483876</v>
      </c>
      <c r="T39" s="1">
        <f>(Main_M[[#This Row],[P/E]]-VLOOKUP(Main_M[[#This Row],[Industry]], Mean_PE_M, 2, FALSE))/(VLOOKUP(Main_M[[#This Row],[Industry]], Mean_PE_M, 3, FALSE))</f>
        <v>-0.53325283669948498</v>
      </c>
      <c r="U3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0" spans="1:26" x14ac:dyDescent="0.25">
      <c r="A40" t="s">
        <v>131</v>
      </c>
      <c r="B40" t="s">
        <v>186</v>
      </c>
      <c r="C40" s="2">
        <v>2183</v>
      </c>
      <c r="D40">
        <f>RTD("tos.rtd", , "LAST", Main_M[[#This Row],[Symbol]])</f>
        <v>28.33</v>
      </c>
      <c r="E40">
        <v>1.45</v>
      </c>
      <c r="F40">
        <v>22.49</v>
      </c>
      <c r="G40">
        <v>0.24</v>
      </c>
      <c r="H40" s="1">
        <f>IF(ISNUMBER(Main_M[[#This Row],[Free CF]]),IF(Main_M[[#This Row],[Free CF]]&lt;&gt;0,Main_M[[#This Row],[Current Price]]/Main_M[[#This Row],[Free CF]],""),"")</f>
        <v>19.537931034482757</v>
      </c>
      <c r="I40" s="1">
        <f>IF(ISNUMBER(Main_M[[#This Row],[BVPS]]),IF(Main_M[[#This Row],[BVPS]]&lt;&gt;0,Main_M[[#This Row],[Current Price]]/Main_M[[#This Row],[BVPS]],""),"")</f>
        <v>1.2596709648732771</v>
      </c>
      <c r="J40">
        <v>1.07</v>
      </c>
      <c r="K40">
        <v>1.23</v>
      </c>
      <c r="L40">
        <v>1.49</v>
      </c>
      <c r="M40" s="1">
        <f>IF(ISNUMBER(Main_M[[#This Row],[EPS]]),IF(Main_M[[#This Row],[EPS]]&lt;&gt;0,Main_M[[#This Row],[Current Price]]/Main_M[[#This Row],[EPS]],""),"")</f>
        <v>118.04166666666666</v>
      </c>
      <c r="N4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0" s="1">
        <f>(Main_M[[#This Row],[P/FCF]]-VLOOKUP(Main_M[[#This Row],[Industry]], Mean_PFCF_M, 2, FALSE))/(VLOOKUP(Main_M[[#This Row],[Industry]], Mean_PFCF_M, 3, FALSE))</f>
        <v>1.4728965131114042</v>
      </c>
      <c r="P40" s="1">
        <f>(Main_M[[#This Row],[P/B]]-VLOOKUP(Main_M[[#This Row],[Industry]], Mean_PB_M, 2, FALSE))/(VLOOKUP(Main_M[[#This Row],[Industry]], Mean_PB_M, 3, FALSE))</f>
        <v>-0.92807669549826821</v>
      </c>
      <c r="Q40" s="1">
        <f>(Main_M[[#This Row],[ROE]]-VLOOKUP(Main_M[[#This Row],[Industry]], Mean_ROE_M, 2, FALSE))/(VLOOKUP(Main_M[[#This Row],[Industry]], Mean_ROE_M, 3, FALSE))</f>
        <v>-0.5684690396643054</v>
      </c>
      <c r="R40" s="1">
        <f>(Main_M[[#This Row],[ROA]]-VLOOKUP(Main_M[[#This Row],[Industry]], Mean_ROA_M, 2, FALSE))/(VLOOKUP(Main_M[[#This Row],[Industry]], Mean_ROA_M, 3, FALSE))</f>
        <v>-1.0519568456773085</v>
      </c>
      <c r="S40" s="1">
        <f>(Main_M[[#This Row],[A/E]]-VLOOKUP(Main_M[[#This Row],[Industry]], Mean_AE_M, 2, FALSE))/(VLOOKUP(Main_M[[#This Row],[Industry]], Mean_AE_M, 3, FALSE))</f>
        <v>-1.121851639101906</v>
      </c>
      <c r="T40" s="1">
        <f>(Main_M[[#This Row],[P/E]]-VLOOKUP(Main_M[[#This Row],[Industry]], Mean_PE_M, 2, FALSE))/(VLOOKUP(Main_M[[#This Row],[Industry]], Mean_PE_M, 3, FALSE))</f>
        <v>0.91837387674331084</v>
      </c>
      <c r="U4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1" spans="1:26" x14ac:dyDescent="0.25">
      <c r="A41" t="s">
        <v>131</v>
      </c>
      <c r="B41" t="s">
        <v>187</v>
      </c>
      <c r="C41" s="2">
        <v>4917</v>
      </c>
      <c r="D41">
        <f>RTD("tos.rtd", , "LAST", Main_M[[#This Row],[Symbol]])</f>
        <v>22.91</v>
      </c>
      <c r="E41">
        <v>1.33</v>
      </c>
      <c r="F41">
        <v>14.87</v>
      </c>
      <c r="G41">
        <v>0.06</v>
      </c>
      <c r="H41" s="1">
        <f>IF(ISNUMBER(Main_M[[#This Row],[Free CF]]),IF(Main_M[[#This Row],[Free CF]]&lt;&gt;0,Main_M[[#This Row],[Current Price]]/Main_M[[#This Row],[Free CF]],""),"")</f>
        <v>17.225563909774436</v>
      </c>
      <c r="I41" s="1">
        <f>IF(ISNUMBER(Main_M[[#This Row],[BVPS]]),IF(Main_M[[#This Row],[BVPS]]&lt;&gt;0,Main_M[[#This Row],[Current Price]]/Main_M[[#This Row],[BVPS]],""),"")</f>
        <v>1.5406859448554138</v>
      </c>
      <c r="J41">
        <v>0.41</v>
      </c>
      <c r="K41">
        <v>1.73</v>
      </c>
      <c r="L41">
        <v>2.04</v>
      </c>
      <c r="M41" s="1">
        <f>IF(ISNUMBER(Main_M[[#This Row],[EPS]]),IF(Main_M[[#This Row],[EPS]]&lt;&gt;0,Main_M[[#This Row],[Current Price]]/Main_M[[#This Row],[EPS]],""),"")</f>
        <v>381.83333333333337</v>
      </c>
      <c r="N4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1" s="1">
        <f>(Main_M[[#This Row],[P/FCF]]-VLOOKUP(Main_M[[#This Row],[Industry]], Mean_PFCF_M, 2, FALSE))/(VLOOKUP(Main_M[[#This Row],[Industry]], Mean_PFCF_M, 3, FALSE))</f>
        <v>0.62297869080148516</v>
      </c>
      <c r="P41" s="1">
        <f>(Main_M[[#This Row],[P/B]]-VLOOKUP(Main_M[[#This Row],[Industry]], Mean_PB_M, 2, FALSE))/(VLOOKUP(Main_M[[#This Row],[Industry]], Mean_PB_M, 3, FALSE))</f>
        <v>-0.38862391897525966</v>
      </c>
      <c r="Q41" s="1">
        <f>(Main_M[[#This Row],[ROE]]-VLOOKUP(Main_M[[#This Row],[Industry]], Mean_ROE_M, 2, FALSE))/(VLOOKUP(Main_M[[#This Row],[Industry]], Mean_ROE_M, 3, FALSE))</f>
        <v>-0.67895431068617773</v>
      </c>
      <c r="R41" s="1">
        <f>(Main_M[[#This Row],[ROA]]-VLOOKUP(Main_M[[#This Row],[Industry]], Mean_ROA_M, 2, FALSE))/(VLOOKUP(Main_M[[#This Row],[Industry]], Mean_ROA_M, 3, FALSE))</f>
        <v>-0.57487891112977607</v>
      </c>
      <c r="S41" s="1">
        <f>(Main_M[[#This Row],[A/E]]-VLOOKUP(Main_M[[#This Row],[Industry]], Mean_AE_M, 2, FALSE))/(VLOOKUP(Main_M[[#This Row],[Industry]], Mean_AE_M, 3, FALSE))</f>
        <v>-0.38803391679540628</v>
      </c>
      <c r="T41" s="1">
        <f>(Main_M[[#This Row],[P/E]]-VLOOKUP(Main_M[[#This Row],[Industry]], Mean_PE_M, 2, FALSE))/(VLOOKUP(Main_M[[#This Row],[Industry]], Mean_PE_M, 3, FALSE))</f>
        <v>5.1870911465589158</v>
      </c>
      <c r="U4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42" spans="1:26" x14ac:dyDescent="0.25">
      <c r="A42" t="s">
        <v>131</v>
      </c>
      <c r="B42" t="s">
        <v>188</v>
      </c>
      <c r="C42" s="2">
        <v>3759</v>
      </c>
      <c r="D42">
        <f>RTD("tos.rtd", , "LAST", Main_M[[#This Row],[Symbol]])</f>
        <v>16.07</v>
      </c>
      <c r="E42">
        <v>1.28</v>
      </c>
      <c r="F42">
        <v>10.9</v>
      </c>
      <c r="G42">
        <v>-0.88</v>
      </c>
      <c r="H42" s="1">
        <f>IF(ISNUMBER(Main_M[[#This Row],[Free CF]]),IF(Main_M[[#This Row],[Free CF]]&lt;&gt;0,Main_M[[#This Row],[Current Price]]/Main_M[[#This Row],[Free CF]],""),"")</f>
        <v>12.5546875</v>
      </c>
      <c r="I42" s="1">
        <f>IF(ISNUMBER(Main_M[[#This Row],[BVPS]]),IF(Main_M[[#This Row],[BVPS]]&lt;&gt;0,Main_M[[#This Row],[Current Price]]/Main_M[[#This Row],[BVPS]],""),"")</f>
        <v>1.4743119266055045</v>
      </c>
      <c r="J42">
        <v>-7.36</v>
      </c>
      <c r="K42">
        <v>1.1399999999999999</v>
      </c>
      <c r="L42">
        <v>3.11</v>
      </c>
      <c r="M42" s="1">
        <f>IF(ISNUMBER(Main_M[[#This Row],[EPS]]),IF(Main_M[[#This Row],[EPS]]&lt;&gt;0,Main_M[[#This Row],[Current Price]]/Main_M[[#This Row],[EPS]],""),"")</f>
        <v>-18.261363636363637</v>
      </c>
      <c r="N4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2" s="1">
        <f>(Main_M[[#This Row],[P/FCF]]-VLOOKUP(Main_M[[#This Row],[Industry]], Mean_PFCF_M, 2, FALSE))/(VLOOKUP(Main_M[[#This Row],[Industry]], Mean_PFCF_M, 3, FALSE))</f>
        <v>-1.093816650238929</v>
      </c>
      <c r="P42" s="1">
        <f>(Main_M[[#This Row],[P/B]]-VLOOKUP(Main_M[[#This Row],[Industry]], Mean_PB_M, 2, FALSE))/(VLOOKUP(Main_M[[#This Row],[Industry]], Mean_PB_M, 3, FALSE))</f>
        <v>-0.51603936293550146</v>
      </c>
      <c r="Q42" s="1">
        <f>(Main_M[[#This Row],[ROE]]-VLOOKUP(Main_M[[#This Row],[Industry]], Mean_ROE_M, 2, FALSE))/(VLOOKUP(Main_M[[#This Row],[Industry]], Mean_ROE_M, 3, FALSE))</f>
        <v>-1.9796672740800387</v>
      </c>
      <c r="R42" s="1">
        <f>(Main_M[[#This Row],[ROA]]-VLOOKUP(Main_M[[#This Row],[Industry]], Mean_ROA_M, 2, FALSE))/(VLOOKUP(Main_M[[#This Row],[Industry]], Mean_ROA_M, 3, FALSE))</f>
        <v>-1.1378308738958645</v>
      </c>
      <c r="S42" s="1">
        <f>(Main_M[[#This Row],[A/E]]-VLOOKUP(Main_M[[#This Row],[Industry]], Mean_AE_M, 2, FALSE))/(VLOOKUP(Main_M[[#This Row],[Industry]], Mean_AE_M, 3, FALSE))</f>
        <v>1.0395751066008747</v>
      </c>
      <c r="T42" s="1">
        <f>(Main_M[[#This Row],[P/E]]-VLOOKUP(Main_M[[#This Row],[Industry]], Mean_PE_M, 2, FALSE))/(VLOOKUP(Main_M[[#This Row],[Industry]], Mean_PE_M, 3, FALSE))</f>
        <v>-1.2873026964972325</v>
      </c>
      <c r="U4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3" spans="1:26" x14ac:dyDescent="0.25">
      <c r="A43" t="s">
        <v>131</v>
      </c>
      <c r="B43" t="s">
        <v>189</v>
      </c>
      <c r="C43" s="2">
        <v>7843</v>
      </c>
      <c r="D43">
        <f>RTD("tos.rtd", , "LAST", Main_M[[#This Row],[Symbol]])</f>
        <v>40.83</v>
      </c>
      <c r="E43">
        <v>3.5</v>
      </c>
      <c r="F43">
        <v>23.23</v>
      </c>
      <c r="G43">
        <v>2.14</v>
      </c>
      <c r="H43" s="1">
        <f>IF(ISNUMBER(Main_M[[#This Row],[Free CF]]),IF(Main_M[[#This Row],[Free CF]]&lt;&gt;0,Main_M[[#This Row],[Current Price]]/Main_M[[#This Row],[Free CF]],""),"")</f>
        <v>11.665714285714285</v>
      </c>
      <c r="I43" s="1">
        <f>IF(ISNUMBER(Main_M[[#This Row],[BVPS]]),IF(Main_M[[#This Row],[BVPS]]&lt;&gt;0,Main_M[[#This Row],[Current Price]]/Main_M[[#This Row],[BVPS]],""),"")</f>
        <v>1.7576409814894531</v>
      </c>
      <c r="J43">
        <v>9.35</v>
      </c>
      <c r="K43">
        <v>3.89</v>
      </c>
      <c r="L43">
        <v>2.0699999999999998</v>
      </c>
      <c r="M43" s="1">
        <f>IF(ISNUMBER(Main_M[[#This Row],[EPS]]),IF(Main_M[[#This Row],[EPS]]&lt;&gt;0,Main_M[[#This Row],[Current Price]]/Main_M[[#This Row],[EPS]],""),"")</f>
        <v>19.079439252336446</v>
      </c>
      <c r="N4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3" s="1">
        <f>(Main_M[[#This Row],[P/FCF]]-VLOOKUP(Main_M[[#This Row],[Industry]], Mean_PFCF_M, 2, FALSE))/(VLOOKUP(Main_M[[#This Row],[Industry]], Mean_PFCF_M, 3, FALSE))</f>
        <v>-1.4205615560561091</v>
      </c>
      <c r="P43" s="1">
        <f>(Main_M[[#This Row],[P/B]]-VLOOKUP(Main_M[[#This Row],[Industry]], Mean_PB_M, 2, FALSE))/(VLOOKUP(Main_M[[#This Row],[Industry]], Mean_PB_M, 3, FALSE))</f>
        <v>2.7855646990665988E-2</v>
      </c>
      <c r="Q43" s="1">
        <f>(Main_M[[#This Row],[ROE]]-VLOOKUP(Main_M[[#This Row],[Industry]], Mean_ROE_M, 2, FALSE))/(VLOOKUP(Main_M[[#This Row],[Industry]], Mean_ROE_M, 3, FALSE))</f>
        <v>0.8176189058828206</v>
      </c>
      <c r="R43" s="1">
        <f>(Main_M[[#This Row],[ROA]]-VLOOKUP(Main_M[[#This Row],[Industry]], Mean_ROA_M, 2, FALSE))/(VLOOKUP(Main_M[[#This Row],[Industry]], Mean_ROA_M, 3, FALSE))</f>
        <v>1.4860977661155639</v>
      </c>
      <c r="S43" s="1">
        <f>(Main_M[[#This Row],[A/E]]-VLOOKUP(Main_M[[#This Row],[Industry]], Mean_AE_M, 2, FALSE))/(VLOOKUP(Main_M[[#This Row],[Industry]], Mean_AE_M, 3, FALSE))</f>
        <v>-0.34800749557868838</v>
      </c>
      <c r="T43" s="1">
        <f>(Main_M[[#This Row],[P/E]]-VLOOKUP(Main_M[[#This Row],[Industry]], Mean_PE_M, 2, FALSE))/(VLOOKUP(Main_M[[#This Row],[Industry]], Mean_PE_M, 3, FALSE))</f>
        <v>-0.68304808840457942</v>
      </c>
      <c r="U4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4" spans="1:26" x14ac:dyDescent="0.25">
      <c r="A44" t="s">
        <v>131</v>
      </c>
      <c r="B44" t="s">
        <v>190</v>
      </c>
      <c r="C44" s="2">
        <v>4453</v>
      </c>
      <c r="D44">
        <f>RTD("tos.rtd", , "LAST", Main_M[[#This Row],[Symbol]])</f>
        <v>35.69</v>
      </c>
      <c r="E44">
        <v>1.81</v>
      </c>
      <c r="F44">
        <v>18.43</v>
      </c>
      <c r="G44">
        <v>0.56999999999999995</v>
      </c>
      <c r="H44" s="1">
        <f>IF(ISNUMBER(Main_M[[#This Row],[Free CF]]),IF(Main_M[[#This Row],[Free CF]]&lt;&gt;0,Main_M[[#This Row],[Current Price]]/Main_M[[#This Row],[Free CF]],""),"")</f>
        <v>19.718232044198892</v>
      </c>
      <c r="I44" s="1">
        <f>IF(ISNUMBER(Main_M[[#This Row],[BVPS]]),IF(Main_M[[#This Row],[BVPS]]&lt;&gt;0,Main_M[[#This Row],[Current Price]]/Main_M[[#This Row],[BVPS]],""),"")</f>
        <v>1.9365165491047205</v>
      </c>
      <c r="J44">
        <v>3</v>
      </c>
      <c r="K44">
        <v>2.2200000000000002</v>
      </c>
      <c r="L44">
        <v>2.23</v>
      </c>
      <c r="M44" s="1">
        <f>IF(ISNUMBER(Main_M[[#This Row],[EPS]]),IF(Main_M[[#This Row],[EPS]]&lt;&gt;0,Main_M[[#This Row],[Current Price]]/Main_M[[#This Row],[EPS]],""),"")</f>
        <v>62.614035087719301</v>
      </c>
      <c r="N4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4" s="1">
        <f>(Main_M[[#This Row],[P/FCF]]-VLOOKUP(Main_M[[#This Row],[Industry]], Mean_PFCF_M, 2, FALSE))/(VLOOKUP(Main_M[[#This Row],[Industry]], Mean_PFCF_M, 3, FALSE))</f>
        <v>1.5391667173107255</v>
      </c>
      <c r="P44" s="1">
        <f>(Main_M[[#This Row],[P/B]]-VLOOKUP(Main_M[[#This Row],[Industry]], Mean_PB_M, 2, FALSE))/(VLOOKUP(Main_M[[#This Row],[Industry]], Mean_PB_M, 3, FALSE))</f>
        <v>0.37123563907620899</v>
      </c>
      <c r="Q44" s="1">
        <f>(Main_M[[#This Row],[ROE]]-VLOOKUP(Main_M[[#This Row],[Industry]], Mean_ROE_M, 2, FALSE))/(VLOOKUP(Main_M[[#This Row],[Industry]], Mean_ROE_M, 3, FALSE))</f>
        <v>-0.24538332288822409</v>
      </c>
      <c r="R44" s="1">
        <f>(Main_M[[#This Row],[ROA]]-VLOOKUP(Main_M[[#This Row],[Industry]], Mean_ROA_M, 2, FALSE))/(VLOOKUP(Main_M[[#This Row],[Industry]], Mean_ROA_M, 3, FALSE))</f>
        <v>-0.10734253527319419</v>
      </c>
      <c r="S44" s="1">
        <f>(Main_M[[#This Row],[A/E]]-VLOOKUP(Main_M[[#This Row],[Industry]], Mean_AE_M, 2, FALSE))/(VLOOKUP(Main_M[[#This Row],[Industry]], Mean_AE_M, 3, FALSE))</f>
        <v>-0.13453324908952463</v>
      </c>
      <c r="T44" s="1">
        <f>(Main_M[[#This Row],[P/E]]-VLOOKUP(Main_M[[#This Row],[Industry]], Mean_PE_M, 2, FALSE))/(VLOOKUP(Main_M[[#This Row],[Industry]], Mean_PE_M, 3, FALSE))</f>
        <v>2.1435428551128961E-2</v>
      </c>
      <c r="U4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5" spans="1:26" x14ac:dyDescent="0.25">
      <c r="A45" t="s">
        <v>131</v>
      </c>
      <c r="B45" t="s">
        <v>191</v>
      </c>
      <c r="C45" s="2">
        <v>3371</v>
      </c>
      <c r="D45">
        <f>RTD("tos.rtd", , "LAST", Main_M[[#This Row],[Symbol]])</f>
        <v>31.34</v>
      </c>
      <c r="E45">
        <v>2.4</v>
      </c>
      <c r="F45">
        <v>5.6</v>
      </c>
      <c r="G45">
        <v>0.85</v>
      </c>
      <c r="H45" s="1">
        <f>IF(ISNUMBER(Main_M[[#This Row],[Free CF]]),IF(Main_M[[#This Row],[Free CF]]&lt;&gt;0,Main_M[[#This Row],[Current Price]]/Main_M[[#This Row],[Free CF]],""),"")</f>
        <v>13.058333333333334</v>
      </c>
      <c r="I45" s="1">
        <f>IF(ISNUMBER(Main_M[[#This Row],[BVPS]]),IF(Main_M[[#This Row],[BVPS]]&lt;&gt;0,Main_M[[#This Row],[Current Price]]/Main_M[[#This Row],[BVPS]],""),"")</f>
        <v>5.5964285714285715</v>
      </c>
      <c r="J45">
        <v>16.04</v>
      </c>
      <c r="K45">
        <v>4.3099999999999996</v>
      </c>
      <c r="L45">
        <v>3.91</v>
      </c>
      <c r="M45" s="1">
        <f>IF(ISNUMBER(Main_M[[#This Row],[EPS]]),IF(Main_M[[#This Row],[EPS]]&lt;&gt;0,Main_M[[#This Row],[Current Price]]/Main_M[[#This Row],[EPS]],""),"")</f>
        <v>36.870588235294122</v>
      </c>
      <c r="N4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5" s="1">
        <f>(Main_M[[#This Row],[P/FCF]]-VLOOKUP(Main_M[[#This Row],[Industry]], Mean_PFCF_M, 2, FALSE))/(VLOOKUP(Main_M[[#This Row],[Industry]], Mean_PFCF_M, 3, FALSE))</f>
        <v>-0.90870003734982041</v>
      </c>
      <c r="P45" s="1">
        <f>(Main_M[[#This Row],[P/B]]-VLOOKUP(Main_M[[#This Row],[Industry]], Mean_PB_M, 2, FALSE))/(VLOOKUP(Main_M[[#This Row],[Industry]], Mean_PB_M, 3, FALSE))</f>
        <v>7.3970166219905167</v>
      </c>
      <c r="Q45" s="1">
        <f>(Main_M[[#This Row],[ROE]]-VLOOKUP(Main_M[[#This Row],[Industry]], Mean_ROE_M, 2, FALSE))/(VLOOKUP(Main_M[[#This Row],[Industry]], Mean_ROE_M, 3, FALSE))</f>
        <v>1.9375377894227086</v>
      </c>
      <c r="R45" s="1">
        <f>(Main_M[[#This Row],[ROA]]-VLOOKUP(Main_M[[#This Row],[Industry]], Mean_ROA_M, 2, FALSE))/(VLOOKUP(Main_M[[#This Row],[Industry]], Mean_ROA_M, 3, FALSE))</f>
        <v>1.8868432311354906</v>
      </c>
      <c r="S45" s="1">
        <f>(Main_M[[#This Row],[A/E]]-VLOOKUP(Main_M[[#This Row],[Industry]], Mean_AE_M, 2, FALSE))/(VLOOKUP(Main_M[[#This Row],[Industry]], Mean_AE_M, 3, FALSE))</f>
        <v>2.1069463390466927</v>
      </c>
      <c r="T45" s="1">
        <f>(Main_M[[#This Row],[P/E]]-VLOOKUP(Main_M[[#This Row],[Industry]], Mean_PE_M, 2, FALSE))/(VLOOKUP(Main_M[[#This Row],[Industry]], Mean_PE_M, 3, FALSE))</f>
        <v>-0.3951489827464007</v>
      </c>
      <c r="U4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4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6" spans="1:26" x14ac:dyDescent="0.25">
      <c r="A46" t="s">
        <v>131</v>
      </c>
      <c r="B46" t="s">
        <v>192</v>
      </c>
      <c r="C46" s="2">
        <v>2316</v>
      </c>
      <c r="D46">
        <f>RTD("tos.rtd", , "LAST", Main_M[[#This Row],[Symbol]])</f>
        <v>18.760000000000002</v>
      </c>
      <c r="E46">
        <v>1.32</v>
      </c>
      <c r="F46">
        <v>10.08</v>
      </c>
      <c r="G46">
        <v>0.63</v>
      </c>
      <c r="H46" s="1">
        <f>IF(ISNUMBER(Main_M[[#This Row],[Free CF]]),IF(Main_M[[#This Row],[Free CF]]&lt;&gt;0,Main_M[[#This Row],[Current Price]]/Main_M[[#This Row],[Free CF]],""),"")</f>
        <v>14.212121212121213</v>
      </c>
      <c r="I46" s="1">
        <f>IF(ISNUMBER(Main_M[[#This Row],[BVPS]]),IF(Main_M[[#This Row],[BVPS]]&lt;&gt;0,Main_M[[#This Row],[Current Price]]/Main_M[[#This Row],[BVPS]],""),"")</f>
        <v>1.8611111111111112</v>
      </c>
      <c r="J46">
        <v>6.32</v>
      </c>
      <c r="K46">
        <v>1.99</v>
      </c>
      <c r="L46">
        <v>2.61</v>
      </c>
      <c r="M46" s="1">
        <f>IF(ISNUMBER(Main_M[[#This Row],[EPS]]),IF(Main_M[[#This Row],[EPS]]&lt;&gt;0,Main_M[[#This Row],[Current Price]]/Main_M[[#This Row],[EPS]],""),"")</f>
        <v>29.777777777777779</v>
      </c>
      <c r="N4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6" s="1">
        <f>(Main_M[[#This Row],[P/FCF]]-VLOOKUP(Main_M[[#This Row],[Industry]], Mean_PFCF_M, 2, FALSE))/(VLOOKUP(Main_M[[#This Row],[Industry]], Mean_PFCF_M, 3, FALSE))</f>
        <v>-0.48462166723777755</v>
      </c>
      <c r="P46" s="1">
        <f>(Main_M[[#This Row],[P/B]]-VLOOKUP(Main_M[[#This Row],[Industry]], Mean_PB_M, 2, FALSE))/(VLOOKUP(Main_M[[#This Row],[Industry]], Mean_PB_M, 3, FALSE))</f>
        <v>0.22648295403012403</v>
      </c>
      <c r="Q46" s="1">
        <f>(Main_M[[#This Row],[ROE]]-VLOOKUP(Main_M[[#This Row],[Industry]], Mean_ROE_M, 2, FALSE))/(VLOOKUP(Main_M[[#This Row],[Industry]], Mean_ROE_M, 3, FALSE))</f>
        <v>0.3103910707369521</v>
      </c>
      <c r="R46" s="1">
        <f>(Main_M[[#This Row],[ROA]]-VLOOKUP(Main_M[[#This Row],[Industry]], Mean_ROA_M, 2, FALSE))/(VLOOKUP(Main_M[[#This Row],[Industry]], Mean_ROA_M, 3, FALSE))</f>
        <v>-0.32679838516505927</v>
      </c>
      <c r="S46" s="1">
        <f>(Main_M[[#This Row],[A/E]]-VLOOKUP(Main_M[[#This Row],[Industry]], Mean_AE_M, 2, FALSE))/(VLOOKUP(Main_M[[#This Row],[Industry]], Mean_AE_M, 3, FALSE))</f>
        <v>0.3724680863222386</v>
      </c>
      <c r="T46" s="1">
        <f>(Main_M[[#This Row],[P/E]]-VLOOKUP(Main_M[[#This Row],[Industry]], Mean_PE_M, 2, FALSE))/(VLOOKUP(Main_M[[#This Row],[Industry]], Mean_PE_M, 3, FALSE))</f>
        <v>-0.50992593106367912</v>
      </c>
      <c r="U4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7" spans="1:26" x14ac:dyDescent="0.25">
      <c r="A47" t="s">
        <v>136</v>
      </c>
      <c r="B47" t="s">
        <v>193</v>
      </c>
      <c r="C47" s="2">
        <v>3831</v>
      </c>
      <c r="D47">
        <f>RTD("tos.rtd", , "LAST", Main_M[[#This Row],[Symbol]])</f>
        <v>52.36</v>
      </c>
      <c r="E47">
        <v>5.2</v>
      </c>
      <c r="F47">
        <v>30.67</v>
      </c>
      <c r="G47">
        <v>1.6</v>
      </c>
      <c r="H47" s="1">
        <f>IF(ISNUMBER(Main_M[[#This Row],[Free CF]]),IF(Main_M[[#This Row],[Free CF]]&lt;&gt;0,Main_M[[#This Row],[Current Price]]/Main_M[[#This Row],[Free CF]],""),"")</f>
        <v>10.069230769230769</v>
      </c>
      <c r="I47" s="1">
        <f>IF(ISNUMBER(Main_M[[#This Row],[BVPS]]),IF(Main_M[[#This Row],[BVPS]]&lt;&gt;0,Main_M[[#This Row],[Current Price]]/Main_M[[#This Row],[BVPS]],""),"")</f>
        <v>1.7072057385066839</v>
      </c>
      <c r="J47">
        <v>6.1</v>
      </c>
      <c r="K47">
        <v>3.92</v>
      </c>
      <c r="L47">
        <v>2.42</v>
      </c>
      <c r="M47" s="1">
        <f>IF(ISNUMBER(Main_M[[#This Row],[EPS]]),IF(Main_M[[#This Row],[EPS]]&lt;&gt;0,Main_M[[#This Row],[Current Price]]/Main_M[[#This Row],[EPS]],""),"")</f>
        <v>32.724999999999994</v>
      </c>
      <c r="N4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7" s="1">
        <f>(Main_M[[#This Row],[P/FCF]]-VLOOKUP(Main_M[[#This Row],[Industry]], Mean_PFCF_M, 2, FALSE))/(VLOOKUP(Main_M[[#This Row],[Industry]], Mean_PFCF_M, 3, FALSE))</f>
        <v>-1.0135572788580127</v>
      </c>
      <c r="P47" s="1">
        <f>(Main_M[[#This Row],[P/B]]-VLOOKUP(Main_M[[#This Row],[Industry]], Mean_PB_M, 2, FALSE))/(VLOOKUP(Main_M[[#This Row],[Industry]], Mean_PB_M, 3, FALSE))</f>
        <v>-0.8751358557628206</v>
      </c>
      <c r="Q47" s="1">
        <f>(Main_M[[#This Row],[ROE]]-VLOOKUP(Main_M[[#This Row],[Industry]], Mean_ROE_M, 2, FALSE))/(VLOOKUP(Main_M[[#This Row],[Industry]], Mean_ROE_M, 3, FALSE))</f>
        <v>-0.51554903005559671</v>
      </c>
      <c r="R47" s="1">
        <f>(Main_M[[#This Row],[ROA]]-VLOOKUP(Main_M[[#This Row],[Industry]], Mean_ROA_M, 2, FALSE))/(VLOOKUP(Main_M[[#This Row],[Industry]], Mean_ROA_M, 3, FALSE))</f>
        <v>0.3351227200225928</v>
      </c>
      <c r="S47" s="1">
        <f>(Main_M[[#This Row],[A/E]]-VLOOKUP(Main_M[[#This Row],[Industry]], Mean_AE_M, 2, FALSE))/(VLOOKUP(Main_M[[#This Row],[Industry]], Mean_AE_M, 3, FALSE))</f>
        <v>1.2246071637957385</v>
      </c>
      <c r="T47" s="1">
        <f>(Main_M[[#This Row],[P/E]]-VLOOKUP(Main_M[[#This Row],[Industry]], Mean_PE_M, 2, FALSE))/(VLOOKUP(Main_M[[#This Row],[Industry]], Mean_PE_M, 3, FALSE))</f>
        <v>0.23694140201968261</v>
      </c>
      <c r="U4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8" spans="1:26" x14ac:dyDescent="0.25">
      <c r="A48" t="s">
        <v>136</v>
      </c>
      <c r="B48" t="s">
        <v>194</v>
      </c>
      <c r="C48" s="2">
        <v>2789</v>
      </c>
      <c r="D48">
        <f>RTD("tos.rtd", , "LAST", Main_M[[#This Row],[Symbol]])</f>
        <v>26.88</v>
      </c>
      <c r="E48">
        <v>1.54</v>
      </c>
      <c r="F48">
        <v>15.58</v>
      </c>
      <c r="G48">
        <v>1.07</v>
      </c>
      <c r="H48" s="1">
        <f>IF(ISNUMBER(Main_M[[#This Row],[Free CF]]),IF(Main_M[[#This Row],[Free CF]]&lt;&gt;0,Main_M[[#This Row],[Current Price]]/Main_M[[#This Row],[Free CF]],""),"")</f>
        <v>17.454545454545453</v>
      </c>
      <c r="I48" s="1">
        <f>IF(ISNUMBER(Main_M[[#This Row],[BVPS]]),IF(Main_M[[#This Row],[BVPS]]&lt;&gt;0,Main_M[[#This Row],[Current Price]]/Main_M[[#This Row],[BVPS]],""),"")</f>
        <v>1.7252888318356867</v>
      </c>
      <c r="J48">
        <v>7.62</v>
      </c>
      <c r="K48">
        <v>3.66</v>
      </c>
      <c r="L48">
        <v>1.9</v>
      </c>
      <c r="M48" s="1">
        <f>IF(ISNUMBER(Main_M[[#This Row],[EPS]]),IF(Main_M[[#This Row],[EPS]]&lt;&gt;0,Main_M[[#This Row],[Current Price]]/Main_M[[#This Row],[EPS]],""),"")</f>
        <v>25.121495327102803</v>
      </c>
      <c r="N4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8" s="1">
        <f>(Main_M[[#This Row],[P/FCF]]-VLOOKUP(Main_M[[#This Row],[Industry]], Mean_PFCF_M, 2, FALSE))/(VLOOKUP(Main_M[[#This Row],[Industry]], Mean_PFCF_M, 3, FALSE))</f>
        <v>1.3858139252536821</v>
      </c>
      <c r="P48" s="1">
        <f>(Main_M[[#This Row],[P/B]]-VLOOKUP(Main_M[[#This Row],[Industry]], Mean_PB_M, 2, FALSE))/(VLOOKUP(Main_M[[#This Row],[Industry]], Mean_PB_M, 3, FALSE))</f>
        <v>-0.85798383746095352</v>
      </c>
      <c r="Q48" s="1">
        <f>(Main_M[[#This Row],[ROE]]-VLOOKUP(Main_M[[#This Row],[Industry]], Mean_ROE_M, 2, FALSE))/(VLOOKUP(Main_M[[#This Row],[Industry]], Mean_ROE_M, 3, FALSE))</f>
        <v>-0.37246299371636837</v>
      </c>
      <c r="R48" s="1">
        <f>(Main_M[[#This Row],[ROA]]-VLOOKUP(Main_M[[#This Row],[Industry]], Mean_ROA_M, 2, FALSE))/(VLOOKUP(Main_M[[#This Row],[Industry]], Mean_ROA_M, 3, FALSE))</f>
        <v>0.24582208306196052</v>
      </c>
      <c r="S48" s="1">
        <f>(Main_M[[#This Row],[A/E]]-VLOOKUP(Main_M[[#This Row],[Industry]], Mean_AE_M, 2, FALSE))/(VLOOKUP(Main_M[[#This Row],[Industry]], Mean_AE_M, 3, FALSE))</f>
        <v>0.10085000172435442</v>
      </c>
      <c r="T48" s="1">
        <f>(Main_M[[#This Row],[P/E]]-VLOOKUP(Main_M[[#This Row],[Industry]], Mean_PE_M, 2, FALSE))/(VLOOKUP(Main_M[[#This Row],[Industry]], Mean_PE_M, 3, FALSE))</f>
        <v>-0.17237614186465239</v>
      </c>
      <c r="U4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9" spans="1:26" x14ac:dyDescent="0.25">
      <c r="A49" t="s">
        <v>136</v>
      </c>
      <c r="B49" t="s">
        <v>195</v>
      </c>
      <c r="C49" s="2">
        <v>4220</v>
      </c>
      <c r="D49">
        <f>RTD("tos.rtd", , "LAST", Main_M[[#This Row],[Symbol]])</f>
        <v>26.64</v>
      </c>
      <c r="H49" s="1" t="str">
        <f>IF(ISNUMBER(Main_M[[#This Row],[Free CF]]),IF(Main_M[[#This Row],[Free CF]]&lt;&gt;0,Main_M[[#This Row],[Current Price]]/Main_M[[#This Row],[Free CF]],""),"")</f>
        <v/>
      </c>
      <c r="I49" s="1" t="str">
        <f>IF(ISNUMBER(Main_M[[#This Row],[BVPS]]),IF(Main_M[[#This Row],[BVPS]]&lt;&gt;0,Main_M[[#This Row],[Current Price]]/Main_M[[#This Row],[BVPS]],""),"")</f>
        <v/>
      </c>
      <c r="J49">
        <v>-5.12</v>
      </c>
      <c r="K49">
        <v>-3.01</v>
      </c>
      <c r="L49">
        <v>1.06</v>
      </c>
      <c r="M49" s="1" t="str">
        <f>IF(ISNUMBER(Main_M[[#This Row],[EPS]]),IF(Main_M[[#This Row],[EPS]]&lt;&gt;0,Main_M[[#This Row],[Current Price]]/Main_M[[#This Row],[EPS]],""),"")</f>
        <v/>
      </c>
      <c r="N4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9" s="1" t="e">
        <f>(Main_M[[#This Row],[P/FCF]]-VLOOKUP(Main_M[[#This Row],[Industry]], Mean_PFCF_M, 2, FALSE))/(VLOOKUP(Main_M[[#This Row],[Industry]], Mean_PFCF_M, 3, FALSE))</f>
        <v>#VALUE!</v>
      </c>
      <c r="P49" s="1" t="e">
        <f>(Main_M[[#This Row],[P/B]]-VLOOKUP(Main_M[[#This Row],[Industry]], Mean_PB_M, 2, FALSE))/(VLOOKUP(Main_M[[#This Row],[Industry]], Mean_PB_M, 3, FALSE))</f>
        <v>#VALUE!</v>
      </c>
      <c r="Q49" s="1">
        <f>(Main_M[[#This Row],[ROE]]-VLOOKUP(Main_M[[#This Row],[Industry]], Mean_ROE_M, 2, FALSE))/(VLOOKUP(Main_M[[#This Row],[Industry]], Mean_ROE_M, 3, FALSE))</f>
        <v>-1.571749903559637</v>
      </c>
      <c r="R49" s="1">
        <f>(Main_M[[#This Row],[ROA]]-VLOOKUP(Main_M[[#This Row],[Industry]], Mean_ROA_M, 2, FALSE))/(VLOOKUP(Main_M[[#This Row],[Industry]], Mean_ROA_M, 3, FALSE))</f>
        <v>-2.0450827189665692</v>
      </c>
      <c r="S49" s="1">
        <f>(Main_M[[#This Row],[A/E]]-VLOOKUP(Main_M[[#This Row],[Industry]], Mean_AE_M, 2, FALSE))/(VLOOKUP(Main_M[[#This Row],[Industry]], Mean_AE_M, 3, FALSE))</f>
        <v>-1.7144500293140348</v>
      </c>
      <c r="T49" s="1" t="e">
        <f>(Main_M[[#This Row],[P/E]]-VLOOKUP(Main_M[[#This Row],[Industry]], Mean_PE_M, 2, FALSE))/(VLOOKUP(Main_M[[#This Row],[Industry]], Mean_PE_M, 3, FALSE))</f>
        <v>#VALUE!</v>
      </c>
      <c r="U4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4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4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4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50" spans="1:26" x14ac:dyDescent="0.25">
      <c r="A50" t="s">
        <v>136</v>
      </c>
      <c r="B50" t="s">
        <v>196</v>
      </c>
      <c r="C50" s="2">
        <v>2610</v>
      </c>
      <c r="D50">
        <f>RTD("tos.rtd", , "LAST", Main_M[[#This Row],[Symbol]])</f>
        <v>16.600000000000001</v>
      </c>
      <c r="E50">
        <v>1.24</v>
      </c>
      <c r="F50">
        <v>4.01</v>
      </c>
      <c r="G50">
        <v>1.51</v>
      </c>
      <c r="H50" s="1">
        <f>IF(ISNUMBER(Main_M[[#This Row],[Free CF]]),IF(Main_M[[#This Row],[Free CF]]&lt;&gt;0,Main_M[[#This Row],[Current Price]]/Main_M[[#This Row],[Free CF]],""),"")</f>
        <v>13.38709677419355</v>
      </c>
      <c r="I50" s="1">
        <f>IF(ISNUMBER(Main_M[[#This Row],[BVPS]]),IF(Main_M[[#This Row],[BVPS]]&lt;&gt;0,Main_M[[#This Row],[Current Price]]/Main_M[[#This Row],[BVPS]],""),"")</f>
        <v>4.1396508728179553</v>
      </c>
      <c r="J50">
        <v>34.17</v>
      </c>
      <c r="K50">
        <v>3.27</v>
      </c>
      <c r="L50">
        <v>8.0399999999999991</v>
      </c>
      <c r="M50" s="1">
        <f>IF(ISNUMBER(Main_M[[#This Row],[EPS]]),IF(Main_M[[#This Row],[EPS]]&lt;&gt;0,Main_M[[#This Row],[Current Price]]/Main_M[[#This Row],[EPS]],""),"")</f>
        <v>10.993377483443709</v>
      </c>
      <c r="N5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0" s="1">
        <f>(Main_M[[#This Row],[P/FCF]]-VLOOKUP(Main_M[[#This Row],[Industry]], Mean_PFCF_M, 2, FALSE))/(VLOOKUP(Main_M[[#This Row],[Industry]], Mean_PFCF_M, 3, FALSE))</f>
        <v>6.4364582378100707E-2</v>
      </c>
      <c r="P50" s="1">
        <f>(Main_M[[#This Row],[P/B]]-VLOOKUP(Main_M[[#This Row],[Industry]], Mean_PB_M, 2, FALSE))/(VLOOKUP(Main_M[[#This Row],[Industry]], Mean_PB_M, 3, FALSE))</f>
        <v>1.4320658327380691</v>
      </c>
      <c r="Q50" s="1">
        <f>(Main_M[[#This Row],[ROE]]-VLOOKUP(Main_M[[#This Row],[Industry]], Mean_ROE_M, 2, FALSE))/(VLOOKUP(Main_M[[#This Row],[Industry]], Mean_ROE_M, 3, FALSE))</f>
        <v>2.1268358647089673</v>
      </c>
      <c r="R50" s="1">
        <f>(Main_M[[#This Row],[ROA]]-VLOOKUP(Main_M[[#This Row],[Industry]], Mean_ROA_M, 2, FALSE))/(VLOOKUP(Main_M[[#This Row],[Industry]], Mean_ROA_M, 3, FALSE))</f>
        <v>0.11187112762101194</v>
      </c>
      <c r="S50" s="1">
        <f>(Main_M[[#This Row],[A/E]]-VLOOKUP(Main_M[[#This Row],[Industry]], Mean_AE_M, 2, FALSE))/(VLOOKUP(Main_M[[#This Row],[Industry]], Mean_AE_M, 3, FALSE))</f>
        <v>13.36982880002877</v>
      </c>
      <c r="T50" s="1">
        <f>(Main_M[[#This Row],[P/E]]-VLOOKUP(Main_M[[#This Row],[Industry]], Mean_PE_M, 2, FALSE))/(VLOOKUP(Main_M[[#This Row],[Industry]], Mean_PE_M, 3, FALSE))</f>
        <v>-0.93293153628535619</v>
      </c>
      <c r="U5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5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5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1" spans="1:26" x14ac:dyDescent="0.25">
      <c r="A51" t="s">
        <v>136</v>
      </c>
      <c r="B51" t="s">
        <v>197</v>
      </c>
      <c r="C51" s="2">
        <v>9613</v>
      </c>
      <c r="D51">
        <f>RTD("tos.rtd", , "LAST", Main_M[[#This Row],[Symbol]])</f>
        <v>42.65</v>
      </c>
      <c r="E51">
        <v>2.76</v>
      </c>
      <c r="F51">
        <v>12.48</v>
      </c>
      <c r="G51">
        <v>1.69</v>
      </c>
      <c r="H51" s="1">
        <f>IF(ISNUMBER(Main_M[[#This Row],[Free CF]]),IF(Main_M[[#This Row],[Free CF]]&lt;&gt;0,Main_M[[#This Row],[Current Price]]/Main_M[[#This Row],[Free CF]],""),"")</f>
        <v>15.452898550724639</v>
      </c>
      <c r="I51" s="1">
        <f>IF(ISNUMBER(Main_M[[#This Row],[BVPS]]),IF(Main_M[[#This Row],[BVPS]]&lt;&gt;0,Main_M[[#This Row],[Current Price]]/Main_M[[#This Row],[BVPS]],""),"")</f>
        <v>3.4174679487179485</v>
      </c>
      <c r="J51">
        <v>13.34</v>
      </c>
      <c r="K51">
        <v>4.6500000000000004</v>
      </c>
      <c r="L51">
        <v>2.37</v>
      </c>
      <c r="M51" s="1">
        <f>IF(ISNUMBER(Main_M[[#This Row],[EPS]]),IF(Main_M[[#This Row],[EPS]]&lt;&gt;0,Main_M[[#This Row],[Current Price]]/Main_M[[#This Row],[EPS]],""),"")</f>
        <v>25.236686390532544</v>
      </c>
      <c r="N5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1" s="1">
        <f>(Main_M[[#This Row],[P/FCF]]-VLOOKUP(Main_M[[#This Row],[Industry]], Mean_PFCF_M, 2, FALSE))/(VLOOKUP(Main_M[[#This Row],[Industry]], Mean_PFCF_M, 3, FALSE))</f>
        <v>0.73551070237586724</v>
      </c>
      <c r="P51" s="1">
        <f>(Main_M[[#This Row],[P/B]]-VLOOKUP(Main_M[[#This Row],[Industry]], Mean_PB_M, 2, FALSE))/(VLOOKUP(Main_M[[#This Row],[Industry]], Mean_PB_M, 3, FALSE))</f>
        <v>0.74706717094427544</v>
      </c>
      <c r="Q51" s="1">
        <f>(Main_M[[#This Row],[ROE]]-VLOOKUP(Main_M[[#This Row],[Industry]], Mean_ROE_M, 2, FALSE))/(VLOOKUP(Main_M[[#This Row],[Industry]], Mean_ROE_M, 3, FALSE))</f>
        <v>0.16599235356020106</v>
      </c>
      <c r="R51" s="1">
        <f>(Main_M[[#This Row],[ROA]]-VLOOKUP(Main_M[[#This Row],[Industry]], Mean_ROA_M, 2, FALSE))/(VLOOKUP(Main_M[[#This Row],[Industry]], Mean_ROA_M, 3, FALSE))</f>
        <v>0.58585143148898378</v>
      </c>
      <c r="S51" s="1">
        <f>(Main_M[[#This Row],[A/E]]-VLOOKUP(Main_M[[#This Row],[Industry]], Mean_AE_M, 2, FALSE))/(VLOOKUP(Main_M[[#This Row],[Industry]], Mean_AE_M, 3, FALSE))</f>
        <v>1.1165535905196442</v>
      </c>
      <c r="T51" s="1">
        <f>(Main_M[[#This Row],[P/E]]-VLOOKUP(Main_M[[#This Row],[Industry]], Mean_PE_M, 2, FALSE))/(VLOOKUP(Main_M[[#This Row],[Industry]], Mean_PE_M, 3, FALSE))</f>
        <v>-0.16617509048257695</v>
      </c>
      <c r="U5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2" spans="1:26" x14ac:dyDescent="0.25">
      <c r="A52" t="s">
        <v>136</v>
      </c>
      <c r="B52" t="s">
        <v>198</v>
      </c>
      <c r="C52" s="2">
        <v>2760</v>
      </c>
      <c r="D52">
        <f>RTD("tos.rtd", , "LAST", Main_M[[#This Row],[Symbol]])</f>
        <v>35.4</v>
      </c>
      <c r="E52">
        <v>4.1900000000000004</v>
      </c>
      <c r="F52">
        <v>9.07</v>
      </c>
      <c r="G52">
        <v>0.11</v>
      </c>
      <c r="H52" s="1">
        <f>IF(ISNUMBER(Main_M[[#This Row],[Free CF]]),IF(Main_M[[#This Row],[Free CF]]&lt;&gt;0,Main_M[[#This Row],[Current Price]]/Main_M[[#This Row],[Free CF]],""),"")</f>
        <v>8.4486873508353213</v>
      </c>
      <c r="I52" s="1">
        <f>IF(ISNUMBER(Main_M[[#This Row],[BVPS]]),IF(Main_M[[#This Row],[BVPS]]&lt;&gt;0,Main_M[[#This Row],[Current Price]]/Main_M[[#This Row],[BVPS]],""),"")</f>
        <v>3.902976846747519</v>
      </c>
      <c r="J52">
        <v>5.92</v>
      </c>
      <c r="K52">
        <v>3.15</v>
      </c>
      <c r="L52">
        <v>7.58</v>
      </c>
      <c r="M52" s="1">
        <f>IF(ISNUMBER(Main_M[[#This Row],[EPS]]),IF(Main_M[[#This Row],[EPS]]&lt;&gt;0,Main_M[[#This Row],[Current Price]]/Main_M[[#This Row],[EPS]],""),"")</f>
        <v>321.81818181818181</v>
      </c>
      <c r="N5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2" s="1">
        <f>(Main_M[[#This Row],[P/FCF]]-VLOOKUP(Main_M[[#This Row],[Industry]], Mean_PFCF_M, 2, FALSE))/(VLOOKUP(Main_M[[#This Row],[Industry]], Mean_PFCF_M, 3, FALSE))</f>
        <v>-1.5400460445760695</v>
      </c>
      <c r="P52" s="1">
        <f>(Main_M[[#This Row],[P/B]]-VLOOKUP(Main_M[[#This Row],[Industry]], Mean_PB_M, 2, FALSE))/(VLOOKUP(Main_M[[#This Row],[Industry]], Mean_PB_M, 3, FALSE))</f>
        <v>1.2075778453744299</v>
      </c>
      <c r="Q52" s="1">
        <f>(Main_M[[#This Row],[ROE]]-VLOOKUP(Main_M[[#This Row],[Industry]], Mean_ROE_M, 2, FALSE))/(VLOOKUP(Main_M[[#This Row],[Industry]], Mean_ROE_M, 3, FALSE))</f>
        <v>-0.53249342909576847</v>
      </c>
      <c r="R52" s="1">
        <f>(Main_M[[#This Row],[ROA]]-VLOOKUP(Main_M[[#This Row],[Industry]], Mean_ROA_M, 2, FALSE))/(VLOOKUP(Main_M[[#This Row],[Industry]], Mean_ROA_M, 3, FALSE))</f>
        <v>7.065544902379696E-2</v>
      </c>
      <c r="S52" s="1">
        <f>(Main_M[[#This Row],[A/E]]-VLOOKUP(Main_M[[#This Row],[Industry]], Mean_AE_M, 2, FALSE))/(VLOOKUP(Main_M[[#This Row],[Industry]], Mean_AE_M, 3, FALSE))</f>
        <v>12.375735925888703</v>
      </c>
      <c r="T52" s="1">
        <f>(Main_M[[#This Row],[P/E]]-VLOOKUP(Main_M[[#This Row],[Industry]], Mean_PE_M, 2, FALSE))/(VLOOKUP(Main_M[[#This Row],[Industry]], Mean_PE_M, 3, FALSE))</f>
        <v>15.799621537841524</v>
      </c>
      <c r="U5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5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53" spans="1:26" x14ac:dyDescent="0.25">
      <c r="A53" t="s">
        <v>136</v>
      </c>
      <c r="B53" t="s">
        <v>199</v>
      </c>
      <c r="C53" s="2">
        <v>2973</v>
      </c>
      <c r="D53">
        <f>RTD("tos.rtd", , "LAST", Main_M[[#This Row],[Symbol]])</f>
        <v>40.1</v>
      </c>
      <c r="E53">
        <v>2.8</v>
      </c>
      <c r="F53">
        <v>25.54</v>
      </c>
      <c r="G53">
        <v>0.61</v>
      </c>
      <c r="H53" s="1">
        <f>IF(ISNUMBER(Main_M[[#This Row],[Free CF]]),IF(Main_M[[#This Row],[Free CF]]&lt;&gt;0,Main_M[[#This Row],[Current Price]]/Main_M[[#This Row],[Free CF]],""),"")</f>
        <v>14.321428571428573</v>
      </c>
      <c r="I53" s="1">
        <f>IF(ISNUMBER(Main_M[[#This Row],[BVPS]]),IF(Main_M[[#This Row],[BVPS]]&lt;&gt;0,Main_M[[#This Row],[Current Price]]/Main_M[[#This Row],[BVPS]],""),"")</f>
        <v>1.5700861393891936</v>
      </c>
      <c r="J53">
        <v>2.31</v>
      </c>
      <c r="K53">
        <v>1.23</v>
      </c>
      <c r="L53">
        <v>1.62</v>
      </c>
      <c r="M53" s="1">
        <f>IF(ISNUMBER(Main_M[[#This Row],[EPS]]),IF(Main_M[[#This Row],[EPS]]&lt;&gt;0,Main_M[[#This Row],[Current Price]]/Main_M[[#This Row],[EPS]],""),"")</f>
        <v>65.73770491803279</v>
      </c>
      <c r="N5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3" s="1">
        <f>(Main_M[[#This Row],[P/FCF]]-VLOOKUP(Main_M[[#This Row],[Industry]], Mean_PFCF_M, 2, FALSE))/(VLOOKUP(Main_M[[#This Row],[Industry]], Mean_PFCF_M, 3, FALSE))</f>
        <v>0.36791411342643399</v>
      </c>
      <c r="P53" s="1">
        <f>(Main_M[[#This Row],[P/B]]-VLOOKUP(Main_M[[#This Row],[Industry]], Mean_PB_M, 2, FALSE))/(VLOOKUP(Main_M[[#This Row],[Industry]], Mean_PB_M, 3, FALSE))</f>
        <v>-1.005195344524944</v>
      </c>
      <c r="Q53" s="1">
        <f>(Main_M[[#This Row],[ROE]]-VLOOKUP(Main_M[[#This Row],[Industry]], Mean_ROE_M, 2, FALSE))/(VLOOKUP(Main_M[[#This Row],[Industry]], Mean_ROE_M, 3, FALSE))</f>
        <v>-0.8723227654014355</v>
      </c>
      <c r="R53" s="1">
        <f>(Main_M[[#This Row],[ROA]]-VLOOKUP(Main_M[[#This Row],[Industry]], Mean_ROA_M, 2, FALSE))/(VLOOKUP(Main_M[[#This Row],[Industry]], Mean_ROA_M, 3, FALSE))</f>
        <v>-0.58879540853164192</v>
      </c>
      <c r="S53" s="1">
        <f>(Main_M[[#This Row],[A/E]]-VLOOKUP(Main_M[[#This Row],[Industry]], Mean_AE_M, 2, FALSE))/(VLOOKUP(Main_M[[#This Row],[Industry]], Mean_AE_M, 3, FALSE))</f>
        <v>-0.50425000862177494</v>
      </c>
      <c r="T53" s="1">
        <f>(Main_M[[#This Row],[P/E]]-VLOOKUP(Main_M[[#This Row],[Industry]], Mean_PE_M, 2, FALSE))/(VLOOKUP(Main_M[[#This Row],[Industry]], Mean_PE_M, 3, FALSE))</f>
        <v>2.0141059958935634</v>
      </c>
      <c r="U5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4" spans="1:26" x14ac:dyDescent="0.25">
      <c r="A54" t="s">
        <v>136</v>
      </c>
      <c r="B54" t="s">
        <v>200</v>
      </c>
      <c r="C54" s="2">
        <v>3656</v>
      </c>
      <c r="D54">
        <f>RTD("tos.rtd", , "LAST", Main_M[[#This Row],[Symbol]])</f>
        <v>23.9</v>
      </c>
      <c r="E54">
        <v>0.92</v>
      </c>
      <c r="F54">
        <v>12.28</v>
      </c>
      <c r="G54">
        <v>2.36</v>
      </c>
      <c r="H54" s="1">
        <f>IF(ISNUMBER(Main_M[[#This Row],[Free CF]]),IF(Main_M[[#This Row],[Free CF]]&lt;&gt;0,Main_M[[#This Row],[Current Price]]/Main_M[[#This Row],[Free CF]],""),"")</f>
        <v>25.978260869565215</v>
      </c>
      <c r="I54" s="1">
        <f>IF(ISNUMBER(Main_M[[#This Row],[BVPS]]),IF(Main_M[[#This Row],[BVPS]]&lt;&gt;0,Main_M[[#This Row],[Current Price]]/Main_M[[#This Row],[BVPS]],""),"")</f>
        <v>1.9462540716612378</v>
      </c>
      <c r="J54">
        <v>18.87</v>
      </c>
      <c r="K54">
        <v>7.01</v>
      </c>
      <c r="L54">
        <v>1.75</v>
      </c>
      <c r="M54" s="1">
        <f>IF(ISNUMBER(Main_M[[#This Row],[EPS]]),IF(Main_M[[#This Row],[EPS]]&lt;&gt;0,Main_M[[#This Row],[Current Price]]/Main_M[[#This Row],[EPS]],""),"")</f>
        <v>10.127118644067796</v>
      </c>
      <c r="N5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4" s="1">
        <f>(Main_M[[#This Row],[P/FCF]]-VLOOKUP(Main_M[[#This Row],[Industry]], Mean_PFCF_M, 2, FALSE))/(VLOOKUP(Main_M[[#This Row],[Industry]], Mean_PFCF_M, 3, FALSE))</f>
        <v>4.155033408819933</v>
      </c>
      <c r="P54" s="1">
        <f>(Main_M[[#This Row],[P/B]]-VLOOKUP(Main_M[[#This Row],[Industry]], Mean_PB_M, 2, FALSE))/(VLOOKUP(Main_M[[#This Row],[Industry]], Mean_PB_M, 3, FALSE))</f>
        <v>-0.64839581130805746</v>
      </c>
      <c r="Q54" s="1">
        <f>(Main_M[[#This Row],[ROE]]-VLOOKUP(Main_M[[#This Row],[Industry]], Mean_ROE_M, 2, FALSE))/(VLOOKUP(Main_M[[#This Row],[Industry]], Mean_ROE_M, 3, FALSE))</f>
        <v>0.68656194629436706</v>
      </c>
      <c r="R54" s="1">
        <f>(Main_M[[#This Row],[ROA]]-VLOOKUP(Main_M[[#This Row],[Industry]], Mean_ROA_M, 2, FALSE))/(VLOOKUP(Main_M[[#This Row],[Industry]], Mean_ROA_M, 3, FALSE))</f>
        <v>1.3964264439008773</v>
      </c>
      <c r="S54" s="1">
        <f>(Main_M[[#This Row],[A/E]]-VLOOKUP(Main_M[[#This Row],[Industry]], Mean_AE_M, 2, FALSE))/(VLOOKUP(Main_M[[#This Row],[Industry]], Mean_AE_M, 3, FALSE))</f>
        <v>-0.22331071810392922</v>
      </c>
      <c r="T54" s="1">
        <f>(Main_M[[#This Row],[P/E]]-VLOOKUP(Main_M[[#This Row],[Industry]], Mean_PE_M, 2, FALSE))/(VLOOKUP(Main_M[[#This Row],[Industry]], Mean_PE_M, 3, FALSE))</f>
        <v>-0.97956462928066013</v>
      </c>
      <c r="U5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5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5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F2C84-C5D7-44A4-9584-CA955106FEB8}">
  <sheetPr codeName="Sheet4"/>
  <dimension ref="A1:Z74"/>
  <sheetViews>
    <sheetView workbookViewId="0">
      <selection activeCell="B24" sqref="B24"/>
    </sheetView>
  </sheetViews>
  <sheetFormatPr defaultRowHeight="15" x14ac:dyDescent="0.25"/>
  <cols>
    <col min="1" max="1" width="36.85546875" bestFit="1" customWidth="1"/>
    <col min="2" max="2" width="10" bestFit="1" customWidth="1"/>
    <col min="3" max="3" width="17" style="2" bestFit="1" customWidth="1"/>
    <col min="4" max="4" width="32.42578125" bestFit="1" customWidth="1"/>
    <col min="5" max="5" width="10.140625" bestFit="1" customWidth="1"/>
    <col min="6" max="6" width="7.85546875" bestFit="1" customWidth="1"/>
    <col min="7" max="7" width="6.7109375" bestFit="1" customWidth="1"/>
    <col min="8" max="8" width="75.85546875" bestFit="1" customWidth="1"/>
    <col min="9" max="9" width="66.42578125" bestFit="1" customWidth="1"/>
    <col min="10" max="11" width="7.140625" bestFit="1" customWidth="1"/>
    <col min="12" max="12" width="6.7109375" bestFit="1" customWidth="1"/>
    <col min="13" max="13" width="62.42578125" bestFit="1" customWidth="1"/>
    <col min="14" max="14" width="21.140625" bestFit="1" customWidth="1"/>
    <col min="15" max="15" width="16" bestFit="1" customWidth="1"/>
    <col min="16" max="16" width="13.5703125" bestFit="1" customWidth="1"/>
    <col min="17" max="18" width="14.42578125" bestFit="1" customWidth="1"/>
    <col min="19" max="20" width="13.5703125" bestFit="1" customWidth="1"/>
    <col min="21" max="21" width="15.42578125" bestFit="1" customWidth="1"/>
    <col min="22" max="22" width="13" bestFit="1" customWidth="1"/>
    <col min="23" max="24" width="13.85546875" bestFit="1" customWidth="1"/>
    <col min="25" max="29" width="13" bestFit="1" customWidth="1"/>
  </cols>
  <sheetData>
    <row r="1" spans="1:26" x14ac:dyDescent="0.25">
      <c r="A1" t="s">
        <v>1</v>
      </c>
      <c r="B1" t="s">
        <v>24</v>
      </c>
      <c r="C1" s="2" t="s">
        <v>54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71</v>
      </c>
      <c r="J1" t="s">
        <v>30</v>
      </c>
      <c r="K1" t="s">
        <v>31</v>
      </c>
      <c r="L1" t="s">
        <v>33</v>
      </c>
      <c r="M1" t="s">
        <v>32</v>
      </c>
      <c r="N1" t="s">
        <v>34</v>
      </c>
      <c r="O1" t="s">
        <v>90</v>
      </c>
      <c r="P1" t="s">
        <v>91</v>
      </c>
      <c r="Q1" t="s">
        <v>92</v>
      </c>
      <c r="R1" t="s">
        <v>93</v>
      </c>
      <c r="S1" t="s">
        <v>94</v>
      </c>
      <c r="T1" t="s">
        <v>95</v>
      </c>
      <c r="U1" t="s">
        <v>35</v>
      </c>
      <c r="V1" t="s">
        <v>76</v>
      </c>
      <c r="W1" t="s">
        <v>36</v>
      </c>
      <c r="X1" t="s">
        <v>37</v>
      </c>
      <c r="Y1" t="s">
        <v>39</v>
      </c>
      <c r="Z1" t="s">
        <v>38</v>
      </c>
    </row>
    <row r="2" spans="1:26" x14ac:dyDescent="0.25">
      <c r="A2" t="s">
        <v>105</v>
      </c>
      <c r="B2" t="s">
        <v>209</v>
      </c>
      <c r="C2" s="2">
        <v>1163</v>
      </c>
      <c r="D2">
        <f>RTD("tos.rtd", , "LAST", Main_S[[#This Row],[Symbol]])</f>
        <v>19.5</v>
      </c>
      <c r="E2">
        <v>1.88</v>
      </c>
      <c r="F2">
        <v>19.600000000000001</v>
      </c>
      <c r="G2">
        <v>1.33</v>
      </c>
      <c r="H2" s="1">
        <f>IF(ISNUMBER(Main_S[[#This Row],[Free CF]]),IF(Main_S[[#This Row],[Free CF]]&lt;&gt;0,Main_S[[#This Row],[Current Price]]/Main_S[[#This Row],[Free CF]],""),"")</f>
        <v>10.372340425531915</v>
      </c>
      <c r="I2" s="1">
        <f>IF(ISNUMBER(Main_S[[#This Row],[BVPS]]),IF(Main_S[[#This Row],[BVPS]]&lt;&gt;0,Main_S[[#This Row],[Current Price]]/Main_S[[#This Row],[BVPS]],""),"")</f>
        <v>0.99489795918367341</v>
      </c>
      <c r="J2">
        <v>8.8699999999999992</v>
      </c>
      <c r="K2">
        <v>2.65</v>
      </c>
      <c r="L2">
        <v>2.48</v>
      </c>
      <c r="M2" s="1">
        <f>IF(ISNUMBER(Main_S[[#This Row],[EPS]]),IF(Main_S[[#This Row],[EPS]]&lt;&gt;0,Main_S[[#This Row],[Current Price]]/Main_S[[#This Row],[EPS]],""),"")</f>
        <v>14.661654135338345</v>
      </c>
      <c r="N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" s="1">
        <f>(Main_S[[#This Row],[P/FCF]]-VLOOKUP(Main_S[[#This Row],[Industry]], Mean_PFCF_S, 2, FALSE))/(VLOOKUP(Main_S[[#This Row],[Industry]], Mean_PFCF_S, 3, FALSE))</f>
        <v>0.56180102703797263</v>
      </c>
      <c r="P2" s="1">
        <f>(Main_S[[#This Row],[P/B]]-VLOOKUP(Main_S[[#This Row],[Industry]], Mean_PB_S, 2, FALSE))/(VLOOKUP(Main_S[[#This Row],[Industry]], Mean_PB_S, 3, FALSE))</f>
        <v>-0.72341250504081378</v>
      </c>
      <c r="Q2" s="1">
        <f>(Main_S[[#This Row],[ROE]]-VLOOKUP(Main_S[[#This Row],[Industry]], Mean_ROE_S, 2, FALSE))/(VLOOKUP(Main_S[[#This Row],[Industry]], Mean_ROE_S, 3, FALSE))</f>
        <v>1.2375184697611095</v>
      </c>
      <c r="R2" s="1">
        <f>(Main_S[[#This Row],[ROA]]-VLOOKUP(Main_S[[#This Row],[Industry]], Mean_ROA_S, 2, FALSE))/(VLOOKUP(Main_S[[#This Row],[Industry]], Mean_ROA_S, 3, FALSE))</f>
        <v>0.46324105461207876</v>
      </c>
      <c r="S2" s="1">
        <f>(Main_S[[#This Row],[A/E]]-VLOOKUP(Main_S[[#This Row],[Industry]], Mean_AE_S, 2, FALSE))/(VLOOKUP(Main_S[[#This Row],[Industry]], Mean_AE_S, 3, FALSE))</f>
        <v>-0.28394934293109481</v>
      </c>
      <c r="T2" s="1">
        <f>(Main_S[[#This Row],[P/E]]-VLOOKUP(Main_S[[#This Row],[Industry]], Mean_PE_S, 2, FALSE))/(VLOOKUP(Main_S[[#This Row],[Industry]], Mean_PE_S, 3, FALSE))</f>
        <v>-1.5355790925481134</v>
      </c>
      <c r="U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" spans="1:26" x14ac:dyDescent="0.25">
      <c r="A3" t="s">
        <v>105</v>
      </c>
      <c r="B3" t="s">
        <v>210</v>
      </c>
      <c r="C3" s="2">
        <v>552</v>
      </c>
      <c r="D3">
        <f>RTD("tos.rtd", , "LAST", Main_S[[#This Row],[Symbol]])</f>
        <v>7.22</v>
      </c>
      <c r="E3">
        <v>1.59</v>
      </c>
      <c r="F3">
        <v>6.27</v>
      </c>
      <c r="G3">
        <v>0.34</v>
      </c>
      <c r="H3" s="1">
        <f>IF(ISNUMBER(Main_S[[#This Row],[Free CF]]),IF(Main_S[[#This Row],[Free CF]]&lt;&gt;0,Main_S[[#This Row],[Current Price]]/Main_S[[#This Row],[Free CF]],""),"")</f>
        <v>4.5408805031446535</v>
      </c>
      <c r="I3" s="1">
        <f>IF(ISNUMBER(Main_S[[#This Row],[BVPS]]),IF(Main_S[[#This Row],[BVPS]]&lt;&gt;0,Main_S[[#This Row],[Current Price]]/Main_S[[#This Row],[BVPS]],""),"")</f>
        <v>1.1515151515151516</v>
      </c>
      <c r="J3">
        <v>5.01</v>
      </c>
      <c r="K3">
        <v>2.14</v>
      </c>
      <c r="L3">
        <v>5.03</v>
      </c>
      <c r="M3" s="1">
        <f>IF(ISNUMBER(Main_S[[#This Row],[EPS]]),IF(Main_S[[#This Row],[EPS]]&lt;&gt;0,Main_S[[#This Row],[Current Price]]/Main_S[[#This Row],[EPS]],""),"")</f>
        <v>21.235294117647058</v>
      </c>
      <c r="N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" s="1">
        <f>(Main_S[[#This Row],[P/FCF]]-VLOOKUP(Main_S[[#This Row],[Industry]], Mean_PFCF_S, 2, FALSE))/(VLOOKUP(Main_S[[#This Row],[Industry]], Mean_PFCF_S, 3, FALSE))</f>
        <v>-2.101522729398225</v>
      </c>
      <c r="P3" s="1">
        <f>(Main_S[[#This Row],[P/B]]-VLOOKUP(Main_S[[#This Row],[Industry]], Mean_PB_S, 2, FALSE))/(VLOOKUP(Main_S[[#This Row],[Industry]], Mean_PB_S, 3, FALSE))</f>
        <v>0.41166617229037611</v>
      </c>
      <c r="Q3" s="1">
        <f>(Main_S[[#This Row],[ROE]]-VLOOKUP(Main_S[[#This Row],[Industry]], Mean_ROE_S, 2, FALSE))/(VLOOKUP(Main_S[[#This Row],[Industry]], Mean_ROE_S, 3, FALSE))</f>
        <v>-0.70329261943254573</v>
      </c>
      <c r="R3" s="1">
        <f>(Main_S[[#This Row],[ROA]]-VLOOKUP(Main_S[[#This Row],[Industry]], Mean_ROA_S, 2, FALSE))/(VLOOKUP(Main_S[[#This Row],[Industry]], Mean_ROA_S, 3, FALSE))</f>
        <v>-0.95427657250087916</v>
      </c>
      <c r="S3" s="1">
        <f>(Main_S[[#This Row],[A/E]]-VLOOKUP(Main_S[[#This Row],[Industry]], Mean_AE_S, 2, FALSE))/(VLOOKUP(Main_S[[#This Row],[Industry]], Mean_AE_S, 3, FALSE))</f>
        <v>8.3067214559164118</v>
      </c>
      <c r="T3" s="1">
        <f>(Main_S[[#This Row],[P/E]]-VLOOKUP(Main_S[[#This Row],[Industry]], Mean_PE_S, 2, FALSE))/(VLOOKUP(Main_S[[#This Row],[Industry]], Mean_PE_S, 3, FALSE))</f>
        <v>-0.1481322222127914</v>
      </c>
      <c r="U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" spans="1:26" x14ac:dyDescent="0.25">
      <c r="A4" t="s">
        <v>105</v>
      </c>
      <c r="B4" t="s">
        <v>211</v>
      </c>
      <c r="C4" s="2">
        <v>1259</v>
      </c>
      <c r="D4">
        <f>RTD("tos.rtd", , "LAST", Main_S[[#This Row],[Symbol]])</f>
        <v>17.57</v>
      </c>
      <c r="E4">
        <v>1.49</v>
      </c>
      <c r="F4">
        <v>13.82</v>
      </c>
      <c r="G4">
        <v>0.89</v>
      </c>
      <c r="H4" s="1">
        <f>IF(ISNUMBER(Main_S[[#This Row],[Free CF]]),IF(Main_S[[#This Row],[Free CF]]&lt;&gt;0,Main_S[[#This Row],[Current Price]]/Main_S[[#This Row],[Free CF]],""),"")</f>
        <v>11.791946308724832</v>
      </c>
      <c r="I4" s="1">
        <f>IF(ISNUMBER(Main_S[[#This Row],[BVPS]]),IF(Main_S[[#This Row],[BVPS]]&lt;&gt;0,Main_S[[#This Row],[Current Price]]/Main_S[[#This Row],[BVPS]],""),"")</f>
        <v>1.2713458755426919</v>
      </c>
      <c r="J4">
        <v>6.47</v>
      </c>
      <c r="K4">
        <v>3.05</v>
      </c>
      <c r="L4">
        <v>1.64</v>
      </c>
      <c r="M4" s="1">
        <f>IF(ISNUMBER(Main_S[[#This Row],[EPS]]),IF(Main_S[[#This Row],[EPS]]&lt;&gt;0,Main_S[[#This Row],[Current Price]]/Main_S[[#This Row],[EPS]],""),"")</f>
        <v>19.741573033707866</v>
      </c>
      <c r="N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" s="1">
        <f>(Main_S[[#This Row],[P/FCF]]-VLOOKUP(Main_S[[#This Row],[Industry]], Mean_PFCF_S, 2, FALSE))/(VLOOKUP(Main_S[[#This Row],[Industry]], Mean_PFCF_S, 3, FALSE))</f>
        <v>1.2101584064601203</v>
      </c>
      <c r="P4" s="1">
        <f>(Main_S[[#This Row],[P/B]]-VLOOKUP(Main_S[[#This Row],[Industry]], Mean_PB_S, 2, FALSE))/(VLOOKUP(Main_S[[#This Row],[Industry]], Mean_PB_S, 3, FALSE))</f>
        <v>1.2801359597255921</v>
      </c>
      <c r="Q4" s="1">
        <f>(Main_S[[#This Row],[ROE]]-VLOOKUP(Main_S[[#This Row],[Industry]], Mean_ROE_S, 2, FALSE))/(VLOOKUP(Main_S[[#This Row],[Industry]], Mean_ROE_S, 3, FALSE))</f>
        <v>3.0796549018940453E-2</v>
      </c>
      <c r="R4" s="1">
        <f>(Main_S[[#This Row],[ROA]]-VLOOKUP(Main_S[[#This Row],[Industry]], Mean_ROA_S, 2, FALSE))/(VLOOKUP(Main_S[[#This Row],[Industry]], Mean_ROA_S, 3, FALSE))</f>
        <v>1.5750195856810656</v>
      </c>
      <c r="S4" s="1">
        <f>(Main_S[[#This Row],[A/E]]-VLOOKUP(Main_S[[#This Row],[Industry]], Mean_AE_S, 2, FALSE))/(VLOOKUP(Main_S[[#This Row],[Industry]], Mean_AE_S, 3, FALSE))</f>
        <v>-3.113817370786744</v>
      </c>
      <c r="T4" s="1">
        <f>(Main_S[[#This Row],[P/E]]-VLOOKUP(Main_S[[#This Row],[Industry]], Mean_PE_S, 2, FALSE))/(VLOOKUP(Main_S[[#This Row],[Industry]], Mean_PE_S, 3, FALSE))</f>
        <v>-0.46340026984588584</v>
      </c>
      <c r="U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" spans="1:26" x14ac:dyDescent="0.25">
      <c r="A5" t="s">
        <v>105</v>
      </c>
      <c r="B5" t="s">
        <v>212</v>
      </c>
      <c r="C5" s="2">
        <v>585</v>
      </c>
      <c r="D5">
        <f>RTD("tos.rtd", , "LAST", Main_S[[#This Row],[Symbol]])</f>
        <v>17.96</v>
      </c>
      <c r="E5">
        <v>2.19</v>
      </c>
      <c r="F5">
        <v>18.649999999999999</v>
      </c>
      <c r="G5">
        <v>-0.5</v>
      </c>
      <c r="H5" s="1">
        <f>IF(ISNUMBER(Main_S[[#This Row],[Free CF]]),IF(Main_S[[#This Row],[Free CF]]&lt;&gt;0,Main_S[[#This Row],[Current Price]]/Main_S[[#This Row],[Free CF]],""),"")</f>
        <v>8.2009132420091326</v>
      </c>
      <c r="I5" s="1">
        <f>IF(ISNUMBER(Main_S[[#This Row],[BVPS]]),IF(Main_S[[#This Row],[BVPS]]&lt;&gt;0,Main_S[[#This Row],[Current Price]]/Main_S[[#This Row],[BVPS]],""),"")</f>
        <v>0.96300268096514752</v>
      </c>
      <c r="J5">
        <v>-1.05</v>
      </c>
      <c r="K5">
        <v>0.68</v>
      </c>
      <c r="L5">
        <v>2.09</v>
      </c>
      <c r="M5" s="1">
        <f>IF(ISNUMBER(Main_S[[#This Row],[EPS]]),IF(Main_S[[#This Row],[EPS]]&lt;&gt;0,Main_S[[#This Row],[Current Price]]/Main_S[[#This Row],[EPS]],""),"")</f>
        <v>-35.92</v>
      </c>
      <c r="N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" s="1">
        <f>(Main_S[[#This Row],[P/FCF]]-VLOOKUP(Main_S[[#This Row],[Industry]], Mean_PFCF_S, 2, FALSE))/(VLOOKUP(Main_S[[#This Row],[Industry]], Mean_PFCF_S, 3, FALSE))</f>
        <v>-0.42992551832428361</v>
      </c>
      <c r="P5" s="1">
        <f>(Main_S[[#This Row],[P/B]]-VLOOKUP(Main_S[[#This Row],[Industry]], Mean_PB_S, 2, FALSE))/(VLOOKUP(Main_S[[#This Row],[Industry]], Mean_PB_S, 3, FALSE))</f>
        <v>-0.95457263295812533</v>
      </c>
      <c r="Q5" s="1">
        <f>(Main_S[[#This Row],[ROE]]-VLOOKUP(Main_S[[#This Row],[Industry]], Mean_ROE_S, 2, FALSE))/(VLOOKUP(Main_S[[#This Row],[Industry]], Mean_ROE_S, 3, FALSE))</f>
        <v>-3.7502654693065227</v>
      </c>
      <c r="R5" s="1">
        <f>(Main_S[[#This Row],[ROA]]-VLOOKUP(Main_S[[#This Row],[Industry]], Mean_ROA_S, 2, FALSE))/(VLOOKUP(Main_S[[#This Row],[Industry]], Mean_ROA_S, 3, FALSE))</f>
        <v>-5.0122682109026817</v>
      </c>
      <c r="S5" s="1">
        <f>(Main_S[[#This Row],[A/E]]-VLOOKUP(Main_S[[#This Row],[Industry]], Mean_AE_S, 2, FALSE))/(VLOOKUP(Main_S[[#This Row],[Industry]], Mean_AE_S, 3, FALSE))</f>
        <v>-1.5978166415783608</v>
      </c>
      <c r="T5" s="1">
        <f>(Main_S[[#This Row],[P/E]]-VLOOKUP(Main_S[[#This Row],[Industry]], Mean_PE_S, 2, FALSE))/(VLOOKUP(Main_S[[#This Row],[Industry]], Mean_PE_S, 3, FALSE))</f>
        <v>-12.211453937432966</v>
      </c>
      <c r="U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6" spans="1:26" x14ac:dyDescent="0.25">
      <c r="A6" t="s">
        <v>105</v>
      </c>
      <c r="B6" t="s">
        <v>213</v>
      </c>
      <c r="C6" s="2">
        <v>1909</v>
      </c>
      <c r="D6">
        <f>RTD("tos.rtd", , "LAST", Main_S[[#This Row],[Symbol]])</f>
        <v>7.84</v>
      </c>
      <c r="E6">
        <v>0.92</v>
      </c>
      <c r="F6">
        <v>6.39</v>
      </c>
      <c r="G6">
        <v>0.28000000000000003</v>
      </c>
      <c r="H6" s="1">
        <f>IF(ISNUMBER(Main_S[[#This Row],[Free CF]]),IF(Main_S[[#This Row],[Free CF]]&lt;&gt;0,Main_S[[#This Row],[Current Price]]/Main_S[[#This Row],[Free CF]],""),"")</f>
        <v>8.5217391304347814</v>
      </c>
      <c r="I6" s="1">
        <f>IF(ISNUMBER(Main_S[[#This Row],[BVPS]]),IF(Main_S[[#This Row],[BVPS]]&lt;&gt;0,Main_S[[#This Row],[Current Price]]/Main_S[[#This Row],[BVPS]],""),"")</f>
        <v>1.2269170579029733</v>
      </c>
      <c r="J6">
        <v>4.57</v>
      </c>
      <c r="K6">
        <v>2.27</v>
      </c>
      <c r="L6">
        <v>2.57</v>
      </c>
      <c r="M6" s="1">
        <f>IF(ISNUMBER(Main_S[[#This Row],[EPS]]),IF(Main_S[[#This Row],[EPS]]&lt;&gt;0,Main_S[[#This Row],[Current Price]]/Main_S[[#This Row],[EPS]],""),"")</f>
        <v>27.999999999999996</v>
      </c>
      <c r="N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" s="1">
        <f>(Main_S[[#This Row],[P/FCF]]-VLOOKUP(Main_S[[#This Row],[Industry]], Mean_PFCF_S, 2, FALSE))/(VLOOKUP(Main_S[[#This Row],[Industry]], Mean_PFCF_S, 3, FALSE))</f>
        <v>-0.28339905296293333</v>
      </c>
      <c r="P6" s="1">
        <f>(Main_S[[#This Row],[P/B]]-VLOOKUP(Main_S[[#This Row],[Industry]], Mean_PB_S, 2, FALSE))/(VLOOKUP(Main_S[[#This Row],[Industry]], Mean_PB_S, 3, FALSE))</f>
        <v>0.95813935889810786</v>
      </c>
      <c r="Q6" s="1">
        <f>(Main_S[[#This Row],[ROE]]-VLOOKUP(Main_S[[#This Row],[Industry]], Mean_ROE_S, 2, FALSE))/(VLOOKUP(Main_S[[#This Row],[Industry]], Mean_ROE_S, 3, FALSE))</f>
        <v>-0.92452497156860991</v>
      </c>
      <c r="R6" s="1">
        <f>(Main_S[[#This Row],[ROA]]-VLOOKUP(Main_S[[#This Row],[Industry]], Mean_ROA_S, 2, FALSE))/(VLOOKUP(Main_S[[#This Row],[Industry]], Mean_ROA_S, 3, FALSE))</f>
        <v>-0.59294854990345869</v>
      </c>
      <c r="S6" s="1">
        <f>(Main_S[[#This Row],[A/E]]-VLOOKUP(Main_S[[#This Row],[Industry]], Mean_AE_S, 2, FALSE))/(VLOOKUP(Main_S[[#This Row],[Industry]], Mean_AE_S, 3, FALSE))</f>
        <v>1.9250802910581379E-2</v>
      </c>
      <c r="T6" s="1">
        <f>(Main_S[[#This Row],[P/E]]-VLOOKUP(Main_S[[#This Row],[Industry]], Mean_PE_S, 2, FALSE))/(VLOOKUP(Main_S[[#This Row],[Industry]], Mean_PE_S, 3, FALSE))</f>
        <v>1.2796414359839887</v>
      </c>
      <c r="U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" spans="1:26" x14ac:dyDescent="0.25">
      <c r="A7" t="s">
        <v>105</v>
      </c>
      <c r="B7" t="s">
        <v>214</v>
      </c>
      <c r="C7" s="2">
        <v>1904</v>
      </c>
      <c r="D7">
        <f>RTD("tos.rtd", , "LAST", Main_S[[#This Row],[Symbol]])</f>
        <v>7.42</v>
      </c>
      <c r="E7">
        <v>0.92</v>
      </c>
      <c r="F7">
        <v>6.39</v>
      </c>
      <c r="G7">
        <v>0.28000000000000003</v>
      </c>
      <c r="H7" s="1">
        <f>IF(ISNUMBER(Main_S[[#This Row],[Free CF]]),IF(Main_S[[#This Row],[Free CF]]&lt;&gt;0,Main_S[[#This Row],[Current Price]]/Main_S[[#This Row],[Free CF]],""),"")</f>
        <v>8.0652173913043477</v>
      </c>
      <c r="I7" s="1">
        <f>IF(ISNUMBER(Main_S[[#This Row],[BVPS]]),IF(Main_S[[#This Row],[BVPS]]&lt;&gt;0,Main_S[[#This Row],[Current Price]]/Main_S[[#This Row],[BVPS]],""),"")</f>
        <v>1.1611893583724571</v>
      </c>
      <c r="J7">
        <v>4.57</v>
      </c>
      <c r="K7">
        <v>2.27</v>
      </c>
      <c r="L7">
        <v>2.57</v>
      </c>
      <c r="M7" s="1">
        <f>IF(ISNUMBER(Main_S[[#This Row],[EPS]]),IF(Main_S[[#This Row],[EPS]]&lt;&gt;0,Main_S[[#This Row],[Current Price]]/Main_S[[#This Row],[EPS]],""),"")</f>
        <v>26.499999999999996</v>
      </c>
      <c r="N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" s="1">
        <f>(Main_S[[#This Row],[P/FCF]]-VLOOKUP(Main_S[[#This Row],[Industry]], Mean_PFCF_S, 2, FALSE))/(VLOOKUP(Main_S[[#This Row],[Industry]], Mean_PFCF_S, 3, FALSE))</f>
        <v>-0.49190004745453336</v>
      </c>
      <c r="P7" s="1">
        <f>(Main_S[[#This Row],[P/B]]-VLOOKUP(Main_S[[#This Row],[Industry]], Mean_PB_S, 2, FALSE))/(VLOOKUP(Main_S[[#This Row],[Industry]], Mean_PB_S, 3, FALSE))</f>
        <v>0.4817797132136325</v>
      </c>
      <c r="Q7" s="1">
        <f>(Main_S[[#This Row],[ROE]]-VLOOKUP(Main_S[[#This Row],[Industry]], Mean_ROE_S, 2, FALSE))/(VLOOKUP(Main_S[[#This Row],[Industry]], Mean_ROE_S, 3, FALSE))</f>
        <v>-0.92452497156860991</v>
      </c>
      <c r="R7" s="1">
        <f>(Main_S[[#This Row],[ROA]]-VLOOKUP(Main_S[[#This Row],[Industry]], Mean_ROA_S, 2, FALSE))/(VLOOKUP(Main_S[[#This Row],[Industry]], Mean_ROA_S, 3, FALSE))</f>
        <v>-0.59294854990345869</v>
      </c>
      <c r="S7" s="1">
        <f>(Main_S[[#This Row],[A/E]]-VLOOKUP(Main_S[[#This Row],[Industry]], Mean_AE_S, 2, FALSE))/(VLOOKUP(Main_S[[#This Row],[Industry]], Mean_AE_S, 3, FALSE))</f>
        <v>1.9250802910581379E-2</v>
      </c>
      <c r="T7" s="1">
        <f>(Main_S[[#This Row],[P/E]]-VLOOKUP(Main_S[[#This Row],[Industry]], Mean_PE_S, 2, FALSE))/(VLOOKUP(Main_S[[#This Row],[Industry]], Mean_PE_S, 3, FALSE))</f>
        <v>0.96304814655774607</v>
      </c>
      <c r="U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" spans="1:26" x14ac:dyDescent="0.25">
      <c r="A8" t="s">
        <v>105</v>
      </c>
      <c r="B8" t="s">
        <v>215</v>
      </c>
      <c r="C8" s="2">
        <v>1722</v>
      </c>
      <c r="D8">
        <f>RTD("tos.rtd", , "LAST", Main_S[[#This Row],[Symbol]])</f>
        <v>7.95</v>
      </c>
      <c r="E8">
        <v>0.91</v>
      </c>
      <c r="F8">
        <v>9.48</v>
      </c>
      <c r="G8">
        <v>-0.76</v>
      </c>
      <c r="H8" s="1">
        <f>IF(ISNUMBER(Main_S[[#This Row],[Free CF]]),IF(Main_S[[#This Row],[Free CF]]&lt;&gt;0,Main_S[[#This Row],[Current Price]]/Main_S[[#This Row],[Free CF]],""),"")</f>
        <v>8.7362637362637354</v>
      </c>
      <c r="I8" s="1">
        <f>IF(ISNUMBER(Main_S[[#This Row],[BVPS]]),IF(Main_S[[#This Row],[BVPS]]&lt;&gt;0,Main_S[[#This Row],[Current Price]]/Main_S[[#This Row],[BVPS]],""),"")</f>
        <v>0.83860759493670889</v>
      </c>
      <c r="J8">
        <v>-5.45</v>
      </c>
      <c r="K8">
        <v>1.99</v>
      </c>
      <c r="L8">
        <v>3.18</v>
      </c>
      <c r="M8" s="1">
        <f>IF(ISNUMBER(Main_S[[#This Row],[EPS]]),IF(Main_S[[#This Row],[EPS]]&lt;&gt;0,Main_S[[#This Row],[Current Price]]/Main_S[[#This Row],[EPS]],""),"")</f>
        <v>-10.460526315789474</v>
      </c>
      <c r="N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" s="1">
        <f>(Main_S[[#This Row],[P/FCF]]-VLOOKUP(Main_S[[#This Row],[Industry]], Mean_PFCF_S, 2, FALSE))/(VLOOKUP(Main_S[[#This Row],[Industry]], Mean_PFCF_S, 3, FALSE))</f>
        <v>-0.18542213352104028</v>
      </c>
      <c r="P8" s="1">
        <f>(Main_S[[#This Row],[P/B]]-VLOOKUP(Main_S[[#This Row],[Industry]], Mean_PB_S, 2, FALSE))/(VLOOKUP(Main_S[[#This Row],[Industry]], Mean_PB_S, 3, FALSE))</f>
        <v>-1.8561225050616652</v>
      </c>
      <c r="Q8" s="1">
        <f>(Main_S[[#This Row],[ROE]]-VLOOKUP(Main_S[[#This Row],[Industry]], Mean_ROE_S, 2, FALSE))/(VLOOKUP(Main_S[[#This Row],[Industry]], Mean_ROE_S, 3, FALSE))</f>
        <v>-5.9625889906671663</v>
      </c>
      <c r="R8" s="1">
        <f>(Main_S[[#This Row],[ROA]]-VLOOKUP(Main_S[[#This Row],[Industry]], Mean_ROA_S, 2, FALSE))/(VLOOKUP(Main_S[[#This Row],[Industry]], Mean_ROA_S, 3, FALSE))</f>
        <v>-1.3711935216517497</v>
      </c>
      <c r="S8" s="1">
        <f>(Main_S[[#This Row],[A/E]]-VLOOKUP(Main_S[[#This Row],[Industry]], Mean_AE_S, 2, FALSE))/(VLOOKUP(Main_S[[#This Row],[Industry]], Mean_AE_S, 3, FALSE))</f>
        <v>2.07427401361528</v>
      </c>
      <c r="T8" s="1">
        <f>(Main_S[[#This Row],[P/E]]-VLOOKUP(Main_S[[#This Row],[Industry]], Mean_PE_S, 2, FALSE))/(VLOOKUP(Main_S[[#This Row],[Industry]], Mean_PE_S, 3, FALSE))</f>
        <v>-6.837921590269584</v>
      </c>
      <c r="U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9" spans="1:26" x14ac:dyDescent="0.25">
      <c r="A9" t="s">
        <v>105</v>
      </c>
      <c r="B9" t="s">
        <v>216</v>
      </c>
      <c r="C9" s="2">
        <v>633</v>
      </c>
      <c r="D9">
        <f>RTD("tos.rtd", , "LAST", Main_S[[#This Row],[Symbol]])</f>
        <v>14.35</v>
      </c>
      <c r="E9">
        <v>1.36</v>
      </c>
      <c r="F9">
        <v>3.89</v>
      </c>
      <c r="G9">
        <v>0.27</v>
      </c>
      <c r="H9" s="1">
        <f>IF(ISNUMBER(Main_S[[#This Row],[Free CF]]),IF(Main_S[[#This Row],[Free CF]]&lt;&gt;0,Main_S[[#This Row],[Current Price]]/Main_S[[#This Row],[Free CF]],""),"")</f>
        <v>10.551470588235293</v>
      </c>
      <c r="I9" s="1">
        <f>IF(ISNUMBER(Main_S[[#This Row],[BVPS]]),IF(Main_S[[#This Row],[BVPS]]&lt;&gt;0,Main_S[[#This Row],[Current Price]]/Main_S[[#This Row],[BVPS]],""),"")</f>
        <v>3.6889460154241642</v>
      </c>
      <c r="J9">
        <v>7.22</v>
      </c>
      <c r="K9">
        <v>3</v>
      </c>
      <c r="L9">
        <v>6.39</v>
      </c>
      <c r="M9" s="1">
        <f>IF(ISNUMBER(Main_S[[#This Row],[EPS]]),IF(Main_S[[#This Row],[EPS]]&lt;&gt;0,Main_S[[#This Row],[Current Price]]/Main_S[[#This Row],[EPS]],""),"")</f>
        <v>53.148148148148145</v>
      </c>
      <c r="N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" s="1">
        <f>(Main_S[[#This Row],[P/FCF]]-VLOOKUP(Main_S[[#This Row],[Industry]], Mean_PFCF_S, 2, FALSE))/(VLOOKUP(Main_S[[#This Row],[Industry]], Mean_PFCF_S, 3, FALSE))</f>
        <v>0.64361272156589866</v>
      </c>
      <c r="P9" s="1">
        <f>(Main_S[[#This Row],[P/B]]-VLOOKUP(Main_S[[#This Row],[Industry]], Mean_PB_S, 2, FALSE))/(VLOOKUP(Main_S[[#This Row],[Industry]], Mean_PB_S, 3, FALSE))</f>
        <v>18.801624681630205</v>
      </c>
      <c r="Q9" s="1">
        <f>(Main_S[[#This Row],[ROE]]-VLOOKUP(Main_S[[#This Row],[Industry]], Mean_ROE_S, 2, FALSE))/(VLOOKUP(Main_S[[#This Row],[Industry]], Mean_ROE_S, 3, FALSE))</f>
        <v>0.40789714925086834</v>
      </c>
      <c r="R9" s="1">
        <f>(Main_S[[#This Row],[ROA]]-VLOOKUP(Main_S[[#This Row],[Industry]], Mean_ROA_S, 2, FALSE))/(VLOOKUP(Main_S[[#This Row],[Industry]], Mean_ROA_S, 3, FALSE))</f>
        <v>1.4360472692974426</v>
      </c>
      <c r="S9" s="1">
        <f>(Main_S[[#This Row],[A/E]]-VLOOKUP(Main_S[[#This Row],[Industry]], Mean_AE_S, 2, FALSE))/(VLOOKUP(Main_S[[#This Row],[Industry]], Mean_AE_S, 3, FALSE))</f>
        <v>12.888412548635079</v>
      </c>
      <c r="T9" s="1">
        <f>(Main_S[[#This Row],[P/E]]-VLOOKUP(Main_S[[#This Row],[Industry]], Mean_PE_S, 2, FALSE))/(VLOOKUP(Main_S[[#This Row],[Industry]], Mean_PE_S, 3, FALSE))</f>
        <v>6.5874647327844524</v>
      </c>
      <c r="U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0" spans="1:26" x14ac:dyDescent="0.25">
      <c r="A10" t="s">
        <v>105</v>
      </c>
      <c r="B10" t="s">
        <v>217</v>
      </c>
      <c r="C10" s="2">
        <v>1931</v>
      </c>
      <c r="D10">
        <f>RTD("tos.rtd", , "LAST", Main_S[[#This Row],[Symbol]])</f>
        <v>7.35</v>
      </c>
      <c r="E10">
        <v>0.92</v>
      </c>
      <c r="F10">
        <v>6.39</v>
      </c>
      <c r="G10">
        <v>0.28000000000000003</v>
      </c>
      <c r="H10" s="1">
        <f>IF(ISNUMBER(Main_S[[#This Row],[Free CF]]),IF(Main_S[[#This Row],[Free CF]]&lt;&gt;0,Main_S[[#This Row],[Current Price]]/Main_S[[#This Row],[Free CF]],""),"")</f>
        <v>7.9891304347826075</v>
      </c>
      <c r="I10" s="1">
        <f>IF(ISNUMBER(Main_S[[#This Row],[BVPS]]),IF(Main_S[[#This Row],[BVPS]]&lt;&gt;0,Main_S[[#This Row],[Current Price]]/Main_S[[#This Row],[BVPS]],""),"")</f>
        <v>1.1502347417840375</v>
      </c>
      <c r="J10">
        <v>4.57</v>
      </c>
      <c r="K10">
        <v>2.27</v>
      </c>
      <c r="L10">
        <v>2.57</v>
      </c>
      <c r="M10" s="1">
        <f>IF(ISNUMBER(Main_S[[#This Row],[EPS]]),IF(Main_S[[#This Row],[EPS]]&lt;&gt;0,Main_S[[#This Row],[Current Price]]/Main_S[[#This Row],[EPS]],""),"")</f>
        <v>26.249999999999996</v>
      </c>
      <c r="N1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" s="1">
        <f>(Main_S[[#This Row],[P/FCF]]-VLOOKUP(Main_S[[#This Row],[Industry]], Mean_PFCF_S, 2, FALSE))/(VLOOKUP(Main_S[[#This Row],[Industry]], Mean_PFCF_S, 3, FALSE))</f>
        <v>-0.52665021320313388</v>
      </c>
      <c r="P10" s="1">
        <f>(Main_S[[#This Row],[P/B]]-VLOOKUP(Main_S[[#This Row],[Industry]], Mean_PB_S, 2, FALSE))/(VLOOKUP(Main_S[[#This Row],[Industry]], Mean_PB_S, 3, FALSE))</f>
        <v>0.40238643893288528</v>
      </c>
      <c r="Q10" s="1">
        <f>(Main_S[[#This Row],[ROE]]-VLOOKUP(Main_S[[#This Row],[Industry]], Mean_ROE_S, 2, FALSE))/(VLOOKUP(Main_S[[#This Row],[Industry]], Mean_ROE_S, 3, FALSE))</f>
        <v>-0.92452497156860991</v>
      </c>
      <c r="R10" s="1">
        <f>(Main_S[[#This Row],[ROA]]-VLOOKUP(Main_S[[#This Row],[Industry]], Mean_ROA_S, 2, FALSE))/(VLOOKUP(Main_S[[#This Row],[Industry]], Mean_ROA_S, 3, FALSE))</f>
        <v>-0.59294854990345869</v>
      </c>
      <c r="S10" s="1">
        <f>(Main_S[[#This Row],[A/E]]-VLOOKUP(Main_S[[#This Row],[Industry]], Mean_AE_S, 2, FALSE))/(VLOOKUP(Main_S[[#This Row],[Industry]], Mean_AE_S, 3, FALSE))</f>
        <v>1.9250802910581379E-2</v>
      </c>
      <c r="T10" s="1">
        <f>(Main_S[[#This Row],[P/E]]-VLOOKUP(Main_S[[#This Row],[Industry]], Mean_PE_S, 2, FALSE))/(VLOOKUP(Main_S[[#This Row],[Industry]], Mean_PE_S, 3, FALSE))</f>
        <v>0.91028259832003899</v>
      </c>
      <c r="U1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" spans="1:26" x14ac:dyDescent="0.25">
      <c r="A11" t="s">
        <v>105</v>
      </c>
      <c r="B11" t="s">
        <v>218</v>
      </c>
      <c r="C11" s="2">
        <v>503</v>
      </c>
      <c r="D11">
        <f>RTD("tos.rtd", , "LAST", Main_S[[#This Row],[Symbol]])</f>
        <v>24.04</v>
      </c>
      <c r="E11">
        <v>1.9</v>
      </c>
      <c r="F11">
        <v>14.85</v>
      </c>
      <c r="G11">
        <v>1.4</v>
      </c>
      <c r="H11" s="1">
        <f>IF(ISNUMBER(Main_S[[#This Row],[Free CF]]),IF(Main_S[[#This Row],[Free CF]]&lt;&gt;0,Main_S[[#This Row],[Current Price]]/Main_S[[#This Row],[Free CF]],""),"")</f>
        <v>12.652631578947368</v>
      </c>
      <c r="I11" s="1">
        <f>IF(ISNUMBER(Main_S[[#This Row],[BVPS]]),IF(Main_S[[#This Row],[BVPS]]&lt;&gt;0,Main_S[[#This Row],[Current Price]]/Main_S[[#This Row],[BVPS]],""),"")</f>
        <v>1.6188552188552188</v>
      </c>
      <c r="J11">
        <v>9.99</v>
      </c>
      <c r="K11">
        <v>2.71</v>
      </c>
      <c r="L11">
        <v>2.4900000000000002</v>
      </c>
      <c r="M11" s="1">
        <f>IF(ISNUMBER(Main_S[[#This Row],[EPS]]),IF(Main_S[[#This Row],[EPS]]&lt;&gt;0,Main_S[[#This Row],[Current Price]]/Main_S[[#This Row],[EPS]],""),"")</f>
        <v>17.171428571428571</v>
      </c>
      <c r="N1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" s="1">
        <f>(Main_S[[#This Row],[P/FCF]]-VLOOKUP(Main_S[[#This Row],[Industry]], Mean_PFCF_S, 2, FALSE))/(VLOOKUP(Main_S[[#This Row],[Industry]], Mean_PFCF_S, 3, FALSE))</f>
        <v>1.6032475398001609</v>
      </c>
      <c r="P11" s="1">
        <f>(Main_S[[#This Row],[P/B]]-VLOOKUP(Main_S[[#This Row],[Industry]], Mean_PB_S, 2, FALSE))/(VLOOKUP(Main_S[[#This Row],[Industry]], Mean_PB_S, 3, FALSE))</f>
        <v>3.7987001090085415</v>
      </c>
      <c r="Q11" s="1">
        <f>(Main_S[[#This Row],[ROE]]-VLOOKUP(Main_S[[#This Row],[Industry]], Mean_ROE_S, 2, FALSE))/(VLOOKUP(Main_S[[#This Row],[Industry]], Mean_ROE_S, 3, FALSE))</f>
        <v>1.8006553661074554</v>
      </c>
      <c r="R11" s="1">
        <f>(Main_S[[#This Row],[ROA]]-VLOOKUP(Main_S[[#This Row],[Industry]], Mean_ROA_S, 2, FALSE))/(VLOOKUP(Main_S[[#This Row],[Industry]], Mean_ROA_S, 3, FALSE))</f>
        <v>0.63000783427242701</v>
      </c>
      <c r="S11" s="1">
        <f>(Main_S[[#This Row],[A/E]]-VLOOKUP(Main_S[[#This Row],[Industry]], Mean_AE_S, 2, FALSE))/(VLOOKUP(Main_S[[#This Row],[Industry]], Mean_AE_S, 3, FALSE))</f>
        <v>-0.2502604378375744</v>
      </c>
      <c r="T11" s="1">
        <f>(Main_S[[#This Row],[P/E]]-VLOOKUP(Main_S[[#This Row],[Industry]], Mean_PE_S, 2, FALSE))/(VLOOKUP(Main_S[[#This Row],[Industry]], Mean_PE_S, 3, FALSE))</f>
        <v>-1.0058605962549816</v>
      </c>
      <c r="U1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" spans="1:26" x14ac:dyDescent="0.25">
      <c r="A12" t="s">
        <v>114</v>
      </c>
      <c r="B12" t="s">
        <v>240</v>
      </c>
      <c r="C12" s="2">
        <v>485</v>
      </c>
      <c r="D12">
        <f>RTD("tos.rtd", , "LAST", Main_S[[#This Row],[Symbol]])</f>
        <v>16.25</v>
      </c>
      <c r="E12">
        <v>2.2799999999999998</v>
      </c>
      <c r="F12">
        <v>17.25</v>
      </c>
      <c r="G12">
        <v>-0.31</v>
      </c>
      <c r="H12" s="1">
        <f>IF(ISNUMBER(Main_S[[#This Row],[Free CF]]),IF(Main_S[[#This Row],[Free CF]]&lt;&gt;0,Main_S[[#This Row],[Current Price]]/Main_S[[#This Row],[Free CF]],""),"")</f>
        <v>7.1271929824561413</v>
      </c>
      <c r="I12" s="1">
        <f>IF(ISNUMBER(Main_S[[#This Row],[BVPS]]),IF(Main_S[[#This Row],[BVPS]]&lt;&gt;0,Main_S[[#This Row],[Current Price]]/Main_S[[#This Row],[BVPS]],""),"")</f>
        <v>0.94202898550724634</v>
      </c>
      <c r="J12">
        <v>-1.08</v>
      </c>
      <c r="K12">
        <v>1.93</v>
      </c>
      <c r="L12">
        <v>2.14</v>
      </c>
      <c r="M12" s="1">
        <f>IF(ISNUMBER(Main_S[[#This Row],[EPS]]),IF(Main_S[[#This Row],[EPS]]&lt;&gt;0,Main_S[[#This Row],[Current Price]]/Main_S[[#This Row],[EPS]],""),"")</f>
        <v>-52.41935483870968</v>
      </c>
      <c r="N1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" s="1">
        <f>(Main_S[[#This Row],[P/FCF]]-VLOOKUP(Main_S[[#This Row],[Industry]], Mean_PFCF_S, 2, FALSE))/(VLOOKUP(Main_S[[#This Row],[Industry]], Mean_PFCF_S, 3, FALSE))</f>
        <v>-1.1741097192656544</v>
      </c>
      <c r="P12" s="1">
        <f>(Main_S[[#This Row],[P/B]]-VLOOKUP(Main_S[[#This Row],[Industry]], Mean_PB_S, 2, FALSE))/(VLOOKUP(Main_S[[#This Row],[Industry]], Mean_PB_S, 3, FALSE))</f>
        <v>-0.67072907923777525</v>
      </c>
      <c r="Q12" s="1">
        <f>(Main_S[[#This Row],[ROE]]-VLOOKUP(Main_S[[#This Row],[Industry]], Mean_ROE_S, 2, FALSE))/(VLOOKUP(Main_S[[#This Row],[Industry]], Mean_ROE_S, 3, FALSE))</f>
        <v>-1.246064176760687</v>
      </c>
      <c r="R12" s="1">
        <f>(Main_S[[#This Row],[ROA]]-VLOOKUP(Main_S[[#This Row],[Industry]], Mean_ROA_S, 2, FALSE))/(VLOOKUP(Main_S[[#This Row],[Industry]], Mean_ROA_S, 3, FALSE))</f>
        <v>-0.72451167106572345</v>
      </c>
      <c r="S12" s="1">
        <f>(Main_S[[#This Row],[A/E]]-VLOOKUP(Main_S[[#This Row],[Industry]], Mean_AE_S, 2, FALSE))/(VLOOKUP(Main_S[[#This Row],[Industry]], Mean_AE_S, 3, FALSE))</f>
        <v>-0.23608505466362323</v>
      </c>
      <c r="T12" s="1">
        <f>(Main_S[[#This Row],[P/E]]-VLOOKUP(Main_S[[#This Row],[Industry]], Mean_PE_S, 2, FALSE))/(VLOOKUP(Main_S[[#This Row],[Industry]], Mean_PE_S, 3, FALSE))</f>
        <v>-12.637692420255059</v>
      </c>
      <c r="U1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3" spans="1:26" x14ac:dyDescent="0.25">
      <c r="A13" t="s">
        <v>114</v>
      </c>
      <c r="B13" t="s">
        <v>241</v>
      </c>
      <c r="C13" s="2">
        <v>514</v>
      </c>
      <c r="D13">
        <f>RTD("tos.rtd", , "LAST", Main_S[[#This Row],[Symbol]])</f>
        <v>6.79</v>
      </c>
      <c r="E13">
        <v>0.97</v>
      </c>
      <c r="F13">
        <v>6.87</v>
      </c>
      <c r="G13">
        <v>0.01</v>
      </c>
      <c r="H13" s="1">
        <f>IF(ISNUMBER(Main_S[[#This Row],[Free CF]]),IF(Main_S[[#This Row],[Free CF]]&lt;&gt;0,Main_S[[#This Row],[Current Price]]/Main_S[[#This Row],[Free CF]],""),"")</f>
        <v>7</v>
      </c>
      <c r="I13" s="1">
        <f>IF(ISNUMBER(Main_S[[#This Row],[BVPS]]),IF(Main_S[[#This Row],[BVPS]]&lt;&gt;0,Main_S[[#This Row],[Current Price]]/Main_S[[#This Row],[BVPS]],""),"")</f>
        <v>0.98835516739446871</v>
      </c>
      <c r="J13">
        <v>1.1499999999999999</v>
      </c>
      <c r="K13">
        <v>1.63</v>
      </c>
      <c r="L13">
        <v>2.74</v>
      </c>
      <c r="M13" s="1">
        <f>IF(ISNUMBER(Main_S[[#This Row],[EPS]]),IF(Main_S[[#This Row],[EPS]]&lt;&gt;0,Main_S[[#This Row],[Current Price]]/Main_S[[#This Row],[EPS]],""),"")</f>
        <v>679</v>
      </c>
      <c r="N1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" s="1">
        <f>(Main_S[[#This Row],[P/FCF]]-VLOOKUP(Main_S[[#This Row],[Industry]], Mean_PFCF_S, 2, FALSE))/(VLOOKUP(Main_S[[#This Row],[Industry]], Mean_PFCF_S, 3, FALSE))</f>
        <v>-1.2346222096842501</v>
      </c>
      <c r="P13" s="1">
        <f>(Main_S[[#This Row],[P/B]]-VLOOKUP(Main_S[[#This Row],[Industry]], Mean_PB_S, 2, FALSE))/(VLOOKUP(Main_S[[#This Row],[Industry]], Mean_PB_S, 3, FALSE))</f>
        <v>-0.52338433137548468</v>
      </c>
      <c r="Q13" s="1">
        <f>(Main_S[[#This Row],[ROE]]-VLOOKUP(Main_S[[#This Row],[Industry]], Mean_ROE_S, 2, FALSE))/(VLOOKUP(Main_S[[#This Row],[Industry]], Mean_ROE_S, 3, FALSE))</f>
        <v>-0.74897596313343628</v>
      </c>
      <c r="R13" s="1">
        <f>(Main_S[[#This Row],[ROA]]-VLOOKUP(Main_S[[#This Row],[Industry]], Mean_ROA_S, 2, FALSE))/(VLOOKUP(Main_S[[#This Row],[Industry]], Mean_ROA_S, 3, FALSE))</f>
        <v>-0.99620354771537001</v>
      </c>
      <c r="S13" s="1">
        <f>(Main_S[[#This Row],[A/E]]-VLOOKUP(Main_S[[#This Row],[Industry]], Mean_AE_S, 2, FALSE))/(VLOOKUP(Main_S[[#This Row],[Industry]], Mean_AE_S, 3, FALSE))</f>
        <v>0.66044046937545287</v>
      </c>
      <c r="T13" s="1">
        <f>(Main_S[[#This Row],[P/E]]-VLOOKUP(Main_S[[#This Row],[Industry]], Mean_PE_S, 2, FALSE))/(VLOOKUP(Main_S[[#This Row],[Industry]], Mean_PE_S, 3, FALSE))</f>
        <v>103.94755221195386</v>
      </c>
      <c r="U1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4" spans="1:26" x14ac:dyDescent="0.25">
      <c r="A14" t="s">
        <v>114</v>
      </c>
      <c r="B14" t="s">
        <v>242</v>
      </c>
      <c r="C14" s="2">
        <v>1665</v>
      </c>
      <c r="D14">
        <f>RTD("tos.rtd", , "LAST", Main_S[[#This Row],[Symbol]])</f>
        <v>35.56</v>
      </c>
      <c r="E14">
        <v>3.01</v>
      </c>
      <c r="F14">
        <v>20.96</v>
      </c>
      <c r="G14">
        <v>1.93</v>
      </c>
      <c r="H14" s="1">
        <f>IF(ISNUMBER(Main_S[[#This Row],[Free CF]]),IF(Main_S[[#This Row],[Free CF]]&lt;&gt;0,Main_S[[#This Row],[Current Price]]/Main_S[[#This Row],[Free CF]],""),"")</f>
        <v>11.813953488372094</v>
      </c>
      <c r="I14" s="1">
        <f>IF(ISNUMBER(Main_S[[#This Row],[BVPS]]),IF(Main_S[[#This Row],[BVPS]]&lt;&gt;0,Main_S[[#This Row],[Current Price]]/Main_S[[#This Row],[BVPS]],""),"")</f>
        <v>1.6965648854961832</v>
      </c>
      <c r="J14">
        <v>9.39</v>
      </c>
      <c r="K14">
        <v>4.12</v>
      </c>
      <c r="L14">
        <v>1.85</v>
      </c>
      <c r="M14" s="1">
        <f>IF(ISNUMBER(Main_S[[#This Row],[EPS]]),IF(Main_S[[#This Row],[EPS]]&lt;&gt;0,Main_S[[#This Row],[Current Price]]/Main_S[[#This Row],[EPS]],""),"")</f>
        <v>18.424870466321245</v>
      </c>
      <c r="N1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" s="1">
        <f>(Main_S[[#This Row],[P/FCF]]-VLOOKUP(Main_S[[#This Row],[Industry]], Mean_PFCF_S, 2, FALSE))/(VLOOKUP(Main_S[[#This Row],[Industry]], Mean_PFCF_S, 3, FALSE))</f>
        <v>1.0556323996148831</v>
      </c>
      <c r="P14" s="1">
        <f>(Main_S[[#This Row],[P/B]]-VLOOKUP(Main_S[[#This Row],[Industry]], Mean_PB_S, 2, FALSE))/(VLOOKUP(Main_S[[#This Row],[Industry]], Mean_PB_S, 3, FALSE))</f>
        <v>1.7291428162611511</v>
      </c>
      <c r="Q14" s="1">
        <f>(Main_S[[#This Row],[ROE]]-VLOOKUP(Main_S[[#This Row],[Industry]], Mean_ROE_S, 2, FALSE))/(VLOOKUP(Main_S[[#This Row],[Industry]], Mean_ROE_S, 3, FALSE))</f>
        <v>1.0877984226461814</v>
      </c>
      <c r="R14" s="1">
        <f>(Main_S[[#This Row],[ROA]]-VLOOKUP(Main_S[[#This Row],[Industry]], Mean_ROA_S, 2, FALSE))/(VLOOKUP(Main_S[[#This Row],[Industry]], Mean_ROA_S, 3, FALSE))</f>
        <v>1.2588390284766957</v>
      </c>
      <c r="S14" s="1">
        <f>(Main_S[[#This Row],[A/E]]-VLOOKUP(Main_S[[#This Row],[Industry]], Mean_AE_S, 2, FALSE))/(VLOOKUP(Main_S[[#This Row],[Industry]], Mean_AE_S, 3, FALSE))</f>
        <v>-0.66940572461584336</v>
      </c>
      <c r="T14" s="1">
        <f>(Main_S[[#This Row],[P/E]]-VLOOKUP(Main_S[[#This Row],[Industry]], Mean_PE_S, 2, FALSE))/(VLOOKUP(Main_S[[#This Row],[Industry]], Mean_PE_S, 3, FALSE))</f>
        <v>-1.3454135335585324</v>
      </c>
      <c r="U1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" spans="1:26" x14ac:dyDescent="0.25">
      <c r="A15" t="s">
        <v>114</v>
      </c>
      <c r="B15" t="s">
        <v>243</v>
      </c>
      <c r="C15" s="2">
        <v>1418</v>
      </c>
      <c r="D15">
        <f>RTD("tos.rtd", , "LAST", Main_S[[#This Row],[Symbol]])</f>
        <v>25.09</v>
      </c>
      <c r="E15">
        <v>2.36</v>
      </c>
      <c r="F15">
        <v>25.48</v>
      </c>
      <c r="G15">
        <v>0.75</v>
      </c>
      <c r="H15" s="1">
        <f>IF(ISNUMBER(Main_S[[#This Row],[Free CF]]),IF(Main_S[[#This Row],[Free CF]]&lt;&gt;0,Main_S[[#This Row],[Current Price]]/Main_S[[#This Row],[Free CF]],""),"")</f>
        <v>10.631355932203391</v>
      </c>
      <c r="I15" s="1">
        <f>IF(ISNUMBER(Main_S[[#This Row],[BVPS]]),IF(Main_S[[#This Row],[BVPS]]&lt;&gt;0,Main_S[[#This Row],[Current Price]]/Main_S[[#This Row],[BVPS]],""),"")</f>
        <v>0.98469387755102034</v>
      </c>
      <c r="J15">
        <v>2.94</v>
      </c>
      <c r="K15">
        <v>1.94</v>
      </c>
      <c r="L15">
        <v>1.43</v>
      </c>
      <c r="M15" s="1">
        <f>IF(ISNUMBER(Main_S[[#This Row],[EPS]]),IF(Main_S[[#This Row],[EPS]]&lt;&gt;0,Main_S[[#This Row],[Current Price]]/Main_S[[#This Row],[EPS]],""),"")</f>
        <v>33.453333333333333</v>
      </c>
      <c r="N1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" s="1">
        <f>(Main_S[[#This Row],[P/FCF]]-VLOOKUP(Main_S[[#This Row],[Industry]], Mean_PFCF_S, 2, FALSE))/(VLOOKUP(Main_S[[#This Row],[Industry]], Mean_PFCF_S, 3, FALSE))</f>
        <v>0.49300762342969323</v>
      </c>
      <c r="P15" s="1">
        <f>(Main_S[[#This Row],[P/B]]-VLOOKUP(Main_S[[#This Row],[Industry]], Mean_PB_S, 2, FALSE))/(VLOOKUP(Main_S[[#This Row],[Industry]], Mean_PB_S, 3, FALSE))</f>
        <v>-0.53502940564789003</v>
      </c>
      <c r="Q15" s="1">
        <f>(Main_S[[#This Row],[ROE]]-VLOOKUP(Main_S[[#This Row],[Industry]], Mean_ROE_S, 2, FALSE))/(VLOOKUP(Main_S[[#This Row],[Industry]], Mean_ROE_S, 3, FALSE))</f>
        <v>-0.34996793515461155</v>
      </c>
      <c r="R15" s="1">
        <f>(Main_S[[#This Row],[ROA]]-VLOOKUP(Main_S[[#This Row],[Industry]], Mean_ROA_S, 2, FALSE))/(VLOOKUP(Main_S[[#This Row],[Industry]], Mean_ROA_S, 3, FALSE))</f>
        <v>-0.71545527517740193</v>
      </c>
      <c r="S15" s="1">
        <f>(Main_S[[#This Row],[A/E]]-VLOOKUP(Main_S[[#This Row],[Industry]], Mean_AE_S, 2, FALSE))/(VLOOKUP(Main_S[[#This Row],[Industry]], Mean_AE_S, 3, FALSE))</f>
        <v>-1.2969735914431968</v>
      </c>
      <c r="T15" s="1">
        <f>(Main_S[[#This Row],[P/E]]-VLOOKUP(Main_S[[#This Row],[Industry]], Mean_PE_S, 2, FALSE))/(VLOOKUP(Main_S[[#This Row],[Industry]], Mean_PE_S, 3, FALSE))</f>
        <v>1.050061795615713</v>
      </c>
      <c r="U1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" spans="1:26" x14ac:dyDescent="0.25">
      <c r="A16" t="s">
        <v>114</v>
      </c>
      <c r="B16" t="s">
        <v>244</v>
      </c>
      <c r="C16" s="2">
        <v>537</v>
      </c>
      <c r="D16">
        <f>RTD("tos.rtd", , "LAST", Main_S[[#This Row],[Symbol]])</f>
        <v>38.770000000000003</v>
      </c>
      <c r="E16">
        <v>3.4</v>
      </c>
      <c r="F16">
        <v>12.43</v>
      </c>
      <c r="G16">
        <v>1.35</v>
      </c>
      <c r="H16" s="1">
        <f>IF(ISNUMBER(Main_S[[#This Row],[Free CF]]),IF(Main_S[[#This Row],[Free CF]]&lt;&gt;0,Main_S[[#This Row],[Current Price]]/Main_S[[#This Row],[Free CF]],""),"")</f>
        <v>11.402941176470589</v>
      </c>
      <c r="I16" s="1">
        <f>IF(ISNUMBER(Main_S[[#This Row],[BVPS]]),IF(Main_S[[#This Row],[BVPS]]&lt;&gt;0,Main_S[[#This Row],[Current Price]]/Main_S[[#This Row],[BVPS]],""),"")</f>
        <v>3.1190667739340308</v>
      </c>
      <c r="J16">
        <v>10.15</v>
      </c>
      <c r="K16">
        <v>4.03</v>
      </c>
      <c r="L16">
        <v>3.33</v>
      </c>
      <c r="M16" s="1">
        <f>IF(ISNUMBER(Main_S[[#This Row],[EPS]]),IF(Main_S[[#This Row],[EPS]]&lt;&gt;0,Main_S[[#This Row],[Current Price]]/Main_S[[#This Row],[EPS]],""),"")</f>
        <v>28.718518518518518</v>
      </c>
      <c r="N1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" s="1">
        <f>(Main_S[[#This Row],[P/FCF]]-VLOOKUP(Main_S[[#This Row],[Industry]], Mean_PFCF_S, 2, FALSE))/(VLOOKUP(Main_S[[#This Row],[Industry]], Mean_PFCF_S, 3, FALSE))</f>
        <v>0.86009190590532791</v>
      </c>
      <c r="P16" s="1">
        <f>(Main_S[[#This Row],[P/B]]-VLOOKUP(Main_S[[#This Row],[Industry]], Mean_PB_S, 2, FALSE))/(VLOOKUP(Main_S[[#This Row],[Industry]], Mean_PB_S, 3, FALSE))</f>
        <v>6.2535429189019833</v>
      </c>
      <c r="Q16" s="1">
        <f>(Main_S[[#This Row],[ROE]]-VLOOKUP(Main_S[[#This Row],[Industry]], Mean_ROE_S, 2, FALSE))/(VLOOKUP(Main_S[[#This Row],[Industry]], Mean_ROE_S, 3, FALSE))</f>
        <v>1.257209652402554</v>
      </c>
      <c r="R16" s="1">
        <f>(Main_S[[#This Row],[ROA]]-VLOOKUP(Main_S[[#This Row],[Industry]], Mean_ROA_S, 2, FALSE))/(VLOOKUP(Main_S[[#This Row],[Industry]], Mean_ROA_S, 3, FALSE))</f>
        <v>1.1773314654818019</v>
      </c>
      <c r="S16" s="1">
        <f>(Main_S[[#This Row],[A/E]]-VLOOKUP(Main_S[[#This Row],[Industry]], Mean_AE_S, 2, FALSE))/(VLOOKUP(Main_S[[#This Row],[Industry]], Mean_AE_S, 3, FALSE))</f>
        <v>1.5420239013472108</v>
      </c>
      <c r="T16" s="1">
        <f>(Main_S[[#This Row],[P/E]]-VLOOKUP(Main_S[[#This Row],[Industry]], Mean_PE_S, 2, FALSE))/(VLOOKUP(Main_S[[#This Row],[Industry]], Mean_PE_S, 3, FALSE))</f>
        <v>0.29535173794282066</v>
      </c>
      <c r="U1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7" spans="1:26" x14ac:dyDescent="0.25">
      <c r="A17" t="s">
        <v>110</v>
      </c>
      <c r="B17" t="s">
        <v>221</v>
      </c>
      <c r="C17" s="2">
        <v>342</v>
      </c>
      <c r="D17">
        <f>RTD("tos.rtd", , "LAST", Main_S[[#This Row],[Symbol]])</f>
        <v>7.3</v>
      </c>
      <c r="E17">
        <v>1.33</v>
      </c>
      <c r="F17">
        <v>15.5</v>
      </c>
      <c r="G17">
        <v>-0.08</v>
      </c>
      <c r="H17" s="1">
        <f>IF(ISNUMBER(Main_S[[#This Row],[Free CF]]),IF(Main_S[[#This Row],[Free CF]]&lt;&gt;0,Main_S[[#This Row],[Current Price]]/Main_S[[#This Row],[Free CF]],""),"")</f>
        <v>5.488721804511278</v>
      </c>
      <c r="I17" s="1">
        <f>IF(ISNUMBER(Main_S[[#This Row],[BVPS]]),IF(Main_S[[#This Row],[BVPS]]&lt;&gt;0,Main_S[[#This Row],[Current Price]]/Main_S[[#This Row],[BVPS]],""),"")</f>
        <v>0.47096774193548385</v>
      </c>
      <c r="J17">
        <v>0.51</v>
      </c>
      <c r="K17">
        <v>1.54</v>
      </c>
      <c r="L17">
        <v>1.65</v>
      </c>
      <c r="M17" s="1">
        <f>IF(ISNUMBER(Main_S[[#This Row],[EPS]]),IF(Main_S[[#This Row],[EPS]]&lt;&gt;0,Main_S[[#This Row],[Current Price]]/Main_S[[#This Row],[EPS]],""),"")</f>
        <v>-91.25</v>
      </c>
      <c r="N1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7" s="1">
        <f>(Main_S[[#This Row],[P/FCF]]-VLOOKUP(Main_S[[#This Row],[Industry]], Mean_PFCF_S, 2, FALSE))/(VLOOKUP(Main_S[[#This Row],[Industry]], Mean_PFCF_S, 3, FALSE))</f>
        <v>-0.38196149209125646</v>
      </c>
      <c r="P17" s="1">
        <f>(Main_S[[#This Row],[P/B]]-VLOOKUP(Main_S[[#This Row],[Industry]], Mean_PB_S, 2, FALSE))/(VLOOKUP(Main_S[[#This Row],[Industry]], Mean_PB_S, 3, FALSE))</f>
        <v>-0.93803378797446668</v>
      </c>
      <c r="Q17" s="1">
        <f>(Main_S[[#This Row],[ROE]]-VLOOKUP(Main_S[[#This Row],[Industry]], Mean_ROE_S, 2, FALSE))/(VLOOKUP(Main_S[[#This Row],[Industry]], Mean_ROE_S, 3, FALSE))</f>
        <v>-1.2552580777130065</v>
      </c>
      <c r="R17" s="1">
        <f>(Main_S[[#This Row],[ROA]]-VLOOKUP(Main_S[[#This Row],[Industry]], Mean_ROA_S, 2, FALSE))/(VLOOKUP(Main_S[[#This Row],[Industry]], Mean_ROA_S, 3, FALSE))</f>
        <v>-0.368001540926846</v>
      </c>
      <c r="S17" s="1">
        <f>(Main_S[[#This Row],[A/E]]-VLOOKUP(Main_S[[#This Row],[Industry]], Mean_AE_S, 2, FALSE))/(VLOOKUP(Main_S[[#This Row],[Industry]], Mean_AE_S, 3, FALSE))</f>
        <v>-1.3114756669151286</v>
      </c>
      <c r="T17" s="1">
        <f>(Main_S[[#This Row],[P/E]]-VLOOKUP(Main_S[[#This Row],[Industry]], Mean_PE_S, 2, FALSE))/(VLOOKUP(Main_S[[#This Row],[Industry]], Mean_PE_S, 3, FALSE))</f>
        <v>-4.3014106929364599</v>
      </c>
      <c r="U1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8" spans="1:26" x14ac:dyDescent="0.25">
      <c r="A18" t="s">
        <v>110</v>
      </c>
      <c r="B18" t="s">
        <v>222</v>
      </c>
      <c r="C18" s="2">
        <v>1527</v>
      </c>
      <c r="D18">
        <f>RTD("tos.rtd", , "LAST", Main_S[[#This Row],[Symbol]])</f>
        <v>7.95</v>
      </c>
      <c r="E18">
        <v>1.01</v>
      </c>
      <c r="F18">
        <v>7.56</v>
      </c>
      <c r="G18">
        <v>0.19</v>
      </c>
      <c r="H18" s="1">
        <f>IF(ISNUMBER(Main_S[[#This Row],[Free CF]]),IF(Main_S[[#This Row],[Free CF]]&lt;&gt;0,Main_S[[#This Row],[Current Price]]/Main_S[[#This Row],[Free CF]],""),"")</f>
        <v>7.8712871287128712</v>
      </c>
      <c r="I18" s="1">
        <f>IF(ISNUMBER(Main_S[[#This Row],[BVPS]]),IF(Main_S[[#This Row],[BVPS]]&lt;&gt;0,Main_S[[#This Row],[Current Price]]/Main_S[[#This Row],[BVPS]],""),"")</f>
        <v>1.0515873015873016</v>
      </c>
      <c r="J18">
        <v>3.21</v>
      </c>
      <c r="K18">
        <v>3.31</v>
      </c>
      <c r="L18">
        <v>1.98</v>
      </c>
      <c r="M18" s="1">
        <f>IF(ISNUMBER(Main_S[[#This Row],[EPS]]),IF(Main_S[[#This Row],[EPS]]&lt;&gt;0,Main_S[[#This Row],[Current Price]]/Main_S[[#This Row],[EPS]],""),"")</f>
        <v>41.842105263157897</v>
      </c>
      <c r="N1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8" s="1">
        <f>(Main_S[[#This Row],[P/FCF]]-VLOOKUP(Main_S[[#This Row],[Industry]], Mean_PFCF_S, 2, FALSE))/(VLOOKUP(Main_S[[#This Row],[Industry]], Mean_PFCF_S, 3, FALSE))</f>
        <v>0.56892479439917221</v>
      </c>
      <c r="P18" s="1">
        <f>(Main_S[[#This Row],[P/B]]-VLOOKUP(Main_S[[#This Row],[Industry]], Mean_PB_S, 2, FALSE))/(VLOOKUP(Main_S[[#This Row],[Industry]], Mean_PB_S, 3, FALSE))</f>
        <v>1.5021219745489329</v>
      </c>
      <c r="Q18" s="1">
        <f>(Main_S[[#This Row],[ROE]]-VLOOKUP(Main_S[[#This Row],[Industry]], Mean_ROE_S, 2, FALSE))/(VLOOKUP(Main_S[[#This Row],[Industry]], Mean_ROE_S, 3, FALSE))</f>
        <v>0.84983310851377492</v>
      </c>
      <c r="R18" s="1">
        <f>(Main_S[[#This Row],[ROA]]-VLOOKUP(Main_S[[#This Row],[Industry]], Mean_ROA_S, 2, FALSE))/(VLOOKUP(Main_S[[#This Row],[Industry]], Mean_ROA_S, 3, FALSE))</f>
        <v>4.0109075511102414</v>
      </c>
      <c r="S18" s="1">
        <f>(Main_S[[#This Row],[A/E]]-VLOOKUP(Main_S[[#This Row],[Industry]], Mean_AE_S, 2, FALSE))/(VLOOKUP(Main_S[[#This Row],[Industry]], Mean_AE_S, 3, FALSE))</f>
        <v>-0.61060607973781245</v>
      </c>
      <c r="T18" s="1">
        <f>(Main_S[[#This Row],[P/E]]-VLOOKUP(Main_S[[#This Row],[Industry]], Mean_PE_S, 2, FALSE))/(VLOOKUP(Main_S[[#This Row],[Industry]], Mean_PE_S, 3, FALSE))</f>
        <v>0.57854400645696658</v>
      </c>
      <c r="U1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9" spans="1:26" x14ac:dyDescent="0.25">
      <c r="A19" t="s">
        <v>110</v>
      </c>
      <c r="B19" t="s">
        <v>223</v>
      </c>
      <c r="C19" s="2">
        <v>463</v>
      </c>
      <c r="D19">
        <f>RTD("tos.rtd", , "LAST", Main_S[[#This Row],[Symbol]])</f>
        <v>4.5999999999999996</v>
      </c>
      <c r="E19">
        <v>0.49</v>
      </c>
      <c r="F19">
        <v>8.42</v>
      </c>
      <c r="G19">
        <v>0.2</v>
      </c>
      <c r="H19" s="1">
        <f>IF(ISNUMBER(Main_S[[#This Row],[Free CF]]),IF(Main_S[[#This Row],[Free CF]]&lt;&gt;0,Main_S[[#This Row],[Current Price]]/Main_S[[#This Row],[Free CF]],""),"")</f>
        <v>9.3877551020408152</v>
      </c>
      <c r="I19" s="1">
        <f>IF(ISNUMBER(Main_S[[#This Row],[BVPS]]),IF(Main_S[[#This Row],[BVPS]]&lt;&gt;0,Main_S[[#This Row],[Current Price]]/Main_S[[#This Row],[BVPS]],""),"")</f>
        <v>0.54631828978622321</v>
      </c>
      <c r="J19">
        <v>2.66</v>
      </c>
      <c r="K19">
        <v>1.66</v>
      </c>
      <c r="L19">
        <v>3.15</v>
      </c>
      <c r="M19" s="1">
        <f>IF(ISNUMBER(Main_S[[#This Row],[EPS]]),IF(Main_S[[#This Row],[EPS]]&lt;&gt;0,Main_S[[#This Row],[Current Price]]/Main_S[[#This Row],[EPS]],""),"")</f>
        <v>22.999999999999996</v>
      </c>
      <c r="N1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9" s="1">
        <f>(Main_S[[#This Row],[P/FCF]]-VLOOKUP(Main_S[[#This Row],[Industry]], Mean_PFCF_S, 2, FALSE))/(VLOOKUP(Main_S[[#This Row],[Industry]], Mean_PFCF_S, 3, FALSE))</f>
        <v>1.1741500048444267</v>
      </c>
      <c r="P19" s="1">
        <f>(Main_S[[#This Row],[P/B]]-VLOOKUP(Main_S[[#This Row],[Industry]], Mean_PB_S, 2, FALSE))/(VLOOKUP(Main_S[[#This Row],[Industry]], Mean_PB_S, 3, FALSE))</f>
        <v>-0.62135986528137477</v>
      </c>
      <c r="Q19" s="1">
        <f>(Main_S[[#This Row],[ROE]]-VLOOKUP(Main_S[[#This Row],[Industry]], Mean_ROE_S, 2, FALSE))/(VLOOKUP(Main_S[[#This Row],[Industry]], Mean_ROE_S, 3, FALSE))</f>
        <v>0.42101823724535664</v>
      </c>
      <c r="R19" s="1">
        <f>(Main_S[[#This Row],[ROA]]-VLOOKUP(Main_S[[#This Row],[Industry]], Mean_ROA_S, 2, FALSE))/(VLOOKUP(Main_S[[#This Row],[Industry]], Mean_ROA_S, 3, FALSE))</f>
        <v>-7.1126348246365795E-2</v>
      </c>
      <c r="S19" s="1">
        <f>(Main_S[[#This Row],[A/E]]-VLOOKUP(Main_S[[#This Row],[Industry]], Mean_AE_S, 2, FALSE))/(VLOOKUP(Main_S[[#This Row],[Industry]], Mean_AE_S, 3, FALSE))</f>
        <v>1.8742951838908535</v>
      </c>
      <c r="T19" s="1">
        <f>(Main_S[[#This Row],[P/E]]-VLOOKUP(Main_S[[#This Row],[Industry]], Mean_PE_S, 2, FALSE))/(VLOOKUP(Main_S[[#This Row],[Industry]], Mean_PE_S, 3, FALSE))</f>
        <v>-0.11232056393664579</v>
      </c>
      <c r="U1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0" spans="1:26" x14ac:dyDescent="0.25">
      <c r="A20" t="s">
        <v>110</v>
      </c>
      <c r="B20" t="s">
        <v>224</v>
      </c>
      <c r="C20" s="2">
        <v>1066</v>
      </c>
      <c r="D20">
        <f>RTD("tos.rtd", , "LAST", Main_S[[#This Row],[Symbol]])</f>
        <v>10.43</v>
      </c>
      <c r="E20">
        <v>1.94</v>
      </c>
      <c r="F20">
        <v>22.28</v>
      </c>
      <c r="G20">
        <v>-0.44</v>
      </c>
      <c r="H20" s="1">
        <f>IF(ISNUMBER(Main_S[[#This Row],[Free CF]]),IF(Main_S[[#This Row],[Free CF]]&lt;&gt;0,Main_S[[#This Row],[Current Price]]/Main_S[[#This Row],[Free CF]],""),"")</f>
        <v>5.3762886597938149</v>
      </c>
      <c r="I20" s="1">
        <f>IF(ISNUMBER(Main_S[[#This Row],[BVPS]]),IF(Main_S[[#This Row],[BVPS]]&lt;&gt;0,Main_S[[#This Row],[Current Price]]/Main_S[[#This Row],[BVPS]],""),"")</f>
        <v>0.46813285457809689</v>
      </c>
      <c r="J20">
        <v>-0.17</v>
      </c>
      <c r="K20">
        <v>0.85</v>
      </c>
      <c r="L20">
        <v>2.14</v>
      </c>
      <c r="M20" s="1">
        <f>IF(ISNUMBER(Main_S[[#This Row],[EPS]]),IF(Main_S[[#This Row],[EPS]]&lt;&gt;0,Main_S[[#This Row],[Current Price]]/Main_S[[#This Row],[EPS]],""),"")</f>
        <v>-23.704545454545453</v>
      </c>
      <c r="N2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0" s="1">
        <f>(Main_S[[#This Row],[P/FCF]]-VLOOKUP(Main_S[[#This Row],[Industry]], Mean_PFCF_S, 2, FALSE))/(VLOOKUP(Main_S[[#This Row],[Industry]], Mean_PFCF_S, 3, FALSE))</f>
        <v>-0.42683377087952257</v>
      </c>
      <c r="P20" s="1">
        <f>(Main_S[[#This Row],[P/B]]-VLOOKUP(Main_S[[#This Row],[Industry]], Mean_PB_S, 2, FALSE))/(VLOOKUP(Main_S[[#This Row],[Industry]], Mean_PB_S, 3, FALSE))</f>
        <v>-0.94994790041907806</v>
      </c>
      <c r="Q20" s="1">
        <f>(Main_S[[#This Row],[ROE]]-VLOOKUP(Main_S[[#This Row],[Industry]], Mean_ROE_S, 2, FALSE))/(VLOOKUP(Main_S[[#This Row],[Industry]], Mean_ROE_S, 3, FALSE))</f>
        <v>-1.7854291912812328</v>
      </c>
      <c r="R20" s="1">
        <f>(Main_S[[#This Row],[ROA]]-VLOOKUP(Main_S[[#This Row],[Industry]], Mean_ROA_S, 2, FALSE))/(VLOOKUP(Main_S[[#This Row],[Industry]], Mean_ROA_S, 3, FALSE))</f>
        <v>-2.0750338988396089</v>
      </c>
      <c r="S20" s="1">
        <f>(Main_S[[#This Row],[A/E]]-VLOOKUP(Main_S[[#This Row],[Industry]], Mean_AE_S, 2, FALSE))/(VLOOKUP(Main_S[[#This Row],[Industry]], Mean_AE_S, 3, FALSE))</f>
        <v>-0.27079052231850742</v>
      </c>
      <c r="T20" s="1">
        <f>(Main_S[[#This Row],[P/E]]-VLOOKUP(Main_S[[#This Row],[Industry]], Mean_PE_S, 2, FALSE))/(VLOOKUP(Main_S[[#This Row],[Industry]], Mean_PE_S, 3, FALSE))</f>
        <v>-1.8247892759109083</v>
      </c>
      <c r="U2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1" spans="1:26" x14ac:dyDescent="0.25">
      <c r="A21" t="s">
        <v>110</v>
      </c>
      <c r="B21" t="s">
        <v>225</v>
      </c>
      <c r="C21" s="2">
        <v>1999</v>
      </c>
      <c r="D21">
        <f>RTD("tos.rtd", , "LAST", Main_S[[#This Row],[Symbol]])</f>
        <v>11.18</v>
      </c>
      <c r="E21">
        <v>2.0699999999999998</v>
      </c>
      <c r="F21">
        <v>17.489999999999998</v>
      </c>
      <c r="G21">
        <v>0.61</v>
      </c>
      <c r="H21" s="1">
        <f>IF(ISNUMBER(Main_S[[#This Row],[Free CF]]),IF(Main_S[[#This Row],[Free CF]]&lt;&gt;0,Main_S[[#This Row],[Current Price]]/Main_S[[#This Row],[Free CF]],""),"")</f>
        <v>5.4009661835748792</v>
      </c>
      <c r="I21" s="1">
        <f>IF(ISNUMBER(Main_S[[#This Row],[BVPS]]),IF(Main_S[[#This Row],[BVPS]]&lt;&gt;0,Main_S[[#This Row],[Current Price]]/Main_S[[#This Row],[BVPS]],""),"")</f>
        <v>0.63922241280731851</v>
      </c>
      <c r="J21">
        <v>3.9</v>
      </c>
      <c r="K21">
        <v>2.27</v>
      </c>
      <c r="L21">
        <v>2.5499999999999998</v>
      </c>
      <c r="M21" s="1">
        <f>IF(ISNUMBER(Main_S[[#This Row],[EPS]]),IF(Main_S[[#This Row],[EPS]]&lt;&gt;0,Main_S[[#This Row],[Current Price]]/Main_S[[#This Row],[EPS]],""),"")</f>
        <v>18.327868852459016</v>
      </c>
      <c r="N2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1" s="1">
        <f>(Main_S[[#This Row],[P/FCF]]-VLOOKUP(Main_S[[#This Row],[Industry]], Mean_PFCF_S, 2, FALSE))/(VLOOKUP(Main_S[[#This Row],[Industry]], Mean_PFCF_S, 3, FALSE))</f>
        <v>-0.4169849248858376</v>
      </c>
      <c r="P21" s="1">
        <f>(Main_S[[#This Row],[P/B]]-VLOOKUP(Main_S[[#This Row],[Industry]], Mean_PB_S, 2, FALSE))/(VLOOKUP(Main_S[[#This Row],[Industry]], Mean_PB_S, 3, FALSE))</f>
        <v>-0.23091395731359143</v>
      </c>
      <c r="Q21" s="1">
        <f>(Main_S[[#This Row],[ROE]]-VLOOKUP(Main_S[[#This Row],[Industry]], Mean_ROE_S, 2, FALSE))/(VLOOKUP(Main_S[[#This Row],[Industry]], Mean_ROE_S, 3, FALSE))</f>
        <v>1.3878008561050634</v>
      </c>
      <c r="R21" s="1">
        <f>(Main_S[[#This Row],[ROA]]-VLOOKUP(Main_S[[#This Row],[Industry]], Mean_ROA_S, 2, FALSE))/(VLOOKUP(Main_S[[#This Row],[Industry]], Mean_ROA_S, 3, FALSE))</f>
        <v>1.4379892145460769</v>
      </c>
      <c r="S21" s="1">
        <f>(Main_S[[#This Row],[A/E]]-VLOOKUP(Main_S[[#This Row],[Industry]], Mean_AE_S, 2, FALSE))/(VLOOKUP(Main_S[[#This Row],[Industry]], Mean_AE_S, 3, FALSE))</f>
        <v>0.59998684356846044</v>
      </c>
      <c r="T21" s="1">
        <f>(Main_S[[#This Row],[P/E]]-VLOOKUP(Main_S[[#This Row],[Industry]], Mean_PE_S, 2, FALSE))/(VLOOKUP(Main_S[[#This Row],[Industry]], Mean_PE_S, 3, FALSE))</f>
        <v>-0.28362890942072888</v>
      </c>
      <c r="U2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2" spans="1:26" x14ac:dyDescent="0.25">
      <c r="A22" t="s">
        <v>110</v>
      </c>
      <c r="B22" t="s">
        <v>226</v>
      </c>
      <c r="C22" s="2">
        <v>1074</v>
      </c>
      <c r="D22">
        <f>RTD("tos.rtd", , "LAST", Main_S[[#This Row],[Symbol]])</f>
        <v>7.72</v>
      </c>
      <c r="E22">
        <v>1.7</v>
      </c>
      <c r="F22">
        <v>12.42</v>
      </c>
      <c r="G22">
        <v>0.26</v>
      </c>
      <c r="H22" s="1">
        <f>IF(ISNUMBER(Main_S[[#This Row],[Free CF]]),IF(Main_S[[#This Row],[Free CF]]&lt;&gt;0,Main_S[[#This Row],[Current Price]]/Main_S[[#This Row],[Free CF]],""),"")</f>
        <v>4.5411764705882351</v>
      </c>
      <c r="I22" s="1">
        <f>IF(ISNUMBER(Main_S[[#This Row],[BVPS]]),IF(Main_S[[#This Row],[BVPS]]&lt;&gt;0,Main_S[[#This Row],[Current Price]]/Main_S[[#This Row],[BVPS]],""),"")</f>
        <v>0.62157809983896939</v>
      </c>
      <c r="J22">
        <v>2.91</v>
      </c>
      <c r="K22">
        <v>1.96</v>
      </c>
      <c r="L22">
        <v>2.58</v>
      </c>
      <c r="M22" s="1">
        <f>IF(ISNUMBER(Main_S[[#This Row],[EPS]]),IF(Main_S[[#This Row],[EPS]]&lt;&gt;0,Main_S[[#This Row],[Current Price]]/Main_S[[#This Row],[EPS]],""),"")</f>
        <v>29.69230769230769</v>
      </c>
      <c r="N2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2" s="1">
        <f>(Main_S[[#This Row],[P/FCF]]-VLOOKUP(Main_S[[#This Row],[Industry]], Mean_PFCF_S, 2, FALSE))/(VLOOKUP(Main_S[[#This Row],[Industry]], Mean_PFCF_S, 3, FALSE))</f>
        <v>-0.76012861082800998</v>
      </c>
      <c r="P22" s="1">
        <f>(Main_S[[#This Row],[P/B]]-VLOOKUP(Main_S[[#This Row],[Industry]], Mean_PB_S, 2, FALSE))/(VLOOKUP(Main_S[[#This Row],[Industry]], Mean_PB_S, 3, FALSE))</f>
        <v>-0.30506728413451756</v>
      </c>
      <c r="Q22" s="1">
        <f>(Main_S[[#This Row],[ROE]]-VLOOKUP(Main_S[[#This Row],[Industry]], Mean_ROE_S, 2, FALSE))/(VLOOKUP(Main_S[[#This Row],[Industry]], Mean_ROE_S, 3, FALSE))</f>
        <v>0.6159340878219105</v>
      </c>
      <c r="R22" s="1">
        <f>(Main_S[[#This Row],[ROA]]-VLOOKUP(Main_S[[#This Row],[Industry]], Mean_ROA_S, 2, FALSE))/(VLOOKUP(Main_S[[#This Row],[Industry]], Mean_ROA_S, 3, FALSE))</f>
        <v>0.67106163345483549</v>
      </c>
      <c r="S22" s="1">
        <f>(Main_S[[#This Row],[A/E]]-VLOOKUP(Main_S[[#This Row],[Industry]], Mean_AE_S, 2, FALSE))/(VLOOKUP(Main_S[[#This Row],[Industry]], Mean_AE_S, 3, FALSE))</f>
        <v>0.66370226058458059</v>
      </c>
      <c r="T22" s="1">
        <f>(Main_S[[#This Row],[P/E]]-VLOOKUP(Main_S[[#This Row],[Industry]], Mean_PE_S, 2, FALSE))/(VLOOKUP(Main_S[[#This Row],[Industry]], Mean_PE_S, 3, FALSE))</f>
        <v>0.13305956817780221</v>
      </c>
      <c r="U2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3" spans="1:26" x14ac:dyDescent="0.25">
      <c r="A23" t="s">
        <v>110</v>
      </c>
      <c r="B23" t="s">
        <v>227</v>
      </c>
      <c r="C23" s="2">
        <v>1644</v>
      </c>
      <c r="D23">
        <f>RTD("tos.rtd", , "LAST", Main_S[[#This Row],[Symbol]])</f>
        <v>9.06</v>
      </c>
      <c r="E23">
        <v>0.84</v>
      </c>
      <c r="F23">
        <v>9.08</v>
      </c>
      <c r="G23">
        <v>0.14000000000000001</v>
      </c>
      <c r="H23" s="1">
        <f>IF(ISNUMBER(Main_S[[#This Row],[Free CF]]),IF(Main_S[[#This Row],[Free CF]]&lt;&gt;0,Main_S[[#This Row],[Current Price]]/Main_S[[#This Row],[Free CF]],""),"")</f>
        <v>10.785714285714286</v>
      </c>
      <c r="I23" s="1">
        <f>IF(ISNUMBER(Main_S[[#This Row],[BVPS]]),IF(Main_S[[#This Row],[BVPS]]&lt;&gt;0,Main_S[[#This Row],[Current Price]]/Main_S[[#This Row],[BVPS]],""),"")</f>
        <v>0.99779735682819393</v>
      </c>
      <c r="J23">
        <v>2.0299999999999998</v>
      </c>
      <c r="K23">
        <v>1.57</v>
      </c>
      <c r="L23">
        <v>1.7</v>
      </c>
      <c r="M23" s="1">
        <f>IF(ISNUMBER(Main_S[[#This Row],[EPS]]),IF(Main_S[[#This Row],[EPS]]&lt;&gt;0,Main_S[[#This Row],[Current Price]]/Main_S[[#This Row],[EPS]],""),"")</f>
        <v>64.714285714285708</v>
      </c>
      <c r="N2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3" s="1">
        <f>(Main_S[[#This Row],[P/FCF]]-VLOOKUP(Main_S[[#This Row],[Industry]], Mean_PFCF_S, 2, FALSE))/(VLOOKUP(Main_S[[#This Row],[Industry]], Mean_PFCF_S, 3, FALSE))</f>
        <v>1.7320781352195769</v>
      </c>
      <c r="P23" s="1">
        <f>(Main_S[[#This Row],[P/B]]-VLOOKUP(Main_S[[#This Row],[Industry]], Mean_PB_S, 2, FALSE))/(VLOOKUP(Main_S[[#This Row],[Industry]], Mean_PB_S, 3, FALSE))</f>
        <v>1.276060276337349</v>
      </c>
      <c r="Q23" s="1">
        <f>(Main_S[[#This Row],[ROE]]-VLOOKUP(Main_S[[#This Row],[Industry]], Mean_ROE_S, 2, FALSE))/(VLOOKUP(Main_S[[#This Row],[Industry]], Mean_ROE_S, 3, FALSE))</f>
        <v>-7.0169706207559274E-2</v>
      </c>
      <c r="R23" s="1">
        <f>(Main_S[[#This Row],[ROA]]-VLOOKUP(Main_S[[#This Row],[Industry]], Mean_ROA_S, 2, FALSE))/(VLOOKUP(Main_S[[#This Row],[Industry]], Mean_ROA_S, 3, FALSE))</f>
        <v>-0.29378274275672578</v>
      </c>
      <c r="S23" s="1">
        <f>(Main_S[[#This Row],[A/E]]-VLOOKUP(Main_S[[#This Row],[Industry]], Mean_AE_S, 2, FALSE))/(VLOOKUP(Main_S[[#This Row],[Industry]], Mean_AE_S, 3, FALSE))</f>
        <v>-1.2052833052215959</v>
      </c>
      <c r="T23" s="1">
        <f>(Main_S[[#This Row],[P/E]]-VLOOKUP(Main_S[[#This Row],[Industry]], Mean_PE_S, 2, FALSE))/(VLOOKUP(Main_S[[#This Row],[Industry]], Mean_PE_S, 3, FALSE))</f>
        <v>1.4171753006059558</v>
      </c>
      <c r="U2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4" spans="1:26" x14ac:dyDescent="0.25">
      <c r="A24" t="s">
        <v>110</v>
      </c>
      <c r="B24" t="s">
        <v>228</v>
      </c>
      <c r="C24" s="2">
        <v>335</v>
      </c>
      <c r="D24">
        <f>RTD("tos.rtd", , "LAST", Main_S[[#This Row],[Symbol]])</f>
        <v>2.2799999999999998</v>
      </c>
      <c r="E24">
        <v>0.84</v>
      </c>
      <c r="F24">
        <v>5.1100000000000003</v>
      </c>
      <c r="G24">
        <v>-1.67</v>
      </c>
      <c r="H24" s="1">
        <f>IF(ISNUMBER(Main_S[[#This Row],[Free CF]]),IF(Main_S[[#This Row],[Free CF]]&lt;&gt;0,Main_S[[#This Row],[Current Price]]/Main_S[[#This Row],[Free CF]],""),"")</f>
        <v>2.714285714285714</v>
      </c>
      <c r="I24" s="1">
        <f>IF(ISNUMBER(Main_S[[#This Row],[BVPS]]),IF(Main_S[[#This Row],[BVPS]]&lt;&gt;0,Main_S[[#This Row],[Current Price]]/Main_S[[#This Row],[BVPS]],""),"")</f>
        <v>0.44618395303326802</v>
      </c>
      <c r="J24">
        <v>-26.52</v>
      </c>
      <c r="K24">
        <v>1.59</v>
      </c>
      <c r="L24">
        <v>8.36</v>
      </c>
      <c r="M24" s="1">
        <f>IF(ISNUMBER(Main_S[[#This Row],[EPS]]),IF(Main_S[[#This Row],[EPS]]&lt;&gt;0,Main_S[[#This Row],[Current Price]]/Main_S[[#This Row],[EPS]],""),"")</f>
        <v>-1.3652694610778442</v>
      </c>
      <c r="N2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4" s="1">
        <f>(Main_S[[#This Row],[P/FCF]]-VLOOKUP(Main_S[[#This Row],[Industry]], Mean_PFCF_S, 2, FALSE))/(VLOOKUP(Main_S[[#This Row],[Industry]], Mean_PFCF_S, 3, FALSE))</f>
        <v>-1.4892441357785486</v>
      </c>
      <c r="P24" s="1">
        <f>(Main_S[[#This Row],[P/B]]-VLOOKUP(Main_S[[#This Row],[Industry]], Mean_PB_S, 2, FALSE))/(VLOOKUP(Main_S[[#This Row],[Industry]], Mean_PB_S, 3, FALSE))</f>
        <v>-1.0421920174064401</v>
      </c>
      <c r="Q24" s="1">
        <f>(Main_S[[#This Row],[ROE]]-VLOOKUP(Main_S[[#This Row],[Industry]], Mean_ROE_S, 2, FALSE))/(VLOOKUP(Main_S[[#This Row],[Industry]], Mean_ROE_S, 3, FALSE))</f>
        <v>-22.329559842050006</v>
      </c>
      <c r="R24" s="1">
        <f>(Main_S[[#This Row],[ROA]]-VLOOKUP(Main_S[[#This Row],[Industry]], Mean_ROA_S, 2, FALSE))/(VLOOKUP(Main_S[[#This Row],[Industry]], Mean_ROA_S, 3, FALSE))</f>
        <v>-0.24430354397664569</v>
      </c>
      <c r="S24" s="1">
        <f>(Main_S[[#This Row],[A/E]]-VLOOKUP(Main_S[[#This Row],[Industry]], Mean_AE_S, 2, FALSE))/(VLOOKUP(Main_S[[#This Row],[Industry]], Mean_AE_S, 3, FALSE))</f>
        <v>12.939539272356964</v>
      </c>
      <c r="T24" s="1">
        <f>(Main_S[[#This Row],[P/E]]-VLOOKUP(Main_S[[#This Row],[Industry]], Mean_PE_S, 2, FALSE))/(VLOOKUP(Main_S[[#This Row],[Industry]], Mean_PE_S, 3, FALSE))</f>
        <v>-1.0056974548760051</v>
      </c>
      <c r="U2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2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2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5" spans="1:26" x14ac:dyDescent="0.25">
      <c r="A25" t="s">
        <v>110</v>
      </c>
      <c r="B25" t="s">
        <v>229</v>
      </c>
      <c r="C25" s="2">
        <v>1114</v>
      </c>
      <c r="D25">
        <f>RTD("tos.rtd", , "LAST", Main_S[[#This Row],[Symbol]])</f>
        <v>12.32</v>
      </c>
      <c r="E25">
        <v>0.53</v>
      </c>
      <c r="F25">
        <v>12.25</v>
      </c>
      <c r="G25">
        <v>0.22</v>
      </c>
      <c r="H25" s="1">
        <f>IF(ISNUMBER(Main_S[[#This Row],[Free CF]]),IF(Main_S[[#This Row],[Free CF]]&lt;&gt;0,Main_S[[#This Row],[Current Price]]/Main_S[[#This Row],[Free CF]],""),"")</f>
        <v>23.245283018867923</v>
      </c>
      <c r="I25" s="1">
        <f>IF(ISNUMBER(Main_S[[#This Row],[BVPS]]),IF(Main_S[[#This Row],[BVPS]]&lt;&gt;0,Main_S[[#This Row],[Current Price]]/Main_S[[#This Row],[BVPS]],""),"")</f>
        <v>1.0057142857142858</v>
      </c>
      <c r="J25">
        <v>1.91</v>
      </c>
      <c r="K25">
        <v>2.0699999999999998</v>
      </c>
      <c r="L25">
        <v>2.39</v>
      </c>
      <c r="M25" s="1">
        <f>IF(ISNUMBER(Main_S[[#This Row],[EPS]]),IF(Main_S[[#This Row],[EPS]]&lt;&gt;0,Main_S[[#This Row],[Current Price]]/Main_S[[#This Row],[EPS]],""),"")</f>
        <v>56</v>
      </c>
      <c r="N2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5" s="1">
        <f>(Main_S[[#This Row],[P/FCF]]-VLOOKUP(Main_S[[#This Row],[Industry]], Mean_PFCF_S, 2, FALSE))/(VLOOKUP(Main_S[[#This Row],[Industry]], Mean_PFCF_S, 3, FALSE))</f>
        <v>6.7047153693784782</v>
      </c>
      <c r="P25" s="1">
        <f>(Main_S[[#This Row],[P/B]]-VLOOKUP(Main_S[[#This Row],[Industry]], Mean_PB_S, 2, FALSE))/(VLOOKUP(Main_S[[#This Row],[Industry]], Mean_PB_S, 3, FALSE))</f>
        <v>1.3093325616431866</v>
      </c>
      <c r="Q25" s="1">
        <f>(Main_S[[#This Row],[ROE]]-VLOOKUP(Main_S[[#This Row],[Industry]], Mean_ROE_S, 2, FALSE))/(VLOOKUP(Main_S[[#This Row],[Industry]], Mean_ROE_S, 3, FALSE))</f>
        <v>-0.16372931448430503</v>
      </c>
      <c r="R25" s="1">
        <f>(Main_S[[#This Row],[ROA]]-VLOOKUP(Main_S[[#This Row],[Industry]], Mean_ROA_S, 2, FALSE))/(VLOOKUP(Main_S[[#This Row],[Industry]], Mean_ROA_S, 3, FALSE))</f>
        <v>0.94319722674527562</v>
      </c>
      <c r="S25" s="1">
        <f>(Main_S[[#This Row],[A/E]]-VLOOKUP(Main_S[[#This Row],[Industry]], Mean_AE_S, 2, FALSE))/(VLOOKUP(Main_S[[#This Row],[Industry]], Mean_AE_S, 3, FALSE))</f>
        <v>0.26017128614915624</v>
      </c>
      <c r="T25" s="1">
        <f>(Main_S[[#This Row],[P/E]]-VLOOKUP(Main_S[[#This Row],[Industry]], Mean_PE_S, 2, FALSE))/(VLOOKUP(Main_S[[#This Row],[Industry]], Mean_PE_S, 3, FALSE))</f>
        <v>1.0976573289035632</v>
      </c>
      <c r="U2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2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6" spans="1:26" x14ac:dyDescent="0.25">
      <c r="A26" t="s">
        <v>107</v>
      </c>
      <c r="B26" t="s">
        <v>219</v>
      </c>
      <c r="C26" s="2">
        <v>1495</v>
      </c>
      <c r="D26">
        <f>RTD("tos.rtd", , "LAST", Main_S[[#This Row],[Symbol]])</f>
        <v>55.47</v>
      </c>
      <c r="E26">
        <v>9.1</v>
      </c>
      <c r="F26">
        <v>67.5</v>
      </c>
      <c r="G26">
        <v>5.52</v>
      </c>
      <c r="H26" s="1">
        <f>IF(ISNUMBER(Main_S[[#This Row],[Free CF]]),IF(Main_S[[#This Row],[Free CF]]&lt;&gt;0,Main_S[[#This Row],[Current Price]]/Main_S[[#This Row],[Free CF]],""),"")</f>
        <v>6.0956043956043962</v>
      </c>
      <c r="I26" s="1">
        <f>IF(ISNUMBER(Main_S[[#This Row],[BVPS]]),IF(Main_S[[#This Row],[BVPS]]&lt;&gt;0,Main_S[[#This Row],[Current Price]]/Main_S[[#This Row],[BVPS]],""),"")</f>
        <v>0.82177777777777772</v>
      </c>
      <c r="J26">
        <v>8.31</v>
      </c>
      <c r="K26">
        <v>4.5199999999999996</v>
      </c>
      <c r="L26">
        <v>1.24</v>
      </c>
      <c r="M26" s="1">
        <f>IF(ISNUMBER(Main_S[[#This Row],[EPS]]),IF(Main_S[[#This Row],[EPS]]&lt;&gt;0,Main_S[[#This Row],[Current Price]]/Main_S[[#This Row],[EPS]],""),"")</f>
        <v>10.048913043478262</v>
      </c>
      <c r="N2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6" s="1">
        <f>(Main_S[[#This Row],[P/FCF]]-VLOOKUP(Main_S[[#This Row],[Industry]], Mean_PFCF_S, 2, FALSE))/(VLOOKUP(Main_S[[#This Row],[Industry]], Mean_PFCF_S, 3, FALSE))</f>
        <v>-1.0000000000000027</v>
      </c>
      <c r="P26" s="1">
        <f>(Main_S[[#This Row],[P/B]]-VLOOKUP(Main_S[[#This Row],[Industry]], Mean_PB_S, 2, FALSE))/(VLOOKUP(Main_S[[#This Row],[Industry]], Mean_PB_S, 3, FALSE))</f>
        <v>-0.99999999999999878</v>
      </c>
      <c r="Q26" s="1">
        <f>(Main_S[[#This Row],[ROE]]-VLOOKUP(Main_S[[#This Row],[Industry]], Mean_ROE_S, 2, FALSE))/(VLOOKUP(Main_S[[#This Row],[Industry]], Mean_ROE_S, 3, FALSE))</f>
        <v>-1.0000000000000004</v>
      </c>
      <c r="R26" s="1">
        <f>(Main_S[[#This Row],[ROA]]-VLOOKUP(Main_S[[#This Row],[Industry]], Mean_ROA_S, 2, FALSE))/(VLOOKUP(Main_S[[#This Row],[Industry]], Mean_ROA_S, 3, FALSE))</f>
        <v>1.0000000000000002</v>
      </c>
      <c r="S26" s="1">
        <f>(Main_S[[#This Row],[A/E]]-VLOOKUP(Main_S[[#This Row],[Industry]], Mean_AE_S, 2, FALSE))/(VLOOKUP(Main_S[[#This Row],[Industry]], Mean_AE_S, 3, FALSE))</f>
        <v>-1.0000000000000004</v>
      </c>
      <c r="T26" s="1">
        <f>(Main_S[[#This Row],[P/E]]-VLOOKUP(Main_S[[#This Row],[Industry]], Mean_PE_S, 2, FALSE))/(VLOOKUP(Main_S[[#This Row],[Industry]], Mean_PE_S, 3, FALSE))</f>
        <v>0.99999999999999944</v>
      </c>
      <c r="U2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7" spans="1:26" x14ac:dyDescent="0.25">
      <c r="A27" t="s">
        <v>107</v>
      </c>
      <c r="B27" t="s">
        <v>220</v>
      </c>
      <c r="C27" s="2">
        <v>703</v>
      </c>
      <c r="D27">
        <f>RTD("tos.rtd", , "LAST", Main_S[[#This Row],[Symbol]])</f>
        <v>16.260000000000002</v>
      </c>
      <c r="E27">
        <v>2.11</v>
      </c>
      <c r="F27">
        <v>12.54</v>
      </c>
      <c r="G27">
        <v>3.05</v>
      </c>
      <c r="H27" s="1">
        <f>IF(ISNUMBER(Main_S[[#This Row],[Free CF]]),IF(Main_S[[#This Row],[Free CF]]&lt;&gt;0,Main_S[[#This Row],[Current Price]]/Main_S[[#This Row],[Free CF]],""),"")</f>
        <v>7.7061611374407599</v>
      </c>
      <c r="I27" s="1">
        <f>IF(ISNUMBER(Main_S[[#This Row],[BVPS]]),IF(Main_S[[#This Row],[BVPS]]&lt;&gt;0,Main_S[[#This Row],[Current Price]]/Main_S[[#This Row],[BVPS]],""),"")</f>
        <v>1.2966507177033495</v>
      </c>
      <c r="J27">
        <v>26.78</v>
      </c>
      <c r="K27">
        <v>0.99</v>
      </c>
      <c r="L27">
        <v>2.46</v>
      </c>
      <c r="M27" s="1">
        <f>IF(ISNUMBER(Main_S[[#This Row],[EPS]]),IF(Main_S[[#This Row],[EPS]]&lt;&gt;0,Main_S[[#This Row],[Current Price]]/Main_S[[#This Row],[EPS]],""),"")</f>
        <v>5.3311475409836078</v>
      </c>
      <c r="N2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7" s="1">
        <f>(Main_S[[#This Row],[P/FCF]]-VLOOKUP(Main_S[[#This Row],[Industry]], Mean_PFCF_S, 2, FALSE))/(VLOOKUP(Main_S[[#This Row],[Industry]], Mean_PFCF_S, 3, FALSE))</f>
        <v>1.0000000000000027</v>
      </c>
      <c r="P27" s="1">
        <f>(Main_S[[#This Row],[P/B]]-VLOOKUP(Main_S[[#This Row],[Industry]], Mean_PB_S, 2, FALSE))/(VLOOKUP(Main_S[[#This Row],[Industry]], Mean_PB_S, 3, FALSE))</f>
        <v>0.99999999999999978</v>
      </c>
      <c r="Q27" s="1">
        <f>(Main_S[[#This Row],[ROE]]-VLOOKUP(Main_S[[#This Row],[Industry]], Mean_ROE_S, 2, FALSE))/(VLOOKUP(Main_S[[#This Row],[Industry]], Mean_ROE_S, 3, FALSE))</f>
        <v>1.0000000000000002</v>
      </c>
      <c r="R27" s="1">
        <f>(Main_S[[#This Row],[ROA]]-VLOOKUP(Main_S[[#This Row],[Industry]], Mean_ROA_S, 2, FALSE))/(VLOOKUP(Main_S[[#This Row],[Industry]], Mean_ROA_S, 3, FALSE))</f>
        <v>-1.0000000000000002</v>
      </c>
      <c r="S27" s="1">
        <f>(Main_S[[#This Row],[A/E]]-VLOOKUP(Main_S[[#This Row],[Industry]], Mean_AE_S, 2, FALSE))/(VLOOKUP(Main_S[[#This Row],[Industry]], Mean_AE_S, 3, FALSE))</f>
        <v>1.0000000000000002</v>
      </c>
      <c r="T27" s="1">
        <f>(Main_S[[#This Row],[P/E]]-VLOOKUP(Main_S[[#This Row],[Industry]], Mean_PE_S, 2, FALSE))/(VLOOKUP(Main_S[[#This Row],[Industry]], Mean_PE_S, 3, FALSE))</f>
        <v>-0.99999999999999944</v>
      </c>
      <c r="U2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8" spans="1:26" x14ac:dyDescent="0.25">
      <c r="A28" t="s">
        <v>112</v>
      </c>
      <c r="B28" t="s">
        <v>230</v>
      </c>
      <c r="C28" s="2">
        <v>725</v>
      </c>
      <c r="D28">
        <f>RTD("tos.rtd", , "LAST", Main_S[[#This Row],[Symbol]])</f>
        <v>4.24</v>
      </c>
      <c r="E28">
        <v>0.95</v>
      </c>
      <c r="F28">
        <v>5.74</v>
      </c>
      <c r="G28">
        <v>-1.2</v>
      </c>
      <c r="H28" s="1">
        <f>IF(ISNUMBER(Main_S[[#This Row],[Free CF]]),IF(Main_S[[#This Row],[Free CF]]&lt;&gt;0,Main_S[[#This Row],[Current Price]]/Main_S[[#This Row],[Free CF]],""),"")</f>
        <v>4.4631578947368427</v>
      </c>
      <c r="I28" s="1">
        <f>IF(ISNUMBER(Main_S[[#This Row],[BVPS]]),IF(Main_S[[#This Row],[BVPS]]&lt;&gt;0,Main_S[[#This Row],[Current Price]]/Main_S[[#This Row],[BVPS]],""),"")</f>
        <v>0.73867595818815335</v>
      </c>
      <c r="J28">
        <v>-18.079999999999998</v>
      </c>
      <c r="K28">
        <v>-1.77</v>
      </c>
      <c r="L28">
        <v>3.45</v>
      </c>
      <c r="M28" s="1">
        <f>IF(ISNUMBER(Main_S[[#This Row],[EPS]]),IF(Main_S[[#This Row],[EPS]]&lt;&gt;0,Main_S[[#This Row],[Current Price]]/Main_S[[#This Row],[EPS]],""),"")</f>
        <v>-3.5333333333333337</v>
      </c>
      <c r="N2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8" s="1">
        <f>(Main_S[[#This Row],[P/FCF]]-VLOOKUP(Main_S[[#This Row],[Industry]], Mean_PFCF_S, 2, FALSE))/(VLOOKUP(Main_S[[#This Row],[Industry]], Mean_PFCF_S, 3, FALSE))</f>
        <v>-0.89477775901675816</v>
      </c>
      <c r="P28" s="1">
        <f>(Main_S[[#This Row],[P/B]]-VLOOKUP(Main_S[[#This Row],[Industry]], Mean_PB_S, 2, FALSE))/(VLOOKUP(Main_S[[#This Row],[Industry]], Mean_PB_S, 3, FALSE))</f>
        <v>0.36078069909739113</v>
      </c>
      <c r="Q28" s="1">
        <f>(Main_S[[#This Row],[ROE]]-VLOOKUP(Main_S[[#This Row],[Industry]], Mean_ROE_S, 2, FALSE))/(VLOOKUP(Main_S[[#This Row],[Industry]], Mean_ROE_S, 3, FALSE))</f>
        <v>-1.7832099203698084</v>
      </c>
      <c r="R28" s="1">
        <f>(Main_S[[#This Row],[ROA]]-VLOOKUP(Main_S[[#This Row],[Industry]], Mean_ROA_S, 2, FALSE))/(VLOOKUP(Main_S[[#This Row],[Industry]], Mean_ROA_S, 3, FALSE))</f>
        <v>-2.1510262763684551</v>
      </c>
      <c r="S28" s="1">
        <f>(Main_S[[#This Row],[A/E]]-VLOOKUP(Main_S[[#This Row],[Industry]], Mean_AE_S, 2, FALSE))/(VLOOKUP(Main_S[[#This Row],[Industry]], Mean_AE_S, 3, FALSE))</f>
        <v>1.7734368269254239</v>
      </c>
      <c r="T28" s="1">
        <f>(Main_S[[#This Row],[P/E]]-VLOOKUP(Main_S[[#This Row],[Industry]], Mean_PE_S, 2, FALSE))/(VLOOKUP(Main_S[[#This Row],[Industry]], Mean_PE_S, 3, FALSE))</f>
        <v>-0.25475628198149392</v>
      </c>
      <c r="U2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9" spans="1:26" x14ac:dyDescent="0.25">
      <c r="A29" t="s">
        <v>112</v>
      </c>
      <c r="B29" t="s">
        <v>231</v>
      </c>
      <c r="C29" s="2">
        <v>902</v>
      </c>
      <c r="D29">
        <f>RTD("tos.rtd", , "LAST", Main_S[[#This Row],[Symbol]])</f>
        <v>20.77</v>
      </c>
      <c r="E29">
        <v>3.88</v>
      </c>
      <c r="F29">
        <v>29.87</v>
      </c>
      <c r="G29">
        <v>0.41</v>
      </c>
      <c r="H29" s="1">
        <f>IF(ISNUMBER(Main_S[[#This Row],[Free CF]]),IF(Main_S[[#This Row],[Free CF]]&lt;&gt;0,Main_S[[#This Row],[Current Price]]/Main_S[[#This Row],[Free CF]],""),"")</f>
        <v>5.3530927835051543</v>
      </c>
      <c r="I29" s="1">
        <f>IF(ISNUMBER(Main_S[[#This Row],[BVPS]]),IF(Main_S[[#This Row],[BVPS]]&lt;&gt;0,Main_S[[#This Row],[Current Price]]/Main_S[[#This Row],[BVPS]],""),"")</f>
        <v>0.69534650150652821</v>
      </c>
      <c r="J29">
        <v>1.36</v>
      </c>
      <c r="K29">
        <v>1.74</v>
      </c>
      <c r="L29">
        <v>2.42</v>
      </c>
      <c r="M29" s="1">
        <f>IF(ISNUMBER(Main_S[[#This Row],[EPS]]),IF(Main_S[[#This Row],[EPS]]&lt;&gt;0,Main_S[[#This Row],[Current Price]]/Main_S[[#This Row],[EPS]],""),"")</f>
        <v>50.658536585365859</v>
      </c>
      <c r="N2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9" s="1">
        <f>(Main_S[[#This Row],[P/FCF]]-VLOOKUP(Main_S[[#This Row],[Industry]], Mean_PFCF_S, 2, FALSE))/(VLOOKUP(Main_S[[#This Row],[Industry]], Mean_PFCF_S, 3, FALSE))</f>
        <v>-1.5026966943439269E-2</v>
      </c>
      <c r="P29" s="1">
        <f>(Main_S[[#This Row],[P/B]]-VLOOKUP(Main_S[[#This Row],[Industry]], Mean_PB_S, 2, FALSE))/(VLOOKUP(Main_S[[#This Row],[Industry]], Mean_PB_S, 3, FALSE))</f>
        <v>0.21037275190755758</v>
      </c>
      <c r="Q29" s="1">
        <f>(Main_S[[#This Row],[ROE]]-VLOOKUP(Main_S[[#This Row],[Industry]], Mean_ROE_S, 2, FALSE))/(VLOOKUP(Main_S[[#This Row],[Industry]], Mean_ROE_S, 3, FALSE))</f>
        <v>0.83959410868285689</v>
      </c>
      <c r="R29" s="1">
        <f>(Main_S[[#This Row],[ROA]]-VLOOKUP(Main_S[[#This Row],[Industry]], Mean_ROA_S, 2, FALSE))/(VLOOKUP(Main_S[[#This Row],[Industry]], Mean_ROA_S, 3, FALSE))</f>
        <v>0.64013905821686001</v>
      </c>
      <c r="S29" s="1">
        <f>(Main_S[[#This Row],[A/E]]-VLOOKUP(Main_S[[#This Row],[Industry]], Mean_AE_S, 2, FALSE))/(VLOOKUP(Main_S[[#This Row],[Industry]], Mean_AE_S, 3, FALSE))</f>
        <v>-0.85692467477036305</v>
      </c>
      <c r="T29" s="1">
        <f>(Main_S[[#This Row],[P/E]]-VLOOKUP(Main_S[[#This Row],[Industry]], Mean_PE_S, 2, FALSE))/(VLOOKUP(Main_S[[#This Row],[Industry]], Mean_PE_S, 3, FALSE))</f>
        <v>1.7315303395118971</v>
      </c>
      <c r="U2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0" spans="1:26" x14ac:dyDescent="0.25">
      <c r="A30" t="s">
        <v>112</v>
      </c>
      <c r="B30" t="s">
        <v>232</v>
      </c>
      <c r="C30" s="2">
        <v>1237</v>
      </c>
      <c r="D30">
        <f>RTD("tos.rtd", , "LAST", Main_S[[#This Row],[Symbol]])</f>
        <v>7.82</v>
      </c>
      <c r="E30">
        <v>1.56</v>
      </c>
      <c r="F30">
        <v>10.68</v>
      </c>
      <c r="G30">
        <v>0.3</v>
      </c>
      <c r="H30" s="1">
        <f>IF(ISNUMBER(Main_S[[#This Row],[Free CF]]),IF(Main_S[[#This Row],[Free CF]]&lt;&gt;0,Main_S[[#This Row],[Current Price]]/Main_S[[#This Row],[Free CF]],""),"")</f>
        <v>5.0128205128205128</v>
      </c>
      <c r="I30" s="1">
        <f>IF(ISNUMBER(Main_S[[#This Row],[BVPS]]),IF(Main_S[[#This Row],[BVPS]]&lt;&gt;0,Main_S[[#This Row],[Current Price]]/Main_S[[#This Row],[BVPS]],""),"")</f>
        <v>0.73220973782771537</v>
      </c>
      <c r="J30">
        <v>4.8899999999999997</v>
      </c>
      <c r="K30">
        <v>2.31</v>
      </c>
      <c r="L30">
        <v>2.2999999999999998</v>
      </c>
      <c r="M30" s="1">
        <f>IF(ISNUMBER(Main_S[[#This Row],[EPS]]),IF(Main_S[[#This Row],[EPS]]&lt;&gt;0,Main_S[[#This Row],[Current Price]]/Main_S[[#This Row],[EPS]],""),"")</f>
        <v>26.06666666666667</v>
      </c>
      <c r="N3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0" s="1">
        <f>(Main_S[[#This Row],[P/FCF]]-VLOOKUP(Main_S[[#This Row],[Industry]], Mean_PFCF_S, 2, FALSE))/(VLOOKUP(Main_S[[#This Row],[Industry]], Mean_PFCF_S, 3, FALSE))</f>
        <v>-0.35140528341748312</v>
      </c>
      <c r="P30" s="1">
        <f>(Main_S[[#This Row],[P/B]]-VLOOKUP(Main_S[[#This Row],[Industry]], Mean_PB_S, 2, FALSE))/(VLOOKUP(Main_S[[#This Row],[Industry]], Mean_PB_S, 3, FALSE))</f>
        <v>0.33833474650590567</v>
      </c>
      <c r="Q30" s="1">
        <f>(Main_S[[#This Row],[ROE]]-VLOOKUP(Main_S[[#This Row],[Industry]], Mean_ROE_S, 2, FALSE))/(VLOOKUP(Main_S[[#This Row],[Industry]], Mean_ROE_S, 3, FALSE))</f>
        <v>1.3158543053163914</v>
      </c>
      <c r="R30" s="1">
        <f>(Main_S[[#This Row],[ROA]]-VLOOKUP(Main_S[[#This Row],[Industry]], Mean_ROA_S, 2, FALSE))/(VLOOKUP(Main_S[[#This Row],[Industry]], Mean_ROA_S, 3, FALSE))</f>
        <v>1.0934052236623384</v>
      </c>
      <c r="S30" s="1">
        <f>(Main_S[[#This Row],[A/E]]-VLOOKUP(Main_S[[#This Row],[Industry]], Mean_AE_S, 2, FALSE))/(VLOOKUP(Main_S[[#This Row],[Industry]], Mean_AE_S, 3, FALSE))</f>
        <v>-1.1633745584630764</v>
      </c>
      <c r="T30" s="1">
        <f>(Main_S[[#This Row],[P/E]]-VLOOKUP(Main_S[[#This Row],[Industry]], Mean_PE_S, 2, FALSE))/(VLOOKUP(Main_S[[#This Row],[Industry]], Mean_PE_S, 3, FALSE))</f>
        <v>0.83016815565849922</v>
      </c>
      <c r="U3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1" spans="1:26" x14ac:dyDescent="0.25">
      <c r="A31" t="s">
        <v>112</v>
      </c>
      <c r="B31" t="s">
        <v>233</v>
      </c>
      <c r="C31" s="2">
        <v>322</v>
      </c>
      <c r="D31">
        <f>RTD("tos.rtd", , "LAST", Main_S[[#This Row],[Symbol]])</f>
        <v>2.23</v>
      </c>
      <c r="E31">
        <v>0.86</v>
      </c>
      <c r="F31">
        <v>17.23</v>
      </c>
      <c r="G31">
        <v>-2.58</v>
      </c>
      <c r="H31" s="1">
        <f>IF(ISNUMBER(Main_S[[#This Row],[Free CF]]),IF(Main_S[[#This Row],[Free CF]]&lt;&gt;0,Main_S[[#This Row],[Current Price]]/Main_S[[#This Row],[Free CF]],""),"")</f>
        <v>2.5930232558139537</v>
      </c>
      <c r="I31" s="1">
        <f>IF(ISNUMBER(Main_S[[#This Row],[BVPS]]),IF(Main_S[[#This Row],[BVPS]]&lt;&gt;0,Main_S[[#This Row],[Current Price]]/Main_S[[#This Row],[BVPS]],""),"")</f>
        <v>0.1294254207777133</v>
      </c>
      <c r="J31">
        <v>-11.32</v>
      </c>
      <c r="K31">
        <v>-0.42</v>
      </c>
      <c r="L31">
        <v>3.35</v>
      </c>
      <c r="M31" s="1">
        <f>IF(ISNUMBER(Main_S[[#This Row],[EPS]]),IF(Main_S[[#This Row],[EPS]]&lt;&gt;0,Main_S[[#This Row],[Current Price]]/Main_S[[#This Row],[EPS]],""),"")</f>
        <v>-0.86434108527131781</v>
      </c>
      <c r="N3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1" s="1">
        <f>(Main_S[[#This Row],[P/FCF]]-VLOOKUP(Main_S[[#This Row],[Industry]], Mean_PFCF_S, 2, FALSE))/(VLOOKUP(Main_S[[#This Row],[Industry]], Mean_PFCF_S, 3, FALSE))</f>
        <v>-2.7435112457477091</v>
      </c>
      <c r="P31" s="1">
        <f>(Main_S[[#This Row],[P/B]]-VLOOKUP(Main_S[[#This Row],[Industry]], Mean_PB_S, 2, FALSE))/(VLOOKUP(Main_S[[#This Row],[Industry]], Mean_PB_S, 3, FALSE))</f>
        <v>-1.7540882532074649</v>
      </c>
      <c r="Q31" s="1">
        <f>(Main_S[[#This Row],[ROE]]-VLOOKUP(Main_S[[#This Row],[Industry]], Mean_ROE_S, 2, FALSE))/(VLOOKUP(Main_S[[#This Row],[Industry]], Mean_ROE_S, 3, FALSE))</f>
        <v>-0.87116489792145391</v>
      </c>
      <c r="R31" s="1">
        <f>(Main_S[[#This Row],[ROA]]-VLOOKUP(Main_S[[#This Row],[Industry]], Mean_ROA_S, 2, FALSE))/(VLOOKUP(Main_S[[#This Row],[Industry]], Mean_ROA_S, 3, FALSE))</f>
        <v>-1.0775011476817953</v>
      </c>
      <c r="S31" s="1">
        <f>(Main_S[[#This Row],[A/E]]-VLOOKUP(Main_S[[#This Row],[Industry]], Mean_AE_S, 2, FALSE))/(VLOOKUP(Main_S[[#This Row],[Industry]], Mean_AE_S, 3, FALSE))</f>
        <v>1.518061923848163</v>
      </c>
      <c r="T31" s="1">
        <f>(Main_S[[#This Row],[P/E]]-VLOOKUP(Main_S[[#This Row],[Industry]], Mean_PE_S, 2, FALSE))/(VLOOKUP(Main_S[[#This Row],[Industry]], Mean_PE_S, 3, FALSE))</f>
        <v>-0.15693010246142014</v>
      </c>
      <c r="U3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3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2" spans="1:26" x14ac:dyDescent="0.25">
      <c r="A32" t="s">
        <v>112</v>
      </c>
      <c r="B32" t="s">
        <v>234</v>
      </c>
      <c r="C32" s="2">
        <v>1120</v>
      </c>
      <c r="D32">
        <f>RTD("tos.rtd", , "LAST", Main_S[[#This Row],[Symbol]])</f>
        <v>16.62</v>
      </c>
      <c r="E32">
        <v>1.23</v>
      </c>
      <c r="F32">
        <v>21.51</v>
      </c>
      <c r="G32">
        <v>-1.86</v>
      </c>
      <c r="H32" s="1">
        <f>IF(ISNUMBER(Main_S[[#This Row],[Free CF]]),IF(Main_S[[#This Row],[Free CF]]&lt;&gt;0,Main_S[[#This Row],[Current Price]]/Main_S[[#This Row],[Free CF]],""),"")</f>
        <v>13.512195121951221</v>
      </c>
      <c r="I32" s="1">
        <f>IF(ISNUMBER(Main_S[[#This Row],[BVPS]]),IF(Main_S[[#This Row],[BVPS]]&lt;&gt;0,Main_S[[#This Row],[Current Price]]/Main_S[[#This Row],[BVPS]],""),"")</f>
        <v>0.77266387726638774</v>
      </c>
      <c r="J32">
        <v>-8.23</v>
      </c>
      <c r="K32">
        <v>-0.02</v>
      </c>
      <c r="L32">
        <v>3.01</v>
      </c>
      <c r="M32" s="1">
        <f>IF(ISNUMBER(Main_S[[#This Row],[EPS]]),IF(Main_S[[#This Row],[EPS]]&lt;&gt;0,Main_S[[#This Row],[Current Price]]/Main_S[[#This Row],[EPS]],""),"")</f>
        <v>-8.935483870967742</v>
      </c>
      <c r="N3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2" s="1">
        <f>(Main_S[[#This Row],[P/FCF]]-VLOOKUP(Main_S[[#This Row],[Industry]], Mean_PFCF_S, 2, FALSE))/(VLOOKUP(Main_S[[#This Row],[Industry]], Mean_PFCF_S, 3, FALSE))</f>
        <v>8.0507055214071013</v>
      </c>
      <c r="P32" s="1">
        <f>(Main_S[[#This Row],[P/B]]-VLOOKUP(Main_S[[#This Row],[Industry]], Mean_PB_S, 2, FALSE))/(VLOOKUP(Main_S[[#This Row],[Industry]], Mean_PB_S, 3, FALSE))</f>
        <v>0.47876171084590224</v>
      </c>
      <c r="Q32" s="1">
        <f>(Main_S[[#This Row],[ROE]]-VLOOKUP(Main_S[[#This Row],[Industry]], Mean_ROE_S, 2, FALSE))/(VLOOKUP(Main_S[[#This Row],[Industry]], Mean_ROE_S, 3, FALSE))</f>
        <v>-0.45426857848869995</v>
      </c>
      <c r="R32" s="1">
        <f>(Main_S[[#This Row],[ROA]]-VLOOKUP(Main_S[[#This Row],[Industry]], Mean_ROA_S, 2, FALSE))/(VLOOKUP(Main_S[[#This Row],[Industry]], Mean_ROA_S, 3, FALSE))</f>
        <v>-0.75941962807093322</v>
      </c>
      <c r="S32" s="1">
        <f>(Main_S[[#This Row],[A/E]]-VLOOKUP(Main_S[[#This Row],[Industry]], Mean_AE_S, 2, FALSE))/(VLOOKUP(Main_S[[#This Row],[Industry]], Mean_AE_S, 3, FALSE))</f>
        <v>0.64978725338547538</v>
      </c>
      <c r="T32" s="1">
        <f>(Main_S[[#This Row],[P/E]]-VLOOKUP(Main_S[[#This Row],[Industry]], Mean_PE_S, 2, FALSE))/(VLOOKUP(Main_S[[#This Row],[Industry]], Mean_PE_S, 3, FALSE))</f>
        <v>-0.45276050948452085</v>
      </c>
      <c r="U3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3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3" spans="1:26" x14ac:dyDescent="0.25">
      <c r="A33" t="s">
        <v>112</v>
      </c>
      <c r="B33" t="s">
        <v>235</v>
      </c>
      <c r="C33" s="2">
        <v>446</v>
      </c>
      <c r="D33">
        <f>RTD("tos.rtd", , "LAST", Main_S[[#This Row],[Symbol]])</f>
        <v>30.16</v>
      </c>
      <c r="E33">
        <v>4.8600000000000003</v>
      </c>
      <c r="F33">
        <v>39.229999999999997</v>
      </c>
      <c r="G33">
        <v>-6.18</v>
      </c>
      <c r="H33" s="1">
        <f>IF(ISNUMBER(Main_S[[#This Row],[Free CF]]),IF(Main_S[[#This Row],[Free CF]]&lt;&gt;0,Main_S[[#This Row],[Current Price]]/Main_S[[#This Row],[Free CF]],""),"")</f>
        <v>6.2057613168724277</v>
      </c>
      <c r="I33" s="1">
        <f>IF(ISNUMBER(Main_S[[#This Row],[BVPS]]),IF(Main_S[[#This Row],[BVPS]]&lt;&gt;0,Main_S[[#This Row],[Current Price]]/Main_S[[#This Row],[BVPS]],""),"")</f>
        <v>0.76879938822329852</v>
      </c>
      <c r="J33">
        <v>-14.43</v>
      </c>
      <c r="K33">
        <v>2.04</v>
      </c>
      <c r="L33">
        <v>1.39</v>
      </c>
      <c r="M33" s="1">
        <f>IF(ISNUMBER(Main_S[[#This Row],[EPS]]),IF(Main_S[[#This Row],[EPS]]&lt;&gt;0,Main_S[[#This Row],[Current Price]]/Main_S[[#This Row],[EPS]],""),"")</f>
        <v>-4.8802588996763756</v>
      </c>
      <c r="N3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3" s="1">
        <f>(Main_S[[#This Row],[P/FCF]]-VLOOKUP(Main_S[[#This Row],[Industry]], Mean_PFCF_S, 2, FALSE))/(VLOOKUP(Main_S[[#This Row],[Industry]], Mean_PFCF_S, 3, FALSE))</f>
        <v>0.82788393257647674</v>
      </c>
      <c r="P33" s="1">
        <f>(Main_S[[#This Row],[P/B]]-VLOOKUP(Main_S[[#This Row],[Industry]], Mean_PB_S, 2, FALSE))/(VLOOKUP(Main_S[[#This Row],[Industry]], Mean_PB_S, 3, FALSE))</f>
        <v>0.46534705235665447</v>
      </c>
      <c r="Q33" s="1">
        <f>(Main_S[[#This Row],[ROE]]-VLOOKUP(Main_S[[#This Row],[Industry]], Mean_ROE_S, 2, FALSE))/(VLOOKUP(Main_S[[#This Row],[Industry]], Mean_ROE_S, 3, FALSE))</f>
        <v>-1.2907595754087886</v>
      </c>
      <c r="R33" s="1">
        <f>(Main_S[[#This Row],[ROA]]-VLOOKUP(Main_S[[#This Row],[Industry]], Mean_ROA_S, 2, FALSE))/(VLOOKUP(Main_S[[#This Row],[Industry]], Mean_ROA_S, 3, FALSE))</f>
        <v>0.87870019792500653</v>
      </c>
      <c r="S33" s="1">
        <f>(Main_S[[#This Row],[A/E]]-VLOOKUP(Main_S[[#This Row],[Industry]], Mean_AE_S, 2, FALSE))/(VLOOKUP(Main_S[[#This Row],[Industry]], Mean_AE_S, 3, FALSE))</f>
        <v>-3.4872861764661494</v>
      </c>
      <c r="T33" s="1">
        <f>(Main_S[[#This Row],[P/E]]-VLOOKUP(Main_S[[#This Row],[Industry]], Mean_PE_S, 2, FALSE))/(VLOOKUP(Main_S[[#This Row],[Industry]], Mean_PE_S, 3, FALSE))</f>
        <v>-0.30412494625877956</v>
      </c>
      <c r="U3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3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4" spans="1:26" x14ac:dyDescent="0.25">
      <c r="A34" t="s">
        <v>112</v>
      </c>
      <c r="B34" t="s">
        <v>236</v>
      </c>
      <c r="C34" s="2">
        <v>835</v>
      </c>
      <c r="D34">
        <f>RTD("tos.rtd", , "LAST", Main_S[[#This Row],[Symbol]])</f>
        <v>6.89</v>
      </c>
      <c r="E34">
        <v>1.44</v>
      </c>
      <c r="F34">
        <v>12.54</v>
      </c>
      <c r="G34">
        <v>-0.5</v>
      </c>
      <c r="H34" s="1">
        <f>IF(ISNUMBER(Main_S[[#This Row],[Free CF]]),IF(Main_S[[#This Row],[Free CF]]&lt;&gt;0,Main_S[[#This Row],[Current Price]]/Main_S[[#This Row],[Free CF]],""),"")</f>
        <v>4.7847222222222223</v>
      </c>
      <c r="I34" s="1">
        <f>IF(ISNUMBER(Main_S[[#This Row],[BVPS]]),IF(Main_S[[#This Row],[BVPS]]&lt;&gt;0,Main_S[[#This Row],[Current Price]]/Main_S[[#This Row],[BVPS]],""),"")</f>
        <v>0.54944178628389151</v>
      </c>
      <c r="J34">
        <v>-3.79</v>
      </c>
      <c r="K34">
        <v>1.24</v>
      </c>
      <c r="L34">
        <v>2.57</v>
      </c>
      <c r="M34" s="1">
        <f>IF(ISNUMBER(Main_S[[#This Row],[EPS]]),IF(Main_S[[#This Row],[EPS]]&lt;&gt;0,Main_S[[#This Row],[Current Price]]/Main_S[[#This Row],[EPS]],""),"")</f>
        <v>-13.78</v>
      </c>
      <c r="N3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4" s="1">
        <f>(Main_S[[#This Row],[P/FCF]]-VLOOKUP(Main_S[[#This Row],[Industry]], Mean_PFCF_S, 2, FALSE))/(VLOOKUP(Main_S[[#This Row],[Industry]], Mean_PFCF_S, 3, FALSE))</f>
        <v>-0.57689329872852124</v>
      </c>
      <c r="P34" s="1">
        <f>(Main_S[[#This Row],[P/B]]-VLOOKUP(Main_S[[#This Row],[Industry]], Mean_PB_S, 2, FALSE))/(VLOOKUP(Main_S[[#This Row],[Industry]], Mean_PB_S, 3, FALSE))</f>
        <v>-0.2961009124912955</v>
      </c>
      <c r="Q34" s="1">
        <f>(Main_S[[#This Row],[ROE]]-VLOOKUP(Main_S[[#This Row],[Industry]], Mean_ROE_S, 2, FALSE))/(VLOOKUP(Main_S[[#This Row],[Industry]], Mean_ROE_S, 3, FALSE))</f>
        <v>0.14476690962826691</v>
      </c>
      <c r="R34" s="1">
        <f>(Main_S[[#This Row],[ROA]]-VLOOKUP(Main_S[[#This Row],[Industry]], Mean_ROA_S, 2, FALSE))/(VLOOKUP(Main_S[[#This Row],[Industry]], Mean_ROA_S, 3, FALSE))</f>
        <v>0.24253715870328238</v>
      </c>
      <c r="S34" s="1">
        <f>(Main_S[[#This Row],[A/E]]-VLOOKUP(Main_S[[#This Row],[Industry]], Mean_AE_S, 2, FALSE))/(VLOOKUP(Main_S[[#This Row],[Industry]], Mean_AE_S, 3, FALSE))</f>
        <v>-0.47386232015447205</v>
      </c>
      <c r="T34" s="1">
        <f>(Main_S[[#This Row],[P/E]]-VLOOKUP(Main_S[[#This Row],[Industry]], Mean_PE_S, 2, FALSE))/(VLOOKUP(Main_S[[#This Row],[Industry]], Mean_PE_S, 3, FALSE))</f>
        <v>-0.63032584519155455</v>
      </c>
      <c r="U3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5" spans="1:26" x14ac:dyDescent="0.25">
      <c r="A35" t="s">
        <v>112</v>
      </c>
      <c r="B35" t="s">
        <v>237</v>
      </c>
      <c r="C35" s="2">
        <v>1044</v>
      </c>
      <c r="D35">
        <f>RTD("tos.rtd", , "LAST", Main_S[[#This Row],[Symbol]])</f>
        <v>4.53</v>
      </c>
      <c r="E35">
        <v>0.94</v>
      </c>
      <c r="F35">
        <v>14.08</v>
      </c>
      <c r="G35">
        <v>-0.31</v>
      </c>
      <c r="H35" s="1">
        <f>IF(ISNUMBER(Main_S[[#This Row],[Free CF]]),IF(Main_S[[#This Row],[Free CF]]&lt;&gt;0,Main_S[[#This Row],[Current Price]]/Main_S[[#This Row],[Free CF]],""),"")</f>
        <v>4.8191489361702136</v>
      </c>
      <c r="I35" s="1">
        <f>IF(ISNUMBER(Main_S[[#This Row],[BVPS]]),IF(Main_S[[#This Row],[BVPS]]&lt;&gt;0,Main_S[[#This Row],[Current Price]]/Main_S[[#This Row],[BVPS]],""),"")</f>
        <v>0.32173295454545459</v>
      </c>
      <c r="J35">
        <v>-1.48</v>
      </c>
      <c r="K35">
        <v>0.77</v>
      </c>
      <c r="L35">
        <v>2.57</v>
      </c>
      <c r="M35" s="1">
        <f>IF(ISNUMBER(Main_S[[#This Row],[EPS]]),IF(Main_S[[#This Row],[EPS]]&lt;&gt;0,Main_S[[#This Row],[Current Price]]/Main_S[[#This Row],[EPS]],""),"")</f>
        <v>-14.612903225806452</v>
      </c>
      <c r="N3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5" s="1">
        <f>(Main_S[[#This Row],[P/FCF]]-VLOOKUP(Main_S[[#This Row],[Industry]], Mean_PFCF_S, 2, FALSE))/(VLOOKUP(Main_S[[#This Row],[Industry]], Mean_PFCF_S, 3, FALSE))</f>
        <v>-0.54286055178661341</v>
      </c>
      <c r="P35" s="1">
        <f>(Main_S[[#This Row],[P/B]]-VLOOKUP(Main_S[[#This Row],[Industry]], Mean_PB_S, 2, FALSE))/(VLOOKUP(Main_S[[#This Row],[Industry]], Mean_PB_S, 3, FALSE))</f>
        <v>-1.0865381937715315</v>
      </c>
      <c r="Q35" s="1">
        <f>(Main_S[[#This Row],[ROE]]-VLOOKUP(Main_S[[#This Row],[Industry]], Mean_ROE_S, 2, FALSE))/(VLOOKUP(Main_S[[#This Row],[Industry]], Mean_ROE_S, 3, FALSE))</f>
        <v>0.45642726493236452</v>
      </c>
      <c r="R35" s="1">
        <f>(Main_S[[#This Row],[ROA]]-VLOOKUP(Main_S[[#This Row],[Industry]], Mean_ROA_S, 2, FALSE))/(VLOOKUP(Main_S[[#This Row],[Industry]], Mean_ROA_S, 3, FALSE))</f>
        <v>-0.13120862683948056</v>
      </c>
      <c r="S35" s="1">
        <f>(Main_S[[#This Row],[A/E]]-VLOOKUP(Main_S[[#This Row],[Industry]], Mean_AE_S, 2, FALSE))/(VLOOKUP(Main_S[[#This Row],[Industry]], Mean_AE_S, 3, FALSE))</f>
        <v>-0.47386232015447205</v>
      </c>
      <c r="T35" s="1">
        <f>(Main_S[[#This Row],[P/E]]-VLOOKUP(Main_S[[#This Row],[Industry]], Mean_PE_S, 2, FALSE))/(VLOOKUP(Main_S[[#This Row],[Industry]], Mean_PE_S, 3, FALSE))</f>
        <v>-0.66085412437623692</v>
      </c>
      <c r="U3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6" spans="1:26" x14ac:dyDescent="0.25">
      <c r="A36" t="s">
        <v>112</v>
      </c>
      <c r="B36" t="s">
        <v>238</v>
      </c>
      <c r="C36" s="2">
        <v>410</v>
      </c>
      <c r="D36">
        <f>RTD("tos.rtd", , "LAST", Main_S[[#This Row],[Symbol]])</f>
        <v>12.03</v>
      </c>
      <c r="E36">
        <v>2.6</v>
      </c>
      <c r="F36">
        <v>29.54</v>
      </c>
      <c r="G36">
        <v>-0.28999999999999998</v>
      </c>
      <c r="H36" s="1">
        <f>IF(ISNUMBER(Main_S[[#This Row],[Free CF]]),IF(Main_S[[#This Row],[Free CF]]&lt;&gt;0,Main_S[[#This Row],[Current Price]]/Main_S[[#This Row],[Free CF]],""),"")</f>
        <v>4.6269230769230765</v>
      </c>
      <c r="I36" s="1">
        <f>IF(ISNUMBER(Main_S[[#This Row],[BVPS]]),IF(Main_S[[#This Row],[BVPS]]&lt;&gt;0,Main_S[[#This Row],[Current Price]]/Main_S[[#This Row],[BVPS]],""),"")</f>
        <v>0.40724441435341907</v>
      </c>
      <c r="J36">
        <v>-0.96</v>
      </c>
      <c r="K36">
        <v>1.18</v>
      </c>
      <c r="L36">
        <v>2.4700000000000002</v>
      </c>
      <c r="M36" s="1">
        <f>IF(ISNUMBER(Main_S[[#This Row],[EPS]]),IF(Main_S[[#This Row],[EPS]]&lt;&gt;0,Main_S[[#This Row],[Current Price]]/Main_S[[#This Row],[EPS]],""),"")</f>
        <v>-41.482758620689658</v>
      </c>
      <c r="N3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6" s="1">
        <f>(Main_S[[#This Row],[P/FCF]]-VLOOKUP(Main_S[[#This Row],[Industry]], Mean_PFCF_S, 2, FALSE))/(VLOOKUP(Main_S[[#This Row],[Industry]], Mean_PFCF_S, 3, FALSE))</f>
        <v>-0.7328866470256663</v>
      </c>
      <c r="P36" s="1">
        <f>(Main_S[[#This Row],[P/B]]-VLOOKUP(Main_S[[#This Row],[Industry]], Mean_PB_S, 2, FALSE))/(VLOOKUP(Main_S[[#This Row],[Industry]], Mean_PB_S, 3, FALSE))</f>
        <v>-0.78970541265853489</v>
      </c>
      <c r="Q36" s="1">
        <f>(Main_S[[#This Row],[ROE]]-VLOOKUP(Main_S[[#This Row],[Industry]], Mean_ROE_S, 2, FALSE))/(VLOOKUP(Main_S[[#This Row],[Industry]], Mean_ROE_S, 3, FALSE))</f>
        <v>0.52658457435146877</v>
      </c>
      <c r="R36" s="1">
        <f>(Main_S[[#This Row],[ROA]]-VLOOKUP(Main_S[[#This Row],[Industry]], Mean_ROA_S, 2, FALSE))/(VLOOKUP(Main_S[[#This Row],[Industry]], Mean_ROA_S, 3, FALSE))</f>
        <v>0.19482493076165303</v>
      </c>
      <c r="S36" s="1">
        <f>(Main_S[[#This Row],[A/E]]-VLOOKUP(Main_S[[#This Row],[Industry]], Mean_AE_S, 2, FALSE))/(VLOOKUP(Main_S[[#This Row],[Industry]], Mean_AE_S, 3, FALSE))</f>
        <v>-0.72923722323173201</v>
      </c>
      <c r="T36" s="1">
        <f>(Main_S[[#This Row],[P/E]]-VLOOKUP(Main_S[[#This Row],[Industry]], Mean_PE_S, 2, FALSE))/(VLOOKUP(Main_S[[#This Row],[Industry]], Mean_PE_S, 3, FALSE))</f>
        <v>-1.6457109741654801</v>
      </c>
      <c r="U3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7" spans="1:26" x14ac:dyDescent="0.25">
      <c r="A37" t="s">
        <v>112</v>
      </c>
      <c r="B37" t="s">
        <v>239</v>
      </c>
      <c r="C37" s="2">
        <v>301</v>
      </c>
      <c r="D37">
        <f>RTD("tos.rtd", , "LAST", Main_S[[#This Row],[Symbol]])</f>
        <v>12.75</v>
      </c>
      <c r="E37">
        <v>1.66</v>
      </c>
      <c r="F37">
        <v>10.35</v>
      </c>
      <c r="G37">
        <v>0.28000000000000003</v>
      </c>
      <c r="H37" s="1">
        <f>IF(ISNUMBER(Main_S[[#This Row],[Free CF]]),IF(Main_S[[#This Row],[Free CF]]&lt;&gt;0,Main_S[[#This Row],[Current Price]]/Main_S[[#This Row],[Free CF]],""),"")</f>
        <v>7.6807228915662655</v>
      </c>
      <c r="I37" s="1">
        <f>IF(ISNUMBER(Main_S[[#This Row],[BVPS]]),IF(Main_S[[#This Row],[BVPS]]&lt;&gt;0,Main_S[[#This Row],[Current Price]]/Main_S[[#This Row],[BVPS]],""),"")</f>
        <v>1.2318840579710146</v>
      </c>
      <c r="J37">
        <v>3.41</v>
      </c>
      <c r="K37">
        <v>2.2799999999999998</v>
      </c>
      <c r="L37">
        <v>2.66</v>
      </c>
      <c r="M37" s="1">
        <f>IF(ISNUMBER(Main_S[[#This Row],[EPS]]),IF(Main_S[[#This Row],[EPS]]&lt;&gt;0,Main_S[[#This Row],[Current Price]]/Main_S[[#This Row],[EPS]],""),"")</f>
        <v>45.535714285714285</v>
      </c>
      <c r="N3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7" s="1">
        <f>(Main_S[[#This Row],[P/FCF]]-VLOOKUP(Main_S[[#This Row],[Industry]], Mean_PFCF_S, 2, FALSE))/(VLOOKUP(Main_S[[#This Row],[Industry]], Mean_PFCF_S, 3, FALSE))</f>
        <v>2.2859665743420075</v>
      </c>
      <c r="P37" s="1">
        <f>(Main_S[[#This Row],[P/B]]-VLOOKUP(Main_S[[#This Row],[Industry]], Mean_PB_S, 2, FALSE))/(VLOOKUP(Main_S[[#This Row],[Industry]], Mean_PB_S, 3, FALSE))</f>
        <v>2.0728358114154175</v>
      </c>
      <c r="Q37" s="1">
        <f>(Main_S[[#This Row],[ROE]]-VLOOKUP(Main_S[[#This Row],[Industry]], Mean_ROE_S, 2, FALSE))/(VLOOKUP(Main_S[[#This Row],[Industry]], Mean_ROE_S, 3, FALSE))</f>
        <v>1.1161758092774023</v>
      </c>
      <c r="R37" s="1">
        <f>(Main_S[[#This Row],[ROA]]-VLOOKUP(Main_S[[#This Row],[Industry]], Mean_ROA_S, 2, FALSE))/(VLOOKUP(Main_S[[#This Row],[Industry]], Mean_ROA_S, 3, FALSE))</f>
        <v>1.0695491096915235</v>
      </c>
      <c r="S37" s="1">
        <f>(Main_S[[#This Row],[A/E]]-VLOOKUP(Main_S[[#This Row],[Industry]], Mean_AE_S, 2, FALSE))/(VLOOKUP(Main_S[[#This Row],[Industry]], Mean_AE_S, 3, FALSE))</f>
        <v>-0.24402490738493657</v>
      </c>
      <c r="T37" s="1">
        <f>(Main_S[[#This Row],[P/E]]-VLOOKUP(Main_S[[#This Row],[Industry]], Mean_PE_S, 2, FALSE))/(VLOOKUP(Main_S[[#This Row],[Industry]], Mean_PE_S, 3, FALSE))</f>
        <v>1.5437642887490897</v>
      </c>
      <c r="U3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8" spans="1:26" x14ac:dyDescent="0.25">
      <c r="A38" t="s">
        <v>149</v>
      </c>
      <c r="B38" t="s">
        <v>264</v>
      </c>
      <c r="C38" s="2">
        <v>381</v>
      </c>
      <c r="D38">
        <f>RTD("tos.rtd", , "LAST", Main_S[[#This Row],[Symbol]])</f>
        <v>5.48</v>
      </c>
      <c r="E38">
        <v>2.86</v>
      </c>
      <c r="F38">
        <v>11.08</v>
      </c>
      <c r="G38">
        <v>1.24</v>
      </c>
      <c r="H38" s="1">
        <f>IF(ISNUMBER(Main_S[[#This Row],[Free CF]]),IF(Main_S[[#This Row],[Free CF]]&lt;&gt;0,Main_S[[#This Row],[Current Price]]/Main_S[[#This Row],[Free CF]],""),"")</f>
        <v>1.9160839160839163</v>
      </c>
      <c r="I38" s="1">
        <f>IF(ISNUMBER(Main_S[[#This Row],[BVPS]]),IF(Main_S[[#This Row],[BVPS]]&lt;&gt;0,Main_S[[#This Row],[Current Price]]/Main_S[[#This Row],[BVPS]],""),"")</f>
        <v>0.49458483754512639</v>
      </c>
      <c r="J38">
        <v>10.92</v>
      </c>
      <c r="K38">
        <v>1.44</v>
      </c>
      <c r="L38">
        <v>4.08</v>
      </c>
      <c r="M38" s="1">
        <f>IF(ISNUMBER(Main_S[[#This Row],[EPS]]),IF(Main_S[[#This Row],[EPS]]&lt;&gt;0,Main_S[[#This Row],[Current Price]]/Main_S[[#This Row],[EPS]],""),"")</f>
        <v>4.4193548387096779</v>
      </c>
      <c r="N3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8" s="1">
        <f>(Main_S[[#This Row],[P/FCF]]-VLOOKUP(Main_S[[#This Row],[Industry]], Mean_PFCF_S, 2, FALSE))/(VLOOKUP(Main_S[[#This Row],[Industry]], Mean_PFCF_S, 3, FALSE))</f>
        <v>-0.66346534341222774</v>
      </c>
      <c r="P38" s="1">
        <f>(Main_S[[#This Row],[P/B]]-VLOOKUP(Main_S[[#This Row],[Industry]], Mean_PB_S, 2, FALSE))/(VLOOKUP(Main_S[[#This Row],[Industry]], Mean_PB_S, 3, FALSE))</f>
        <v>-0.51985806121940425</v>
      </c>
      <c r="Q38" s="1">
        <f>(Main_S[[#This Row],[ROE]]-VLOOKUP(Main_S[[#This Row],[Industry]], Mean_ROE_S, 2, FALSE))/(VLOOKUP(Main_S[[#This Row],[Industry]], Mean_ROE_S, 3, FALSE))</f>
        <v>1.1309470801977874</v>
      </c>
      <c r="R38" s="1">
        <f>(Main_S[[#This Row],[ROA]]-VLOOKUP(Main_S[[#This Row],[Industry]], Mean_ROA_S, 2, FALSE))/(VLOOKUP(Main_S[[#This Row],[Industry]], Mean_ROA_S, 3, FALSE))</f>
        <v>0.30763564686717987</v>
      </c>
      <c r="S38" s="1">
        <f>(Main_S[[#This Row],[A/E]]-VLOOKUP(Main_S[[#This Row],[Industry]], Mean_AE_S, 2, FALSE))/(VLOOKUP(Main_S[[#This Row],[Industry]], Mean_AE_S, 3, FALSE))</f>
        <v>1.5892443968288481</v>
      </c>
      <c r="T38" s="1">
        <f>(Main_S[[#This Row],[P/E]]-VLOOKUP(Main_S[[#This Row],[Industry]], Mean_PE_S, 2, FALSE))/(VLOOKUP(Main_S[[#This Row],[Industry]], Mean_PE_S, 3, FALSE))</f>
        <v>0.36786157308122996</v>
      </c>
      <c r="U3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9" spans="1:26" x14ac:dyDescent="0.25">
      <c r="A39" t="s">
        <v>149</v>
      </c>
      <c r="B39" t="s">
        <v>265</v>
      </c>
      <c r="C39" s="2">
        <v>463</v>
      </c>
      <c r="D39">
        <f>RTD("tos.rtd", , "LAST", Main_S[[#This Row],[Symbol]])</f>
        <v>16.309999999999999</v>
      </c>
      <c r="E39">
        <v>0.2</v>
      </c>
      <c r="F39">
        <v>17.66</v>
      </c>
      <c r="G39">
        <v>0.1</v>
      </c>
      <c r="H39" s="1">
        <f>IF(ISNUMBER(Main_S[[#This Row],[Free CF]]),IF(Main_S[[#This Row],[Free CF]]&lt;&gt;0,Main_S[[#This Row],[Current Price]]/Main_S[[#This Row],[Free CF]],""),"")</f>
        <v>81.549999999999983</v>
      </c>
      <c r="I39" s="1">
        <f>IF(ISNUMBER(Main_S[[#This Row],[BVPS]]),IF(Main_S[[#This Row],[BVPS]]&lt;&gt;0,Main_S[[#This Row],[Current Price]]/Main_S[[#This Row],[BVPS]],""),"")</f>
        <v>0.92355605889014714</v>
      </c>
      <c r="J39">
        <v>0.55000000000000004</v>
      </c>
      <c r="K39">
        <v>-1</v>
      </c>
      <c r="L39">
        <v>1.28</v>
      </c>
      <c r="M39" s="1">
        <f>IF(ISNUMBER(Main_S[[#This Row],[EPS]]),IF(Main_S[[#This Row],[EPS]]&lt;&gt;0,Main_S[[#This Row],[Current Price]]/Main_S[[#This Row],[EPS]],""),"")</f>
        <v>163.09999999999997</v>
      </c>
      <c r="N3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9" s="1">
        <f>(Main_S[[#This Row],[P/FCF]]-VLOOKUP(Main_S[[#This Row],[Industry]], Mean_PFCF_S, 2, FALSE))/(VLOOKUP(Main_S[[#This Row],[Industry]], Mean_PFCF_S, 3, FALSE))</f>
        <v>1.3786632777892214</v>
      </c>
      <c r="P39" s="1">
        <f>(Main_S[[#This Row],[P/B]]-VLOOKUP(Main_S[[#This Row],[Industry]], Mean_PB_S, 2, FALSE))/(VLOOKUP(Main_S[[#This Row],[Industry]], Mean_PB_S, 3, FALSE))</f>
        <v>-0.39904300658922448</v>
      </c>
      <c r="Q39" s="1">
        <f>(Main_S[[#This Row],[ROE]]-VLOOKUP(Main_S[[#This Row],[Industry]], Mean_ROE_S, 2, FALSE))/(VLOOKUP(Main_S[[#This Row],[Industry]], Mean_ROE_S, 3, FALSE))</f>
        <v>0.54595864753133849</v>
      </c>
      <c r="R39" s="1">
        <f>(Main_S[[#This Row],[ROA]]-VLOOKUP(Main_S[[#This Row],[Industry]], Mean_ROA_S, 2, FALSE))/(VLOOKUP(Main_S[[#This Row],[Industry]], Mean_ROA_S, 3, FALSE))</f>
        <v>-0.33702863942883193</v>
      </c>
      <c r="S39" s="1">
        <f>(Main_S[[#This Row],[A/E]]-VLOOKUP(Main_S[[#This Row],[Industry]], Mean_AE_S, 2, FALSE))/(VLOOKUP(Main_S[[#This Row],[Industry]], Mean_AE_S, 3, FALSE))</f>
        <v>-1.146340220663431</v>
      </c>
      <c r="T39" s="1">
        <f>(Main_S[[#This Row],[P/E]]-VLOOKUP(Main_S[[#This Row],[Industry]], Mean_PE_S, 2, FALSE))/(VLOOKUP(Main_S[[#This Row],[Industry]], Mean_PE_S, 3, FALSE))</f>
        <v>3.9202451748949354</v>
      </c>
      <c r="U3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40" spans="1:26" x14ac:dyDescent="0.25">
      <c r="A40" t="s">
        <v>149</v>
      </c>
      <c r="B40" t="s">
        <v>266</v>
      </c>
      <c r="C40" s="2">
        <v>527</v>
      </c>
      <c r="D40">
        <f>RTD("tos.rtd", , "LAST", Main_S[[#This Row],[Symbol]])</f>
        <v>26.6</v>
      </c>
      <c r="E40">
        <v>1.54</v>
      </c>
      <c r="F40">
        <v>22.21</v>
      </c>
      <c r="G40">
        <v>0.34</v>
      </c>
      <c r="H40" s="1">
        <f>IF(ISNUMBER(Main_S[[#This Row],[Free CF]]),IF(Main_S[[#This Row],[Free CF]]&lt;&gt;0,Main_S[[#This Row],[Current Price]]/Main_S[[#This Row],[Free CF]],""),"")</f>
        <v>17.272727272727273</v>
      </c>
      <c r="I40" s="1">
        <f>IF(ISNUMBER(Main_S[[#This Row],[BVPS]]),IF(Main_S[[#This Row],[BVPS]]&lt;&gt;0,Main_S[[#This Row],[Current Price]]/Main_S[[#This Row],[BVPS]],""),"")</f>
        <v>1.1976587122917606</v>
      </c>
      <c r="J40">
        <v>1.41</v>
      </c>
      <c r="K40">
        <v>0.03</v>
      </c>
      <c r="L40">
        <v>1.72</v>
      </c>
      <c r="M40" s="1">
        <f>IF(ISNUMBER(Main_S[[#This Row],[EPS]]),IF(Main_S[[#This Row],[EPS]]&lt;&gt;0,Main_S[[#This Row],[Current Price]]/Main_S[[#This Row],[EPS]],""),"")</f>
        <v>78.235294117647058</v>
      </c>
      <c r="N4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0" s="1">
        <f>(Main_S[[#This Row],[P/FCF]]-VLOOKUP(Main_S[[#This Row],[Industry]], Mean_PFCF_S, 2, FALSE))/(VLOOKUP(Main_S[[#This Row],[Industry]], Mean_PFCF_S, 3, FALSE))</f>
        <v>-0.26966026052345055</v>
      </c>
      <c r="P40" s="1">
        <f>(Main_S[[#This Row],[P/B]]-VLOOKUP(Main_S[[#This Row],[Industry]], Mean_PB_S, 2, FALSE))/(VLOOKUP(Main_S[[#This Row],[Industry]], Mean_PB_S, 3, FALSE))</f>
        <v>-0.32184499097139296</v>
      </c>
      <c r="Q40" s="1">
        <f>(Main_S[[#This Row],[ROE]]-VLOOKUP(Main_S[[#This Row],[Industry]], Mean_ROE_S, 2, FALSE))/(VLOOKUP(Main_S[[#This Row],[Industry]], Mean_ROE_S, 3, FALSE))</f>
        <v>0.59447263519702276</v>
      </c>
      <c r="R40" s="1">
        <f>(Main_S[[#This Row],[ROA]]-VLOOKUP(Main_S[[#This Row],[Industry]], Mean_ROA_S, 2, FALSE))/(VLOOKUP(Main_S[[#This Row],[Industry]], Mean_ROA_S, 3, FALSE))</f>
        <v>-6.4895764476007256E-2</v>
      </c>
      <c r="S40" s="1">
        <f>(Main_S[[#This Row],[A/E]]-VLOOKUP(Main_S[[#This Row],[Industry]], Mean_AE_S, 2, FALSE))/(VLOOKUP(Main_S[[#This Row],[Industry]], Mean_AE_S, 3, FALSE))</f>
        <v>-0.71646263791464437</v>
      </c>
      <c r="T40" s="1">
        <f>(Main_S[[#This Row],[P/E]]-VLOOKUP(Main_S[[#This Row],[Industry]], Mean_PE_S, 2, FALSE))/(VLOOKUP(Main_S[[#This Row],[Industry]], Mean_PE_S, 3, FALSE))</f>
        <v>2.0203790050619124</v>
      </c>
      <c r="U4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1" spans="1:26" x14ac:dyDescent="0.25">
      <c r="A41" t="s">
        <v>149</v>
      </c>
      <c r="B41" t="s">
        <v>267</v>
      </c>
      <c r="C41" s="2">
        <v>1045</v>
      </c>
      <c r="D41">
        <f>RTD("tos.rtd", , "LAST", Main_S[[#This Row],[Symbol]])</f>
        <v>15.49</v>
      </c>
      <c r="E41">
        <v>0.14000000000000001</v>
      </c>
      <c r="F41">
        <v>1.52</v>
      </c>
      <c r="G41">
        <v>-0.48</v>
      </c>
      <c r="H41" s="1">
        <f>IF(ISNUMBER(Main_S[[#This Row],[Free CF]]),IF(Main_S[[#This Row],[Free CF]]&lt;&gt;0,Main_S[[#This Row],[Current Price]]/Main_S[[#This Row],[Free CF]],""),"")</f>
        <v>110.64285714285714</v>
      </c>
      <c r="I41" s="1">
        <f>IF(ISNUMBER(Main_S[[#This Row],[BVPS]]),IF(Main_S[[#This Row],[BVPS]]&lt;&gt;0,Main_S[[#This Row],[Current Price]]/Main_S[[#This Row],[BVPS]],""),"")</f>
        <v>10.190789473684211</v>
      </c>
      <c r="J41">
        <v>-36.950000000000003</v>
      </c>
      <c r="K41">
        <v>4.54</v>
      </c>
      <c r="L41">
        <v>2.16</v>
      </c>
      <c r="M41" s="1">
        <f>IF(ISNUMBER(Main_S[[#This Row],[EPS]]),IF(Main_S[[#This Row],[EPS]]&lt;&gt;0,Main_S[[#This Row],[Current Price]]/Main_S[[#This Row],[EPS]],""),"")</f>
        <v>-32.270833333333336</v>
      </c>
      <c r="N4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1" s="1">
        <f>(Main_S[[#This Row],[P/FCF]]-VLOOKUP(Main_S[[#This Row],[Industry]], Mean_PFCF_S, 2, FALSE))/(VLOOKUP(Main_S[[#This Row],[Industry]], Mean_PFCF_S, 3, FALSE))</f>
        <v>2.1247192193474329</v>
      </c>
      <c r="P41" s="1">
        <f>(Main_S[[#This Row],[P/B]]-VLOOKUP(Main_S[[#This Row],[Industry]], Mean_PB_S, 2, FALSE))/(VLOOKUP(Main_S[[#This Row],[Industry]], Mean_PB_S, 3, FALSE))</f>
        <v>2.2109719677683737</v>
      </c>
      <c r="Q41" s="1">
        <f>(Main_S[[#This Row],[ROE]]-VLOOKUP(Main_S[[#This Row],[Industry]], Mean_ROE_S, 2, FALSE))/(VLOOKUP(Main_S[[#This Row],[Industry]], Mean_ROE_S, 3, FALSE))</f>
        <v>-1.5694768611467569</v>
      </c>
      <c r="R41" s="1">
        <f>(Main_S[[#This Row],[ROA]]-VLOOKUP(Main_S[[#This Row],[Industry]], Mean_ROA_S, 2, FALSE))/(VLOOKUP(Main_S[[#This Row],[Industry]], Mean_ROA_S, 3, FALSE))</f>
        <v>1.1266763384727687</v>
      </c>
      <c r="S41" s="1">
        <f>(Main_S[[#This Row],[A/E]]-VLOOKUP(Main_S[[#This Row],[Industry]], Mean_AE_S, 2, FALSE))/(VLOOKUP(Main_S[[#This Row],[Industry]], Mean_AE_S, 3, FALSE))</f>
        <v>-0.28658505516585747</v>
      </c>
      <c r="T41" s="1">
        <f>(Main_S[[#This Row],[P/E]]-VLOOKUP(Main_S[[#This Row],[Industry]], Mean_PE_S, 2, FALSE))/(VLOOKUP(Main_S[[#This Row],[Industry]], Mean_PE_S, 3, FALSE))</f>
        <v>-0.45352166919979064</v>
      </c>
      <c r="U4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2" spans="1:26" x14ac:dyDescent="0.25">
      <c r="A42" t="s">
        <v>149</v>
      </c>
      <c r="B42" t="s">
        <v>268</v>
      </c>
      <c r="C42" s="2">
        <v>912</v>
      </c>
      <c r="D42">
        <f>RTD("tos.rtd", , "LAST", Main_S[[#This Row],[Symbol]])</f>
        <v>6.42</v>
      </c>
      <c r="E42">
        <v>0.08</v>
      </c>
      <c r="F42">
        <v>5.9</v>
      </c>
      <c r="G42">
        <v>-0.56000000000000005</v>
      </c>
      <c r="H42" s="1">
        <f>IF(ISNUMBER(Main_S[[#This Row],[Free CF]]),IF(Main_S[[#This Row],[Free CF]]&lt;&gt;0,Main_S[[#This Row],[Current Price]]/Main_S[[#This Row],[Free CF]],""),"")</f>
        <v>80.25</v>
      </c>
      <c r="I42" s="1">
        <f>IF(ISNUMBER(Main_S[[#This Row],[BVPS]]),IF(Main_S[[#This Row],[BVPS]]&lt;&gt;0,Main_S[[#This Row],[Current Price]]/Main_S[[#This Row],[BVPS]],""),"")</f>
        <v>1.0881355932203389</v>
      </c>
      <c r="J42">
        <v>-1.96</v>
      </c>
      <c r="K42">
        <v>0.41</v>
      </c>
      <c r="L42">
        <v>8.58</v>
      </c>
      <c r="M42" s="1">
        <f>IF(ISNUMBER(Main_S[[#This Row],[EPS]]),IF(Main_S[[#This Row],[EPS]]&lt;&gt;0,Main_S[[#This Row],[Current Price]]/Main_S[[#This Row],[EPS]],""),"")</f>
        <v>-11.464285714285714</v>
      </c>
      <c r="N4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2" s="1">
        <f>(Main_S[[#This Row],[P/FCF]]-VLOOKUP(Main_S[[#This Row],[Industry]], Mean_PFCF_S, 2, FALSE))/(VLOOKUP(Main_S[[#This Row],[Industry]], Mean_PFCF_S, 3, FALSE))</f>
        <v>1.3453261352987738</v>
      </c>
      <c r="P42" s="1">
        <f>(Main_S[[#This Row],[P/B]]-VLOOKUP(Main_S[[#This Row],[Industry]], Mean_PB_S, 2, FALSE))/(VLOOKUP(Main_S[[#This Row],[Industry]], Mean_PB_S, 3, FALSE))</f>
        <v>-0.35269098006220656</v>
      </c>
      <c r="Q42" s="1">
        <f>(Main_S[[#This Row],[ROE]]-VLOOKUP(Main_S[[#This Row],[Industry]], Mean_ROE_S, 2, FALSE))/(VLOOKUP(Main_S[[#This Row],[Industry]], Mean_ROE_S, 3, FALSE))</f>
        <v>0.40436549748381789</v>
      </c>
      <c r="R42" s="1">
        <f>(Main_S[[#This Row],[ROA]]-VLOOKUP(Main_S[[#This Row],[Industry]], Mean_ROA_S, 2, FALSE))/(VLOOKUP(Main_S[[#This Row],[Industry]], Mean_ROA_S, 3, FALSE))</f>
        <v>3.550277191435524E-2</v>
      </c>
      <c r="S42" s="1">
        <f>(Main_S[[#This Row],[A/E]]-VLOOKUP(Main_S[[#This Row],[Industry]], Mean_AE_S, 2, FALSE))/(VLOOKUP(Main_S[[#This Row],[Industry]], Mean_AE_S, 3, FALSE))</f>
        <v>5.9857196749414401</v>
      </c>
      <c r="T42" s="1">
        <f>(Main_S[[#This Row],[P/E]]-VLOOKUP(Main_S[[#This Row],[Industry]], Mean_PE_S, 2, FALSE))/(VLOOKUP(Main_S[[#This Row],[Industry]], Mean_PE_S, 3, FALSE))</f>
        <v>1.2274512162670803E-2</v>
      </c>
      <c r="U4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4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3" spans="1:26" x14ac:dyDescent="0.25">
      <c r="A43" t="s">
        <v>149</v>
      </c>
      <c r="B43" t="s">
        <v>269</v>
      </c>
      <c r="C43" s="2">
        <v>1814</v>
      </c>
      <c r="D43">
        <f>RTD("tos.rtd", , "LAST", Main_S[[#This Row],[Symbol]])</f>
        <v>78.95</v>
      </c>
      <c r="E43">
        <v>3.74</v>
      </c>
      <c r="F43">
        <v>18.75</v>
      </c>
      <c r="G43">
        <v>7.0000000000000007E-2</v>
      </c>
      <c r="H43" s="1">
        <f>IF(ISNUMBER(Main_S[[#This Row],[Free CF]]),IF(Main_S[[#This Row],[Free CF]]&lt;&gt;0,Main_S[[#This Row],[Current Price]]/Main_S[[#This Row],[Free CF]],""),"")</f>
        <v>21.109625668449198</v>
      </c>
      <c r="I43" s="1">
        <f>IF(ISNUMBER(Main_S[[#This Row],[BVPS]]),IF(Main_S[[#This Row],[BVPS]]&lt;&gt;0,Main_S[[#This Row],[Current Price]]/Main_S[[#This Row],[BVPS]],""),"")</f>
        <v>4.2106666666666666</v>
      </c>
      <c r="J43">
        <v>1.42</v>
      </c>
      <c r="K43">
        <v>-1.6</v>
      </c>
      <c r="L43">
        <v>2.2999999999999998</v>
      </c>
      <c r="M43" s="1">
        <f>IF(ISNUMBER(Main_S[[#This Row],[EPS]]),IF(Main_S[[#This Row],[EPS]]&lt;&gt;0,Main_S[[#This Row],[Current Price]]/Main_S[[#This Row],[EPS]],""),"")</f>
        <v>1127.8571428571429</v>
      </c>
      <c r="N4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3" s="1">
        <f>(Main_S[[#This Row],[P/FCF]]-VLOOKUP(Main_S[[#This Row],[Industry]], Mean_PFCF_S, 2, FALSE))/(VLOOKUP(Main_S[[#This Row],[Industry]], Mean_PFCF_S, 3, FALSE))</f>
        <v>-0.17126700780071752</v>
      </c>
      <c r="P43" s="1">
        <f>(Main_S[[#This Row],[P/B]]-VLOOKUP(Main_S[[#This Row],[Industry]], Mean_PB_S, 2, FALSE))/(VLOOKUP(Main_S[[#This Row],[Industry]], Mean_PB_S, 3, FALSE))</f>
        <v>0.52673575872927847</v>
      </c>
      <c r="Q43" s="1">
        <f>(Main_S[[#This Row],[ROE]]-VLOOKUP(Main_S[[#This Row],[Industry]], Mean_ROE_S, 2, FALSE))/(VLOOKUP(Main_S[[#This Row],[Industry]], Mean_ROE_S, 3, FALSE))</f>
        <v>0.5950367513326702</v>
      </c>
      <c r="R43" s="1">
        <f>(Main_S[[#This Row],[ROA]]-VLOOKUP(Main_S[[#This Row],[Industry]], Mean_ROA_S, 2, FALSE))/(VLOOKUP(Main_S[[#This Row],[Industry]], Mean_ROA_S, 3, FALSE))</f>
        <v>-0.4955526442557201</v>
      </c>
      <c r="S43" s="1">
        <f>(Main_S[[#This Row],[A/E]]-VLOOKUP(Main_S[[#This Row],[Industry]], Mean_AE_S, 2, FALSE))/(VLOOKUP(Main_S[[#This Row],[Industry]], Mean_AE_S, 3, FALSE))</f>
        <v>-0.14980582429124384</v>
      </c>
      <c r="T43" s="1">
        <f>(Main_S[[#This Row],[P/E]]-VLOOKUP(Main_S[[#This Row],[Industry]], Mean_PE_S, 2, FALSE))/(VLOOKUP(Main_S[[#This Row],[Industry]], Mean_PE_S, 3, FALSE))</f>
        <v>25.518263323452413</v>
      </c>
      <c r="U4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44" spans="1:26" x14ac:dyDescent="0.25">
      <c r="A44" t="s">
        <v>149</v>
      </c>
      <c r="B44" t="s">
        <v>270</v>
      </c>
      <c r="C44" s="2">
        <v>292</v>
      </c>
      <c r="D44">
        <f>RTD("tos.rtd", , "LAST", Main_S[[#This Row],[Symbol]])</f>
        <v>14.79</v>
      </c>
      <c r="E44">
        <v>-0.08</v>
      </c>
      <c r="F44">
        <v>1.69</v>
      </c>
      <c r="G44">
        <v>-0.38</v>
      </c>
      <c r="H44" s="1">
        <f>IF(ISNUMBER(Main_S[[#This Row],[Free CF]]),IF(Main_S[[#This Row],[Free CF]]&lt;&gt;0,Main_S[[#This Row],[Current Price]]/Main_S[[#This Row],[Free CF]],""),"")</f>
        <v>-184.87499999999997</v>
      </c>
      <c r="I44" s="1">
        <f>IF(ISNUMBER(Main_S[[#This Row],[BVPS]]),IF(Main_S[[#This Row],[BVPS]]&lt;&gt;0,Main_S[[#This Row],[Current Price]]/Main_S[[#This Row],[BVPS]],""),"")</f>
        <v>8.7514792899408285</v>
      </c>
      <c r="J44">
        <v>-21.78</v>
      </c>
      <c r="K44">
        <v>-11.24</v>
      </c>
      <c r="L44">
        <v>1.51</v>
      </c>
      <c r="M44" s="1">
        <f>IF(ISNUMBER(Main_S[[#This Row],[EPS]]),IF(Main_S[[#This Row],[EPS]]&lt;&gt;0,Main_S[[#This Row],[Current Price]]/Main_S[[#This Row],[EPS]],""),"")</f>
        <v>-38.921052631578945</v>
      </c>
      <c r="N4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4" s="1">
        <f>(Main_S[[#This Row],[P/FCF]]-VLOOKUP(Main_S[[#This Row],[Industry]], Mean_PFCF_S, 2, FALSE))/(VLOOKUP(Main_S[[#This Row],[Industry]], Mean_PFCF_S, 3, FALSE))</f>
        <v>-5.4535276360704641</v>
      </c>
      <c r="P44" s="1">
        <f>(Main_S[[#This Row],[P/B]]-VLOOKUP(Main_S[[#This Row],[Industry]], Mean_PB_S, 2, FALSE))/(VLOOKUP(Main_S[[#This Row],[Industry]], Mean_PB_S, 3, FALSE))</f>
        <v>1.8056059902244606</v>
      </c>
      <c r="Q44" s="1">
        <f>(Main_S[[#This Row],[ROE]]-VLOOKUP(Main_S[[#This Row],[Industry]], Mean_ROE_S, 2, FALSE))/(VLOOKUP(Main_S[[#This Row],[Industry]], Mean_ROE_S, 3, FALSE))</f>
        <v>-0.71371268336951132</v>
      </c>
      <c r="R44" s="1">
        <f>(Main_S[[#This Row],[ROA]]-VLOOKUP(Main_S[[#This Row],[Industry]], Mean_ROA_S, 2, FALSE))/(VLOOKUP(Main_S[[#This Row],[Industry]], Mean_ROA_S, 3, FALSE))</f>
        <v>-3.04250498847439</v>
      </c>
      <c r="S44" s="1">
        <f>(Main_S[[#This Row],[A/E]]-VLOOKUP(Main_S[[#This Row],[Industry]], Mean_AE_S, 2, FALSE))/(VLOOKUP(Main_S[[#This Row],[Industry]], Mean_AE_S, 3, FALSE))</f>
        <v>-0.92163148422656527</v>
      </c>
      <c r="T44" s="1">
        <f>(Main_S[[#This Row],[P/E]]-VLOOKUP(Main_S[[#This Row],[Industry]], Mean_PE_S, 2, FALSE))/(VLOOKUP(Main_S[[#This Row],[Industry]], Mean_PE_S, 3, FALSE))</f>
        <v>-0.60240012857043479</v>
      </c>
      <c r="U4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4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4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5" spans="1:26" x14ac:dyDescent="0.25">
      <c r="A45" t="s">
        <v>149</v>
      </c>
      <c r="B45" t="s">
        <v>271</v>
      </c>
      <c r="C45" s="2">
        <v>808</v>
      </c>
      <c r="D45">
        <f>RTD("tos.rtd", , "LAST", Main_S[[#This Row],[Symbol]])</f>
        <v>10.67</v>
      </c>
      <c r="E45">
        <v>-7.0000000000000007E-2</v>
      </c>
      <c r="F45">
        <v>0.34</v>
      </c>
      <c r="G45">
        <v>-0.13</v>
      </c>
      <c r="H45" s="1">
        <f>IF(ISNUMBER(Main_S[[#This Row],[Free CF]]),IF(Main_S[[#This Row],[Free CF]]&lt;&gt;0,Main_S[[#This Row],[Current Price]]/Main_S[[#This Row],[Free CF]],""),"")</f>
        <v>-152.42857142857142</v>
      </c>
      <c r="I45" s="1">
        <f>IF(ISNUMBER(Main_S[[#This Row],[BVPS]]),IF(Main_S[[#This Row],[BVPS]]&lt;&gt;0,Main_S[[#This Row],[Current Price]]/Main_S[[#This Row],[BVPS]],""),"")</f>
        <v>31.382352941176467</v>
      </c>
      <c r="J45">
        <v>-35.47</v>
      </c>
      <c r="K45">
        <v>-1.85</v>
      </c>
      <c r="L45">
        <v>3.63</v>
      </c>
      <c r="M45" s="1">
        <f>IF(ISNUMBER(Main_S[[#This Row],[EPS]]),IF(Main_S[[#This Row],[EPS]]&lt;&gt;0,Main_S[[#This Row],[Current Price]]/Main_S[[#This Row],[EPS]],""),"")</f>
        <v>-82.07692307692308</v>
      </c>
      <c r="N4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5" s="1">
        <f>(Main_S[[#This Row],[P/FCF]]-VLOOKUP(Main_S[[#This Row],[Industry]], Mean_PFCF_S, 2, FALSE))/(VLOOKUP(Main_S[[#This Row],[Industry]], Mean_PFCF_S, 3, FALSE))</f>
        <v>-4.6214728571536527</v>
      </c>
      <c r="P45" s="1">
        <f>(Main_S[[#This Row],[P/B]]-VLOOKUP(Main_S[[#This Row],[Industry]], Mean_PB_S, 2, FALSE))/(VLOOKUP(Main_S[[#This Row],[Industry]], Mean_PB_S, 3, FALSE))</f>
        <v>8.1793441350117</v>
      </c>
      <c r="Q45" s="1">
        <f>(Main_S[[#This Row],[ROE]]-VLOOKUP(Main_S[[#This Row],[Industry]], Mean_ROE_S, 2, FALSE))/(VLOOKUP(Main_S[[#This Row],[Industry]], Mean_ROE_S, 3, FALSE))</f>
        <v>-1.4859876730709278</v>
      </c>
      <c r="R45" s="1">
        <f>(Main_S[[#This Row],[ROA]]-VLOOKUP(Main_S[[#This Row],[Industry]], Mean_ROA_S, 2, FALSE))/(VLOOKUP(Main_S[[#This Row],[Industry]], Mean_ROA_S, 3, FALSE))</f>
        <v>-0.56160431293359014</v>
      </c>
      <c r="S45" s="1">
        <f>(Main_S[[#This Row],[A/E]]-VLOOKUP(Main_S[[#This Row],[Industry]], Mean_AE_S, 2, FALSE))/(VLOOKUP(Main_S[[#This Row],[Industry]], Mean_AE_S, 3, FALSE))</f>
        <v>1.1495968690175888</v>
      </c>
      <c r="T45" s="1">
        <f>(Main_S[[#This Row],[P/E]]-VLOOKUP(Main_S[[#This Row],[Industry]], Mean_PE_S, 2, FALSE))/(VLOOKUP(Main_S[[#This Row],[Industry]], Mean_PE_S, 3, FALSE))</f>
        <v>-1.5685305998463097</v>
      </c>
      <c r="U4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4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4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6" spans="1:26" x14ac:dyDescent="0.25">
      <c r="A46" t="s">
        <v>149</v>
      </c>
      <c r="B46" t="s">
        <v>272</v>
      </c>
      <c r="C46" s="2">
        <v>270</v>
      </c>
      <c r="D46">
        <f>RTD("tos.rtd", , "LAST", Main_S[[#This Row],[Symbol]])</f>
        <v>79.849999999999994</v>
      </c>
      <c r="E46">
        <v>9.1</v>
      </c>
      <c r="F46">
        <v>-17.66</v>
      </c>
      <c r="G46">
        <v>4.46</v>
      </c>
      <c r="H46" s="1">
        <f>IF(ISNUMBER(Main_S[[#This Row],[Free CF]]),IF(Main_S[[#This Row],[Free CF]]&lt;&gt;0,Main_S[[#This Row],[Current Price]]/Main_S[[#This Row],[Free CF]],""),"")</f>
        <v>8.7747252747252737</v>
      </c>
      <c r="I46" s="1">
        <f>IF(ISNUMBER(Main_S[[#This Row],[BVPS]]),IF(Main_S[[#This Row],[BVPS]]&lt;&gt;0,Main_S[[#This Row],[Current Price]]/Main_S[[#This Row],[BVPS]],""),"")</f>
        <v>-4.5215175537938839</v>
      </c>
      <c r="J46">
        <v>-24.51</v>
      </c>
      <c r="K46">
        <v>4.28</v>
      </c>
      <c r="L46">
        <v>-6.37</v>
      </c>
      <c r="M46" s="1">
        <f>IF(ISNUMBER(Main_S[[#This Row],[EPS]]),IF(Main_S[[#This Row],[EPS]]&lt;&gt;0,Main_S[[#This Row],[Current Price]]/Main_S[[#This Row],[EPS]],""),"")</f>
        <v>17.903587443946186</v>
      </c>
      <c r="N4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6" s="1">
        <f>(Main_S[[#This Row],[P/FCF]]-VLOOKUP(Main_S[[#This Row],[Industry]], Mean_PFCF_S, 2, FALSE))/(VLOOKUP(Main_S[[#This Row],[Industry]], Mean_PFCF_S, 3, FALSE))</f>
        <v>-0.48758264782460742</v>
      </c>
      <c r="P46" s="1">
        <f>(Main_S[[#This Row],[P/B]]-VLOOKUP(Main_S[[#This Row],[Industry]], Mean_PB_S, 2, FALSE))/(VLOOKUP(Main_S[[#This Row],[Industry]], Mean_PB_S, 3, FALSE))</f>
        <v>-1.9325884596364498</v>
      </c>
      <c r="Q46" s="1">
        <f>(Main_S[[#This Row],[ROE]]-VLOOKUP(Main_S[[#This Row],[Industry]], Mean_ROE_S, 2, FALSE))/(VLOOKUP(Main_S[[#This Row],[Industry]], Mean_ROE_S, 3, FALSE))</f>
        <v>-0.86771638840127663</v>
      </c>
      <c r="R46" s="1">
        <f>(Main_S[[#This Row],[ROA]]-VLOOKUP(Main_S[[#This Row],[Industry]], Mean_ROA_S, 2, FALSE))/(VLOOKUP(Main_S[[#This Row],[Industry]], Mean_ROA_S, 3, FALSE))</f>
        <v>1.0579826030477839</v>
      </c>
      <c r="S46" s="1">
        <f>(Main_S[[#This Row],[A/E]]-VLOOKUP(Main_S[[#This Row],[Industry]], Mean_AE_S, 2, FALSE))/(VLOOKUP(Main_S[[#This Row],[Industry]], Mean_AE_S, 3, FALSE))</f>
        <v>-8.6203481934548378</v>
      </c>
      <c r="T46" s="1">
        <f>(Main_S[[#This Row],[P/E]]-VLOOKUP(Main_S[[#This Row],[Industry]], Mean_PE_S, 2, FALSE))/(VLOOKUP(Main_S[[#This Row],[Industry]], Mean_PE_S, 3, FALSE))</f>
        <v>0.66973308829466349</v>
      </c>
      <c r="U4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4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7" spans="1:26" x14ac:dyDescent="0.25">
      <c r="A47" t="s">
        <v>149</v>
      </c>
      <c r="B47" t="s">
        <v>273</v>
      </c>
      <c r="C47" s="2">
        <v>267</v>
      </c>
      <c r="D47">
        <f>RTD("tos.rtd", , "LAST", Main_S[[#This Row],[Symbol]])</f>
        <v>34.840000000000003</v>
      </c>
      <c r="E47">
        <v>0.15</v>
      </c>
      <c r="F47">
        <v>96.34</v>
      </c>
      <c r="G47">
        <v>0.68</v>
      </c>
      <c r="H47" s="1">
        <f>IF(ISNUMBER(Main_S[[#This Row],[Free CF]]),IF(Main_S[[#This Row],[Free CF]]&lt;&gt;0,Main_S[[#This Row],[Current Price]]/Main_S[[#This Row],[Free CF]],""),"")</f>
        <v>232.26666666666671</v>
      </c>
      <c r="I47" s="1">
        <f>IF(ISNUMBER(Main_S[[#This Row],[BVPS]]),IF(Main_S[[#This Row],[BVPS]]&lt;&gt;0,Main_S[[#This Row],[Current Price]]/Main_S[[#This Row],[BVPS]],""),"")</f>
        <v>0.36163587294996891</v>
      </c>
      <c r="J47">
        <v>0.78</v>
      </c>
      <c r="K47">
        <v>-0.3</v>
      </c>
      <c r="L47">
        <v>1.29</v>
      </c>
      <c r="M47" s="1">
        <f>IF(ISNUMBER(Main_S[[#This Row],[EPS]]),IF(Main_S[[#This Row],[EPS]]&lt;&gt;0,Main_S[[#This Row],[Current Price]]/Main_S[[#This Row],[EPS]],""),"")</f>
        <v>51.235294117647058</v>
      </c>
      <c r="N4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7" s="1">
        <f>(Main_S[[#This Row],[P/FCF]]-VLOOKUP(Main_S[[#This Row],[Industry]], Mean_PFCF_S, 2, FALSE))/(VLOOKUP(Main_S[[#This Row],[Industry]], Mean_PFCF_S, 3, FALSE))</f>
        <v>5.2436348103676931</v>
      </c>
      <c r="P47" s="1">
        <f>(Main_S[[#This Row],[P/B]]-VLOOKUP(Main_S[[#This Row],[Industry]], Mean_PB_S, 2, FALSE))/(VLOOKUP(Main_S[[#This Row],[Industry]], Mean_PB_S, 3, FALSE))</f>
        <v>-0.5573016835916168</v>
      </c>
      <c r="Q47" s="1">
        <f>(Main_S[[#This Row],[ROE]]-VLOOKUP(Main_S[[#This Row],[Industry]], Mean_ROE_S, 2, FALSE))/(VLOOKUP(Main_S[[#This Row],[Industry]], Mean_ROE_S, 3, FALSE))</f>
        <v>0.55893331865123064</v>
      </c>
      <c r="R47" s="1">
        <f>(Main_S[[#This Row],[ROA]]-VLOOKUP(Main_S[[#This Row],[Industry]], Mean_ROA_S, 2, FALSE))/(VLOOKUP(Main_S[[#This Row],[Industry]], Mean_ROA_S, 3, FALSE))</f>
        <v>-0.15208396713079572</v>
      </c>
      <c r="S47" s="1">
        <f>(Main_S[[#This Row],[A/E]]-VLOOKUP(Main_S[[#This Row],[Industry]], Mean_AE_S, 2, FALSE))/(VLOOKUP(Main_S[[#This Row],[Industry]], Mean_AE_S, 3, FALSE))</f>
        <v>-1.1365702756009586</v>
      </c>
      <c r="T47" s="1">
        <f>(Main_S[[#This Row],[P/E]]-VLOOKUP(Main_S[[#This Row],[Industry]], Mean_PE_S, 2, FALSE))/(VLOOKUP(Main_S[[#This Row],[Industry]], Mean_PE_S, 3, FALSE))</f>
        <v>1.4159300053021857</v>
      </c>
      <c r="U4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4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8" spans="1:26" x14ac:dyDescent="0.25">
      <c r="A48" t="s">
        <v>149</v>
      </c>
      <c r="B48" t="s">
        <v>274</v>
      </c>
      <c r="C48" s="2">
        <v>994</v>
      </c>
      <c r="D48">
        <f>RTD("tos.rtd", , "LAST", Main_S[[#This Row],[Symbol]])</f>
        <v>20.61</v>
      </c>
      <c r="E48">
        <v>-8.16</v>
      </c>
      <c r="F48">
        <v>32.36</v>
      </c>
      <c r="G48">
        <v>3.29</v>
      </c>
      <c r="H48" s="1">
        <f>IF(ISNUMBER(Main_S[[#This Row],[Free CF]]),IF(Main_S[[#This Row],[Free CF]]&lt;&gt;0,Main_S[[#This Row],[Current Price]]/Main_S[[#This Row],[Free CF]],""),"")</f>
        <v>-2.5257352941176467</v>
      </c>
      <c r="I48" s="1">
        <f>IF(ISNUMBER(Main_S[[#This Row],[BVPS]]),IF(Main_S[[#This Row],[BVPS]]&lt;&gt;0,Main_S[[#This Row],[Current Price]]/Main_S[[#This Row],[BVPS]],""),"")</f>
        <v>0.63689740420271945</v>
      </c>
      <c r="J48">
        <v>10.79</v>
      </c>
      <c r="K48">
        <v>4.47</v>
      </c>
      <c r="L48">
        <v>1.85</v>
      </c>
      <c r="M48" s="1">
        <f>IF(ISNUMBER(Main_S[[#This Row],[EPS]]),IF(Main_S[[#This Row],[EPS]]&lt;&gt;0,Main_S[[#This Row],[Current Price]]/Main_S[[#This Row],[EPS]],""),"")</f>
        <v>6.264437689969605</v>
      </c>
      <c r="N4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8" s="1">
        <f>(Main_S[[#This Row],[P/FCF]]-VLOOKUP(Main_S[[#This Row],[Industry]], Mean_PFCF_S, 2, FALSE))/(VLOOKUP(Main_S[[#This Row],[Industry]], Mean_PFCF_S, 3, FALSE))</f>
        <v>-0.77737115874091889</v>
      </c>
      <c r="P48" s="1">
        <f>(Main_S[[#This Row],[P/B]]-VLOOKUP(Main_S[[#This Row],[Industry]], Mean_PB_S, 2, FALSE))/(VLOOKUP(Main_S[[#This Row],[Industry]], Mean_PB_S, 3, FALSE))</f>
        <v>-0.47977728269680603</v>
      </c>
      <c r="Q48" s="1">
        <f>(Main_S[[#This Row],[ROE]]-VLOOKUP(Main_S[[#This Row],[Industry]], Mean_ROE_S, 2, FALSE))/(VLOOKUP(Main_S[[#This Row],[Industry]], Mean_ROE_S, 3, FALSE))</f>
        <v>1.1236135704343702</v>
      </c>
      <c r="R48" s="1">
        <f>(Main_S[[#This Row],[ROA]]-VLOOKUP(Main_S[[#This Row],[Industry]], Mean_ROA_S, 2, FALSE))/(VLOOKUP(Main_S[[#This Row],[Industry]], Mean_ROA_S, 3, FALSE))</f>
        <v>1.108181871242965</v>
      </c>
      <c r="S48" s="1">
        <f>(Main_S[[#This Row],[A/E]]-VLOOKUP(Main_S[[#This Row],[Industry]], Mean_AE_S, 2, FALSE))/(VLOOKUP(Main_S[[#This Row],[Industry]], Mean_AE_S, 3, FALSE))</f>
        <v>-0.58945335210250271</v>
      </c>
      <c r="T48" s="1">
        <f>(Main_S[[#This Row],[P/E]]-VLOOKUP(Main_S[[#This Row],[Industry]], Mean_PE_S, 2, FALSE))/(VLOOKUP(Main_S[[#This Row],[Industry]], Mean_PE_S, 3, FALSE))</f>
        <v>0.40916744285596657</v>
      </c>
      <c r="U4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9" spans="1:26" x14ac:dyDescent="0.25">
      <c r="A49" t="s">
        <v>149</v>
      </c>
      <c r="B49" t="s">
        <v>275</v>
      </c>
      <c r="C49" s="2">
        <v>1134</v>
      </c>
      <c r="D49">
        <f>RTD("tos.rtd", , "LAST", Main_S[[#This Row],[Symbol]])</f>
        <v>7.95</v>
      </c>
      <c r="E49">
        <v>1.19</v>
      </c>
      <c r="F49">
        <v>1.33</v>
      </c>
      <c r="G49">
        <v>-0.11</v>
      </c>
      <c r="H49" s="1">
        <f>IF(ISNUMBER(Main_S[[#This Row],[Free CF]]),IF(Main_S[[#This Row],[Free CF]]&lt;&gt;0,Main_S[[#This Row],[Current Price]]/Main_S[[#This Row],[Free CF]],""),"")</f>
        <v>6.6806722689075633</v>
      </c>
      <c r="I49" s="1">
        <f>IF(ISNUMBER(Main_S[[#This Row],[BVPS]]),IF(Main_S[[#This Row],[BVPS]]&lt;&gt;0,Main_S[[#This Row],[Current Price]]/Main_S[[#This Row],[BVPS]],""),"")</f>
        <v>5.977443609022556</v>
      </c>
      <c r="J49">
        <v>-7.48</v>
      </c>
      <c r="K49">
        <v>3.21</v>
      </c>
      <c r="L49">
        <v>1.91</v>
      </c>
      <c r="M49" s="1">
        <f>IF(ISNUMBER(Main_S[[#This Row],[EPS]]),IF(Main_S[[#This Row],[EPS]]&lt;&gt;0,Main_S[[#This Row],[Current Price]]/Main_S[[#This Row],[EPS]],""),"")</f>
        <v>-72.27272727272728</v>
      </c>
      <c r="N4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9" s="1">
        <f>(Main_S[[#This Row],[P/FCF]]-VLOOKUP(Main_S[[#This Row],[Industry]], Mean_PFCF_S, 2, FALSE))/(VLOOKUP(Main_S[[#This Row],[Industry]], Mean_PFCF_S, 3, FALSE))</f>
        <v>-0.54128245046883494</v>
      </c>
      <c r="P49" s="1">
        <f>(Main_S[[#This Row],[P/B]]-VLOOKUP(Main_S[[#This Row],[Industry]], Mean_PB_S, 2, FALSE))/(VLOOKUP(Main_S[[#This Row],[Industry]], Mean_PB_S, 3, FALSE))</f>
        <v>1.0243291687039506</v>
      </c>
      <c r="Q49" s="1">
        <f>(Main_S[[#This Row],[ROE]]-VLOOKUP(Main_S[[#This Row],[Industry]], Mean_ROE_S, 2, FALSE))/(VLOOKUP(Main_S[[#This Row],[Industry]], Mean_ROE_S, 3, FALSE))</f>
        <v>9.2973390606402292E-2</v>
      </c>
      <c r="R49" s="1">
        <f>(Main_S[[#This Row],[ROA]]-VLOOKUP(Main_S[[#This Row],[Industry]], Mean_ROA_S, 2, FALSE))/(VLOOKUP(Main_S[[#This Row],[Industry]], Mean_ROA_S, 3, FALSE))</f>
        <v>0.77528146110649987</v>
      </c>
      <c r="S49" s="1">
        <f>(Main_S[[#This Row],[A/E]]-VLOOKUP(Main_S[[#This Row],[Industry]], Mean_AE_S, 2, FALSE))/(VLOOKUP(Main_S[[#This Row],[Industry]], Mean_AE_S, 3, FALSE))</f>
        <v>-0.53083368172766832</v>
      </c>
      <c r="T49" s="1">
        <f>(Main_S[[#This Row],[P/E]]-VLOOKUP(Main_S[[#This Row],[Industry]], Mean_PE_S, 2, FALSE))/(VLOOKUP(Main_S[[#This Row],[Industry]], Mean_PE_S, 3, FALSE))</f>
        <v>-1.3490440684650258</v>
      </c>
      <c r="U4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0" spans="1:26" x14ac:dyDescent="0.25">
      <c r="A50" t="s">
        <v>149</v>
      </c>
      <c r="B50" t="s">
        <v>276</v>
      </c>
      <c r="C50" s="2">
        <v>415</v>
      </c>
      <c r="D50">
        <f>RTD("tos.rtd", , "LAST", Main_S[[#This Row],[Symbol]])</f>
        <v>3.81</v>
      </c>
      <c r="E50">
        <v>0.37</v>
      </c>
      <c r="F50">
        <v>13.35</v>
      </c>
      <c r="G50">
        <v>-0.94</v>
      </c>
      <c r="H50" s="1">
        <f>IF(ISNUMBER(Main_S[[#This Row],[Free CF]]),IF(Main_S[[#This Row],[Free CF]]&lt;&gt;0,Main_S[[#This Row],[Current Price]]/Main_S[[#This Row],[Free CF]],""),"")</f>
        <v>10.297297297297298</v>
      </c>
      <c r="I50" s="1">
        <f>IF(ISNUMBER(Main_S[[#This Row],[BVPS]]),IF(Main_S[[#This Row],[BVPS]]&lt;&gt;0,Main_S[[#This Row],[Current Price]]/Main_S[[#This Row],[BVPS]],""),"")</f>
        <v>0.28539325842696628</v>
      </c>
      <c r="J50">
        <v>-6.76</v>
      </c>
      <c r="K50">
        <v>0.93</v>
      </c>
      <c r="L50">
        <v>3.74</v>
      </c>
      <c r="M50" s="1">
        <f>IF(ISNUMBER(Main_S[[#This Row],[EPS]]),IF(Main_S[[#This Row],[EPS]]&lt;&gt;0,Main_S[[#This Row],[Current Price]]/Main_S[[#This Row],[EPS]],""),"")</f>
        <v>-4.0531914893617023</v>
      </c>
      <c r="N5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0" s="1">
        <f>(Main_S[[#This Row],[P/FCF]]-VLOOKUP(Main_S[[#This Row],[Industry]], Mean_PFCF_S, 2, FALSE))/(VLOOKUP(Main_S[[#This Row],[Industry]], Mean_PFCF_S, 3, FALSE))</f>
        <v>-0.44853787823348962</v>
      </c>
      <c r="P50" s="1">
        <f>(Main_S[[#This Row],[P/B]]-VLOOKUP(Main_S[[#This Row],[Industry]], Mean_PB_S, 2, FALSE))/(VLOOKUP(Main_S[[#This Row],[Industry]], Mean_PB_S, 3, FALSE))</f>
        <v>-0.57877458242586222</v>
      </c>
      <c r="Q50" s="1">
        <f>(Main_S[[#This Row],[ROE]]-VLOOKUP(Main_S[[#This Row],[Industry]], Mean_ROE_S, 2, FALSE))/(VLOOKUP(Main_S[[#This Row],[Industry]], Mean_ROE_S, 3, FALSE))</f>
        <v>0.13358975237302176</v>
      </c>
      <c r="R50" s="1">
        <f>(Main_S[[#This Row],[ROA]]-VLOOKUP(Main_S[[#This Row],[Industry]], Mean_ROA_S, 2, FALSE))/(VLOOKUP(Main_S[[#This Row],[Industry]], Mean_ROA_S, 3, FALSE))</f>
        <v>0.17289024276432499</v>
      </c>
      <c r="S50" s="1">
        <f>(Main_S[[#This Row],[A/E]]-VLOOKUP(Main_S[[#This Row],[Industry]], Mean_AE_S, 2, FALSE))/(VLOOKUP(Main_S[[#This Row],[Industry]], Mean_AE_S, 3, FALSE))</f>
        <v>1.2570662647047859</v>
      </c>
      <c r="T50" s="1">
        <f>(Main_S[[#This Row],[P/E]]-VLOOKUP(Main_S[[#This Row],[Industry]], Mean_PE_S, 2, FALSE))/(VLOOKUP(Main_S[[#This Row],[Industry]], Mean_PE_S, 3, FALSE))</f>
        <v>0.17818667851009326</v>
      </c>
      <c r="U5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1" spans="1:26" x14ac:dyDescent="0.25">
      <c r="A51" t="s">
        <v>149</v>
      </c>
      <c r="B51" t="s">
        <v>277</v>
      </c>
      <c r="C51" s="2">
        <v>386</v>
      </c>
      <c r="D51">
        <f>RTD("tos.rtd", , "LAST", Main_S[[#This Row],[Symbol]])</f>
        <v>20.83</v>
      </c>
      <c r="E51">
        <v>2.6</v>
      </c>
      <c r="F51">
        <v>7.08</v>
      </c>
      <c r="G51">
        <v>0.85</v>
      </c>
      <c r="H51" s="1">
        <f>IF(ISNUMBER(Main_S[[#This Row],[Free CF]]),IF(Main_S[[#This Row],[Free CF]]&lt;&gt;0,Main_S[[#This Row],[Current Price]]/Main_S[[#This Row],[Free CF]],""),"")</f>
        <v>8.0115384615384606</v>
      </c>
      <c r="I51" s="1">
        <f>IF(ISNUMBER(Main_S[[#This Row],[BVPS]]),IF(Main_S[[#This Row],[BVPS]]&lt;&gt;0,Main_S[[#This Row],[Current Price]]/Main_S[[#This Row],[BVPS]],""),"")</f>
        <v>2.9420903954802258</v>
      </c>
      <c r="J51">
        <v>11.6</v>
      </c>
      <c r="K51">
        <v>6.36</v>
      </c>
      <c r="L51">
        <v>2.88</v>
      </c>
      <c r="M51" s="1">
        <f>IF(ISNUMBER(Main_S[[#This Row],[EPS]]),IF(Main_S[[#This Row],[EPS]]&lt;&gt;0,Main_S[[#This Row],[Current Price]]/Main_S[[#This Row],[EPS]],""),"")</f>
        <v>24.505882352941175</v>
      </c>
      <c r="N5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1" s="1">
        <f>(Main_S[[#This Row],[P/FCF]]-VLOOKUP(Main_S[[#This Row],[Industry]], Mean_PFCF_S, 2, FALSE))/(VLOOKUP(Main_S[[#This Row],[Industry]], Mean_PFCF_S, 3, FALSE))</f>
        <v>-0.50715377670002249</v>
      </c>
      <c r="P51" s="1">
        <f>(Main_S[[#This Row],[P/B]]-VLOOKUP(Main_S[[#This Row],[Industry]], Mean_PB_S, 2, FALSE))/(VLOOKUP(Main_S[[#This Row],[Industry]], Mean_PB_S, 3, FALSE))</f>
        <v>0.16945512105528795</v>
      </c>
      <c r="Q51" s="1">
        <f>(Main_S[[#This Row],[ROE]]-VLOOKUP(Main_S[[#This Row],[Industry]], Mean_ROE_S, 2, FALSE))/(VLOOKUP(Main_S[[#This Row],[Industry]], Mean_ROE_S, 3, FALSE))</f>
        <v>1.169306977421817</v>
      </c>
      <c r="R51" s="1">
        <f>(Main_S[[#This Row],[ROA]]-VLOOKUP(Main_S[[#This Row],[Industry]], Mean_ROA_S, 2, FALSE))/(VLOOKUP(Main_S[[#This Row],[Industry]], Mean_ROA_S, 3, FALSE))</f>
        <v>1.6075324864476628</v>
      </c>
      <c r="S51" s="1">
        <f>(Main_S[[#This Row],[A/E]]-VLOOKUP(Main_S[[#This Row],[Industry]], Mean_AE_S, 2, FALSE))/(VLOOKUP(Main_S[[#This Row],[Industry]], Mean_AE_S, 3, FALSE))</f>
        <v>0.41685098933215692</v>
      </c>
      <c r="T51" s="1">
        <f>(Main_S[[#This Row],[P/E]]-VLOOKUP(Main_S[[#This Row],[Industry]], Mean_PE_S, 2, FALSE))/(VLOOKUP(Main_S[[#This Row],[Industry]], Mean_PE_S, 3, FALSE))</f>
        <v>0.81753866436358025</v>
      </c>
      <c r="U5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2" spans="1:26" x14ac:dyDescent="0.25">
      <c r="A52" t="s">
        <v>149</v>
      </c>
      <c r="B52" t="s">
        <v>278</v>
      </c>
      <c r="C52" s="2">
        <v>1181</v>
      </c>
      <c r="D52">
        <f>RTD("tos.rtd", , "LAST", Main_S[[#This Row],[Symbol]])</f>
        <v>30.03</v>
      </c>
      <c r="E52">
        <v>0.36</v>
      </c>
      <c r="F52">
        <v>16.239999999999998</v>
      </c>
      <c r="G52">
        <v>-0.32</v>
      </c>
      <c r="H52" s="1">
        <f>IF(ISNUMBER(Main_S[[#This Row],[Free CF]]),IF(Main_S[[#This Row],[Free CF]]&lt;&gt;0,Main_S[[#This Row],[Current Price]]/Main_S[[#This Row],[Free CF]],""),"")</f>
        <v>83.416666666666671</v>
      </c>
      <c r="I52" s="1">
        <f>IF(ISNUMBER(Main_S[[#This Row],[BVPS]]),IF(Main_S[[#This Row],[BVPS]]&lt;&gt;0,Main_S[[#This Row],[Current Price]]/Main_S[[#This Row],[BVPS]],""),"")</f>
        <v>1.8491379310344831</v>
      </c>
      <c r="J52">
        <v>-1.94</v>
      </c>
      <c r="K52">
        <v>-2.35</v>
      </c>
      <c r="L52">
        <v>1.38</v>
      </c>
      <c r="M52" s="1">
        <f>IF(ISNUMBER(Main_S[[#This Row],[EPS]]),IF(Main_S[[#This Row],[EPS]]&lt;&gt;0,Main_S[[#This Row],[Current Price]]/Main_S[[#This Row],[EPS]],""),"")</f>
        <v>-93.84375</v>
      </c>
      <c r="N5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2" s="1">
        <f>(Main_S[[#This Row],[P/FCF]]-VLOOKUP(Main_S[[#This Row],[Industry]], Mean_PFCF_S, 2, FALSE))/(VLOOKUP(Main_S[[#This Row],[Industry]], Mean_PFCF_S, 3, FALSE))</f>
        <v>1.4265319952114035</v>
      </c>
      <c r="P52" s="1">
        <f>(Main_S[[#This Row],[P/B]]-VLOOKUP(Main_S[[#This Row],[Industry]], Mean_PB_S, 2, FALSE))/(VLOOKUP(Main_S[[#This Row],[Industry]], Mean_PB_S, 3, FALSE))</f>
        <v>-0.13836299151221773</v>
      </c>
      <c r="Q52" s="1">
        <f>(Main_S[[#This Row],[ROE]]-VLOOKUP(Main_S[[#This Row],[Industry]], Mean_ROE_S, 2, FALSE))/(VLOOKUP(Main_S[[#This Row],[Industry]], Mean_ROE_S, 3, FALSE))</f>
        <v>0.40549372975511294</v>
      </c>
      <c r="R52" s="1">
        <f>(Main_S[[#This Row],[ROA]]-VLOOKUP(Main_S[[#This Row],[Industry]], Mean_ROA_S, 2, FALSE))/(VLOOKUP(Main_S[[#This Row],[Industry]], Mean_ROA_S, 3, FALSE))</f>
        <v>-0.69370765028933035</v>
      </c>
      <c r="S52" s="1">
        <f>(Main_S[[#This Row],[A/E]]-VLOOKUP(Main_S[[#This Row],[Industry]], Mean_AE_S, 2, FALSE))/(VLOOKUP(Main_S[[#This Row],[Industry]], Mean_AE_S, 3, FALSE))</f>
        <v>-1.048640770038707</v>
      </c>
      <c r="T52" s="1">
        <f>(Main_S[[#This Row],[P/E]]-VLOOKUP(Main_S[[#This Row],[Industry]], Mean_PE_S, 2, FALSE))/(VLOOKUP(Main_S[[#This Row],[Industry]], Mean_PE_S, 3, FALSE))</f>
        <v>-1.8319545540685196</v>
      </c>
      <c r="U5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3" spans="1:26" x14ac:dyDescent="0.25">
      <c r="A53" t="s">
        <v>149</v>
      </c>
      <c r="B53" t="s">
        <v>279</v>
      </c>
      <c r="C53" s="2">
        <v>636</v>
      </c>
      <c r="D53">
        <f>RTD("tos.rtd", , "LAST", Main_S[[#This Row],[Symbol]])</f>
        <v>0.71109999999999995</v>
      </c>
      <c r="E53">
        <v>-0.89</v>
      </c>
      <c r="F53">
        <v>0.99</v>
      </c>
      <c r="G53">
        <v>-0.56000000000000005</v>
      </c>
      <c r="H53" s="1">
        <f>IF(ISNUMBER(Main_S[[#This Row],[Free CF]]),IF(Main_S[[#This Row],[Free CF]]&lt;&gt;0,Main_S[[#This Row],[Current Price]]/Main_S[[#This Row],[Free CF]],""),"")</f>
        <v>-0.79898876404494379</v>
      </c>
      <c r="I53" s="1">
        <f>IF(ISNUMBER(Main_S[[#This Row],[BVPS]]),IF(Main_S[[#This Row],[BVPS]]&lt;&gt;0,Main_S[[#This Row],[Current Price]]/Main_S[[#This Row],[BVPS]],""),"")</f>
        <v>0.71828282828282819</v>
      </c>
      <c r="J53">
        <v>-46.67</v>
      </c>
      <c r="K53">
        <v>-5.53</v>
      </c>
      <c r="L53">
        <v>4.38</v>
      </c>
      <c r="M53" s="1">
        <f>IF(ISNUMBER(Main_S[[#This Row],[EPS]]),IF(Main_S[[#This Row],[EPS]]&lt;&gt;0,Main_S[[#This Row],[Current Price]]/Main_S[[#This Row],[EPS]],""),"")</f>
        <v>-1.2698214285714284</v>
      </c>
      <c r="N5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3" s="1">
        <f>(Main_S[[#This Row],[P/FCF]]-VLOOKUP(Main_S[[#This Row],[Industry]], Mean_PFCF_S, 2, FALSE))/(VLOOKUP(Main_S[[#This Row],[Industry]], Mean_PFCF_S, 3, FALSE))</f>
        <v>-0.73309054711174937</v>
      </c>
      <c r="P53" s="1">
        <f>(Main_S[[#This Row],[P/B]]-VLOOKUP(Main_S[[#This Row],[Industry]], Mean_PB_S, 2, FALSE))/(VLOOKUP(Main_S[[#This Row],[Industry]], Mean_PB_S, 3, FALSE))</f>
        <v>-0.45685596777617093</v>
      </c>
      <c r="Q53" s="1">
        <f>(Main_S[[#This Row],[ROE]]-VLOOKUP(Main_S[[#This Row],[Industry]], Mean_ROE_S, 2, FALSE))/(VLOOKUP(Main_S[[#This Row],[Industry]], Mean_ROE_S, 3, FALSE))</f>
        <v>-2.1177977449961194</v>
      </c>
      <c r="R53" s="1">
        <f>(Main_S[[#This Row],[ROA]]-VLOOKUP(Main_S[[#This Row],[Industry]], Mean_ROA_S, 2, FALSE))/(VLOOKUP(Main_S[[#This Row],[Industry]], Mean_ROA_S, 3, FALSE))</f>
        <v>-1.5338848758718375</v>
      </c>
      <c r="S53" s="1">
        <f>(Main_S[[#This Row],[A/E]]-VLOOKUP(Main_S[[#This Row],[Industry]], Mean_AE_S, 2, FALSE))/(VLOOKUP(Main_S[[#This Row],[Industry]], Mean_AE_S, 3, FALSE))</f>
        <v>1.8823427487030207</v>
      </c>
      <c r="T53" s="1">
        <f>(Main_S[[#This Row],[P/E]]-VLOOKUP(Main_S[[#This Row],[Industry]], Mean_PE_S, 2, FALSE))/(VLOOKUP(Main_S[[#This Row],[Industry]], Mean_PE_S, 3, FALSE))</f>
        <v>0.2404979840362359</v>
      </c>
      <c r="U5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4" spans="1:26" x14ac:dyDescent="0.25">
      <c r="A54" t="s">
        <v>149</v>
      </c>
      <c r="B54" t="s">
        <v>280</v>
      </c>
      <c r="C54" s="2">
        <v>1148</v>
      </c>
      <c r="D54">
        <f>RTD("tos.rtd", , "LAST", Main_S[[#This Row],[Symbol]])</f>
        <v>9.84</v>
      </c>
      <c r="E54">
        <v>-0.36</v>
      </c>
      <c r="F54">
        <v>-0.65</v>
      </c>
      <c r="G54">
        <v>-1.36</v>
      </c>
      <c r="H54" s="1">
        <f>IF(ISNUMBER(Main_S[[#This Row],[Free CF]]),IF(Main_S[[#This Row],[Free CF]]&lt;&gt;0,Main_S[[#This Row],[Current Price]]/Main_S[[#This Row],[Free CF]],""),"")</f>
        <v>-27.333333333333336</v>
      </c>
      <c r="I54" s="1">
        <f>IF(ISNUMBER(Main_S[[#This Row],[BVPS]]),IF(Main_S[[#This Row],[BVPS]]&lt;&gt;0,Main_S[[#This Row],[Current Price]]/Main_S[[#This Row],[BVPS]],""),"")</f>
        <v>-15.138461538461538</v>
      </c>
      <c r="J54">
        <v>824.81</v>
      </c>
      <c r="K54">
        <v>-8.6300000000000008</v>
      </c>
      <c r="L54">
        <v>-12.25</v>
      </c>
      <c r="M54" s="1">
        <f>IF(ISNUMBER(Main_S[[#This Row],[EPS]]),IF(Main_S[[#This Row],[EPS]]&lt;&gt;0,Main_S[[#This Row],[Current Price]]/Main_S[[#This Row],[EPS]],""),"")</f>
        <v>-7.235294117647058</v>
      </c>
      <c r="N5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4" s="1">
        <f>(Main_S[[#This Row],[P/FCF]]-VLOOKUP(Main_S[[#This Row],[Industry]], Mean_PFCF_S, 2, FALSE))/(VLOOKUP(Main_S[[#This Row],[Industry]], Mean_PFCF_S, 3, FALSE))</f>
        <v>-1.413536105417142</v>
      </c>
      <c r="P54" s="1">
        <f>(Main_S[[#This Row],[P/B]]-VLOOKUP(Main_S[[#This Row],[Industry]], Mean_PB_S, 2, FALSE))/(VLOOKUP(Main_S[[#This Row],[Industry]], Mean_PB_S, 3, FALSE))</f>
        <v>-4.9227346598672534</v>
      </c>
      <c r="Q54" s="1">
        <f>(Main_S[[#This Row],[ROE]]-VLOOKUP(Main_S[[#This Row],[Industry]], Mean_ROE_S, 2, FALSE))/(VLOOKUP(Main_S[[#This Row],[Industry]], Mean_ROE_S, 3, FALSE))</f>
        <v>47.043795244411513</v>
      </c>
      <c r="R54" s="1">
        <f>(Main_S[[#This Row],[ROA]]-VLOOKUP(Main_S[[#This Row],[Industry]], Mean_ROA_S, 2, FALSE))/(VLOOKUP(Main_S[[#This Row],[Industry]], Mean_ROA_S, 3, FALSE))</f>
        <v>-2.3529255674774263</v>
      </c>
      <c r="S54" s="1">
        <f>(Main_S[[#This Row],[A/E]]-VLOOKUP(Main_S[[#This Row],[Industry]], Mean_AE_S, 2, FALSE))/(VLOOKUP(Main_S[[#This Row],[Industry]], Mean_AE_S, 3, FALSE))</f>
        <v>-14.365075890188622</v>
      </c>
      <c r="T54" s="1">
        <f>(Main_S[[#This Row],[P/E]]-VLOOKUP(Main_S[[#This Row],[Industry]], Mean_PE_S, 2, FALSE))/(VLOOKUP(Main_S[[#This Row],[Industry]], Mean_PE_S, 3, FALSE))</f>
        <v>0.10694894699898655</v>
      </c>
      <c r="U5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5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5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5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5" spans="1:26" x14ac:dyDescent="0.25">
      <c r="A55" t="s">
        <v>149</v>
      </c>
      <c r="B55" t="s">
        <v>281</v>
      </c>
      <c r="C55" s="2">
        <v>916</v>
      </c>
      <c r="D55">
        <f>RTD("tos.rtd", , "LAST", Main_S[[#This Row],[Symbol]])</f>
        <v>4.3899999999999997</v>
      </c>
      <c r="E55">
        <v>0.25</v>
      </c>
      <c r="F55">
        <v>0.16</v>
      </c>
      <c r="G55">
        <v>-0.14000000000000001</v>
      </c>
      <c r="H55" s="1">
        <f>IF(ISNUMBER(Main_S[[#This Row],[Free CF]]),IF(Main_S[[#This Row],[Free CF]]&lt;&gt;0,Main_S[[#This Row],[Current Price]]/Main_S[[#This Row],[Free CF]],""),"")</f>
        <v>17.559999999999999</v>
      </c>
      <c r="I55" s="1">
        <f>IF(ISNUMBER(Main_S[[#This Row],[BVPS]]),IF(Main_S[[#This Row],[BVPS]]&lt;&gt;0,Main_S[[#This Row],[Current Price]]/Main_S[[#This Row],[BVPS]],""),"")</f>
        <v>27.437499999999996</v>
      </c>
      <c r="J55">
        <v>-76.42</v>
      </c>
      <c r="K55">
        <v>-13.21</v>
      </c>
      <c r="L55">
        <v>2.69</v>
      </c>
      <c r="M55" s="1">
        <f>IF(ISNUMBER(Main_S[[#This Row],[EPS]]),IF(Main_S[[#This Row],[EPS]]&lt;&gt;0,Main_S[[#This Row],[Current Price]]/Main_S[[#This Row],[EPS]],""),"")</f>
        <v>-31.357142857142851</v>
      </c>
      <c r="N5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5" s="1">
        <f>(Main_S[[#This Row],[P/FCF]]-VLOOKUP(Main_S[[#This Row],[Industry]], Mean_PFCF_S, 2, FALSE))/(VLOOKUP(Main_S[[#This Row],[Industry]], Mean_PFCF_S, 3, FALSE))</f>
        <v>-0.26229345141367327</v>
      </c>
      <c r="P55" s="1">
        <f>(Main_S[[#This Row],[P/B]]-VLOOKUP(Main_S[[#This Row],[Industry]], Mean_PB_S, 2, FALSE))/(VLOOKUP(Main_S[[#This Row],[Industry]], Mean_PB_S, 3, FALSE))</f>
        <v>7.0683194324642677</v>
      </c>
      <c r="Q55" s="1">
        <f>(Main_S[[#This Row],[ROE]]-VLOOKUP(Main_S[[#This Row],[Industry]], Mean_ROE_S, 2, FALSE))/(VLOOKUP(Main_S[[#This Row],[Industry]], Mean_ROE_S, 3, FALSE))</f>
        <v>-3.796043248547408</v>
      </c>
      <c r="R55" s="1">
        <f>(Main_S[[#This Row],[ROA]]-VLOOKUP(Main_S[[#This Row],[Industry]], Mean_ROA_S, 2, FALSE))/(VLOOKUP(Main_S[[#This Row],[Industry]], Mean_ROA_S, 3, FALSE))</f>
        <v>-3.5629921376560061</v>
      </c>
      <c r="S55" s="1">
        <f>(Main_S[[#This Row],[A/E]]-VLOOKUP(Main_S[[#This Row],[Industry]], Mean_AE_S, 2, FALSE))/(VLOOKUP(Main_S[[#This Row],[Industry]], Mean_AE_S, 3, FALSE))</f>
        <v>0.23122203314518086</v>
      </c>
      <c r="T55" s="1">
        <f>(Main_S[[#This Row],[P/E]]-VLOOKUP(Main_S[[#This Row],[Industry]], Mean_PE_S, 2, FALSE))/(VLOOKUP(Main_S[[#This Row],[Industry]], Mean_PE_S, 3, FALSE))</f>
        <v>-0.43306688051744524</v>
      </c>
      <c r="U5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5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5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5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6" spans="1:26" x14ac:dyDescent="0.25">
      <c r="A56" t="s">
        <v>120</v>
      </c>
      <c r="B56" t="s">
        <v>245</v>
      </c>
      <c r="C56" s="2">
        <v>1150</v>
      </c>
      <c r="D56">
        <f>RTD("tos.rtd", , "LAST", Main_S[[#This Row],[Symbol]])</f>
        <v>8</v>
      </c>
      <c r="E56">
        <v>-0.82</v>
      </c>
      <c r="F56">
        <v>0.9</v>
      </c>
      <c r="G56">
        <v>-0.75</v>
      </c>
      <c r="H56" s="1">
        <f>IF(ISNUMBER(Main_S[[#This Row],[Free CF]]),IF(Main_S[[#This Row],[Free CF]]&lt;&gt;0,Main_S[[#This Row],[Current Price]]/Main_S[[#This Row],[Free CF]],""),"")</f>
        <v>-9.7560975609756095</v>
      </c>
      <c r="I56" s="1">
        <f>IF(ISNUMBER(Main_S[[#This Row],[BVPS]]),IF(Main_S[[#This Row],[BVPS]]&lt;&gt;0,Main_S[[#This Row],[Current Price]]/Main_S[[#This Row],[BVPS]],""),"")</f>
        <v>8.8888888888888893</v>
      </c>
      <c r="J56">
        <v>-21.24</v>
      </c>
      <c r="K56">
        <v>-0.05</v>
      </c>
      <c r="L56">
        <v>15.92</v>
      </c>
      <c r="M56" s="1">
        <f>IF(ISNUMBER(Main_S[[#This Row],[EPS]]),IF(Main_S[[#This Row],[EPS]]&lt;&gt;0,Main_S[[#This Row],[Current Price]]/Main_S[[#This Row],[EPS]],""),"")</f>
        <v>-10.666666666666666</v>
      </c>
      <c r="N5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6" s="1">
        <f>(Main_S[[#This Row],[P/FCF]]-VLOOKUP(Main_S[[#This Row],[Industry]], Mean_PFCF_S, 2, FALSE))/(VLOOKUP(Main_S[[#This Row],[Industry]], Mean_PFCF_S, 3, FALSE))</f>
        <v>-3.7967867847709882</v>
      </c>
      <c r="P56" s="1">
        <f>(Main_S[[#This Row],[P/B]]-VLOOKUP(Main_S[[#This Row],[Industry]], Mean_PB_S, 2, FALSE))/(VLOOKUP(Main_S[[#This Row],[Industry]], Mean_PB_S, 3, FALSE))</f>
        <v>14.736842572927701</v>
      </c>
      <c r="Q56" s="1">
        <f>(Main_S[[#This Row],[ROE]]-VLOOKUP(Main_S[[#This Row],[Industry]], Mean_ROE_S, 2, FALSE))/(VLOOKUP(Main_S[[#This Row],[Industry]], Mean_ROE_S, 3, FALSE))</f>
        <v>-5.8350381736336123</v>
      </c>
      <c r="R56" s="1">
        <f>(Main_S[[#This Row],[ROA]]-VLOOKUP(Main_S[[#This Row],[Industry]], Mean_ROA_S, 2, FALSE))/(VLOOKUP(Main_S[[#This Row],[Industry]], Mean_ROA_S, 3, FALSE))</f>
        <v>-9.6847687367535542</v>
      </c>
      <c r="S56" s="1">
        <f>(Main_S[[#This Row],[A/E]]-VLOOKUP(Main_S[[#This Row],[Industry]], Mean_AE_S, 2, FALSE))/(VLOOKUP(Main_S[[#This Row],[Industry]], Mean_AE_S, 3, FALSE))</f>
        <v>13.002279709853589</v>
      </c>
      <c r="T56" s="1">
        <f>(Main_S[[#This Row],[P/E]]-VLOOKUP(Main_S[[#This Row],[Industry]], Mean_PE_S, 2, FALSE))/(VLOOKUP(Main_S[[#This Row],[Industry]], Mean_PE_S, 3, FALSE))</f>
        <v>1.5403772877035207</v>
      </c>
      <c r="U5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5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5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5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5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5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7" spans="1:26" x14ac:dyDescent="0.25">
      <c r="A57" t="s">
        <v>120</v>
      </c>
      <c r="B57" t="s">
        <v>246</v>
      </c>
      <c r="C57" s="2">
        <v>290</v>
      </c>
      <c r="D57">
        <f>RTD("tos.rtd", , "LAST", Main_S[[#This Row],[Symbol]])</f>
        <v>15.19</v>
      </c>
      <c r="E57">
        <v>1.36</v>
      </c>
      <c r="F57">
        <v>10.91</v>
      </c>
      <c r="G57">
        <v>-0.52</v>
      </c>
      <c r="H57" s="1">
        <f>IF(ISNUMBER(Main_S[[#This Row],[Free CF]]),IF(Main_S[[#This Row],[Free CF]]&lt;&gt;0,Main_S[[#This Row],[Current Price]]/Main_S[[#This Row],[Free CF]],""),"")</f>
        <v>11.169117647058822</v>
      </c>
      <c r="I57" s="1">
        <f>IF(ISNUMBER(Main_S[[#This Row],[BVPS]]),IF(Main_S[[#This Row],[BVPS]]&lt;&gt;0,Main_S[[#This Row],[Current Price]]/Main_S[[#This Row],[BVPS]],""),"")</f>
        <v>1.3923006416131989</v>
      </c>
      <c r="J57">
        <v>-4.45</v>
      </c>
      <c r="K57">
        <v>1.05</v>
      </c>
      <c r="L57">
        <v>3.48</v>
      </c>
      <c r="M57" s="1">
        <f>IF(ISNUMBER(Main_S[[#This Row],[EPS]]),IF(Main_S[[#This Row],[EPS]]&lt;&gt;0,Main_S[[#This Row],[Current Price]]/Main_S[[#This Row],[EPS]],""),"")</f>
        <v>-29.21153846153846</v>
      </c>
      <c r="N5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7" s="1">
        <f>(Main_S[[#This Row],[P/FCF]]-VLOOKUP(Main_S[[#This Row],[Industry]], Mean_PFCF_S, 2, FALSE))/(VLOOKUP(Main_S[[#This Row],[Industry]], Mean_PFCF_S, 3, FALSE))</f>
        <v>-0.79017959873079446</v>
      </c>
      <c r="P57" s="1">
        <f>(Main_S[[#This Row],[P/B]]-VLOOKUP(Main_S[[#This Row],[Industry]], Mean_PB_S, 2, FALSE))/(VLOOKUP(Main_S[[#This Row],[Industry]], Mean_PB_S, 3, FALSE))</f>
        <v>-0.71481032605132766</v>
      </c>
      <c r="Q57" s="1">
        <f>(Main_S[[#This Row],[ROE]]-VLOOKUP(Main_S[[#This Row],[Industry]], Mean_ROE_S, 2, FALSE))/(VLOOKUP(Main_S[[#This Row],[Industry]], Mean_ROE_S, 3, FALSE))</f>
        <v>-0.65142489663317049</v>
      </c>
      <c r="R57" s="1">
        <f>(Main_S[[#This Row],[ROA]]-VLOOKUP(Main_S[[#This Row],[Industry]], Mean_ROA_S, 2, FALSE))/(VLOOKUP(Main_S[[#This Row],[Industry]], Mean_ROA_S, 3, FALSE))</f>
        <v>1.4587936172515814</v>
      </c>
      <c r="S57" s="1">
        <f>(Main_S[[#This Row],[A/E]]-VLOOKUP(Main_S[[#This Row],[Industry]], Mean_AE_S, 2, FALSE))/(VLOOKUP(Main_S[[#This Row],[Industry]], Mean_AE_S, 3, FALSE))</f>
        <v>0.40669038417582259</v>
      </c>
      <c r="T57" s="1">
        <f>(Main_S[[#This Row],[P/E]]-VLOOKUP(Main_S[[#This Row],[Industry]], Mean_PE_S, 2, FALSE))/(VLOOKUP(Main_S[[#This Row],[Industry]], Mean_PE_S, 3, FALSE))</f>
        <v>0.23044085413652612</v>
      </c>
      <c r="U5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8" spans="1:26" x14ac:dyDescent="0.25">
      <c r="A58" t="s">
        <v>120</v>
      </c>
      <c r="B58" t="s">
        <v>247</v>
      </c>
      <c r="C58" s="2">
        <v>1015</v>
      </c>
      <c r="D58">
        <f>RTD("tos.rtd", , "LAST", Main_S[[#This Row],[Symbol]])</f>
        <v>59.9</v>
      </c>
      <c r="E58">
        <v>5.98</v>
      </c>
      <c r="F58">
        <v>38.049999999999997</v>
      </c>
      <c r="G58">
        <v>-1.1200000000000001</v>
      </c>
      <c r="H58" s="1">
        <f>IF(ISNUMBER(Main_S[[#This Row],[Free CF]]),IF(Main_S[[#This Row],[Free CF]]&lt;&gt;0,Main_S[[#This Row],[Current Price]]/Main_S[[#This Row],[Free CF]],""),"")</f>
        <v>10.016722408026755</v>
      </c>
      <c r="I58" s="1">
        <f>IF(ISNUMBER(Main_S[[#This Row],[BVPS]]),IF(Main_S[[#This Row],[BVPS]]&lt;&gt;0,Main_S[[#This Row],[Current Price]]/Main_S[[#This Row],[BVPS]],""),"")</f>
        <v>1.5742444152431012</v>
      </c>
      <c r="J58">
        <v>-1.51</v>
      </c>
      <c r="K58">
        <v>0.8</v>
      </c>
      <c r="L58">
        <v>2.97</v>
      </c>
      <c r="M58" s="1">
        <f>IF(ISNUMBER(Main_S[[#This Row],[EPS]]),IF(Main_S[[#This Row],[EPS]]&lt;&gt;0,Main_S[[#This Row],[Current Price]]/Main_S[[#This Row],[EPS]],""),"")</f>
        <v>-53.482142857142854</v>
      </c>
      <c r="N5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8" s="1">
        <f>(Main_S[[#This Row],[P/FCF]]-VLOOKUP(Main_S[[#This Row],[Industry]], Mean_PFCF_S, 2, FALSE))/(VLOOKUP(Main_S[[#This Row],[Industry]], Mean_PFCF_S, 3, FALSE))</f>
        <v>-0.95575972645640939</v>
      </c>
      <c r="P58" s="1">
        <f>(Main_S[[#This Row],[P/B]]-VLOOKUP(Main_S[[#This Row],[Industry]], Mean_PB_S, 2, FALSE))/(VLOOKUP(Main_S[[#This Row],[Industry]], Mean_PB_S, 3, FALSE))</f>
        <v>-0.33979546001792621</v>
      </c>
      <c r="Q58" s="1">
        <f>(Main_S[[#This Row],[ROE]]-VLOOKUP(Main_S[[#This Row],[Industry]], Mean_ROE_S, 2, FALSE))/(VLOOKUP(Main_S[[#This Row],[Industry]], Mean_ROE_S, 3, FALSE))</f>
        <v>0.25624770815428044</v>
      </c>
      <c r="R58" s="1">
        <f>(Main_S[[#This Row],[ROA]]-VLOOKUP(Main_S[[#This Row],[Industry]], Mean_ROA_S, 2, FALSE))/(VLOOKUP(Main_S[[#This Row],[Industry]], Mean_ROA_S, 3, FALSE))</f>
        <v>-1.0738341904768582</v>
      </c>
      <c r="S58" s="1">
        <f>(Main_S[[#This Row],[A/E]]-VLOOKUP(Main_S[[#This Row],[Industry]], Mean_AE_S, 2, FALSE))/(VLOOKUP(Main_S[[#This Row],[Industry]], Mean_AE_S, 3, FALSE))</f>
        <v>-0.10968827788974481</v>
      </c>
      <c r="T58" s="1">
        <f>(Main_S[[#This Row],[P/E]]-VLOOKUP(Main_S[[#This Row],[Industry]], Mean_PE_S, 2, FALSE))/(VLOOKUP(Main_S[[#This Row],[Industry]], Mean_PE_S, 3, FALSE))</f>
        <v>-1.4839386958631202</v>
      </c>
      <c r="U5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9" spans="1:26" x14ac:dyDescent="0.25">
      <c r="A59" t="s">
        <v>120</v>
      </c>
      <c r="B59" t="s">
        <v>248</v>
      </c>
      <c r="C59" s="2">
        <v>1398</v>
      </c>
      <c r="D59">
        <f>RTD("tos.rtd", , "LAST", Main_S[[#This Row],[Symbol]])</f>
        <v>15.91</v>
      </c>
      <c r="E59">
        <v>1.02</v>
      </c>
      <c r="F59">
        <v>12.06</v>
      </c>
      <c r="G59">
        <v>-0.16</v>
      </c>
      <c r="H59" s="1">
        <f>IF(ISNUMBER(Main_S[[#This Row],[Free CF]]),IF(Main_S[[#This Row],[Free CF]]&lt;&gt;0,Main_S[[#This Row],[Current Price]]/Main_S[[#This Row],[Free CF]],""),"")</f>
        <v>15.598039215686274</v>
      </c>
      <c r="I59" s="1">
        <f>IF(ISNUMBER(Main_S[[#This Row],[BVPS]]),IF(Main_S[[#This Row],[BVPS]]&lt;&gt;0,Main_S[[#This Row],[Current Price]]/Main_S[[#This Row],[BVPS]],""),"")</f>
        <v>1.3192371475953566</v>
      </c>
      <c r="J59">
        <v>-1.28</v>
      </c>
      <c r="K59">
        <v>0.8</v>
      </c>
      <c r="L59">
        <v>1.72</v>
      </c>
      <c r="M59" s="1">
        <f>IF(ISNUMBER(Main_S[[#This Row],[EPS]]),IF(Main_S[[#This Row],[EPS]]&lt;&gt;0,Main_S[[#This Row],[Current Price]]/Main_S[[#This Row],[EPS]],""),"")</f>
        <v>-99.4375</v>
      </c>
      <c r="N5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9" s="1">
        <f>(Main_S[[#This Row],[P/FCF]]-VLOOKUP(Main_S[[#This Row],[Industry]], Mean_PFCF_S, 2, FALSE))/(VLOOKUP(Main_S[[#This Row],[Industry]], Mean_PFCF_S, 3, FALSE))</f>
        <v>-0.15381685252922186</v>
      </c>
      <c r="P59" s="1">
        <f>(Main_S[[#This Row],[P/B]]-VLOOKUP(Main_S[[#This Row],[Industry]], Mean_PB_S, 2, FALSE))/(VLOOKUP(Main_S[[#This Row],[Industry]], Mean_PB_S, 3, FALSE))</f>
        <v>-0.86540573184283531</v>
      </c>
      <c r="Q59" s="1">
        <f>(Main_S[[#This Row],[ROE]]-VLOOKUP(Main_S[[#This Row],[Industry]], Mean_ROE_S, 2, FALSE))/(VLOOKUP(Main_S[[#This Row],[Industry]], Mean_ROE_S, 3, FALSE))</f>
        <v>0.32725610920908099</v>
      </c>
      <c r="R59" s="1">
        <f>(Main_S[[#This Row],[ROA]]-VLOOKUP(Main_S[[#This Row],[Industry]], Mean_ROA_S, 2, FALSE))/(VLOOKUP(Main_S[[#This Row],[Industry]], Mean_ROA_S, 3, FALSE))</f>
        <v>-1.0738341904768582</v>
      </c>
      <c r="S59" s="1">
        <f>(Main_S[[#This Row],[A/E]]-VLOOKUP(Main_S[[#This Row],[Industry]], Mean_AE_S, 2, FALSE))/(VLOOKUP(Main_S[[#This Row],[Industry]], Mean_AE_S, 3, FALSE))</f>
        <v>-1.375322253540646</v>
      </c>
      <c r="T59" s="1">
        <f>(Main_S[[#This Row],[P/E]]-VLOOKUP(Main_S[[#This Row],[Industry]], Mean_PE_S, 2, FALSE))/(VLOOKUP(Main_S[[#This Row],[Industry]], Mean_PE_S, 3, FALSE))</f>
        <v>-4.7300434575934487</v>
      </c>
      <c r="U5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60" spans="1:26" x14ac:dyDescent="0.25">
      <c r="A60" t="s">
        <v>120</v>
      </c>
      <c r="B60" t="s">
        <v>249</v>
      </c>
      <c r="C60" s="2">
        <v>950</v>
      </c>
      <c r="D60">
        <f>RTD("tos.rtd", , "LAST", Main_S[[#This Row],[Symbol]])</f>
        <v>36.22</v>
      </c>
      <c r="E60">
        <v>3.23</v>
      </c>
      <c r="F60">
        <v>14.86</v>
      </c>
      <c r="G60">
        <v>-1.26</v>
      </c>
      <c r="H60" s="1">
        <f>IF(ISNUMBER(Main_S[[#This Row],[Free CF]]),IF(Main_S[[#This Row],[Free CF]]&lt;&gt;0,Main_S[[#This Row],[Current Price]]/Main_S[[#This Row],[Free CF]],""),"")</f>
        <v>11.213622291021672</v>
      </c>
      <c r="I60" s="1">
        <f>IF(ISNUMBER(Main_S[[#This Row],[BVPS]]),IF(Main_S[[#This Row],[BVPS]]&lt;&gt;0,Main_S[[#This Row],[Current Price]]/Main_S[[#This Row],[BVPS]],""),"")</f>
        <v>2.4374158815612383</v>
      </c>
      <c r="J60">
        <v>-7.13</v>
      </c>
      <c r="K60">
        <v>0.9</v>
      </c>
      <c r="L60">
        <v>4.95</v>
      </c>
      <c r="M60" s="1">
        <f>IF(ISNUMBER(Main_S[[#This Row],[EPS]]),IF(Main_S[[#This Row],[EPS]]&lt;&gt;0,Main_S[[#This Row],[Current Price]]/Main_S[[#This Row],[EPS]],""),"")</f>
        <v>-28.746031746031743</v>
      </c>
      <c r="N6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0" s="1">
        <f>(Main_S[[#This Row],[P/FCF]]-VLOOKUP(Main_S[[#This Row],[Industry]], Mean_PFCF_S, 2, FALSE))/(VLOOKUP(Main_S[[#This Row],[Industry]], Mean_PFCF_S, 3, FALSE))</f>
        <v>-0.78378501779002185</v>
      </c>
      <c r="P60" s="1">
        <f>(Main_S[[#This Row],[P/B]]-VLOOKUP(Main_S[[#This Row],[Industry]], Mean_PB_S, 2, FALSE))/(VLOOKUP(Main_S[[#This Row],[Industry]], Mean_PB_S, 3, FALSE))</f>
        <v>1.4393373201100916</v>
      </c>
      <c r="Q60" s="1">
        <f>(Main_S[[#This Row],[ROE]]-VLOOKUP(Main_S[[#This Row],[Industry]], Mean_ROE_S, 2, FALSE))/(VLOOKUP(Main_S[[#This Row],[Industry]], Mean_ROE_S, 3, FALSE))</f>
        <v>-1.4788271350108466</v>
      </c>
      <c r="R60" s="1">
        <f>(Main_S[[#This Row],[ROA]]-VLOOKUP(Main_S[[#This Row],[Industry]], Mean_ROA_S, 2, FALSE))/(VLOOKUP(Main_S[[#This Row],[Industry]], Mean_ROA_S, 3, FALSE))</f>
        <v>-6.07830673854826E-2</v>
      </c>
      <c r="S60" s="1">
        <f>(Main_S[[#This Row],[A/E]]-VLOOKUP(Main_S[[#This Row],[Industry]], Mean_AE_S, 2, FALSE))/(VLOOKUP(Main_S[[#This Row],[Industry]], Mean_AE_S, 3, FALSE))</f>
        <v>1.8950759395412824</v>
      </c>
      <c r="T60" s="1">
        <f>(Main_S[[#This Row],[P/E]]-VLOOKUP(Main_S[[#This Row],[Industry]], Mean_PE_S, 2, FALSE))/(VLOOKUP(Main_S[[#This Row],[Industry]], Mean_PE_S, 3, FALSE))</f>
        <v>0.2633224083180426</v>
      </c>
      <c r="U6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1" spans="1:26" x14ac:dyDescent="0.25">
      <c r="A61" t="s">
        <v>120</v>
      </c>
      <c r="B61" t="s">
        <v>250</v>
      </c>
      <c r="C61" s="2">
        <v>1466</v>
      </c>
      <c r="D61">
        <f>RTD("tos.rtd", , "LAST", Main_S[[#This Row],[Symbol]])</f>
        <v>15.3</v>
      </c>
      <c r="E61">
        <v>0.54</v>
      </c>
      <c r="F61">
        <v>11.59</v>
      </c>
      <c r="G61">
        <v>-0.38</v>
      </c>
      <c r="H61" s="1">
        <f>IF(ISNUMBER(Main_S[[#This Row],[Free CF]]),IF(Main_S[[#This Row],[Free CF]]&lt;&gt;0,Main_S[[#This Row],[Current Price]]/Main_S[[#This Row],[Free CF]],""),"")</f>
        <v>28.333333333333332</v>
      </c>
      <c r="I61" s="1">
        <f>IF(ISNUMBER(Main_S[[#This Row],[BVPS]]),IF(Main_S[[#This Row],[BVPS]]&lt;&gt;0,Main_S[[#This Row],[Current Price]]/Main_S[[#This Row],[BVPS]],""),"")</f>
        <v>1.3201035375323555</v>
      </c>
      <c r="J61">
        <v>-3.09</v>
      </c>
      <c r="K61">
        <v>0.98</v>
      </c>
      <c r="L61">
        <v>2.73</v>
      </c>
      <c r="M61" s="1">
        <f>IF(ISNUMBER(Main_S[[#This Row],[EPS]]),IF(Main_S[[#This Row],[EPS]]&lt;&gt;0,Main_S[[#This Row],[Current Price]]/Main_S[[#This Row],[EPS]],""),"")</f>
        <v>-40.263157894736842</v>
      </c>
      <c r="N6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1" s="1">
        <f>(Main_S[[#This Row],[P/FCF]]-VLOOKUP(Main_S[[#This Row],[Industry]], Mean_PFCF_S, 2, FALSE))/(VLOOKUP(Main_S[[#This Row],[Industry]], Mean_PFCF_S, 3, FALSE))</f>
        <v>1.6760341874615754</v>
      </c>
      <c r="P61" s="1">
        <f>(Main_S[[#This Row],[P/B]]-VLOOKUP(Main_S[[#This Row],[Industry]], Mean_PB_S, 2, FALSE))/(VLOOKUP(Main_S[[#This Row],[Industry]], Mean_PB_S, 3, FALSE))</f>
        <v>-0.86361996528608986</v>
      </c>
      <c r="Q61" s="1">
        <f>(Main_S[[#This Row],[ROE]]-VLOOKUP(Main_S[[#This Row],[Industry]], Mean_ROE_S, 2, FALSE))/(VLOOKUP(Main_S[[#This Row],[Industry]], Mean_ROE_S, 3, FALSE))</f>
        <v>-0.23154913387434958</v>
      </c>
      <c r="R61" s="1">
        <f>(Main_S[[#This Row],[ROA]]-VLOOKUP(Main_S[[#This Row],[Industry]], Mean_ROA_S, 2, FALSE))/(VLOOKUP(Main_S[[#This Row],[Industry]], Mean_ROA_S, 3, FALSE))</f>
        <v>0.74965783108761763</v>
      </c>
      <c r="S61" s="1">
        <f>(Main_S[[#This Row],[A/E]]-VLOOKUP(Main_S[[#This Row],[Industry]], Mean_AE_S, 2, FALSE))/(VLOOKUP(Main_S[[#This Row],[Industry]], Mean_AE_S, 3, FALSE))</f>
        <v>-0.352690001214718</v>
      </c>
      <c r="T61" s="1">
        <f>(Main_S[[#This Row],[P/E]]-VLOOKUP(Main_S[[#This Row],[Industry]], Mean_PE_S, 2, FALSE))/(VLOOKUP(Main_S[[#This Row],[Industry]], Mean_PE_S, 3, FALSE))</f>
        <v>-0.55020185429497004</v>
      </c>
      <c r="U6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2" spans="1:26" x14ac:dyDescent="0.25">
      <c r="A62" t="s">
        <v>120</v>
      </c>
      <c r="B62" t="s">
        <v>251</v>
      </c>
      <c r="C62" s="2">
        <v>1455</v>
      </c>
      <c r="D62">
        <f>RTD("tos.rtd", , "LAST", Main_S[[#This Row],[Symbol]])</f>
        <v>17.05</v>
      </c>
      <c r="E62">
        <v>0.72</v>
      </c>
      <c r="F62">
        <v>7.13</v>
      </c>
      <c r="G62">
        <v>0.1</v>
      </c>
      <c r="H62" s="1">
        <f>IF(ISNUMBER(Main_S[[#This Row],[Free CF]]),IF(Main_S[[#This Row],[Free CF]]&lt;&gt;0,Main_S[[#This Row],[Current Price]]/Main_S[[#This Row],[Free CF]],""),"")</f>
        <v>23.680555555555557</v>
      </c>
      <c r="I62" s="1">
        <f>IF(ISNUMBER(Main_S[[#This Row],[BVPS]]),IF(Main_S[[#This Row],[BVPS]]&lt;&gt;0,Main_S[[#This Row],[Current Price]]/Main_S[[#This Row],[BVPS]],""),"")</f>
        <v>2.3913043478260869</v>
      </c>
      <c r="J62">
        <v>3.42</v>
      </c>
      <c r="K62">
        <v>1.82</v>
      </c>
      <c r="L62">
        <v>2.62</v>
      </c>
      <c r="M62" s="1">
        <f>IF(ISNUMBER(Main_S[[#This Row],[EPS]]),IF(Main_S[[#This Row],[EPS]]&lt;&gt;0,Main_S[[#This Row],[Current Price]]/Main_S[[#This Row],[EPS]],""),"")</f>
        <v>170.5</v>
      </c>
      <c r="N6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2" s="1">
        <f>(Main_S[[#This Row],[P/FCF]]-VLOOKUP(Main_S[[#This Row],[Industry]], Mean_PFCF_S, 2, FALSE))/(VLOOKUP(Main_S[[#This Row],[Industry]], Mean_PFCF_S, 3, FALSE))</f>
        <v>1.0075070080448711</v>
      </c>
      <c r="P62" s="1">
        <f>(Main_S[[#This Row],[P/B]]-VLOOKUP(Main_S[[#This Row],[Industry]], Mean_PB_S, 2, FALSE))/(VLOOKUP(Main_S[[#This Row],[Industry]], Mean_PB_S, 3, FALSE))</f>
        <v>1.3442941630880891</v>
      </c>
      <c r="Q62" s="1">
        <f>(Main_S[[#This Row],[ROE]]-VLOOKUP(Main_S[[#This Row],[Industry]], Mean_ROE_S, 2, FALSE))/(VLOOKUP(Main_S[[#This Row],[Industry]], Mean_ROE_S, 3, FALSE))</f>
        <v>1.7782973481550057</v>
      </c>
      <c r="R62" s="1">
        <f>(Main_S[[#This Row],[ROA]]-VLOOKUP(Main_S[[#This Row],[Industry]], Mean_ROA_S, 2, FALSE))/(VLOOKUP(Main_S[[#This Row],[Industry]], Mean_ROA_S, 3, FALSE))</f>
        <v>9.2592872650551747</v>
      </c>
      <c r="S62" s="1">
        <f>(Main_S[[#This Row],[A/E]]-VLOOKUP(Main_S[[#This Row],[Industry]], Mean_AE_S, 2, FALSE))/(VLOOKUP(Main_S[[#This Row],[Industry]], Mean_AE_S, 3, FALSE))</f>
        <v>-0.46406579107199719</v>
      </c>
      <c r="T62" s="1">
        <f>(Main_S[[#This Row],[P/E]]-VLOOKUP(Main_S[[#This Row],[Industry]], Mean_PE_S, 2, FALSE))/(VLOOKUP(Main_S[[#This Row],[Industry]], Mean_PE_S, 3, FALSE))</f>
        <v>14.337274448253259</v>
      </c>
      <c r="U6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6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63" spans="1:26" x14ac:dyDescent="0.25">
      <c r="A63" t="s">
        <v>131</v>
      </c>
      <c r="B63" t="s">
        <v>252</v>
      </c>
      <c r="C63" s="2">
        <v>1087</v>
      </c>
      <c r="D63">
        <f>RTD("tos.rtd", , "LAST", Main_S[[#This Row],[Symbol]])</f>
        <v>216.47</v>
      </c>
      <c r="E63">
        <v>10.33</v>
      </c>
      <c r="F63">
        <v>31.93</v>
      </c>
      <c r="G63">
        <v>7.72</v>
      </c>
      <c r="H63" s="1">
        <f>IF(ISNUMBER(Main_S[[#This Row],[Free CF]]),IF(Main_S[[#This Row],[Free CF]]&lt;&gt;0,Main_S[[#This Row],[Current Price]]/Main_S[[#This Row],[Free CF]],""),"")</f>
        <v>20.955469506292353</v>
      </c>
      <c r="I63" s="1">
        <f>IF(ISNUMBER(Main_S[[#This Row],[BVPS]]),IF(Main_S[[#This Row],[BVPS]]&lt;&gt;0,Main_S[[#This Row],[Current Price]]/Main_S[[#This Row],[BVPS]],""),"")</f>
        <v>6.7795176949577201</v>
      </c>
      <c r="J63">
        <v>20.16</v>
      </c>
      <c r="K63">
        <v>3.48</v>
      </c>
      <c r="L63">
        <v>8.17</v>
      </c>
      <c r="M63" s="1">
        <f>IF(ISNUMBER(Main_S[[#This Row],[EPS]]),IF(Main_S[[#This Row],[EPS]]&lt;&gt;0,Main_S[[#This Row],[Current Price]]/Main_S[[#This Row],[EPS]],""),"")</f>
        <v>28.040155440414509</v>
      </c>
      <c r="N6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3" s="1">
        <f>(Main_S[[#This Row],[P/FCF]]-VLOOKUP(Main_S[[#This Row],[Industry]], Mean_PFCF_S, 2, FALSE))/(VLOOKUP(Main_S[[#This Row],[Industry]], Mean_PFCF_S, 3, FALSE))</f>
        <v>1.9463664652999071</v>
      </c>
      <c r="P63" s="1">
        <f>(Main_S[[#This Row],[P/B]]-VLOOKUP(Main_S[[#This Row],[Industry]], Mean_PB_S, 2, FALSE))/(VLOOKUP(Main_S[[#This Row],[Industry]], Mean_PB_S, 3, FALSE))</f>
        <v>1.8406145915196848</v>
      </c>
      <c r="Q63" s="1">
        <f>(Main_S[[#This Row],[ROE]]-VLOOKUP(Main_S[[#This Row],[Industry]], Mean_ROE_S, 2, FALSE))/(VLOOKUP(Main_S[[#This Row],[Industry]], Mean_ROE_S, 3, FALSE))</f>
        <v>0.38576205418967835</v>
      </c>
      <c r="R63" s="1">
        <f>(Main_S[[#This Row],[ROA]]-VLOOKUP(Main_S[[#This Row],[Industry]], Mean_ROA_S, 2, FALSE))/(VLOOKUP(Main_S[[#This Row],[Industry]], Mean_ROA_S, 3, FALSE))</f>
        <v>0.73261659632969889</v>
      </c>
      <c r="S63" s="1">
        <f>(Main_S[[#This Row],[A/E]]-VLOOKUP(Main_S[[#This Row],[Industry]], Mean_AE_S, 2, FALSE))/(VLOOKUP(Main_S[[#This Row],[Industry]], Mean_AE_S, 3, FALSE))</f>
        <v>0.56765023932833691</v>
      </c>
      <c r="T63" s="1">
        <f>(Main_S[[#This Row],[P/E]]-VLOOKUP(Main_S[[#This Row],[Industry]], Mean_PE_S, 2, FALSE))/(VLOOKUP(Main_S[[#This Row],[Industry]], Mean_PE_S, 3, FALSE))</f>
        <v>1.1883674252745895</v>
      </c>
      <c r="U6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4" spans="1:26" x14ac:dyDescent="0.25">
      <c r="A64" t="s">
        <v>131</v>
      </c>
      <c r="B64" t="s">
        <v>253</v>
      </c>
      <c r="C64" s="2">
        <v>794</v>
      </c>
      <c r="D64">
        <f>RTD("tos.rtd", , "LAST", Main_S[[#This Row],[Symbol]])</f>
        <v>33.47</v>
      </c>
      <c r="E64">
        <v>4.5599999999999996</v>
      </c>
      <c r="F64">
        <v>6.2</v>
      </c>
      <c r="G64">
        <v>1.63</v>
      </c>
      <c r="H64" s="1">
        <f>IF(ISNUMBER(Main_S[[#This Row],[Free CF]]),IF(Main_S[[#This Row],[Free CF]]&lt;&gt;0,Main_S[[#This Row],[Current Price]]/Main_S[[#This Row],[Free CF]],""),"")</f>
        <v>7.3399122807017552</v>
      </c>
      <c r="I64" s="1">
        <f>IF(ISNUMBER(Main_S[[#This Row],[BVPS]]),IF(Main_S[[#This Row],[BVPS]]&lt;&gt;0,Main_S[[#This Row],[Current Price]]/Main_S[[#This Row],[BVPS]],""),"")</f>
        <v>5.3983870967741936</v>
      </c>
      <c r="J64">
        <v>13.47</v>
      </c>
      <c r="K64">
        <v>3.68</v>
      </c>
      <c r="L64">
        <v>14.1</v>
      </c>
      <c r="M64" s="1">
        <f>IF(ISNUMBER(Main_S[[#This Row],[EPS]]),IF(Main_S[[#This Row],[EPS]]&lt;&gt;0,Main_S[[#This Row],[Current Price]]/Main_S[[#This Row],[EPS]],""),"")</f>
        <v>20.533742331288344</v>
      </c>
      <c r="N6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4" s="1">
        <f>(Main_S[[#This Row],[P/FCF]]-VLOOKUP(Main_S[[#This Row],[Industry]], Mean_PFCF_S, 2, FALSE))/(VLOOKUP(Main_S[[#This Row],[Industry]], Mean_PFCF_S, 3, FALSE))</f>
        <v>-0.63420181458677916</v>
      </c>
      <c r="P64" s="1">
        <f>(Main_S[[#This Row],[P/B]]-VLOOKUP(Main_S[[#This Row],[Industry]], Mean_PB_S, 2, FALSE))/(VLOOKUP(Main_S[[#This Row],[Industry]], Mean_PB_S, 3, FALSE))</f>
        <v>1.1885600639689664</v>
      </c>
      <c r="Q64" s="1">
        <f>(Main_S[[#This Row],[ROE]]-VLOOKUP(Main_S[[#This Row],[Industry]], Mean_ROE_S, 2, FALSE))/(VLOOKUP(Main_S[[#This Row],[Industry]], Mean_ROE_S, 3, FALSE))</f>
        <v>-0.16652278218154271</v>
      </c>
      <c r="R64" s="1">
        <f>(Main_S[[#This Row],[ROA]]-VLOOKUP(Main_S[[#This Row],[Industry]], Mean_ROA_S, 2, FALSE))/(VLOOKUP(Main_S[[#This Row],[Industry]], Mean_ROA_S, 3, FALSE))</f>
        <v>0.92872811351164519</v>
      </c>
      <c r="S64" s="1">
        <f>(Main_S[[#This Row],[A/E]]-VLOOKUP(Main_S[[#This Row],[Industry]], Mean_AE_S, 2, FALSE))/(VLOOKUP(Main_S[[#This Row],[Industry]], Mean_AE_S, 3, FALSE))</f>
        <v>1.8914233536271723</v>
      </c>
      <c r="T64" s="1">
        <f>(Main_S[[#This Row],[P/E]]-VLOOKUP(Main_S[[#This Row],[Industry]], Mean_PE_S, 2, FALSE))/(VLOOKUP(Main_S[[#This Row],[Industry]], Mean_PE_S, 3, FALSE))</f>
        <v>0.33295664315002721</v>
      </c>
      <c r="U6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5" spans="1:26" x14ac:dyDescent="0.25">
      <c r="A65" t="s">
        <v>131</v>
      </c>
      <c r="B65" t="s">
        <v>254</v>
      </c>
      <c r="C65" s="2">
        <v>754</v>
      </c>
      <c r="D65">
        <f>RTD("tos.rtd", , "LAST", Main_S[[#This Row],[Symbol]])</f>
        <v>25.3</v>
      </c>
      <c r="E65">
        <v>6.54</v>
      </c>
      <c r="F65">
        <v>9.5399999999999991</v>
      </c>
      <c r="G65">
        <v>2.16</v>
      </c>
      <c r="H65" s="1">
        <f>IF(ISNUMBER(Main_S[[#This Row],[Free CF]]),IF(Main_S[[#This Row],[Free CF]]&lt;&gt;0,Main_S[[#This Row],[Current Price]]/Main_S[[#This Row],[Free CF]],""),"")</f>
        <v>3.8685015290519877</v>
      </c>
      <c r="I65" s="1">
        <f>IF(ISNUMBER(Main_S[[#This Row],[BVPS]]),IF(Main_S[[#This Row],[BVPS]]&lt;&gt;0,Main_S[[#This Row],[Current Price]]/Main_S[[#This Row],[BVPS]],""),"")</f>
        <v>2.6519916142557656</v>
      </c>
      <c r="J65">
        <v>22.04</v>
      </c>
      <c r="K65">
        <v>3.15</v>
      </c>
      <c r="L65">
        <v>8.9</v>
      </c>
      <c r="M65" s="1">
        <f>IF(ISNUMBER(Main_S[[#This Row],[EPS]]),IF(Main_S[[#This Row],[EPS]]&lt;&gt;0,Main_S[[#This Row],[Current Price]]/Main_S[[#This Row],[EPS]],""),"")</f>
        <v>11.712962962962962</v>
      </c>
      <c r="N6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5" s="1">
        <f>(Main_S[[#This Row],[P/FCF]]-VLOOKUP(Main_S[[#This Row],[Industry]], Mean_PFCF_S, 2, FALSE))/(VLOOKUP(Main_S[[#This Row],[Industry]], Mean_PFCF_S, 3, FALSE))</f>
        <v>-1.292141282192844</v>
      </c>
      <c r="P65" s="1">
        <f>(Main_S[[#This Row],[P/B]]-VLOOKUP(Main_S[[#This Row],[Industry]], Mean_PB_S, 2, FALSE))/(VLOOKUP(Main_S[[#This Row],[Industry]], Mean_PB_S, 3, FALSE))</f>
        <v>-0.10805852602987531</v>
      </c>
      <c r="Q65" s="1">
        <f>(Main_S[[#This Row],[ROE]]-VLOOKUP(Main_S[[#This Row],[Industry]], Mean_ROE_S, 2, FALSE))/(VLOOKUP(Main_S[[#This Row],[Industry]], Mean_ROE_S, 3, FALSE))</f>
        <v>0.54096317412658346</v>
      </c>
      <c r="R65" s="1">
        <f>(Main_S[[#This Row],[ROA]]-VLOOKUP(Main_S[[#This Row],[Industry]], Mean_ROA_S, 2, FALSE))/(VLOOKUP(Main_S[[#This Row],[Industry]], Mean_ROA_S, 3, FALSE))</f>
        <v>0.40903259297948774</v>
      </c>
      <c r="S65" s="1">
        <f>(Main_S[[#This Row],[A/E]]-VLOOKUP(Main_S[[#This Row],[Industry]], Mean_AE_S, 2, FALSE))/(VLOOKUP(Main_S[[#This Row],[Industry]], Mean_AE_S, 3, FALSE))</f>
        <v>0.73061050466360689</v>
      </c>
      <c r="T65" s="1">
        <f>(Main_S[[#This Row],[P/E]]-VLOOKUP(Main_S[[#This Row],[Industry]], Mean_PE_S, 2, FALSE))/(VLOOKUP(Main_S[[#This Row],[Industry]], Mean_PE_S, 3, FALSE))</f>
        <v>-0.67223580612163192</v>
      </c>
      <c r="U6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6" spans="1:26" x14ac:dyDescent="0.25">
      <c r="A66" t="s">
        <v>131</v>
      </c>
      <c r="B66" t="s">
        <v>255</v>
      </c>
      <c r="C66" s="2">
        <v>1567</v>
      </c>
      <c r="D66">
        <f>RTD("tos.rtd", , "LAST", Main_S[[#This Row],[Symbol]])</f>
        <v>28.17</v>
      </c>
      <c r="E66">
        <v>2.35</v>
      </c>
      <c r="F66">
        <v>17.34</v>
      </c>
      <c r="G66">
        <v>1.2</v>
      </c>
      <c r="H66" s="1">
        <f>IF(ISNUMBER(Main_S[[#This Row],[Free CF]]),IF(Main_S[[#This Row],[Free CF]]&lt;&gt;0,Main_S[[#This Row],[Current Price]]/Main_S[[#This Row],[Free CF]],""),"")</f>
        <v>11.987234042553192</v>
      </c>
      <c r="I66" s="1">
        <f>IF(ISNUMBER(Main_S[[#This Row],[BVPS]]),IF(Main_S[[#This Row],[BVPS]]&lt;&gt;0,Main_S[[#This Row],[Current Price]]/Main_S[[#This Row],[BVPS]],""),"")</f>
        <v>1.624567474048443</v>
      </c>
      <c r="J66">
        <v>7.23</v>
      </c>
      <c r="K66">
        <v>3.6</v>
      </c>
      <c r="L66">
        <v>2.0499999999999998</v>
      </c>
      <c r="M66" s="1">
        <f>IF(ISNUMBER(Main_S[[#This Row],[EPS]]),IF(Main_S[[#This Row],[EPS]]&lt;&gt;0,Main_S[[#This Row],[Current Price]]/Main_S[[#This Row],[EPS]],""),"")</f>
        <v>23.475000000000001</v>
      </c>
      <c r="N6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6" s="1">
        <f>(Main_S[[#This Row],[P/FCF]]-VLOOKUP(Main_S[[#This Row],[Industry]], Mean_PFCF_S, 2, FALSE))/(VLOOKUP(Main_S[[#This Row],[Industry]], Mean_PFCF_S, 3, FALSE))</f>
        <v>0.24660907889031256</v>
      </c>
      <c r="P66" s="1">
        <f>(Main_S[[#This Row],[P/B]]-VLOOKUP(Main_S[[#This Row],[Industry]], Mean_PB_S, 2, FALSE))/(VLOOKUP(Main_S[[#This Row],[Industry]], Mean_PB_S, 3, FALSE))</f>
        <v>-0.59312240284079709</v>
      </c>
      <c r="Q66" s="1">
        <f>(Main_S[[#This Row],[ROE]]-VLOOKUP(Main_S[[#This Row],[Industry]], Mean_ROE_S, 2, FALSE))/(VLOOKUP(Main_S[[#This Row],[Industry]], Mean_ROE_S, 3, FALSE))</f>
        <v>-0.68165841431254715</v>
      </c>
      <c r="R66" s="1">
        <f>(Main_S[[#This Row],[ROA]]-VLOOKUP(Main_S[[#This Row],[Industry]], Mean_ROA_S, 2, FALSE))/(VLOOKUP(Main_S[[#This Row],[Industry]], Mean_ROA_S, 3, FALSE))</f>
        <v>0.85028350663886676</v>
      </c>
      <c r="S66" s="1">
        <f>(Main_S[[#This Row],[A/E]]-VLOOKUP(Main_S[[#This Row],[Industry]], Mean_AE_S, 2, FALSE))/(VLOOKUP(Main_S[[#This Row],[Industry]], Mean_AE_S, 3, FALSE))</f>
        <v>-0.7985371906057056</v>
      </c>
      <c r="T66" s="1">
        <f>(Main_S[[#This Row],[P/E]]-VLOOKUP(Main_S[[#This Row],[Industry]], Mean_PE_S, 2, FALSE))/(VLOOKUP(Main_S[[#This Row],[Industry]], Mean_PE_S, 3, FALSE))</f>
        <v>0.66813450856268575</v>
      </c>
      <c r="U6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7" spans="1:26" x14ac:dyDescent="0.25">
      <c r="A67" t="s">
        <v>131</v>
      </c>
      <c r="B67" t="s">
        <v>256</v>
      </c>
      <c r="C67" s="2">
        <v>1307</v>
      </c>
      <c r="D67">
        <f>RTD("tos.rtd", , "LAST", Main_S[[#This Row],[Symbol]])</f>
        <v>15.54</v>
      </c>
      <c r="E67">
        <v>1.28</v>
      </c>
      <c r="F67">
        <v>15.99</v>
      </c>
      <c r="G67">
        <v>-0.14000000000000001</v>
      </c>
      <c r="H67" s="1">
        <f>IF(ISNUMBER(Main_S[[#This Row],[Free CF]]),IF(Main_S[[#This Row],[Free CF]]&lt;&gt;0,Main_S[[#This Row],[Current Price]]/Main_S[[#This Row],[Free CF]],""),"")</f>
        <v>12.140624999999998</v>
      </c>
      <c r="I67" s="1">
        <f>IF(ISNUMBER(Main_S[[#This Row],[BVPS]]),IF(Main_S[[#This Row],[BVPS]]&lt;&gt;0,Main_S[[#This Row],[Current Price]]/Main_S[[#This Row],[BVPS]],""),"")</f>
        <v>0.97185741088180111</v>
      </c>
      <c r="J67">
        <v>-0.88</v>
      </c>
      <c r="K67">
        <v>1.54</v>
      </c>
      <c r="L67">
        <v>1.75</v>
      </c>
      <c r="M67" s="1">
        <f>IF(ISNUMBER(Main_S[[#This Row],[EPS]]),IF(Main_S[[#This Row],[EPS]]&lt;&gt;0,Main_S[[#This Row],[Current Price]]/Main_S[[#This Row],[EPS]],""),"")</f>
        <v>-110.99999999999999</v>
      </c>
      <c r="N6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7" s="1">
        <f>(Main_S[[#This Row],[P/FCF]]-VLOOKUP(Main_S[[#This Row],[Industry]], Mean_PFCF_S, 2, FALSE))/(VLOOKUP(Main_S[[#This Row],[Industry]], Mean_PFCF_S, 3, FALSE))</f>
        <v>0.27568139907891992</v>
      </c>
      <c r="P67" s="1">
        <f>(Main_S[[#This Row],[P/B]]-VLOOKUP(Main_S[[#This Row],[Industry]], Mean_PB_S, 2, FALSE))/(VLOOKUP(Main_S[[#This Row],[Industry]], Mean_PB_S, 3, FALSE))</f>
        <v>-0.90127758557694093</v>
      </c>
      <c r="Q67" s="1">
        <f>(Main_S[[#This Row],[ROE]]-VLOOKUP(Main_S[[#This Row],[Industry]], Mean_ROE_S, 2, FALSE))/(VLOOKUP(Main_S[[#This Row],[Industry]], Mean_ROE_S, 3, FALSE))</f>
        <v>-1.351169628508452</v>
      </c>
      <c r="R67" s="1">
        <f>(Main_S[[#This Row],[ROA]]-VLOOKUP(Main_S[[#This Row],[Industry]], Mean_ROA_S, 2, FALSE))/(VLOOKUP(Main_S[[#This Row],[Industry]], Mean_ROA_S, 3, FALSE))</f>
        <v>-1.1696651203351784</v>
      </c>
      <c r="S67" s="1">
        <f>(Main_S[[#This Row],[A/E]]-VLOOKUP(Main_S[[#This Row],[Industry]], Mean_AE_S, 2, FALSE))/(VLOOKUP(Main_S[[#This Row],[Industry]], Mean_AE_S, 3, FALSE))</f>
        <v>-0.8655071626612959</v>
      </c>
      <c r="T67" s="1">
        <f>(Main_S[[#This Row],[P/E]]-VLOOKUP(Main_S[[#This Row],[Industry]], Mean_PE_S, 2, FALSE))/(VLOOKUP(Main_S[[#This Row],[Industry]], Mean_PE_S, 3, FALSE))</f>
        <v>-14.656277198321314</v>
      </c>
      <c r="U6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68" spans="1:26" x14ac:dyDescent="0.25">
      <c r="A68" t="s">
        <v>131</v>
      </c>
      <c r="B68" t="s">
        <v>257</v>
      </c>
      <c r="C68" s="2">
        <v>632</v>
      </c>
      <c r="D68">
        <f>RTD("tos.rtd", , "LAST", Main_S[[#This Row],[Symbol]])</f>
        <v>12.42</v>
      </c>
      <c r="E68">
        <v>2.14</v>
      </c>
      <c r="F68">
        <v>9.9</v>
      </c>
      <c r="G68">
        <v>9.65</v>
      </c>
      <c r="H68" s="1">
        <f>IF(ISNUMBER(Main_S[[#This Row],[Free CF]]),IF(Main_S[[#This Row],[Free CF]]&lt;&gt;0,Main_S[[#This Row],[Current Price]]/Main_S[[#This Row],[Free CF]],""),"")</f>
        <v>5.8037383177570092</v>
      </c>
      <c r="I68" s="1">
        <f>IF(ISNUMBER(Main_S[[#This Row],[BVPS]]),IF(Main_S[[#This Row],[BVPS]]&lt;&gt;0,Main_S[[#This Row],[Current Price]]/Main_S[[#This Row],[BVPS]],""),"")</f>
        <v>1.2545454545454544</v>
      </c>
      <c r="J68">
        <v>39.06</v>
      </c>
      <c r="K68">
        <v>0.87</v>
      </c>
      <c r="L68">
        <v>1.81</v>
      </c>
      <c r="M68" s="1">
        <f>IF(ISNUMBER(Main_S[[#This Row],[EPS]]),IF(Main_S[[#This Row],[EPS]]&lt;&gt;0,Main_S[[#This Row],[Current Price]]/Main_S[[#This Row],[EPS]],""),"")</f>
        <v>1.2870466321243523</v>
      </c>
      <c r="N6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8" s="1">
        <f>(Main_S[[#This Row],[P/FCF]]-VLOOKUP(Main_S[[#This Row],[Industry]], Mean_PFCF_S, 2, FALSE))/(VLOOKUP(Main_S[[#This Row],[Industry]], Mean_PFCF_S, 3, FALSE))</f>
        <v>-0.92535418796979974</v>
      </c>
      <c r="P68" s="1">
        <f>(Main_S[[#This Row],[P/B]]-VLOOKUP(Main_S[[#This Row],[Industry]], Mean_PB_S, 2, FALSE))/(VLOOKUP(Main_S[[#This Row],[Industry]], Mean_PB_S, 3, FALSE))</f>
        <v>-0.76781589918915838</v>
      </c>
      <c r="Q68" s="1">
        <f>(Main_S[[#This Row],[ROE]]-VLOOKUP(Main_S[[#This Row],[Industry]], Mean_ROE_S, 2, FALSE))/(VLOOKUP(Main_S[[#This Row],[Industry]], Mean_ROE_S, 3, FALSE))</f>
        <v>1.9460286322787788</v>
      </c>
      <c r="R68" s="1">
        <f>(Main_S[[#This Row],[ROA]]-VLOOKUP(Main_S[[#This Row],[Industry]], Mean_ROA_S, 2, FALSE))/(VLOOKUP(Main_S[[#This Row],[Industry]], Mean_ROA_S, 3, FALSE))</f>
        <v>-1.826638702894698</v>
      </c>
      <c r="S68" s="1">
        <f>(Main_S[[#This Row],[A/E]]-VLOOKUP(Main_S[[#This Row],[Industry]], Mean_AE_S, 2, FALSE))/(VLOOKUP(Main_S[[#This Row],[Industry]], Mean_AE_S, 3, FALSE))</f>
        <v>-0.8521131682501778</v>
      </c>
      <c r="T68" s="1">
        <f>(Main_S[[#This Row],[P/E]]-VLOOKUP(Main_S[[#This Row],[Industry]], Mean_PE_S, 2, FALSE))/(VLOOKUP(Main_S[[#This Row],[Industry]], Mean_PE_S, 3, FALSE))</f>
        <v>-1.8603453750028089</v>
      </c>
      <c r="U6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9" spans="1:26" x14ac:dyDescent="0.25">
      <c r="A69" t="s">
        <v>131</v>
      </c>
      <c r="B69" t="s">
        <v>258</v>
      </c>
      <c r="C69" s="2">
        <v>640</v>
      </c>
      <c r="D69">
        <f>RTD("tos.rtd", , "LAST", Main_S[[#This Row],[Symbol]])</f>
        <v>12.58</v>
      </c>
      <c r="E69">
        <v>0.99</v>
      </c>
      <c r="F69">
        <v>8.4700000000000006</v>
      </c>
      <c r="G69">
        <v>0.61</v>
      </c>
      <c r="H69" s="1">
        <f>IF(ISNUMBER(Main_S[[#This Row],[Free CF]]),IF(Main_S[[#This Row],[Free CF]]&lt;&gt;0,Main_S[[#This Row],[Current Price]]/Main_S[[#This Row],[Free CF]],""),"")</f>
        <v>12.707070707070708</v>
      </c>
      <c r="I69" s="1">
        <f>IF(ISNUMBER(Main_S[[#This Row],[BVPS]]),IF(Main_S[[#This Row],[BVPS]]&lt;&gt;0,Main_S[[#This Row],[Current Price]]/Main_S[[#This Row],[BVPS]],""),"")</f>
        <v>1.4852420306965761</v>
      </c>
      <c r="J69">
        <v>7.33</v>
      </c>
      <c r="K69">
        <v>2.81</v>
      </c>
      <c r="L69">
        <v>2.61</v>
      </c>
      <c r="M69" s="1">
        <f>IF(ISNUMBER(Main_S[[#This Row],[EPS]]),IF(Main_S[[#This Row],[EPS]]&lt;&gt;0,Main_S[[#This Row],[Current Price]]/Main_S[[#This Row],[EPS]],""),"")</f>
        <v>20.622950819672131</v>
      </c>
      <c r="N6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9" s="1">
        <f>(Main_S[[#This Row],[P/FCF]]-VLOOKUP(Main_S[[#This Row],[Industry]], Mean_PFCF_S, 2, FALSE))/(VLOOKUP(Main_S[[#This Row],[Industry]], Mean_PFCF_S, 3, FALSE))</f>
        <v>0.38304034148028404</v>
      </c>
      <c r="P69" s="1">
        <f>(Main_S[[#This Row],[P/B]]-VLOOKUP(Main_S[[#This Row],[Industry]], Mean_PB_S, 2, FALSE))/(VLOOKUP(Main_S[[#This Row],[Industry]], Mean_PB_S, 3, FALSE))</f>
        <v>-0.65890024185187945</v>
      </c>
      <c r="Q69" s="1">
        <f>(Main_S[[#This Row],[ROE]]-VLOOKUP(Main_S[[#This Row],[Industry]], Mean_ROE_S, 2, FALSE))/(VLOOKUP(Main_S[[#This Row],[Industry]], Mean_ROE_S, 3, FALSE))</f>
        <v>-0.67340303559249903</v>
      </c>
      <c r="R69" s="1">
        <f>(Main_S[[#This Row],[ROA]]-VLOOKUP(Main_S[[#This Row],[Industry]], Mean_ROA_S, 2, FALSE))/(VLOOKUP(Main_S[[#This Row],[Industry]], Mean_ROA_S, 3, FALSE))</f>
        <v>7.5643013770179471E-2</v>
      </c>
      <c r="S69" s="1">
        <f>(Main_S[[#This Row],[A/E]]-VLOOKUP(Main_S[[#This Row],[Industry]], Mean_AE_S, 2, FALSE))/(VLOOKUP(Main_S[[#This Row],[Industry]], Mean_AE_S, 3, FALSE))</f>
        <v>-0.673526576101937</v>
      </c>
      <c r="T69" s="1">
        <f>(Main_S[[#This Row],[P/E]]-VLOOKUP(Main_S[[#This Row],[Industry]], Mean_PE_S, 2, FALSE))/(VLOOKUP(Main_S[[#This Row],[Industry]], Mean_PE_S, 3, FALSE))</f>
        <v>0.34312260413713946</v>
      </c>
      <c r="U6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0" spans="1:26" x14ac:dyDescent="0.25">
      <c r="A70" t="s">
        <v>136</v>
      </c>
      <c r="B70" t="s">
        <v>259</v>
      </c>
      <c r="C70" s="2">
        <v>461</v>
      </c>
      <c r="D70">
        <f>RTD("tos.rtd", , "LAST", Main_S[[#This Row],[Symbol]])</f>
        <v>10.4</v>
      </c>
      <c r="E70">
        <v>0.34</v>
      </c>
      <c r="F70">
        <v>10.57</v>
      </c>
      <c r="G70">
        <v>1.06</v>
      </c>
      <c r="H70" s="1">
        <f>IF(ISNUMBER(Main_S[[#This Row],[Free CF]]),IF(Main_S[[#This Row],[Free CF]]&lt;&gt;0,Main_S[[#This Row],[Current Price]]/Main_S[[#This Row],[Free CF]],""),"")</f>
        <v>30.588235294117645</v>
      </c>
      <c r="I70" s="1">
        <f>IF(ISNUMBER(Main_S[[#This Row],[BVPS]]),IF(Main_S[[#This Row],[BVPS]]&lt;&gt;0,Main_S[[#This Row],[Current Price]]/Main_S[[#This Row],[BVPS]],""),"")</f>
        <v>0.98391674550614949</v>
      </c>
      <c r="J70">
        <v>10.01</v>
      </c>
      <c r="K70">
        <v>1.79</v>
      </c>
      <c r="L70">
        <v>1.8</v>
      </c>
      <c r="M70" s="1">
        <f>IF(ISNUMBER(Main_S[[#This Row],[EPS]]),IF(Main_S[[#This Row],[EPS]]&lt;&gt;0,Main_S[[#This Row],[Current Price]]/Main_S[[#This Row],[EPS]],""),"")</f>
        <v>9.8113207547169807</v>
      </c>
      <c r="N7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0" s="1">
        <f>(Main_S[[#This Row],[P/FCF]]-VLOOKUP(Main_S[[#This Row],[Industry]], Mean_PFCF_S, 2, FALSE))/(VLOOKUP(Main_S[[#This Row],[Industry]], Mean_PFCF_S, 3, FALSE))</f>
        <v>-0.90098797686561549</v>
      </c>
      <c r="P70" s="1">
        <f>(Main_S[[#This Row],[P/B]]-VLOOKUP(Main_S[[#This Row],[Industry]], Mean_PB_S, 2, FALSE))/(VLOOKUP(Main_S[[#This Row],[Industry]], Mean_PB_S, 3, FALSE))</f>
        <v>1.4074461450124034</v>
      </c>
      <c r="Q70" s="1">
        <f>(Main_S[[#This Row],[ROE]]-VLOOKUP(Main_S[[#This Row],[Industry]], Mean_ROE_S, 2, FALSE))/(VLOOKUP(Main_S[[#This Row],[Industry]], Mean_ROE_S, 3, FALSE))</f>
        <v>1.6166432891459552</v>
      </c>
      <c r="R70" s="1">
        <f>(Main_S[[#This Row],[ROA]]-VLOOKUP(Main_S[[#This Row],[Industry]], Mean_ROA_S, 2, FALSE))/(VLOOKUP(Main_S[[#This Row],[Industry]], Mean_ROA_S, 3, FALSE))</f>
        <v>-0.5034885542768428</v>
      </c>
      <c r="S70" s="1">
        <f>(Main_S[[#This Row],[A/E]]-VLOOKUP(Main_S[[#This Row],[Industry]], Mean_AE_S, 2, FALSE))/(VLOOKUP(Main_S[[#This Row],[Industry]], Mean_AE_S, 3, FALSE))</f>
        <v>-0.81151723905554007</v>
      </c>
      <c r="T70" s="1">
        <f>(Main_S[[#This Row],[P/E]]-VLOOKUP(Main_S[[#This Row],[Industry]], Mean_PE_S, 2, FALSE))/(VLOOKUP(Main_S[[#This Row],[Industry]], Mean_PE_S, 3, FALSE))</f>
        <v>-0.94204638001125907</v>
      </c>
      <c r="U7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1" spans="1:26" x14ac:dyDescent="0.25">
      <c r="A71" t="s">
        <v>136</v>
      </c>
      <c r="B71" t="s">
        <v>260</v>
      </c>
      <c r="C71" s="2">
        <v>335</v>
      </c>
      <c r="D71">
        <f>RTD("tos.rtd", , "LAST", Main_S[[#This Row],[Symbol]])</f>
        <v>9.91</v>
      </c>
      <c r="E71">
        <v>0.15</v>
      </c>
      <c r="F71">
        <v>18.989999999999998</v>
      </c>
      <c r="G71">
        <v>-0.28999999999999998</v>
      </c>
      <c r="H71" s="1">
        <f>IF(ISNUMBER(Main_S[[#This Row],[Free CF]]),IF(Main_S[[#This Row],[Free CF]]&lt;&gt;0,Main_S[[#This Row],[Current Price]]/Main_S[[#This Row],[Free CF]],""),"")</f>
        <v>66.066666666666677</v>
      </c>
      <c r="I71" s="1">
        <f>IF(ISNUMBER(Main_S[[#This Row],[BVPS]]),IF(Main_S[[#This Row],[BVPS]]&lt;&gt;0,Main_S[[#This Row],[Current Price]]/Main_S[[#This Row],[BVPS]],""),"")</f>
        <v>0.52185360716166407</v>
      </c>
      <c r="J71">
        <v>1.89</v>
      </c>
      <c r="K71">
        <v>1.45</v>
      </c>
      <c r="L71">
        <v>1.91</v>
      </c>
      <c r="M71" s="1">
        <f>IF(ISNUMBER(Main_S[[#This Row],[EPS]]),IF(Main_S[[#This Row],[EPS]]&lt;&gt;0,Main_S[[#This Row],[Current Price]]/Main_S[[#This Row],[EPS]],""),"")</f>
        <v>-34.172413793103452</v>
      </c>
      <c r="N7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1" s="1">
        <f>(Main_S[[#This Row],[P/FCF]]-VLOOKUP(Main_S[[#This Row],[Industry]], Mean_PFCF_S, 2, FALSE))/(VLOOKUP(Main_S[[#This Row],[Industry]], Mean_PFCF_S, 3, FALSE))</f>
        <v>0.42580161102378572</v>
      </c>
      <c r="P71" s="1">
        <f>(Main_S[[#This Row],[P/B]]-VLOOKUP(Main_S[[#This Row],[Industry]], Mean_PB_S, 2, FALSE))/(VLOOKUP(Main_S[[#This Row],[Industry]], Mean_PB_S, 3, FALSE))</f>
        <v>-0.5840505540765587</v>
      </c>
      <c r="Q71" s="1">
        <f>(Main_S[[#This Row],[ROE]]-VLOOKUP(Main_S[[#This Row],[Industry]], Mean_ROE_S, 2, FALSE))/(VLOOKUP(Main_S[[#This Row],[Industry]], Mean_ROE_S, 3, FALSE))</f>
        <v>-9.8426413998172868E-2</v>
      </c>
      <c r="R71" s="1">
        <f>(Main_S[[#This Row],[ROA]]-VLOOKUP(Main_S[[#This Row],[Industry]], Mean_ROA_S, 2, FALSE))/(VLOOKUP(Main_S[[#This Row],[Industry]], Mean_ROA_S, 3, FALSE))</f>
        <v>-1.1556261102925627</v>
      </c>
      <c r="S71" s="1">
        <f>(Main_S[[#This Row],[A/E]]-VLOOKUP(Main_S[[#This Row],[Industry]], Mean_AE_S, 2, FALSE))/(VLOOKUP(Main_S[[#This Row],[Industry]], Mean_AE_S, 3, FALSE))</f>
        <v>-0.59727668794487754</v>
      </c>
      <c r="T71" s="1">
        <f>(Main_S[[#This Row],[P/E]]-VLOOKUP(Main_S[[#This Row],[Industry]], Mean_PE_S, 2, FALSE))/(VLOOKUP(Main_S[[#This Row],[Industry]], Mean_PE_S, 3, FALSE))</f>
        <v>-42.6778992764376</v>
      </c>
      <c r="U7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72" spans="1:26" x14ac:dyDescent="0.25">
      <c r="A72" t="s">
        <v>136</v>
      </c>
      <c r="B72" t="s">
        <v>261</v>
      </c>
      <c r="C72" s="2">
        <v>1146</v>
      </c>
      <c r="D72">
        <f>RTD("tos.rtd", , "LAST", Main_S[[#This Row],[Symbol]])</f>
        <v>15.3</v>
      </c>
      <c r="E72">
        <v>0.53</v>
      </c>
      <c r="F72">
        <v>32.81</v>
      </c>
      <c r="G72">
        <v>1.48</v>
      </c>
      <c r="H72" s="1">
        <f>IF(ISNUMBER(Main_S[[#This Row],[Free CF]]),IF(Main_S[[#This Row],[Free CF]]&lt;&gt;0,Main_S[[#This Row],[Current Price]]/Main_S[[#This Row],[Free CF]],""),"")</f>
        <v>28.867924528301888</v>
      </c>
      <c r="I72" s="1">
        <f>IF(ISNUMBER(Main_S[[#This Row],[BVPS]]),IF(Main_S[[#This Row],[BVPS]]&lt;&gt;0,Main_S[[#This Row],[Current Price]]/Main_S[[#This Row],[BVPS]],""),"")</f>
        <v>0.46632124352331605</v>
      </c>
      <c r="J72">
        <v>4.57</v>
      </c>
      <c r="K72">
        <v>2.86</v>
      </c>
      <c r="L72">
        <v>2.94</v>
      </c>
      <c r="M72" s="1">
        <f>IF(ISNUMBER(Main_S[[#This Row],[EPS]]),IF(Main_S[[#This Row],[EPS]]&lt;&gt;0,Main_S[[#This Row],[Current Price]]/Main_S[[#This Row],[EPS]],""),"")</f>
        <v>10.337837837837839</v>
      </c>
      <c r="N7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2" s="1">
        <f>(Main_S[[#This Row],[P/FCF]]-VLOOKUP(Main_S[[#This Row],[Industry]], Mean_PFCF_S, 2, FALSE))/(VLOOKUP(Main_S[[#This Row],[Industry]], Mean_PFCF_S, 3, FALSE))</f>
        <v>-0.96532256900275371</v>
      </c>
      <c r="P72" s="1">
        <f>(Main_S[[#This Row],[P/B]]-VLOOKUP(Main_S[[#This Row],[Industry]], Mean_PB_S, 2, FALSE))/(VLOOKUP(Main_S[[#This Row],[Industry]], Mean_PB_S, 3, FALSE))</f>
        <v>-0.82339559093584425</v>
      </c>
      <c r="Q72" s="1">
        <f>(Main_S[[#This Row],[ROE]]-VLOOKUP(Main_S[[#This Row],[Industry]], Mean_ROE_S, 2, FALSE))/(VLOOKUP(Main_S[[#This Row],[Industry]], Mean_ROE_S, 3, FALSE))</f>
        <v>0.46763107423166261</v>
      </c>
      <c r="R72" s="1">
        <f>(Main_S[[#This Row],[ROA]]-VLOOKUP(Main_S[[#This Row],[Industry]], Mean_ROA_S, 2, FALSE))/(VLOOKUP(Main_S[[#This Row],[Industry]], Mean_ROA_S, 3, FALSE))</f>
        <v>1.5488266955373338</v>
      </c>
      <c r="S72" s="1">
        <f>(Main_S[[#This Row],[A/E]]-VLOOKUP(Main_S[[#This Row],[Industry]], Mean_AE_S, 2, FALSE))/(VLOOKUP(Main_S[[#This Row],[Industry]], Mean_AE_S, 3, FALSE))</f>
        <v>1.4087939270004193</v>
      </c>
      <c r="T72" s="1">
        <f>(Main_S[[#This Row],[P/E]]-VLOOKUP(Main_S[[#This Row],[Industry]], Mean_PE_S, 2, FALSE))/(VLOOKUP(Main_S[[#This Row],[Industry]], Mean_PE_S, 3, FALSE))</f>
        <v>-0.44243806447142869</v>
      </c>
      <c r="U7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3" spans="1:26" x14ac:dyDescent="0.25">
      <c r="A73" t="s">
        <v>136</v>
      </c>
      <c r="B73" t="s">
        <v>262</v>
      </c>
      <c r="C73" s="2">
        <v>1068</v>
      </c>
      <c r="D73">
        <f>RTD("tos.rtd", , "LAST", Main_S[[#This Row],[Symbol]])</f>
        <v>4.66</v>
      </c>
      <c r="E73">
        <v>0.05</v>
      </c>
      <c r="F73">
        <v>-10.33</v>
      </c>
      <c r="G73">
        <v>0.38</v>
      </c>
      <c r="H73" s="1">
        <f>IF(ISNUMBER(Main_S[[#This Row],[Free CF]]),IF(Main_S[[#This Row],[Free CF]]&lt;&gt;0,Main_S[[#This Row],[Current Price]]/Main_S[[#This Row],[Free CF]],""),"")</f>
        <v>93.2</v>
      </c>
      <c r="I73" s="1">
        <f>IF(ISNUMBER(Main_S[[#This Row],[BVPS]]),IF(Main_S[[#This Row],[BVPS]]&lt;&gt;0,Main_S[[#This Row],[Current Price]]/Main_S[[#This Row],[BVPS]],""),"")</f>
        <v>-0.45111326234269122</v>
      </c>
      <c r="J73">
        <v>-3.79</v>
      </c>
      <c r="K73">
        <v>6.89</v>
      </c>
      <c r="L73">
        <v>-2.15</v>
      </c>
      <c r="M73" s="1">
        <f>IF(ISNUMBER(Main_S[[#This Row],[EPS]]),IF(Main_S[[#This Row],[EPS]]&lt;&gt;0,Main_S[[#This Row],[Current Price]]/Main_S[[#This Row],[EPS]],""),"")</f>
        <v>12.263157894736842</v>
      </c>
      <c r="N7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3" s="1">
        <f>(Main_S[[#This Row],[P/FCF]]-VLOOKUP(Main_S[[#This Row],[Industry]], Mean_PFCF_S, 2, FALSE))/(VLOOKUP(Main_S[[#This Row],[Industry]], Mean_PFCF_S, 3, FALSE))</f>
        <v>1.4405089348445839</v>
      </c>
      <c r="P73" s="1">
        <f>(Main_S[[#This Row],[P/B]]-VLOOKUP(Main_S[[#This Row],[Industry]], Mean_PB_S, 2, FALSE))/(VLOOKUP(Main_S[[#This Row],[Industry]], Mean_PB_S, 3, FALSE))</f>
        <v>-4.7775473906414492</v>
      </c>
      <c r="Q73" s="1">
        <f>(Main_S[[#This Row],[ROE]]-VLOOKUP(Main_S[[#This Row],[Industry]], Mean_ROE_S, 2, FALSE))/(VLOOKUP(Main_S[[#This Row],[Industry]], Mean_ROE_S, 3, FALSE))</f>
        <v>-1.2981303442763314</v>
      </c>
      <c r="R73" s="1">
        <f>(Main_S[[#This Row],[ROA]]-VLOOKUP(Main_S[[#This Row],[Industry]], Mean_ROA_S, 2, FALSE))/(VLOOKUP(Main_S[[#This Row],[Industry]], Mean_ROA_S, 3, FALSE))</f>
        <v>9.278574785958952</v>
      </c>
      <c r="S73" s="1">
        <f>(Main_S[[#This Row],[A/E]]-VLOOKUP(Main_S[[#This Row],[Industry]], Mean_AE_S, 2, FALSE))/(VLOOKUP(Main_S[[#This Row],[Industry]], Mean_AE_S, 3, FALSE))</f>
        <v>-8.5047006653020674</v>
      </c>
      <c r="T73" s="1">
        <f>(Main_S[[#This Row],[P/E]]-VLOOKUP(Main_S[[#This Row],[Industry]], Mean_PE_S, 2, FALSE))/(VLOOKUP(Main_S[[#This Row],[Industry]], Mean_PE_S, 3, FALSE))</f>
        <v>1.3844844444826894</v>
      </c>
      <c r="U7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7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7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7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4" spans="1:26" x14ac:dyDescent="0.25">
      <c r="A74" t="s">
        <v>136</v>
      </c>
      <c r="B74" t="s">
        <v>263</v>
      </c>
      <c r="C74" s="2">
        <v>1926</v>
      </c>
      <c r="D74">
        <f>RTD("tos.rtd", , "LAST", Main_S[[#This Row],[Symbol]])</f>
        <v>36</v>
      </c>
      <c r="H74" s="1" t="str">
        <f>IF(ISNUMBER(Main_S[[#This Row],[Free CF]]),IF(Main_S[[#This Row],[Free CF]]&lt;&gt;0,Main_S[[#This Row],[Current Price]]/Main_S[[#This Row],[Free CF]],""),"")</f>
        <v/>
      </c>
      <c r="I74" s="1" t="str">
        <f>IF(ISNUMBER(Main_S[[#This Row],[BVPS]]),IF(Main_S[[#This Row],[BVPS]]&lt;&gt;0,Main_S[[#This Row],[Current Price]]/Main_S[[#This Row],[BVPS]],""),"")</f>
        <v/>
      </c>
      <c r="J74">
        <v>-0.9</v>
      </c>
      <c r="K74">
        <v>2.11</v>
      </c>
      <c r="L74">
        <v>6.27</v>
      </c>
      <c r="M74" s="1" t="str">
        <f>IF(ISNUMBER(Main_S[[#This Row],[EPS]]),IF(Main_S[[#This Row],[EPS]]&lt;&gt;0,Main_S[[#This Row],[Current Price]]/Main_S[[#This Row],[EPS]],""),"")</f>
        <v/>
      </c>
      <c r="N7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4" s="1" t="e">
        <f>(Main_S[[#This Row],[P/FCF]]-VLOOKUP(Main_S[[#This Row],[Industry]], Mean_PFCF_S, 2, FALSE))/(VLOOKUP(Main_S[[#This Row],[Industry]], Mean_PFCF_S, 3, FALSE))</f>
        <v>#VALUE!</v>
      </c>
      <c r="P74" s="1" t="e">
        <f>(Main_S[[#This Row],[P/B]]-VLOOKUP(Main_S[[#This Row],[Industry]], Mean_PB_S, 2, FALSE))/(VLOOKUP(Main_S[[#This Row],[Industry]], Mean_PB_S, 3, FALSE))</f>
        <v>#VALUE!</v>
      </c>
      <c r="Q74" s="1">
        <f>(Main_S[[#This Row],[ROE]]-VLOOKUP(Main_S[[#This Row],[Industry]], Mean_ROE_S, 2, FALSE))/(VLOOKUP(Main_S[[#This Row],[Industry]], Mean_ROE_S, 3, FALSE))</f>
        <v>-0.68771760510311342</v>
      </c>
      <c r="R74" s="1">
        <f>(Main_S[[#This Row],[ROA]]-VLOOKUP(Main_S[[#This Row],[Industry]], Mean_ROA_S, 2, FALSE))/(VLOOKUP(Main_S[[#This Row],[Industry]], Mean_ROA_S, 3, FALSE))</f>
        <v>0.11028796903206961</v>
      </c>
      <c r="S74" s="1">
        <f>(Main_S[[#This Row],[A/E]]-VLOOKUP(Main_S[[#This Row],[Industry]], Mean_AE_S, 2, FALSE))/(VLOOKUP(Main_S[[#This Row],[Industry]], Mean_AE_S, 3, FALSE))</f>
        <v>7.8944397015323</v>
      </c>
      <c r="T74" s="1" t="e">
        <f>(Main_S[[#This Row],[P/E]]-VLOOKUP(Main_S[[#This Row],[Industry]], Mean_PE_S, 2, FALSE))/(VLOOKUP(Main_S[[#This Row],[Industry]], Mean_PE_S, 3, FALSE))</f>
        <v>#VALUE!</v>
      </c>
      <c r="U7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7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7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7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3DAE7-D49B-458A-9273-F0E72B30D474}">
  <sheetPr codeName="Sheet5"/>
  <dimension ref="A1:Y37"/>
  <sheetViews>
    <sheetView topLeftCell="A5" workbookViewId="0">
      <selection activeCell="B24" sqref="B24"/>
    </sheetView>
  </sheetViews>
  <sheetFormatPr defaultRowHeight="15" x14ac:dyDescent="0.25"/>
  <cols>
    <col min="1" max="1" width="36.85546875" bestFit="1" customWidth="1"/>
    <col min="2" max="3" width="60.140625" bestFit="1" customWidth="1"/>
    <col min="4" max="4" width="45.140625" bestFit="1" customWidth="1"/>
    <col min="5" max="5" width="45.42578125" bestFit="1" customWidth="1"/>
    <col min="6" max="7" width="58" bestFit="1" customWidth="1"/>
    <col min="8" max="8" width="39" bestFit="1" customWidth="1"/>
    <col min="9" max="9" width="39.28515625" bestFit="1" customWidth="1"/>
    <col min="10" max="11" width="58.7109375" bestFit="1" customWidth="1"/>
    <col min="12" max="12" width="40.7109375" bestFit="1" customWidth="1"/>
    <col min="13" max="13" width="41" bestFit="1" customWidth="1"/>
    <col min="14" max="15" width="58.85546875" bestFit="1" customWidth="1"/>
    <col min="16" max="16" width="41.140625" bestFit="1" customWidth="1"/>
    <col min="17" max="17" width="41.42578125" bestFit="1" customWidth="1"/>
    <col min="18" max="19" width="57.85546875" bestFit="1" customWidth="1"/>
    <col min="20" max="20" width="38.5703125" bestFit="1" customWidth="1"/>
    <col min="21" max="21" width="38.85546875" bestFit="1" customWidth="1"/>
    <col min="22" max="23" width="57.85546875" bestFit="1" customWidth="1"/>
    <col min="24" max="24" width="38.5703125" bestFit="1" customWidth="1"/>
    <col min="25" max="25" width="38.85546875" bestFit="1" customWidth="1"/>
  </cols>
  <sheetData>
    <row r="1" spans="1:25" x14ac:dyDescent="0.25">
      <c r="A1" t="s">
        <v>0</v>
      </c>
    </row>
    <row r="2" spans="1:25" x14ac:dyDescent="0.25">
      <c r="A2" t="s">
        <v>1</v>
      </c>
      <c r="B2" t="s">
        <v>2</v>
      </c>
      <c r="C2" t="s">
        <v>3</v>
      </c>
      <c r="D2" t="s">
        <v>4</v>
      </c>
      <c r="E2" t="s">
        <v>5</v>
      </c>
      <c r="F2" t="s">
        <v>72</v>
      </c>
      <c r="G2" t="s">
        <v>73</v>
      </c>
      <c r="H2" t="s">
        <v>74</v>
      </c>
      <c r="I2" t="s">
        <v>75</v>
      </c>
      <c r="J2" t="s">
        <v>6</v>
      </c>
      <c r="K2" t="s">
        <v>7</v>
      </c>
      <c r="L2" t="s">
        <v>8</v>
      </c>
      <c r="M2" t="s">
        <v>9</v>
      </c>
      <c r="N2" t="s">
        <v>10</v>
      </c>
      <c r="O2" t="s">
        <v>11</v>
      </c>
      <c r="P2" t="s">
        <v>12</v>
      </c>
      <c r="Q2" t="s">
        <v>13</v>
      </c>
      <c r="R2" t="s">
        <v>14</v>
      </c>
      <c r="S2" t="s">
        <v>15</v>
      </c>
      <c r="T2" t="s">
        <v>16</v>
      </c>
      <c r="U2" t="s">
        <v>17</v>
      </c>
      <c r="V2" t="s">
        <v>18</v>
      </c>
      <c r="W2" t="s">
        <v>19</v>
      </c>
      <c r="X2" t="s">
        <v>20</v>
      </c>
      <c r="Y2" t="s">
        <v>21</v>
      </c>
    </row>
    <row r="3" spans="1:25" x14ac:dyDescent="0.25">
      <c r="A3" t="s">
        <v>105</v>
      </c>
      <c r="B3" s="1" cm="1">
        <f t="array" ref="B3">_xlfn.QUARTILE.INC(IF(Quartile_L[[#This Row],[Industry]]=Main_L[Industry],Main_L[P/FCF]),1)</f>
        <v>12.349794238683128</v>
      </c>
      <c r="C3" s="1" cm="1">
        <f t="array" ref="C3">_xlfn.QUARTILE.INC(IF(Quartile_L[[#This Row],[Industry]]=Main_L[Industry],Main_L[P/FCF]),3)</f>
        <v>12.349794238683128</v>
      </c>
      <c r="D3" s="1">
        <f>Quartile_L[[#This Row],[P/FCF Q1]]-1.5*(Quartile_L[[#This Row],[P/FCF Q3]]-Quartile_L[[#This Row],[P/FCF Q1]])</f>
        <v>12.349794238683128</v>
      </c>
      <c r="E3" s="1">
        <f>Quartile_L[[#This Row],[P/FCF Q3]]+1.5*(Quartile_L[[#This Row],[P/FCF Q3]]-Quartile_L[[#This Row],[P/FCF Q1]])</f>
        <v>12.349794238683128</v>
      </c>
      <c r="F3" s="1" cm="1">
        <f t="array" ref="F3">_xlfn.QUARTILE.INC(IF(Quartile_L[[#This Row],[Industry]]=Main_L[Industry],Main_L[P/B]),1)</f>
        <v>1.5716156061796283</v>
      </c>
      <c r="G3" s="1" cm="1">
        <f t="array" ref="G3">_xlfn.QUARTILE.INC(IF(Quartile_L[[#This Row],[Industry]]=Main_L[Industry],Main_L[P/B]),3)</f>
        <v>1.5716156061796283</v>
      </c>
      <c r="H3" s="1">
        <f>Quartile_L[[#This Row],[P/B Q1]]-1.5*(Quartile_L[[#This Row],[P/B Q3]]-Quartile_L[[#This Row],[P/B Q1]])</f>
        <v>1.5716156061796283</v>
      </c>
      <c r="I3" s="1">
        <f>Quartile_L[[#This Row],[P/B Q3]]+1.5*(Quartile_L[[#This Row],[P/B Q3]]-Quartile_L[[#This Row],[P/B Q1]])</f>
        <v>1.5716156061796283</v>
      </c>
      <c r="J3" s="1" cm="1">
        <f t="array" ref="J3">_xlfn.QUARTILE.INC(IF(Quartile_L[[#This Row],[Industry]]=Main_L[Industry],Main_L[ROE]),1)</f>
        <v>5.01</v>
      </c>
      <c r="K3" s="1" cm="1">
        <f t="array" ref="K3">_xlfn.QUARTILE.INC(IF(Quartile_L[[#This Row],[Industry]]=Main_L[Industry],Main_L[ROE]),3)</f>
        <v>5.01</v>
      </c>
      <c r="L3" s="1">
        <f>Quartile_L[[#This Row],[ROE Q1]]-1.5*(Quartile_L[[#This Row],[ROE Q3]]-Quartile_L[[#This Row],[ROE Q1]])</f>
        <v>5.01</v>
      </c>
      <c r="M3" s="1">
        <f>Quartile_L[[#This Row],[ROE Q3]]+1.5*(Quartile_L[[#This Row],[ROE Q3]]-Quartile_L[[#This Row],[ROE Q1]])</f>
        <v>5.01</v>
      </c>
      <c r="N3" s="1" cm="1">
        <f t="array" ref="N3">_xlfn.QUARTILE.INC(IF(Quartile_L[[#This Row],[Industry]]=Main_L[Industry],Main_L[ROA]),1)</f>
        <v>2.9</v>
      </c>
      <c r="O3" s="1" cm="1">
        <f t="array" ref="O3">_xlfn.QUARTILE.INC(IF(Quartile_L[[#This Row],[Industry]]=Main_L[Industry],Main_L[ROA]),3)</f>
        <v>2.9</v>
      </c>
      <c r="P3" s="1">
        <f>Quartile_L[[#This Row],[ROA Q1]]-1.5*(Quartile_L[[#This Row],[ROA Q3]]-Quartile_L[[#This Row],[ROA Q1]])</f>
        <v>2.9</v>
      </c>
      <c r="Q3" s="1">
        <f>Quartile_L[[#This Row],[ROA Q3]]+1.5*(Quartile_L[[#This Row],[ROA Q3]]-Quartile_L[[#This Row],[ROA Q1]])</f>
        <v>2.9</v>
      </c>
      <c r="R3" s="1" cm="1">
        <f t="array" ref="R3">_xlfn.QUARTILE.INC(IF(Quartile_L[[#This Row],[Industry]]=Main_L[Industry],Main_L[P/E]),1)</f>
        <v>30.938144329896911</v>
      </c>
      <c r="S3" s="1" cm="1">
        <f t="array" ref="S3">_xlfn.QUARTILE.INC(IF(Quartile_L[[#This Row],[Industry]]=Main_L[Industry],Main_L[P/E]),3)</f>
        <v>30.938144329896911</v>
      </c>
      <c r="T3" s="1">
        <f>Quartile_L[[#This Row],[P/E Q1]]-1.5*(Quartile_L[[#This Row],[P/E Q3]]-Quartile_L[[#This Row],[P/E Q1]])</f>
        <v>30.938144329896911</v>
      </c>
      <c r="U3" s="1">
        <f>Quartile_L[[#This Row],[P/E Q3]]+1.5*(Quartile_L[[#This Row],[P/E Q3]]-Quartile_L[[#This Row],[P/E Q1]])</f>
        <v>30.938144329896911</v>
      </c>
      <c r="V3" s="1" cm="1">
        <f t="array" ref="V3">_xlfn.QUARTILE.INC(IF(Quartile_L[[#This Row],[Industry]]=Main_L[Industry],Main_L[A/E]),1)</f>
        <v>2.0699999999999998</v>
      </c>
      <c r="W3" s="1" cm="1">
        <f t="array" ref="W3">_xlfn.QUARTILE.INC(IF(Quartile_L[[#This Row],[Industry]]=Main_L[Industry],Main_L[A/E]),3)</f>
        <v>2.0699999999999998</v>
      </c>
      <c r="X3" s="1">
        <f>Quartile_L[[#This Row],[A/E Q1]]-1.5*(Quartile_L[[#This Row],[A/E Q3]]-Quartile_L[[#This Row],[A/E Q1]])</f>
        <v>2.0699999999999998</v>
      </c>
      <c r="Y3" s="1">
        <f>Quartile_L[[#This Row],[A/E Q3]]+1.5*(Quartile_L[[#This Row],[A/E Q3]]-Quartile_L[[#This Row],[A/E Q1]])</f>
        <v>2.0699999999999998</v>
      </c>
    </row>
    <row r="4" spans="1:25" x14ac:dyDescent="0.25">
      <c r="A4" t="s">
        <v>107</v>
      </c>
      <c r="B4" s="1" cm="1">
        <f t="array" ref="B4">_xlfn.QUARTILE.INC(IF(Quartile_L[[#This Row],[Industry]]=Main_L[Industry],Main_L[P/FCF]),1)</f>
        <v>14.910161151753403</v>
      </c>
      <c r="C4" s="1" cm="1">
        <f t="array" ref="C4">_xlfn.QUARTILE.INC(IF(Quartile_L[[#This Row],[Industry]]=Main_L[Industry],Main_L[P/FCF]),3)</f>
        <v>18.48822993413345</v>
      </c>
      <c r="D4" s="1">
        <f>Quartile_L[[#This Row],[P/FCF Q1]]-1.5*(Quartile_L[[#This Row],[P/FCF Q3]]-Quartile_L[[#This Row],[P/FCF Q1]])</f>
        <v>9.5430579781833327</v>
      </c>
      <c r="E4" s="1">
        <f>Quartile_L[[#This Row],[P/FCF Q3]]+1.5*(Quartile_L[[#This Row],[P/FCF Q3]]-Quartile_L[[#This Row],[P/FCF Q1]])</f>
        <v>23.855333107703522</v>
      </c>
      <c r="F4" s="1" cm="1">
        <f t="array" ref="F4">_xlfn.QUARTILE.INC(IF(Quartile_L[[#This Row],[Industry]]=Main_L[Industry],Main_L[P/B]),1)</f>
        <v>1.4051705264266425</v>
      </c>
      <c r="G4" s="1" cm="1">
        <f t="array" ref="G4">_xlfn.QUARTILE.INC(IF(Quartile_L[[#This Row],[Industry]]=Main_L[Industry],Main_L[P/B]),3)</f>
        <v>1.7391692082007142</v>
      </c>
      <c r="H4" s="1">
        <f>Quartile_L[[#This Row],[P/B Q1]]-1.5*(Quartile_L[[#This Row],[P/B Q3]]-Quartile_L[[#This Row],[P/B Q1]])</f>
        <v>0.90417250376553504</v>
      </c>
      <c r="I4" s="1">
        <f>Quartile_L[[#This Row],[P/B Q3]]+1.5*(Quartile_L[[#This Row],[P/B Q3]]-Quartile_L[[#This Row],[P/B Q1]])</f>
        <v>2.2401672308618217</v>
      </c>
      <c r="J4" s="1" cm="1">
        <f t="array" ref="J4">_xlfn.QUARTILE.INC(IF(Quartile_L[[#This Row],[Industry]]=Main_L[Industry],Main_L[ROE]),1)</f>
        <v>-5.0950000000000006</v>
      </c>
      <c r="K4" s="1" cm="1">
        <f t="array" ref="K4">_xlfn.QUARTILE.INC(IF(Quartile_L[[#This Row],[Industry]]=Main_L[Industry],Main_L[ROE]),3)</f>
        <v>2.8550000000000004</v>
      </c>
      <c r="L4" s="1">
        <f>Quartile_L[[#This Row],[ROE Q1]]-1.5*(Quartile_L[[#This Row],[ROE Q3]]-Quartile_L[[#This Row],[ROE Q1]])</f>
        <v>-17.020000000000003</v>
      </c>
      <c r="M4" s="1">
        <f>Quartile_L[[#This Row],[ROE Q3]]+1.5*(Quartile_L[[#This Row],[ROE Q3]]-Quartile_L[[#This Row],[ROE Q1]])</f>
        <v>14.780000000000001</v>
      </c>
      <c r="N4" s="1" cm="1">
        <f t="array" ref="N4">_xlfn.QUARTILE.INC(IF(Quartile_L[[#This Row],[Industry]]=Main_L[Industry],Main_L[ROA]),1)</f>
        <v>0.97</v>
      </c>
      <c r="O4" s="1" cm="1">
        <f t="array" ref="O4">_xlfn.QUARTILE.INC(IF(Quartile_L[[#This Row],[Industry]]=Main_L[Industry],Main_L[ROA]),3)</f>
        <v>1.91</v>
      </c>
      <c r="P4" s="1">
        <f>Quartile_L[[#This Row],[ROA Q1]]-1.5*(Quartile_L[[#This Row],[ROA Q3]]-Quartile_L[[#This Row],[ROA Q1]])</f>
        <v>-0.43999999999999995</v>
      </c>
      <c r="Q4" s="1">
        <f>Quartile_L[[#This Row],[ROA Q3]]+1.5*(Quartile_L[[#This Row],[ROA Q3]]-Quartile_L[[#This Row],[ROA Q1]])</f>
        <v>3.32</v>
      </c>
      <c r="R4" s="1" cm="1">
        <f t="array" ref="R4">_xlfn.QUARTILE.INC(IF(Quartile_L[[#This Row],[Industry]]=Main_L[Industry],Main_L[P/E]),1)</f>
        <v>-4.1466969369030231</v>
      </c>
      <c r="S4" s="1" cm="1">
        <f t="array" ref="S4">_xlfn.QUARTILE.INC(IF(Quartile_L[[#This Row],[Industry]]=Main_L[Industry],Main_L[P/E]),3)</f>
        <v>16.855506673567657</v>
      </c>
      <c r="T4" s="1">
        <f>Quartile_L[[#This Row],[P/E Q1]]-1.5*(Quartile_L[[#This Row],[P/E Q3]]-Quartile_L[[#This Row],[P/E Q1]])</f>
        <v>-35.650002352609043</v>
      </c>
      <c r="U4" s="1">
        <f>Quartile_L[[#This Row],[P/E Q3]]+1.5*(Quartile_L[[#This Row],[P/E Q3]]-Quartile_L[[#This Row],[P/E Q1]])</f>
        <v>48.358812089273677</v>
      </c>
      <c r="V4" s="1" cm="1">
        <f t="array" ref="V4">_xlfn.QUARTILE.INC(IF(Quartile_L[[#This Row],[Industry]]=Main_L[Industry],Main_L[A/E]),1)</f>
        <v>1.8975</v>
      </c>
      <c r="W4" s="1" cm="1">
        <f t="array" ref="W4">_xlfn.QUARTILE.INC(IF(Quartile_L[[#This Row],[Industry]]=Main_L[Industry],Main_L[A/E]),3)</f>
        <v>2.0924999999999998</v>
      </c>
      <c r="X4" s="1">
        <f>Quartile_L[[#This Row],[A/E Q1]]-1.5*(Quartile_L[[#This Row],[A/E Q3]]-Quartile_L[[#This Row],[A/E Q1]])</f>
        <v>1.6050000000000002</v>
      </c>
      <c r="Y4" s="1">
        <f>Quartile_L[[#This Row],[A/E Q3]]+1.5*(Quartile_L[[#This Row],[A/E Q3]]-Quartile_L[[#This Row],[A/E Q1]])</f>
        <v>2.3849999999999998</v>
      </c>
    </row>
    <row r="5" spans="1:25" x14ac:dyDescent="0.25">
      <c r="A5" t="s">
        <v>110</v>
      </c>
      <c r="B5" s="1" cm="1">
        <f t="array" ref="B5">_xlfn.QUARTILE.INC(IF(Quartile_L[[#This Row],[Industry]]=Main_L[Industry],Main_L[P/FCF]),1)</f>
        <v>7.6878048780487811</v>
      </c>
      <c r="C5" s="1" cm="1">
        <f t="array" ref="C5">_xlfn.QUARTILE.INC(IF(Quartile_L[[#This Row],[Industry]]=Main_L[Industry],Main_L[P/FCF]),3)</f>
        <v>7.6878048780487811</v>
      </c>
      <c r="D5" s="1">
        <f>Quartile_L[[#This Row],[P/FCF Q1]]-1.5*(Quartile_L[[#This Row],[P/FCF Q3]]-Quartile_L[[#This Row],[P/FCF Q1]])</f>
        <v>7.6878048780487811</v>
      </c>
      <c r="E5" s="1">
        <f>Quartile_L[[#This Row],[P/FCF Q3]]+1.5*(Quartile_L[[#This Row],[P/FCF Q3]]-Quartile_L[[#This Row],[P/FCF Q1]])</f>
        <v>7.6878048780487811</v>
      </c>
      <c r="F5" s="1" cm="1">
        <f t="array" ref="F5">_xlfn.QUARTILE.INC(IF(Quartile_L[[#This Row],[Industry]]=Main_L[Industry],Main_L[P/B]),1)</f>
        <v>1.643378519290928</v>
      </c>
      <c r="G5" s="1" cm="1">
        <f t="array" ref="G5">_xlfn.QUARTILE.INC(IF(Quartile_L[[#This Row],[Industry]]=Main_L[Industry],Main_L[P/B]),3)</f>
        <v>1.643378519290928</v>
      </c>
      <c r="H5" s="1">
        <f>Quartile_L[[#This Row],[P/B Q1]]-1.5*(Quartile_L[[#This Row],[P/B Q3]]-Quartile_L[[#This Row],[P/B Q1]])</f>
        <v>1.643378519290928</v>
      </c>
      <c r="I5" s="1">
        <f>Quartile_L[[#This Row],[P/B Q3]]+1.5*(Quartile_L[[#This Row],[P/B Q3]]-Quartile_L[[#This Row],[P/B Q1]])</f>
        <v>1.643378519290928</v>
      </c>
      <c r="J5" s="1" cm="1">
        <f t="array" ref="J5">_xlfn.QUARTILE.INC(IF(Quartile_L[[#This Row],[Industry]]=Main_L[Industry],Main_L[ROE]),1)</f>
        <v>10</v>
      </c>
      <c r="K5" s="1" cm="1">
        <f t="array" ref="K5">_xlfn.QUARTILE.INC(IF(Quartile_L[[#This Row],[Industry]]=Main_L[Industry],Main_L[ROE]),3)</f>
        <v>10</v>
      </c>
      <c r="L5" s="1">
        <f>Quartile_L[[#This Row],[ROE Q1]]-1.5*(Quartile_L[[#This Row],[ROE Q3]]-Quartile_L[[#This Row],[ROE Q1]])</f>
        <v>10</v>
      </c>
      <c r="M5" s="1">
        <f>Quartile_L[[#This Row],[ROE Q3]]+1.5*(Quartile_L[[#This Row],[ROE Q3]]-Quartile_L[[#This Row],[ROE Q1]])</f>
        <v>10</v>
      </c>
      <c r="N5" s="1" cm="1">
        <f t="array" ref="N5">_xlfn.QUARTILE.INC(IF(Quartile_L[[#This Row],[Industry]]=Main_L[Industry],Main_L[ROA]),1)</f>
        <v>3.91</v>
      </c>
      <c r="O5" s="1" cm="1">
        <f t="array" ref="O5">_xlfn.QUARTILE.INC(IF(Quartile_L[[#This Row],[Industry]]=Main_L[Industry],Main_L[ROA]),3)</f>
        <v>3.91</v>
      </c>
      <c r="P5" s="1">
        <f>Quartile_L[[#This Row],[ROA Q1]]-1.5*(Quartile_L[[#This Row],[ROA Q3]]-Quartile_L[[#This Row],[ROA Q1]])</f>
        <v>3.91</v>
      </c>
      <c r="Q5" s="1">
        <f>Quartile_L[[#This Row],[ROA Q3]]+1.5*(Quartile_L[[#This Row],[ROA Q3]]-Quartile_L[[#This Row],[ROA Q1]])</f>
        <v>3.91</v>
      </c>
      <c r="R5" s="1" cm="1">
        <f t="array" ref="R5">_xlfn.QUARTILE.INC(IF(Quartile_L[[#This Row],[Industry]]=Main_L[Industry],Main_L[P/E]),1)</f>
        <v>16.416666666666668</v>
      </c>
      <c r="S5" s="1" cm="1">
        <f t="array" ref="S5">_xlfn.QUARTILE.INC(IF(Quartile_L[[#This Row],[Industry]]=Main_L[Industry],Main_L[P/E]),3)</f>
        <v>16.416666666666668</v>
      </c>
      <c r="T5" s="1">
        <f>Quartile_L[[#This Row],[P/E Q1]]-1.5*(Quartile_L[[#This Row],[P/E Q3]]-Quartile_L[[#This Row],[P/E Q1]])</f>
        <v>16.416666666666668</v>
      </c>
      <c r="U5" s="1">
        <f>Quartile_L[[#This Row],[P/E Q3]]+1.5*(Quartile_L[[#This Row],[P/E Q3]]-Quartile_L[[#This Row],[P/E Q1]])</f>
        <v>16.416666666666668</v>
      </c>
      <c r="V5" s="1" cm="1">
        <f t="array" ref="V5">_xlfn.QUARTILE.INC(IF(Quartile_L[[#This Row],[Industry]]=Main_L[Industry],Main_L[A/E]),1)</f>
        <v>1.95</v>
      </c>
      <c r="W5" s="1" cm="1">
        <f t="array" ref="W5">_xlfn.QUARTILE.INC(IF(Quartile_L[[#This Row],[Industry]]=Main_L[Industry],Main_L[A/E]),3)</f>
        <v>1.95</v>
      </c>
      <c r="X5" s="1">
        <f>Quartile_L[[#This Row],[A/E Q1]]-1.5*(Quartile_L[[#This Row],[A/E Q3]]-Quartile_L[[#This Row],[A/E Q1]])</f>
        <v>1.95</v>
      </c>
      <c r="Y5" s="1">
        <f>Quartile_L[[#This Row],[A/E Q3]]+1.5*(Quartile_L[[#This Row],[A/E Q3]]-Quartile_L[[#This Row],[A/E Q1]])</f>
        <v>1.95</v>
      </c>
    </row>
    <row r="6" spans="1:25" x14ac:dyDescent="0.25">
      <c r="A6" t="s">
        <v>112</v>
      </c>
      <c r="B6" s="1" cm="1">
        <f t="array" ref="B6">_xlfn.QUARTILE.INC(IF(Quartile_L[[#This Row],[Industry]]=Main_L[Industry],Main_L[P/FCF]),1)</f>
        <v>8.4234693877551035</v>
      </c>
      <c r="C6" s="1" cm="1">
        <f t="array" ref="C6">_xlfn.QUARTILE.INC(IF(Quartile_L[[#This Row],[Industry]]=Main_L[Industry],Main_L[P/FCF]),3)</f>
        <v>8.4234693877551035</v>
      </c>
      <c r="D6" s="1">
        <f>Quartile_L[[#This Row],[P/FCF Q1]]-1.5*(Quartile_L[[#This Row],[P/FCF Q3]]-Quartile_L[[#This Row],[P/FCF Q1]])</f>
        <v>8.4234693877551035</v>
      </c>
      <c r="E6" s="1">
        <f>Quartile_L[[#This Row],[P/FCF Q3]]+1.5*(Quartile_L[[#This Row],[P/FCF Q3]]-Quartile_L[[#This Row],[P/FCF Q1]])</f>
        <v>8.4234693877551035</v>
      </c>
      <c r="F6" s="1" cm="1">
        <f t="array" ref="F6">_xlfn.QUARTILE.INC(IF(Quartile_L[[#This Row],[Industry]]=Main_L[Industry],Main_L[P/B]),1)</f>
        <v>1.9654761904761906</v>
      </c>
      <c r="G6" s="1" cm="1">
        <f t="array" ref="G6">_xlfn.QUARTILE.INC(IF(Quartile_L[[#This Row],[Industry]]=Main_L[Industry],Main_L[P/B]),3)</f>
        <v>1.9654761904761906</v>
      </c>
      <c r="H6" s="1">
        <f>Quartile_L[[#This Row],[P/B Q1]]-1.5*(Quartile_L[[#This Row],[P/B Q3]]-Quartile_L[[#This Row],[P/B Q1]])</f>
        <v>1.9654761904761906</v>
      </c>
      <c r="I6" s="1">
        <f>Quartile_L[[#This Row],[P/B Q3]]+1.5*(Quartile_L[[#This Row],[P/B Q3]]-Quartile_L[[#This Row],[P/B Q1]])</f>
        <v>1.9654761904761906</v>
      </c>
      <c r="J6" s="1" cm="1">
        <f t="array" ref="J6">_xlfn.QUARTILE.INC(IF(Quartile_L[[#This Row],[Industry]]=Main_L[Industry],Main_L[ROE]),1)</f>
        <v>0.8</v>
      </c>
      <c r="K6" s="1" cm="1">
        <f t="array" ref="K6">_xlfn.QUARTILE.INC(IF(Quartile_L[[#This Row],[Industry]]=Main_L[Industry],Main_L[ROE]),3)</f>
        <v>0.8</v>
      </c>
      <c r="L6" s="1">
        <f>Quartile_L[[#This Row],[ROE Q1]]-1.5*(Quartile_L[[#This Row],[ROE Q3]]-Quartile_L[[#This Row],[ROE Q1]])</f>
        <v>0.8</v>
      </c>
      <c r="M6" s="1">
        <f>Quartile_L[[#This Row],[ROE Q3]]+1.5*(Quartile_L[[#This Row],[ROE Q3]]-Quartile_L[[#This Row],[ROE Q1]])</f>
        <v>0.8</v>
      </c>
      <c r="N6" s="1" cm="1">
        <f t="array" ref="N6">_xlfn.QUARTILE.INC(IF(Quartile_L[[#This Row],[Industry]]=Main_L[Industry],Main_L[ROA]),1)</f>
        <v>2.4300000000000002</v>
      </c>
      <c r="O6" s="1" cm="1">
        <f t="array" ref="O6">_xlfn.QUARTILE.INC(IF(Quartile_L[[#This Row],[Industry]]=Main_L[Industry],Main_L[ROA]),3)</f>
        <v>2.4300000000000002</v>
      </c>
      <c r="P6" s="1">
        <f>Quartile_L[[#This Row],[ROA Q1]]-1.5*(Quartile_L[[#This Row],[ROA Q3]]-Quartile_L[[#This Row],[ROA Q1]])</f>
        <v>2.4300000000000002</v>
      </c>
      <c r="Q6" s="1">
        <f>Quartile_L[[#This Row],[ROA Q3]]+1.5*(Quartile_L[[#This Row],[ROA Q3]]-Quartile_L[[#This Row],[ROA Q1]])</f>
        <v>2.4300000000000002</v>
      </c>
      <c r="R6" s="1" cm="1">
        <f t="array" ref="R6">_xlfn.QUARTILE.INC(IF(Quartile_L[[#This Row],[Industry]]=Main_L[Industry],Main_L[P/E]),1)</f>
        <v>-2201.3333333333335</v>
      </c>
      <c r="S6" s="1" cm="1">
        <f t="array" ref="S6">_xlfn.QUARTILE.INC(IF(Quartile_L[[#This Row],[Industry]]=Main_L[Industry],Main_L[P/E]),3)</f>
        <v>-2201.3333333333335</v>
      </c>
      <c r="T6" s="1">
        <f>Quartile_L[[#This Row],[P/E Q1]]-1.5*(Quartile_L[[#This Row],[P/E Q3]]-Quartile_L[[#This Row],[P/E Q1]])</f>
        <v>-2201.3333333333335</v>
      </c>
      <c r="U6" s="1">
        <f>Quartile_L[[#This Row],[P/E Q3]]+1.5*(Quartile_L[[#This Row],[P/E Q3]]-Quartile_L[[#This Row],[P/E Q1]])</f>
        <v>-2201.3333333333335</v>
      </c>
      <c r="V6" s="1" cm="1">
        <f t="array" ref="V6">_xlfn.QUARTILE.INC(IF(Quartile_L[[#This Row],[Industry]]=Main_L[Industry],Main_L[A/E]),1)</f>
        <v>4.78</v>
      </c>
      <c r="W6" s="1" cm="1">
        <f t="array" ref="W6">_xlfn.QUARTILE.INC(IF(Quartile_L[[#This Row],[Industry]]=Main_L[Industry],Main_L[A/E]),3)</f>
        <v>4.78</v>
      </c>
      <c r="X6" s="1">
        <f>Quartile_L[[#This Row],[A/E Q1]]-1.5*(Quartile_L[[#This Row],[A/E Q3]]-Quartile_L[[#This Row],[A/E Q1]])</f>
        <v>4.78</v>
      </c>
      <c r="Y6" s="1">
        <f>Quartile_L[[#This Row],[A/E Q3]]+1.5*(Quartile_L[[#This Row],[A/E Q3]]-Quartile_L[[#This Row],[A/E Q1]])</f>
        <v>4.78</v>
      </c>
    </row>
    <row r="7" spans="1:25" x14ac:dyDescent="0.25">
      <c r="A7" t="s">
        <v>114</v>
      </c>
      <c r="B7" s="1" cm="1">
        <f t="array" ref="B7">_xlfn.QUARTILE.INC(IF(Quartile_L[[#This Row],[Industry]]=Main_L[Industry],Main_L[P/FCF]),1)</f>
        <v>10.087719298245615</v>
      </c>
      <c r="C7" s="1" cm="1">
        <f t="array" ref="C7">_xlfn.QUARTILE.INC(IF(Quartile_L[[#This Row],[Industry]]=Main_L[Industry],Main_L[P/FCF]),3)</f>
        <v>24.684615384615388</v>
      </c>
      <c r="D7" s="1">
        <f>Quartile_L[[#This Row],[P/FCF Q1]]-1.5*(Quartile_L[[#This Row],[P/FCF Q3]]-Quartile_L[[#This Row],[P/FCF Q1]])</f>
        <v>-11.807624831309044</v>
      </c>
      <c r="E7" s="1">
        <f>Quartile_L[[#This Row],[P/FCF Q3]]+1.5*(Quartile_L[[#This Row],[P/FCF Q3]]-Quartile_L[[#This Row],[P/FCF Q1]])</f>
        <v>46.579959514170042</v>
      </c>
      <c r="F7" s="1" cm="1">
        <f t="array" ref="F7">_xlfn.QUARTILE.INC(IF(Quartile_L[[#This Row],[Industry]]=Main_L[Industry],Main_L[P/B]),1)</f>
        <v>1.4718430034129693</v>
      </c>
      <c r="G7" s="1" cm="1">
        <f t="array" ref="G7">_xlfn.QUARTILE.INC(IF(Quartile_L[[#This Row],[Industry]]=Main_L[Industry],Main_L[P/B]),3)</f>
        <v>2.5237907982697605</v>
      </c>
      <c r="H7" s="1">
        <f>Quartile_L[[#This Row],[P/B Q1]]-1.5*(Quartile_L[[#This Row],[P/B Q3]]-Quartile_L[[#This Row],[P/B Q1]])</f>
        <v>-0.10607868887221761</v>
      </c>
      <c r="I7" s="1">
        <f>Quartile_L[[#This Row],[P/B Q3]]+1.5*(Quartile_L[[#This Row],[P/B Q3]]-Quartile_L[[#This Row],[P/B Q1]])</f>
        <v>4.1017124905549469</v>
      </c>
      <c r="J7" s="1" cm="1">
        <f t="array" ref="J7">_xlfn.QUARTILE.INC(IF(Quartile_L[[#This Row],[Industry]]=Main_L[Industry],Main_L[ROE]),1)</f>
        <v>1.48</v>
      </c>
      <c r="K7" s="1" cm="1">
        <f t="array" ref="K7">_xlfn.QUARTILE.INC(IF(Quartile_L[[#This Row],[Industry]]=Main_L[Industry],Main_L[ROE]),3)</f>
        <v>3.48</v>
      </c>
      <c r="L7" s="1">
        <f>Quartile_L[[#This Row],[ROE Q1]]-1.5*(Quartile_L[[#This Row],[ROE Q3]]-Quartile_L[[#This Row],[ROE Q1]])</f>
        <v>-1.52</v>
      </c>
      <c r="M7" s="1">
        <f>Quartile_L[[#This Row],[ROE Q3]]+1.5*(Quartile_L[[#This Row],[ROE Q3]]-Quartile_L[[#This Row],[ROE Q1]])</f>
        <v>6.48</v>
      </c>
      <c r="N7" s="1" cm="1">
        <f t="array" ref="N7">_xlfn.QUARTILE.INC(IF(Quartile_L[[#This Row],[Industry]]=Main_L[Industry],Main_L[ROA]),1)</f>
        <v>1.73</v>
      </c>
      <c r="O7" s="1" cm="1">
        <f t="array" ref="O7">_xlfn.QUARTILE.INC(IF(Quartile_L[[#This Row],[Industry]]=Main_L[Industry],Main_L[ROA]),3)</f>
        <v>1.91</v>
      </c>
      <c r="P7" s="1">
        <f>Quartile_L[[#This Row],[ROA Q1]]-1.5*(Quartile_L[[#This Row],[ROA Q3]]-Quartile_L[[#This Row],[ROA Q1]])</f>
        <v>1.46</v>
      </c>
      <c r="Q7" s="1">
        <f>Quartile_L[[#This Row],[ROA Q3]]+1.5*(Quartile_L[[#This Row],[ROA Q3]]-Quartile_L[[#This Row],[ROA Q1]])</f>
        <v>2.1799999999999997</v>
      </c>
      <c r="R7" s="1" cm="1">
        <f t="array" ref="R7">_xlfn.QUARTILE.INC(IF(Quartile_L[[#This Row],[Industry]]=Main_L[Industry],Main_L[P/E]),1)</f>
        <v>43.125</v>
      </c>
      <c r="S7" s="1" cm="1">
        <f t="array" ref="S7">_xlfn.QUARTILE.INC(IF(Quartile_L[[#This Row],[Industry]]=Main_L[Industry],Main_L[P/E]),3)</f>
        <v>95.26315789473685</v>
      </c>
      <c r="T7" s="1">
        <f>Quartile_L[[#This Row],[P/E Q1]]-1.5*(Quartile_L[[#This Row],[P/E Q3]]-Quartile_L[[#This Row],[P/E Q1]])</f>
        <v>-35.082236842105274</v>
      </c>
      <c r="U7" s="1">
        <f>Quartile_L[[#This Row],[P/E Q3]]+1.5*(Quartile_L[[#This Row],[P/E Q3]]-Quartile_L[[#This Row],[P/E Q1]])</f>
        <v>173.47039473684214</v>
      </c>
      <c r="V7" s="1" cm="1">
        <f t="array" ref="V7">_xlfn.QUARTILE.INC(IF(Quartile_L[[#This Row],[Industry]]=Main_L[Industry],Main_L[A/E]),1)</f>
        <v>2.0499999999999998</v>
      </c>
      <c r="W7" s="1" cm="1">
        <f t="array" ref="W7">_xlfn.QUARTILE.INC(IF(Quartile_L[[#This Row],[Industry]]=Main_L[Industry],Main_L[A/E]),3)</f>
        <v>2.27</v>
      </c>
      <c r="X7" s="1">
        <f>Quartile_L[[#This Row],[A/E Q1]]-1.5*(Quartile_L[[#This Row],[A/E Q3]]-Quartile_L[[#This Row],[A/E Q1]])</f>
        <v>1.7199999999999995</v>
      </c>
      <c r="Y7" s="1">
        <f>Quartile_L[[#This Row],[A/E Q3]]+1.5*(Quartile_L[[#This Row],[A/E Q3]]-Quartile_L[[#This Row],[A/E Q1]])</f>
        <v>2.6000000000000005</v>
      </c>
    </row>
    <row r="8" spans="1:25" x14ac:dyDescent="0.25">
      <c r="A8" t="s">
        <v>120</v>
      </c>
      <c r="B8" s="1" cm="1">
        <f t="array" ref="B8">_xlfn.QUARTILE.INC(IF(Quartile_L[[#This Row],[Industry]]=Main_L[Industry],Main_L[P/FCF]),1)</f>
        <v>16.819749267339628</v>
      </c>
      <c r="C8" s="1" cm="1">
        <f t="array" ref="C8">_xlfn.QUARTILE.INC(IF(Quartile_L[[#This Row],[Industry]]=Main_L[Industry],Main_L[P/FCF]),3)</f>
        <v>18.088924031190324</v>
      </c>
      <c r="D8" s="1">
        <f>Quartile_L[[#This Row],[P/FCF Q1]]-1.5*(Quartile_L[[#This Row],[P/FCF Q3]]-Quartile_L[[#This Row],[P/FCF Q1]])</f>
        <v>14.915987121563584</v>
      </c>
      <c r="E8" s="1">
        <f>Quartile_L[[#This Row],[P/FCF Q3]]+1.5*(Quartile_L[[#This Row],[P/FCF Q3]]-Quartile_L[[#This Row],[P/FCF Q1]])</f>
        <v>19.992686176966366</v>
      </c>
      <c r="F8" s="1" cm="1">
        <f t="array" ref="F8">_xlfn.QUARTILE.INC(IF(Quartile_L[[#This Row],[Industry]]=Main_L[Industry],Main_L[P/B]),1)</f>
        <v>2.2767012859714324</v>
      </c>
      <c r="G8" s="1" cm="1">
        <f t="array" ref="G8">_xlfn.QUARTILE.INC(IF(Quartile_L[[#This Row],[Industry]]=Main_L[Industry],Main_L[P/B]),3)</f>
        <v>3.2238532799019737</v>
      </c>
      <c r="H8" s="1">
        <f>Quartile_L[[#This Row],[P/B Q1]]-1.5*(Quartile_L[[#This Row],[P/B Q3]]-Quartile_L[[#This Row],[P/B Q1]])</f>
        <v>0.85597329507562048</v>
      </c>
      <c r="I8" s="1">
        <f>Quartile_L[[#This Row],[P/B Q3]]+1.5*(Quartile_L[[#This Row],[P/B Q3]]-Quartile_L[[#This Row],[P/B Q1]])</f>
        <v>4.6445812707977856</v>
      </c>
      <c r="J8" s="1" cm="1">
        <f t="array" ref="J8">_xlfn.QUARTILE.INC(IF(Quartile_L[[#This Row],[Industry]]=Main_L[Industry],Main_L[ROE]),1)</f>
        <v>3.34</v>
      </c>
      <c r="K8" s="1" cm="1">
        <f t="array" ref="K8">_xlfn.QUARTILE.INC(IF(Quartile_L[[#This Row],[Industry]]=Main_L[Industry],Main_L[ROE]),3)</f>
        <v>9.61</v>
      </c>
      <c r="L8" s="1">
        <f>Quartile_L[[#This Row],[ROE Q1]]-1.5*(Quartile_L[[#This Row],[ROE Q3]]-Quartile_L[[#This Row],[ROE Q1]])</f>
        <v>-6.0649999999999995</v>
      </c>
      <c r="M8" s="1">
        <f>Quartile_L[[#This Row],[ROE Q3]]+1.5*(Quartile_L[[#This Row],[ROE Q3]]-Quartile_L[[#This Row],[ROE Q1]])</f>
        <v>19.015000000000001</v>
      </c>
      <c r="N8" s="1" cm="1">
        <f t="array" ref="N8">_xlfn.QUARTILE.INC(IF(Quartile_L[[#This Row],[Industry]]=Main_L[Industry],Main_L[ROA]),1)</f>
        <v>2.085</v>
      </c>
      <c r="O8" s="1" cm="1">
        <f t="array" ref="O8">_xlfn.QUARTILE.INC(IF(Quartile_L[[#This Row],[Industry]]=Main_L[Industry],Main_L[ROA]),3)</f>
        <v>2.9050000000000002</v>
      </c>
      <c r="P8" s="1">
        <f>Quartile_L[[#This Row],[ROA Q1]]-1.5*(Quartile_L[[#This Row],[ROA Q3]]-Quartile_L[[#This Row],[ROA Q1]])</f>
        <v>0.85499999999999954</v>
      </c>
      <c r="Q8" s="1">
        <f>Quartile_L[[#This Row],[ROA Q3]]+1.5*(Quartile_L[[#This Row],[ROA Q3]]-Quartile_L[[#This Row],[ROA Q1]])</f>
        <v>4.1350000000000007</v>
      </c>
      <c r="R8" s="1" cm="1">
        <f t="array" ref="R8">_xlfn.QUARTILE.INC(IF(Quartile_L[[#This Row],[Industry]]=Main_L[Industry],Main_L[P/E]),1)</f>
        <v>28.220120357125243</v>
      </c>
      <c r="S8" s="1" cm="1">
        <f t="array" ref="S8">_xlfn.QUARTILE.INC(IF(Quartile_L[[#This Row],[Industry]]=Main_L[Industry],Main_L[P/E]),3)</f>
        <v>91.473741472594668</v>
      </c>
      <c r="T8" s="1">
        <f>Quartile_L[[#This Row],[P/E Q1]]-1.5*(Quartile_L[[#This Row],[P/E Q3]]-Quartile_L[[#This Row],[P/E Q1]])</f>
        <v>-66.660311316078904</v>
      </c>
      <c r="U8" s="1">
        <f>Quartile_L[[#This Row],[P/E Q3]]+1.5*(Quartile_L[[#This Row],[P/E Q3]]-Quartile_L[[#This Row],[P/E Q1]])</f>
        <v>186.35417314579882</v>
      </c>
      <c r="V8" s="1" cm="1">
        <f t="array" ref="V8">_xlfn.QUARTILE.INC(IF(Quartile_L[[#This Row],[Industry]]=Main_L[Industry],Main_L[A/E]),1)</f>
        <v>1.8725000000000001</v>
      </c>
      <c r="W8" s="1" cm="1">
        <f t="array" ref="W8">_xlfn.QUARTILE.INC(IF(Quartile_L[[#This Row],[Industry]]=Main_L[Industry],Main_L[A/E]),3)</f>
        <v>2.3624999999999998</v>
      </c>
      <c r="X8" s="1">
        <f>Quartile_L[[#This Row],[A/E Q1]]-1.5*(Quartile_L[[#This Row],[A/E Q3]]-Quartile_L[[#This Row],[A/E Q1]])</f>
        <v>1.1375000000000004</v>
      </c>
      <c r="Y8" s="1">
        <f>Quartile_L[[#This Row],[A/E Q3]]+1.5*(Quartile_L[[#This Row],[A/E Q3]]-Quartile_L[[#This Row],[A/E Q1]])</f>
        <v>3.0974999999999993</v>
      </c>
    </row>
    <row r="9" spans="1:25" x14ac:dyDescent="0.25">
      <c r="A9" t="s">
        <v>131</v>
      </c>
      <c r="B9" s="1" cm="1">
        <f t="array" ref="B9">_xlfn.QUARTILE.INC(IF(Quartile_L[[#This Row],[Industry]]=Main_L[Industry],Main_L[P/FCF]),1)</f>
        <v>14.062929782082325</v>
      </c>
      <c r="C9" s="1" cm="1">
        <f t="array" ref="C9">_xlfn.QUARTILE.INC(IF(Quartile_L[[#This Row],[Industry]]=Main_L[Industry],Main_L[P/FCF]),3)</f>
        <v>17.180915332153816</v>
      </c>
      <c r="D9" s="1">
        <f>Quartile_L[[#This Row],[P/FCF Q1]]-1.5*(Quartile_L[[#This Row],[P/FCF Q3]]-Quartile_L[[#This Row],[P/FCF Q1]])</f>
        <v>9.3859514569750875</v>
      </c>
      <c r="E9" s="1">
        <f>Quartile_L[[#This Row],[P/FCF Q3]]+1.5*(Quartile_L[[#This Row],[P/FCF Q3]]-Quartile_L[[#This Row],[P/FCF Q1]])</f>
        <v>21.857893657261052</v>
      </c>
      <c r="F9" s="1" cm="1">
        <f t="array" ref="F9">_xlfn.QUARTILE.INC(IF(Quartile_L[[#This Row],[Industry]]=Main_L[Industry],Main_L[P/B]),1)</f>
        <v>1.3515420106343103</v>
      </c>
      <c r="G9" s="1" cm="1">
        <f t="array" ref="G9">_xlfn.QUARTILE.INC(IF(Quartile_L[[#This Row],[Industry]]=Main_L[Industry],Main_L[P/B]),3)</f>
        <v>6.0562734031148793</v>
      </c>
      <c r="H9" s="1">
        <f>Quartile_L[[#This Row],[P/B Q1]]-1.5*(Quartile_L[[#This Row],[P/B Q3]]-Quartile_L[[#This Row],[P/B Q1]])</f>
        <v>-5.7055550780865429</v>
      </c>
      <c r="I9" s="1">
        <f>Quartile_L[[#This Row],[P/B Q3]]+1.5*(Quartile_L[[#This Row],[P/B Q3]]-Quartile_L[[#This Row],[P/B Q1]])</f>
        <v>13.113370491835733</v>
      </c>
      <c r="J9" s="1" cm="1">
        <f t="array" ref="J9">_xlfn.QUARTILE.INC(IF(Quartile_L[[#This Row],[Industry]]=Main_L[Industry],Main_L[ROE]),1)</f>
        <v>4.5350000000000001</v>
      </c>
      <c r="K9" s="1" cm="1">
        <f t="array" ref="K9">_xlfn.QUARTILE.INC(IF(Quartile_L[[#This Row],[Industry]]=Main_L[Industry],Main_L[ROE]),3)</f>
        <v>23.090000000000003</v>
      </c>
      <c r="L9" s="1">
        <f>Quartile_L[[#This Row],[ROE Q1]]-1.5*(Quartile_L[[#This Row],[ROE Q3]]-Quartile_L[[#This Row],[ROE Q1]])</f>
        <v>-23.297500000000003</v>
      </c>
      <c r="M9" s="1">
        <f>Quartile_L[[#This Row],[ROE Q3]]+1.5*(Quartile_L[[#This Row],[ROE Q3]]-Quartile_L[[#This Row],[ROE Q1]])</f>
        <v>50.922500000000007</v>
      </c>
      <c r="N9" s="1" cm="1">
        <f t="array" ref="N9">_xlfn.QUARTILE.INC(IF(Quartile_L[[#This Row],[Industry]]=Main_L[Industry],Main_L[ROA]),1)</f>
        <v>2.1675</v>
      </c>
      <c r="O9" s="1" cm="1">
        <f t="array" ref="O9">_xlfn.QUARTILE.INC(IF(Quartile_L[[#This Row],[Industry]]=Main_L[Industry],Main_L[ROA]),3)</f>
        <v>3.6325000000000003</v>
      </c>
      <c r="P9" s="1">
        <f>Quartile_L[[#This Row],[ROA Q1]]-1.5*(Quartile_L[[#This Row],[ROA Q3]]-Quartile_L[[#This Row],[ROA Q1]])</f>
        <v>-3.0000000000000693E-2</v>
      </c>
      <c r="Q9" s="1">
        <f>Quartile_L[[#This Row],[ROA Q3]]+1.5*(Quartile_L[[#This Row],[ROA Q3]]-Quartile_L[[#This Row],[ROA Q1]])</f>
        <v>5.830000000000001</v>
      </c>
      <c r="R9" s="1" cm="1">
        <f t="array" ref="R9">_xlfn.QUARTILE.INC(IF(Quartile_L[[#This Row],[Industry]]=Main_L[Industry],Main_L[P/E]),1)</f>
        <v>26.717576482528635</v>
      </c>
      <c r="S9" s="1" cm="1">
        <f t="array" ref="S9">_xlfn.QUARTILE.INC(IF(Quartile_L[[#This Row],[Industry]]=Main_L[Industry],Main_L[P/E]),3)</f>
        <v>38.594080177399022</v>
      </c>
      <c r="T9" s="1">
        <f>Quartile_L[[#This Row],[P/E Q1]]-1.5*(Quartile_L[[#This Row],[P/E Q3]]-Quartile_L[[#This Row],[P/E Q1]])</f>
        <v>8.9028209402230551</v>
      </c>
      <c r="U9" s="1">
        <f>Quartile_L[[#This Row],[P/E Q3]]+1.5*(Quartile_L[[#This Row],[P/E Q3]]-Quartile_L[[#This Row],[P/E Q1]])</f>
        <v>56.408835719704598</v>
      </c>
      <c r="V9" s="1" cm="1">
        <f t="array" ref="V9">_xlfn.QUARTILE.INC(IF(Quartile_L[[#This Row],[Industry]]=Main_L[Industry],Main_L[A/E]),1)</f>
        <v>1.8425</v>
      </c>
      <c r="W9" s="1" cm="1">
        <f t="array" ref="W9">_xlfn.QUARTILE.INC(IF(Quartile_L[[#This Row],[Industry]]=Main_L[Industry],Main_L[A/E]),3)</f>
        <v>4.2475000000000005</v>
      </c>
      <c r="X9" s="1">
        <f>Quartile_L[[#This Row],[A/E Q1]]-1.5*(Quartile_L[[#This Row],[A/E Q3]]-Quartile_L[[#This Row],[A/E Q1]])</f>
        <v>-1.7650000000000003</v>
      </c>
      <c r="Y9" s="1">
        <f>Quartile_L[[#This Row],[A/E Q3]]+1.5*(Quartile_L[[#This Row],[A/E Q3]]-Quartile_L[[#This Row],[A/E Q1]])</f>
        <v>7.8550000000000004</v>
      </c>
    </row>
    <row r="10" spans="1:25" x14ac:dyDescent="0.25">
      <c r="A10" t="s">
        <v>136</v>
      </c>
      <c r="B10" s="1" cm="1">
        <f t="array" ref="B10">_xlfn.QUARTILE.INC(IF(Quartile_L[[#This Row],[Industry]]=Main_L[Industry],Main_L[P/FCF]),1)</f>
        <v>15.235572860074852</v>
      </c>
      <c r="C10" s="1" cm="1">
        <f t="array" ref="C10">_xlfn.QUARTILE.INC(IF(Quartile_L[[#This Row],[Industry]]=Main_L[Industry],Main_L[P/FCF]),3)</f>
        <v>24.11014697707877</v>
      </c>
      <c r="D10" s="1">
        <f>Quartile_L[[#This Row],[P/FCF Q1]]-1.5*(Quartile_L[[#This Row],[P/FCF Q3]]-Quartile_L[[#This Row],[P/FCF Q1]])</f>
        <v>1.923711684568973</v>
      </c>
      <c r="E10" s="1">
        <f>Quartile_L[[#This Row],[P/FCF Q3]]+1.5*(Quartile_L[[#This Row],[P/FCF Q3]]-Quartile_L[[#This Row],[P/FCF Q1]])</f>
        <v>37.422008152584652</v>
      </c>
      <c r="F10" s="1" cm="1">
        <f t="array" ref="F10">_xlfn.QUARTILE.INC(IF(Quartile_L[[#This Row],[Industry]]=Main_L[Industry],Main_L[P/B]),1)</f>
        <v>-0.29294120368556165</v>
      </c>
      <c r="G10" s="1" cm="1">
        <f t="array" ref="G10">_xlfn.QUARTILE.INC(IF(Quartile_L[[#This Row],[Industry]]=Main_L[Industry],Main_L[P/B]),3)</f>
        <v>7.1296182865310289</v>
      </c>
      <c r="H10" s="1">
        <f>Quartile_L[[#This Row],[P/B Q1]]-1.5*(Quartile_L[[#This Row],[P/B Q3]]-Quartile_L[[#This Row],[P/B Q1]])</f>
        <v>-11.426780439010447</v>
      </c>
      <c r="I10" s="1">
        <f>Quartile_L[[#This Row],[P/B Q3]]+1.5*(Quartile_L[[#This Row],[P/B Q3]]-Quartile_L[[#This Row],[P/B Q1]])</f>
        <v>18.263457521855912</v>
      </c>
      <c r="J10" s="1" cm="1">
        <f t="array" ref="J10">_xlfn.QUARTILE.INC(IF(Quartile_L[[#This Row],[Industry]]=Main_L[Industry],Main_L[ROE]),1)</f>
        <v>-2.634999999999998</v>
      </c>
      <c r="K10" s="1" cm="1">
        <f t="array" ref="K10">_xlfn.QUARTILE.INC(IF(Quartile_L[[#This Row],[Industry]]=Main_L[Industry],Main_L[ROE]),3)</f>
        <v>18.2</v>
      </c>
      <c r="L10" s="1">
        <f>Quartile_L[[#This Row],[ROE Q1]]-1.5*(Quartile_L[[#This Row],[ROE Q3]]-Quartile_L[[#This Row],[ROE Q1]])</f>
        <v>-33.887499999999996</v>
      </c>
      <c r="M10" s="1">
        <f>Quartile_L[[#This Row],[ROE Q3]]+1.5*(Quartile_L[[#This Row],[ROE Q3]]-Quartile_L[[#This Row],[ROE Q1]])</f>
        <v>49.452500000000001</v>
      </c>
      <c r="N10" s="1" cm="1">
        <f t="array" ref="N10">_xlfn.QUARTILE.INC(IF(Quartile_L[[#This Row],[Industry]]=Main_L[Industry],Main_L[ROA]),1)</f>
        <v>3.2875000000000001</v>
      </c>
      <c r="O10" s="1" cm="1">
        <f t="array" ref="O10">_xlfn.QUARTILE.INC(IF(Quartile_L[[#This Row],[Industry]]=Main_L[Industry],Main_L[ROA]),3)</f>
        <v>5.2625000000000002</v>
      </c>
      <c r="P10" s="1">
        <f>Quartile_L[[#This Row],[ROA Q1]]-1.5*(Quartile_L[[#This Row],[ROA Q3]]-Quartile_L[[#This Row],[ROA Q1]])</f>
        <v>0.32499999999999973</v>
      </c>
      <c r="Q10" s="1">
        <f>Quartile_L[[#This Row],[ROA Q3]]+1.5*(Quartile_L[[#This Row],[ROA Q3]]-Quartile_L[[#This Row],[ROA Q1]])</f>
        <v>8.2250000000000014</v>
      </c>
      <c r="R10" s="1" cm="1">
        <f t="array" ref="R10">_xlfn.QUARTILE.INC(IF(Quartile_L[[#This Row],[Industry]]=Main_L[Industry],Main_L[P/E]),1)</f>
        <v>26.464615233608164</v>
      </c>
      <c r="S10" s="1" cm="1">
        <f t="array" ref="S10">_xlfn.QUARTILE.INC(IF(Quartile_L[[#This Row],[Industry]]=Main_L[Industry],Main_L[P/E]),3)</f>
        <v>63.500372411738425</v>
      </c>
      <c r="T10" s="1">
        <f>Quartile_L[[#This Row],[P/E Q1]]-1.5*(Quartile_L[[#This Row],[P/E Q3]]-Quartile_L[[#This Row],[P/E Q1]])</f>
        <v>-29.089020533587224</v>
      </c>
      <c r="U10" s="1">
        <f>Quartile_L[[#This Row],[P/E Q3]]+1.5*(Quartile_L[[#This Row],[P/E Q3]]-Quartile_L[[#This Row],[P/E Q1]])</f>
        <v>119.05400817893381</v>
      </c>
      <c r="V10" s="1" cm="1">
        <f t="array" ref="V10">_xlfn.QUARTILE.INC(IF(Quartile_L[[#This Row],[Industry]]=Main_L[Industry],Main_L[A/E]),1)</f>
        <v>0.75749999999999984</v>
      </c>
      <c r="W10" s="1" cm="1">
        <f t="array" ref="W10">_xlfn.QUARTILE.INC(IF(Quartile_L[[#This Row],[Industry]]=Main_L[Industry],Main_L[A/E]),3)</f>
        <v>3.0999999999999996</v>
      </c>
      <c r="X10" s="1">
        <f>Quartile_L[[#This Row],[A/E Q1]]-1.5*(Quartile_L[[#This Row],[A/E Q3]]-Quartile_L[[#This Row],[A/E Q1]])</f>
        <v>-2.7562500000000001</v>
      </c>
      <c r="Y10" s="1">
        <f>Quartile_L[[#This Row],[A/E Q3]]+1.5*(Quartile_L[[#This Row],[A/E Q3]]-Quartile_L[[#This Row],[A/E Q1]])</f>
        <v>6.6137499999999996</v>
      </c>
    </row>
    <row r="11" spans="1:25" x14ac:dyDescent="0.25">
      <c r="A11" t="s">
        <v>149</v>
      </c>
      <c r="B11" s="1" cm="1">
        <f t="array" ref="B11">_xlfn.QUARTILE.INC(IF(Quartile_L[[#This Row],[Industry]]=Main_L[Industry],Main_L[P/FCF]),1)</f>
        <v>19.179711201523951</v>
      </c>
      <c r="C11" s="1" cm="1">
        <f t="array" ref="C11">_xlfn.QUARTILE.INC(IF(Quartile_L[[#This Row],[Industry]]=Main_L[Industry],Main_L[P/FCF]),3)</f>
        <v>54.605487305487301</v>
      </c>
      <c r="D11" s="1">
        <f>Quartile_L[[#This Row],[P/FCF Q1]]-1.5*(Quartile_L[[#This Row],[P/FCF Q3]]-Quartile_L[[#This Row],[P/FCF Q1]])</f>
        <v>-33.958952954421072</v>
      </c>
      <c r="E11" s="1">
        <f>Quartile_L[[#This Row],[P/FCF Q3]]+1.5*(Quartile_L[[#This Row],[P/FCF Q3]]-Quartile_L[[#This Row],[P/FCF Q1]])</f>
        <v>107.74415146143232</v>
      </c>
      <c r="F11" s="1" cm="1">
        <f t="array" ref="F11">_xlfn.QUARTILE.INC(IF(Quartile_L[[#This Row],[Industry]]=Main_L[Industry],Main_L[P/B]),1)</f>
        <v>2.7109514166677431</v>
      </c>
      <c r="G11" s="1" cm="1">
        <f t="array" ref="G11">_xlfn.QUARTILE.INC(IF(Quartile_L[[#This Row],[Industry]]=Main_L[Industry],Main_L[P/B]),3)</f>
        <v>3.6676401999219199</v>
      </c>
      <c r="H11" s="1">
        <f>Quartile_L[[#This Row],[P/B Q1]]-1.5*(Quartile_L[[#This Row],[P/B Q3]]-Quartile_L[[#This Row],[P/B Q1]])</f>
        <v>1.2759182417864778</v>
      </c>
      <c r="I11" s="1">
        <f>Quartile_L[[#This Row],[P/B Q3]]+1.5*(Quartile_L[[#This Row],[P/B Q3]]-Quartile_L[[#This Row],[P/B Q1]])</f>
        <v>5.1026733748031852</v>
      </c>
      <c r="J11" s="1" cm="1">
        <f t="array" ref="J11">_xlfn.QUARTILE.INC(IF(Quartile_L[[#This Row],[Industry]]=Main_L[Industry],Main_L[ROE]),1)</f>
        <v>-1.425</v>
      </c>
      <c r="K11" s="1" cm="1">
        <f t="array" ref="K11">_xlfn.QUARTILE.INC(IF(Quartile_L[[#This Row],[Industry]]=Main_L[Industry],Main_L[ROE]),3)</f>
        <v>7.5850000000000009</v>
      </c>
      <c r="L11" s="1">
        <f>Quartile_L[[#This Row],[ROE Q1]]-1.5*(Quartile_L[[#This Row],[ROE Q3]]-Quartile_L[[#This Row],[ROE Q1]])</f>
        <v>-14.940000000000003</v>
      </c>
      <c r="M11" s="1">
        <f>Quartile_L[[#This Row],[ROE Q3]]+1.5*(Quartile_L[[#This Row],[ROE Q3]]-Quartile_L[[#This Row],[ROE Q1]])</f>
        <v>21.1</v>
      </c>
      <c r="N11" s="1" cm="1">
        <f t="array" ref="N11">_xlfn.QUARTILE.INC(IF(Quartile_L[[#This Row],[Industry]]=Main_L[Industry],Main_L[ROA]),1)</f>
        <v>-1.39</v>
      </c>
      <c r="O11" s="1" cm="1">
        <f t="array" ref="O11">_xlfn.QUARTILE.INC(IF(Quartile_L[[#This Row],[Industry]]=Main_L[Industry],Main_L[ROA]),3)</f>
        <v>3.0250000000000004</v>
      </c>
      <c r="P11" s="1">
        <f>Quartile_L[[#This Row],[ROA Q1]]-1.5*(Quartile_L[[#This Row],[ROA Q3]]-Quartile_L[[#This Row],[ROA Q1]])</f>
        <v>-8.0125000000000011</v>
      </c>
      <c r="Q11" s="1">
        <f>Quartile_L[[#This Row],[ROA Q3]]+1.5*(Quartile_L[[#This Row],[ROA Q3]]-Quartile_L[[#This Row],[ROA Q1]])</f>
        <v>9.6475000000000009</v>
      </c>
      <c r="R11" s="1" cm="1">
        <f t="array" ref="R11">_xlfn.QUARTILE.INC(IF(Quartile_L[[#This Row],[Industry]]=Main_L[Industry],Main_L[P/E]),1)</f>
        <v>-102.88617256637168</v>
      </c>
      <c r="S11" s="1" cm="1">
        <f t="array" ref="S11">_xlfn.QUARTILE.INC(IF(Quartile_L[[#This Row],[Industry]]=Main_L[Industry],Main_L[P/E]),3)</f>
        <v>41.9270887389725</v>
      </c>
      <c r="T11" s="1">
        <f>Quartile_L[[#This Row],[P/E Q1]]-1.5*(Quartile_L[[#This Row],[P/E Q3]]-Quartile_L[[#This Row],[P/E Q1]])</f>
        <v>-320.10606452438793</v>
      </c>
      <c r="U11" s="1">
        <f>Quartile_L[[#This Row],[P/E Q3]]+1.5*(Quartile_L[[#This Row],[P/E Q3]]-Quartile_L[[#This Row],[P/E Q1]])</f>
        <v>259.14698069698875</v>
      </c>
      <c r="V11" s="1" cm="1">
        <f t="array" ref="V11">_xlfn.QUARTILE.INC(IF(Quartile_L[[#This Row],[Industry]]=Main_L[Industry],Main_L[A/E]),1)</f>
        <v>1.2050000000000001</v>
      </c>
      <c r="W11" s="1" cm="1">
        <f t="array" ref="W11">_xlfn.QUARTILE.INC(IF(Quartile_L[[#This Row],[Industry]]=Main_L[Industry],Main_L[A/E]),3)</f>
        <v>2.3275000000000001</v>
      </c>
      <c r="X11" s="1">
        <f>Quartile_L[[#This Row],[A/E Q1]]-1.5*(Quartile_L[[#This Row],[A/E Q3]]-Quartile_L[[#This Row],[A/E Q1]])</f>
        <v>-0.47875000000000001</v>
      </c>
      <c r="Y11" s="1">
        <f>Quartile_L[[#This Row],[A/E Q3]]+1.5*(Quartile_L[[#This Row],[A/E Q3]]-Quartile_L[[#This Row],[A/E Q1]])</f>
        <v>4.0112500000000004</v>
      </c>
    </row>
    <row r="14" spans="1:25" x14ac:dyDescent="0.25">
      <c r="A14" t="s">
        <v>22</v>
      </c>
    </row>
    <row r="15" spans="1:25" x14ac:dyDescent="0.25">
      <c r="A15" t="s">
        <v>1</v>
      </c>
      <c r="B15" t="s">
        <v>2</v>
      </c>
      <c r="C15" t="s">
        <v>3</v>
      </c>
      <c r="D15" t="s">
        <v>4</v>
      </c>
      <c r="E15" t="s">
        <v>5</v>
      </c>
      <c r="F15" t="s">
        <v>72</v>
      </c>
      <c r="G15" t="s">
        <v>73</v>
      </c>
      <c r="H15" t="s">
        <v>74</v>
      </c>
      <c r="I15" t="s">
        <v>75</v>
      </c>
      <c r="J15" t="s">
        <v>6</v>
      </c>
      <c r="K15" t="s">
        <v>7</v>
      </c>
      <c r="L15" t="s">
        <v>8</v>
      </c>
      <c r="M15" t="s">
        <v>9</v>
      </c>
      <c r="N15" t="s">
        <v>10</v>
      </c>
      <c r="O15" t="s">
        <v>11</v>
      </c>
      <c r="P15" t="s">
        <v>12</v>
      </c>
      <c r="Q15" t="s">
        <v>13</v>
      </c>
      <c r="R15" t="s">
        <v>14</v>
      </c>
      <c r="S15" t="s">
        <v>15</v>
      </c>
      <c r="T15" t="s">
        <v>16</v>
      </c>
      <c r="U15" t="s">
        <v>17</v>
      </c>
      <c r="V15" t="s">
        <v>18</v>
      </c>
      <c r="W15" t="s">
        <v>19</v>
      </c>
      <c r="X15" t="s">
        <v>20</v>
      </c>
      <c r="Y15" t="s">
        <v>21</v>
      </c>
    </row>
    <row r="16" spans="1:25" x14ac:dyDescent="0.25">
      <c r="A16" t="s">
        <v>105</v>
      </c>
      <c r="B16" s="1" cm="1">
        <f t="array" ref="B16">_xlfn.QUARTILE.INC(IF(Quartile_M[[#This Row],[Industry]]=Main_M[Industry],Main_M[P/FCF]),1)</f>
        <v>13.419964940440991</v>
      </c>
      <c r="C16" s="1" cm="1">
        <f t="array" ref="C16">_xlfn.QUARTILE.INC(IF(Quartile_M[[#This Row],[Industry]]=Main_M[Industry],Main_M[P/FCF]),3)</f>
        <v>16.244857227338006</v>
      </c>
      <c r="D16" s="1">
        <f>Quartile_M[[#This Row],[P/FCF Q1]]-1.5*(Quartile_M[[#This Row],[P/FCF Q3]]-Quartile_M[[#This Row],[P/FCF Q1]])</f>
        <v>9.1826265100954689</v>
      </c>
      <c r="E16" s="1">
        <f>Quartile_M[[#This Row],[P/FCF Q3]]+1.5*(Quartile_M[[#This Row],[P/FCF Q3]]-Quartile_M[[#This Row],[P/FCF Q1]])</f>
        <v>20.482195657683526</v>
      </c>
      <c r="F16" s="1" cm="1">
        <f t="array" ref="F16">_xlfn.QUARTILE.INC(IF(Quartile_M[[#This Row],[Industry]]=Main_M[Industry],Main_M[P/B]),1)</f>
        <v>1.1744913600891862</v>
      </c>
      <c r="G16" s="1" cm="1">
        <f t="array" ref="G16">_xlfn.QUARTILE.INC(IF(Quartile_M[[#This Row],[Industry]]=Main_M[Industry],Main_M[P/B]),3)</f>
        <v>1.4760381828316611</v>
      </c>
      <c r="H16" s="1">
        <f>Quartile_M[[#This Row],[P/B Q1]]-1.5*(Quartile_M[[#This Row],[P/B Q3]]-Quartile_M[[#This Row],[P/B Q1]])</f>
        <v>0.72217112597547384</v>
      </c>
      <c r="I16" s="1">
        <f>Quartile_M[[#This Row],[P/B Q3]]+1.5*(Quartile_M[[#This Row],[P/B Q3]]-Quartile_M[[#This Row],[P/B Q1]])</f>
        <v>1.9283584169453736</v>
      </c>
      <c r="J16" s="1" cm="1">
        <f t="array" ref="J16">_xlfn.QUARTILE.INC(IF(Quartile_M[[#This Row],[Industry]]=Main_M[Industry],Main_M[ROE]),1)</f>
        <v>4.3249999999999993</v>
      </c>
      <c r="K16" s="1" cm="1">
        <f t="array" ref="K16">_xlfn.QUARTILE.INC(IF(Quartile_M[[#This Row],[Industry]]=Main_M[Industry],Main_M[ROE]),3)</f>
        <v>5.4550000000000001</v>
      </c>
      <c r="L16" s="1">
        <f>Quartile_M[[#This Row],[ROE Q1]]-1.5*(Quartile_M[[#This Row],[ROE Q3]]-Quartile_M[[#This Row],[ROE Q1]])</f>
        <v>2.6299999999999981</v>
      </c>
      <c r="M16" s="1">
        <f>Quartile_M[[#This Row],[ROE Q3]]+1.5*(Quartile_M[[#This Row],[ROE Q3]]-Quartile_M[[#This Row],[ROE Q1]])</f>
        <v>7.1500000000000012</v>
      </c>
      <c r="N16" s="1" cm="1">
        <f t="array" ref="N16">_xlfn.QUARTILE.INC(IF(Quartile_M[[#This Row],[Industry]]=Main_M[Industry],Main_M[ROA]),1)</f>
        <v>2.79</v>
      </c>
      <c r="O16" s="1" cm="1">
        <f t="array" ref="O16">_xlfn.QUARTILE.INC(IF(Quartile_M[[#This Row],[Industry]]=Main_M[Industry],Main_M[ROA]),3)</f>
        <v>3.21</v>
      </c>
      <c r="P16" s="1">
        <f>Quartile_M[[#This Row],[ROA Q1]]-1.5*(Quartile_M[[#This Row],[ROA Q3]]-Quartile_M[[#This Row],[ROA Q1]])</f>
        <v>2.16</v>
      </c>
      <c r="Q16" s="1">
        <f>Quartile_M[[#This Row],[ROA Q3]]+1.5*(Quartile_M[[#This Row],[ROA Q3]]-Quartile_M[[#This Row],[ROA Q1]])</f>
        <v>3.84</v>
      </c>
      <c r="R16" s="1" cm="1">
        <f t="array" ref="R16">_xlfn.QUARTILE.INC(IF(Quartile_M[[#This Row],[Industry]]=Main_M[Industry],Main_M[P/E]),1)</f>
        <v>26.736206896551725</v>
      </c>
      <c r="S16" s="1" cm="1">
        <f t="array" ref="S16">_xlfn.QUARTILE.INC(IF(Quartile_M[[#This Row],[Industry]]=Main_M[Industry],Main_M[P/E]),3)</f>
        <v>26.975287356321839</v>
      </c>
      <c r="T16" s="1">
        <f>Quartile_M[[#This Row],[P/E Q1]]-1.5*(Quartile_M[[#This Row],[P/E Q3]]-Quartile_M[[#This Row],[P/E Q1]])</f>
        <v>26.377586206896552</v>
      </c>
      <c r="U16" s="1">
        <f>Quartile_M[[#This Row],[P/E Q3]]+1.5*(Quartile_M[[#This Row],[P/E Q3]]-Quartile_M[[#This Row],[P/E Q1]])</f>
        <v>27.333908045977012</v>
      </c>
      <c r="V16" s="1" cm="1">
        <f t="array" ref="V16">_xlfn.QUARTILE.INC(IF(Quartile_M[[#This Row],[Industry]]=Main_M[Industry],Main_M[A/E]),1)</f>
        <v>1.6375000000000002</v>
      </c>
      <c r="W16" s="1" cm="1">
        <f t="array" ref="W16">_xlfn.QUARTILE.INC(IF(Quartile_M[[#This Row],[Industry]]=Main_M[Industry],Main_M[A/E]),3)</f>
        <v>1.7324999999999999</v>
      </c>
      <c r="X16" s="1">
        <f>Quartile_M[[#This Row],[A/E Q1]]-1.5*(Quartile_M[[#This Row],[A/E Q3]]-Quartile_M[[#This Row],[A/E Q1]])</f>
        <v>1.4950000000000006</v>
      </c>
      <c r="Y16" s="1">
        <f>Quartile_M[[#This Row],[A/E Q3]]+1.5*(Quartile_M[[#This Row],[A/E Q3]]-Quartile_M[[#This Row],[A/E Q1]])</f>
        <v>1.8749999999999996</v>
      </c>
    </row>
    <row r="17" spans="1:25" x14ac:dyDescent="0.25">
      <c r="A17" t="s">
        <v>107</v>
      </c>
      <c r="B17" s="1" cm="1">
        <f t="array" ref="B17">_xlfn.QUARTILE.INC(IF(Quartile_M[[#This Row],[Industry]]=Main_M[Industry],Main_M[P/FCF]),1)</f>
        <v>14.94039172209904</v>
      </c>
      <c r="C17" s="1" cm="1">
        <f t="array" ref="C17">_xlfn.QUARTILE.INC(IF(Quartile_M[[#This Row],[Industry]]=Main_M[Industry],Main_M[P/FCF]),3)</f>
        <v>21.905403241002453</v>
      </c>
      <c r="D17" s="1">
        <f>Quartile_M[[#This Row],[P/FCF Q1]]-1.5*(Quartile_M[[#This Row],[P/FCF Q3]]-Quartile_M[[#This Row],[P/FCF Q1]])</f>
        <v>4.4928744437439203</v>
      </c>
      <c r="E17" s="1">
        <f>Quartile_M[[#This Row],[P/FCF Q3]]+1.5*(Quartile_M[[#This Row],[P/FCF Q3]]-Quartile_M[[#This Row],[P/FCF Q1]])</f>
        <v>32.352920519357575</v>
      </c>
      <c r="F17" s="1" cm="1">
        <f t="array" ref="F17">_xlfn.QUARTILE.INC(IF(Quartile_M[[#This Row],[Industry]]=Main_M[Industry],Main_M[P/B]),1)</f>
        <v>1.3900320753252799</v>
      </c>
      <c r="G17" s="1" cm="1">
        <f t="array" ref="G17">_xlfn.QUARTILE.INC(IF(Quartile_M[[#This Row],[Industry]]=Main_M[Industry],Main_M[P/B]),3)</f>
        <v>2.2214634127981814</v>
      </c>
      <c r="H17" s="1">
        <f>Quartile_M[[#This Row],[P/B Q1]]-1.5*(Quartile_M[[#This Row],[P/B Q3]]-Quartile_M[[#This Row],[P/B Q1]])</f>
        <v>0.1428850691159278</v>
      </c>
      <c r="I17" s="1">
        <f>Quartile_M[[#This Row],[P/B Q3]]+1.5*(Quartile_M[[#This Row],[P/B Q3]]-Quartile_M[[#This Row],[P/B Q1]])</f>
        <v>3.4686104190075335</v>
      </c>
      <c r="J17" s="1" cm="1">
        <f t="array" ref="J17">_xlfn.QUARTILE.INC(IF(Quartile_M[[#This Row],[Industry]]=Main_M[Industry],Main_M[ROE]),1)</f>
        <v>3.105</v>
      </c>
      <c r="K17" s="1" cm="1">
        <f t="array" ref="K17">_xlfn.QUARTILE.INC(IF(Quartile_M[[#This Row],[Industry]]=Main_M[Industry],Main_M[ROE]),3)</f>
        <v>7.3800000000000008</v>
      </c>
      <c r="L17" s="1">
        <f>Quartile_M[[#This Row],[ROE Q1]]-1.5*(Quartile_M[[#This Row],[ROE Q3]]-Quartile_M[[#This Row],[ROE Q1]])</f>
        <v>-3.3075000000000006</v>
      </c>
      <c r="M17" s="1">
        <f>Quartile_M[[#This Row],[ROE Q3]]+1.5*(Quartile_M[[#This Row],[ROE Q3]]-Quartile_M[[#This Row],[ROE Q1]])</f>
        <v>13.7925</v>
      </c>
      <c r="N17" s="1" cm="1">
        <f t="array" ref="N17">_xlfn.QUARTILE.INC(IF(Quartile_M[[#This Row],[Industry]]=Main_M[Industry],Main_M[ROA]),1)</f>
        <v>1.82</v>
      </c>
      <c r="O17" s="1" cm="1">
        <f t="array" ref="O17">_xlfn.QUARTILE.INC(IF(Quartile_M[[#This Row],[Industry]]=Main_M[Industry],Main_M[ROA]),3)</f>
        <v>2.9749999999999996</v>
      </c>
      <c r="P17" s="1">
        <f>Quartile_M[[#This Row],[ROA Q1]]-1.5*(Quartile_M[[#This Row],[ROA Q3]]-Quartile_M[[#This Row],[ROA Q1]])</f>
        <v>8.7500000000000577E-2</v>
      </c>
      <c r="Q17" s="1">
        <f>Quartile_M[[#This Row],[ROA Q3]]+1.5*(Quartile_M[[#This Row],[ROA Q3]]-Quartile_M[[#This Row],[ROA Q1]])</f>
        <v>4.7074999999999996</v>
      </c>
      <c r="R17" s="1" cm="1">
        <f t="array" ref="R17">_xlfn.QUARTILE.INC(IF(Quartile_M[[#This Row],[Industry]]=Main_M[Industry],Main_M[P/E]),1)</f>
        <v>25.937399468821308</v>
      </c>
      <c r="S17" s="1" cm="1">
        <f t="array" ref="S17">_xlfn.QUARTILE.INC(IF(Quartile_M[[#This Row],[Industry]]=Main_M[Industry],Main_M[P/E]),3)</f>
        <v>34.028577601892287</v>
      </c>
      <c r="T17" s="1">
        <f>Quartile_M[[#This Row],[P/E Q1]]-1.5*(Quartile_M[[#This Row],[P/E Q3]]-Quartile_M[[#This Row],[P/E Q1]])</f>
        <v>13.800632269214839</v>
      </c>
      <c r="U17" s="1">
        <f>Quartile_M[[#This Row],[P/E Q3]]+1.5*(Quartile_M[[#This Row],[P/E Q3]]-Quartile_M[[#This Row],[P/E Q1]])</f>
        <v>46.165344801498755</v>
      </c>
      <c r="V17" s="1" cm="1">
        <f t="array" ref="V17">_xlfn.QUARTILE.INC(IF(Quartile_M[[#This Row],[Industry]]=Main_M[Industry],Main_M[A/E]),1)</f>
        <v>1.52</v>
      </c>
      <c r="W17" s="1" cm="1">
        <f t="array" ref="W17">_xlfn.QUARTILE.INC(IF(Quartile_M[[#This Row],[Industry]]=Main_M[Industry],Main_M[A/E]),3)</f>
        <v>2.02</v>
      </c>
      <c r="X17" s="1">
        <f>Quartile_M[[#This Row],[A/E Q1]]-1.5*(Quartile_M[[#This Row],[A/E Q3]]-Quartile_M[[#This Row],[A/E Q1]])</f>
        <v>0.77</v>
      </c>
      <c r="Y17" s="1">
        <f>Quartile_M[[#This Row],[A/E Q3]]+1.5*(Quartile_M[[#This Row],[A/E Q3]]-Quartile_M[[#This Row],[A/E Q1]])</f>
        <v>2.77</v>
      </c>
    </row>
    <row r="18" spans="1:25" x14ac:dyDescent="0.25">
      <c r="A18" t="s">
        <v>110</v>
      </c>
      <c r="B18" s="1" cm="1">
        <f t="array" ref="B18">_xlfn.QUARTILE.INC(IF(Quartile_M[[#This Row],[Industry]]=Main_M[Industry],Main_M[P/FCF]),1)</f>
        <v>7.8051794250611062</v>
      </c>
      <c r="C18" s="1" cm="1">
        <f t="array" ref="C18">_xlfn.QUARTILE.INC(IF(Quartile_M[[#This Row],[Industry]]=Main_M[Industry],Main_M[P/FCF]),3)</f>
        <v>8.6083093595206677</v>
      </c>
      <c r="D18" s="1">
        <f>Quartile_M[[#This Row],[P/FCF Q1]]-1.5*(Quartile_M[[#This Row],[P/FCF Q3]]-Quartile_M[[#This Row],[P/FCF Q1]])</f>
        <v>6.6004845233717635</v>
      </c>
      <c r="E18" s="1">
        <f>Quartile_M[[#This Row],[P/FCF Q3]]+1.5*(Quartile_M[[#This Row],[P/FCF Q3]]-Quartile_M[[#This Row],[P/FCF Q1]])</f>
        <v>9.8130042612100095</v>
      </c>
      <c r="F18" s="1" cm="1">
        <f t="array" ref="F18">_xlfn.QUARTILE.INC(IF(Quartile_M[[#This Row],[Industry]]=Main_M[Industry],Main_M[P/B]),1)</f>
        <v>3.4842930333298003</v>
      </c>
      <c r="G18" s="1" cm="1">
        <f t="array" ref="G18">_xlfn.QUARTILE.INC(IF(Quartile_M[[#This Row],[Industry]]=Main_M[Industry],Main_M[P/B]),3)</f>
        <v>8.6294369634908854</v>
      </c>
      <c r="H18" s="1">
        <f>Quartile_M[[#This Row],[P/B Q1]]-1.5*(Quartile_M[[#This Row],[P/B Q3]]-Quartile_M[[#This Row],[P/B Q1]])</f>
        <v>-4.2334228619118273</v>
      </c>
      <c r="I18" s="1">
        <f>Quartile_M[[#This Row],[P/B Q3]]+1.5*(Quartile_M[[#This Row],[P/B Q3]]-Quartile_M[[#This Row],[P/B Q1]])</f>
        <v>16.347152858732514</v>
      </c>
      <c r="J18" s="1" cm="1">
        <f t="array" ref="J18">_xlfn.QUARTILE.INC(IF(Quartile_M[[#This Row],[Industry]]=Main_M[Industry],Main_M[ROE]),1)</f>
        <v>12.502500000000001</v>
      </c>
      <c r="K18" s="1" cm="1">
        <f t="array" ref="K18">_xlfn.QUARTILE.INC(IF(Quartile_M[[#This Row],[Industry]]=Main_M[Industry],Main_M[ROE]),3)</f>
        <v>25.827500000000001</v>
      </c>
      <c r="L18" s="1">
        <f>Quartile_M[[#This Row],[ROE Q1]]-1.5*(Quartile_M[[#This Row],[ROE Q3]]-Quartile_M[[#This Row],[ROE Q1]])</f>
        <v>-7.4849999999999959</v>
      </c>
      <c r="M18" s="1">
        <f>Quartile_M[[#This Row],[ROE Q3]]+1.5*(Quartile_M[[#This Row],[ROE Q3]]-Quartile_M[[#This Row],[ROE Q1]])</f>
        <v>45.814999999999998</v>
      </c>
      <c r="N18" s="1" cm="1">
        <f t="array" ref="N18">_xlfn.QUARTILE.INC(IF(Quartile_M[[#This Row],[Industry]]=Main_M[Industry],Main_M[ROA]),1)</f>
        <v>4.0774999999999997</v>
      </c>
      <c r="O18" s="1" cm="1">
        <f t="array" ref="O18">_xlfn.QUARTILE.INC(IF(Quartile_M[[#This Row],[Industry]]=Main_M[Industry],Main_M[ROA]),3)</f>
        <v>5.4725000000000001</v>
      </c>
      <c r="P18" s="1">
        <f>Quartile_M[[#This Row],[ROA Q1]]-1.5*(Quartile_M[[#This Row],[ROA Q3]]-Quartile_M[[#This Row],[ROA Q1]])</f>
        <v>1.984999999999999</v>
      </c>
      <c r="Q18" s="1">
        <f>Quartile_M[[#This Row],[ROA Q3]]+1.5*(Quartile_M[[#This Row],[ROA Q3]]-Quartile_M[[#This Row],[ROA Q1]])</f>
        <v>7.5650000000000013</v>
      </c>
      <c r="R18" s="1" cm="1">
        <f t="array" ref="R18">_xlfn.QUARTILE.INC(IF(Quartile_M[[#This Row],[Industry]]=Main_M[Industry],Main_M[P/E]),1)</f>
        <v>17.006551306221382</v>
      </c>
      <c r="S18" s="1" cm="1">
        <f t="array" ref="S18">_xlfn.QUARTILE.INC(IF(Quartile_M[[#This Row],[Industry]]=Main_M[Industry],Main_M[P/E]),3)</f>
        <v>19.905729868031244</v>
      </c>
      <c r="T18" s="1">
        <f>Quartile_M[[#This Row],[P/E Q1]]-1.5*(Quartile_M[[#This Row],[P/E Q3]]-Quartile_M[[#This Row],[P/E Q1]])</f>
        <v>12.65778346350659</v>
      </c>
      <c r="U18" s="1">
        <f>Quartile_M[[#This Row],[P/E Q3]]+1.5*(Quartile_M[[#This Row],[P/E Q3]]-Quartile_M[[#This Row],[P/E Q1]])</f>
        <v>24.254497710746037</v>
      </c>
      <c r="V18" s="1" cm="1">
        <f t="array" ref="V18">_xlfn.QUARTILE.INC(IF(Quartile_M[[#This Row],[Industry]]=Main_M[Industry],Main_M[A/E]),1)</f>
        <v>3.62</v>
      </c>
      <c r="W18" s="1" cm="1">
        <f t="array" ref="W18">_xlfn.QUARTILE.INC(IF(Quartile_M[[#This Row],[Industry]]=Main_M[Industry],Main_M[A/E]),3)</f>
        <v>7.78</v>
      </c>
      <c r="X18" s="1">
        <f>Quartile_M[[#This Row],[A/E Q1]]-1.5*(Quartile_M[[#This Row],[A/E Q3]]-Quartile_M[[#This Row],[A/E Q1]])</f>
        <v>-2.62</v>
      </c>
      <c r="Y18" s="1">
        <f>Quartile_M[[#This Row],[A/E Q3]]+1.5*(Quartile_M[[#This Row],[A/E Q3]]-Quartile_M[[#This Row],[A/E Q1]])</f>
        <v>14.02</v>
      </c>
    </row>
    <row r="19" spans="1:25" x14ac:dyDescent="0.25">
      <c r="A19" t="s">
        <v>112</v>
      </c>
      <c r="B19" s="1" cm="1">
        <f t="array" ref="B19">_xlfn.QUARTILE.INC(IF(Quartile_M[[#This Row],[Industry]]=Main_M[Industry],Main_M[P/FCF]),1)</f>
        <v>7.776704545454546</v>
      </c>
      <c r="C19" s="1" cm="1">
        <f t="array" ref="C19">_xlfn.QUARTILE.INC(IF(Quartile_M[[#This Row],[Industry]]=Main_M[Industry],Main_M[P/FCF]),3)</f>
        <v>19.486363636363638</v>
      </c>
      <c r="D19" s="1">
        <f>Quartile_M[[#This Row],[P/FCF Q1]]-1.5*(Quartile_M[[#This Row],[P/FCF Q3]]-Quartile_M[[#This Row],[P/FCF Q1]])</f>
        <v>-9.7877840909090921</v>
      </c>
      <c r="E19" s="1">
        <f>Quartile_M[[#This Row],[P/FCF Q3]]+1.5*(Quartile_M[[#This Row],[P/FCF Q3]]-Quartile_M[[#This Row],[P/FCF Q1]])</f>
        <v>37.050852272727276</v>
      </c>
      <c r="F19" s="1" cm="1">
        <f t="array" ref="F19">_xlfn.QUARTILE.INC(IF(Quartile_M[[#This Row],[Industry]]=Main_M[Industry],Main_M[P/B]),1)</f>
        <v>1.059198158298859</v>
      </c>
      <c r="G19" s="1" cm="1">
        <f t="array" ref="G19">_xlfn.QUARTILE.INC(IF(Quartile_M[[#This Row],[Industry]]=Main_M[Industry],Main_M[P/B]),3)</f>
        <v>1.6072413722774521</v>
      </c>
      <c r="H19" s="1">
        <f>Quartile_M[[#This Row],[P/B Q1]]-1.5*(Quartile_M[[#This Row],[P/B Q3]]-Quartile_M[[#This Row],[P/B Q1]])</f>
        <v>0.23713333733096931</v>
      </c>
      <c r="I19" s="1">
        <f>Quartile_M[[#This Row],[P/B Q3]]+1.5*(Quartile_M[[#This Row],[P/B Q3]]-Quartile_M[[#This Row],[P/B Q1]])</f>
        <v>2.4293061932453419</v>
      </c>
      <c r="J19" s="1" cm="1">
        <f t="array" ref="J19">_xlfn.QUARTILE.INC(IF(Quartile_M[[#This Row],[Industry]]=Main_M[Industry],Main_M[ROE]),1)</f>
        <v>0.67999999999999994</v>
      </c>
      <c r="K19" s="1" cm="1">
        <f t="array" ref="K19">_xlfn.QUARTILE.INC(IF(Quartile_M[[#This Row],[Industry]]=Main_M[Industry],Main_M[ROE]),3)</f>
        <v>5.55</v>
      </c>
      <c r="L19" s="1">
        <f>Quartile_M[[#This Row],[ROE Q1]]-1.5*(Quartile_M[[#This Row],[ROE Q3]]-Quartile_M[[#This Row],[ROE Q1]])</f>
        <v>-6.625</v>
      </c>
      <c r="M19" s="1">
        <f>Quartile_M[[#This Row],[ROE Q3]]+1.5*(Quartile_M[[#This Row],[ROE Q3]]-Quartile_M[[#This Row],[ROE Q1]])</f>
        <v>12.855</v>
      </c>
      <c r="N19" s="1" cm="1">
        <f t="array" ref="N19">_xlfn.QUARTILE.INC(IF(Quartile_M[[#This Row],[Industry]]=Main_M[Industry],Main_M[ROA]),1)</f>
        <v>1.4</v>
      </c>
      <c r="O19" s="1" cm="1">
        <f t="array" ref="O19">_xlfn.QUARTILE.INC(IF(Quartile_M[[#This Row],[Industry]]=Main_M[Industry],Main_M[ROA]),3)</f>
        <v>2.02</v>
      </c>
      <c r="P19" s="1">
        <f>Quartile_M[[#This Row],[ROA Q1]]-1.5*(Quartile_M[[#This Row],[ROA Q3]]-Quartile_M[[#This Row],[ROA Q1]])</f>
        <v>0.46999999999999975</v>
      </c>
      <c r="Q19" s="1">
        <f>Quartile_M[[#This Row],[ROA Q3]]+1.5*(Quartile_M[[#This Row],[ROA Q3]]-Quartile_M[[#This Row],[ROA Q1]])</f>
        <v>2.95</v>
      </c>
      <c r="R19" s="1" cm="1">
        <f t="array" ref="R19">_xlfn.QUARTILE.INC(IF(Quartile_M[[#This Row],[Industry]]=Main_M[Industry],Main_M[P/E]),1)</f>
        <v>18.96517857142857</v>
      </c>
      <c r="S19" s="1" cm="1">
        <f t="array" ref="S19">_xlfn.QUARTILE.INC(IF(Quartile_M[[#This Row],[Industry]]=Main_M[Industry],Main_M[P/E]),3)</f>
        <v>79.661764705882348</v>
      </c>
      <c r="T19" s="1">
        <f>Quartile_M[[#This Row],[P/E Q1]]-1.5*(Quartile_M[[#This Row],[P/E Q3]]-Quartile_M[[#This Row],[P/E Q1]])</f>
        <v>-72.079700630252105</v>
      </c>
      <c r="U19" s="1">
        <f>Quartile_M[[#This Row],[P/E Q3]]+1.5*(Quartile_M[[#This Row],[P/E Q3]]-Quartile_M[[#This Row],[P/E Q1]])</f>
        <v>170.70664390756303</v>
      </c>
      <c r="V19" s="1" cm="1">
        <f t="array" ref="V19">_xlfn.QUARTILE.INC(IF(Quartile_M[[#This Row],[Industry]]=Main_M[Industry],Main_M[A/E]),1)</f>
        <v>2.29</v>
      </c>
      <c r="W19" s="1" cm="1">
        <f t="array" ref="W19">_xlfn.QUARTILE.INC(IF(Quartile_M[[#This Row],[Industry]]=Main_M[Industry],Main_M[A/E]),3)</f>
        <v>3.4699999999999998</v>
      </c>
      <c r="X19" s="1">
        <f>Quartile_M[[#This Row],[A/E Q1]]-1.5*(Quartile_M[[#This Row],[A/E Q3]]-Quartile_M[[#This Row],[A/E Q1]])</f>
        <v>0.52000000000000046</v>
      </c>
      <c r="Y19" s="1">
        <f>Quartile_M[[#This Row],[A/E Q3]]+1.5*(Quartile_M[[#This Row],[A/E Q3]]-Quartile_M[[#This Row],[A/E Q1]])</f>
        <v>5.2399999999999993</v>
      </c>
    </row>
    <row r="20" spans="1:25" x14ac:dyDescent="0.25">
      <c r="A20" t="s">
        <v>114</v>
      </c>
      <c r="B20" s="1" cm="1">
        <f t="array" ref="B20">_xlfn.QUARTILE.INC(IF(Quartile_M[[#This Row],[Industry]]=Main_M[Industry],Main_M[P/FCF]),1)</f>
        <v>13.206044320594479</v>
      </c>
      <c r="C20" s="1" cm="1">
        <f t="array" ref="C20">_xlfn.QUARTILE.INC(IF(Quartile_M[[#This Row],[Industry]]=Main_M[Industry],Main_M[P/FCF]),3)</f>
        <v>23.97617819057448</v>
      </c>
      <c r="D20" s="1">
        <f>Quartile_M[[#This Row],[P/FCF Q1]]-1.5*(Quartile_M[[#This Row],[P/FCF Q3]]-Quartile_M[[#This Row],[P/FCF Q1]])</f>
        <v>-2.9491564843755214</v>
      </c>
      <c r="E20" s="1">
        <f>Quartile_M[[#This Row],[P/FCF Q3]]+1.5*(Quartile_M[[#This Row],[P/FCF Q3]]-Quartile_M[[#This Row],[P/FCF Q1]])</f>
        <v>40.13137899554448</v>
      </c>
      <c r="F20" s="1" cm="1">
        <f t="array" ref="F20">_xlfn.QUARTILE.INC(IF(Quartile_M[[#This Row],[Industry]]=Main_M[Industry],Main_M[P/B]),1)</f>
        <v>1.1530645300621978</v>
      </c>
      <c r="G20" s="1" cm="1">
        <f t="array" ref="G20">_xlfn.QUARTILE.INC(IF(Quartile_M[[#This Row],[Industry]]=Main_M[Industry],Main_M[P/B]),3)</f>
        <v>2.2618750446396687</v>
      </c>
      <c r="H20" s="1">
        <f>Quartile_M[[#This Row],[P/B Q1]]-1.5*(Quartile_M[[#This Row],[P/B Q3]]-Quartile_M[[#This Row],[P/B Q1]])</f>
        <v>-0.51015124180400861</v>
      </c>
      <c r="I20" s="1">
        <f>Quartile_M[[#This Row],[P/B Q3]]+1.5*(Quartile_M[[#This Row],[P/B Q3]]-Quartile_M[[#This Row],[P/B Q1]])</f>
        <v>3.9250908165058753</v>
      </c>
      <c r="J20" s="1" cm="1">
        <f t="array" ref="J20">_xlfn.QUARTILE.INC(IF(Quartile_M[[#This Row],[Industry]]=Main_M[Industry],Main_M[ROE]),1)</f>
        <v>-5.5424999999999995</v>
      </c>
      <c r="K20" s="1" cm="1">
        <f t="array" ref="K20">_xlfn.QUARTILE.INC(IF(Quartile_M[[#This Row],[Industry]]=Main_M[Industry],Main_M[ROE]),3)</f>
        <v>6.5075000000000003</v>
      </c>
      <c r="L20" s="1">
        <f>Quartile_M[[#This Row],[ROE Q1]]-1.5*(Quartile_M[[#This Row],[ROE Q3]]-Quartile_M[[#This Row],[ROE Q1]])</f>
        <v>-23.617500000000003</v>
      </c>
      <c r="M20" s="1">
        <f>Quartile_M[[#This Row],[ROE Q3]]+1.5*(Quartile_M[[#This Row],[ROE Q3]]-Quartile_M[[#This Row],[ROE Q1]])</f>
        <v>24.582500000000003</v>
      </c>
      <c r="N20" s="1" cm="1">
        <f t="array" ref="N20">_xlfn.QUARTILE.INC(IF(Quartile_M[[#This Row],[Industry]]=Main_M[Industry],Main_M[ROA]),1)</f>
        <v>1.5674999999999999</v>
      </c>
      <c r="O20" s="1" cm="1">
        <f t="array" ref="O20">_xlfn.QUARTILE.INC(IF(Quartile_M[[#This Row],[Industry]]=Main_M[Industry],Main_M[ROA]),3)</f>
        <v>4.0825000000000005</v>
      </c>
      <c r="P20" s="1">
        <f>Quartile_M[[#This Row],[ROA Q1]]-1.5*(Quartile_M[[#This Row],[ROA Q3]]-Quartile_M[[#This Row],[ROA Q1]])</f>
        <v>-2.205000000000001</v>
      </c>
      <c r="Q20" s="1">
        <f>Quartile_M[[#This Row],[ROA Q3]]+1.5*(Quartile_M[[#This Row],[ROA Q3]]-Quartile_M[[#This Row],[ROA Q1]])</f>
        <v>7.8550000000000013</v>
      </c>
      <c r="R20" s="1" cm="1">
        <f t="array" ref="R20">_xlfn.QUARTILE.INC(IF(Quartile_M[[#This Row],[Industry]]=Main_M[Industry],Main_M[P/E]),1)</f>
        <v>-10.395710928319623</v>
      </c>
      <c r="S20" s="1" cm="1">
        <f t="array" ref="S20">_xlfn.QUARTILE.INC(IF(Quartile_M[[#This Row],[Industry]]=Main_M[Industry],Main_M[P/E]),3)</f>
        <v>28.091772151898734</v>
      </c>
      <c r="T20" s="1">
        <f>Quartile_M[[#This Row],[P/E Q1]]-1.5*(Quartile_M[[#This Row],[P/E Q3]]-Quartile_M[[#This Row],[P/E Q1]])</f>
        <v>-68.126935548647154</v>
      </c>
      <c r="U20" s="1">
        <f>Quartile_M[[#This Row],[P/E Q3]]+1.5*(Quartile_M[[#This Row],[P/E Q3]]-Quartile_M[[#This Row],[P/E Q1]])</f>
        <v>85.822996772226261</v>
      </c>
      <c r="V20" s="1" cm="1">
        <f t="array" ref="V20">_xlfn.QUARTILE.INC(IF(Quartile_M[[#This Row],[Industry]]=Main_M[Industry],Main_M[A/E]),1)</f>
        <v>1.9424999999999999</v>
      </c>
      <c r="W20" s="1" cm="1">
        <f t="array" ref="W20">_xlfn.QUARTILE.INC(IF(Quartile_M[[#This Row],[Industry]]=Main_M[Industry],Main_M[A/E]),3)</f>
        <v>2.0474999999999999</v>
      </c>
      <c r="X20" s="1">
        <f>Quartile_M[[#This Row],[A/E Q1]]-1.5*(Quartile_M[[#This Row],[A/E Q3]]-Quartile_M[[#This Row],[A/E Q1]])</f>
        <v>1.7849999999999999</v>
      </c>
      <c r="Y20" s="1">
        <f>Quartile_M[[#This Row],[A/E Q3]]+1.5*(Quartile_M[[#This Row],[A/E Q3]]-Quartile_M[[#This Row],[A/E Q1]])</f>
        <v>2.2050000000000001</v>
      </c>
    </row>
    <row r="21" spans="1:25" x14ac:dyDescent="0.25">
      <c r="A21" t="s">
        <v>120</v>
      </c>
      <c r="B21" s="1" cm="1">
        <f t="array" ref="B21">_xlfn.QUARTILE.INC(IF(Quartile_M[[#This Row],[Industry]]=Main_M[Industry],Main_M[P/FCF]),1)</f>
        <v>26.647887323943667</v>
      </c>
      <c r="C21" s="1" cm="1">
        <f t="array" ref="C21">_xlfn.QUARTILE.INC(IF(Quartile_M[[#This Row],[Industry]]=Main_M[Industry],Main_M[P/FCF]),3)</f>
        <v>26.647887323943667</v>
      </c>
      <c r="D21" s="1">
        <f>Quartile_M[[#This Row],[P/FCF Q1]]-1.5*(Quartile_M[[#This Row],[P/FCF Q3]]-Quartile_M[[#This Row],[P/FCF Q1]])</f>
        <v>26.647887323943667</v>
      </c>
      <c r="E21" s="1">
        <f>Quartile_M[[#This Row],[P/FCF Q3]]+1.5*(Quartile_M[[#This Row],[P/FCF Q3]]-Quartile_M[[#This Row],[P/FCF Q1]])</f>
        <v>26.647887323943667</v>
      </c>
      <c r="F21" s="1" cm="1">
        <f t="array" ref="F21">_xlfn.QUARTILE.INC(IF(Quartile_M[[#This Row],[Industry]]=Main_M[Industry],Main_M[P/B]),1)</f>
        <v>1.2775151924375423</v>
      </c>
      <c r="G21" s="1" cm="1">
        <f t="array" ref="G21">_xlfn.QUARTILE.INC(IF(Quartile_M[[#This Row],[Industry]]=Main_M[Industry],Main_M[P/B]),3)</f>
        <v>1.2775151924375423</v>
      </c>
      <c r="H21" s="1">
        <f>Quartile_M[[#This Row],[P/B Q1]]-1.5*(Quartile_M[[#This Row],[P/B Q3]]-Quartile_M[[#This Row],[P/B Q1]])</f>
        <v>1.2775151924375423</v>
      </c>
      <c r="I21" s="1">
        <f>Quartile_M[[#This Row],[P/B Q3]]+1.5*(Quartile_M[[#This Row],[P/B Q3]]-Quartile_M[[#This Row],[P/B Q1]])</f>
        <v>1.2775151924375423</v>
      </c>
      <c r="J21" s="1" cm="1">
        <f t="array" ref="J21">_xlfn.QUARTILE.INC(IF(Quartile_M[[#This Row],[Industry]]=Main_M[Industry],Main_M[ROE]),1)</f>
        <v>0.86</v>
      </c>
      <c r="K21" s="1" cm="1">
        <f t="array" ref="K21">_xlfn.QUARTILE.INC(IF(Quartile_M[[#This Row],[Industry]]=Main_M[Industry],Main_M[ROE]),3)</f>
        <v>0.86</v>
      </c>
      <c r="L21" s="1">
        <f>Quartile_M[[#This Row],[ROE Q1]]-1.5*(Quartile_M[[#This Row],[ROE Q3]]-Quartile_M[[#This Row],[ROE Q1]])</f>
        <v>0.86</v>
      </c>
      <c r="M21" s="1">
        <f>Quartile_M[[#This Row],[ROE Q3]]+1.5*(Quartile_M[[#This Row],[ROE Q3]]-Quartile_M[[#This Row],[ROE Q1]])</f>
        <v>0.86</v>
      </c>
      <c r="N21" s="1" cm="1">
        <f t="array" ref="N21">_xlfn.QUARTILE.INC(IF(Quartile_M[[#This Row],[Industry]]=Main_M[Industry],Main_M[ROA]),1)</f>
        <v>1.32</v>
      </c>
      <c r="O21" s="1" cm="1">
        <f t="array" ref="O21">_xlfn.QUARTILE.INC(IF(Quartile_M[[#This Row],[Industry]]=Main_M[Industry],Main_M[ROA]),3)</f>
        <v>1.32</v>
      </c>
      <c r="P21" s="1">
        <f>Quartile_M[[#This Row],[ROA Q1]]-1.5*(Quartile_M[[#This Row],[ROA Q3]]-Quartile_M[[#This Row],[ROA Q1]])</f>
        <v>1.32</v>
      </c>
      <c r="Q21" s="1">
        <f>Quartile_M[[#This Row],[ROA Q3]]+1.5*(Quartile_M[[#This Row],[ROA Q3]]-Quartile_M[[#This Row],[ROA Q1]])</f>
        <v>1.32</v>
      </c>
      <c r="R21" s="1" cm="1">
        <f t="array" ref="R21">_xlfn.QUARTILE.INC(IF(Quartile_M[[#This Row],[Industry]]=Main_M[Industry],Main_M[P/E]),1)</f>
        <v>145.53846153846155</v>
      </c>
      <c r="S21" s="1" cm="1">
        <f t="array" ref="S21">_xlfn.QUARTILE.INC(IF(Quartile_M[[#This Row],[Industry]]=Main_M[Industry],Main_M[P/E]),3)</f>
        <v>145.53846153846155</v>
      </c>
      <c r="T21" s="1">
        <f>Quartile_M[[#This Row],[P/E Q1]]-1.5*(Quartile_M[[#This Row],[P/E Q3]]-Quartile_M[[#This Row],[P/E Q1]])</f>
        <v>145.53846153846155</v>
      </c>
      <c r="U21" s="1">
        <f>Quartile_M[[#This Row],[P/E Q3]]+1.5*(Quartile_M[[#This Row],[P/E Q3]]-Quartile_M[[#This Row],[P/E Q1]])</f>
        <v>145.53846153846155</v>
      </c>
      <c r="V21" s="1" cm="1">
        <f t="array" ref="V21">_xlfn.QUARTILE.INC(IF(Quartile_M[[#This Row],[Industry]]=Main_M[Industry],Main_M[A/E]),1)</f>
        <v>1.73</v>
      </c>
      <c r="W21" s="1" cm="1">
        <f t="array" ref="W21">_xlfn.QUARTILE.INC(IF(Quartile_M[[#This Row],[Industry]]=Main_M[Industry],Main_M[A/E]),3)</f>
        <v>1.73</v>
      </c>
      <c r="X21" s="1">
        <f>Quartile_M[[#This Row],[A/E Q1]]-1.5*(Quartile_M[[#This Row],[A/E Q3]]-Quartile_M[[#This Row],[A/E Q1]])</f>
        <v>1.73</v>
      </c>
      <c r="Y21" s="1">
        <f>Quartile_M[[#This Row],[A/E Q3]]+1.5*(Quartile_M[[#This Row],[A/E Q3]]-Quartile_M[[#This Row],[A/E Q1]])</f>
        <v>1.73</v>
      </c>
    </row>
    <row r="22" spans="1:25" x14ac:dyDescent="0.25">
      <c r="A22" t="s">
        <v>131</v>
      </c>
      <c r="B22" s="1" cm="1">
        <f t="array" ref="B22">_xlfn.QUARTILE.INC(IF(Quartile_M[[#This Row],[Industry]]=Main_M[Industry],Main_M[P/FCF]),1)</f>
        <v>12.953944174757282</v>
      </c>
      <c r="C22" s="1" cm="1">
        <f t="array" ref="C22">_xlfn.QUARTILE.INC(IF(Quartile_M[[#This Row],[Industry]]=Main_M[Industry],Main_M[P/FCF]),3)</f>
        <v>17.886718894577754</v>
      </c>
      <c r="D22" s="1">
        <f>Quartile_M[[#This Row],[P/FCF Q1]]-1.5*(Quartile_M[[#This Row],[P/FCF Q3]]-Quartile_M[[#This Row],[P/FCF Q1]])</f>
        <v>5.5547820950265745</v>
      </c>
      <c r="E22" s="1">
        <f>Quartile_M[[#This Row],[P/FCF Q3]]+1.5*(Quartile_M[[#This Row],[P/FCF Q3]]-Quartile_M[[#This Row],[P/FCF Q1]])</f>
        <v>25.285880974308462</v>
      </c>
      <c r="F22" s="1" cm="1">
        <f t="array" ref="F22">_xlfn.QUARTILE.INC(IF(Quartile_M[[#This Row],[Industry]]=Main_M[Industry],Main_M[P/B]),1)</f>
        <v>1.4162530346546474</v>
      </c>
      <c r="G22" s="1" cm="1">
        <f t="array" ref="G22">_xlfn.QUARTILE.INC(IF(Quartile_M[[#This Row],[Industry]]=Main_M[Industry],Main_M[P/B]),3)</f>
        <v>2.126998810792271</v>
      </c>
      <c r="H22" s="1">
        <f>Quartile_M[[#This Row],[P/B Q1]]-1.5*(Quartile_M[[#This Row],[P/B Q3]]-Quartile_M[[#This Row],[P/B Q1]])</f>
        <v>0.35013437044821183</v>
      </c>
      <c r="I22" s="1">
        <f>Quartile_M[[#This Row],[P/B Q3]]+1.5*(Quartile_M[[#This Row],[P/B Q3]]-Quartile_M[[#This Row],[P/B Q1]])</f>
        <v>3.1931174749987066</v>
      </c>
      <c r="J22" s="1" cm="1">
        <f t="array" ref="J22">_xlfn.QUARTILE.INC(IF(Quartile_M[[#This Row],[Industry]]=Main_M[Industry],Main_M[ROE]),1)</f>
        <v>0.79249999999999998</v>
      </c>
      <c r="K22" s="1" cm="1">
        <f t="array" ref="K22">_xlfn.QUARTILE.INC(IF(Quartile_M[[#This Row],[Industry]]=Main_M[Industry],Main_M[ROE]),3)</f>
        <v>9.1999999999999993</v>
      </c>
      <c r="L22" s="1">
        <f>Quartile_M[[#This Row],[ROE Q1]]-1.5*(Quartile_M[[#This Row],[ROE Q3]]-Quartile_M[[#This Row],[ROE Q1]])</f>
        <v>-11.818749999999998</v>
      </c>
      <c r="M22" s="1">
        <f>Quartile_M[[#This Row],[ROE Q3]]+1.5*(Quartile_M[[#This Row],[ROE Q3]]-Quartile_M[[#This Row],[ROE Q1]])</f>
        <v>21.811249999999998</v>
      </c>
      <c r="N22" s="1" cm="1">
        <f t="array" ref="N22">_xlfn.QUARTILE.INC(IF(Quartile_M[[#This Row],[Industry]]=Main_M[Industry],Main_M[ROA]),1)</f>
        <v>1.39</v>
      </c>
      <c r="O22" s="1" cm="1">
        <f t="array" ref="O22">_xlfn.QUARTILE.INC(IF(Quartile_M[[#This Row],[Industry]]=Main_M[Industry],Main_M[ROA]),3)</f>
        <v>3.1799999999999997</v>
      </c>
      <c r="P22" s="1">
        <f>Quartile_M[[#This Row],[ROA Q1]]-1.5*(Quartile_M[[#This Row],[ROA Q3]]-Quartile_M[[#This Row],[ROA Q1]])</f>
        <v>-1.2949999999999997</v>
      </c>
      <c r="Q22" s="1">
        <f>Quartile_M[[#This Row],[ROA Q3]]+1.5*(Quartile_M[[#This Row],[ROA Q3]]-Quartile_M[[#This Row],[ROA Q1]])</f>
        <v>5.8649999999999993</v>
      </c>
      <c r="R22" s="1" cm="1">
        <f t="array" ref="R22">_xlfn.QUARTILE.INC(IF(Quartile_M[[#This Row],[Industry]]=Main_M[Industry],Main_M[P/E]),1)</f>
        <v>27.45219298245614</v>
      </c>
      <c r="S22" s="1" cm="1">
        <f t="array" ref="S22">_xlfn.QUARTILE.INC(IF(Quartile_M[[#This Row],[Industry]]=Main_M[Industry],Main_M[P/E]),3)</f>
        <v>118.28125</v>
      </c>
      <c r="T22" s="1">
        <f>Quartile_M[[#This Row],[P/E Q1]]-1.5*(Quartile_M[[#This Row],[P/E Q3]]-Quartile_M[[#This Row],[P/E Q1]])</f>
        <v>-108.79139254385966</v>
      </c>
      <c r="U22" s="1">
        <f>Quartile_M[[#This Row],[P/E Q3]]+1.5*(Quartile_M[[#This Row],[P/E Q3]]-Quartile_M[[#This Row],[P/E Q1]])</f>
        <v>254.5248355263158</v>
      </c>
      <c r="V22" s="1" cm="1">
        <f t="array" ref="V22">_xlfn.QUARTILE.INC(IF(Quartile_M[[#This Row],[Industry]]=Main_M[Industry],Main_M[A/E]),1)</f>
        <v>1.9325000000000001</v>
      </c>
      <c r="W22" s="1" cm="1">
        <f t="array" ref="W22">_xlfn.QUARTILE.INC(IF(Quartile_M[[#This Row],[Industry]]=Main_M[Industry],Main_M[A/E]),3)</f>
        <v>2.85</v>
      </c>
      <c r="X22" s="1">
        <f>Quartile_M[[#This Row],[A/E Q1]]-1.5*(Quartile_M[[#This Row],[A/E Q3]]-Quartile_M[[#This Row],[A/E Q1]])</f>
        <v>0.55625000000000013</v>
      </c>
      <c r="Y22" s="1">
        <f>Quartile_M[[#This Row],[A/E Q3]]+1.5*(Quartile_M[[#This Row],[A/E Q3]]-Quartile_M[[#This Row],[A/E Q1]])</f>
        <v>4.2262500000000003</v>
      </c>
    </row>
    <row r="23" spans="1:25" x14ac:dyDescent="0.25">
      <c r="A23" t="s">
        <v>136</v>
      </c>
      <c r="B23" s="1" cm="1">
        <f t="array" ref="B23">_xlfn.QUARTILE.INC(IF(Quartile_M[[#This Row],[Industry]]=Main_M[Industry],Main_M[P/FCF]),1)</f>
        <v>11.728163771712159</v>
      </c>
      <c r="C23" s="1" cm="1">
        <f t="array" ref="C23">_xlfn.QUARTILE.INC(IF(Quartile_M[[#This Row],[Industry]]=Main_M[Industry],Main_M[P/FCF]),3)</f>
        <v>16.453722002635047</v>
      </c>
      <c r="D23" s="1">
        <f>Quartile_M[[#This Row],[P/FCF Q1]]-1.5*(Quartile_M[[#This Row],[P/FCF Q3]]-Quartile_M[[#This Row],[P/FCF Q1]])</f>
        <v>4.6398264253278283</v>
      </c>
      <c r="E23" s="1">
        <f>Quartile_M[[#This Row],[P/FCF Q3]]+1.5*(Quartile_M[[#This Row],[P/FCF Q3]]-Quartile_M[[#This Row],[P/FCF Q1]])</f>
        <v>23.542059349019379</v>
      </c>
      <c r="F23" s="1" cm="1">
        <f t="array" ref="F23">_xlfn.QUARTILE.INC(IF(Quartile_M[[#This Row],[Industry]]=Main_M[Industry],Main_M[P/B]),1)</f>
        <v>1.7162472851711854</v>
      </c>
      <c r="G23" s="1" cm="1">
        <f t="array" ref="G23">_xlfn.QUARTILE.INC(IF(Quartile_M[[#This Row],[Industry]]=Main_M[Industry],Main_M[P/B]),3)</f>
        <v>3.6602223977327339</v>
      </c>
      <c r="H23" s="1">
        <f>Quartile_M[[#This Row],[P/B Q1]]-1.5*(Quartile_M[[#This Row],[P/B Q3]]-Quartile_M[[#This Row],[P/B Q1]])</f>
        <v>-1.1997153836711374</v>
      </c>
      <c r="I23" s="1">
        <f>Quartile_M[[#This Row],[P/B Q3]]+1.5*(Quartile_M[[#This Row],[P/B Q3]]-Quartile_M[[#This Row],[P/B Q1]])</f>
        <v>6.5761850665750572</v>
      </c>
      <c r="J23" s="1" cm="1">
        <f t="array" ref="J23">_xlfn.QUARTILE.INC(IF(Quartile_M[[#This Row],[Industry]]=Main_M[Industry],Main_M[ROE]),1)</f>
        <v>5.0175000000000001</v>
      </c>
      <c r="K23" s="1" cm="1">
        <f t="array" ref="K23">_xlfn.QUARTILE.INC(IF(Quartile_M[[#This Row],[Industry]]=Main_M[Industry],Main_M[ROE]),3)</f>
        <v>14.7225</v>
      </c>
      <c r="L23" s="1">
        <f>Quartile_M[[#This Row],[ROE Q1]]-1.5*(Quartile_M[[#This Row],[ROE Q3]]-Quartile_M[[#This Row],[ROE Q1]])</f>
        <v>-9.5400000000000009</v>
      </c>
      <c r="M23" s="1">
        <f>Quartile_M[[#This Row],[ROE Q3]]+1.5*(Quartile_M[[#This Row],[ROE Q3]]-Quartile_M[[#This Row],[ROE Q1]])</f>
        <v>29.28</v>
      </c>
      <c r="N23" s="1" cm="1">
        <f t="array" ref="N23">_xlfn.QUARTILE.INC(IF(Quartile_M[[#This Row],[Industry]]=Main_M[Industry],Main_M[ROA]),1)</f>
        <v>2.67</v>
      </c>
      <c r="O23" s="1" cm="1">
        <f t="array" ref="O23">_xlfn.QUARTILE.INC(IF(Quartile_M[[#This Row],[Industry]]=Main_M[Industry],Main_M[ROA]),3)</f>
        <v>4.1025</v>
      </c>
      <c r="P23" s="1">
        <f>Quartile_M[[#This Row],[ROA Q1]]-1.5*(Quartile_M[[#This Row],[ROA Q3]]-Quartile_M[[#This Row],[ROA Q1]])</f>
        <v>0.52124999999999977</v>
      </c>
      <c r="Q23" s="1">
        <f>Quartile_M[[#This Row],[ROA Q3]]+1.5*(Quartile_M[[#This Row],[ROA Q3]]-Quartile_M[[#This Row],[ROA Q1]])</f>
        <v>6.2512500000000006</v>
      </c>
      <c r="R23" s="1" cm="1">
        <f t="array" ref="R23">_xlfn.QUARTILE.INC(IF(Quartile_M[[#This Row],[Industry]]=Main_M[Industry],Main_M[P/E]),1)</f>
        <v>18.057436405273258</v>
      </c>
      <c r="S23" s="1" cm="1">
        <f t="array" ref="S23">_xlfn.QUARTILE.INC(IF(Quartile_M[[#This Row],[Industry]]=Main_M[Industry],Main_M[P/E]),3)</f>
        <v>49.231352459016392</v>
      </c>
      <c r="T23" s="1">
        <f>Quartile_M[[#This Row],[P/E Q1]]-1.5*(Quartile_M[[#This Row],[P/E Q3]]-Quartile_M[[#This Row],[P/E Q1]])</f>
        <v>-28.703437675341441</v>
      </c>
      <c r="U23" s="1">
        <f>Quartile_M[[#This Row],[P/E Q3]]+1.5*(Quartile_M[[#This Row],[P/E Q3]]-Quartile_M[[#This Row],[P/E Q1]])</f>
        <v>95.992226539631091</v>
      </c>
      <c r="V23" s="1" cm="1">
        <f t="array" ref="V23">_xlfn.QUARTILE.INC(IF(Quartile_M[[#This Row],[Industry]]=Main_M[Industry],Main_M[A/E]),1)</f>
        <v>1.7175</v>
      </c>
      <c r="W23" s="1" cm="1">
        <f t="array" ref="W23">_xlfn.QUARTILE.INC(IF(Quartile_M[[#This Row],[Industry]]=Main_M[Industry],Main_M[A/E]),3)</f>
        <v>3.71</v>
      </c>
      <c r="X23" s="1">
        <f>Quartile_M[[#This Row],[A/E Q1]]-1.5*(Quartile_M[[#This Row],[A/E Q3]]-Quartile_M[[#This Row],[A/E Q1]])</f>
        <v>-1.27125</v>
      </c>
      <c r="Y23" s="1">
        <f>Quartile_M[[#This Row],[A/E Q3]]+1.5*(Quartile_M[[#This Row],[A/E Q3]]-Quartile_M[[#This Row],[A/E Q1]])</f>
        <v>6.6987500000000004</v>
      </c>
    </row>
    <row r="24" spans="1:25" x14ac:dyDescent="0.25">
      <c r="A24" t="s">
        <v>149</v>
      </c>
      <c r="B24" s="1" cm="1">
        <f t="array" ref="B24">_xlfn.QUARTILE.INC(IF(Quartile_M[[#This Row],[Industry]]=Main_M[Industry],Main_M[P/FCF]),1)</f>
        <v>16.09506190806708</v>
      </c>
      <c r="C24" s="1" cm="1">
        <f t="array" ref="C24">_xlfn.QUARTILE.INC(IF(Quartile_M[[#This Row],[Industry]]=Main_M[Industry],Main_M[P/FCF]),3)</f>
        <v>32.118432703659977</v>
      </c>
      <c r="D24" s="1">
        <f>Quartile_M[[#This Row],[P/FCF Q1]]-1.5*(Quartile_M[[#This Row],[P/FCF Q3]]-Quartile_M[[#This Row],[P/FCF Q1]])</f>
        <v>-7.939994285322264</v>
      </c>
      <c r="E24" s="1">
        <f>Quartile_M[[#This Row],[P/FCF Q3]]+1.5*(Quartile_M[[#This Row],[P/FCF Q3]]-Quartile_M[[#This Row],[P/FCF Q1]])</f>
        <v>56.153488897049321</v>
      </c>
      <c r="F24" s="1" cm="1">
        <f t="array" ref="F24">_xlfn.QUARTILE.INC(IF(Quartile_M[[#This Row],[Industry]]=Main_M[Industry],Main_M[P/B]),1)</f>
        <v>1.3899982344632771</v>
      </c>
      <c r="G24" s="1" cm="1">
        <f t="array" ref="G24">_xlfn.QUARTILE.INC(IF(Quartile_M[[#This Row],[Industry]]=Main_M[Industry],Main_M[P/B]),3)</f>
        <v>6.9702200339238596</v>
      </c>
      <c r="H24" s="1">
        <f>Quartile_M[[#This Row],[P/B Q1]]-1.5*(Quartile_M[[#This Row],[P/B Q3]]-Quartile_M[[#This Row],[P/B Q1]])</f>
        <v>-6.9803344647275978</v>
      </c>
      <c r="I24" s="1">
        <f>Quartile_M[[#This Row],[P/B Q3]]+1.5*(Quartile_M[[#This Row],[P/B Q3]]-Quartile_M[[#This Row],[P/B Q1]])</f>
        <v>15.340552733114734</v>
      </c>
      <c r="J24" s="1" cm="1">
        <f t="array" ref="J24">_xlfn.QUARTILE.INC(IF(Quartile_M[[#This Row],[Industry]]=Main_M[Industry],Main_M[ROE]),1)</f>
        <v>5.7175000000000002</v>
      </c>
      <c r="K24" s="1" cm="1">
        <f t="array" ref="K24">_xlfn.QUARTILE.INC(IF(Quartile_M[[#This Row],[Industry]]=Main_M[Industry],Main_M[ROE]),3)</f>
        <v>10.5825</v>
      </c>
      <c r="L24" s="1">
        <f>Quartile_M[[#This Row],[ROE Q1]]-1.5*(Quartile_M[[#This Row],[ROE Q3]]-Quartile_M[[#This Row],[ROE Q1]])</f>
        <v>-1.5799999999999992</v>
      </c>
      <c r="M24" s="1">
        <f>Quartile_M[[#This Row],[ROE Q3]]+1.5*(Quartile_M[[#This Row],[ROE Q3]]-Quartile_M[[#This Row],[ROE Q1]])</f>
        <v>17.88</v>
      </c>
      <c r="N24" s="1" cm="1">
        <f t="array" ref="N24">_xlfn.QUARTILE.INC(IF(Quartile_M[[#This Row],[Industry]]=Main_M[Industry],Main_M[ROA]),1)</f>
        <v>2.895</v>
      </c>
      <c r="O24" s="1" cm="1">
        <f t="array" ref="O24">_xlfn.QUARTILE.INC(IF(Quartile_M[[#This Row],[Industry]]=Main_M[Industry],Main_M[ROA]),3)</f>
        <v>3.9024999999999999</v>
      </c>
      <c r="P24" s="1">
        <f>Quartile_M[[#This Row],[ROA Q1]]-1.5*(Quartile_M[[#This Row],[ROA Q3]]-Quartile_M[[#This Row],[ROA Q1]])</f>
        <v>1.3837500000000003</v>
      </c>
      <c r="Q24" s="1">
        <f>Quartile_M[[#This Row],[ROA Q3]]+1.5*(Quartile_M[[#This Row],[ROA Q3]]-Quartile_M[[#This Row],[ROA Q1]])</f>
        <v>5.4137499999999994</v>
      </c>
      <c r="R24" s="1" cm="1">
        <f t="array" ref="R24">_xlfn.QUARTILE.INC(IF(Quartile_M[[#This Row],[Industry]]=Main_M[Industry],Main_M[P/E]),1)</f>
        <v>14.86522118521891</v>
      </c>
      <c r="S24" s="1" cm="1">
        <f t="array" ref="S24">_xlfn.QUARTILE.INC(IF(Quartile_M[[#This Row],[Industry]]=Main_M[Industry],Main_M[P/E]),3)</f>
        <v>45.231943366114564</v>
      </c>
      <c r="T24" s="1">
        <f>Quartile_M[[#This Row],[P/E Q1]]-1.5*(Quartile_M[[#This Row],[P/E Q3]]-Quartile_M[[#This Row],[P/E Q1]])</f>
        <v>-30.684862086124571</v>
      </c>
      <c r="U24" s="1">
        <f>Quartile_M[[#This Row],[P/E Q3]]+1.5*(Quartile_M[[#This Row],[P/E Q3]]-Quartile_M[[#This Row],[P/E Q1]])</f>
        <v>90.782026637458046</v>
      </c>
      <c r="V24" s="1" cm="1">
        <f t="array" ref="V24">_xlfn.QUARTILE.INC(IF(Quartile_M[[#This Row],[Industry]]=Main_M[Industry],Main_M[A/E]),1)</f>
        <v>2.6924999999999999</v>
      </c>
      <c r="W24" s="1" cm="1">
        <f t="array" ref="W24">_xlfn.QUARTILE.INC(IF(Quartile_M[[#This Row],[Industry]]=Main_M[Industry],Main_M[A/E]),3)</f>
        <v>3.6749999999999998</v>
      </c>
      <c r="X24" s="1">
        <f>Quartile_M[[#This Row],[A/E Q1]]-1.5*(Quartile_M[[#This Row],[A/E Q3]]-Quartile_M[[#This Row],[A/E Q1]])</f>
        <v>1.21875</v>
      </c>
      <c r="Y24" s="1">
        <f>Quartile_M[[#This Row],[A/E Q3]]+1.5*(Quartile_M[[#This Row],[A/E Q3]]-Quartile_M[[#This Row],[A/E Q1]])</f>
        <v>5.1487499999999997</v>
      </c>
    </row>
    <row r="27" spans="1:25" x14ac:dyDescent="0.25">
      <c r="A27" t="s">
        <v>23</v>
      </c>
    </row>
    <row r="28" spans="1:25" x14ac:dyDescent="0.25">
      <c r="A28" t="s">
        <v>1</v>
      </c>
      <c r="B28" t="s">
        <v>2</v>
      </c>
      <c r="C28" t="s">
        <v>3</v>
      </c>
      <c r="D28" t="s">
        <v>4</v>
      </c>
      <c r="E28" t="s">
        <v>5</v>
      </c>
      <c r="F28" t="s">
        <v>72</v>
      </c>
      <c r="G28" t="s">
        <v>73</v>
      </c>
      <c r="H28" t="s">
        <v>74</v>
      </c>
      <c r="I28" t="s">
        <v>75</v>
      </c>
      <c r="J28" t="s">
        <v>6</v>
      </c>
      <c r="K28" t="s">
        <v>7</v>
      </c>
      <c r="L28" t="s">
        <v>8</v>
      </c>
      <c r="M28" t="s">
        <v>9</v>
      </c>
      <c r="N28" t="s">
        <v>10</v>
      </c>
      <c r="O28" t="s">
        <v>11</v>
      </c>
      <c r="P28" t="s">
        <v>12</v>
      </c>
      <c r="Q28" t="s">
        <v>13</v>
      </c>
      <c r="R28" t="s">
        <v>14</v>
      </c>
      <c r="S28" t="s">
        <v>15</v>
      </c>
      <c r="T28" t="s">
        <v>16</v>
      </c>
      <c r="U28" t="s">
        <v>17</v>
      </c>
      <c r="V28" t="s">
        <v>18</v>
      </c>
      <c r="W28" t="s">
        <v>19</v>
      </c>
      <c r="X28" t="s">
        <v>20</v>
      </c>
      <c r="Y28" t="s">
        <v>21</v>
      </c>
    </row>
    <row r="29" spans="1:25" x14ac:dyDescent="0.25">
      <c r="A29" t="s">
        <v>105</v>
      </c>
      <c r="B29" s="1" cm="1">
        <f t="array" ref="B29">_xlfn.QUARTILE.INC(IF(Quartile_S[[#This Row],[Industry]]=Main_S[Industry],Main_S[P/FCF]),1)</f>
        <v>8.0991413539805439</v>
      </c>
      <c r="C29" s="1" cm="1">
        <f t="array" ref="C29">_xlfn.QUARTILE.INC(IF(Quartile_S[[#This Row],[Industry]]=Main_S[Industry],Main_S[P/FCF]),3)</f>
        <v>10.506688047559448</v>
      </c>
      <c r="D29" s="1">
        <f>Quartile_S[[#This Row],[P/FCF Q1]]-1.5*(Quartile_S[[#This Row],[P/FCF Q3]]-Quartile_S[[#This Row],[P/FCF Q1]])</f>
        <v>4.4878213136121872</v>
      </c>
      <c r="E29" s="1">
        <f>Quartile_S[[#This Row],[P/FCF Q3]]+1.5*(Quartile_S[[#This Row],[P/FCF Q3]]-Quartile_S[[#This Row],[P/FCF Q1]])</f>
        <v>14.118008087927805</v>
      </c>
      <c r="F29" s="1" cm="1">
        <f t="array" ref="F29">_xlfn.QUARTILE.INC(IF(Quartile_S[[#This Row],[Industry]]=Main_S[Industry],Main_S[P/B]),1)</f>
        <v>1.0337321548337643</v>
      </c>
      <c r="G29" s="1" cm="1">
        <f t="array" ref="G29">_xlfn.QUARTILE.INC(IF(Quartile_S[[#This Row],[Industry]]=Main_S[Industry],Main_S[P/B]),3)</f>
        <v>1.2602386711327622</v>
      </c>
      <c r="H29" s="1">
        <f>Quartile_S[[#This Row],[P/B Q1]]-1.5*(Quartile_S[[#This Row],[P/B Q3]]-Quartile_S[[#This Row],[P/B Q1]])</f>
        <v>0.69397238038526754</v>
      </c>
      <c r="I29" s="1">
        <f>Quartile_S[[#This Row],[P/B Q3]]+1.5*(Quartile_S[[#This Row],[P/B Q3]]-Quartile_S[[#This Row],[P/B Q1]])</f>
        <v>1.599998445581259</v>
      </c>
      <c r="J29" s="1" cm="1">
        <f t="array" ref="J29">_xlfn.QUARTILE.INC(IF(Quartile_S[[#This Row],[Industry]]=Main_S[Industry],Main_S[ROE]),1)</f>
        <v>4.57</v>
      </c>
      <c r="K29" s="1" cm="1">
        <f t="array" ref="K29">_xlfn.QUARTILE.INC(IF(Quartile_S[[#This Row],[Industry]]=Main_S[Industry],Main_S[ROE]),3)</f>
        <v>7.0324999999999998</v>
      </c>
      <c r="L29" s="1">
        <f>Quartile_S[[#This Row],[ROE Q1]]-1.5*(Quartile_S[[#This Row],[ROE Q3]]-Quartile_S[[#This Row],[ROE Q1]])</f>
        <v>0.87625000000000108</v>
      </c>
      <c r="M29" s="1">
        <f>Quartile_S[[#This Row],[ROE Q3]]+1.5*(Quartile_S[[#This Row],[ROE Q3]]-Quartile_S[[#This Row],[ROE Q1]])</f>
        <v>10.726249999999999</v>
      </c>
      <c r="N29" s="1" cm="1">
        <f t="array" ref="N29">_xlfn.QUARTILE.INC(IF(Quartile_S[[#This Row],[Industry]]=Main_S[Industry],Main_S[ROA]),1)</f>
        <v>2.1725000000000003</v>
      </c>
      <c r="O29" s="1" cm="1">
        <f t="array" ref="O29">_xlfn.QUARTILE.INC(IF(Quartile_S[[#This Row],[Industry]]=Main_S[Industry],Main_S[ROA]),3)</f>
        <v>2.6949999999999998</v>
      </c>
      <c r="P29" s="1">
        <f>Quartile_S[[#This Row],[ROA Q1]]-1.5*(Quartile_S[[#This Row],[ROA Q3]]-Quartile_S[[#This Row],[ROA Q1]])</f>
        <v>1.388750000000001</v>
      </c>
      <c r="Q29" s="1">
        <f>Quartile_S[[#This Row],[ROA Q3]]+1.5*(Quartile_S[[#This Row],[ROA Q3]]-Quartile_S[[#This Row],[ROA Q1]])</f>
        <v>3.4787499999999989</v>
      </c>
      <c r="R29" s="1" cm="1">
        <f t="array" ref="R29">_xlfn.QUARTILE.INC(IF(Quartile_S[[#This Row],[Industry]]=Main_S[Industry],Main_S[P/E]),1)</f>
        <v>15.289097744360902</v>
      </c>
      <c r="S29" s="1" cm="1">
        <f t="array" ref="S29">_xlfn.QUARTILE.INC(IF(Quartile_S[[#This Row],[Industry]]=Main_S[Industry],Main_S[P/E]),3)</f>
        <v>26.437499999999996</v>
      </c>
      <c r="T29" s="1">
        <f>Quartile_S[[#This Row],[P/E Q1]]-1.5*(Quartile_S[[#This Row],[P/E Q3]]-Quartile_S[[#This Row],[P/E Q1]])</f>
        <v>-1.4335056390977385</v>
      </c>
      <c r="U29" s="1">
        <f>Quartile_S[[#This Row],[P/E Q3]]+1.5*(Quartile_S[[#This Row],[P/E Q3]]-Quartile_S[[#This Row],[P/E Q1]])</f>
        <v>43.160103383458633</v>
      </c>
      <c r="V29" s="1" cm="1">
        <f t="array" ref="V29">_xlfn.QUARTILE.INC(IF(Quartile_S[[#This Row],[Industry]]=Main_S[Industry],Main_S[A/E]),1)</f>
        <v>2.4824999999999999</v>
      </c>
      <c r="W29" s="1" cm="1">
        <f t="array" ref="W29">_xlfn.QUARTILE.INC(IF(Quartile_S[[#This Row],[Industry]]=Main_S[Industry],Main_S[A/E]),3)</f>
        <v>3.0274999999999999</v>
      </c>
      <c r="X29" s="1">
        <f>Quartile_S[[#This Row],[A/E Q1]]-1.5*(Quartile_S[[#This Row],[A/E Q3]]-Quartile_S[[#This Row],[A/E Q1]])</f>
        <v>1.665</v>
      </c>
      <c r="Y29" s="1">
        <f>Quartile_S[[#This Row],[A/E Q3]]+1.5*(Quartile_S[[#This Row],[A/E Q3]]-Quartile_S[[#This Row],[A/E Q1]])</f>
        <v>3.8449999999999998</v>
      </c>
    </row>
    <row r="30" spans="1:25" x14ac:dyDescent="0.25">
      <c r="A30" t="s">
        <v>107</v>
      </c>
      <c r="B30" s="1" cm="1">
        <f t="array" ref="B30">_xlfn.QUARTILE.INC(IF(Quartile_S[[#This Row],[Industry]]=Main_S[Industry],Main_S[P/FCF]),1)</f>
        <v>6.4982435810634875</v>
      </c>
      <c r="C30" s="1" cm="1">
        <f t="array" ref="C30">_xlfn.QUARTILE.INC(IF(Quartile_S[[#This Row],[Industry]]=Main_S[Industry],Main_S[P/FCF]),3)</f>
        <v>7.3035219519816685</v>
      </c>
      <c r="D30" s="1">
        <f>Quartile_S[[#This Row],[P/FCF Q1]]-1.5*(Quartile_S[[#This Row],[P/FCF Q3]]-Quartile_S[[#This Row],[P/FCF Q1]])</f>
        <v>5.290326024686216</v>
      </c>
      <c r="E30" s="1">
        <f>Quartile_S[[#This Row],[P/FCF Q3]]+1.5*(Quartile_S[[#This Row],[P/FCF Q3]]-Quartile_S[[#This Row],[P/FCF Q1]])</f>
        <v>8.51143950835894</v>
      </c>
      <c r="F30" s="1" cm="1">
        <f t="array" ref="F30">_xlfn.QUARTILE.INC(IF(Quartile_S[[#This Row],[Industry]]=Main_S[Industry],Main_S[P/B]),1)</f>
        <v>0.94049601275917061</v>
      </c>
      <c r="G30" s="1" cm="1">
        <f t="array" ref="G30">_xlfn.QUARTILE.INC(IF(Quartile_S[[#This Row],[Industry]]=Main_S[Industry],Main_S[P/B]),3)</f>
        <v>1.1779324827219566</v>
      </c>
      <c r="H30" s="1">
        <f>Quartile_S[[#This Row],[P/B Q1]]-1.5*(Quartile_S[[#This Row],[P/B Q3]]-Quartile_S[[#This Row],[P/B Q1]])</f>
        <v>0.58434130781499161</v>
      </c>
      <c r="I30" s="1">
        <f>Quartile_S[[#This Row],[P/B Q3]]+1.5*(Quartile_S[[#This Row],[P/B Q3]]-Quartile_S[[#This Row],[P/B Q1]])</f>
        <v>1.5340871876661355</v>
      </c>
      <c r="J30" s="1" cm="1">
        <f t="array" ref="J30">_xlfn.QUARTILE.INC(IF(Quartile_S[[#This Row],[Industry]]=Main_S[Industry],Main_S[ROE]),1)</f>
        <v>12.9275</v>
      </c>
      <c r="K30" s="1" cm="1">
        <f t="array" ref="K30">_xlfn.QUARTILE.INC(IF(Quartile_S[[#This Row],[Industry]]=Main_S[Industry],Main_S[ROE]),3)</f>
        <v>22.162500000000001</v>
      </c>
      <c r="L30" s="1">
        <f>Quartile_S[[#This Row],[ROE Q1]]-1.5*(Quartile_S[[#This Row],[ROE Q3]]-Quartile_S[[#This Row],[ROE Q1]])</f>
        <v>-0.92500000000000249</v>
      </c>
      <c r="M30" s="1">
        <f>Quartile_S[[#This Row],[ROE Q3]]+1.5*(Quartile_S[[#This Row],[ROE Q3]]-Quartile_S[[#This Row],[ROE Q1]])</f>
        <v>36.015000000000001</v>
      </c>
      <c r="N30" s="1" cm="1">
        <f t="array" ref="N30">_xlfn.QUARTILE.INC(IF(Quartile_S[[#This Row],[Industry]]=Main_S[Industry],Main_S[ROA]),1)</f>
        <v>1.8724999999999998</v>
      </c>
      <c r="O30" s="1" cm="1">
        <f t="array" ref="O30">_xlfn.QUARTILE.INC(IF(Quartile_S[[#This Row],[Industry]]=Main_S[Industry],Main_S[ROA]),3)</f>
        <v>3.6374999999999993</v>
      </c>
      <c r="P30" s="1">
        <f>Quartile_S[[#This Row],[ROA Q1]]-1.5*(Quartile_S[[#This Row],[ROA Q3]]-Quartile_S[[#This Row],[ROA Q1]])</f>
        <v>-0.77499999999999925</v>
      </c>
      <c r="Q30" s="1">
        <f>Quartile_S[[#This Row],[ROA Q3]]+1.5*(Quartile_S[[#This Row],[ROA Q3]]-Quartile_S[[#This Row],[ROA Q1]])</f>
        <v>6.2849999999999984</v>
      </c>
      <c r="R30" s="1" cm="1">
        <f t="array" ref="R30">_xlfn.QUARTILE.INC(IF(Quartile_S[[#This Row],[Industry]]=Main_S[Industry],Main_S[P/E]),1)</f>
        <v>6.5105889166072712</v>
      </c>
      <c r="S30" s="1" cm="1">
        <f t="array" ref="S30">_xlfn.QUARTILE.INC(IF(Quartile_S[[#This Row],[Industry]]=Main_S[Industry],Main_S[P/E]),3)</f>
        <v>8.8694716678545973</v>
      </c>
      <c r="T30" s="1">
        <f>Quartile_S[[#This Row],[P/E Q1]]-1.5*(Quartile_S[[#This Row],[P/E Q3]]-Quartile_S[[#This Row],[P/E Q1]])</f>
        <v>2.9722647897362822</v>
      </c>
      <c r="U30" s="1">
        <f>Quartile_S[[#This Row],[P/E Q3]]+1.5*(Quartile_S[[#This Row],[P/E Q3]]-Quartile_S[[#This Row],[P/E Q1]])</f>
        <v>12.407795794725587</v>
      </c>
      <c r="V30" s="1" cm="1">
        <f t="array" ref="V30">_xlfn.QUARTILE.INC(IF(Quartile_S[[#This Row],[Industry]]=Main_S[Industry],Main_S[A/E]),1)</f>
        <v>1.5449999999999999</v>
      </c>
      <c r="W30" s="1" cm="1">
        <f t="array" ref="W30">_xlfn.QUARTILE.INC(IF(Quartile_S[[#This Row],[Industry]]=Main_S[Industry],Main_S[A/E]),3)</f>
        <v>2.1550000000000002</v>
      </c>
      <c r="X30" s="1">
        <f>Quartile_S[[#This Row],[A/E Q1]]-1.5*(Quartile_S[[#This Row],[A/E Q3]]-Quartile_S[[#This Row],[A/E Q1]])</f>
        <v>0.62999999999999945</v>
      </c>
      <c r="Y30" s="1">
        <f>Quartile_S[[#This Row],[A/E Q3]]+1.5*(Quartile_S[[#This Row],[A/E Q3]]-Quartile_S[[#This Row],[A/E Q1]])</f>
        <v>3.0700000000000007</v>
      </c>
    </row>
    <row r="31" spans="1:25" x14ac:dyDescent="0.25">
      <c r="A31" t="s">
        <v>110</v>
      </c>
      <c r="B31" s="1" cm="1">
        <f t="array" ref="B31">_xlfn.QUARTILE.INC(IF(Quartile_S[[#This Row],[Industry]]=Main_S[Industry],Main_S[P/FCF]),1)</f>
        <v>5.3762886597938149</v>
      </c>
      <c r="C31" s="1" cm="1">
        <f t="array" ref="C31">_xlfn.QUARTILE.INC(IF(Quartile_S[[#This Row],[Industry]]=Main_S[Industry],Main_S[P/FCF]),3)</f>
        <v>9.3877551020408152</v>
      </c>
      <c r="D31" s="1">
        <f>Quartile_S[[#This Row],[P/FCF Q1]]-1.5*(Quartile_S[[#This Row],[P/FCF Q3]]-Quartile_S[[#This Row],[P/FCF Q1]])</f>
        <v>-0.64091100357668562</v>
      </c>
      <c r="E31" s="1">
        <f>Quartile_S[[#This Row],[P/FCF Q3]]+1.5*(Quartile_S[[#This Row],[P/FCF Q3]]-Quartile_S[[#This Row],[P/FCF Q1]])</f>
        <v>15.404954765411315</v>
      </c>
      <c r="F31" s="1" cm="1">
        <f t="array" ref="F31">_xlfn.QUARTILE.INC(IF(Quartile_S[[#This Row],[Industry]]=Main_S[Industry],Main_S[P/B]),1)</f>
        <v>0.47096774193548385</v>
      </c>
      <c r="G31" s="1" cm="1">
        <f t="array" ref="G31">_xlfn.QUARTILE.INC(IF(Quartile_S[[#This Row],[Industry]]=Main_S[Industry],Main_S[P/B]),3)</f>
        <v>0.99779735682819393</v>
      </c>
      <c r="H31" s="1">
        <f>Quartile_S[[#This Row],[P/B Q1]]-1.5*(Quartile_S[[#This Row],[P/B Q3]]-Quartile_S[[#This Row],[P/B Q1]])</f>
        <v>-0.31927668040358126</v>
      </c>
      <c r="I31" s="1">
        <f>Quartile_S[[#This Row],[P/B Q3]]+1.5*(Quartile_S[[#This Row],[P/B Q3]]-Quartile_S[[#This Row],[P/B Q1]])</f>
        <v>1.7880417791672589</v>
      </c>
      <c r="J31" s="1" cm="1">
        <f t="array" ref="J31">_xlfn.QUARTILE.INC(IF(Quartile_S[[#This Row],[Industry]]=Main_S[Industry],Main_S[ROE]),1)</f>
        <v>0.51</v>
      </c>
      <c r="K31" s="1" cm="1">
        <f t="array" ref="K31">_xlfn.QUARTILE.INC(IF(Quartile_S[[#This Row],[Industry]]=Main_S[Industry],Main_S[ROE]),3)</f>
        <v>2.91</v>
      </c>
      <c r="L31" s="1">
        <f>Quartile_S[[#This Row],[ROE Q1]]-1.5*(Quartile_S[[#This Row],[ROE Q3]]-Quartile_S[[#This Row],[ROE Q1]])</f>
        <v>-3.0900000000000007</v>
      </c>
      <c r="M31" s="1">
        <f>Quartile_S[[#This Row],[ROE Q3]]+1.5*(Quartile_S[[#This Row],[ROE Q3]]-Quartile_S[[#This Row],[ROE Q1]])</f>
        <v>6.5100000000000007</v>
      </c>
      <c r="N31" s="1" cm="1">
        <f t="array" ref="N31">_xlfn.QUARTILE.INC(IF(Quartile_S[[#This Row],[Industry]]=Main_S[Industry],Main_S[ROA]),1)</f>
        <v>1.57</v>
      </c>
      <c r="O31" s="1" cm="1">
        <f t="array" ref="O31">_xlfn.QUARTILE.INC(IF(Quartile_S[[#This Row],[Industry]]=Main_S[Industry],Main_S[ROA]),3)</f>
        <v>2.0699999999999998</v>
      </c>
      <c r="P31" s="1">
        <f>Quartile_S[[#This Row],[ROA Q1]]-1.5*(Quartile_S[[#This Row],[ROA Q3]]-Quartile_S[[#This Row],[ROA Q1]])</f>
        <v>0.8200000000000004</v>
      </c>
      <c r="Q31" s="1">
        <f>Quartile_S[[#This Row],[ROA Q3]]+1.5*(Quartile_S[[#This Row],[ROA Q3]]-Quartile_S[[#This Row],[ROA Q1]])</f>
        <v>2.8199999999999994</v>
      </c>
      <c r="R31" s="1" cm="1">
        <f t="array" ref="R31">_xlfn.QUARTILE.INC(IF(Quartile_S[[#This Row],[Industry]]=Main_S[Industry],Main_S[P/E]),1)</f>
        <v>-1.3652694610778442</v>
      </c>
      <c r="S31" s="1" cm="1">
        <f t="array" ref="S31">_xlfn.QUARTILE.INC(IF(Quartile_S[[#This Row],[Industry]]=Main_S[Industry],Main_S[P/E]),3)</f>
        <v>41.842105263157897</v>
      </c>
      <c r="T31" s="1">
        <f>Quartile_S[[#This Row],[P/E Q1]]-1.5*(Quartile_S[[#This Row],[P/E Q3]]-Quartile_S[[#This Row],[P/E Q1]])</f>
        <v>-66.17633154743146</v>
      </c>
      <c r="U31" s="1">
        <f>Quartile_S[[#This Row],[P/E Q3]]+1.5*(Quartile_S[[#This Row],[P/E Q3]]-Quartile_S[[#This Row],[P/E Q1]])</f>
        <v>106.65316734951151</v>
      </c>
      <c r="V31" s="1" cm="1">
        <f t="array" ref="V31">_xlfn.QUARTILE.INC(IF(Quartile_S[[#This Row],[Industry]]=Main_S[Industry],Main_S[A/E]),1)</f>
        <v>1.98</v>
      </c>
      <c r="W31" s="1" cm="1">
        <f t="array" ref="W31">_xlfn.QUARTILE.INC(IF(Quartile_S[[#This Row],[Industry]]=Main_S[Industry],Main_S[A/E]),3)</f>
        <v>2.58</v>
      </c>
      <c r="X31" s="1">
        <f>Quartile_S[[#This Row],[A/E Q1]]-1.5*(Quartile_S[[#This Row],[A/E Q3]]-Quartile_S[[#This Row],[A/E Q1]])</f>
        <v>1.0799999999999998</v>
      </c>
      <c r="Y31" s="1">
        <f>Quartile_S[[#This Row],[A/E Q3]]+1.5*(Quartile_S[[#This Row],[A/E Q3]]-Quartile_S[[#This Row],[A/E Q1]])</f>
        <v>3.4800000000000004</v>
      </c>
    </row>
    <row r="32" spans="1:25" x14ac:dyDescent="0.25">
      <c r="A32" t="s">
        <v>112</v>
      </c>
      <c r="B32" s="1" cm="1">
        <f t="array" ref="B32">_xlfn.QUARTILE.INC(IF(Quartile_S[[#This Row],[Industry]]=Main_S[Industry],Main_S[P/FCF]),1)</f>
        <v>4.6663728632478634</v>
      </c>
      <c r="C32" s="1" cm="1">
        <f t="array" ref="C32">_xlfn.QUARTILE.INC(IF(Quartile_S[[#This Row],[Industry]]=Main_S[Industry],Main_S[P/FCF]),3)</f>
        <v>5.9925941835306098</v>
      </c>
      <c r="D32" s="1">
        <f>Quartile_S[[#This Row],[P/FCF Q1]]-1.5*(Quartile_S[[#This Row],[P/FCF Q3]]-Quartile_S[[#This Row],[P/FCF Q1]])</f>
        <v>2.6770408828237438</v>
      </c>
      <c r="E32" s="1">
        <f>Quartile_S[[#This Row],[P/FCF Q3]]+1.5*(Quartile_S[[#This Row],[P/FCF Q3]]-Quartile_S[[#This Row],[P/FCF Q1]])</f>
        <v>7.9819261639547294</v>
      </c>
      <c r="F32" s="1" cm="1">
        <f t="array" ref="F32">_xlfn.QUARTILE.INC(IF(Quartile_S[[#This Row],[Industry]]=Main_S[Industry],Main_S[P/B]),1)</f>
        <v>0.44279375733603721</v>
      </c>
      <c r="G32" s="1" cm="1">
        <f t="array" ref="G32">_xlfn.QUARTILE.INC(IF(Quartile_S[[#This Row],[Industry]]=Main_S[Industry],Main_S[P/B]),3)</f>
        <v>0.76126853071451217</v>
      </c>
      <c r="H32" s="1">
        <f>Quartile_S[[#This Row],[P/B Q1]]-1.5*(Quartile_S[[#This Row],[P/B Q3]]-Quartile_S[[#This Row],[P/B Q1]])</f>
        <v>-3.4918402731675235E-2</v>
      </c>
      <c r="I32" s="1">
        <f>Quartile_S[[#This Row],[P/B Q3]]+1.5*(Quartile_S[[#This Row],[P/B Q3]]-Quartile_S[[#This Row],[P/B Q1]])</f>
        <v>1.2389806907822245</v>
      </c>
      <c r="J32" s="1" cm="1">
        <f t="array" ref="J32">_xlfn.QUARTILE.INC(IF(Quartile_S[[#This Row],[Industry]]=Main_S[Industry],Main_S[ROE]),1)</f>
        <v>-10.547499999999999</v>
      </c>
      <c r="K32" s="1" cm="1">
        <f t="array" ref="K32">_xlfn.QUARTILE.INC(IF(Quartile_S[[#This Row],[Industry]]=Main_S[Industry],Main_S[ROE]),3)</f>
        <v>0.78000000000000025</v>
      </c>
      <c r="L32" s="1">
        <f>Quartile_S[[#This Row],[ROE Q1]]-1.5*(Quartile_S[[#This Row],[ROE Q3]]-Quartile_S[[#This Row],[ROE Q1]])</f>
        <v>-27.53875</v>
      </c>
      <c r="M32" s="1">
        <f>Quartile_S[[#This Row],[ROE Q3]]+1.5*(Quartile_S[[#This Row],[ROE Q3]]-Quartile_S[[#This Row],[ROE Q1]])</f>
        <v>17.771250000000002</v>
      </c>
      <c r="N32" s="1" cm="1">
        <f t="array" ref="N32">_xlfn.QUARTILE.INC(IF(Quartile_S[[#This Row],[Industry]]=Main_S[Industry],Main_S[ROA]),1)</f>
        <v>0.17750000000000002</v>
      </c>
      <c r="O32" s="1" cm="1">
        <f t="array" ref="O32">_xlfn.QUARTILE.INC(IF(Quartile_S[[#This Row],[Industry]]=Main_S[Industry],Main_S[ROA]),3)</f>
        <v>1.9650000000000001</v>
      </c>
      <c r="P32" s="1">
        <f>Quartile_S[[#This Row],[ROA Q1]]-1.5*(Quartile_S[[#This Row],[ROA Q3]]-Quartile_S[[#This Row],[ROA Q1]])</f>
        <v>-2.5037500000000001</v>
      </c>
      <c r="Q32" s="1">
        <f>Quartile_S[[#This Row],[ROA Q3]]+1.5*(Quartile_S[[#This Row],[ROA Q3]]-Quartile_S[[#This Row],[ROA Q1]])</f>
        <v>4.6462500000000002</v>
      </c>
      <c r="R32" s="1" cm="1">
        <f t="array" ref="R32">_xlfn.QUARTILE.INC(IF(Quartile_S[[#This Row],[Industry]]=Main_S[Industry],Main_S[P/E]),1)</f>
        <v>-12.568870967741935</v>
      </c>
      <c r="S32" s="1" cm="1">
        <f t="array" ref="S32">_xlfn.QUARTILE.INC(IF(Quartile_S[[#This Row],[Industry]]=Main_S[Industry],Main_S[P/E]),3)</f>
        <v>19.333914728682174</v>
      </c>
      <c r="T32" s="1">
        <f>Quartile_S[[#This Row],[P/E Q1]]-1.5*(Quartile_S[[#This Row],[P/E Q3]]-Quartile_S[[#This Row],[P/E Q1]])</f>
        <v>-60.423049512378107</v>
      </c>
      <c r="U32" s="1">
        <f>Quartile_S[[#This Row],[P/E Q3]]+1.5*(Quartile_S[[#This Row],[P/E Q3]]-Quartile_S[[#This Row],[P/E Q1]])</f>
        <v>67.188093273318344</v>
      </c>
      <c r="V32" s="1" cm="1">
        <f t="array" ref="V32">_xlfn.QUARTILE.INC(IF(Quartile_S[[#This Row],[Industry]]=Main_S[Industry],Main_S[A/E]),1)</f>
        <v>2.4325000000000001</v>
      </c>
      <c r="W32" s="1" cm="1">
        <f t="array" ref="W32">_xlfn.QUARTILE.INC(IF(Quartile_S[[#This Row],[Industry]]=Main_S[Industry],Main_S[A/E]),3)</f>
        <v>2.9224999999999999</v>
      </c>
      <c r="X32" s="1">
        <f>Quartile_S[[#This Row],[A/E Q1]]-1.5*(Quartile_S[[#This Row],[A/E Q3]]-Quartile_S[[#This Row],[A/E Q1]])</f>
        <v>1.6975000000000005</v>
      </c>
      <c r="Y32" s="1">
        <f>Quartile_S[[#This Row],[A/E Q3]]+1.5*(Quartile_S[[#This Row],[A/E Q3]]-Quartile_S[[#This Row],[A/E Q1]])</f>
        <v>3.6574999999999998</v>
      </c>
    </row>
    <row r="33" spans="1:25" x14ac:dyDescent="0.25">
      <c r="A33" t="s">
        <v>114</v>
      </c>
      <c r="B33" s="1" cm="1">
        <f t="array" ref="B33">_xlfn.QUARTILE.INC(IF(Quartile_S[[#This Row],[Industry]]=Main_S[Industry],Main_S[P/FCF]),1)</f>
        <v>7.1271929824561413</v>
      </c>
      <c r="C33" s="1" cm="1">
        <f t="array" ref="C33">_xlfn.QUARTILE.INC(IF(Quartile_S[[#This Row],[Industry]]=Main_S[Industry],Main_S[P/FCF]),3)</f>
        <v>11.402941176470589</v>
      </c>
      <c r="D33" s="1">
        <f>Quartile_S[[#This Row],[P/FCF Q1]]-1.5*(Quartile_S[[#This Row],[P/FCF Q3]]-Quartile_S[[#This Row],[P/FCF Q1]])</f>
        <v>0.71357069143446861</v>
      </c>
      <c r="E33" s="1">
        <f>Quartile_S[[#This Row],[P/FCF Q3]]+1.5*(Quartile_S[[#This Row],[P/FCF Q3]]-Quartile_S[[#This Row],[P/FCF Q1]])</f>
        <v>17.816563467492262</v>
      </c>
      <c r="F33" s="1" cm="1">
        <f t="array" ref="F33">_xlfn.QUARTILE.INC(IF(Quartile_S[[#This Row],[Industry]]=Main_S[Industry],Main_S[P/B]),1)</f>
        <v>0.98469387755102034</v>
      </c>
      <c r="G33" s="1" cm="1">
        <f t="array" ref="G33">_xlfn.QUARTILE.INC(IF(Quartile_S[[#This Row],[Industry]]=Main_S[Industry],Main_S[P/B]),3)</f>
        <v>1.6965648854961832</v>
      </c>
      <c r="H33" s="1">
        <f>Quartile_S[[#This Row],[P/B Q1]]-1.5*(Quartile_S[[#This Row],[P/B Q3]]-Quartile_S[[#This Row],[P/B Q1]])</f>
        <v>-8.3112634366723892E-2</v>
      </c>
      <c r="I33" s="1">
        <f>Quartile_S[[#This Row],[P/B Q3]]+1.5*(Quartile_S[[#This Row],[P/B Q3]]-Quartile_S[[#This Row],[P/B Q1]])</f>
        <v>2.7643713974139272</v>
      </c>
      <c r="J33" s="1" cm="1">
        <f t="array" ref="J33">_xlfn.QUARTILE.INC(IF(Quartile_S[[#This Row],[Industry]]=Main_S[Industry],Main_S[ROE]),1)</f>
        <v>1.1499999999999999</v>
      </c>
      <c r="K33" s="1" cm="1">
        <f t="array" ref="K33">_xlfn.QUARTILE.INC(IF(Quartile_S[[#This Row],[Industry]]=Main_S[Industry],Main_S[ROE]),3)</f>
        <v>9.39</v>
      </c>
      <c r="L33" s="1">
        <f>Quartile_S[[#This Row],[ROE Q1]]-1.5*(Quartile_S[[#This Row],[ROE Q3]]-Quartile_S[[#This Row],[ROE Q1]])</f>
        <v>-11.209999999999999</v>
      </c>
      <c r="M33" s="1">
        <f>Quartile_S[[#This Row],[ROE Q3]]+1.5*(Quartile_S[[#This Row],[ROE Q3]]-Quartile_S[[#This Row],[ROE Q1]])</f>
        <v>21.75</v>
      </c>
      <c r="N33" s="1" cm="1">
        <f t="array" ref="N33">_xlfn.QUARTILE.INC(IF(Quartile_S[[#This Row],[Industry]]=Main_S[Industry],Main_S[ROA]),1)</f>
        <v>1.93</v>
      </c>
      <c r="O33" s="1" cm="1">
        <f t="array" ref="O33">_xlfn.QUARTILE.INC(IF(Quartile_S[[#This Row],[Industry]]=Main_S[Industry],Main_S[ROA]),3)</f>
        <v>4.03</v>
      </c>
      <c r="P33" s="1">
        <f>Quartile_S[[#This Row],[ROA Q1]]-1.5*(Quartile_S[[#This Row],[ROA Q3]]-Quartile_S[[#This Row],[ROA Q1]])</f>
        <v>-1.2200000000000009</v>
      </c>
      <c r="Q33" s="1">
        <f>Quartile_S[[#This Row],[ROA Q3]]+1.5*(Quartile_S[[#This Row],[ROA Q3]]-Quartile_S[[#This Row],[ROA Q1]])</f>
        <v>7.1800000000000015</v>
      </c>
      <c r="R33" s="1" cm="1">
        <f t="array" ref="R33">_xlfn.QUARTILE.INC(IF(Quartile_S[[#This Row],[Industry]]=Main_S[Industry],Main_S[P/E]),1)</f>
        <v>18.424870466321245</v>
      </c>
      <c r="S33" s="1" cm="1">
        <f t="array" ref="S33">_xlfn.QUARTILE.INC(IF(Quartile_S[[#This Row],[Industry]]=Main_S[Industry],Main_S[P/E]),3)</f>
        <v>33.453333333333333</v>
      </c>
      <c r="T33" s="1">
        <f>Quartile_S[[#This Row],[P/E Q1]]-1.5*(Quartile_S[[#This Row],[P/E Q3]]-Quartile_S[[#This Row],[P/E Q1]])</f>
        <v>-4.1178238341968871</v>
      </c>
      <c r="U33" s="1">
        <f>Quartile_S[[#This Row],[P/E Q3]]+1.5*(Quartile_S[[#This Row],[P/E Q3]]-Quartile_S[[#This Row],[P/E Q1]])</f>
        <v>55.996027633851469</v>
      </c>
      <c r="V33" s="1" cm="1">
        <f t="array" ref="V33">_xlfn.QUARTILE.INC(IF(Quartile_S[[#This Row],[Industry]]=Main_S[Industry],Main_S[A/E]),1)</f>
        <v>1.85</v>
      </c>
      <c r="W33" s="1" cm="1">
        <f t="array" ref="W33">_xlfn.QUARTILE.INC(IF(Quartile_S[[#This Row],[Industry]]=Main_S[Industry],Main_S[A/E]),3)</f>
        <v>2.74</v>
      </c>
      <c r="X33" s="1">
        <f>Quartile_S[[#This Row],[A/E Q1]]-1.5*(Quartile_S[[#This Row],[A/E Q3]]-Quartile_S[[#This Row],[A/E Q1]])</f>
        <v>0.5149999999999999</v>
      </c>
      <c r="Y33" s="1">
        <f>Quartile_S[[#This Row],[A/E Q3]]+1.5*(Quartile_S[[#This Row],[A/E Q3]]-Quartile_S[[#This Row],[A/E Q1]])</f>
        <v>4.0750000000000002</v>
      </c>
    </row>
    <row r="34" spans="1:25" x14ac:dyDescent="0.25">
      <c r="A34" t="s">
        <v>120</v>
      </c>
      <c r="B34" s="1" cm="1">
        <f t="array" ref="B34">_xlfn.QUARTILE.INC(IF(Quartile_S[[#This Row],[Industry]]=Main_S[Industry],Main_S[P/FCF]),1)</f>
        <v>10.592920027542789</v>
      </c>
      <c r="C34" s="1" cm="1">
        <f t="array" ref="C34">_xlfn.QUARTILE.INC(IF(Quartile_S[[#This Row],[Industry]]=Main_S[Industry],Main_S[P/FCF]),3)</f>
        <v>19.639297385620914</v>
      </c>
      <c r="D34" s="1">
        <f>Quartile_S[[#This Row],[P/FCF Q1]]-1.5*(Quartile_S[[#This Row],[P/FCF Q3]]-Quartile_S[[#This Row],[P/FCF Q1]])</f>
        <v>-2.9766460095743987</v>
      </c>
      <c r="E34" s="1">
        <f>Quartile_S[[#This Row],[P/FCF Q3]]+1.5*(Quartile_S[[#This Row],[P/FCF Q3]]-Quartile_S[[#This Row],[P/FCF Q1]])</f>
        <v>33.208863422738105</v>
      </c>
      <c r="F34" s="1" cm="1">
        <f t="array" ref="F34">_xlfn.QUARTILE.INC(IF(Quartile_S[[#This Row],[Industry]]=Main_S[Industry],Main_S[P/B]),1)</f>
        <v>1.3562020895727773</v>
      </c>
      <c r="G34" s="1" cm="1">
        <f t="array" ref="G34">_xlfn.QUARTILE.INC(IF(Quartile_S[[#This Row],[Industry]]=Main_S[Industry],Main_S[P/B]),3)</f>
        <v>2.4143601146936629</v>
      </c>
      <c r="H34" s="1">
        <f>Quartile_S[[#This Row],[P/B Q1]]-1.5*(Quartile_S[[#This Row],[P/B Q3]]-Quartile_S[[#This Row],[P/B Q1]])</f>
        <v>-0.23103494810855096</v>
      </c>
      <c r="I34" s="1">
        <f>Quartile_S[[#This Row],[P/B Q3]]+1.5*(Quartile_S[[#This Row],[P/B Q3]]-Quartile_S[[#This Row],[P/B Q1]])</f>
        <v>4.0015971523749911</v>
      </c>
      <c r="J34" s="1" cm="1">
        <f t="array" ref="J34">_xlfn.QUARTILE.INC(IF(Quartile_S[[#This Row],[Industry]]=Main_S[Industry],Main_S[ROE]),1)</f>
        <v>-5.79</v>
      </c>
      <c r="K34" s="1" cm="1">
        <f t="array" ref="K34">_xlfn.QUARTILE.INC(IF(Quartile_S[[#This Row],[Industry]]=Main_S[Industry],Main_S[ROE]),3)</f>
        <v>-1.395</v>
      </c>
      <c r="L34" s="1">
        <f>Quartile_S[[#This Row],[ROE Q1]]-1.5*(Quartile_S[[#This Row],[ROE Q3]]-Quartile_S[[#This Row],[ROE Q1]])</f>
        <v>-12.3825</v>
      </c>
      <c r="M34" s="1">
        <f>Quartile_S[[#This Row],[ROE Q3]]+1.5*(Quartile_S[[#This Row],[ROE Q3]]-Quartile_S[[#This Row],[ROE Q1]])</f>
        <v>5.1974999999999998</v>
      </c>
      <c r="N34" s="1" cm="1">
        <f t="array" ref="N34">_xlfn.QUARTILE.INC(IF(Quartile_S[[#This Row],[Industry]]=Main_S[Industry],Main_S[ROA]),1)</f>
        <v>0.8</v>
      </c>
      <c r="O34" s="1" cm="1">
        <f t="array" ref="O34">_xlfn.QUARTILE.INC(IF(Quartile_S[[#This Row],[Industry]]=Main_S[Industry],Main_S[ROA]),3)</f>
        <v>1.0150000000000001</v>
      </c>
      <c r="P34" s="1">
        <f>Quartile_S[[#This Row],[ROA Q1]]-1.5*(Quartile_S[[#This Row],[ROA Q3]]-Quartile_S[[#This Row],[ROA Q1]])</f>
        <v>0.47749999999999992</v>
      </c>
      <c r="Q34" s="1">
        <f>Quartile_S[[#This Row],[ROA Q3]]+1.5*(Quartile_S[[#This Row],[ROA Q3]]-Quartile_S[[#This Row],[ROA Q1]])</f>
        <v>1.3375000000000004</v>
      </c>
      <c r="R34" s="1" cm="1">
        <f t="array" ref="R34">_xlfn.QUARTILE.INC(IF(Quartile_S[[#This Row],[Industry]]=Main_S[Industry],Main_S[P/E]),1)</f>
        <v>-46.872650375939848</v>
      </c>
      <c r="S34" s="1" cm="1">
        <f t="array" ref="S34">_xlfn.QUARTILE.INC(IF(Quartile_S[[#This Row],[Industry]]=Main_S[Industry],Main_S[P/E]),3)</f>
        <v>-19.706349206349206</v>
      </c>
      <c r="T34" s="1">
        <f>Quartile_S[[#This Row],[P/E Q1]]-1.5*(Quartile_S[[#This Row],[P/E Q3]]-Quartile_S[[#This Row],[P/E Q1]])</f>
        <v>-87.622102130325814</v>
      </c>
      <c r="U34" s="1">
        <f>Quartile_S[[#This Row],[P/E Q3]]+1.5*(Quartile_S[[#This Row],[P/E Q3]]-Quartile_S[[#This Row],[P/E Q1]])</f>
        <v>21.04310254803676</v>
      </c>
      <c r="V34" s="1" cm="1">
        <f t="array" ref="V34">_xlfn.QUARTILE.INC(IF(Quartile_S[[#This Row],[Industry]]=Main_S[Industry],Main_S[A/E]),1)</f>
        <v>2.6749999999999998</v>
      </c>
      <c r="W34" s="1" cm="1">
        <f t="array" ref="W34">_xlfn.QUARTILE.INC(IF(Quartile_S[[#This Row],[Industry]]=Main_S[Industry],Main_S[A/E]),3)</f>
        <v>4.2149999999999999</v>
      </c>
      <c r="X34" s="1">
        <f>Quartile_S[[#This Row],[A/E Q1]]-1.5*(Quartile_S[[#This Row],[A/E Q3]]-Quartile_S[[#This Row],[A/E Q1]])</f>
        <v>0.36499999999999977</v>
      </c>
      <c r="Y34" s="1">
        <f>Quartile_S[[#This Row],[A/E Q3]]+1.5*(Quartile_S[[#This Row],[A/E Q3]]-Quartile_S[[#This Row],[A/E Q1]])</f>
        <v>6.5250000000000004</v>
      </c>
    </row>
    <row r="35" spans="1:25" x14ac:dyDescent="0.25">
      <c r="A35" t="s">
        <v>131</v>
      </c>
      <c r="B35" s="1" cm="1">
        <f t="array" ref="B35">_xlfn.QUARTILE.INC(IF(Quartile_S[[#This Row],[Industry]]=Main_S[Industry],Main_S[P/FCF]),1)</f>
        <v>6.5718252992293822</v>
      </c>
      <c r="C35" s="1" cm="1">
        <f t="array" ref="C35">_xlfn.QUARTILE.INC(IF(Quartile_S[[#This Row],[Industry]]=Main_S[Industry],Main_S[P/FCF]),3)</f>
        <v>12.423847853535353</v>
      </c>
      <c r="D35" s="1">
        <f>Quartile_S[[#This Row],[P/FCF Q1]]-1.5*(Quartile_S[[#This Row],[P/FCF Q3]]-Quartile_S[[#This Row],[P/FCF Q1]])</f>
        <v>-2.2062085322295735</v>
      </c>
      <c r="E35" s="1">
        <f>Quartile_S[[#This Row],[P/FCF Q3]]+1.5*(Quartile_S[[#This Row],[P/FCF Q3]]-Quartile_S[[#This Row],[P/FCF Q1]])</f>
        <v>21.201881684994309</v>
      </c>
      <c r="F35" s="1" cm="1">
        <f t="array" ref="F35">_xlfn.QUARTILE.INC(IF(Quartile_S[[#This Row],[Industry]]=Main_S[Industry],Main_S[P/B]),1)</f>
        <v>1.3698937426210152</v>
      </c>
      <c r="G35" s="1" cm="1">
        <f t="array" ref="G35">_xlfn.QUARTILE.INC(IF(Quartile_S[[#This Row],[Industry]]=Main_S[Industry],Main_S[P/B]),3)</f>
        <v>4.0251893555149794</v>
      </c>
      <c r="H35" s="1">
        <f>Quartile_S[[#This Row],[P/B Q1]]-1.5*(Quartile_S[[#This Row],[P/B Q3]]-Quartile_S[[#This Row],[P/B Q1]])</f>
        <v>-2.6130496767199314</v>
      </c>
      <c r="I35" s="1">
        <f>Quartile_S[[#This Row],[P/B Q3]]+1.5*(Quartile_S[[#This Row],[P/B Q3]]-Quartile_S[[#This Row],[P/B Q1]])</f>
        <v>8.0081327748559268</v>
      </c>
      <c r="J35" s="1" cm="1">
        <f t="array" ref="J35">_xlfn.QUARTILE.INC(IF(Quartile_S[[#This Row],[Industry]]=Main_S[Industry],Main_S[ROE]),1)</f>
        <v>7.28</v>
      </c>
      <c r="K35" s="1" cm="1">
        <f t="array" ref="K35">_xlfn.QUARTILE.INC(IF(Quartile_S[[#This Row],[Industry]]=Main_S[Industry],Main_S[ROE]),3)</f>
        <v>21.1</v>
      </c>
      <c r="L35" s="1">
        <f>Quartile_S[[#This Row],[ROE Q1]]-1.5*(Quartile_S[[#This Row],[ROE Q3]]-Quartile_S[[#This Row],[ROE Q1]])</f>
        <v>-13.45</v>
      </c>
      <c r="M35" s="1">
        <f>Quartile_S[[#This Row],[ROE Q3]]+1.5*(Quartile_S[[#This Row],[ROE Q3]]-Quartile_S[[#This Row],[ROE Q1]])</f>
        <v>41.83</v>
      </c>
      <c r="N35" s="1" cm="1">
        <f t="array" ref="N35">_xlfn.QUARTILE.INC(IF(Quartile_S[[#This Row],[Industry]]=Main_S[Industry],Main_S[ROA]),1)</f>
        <v>2.1749999999999998</v>
      </c>
      <c r="O35" s="1" cm="1">
        <f t="array" ref="O35">_xlfn.QUARTILE.INC(IF(Quartile_S[[#This Row],[Industry]]=Main_S[Industry],Main_S[ROA]),3)</f>
        <v>3.54</v>
      </c>
      <c r="P35" s="1">
        <f>Quartile_S[[#This Row],[ROA Q1]]-1.5*(Quartile_S[[#This Row],[ROA Q3]]-Quartile_S[[#This Row],[ROA Q1]])</f>
        <v>0.1274999999999995</v>
      </c>
      <c r="Q35" s="1">
        <f>Quartile_S[[#This Row],[ROA Q3]]+1.5*(Quartile_S[[#This Row],[ROA Q3]]-Quartile_S[[#This Row],[ROA Q1]])</f>
        <v>5.5875000000000004</v>
      </c>
      <c r="R35" s="1" cm="1">
        <f t="array" ref="R35">_xlfn.QUARTILE.INC(IF(Quartile_S[[#This Row],[Industry]]=Main_S[Industry],Main_S[P/E]),1)</f>
        <v>6.5000047975436566</v>
      </c>
      <c r="S35" s="1" cm="1">
        <f t="array" ref="S35">_xlfn.QUARTILE.INC(IF(Quartile_S[[#This Row],[Industry]]=Main_S[Industry],Main_S[P/E]),3)</f>
        <v>22.048975409836068</v>
      </c>
      <c r="T35" s="1">
        <f>Quartile_S[[#This Row],[P/E Q1]]-1.5*(Quartile_S[[#This Row],[P/E Q3]]-Quartile_S[[#This Row],[P/E Q1]])</f>
        <v>-16.823451120894962</v>
      </c>
      <c r="U35" s="1">
        <f>Quartile_S[[#This Row],[P/E Q3]]+1.5*(Quartile_S[[#This Row],[P/E Q3]]-Quartile_S[[#This Row],[P/E Q1]])</f>
        <v>45.372431328274686</v>
      </c>
      <c r="V35" s="1" cm="1">
        <f t="array" ref="V35">_xlfn.QUARTILE.INC(IF(Quartile_S[[#This Row],[Industry]]=Main_S[Industry],Main_S[A/E]),1)</f>
        <v>1.93</v>
      </c>
      <c r="W35" s="1" cm="1">
        <f t="array" ref="W35">_xlfn.QUARTILE.INC(IF(Quartile_S[[#This Row],[Industry]]=Main_S[Industry],Main_S[A/E]),3)</f>
        <v>8.5350000000000001</v>
      </c>
      <c r="X35" s="1">
        <f>Quartile_S[[#This Row],[A/E Q1]]-1.5*(Quartile_S[[#This Row],[A/E Q3]]-Quartile_S[[#This Row],[A/E Q1]])</f>
        <v>-7.9775000000000009</v>
      </c>
      <c r="Y35" s="1">
        <f>Quartile_S[[#This Row],[A/E Q3]]+1.5*(Quartile_S[[#This Row],[A/E Q3]]-Quartile_S[[#This Row],[A/E Q1]])</f>
        <v>18.442500000000003</v>
      </c>
    </row>
    <row r="36" spans="1:25" x14ac:dyDescent="0.25">
      <c r="A36" t="s">
        <v>136</v>
      </c>
      <c r="B36" s="1" cm="1">
        <f t="array" ref="B36">_xlfn.QUARTILE.INC(IF(Quartile_S[[#This Row],[Industry]]=Main_S[Industry],Main_S[P/FCF]),1)</f>
        <v>30.158157602663707</v>
      </c>
      <c r="C36" s="1" cm="1">
        <f t="array" ref="C36">_xlfn.QUARTILE.INC(IF(Quartile_S[[#This Row],[Industry]]=Main_S[Industry],Main_S[P/FCF]),3)</f>
        <v>72.850000000000009</v>
      </c>
      <c r="D36" s="1">
        <f>Quartile_S[[#This Row],[P/FCF Q1]]-1.5*(Quartile_S[[#This Row],[P/FCF Q3]]-Quartile_S[[#This Row],[P/FCF Q1]])</f>
        <v>-33.879605993340746</v>
      </c>
      <c r="E36" s="1">
        <f>Quartile_S[[#This Row],[P/FCF Q3]]+1.5*(Quartile_S[[#This Row],[P/FCF Q3]]-Quartile_S[[#This Row],[P/FCF Q1]])</f>
        <v>136.88776359600445</v>
      </c>
      <c r="F36" s="1" cm="1">
        <f t="array" ref="F36">_xlfn.QUARTILE.INC(IF(Quartile_S[[#This Row],[Industry]]=Main_S[Industry],Main_S[P/B]),1)</f>
        <v>0.23696261705681421</v>
      </c>
      <c r="G36" s="1" cm="1">
        <f t="array" ref="G36">_xlfn.QUARTILE.INC(IF(Quartile_S[[#This Row],[Industry]]=Main_S[Industry],Main_S[P/B]),3)</f>
        <v>0.6373693917477854</v>
      </c>
      <c r="H36" s="1">
        <f>Quartile_S[[#This Row],[P/B Q1]]-1.5*(Quartile_S[[#This Row],[P/B Q3]]-Quartile_S[[#This Row],[P/B Q1]])</f>
        <v>-0.36364754497964258</v>
      </c>
      <c r="I36" s="1">
        <f>Quartile_S[[#This Row],[P/B Q3]]+1.5*(Quartile_S[[#This Row],[P/B Q3]]-Quartile_S[[#This Row],[P/B Q1]])</f>
        <v>1.2379795537842422</v>
      </c>
      <c r="J36" s="1" cm="1">
        <f t="array" ref="J36">_xlfn.QUARTILE.INC(IF(Quartile_S[[#This Row],[Industry]]=Main_S[Industry],Main_S[ROE]),1)</f>
        <v>-0.9</v>
      </c>
      <c r="K36" s="1" cm="1">
        <f t="array" ref="K36">_xlfn.QUARTILE.INC(IF(Quartile_S[[#This Row],[Industry]]=Main_S[Industry],Main_S[ROE]),3)</f>
        <v>4.57</v>
      </c>
      <c r="L36" s="1">
        <f>Quartile_S[[#This Row],[ROE Q1]]-1.5*(Quartile_S[[#This Row],[ROE Q3]]-Quartile_S[[#This Row],[ROE Q1]])</f>
        <v>-9.1050000000000022</v>
      </c>
      <c r="M36" s="1">
        <f>Quartile_S[[#This Row],[ROE Q3]]+1.5*(Quartile_S[[#This Row],[ROE Q3]]-Quartile_S[[#This Row],[ROE Q1]])</f>
        <v>12.775000000000002</v>
      </c>
      <c r="N36" s="1" cm="1">
        <f t="array" ref="N36">_xlfn.QUARTILE.INC(IF(Quartile_S[[#This Row],[Industry]]=Main_S[Industry],Main_S[ROA]),1)</f>
        <v>1.79</v>
      </c>
      <c r="O36" s="1" cm="1">
        <f t="array" ref="O36">_xlfn.QUARTILE.INC(IF(Quartile_S[[#This Row],[Industry]]=Main_S[Industry],Main_S[ROA]),3)</f>
        <v>2.86</v>
      </c>
      <c r="P36" s="1">
        <f>Quartile_S[[#This Row],[ROA Q1]]-1.5*(Quartile_S[[#This Row],[ROA Q3]]-Quartile_S[[#This Row],[ROA Q1]])</f>
        <v>0.18500000000000028</v>
      </c>
      <c r="Q36" s="1">
        <f>Quartile_S[[#This Row],[ROA Q3]]+1.5*(Quartile_S[[#This Row],[ROA Q3]]-Quartile_S[[#This Row],[ROA Q1]])</f>
        <v>4.4649999999999999</v>
      </c>
      <c r="R36" s="1" cm="1">
        <f t="array" ref="R36">_xlfn.QUARTILE.INC(IF(Quartile_S[[#This Row],[Industry]]=Main_S[Industry],Main_S[P/E]),1)</f>
        <v>-1.1846128822381274</v>
      </c>
      <c r="S36" s="1" cm="1">
        <f t="array" ref="S36">_xlfn.QUARTILE.INC(IF(Quartile_S[[#This Row],[Industry]]=Main_S[Industry],Main_S[P/E]),3)</f>
        <v>10.81916785206259</v>
      </c>
      <c r="T36" s="1">
        <f>Quartile_S[[#This Row],[P/E Q1]]-1.5*(Quartile_S[[#This Row],[P/E Q3]]-Quartile_S[[#This Row],[P/E Q1]])</f>
        <v>-19.190283983689202</v>
      </c>
      <c r="U36" s="1">
        <f>Quartile_S[[#This Row],[P/E Q3]]+1.5*(Quartile_S[[#This Row],[P/E Q3]]-Quartile_S[[#This Row],[P/E Q1]])</f>
        <v>28.824838953513662</v>
      </c>
      <c r="V36" s="1" cm="1">
        <f t="array" ref="V36">_xlfn.QUARTILE.INC(IF(Quartile_S[[#This Row],[Industry]]=Main_S[Industry],Main_S[A/E]),1)</f>
        <v>1.8</v>
      </c>
      <c r="W36" s="1" cm="1">
        <f t="array" ref="W36">_xlfn.QUARTILE.INC(IF(Quartile_S[[#This Row],[Industry]]=Main_S[Industry],Main_S[A/E]),3)</f>
        <v>2.94</v>
      </c>
      <c r="X36" s="1">
        <f>Quartile_S[[#This Row],[A/E Q1]]-1.5*(Quartile_S[[#This Row],[A/E Q3]]-Quartile_S[[#This Row],[A/E Q1]])</f>
        <v>9.000000000000008E-2</v>
      </c>
      <c r="Y36" s="1">
        <f>Quartile_S[[#This Row],[A/E Q3]]+1.5*(Quartile_S[[#This Row],[A/E Q3]]-Quartile_S[[#This Row],[A/E Q1]])</f>
        <v>4.6500000000000004</v>
      </c>
    </row>
    <row r="37" spans="1:25" x14ac:dyDescent="0.25">
      <c r="A37" t="s">
        <v>149</v>
      </c>
      <c r="B37" s="1" cm="1">
        <f t="array" ref="B37">_xlfn.QUARTILE.INC(IF(Quartile_S[[#This Row],[Industry]]=Main_S[Industry],Main_S[P/FCF]),1)</f>
        <v>-0.12022059401272878</v>
      </c>
      <c r="C37" s="1" cm="1">
        <f t="array" ref="C37">_xlfn.QUARTILE.INC(IF(Quartile_S[[#This Row],[Industry]]=Main_S[Industry],Main_S[P/FCF]),3)</f>
        <v>65.464906417112303</v>
      </c>
      <c r="D37" s="1">
        <f>Quartile_S[[#This Row],[P/FCF Q1]]-1.5*(Quartile_S[[#This Row],[P/FCF Q3]]-Quartile_S[[#This Row],[P/FCF Q1]])</f>
        <v>-98.497911110700286</v>
      </c>
      <c r="E37" s="1">
        <f>Quartile_S[[#This Row],[P/FCF Q3]]+1.5*(Quartile_S[[#This Row],[P/FCF Q3]]-Quartile_S[[#This Row],[P/FCF Q1]])</f>
        <v>163.84259693379985</v>
      </c>
      <c r="F37" s="1" cm="1">
        <f t="array" ref="F37">_xlfn.QUARTILE.INC(IF(Quartile_S[[#This Row],[Industry]]=Main_S[Industry],Main_S[P/B]),1)</f>
        <v>0.5301629792095246</v>
      </c>
      <c r="G37" s="1" cm="1">
        <f t="array" ref="G37">_xlfn.QUARTILE.INC(IF(Quartile_S[[#This Row],[Industry]]=Main_S[Industry],Main_S[P/B]),3)</f>
        <v>5.5357493734335836</v>
      </c>
      <c r="H37" s="1">
        <f>Quartile_S[[#This Row],[P/B Q1]]-1.5*(Quartile_S[[#This Row],[P/B Q3]]-Quartile_S[[#This Row],[P/B Q1]])</f>
        <v>-6.9782166121265634</v>
      </c>
      <c r="I37" s="1">
        <f>Quartile_S[[#This Row],[P/B Q3]]+1.5*(Quartile_S[[#This Row],[P/B Q3]]-Quartile_S[[#This Row],[P/B Q1]])</f>
        <v>13.044128964769673</v>
      </c>
      <c r="J37" s="1" cm="1">
        <f t="array" ref="J37">_xlfn.QUARTILE.INC(IF(Quartile_S[[#This Row],[Industry]]=Main_S[Industry],Main_S[ROE]),1)</f>
        <v>-23.827500000000001</v>
      </c>
      <c r="K37" s="1" cm="1">
        <f t="array" ref="K37">_xlfn.QUARTILE.INC(IF(Quartile_S[[#This Row],[Industry]]=Main_S[Industry],Main_S[ROE]),3)</f>
        <v>1.4175</v>
      </c>
      <c r="L37" s="1">
        <f>Quartile_S[[#This Row],[ROE Q1]]-1.5*(Quartile_S[[#This Row],[ROE Q3]]-Quartile_S[[#This Row],[ROE Q1]])</f>
        <v>-61.695</v>
      </c>
      <c r="M37" s="1">
        <f>Quartile_S[[#This Row],[ROE Q3]]+1.5*(Quartile_S[[#This Row],[ROE Q3]]-Quartile_S[[#This Row],[ROE Q1]])</f>
        <v>39.284999999999997</v>
      </c>
      <c r="N37" s="1" cm="1">
        <f t="array" ref="N37">_xlfn.QUARTILE.INC(IF(Quartile_S[[#This Row],[Industry]]=Main_S[Industry],Main_S[ROA]),1)</f>
        <v>-2.2250000000000001</v>
      </c>
      <c r="O37" s="1" cm="1">
        <f t="array" ref="O37">_xlfn.QUARTILE.INC(IF(Quartile_S[[#This Row],[Industry]]=Main_S[Industry],Main_S[ROA]),3)</f>
        <v>2.7675000000000001</v>
      </c>
      <c r="P37" s="1">
        <f>Quartile_S[[#This Row],[ROA Q1]]-1.5*(Quartile_S[[#This Row],[ROA Q3]]-Quartile_S[[#This Row],[ROA Q1]])</f>
        <v>-9.7137499999999992</v>
      </c>
      <c r="Q37" s="1">
        <f>Quartile_S[[#This Row],[ROA Q3]]+1.5*(Quartile_S[[#This Row],[ROA Q3]]-Quartile_S[[#This Row],[ROA Q1]])</f>
        <v>10.25625</v>
      </c>
      <c r="R37" s="1" cm="1">
        <f t="array" ref="R37">_xlfn.QUARTILE.INC(IF(Quartile_S[[#This Row],[Industry]]=Main_S[Industry],Main_S[P/E]),1)</f>
        <v>-32.042410714285715</v>
      </c>
      <c r="S37" s="1" cm="1">
        <f t="array" ref="S37">_xlfn.QUARTILE.INC(IF(Quartile_S[[#This Row],[Industry]]=Main_S[Industry],Main_S[P/E]),3)</f>
        <v>22.855308625692427</v>
      </c>
      <c r="T37" s="1">
        <f>Quartile_S[[#This Row],[P/E Q1]]-1.5*(Quartile_S[[#This Row],[P/E Q3]]-Quartile_S[[#This Row],[P/E Q1]])</f>
        <v>-114.38898972425292</v>
      </c>
      <c r="U37" s="1">
        <f>Quartile_S[[#This Row],[P/E Q3]]+1.5*(Quartile_S[[#This Row],[P/E Q3]]-Quartile_S[[#This Row],[P/E Q1]])</f>
        <v>105.20188763565963</v>
      </c>
      <c r="V37" s="1" cm="1">
        <f t="array" ref="V37">_xlfn.QUARTILE.INC(IF(Quartile_S[[#This Row],[Industry]]=Main_S[Industry],Main_S[A/E]),1)</f>
        <v>1.4124999999999999</v>
      </c>
      <c r="W37" s="1" cm="1">
        <f t="array" ref="W37">_xlfn.QUARTILE.INC(IF(Quartile_S[[#This Row],[Industry]]=Main_S[Industry],Main_S[A/E]),3)</f>
        <v>3.4424999999999999</v>
      </c>
      <c r="X37" s="1">
        <f>Quartile_S[[#This Row],[A/E Q1]]-1.5*(Quartile_S[[#This Row],[A/E Q3]]-Quartile_S[[#This Row],[A/E Q1]])</f>
        <v>-1.6325000000000005</v>
      </c>
      <c r="Y37" s="1">
        <f>Quartile_S[[#This Row],[A/E Q3]]+1.5*(Quartile_S[[#This Row],[A/E Q3]]-Quartile_S[[#This Row],[A/E Q1]])</f>
        <v>6.4875000000000007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E5DF7-6D09-48D2-A179-6B6FB67C4BE7}">
  <sheetPr codeName="Sheet6"/>
  <dimension ref="A1:K33"/>
  <sheetViews>
    <sheetView workbookViewId="0">
      <selection activeCell="I29" sqref="I29"/>
    </sheetView>
  </sheetViews>
  <sheetFormatPr defaultRowHeight="15" x14ac:dyDescent="0.25"/>
  <cols>
    <col min="1" max="1" width="36.85546875" bestFit="1" customWidth="1"/>
    <col min="2" max="2" width="14.85546875" bestFit="1" customWidth="1"/>
    <col min="3" max="3" width="15.42578125" bestFit="1" customWidth="1"/>
    <col min="5" max="5" width="36.85546875" bestFit="1" customWidth="1"/>
    <col min="6" max="6" width="14" bestFit="1" customWidth="1"/>
    <col min="7" max="7" width="14.5703125" bestFit="1" customWidth="1"/>
    <col min="9" max="9" width="36.85546875" bestFit="1" customWidth="1"/>
    <col min="10" max="10" width="14" bestFit="1" customWidth="1"/>
    <col min="11" max="11" width="14.5703125" bestFit="1" customWidth="1"/>
  </cols>
  <sheetData>
    <row r="1" spans="1:11" x14ac:dyDescent="0.25">
      <c r="A1" s="27" t="s">
        <v>55</v>
      </c>
      <c r="B1" s="27"/>
      <c r="C1" s="27"/>
      <c r="E1" s="27" t="s">
        <v>80</v>
      </c>
      <c r="F1" s="27"/>
      <c r="G1" s="27"/>
      <c r="I1" s="27" t="s">
        <v>56</v>
      </c>
      <c r="J1" s="27"/>
      <c r="K1" s="27"/>
    </row>
    <row r="2" spans="1:11" x14ac:dyDescent="0.25">
      <c r="A2" s="3" t="s">
        <v>35</v>
      </c>
      <c r="B2" t="s">
        <v>41</v>
      </c>
      <c r="E2" s="3" t="s">
        <v>76</v>
      </c>
      <c r="F2" t="s">
        <v>41</v>
      </c>
      <c r="I2" s="3" t="s">
        <v>36</v>
      </c>
      <c r="J2" t="s">
        <v>41</v>
      </c>
    </row>
    <row r="4" spans="1:11" x14ac:dyDescent="0.25">
      <c r="A4" s="3" t="s">
        <v>40</v>
      </c>
      <c r="B4" t="s">
        <v>42</v>
      </c>
      <c r="C4" t="s">
        <v>43</v>
      </c>
      <c r="E4" s="3" t="s">
        <v>40</v>
      </c>
      <c r="F4" t="s">
        <v>77</v>
      </c>
      <c r="G4" t="s">
        <v>78</v>
      </c>
      <c r="I4" s="3" t="s">
        <v>40</v>
      </c>
      <c r="J4" t="s">
        <v>44</v>
      </c>
      <c r="K4" t="s">
        <v>45</v>
      </c>
    </row>
    <row r="5" spans="1:11" x14ac:dyDescent="0.25">
      <c r="A5" s="6" t="s">
        <v>105</v>
      </c>
      <c r="B5" s="1">
        <v>12.349794238683128</v>
      </c>
      <c r="C5" s="1">
        <v>0</v>
      </c>
      <c r="E5" s="6" t="s">
        <v>105</v>
      </c>
      <c r="F5" s="1">
        <v>1.5716156061796283</v>
      </c>
      <c r="G5" s="1">
        <v>0</v>
      </c>
      <c r="I5" s="6" t="s">
        <v>105</v>
      </c>
      <c r="J5" s="1">
        <v>5.01</v>
      </c>
      <c r="K5" s="1">
        <v>0</v>
      </c>
    </row>
    <row r="6" spans="1:11" x14ac:dyDescent="0.25">
      <c r="A6" s="6" t="s">
        <v>114</v>
      </c>
      <c r="B6" s="1">
        <v>18.617887114777442</v>
      </c>
      <c r="C6" s="1">
        <v>10.662761292825721</v>
      </c>
      <c r="E6" s="6" t="s">
        <v>114</v>
      </c>
      <c r="F6" s="1">
        <v>1.9379682675523022</v>
      </c>
      <c r="G6" s="1">
        <v>0.7579965211673253</v>
      </c>
      <c r="I6" s="6" t="s">
        <v>114</v>
      </c>
      <c r="J6" s="1">
        <v>2.415</v>
      </c>
      <c r="K6" s="1">
        <v>0.98725629904295853</v>
      </c>
    </row>
    <row r="7" spans="1:11" x14ac:dyDescent="0.25">
      <c r="A7" s="6" t="s">
        <v>110</v>
      </c>
      <c r="B7" s="1">
        <v>7.6878048780487811</v>
      </c>
      <c r="C7" s="1">
        <v>0</v>
      </c>
      <c r="E7" s="6" t="s">
        <v>110</v>
      </c>
      <c r="F7" s="1">
        <v>1.643378519290928</v>
      </c>
      <c r="G7" s="1">
        <v>0</v>
      </c>
      <c r="I7" s="6" t="s">
        <v>110</v>
      </c>
      <c r="J7" s="1">
        <v>10</v>
      </c>
      <c r="K7" s="1">
        <v>0</v>
      </c>
    </row>
    <row r="8" spans="1:11" x14ac:dyDescent="0.25">
      <c r="A8" s="6" t="s">
        <v>107</v>
      </c>
      <c r="B8" s="1">
        <v>16.699195542943428</v>
      </c>
      <c r="C8" s="1">
        <v>3.5780687823800443</v>
      </c>
      <c r="E8" s="6" t="s">
        <v>107</v>
      </c>
      <c r="F8" s="1">
        <v>1.5721698673136784</v>
      </c>
      <c r="G8" s="1">
        <v>0.33399868177407205</v>
      </c>
      <c r="I8" s="6" t="s">
        <v>107</v>
      </c>
      <c r="J8" s="1">
        <v>-1.1200000000000001</v>
      </c>
      <c r="K8" s="1">
        <v>7.95</v>
      </c>
    </row>
    <row r="9" spans="1:11" x14ac:dyDescent="0.25">
      <c r="A9" s="6" t="s">
        <v>112</v>
      </c>
      <c r="B9" s="1">
        <v>8.4234693877551035</v>
      </c>
      <c r="C9" s="1">
        <v>0</v>
      </c>
      <c r="E9" s="6" t="s">
        <v>112</v>
      </c>
      <c r="F9" s="1">
        <v>1.9654761904761906</v>
      </c>
      <c r="G9" s="1">
        <v>0</v>
      </c>
      <c r="I9" s="6" t="s">
        <v>112</v>
      </c>
      <c r="J9" s="1">
        <v>0.8</v>
      </c>
      <c r="K9" s="1">
        <v>0</v>
      </c>
    </row>
    <row r="10" spans="1:11" x14ac:dyDescent="0.25">
      <c r="A10" s="6" t="s">
        <v>149</v>
      </c>
      <c r="B10" s="1">
        <v>39.041061706350391</v>
      </c>
      <c r="C10" s="1">
        <v>20.256805108354939</v>
      </c>
      <c r="E10" s="6" t="s">
        <v>149</v>
      </c>
      <c r="F10" s="1">
        <v>3.2529010327981118</v>
      </c>
      <c r="G10" s="1">
        <v>0.9556951548903504</v>
      </c>
      <c r="I10" s="6" t="s">
        <v>149</v>
      </c>
      <c r="J10" s="1">
        <v>3.7516666666666665</v>
      </c>
      <c r="K10" s="1">
        <v>5.339355194111822</v>
      </c>
    </row>
    <row r="11" spans="1:11" x14ac:dyDescent="0.25">
      <c r="A11" s="6" t="s">
        <v>120</v>
      </c>
      <c r="B11" s="1">
        <v>17.566409065798283</v>
      </c>
      <c r="C11" s="1">
        <v>1.055128501884627</v>
      </c>
      <c r="E11" s="6" t="s">
        <v>120</v>
      </c>
      <c r="F11" s="1">
        <v>2.724242517885485</v>
      </c>
      <c r="G11" s="1">
        <v>0.66728706749126132</v>
      </c>
      <c r="I11" s="6" t="s">
        <v>120</v>
      </c>
      <c r="J11" s="1">
        <v>6.5055555555555564</v>
      </c>
      <c r="K11" s="1">
        <v>3.6620944557000623</v>
      </c>
    </row>
    <row r="12" spans="1:11" x14ac:dyDescent="0.25">
      <c r="A12" s="6" t="s">
        <v>131</v>
      </c>
      <c r="B12" s="1">
        <v>15.514818817150147</v>
      </c>
      <c r="C12" s="1">
        <v>1.7308109569469889</v>
      </c>
      <c r="E12" s="6" t="s">
        <v>131</v>
      </c>
      <c r="F12" s="1">
        <v>1.5647131378361525</v>
      </c>
      <c r="G12" s="1">
        <v>0.3406764585491272</v>
      </c>
      <c r="I12" s="6" t="s">
        <v>131</v>
      </c>
      <c r="J12" s="1">
        <v>4.5133333333333328</v>
      </c>
      <c r="K12" s="1">
        <v>1.4382937422129352</v>
      </c>
    </row>
    <row r="13" spans="1:11" x14ac:dyDescent="0.25">
      <c r="A13" s="6" t="s">
        <v>136</v>
      </c>
      <c r="B13" s="1">
        <v>20.288417689505469</v>
      </c>
      <c r="C13" s="1">
        <v>5.883819303263599</v>
      </c>
      <c r="E13" s="6" t="s">
        <v>136</v>
      </c>
      <c r="F13" s="1">
        <v>3.800863437758832</v>
      </c>
      <c r="G13" s="1">
        <v>4.6766091547464619</v>
      </c>
      <c r="I13" s="6" t="s">
        <v>136</v>
      </c>
      <c r="J13" s="1">
        <v>11.119</v>
      </c>
      <c r="K13" s="1">
        <v>13.345074334749883</v>
      </c>
    </row>
    <row r="21" spans="1:11" x14ac:dyDescent="0.25">
      <c r="A21" s="27" t="s">
        <v>57</v>
      </c>
      <c r="B21" s="27"/>
      <c r="C21" s="27"/>
      <c r="E21" s="27" t="s">
        <v>58</v>
      </c>
      <c r="F21" s="27"/>
      <c r="G21" s="27"/>
      <c r="I21" s="27" t="s">
        <v>59</v>
      </c>
      <c r="J21" s="27"/>
      <c r="K21" s="27"/>
    </row>
    <row r="22" spans="1:11" x14ac:dyDescent="0.25">
      <c r="A22" s="3" t="s">
        <v>37</v>
      </c>
      <c r="B22" t="s">
        <v>41</v>
      </c>
      <c r="E22" s="3" t="s">
        <v>39</v>
      </c>
      <c r="F22" t="s">
        <v>41</v>
      </c>
      <c r="I22" s="3" t="s">
        <v>38</v>
      </c>
      <c r="J22" t="s">
        <v>41</v>
      </c>
    </row>
    <row r="24" spans="1:11" x14ac:dyDescent="0.25">
      <c r="A24" s="3" t="s">
        <v>40</v>
      </c>
      <c r="B24" t="s">
        <v>46</v>
      </c>
      <c r="C24" t="s">
        <v>47</v>
      </c>
      <c r="E24" s="3" t="s">
        <v>40</v>
      </c>
      <c r="F24" t="s">
        <v>48</v>
      </c>
      <c r="G24" t="s">
        <v>49</v>
      </c>
      <c r="I24" s="3" t="s">
        <v>40</v>
      </c>
      <c r="J24" t="s">
        <v>50</v>
      </c>
      <c r="K24" t="s">
        <v>51</v>
      </c>
    </row>
    <row r="25" spans="1:11" x14ac:dyDescent="0.25">
      <c r="A25" s="6" t="s">
        <v>105</v>
      </c>
      <c r="B25" s="1">
        <v>2.9</v>
      </c>
      <c r="C25" s="1">
        <v>0</v>
      </c>
      <c r="E25" s="6" t="s">
        <v>105</v>
      </c>
      <c r="F25" s="1">
        <v>2.0699999999999998</v>
      </c>
      <c r="G25" s="1">
        <v>0</v>
      </c>
      <c r="I25" s="6" t="s">
        <v>105</v>
      </c>
      <c r="J25" s="1">
        <v>30.938144329896911</v>
      </c>
      <c r="K25" s="1">
        <v>0</v>
      </c>
    </row>
    <row r="26" spans="1:11" x14ac:dyDescent="0.25">
      <c r="A26" s="6" t="s">
        <v>114</v>
      </c>
      <c r="B26" s="1">
        <v>1.7933333333333332</v>
      </c>
      <c r="C26" s="1">
        <v>8.2596744622427512E-2</v>
      </c>
      <c r="E26" s="6" t="s">
        <v>114</v>
      </c>
      <c r="F26" s="1">
        <v>2.2225000000000001</v>
      </c>
      <c r="G26" s="1">
        <v>0.13808964479641064</v>
      </c>
      <c r="I26" s="6" t="s">
        <v>114</v>
      </c>
      <c r="J26" s="1">
        <v>61.283446626863395</v>
      </c>
      <c r="K26" s="1">
        <v>29.507302796530599</v>
      </c>
    </row>
    <row r="27" spans="1:11" x14ac:dyDescent="0.25">
      <c r="A27" s="6" t="s">
        <v>110</v>
      </c>
      <c r="B27" s="1">
        <v>3.91</v>
      </c>
      <c r="C27" s="1">
        <v>0</v>
      </c>
      <c r="E27" s="6" t="s">
        <v>110</v>
      </c>
      <c r="F27" s="1">
        <v>1.95</v>
      </c>
      <c r="G27" s="1">
        <v>0</v>
      </c>
      <c r="I27" s="6" t="s">
        <v>110</v>
      </c>
      <c r="J27" s="1">
        <v>16.416666666666668</v>
      </c>
      <c r="K27" s="1">
        <v>0</v>
      </c>
    </row>
    <row r="28" spans="1:11" x14ac:dyDescent="0.25">
      <c r="A28" s="6" t="s">
        <v>107</v>
      </c>
      <c r="B28" s="1">
        <v>1.44</v>
      </c>
      <c r="C28" s="1">
        <v>0.94</v>
      </c>
      <c r="E28" s="6" t="s">
        <v>107</v>
      </c>
      <c r="F28" s="1">
        <v>1.9950000000000001</v>
      </c>
      <c r="G28" s="1">
        <v>0.19500000000000051</v>
      </c>
      <c r="I28" s="6" t="s">
        <v>107</v>
      </c>
      <c r="J28" s="1">
        <v>6.3544048683323151</v>
      </c>
      <c r="K28" s="1">
        <v>21.002203610470676</v>
      </c>
    </row>
    <row r="29" spans="1:11" x14ac:dyDescent="0.25">
      <c r="A29" s="6" t="s">
        <v>112</v>
      </c>
      <c r="B29" s="1">
        <v>2.4300000000000002</v>
      </c>
      <c r="C29" s="1">
        <v>0</v>
      </c>
      <c r="E29" s="6" t="s">
        <v>112</v>
      </c>
      <c r="F29" s="1">
        <v>4.78</v>
      </c>
      <c r="G29" s="1">
        <v>0</v>
      </c>
      <c r="I29" s="6" t="s">
        <v>112</v>
      </c>
      <c r="J29" s="1">
        <v>-2201.3333333333335</v>
      </c>
      <c r="K29" s="1">
        <v>0</v>
      </c>
    </row>
    <row r="30" spans="1:11" x14ac:dyDescent="0.25">
      <c r="A30" s="6" t="s">
        <v>149</v>
      </c>
      <c r="B30" s="1">
        <v>0.92499999999999982</v>
      </c>
      <c r="C30" s="1">
        <v>2.3257597325031951</v>
      </c>
      <c r="E30" s="6" t="s">
        <v>149</v>
      </c>
      <c r="F30" s="1">
        <v>1.8583333333333332</v>
      </c>
      <c r="G30" s="1">
        <v>0.75362273202327423</v>
      </c>
      <c r="I30" s="6" t="s">
        <v>149</v>
      </c>
      <c r="J30" s="1">
        <v>-37.376043657664034</v>
      </c>
      <c r="K30" s="1">
        <v>88.466383213262745</v>
      </c>
    </row>
    <row r="31" spans="1:11" x14ac:dyDescent="0.25">
      <c r="A31" s="6" t="s">
        <v>120</v>
      </c>
      <c r="B31" s="1">
        <v>2.4700000000000006</v>
      </c>
      <c r="C31" s="1">
        <v>0.51519144230297653</v>
      </c>
      <c r="E31" s="6" t="s">
        <v>120</v>
      </c>
      <c r="F31" s="1">
        <v>2.0074999999999998</v>
      </c>
      <c r="G31" s="1">
        <v>0.20926956300427624</v>
      </c>
      <c r="I31" s="6" t="s">
        <v>120</v>
      </c>
      <c r="J31" s="1">
        <v>62.109701347656276</v>
      </c>
      <c r="K31" s="1">
        <v>49.346775085074235</v>
      </c>
    </row>
    <row r="32" spans="1:11" x14ac:dyDescent="0.25">
      <c r="A32" s="6" t="s">
        <v>131</v>
      </c>
      <c r="B32" s="1">
        <v>3.26</v>
      </c>
      <c r="C32" s="1">
        <v>1.4976815415835243</v>
      </c>
      <c r="E32" s="6" t="s">
        <v>131</v>
      </c>
      <c r="F32" s="1">
        <v>1.8633333333333333</v>
      </c>
      <c r="G32" s="1">
        <v>6.1282587702836781E-2</v>
      </c>
      <c r="I32" s="6" t="s">
        <v>131</v>
      </c>
      <c r="J32" s="1">
        <v>33.882809067011713</v>
      </c>
      <c r="K32" s="1">
        <v>10.564559257346442</v>
      </c>
    </row>
    <row r="33" spans="1:11" x14ac:dyDescent="0.25">
      <c r="A33" s="6" t="s">
        <v>136</v>
      </c>
      <c r="B33" s="1">
        <v>4.1363636363636367</v>
      </c>
      <c r="C33" s="1">
        <v>1.5854753960263634</v>
      </c>
      <c r="E33" s="6" t="s">
        <v>136</v>
      </c>
      <c r="F33" s="1">
        <v>2.3477777777777775</v>
      </c>
      <c r="G33" s="1">
        <v>2.0701571479682288</v>
      </c>
      <c r="I33" s="6" t="s">
        <v>136</v>
      </c>
      <c r="J33" s="1">
        <v>32.407587048829157</v>
      </c>
      <c r="K33" s="1">
        <v>25.344921074351568</v>
      </c>
    </row>
  </sheetData>
  <mergeCells count="6">
    <mergeCell ref="A1:C1"/>
    <mergeCell ref="E1:G1"/>
    <mergeCell ref="I1:K1"/>
    <mergeCell ref="A21:C21"/>
    <mergeCell ref="E21:G21"/>
    <mergeCell ref="I21:K2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63721-54CC-4C95-B1F3-821FC4084D80}">
  <sheetPr codeName="Sheet7"/>
  <dimension ref="A1:K33"/>
  <sheetViews>
    <sheetView workbookViewId="0">
      <selection activeCell="G13" sqref="G13"/>
    </sheetView>
  </sheetViews>
  <sheetFormatPr defaultRowHeight="15" x14ac:dyDescent="0.25"/>
  <cols>
    <col min="1" max="1" width="36.85546875" bestFit="1" customWidth="1"/>
    <col min="2" max="2" width="16.28515625" bestFit="1" customWidth="1"/>
    <col min="3" max="3" width="16.85546875" bestFit="1" customWidth="1"/>
    <col min="5" max="5" width="36.85546875" bestFit="1" customWidth="1"/>
    <col min="6" max="6" width="14" bestFit="1" customWidth="1"/>
    <col min="7" max="7" width="14.5703125" bestFit="1" customWidth="1"/>
    <col min="9" max="9" width="36.85546875" bestFit="1" customWidth="1"/>
    <col min="10" max="10" width="14.85546875" bestFit="1" customWidth="1"/>
    <col min="11" max="11" width="15.42578125" bestFit="1" customWidth="1"/>
  </cols>
  <sheetData>
    <row r="1" spans="1:11" x14ac:dyDescent="0.25">
      <c r="A1" s="27" t="s">
        <v>60</v>
      </c>
      <c r="B1" s="27"/>
      <c r="C1" s="27"/>
      <c r="E1" s="27" t="s">
        <v>79</v>
      </c>
      <c r="F1" s="27"/>
      <c r="G1" s="27"/>
      <c r="I1" s="27" t="s">
        <v>62</v>
      </c>
      <c r="J1" s="27"/>
      <c r="K1" s="27"/>
    </row>
    <row r="2" spans="1:11" x14ac:dyDescent="0.25">
      <c r="A2" s="3" t="s">
        <v>35</v>
      </c>
      <c r="B2" t="s">
        <v>41</v>
      </c>
      <c r="E2" s="3" t="s">
        <v>76</v>
      </c>
      <c r="F2" t="s">
        <v>41</v>
      </c>
      <c r="I2" s="3" t="s">
        <v>36</v>
      </c>
      <c r="J2" t="s">
        <v>41</v>
      </c>
    </row>
    <row r="4" spans="1:11" x14ac:dyDescent="0.25">
      <c r="A4" s="3" t="s">
        <v>40</v>
      </c>
      <c r="B4" t="s">
        <v>42</v>
      </c>
      <c r="C4" t="s">
        <v>43</v>
      </c>
      <c r="E4" s="3" t="s">
        <v>40</v>
      </c>
      <c r="F4" t="s">
        <v>77</v>
      </c>
      <c r="G4" t="s">
        <v>78</v>
      </c>
      <c r="I4" s="3" t="s">
        <v>40</v>
      </c>
      <c r="J4" t="s">
        <v>44</v>
      </c>
      <c r="K4" t="s">
        <v>45</v>
      </c>
    </row>
    <row r="5" spans="1:11" x14ac:dyDescent="0.25">
      <c r="A5" s="6" t="s">
        <v>105</v>
      </c>
      <c r="B5" s="1">
        <v>14.832411083889498</v>
      </c>
      <c r="C5" s="1">
        <v>2.8248922868970183</v>
      </c>
      <c r="E5" s="6" t="s">
        <v>105</v>
      </c>
      <c r="F5" s="1">
        <v>1.3252647714604238</v>
      </c>
      <c r="G5" s="1">
        <v>0.30154682274247419</v>
      </c>
      <c r="I5" s="6" t="s">
        <v>105</v>
      </c>
      <c r="J5" s="1">
        <v>4.8899999999999997</v>
      </c>
      <c r="K5" s="1">
        <v>1.1300000000000006</v>
      </c>
    </row>
    <row r="6" spans="1:11" x14ac:dyDescent="0.25">
      <c r="A6" s="6" t="s">
        <v>114</v>
      </c>
      <c r="B6" s="1">
        <v>16.950952021201601</v>
      </c>
      <c r="C6" s="1">
        <v>5.0017647326379082</v>
      </c>
      <c r="E6" s="6" t="s">
        <v>114</v>
      </c>
      <c r="F6" s="1">
        <v>1.6469846875609571</v>
      </c>
      <c r="G6" s="1">
        <v>0.66746343345007519</v>
      </c>
      <c r="I6" s="6" t="s">
        <v>114</v>
      </c>
      <c r="J6" s="1">
        <v>-2.5049999999999999</v>
      </c>
      <c r="K6" s="1">
        <v>13.053222782133155</v>
      </c>
    </row>
    <row r="7" spans="1:11" x14ac:dyDescent="0.25">
      <c r="A7" s="6" t="s">
        <v>110</v>
      </c>
      <c r="B7" s="1">
        <v>8.2067443922908865</v>
      </c>
      <c r="C7" s="1">
        <v>0.80312993445956704</v>
      </c>
      <c r="E7" s="6" t="s">
        <v>110</v>
      </c>
      <c r="F7" s="1">
        <v>6.0568649984103438</v>
      </c>
      <c r="G7" s="1">
        <v>5.1451439301610851</v>
      </c>
      <c r="I7" s="6" t="s">
        <v>110</v>
      </c>
      <c r="J7" s="1">
        <v>19.164999999999999</v>
      </c>
      <c r="K7" s="1">
        <v>13.325000000000005</v>
      </c>
    </row>
    <row r="8" spans="1:11" x14ac:dyDescent="0.25">
      <c r="A8" s="6" t="s">
        <v>107</v>
      </c>
      <c r="B8" s="1">
        <v>17.282032128605568</v>
      </c>
      <c r="C8" s="1">
        <v>4.0827506830527778</v>
      </c>
      <c r="E8" s="6" t="s">
        <v>107</v>
      </c>
      <c r="F8" s="1">
        <v>1.7797514725421295</v>
      </c>
      <c r="G8" s="1">
        <v>0.58956550812054898</v>
      </c>
      <c r="I8" s="6" t="s">
        <v>107</v>
      </c>
      <c r="J8" s="1">
        <v>4.8757142857142863</v>
      </c>
      <c r="K8" s="1">
        <v>3.9031483890493801</v>
      </c>
    </row>
    <row r="9" spans="1:11" x14ac:dyDescent="0.25">
      <c r="A9" s="6" t="s">
        <v>112</v>
      </c>
      <c r="B9" s="1">
        <v>13.449514380895106</v>
      </c>
      <c r="C9" s="1">
        <v>7.2611539655977735</v>
      </c>
      <c r="E9" s="6" t="s">
        <v>112</v>
      </c>
      <c r="F9" s="1">
        <v>1.3256607413063299</v>
      </c>
      <c r="G9" s="1">
        <v>0.43660392393756453</v>
      </c>
      <c r="I9" s="6" t="s">
        <v>112</v>
      </c>
      <c r="J9" s="1">
        <v>2.8919999999999999</v>
      </c>
      <c r="K9" s="1">
        <v>2.464</v>
      </c>
    </row>
    <row r="10" spans="1:11" x14ac:dyDescent="0.25">
      <c r="A10" s="6" t="s">
        <v>149</v>
      </c>
      <c r="B10" s="1">
        <v>24.2624400814022</v>
      </c>
      <c r="C10" s="1">
        <v>8.5910707118366911</v>
      </c>
      <c r="E10" s="6" t="s">
        <v>149</v>
      </c>
      <c r="F10" s="1">
        <v>4.5423228380236447</v>
      </c>
      <c r="G10" s="1">
        <v>2.9221469691110578</v>
      </c>
      <c r="I10" s="6" t="s">
        <v>149</v>
      </c>
      <c r="J10" s="1">
        <v>9.0514285714285698</v>
      </c>
      <c r="K10" s="1">
        <v>2.549629825072254</v>
      </c>
    </row>
    <row r="11" spans="1:11" x14ac:dyDescent="0.25">
      <c r="A11" s="6" t="s">
        <v>120</v>
      </c>
      <c r="B11" s="1">
        <v>26.647887323943667</v>
      </c>
      <c r="C11" s="1">
        <v>0</v>
      </c>
      <c r="E11" s="6" t="s">
        <v>120</v>
      </c>
      <c r="F11" s="1">
        <v>1.2775151924375423</v>
      </c>
      <c r="G11" s="1">
        <v>0</v>
      </c>
      <c r="I11" s="6" t="s">
        <v>120</v>
      </c>
      <c r="J11" s="1">
        <v>0.86</v>
      </c>
      <c r="K11" s="1">
        <v>0</v>
      </c>
    </row>
    <row r="12" spans="1:11" x14ac:dyDescent="0.25">
      <c r="A12" s="6" t="s">
        <v>131</v>
      </c>
      <c r="B12" s="1">
        <v>15.530628933486939</v>
      </c>
      <c r="C12" s="1">
        <v>2.7206949472170554</v>
      </c>
      <c r="E12" s="6" t="s">
        <v>131</v>
      </c>
      <c r="F12" s="1">
        <v>1.7431302505744597</v>
      </c>
      <c r="G12" s="1">
        <v>0.52092600541124645</v>
      </c>
      <c r="I12" s="6" t="s">
        <v>131</v>
      </c>
      <c r="J12" s="1">
        <v>4.4658333333333333</v>
      </c>
      <c r="K12" s="1">
        <v>5.9736469295472174</v>
      </c>
    </row>
    <row r="13" spans="1:11" x14ac:dyDescent="0.25">
      <c r="A13" s="6" t="s">
        <v>136</v>
      </c>
      <c r="B13" s="1">
        <v>13.188981245159717</v>
      </c>
      <c r="C13" s="1">
        <v>3.0780208884139317</v>
      </c>
      <c r="E13" s="6" t="s">
        <v>136</v>
      </c>
      <c r="F13" s="1">
        <v>2.6298472070966037</v>
      </c>
      <c r="G13" s="1">
        <v>1.0542837006554719</v>
      </c>
      <c r="I13" s="6" t="s">
        <v>136</v>
      </c>
      <c r="J13" s="1">
        <v>11.576666666666668</v>
      </c>
      <c r="K13" s="1">
        <v>10.622979284969396</v>
      </c>
    </row>
    <row r="21" spans="1:11" x14ac:dyDescent="0.25">
      <c r="A21" s="27" t="s">
        <v>64</v>
      </c>
      <c r="B21" s="27"/>
      <c r="C21" s="27"/>
      <c r="E21" s="27" t="s">
        <v>66</v>
      </c>
      <c r="F21" s="27"/>
      <c r="G21" s="27"/>
      <c r="I21" s="27" t="s">
        <v>59</v>
      </c>
      <c r="J21" s="27"/>
      <c r="K21" s="27"/>
    </row>
    <row r="22" spans="1:11" x14ac:dyDescent="0.25">
      <c r="A22" s="3" t="s">
        <v>37</v>
      </c>
      <c r="B22" t="s">
        <v>41</v>
      </c>
      <c r="E22" s="3" t="s">
        <v>39</v>
      </c>
      <c r="F22" t="s">
        <v>41</v>
      </c>
      <c r="I22" s="3" t="s">
        <v>38</v>
      </c>
      <c r="J22" t="s">
        <v>41</v>
      </c>
    </row>
    <row r="24" spans="1:11" x14ac:dyDescent="0.25">
      <c r="A24" s="3" t="s">
        <v>40</v>
      </c>
      <c r="B24" t="s">
        <v>46</v>
      </c>
      <c r="C24" t="s">
        <v>47</v>
      </c>
      <c r="E24" s="3" t="s">
        <v>40</v>
      </c>
      <c r="F24" t="s">
        <v>48</v>
      </c>
      <c r="G24" t="s">
        <v>49</v>
      </c>
      <c r="I24" s="3" t="s">
        <v>40</v>
      </c>
      <c r="J24" t="s">
        <v>50</v>
      </c>
      <c r="K24" t="s">
        <v>51</v>
      </c>
    </row>
    <row r="25" spans="1:11" x14ac:dyDescent="0.25">
      <c r="A25" s="6" t="s">
        <v>105</v>
      </c>
      <c r="B25" s="1">
        <v>3</v>
      </c>
      <c r="C25" s="1">
        <v>0.4199999999999991</v>
      </c>
      <c r="E25" s="6" t="s">
        <v>105</v>
      </c>
      <c r="F25" s="1">
        <v>1.6850000000000001</v>
      </c>
      <c r="G25" s="1">
        <v>9.4999999999999155E-2</v>
      </c>
      <c r="I25" s="6" t="s">
        <v>105</v>
      </c>
      <c r="J25" s="1">
        <v>26.855747126436782</v>
      </c>
      <c r="K25" s="1">
        <v>0.23908045977011241</v>
      </c>
    </row>
    <row r="26" spans="1:11" x14ac:dyDescent="0.25">
      <c r="A26" s="6" t="s">
        <v>114</v>
      </c>
      <c r="B26" s="1">
        <v>2.8140000000000001</v>
      </c>
      <c r="C26" s="1">
        <v>1.6399829267403976</v>
      </c>
      <c r="E26" s="6" t="s">
        <v>114</v>
      </c>
      <c r="F26" s="1">
        <v>1.9849999999999999</v>
      </c>
      <c r="G26" s="1">
        <v>5.1234753829803296E-2</v>
      </c>
      <c r="I26" s="6" t="s">
        <v>114</v>
      </c>
      <c r="J26" s="1">
        <v>13.578100756957173</v>
      </c>
      <c r="K26" s="1">
        <v>17.755179863220533</v>
      </c>
    </row>
    <row r="27" spans="1:11" x14ac:dyDescent="0.25">
      <c r="A27" s="6" t="s">
        <v>110</v>
      </c>
      <c r="B27" s="1">
        <v>4.7750000000000004</v>
      </c>
      <c r="C27" s="1">
        <v>1.3949999999999982</v>
      </c>
      <c r="E27" s="6" t="s">
        <v>110</v>
      </c>
      <c r="F27" s="1">
        <v>5.6999999999999993</v>
      </c>
      <c r="G27" s="1">
        <v>4.16</v>
      </c>
      <c r="I27" s="6" t="s">
        <v>110</v>
      </c>
      <c r="J27" s="1">
        <v>18.456140587126313</v>
      </c>
      <c r="K27" s="1">
        <v>2.8991785618098431</v>
      </c>
    </row>
    <row r="28" spans="1:11" x14ac:dyDescent="0.25">
      <c r="A28" s="6" t="s">
        <v>107</v>
      </c>
      <c r="B28" s="1">
        <v>2.2957142857142858</v>
      </c>
      <c r="C28" s="1">
        <v>0.79330875169142256</v>
      </c>
      <c r="E28" s="6" t="s">
        <v>107</v>
      </c>
      <c r="F28" s="1">
        <v>1.8057142857142858</v>
      </c>
      <c r="G28" s="1">
        <v>0.34441906131327554</v>
      </c>
      <c r="I28" s="6" t="s">
        <v>107</v>
      </c>
      <c r="J28" s="1">
        <v>31.757290459885564</v>
      </c>
      <c r="K28" s="1">
        <v>5.9143853821525818</v>
      </c>
    </row>
    <row r="29" spans="1:11" x14ac:dyDescent="0.25">
      <c r="A29" s="6" t="s">
        <v>112</v>
      </c>
      <c r="B29" s="1">
        <v>1.5457142857142858</v>
      </c>
      <c r="C29" s="1">
        <v>1.1233223318462471</v>
      </c>
      <c r="E29" s="6" t="s">
        <v>112</v>
      </c>
      <c r="F29" s="1">
        <v>2.9628571428571431</v>
      </c>
      <c r="G29" s="1">
        <v>0.90199325758826565</v>
      </c>
      <c r="I29" s="6" t="s">
        <v>112</v>
      </c>
      <c r="J29" s="1">
        <v>55.494547676390653</v>
      </c>
      <c r="K29" s="1">
        <v>37.446837191433431</v>
      </c>
    </row>
    <row r="30" spans="1:11" x14ac:dyDescent="0.25">
      <c r="A30" s="6" t="s">
        <v>149</v>
      </c>
      <c r="B30" s="1">
        <v>3.6485714285714286</v>
      </c>
      <c r="C30" s="1">
        <v>0.85934241589433114</v>
      </c>
      <c r="E30" s="6" t="s">
        <v>149</v>
      </c>
      <c r="F30" s="1">
        <v>3.1587499999999995</v>
      </c>
      <c r="G30" s="1">
        <v>0.93378848648931245</v>
      </c>
      <c r="I30" s="6" t="s">
        <v>149</v>
      </c>
      <c r="J30" s="1">
        <v>24.869228624989045</v>
      </c>
      <c r="K30" s="1">
        <v>23.862792984411715</v>
      </c>
    </row>
    <row r="31" spans="1:11" x14ac:dyDescent="0.25">
      <c r="A31" s="6" t="s">
        <v>120</v>
      </c>
      <c r="B31" s="1">
        <v>1.32</v>
      </c>
      <c r="C31" s="1">
        <v>0</v>
      </c>
      <c r="E31" s="6" t="s">
        <v>120</v>
      </c>
      <c r="F31" s="1">
        <v>1.73</v>
      </c>
      <c r="G31" s="1">
        <v>0</v>
      </c>
      <c r="I31" s="6" t="s">
        <v>120</v>
      </c>
      <c r="J31" s="1">
        <v>145.53846153846155</v>
      </c>
      <c r="K31" s="1">
        <v>0</v>
      </c>
    </row>
    <row r="32" spans="1:11" x14ac:dyDescent="0.25">
      <c r="A32" s="6" t="s">
        <v>131</v>
      </c>
      <c r="B32" s="1">
        <v>2.3324999999999996</v>
      </c>
      <c r="C32" s="1">
        <v>1.0480467944387477</v>
      </c>
      <c r="E32" s="6" t="s">
        <v>131</v>
      </c>
      <c r="F32" s="1">
        <v>2.3308333333333331</v>
      </c>
      <c r="G32" s="1">
        <v>0.74950492919585965</v>
      </c>
      <c r="I32" s="6" t="s">
        <v>131</v>
      </c>
      <c r="J32" s="1">
        <v>61.289401230330846</v>
      </c>
      <c r="K32" s="1">
        <v>61.796471865671649</v>
      </c>
    </row>
    <row r="33" spans="1:11" x14ac:dyDescent="0.25">
      <c r="A33" s="6" t="s">
        <v>136</v>
      </c>
      <c r="B33" s="1">
        <v>2.9442857142857144</v>
      </c>
      <c r="C33" s="1">
        <v>2.9115133872406691</v>
      </c>
      <c r="E33" s="6" t="s">
        <v>136</v>
      </c>
      <c r="F33" s="1">
        <v>1.8533333333333335</v>
      </c>
      <c r="G33" s="1">
        <v>0.46273342457858191</v>
      </c>
      <c r="I33" s="6" t="s">
        <v>136</v>
      </c>
      <c r="J33" s="1">
        <v>28.323563793863272</v>
      </c>
      <c r="K33" s="1">
        <v>18.576053693525022</v>
      </c>
    </row>
  </sheetData>
  <mergeCells count="6">
    <mergeCell ref="A1:C1"/>
    <mergeCell ref="E1:G1"/>
    <mergeCell ref="I1:K1"/>
    <mergeCell ref="A21:C21"/>
    <mergeCell ref="E21:G21"/>
    <mergeCell ref="I21:K2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91A86-58FD-423B-B7BA-62C453D67AD1}">
  <sheetPr codeName="Sheet8"/>
  <dimension ref="A1:K33"/>
  <sheetViews>
    <sheetView workbookViewId="0">
      <selection activeCell="F12" sqref="F12"/>
    </sheetView>
  </sheetViews>
  <sheetFormatPr defaultRowHeight="15" x14ac:dyDescent="0.25"/>
  <cols>
    <col min="1" max="1" width="36.85546875" bestFit="1" customWidth="1"/>
    <col min="2" max="2" width="16.28515625" bestFit="1" customWidth="1"/>
    <col min="3" max="3" width="16.85546875" bestFit="1" customWidth="1"/>
    <col min="5" max="5" width="36.85546875" bestFit="1" customWidth="1"/>
    <col min="6" max="6" width="14" bestFit="1" customWidth="1"/>
    <col min="7" max="7" width="14.5703125" bestFit="1" customWidth="1"/>
    <col min="9" max="9" width="36.85546875" bestFit="1" customWidth="1"/>
    <col min="10" max="10" width="14.85546875" bestFit="1" customWidth="1"/>
    <col min="11" max="11" width="15.42578125" bestFit="1" customWidth="1"/>
  </cols>
  <sheetData>
    <row r="1" spans="1:11" x14ac:dyDescent="0.25">
      <c r="A1" s="27" t="s">
        <v>61</v>
      </c>
      <c r="B1" s="27"/>
      <c r="C1" s="27"/>
      <c r="E1" s="27" t="s">
        <v>81</v>
      </c>
      <c r="F1" s="27"/>
      <c r="G1" s="27"/>
      <c r="I1" s="27" t="s">
        <v>63</v>
      </c>
      <c r="J1" s="27"/>
      <c r="K1" s="27"/>
    </row>
    <row r="2" spans="1:11" x14ac:dyDescent="0.25">
      <c r="A2" s="3" t="s">
        <v>35</v>
      </c>
      <c r="B2" t="s">
        <v>41</v>
      </c>
      <c r="E2" s="3" t="s">
        <v>76</v>
      </c>
      <c r="F2" t="s">
        <v>41</v>
      </c>
      <c r="I2" s="3" t="s">
        <v>36</v>
      </c>
      <c r="J2" t="s">
        <v>41</v>
      </c>
    </row>
    <row r="4" spans="1:11" x14ac:dyDescent="0.25">
      <c r="A4" s="3" t="s">
        <v>40</v>
      </c>
      <c r="B4" t="s">
        <v>42</v>
      </c>
      <c r="C4" t="s">
        <v>43</v>
      </c>
      <c r="E4" s="3" t="s">
        <v>40</v>
      </c>
      <c r="F4" t="s">
        <v>77</v>
      </c>
      <c r="G4" t="s">
        <v>78</v>
      </c>
      <c r="I4" s="3" t="s">
        <v>40</v>
      </c>
      <c r="J4" t="s">
        <v>44</v>
      </c>
      <c r="K4" t="s">
        <v>45</v>
      </c>
    </row>
    <row r="5" spans="1:11" x14ac:dyDescent="0.25">
      <c r="A5" s="6" t="s">
        <v>105</v>
      </c>
      <c r="B5" s="1">
        <v>9.142253333937866</v>
      </c>
      <c r="C5" s="1">
        <v>2.189542262105737</v>
      </c>
      <c r="E5" s="6" t="s">
        <v>105</v>
      </c>
      <c r="F5" s="1">
        <v>1.0947138025253553</v>
      </c>
      <c r="G5" s="1">
        <v>0.13797915110141823</v>
      </c>
      <c r="I5" s="6" t="s">
        <v>105</v>
      </c>
      <c r="J5" s="1">
        <v>6.4087500000000004</v>
      </c>
      <c r="K5" s="1">
        <v>1.9888592050469507</v>
      </c>
    </row>
    <row r="6" spans="1:11" x14ac:dyDescent="0.25">
      <c r="A6" s="6" t="s">
        <v>114</v>
      </c>
      <c r="B6" s="1">
        <v>9.5950887159004434</v>
      </c>
      <c r="C6" s="1">
        <v>2.1019293963326056</v>
      </c>
      <c r="E6" s="6" t="s">
        <v>114</v>
      </c>
      <c r="F6" s="1">
        <v>1.1529107289872296</v>
      </c>
      <c r="G6" s="1">
        <v>0.3144067403781447</v>
      </c>
      <c r="I6" s="6" t="s">
        <v>114</v>
      </c>
      <c r="J6" s="1">
        <v>4.51</v>
      </c>
      <c r="K6" s="1">
        <v>4.486125276895419</v>
      </c>
    </row>
    <row r="7" spans="1:11" x14ac:dyDescent="0.25">
      <c r="A7" s="6" t="s">
        <v>110</v>
      </c>
      <c r="B7" s="1">
        <v>6.4457744186527366</v>
      </c>
      <c r="C7" s="1">
        <v>2.5056259176849274</v>
      </c>
      <c r="E7" s="6" t="s">
        <v>110</v>
      </c>
      <c r="F7" s="1">
        <v>0.69416692178990458</v>
      </c>
      <c r="G7" s="1">
        <v>0.23794364629059206</v>
      </c>
      <c r="I7" s="6" t="s">
        <v>110</v>
      </c>
      <c r="J7" s="1">
        <v>2.1199999999999997</v>
      </c>
      <c r="K7" s="1">
        <v>1.2826047715488982</v>
      </c>
    </row>
    <row r="8" spans="1:11" x14ac:dyDescent="0.25">
      <c r="A8" s="6" t="s">
        <v>107</v>
      </c>
      <c r="B8" s="1">
        <v>6.900882766522578</v>
      </c>
      <c r="C8" s="1">
        <v>0.80527837091817966</v>
      </c>
      <c r="E8" s="6" t="s">
        <v>107</v>
      </c>
      <c r="F8" s="1">
        <v>1.0592142477405635</v>
      </c>
      <c r="G8" s="1">
        <v>0.23743646996278606</v>
      </c>
      <c r="I8" s="6" t="s">
        <v>107</v>
      </c>
      <c r="J8" s="1">
        <v>17.545000000000002</v>
      </c>
      <c r="K8" s="1">
        <v>9.2349999999999977</v>
      </c>
    </row>
    <row r="9" spans="1:11" x14ac:dyDescent="0.25">
      <c r="A9" s="6" t="s">
        <v>112</v>
      </c>
      <c r="B9" s="1">
        <v>5.3682937043520891</v>
      </c>
      <c r="C9" s="1">
        <v>1.0115761154030811</v>
      </c>
      <c r="E9" s="6" t="s">
        <v>112</v>
      </c>
      <c r="F9" s="1">
        <v>0.63474240969435758</v>
      </c>
      <c r="G9" s="1">
        <v>0.28807956953855607</v>
      </c>
      <c r="I9" s="6" t="s">
        <v>112</v>
      </c>
      <c r="J9" s="1">
        <v>-4.8629999999999995</v>
      </c>
      <c r="K9" s="1">
        <v>7.4119147998341157</v>
      </c>
    </row>
    <row r="10" spans="1:11" x14ac:dyDescent="0.25">
      <c r="A10" s="6" t="s">
        <v>149</v>
      </c>
      <c r="B10" s="1">
        <v>27.788275771850461</v>
      </c>
      <c r="C10" s="1">
        <v>38.995543795407414</v>
      </c>
      <c r="E10" s="6" t="s">
        <v>149</v>
      </c>
      <c r="F10" s="1">
        <v>2.3404156251896628</v>
      </c>
      <c r="G10" s="1">
        <v>3.5506437724844866</v>
      </c>
      <c r="I10" s="6" t="s">
        <v>149</v>
      </c>
      <c r="J10" s="1">
        <v>-9.1281250000000007</v>
      </c>
      <c r="K10" s="1">
        <v>17.72684624332188</v>
      </c>
    </row>
    <row r="11" spans="1:11" x14ac:dyDescent="0.25">
      <c r="A11" s="6" t="s">
        <v>120</v>
      </c>
      <c r="B11" s="1">
        <v>16.668565075113737</v>
      </c>
      <c r="C11" s="1">
        <v>6.9597436290284627</v>
      </c>
      <c r="E11" s="6" t="s">
        <v>120</v>
      </c>
      <c r="F11" s="1">
        <v>1.7391009952285561</v>
      </c>
      <c r="G11" s="1">
        <v>0.48516416310199595</v>
      </c>
      <c r="I11" s="6" t="s">
        <v>120</v>
      </c>
      <c r="J11" s="1">
        <v>-2.3400000000000003</v>
      </c>
      <c r="K11" s="1">
        <v>3.2390533596510362</v>
      </c>
    </row>
    <row r="12" spans="1:11" x14ac:dyDescent="0.25">
      <c r="A12" s="6" t="s">
        <v>131</v>
      </c>
      <c r="B12" s="1">
        <v>10.686078769061</v>
      </c>
      <c r="C12" s="1">
        <v>5.2761856106316483</v>
      </c>
      <c r="E12" s="6" t="s">
        <v>131</v>
      </c>
      <c r="F12" s="1">
        <v>2.8808726823085649</v>
      </c>
      <c r="G12" s="1">
        <v>2.1181213224167035</v>
      </c>
      <c r="I12" s="6" t="s">
        <v>131</v>
      </c>
      <c r="J12" s="1">
        <v>15.487142857142858</v>
      </c>
      <c r="K12" s="1">
        <v>12.113314651107462</v>
      </c>
    </row>
    <row r="13" spans="1:11" x14ac:dyDescent="0.25">
      <c r="A13" s="6" t="s">
        <v>136</v>
      </c>
      <c r="B13" s="1">
        <v>54.680706622271551</v>
      </c>
      <c r="C13" s="1">
        <v>26.740058632044715</v>
      </c>
      <c r="E13" s="6" t="s">
        <v>136</v>
      </c>
      <c r="F13" s="1">
        <v>0.65736386539704317</v>
      </c>
      <c r="G13" s="1">
        <v>0.23201802872978028</v>
      </c>
      <c r="I13" s="6" t="s">
        <v>136</v>
      </c>
      <c r="J13" s="1">
        <v>2.3559999999999999</v>
      </c>
      <c r="K13" s="1">
        <v>4.7345014521066524</v>
      </c>
    </row>
    <row r="21" spans="1:11" x14ac:dyDescent="0.25">
      <c r="A21" s="27" t="s">
        <v>65</v>
      </c>
      <c r="B21" s="27"/>
      <c r="C21" s="27"/>
      <c r="E21" s="27" t="s">
        <v>67</v>
      </c>
      <c r="F21" s="27"/>
      <c r="G21" s="27"/>
      <c r="I21" s="27" t="s">
        <v>68</v>
      </c>
      <c r="J21" s="27"/>
      <c r="K21" s="27"/>
    </row>
    <row r="22" spans="1:11" x14ac:dyDescent="0.25">
      <c r="A22" s="3" t="s">
        <v>37</v>
      </c>
      <c r="B22" t="s">
        <v>41</v>
      </c>
      <c r="E22" s="3" t="s">
        <v>39</v>
      </c>
      <c r="F22" t="s">
        <v>41</v>
      </c>
      <c r="I22" s="3" t="s">
        <v>38</v>
      </c>
      <c r="J22" t="s">
        <v>41</v>
      </c>
    </row>
    <row r="24" spans="1:11" x14ac:dyDescent="0.25">
      <c r="A24" s="3" t="s">
        <v>40</v>
      </c>
      <c r="B24" t="s">
        <v>46</v>
      </c>
      <c r="C24" t="s">
        <v>47</v>
      </c>
      <c r="E24" s="3" t="s">
        <v>40</v>
      </c>
      <c r="F24" t="s">
        <v>48</v>
      </c>
      <c r="G24" t="s">
        <v>49</v>
      </c>
      <c r="I24" s="3" t="s">
        <v>40</v>
      </c>
      <c r="J24" t="s">
        <v>50</v>
      </c>
      <c r="K24" t="s">
        <v>51</v>
      </c>
    </row>
    <row r="25" spans="1:11" x14ac:dyDescent="0.25">
      <c r="A25" s="6" t="s">
        <v>105</v>
      </c>
      <c r="B25" s="1">
        <v>2.4833333333333329</v>
      </c>
      <c r="C25" s="1">
        <v>0.35978388574871623</v>
      </c>
      <c r="E25" s="6" t="s">
        <v>105</v>
      </c>
      <c r="F25" s="1">
        <v>2.5642857142857145</v>
      </c>
      <c r="G25" s="1">
        <v>0.2968336303076704</v>
      </c>
      <c r="I25" s="6" t="s">
        <v>105</v>
      </c>
      <c r="J25" s="1">
        <v>21.937135694017403</v>
      </c>
      <c r="K25" s="1">
        <v>4.737939969348143</v>
      </c>
    </row>
    <row r="26" spans="1:11" x14ac:dyDescent="0.25">
      <c r="A26" s="6" t="s">
        <v>114</v>
      </c>
      <c r="B26" s="1">
        <v>2.7299999999999995</v>
      </c>
      <c r="C26" s="1">
        <v>1.1041920122877196</v>
      </c>
      <c r="E26" s="6" t="s">
        <v>114</v>
      </c>
      <c r="F26" s="1">
        <v>2.298</v>
      </c>
      <c r="G26" s="1">
        <v>0.66925032685834429</v>
      </c>
      <c r="I26" s="6" t="s">
        <v>114</v>
      </c>
      <c r="J26" s="1">
        <v>26.865574106057696</v>
      </c>
      <c r="K26" s="1">
        <v>6.2736871818223294</v>
      </c>
    </row>
    <row r="27" spans="1:11" x14ac:dyDescent="0.25">
      <c r="A27" s="6" t="s">
        <v>110</v>
      </c>
      <c r="B27" s="1">
        <v>1.6887500000000002</v>
      </c>
      <c r="C27" s="1">
        <v>0.40421026397161136</v>
      </c>
      <c r="E27" s="6" t="s">
        <v>110</v>
      </c>
      <c r="F27" s="1">
        <v>2.2674999999999996</v>
      </c>
      <c r="G27" s="1">
        <v>0.4708436577039144</v>
      </c>
      <c r="I27" s="6" t="s">
        <v>110</v>
      </c>
      <c r="J27" s="1">
        <v>26.063344075823377</v>
      </c>
      <c r="K27" s="1">
        <v>27.273225564921969</v>
      </c>
    </row>
    <row r="28" spans="1:11" x14ac:dyDescent="0.25">
      <c r="A28" s="6" t="s">
        <v>107</v>
      </c>
      <c r="B28" s="1">
        <v>2.7549999999999999</v>
      </c>
      <c r="C28" s="1">
        <v>1.7649999999999995</v>
      </c>
      <c r="E28" s="6" t="s">
        <v>107</v>
      </c>
      <c r="F28" s="1">
        <v>1.85</v>
      </c>
      <c r="G28" s="1">
        <v>0.60999999999999976</v>
      </c>
      <c r="I28" s="6" t="s">
        <v>107</v>
      </c>
      <c r="J28" s="1">
        <v>7.6900302922309347</v>
      </c>
      <c r="K28" s="1">
        <v>2.3588827512473283</v>
      </c>
    </row>
    <row r="29" spans="1:11" x14ac:dyDescent="0.25">
      <c r="A29" s="6" t="s">
        <v>112</v>
      </c>
      <c r="B29" s="1">
        <v>0.93499999999999994</v>
      </c>
      <c r="C29" s="1">
        <v>1.2575392638005383</v>
      </c>
      <c r="E29" s="6" t="s">
        <v>112</v>
      </c>
      <c r="F29" s="1">
        <v>2.7555555555555551</v>
      </c>
      <c r="G29" s="1">
        <v>0.39158115693829992</v>
      </c>
      <c r="I29" s="6" t="s">
        <v>112</v>
      </c>
      <c r="J29" s="1">
        <v>3.4171838502001934</v>
      </c>
      <c r="K29" s="1">
        <v>27.283006053756228</v>
      </c>
    </row>
    <row r="30" spans="1:11" x14ac:dyDescent="0.25">
      <c r="A30" s="6" t="s">
        <v>149</v>
      </c>
      <c r="B30" s="1">
        <v>0.27562499999999968</v>
      </c>
      <c r="C30" s="1">
        <v>3.7849157334576158</v>
      </c>
      <c r="E30" s="6" t="s">
        <v>149</v>
      </c>
      <c r="F30" s="1">
        <v>2.4533333333333331</v>
      </c>
      <c r="G30" s="1">
        <v>1.0235472089204722</v>
      </c>
      <c r="I30" s="6" t="s">
        <v>149</v>
      </c>
      <c r="J30" s="1">
        <v>-12.012573210044414</v>
      </c>
      <c r="K30" s="1">
        <v>44.668781006723002</v>
      </c>
    </row>
    <row r="31" spans="1:11" x14ac:dyDescent="0.25">
      <c r="A31" s="6" t="s">
        <v>120</v>
      </c>
      <c r="B31" s="1">
        <v>0.90600000000000003</v>
      </c>
      <c r="C31" s="1">
        <v>9.8711701434025398E-2</v>
      </c>
      <c r="E31" s="6" t="s">
        <v>120</v>
      </c>
      <c r="F31" s="1">
        <v>3.0783333333333336</v>
      </c>
      <c r="G31" s="1">
        <v>0.98764731671899009</v>
      </c>
      <c r="I31" s="6" t="s">
        <v>120</v>
      </c>
      <c r="J31" s="1">
        <v>-32.473907525223311</v>
      </c>
      <c r="K31" s="1">
        <v>14.157077641068106</v>
      </c>
    </row>
    <row r="32" spans="1:11" x14ac:dyDescent="0.25">
      <c r="A32" s="6" t="s">
        <v>131</v>
      </c>
      <c r="B32" s="1">
        <v>2.7328571428571427</v>
      </c>
      <c r="C32" s="1">
        <v>1.0198279166564514</v>
      </c>
      <c r="E32" s="6" t="s">
        <v>131</v>
      </c>
      <c r="F32" s="1">
        <v>5.6271428571428572</v>
      </c>
      <c r="G32" s="1">
        <v>4.4796196084862707</v>
      </c>
      <c r="I32" s="6" t="s">
        <v>131</v>
      </c>
      <c r="J32" s="1">
        <v>17.611976364410381</v>
      </c>
      <c r="K32" s="1">
        <v>8.7752145121232559</v>
      </c>
    </row>
    <row r="33" spans="1:11" x14ac:dyDescent="0.25">
      <c r="A33" s="6" t="s">
        <v>136</v>
      </c>
      <c r="B33" s="1">
        <v>2.0525000000000002</v>
      </c>
      <c r="C33" s="1">
        <v>0.52136239795366779</v>
      </c>
      <c r="E33" s="6" t="s">
        <v>136</v>
      </c>
      <c r="F33" s="1">
        <v>2.2166666666666663</v>
      </c>
      <c r="G33" s="1">
        <v>0.51344154703551492</v>
      </c>
      <c r="I33" s="6" t="s">
        <v>136</v>
      </c>
      <c r="J33" s="1">
        <v>10.804105495763887</v>
      </c>
      <c r="K33" s="1">
        <v>1.0538597271984003</v>
      </c>
    </row>
  </sheetData>
  <mergeCells count="6">
    <mergeCell ref="A1:C1"/>
    <mergeCell ref="E1:G1"/>
    <mergeCell ref="I1:K1"/>
    <mergeCell ref="A21:C21"/>
    <mergeCell ref="E21:G21"/>
    <mergeCell ref="I21:K2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29769-BCC2-47EA-9108-B1B7CE962C71}">
  <sheetPr codeName="Sheet9">
    <tabColor theme="9" tint="0.39997558519241921"/>
  </sheetPr>
  <dimension ref="A1:T9"/>
  <sheetViews>
    <sheetView tabSelected="1" zoomScaleNormal="100" workbookViewId="0">
      <pane xSplit="2" ySplit="8" topLeftCell="C9" activePane="bottomRight" state="frozen"/>
      <selection pane="topRight" activeCell="C1" sqref="C1"/>
      <selection pane="bottomLeft" activeCell="A7" sqref="A7"/>
      <selection pane="bottomRight" activeCell="I28" sqref="I28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style="2" bestFit="1" customWidth="1"/>
    <col min="4" max="4" width="15.42578125" style="1" bestFit="1" customWidth="1"/>
    <col min="5" max="5" width="10.140625" style="1" bestFit="1" customWidth="1"/>
    <col min="6" max="6" width="7.85546875" style="1" bestFit="1" customWidth="1"/>
    <col min="7" max="7" width="8.140625" style="1" bestFit="1" customWidth="1"/>
    <col min="8" max="8" width="8.5703125" style="1" bestFit="1" customWidth="1"/>
    <col min="9" max="9" width="11.7109375" style="1" bestFit="1" customWidth="1"/>
    <col min="10" max="11" width="7.28515625" style="1" customWidth="1"/>
    <col min="12" max="12" width="6.28515625" style="1" bestFit="1" customWidth="1"/>
    <col min="13" max="13" width="10.7109375" style="1" bestFit="1" customWidth="1"/>
    <col min="14" max="14" width="15.7109375" style="1" bestFit="1" customWidth="1"/>
    <col min="15" max="15" width="13.28515625" style="1" bestFit="1" customWidth="1"/>
    <col min="16" max="17" width="14.140625" style="1" bestFit="1" customWidth="1"/>
    <col min="18" max="19" width="13.28515625" style="1" bestFit="1" customWidth="1"/>
    <col min="20" max="20" width="10.42578125" bestFit="1" customWidth="1"/>
    <col min="21" max="21" width="16.140625" bestFit="1" customWidth="1"/>
    <col min="22" max="22" width="14.85546875" bestFit="1" customWidth="1"/>
    <col min="23" max="24" width="14.5703125" bestFit="1" customWidth="1"/>
    <col min="25" max="26" width="13.7109375" bestFit="1" customWidth="1"/>
  </cols>
  <sheetData>
    <row r="1" spans="1:20" ht="24.75" thickBot="1" x14ac:dyDescent="0.3">
      <c r="A1" s="25"/>
      <c r="B1" s="25"/>
      <c r="C1" s="28" t="str" cm="1">
        <f t="array" aca="1" ref="C1" ca="1">MID(CELL("filename", A1), FIND("[", CELL("filename", A1)) + 1, FIND(".x", CELL("filename", A1)) - FIND("[", CELL("filename", A1)) - 1) &amp; " - Large Cap"</f>
        <v>Real Estate - Large Cap</v>
      </c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30"/>
    </row>
    <row r="2" spans="1:20" x14ac:dyDescent="0.25">
      <c r="C2" s="37" t="s">
        <v>104</v>
      </c>
      <c r="D2" s="38"/>
      <c r="E2" s="38"/>
      <c r="F2" s="38"/>
      <c r="G2" s="38"/>
      <c r="H2" s="39"/>
      <c r="I2" s="45" t="s">
        <v>69</v>
      </c>
      <c r="J2" s="46"/>
      <c r="K2" s="46"/>
      <c r="L2" s="46"/>
      <c r="M2" s="47"/>
      <c r="N2" s="48" t="s">
        <v>86</v>
      </c>
      <c r="O2" s="49"/>
      <c r="P2" s="49"/>
      <c r="Q2" s="49"/>
      <c r="R2" s="49"/>
      <c r="S2" s="50"/>
      <c r="T2" s="43" t="str">
        <f>"Max Score:"&amp;IFERROR(CHAR(10)&amp;MAX($T$9:$T$1048576)&amp;"/5", CHAR(10)&amp;"0/5")</f>
        <v>Max Score:
0/5</v>
      </c>
    </row>
    <row r="3" spans="1:20" s="10" customFormat="1" ht="15" customHeight="1" x14ac:dyDescent="0.25">
      <c r="C3" s="37"/>
      <c r="D3" s="38"/>
      <c r="E3" s="38"/>
      <c r="F3" s="38"/>
      <c r="G3" s="38"/>
      <c r="H3" s="39"/>
      <c r="I3" s="16" t="s">
        <v>71</v>
      </c>
      <c r="J3" s="15" t="s">
        <v>30</v>
      </c>
      <c r="K3" s="15" t="s">
        <v>83</v>
      </c>
      <c r="L3" s="14"/>
      <c r="M3" s="17" t="s">
        <v>32</v>
      </c>
      <c r="N3" s="22" t="s">
        <v>96</v>
      </c>
      <c r="O3" s="23" t="s">
        <v>97</v>
      </c>
      <c r="P3" s="23" t="s">
        <v>98</v>
      </c>
      <c r="Q3" s="23" t="s">
        <v>99</v>
      </c>
      <c r="R3" s="23" t="s">
        <v>100</v>
      </c>
      <c r="S3" s="24" t="s">
        <v>101</v>
      </c>
      <c r="T3" s="43"/>
    </row>
    <row r="4" spans="1:20" s="10" customFormat="1" ht="15" customHeight="1" x14ac:dyDescent="0.25">
      <c r="C4" s="37"/>
      <c r="D4" s="38"/>
      <c r="E4" s="38"/>
      <c r="F4" s="38"/>
      <c r="G4" s="38"/>
      <c r="H4" s="39"/>
      <c r="I4" s="53" t="s">
        <v>82</v>
      </c>
      <c r="J4" s="51" t="s">
        <v>87</v>
      </c>
      <c r="K4" s="51" t="s">
        <v>87</v>
      </c>
      <c r="L4" s="13"/>
      <c r="M4" s="18" t="s">
        <v>84</v>
      </c>
      <c r="N4" s="55" t="s">
        <v>102</v>
      </c>
      <c r="O4" s="31" t="s">
        <v>102</v>
      </c>
      <c r="P4" s="31" t="s">
        <v>103</v>
      </c>
      <c r="Q4" s="31" t="s">
        <v>103</v>
      </c>
      <c r="R4" s="31" t="s">
        <v>102</v>
      </c>
      <c r="S4" s="34" t="s">
        <v>102</v>
      </c>
      <c r="T4" s="43"/>
    </row>
    <row r="5" spans="1:20" s="10" customFormat="1" x14ac:dyDescent="0.25">
      <c r="A5" s="26"/>
      <c r="C5" s="37"/>
      <c r="D5" s="38"/>
      <c r="E5" s="38"/>
      <c r="F5" s="38"/>
      <c r="G5" s="38"/>
      <c r="H5" s="39"/>
      <c r="I5" s="53"/>
      <c r="J5" s="51"/>
      <c r="K5" s="51"/>
      <c r="L5" s="13"/>
      <c r="M5" s="19" t="s">
        <v>53</v>
      </c>
      <c r="N5" s="56"/>
      <c r="O5" s="32"/>
      <c r="P5" s="32"/>
      <c r="Q5" s="32"/>
      <c r="R5" s="32"/>
      <c r="S5" s="35"/>
      <c r="T5" s="43"/>
    </row>
    <row r="6" spans="1:20" s="10" customFormat="1" ht="30.75" thickBot="1" x14ac:dyDescent="0.3">
      <c r="A6" s="26" t="str">
        <f>"Number of stocks: "&amp;COUNTA($B$9:$B$1048576)</f>
        <v>Number of stocks: 0</v>
      </c>
      <c r="C6" s="40"/>
      <c r="D6" s="41"/>
      <c r="E6" s="41"/>
      <c r="F6" s="41"/>
      <c r="G6" s="41"/>
      <c r="H6" s="42"/>
      <c r="I6" s="54"/>
      <c r="J6" s="52"/>
      <c r="K6" s="52"/>
      <c r="L6" s="20"/>
      <c r="M6" s="21" t="s">
        <v>85</v>
      </c>
      <c r="N6" s="57"/>
      <c r="O6" s="33"/>
      <c r="P6" s="33"/>
      <c r="Q6" s="33"/>
      <c r="R6" s="33"/>
      <c r="S6" s="36"/>
      <c r="T6" s="44"/>
    </row>
    <row r="8" spans="1:20" x14ac:dyDescent="0.25">
      <c r="A8" s="4" t="s">
        <v>1</v>
      </c>
      <c r="B8" s="5" t="s">
        <v>24</v>
      </c>
      <c r="C8" s="8" t="s">
        <v>54</v>
      </c>
      <c r="D8" s="7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11" t="s">
        <v>71</v>
      </c>
      <c r="J8" s="11" t="s">
        <v>30</v>
      </c>
      <c r="K8" s="11" t="s">
        <v>31</v>
      </c>
      <c r="L8" s="7" t="s">
        <v>33</v>
      </c>
      <c r="M8" s="11" t="s">
        <v>32</v>
      </c>
      <c r="N8" s="7" t="s">
        <v>90</v>
      </c>
      <c r="O8" s="7" t="s">
        <v>91</v>
      </c>
      <c r="P8" s="7" t="s">
        <v>92</v>
      </c>
      <c r="Q8" s="7" t="s">
        <v>93</v>
      </c>
      <c r="R8" s="7" t="s">
        <v>94</v>
      </c>
      <c r="S8" s="7" t="s">
        <v>95</v>
      </c>
      <c r="T8" s="12" t="s">
        <v>52</v>
      </c>
    </row>
    <row r="9" spans="1:20" x14ac:dyDescent="0.25">
      <c r="A9" t="e" cm="1" vm="1">
        <f t="array" ref="A9">_xlfn._xlws.FILTER(_xlfn._xlws.FILTER(Main_L[], Main_L[Preliminary Criteria]="YES"), COUNTIF($A$8:$S$8,Main_L[#Headers]))</f>
        <v>#VALUE!</v>
      </c>
      <c r="C9" s="9"/>
      <c r="T9" t="e" vm="2">
        <f t="shared" ref="T9:T25" si="0">SUM(IF($I9&lt;(0.7*VLOOKUP($A9, Mean_PB_L, 2, FALSE)),1,0), IF($J9&gt;VLOOKUP($A9, Mean_ROE_L, 2, FALSE),1,0), IF($K9&gt;VLOOKUP($A9, Mean_ROA_L, 2,FALSE),1,0), IF($M9&lt;VLOOKUP($A9, Mean_PE_L, 2, FALSE),1,0), IF(AND($M9&gt;1,$M9&lt;25),1,0))</f>
        <v>#VALUE!</v>
      </c>
    </row>
  </sheetData>
  <autoFilter ref="A8:T8" xr:uid="{97C29769-BCC2-47EA-9108-B1B7CE962C71}"/>
  <mergeCells count="14">
    <mergeCell ref="C1:T1"/>
    <mergeCell ref="Q4:Q6"/>
    <mergeCell ref="R4:R6"/>
    <mergeCell ref="S4:S6"/>
    <mergeCell ref="C2:H6"/>
    <mergeCell ref="T2:T6"/>
    <mergeCell ref="I2:M2"/>
    <mergeCell ref="N2:S2"/>
    <mergeCell ref="K4:K6"/>
    <mergeCell ref="J4:J6"/>
    <mergeCell ref="I4:I6"/>
    <mergeCell ref="N4:N6"/>
    <mergeCell ref="O4:O6"/>
    <mergeCell ref="P4:P6"/>
  </mergeCells>
  <phoneticPr fontId="6" type="noConversion"/>
  <conditionalFormatting sqref="I9:I1048576">
    <cfRule type="expression" dxfId="59" priority="1">
      <formula>$I9 &lt; (0.7*VLOOKUP($A9, Mean_PB_L, 2, FALSE))</formula>
    </cfRule>
  </conditionalFormatting>
  <conditionalFormatting sqref="J9:J1048576">
    <cfRule type="expression" dxfId="58" priority="3">
      <formula>$J9 &gt; VLOOKUP($A9, Mean_ROE_L, 2, FALSE)</formula>
    </cfRule>
  </conditionalFormatting>
  <conditionalFormatting sqref="K9:K1048576">
    <cfRule type="expression" dxfId="57" priority="4">
      <formula>$K9 &gt; VLOOKUP($A9, Mean_ROA_L, 2, FALSE)</formula>
    </cfRule>
  </conditionalFormatting>
  <conditionalFormatting sqref="M9:M1048576">
    <cfRule type="expression" dxfId="56" priority="5">
      <formula>AND($M9&gt;1, $M9&lt;25, $M9 &lt; VLOOKUP($A9, Mean_PE_L, 2, FALSE))</formula>
    </cfRule>
    <cfRule type="expression" dxfId="55" priority="6">
      <formula>AND($M9&gt;1, $M9&lt;25)</formula>
    </cfRule>
    <cfRule type="expression" dxfId="54" priority="9">
      <formula xml:space="preserve"> $M9 &lt; VLOOKUP($A9, Mean_PE_L, 2, FALSE)</formula>
    </cfRule>
  </conditionalFormatting>
  <conditionalFormatting sqref="N9:N1048576">
    <cfRule type="expression" dxfId="53" priority="10">
      <formula>$N9&lt;0</formula>
    </cfRule>
  </conditionalFormatting>
  <conditionalFormatting sqref="O9:O1048576">
    <cfRule type="expression" dxfId="52" priority="11">
      <formula>$O9&lt;0</formula>
    </cfRule>
  </conditionalFormatting>
  <conditionalFormatting sqref="P9:P1048576">
    <cfRule type="expression" dxfId="51" priority="12">
      <formula>$P9&gt;0</formula>
    </cfRule>
  </conditionalFormatting>
  <conditionalFormatting sqref="Q9:Q1048576">
    <cfRule type="expression" dxfId="50" priority="14">
      <formula>$Q9&gt;0</formula>
    </cfRule>
  </conditionalFormatting>
  <conditionalFormatting sqref="R9:R1048576">
    <cfRule type="expression" dxfId="49" priority="15">
      <formula>$R9&lt;0</formula>
    </cfRule>
  </conditionalFormatting>
  <conditionalFormatting sqref="S9:S1048576">
    <cfRule type="expression" dxfId="48" priority="16">
      <formula>$S9&lt;0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9" r:id="rId3" name="CommandButton1">
          <controlPr defaultSize="0" autoLine="0" r:id="rId4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9219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C1E5-2754-4118-8E3A-5ED7654E3417}">
  <sheetPr codeName="Sheet10">
    <tabColor theme="9" tint="0.39997558519241921"/>
  </sheetPr>
  <dimension ref="A1:T9"/>
  <sheetViews>
    <sheetView workbookViewId="0">
      <pane xSplit="2" ySplit="8" topLeftCell="C9" activePane="bottomRight" state="frozen"/>
      <selection pane="topRight" activeCell="C1" sqref="C1"/>
      <selection pane="bottomLeft" activeCell="A7" sqref="A7"/>
      <selection pane="bottomRight" activeCell="K31" sqref="K31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style="2" bestFit="1" customWidth="1"/>
    <col min="4" max="4" width="15.42578125" style="1" bestFit="1" customWidth="1"/>
    <col min="5" max="5" width="10.140625" style="1" bestFit="1" customWidth="1"/>
    <col min="6" max="6" width="7.85546875" style="1" bestFit="1" customWidth="1"/>
    <col min="7" max="7" width="6.7109375" style="1" bestFit="1" customWidth="1"/>
    <col min="8" max="8" width="8.5703125" style="1" bestFit="1" customWidth="1"/>
    <col min="9" max="9" width="11.7109375" style="1" bestFit="1" customWidth="1"/>
    <col min="10" max="11" width="7.28515625" style="1" bestFit="1" customWidth="1"/>
    <col min="12" max="12" width="6.28515625" style="1" bestFit="1" customWidth="1"/>
    <col min="13" max="13" width="10.7109375" style="1" bestFit="1" customWidth="1"/>
    <col min="14" max="14" width="15.7109375" style="1" bestFit="1" customWidth="1"/>
    <col min="15" max="15" width="13.28515625" style="1" bestFit="1" customWidth="1"/>
    <col min="16" max="17" width="14.140625" style="1" bestFit="1" customWidth="1"/>
    <col min="18" max="19" width="13.28515625" style="1" bestFit="1" customWidth="1"/>
    <col min="20" max="20" width="10.42578125" bestFit="1" customWidth="1"/>
    <col min="21" max="21" width="16.140625" bestFit="1" customWidth="1"/>
    <col min="22" max="22" width="14.85546875" bestFit="1" customWidth="1"/>
    <col min="23" max="24" width="14.5703125" bestFit="1" customWidth="1"/>
    <col min="25" max="26" width="13.7109375" bestFit="1" customWidth="1"/>
  </cols>
  <sheetData>
    <row r="1" spans="1:20" ht="24.75" thickBot="1" x14ac:dyDescent="0.3">
      <c r="A1" s="25"/>
      <c r="B1" s="25"/>
      <c r="C1" s="28" t="str" cm="1">
        <f t="array" aca="1" ref="C1" ca="1">MID(CELL("filename", A1), FIND("[", CELL("filename", A1)) + 1, FIND(".x", CELL("filename", A1)) - FIND("[", CELL("filename", A1)) - 1) &amp; " - Mid Cap"</f>
        <v>Real Estate - Mid Cap</v>
      </c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30"/>
    </row>
    <row r="2" spans="1:20" ht="15" customHeight="1" x14ac:dyDescent="0.25">
      <c r="C2" s="58" t="s">
        <v>88</v>
      </c>
      <c r="D2" s="59"/>
      <c r="E2" s="59"/>
      <c r="F2" s="59"/>
      <c r="G2" s="59"/>
      <c r="H2" s="60"/>
      <c r="I2" s="61" t="s">
        <v>69</v>
      </c>
      <c r="J2" s="62"/>
      <c r="K2" s="62"/>
      <c r="L2" s="62"/>
      <c r="M2" s="63"/>
      <c r="N2" s="65" t="s">
        <v>86</v>
      </c>
      <c r="O2" s="66"/>
      <c r="P2" s="66"/>
      <c r="Q2" s="66"/>
      <c r="R2" s="66"/>
      <c r="S2" s="67"/>
      <c r="T2" s="64" t="str">
        <f>"Max Score:"&amp;IFERROR(CHAR(10)&amp;MAX($T$9:$T$1048576)&amp;"/5", CHAR(10)&amp;"0/5")</f>
        <v>Max Score:
0/5</v>
      </c>
    </row>
    <row r="3" spans="1:20" ht="15" customHeight="1" x14ac:dyDescent="0.25">
      <c r="C3" s="37"/>
      <c r="D3" s="38"/>
      <c r="E3" s="38"/>
      <c r="F3" s="38"/>
      <c r="G3" s="38"/>
      <c r="H3" s="39"/>
      <c r="I3" s="16" t="s">
        <v>71</v>
      </c>
      <c r="J3" s="15" t="s">
        <v>30</v>
      </c>
      <c r="K3" s="15" t="s">
        <v>83</v>
      </c>
      <c r="L3" s="14"/>
      <c r="M3" s="17" t="s">
        <v>32</v>
      </c>
      <c r="N3" s="22" t="s">
        <v>96</v>
      </c>
      <c r="O3" s="23" t="s">
        <v>97</v>
      </c>
      <c r="P3" s="23" t="s">
        <v>98</v>
      </c>
      <c r="Q3" s="23" t="s">
        <v>99</v>
      </c>
      <c r="R3" s="23" t="s">
        <v>100</v>
      </c>
      <c r="S3" s="24" t="s">
        <v>101</v>
      </c>
      <c r="T3" s="43"/>
    </row>
    <row r="4" spans="1:20" s="10" customFormat="1" ht="15" customHeight="1" x14ac:dyDescent="0.25">
      <c r="C4" s="37"/>
      <c r="D4" s="38"/>
      <c r="E4" s="38"/>
      <c r="F4" s="38"/>
      <c r="G4" s="38"/>
      <c r="H4" s="39"/>
      <c r="I4" s="53" t="s">
        <v>82</v>
      </c>
      <c r="J4" s="51" t="s">
        <v>87</v>
      </c>
      <c r="K4" s="51" t="s">
        <v>87</v>
      </c>
      <c r="L4" s="13"/>
      <c r="M4" s="18" t="s">
        <v>84</v>
      </c>
      <c r="N4" s="55" t="s">
        <v>102</v>
      </c>
      <c r="O4" s="31" t="s">
        <v>102</v>
      </c>
      <c r="P4" s="31" t="s">
        <v>103</v>
      </c>
      <c r="Q4" s="31" t="s">
        <v>103</v>
      </c>
      <c r="R4" s="31" t="s">
        <v>102</v>
      </c>
      <c r="S4" s="34" t="s">
        <v>102</v>
      </c>
      <c r="T4" s="43"/>
    </row>
    <row r="5" spans="1:20" s="10" customFormat="1" x14ac:dyDescent="0.25">
      <c r="A5" s="26"/>
      <c r="C5" s="37"/>
      <c r="D5" s="38"/>
      <c r="E5" s="38"/>
      <c r="F5" s="38"/>
      <c r="G5" s="38"/>
      <c r="H5" s="39"/>
      <c r="I5" s="53"/>
      <c r="J5" s="51"/>
      <c r="K5" s="51"/>
      <c r="L5" s="13"/>
      <c r="M5" s="19" t="s">
        <v>53</v>
      </c>
      <c r="N5" s="56"/>
      <c r="O5" s="32"/>
      <c r="P5" s="32"/>
      <c r="Q5" s="32"/>
      <c r="R5" s="32"/>
      <c r="S5" s="35"/>
      <c r="T5" s="43"/>
    </row>
    <row r="6" spans="1:20" s="10" customFormat="1" ht="30.75" thickBot="1" x14ac:dyDescent="0.3">
      <c r="A6" s="26" t="str">
        <f>"Number of stocks: "&amp;COUNTA($B$9:$B$1048576)</f>
        <v>Number of stocks: 0</v>
      </c>
      <c r="C6" s="40"/>
      <c r="D6" s="41"/>
      <c r="E6" s="41"/>
      <c r="F6" s="41"/>
      <c r="G6" s="41"/>
      <c r="H6" s="42"/>
      <c r="I6" s="54"/>
      <c r="J6" s="52"/>
      <c r="K6" s="52"/>
      <c r="L6" s="20"/>
      <c r="M6" s="21" t="s">
        <v>85</v>
      </c>
      <c r="N6" s="57"/>
      <c r="O6" s="33"/>
      <c r="P6" s="33"/>
      <c r="Q6" s="33"/>
      <c r="R6" s="33"/>
      <c r="S6" s="36"/>
      <c r="T6" s="44"/>
    </row>
    <row r="8" spans="1:20" x14ac:dyDescent="0.25">
      <c r="A8" s="4" t="s">
        <v>1</v>
      </c>
      <c r="B8" s="5" t="s">
        <v>24</v>
      </c>
      <c r="C8" s="8" t="s">
        <v>54</v>
      </c>
      <c r="D8" s="7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11" t="s">
        <v>71</v>
      </c>
      <c r="J8" s="11" t="s">
        <v>30</v>
      </c>
      <c r="K8" s="11" t="s">
        <v>31</v>
      </c>
      <c r="L8" s="7" t="s">
        <v>33</v>
      </c>
      <c r="M8" s="11" t="s">
        <v>32</v>
      </c>
      <c r="N8" s="7" t="s">
        <v>90</v>
      </c>
      <c r="O8" s="7" t="s">
        <v>91</v>
      </c>
      <c r="P8" s="7" t="s">
        <v>92</v>
      </c>
      <c r="Q8" s="7" t="s">
        <v>93</v>
      </c>
      <c r="R8" s="7" t="s">
        <v>94</v>
      </c>
      <c r="S8" s="7" t="s">
        <v>95</v>
      </c>
      <c r="T8" s="12" t="s">
        <v>52</v>
      </c>
    </row>
    <row r="9" spans="1:20" x14ac:dyDescent="0.25">
      <c r="A9" t="e" cm="1" vm="1">
        <f t="array" ref="A9">_xlfn._xlws.FILTER(_xlfn._xlws.FILTER(Main_M[], Main_M[Preliminary Criteria]="YES"), COUNTIF($A$8:$S$8,Main_M[#Headers]))</f>
        <v>#VALUE!</v>
      </c>
      <c r="T9" t="e" vm="2">
        <f t="shared" ref="T9:T28" si="0">SUM(IF($I9 &lt; (0.7*VLOOKUP($A9, Mean_PB_M, 2, FALSE)),1,0), IF($J9&gt;VLOOKUP($A9, Mean_ROE_M, 2, FALSE),1,0), IF($K9&gt;VLOOKUP($A9, Mean_ROA_M, 2,FALSE),1,0), IF($M9&lt;VLOOKUP($A9, Mean_PE_M, 2, FALSE),1,0), IF(AND($M9&gt;1,$M9&lt;25),1,0))</f>
        <v>#VALUE!</v>
      </c>
    </row>
  </sheetData>
  <autoFilter ref="A8:T8" xr:uid="{0BF3C1E5-2754-4118-8E3A-5ED7654E3417}"/>
  <mergeCells count="14">
    <mergeCell ref="C1:T1"/>
    <mergeCell ref="I4:I6"/>
    <mergeCell ref="C2:H6"/>
    <mergeCell ref="J4:J6"/>
    <mergeCell ref="K4:K6"/>
    <mergeCell ref="I2:M2"/>
    <mergeCell ref="T2:T6"/>
    <mergeCell ref="N2:S2"/>
    <mergeCell ref="N4:N6"/>
    <mergeCell ref="O4:O6"/>
    <mergeCell ref="P4:P6"/>
    <mergeCell ref="Q4:Q6"/>
    <mergeCell ref="R4:R6"/>
    <mergeCell ref="S4:S6"/>
  </mergeCells>
  <conditionalFormatting sqref="I9:I1048576">
    <cfRule type="expression" dxfId="47" priority="1">
      <formula>$I9 &lt; (0.7*VLOOKUP($A9, Mean_PB_M, 2, FALSE))</formula>
    </cfRule>
  </conditionalFormatting>
  <conditionalFormatting sqref="J9:J1048576">
    <cfRule type="expression" dxfId="46" priority="3">
      <formula>$J9 &gt; VLOOKUP($A9, Mean_ROE_M, 2, FALSE)</formula>
    </cfRule>
  </conditionalFormatting>
  <conditionalFormatting sqref="K9:K1048576">
    <cfRule type="expression" dxfId="45" priority="4">
      <formula>$K9 &gt; VLOOKUP($A9, Mean_ROA_M, 2, FALSE)</formula>
    </cfRule>
  </conditionalFormatting>
  <conditionalFormatting sqref="M9:M1048576">
    <cfRule type="expression" dxfId="44" priority="5">
      <formula>AND($M9&gt;1, $M9&lt;25, $M9 &lt; VLOOKUP($A9, Mean_PE_M, 2, FALSE))</formula>
    </cfRule>
    <cfRule type="expression" dxfId="43" priority="6">
      <formula>AND($M9&gt;1, $M9&lt;25)</formula>
    </cfRule>
    <cfRule type="expression" dxfId="42" priority="7">
      <formula xml:space="preserve"> $M9 &lt; VLOOKUP($A9, Mean_PE_M, 2, FALSE)</formula>
    </cfRule>
  </conditionalFormatting>
  <conditionalFormatting sqref="N9:N1048576">
    <cfRule type="expression" dxfId="41" priority="8">
      <formula>$N9&lt;0</formula>
    </cfRule>
  </conditionalFormatting>
  <conditionalFormatting sqref="O9:O1048576">
    <cfRule type="expression" dxfId="40" priority="9">
      <formula>$O9&lt;0</formula>
    </cfRule>
  </conditionalFormatting>
  <conditionalFormatting sqref="P9:P1048576">
    <cfRule type="expression" dxfId="39" priority="10">
      <formula>$P9&gt;0</formula>
    </cfRule>
  </conditionalFormatting>
  <conditionalFormatting sqref="Q9:Q1048576">
    <cfRule type="expression" dxfId="38" priority="11">
      <formula>$Q9&gt;0</formula>
    </cfRule>
  </conditionalFormatting>
  <conditionalFormatting sqref="R9:R1048576">
    <cfRule type="expression" dxfId="37" priority="12">
      <formula>$R9&lt;0</formula>
    </cfRule>
  </conditionalFormatting>
  <conditionalFormatting sqref="S9:S1048576">
    <cfRule type="expression" dxfId="36" priority="13">
      <formula>$S9&lt;0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CommandButton1">
          <controlPr defaultSize="0" autoLine="0" autoPict="0" r:id="rId4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41" r:id="rId3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40F71-5FB0-44DA-81D2-9D55F6DCA29E}">
  <sheetPr codeName="Sheet11">
    <tabColor theme="9" tint="0.39997558519241921"/>
  </sheetPr>
  <dimension ref="A1:T9"/>
  <sheetViews>
    <sheetView workbookViewId="0">
      <pane xSplit="2" ySplit="8" topLeftCell="C9" activePane="bottomRight" state="frozen"/>
      <selection pane="topRight" activeCell="C1" sqref="C1"/>
      <selection pane="bottomLeft" activeCell="A7" sqref="A7"/>
      <selection pane="bottomRight" activeCell="G22" sqref="G22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bestFit="1" customWidth="1"/>
    <col min="4" max="4" width="15.42578125" bestFit="1" customWidth="1"/>
    <col min="5" max="5" width="10.140625" bestFit="1" customWidth="1"/>
    <col min="6" max="6" width="7.85546875" bestFit="1" customWidth="1"/>
    <col min="7" max="7" width="6.7109375" bestFit="1" customWidth="1"/>
    <col min="8" max="8" width="8.5703125" style="1" bestFit="1" customWidth="1"/>
    <col min="9" max="9" width="9.5703125" style="1" bestFit="1" customWidth="1"/>
    <col min="10" max="11" width="7.28515625" style="1" bestFit="1" customWidth="1"/>
    <col min="12" max="12" width="6.28515625" style="1" bestFit="1" customWidth="1"/>
    <col min="13" max="13" width="10.7109375" style="1" bestFit="1" customWidth="1"/>
    <col min="14" max="14" width="15.7109375" style="1" bestFit="1" customWidth="1"/>
    <col min="15" max="15" width="13.28515625" style="1" bestFit="1" customWidth="1"/>
    <col min="16" max="17" width="14.140625" style="1" bestFit="1" customWidth="1"/>
    <col min="18" max="19" width="13.28515625" style="1" bestFit="1" customWidth="1"/>
    <col min="20" max="20" width="10.42578125" bestFit="1" customWidth="1"/>
    <col min="21" max="21" width="16.140625" bestFit="1" customWidth="1"/>
    <col min="22" max="22" width="13.7109375" bestFit="1" customWidth="1"/>
    <col min="23" max="24" width="14.5703125" bestFit="1" customWidth="1"/>
    <col min="25" max="26" width="13.7109375" bestFit="1" customWidth="1"/>
  </cols>
  <sheetData>
    <row r="1" spans="1:20" ht="24.75" thickBot="1" x14ac:dyDescent="0.3">
      <c r="A1" s="25"/>
      <c r="B1" s="25"/>
      <c r="C1" s="28" t="str" cm="1">
        <f t="array" aca="1" ref="C1" ca="1">MID(CELL("filename", A1), FIND("[", CELL("filename", A1)) + 1, FIND(".x", CELL("filename", A1)) - FIND("[", CELL("filename", A1)) - 1) &amp; " - Small Cap"</f>
        <v>Real Estate - Small Cap</v>
      </c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30"/>
    </row>
    <row r="2" spans="1:20" ht="15" customHeight="1" x14ac:dyDescent="0.25">
      <c r="C2" s="58" t="s">
        <v>89</v>
      </c>
      <c r="D2" s="59"/>
      <c r="E2" s="59"/>
      <c r="F2" s="59"/>
      <c r="G2" s="59"/>
      <c r="H2" s="60"/>
      <c r="I2" s="61" t="s">
        <v>69</v>
      </c>
      <c r="J2" s="62"/>
      <c r="K2" s="62"/>
      <c r="L2" s="62"/>
      <c r="M2" s="63"/>
      <c r="N2" s="65" t="s">
        <v>86</v>
      </c>
      <c r="O2" s="66"/>
      <c r="P2" s="66"/>
      <c r="Q2" s="66"/>
      <c r="R2" s="66"/>
      <c r="S2" s="67"/>
      <c r="T2" s="64" t="str">
        <f>"Max Score:"&amp;IFERROR(CHAR(10)&amp;MAX($T$9:$T$1048576)&amp;"/5", CHAR(10)&amp;"0/5")</f>
        <v>Max Score:
0/5</v>
      </c>
    </row>
    <row r="3" spans="1:20" ht="15" customHeight="1" x14ac:dyDescent="0.25">
      <c r="C3" s="37"/>
      <c r="D3" s="38"/>
      <c r="E3" s="38"/>
      <c r="F3" s="38"/>
      <c r="G3" s="38"/>
      <c r="H3" s="39"/>
      <c r="I3" s="16" t="s">
        <v>71</v>
      </c>
      <c r="J3" s="15" t="s">
        <v>30</v>
      </c>
      <c r="K3" s="15" t="s">
        <v>83</v>
      </c>
      <c r="L3" s="14"/>
      <c r="M3" s="17" t="s">
        <v>32</v>
      </c>
      <c r="N3" s="22" t="s">
        <v>96</v>
      </c>
      <c r="O3" s="23" t="s">
        <v>97</v>
      </c>
      <c r="P3" s="23" t="s">
        <v>98</v>
      </c>
      <c r="Q3" s="23" t="s">
        <v>99</v>
      </c>
      <c r="R3" s="23" t="s">
        <v>100</v>
      </c>
      <c r="S3" s="24" t="s">
        <v>101</v>
      </c>
      <c r="T3" s="43"/>
    </row>
    <row r="4" spans="1:20" s="10" customFormat="1" ht="15" customHeight="1" x14ac:dyDescent="0.25">
      <c r="C4" s="37"/>
      <c r="D4" s="38"/>
      <c r="E4" s="38"/>
      <c r="F4" s="38"/>
      <c r="G4" s="38"/>
      <c r="H4" s="39"/>
      <c r="I4" s="53" t="s">
        <v>82</v>
      </c>
      <c r="J4" s="51" t="s">
        <v>87</v>
      </c>
      <c r="K4" s="51" t="s">
        <v>87</v>
      </c>
      <c r="L4" s="13"/>
      <c r="M4" s="18" t="s">
        <v>84</v>
      </c>
      <c r="N4" s="55" t="s">
        <v>102</v>
      </c>
      <c r="O4" s="31" t="s">
        <v>102</v>
      </c>
      <c r="P4" s="31" t="s">
        <v>103</v>
      </c>
      <c r="Q4" s="31" t="s">
        <v>103</v>
      </c>
      <c r="R4" s="31" t="s">
        <v>102</v>
      </c>
      <c r="S4" s="34" t="s">
        <v>102</v>
      </c>
      <c r="T4" s="43"/>
    </row>
    <row r="5" spans="1:20" s="10" customFormat="1" x14ac:dyDescent="0.25">
      <c r="A5" s="26"/>
      <c r="C5" s="37"/>
      <c r="D5" s="38"/>
      <c r="E5" s="38"/>
      <c r="F5" s="38"/>
      <c r="G5" s="38"/>
      <c r="H5" s="39"/>
      <c r="I5" s="53"/>
      <c r="J5" s="51"/>
      <c r="K5" s="51"/>
      <c r="L5" s="13"/>
      <c r="M5" s="19" t="s">
        <v>53</v>
      </c>
      <c r="N5" s="56"/>
      <c r="O5" s="32"/>
      <c r="P5" s="32"/>
      <c r="Q5" s="32"/>
      <c r="R5" s="32"/>
      <c r="S5" s="35"/>
      <c r="T5" s="43"/>
    </row>
    <row r="6" spans="1:20" s="10" customFormat="1" ht="30.75" thickBot="1" x14ac:dyDescent="0.3">
      <c r="A6" s="26" t="str">
        <f>"Number of stocks: "&amp;COUNTA($B$9:$B$1048576)</f>
        <v>Number of stocks: 0</v>
      </c>
      <c r="C6" s="40"/>
      <c r="D6" s="41"/>
      <c r="E6" s="41"/>
      <c r="F6" s="41"/>
      <c r="G6" s="41"/>
      <c r="H6" s="42"/>
      <c r="I6" s="54"/>
      <c r="J6" s="52"/>
      <c r="K6" s="52"/>
      <c r="L6" s="20"/>
      <c r="M6" s="21" t="s">
        <v>85</v>
      </c>
      <c r="N6" s="57"/>
      <c r="O6" s="33"/>
      <c r="P6" s="33"/>
      <c r="Q6" s="33"/>
      <c r="R6" s="33"/>
      <c r="S6" s="36"/>
      <c r="T6" s="44"/>
    </row>
    <row r="7" spans="1:20" x14ac:dyDescent="0.25">
      <c r="C7" s="2"/>
      <c r="D7" s="1"/>
      <c r="E7" s="1"/>
      <c r="F7" s="1"/>
      <c r="G7" s="1"/>
    </row>
    <row r="8" spans="1:20" x14ac:dyDescent="0.25">
      <c r="A8" s="4" t="s">
        <v>1</v>
      </c>
      <c r="B8" s="5" t="s">
        <v>24</v>
      </c>
      <c r="C8" s="8" t="s">
        <v>54</v>
      </c>
      <c r="D8" s="7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11" t="s">
        <v>71</v>
      </c>
      <c r="J8" s="11" t="s">
        <v>30</v>
      </c>
      <c r="K8" s="11" t="s">
        <v>31</v>
      </c>
      <c r="L8" s="7" t="s">
        <v>33</v>
      </c>
      <c r="M8" s="11" t="s">
        <v>32</v>
      </c>
      <c r="N8" s="7" t="s">
        <v>90</v>
      </c>
      <c r="O8" s="7" t="s">
        <v>91</v>
      </c>
      <c r="P8" s="7" t="s">
        <v>92</v>
      </c>
      <c r="Q8" s="7" t="s">
        <v>93</v>
      </c>
      <c r="R8" s="7" t="s">
        <v>94</v>
      </c>
      <c r="S8" s="7" t="s">
        <v>95</v>
      </c>
      <c r="T8" s="12" t="s">
        <v>52</v>
      </c>
    </row>
    <row r="9" spans="1:20" x14ac:dyDescent="0.25">
      <c r="A9" t="e" cm="1" vm="1">
        <f t="array" ref="A9">_xlfn._xlws.FILTER(_xlfn._xlws.FILTER(Main_S[], Main_S[Preliminary Criteria]="YES"), COUNTIF($A$8:$S$8,Main_S[#Headers]))</f>
        <v>#VALUE!</v>
      </c>
      <c r="T9" t="e" vm="2">
        <f>SUM(IF($I9 &lt; (0.7*VLOOKUP($A9, Mean_PB_S, 2, FALSE)),1,0), IF($J9&gt;VLOOKUP($A9, Mean_ROE_S, 2, FALSE),1,0), IF($K9&gt;VLOOKUP($A9, Mean_ROA_S, 2,FALSE),1,0), IF($M9&lt;VLOOKUP($A9, Mean_PE_S, 2, FALSE),1,0), IF(AND($M9&gt;1,$M9&lt;25),1,0))</f>
        <v>#VALUE!</v>
      </c>
    </row>
  </sheetData>
  <autoFilter ref="A8:T8" xr:uid="{F6F40F71-5FB0-44DA-81D2-9D55F6DCA29E}"/>
  <mergeCells count="14">
    <mergeCell ref="C1:T1"/>
    <mergeCell ref="I4:I6"/>
    <mergeCell ref="C2:H6"/>
    <mergeCell ref="J4:J6"/>
    <mergeCell ref="K4:K6"/>
    <mergeCell ref="I2:M2"/>
    <mergeCell ref="T2:T6"/>
    <mergeCell ref="N2:S2"/>
    <mergeCell ref="N4:N6"/>
    <mergeCell ref="O4:O6"/>
    <mergeCell ref="P4:P6"/>
    <mergeCell ref="Q4:Q6"/>
    <mergeCell ref="R4:R6"/>
    <mergeCell ref="S4:S6"/>
  </mergeCells>
  <conditionalFormatting sqref="I9:I1048576">
    <cfRule type="expression" dxfId="35" priority="1">
      <formula>$I9 &lt; (0.7*VLOOKUP($A9, Mean_PB_S, 2, FALSE))</formula>
    </cfRule>
  </conditionalFormatting>
  <conditionalFormatting sqref="J9:J1048576">
    <cfRule type="expression" dxfId="34" priority="3">
      <formula>$J9 &gt; VLOOKUP($A9, Mean_ROE_S, 2, FALSE)</formula>
    </cfRule>
  </conditionalFormatting>
  <conditionalFormatting sqref="K9:K1048576">
    <cfRule type="expression" dxfId="33" priority="4">
      <formula>$K9 &gt; VLOOKUP($A9, Mean_ROA_S, 2, FALSE)</formula>
    </cfRule>
  </conditionalFormatting>
  <conditionalFormatting sqref="M9:M1048576">
    <cfRule type="expression" dxfId="32" priority="5">
      <formula>AND($M9&gt;1, $M9&lt;25, $M9 &lt; VLOOKUP($A9, Mean_PE_S, 2, FALSE))</formula>
    </cfRule>
    <cfRule type="expression" dxfId="31" priority="6">
      <formula>AND($M9&gt;1, $M9&lt;25)</formula>
    </cfRule>
    <cfRule type="expression" dxfId="30" priority="7">
      <formula xml:space="preserve"> $M9 &lt; VLOOKUP($A9, Mean_PE_S, 2, FALSE)</formula>
    </cfRule>
  </conditionalFormatting>
  <conditionalFormatting sqref="N9:N1048576">
    <cfRule type="expression" dxfId="29" priority="8">
      <formula>$N9&lt;0</formula>
    </cfRule>
  </conditionalFormatting>
  <conditionalFormatting sqref="O9:O1048576">
    <cfRule type="expression" dxfId="28" priority="9">
      <formula>$O9&lt;0</formula>
    </cfRule>
  </conditionalFormatting>
  <conditionalFormatting sqref="P9:P1048576">
    <cfRule type="expression" dxfId="27" priority="10">
      <formula>$P9&gt;0</formula>
    </cfRule>
  </conditionalFormatting>
  <conditionalFormatting sqref="Q9:Q1048576">
    <cfRule type="expression" dxfId="26" priority="11">
      <formula>$Q9&gt;0</formula>
    </cfRule>
  </conditionalFormatting>
  <conditionalFormatting sqref="R9:R1048576">
    <cfRule type="expression" dxfId="25" priority="12">
      <formula>$R9&lt;0</formula>
    </cfRule>
  </conditionalFormatting>
  <conditionalFormatting sqref="S9:S1048576">
    <cfRule type="expression" dxfId="24" priority="13">
      <formula>$S9&lt;0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9" r:id="rId3" name="CommandButton1">
          <controlPr defaultSize="0" autoLine="0" autoPict="0" r:id="rId4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11269" r:id="rId3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C81F70B-6B2C-4725-86C4-DB71D896056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18</vt:i4>
      </vt:variant>
    </vt:vector>
  </HeadingPairs>
  <TitlesOfParts>
    <vt:vector size="29" baseType="lpstr">
      <vt:lpstr>Dynamic Path</vt:lpstr>
      <vt:lpstr>Main_L</vt:lpstr>
      <vt:lpstr>Main_M</vt:lpstr>
      <vt:lpstr>Main_S</vt:lpstr>
      <vt:lpstr>Quartile Tables</vt:lpstr>
      <vt:lpstr>Mean_L</vt:lpstr>
      <vt:lpstr>Mean_M</vt:lpstr>
      <vt:lpstr>Mean_S</vt:lpstr>
      <vt:lpstr>Result_L</vt:lpstr>
      <vt:lpstr>Result_M</vt:lpstr>
      <vt:lpstr>Result_S</vt:lpstr>
      <vt:lpstr>Mean_AE_L</vt:lpstr>
      <vt:lpstr>Mean_AE_M</vt:lpstr>
      <vt:lpstr>Mean_AE_S</vt:lpstr>
      <vt:lpstr>Mean_PB_L</vt:lpstr>
      <vt:lpstr>Mean_PB_M</vt:lpstr>
      <vt:lpstr>Mean_PB_S</vt:lpstr>
      <vt:lpstr>Mean_PE_L</vt:lpstr>
      <vt:lpstr>Mean_PE_M</vt:lpstr>
      <vt:lpstr>Mean_PE_S</vt:lpstr>
      <vt:lpstr>Mean_PFCF_L</vt:lpstr>
      <vt:lpstr>Mean_PFCF_M</vt:lpstr>
      <vt:lpstr>Mean_PFCF_S</vt:lpstr>
      <vt:lpstr>Mean_ROA_L</vt:lpstr>
      <vt:lpstr>Mean_ROA_M</vt:lpstr>
      <vt:lpstr>Mean_ROA_S</vt:lpstr>
      <vt:lpstr>Mean_ROE_L</vt:lpstr>
      <vt:lpstr>Mean_ROE_M</vt:lpstr>
      <vt:lpstr>Mean_ROE_S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Ngan Vu</dc:creator>
  <cp:lastModifiedBy>Ngan Vu</cp:lastModifiedBy>
  <dcterms:created xsi:type="dcterms:W3CDTF">2024-11-08T05:29:25Z</dcterms:created>
  <dcterms:modified xsi:type="dcterms:W3CDTF">2025-05-14T03:12:59Z</dcterms:modified>
</cp:coreProperties>
</file>
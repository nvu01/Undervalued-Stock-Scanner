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CC90B133-EF31-4389-85DC-47AE92A7DBD4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Main_L!$A$1:$M$41</definedName>
    <definedName name="ExternalData_1" localSheetId="2" hidden="1">Main_M!$A$1:$M$60</definedName>
    <definedName name="ExternalData_1" localSheetId="3" hidden="1">Main_S!$A$1:$M$83</definedName>
    <definedName name="ExternalData_5" localSheetId="4" hidden="1">'Quartile Tables'!$A$2:$Y$11</definedName>
    <definedName name="ExternalData_6" localSheetId="4" hidden="1">'Quartile Tables'!$A$15:$Y$24</definedName>
    <definedName name="ExternalData_7" localSheetId="4" hidden="1">'Quartile Tables'!$A$28:$Y$37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7" i="1" l="1"/>
  <c r="Y36" i="1"/>
  <c r="Y35" i="1"/>
  <c r="Y34" i="1"/>
  <c r="Y33" i="1"/>
  <c r="Y32" i="1"/>
  <c r="Y31" i="1"/>
  <c r="Y30" i="1"/>
  <c r="Y29" i="1"/>
  <c r="X37" i="1"/>
  <c r="X36" i="1"/>
  <c r="X35" i="1"/>
  <c r="X34" i="1"/>
  <c r="X33" i="1"/>
  <c r="X32" i="1"/>
  <c r="X31" i="1"/>
  <c r="X30" i="1"/>
  <c r="X29" i="1"/>
  <c r="W37" i="1" a="1"/>
  <c r="W37" i="1"/>
  <c r="W36" i="1" a="1"/>
  <c r="W36" i="1" s="1"/>
  <c r="W35" i="1" a="1"/>
  <c r="W35" i="1"/>
  <c r="W34" i="1" a="1"/>
  <c r="W34" i="1"/>
  <c r="W33" i="1" a="1"/>
  <c r="W33" i="1" s="1"/>
  <c r="W32" i="1" a="1"/>
  <c r="W32" i="1"/>
  <c r="W31" i="1" a="1"/>
  <c r="W31" i="1"/>
  <c r="W30" i="1" a="1"/>
  <c r="W30" i="1" s="1"/>
  <c r="W29" i="1" a="1"/>
  <c r="W29" i="1" s="1"/>
  <c r="V37" i="1" a="1"/>
  <c r="V37" i="1" s="1"/>
  <c r="V36" i="1" a="1"/>
  <c r="V36" i="1" s="1"/>
  <c r="V35" i="1" a="1"/>
  <c r="V35" i="1" s="1"/>
  <c r="V34" i="1" a="1"/>
  <c r="V34" i="1"/>
  <c r="V33" i="1" a="1"/>
  <c r="V33" i="1"/>
  <c r="V32" i="1" a="1"/>
  <c r="V32" i="1" s="1"/>
  <c r="V31" i="1" a="1"/>
  <c r="V31" i="1" s="1"/>
  <c r="V30" i="1" a="1"/>
  <c r="V30" i="1"/>
  <c r="V29" i="1" a="1"/>
  <c r="V29" i="1"/>
  <c r="Q37" i="1"/>
  <c r="Q36" i="1"/>
  <c r="Q35" i="1"/>
  <c r="Q34" i="1"/>
  <c r="Q33" i="1"/>
  <c r="Q32" i="1"/>
  <c r="Q31" i="1"/>
  <c r="Q30" i="1"/>
  <c r="Q29" i="1"/>
  <c r="P37" i="1"/>
  <c r="P36" i="1"/>
  <c r="P35" i="1"/>
  <c r="P34" i="1"/>
  <c r="P33" i="1"/>
  <c r="P32" i="1"/>
  <c r="P31" i="1"/>
  <c r="P30" i="1"/>
  <c r="P29" i="1"/>
  <c r="O37" i="1" a="1"/>
  <c r="O37" i="1" s="1"/>
  <c r="O36" i="1" a="1"/>
  <c r="O36" i="1" s="1"/>
  <c r="O35" i="1" a="1"/>
  <c r="O35" i="1" s="1"/>
  <c r="O34" i="1" a="1"/>
  <c r="O34" i="1"/>
  <c r="O33" i="1" a="1"/>
  <c r="O33" i="1"/>
  <c r="O32" i="1" a="1"/>
  <c r="O32" i="1" s="1"/>
  <c r="O31" i="1" a="1"/>
  <c r="O31" i="1" s="1"/>
  <c r="O30" i="1" a="1"/>
  <c r="O30" i="1" s="1"/>
  <c r="O29" i="1" a="1"/>
  <c r="O29" i="1" s="1"/>
  <c r="N37" i="1" a="1"/>
  <c r="N37" i="1"/>
  <c r="N36" i="1" a="1"/>
  <c r="N36" i="1" s="1"/>
  <c r="N35" i="1" a="1"/>
  <c r="N35" i="1" s="1"/>
  <c r="N34" i="1" a="1"/>
  <c r="N34" i="1"/>
  <c r="N33" i="1" a="1"/>
  <c r="N33" i="1" s="1"/>
  <c r="N32" i="1" a="1"/>
  <c r="N32" i="1" s="1"/>
  <c r="N31" i="1" a="1"/>
  <c r="N31" i="1" s="1"/>
  <c r="N30" i="1" a="1"/>
  <c r="N30" i="1" s="1"/>
  <c r="N29" i="1" a="1"/>
  <c r="N29" i="1"/>
  <c r="M37" i="1"/>
  <c r="M36" i="1"/>
  <c r="M35" i="1"/>
  <c r="M34" i="1"/>
  <c r="M33" i="1"/>
  <c r="M32" i="1"/>
  <c r="M31" i="1"/>
  <c r="M30" i="1"/>
  <c r="M29" i="1"/>
  <c r="L37" i="1"/>
  <c r="L36" i="1"/>
  <c r="L35" i="1"/>
  <c r="L34" i="1"/>
  <c r="L33" i="1"/>
  <c r="L32" i="1"/>
  <c r="L31" i="1"/>
  <c r="L30" i="1"/>
  <c r="L29" i="1"/>
  <c r="K37" i="1" a="1"/>
  <c r="K37" i="1" s="1"/>
  <c r="K36" i="1" a="1"/>
  <c r="K36" i="1" s="1"/>
  <c r="K35" i="1" a="1"/>
  <c r="K35" i="1" s="1"/>
  <c r="K34" i="1" a="1"/>
  <c r="K34" i="1"/>
  <c r="K33" i="1" a="1"/>
  <c r="K33" i="1" s="1"/>
  <c r="K32" i="1" a="1"/>
  <c r="K32" i="1" s="1"/>
  <c r="K31" i="1" a="1"/>
  <c r="K31" i="1" s="1"/>
  <c r="K30" i="1" a="1"/>
  <c r="K30" i="1" s="1"/>
  <c r="K29" i="1" a="1"/>
  <c r="K29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/>
  <c r="J29" i="1" a="1"/>
  <c r="J29" i="1"/>
  <c r="Y24" i="1"/>
  <c r="Y23" i="1"/>
  <c r="Y22" i="1"/>
  <c r="Y21" i="1"/>
  <c r="Y20" i="1"/>
  <c r="Y19" i="1"/>
  <c r="Y18" i="1"/>
  <c r="Y17" i="1"/>
  <c r="Y16" i="1"/>
  <c r="X24" i="1"/>
  <c r="X23" i="1"/>
  <c r="X22" i="1"/>
  <c r="X21" i="1"/>
  <c r="X20" i="1"/>
  <c r="X19" i="1"/>
  <c r="X18" i="1"/>
  <c r="X17" i="1"/>
  <c r="X16" i="1"/>
  <c r="W24" i="1" a="1"/>
  <c r="W24" i="1" s="1"/>
  <c r="W23" i="1" a="1"/>
  <c r="W23" i="1" s="1"/>
  <c r="W22" i="1" a="1"/>
  <c r="W22" i="1"/>
  <c r="W21" i="1" a="1"/>
  <c r="W21" i="1" s="1"/>
  <c r="W20" i="1" a="1"/>
  <c r="W20" i="1" s="1"/>
  <c r="W19" i="1" a="1"/>
  <c r="W19" i="1" s="1"/>
  <c r="W18" i="1" a="1"/>
  <c r="W18" i="1" s="1"/>
  <c r="W17" i="1" a="1"/>
  <c r="W17" i="1"/>
  <c r="W16" i="1" a="1"/>
  <c r="W16" i="1" s="1"/>
  <c r="V24" i="1" a="1"/>
  <c r="V24" i="1"/>
  <c r="V23" i="1" a="1"/>
  <c r="V23" i="1"/>
  <c r="V22" i="1" a="1"/>
  <c r="V22" i="1"/>
  <c r="V21" i="1" a="1"/>
  <c r="V21" i="1"/>
  <c r="V20" i="1" a="1"/>
  <c r="V20" i="1"/>
  <c r="V19" i="1" a="1"/>
  <c r="V19" i="1" s="1"/>
  <c r="V18" i="1" a="1"/>
  <c r="V18" i="1" s="1"/>
  <c r="V17" i="1" a="1"/>
  <c r="V17" i="1"/>
  <c r="V16" i="1" a="1"/>
  <c r="V16" i="1" s="1"/>
  <c r="Q24" i="1"/>
  <c r="Q23" i="1"/>
  <c r="Q22" i="1"/>
  <c r="Q21" i="1"/>
  <c r="Q20" i="1"/>
  <c r="Q19" i="1"/>
  <c r="Q18" i="1"/>
  <c r="Q17" i="1"/>
  <c r="Q16" i="1"/>
  <c r="P24" i="1"/>
  <c r="P23" i="1"/>
  <c r="P22" i="1"/>
  <c r="P21" i="1"/>
  <c r="P20" i="1"/>
  <c r="P19" i="1"/>
  <c r="P18" i="1"/>
  <c r="P17" i="1"/>
  <c r="P16" i="1"/>
  <c r="O24" i="1" a="1"/>
  <c r="O24" i="1" s="1"/>
  <c r="O23" i="1" a="1"/>
  <c r="O23" i="1"/>
  <c r="O22" i="1" a="1"/>
  <c r="O22" i="1" s="1"/>
  <c r="O21" i="1" a="1"/>
  <c r="O21" i="1"/>
  <c r="O20" i="1" a="1"/>
  <c r="O20" i="1"/>
  <c r="O19" i="1" a="1"/>
  <c r="O19" i="1" s="1"/>
  <c r="O18" i="1" a="1"/>
  <c r="O18" i="1" s="1"/>
  <c r="O17" i="1" a="1"/>
  <c r="O17" i="1" s="1"/>
  <c r="O16" i="1" a="1"/>
  <c r="O16" i="1" s="1"/>
  <c r="N24" i="1" a="1"/>
  <c r="N24" i="1"/>
  <c r="N23" i="1" a="1"/>
  <c r="N23" i="1" s="1"/>
  <c r="N22" i="1" a="1"/>
  <c r="N22" i="1"/>
  <c r="N21" i="1" a="1"/>
  <c r="N21" i="1" s="1"/>
  <c r="N20" i="1" a="1"/>
  <c r="N20" i="1" s="1"/>
  <c r="N19" i="1" a="1"/>
  <c r="N19" i="1"/>
  <c r="N18" i="1" a="1"/>
  <c r="N18" i="1"/>
  <c r="N17" i="1" a="1"/>
  <c r="N17" i="1" s="1"/>
  <c r="N16" i="1" a="1"/>
  <c r="N16" i="1"/>
  <c r="M24" i="1"/>
  <c r="M23" i="1"/>
  <c r="M22" i="1"/>
  <c r="M21" i="1"/>
  <c r="M20" i="1"/>
  <c r="M19" i="1"/>
  <c r="M18" i="1"/>
  <c r="M17" i="1"/>
  <c r="M16" i="1"/>
  <c r="L24" i="1"/>
  <c r="L23" i="1"/>
  <c r="L22" i="1"/>
  <c r="L21" i="1"/>
  <c r="L20" i="1"/>
  <c r="L19" i="1"/>
  <c r="L18" i="1"/>
  <c r="L17" i="1"/>
  <c r="L16" i="1"/>
  <c r="K24" i="1" a="1"/>
  <c r="K24" i="1" s="1"/>
  <c r="K23" i="1" a="1"/>
  <c r="K23" i="1"/>
  <c r="K22" i="1" a="1"/>
  <c r="K22" i="1" s="1"/>
  <c r="K21" i="1" a="1"/>
  <c r="K21" i="1"/>
  <c r="K20" i="1" a="1"/>
  <c r="K20" i="1" s="1"/>
  <c r="K19" i="1" a="1"/>
  <c r="K19" i="1"/>
  <c r="K18" i="1" a="1"/>
  <c r="K18" i="1" s="1"/>
  <c r="K17" i="1" a="1"/>
  <c r="K17" i="1"/>
  <c r="K16" i="1" a="1"/>
  <c r="K16" i="1"/>
  <c r="J24" i="1" a="1"/>
  <c r="J24" i="1"/>
  <c r="J23" i="1" a="1"/>
  <c r="J23" i="1"/>
  <c r="J22" i="1" a="1"/>
  <c r="J22" i="1"/>
  <c r="J21" i="1" a="1"/>
  <c r="J21" i="1" s="1"/>
  <c r="J20" i="1" a="1"/>
  <c r="J20" i="1" s="1"/>
  <c r="J19" i="1" a="1"/>
  <c r="J19" i="1"/>
  <c r="J18" i="1" a="1"/>
  <c r="J18" i="1" s="1"/>
  <c r="J17" i="1" a="1"/>
  <c r="J17" i="1"/>
  <c r="J16" i="1" a="1"/>
  <c r="J16" i="1"/>
  <c r="Y11" i="1"/>
  <c r="Y10" i="1"/>
  <c r="Y9" i="1"/>
  <c r="Y8" i="1"/>
  <c r="Y7" i="1"/>
  <c r="Y6" i="1"/>
  <c r="Y5" i="1"/>
  <c r="Y4" i="1"/>
  <c r="Y3" i="1"/>
  <c r="X11" i="1"/>
  <c r="X10" i="1"/>
  <c r="X9" i="1"/>
  <c r="X8" i="1"/>
  <c r="X7" i="1"/>
  <c r="X6" i="1"/>
  <c r="X5" i="1"/>
  <c r="X4" i="1"/>
  <c r="X3" i="1"/>
  <c r="W11" i="1" a="1"/>
  <c r="W11" i="1" s="1"/>
  <c r="W10" i="1" a="1"/>
  <c r="W10" i="1"/>
  <c r="W9" i="1" a="1"/>
  <c r="W9" i="1" s="1"/>
  <c r="W8" i="1" a="1"/>
  <c r="W8" i="1" s="1"/>
  <c r="W7" i="1" a="1"/>
  <c r="W7" i="1"/>
  <c r="W6" i="1" a="1"/>
  <c r="W6" i="1" s="1"/>
  <c r="W5" i="1" a="1"/>
  <c r="W5" i="1" s="1"/>
  <c r="W4" i="1" a="1"/>
  <c r="W4" i="1" s="1"/>
  <c r="W3" i="1" a="1"/>
  <c r="W3" i="1" s="1"/>
  <c r="V11" i="1" a="1"/>
  <c r="V11" i="1" s="1"/>
  <c r="V10" i="1" a="1"/>
  <c r="V10" i="1" s="1"/>
  <c r="V9" i="1" a="1"/>
  <c r="V9" i="1" s="1"/>
  <c r="V8" i="1" a="1"/>
  <c r="V8" i="1" s="1"/>
  <c r="V7" i="1" a="1"/>
  <c r="V7" i="1" s="1"/>
  <c r="V6" i="1" a="1"/>
  <c r="V6" i="1" s="1"/>
  <c r="V5" i="1" a="1"/>
  <c r="V5" i="1" s="1"/>
  <c r="V4" i="1" a="1"/>
  <c r="V4" i="1" s="1"/>
  <c r="V3" i="1" a="1"/>
  <c r="V3" i="1" s="1"/>
  <c r="Q11" i="1"/>
  <c r="Q10" i="1"/>
  <c r="Q9" i="1"/>
  <c r="Q8" i="1"/>
  <c r="Q7" i="1"/>
  <c r="Q6" i="1"/>
  <c r="Q5" i="1"/>
  <c r="Q4" i="1"/>
  <c r="Q3" i="1"/>
  <c r="P11" i="1"/>
  <c r="P10" i="1"/>
  <c r="P9" i="1"/>
  <c r="P8" i="1"/>
  <c r="P7" i="1"/>
  <c r="P6" i="1"/>
  <c r="P5" i="1"/>
  <c r="P4" i="1"/>
  <c r="P3" i="1"/>
  <c r="O11" i="1" a="1"/>
  <c r="O11" i="1" s="1"/>
  <c r="O10" i="1" a="1"/>
  <c r="O10" i="1" s="1"/>
  <c r="O9" i="1" a="1"/>
  <c r="O9" i="1" s="1"/>
  <c r="O8" i="1" a="1"/>
  <c r="O8" i="1"/>
  <c r="O7" i="1" a="1"/>
  <c r="O7" i="1" s="1"/>
  <c r="O6" i="1" a="1"/>
  <c r="O6" i="1" s="1"/>
  <c r="O5" i="1" a="1"/>
  <c r="O5" i="1" s="1"/>
  <c r="O4" i="1" a="1"/>
  <c r="O4" i="1" s="1"/>
  <c r="O3" i="1" a="1"/>
  <c r="O3" i="1" s="1"/>
  <c r="N11" i="1" a="1"/>
  <c r="N11" i="1"/>
  <c r="N10" i="1" a="1"/>
  <c r="N10" i="1"/>
  <c r="N9" i="1" a="1"/>
  <c r="N9" i="1"/>
  <c r="N8" i="1" a="1"/>
  <c r="N8" i="1" s="1"/>
  <c r="N7" i="1" a="1"/>
  <c r="N7" i="1" s="1"/>
  <c r="N6" i="1" a="1"/>
  <c r="N6" i="1"/>
  <c r="N5" i="1" a="1"/>
  <c r="N5" i="1" s="1"/>
  <c r="N4" i="1" a="1"/>
  <c r="N4" i="1" s="1"/>
  <c r="N3" i="1" a="1"/>
  <c r="N3" i="1" s="1"/>
  <c r="M11" i="1"/>
  <c r="M10" i="1"/>
  <c r="M9" i="1"/>
  <c r="M8" i="1"/>
  <c r="M7" i="1"/>
  <c r="M6" i="1"/>
  <c r="M5" i="1"/>
  <c r="M4" i="1"/>
  <c r="M3" i="1"/>
  <c r="L11" i="1"/>
  <c r="L10" i="1"/>
  <c r="L9" i="1"/>
  <c r="L8" i="1"/>
  <c r="L7" i="1"/>
  <c r="L6" i="1"/>
  <c r="L5" i="1"/>
  <c r="L4" i="1"/>
  <c r="L3" i="1"/>
  <c r="K11" i="1" a="1"/>
  <c r="K11" i="1" s="1"/>
  <c r="K10" i="1" a="1"/>
  <c r="K10" i="1" s="1"/>
  <c r="K9" i="1" a="1"/>
  <c r="K9" i="1" s="1"/>
  <c r="K8" i="1" a="1"/>
  <c r="K8" i="1" s="1"/>
  <c r="K7" i="1" a="1"/>
  <c r="K7" i="1" s="1"/>
  <c r="K6" i="1" a="1"/>
  <c r="K6" i="1"/>
  <c r="K5" i="1" a="1"/>
  <c r="K5" i="1" s="1"/>
  <c r="K4" i="1" a="1"/>
  <c r="K4" i="1" s="1"/>
  <c r="K3" i="1" a="1"/>
  <c r="K3" i="1" s="1"/>
  <c r="J11" i="1" a="1"/>
  <c r="J11" i="1" s="1"/>
  <c r="J10" i="1" a="1"/>
  <c r="J10" i="1" s="1"/>
  <c r="J9" i="1" a="1"/>
  <c r="J9" i="1"/>
  <c r="J8" i="1" a="1"/>
  <c r="J8" i="1"/>
  <c r="J7" i="1" a="1"/>
  <c r="J7" i="1" s="1"/>
  <c r="J6" i="1" a="1"/>
  <c r="J6" i="1" s="1"/>
  <c r="J5" i="1" a="1"/>
  <c r="J5" i="1" s="1"/>
  <c r="J4" i="1" a="1"/>
  <c r="J4" i="1" s="1"/>
  <c r="J3" i="1" a="1"/>
  <c r="J3" i="1" s="1"/>
  <c r="M80" i="4"/>
  <c r="T80" i="4" s="1"/>
  <c r="M79" i="4"/>
  <c r="T79" i="4" s="1"/>
  <c r="M71" i="4"/>
  <c r="M70" i="4"/>
  <c r="T70" i="4" s="1"/>
  <c r="M61" i="4"/>
  <c r="T61" i="4" s="1"/>
  <c r="M60" i="4"/>
  <c r="M54" i="4"/>
  <c r="T54" i="4" s="1"/>
  <c r="M52" i="4"/>
  <c r="M51" i="4"/>
  <c r="M50" i="4"/>
  <c r="M49" i="4"/>
  <c r="M48" i="4"/>
  <c r="T48" i="4" s="1"/>
  <c r="M39" i="4"/>
  <c r="T39" i="4" s="1"/>
  <c r="M33" i="4"/>
  <c r="T33" i="4" s="1"/>
  <c r="M30" i="4"/>
  <c r="T30" i="4" s="1"/>
  <c r="M29" i="4"/>
  <c r="T29" i="4" s="1"/>
  <c r="M21" i="4"/>
  <c r="T21" i="4" s="1"/>
  <c r="M12" i="4"/>
  <c r="T12" i="4" s="1"/>
  <c r="M11" i="4"/>
  <c r="M10" i="4"/>
  <c r="T10" i="4" s="1"/>
  <c r="M9" i="4"/>
  <c r="T9" i="4" s="1"/>
  <c r="M8" i="4"/>
  <c r="T8" i="4" s="1"/>
  <c r="I82" i="4"/>
  <c r="P82" i="4" s="1"/>
  <c r="I81" i="4"/>
  <c r="P81" i="4" s="1"/>
  <c r="I77" i="4"/>
  <c r="P77" i="4" s="1"/>
  <c r="I71" i="4"/>
  <c r="P71" i="4" s="1"/>
  <c r="I70" i="4"/>
  <c r="P70" i="4" s="1"/>
  <c r="I62" i="4"/>
  <c r="P62" i="4" s="1"/>
  <c r="I60" i="4"/>
  <c r="I59" i="4"/>
  <c r="I54" i="4"/>
  <c r="P54" i="4" s="1"/>
  <c r="I52" i="4"/>
  <c r="P52" i="4" s="1"/>
  <c r="I51" i="4"/>
  <c r="P51" i="4" s="1"/>
  <c r="I50" i="4"/>
  <c r="N50" i="4" s="1"/>
  <c r="I35" i="4"/>
  <c r="P35" i="4" s="1"/>
  <c r="I34" i="4"/>
  <c r="P34" i="4" s="1"/>
  <c r="I33" i="4"/>
  <c r="P33" i="4" s="1"/>
  <c r="H81" i="4"/>
  <c r="H79" i="4"/>
  <c r="H75" i="4"/>
  <c r="O75" i="4" s="1"/>
  <c r="H72" i="4"/>
  <c r="O72" i="4" s="1"/>
  <c r="H69" i="4"/>
  <c r="O69" i="4" s="1"/>
  <c r="H62" i="4"/>
  <c r="H61" i="4"/>
  <c r="O61" i="4" s="1"/>
  <c r="H54" i="4"/>
  <c r="O54" i="4" s="1"/>
  <c r="H52" i="4"/>
  <c r="O52" i="4" s="1"/>
  <c r="H49" i="4"/>
  <c r="H45" i="4"/>
  <c r="O45" i="4" s="1"/>
  <c r="H44" i="4"/>
  <c r="O44" i="4" s="1"/>
  <c r="H36" i="4"/>
  <c r="O36" i="4" s="1"/>
  <c r="H33" i="4"/>
  <c r="H32" i="4"/>
  <c r="O32" i="4" s="1"/>
  <c r="H29" i="4"/>
  <c r="O29" i="4" s="1"/>
  <c r="H25" i="4"/>
  <c r="O25" i="4" s="1"/>
  <c r="H22" i="4"/>
  <c r="O22" i="4" s="1"/>
  <c r="H21" i="4"/>
  <c r="O21" i="4" s="1"/>
  <c r="D83" i="4"/>
  <c r="M83" i="4" s="1"/>
  <c r="T83" i="4" s="1"/>
  <c r="D82" i="4"/>
  <c r="M82" i="4" s="1"/>
  <c r="T82" i="4" s="1"/>
  <c r="D81" i="4"/>
  <c r="M81" i="4" s="1"/>
  <c r="T81" i="4" s="1"/>
  <c r="D80" i="4"/>
  <c r="I80" i="4" s="1"/>
  <c r="P80" i="4" s="1"/>
  <c r="D79" i="4"/>
  <c r="I79" i="4" s="1"/>
  <c r="P79" i="4" s="1"/>
  <c r="D78" i="4"/>
  <c r="I78" i="4" s="1"/>
  <c r="P78" i="4" s="1"/>
  <c r="D77" i="4"/>
  <c r="M77" i="4" s="1"/>
  <c r="T77" i="4" s="1"/>
  <c r="D76" i="4"/>
  <c r="M76" i="4" s="1"/>
  <c r="T76" i="4" s="1"/>
  <c r="D75" i="4"/>
  <c r="I75" i="4" s="1"/>
  <c r="D74" i="4"/>
  <c r="I74" i="4" s="1"/>
  <c r="P74" i="4" s="1"/>
  <c r="D73" i="4"/>
  <c r="M73" i="4" s="1"/>
  <c r="T73" i="4" s="1"/>
  <c r="D72" i="4"/>
  <c r="M72" i="4" s="1"/>
  <c r="T72" i="4" s="1"/>
  <c r="D71" i="4"/>
  <c r="H71" i="4" s="1"/>
  <c r="D70" i="4"/>
  <c r="H70" i="4" s="1"/>
  <c r="D69" i="4"/>
  <c r="I69" i="4" s="1"/>
  <c r="D68" i="4"/>
  <c r="I68" i="4" s="1"/>
  <c r="P68" i="4" s="1"/>
  <c r="D67" i="4"/>
  <c r="D66" i="4"/>
  <c r="D65" i="4"/>
  <c r="D64" i="4"/>
  <c r="D63" i="4"/>
  <c r="I63" i="4" s="1"/>
  <c r="P63" i="4" s="1"/>
  <c r="D62" i="4"/>
  <c r="M62" i="4" s="1"/>
  <c r="D61" i="4"/>
  <c r="I61" i="4" s="1"/>
  <c r="P61" i="4" s="1"/>
  <c r="D60" i="4"/>
  <c r="H60" i="4" s="1"/>
  <c r="D59" i="4"/>
  <c r="H59" i="4" s="1"/>
  <c r="D58" i="4"/>
  <c r="I58" i="4" s="1"/>
  <c r="P58" i="4" s="1"/>
  <c r="D57" i="4"/>
  <c r="I57" i="4" s="1"/>
  <c r="P57" i="4" s="1"/>
  <c r="D56" i="4"/>
  <c r="I56" i="4" s="1"/>
  <c r="P56" i="4" s="1"/>
  <c r="D55" i="4"/>
  <c r="H55" i="4" s="1"/>
  <c r="O55" i="4" s="1"/>
  <c r="D54" i="4"/>
  <c r="D53" i="4"/>
  <c r="H53" i="4" s="1"/>
  <c r="O53" i="4" s="1"/>
  <c r="D52" i="4"/>
  <c r="D51" i="4"/>
  <c r="H51" i="4" s="1"/>
  <c r="D50" i="4"/>
  <c r="H50" i="4" s="1"/>
  <c r="D49" i="4"/>
  <c r="I49" i="4" s="1"/>
  <c r="N49" i="4" s="1"/>
  <c r="D48" i="4"/>
  <c r="I48" i="4" s="1"/>
  <c r="P48" i="4" s="1"/>
  <c r="D47" i="4"/>
  <c r="D46" i="4"/>
  <c r="D45" i="4"/>
  <c r="D44" i="4"/>
  <c r="D43" i="4"/>
  <c r="D42" i="4"/>
  <c r="D41" i="4"/>
  <c r="D40" i="4"/>
  <c r="D39" i="4"/>
  <c r="D38" i="4"/>
  <c r="M38" i="4" s="1"/>
  <c r="T38" i="4" s="1"/>
  <c r="D37" i="4"/>
  <c r="M37" i="4" s="1"/>
  <c r="D36" i="4"/>
  <c r="M36" i="4" s="1"/>
  <c r="T36" i="4" s="1"/>
  <c r="D35" i="4"/>
  <c r="M35" i="4" s="1"/>
  <c r="T35" i="4" s="1"/>
  <c r="D34" i="4"/>
  <c r="M34" i="4" s="1"/>
  <c r="T34" i="4" s="1"/>
  <c r="D33" i="4"/>
  <c r="D32" i="4"/>
  <c r="I32" i="4" s="1"/>
  <c r="P32" i="4" s="1"/>
  <c r="D31" i="4"/>
  <c r="H31" i="4" s="1"/>
  <c r="D30" i="4"/>
  <c r="H30" i="4" s="1"/>
  <c r="D29" i="4"/>
  <c r="I29" i="4" s="1"/>
  <c r="P29" i="4" s="1"/>
  <c r="D28" i="4"/>
  <c r="I28" i="4" s="1"/>
  <c r="P28" i="4" s="1"/>
  <c r="D27" i="4"/>
  <c r="D26" i="4"/>
  <c r="D25" i="4"/>
  <c r="D24" i="4"/>
  <c r="D23" i="4"/>
  <c r="M23" i="4" s="1"/>
  <c r="T23" i="4" s="1"/>
  <c r="D22" i="4"/>
  <c r="M22" i="4" s="1"/>
  <c r="T22" i="4" s="1"/>
  <c r="D21" i="4"/>
  <c r="I21" i="4" s="1"/>
  <c r="D20" i="4"/>
  <c r="I20" i="4" s="1"/>
  <c r="D19" i="4"/>
  <c r="M19" i="4" s="1"/>
  <c r="T19" i="4" s="1"/>
  <c r="D18" i="4"/>
  <c r="I18" i="4" s="1"/>
  <c r="P18" i="4" s="1"/>
  <c r="D17" i="4"/>
  <c r="D16" i="4"/>
  <c r="D15" i="4"/>
  <c r="I15" i="4" s="1"/>
  <c r="P15" i="4" s="1"/>
  <c r="D14" i="4"/>
  <c r="M14" i="4" s="1"/>
  <c r="T14" i="4" s="1"/>
  <c r="D13" i="4"/>
  <c r="I13" i="4" s="1"/>
  <c r="P13" i="4" s="1"/>
  <c r="D12" i="4"/>
  <c r="I12" i="4" s="1"/>
  <c r="P12" i="4" s="1"/>
  <c r="D11" i="4"/>
  <c r="H11" i="4" s="1"/>
  <c r="O11" i="4" s="1"/>
  <c r="D10" i="4"/>
  <c r="H10" i="4" s="1"/>
  <c r="O10" i="4" s="1"/>
  <c r="D9" i="4"/>
  <c r="I9" i="4" s="1"/>
  <c r="D8" i="4"/>
  <c r="I8" i="4" s="1"/>
  <c r="P8" i="4" s="1"/>
  <c r="D7" i="4"/>
  <c r="D6" i="4"/>
  <c r="D5" i="4"/>
  <c r="D4" i="4"/>
  <c r="H4" i="4" s="1"/>
  <c r="O4" i="4" s="1"/>
  <c r="D3" i="4"/>
  <c r="H3" i="4" s="1"/>
  <c r="D2" i="4"/>
  <c r="M2" i="4" s="1"/>
  <c r="M52" i="3"/>
  <c r="M46" i="3"/>
  <c r="T46" i="3" s="1"/>
  <c r="M44" i="3"/>
  <c r="T44" i="3" s="1"/>
  <c r="M42" i="3"/>
  <c r="T42" i="3" s="1"/>
  <c r="M40" i="3"/>
  <c r="T40" i="3" s="1"/>
  <c r="M39" i="3"/>
  <c r="T39" i="3" s="1"/>
  <c r="M38" i="3"/>
  <c r="T38" i="3" s="1"/>
  <c r="M37" i="3"/>
  <c r="T37" i="3" s="1"/>
  <c r="M35" i="3"/>
  <c r="T35" i="3" s="1"/>
  <c r="M24" i="3"/>
  <c r="T24" i="3" s="1"/>
  <c r="M5" i="3"/>
  <c r="T5" i="3" s="1"/>
  <c r="M4" i="3"/>
  <c r="M2" i="3"/>
  <c r="I60" i="3"/>
  <c r="I59" i="3"/>
  <c r="P59" i="3" s="1"/>
  <c r="I58" i="3"/>
  <c r="P58" i="3" s="1"/>
  <c r="I57" i="3"/>
  <c r="I52" i="3"/>
  <c r="I46" i="3"/>
  <c r="P46" i="3" s="1"/>
  <c r="I44" i="3"/>
  <c r="P44" i="3" s="1"/>
  <c r="I42" i="3"/>
  <c r="I39" i="3"/>
  <c r="P39" i="3" s="1"/>
  <c r="I33" i="3"/>
  <c r="I24" i="3"/>
  <c r="I22" i="3"/>
  <c r="P22" i="3" s="1"/>
  <c r="I21" i="3"/>
  <c r="P21" i="3" s="1"/>
  <c r="I19" i="3"/>
  <c r="P19" i="3" s="1"/>
  <c r="I18" i="3"/>
  <c r="P18" i="3" s="1"/>
  <c r="I12" i="3"/>
  <c r="P12" i="3" s="1"/>
  <c r="I5" i="3"/>
  <c r="N5" i="3" s="1"/>
  <c r="I4" i="3"/>
  <c r="H57" i="3"/>
  <c r="H52" i="3"/>
  <c r="O52" i="3" s="1"/>
  <c r="H51" i="3"/>
  <c r="H42" i="3"/>
  <c r="N42" i="3" s="1"/>
  <c r="H24" i="3"/>
  <c r="H22" i="3"/>
  <c r="N22" i="3" s="1"/>
  <c r="H21" i="3"/>
  <c r="O21" i="3" s="1"/>
  <c r="H20" i="3"/>
  <c r="O20" i="3" s="1"/>
  <c r="H19" i="3"/>
  <c r="H18" i="3"/>
  <c r="N18" i="3" s="1"/>
  <c r="H17" i="3"/>
  <c r="H16" i="3"/>
  <c r="O16" i="3" s="1"/>
  <c r="H5" i="3"/>
  <c r="H4" i="3"/>
  <c r="O4" i="3" s="1"/>
  <c r="D60" i="3"/>
  <c r="H60" i="3" s="1"/>
  <c r="O60" i="3" s="1"/>
  <c r="D59" i="3"/>
  <c r="H59" i="3" s="1"/>
  <c r="D58" i="3"/>
  <c r="H58" i="3" s="1"/>
  <c r="O58" i="3" s="1"/>
  <c r="D57" i="3"/>
  <c r="M57" i="3" s="1"/>
  <c r="T57" i="3" s="1"/>
  <c r="D56" i="3"/>
  <c r="I56" i="3" s="1"/>
  <c r="D55" i="3"/>
  <c r="M55" i="3" s="1"/>
  <c r="T55" i="3" s="1"/>
  <c r="D54" i="3"/>
  <c r="H54" i="3" s="1"/>
  <c r="D53" i="3"/>
  <c r="H53" i="3" s="1"/>
  <c r="O53" i="3" s="1"/>
  <c r="D52" i="3"/>
  <c r="D51" i="3"/>
  <c r="D50" i="3"/>
  <c r="D49" i="3"/>
  <c r="H49" i="3" s="1"/>
  <c r="D48" i="3"/>
  <c r="I48" i="3" s="1"/>
  <c r="D47" i="3"/>
  <c r="H47" i="3" s="1"/>
  <c r="O47" i="3" s="1"/>
  <c r="D46" i="3"/>
  <c r="H46" i="3" s="1"/>
  <c r="O46" i="3" s="1"/>
  <c r="D45" i="3"/>
  <c r="I45" i="3" s="1"/>
  <c r="P45" i="3" s="1"/>
  <c r="D44" i="3"/>
  <c r="H44" i="3" s="1"/>
  <c r="N44" i="3" s="1"/>
  <c r="D43" i="3"/>
  <c r="H43" i="3" s="1"/>
  <c r="D42" i="3"/>
  <c r="D41" i="3"/>
  <c r="M41" i="3" s="1"/>
  <c r="D40" i="3"/>
  <c r="H40" i="3" s="1"/>
  <c r="D39" i="3"/>
  <c r="H39" i="3" s="1"/>
  <c r="O39" i="3" s="1"/>
  <c r="D38" i="3"/>
  <c r="H38" i="3" s="1"/>
  <c r="O38" i="3" s="1"/>
  <c r="D37" i="3"/>
  <c r="H37" i="3" s="1"/>
  <c r="O37" i="3" s="1"/>
  <c r="D36" i="3"/>
  <c r="H36" i="3" s="1"/>
  <c r="O36" i="3" s="1"/>
  <c r="D35" i="3"/>
  <c r="H35" i="3" s="1"/>
  <c r="O35" i="3" s="1"/>
  <c r="D34" i="3"/>
  <c r="H34" i="3" s="1"/>
  <c r="O34" i="3" s="1"/>
  <c r="D33" i="3"/>
  <c r="M33" i="3" s="1"/>
  <c r="T33" i="3" s="1"/>
  <c r="D32" i="3"/>
  <c r="H32" i="3" s="1"/>
  <c r="O32" i="3" s="1"/>
  <c r="D31" i="3"/>
  <c r="D30" i="3"/>
  <c r="D29" i="3"/>
  <c r="H29" i="3" s="1"/>
  <c r="D28" i="3"/>
  <c r="I28" i="3" s="1"/>
  <c r="P28" i="3" s="1"/>
  <c r="D27" i="3"/>
  <c r="H27" i="3" s="1"/>
  <c r="D26" i="3"/>
  <c r="H26" i="3" s="1"/>
  <c r="O26" i="3" s="1"/>
  <c r="D25" i="3"/>
  <c r="M25" i="3" s="1"/>
  <c r="T25" i="3" s="1"/>
  <c r="D24" i="3"/>
  <c r="D23" i="3"/>
  <c r="D22" i="3"/>
  <c r="M22" i="3" s="1"/>
  <c r="T22" i="3" s="1"/>
  <c r="D21" i="3"/>
  <c r="M21" i="3" s="1"/>
  <c r="T21" i="3" s="1"/>
  <c r="D20" i="3"/>
  <c r="D19" i="3"/>
  <c r="M19" i="3" s="1"/>
  <c r="D18" i="3"/>
  <c r="M18" i="3" s="1"/>
  <c r="T18" i="3" s="1"/>
  <c r="D17" i="3"/>
  <c r="I17" i="3" s="1"/>
  <c r="P17" i="3" s="1"/>
  <c r="D16" i="3"/>
  <c r="I16" i="3" s="1"/>
  <c r="D15" i="3"/>
  <c r="D14" i="3"/>
  <c r="H14" i="3" s="1"/>
  <c r="D13" i="3"/>
  <c r="H13" i="3" s="1"/>
  <c r="D12" i="3"/>
  <c r="D11" i="3"/>
  <c r="D10" i="3"/>
  <c r="D9" i="3"/>
  <c r="H9" i="3" s="1"/>
  <c r="O9" i="3" s="1"/>
  <c r="D8" i="3"/>
  <c r="I8" i="3" s="1"/>
  <c r="D7" i="3"/>
  <c r="H7" i="3" s="1"/>
  <c r="O7" i="3" s="1"/>
  <c r="D6" i="3"/>
  <c r="H6" i="3" s="1"/>
  <c r="O6" i="3" s="1"/>
  <c r="D5" i="3"/>
  <c r="D4" i="3"/>
  <c r="D3" i="3"/>
  <c r="D2" i="3"/>
  <c r="I2" i="3" s="1"/>
  <c r="M33" i="2"/>
  <c r="M14" i="2"/>
  <c r="T14" i="2" s="1"/>
  <c r="M13" i="2"/>
  <c r="M3" i="2"/>
  <c r="T3" i="2" s="1"/>
  <c r="I39" i="2"/>
  <c r="P39" i="2" s="1"/>
  <c r="I34" i="2"/>
  <c r="P34" i="2" s="1"/>
  <c r="I33" i="2"/>
  <c r="P33" i="2" s="1"/>
  <c r="I32" i="2"/>
  <c r="P32" i="2" s="1"/>
  <c r="I18" i="2"/>
  <c r="P18" i="2" s="1"/>
  <c r="I13" i="2"/>
  <c r="P13" i="2" s="1"/>
  <c r="H40" i="2"/>
  <c r="O40" i="2" s="1"/>
  <c r="H39" i="2"/>
  <c r="H33" i="2"/>
  <c r="O33" i="2" s="1"/>
  <c r="H32" i="2"/>
  <c r="O32" i="2" s="1"/>
  <c r="H31" i="2"/>
  <c r="H30" i="2"/>
  <c r="H21" i="2"/>
  <c r="O21" i="2" s="1"/>
  <c r="H14" i="2"/>
  <c r="O14" i="2" s="1"/>
  <c r="H13" i="2"/>
  <c r="N13" i="2" s="1"/>
  <c r="D41" i="2"/>
  <c r="H41" i="2" s="1"/>
  <c r="O41" i="2" s="1"/>
  <c r="D40" i="2"/>
  <c r="M40" i="2" s="1"/>
  <c r="T40" i="2" s="1"/>
  <c r="D39" i="2"/>
  <c r="M39" i="2" s="1"/>
  <c r="T39" i="2" s="1"/>
  <c r="D38" i="2"/>
  <c r="D37" i="2"/>
  <c r="I37" i="2" s="1"/>
  <c r="D36" i="2"/>
  <c r="I36" i="2" s="1"/>
  <c r="P36" i="2" s="1"/>
  <c r="D35" i="2"/>
  <c r="I35" i="2" s="1"/>
  <c r="P35" i="2" s="1"/>
  <c r="D34" i="2"/>
  <c r="M34" i="2" s="1"/>
  <c r="T34" i="2" s="1"/>
  <c r="D33" i="2"/>
  <c r="D32" i="2"/>
  <c r="M32" i="2" s="1"/>
  <c r="T32" i="2" s="1"/>
  <c r="D31" i="2"/>
  <c r="I31" i="2" s="1"/>
  <c r="P31" i="2" s="1"/>
  <c r="D30" i="2"/>
  <c r="M30" i="2" s="1"/>
  <c r="T30" i="2" s="1"/>
  <c r="D29" i="2"/>
  <c r="M29" i="2" s="1"/>
  <c r="T29" i="2" s="1"/>
  <c r="D28" i="2"/>
  <c r="M28" i="2" s="1"/>
  <c r="T28" i="2" s="1"/>
  <c r="D27" i="2"/>
  <c r="M27" i="2" s="1"/>
  <c r="T27" i="2" s="1"/>
  <c r="D26" i="2"/>
  <c r="M26" i="2" s="1"/>
  <c r="D25" i="2"/>
  <c r="M25" i="2" s="1"/>
  <c r="T25" i="2" s="1"/>
  <c r="D24" i="2"/>
  <c r="M24" i="2" s="1"/>
  <c r="T24" i="2" s="1"/>
  <c r="D23" i="2"/>
  <c r="M23" i="2" s="1"/>
  <c r="T23" i="2" s="1"/>
  <c r="D22" i="2"/>
  <c r="M22" i="2" s="1"/>
  <c r="T22" i="2" s="1"/>
  <c r="D21" i="2"/>
  <c r="M21" i="2" s="1"/>
  <c r="T21" i="2" s="1"/>
  <c r="D20" i="2"/>
  <c r="I20" i="2" s="1"/>
  <c r="P20" i="2" s="1"/>
  <c r="D19" i="2"/>
  <c r="I19" i="2" s="1"/>
  <c r="P19" i="2" s="1"/>
  <c r="D18" i="2"/>
  <c r="H18" i="2" s="1"/>
  <c r="D17" i="2"/>
  <c r="H17" i="2" s="1"/>
  <c r="D16" i="2"/>
  <c r="I16" i="2" s="1"/>
  <c r="P16" i="2" s="1"/>
  <c r="D15" i="2"/>
  <c r="H15" i="2" s="1"/>
  <c r="O15" i="2" s="1"/>
  <c r="D14" i="2"/>
  <c r="I14" i="2" s="1"/>
  <c r="D13" i="2"/>
  <c r="D12" i="2"/>
  <c r="I12" i="2" s="1"/>
  <c r="P12" i="2" s="1"/>
  <c r="D11" i="2"/>
  <c r="I11" i="2" s="1"/>
  <c r="P11" i="2" s="1"/>
  <c r="D10" i="2"/>
  <c r="I10" i="2" s="1"/>
  <c r="P10" i="2" s="1"/>
  <c r="D9" i="2"/>
  <c r="M9" i="2" s="1"/>
  <c r="T9" i="2" s="1"/>
  <c r="D8" i="2"/>
  <c r="M8" i="2" s="1"/>
  <c r="T8" i="2" s="1"/>
  <c r="D7" i="2"/>
  <c r="D6" i="2"/>
  <c r="M6" i="2" s="1"/>
  <c r="T6" i="2" s="1"/>
  <c r="D5" i="2"/>
  <c r="M5" i="2" s="1"/>
  <c r="T5" i="2" s="1"/>
  <c r="D4" i="2"/>
  <c r="M4" i="2" s="1"/>
  <c r="T4" i="2" s="1"/>
  <c r="D3" i="2"/>
  <c r="I3" i="2" s="1"/>
  <c r="D2" i="2"/>
  <c r="I2" i="2" s="1"/>
  <c r="N21" i="3"/>
  <c r="O42" i="3"/>
  <c r="O13" i="3"/>
  <c r="O27" i="3"/>
  <c r="O59" i="3"/>
  <c r="O5" i="3"/>
  <c r="P52" i="3"/>
  <c r="P24" i="3"/>
  <c r="P56" i="3"/>
  <c r="P33" i="3"/>
  <c r="P42" i="3"/>
  <c r="P57" i="3"/>
  <c r="P8" i="3"/>
  <c r="P4" i="3"/>
  <c r="P48" i="3"/>
  <c r="P5" i="3"/>
  <c r="P60" i="3"/>
  <c r="Q52" i="3"/>
  <c r="Q30" i="3"/>
  <c r="Q12" i="3"/>
  <c r="Q15" i="3"/>
  <c r="Q39" i="3"/>
  <c r="Q6" i="3"/>
  <c r="Q31" i="3"/>
  <c r="Q32" i="3"/>
  <c r="Q53" i="3"/>
  <c r="Q40" i="3"/>
  <c r="Q16" i="3"/>
  <c r="Q17" i="3"/>
  <c r="Q41" i="3"/>
  <c r="Q54" i="3"/>
  <c r="Q23" i="3"/>
  <c r="Q55" i="3"/>
  <c r="Q24" i="3"/>
  <c r="Q56" i="3"/>
  <c r="Q33" i="3"/>
  <c r="Q18" i="3"/>
  <c r="Q25" i="3"/>
  <c r="Q19" i="3"/>
  <c r="Q42" i="3"/>
  <c r="Q2" i="3"/>
  <c r="Q57" i="3"/>
  <c r="Q43" i="3"/>
  <c r="Q7" i="3"/>
  <c r="Q44" i="3"/>
  <c r="Q13" i="3"/>
  <c r="Q34" i="3"/>
  <c r="Q45" i="3"/>
  <c r="Q14" i="3"/>
  <c r="Q58" i="3"/>
  <c r="Q46" i="3"/>
  <c r="Q3" i="3"/>
  <c r="Q8" i="3"/>
  <c r="Q47" i="3"/>
  <c r="Q26" i="3"/>
  <c r="Q37" i="3"/>
  <c r="Q27" i="3"/>
  <c r="Q28" i="3"/>
  <c r="Q4" i="3"/>
  <c r="Q20" i="3"/>
  <c r="Q48" i="3"/>
  <c r="Q38" i="3"/>
  <c r="Q35" i="3"/>
  <c r="Q59" i="3"/>
  <c r="Q49" i="3"/>
  <c r="Q50" i="3"/>
  <c r="Q36" i="3"/>
  <c r="Q9" i="3"/>
  <c r="Q21" i="3"/>
  <c r="Q29" i="3"/>
  <c r="Q51" i="3"/>
  <c r="Q5" i="3"/>
  <c r="Q60" i="3"/>
  <c r="Q10" i="3"/>
  <c r="Q11" i="3"/>
  <c r="Q22" i="3"/>
  <c r="R52" i="3"/>
  <c r="R30" i="3"/>
  <c r="R12" i="3"/>
  <c r="R15" i="3"/>
  <c r="R39" i="3"/>
  <c r="R6" i="3"/>
  <c r="R31" i="3"/>
  <c r="R32" i="3"/>
  <c r="R53" i="3"/>
  <c r="R40" i="3"/>
  <c r="R16" i="3"/>
  <c r="R17" i="3"/>
  <c r="R41" i="3"/>
  <c r="R54" i="3"/>
  <c r="R23" i="3"/>
  <c r="R55" i="3"/>
  <c r="R24" i="3"/>
  <c r="R56" i="3"/>
  <c r="R33" i="3"/>
  <c r="R18" i="3"/>
  <c r="R25" i="3"/>
  <c r="R19" i="3"/>
  <c r="R42" i="3"/>
  <c r="R2" i="3"/>
  <c r="R57" i="3"/>
  <c r="R43" i="3"/>
  <c r="R7" i="3"/>
  <c r="R44" i="3"/>
  <c r="R13" i="3"/>
  <c r="R34" i="3"/>
  <c r="R45" i="3"/>
  <c r="R14" i="3"/>
  <c r="R58" i="3"/>
  <c r="R46" i="3"/>
  <c r="R3" i="3"/>
  <c r="R8" i="3"/>
  <c r="R47" i="3"/>
  <c r="R26" i="3"/>
  <c r="R37" i="3"/>
  <c r="R27" i="3"/>
  <c r="R28" i="3"/>
  <c r="R4" i="3"/>
  <c r="R20" i="3"/>
  <c r="R48" i="3"/>
  <c r="R38" i="3"/>
  <c r="R35" i="3"/>
  <c r="R59" i="3"/>
  <c r="R49" i="3"/>
  <c r="R50" i="3"/>
  <c r="R36" i="3"/>
  <c r="R9" i="3"/>
  <c r="R21" i="3"/>
  <c r="R29" i="3"/>
  <c r="R51" i="3"/>
  <c r="R5" i="3"/>
  <c r="R60" i="3"/>
  <c r="R10" i="3"/>
  <c r="R11" i="3"/>
  <c r="R22" i="3"/>
  <c r="S52" i="3"/>
  <c r="S30" i="3"/>
  <c r="S12" i="3"/>
  <c r="S15" i="3"/>
  <c r="S39" i="3"/>
  <c r="S6" i="3"/>
  <c r="S31" i="3"/>
  <c r="S32" i="3"/>
  <c r="S53" i="3"/>
  <c r="S40" i="3"/>
  <c r="S16" i="3"/>
  <c r="S17" i="3"/>
  <c r="S41" i="3"/>
  <c r="S54" i="3"/>
  <c r="S23" i="3"/>
  <c r="S55" i="3"/>
  <c r="S24" i="3"/>
  <c r="S56" i="3"/>
  <c r="S33" i="3"/>
  <c r="S18" i="3"/>
  <c r="S25" i="3"/>
  <c r="S19" i="3"/>
  <c r="S42" i="3"/>
  <c r="S2" i="3"/>
  <c r="S57" i="3"/>
  <c r="S43" i="3"/>
  <c r="S7" i="3"/>
  <c r="S44" i="3"/>
  <c r="S13" i="3"/>
  <c r="S34" i="3"/>
  <c r="S45" i="3"/>
  <c r="S14" i="3"/>
  <c r="S58" i="3"/>
  <c r="S46" i="3"/>
  <c r="S3" i="3"/>
  <c r="S8" i="3"/>
  <c r="S47" i="3"/>
  <c r="S26" i="3"/>
  <c r="S37" i="3"/>
  <c r="S27" i="3"/>
  <c r="S28" i="3"/>
  <c r="S4" i="3"/>
  <c r="S20" i="3"/>
  <c r="S48" i="3"/>
  <c r="S38" i="3"/>
  <c r="S35" i="3"/>
  <c r="S59" i="3"/>
  <c r="S49" i="3"/>
  <c r="S50" i="3"/>
  <c r="S36" i="3"/>
  <c r="S9" i="3"/>
  <c r="S21" i="3"/>
  <c r="S29" i="3"/>
  <c r="S51" i="3"/>
  <c r="S5" i="3"/>
  <c r="S60" i="3"/>
  <c r="S10" i="3"/>
  <c r="S11" i="3"/>
  <c r="S22" i="3"/>
  <c r="T52" i="3"/>
  <c r="T41" i="3"/>
  <c r="T19" i="3"/>
  <c r="T4" i="3"/>
  <c r="O18" i="2"/>
  <c r="P37" i="2"/>
  <c r="Q11" i="2"/>
  <c r="Q18" i="2"/>
  <c r="Q31" i="2"/>
  <c r="Q32" i="2"/>
  <c r="Q19" i="2"/>
  <c r="Q33" i="2"/>
  <c r="Q28" i="2"/>
  <c r="Q34" i="2"/>
  <c r="Q20" i="2"/>
  <c r="Q35" i="2"/>
  <c r="Q36" i="2"/>
  <c r="Q9" i="2"/>
  <c r="Q12" i="2"/>
  <c r="Q37" i="2"/>
  <c r="Q21" i="2"/>
  <c r="Q22" i="2"/>
  <c r="Q2" i="2"/>
  <c r="Q3" i="2"/>
  <c r="Q4" i="2"/>
  <c r="Q29" i="2"/>
  <c r="Q23" i="2"/>
  <c r="Q38" i="2"/>
  <c r="Q24" i="2"/>
  <c r="Q8" i="2"/>
  <c r="Q25" i="2"/>
  <c r="Q26" i="2"/>
  <c r="Q5" i="2"/>
  <c r="Q30" i="2"/>
  <c r="Q13" i="2"/>
  <c r="Q14" i="2"/>
  <c r="Q39" i="2"/>
  <c r="Q40" i="2"/>
  <c r="Q6" i="2"/>
  <c r="Q27" i="2"/>
  <c r="Q7" i="2"/>
  <c r="Q15" i="2"/>
  <c r="Q10" i="2"/>
  <c r="Q16" i="2"/>
  <c r="Q17" i="2"/>
  <c r="Q41" i="2"/>
  <c r="R11" i="2"/>
  <c r="R18" i="2"/>
  <c r="R31" i="2"/>
  <c r="R32" i="2"/>
  <c r="R19" i="2"/>
  <c r="R33" i="2"/>
  <c r="R28" i="2"/>
  <c r="R34" i="2"/>
  <c r="R20" i="2"/>
  <c r="R35" i="2"/>
  <c r="R36" i="2"/>
  <c r="R9" i="2"/>
  <c r="R12" i="2"/>
  <c r="R37" i="2"/>
  <c r="R21" i="2"/>
  <c r="R22" i="2"/>
  <c r="R2" i="2"/>
  <c r="R3" i="2"/>
  <c r="R4" i="2"/>
  <c r="R29" i="2"/>
  <c r="R23" i="2"/>
  <c r="R38" i="2"/>
  <c r="R24" i="2"/>
  <c r="R8" i="2"/>
  <c r="R25" i="2"/>
  <c r="R26" i="2"/>
  <c r="R5" i="2"/>
  <c r="R30" i="2"/>
  <c r="R13" i="2"/>
  <c r="R14" i="2"/>
  <c r="R39" i="2"/>
  <c r="R40" i="2"/>
  <c r="R6" i="2"/>
  <c r="R27" i="2"/>
  <c r="R7" i="2"/>
  <c r="R15" i="2"/>
  <c r="R10" i="2"/>
  <c r="R16" i="2"/>
  <c r="R17" i="2"/>
  <c r="R41" i="2"/>
  <c r="S11" i="2"/>
  <c r="S18" i="2"/>
  <c r="S31" i="2"/>
  <c r="S32" i="2"/>
  <c r="S19" i="2"/>
  <c r="S33" i="2"/>
  <c r="S28" i="2"/>
  <c r="S34" i="2"/>
  <c r="S20" i="2"/>
  <c r="S35" i="2"/>
  <c r="S36" i="2"/>
  <c r="S9" i="2"/>
  <c r="S12" i="2"/>
  <c r="S37" i="2"/>
  <c r="S21" i="2"/>
  <c r="S22" i="2"/>
  <c r="S2" i="2"/>
  <c r="S3" i="2"/>
  <c r="S4" i="2"/>
  <c r="S29" i="2"/>
  <c r="S23" i="2"/>
  <c r="S38" i="2"/>
  <c r="S24" i="2"/>
  <c r="S8" i="2"/>
  <c r="S25" i="2"/>
  <c r="S26" i="2"/>
  <c r="S5" i="2"/>
  <c r="S30" i="2"/>
  <c r="S13" i="2"/>
  <c r="S14" i="2"/>
  <c r="S39" i="2"/>
  <c r="S40" i="2"/>
  <c r="S6" i="2"/>
  <c r="S27" i="2"/>
  <c r="S7" i="2"/>
  <c r="S15" i="2"/>
  <c r="S10" i="2"/>
  <c r="S16" i="2"/>
  <c r="S17" i="2"/>
  <c r="S41" i="2"/>
  <c r="T33" i="2"/>
  <c r="T26" i="2"/>
  <c r="T13" i="2"/>
  <c r="N71" i="4"/>
  <c r="N61" i="4"/>
  <c r="N54" i="4"/>
  <c r="O70" i="4"/>
  <c r="O71" i="4"/>
  <c r="O62" i="4"/>
  <c r="O49" i="4"/>
  <c r="O50" i="4"/>
  <c r="O51" i="4"/>
  <c r="O30" i="4"/>
  <c r="O31" i="4"/>
  <c r="P60" i="4"/>
  <c r="P75" i="4"/>
  <c r="P59" i="4"/>
  <c r="Q36" i="4"/>
  <c r="Q70" i="4"/>
  <c r="Q71" i="4"/>
  <c r="Q22" i="4"/>
  <c r="Q37" i="4"/>
  <c r="Q60" i="4"/>
  <c r="Q61" i="4"/>
  <c r="Q38" i="4"/>
  <c r="Q23" i="4"/>
  <c r="Q39" i="4"/>
  <c r="Q62" i="4"/>
  <c r="Q72" i="4"/>
  <c r="Q9" i="4"/>
  <c r="Q73" i="4"/>
  <c r="Q79" i="4"/>
  <c r="Q10" i="4"/>
  <c r="Q2" i="4"/>
  <c r="Q3" i="4"/>
  <c r="Q40" i="4"/>
  <c r="Q74" i="4"/>
  <c r="Q80" i="4"/>
  <c r="Q41" i="4"/>
  <c r="Q81" i="4"/>
  <c r="Q42" i="4"/>
  <c r="Q4" i="4"/>
  <c r="Q24" i="4"/>
  <c r="Q75" i="4"/>
  <c r="Q11" i="4"/>
  <c r="Q76" i="4"/>
  <c r="Q43" i="4"/>
  <c r="Q44" i="4"/>
  <c r="Q77" i="4"/>
  <c r="Q25" i="4"/>
  <c r="Q45" i="4"/>
  <c r="Q46" i="4"/>
  <c r="Q26" i="4"/>
  <c r="Q5" i="4"/>
  <c r="Q27" i="4"/>
  <c r="Q14" i="4"/>
  <c r="Q82" i="4"/>
  <c r="Q15" i="4"/>
  <c r="Q47" i="4"/>
  <c r="Q16" i="4"/>
  <c r="Q17" i="4"/>
  <c r="Q63" i="4"/>
  <c r="Q18" i="4"/>
  <c r="Q6" i="4"/>
  <c r="Q48" i="4"/>
  <c r="Q49" i="4"/>
  <c r="Q19" i="4"/>
  <c r="Q12" i="4"/>
  <c r="Q50" i="4"/>
  <c r="Q51" i="4"/>
  <c r="Q52" i="4"/>
  <c r="Q53" i="4"/>
  <c r="Q54" i="4"/>
  <c r="Q78" i="4"/>
  <c r="Q64" i="4"/>
  <c r="Q55" i="4"/>
  <c r="Q83" i="4"/>
  <c r="Q13" i="4"/>
  <c r="Q28" i="4"/>
  <c r="Q65" i="4"/>
  <c r="Q20" i="4"/>
  <c r="Q66" i="4"/>
  <c r="Q7" i="4"/>
  <c r="Q29" i="4"/>
  <c r="Q56" i="4"/>
  <c r="Q67" i="4"/>
  <c r="Q57" i="4"/>
  <c r="Q58" i="4"/>
  <c r="Q68" i="4"/>
  <c r="Q8" i="4"/>
  <c r="Q30" i="4"/>
  <c r="Q69" i="4"/>
  <c r="Q59" i="4"/>
  <c r="Q31" i="4"/>
  <c r="Q32" i="4"/>
  <c r="Q21" i="4"/>
  <c r="Q33" i="4"/>
  <c r="Q34" i="4"/>
  <c r="Q35" i="4"/>
  <c r="R36" i="4"/>
  <c r="R70" i="4"/>
  <c r="R71" i="4"/>
  <c r="R22" i="4"/>
  <c r="R37" i="4"/>
  <c r="R60" i="4"/>
  <c r="R61" i="4"/>
  <c r="R38" i="4"/>
  <c r="R23" i="4"/>
  <c r="R39" i="4"/>
  <c r="R62" i="4"/>
  <c r="R72" i="4"/>
  <c r="R9" i="4"/>
  <c r="R73" i="4"/>
  <c r="R79" i="4"/>
  <c r="R10" i="4"/>
  <c r="R2" i="4"/>
  <c r="R3" i="4"/>
  <c r="R40" i="4"/>
  <c r="R74" i="4"/>
  <c r="R80" i="4"/>
  <c r="R41" i="4"/>
  <c r="R81" i="4"/>
  <c r="R42" i="4"/>
  <c r="R4" i="4"/>
  <c r="R24" i="4"/>
  <c r="R75" i="4"/>
  <c r="R11" i="4"/>
  <c r="R76" i="4"/>
  <c r="R43" i="4"/>
  <c r="R44" i="4"/>
  <c r="R77" i="4"/>
  <c r="R25" i="4"/>
  <c r="R45" i="4"/>
  <c r="R46" i="4"/>
  <c r="R26" i="4"/>
  <c r="R5" i="4"/>
  <c r="R27" i="4"/>
  <c r="R14" i="4"/>
  <c r="R82" i="4"/>
  <c r="R15" i="4"/>
  <c r="R47" i="4"/>
  <c r="R16" i="4"/>
  <c r="R17" i="4"/>
  <c r="R63" i="4"/>
  <c r="R18" i="4"/>
  <c r="R6" i="4"/>
  <c r="R48" i="4"/>
  <c r="R49" i="4"/>
  <c r="R19" i="4"/>
  <c r="R12" i="4"/>
  <c r="R50" i="4"/>
  <c r="R51" i="4"/>
  <c r="R52" i="4"/>
  <c r="R53" i="4"/>
  <c r="R54" i="4"/>
  <c r="R78" i="4"/>
  <c r="R64" i="4"/>
  <c r="R55" i="4"/>
  <c r="R83" i="4"/>
  <c r="R13" i="4"/>
  <c r="R28" i="4"/>
  <c r="R65" i="4"/>
  <c r="R20" i="4"/>
  <c r="R66" i="4"/>
  <c r="R7" i="4"/>
  <c r="R29" i="4"/>
  <c r="R56" i="4"/>
  <c r="R67" i="4"/>
  <c r="R57" i="4"/>
  <c r="R58" i="4"/>
  <c r="R68" i="4"/>
  <c r="R8" i="4"/>
  <c r="R30" i="4"/>
  <c r="R69" i="4"/>
  <c r="R59" i="4"/>
  <c r="R31" i="4"/>
  <c r="R32" i="4"/>
  <c r="R21" i="4"/>
  <c r="R33" i="4"/>
  <c r="R34" i="4"/>
  <c r="R35" i="4"/>
  <c r="S36" i="4"/>
  <c r="S70" i="4"/>
  <c r="S71" i="4"/>
  <c r="S22" i="4"/>
  <c r="S37" i="4"/>
  <c r="S60" i="4"/>
  <c r="S61" i="4"/>
  <c r="S38" i="4"/>
  <c r="S23" i="4"/>
  <c r="S39" i="4"/>
  <c r="S62" i="4"/>
  <c r="S72" i="4"/>
  <c r="S9" i="4"/>
  <c r="S73" i="4"/>
  <c r="S79" i="4"/>
  <c r="S10" i="4"/>
  <c r="S2" i="4"/>
  <c r="S3" i="4"/>
  <c r="S40" i="4"/>
  <c r="S74" i="4"/>
  <c r="S80" i="4"/>
  <c r="S41" i="4"/>
  <c r="S81" i="4"/>
  <c r="S42" i="4"/>
  <c r="S4" i="4"/>
  <c r="S24" i="4"/>
  <c r="S75" i="4"/>
  <c r="S11" i="4"/>
  <c r="S76" i="4"/>
  <c r="S43" i="4"/>
  <c r="S44" i="4"/>
  <c r="S77" i="4"/>
  <c r="S25" i="4"/>
  <c r="S45" i="4"/>
  <c r="S46" i="4"/>
  <c r="S26" i="4"/>
  <c r="S5" i="4"/>
  <c r="S27" i="4"/>
  <c r="S14" i="4"/>
  <c r="S82" i="4"/>
  <c r="S15" i="4"/>
  <c r="S47" i="4"/>
  <c r="S16" i="4"/>
  <c r="S17" i="4"/>
  <c r="S63" i="4"/>
  <c r="S18" i="4"/>
  <c r="S6" i="4"/>
  <c r="S48" i="4"/>
  <c r="S49" i="4"/>
  <c r="S19" i="4"/>
  <c r="S12" i="4"/>
  <c r="S50" i="4"/>
  <c r="S51" i="4"/>
  <c r="S52" i="4"/>
  <c r="S53" i="4"/>
  <c r="S54" i="4"/>
  <c r="S78" i="4"/>
  <c r="S64" i="4"/>
  <c r="S55" i="4"/>
  <c r="S83" i="4"/>
  <c r="S13" i="4"/>
  <c r="S28" i="4"/>
  <c r="S65" i="4"/>
  <c r="S20" i="4"/>
  <c r="S66" i="4"/>
  <c r="S7" i="4"/>
  <c r="S29" i="4"/>
  <c r="S56" i="4"/>
  <c r="S67" i="4"/>
  <c r="S57" i="4"/>
  <c r="S58" i="4"/>
  <c r="S68" i="4"/>
  <c r="S8" i="4"/>
  <c r="S30" i="4"/>
  <c r="S69" i="4"/>
  <c r="S59" i="4"/>
  <c r="S31" i="4"/>
  <c r="S32" i="4"/>
  <c r="S21" i="4"/>
  <c r="S33" i="4"/>
  <c r="S34" i="4"/>
  <c r="S35" i="4"/>
  <c r="T71" i="4"/>
  <c r="T37" i="4"/>
  <c r="T60" i="4"/>
  <c r="T62" i="4"/>
  <c r="T11" i="4"/>
  <c r="T49" i="4"/>
  <c r="T50" i="4"/>
  <c r="T51" i="4"/>
  <c r="T52" i="4"/>
  <c r="C1" i="12" a="1"/>
  <c r="C1" i="12" s="1"/>
  <c r="C1" i="11" a="1"/>
  <c r="C1" i="11" s="1"/>
  <c r="C1" i="9" a="1"/>
  <c r="C1" i="9" s="1"/>
  <c r="N59" i="4" l="1"/>
  <c r="O59" i="4"/>
  <c r="I9" i="3"/>
  <c r="P9" i="3" s="1"/>
  <c r="M10" i="2"/>
  <c r="T10" i="2" s="1"/>
  <c r="H76" i="4"/>
  <c r="I53" i="4"/>
  <c r="P53" i="4" s="1"/>
  <c r="M53" i="4"/>
  <c r="T53" i="4" s="1"/>
  <c r="H34" i="2"/>
  <c r="O34" i="2" s="1"/>
  <c r="M11" i="2"/>
  <c r="T11" i="2" s="1"/>
  <c r="I13" i="3"/>
  <c r="P13" i="3" s="1"/>
  <c r="M45" i="3"/>
  <c r="T45" i="3" s="1"/>
  <c r="H34" i="4"/>
  <c r="H78" i="4"/>
  <c r="O78" i="4" s="1"/>
  <c r="M13" i="4"/>
  <c r="T13" i="4" s="1"/>
  <c r="N31" i="2"/>
  <c r="M12" i="2"/>
  <c r="T12" i="2" s="1"/>
  <c r="H35" i="4"/>
  <c r="N79" i="4"/>
  <c r="I55" i="4"/>
  <c r="P55" i="4" s="1"/>
  <c r="M15" i="4"/>
  <c r="T15" i="4" s="1"/>
  <c r="M55" i="4"/>
  <c r="T55" i="4" s="1"/>
  <c r="I49" i="3"/>
  <c r="P49" i="3" s="1"/>
  <c r="N51" i="4"/>
  <c r="O31" i="2"/>
  <c r="H25" i="3"/>
  <c r="H80" i="4"/>
  <c r="N80" i="4" s="1"/>
  <c r="M20" i="4"/>
  <c r="T20" i="4" s="1"/>
  <c r="M57" i="4"/>
  <c r="T57" i="4" s="1"/>
  <c r="H28" i="3"/>
  <c r="M58" i="4"/>
  <c r="T58" i="4" s="1"/>
  <c r="M15" i="2"/>
  <c r="T15" i="2" s="1"/>
  <c r="H82" i="4"/>
  <c r="M28" i="4"/>
  <c r="T28" i="4" s="1"/>
  <c r="M59" i="4"/>
  <c r="T59" i="4" s="1"/>
  <c r="M17" i="2"/>
  <c r="T17" i="2" s="1"/>
  <c r="H2" i="4"/>
  <c r="N2" i="4" s="1"/>
  <c r="I2" i="4"/>
  <c r="P2" i="4" s="1"/>
  <c r="I15" i="2"/>
  <c r="P15" i="2" s="1"/>
  <c r="M18" i="2"/>
  <c r="T18" i="2" s="1"/>
  <c r="I25" i="3"/>
  <c r="P25" i="3" s="1"/>
  <c r="I10" i="4"/>
  <c r="O22" i="3"/>
  <c r="M31" i="2"/>
  <c r="T31" i="2" s="1"/>
  <c r="H45" i="3"/>
  <c r="I26" i="3"/>
  <c r="P26" i="3" s="1"/>
  <c r="M6" i="3"/>
  <c r="T6" i="3" s="1"/>
  <c r="H9" i="4"/>
  <c r="O9" i="4" s="1"/>
  <c r="I11" i="4"/>
  <c r="I72" i="4"/>
  <c r="M31" i="4"/>
  <c r="T31" i="4" s="1"/>
  <c r="M68" i="4"/>
  <c r="T68" i="4" s="1"/>
  <c r="H73" i="4"/>
  <c r="N9" i="3"/>
  <c r="I17" i="2"/>
  <c r="P17" i="2" s="1"/>
  <c r="H48" i="3"/>
  <c r="N48" i="3" s="1"/>
  <c r="I29" i="3"/>
  <c r="P29" i="3" s="1"/>
  <c r="M13" i="3"/>
  <c r="T13" i="3" s="1"/>
  <c r="H12" i="4"/>
  <c r="O12" i="4" s="1"/>
  <c r="I73" i="4"/>
  <c r="P73" i="4" s="1"/>
  <c r="M32" i="4"/>
  <c r="T32" i="4" s="1"/>
  <c r="M69" i="4"/>
  <c r="T69" i="4" s="1"/>
  <c r="I76" i="4"/>
  <c r="P76" i="4" s="1"/>
  <c r="O29" i="3"/>
  <c r="H10" i="2"/>
  <c r="O10" i="2" s="1"/>
  <c r="H2" i="3"/>
  <c r="I38" i="3"/>
  <c r="N69" i="4"/>
  <c r="H14" i="4"/>
  <c r="O14" i="4" s="1"/>
  <c r="H58" i="4"/>
  <c r="O58" i="4" s="1"/>
  <c r="I14" i="4"/>
  <c r="H11" i="2"/>
  <c r="M26" i="3"/>
  <c r="T26" i="3" s="1"/>
  <c r="N70" i="4"/>
  <c r="H15" i="4"/>
  <c r="O15" i="4" s="1"/>
  <c r="I31" i="4"/>
  <c r="P31" i="4" s="1"/>
  <c r="I6" i="3"/>
  <c r="P6" i="3" s="1"/>
  <c r="H13" i="4"/>
  <c r="H12" i="2"/>
  <c r="I21" i="2"/>
  <c r="P21" i="2" s="1"/>
  <c r="I40" i="3"/>
  <c r="P40" i="3" s="1"/>
  <c r="M34" i="3"/>
  <c r="T34" i="3" s="1"/>
  <c r="H19" i="4"/>
  <c r="H74" i="4"/>
  <c r="H2" i="2"/>
  <c r="H8" i="3"/>
  <c r="O8" i="3" s="1"/>
  <c r="H56" i="3"/>
  <c r="N56" i="3" s="1"/>
  <c r="I41" i="3"/>
  <c r="P41" i="3" s="1"/>
  <c r="H20" i="4"/>
  <c r="O20" i="4" s="1"/>
  <c r="M78" i="4"/>
  <c r="T78" i="4" s="1"/>
  <c r="I30" i="4"/>
  <c r="N30" i="4" s="1"/>
  <c r="N16" i="3"/>
  <c r="P16" i="3"/>
  <c r="N40" i="3"/>
  <c r="O40" i="3"/>
  <c r="O43" i="3"/>
  <c r="P20" i="4"/>
  <c r="N21" i="4"/>
  <c r="P21" i="4"/>
  <c r="O3" i="4"/>
  <c r="P2" i="3"/>
  <c r="H3" i="2"/>
  <c r="O3" i="2" s="1"/>
  <c r="I3" i="3"/>
  <c r="H3" i="3"/>
  <c r="M23" i="3"/>
  <c r="T23" i="3" s="1"/>
  <c r="I23" i="3"/>
  <c r="P23" i="3" s="1"/>
  <c r="M4" i="4"/>
  <c r="T4" i="4" s="1"/>
  <c r="I4" i="4"/>
  <c r="P4" i="4" s="1"/>
  <c r="M24" i="4"/>
  <c r="T24" i="4" s="1"/>
  <c r="I24" i="4"/>
  <c r="P24" i="4" s="1"/>
  <c r="M44" i="4"/>
  <c r="T44" i="4" s="1"/>
  <c r="I44" i="4"/>
  <c r="M64" i="4"/>
  <c r="T64" i="4" s="1"/>
  <c r="I64" i="4"/>
  <c r="P64" i="4" s="1"/>
  <c r="H64" i="4"/>
  <c r="O2" i="4"/>
  <c r="P3" i="2"/>
  <c r="N59" i="3"/>
  <c r="N14" i="2"/>
  <c r="M36" i="3"/>
  <c r="T36" i="3" s="1"/>
  <c r="M5" i="4"/>
  <c r="T5" i="4" s="1"/>
  <c r="I5" i="4"/>
  <c r="P5" i="4" s="1"/>
  <c r="H5" i="4"/>
  <c r="M25" i="4"/>
  <c r="T25" i="4" s="1"/>
  <c r="I25" i="4"/>
  <c r="M45" i="4"/>
  <c r="T45" i="4" s="1"/>
  <c r="I45" i="4"/>
  <c r="P45" i="4" s="1"/>
  <c r="M65" i="4"/>
  <c r="T65" i="4" s="1"/>
  <c r="I65" i="4"/>
  <c r="P65" i="4" s="1"/>
  <c r="H65" i="4"/>
  <c r="H37" i="4"/>
  <c r="H77" i="4"/>
  <c r="M56" i="4"/>
  <c r="T56" i="4" s="1"/>
  <c r="P2" i="2"/>
  <c r="O19" i="3"/>
  <c r="N19" i="3"/>
  <c r="N75" i="4"/>
  <c r="T2" i="3"/>
  <c r="M46" i="4"/>
  <c r="T46" i="4" s="1"/>
  <c r="I46" i="4"/>
  <c r="P46" i="4" s="1"/>
  <c r="H46" i="4"/>
  <c r="O82" i="4"/>
  <c r="N82" i="4"/>
  <c r="I36" i="4"/>
  <c r="P36" i="4" s="1"/>
  <c r="P50" i="4"/>
  <c r="H22" i="2"/>
  <c r="O57" i="3"/>
  <c r="N57" i="3"/>
  <c r="I34" i="3"/>
  <c r="M3" i="3"/>
  <c r="M43" i="3"/>
  <c r="T43" i="3" s="1"/>
  <c r="N15" i="4"/>
  <c r="H83" i="4"/>
  <c r="O83" i="4" s="1"/>
  <c r="I37" i="4"/>
  <c r="P37" i="4" s="1"/>
  <c r="O81" i="4"/>
  <c r="N81" i="4"/>
  <c r="I31" i="3"/>
  <c r="P31" i="3" s="1"/>
  <c r="M31" i="3"/>
  <c r="T31" i="3" s="1"/>
  <c r="H31" i="3"/>
  <c r="M63" i="4"/>
  <c r="T63" i="4" s="1"/>
  <c r="H63" i="4"/>
  <c r="H23" i="2"/>
  <c r="I11" i="3"/>
  <c r="P11" i="3" s="1"/>
  <c r="M11" i="3"/>
  <c r="T11" i="3" s="1"/>
  <c r="H11" i="3"/>
  <c r="O11" i="3" s="1"/>
  <c r="I51" i="3"/>
  <c r="P51" i="3" s="1"/>
  <c r="M51" i="3"/>
  <c r="T51" i="3" s="1"/>
  <c r="I35" i="3"/>
  <c r="N19" i="4"/>
  <c r="N58" i="3"/>
  <c r="O30" i="2"/>
  <c r="I22" i="2"/>
  <c r="P22" i="2" s="1"/>
  <c r="M12" i="3"/>
  <c r="T12" i="3" s="1"/>
  <c r="H12" i="3"/>
  <c r="M32" i="3"/>
  <c r="T32" i="3" s="1"/>
  <c r="I32" i="3"/>
  <c r="H23" i="3"/>
  <c r="O23" i="3" s="1"/>
  <c r="I36" i="3"/>
  <c r="P36" i="3" s="1"/>
  <c r="H56" i="4"/>
  <c r="M6" i="4"/>
  <c r="T6" i="4" s="1"/>
  <c r="I6" i="4"/>
  <c r="P6" i="4" s="1"/>
  <c r="H6" i="4"/>
  <c r="N4" i="3"/>
  <c r="O44" i="3"/>
  <c r="P49" i="4"/>
  <c r="P9" i="4"/>
  <c r="O80" i="4"/>
  <c r="N78" i="4"/>
  <c r="I23" i="2"/>
  <c r="P23" i="2" s="1"/>
  <c r="M53" i="3"/>
  <c r="T53" i="3" s="1"/>
  <c r="I53" i="3"/>
  <c r="P53" i="3" s="1"/>
  <c r="O24" i="3"/>
  <c r="N24" i="3"/>
  <c r="I37" i="3"/>
  <c r="H57" i="4"/>
  <c r="M43" i="4"/>
  <c r="T43" i="4" s="1"/>
  <c r="I43" i="4"/>
  <c r="H43" i="4"/>
  <c r="O43" i="4" s="1"/>
  <c r="I23" i="4"/>
  <c r="P23" i="4" s="1"/>
  <c r="M66" i="4"/>
  <c r="T66" i="4" s="1"/>
  <c r="I66" i="4"/>
  <c r="P66" i="4" s="1"/>
  <c r="H66" i="4"/>
  <c r="N2" i="2"/>
  <c r="O14" i="3"/>
  <c r="H15" i="3"/>
  <c r="O15" i="3" s="1"/>
  <c r="M15" i="3"/>
  <c r="T15" i="3" s="1"/>
  <c r="O79" i="4"/>
  <c r="O13" i="2"/>
  <c r="M36" i="2"/>
  <c r="T36" i="2" s="1"/>
  <c r="O19" i="4"/>
  <c r="H35" i="2"/>
  <c r="M37" i="2"/>
  <c r="T37" i="2" s="1"/>
  <c r="H33" i="3"/>
  <c r="M17" i="3"/>
  <c r="T17" i="3" s="1"/>
  <c r="N62" i="4"/>
  <c r="O51" i="3"/>
  <c r="I38" i="2"/>
  <c r="P38" i="2" s="1"/>
  <c r="H38" i="2"/>
  <c r="H36" i="2"/>
  <c r="M38" i="2"/>
  <c r="T38" i="2" s="1"/>
  <c r="I15" i="3"/>
  <c r="P15" i="3" s="1"/>
  <c r="M58" i="3"/>
  <c r="T58" i="3" s="1"/>
  <c r="I39" i="4"/>
  <c r="P39" i="4" s="1"/>
  <c r="H39" i="4"/>
  <c r="O39" i="4" s="1"/>
  <c r="N29" i="4"/>
  <c r="I19" i="4"/>
  <c r="P19" i="4" s="1"/>
  <c r="M3" i="4"/>
  <c r="I3" i="4"/>
  <c r="P3" i="4" s="1"/>
  <c r="M26" i="4"/>
  <c r="T26" i="4" s="1"/>
  <c r="I26" i="4"/>
  <c r="P26" i="4" s="1"/>
  <c r="H26" i="4"/>
  <c r="I55" i="3"/>
  <c r="P55" i="3" s="1"/>
  <c r="H55" i="3"/>
  <c r="H23" i="4"/>
  <c r="O23" i="4" s="1"/>
  <c r="O56" i="3"/>
  <c r="M16" i="3"/>
  <c r="T16" i="3" s="1"/>
  <c r="I17" i="4"/>
  <c r="P17" i="4" s="1"/>
  <c r="H17" i="4"/>
  <c r="M17" i="4"/>
  <c r="T17" i="4" s="1"/>
  <c r="I38" i="4"/>
  <c r="P38" i="4" s="1"/>
  <c r="H38" i="4"/>
  <c r="N33" i="2"/>
  <c r="O54" i="3"/>
  <c r="N39" i="3"/>
  <c r="H19" i="2"/>
  <c r="O19" i="2" s="1"/>
  <c r="M19" i="2"/>
  <c r="T19" i="2" s="1"/>
  <c r="H37" i="2"/>
  <c r="I40" i="2"/>
  <c r="H41" i="3"/>
  <c r="O41" i="3" s="1"/>
  <c r="I43" i="3"/>
  <c r="P43" i="3" s="1"/>
  <c r="M59" i="3"/>
  <c r="T59" i="3" s="1"/>
  <c r="I40" i="4"/>
  <c r="P40" i="4" s="1"/>
  <c r="H40" i="4"/>
  <c r="M40" i="4"/>
  <c r="T40" i="4" s="1"/>
  <c r="N60" i="4"/>
  <c r="N32" i="4"/>
  <c r="N45" i="4"/>
  <c r="I7" i="2"/>
  <c r="P7" i="2" s="1"/>
  <c r="M7" i="2"/>
  <c r="T7" i="2" s="1"/>
  <c r="H7" i="2"/>
  <c r="O7" i="2" s="1"/>
  <c r="M54" i="3"/>
  <c r="T54" i="3" s="1"/>
  <c r="I54" i="3"/>
  <c r="P54" i="3" s="1"/>
  <c r="N58" i="4"/>
  <c r="M35" i="2"/>
  <c r="T35" i="2" s="1"/>
  <c r="I16" i="4"/>
  <c r="P16" i="4" s="1"/>
  <c r="H16" i="4"/>
  <c r="M16" i="4"/>
  <c r="T16" i="4" s="1"/>
  <c r="I83" i="4"/>
  <c r="P83" i="4" s="1"/>
  <c r="N52" i="4"/>
  <c r="H16" i="2"/>
  <c r="M16" i="2"/>
  <c r="T16" i="2" s="1"/>
  <c r="H24" i="4"/>
  <c r="O24" i="4" s="1"/>
  <c r="I14" i="3"/>
  <c r="P14" i="3" s="1"/>
  <c r="H18" i="4"/>
  <c r="M18" i="4"/>
  <c r="T18" i="4" s="1"/>
  <c r="H20" i="2"/>
  <c r="M20" i="2"/>
  <c r="T20" i="2" s="1"/>
  <c r="O39" i="2"/>
  <c r="N39" i="2"/>
  <c r="I41" i="2"/>
  <c r="M20" i="3"/>
  <c r="T20" i="3" s="1"/>
  <c r="I20" i="3"/>
  <c r="N60" i="3"/>
  <c r="M60" i="3"/>
  <c r="T60" i="3" s="1"/>
  <c r="I41" i="4"/>
  <c r="P41" i="4" s="1"/>
  <c r="H41" i="4"/>
  <c r="M41" i="4"/>
  <c r="T41" i="4" s="1"/>
  <c r="O33" i="4"/>
  <c r="N33" i="4"/>
  <c r="N17" i="3"/>
  <c r="O17" i="3"/>
  <c r="O18" i="3"/>
  <c r="N53" i="4"/>
  <c r="M14" i="3"/>
  <c r="T14" i="3" s="1"/>
  <c r="M56" i="3"/>
  <c r="T56" i="3" s="1"/>
  <c r="P69" i="4"/>
  <c r="O2" i="2"/>
  <c r="N18" i="2"/>
  <c r="M2" i="2"/>
  <c r="M41" i="2"/>
  <c r="T41" i="2" s="1"/>
  <c r="N2" i="3"/>
  <c r="O2" i="3"/>
  <c r="T2" i="4"/>
  <c r="M42" i="4"/>
  <c r="T42" i="4" s="1"/>
  <c r="I42" i="4"/>
  <c r="P42" i="4" s="1"/>
  <c r="H42" i="4"/>
  <c r="N34" i="4"/>
  <c r="O34" i="4"/>
  <c r="I22" i="4"/>
  <c r="P22" i="4" s="1"/>
  <c r="I30" i="2"/>
  <c r="P30" i="2" s="1"/>
  <c r="M7" i="4"/>
  <c r="T7" i="4" s="1"/>
  <c r="I7" i="4"/>
  <c r="P7" i="4" s="1"/>
  <c r="H7" i="4"/>
  <c r="M27" i="4"/>
  <c r="T27" i="4" s="1"/>
  <c r="I27" i="4"/>
  <c r="P27" i="4" s="1"/>
  <c r="H27" i="4"/>
  <c r="M47" i="4"/>
  <c r="T47" i="4" s="1"/>
  <c r="I47" i="4"/>
  <c r="P47" i="4" s="1"/>
  <c r="H47" i="4"/>
  <c r="M67" i="4"/>
  <c r="T67" i="4" s="1"/>
  <c r="I67" i="4"/>
  <c r="P67" i="4" s="1"/>
  <c r="H67" i="4"/>
  <c r="N14" i="4"/>
  <c r="M74" i="4"/>
  <c r="T74" i="4" s="1"/>
  <c r="M75" i="4"/>
  <c r="T75" i="4" s="1"/>
  <c r="N52" i="3"/>
  <c r="N49" i="3"/>
  <c r="O49" i="3"/>
  <c r="H10" i="3"/>
  <c r="M10" i="3"/>
  <c r="T10" i="3" s="1"/>
  <c r="I10" i="3"/>
  <c r="P10" i="3" s="1"/>
  <c r="H30" i="3"/>
  <c r="I30" i="3"/>
  <c r="P30" i="3" s="1"/>
  <c r="M30" i="3"/>
  <c r="T30" i="3" s="1"/>
  <c r="H50" i="3"/>
  <c r="M50" i="3"/>
  <c r="T50" i="3" s="1"/>
  <c r="I50" i="3"/>
  <c r="P50" i="3" s="1"/>
  <c r="H4" i="2"/>
  <c r="H24" i="2"/>
  <c r="I4" i="2"/>
  <c r="P4" i="2" s="1"/>
  <c r="I24" i="2"/>
  <c r="P24" i="2" s="1"/>
  <c r="N25" i="3"/>
  <c r="M7" i="3"/>
  <c r="T7" i="3" s="1"/>
  <c r="M27" i="3"/>
  <c r="T27" i="3" s="1"/>
  <c r="M47" i="3"/>
  <c r="T47" i="3" s="1"/>
  <c r="H5" i="2"/>
  <c r="H25" i="2"/>
  <c r="I5" i="2"/>
  <c r="P5" i="2" s="1"/>
  <c r="I25" i="2"/>
  <c r="P25" i="2" s="1"/>
  <c r="I7" i="3"/>
  <c r="P7" i="3" s="1"/>
  <c r="I27" i="3"/>
  <c r="I47" i="3"/>
  <c r="P47" i="3" s="1"/>
  <c r="M8" i="3"/>
  <c r="T8" i="3" s="1"/>
  <c r="M28" i="3"/>
  <c r="T28" i="3" s="1"/>
  <c r="M48" i="3"/>
  <c r="T48" i="3" s="1"/>
  <c r="H6" i="2"/>
  <c r="H26" i="2"/>
  <c r="I6" i="2"/>
  <c r="P6" i="2" s="1"/>
  <c r="I26" i="2"/>
  <c r="P26" i="2" s="1"/>
  <c r="M9" i="3"/>
  <c r="T9" i="3" s="1"/>
  <c r="M29" i="3"/>
  <c r="T29" i="3" s="1"/>
  <c r="M49" i="3"/>
  <c r="T49" i="3" s="1"/>
  <c r="H8" i="4"/>
  <c r="H28" i="4"/>
  <c r="H48" i="4"/>
  <c r="O48" i="4" s="1"/>
  <c r="H68" i="4"/>
  <c r="O68" i="4" s="1"/>
  <c r="H8" i="2"/>
  <c r="H28" i="2"/>
  <c r="I8" i="2"/>
  <c r="P8" i="2" s="1"/>
  <c r="I28" i="2"/>
  <c r="P28" i="2" s="1"/>
  <c r="H27" i="2"/>
  <c r="O27" i="2" s="1"/>
  <c r="I27" i="2"/>
  <c r="N8" i="3"/>
  <c r="O25" i="3"/>
  <c r="H9" i="2"/>
  <c r="O9" i="2" s="1"/>
  <c r="H29" i="2"/>
  <c r="I9" i="2"/>
  <c r="I29" i="2"/>
  <c r="P29" i="2" s="1"/>
  <c r="P14" i="4"/>
  <c r="O60" i="4"/>
  <c r="N48" i="4"/>
  <c r="N46" i="3"/>
  <c r="N26" i="3"/>
  <c r="N23" i="3"/>
  <c r="P3" i="3"/>
  <c r="N41" i="3"/>
  <c r="N32" i="2"/>
  <c r="N21" i="2"/>
  <c r="P14" i="2"/>
  <c r="N10" i="2"/>
  <c r="N34" i="2"/>
  <c r="O17" i="2"/>
  <c r="W53" i="3"/>
  <c r="W39" i="3"/>
  <c r="Y55" i="3"/>
  <c r="W4" i="3"/>
  <c r="X11" i="3"/>
  <c r="Y14" i="3"/>
  <c r="Y26" i="3"/>
  <c r="W37" i="3"/>
  <c r="W7" i="3"/>
  <c r="W16" i="3"/>
  <c r="X26" i="3"/>
  <c r="X12" i="3"/>
  <c r="Y56" i="3"/>
  <c r="Y52" i="3"/>
  <c r="Y57" i="3"/>
  <c r="Y53" i="3"/>
  <c r="Y59" i="3"/>
  <c r="W34" i="3"/>
  <c r="W36" i="3"/>
  <c r="X14" i="3"/>
  <c r="X13" i="3"/>
  <c r="X24" i="3"/>
  <c r="Y37" i="3"/>
  <c r="Y38" i="3"/>
  <c r="W33" i="3"/>
  <c r="X3" i="3"/>
  <c r="X5" i="3"/>
  <c r="X4" i="3"/>
  <c r="X2" i="3"/>
  <c r="Y36" i="3"/>
  <c r="W40" i="3"/>
  <c r="W45" i="3"/>
  <c r="W41" i="3"/>
  <c r="W46" i="3"/>
  <c r="W51" i="3"/>
  <c r="W49" i="3"/>
  <c r="W47" i="3"/>
  <c r="W44" i="3"/>
  <c r="W42" i="3"/>
  <c r="W48" i="3"/>
  <c r="W9" i="3"/>
  <c r="W8" i="3"/>
  <c r="W10" i="3"/>
  <c r="W11" i="3"/>
  <c r="W6" i="3"/>
  <c r="X16" i="3"/>
  <c r="X37" i="3"/>
  <c r="W3" i="3"/>
  <c r="Y3" i="3"/>
  <c r="Y5" i="3"/>
  <c r="Y4" i="3"/>
  <c r="Y2" i="3"/>
  <c r="X38" i="3"/>
  <c r="W5" i="3"/>
  <c r="Y10" i="2"/>
  <c r="W10" i="2"/>
  <c r="W7" i="2"/>
  <c r="W26" i="2"/>
  <c r="W35" i="2"/>
  <c r="X3" i="2"/>
  <c r="Y8" i="2"/>
  <c r="Y2" i="2"/>
  <c r="X19" i="2"/>
  <c r="W2" i="2"/>
  <c r="X29" i="2"/>
  <c r="Y9" i="2"/>
  <c r="X38" i="2"/>
  <c r="Y24" i="2"/>
  <c r="X2" i="2"/>
  <c r="W5" i="2"/>
  <c r="X9" i="2"/>
  <c r="Y40" i="2"/>
  <c r="W18" i="2"/>
  <c r="X8" i="2"/>
  <c r="Y15" i="2"/>
  <c r="X30" i="2"/>
  <c r="X28" i="2"/>
  <c r="X23" i="2"/>
  <c r="Y33" i="2"/>
  <c r="Y36" i="2"/>
  <c r="Y35" i="2"/>
  <c r="W16" i="2"/>
  <c r="W17" i="2"/>
  <c r="X11" i="2"/>
  <c r="X15" i="2"/>
  <c r="X13" i="2"/>
  <c r="X14" i="2"/>
  <c r="X12" i="2"/>
  <c r="X16" i="2"/>
  <c r="X17" i="2"/>
  <c r="Y23" i="2"/>
  <c r="Y18" i="2"/>
  <c r="Y19" i="2"/>
  <c r="Y20" i="2"/>
  <c r="W60" i="4"/>
  <c r="Y14" i="4"/>
  <c r="W24" i="4"/>
  <c r="X80" i="4"/>
  <c r="Y76" i="4"/>
  <c r="X11" i="4"/>
  <c r="Y24" i="4"/>
  <c r="W3" i="4"/>
  <c r="Y65" i="4"/>
  <c r="W76" i="4"/>
  <c r="Y83" i="4"/>
  <c r="Y51" i="4"/>
  <c r="Y4" i="4"/>
  <c r="W11" i="4"/>
  <c r="X26" i="4"/>
  <c r="W16" i="4"/>
  <c r="W17" i="4"/>
  <c r="W20" i="4"/>
  <c r="W18" i="4"/>
  <c r="W19" i="4"/>
  <c r="W14" i="4"/>
  <c r="W21" i="4"/>
  <c r="W15" i="4"/>
  <c r="W65" i="4"/>
  <c r="W63" i="4"/>
  <c r="W66" i="4"/>
  <c r="W71" i="4"/>
  <c r="W75" i="4"/>
  <c r="X22" i="4"/>
  <c r="X24" i="4"/>
  <c r="X23" i="4"/>
  <c r="W81" i="4"/>
  <c r="W79" i="4"/>
  <c r="W82" i="4"/>
  <c r="W83" i="4"/>
  <c r="W80" i="4"/>
  <c r="X13" i="4"/>
  <c r="Y15" i="4"/>
  <c r="Y16" i="4"/>
  <c r="Y17" i="4"/>
  <c r="Y20" i="4"/>
  <c r="Y18" i="4"/>
  <c r="Y19" i="4"/>
  <c r="Y33" i="4"/>
  <c r="Y34" i="4"/>
  <c r="Y28" i="4"/>
  <c r="Y35" i="4"/>
  <c r="Y29" i="4"/>
  <c r="Y25" i="4"/>
  <c r="Y30" i="4"/>
  <c r="Y26" i="4"/>
  <c r="Y31" i="4"/>
  <c r="Y27" i="4"/>
  <c r="Y32" i="4"/>
  <c r="Y66" i="4"/>
  <c r="Y60" i="4"/>
  <c r="Y61" i="4"/>
  <c r="Y67" i="4"/>
  <c r="Y62" i="4"/>
  <c r="Y68" i="4"/>
  <c r="Y69" i="4"/>
  <c r="Y64" i="4"/>
  <c r="Y74" i="4"/>
  <c r="Y70" i="4"/>
  <c r="Y71" i="4"/>
  <c r="Y75" i="4"/>
  <c r="Y8" i="4"/>
  <c r="Y2" i="4"/>
  <c r="Y5" i="4"/>
  <c r="Y3" i="4"/>
  <c r="Y82" i="4"/>
  <c r="Y81" i="4"/>
  <c r="Y79" i="4"/>
  <c r="X8" i="4"/>
  <c r="Y37" i="4"/>
  <c r="Y38" i="4"/>
  <c r="Y48" i="4"/>
  <c r="Y56" i="4"/>
  <c r="Y49" i="4"/>
  <c r="Y39" i="4"/>
  <c r="Y43" i="4"/>
  <c r="Y57" i="4"/>
  <c r="Y44" i="4"/>
  <c r="Y58" i="4"/>
  <c r="Y50" i="4"/>
  <c r="Y45" i="4"/>
  <c r="Y59" i="4"/>
  <c r="X34" i="4"/>
  <c r="X28" i="4"/>
  <c r="X35" i="4"/>
  <c r="X29" i="4"/>
  <c r="X25" i="4"/>
  <c r="X30" i="4"/>
  <c r="Y22" i="4"/>
  <c r="W59" i="4"/>
  <c r="X4" i="4"/>
  <c r="W13" i="4"/>
  <c r="X79" i="4"/>
  <c r="W10" i="4"/>
  <c r="W9" i="4"/>
  <c r="W12" i="4"/>
  <c r="X81" i="4"/>
  <c r="A2" i="15" a="1"/>
  <c r="A2" i="15" s="1"/>
  <c r="N13" i="3" l="1"/>
  <c r="F23" i="1" a="1"/>
  <c r="F23" i="1" s="1"/>
  <c r="O35" i="4"/>
  <c r="N35" i="4"/>
  <c r="N6" i="3"/>
  <c r="O11" i="2"/>
  <c r="N11" i="2"/>
  <c r="N54" i="3"/>
  <c r="O73" i="4"/>
  <c r="N73" i="4"/>
  <c r="N55" i="4"/>
  <c r="N72" i="4"/>
  <c r="P72" i="4"/>
  <c r="O28" i="3"/>
  <c r="N28" i="3"/>
  <c r="N9" i="4"/>
  <c r="P11" i="4"/>
  <c r="N11" i="4"/>
  <c r="C18" i="1" a="1"/>
  <c r="C18" i="1" s="1"/>
  <c r="F17" i="1" a="1"/>
  <c r="F17" i="1" s="1"/>
  <c r="H17" i="1" s="1"/>
  <c r="N15" i="2"/>
  <c r="P38" i="3"/>
  <c r="N38" i="3"/>
  <c r="C32" i="1" a="1"/>
  <c r="C32" i="1" s="1"/>
  <c r="O74" i="4"/>
  <c r="N74" i="4"/>
  <c r="O76" i="4"/>
  <c r="N76" i="4"/>
  <c r="S21" i="1" a="1"/>
  <c r="S21" i="1" s="1"/>
  <c r="N17" i="2"/>
  <c r="N31" i="4"/>
  <c r="N45" i="3"/>
  <c r="O45" i="3"/>
  <c r="C20" i="1" a="1"/>
  <c r="C20" i="1" s="1"/>
  <c r="C24" i="1" a="1"/>
  <c r="C24" i="1" s="1"/>
  <c r="N36" i="3"/>
  <c r="N22" i="4"/>
  <c r="N15" i="3"/>
  <c r="G30" i="1" a="1"/>
  <c r="G30" i="1" s="1"/>
  <c r="N29" i="3"/>
  <c r="O13" i="4"/>
  <c r="N13" i="4"/>
  <c r="O48" i="3"/>
  <c r="N4" i="4"/>
  <c r="S35" i="1" a="1"/>
  <c r="S35" i="1" s="1"/>
  <c r="R16" i="1" a="1"/>
  <c r="R16" i="1" s="1"/>
  <c r="P10" i="4"/>
  <c r="N10" i="4"/>
  <c r="F19" i="1" a="1"/>
  <c r="F19" i="1" s="1"/>
  <c r="N12" i="4"/>
  <c r="N23" i="4"/>
  <c r="N20" i="4"/>
  <c r="N12" i="2"/>
  <c r="O12" i="2"/>
  <c r="P30" i="4"/>
  <c r="B10" i="1" a="1"/>
  <c r="B10" i="1" s="1"/>
  <c r="B32" i="1" a="1"/>
  <c r="B32" i="1" s="1"/>
  <c r="D32" i="1" s="1"/>
  <c r="F20" i="1" a="1"/>
  <c r="F20" i="1" s="1"/>
  <c r="N33" i="3"/>
  <c r="O33" i="3"/>
  <c r="O64" i="4"/>
  <c r="N64" i="4"/>
  <c r="N3" i="4"/>
  <c r="B11" i="1" a="1"/>
  <c r="B11" i="1" s="1"/>
  <c r="C6" i="1" a="1"/>
  <c r="C6" i="1" s="1"/>
  <c r="R33" i="1" a="1"/>
  <c r="R33" i="1" s="1"/>
  <c r="B18" i="1" a="1"/>
  <c r="B18" i="1" s="1"/>
  <c r="F18" i="1" a="1"/>
  <c r="F18" i="1" s="1"/>
  <c r="N47" i="4"/>
  <c r="O47" i="4"/>
  <c r="S24" i="1" a="1"/>
  <c r="S24" i="1" s="1"/>
  <c r="C36" i="1" a="1"/>
  <c r="C36" i="1" s="1"/>
  <c r="B33" i="1" a="1"/>
  <c r="B33" i="1" s="1"/>
  <c r="C19" i="1" a="1"/>
  <c r="C19" i="1" s="1"/>
  <c r="S29" i="1" a="1"/>
  <c r="S29" i="1" s="1"/>
  <c r="N16" i="4"/>
  <c r="O16" i="4"/>
  <c r="S16" i="1" a="1"/>
  <c r="S16" i="1" s="1"/>
  <c r="U16" i="1" s="1"/>
  <c r="C8" i="1" a="1"/>
  <c r="C8" i="1" s="1"/>
  <c r="G18" i="1" a="1"/>
  <c r="G18" i="1" s="1"/>
  <c r="P20" i="3"/>
  <c r="N20" i="3"/>
  <c r="P27" i="3"/>
  <c r="N27" i="3"/>
  <c r="G29" i="1" a="1"/>
  <c r="G29" i="1" s="1"/>
  <c r="F11" i="1" a="1"/>
  <c r="F11" i="1" s="1"/>
  <c r="R20" i="1" a="1"/>
  <c r="R20" i="1" s="1"/>
  <c r="N26" i="2"/>
  <c r="O26" i="2"/>
  <c r="C35" i="1" a="1"/>
  <c r="C35" i="1" s="1"/>
  <c r="N27" i="4"/>
  <c r="O27" i="4"/>
  <c r="C21" i="1" a="1"/>
  <c r="C21" i="1" s="1"/>
  <c r="F29" i="1" a="1"/>
  <c r="F29" i="1" s="1"/>
  <c r="N47" i="3"/>
  <c r="O31" i="3"/>
  <c r="N31" i="3"/>
  <c r="F16" i="1" a="1"/>
  <c r="F16" i="1" s="1"/>
  <c r="H16" i="1" s="1"/>
  <c r="C4" i="1" a="1"/>
  <c r="C4" i="1" s="1"/>
  <c r="O30" i="3"/>
  <c r="N30" i="3"/>
  <c r="G20" i="1" a="1"/>
  <c r="G20" i="1" s="1"/>
  <c r="B4" i="1" a="1"/>
  <c r="B4" i="1" s="1"/>
  <c r="S31" i="1" a="1"/>
  <c r="S31" i="1" s="1"/>
  <c r="S19" i="1" a="1"/>
  <c r="S19" i="1" s="1"/>
  <c r="G5" i="1" a="1"/>
  <c r="G5" i="1" s="1"/>
  <c r="G3" i="1" a="1"/>
  <c r="G3" i="1" s="1"/>
  <c r="N24" i="4"/>
  <c r="N8" i="2"/>
  <c r="O8" i="2"/>
  <c r="G32" i="1" a="1"/>
  <c r="G32" i="1" s="1"/>
  <c r="S32" i="1" a="1"/>
  <c r="S32" i="1" s="1"/>
  <c r="G9" i="1" a="1"/>
  <c r="G9" i="1" s="1"/>
  <c r="N36" i="4"/>
  <c r="B5" i="1" a="1"/>
  <c r="B5" i="1" s="1"/>
  <c r="N57" i="4"/>
  <c r="O57" i="4"/>
  <c r="N56" i="4"/>
  <c r="O56" i="4"/>
  <c r="N23" i="2"/>
  <c r="O23" i="2"/>
  <c r="O46" i="4"/>
  <c r="N46" i="4"/>
  <c r="B8" i="1" a="1"/>
  <c r="B8" i="1" s="1"/>
  <c r="C34" i="1" a="1"/>
  <c r="C34" i="1" s="1"/>
  <c r="O26" i="4"/>
  <c r="N26" i="4"/>
  <c r="F21" i="1" a="1"/>
  <c r="F21" i="1" s="1"/>
  <c r="N27" i="2"/>
  <c r="P27" i="2"/>
  <c r="N6" i="4"/>
  <c r="O6" i="4"/>
  <c r="F6" i="1" a="1"/>
  <c r="F6" i="1" s="1"/>
  <c r="R21" i="1" a="1"/>
  <c r="R21" i="1" s="1"/>
  <c r="T21" i="1" s="1"/>
  <c r="N28" i="2"/>
  <c r="O28" i="2"/>
  <c r="N10" i="3"/>
  <c r="O10" i="3"/>
  <c r="G8" i="1" a="1"/>
  <c r="G8" i="1" s="1"/>
  <c r="G21" i="1" a="1"/>
  <c r="G21" i="1" s="1"/>
  <c r="I21" i="1" s="1"/>
  <c r="N51" i="3"/>
  <c r="B9" i="1" a="1"/>
  <c r="B9" i="1" s="1"/>
  <c r="N7" i="2"/>
  <c r="N39" i="4"/>
  <c r="O25" i="2"/>
  <c r="N25" i="2"/>
  <c r="B31" i="1" a="1"/>
  <c r="B31" i="1" s="1"/>
  <c r="S33" i="1" a="1"/>
  <c r="S33" i="1" s="1"/>
  <c r="T2" i="2"/>
  <c r="S11" i="1" a="1"/>
  <c r="S11" i="1" s="1"/>
  <c r="R6" i="1" a="1"/>
  <c r="R6" i="1" s="1"/>
  <c r="R5" i="1" a="1"/>
  <c r="R5" i="1" s="1"/>
  <c r="S10" i="1" a="1"/>
  <c r="S10" i="1" s="1"/>
  <c r="R4" i="1" a="1"/>
  <c r="R4" i="1" s="1"/>
  <c r="S9" i="1" a="1"/>
  <c r="S9" i="1" s="1"/>
  <c r="R3" i="1" a="1"/>
  <c r="R3" i="1" s="1"/>
  <c r="S8" i="1" a="1"/>
  <c r="S8" i="1" s="1"/>
  <c r="R7" i="1" a="1"/>
  <c r="R7" i="1" s="1"/>
  <c r="S7" i="1" a="1"/>
  <c r="S7" i="1" s="1"/>
  <c r="S5" i="1" a="1"/>
  <c r="S5" i="1" s="1"/>
  <c r="S4" i="1" a="1"/>
  <c r="S4" i="1" s="1"/>
  <c r="S3" i="1" a="1"/>
  <c r="S3" i="1" s="1"/>
  <c r="R10" i="1" a="1"/>
  <c r="R10" i="1" s="1"/>
  <c r="R11" i="1" a="1"/>
  <c r="R11" i="1" s="1"/>
  <c r="R9" i="1" a="1"/>
  <c r="R9" i="1" s="1"/>
  <c r="R8" i="1" a="1"/>
  <c r="R8" i="1" s="1"/>
  <c r="S6" i="1" a="1"/>
  <c r="S6" i="1" s="1"/>
  <c r="G10" i="1" a="1"/>
  <c r="G10" i="1" s="1"/>
  <c r="G17" i="1" a="1"/>
  <c r="G17" i="1" s="1"/>
  <c r="C11" i="1" a="1"/>
  <c r="C11" i="1" s="1"/>
  <c r="P37" i="3"/>
  <c r="N37" i="3"/>
  <c r="N63" i="4"/>
  <c r="O63" i="4"/>
  <c r="O77" i="4"/>
  <c r="N77" i="4"/>
  <c r="B35" i="1" a="1"/>
  <c r="B35" i="1" s="1"/>
  <c r="N43" i="3"/>
  <c r="C5" i="1" a="1"/>
  <c r="C5" i="1" s="1"/>
  <c r="C37" i="1" a="1"/>
  <c r="C37" i="1" s="1"/>
  <c r="N50" i="3"/>
  <c r="O50" i="3"/>
  <c r="P40" i="2"/>
  <c r="N40" i="2"/>
  <c r="G36" i="1" a="1"/>
  <c r="G36" i="1" s="1"/>
  <c r="R37" i="1" a="1"/>
  <c r="R37" i="1" s="1"/>
  <c r="P44" i="4"/>
  <c r="N44" i="4"/>
  <c r="B36" i="1" a="1"/>
  <c r="B36" i="1" s="1"/>
  <c r="N7" i="4"/>
  <c r="O7" i="4"/>
  <c r="F10" i="1" a="1"/>
  <c r="F10" i="1" s="1"/>
  <c r="H10" i="1" s="1"/>
  <c r="F3" i="1" a="1"/>
  <c r="F3" i="1" s="1"/>
  <c r="F5" i="1" a="1"/>
  <c r="F5" i="1" s="1"/>
  <c r="C29" i="1" a="1"/>
  <c r="C29" i="1" s="1"/>
  <c r="N41" i="4"/>
  <c r="O41" i="4"/>
  <c r="C7" i="1" a="1"/>
  <c r="C7" i="1" s="1"/>
  <c r="O37" i="2"/>
  <c r="N37" i="2"/>
  <c r="C9" i="1" a="1"/>
  <c r="C9" i="1" s="1"/>
  <c r="E9" i="1" s="1"/>
  <c r="R32" i="1" a="1"/>
  <c r="R32" i="1" s="1"/>
  <c r="G22" i="1" a="1"/>
  <c r="G22" i="1" s="1"/>
  <c r="C3" i="1" a="1"/>
  <c r="C3" i="1" s="1"/>
  <c r="G19" i="1" a="1"/>
  <c r="G19" i="1" s="1"/>
  <c r="I19" i="1" s="1"/>
  <c r="O65" i="4"/>
  <c r="N65" i="4"/>
  <c r="N68" i="4"/>
  <c r="G16" i="1" a="1"/>
  <c r="G16" i="1" s="1"/>
  <c r="F32" i="1" a="1"/>
  <c r="F32" i="1" s="1"/>
  <c r="H32" i="1" s="1"/>
  <c r="C31" i="1" a="1"/>
  <c r="C31" i="1" s="1"/>
  <c r="O3" i="3"/>
  <c r="B20" i="1" a="1"/>
  <c r="B20" i="1" s="1"/>
  <c r="D20" i="1" s="1"/>
  <c r="B19" i="1" a="1"/>
  <c r="B19" i="1" s="1"/>
  <c r="D19" i="1" s="1"/>
  <c r="B17" i="1" a="1"/>
  <c r="B17" i="1" s="1"/>
  <c r="D17" i="1" s="1"/>
  <c r="G6" i="1" a="1"/>
  <c r="G6" i="1" s="1"/>
  <c r="F36" i="1" a="1"/>
  <c r="F36" i="1" s="1"/>
  <c r="N22" i="2"/>
  <c r="O22" i="2"/>
  <c r="S37" i="1" a="1"/>
  <c r="S37" i="1" s="1"/>
  <c r="F8" i="1" a="1"/>
  <c r="F8" i="1" s="1"/>
  <c r="B3" i="1" a="1"/>
  <c r="B3" i="1" s="1"/>
  <c r="C10" i="1" a="1"/>
  <c r="C10" i="1" s="1"/>
  <c r="E10" i="1" s="1"/>
  <c r="G7" i="1" a="1"/>
  <c r="G7" i="1" s="1"/>
  <c r="N37" i="4"/>
  <c r="O37" i="4"/>
  <c r="R36" i="1" a="1"/>
  <c r="R36" i="1" s="1"/>
  <c r="P32" i="3"/>
  <c r="N32" i="3"/>
  <c r="B7" i="1" a="1"/>
  <c r="B7" i="1" s="1"/>
  <c r="C30" i="1" a="1"/>
  <c r="C30" i="1" s="1"/>
  <c r="N53" i="3"/>
  <c r="S20" i="1" a="1"/>
  <c r="S20" i="1" s="1"/>
  <c r="N7" i="3"/>
  <c r="B23" i="1" a="1"/>
  <c r="B23" i="1" s="1"/>
  <c r="D23" i="1" s="1"/>
  <c r="B30" i="1" a="1"/>
  <c r="B30" i="1" s="1"/>
  <c r="F24" i="1" a="1"/>
  <c r="F24" i="1" s="1"/>
  <c r="F33" i="1" a="1"/>
  <c r="F33" i="1" s="1"/>
  <c r="N3" i="3"/>
  <c r="S36" i="1" a="1"/>
  <c r="S36" i="1" s="1"/>
  <c r="N55" i="3"/>
  <c r="O55" i="3"/>
  <c r="O5" i="4"/>
  <c r="N5" i="4"/>
  <c r="G33" i="1" a="1"/>
  <c r="G33" i="1" s="1"/>
  <c r="S17" i="1" a="1"/>
  <c r="S17" i="1" s="1"/>
  <c r="G35" i="1" a="1"/>
  <c r="G35" i="1" s="1"/>
  <c r="P35" i="3"/>
  <c r="N35" i="3"/>
  <c r="F9" i="1" a="1"/>
  <c r="F9" i="1" s="1"/>
  <c r="O35" i="2"/>
  <c r="N35" i="2"/>
  <c r="C23" i="1" a="1"/>
  <c r="C23" i="1" s="1"/>
  <c r="B16" i="1" a="1"/>
  <c r="B16" i="1" s="1"/>
  <c r="P41" i="2"/>
  <c r="N41" i="2"/>
  <c r="N5" i="2"/>
  <c r="O5" i="2"/>
  <c r="F30" i="1" a="1"/>
  <c r="F30" i="1" s="1"/>
  <c r="H30" i="1" s="1"/>
  <c r="R17" i="1" a="1"/>
  <c r="R17" i="1" s="1"/>
  <c r="T17" i="1" s="1"/>
  <c r="N67" i="4"/>
  <c r="O67" i="4"/>
  <c r="G23" i="1" a="1"/>
  <c r="G23" i="1" s="1"/>
  <c r="O36" i="2"/>
  <c r="N36" i="2"/>
  <c r="N43" i="4"/>
  <c r="P43" i="4"/>
  <c r="F34" i="1" a="1"/>
  <c r="F34" i="1" s="1"/>
  <c r="R19" i="1" a="1"/>
  <c r="R19" i="1" s="1"/>
  <c r="T3" i="3"/>
  <c r="R22" i="1" a="1"/>
  <c r="R22" i="1" s="1"/>
  <c r="R23" i="1" a="1"/>
  <c r="R23" i="1" s="1"/>
  <c r="S22" i="1" a="1"/>
  <c r="S22" i="1" s="1"/>
  <c r="B37" i="1" a="1"/>
  <c r="B37" i="1" s="1"/>
  <c r="O4" i="2"/>
  <c r="N4" i="2"/>
  <c r="R35" i="1" a="1"/>
  <c r="R35" i="1" s="1"/>
  <c r="T35" i="1" s="1"/>
  <c r="G34" i="1" a="1"/>
  <c r="G34" i="1" s="1"/>
  <c r="G37" i="1" a="1"/>
  <c r="G37" i="1" s="1"/>
  <c r="B34" i="1" a="1"/>
  <c r="B34" i="1" s="1"/>
  <c r="R18" i="1" a="1"/>
  <c r="R18" i="1" s="1"/>
  <c r="O20" i="2"/>
  <c r="N20" i="2"/>
  <c r="N38" i="4"/>
  <c r="O38" i="4"/>
  <c r="O66" i="4"/>
  <c r="N66" i="4"/>
  <c r="N19" i="2"/>
  <c r="F4" i="1" a="1"/>
  <c r="F4" i="1" s="1"/>
  <c r="B21" i="1" a="1"/>
  <c r="B21" i="1" s="1"/>
  <c r="D21" i="1" s="1"/>
  <c r="N18" i="4"/>
  <c r="O18" i="4"/>
  <c r="N8" i="4"/>
  <c r="O8" i="4"/>
  <c r="B22" i="1" a="1"/>
  <c r="B22" i="1" s="1"/>
  <c r="D22" i="1" s="1"/>
  <c r="N17" i="4"/>
  <c r="O17" i="4"/>
  <c r="C16" i="1" a="1"/>
  <c r="C16" i="1" s="1"/>
  <c r="E16" i="1" s="1"/>
  <c r="N14" i="3"/>
  <c r="O42" i="4"/>
  <c r="N42" i="4"/>
  <c r="B24" i="1" a="1"/>
  <c r="B24" i="1" s="1"/>
  <c r="B6" i="1" a="1"/>
  <c r="B6" i="1" s="1"/>
  <c r="D6" i="1" s="1"/>
  <c r="O16" i="2"/>
  <c r="N16" i="2"/>
  <c r="N40" i="4"/>
  <c r="O40" i="4"/>
  <c r="N38" i="2"/>
  <c r="O38" i="2"/>
  <c r="N30" i="2"/>
  <c r="F35" i="1" a="1"/>
  <c r="F35" i="1" s="1"/>
  <c r="H35" i="1" s="1"/>
  <c r="P34" i="3"/>
  <c r="N34" i="3"/>
  <c r="S23" i="1" a="1"/>
  <c r="S23" i="1" s="1"/>
  <c r="P25" i="4"/>
  <c r="N25" i="4"/>
  <c r="C33" i="1" a="1"/>
  <c r="C33" i="1" s="1"/>
  <c r="N3" i="2"/>
  <c r="N29" i="2"/>
  <c r="O29" i="2"/>
  <c r="B29" i="1" a="1"/>
  <c r="B29" i="1" s="1"/>
  <c r="O6" i="2"/>
  <c r="N6" i="2"/>
  <c r="F7" i="1" a="1"/>
  <c r="F7" i="1" s="1"/>
  <c r="H7" i="1" s="1"/>
  <c r="C22" i="1" a="1"/>
  <c r="C22" i="1" s="1"/>
  <c r="R34" i="1" a="1"/>
  <c r="R34" i="1" s="1"/>
  <c r="T3" i="4"/>
  <c r="R31" i="1" a="1"/>
  <c r="R31" i="1" s="1"/>
  <c r="R30" i="1" a="1"/>
  <c r="R30" i="1" s="1"/>
  <c r="R29" i="1" a="1"/>
  <c r="R29" i="1" s="1"/>
  <c r="S30" i="1" a="1"/>
  <c r="S30" i="1" s="1"/>
  <c r="U30" i="1" s="1"/>
  <c r="S34" i="1" a="1"/>
  <c r="S34" i="1" s="1"/>
  <c r="F22" i="1" a="1"/>
  <c r="F22" i="1" s="1"/>
  <c r="S18" i="1" a="1"/>
  <c r="S18" i="1" s="1"/>
  <c r="O28" i="4"/>
  <c r="N28" i="4"/>
  <c r="G11" i="1" a="1"/>
  <c r="G11" i="1" s="1"/>
  <c r="F31" i="1" a="1"/>
  <c r="F31" i="1" s="1"/>
  <c r="N83" i="4"/>
  <c r="G31" i="1" a="1"/>
  <c r="G31" i="1" s="1"/>
  <c r="O12" i="3"/>
  <c r="N12" i="3"/>
  <c r="N11" i="3"/>
  <c r="N9" i="2"/>
  <c r="P9" i="2"/>
  <c r="O24" i="2"/>
  <c r="N24" i="2"/>
  <c r="C17" i="1" a="1"/>
  <c r="C17" i="1" s="1"/>
  <c r="G4" i="1" a="1"/>
  <c r="G4" i="1" s="1"/>
  <c r="I4" i="1" s="1"/>
  <c r="G24" i="1" a="1"/>
  <c r="G24" i="1" s="1"/>
  <c r="F37" i="1" a="1"/>
  <c r="F37" i="1" s="1"/>
  <c r="R24" i="1" a="1"/>
  <c r="R24" i="1" s="1"/>
  <c r="T24" i="1" s="1"/>
  <c r="W2" i="3"/>
  <c r="Y25" i="3"/>
  <c r="W38" i="3"/>
  <c r="X10" i="3"/>
  <c r="Y54" i="3"/>
  <c r="Y27" i="3"/>
  <c r="X8" i="3"/>
  <c r="Y58" i="3"/>
  <c r="X6" i="3"/>
  <c r="X9" i="3"/>
  <c r="W58" i="3"/>
  <c r="Y24" i="3"/>
  <c r="Y23" i="3"/>
  <c r="X7" i="3"/>
  <c r="W57" i="3"/>
  <c r="Y60" i="3"/>
  <c r="W52" i="3"/>
  <c r="W43" i="3"/>
  <c r="Y13" i="3"/>
  <c r="X23" i="3"/>
  <c r="Y29" i="3"/>
  <c r="W50" i="3"/>
  <c r="Y12" i="3"/>
  <c r="X29" i="3"/>
  <c r="Y28" i="3"/>
  <c r="W15" i="3"/>
  <c r="X15" i="3"/>
  <c r="W20" i="3"/>
  <c r="X20" i="3"/>
  <c r="W19" i="3"/>
  <c r="X19" i="3"/>
  <c r="W18" i="3"/>
  <c r="X18" i="3"/>
  <c r="W54" i="3"/>
  <c r="W22" i="3"/>
  <c r="X22" i="3"/>
  <c r="W55" i="3"/>
  <c r="W21" i="3"/>
  <c r="X21" i="3"/>
  <c r="W17" i="3"/>
  <c r="X17" i="3"/>
  <c r="W59" i="3"/>
  <c r="X28" i="3"/>
  <c r="W60" i="3"/>
  <c r="X25" i="3"/>
  <c r="W56" i="3"/>
  <c r="X27" i="3"/>
  <c r="W32" i="3"/>
  <c r="X32" i="3"/>
  <c r="X34" i="3"/>
  <c r="X33" i="3"/>
  <c r="X30" i="3"/>
  <c r="X36" i="3"/>
  <c r="X35" i="3"/>
  <c r="X31" i="3"/>
  <c r="W29" i="3"/>
  <c r="W23" i="3"/>
  <c r="W24" i="3"/>
  <c r="W26" i="3"/>
  <c r="W27" i="3"/>
  <c r="W25" i="3"/>
  <c r="W28" i="3"/>
  <c r="Y8" i="3"/>
  <c r="Y10" i="3"/>
  <c r="Y11" i="3"/>
  <c r="Y9" i="3"/>
  <c r="Y6" i="3"/>
  <c r="Y7" i="3"/>
  <c r="X54" i="3"/>
  <c r="X58" i="3"/>
  <c r="X55" i="3"/>
  <c r="X60" i="3"/>
  <c r="X56" i="3"/>
  <c r="X52" i="3"/>
  <c r="X57" i="3"/>
  <c r="X53" i="3"/>
  <c r="X59" i="3"/>
  <c r="X45" i="3"/>
  <c r="X51" i="3"/>
  <c r="X41" i="3"/>
  <c r="X46" i="3"/>
  <c r="X40" i="3"/>
  <c r="X47" i="3"/>
  <c r="X49" i="3"/>
  <c r="X44" i="3"/>
  <c r="X50" i="3"/>
  <c r="X42" i="3"/>
  <c r="X48" i="3"/>
  <c r="X39" i="3"/>
  <c r="X43" i="3"/>
  <c r="W13" i="3"/>
  <c r="W14" i="3"/>
  <c r="W12" i="3"/>
  <c r="Y32" i="3"/>
  <c r="Y31" i="3"/>
  <c r="Y35" i="3"/>
  <c r="Y30" i="3"/>
  <c r="Y33" i="3"/>
  <c r="Y34" i="3"/>
  <c r="Y50" i="3"/>
  <c r="Y40" i="3"/>
  <c r="Y41" i="3"/>
  <c r="Y46" i="3"/>
  <c r="Y51" i="3"/>
  <c r="Y45" i="3"/>
  <c r="Y47" i="3"/>
  <c r="Y42" i="3"/>
  <c r="Y48" i="3"/>
  <c r="Y39" i="3"/>
  <c r="Y43" i="3"/>
  <c r="Y44" i="3"/>
  <c r="Y49" i="3"/>
  <c r="W35" i="3"/>
  <c r="W31" i="3"/>
  <c r="Y17" i="3"/>
  <c r="Y21" i="3"/>
  <c r="Y16" i="3"/>
  <c r="Y22" i="3"/>
  <c r="Y18" i="3"/>
  <c r="Y19" i="3"/>
  <c r="Y20" i="3"/>
  <c r="Y15" i="3"/>
  <c r="W30" i="3"/>
  <c r="W21" i="2"/>
  <c r="Y39" i="2"/>
  <c r="Y34" i="2"/>
  <c r="W41" i="2"/>
  <c r="Y13" i="2"/>
  <c r="W40" i="2"/>
  <c r="Y31" i="2"/>
  <c r="W39" i="2"/>
  <c r="W9" i="2"/>
  <c r="Y32" i="2"/>
  <c r="W25" i="2"/>
  <c r="Y38" i="2"/>
  <c r="X4" i="2"/>
  <c r="W36" i="2"/>
  <c r="X7" i="2"/>
  <c r="X6" i="2"/>
  <c r="W32" i="2"/>
  <c r="Y22" i="2"/>
  <c r="W4" i="2"/>
  <c r="X5" i="2"/>
  <c r="W34" i="2"/>
  <c r="W20" i="2"/>
  <c r="Y14" i="2"/>
  <c r="W33" i="2"/>
  <c r="W3" i="2"/>
  <c r="Y27" i="2"/>
  <c r="W38" i="2"/>
  <c r="W22" i="2"/>
  <c r="W27" i="2"/>
  <c r="Y12" i="2"/>
  <c r="Y16" i="2"/>
  <c r="Y17" i="2"/>
  <c r="W31" i="2"/>
  <c r="W6" i="2"/>
  <c r="Y26" i="2"/>
  <c r="W37" i="2"/>
  <c r="Y37" i="2"/>
  <c r="Y21" i="2"/>
  <c r="Y41" i="2"/>
  <c r="X10" i="2"/>
  <c r="Y25" i="2"/>
  <c r="W8" i="2"/>
  <c r="W12" i="2"/>
  <c r="X41" i="2"/>
  <c r="W19" i="2"/>
  <c r="X39" i="2"/>
  <c r="W24" i="2"/>
  <c r="W15" i="2"/>
  <c r="W11" i="2"/>
  <c r="X35" i="2"/>
  <c r="W23" i="2"/>
  <c r="Y11" i="2"/>
  <c r="X20" i="2"/>
  <c r="X21" i="2"/>
  <c r="X37" i="2"/>
  <c r="X26" i="2"/>
  <c r="X33" i="2"/>
  <c r="W14" i="2"/>
  <c r="X36" i="2"/>
  <c r="X25" i="2"/>
  <c r="X32" i="2"/>
  <c r="W13" i="2"/>
  <c r="X27" i="2"/>
  <c r="X24" i="2"/>
  <c r="X31" i="2"/>
  <c r="X40" i="2"/>
  <c r="X22" i="2"/>
  <c r="X18" i="2"/>
  <c r="X34" i="2"/>
  <c r="Y30" i="2"/>
  <c r="Y28" i="2"/>
  <c r="Y29" i="2"/>
  <c r="Y5" i="2"/>
  <c r="Y7" i="2"/>
  <c r="Y6" i="2"/>
  <c r="Y3" i="2"/>
  <c r="Y4" i="2"/>
  <c r="W28" i="2"/>
  <c r="W30" i="2"/>
  <c r="W29" i="2"/>
  <c r="W2" i="4"/>
  <c r="W23" i="4"/>
  <c r="W6" i="4"/>
  <c r="Y21" i="4"/>
  <c r="W64" i="4"/>
  <c r="W7" i="4"/>
  <c r="W4" i="4"/>
  <c r="W22" i="4"/>
  <c r="W69" i="4"/>
  <c r="W5" i="4"/>
  <c r="W8" i="4"/>
  <c r="X83" i="4"/>
  <c r="Y78" i="4"/>
  <c r="W68" i="4"/>
  <c r="X2" i="4"/>
  <c r="Y73" i="4"/>
  <c r="X10" i="4"/>
  <c r="W62" i="4"/>
  <c r="Y77" i="4"/>
  <c r="X9" i="4"/>
  <c r="W67" i="4"/>
  <c r="X82" i="4"/>
  <c r="Y23" i="4"/>
  <c r="Y72" i="4"/>
  <c r="X12" i="4"/>
  <c r="W61" i="4"/>
  <c r="X6" i="4"/>
  <c r="Y80" i="4"/>
  <c r="Y42" i="4"/>
  <c r="Y6" i="4"/>
  <c r="Y63" i="4"/>
  <c r="Y47" i="4"/>
  <c r="Y7" i="4"/>
  <c r="Y41" i="4"/>
  <c r="W70" i="4"/>
  <c r="Y36" i="4"/>
  <c r="W74" i="4"/>
  <c r="X33" i="4"/>
  <c r="W78" i="4"/>
  <c r="W73" i="4"/>
  <c r="Y54" i="4"/>
  <c r="Y53" i="4"/>
  <c r="Y55" i="4"/>
  <c r="X32" i="4"/>
  <c r="Y46" i="4"/>
  <c r="Y40" i="4"/>
  <c r="X27" i="4"/>
  <c r="Y52" i="4"/>
  <c r="X3" i="4"/>
  <c r="W53" i="4"/>
  <c r="W77" i="4"/>
  <c r="X31" i="4"/>
  <c r="X5" i="4"/>
  <c r="W52" i="4"/>
  <c r="W72" i="4"/>
  <c r="W45" i="4"/>
  <c r="W54" i="4"/>
  <c r="X36" i="4"/>
  <c r="X41" i="4"/>
  <c r="X47" i="4"/>
  <c r="X42" i="4"/>
  <c r="X37" i="4"/>
  <c r="X38" i="4"/>
  <c r="X48" i="4"/>
  <c r="X56" i="4"/>
  <c r="X49" i="4"/>
  <c r="X39" i="4"/>
  <c r="X43" i="4"/>
  <c r="X57" i="4"/>
  <c r="X44" i="4"/>
  <c r="X58" i="4"/>
  <c r="X50" i="4"/>
  <c r="X51" i="4"/>
  <c r="X45" i="4"/>
  <c r="X52" i="4"/>
  <c r="X46" i="4"/>
  <c r="X53" i="4"/>
  <c r="X54" i="4"/>
  <c r="X59" i="4"/>
  <c r="X40" i="4"/>
  <c r="X55" i="4"/>
  <c r="W46" i="4"/>
  <c r="W50" i="4"/>
  <c r="W58" i="4"/>
  <c r="W57" i="4"/>
  <c r="Y13" i="4"/>
  <c r="Y11" i="4"/>
  <c r="Y12" i="4"/>
  <c r="Y9" i="4"/>
  <c r="Y10" i="4"/>
  <c r="W43" i="4"/>
  <c r="W39" i="4"/>
  <c r="W29" i="4"/>
  <c r="W25" i="4"/>
  <c r="W30" i="4"/>
  <c r="W26" i="4"/>
  <c r="W31" i="4"/>
  <c r="W27" i="4"/>
  <c r="W32" i="4"/>
  <c r="W33" i="4"/>
  <c r="W34" i="4"/>
  <c r="W28" i="4"/>
  <c r="W35" i="4"/>
  <c r="W51" i="4"/>
  <c r="W49" i="4"/>
  <c r="X70" i="4"/>
  <c r="X71" i="4"/>
  <c r="X75" i="4"/>
  <c r="X76" i="4"/>
  <c r="X72" i="4"/>
  <c r="X77" i="4"/>
  <c r="X73" i="4"/>
  <c r="X78" i="4"/>
  <c r="X74" i="4"/>
  <c r="W56" i="4"/>
  <c r="W47" i="4"/>
  <c r="W48" i="4"/>
  <c r="X15" i="4"/>
  <c r="X16" i="4"/>
  <c r="X17" i="4"/>
  <c r="X20" i="4"/>
  <c r="X18" i="4"/>
  <c r="X19" i="4"/>
  <c r="X14" i="4"/>
  <c r="X21" i="4"/>
  <c r="W41" i="4"/>
  <c r="W38" i="4"/>
  <c r="W37" i="4"/>
  <c r="W44" i="4"/>
  <c r="X7" i="4"/>
  <c r="W55" i="4"/>
  <c r="W42" i="4"/>
  <c r="X65" i="4"/>
  <c r="X63" i="4"/>
  <c r="X66" i="4"/>
  <c r="X60" i="4"/>
  <c r="X61" i="4"/>
  <c r="X67" i="4"/>
  <c r="X62" i="4"/>
  <c r="X68" i="4"/>
  <c r="X69" i="4"/>
  <c r="X64" i="4"/>
  <c r="W36" i="4"/>
  <c r="W40" i="4"/>
  <c r="H19" i="1" l="1"/>
  <c r="T22" i="1"/>
  <c r="I17" i="1"/>
  <c r="T16" i="1"/>
  <c r="I23" i="1"/>
  <c r="D24" i="1"/>
  <c r="T37" i="1"/>
  <c r="H24" i="1"/>
  <c r="U7" i="1"/>
  <c r="U23" i="1"/>
  <c r="H18" i="1"/>
  <c r="T8" i="1"/>
  <c r="T20" i="1"/>
  <c r="D18" i="1"/>
  <c r="E34" i="1"/>
  <c r="U19" i="1"/>
  <c r="H11" i="1"/>
  <c r="T33" i="1"/>
  <c r="I36" i="1"/>
  <c r="I22" i="1"/>
  <c r="D8" i="1"/>
  <c r="I29" i="1"/>
  <c r="D29" i="1"/>
  <c r="T18" i="1"/>
  <c r="H8" i="1"/>
  <c r="D4" i="1"/>
  <c r="I31" i="1"/>
  <c r="U3" i="1"/>
  <c r="I20" i="1"/>
  <c r="D36" i="1"/>
  <c r="D31" i="1"/>
  <c r="T32" i="1"/>
  <c r="U36" i="1"/>
  <c r="I34" i="1"/>
  <c r="H33" i="1"/>
  <c r="E37" i="1"/>
  <c r="U31" i="1"/>
  <c r="E33" i="1"/>
  <c r="D30" i="1"/>
  <c r="I37" i="1"/>
  <c r="D35" i="1"/>
  <c r="U34" i="1"/>
  <c r="U29" i="1"/>
  <c r="T11" i="1"/>
  <c r="U5" i="1"/>
  <c r="D11" i="1"/>
  <c r="E3" i="1"/>
  <c r="T10" i="1"/>
  <c r="H9" i="1"/>
  <c r="U6" i="1"/>
  <c r="I3" i="1"/>
  <c r="I5" i="1"/>
  <c r="T9" i="1"/>
  <c r="U4" i="1"/>
  <c r="E7" i="1"/>
  <c r="I6" i="1"/>
  <c r="E5" i="1"/>
  <c r="E6" i="1"/>
  <c r="U37" i="1"/>
  <c r="I18" i="1"/>
  <c r="T7" i="1"/>
  <c r="E8" i="1"/>
  <c r="D34" i="1"/>
  <c r="U8" i="1"/>
  <c r="Z8" i="2" s="1"/>
  <c r="H22" i="1"/>
  <c r="U20" i="1"/>
  <c r="E29" i="1"/>
  <c r="T3" i="1"/>
  <c r="H20" i="1"/>
  <c r="I11" i="1"/>
  <c r="U22" i="1"/>
  <c r="E23" i="1"/>
  <c r="T23" i="1"/>
  <c r="H5" i="1"/>
  <c r="U9" i="1"/>
  <c r="D5" i="1"/>
  <c r="H36" i="1"/>
  <c r="E4" i="1"/>
  <c r="H3" i="1"/>
  <c r="D10" i="1"/>
  <c r="U2" i="2" s="1"/>
  <c r="H6" i="1"/>
  <c r="E21" i="1"/>
  <c r="E19" i="1"/>
  <c r="H23" i="1"/>
  <c r="D3" i="1"/>
  <c r="D9" i="1"/>
  <c r="I8" i="1"/>
  <c r="V8" i="2" s="1"/>
  <c r="D37" i="1"/>
  <c r="E30" i="1"/>
  <c r="H29" i="1"/>
  <c r="T30" i="1"/>
  <c r="H4" i="1"/>
  <c r="T19" i="1"/>
  <c r="I16" i="1"/>
  <c r="T5" i="1"/>
  <c r="U32" i="1"/>
  <c r="E18" i="1"/>
  <c r="U21" i="1"/>
  <c r="D16" i="1"/>
  <c r="T4" i="1"/>
  <c r="I24" i="1"/>
  <c r="I9" i="1"/>
  <c r="E17" i="1"/>
  <c r="T31" i="1"/>
  <c r="H34" i="1"/>
  <c r="T6" i="1"/>
  <c r="I32" i="1"/>
  <c r="D33" i="1"/>
  <c r="E24" i="1"/>
  <c r="H37" i="1"/>
  <c r="E31" i="1"/>
  <c r="T29" i="1"/>
  <c r="I35" i="1"/>
  <c r="T36" i="1"/>
  <c r="I30" i="1"/>
  <c r="E11" i="1"/>
  <c r="U11" i="1"/>
  <c r="E35" i="1"/>
  <c r="E36" i="1"/>
  <c r="E32" i="1"/>
  <c r="I7" i="1"/>
  <c r="H31" i="1"/>
  <c r="U10" i="1"/>
  <c r="T34" i="1"/>
  <c r="U17" i="1"/>
  <c r="U24" i="1"/>
  <c r="U35" i="1"/>
  <c r="U18" i="1"/>
  <c r="D7" i="1"/>
  <c r="E22" i="1"/>
  <c r="I33" i="1"/>
  <c r="I10" i="1"/>
  <c r="U33" i="1"/>
  <c r="H21" i="1"/>
  <c r="E20" i="1"/>
  <c r="U9" i="2"/>
  <c r="A9" i="11" a="1"/>
  <c r="A6" i="11" s="1"/>
  <c r="A9" i="12" a="1"/>
  <c r="A6" i="12" s="1"/>
  <c r="A9" i="9" a="1"/>
  <c r="A9" i="9" s="1"/>
  <c r="T9" i="9" s="1"/>
  <c r="V10" i="2"/>
  <c r="A6" i="9"/>
  <c r="Z9" i="2" l="1"/>
  <c r="U10" i="2"/>
  <c r="Z10" i="2"/>
  <c r="V29" i="3"/>
  <c r="V23" i="3"/>
  <c r="V24" i="3"/>
  <c r="V26" i="3"/>
  <c r="V27" i="3"/>
  <c r="V25" i="3"/>
  <c r="V28" i="3"/>
  <c r="U3" i="3"/>
  <c r="U5" i="3"/>
  <c r="U4" i="3"/>
  <c r="U2" i="3"/>
  <c r="Z3" i="3"/>
  <c r="Z5" i="3"/>
  <c r="Z4" i="3"/>
  <c r="Z2" i="3"/>
  <c r="U16" i="3"/>
  <c r="U17" i="3"/>
  <c r="U21" i="3"/>
  <c r="U22" i="3"/>
  <c r="U18" i="3"/>
  <c r="U19" i="3"/>
  <c r="U20" i="3"/>
  <c r="U15" i="3"/>
  <c r="Z16" i="3"/>
  <c r="Z22" i="3"/>
  <c r="Z18" i="3"/>
  <c r="Z19" i="3"/>
  <c r="Z20" i="3"/>
  <c r="Z15" i="3"/>
  <c r="Z21" i="3"/>
  <c r="Z17" i="3"/>
  <c r="V17" i="3"/>
  <c r="V21" i="3"/>
  <c r="V16" i="3"/>
  <c r="V22" i="3"/>
  <c r="V18" i="3"/>
  <c r="V19" i="3"/>
  <c r="V20" i="3"/>
  <c r="V15" i="3"/>
  <c r="Z12" i="3"/>
  <c r="Z14" i="3"/>
  <c r="Z13" i="3"/>
  <c r="Z58" i="3"/>
  <c r="Z54" i="3"/>
  <c r="Z55" i="3"/>
  <c r="Z60" i="3"/>
  <c r="Z56" i="3"/>
  <c r="Z52" i="3"/>
  <c r="Z57" i="3"/>
  <c r="Z59" i="3"/>
  <c r="Z53" i="3"/>
  <c r="V53" i="3"/>
  <c r="V58" i="3"/>
  <c r="V54" i="3"/>
  <c r="V55" i="3"/>
  <c r="V60" i="3"/>
  <c r="V56" i="3"/>
  <c r="V52" i="3"/>
  <c r="V59" i="3"/>
  <c r="V57" i="3"/>
  <c r="U53" i="3"/>
  <c r="U58" i="3"/>
  <c r="U59" i="3"/>
  <c r="U54" i="3"/>
  <c r="U55" i="3"/>
  <c r="U60" i="3"/>
  <c r="U56" i="3"/>
  <c r="U52" i="3"/>
  <c r="U57" i="3"/>
  <c r="U38" i="3"/>
  <c r="U37" i="3"/>
  <c r="Z29" i="3"/>
  <c r="Z23" i="3"/>
  <c r="Z24" i="3"/>
  <c r="Z26" i="3"/>
  <c r="Z27" i="3"/>
  <c r="Z25" i="3"/>
  <c r="Z28" i="3"/>
  <c r="V34" i="3"/>
  <c r="V36" i="3"/>
  <c r="V35" i="3"/>
  <c r="V31" i="3"/>
  <c r="V33" i="3"/>
  <c r="V32" i="3"/>
  <c r="V30" i="3"/>
  <c r="Z41" i="3"/>
  <c r="Z46" i="3"/>
  <c r="Z51" i="3"/>
  <c r="Z40" i="3"/>
  <c r="Z47" i="3"/>
  <c r="Z42" i="3"/>
  <c r="Z48" i="3"/>
  <c r="Z39" i="3"/>
  <c r="Z43" i="3"/>
  <c r="Z44" i="3"/>
  <c r="Z49" i="3"/>
  <c r="Z50" i="3"/>
  <c r="Z45" i="3"/>
  <c r="V13" i="3"/>
  <c r="V14" i="3"/>
  <c r="V12" i="3"/>
  <c r="U29" i="3"/>
  <c r="U23" i="3"/>
  <c r="U24" i="3"/>
  <c r="U26" i="3"/>
  <c r="U27" i="3"/>
  <c r="U25" i="3"/>
  <c r="U28" i="3"/>
  <c r="V3" i="3"/>
  <c r="V5" i="3"/>
  <c r="V4" i="3"/>
  <c r="V2" i="3"/>
  <c r="Z8" i="3"/>
  <c r="Z10" i="3"/>
  <c r="Z11" i="3"/>
  <c r="Z9" i="3"/>
  <c r="Z6" i="3"/>
  <c r="Z7" i="3"/>
  <c r="Z36" i="3"/>
  <c r="Z33" i="3"/>
  <c r="Z30" i="3"/>
  <c r="Z34" i="3"/>
  <c r="Z35" i="3"/>
  <c r="Z31" i="3"/>
  <c r="Z32" i="3"/>
  <c r="U32" i="3"/>
  <c r="U34" i="3"/>
  <c r="U36" i="3"/>
  <c r="U31" i="3"/>
  <c r="U33" i="3"/>
  <c r="U30" i="3"/>
  <c r="U35" i="3"/>
  <c r="V37" i="3"/>
  <c r="V38" i="3"/>
  <c r="Z37" i="3"/>
  <c r="Z38" i="3"/>
  <c r="U13" i="3"/>
  <c r="U14" i="3"/>
  <c r="U12" i="3"/>
  <c r="V50" i="3"/>
  <c r="V40" i="3"/>
  <c r="V43" i="3"/>
  <c r="V45" i="3"/>
  <c r="V41" i="3"/>
  <c r="V46" i="3"/>
  <c r="V51" i="3"/>
  <c r="V47" i="3"/>
  <c r="V44" i="3"/>
  <c r="V42" i="3"/>
  <c r="V48" i="3"/>
  <c r="V39" i="3"/>
  <c r="V49" i="3"/>
  <c r="V9" i="3"/>
  <c r="V7" i="3"/>
  <c r="V8" i="3"/>
  <c r="V10" i="3"/>
  <c r="V11" i="3"/>
  <c r="V6" i="3"/>
  <c r="U7" i="3"/>
  <c r="U9" i="3"/>
  <c r="U6" i="3"/>
  <c r="U8" i="3"/>
  <c r="U10" i="3"/>
  <c r="U11" i="3"/>
  <c r="U44" i="3"/>
  <c r="U49" i="3"/>
  <c r="U50" i="3"/>
  <c r="U40" i="3"/>
  <c r="U45" i="3"/>
  <c r="U41" i="3"/>
  <c r="U46" i="3"/>
  <c r="U51" i="3"/>
  <c r="U47" i="3"/>
  <c r="U39" i="3"/>
  <c r="U43" i="3"/>
  <c r="U42" i="3"/>
  <c r="U48" i="3"/>
  <c r="U5" i="2"/>
  <c r="U7" i="2"/>
  <c r="U6" i="2"/>
  <c r="U3" i="2"/>
  <c r="U4" i="2"/>
  <c r="U34" i="2"/>
  <c r="U38" i="2"/>
  <c r="U31" i="2"/>
  <c r="U32" i="2"/>
  <c r="U33" i="2"/>
  <c r="U37" i="2"/>
  <c r="U35" i="2"/>
  <c r="U36" i="2"/>
  <c r="U39" i="2"/>
  <c r="U40" i="2"/>
  <c r="U41" i="2"/>
  <c r="Z37" i="2"/>
  <c r="Z38" i="2"/>
  <c r="Z31" i="2"/>
  <c r="Z32" i="2"/>
  <c r="Z39" i="2"/>
  <c r="Z33" i="2"/>
  <c r="Z36" i="2"/>
  <c r="Z34" i="2"/>
  <c r="Z35" i="2"/>
  <c r="Z40" i="2"/>
  <c r="Z41" i="2"/>
  <c r="U23" i="2"/>
  <c r="U18" i="2"/>
  <c r="U24" i="2"/>
  <c r="U19" i="2"/>
  <c r="U25" i="2"/>
  <c r="U27" i="2"/>
  <c r="U26" i="2"/>
  <c r="U20" i="2"/>
  <c r="U21" i="2"/>
  <c r="U22" i="2"/>
  <c r="U8" i="2"/>
  <c r="Z30" i="2"/>
  <c r="Z28" i="2"/>
  <c r="Z29" i="2"/>
  <c r="V9" i="2"/>
  <c r="V38" i="2"/>
  <c r="V37" i="2"/>
  <c r="V31" i="2"/>
  <c r="V32" i="2"/>
  <c r="V33" i="2"/>
  <c r="V34" i="2"/>
  <c r="V35" i="2"/>
  <c r="V36" i="2"/>
  <c r="V39" i="2"/>
  <c r="V40" i="2"/>
  <c r="V41" i="2"/>
  <c r="V5" i="2"/>
  <c r="V6" i="2"/>
  <c r="V3" i="2"/>
  <c r="V4" i="2"/>
  <c r="V7" i="2"/>
  <c r="Z11" i="2"/>
  <c r="Z15" i="2"/>
  <c r="Z13" i="2"/>
  <c r="Z14" i="2"/>
  <c r="Z12" i="2"/>
  <c r="Z16" i="2"/>
  <c r="Z17" i="2"/>
  <c r="V30" i="2"/>
  <c r="V28" i="2"/>
  <c r="V29" i="2"/>
  <c r="V11" i="2"/>
  <c r="V15" i="2"/>
  <c r="V13" i="2"/>
  <c r="V14" i="2"/>
  <c r="V12" i="2"/>
  <c r="V16" i="2"/>
  <c r="V17" i="2"/>
  <c r="V2" i="2"/>
  <c r="U28" i="2"/>
  <c r="U30" i="2"/>
  <c r="U29" i="2"/>
  <c r="Z23" i="2"/>
  <c r="Z19" i="2"/>
  <c r="Z18" i="2"/>
  <c r="Z24" i="2"/>
  <c r="Z25" i="2"/>
  <c r="Z26" i="2"/>
  <c r="Z27" i="2"/>
  <c r="Z20" i="2"/>
  <c r="Z22" i="2"/>
  <c r="Z21" i="2"/>
  <c r="V23" i="2"/>
  <c r="V18" i="2"/>
  <c r="V24" i="2"/>
  <c r="V19" i="2"/>
  <c r="V25" i="2"/>
  <c r="V26" i="2"/>
  <c r="V20" i="2"/>
  <c r="V22" i="2"/>
  <c r="V27" i="2"/>
  <c r="V21" i="2"/>
  <c r="U11" i="2"/>
  <c r="U13" i="2"/>
  <c r="U14" i="2"/>
  <c r="U15" i="2"/>
  <c r="U12" i="2"/>
  <c r="U16" i="2"/>
  <c r="U17" i="2"/>
  <c r="Z2" i="2"/>
  <c r="Z5" i="2"/>
  <c r="Z6" i="2"/>
  <c r="Z3" i="2"/>
  <c r="Z4" i="2"/>
  <c r="Z7" i="2"/>
  <c r="U61" i="4"/>
  <c r="U67" i="4"/>
  <c r="U62" i="4"/>
  <c r="U68" i="4"/>
  <c r="U69" i="4"/>
  <c r="U64" i="4"/>
  <c r="U65" i="4"/>
  <c r="U63" i="4"/>
  <c r="U66" i="4"/>
  <c r="U60" i="4"/>
  <c r="Z31" i="4"/>
  <c r="Z27" i="4"/>
  <c r="Z32" i="4"/>
  <c r="Z33" i="4"/>
  <c r="Z34" i="4"/>
  <c r="Z28" i="4"/>
  <c r="Z35" i="4"/>
  <c r="Z29" i="4"/>
  <c r="Z25" i="4"/>
  <c r="Z30" i="4"/>
  <c r="Z26" i="4"/>
  <c r="V79" i="4"/>
  <c r="V82" i="4"/>
  <c r="V83" i="4"/>
  <c r="V80" i="4"/>
  <c r="V81" i="4"/>
  <c r="U11" i="4"/>
  <c r="U12" i="4"/>
  <c r="U9" i="4"/>
  <c r="U10" i="4"/>
  <c r="U13" i="4"/>
  <c r="V63" i="4"/>
  <c r="V66" i="4"/>
  <c r="V60" i="4"/>
  <c r="V61" i="4"/>
  <c r="V67" i="4"/>
  <c r="V62" i="4"/>
  <c r="V68" i="4"/>
  <c r="V69" i="4"/>
  <c r="V64" i="4"/>
  <c r="V65" i="4"/>
  <c r="U79" i="4"/>
  <c r="U82" i="4"/>
  <c r="U83" i="4"/>
  <c r="U80" i="4"/>
  <c r="U81" i="4"/>
  <c r="Z22" i="4"/>
  <c r="Z24" i="4"/>
  <c r="Z23" i="4"/>
  <c r="V11" i="4"/>
  <c r="V12" i="4"/>
  <c r="V9" i="4"/>
  <c r="V10" i="4"/>
  <c r="V13" i="4"/>
  <c r="Z13" i="4"/>
  <c r="Z11" i="4"/>
  <c r="Z12" i="4"/>
  <c r="Z9" i="4"/>
  <c r="Z10" i="4"/>
  <c r="V4" i="4"/>
  <c r="V7" i="4"/>
  <c r="V6" i="4"/>
  <c r="V8" i="4"/>
  <c r="V2" i="4"/>
  <c r="V5" i="4"/>
  <c r="V3" i="4"/>
  <c r="U29" i="4"/>
  <c r="U25" i="4"/>
  <c r="U30" i="4"/>
  <c r="U26" i="4"/>
  <c r="U31" i="4"/>
  <c r="U27" i="4"/>
  <c r="U32" i="4"/>
  <c r="U33" i="4"/>
  <c r="U34" i="4"/>
  <c r="U28" i="4"/>
  <c r="U35" i="4"/>
  <c r="U75" i="4"/>
  <c r="U76" i="4"/>
  <c r="U72" i="4"/>
  <c r="U77" i="4"/>
  <c r="U73" i="4"/>
  <c r="U78" i="4"/>
  <c r="U74" i="4"/>
  <c r="U70" i="4"/>
  <c r="U71" i="4"/>
  <c r="U6" i="4"/>
  <c r="U8" i="4"/>
  <c r="U2" i="4"/>
  <c r="U5" i="4"/>
  <c r="U3" i="4"/>
  <c r="U4" i="4"/>
  <c r="U7" i="4"/>
  <c r="Z14" i="4"/>
  <c r="Z21" i="4"/>
  <c r="Z15" i="4"/>
  <c r="Z16" i="4"/>
  <c r="Z17" i="4"/>
  <c r="Z20" i="4"/>
  <c r="Z18" i="4"/>
  <c r="Z19" i="4"/>
  <c r="U19" i="4"/>
  <c r="U14" i="4"/>
  <c r="U21" i="4"/>
  <c r="U15" i="4"/>
  <c r="U16" i="4"/>
  <c r="U17" i="4"/>
  <c r="U20" i="4"/>
  <c r="U18" i="4"/>
  <c r="U23" i="4"/>
  <c r="U22" i="4"/>
  <c r="U24" i="4"/>
  <c r="Z78" i="4"/>
  <c r="Z74" i="4"/>
  <c r="Z70" i="4"/>
  <c r="Z71" i="4"/>
  <c r="Z75" i="4"/>
  <c r="Z76" i="4"/>
  <c r="Z72" i="4"/>
  <c r="Z77" i="4"/>
  <c r="Z73" i="4"/>
  <c r="Z40" i="4"/>
  <c r="Z55" i="4"/>
  <c r="Z36" i="4"/>
  <c r="Z41" i="4"/>
  <c r="Z47" i="4"/>
  <c r="Z42" i="4"/>
  <c r="Z37" i="4"/>
  <c r="Z38" i="4"/>
  <c r="Z48" i="4"/>
  <c r="Z56" i="4"/>
  <c r="Z49" i="4"/>
  <c r="Z39" i="4"/>
  <c r="Z43" i="4"/>
  <c r="Z57" i="4"/>
  <c r="Z44" i="4"/>
  <c r="Z58" i="4"/>
  <c r="Z50" i="4"/>
  <c r="Z51" i="4"/>
  <c r="Z45" i="4"/>
  <c r="Z52" i="4"/>
  <c r="Z46" i="4"/>
  <c r="Z53" i="4"/>
  <c r="Z54" i="4"/>
  <c r="Z59" i="4"/>
  <c r="Z82" i="4"/>
  <c r="Z83" i="4"/>
  <c r="Z80" i="4"/>
  <c r="Z81" i="4"/>
  <c r="Z79" i="4"/>
  <c r="V37" i="4"/>
  <c r="V38" i="4"/>
  <c r="V48" i="4"/>
  <c r="V56" i="4"/>
  <c r="V49" i="4"/>
  <c r="V39" i="4"/>
  <c r="V43" i="4"/>
  <c r="V57" i="4"/>
  <c r="V44" i="4"/>
  <c r="V58" i="4"/>
  <c r="V50" i="4"/>
  <c r="V51" i="4"/>
  <c r="V45" i="4"/>
  <c r="V52" i="4"/>
  <c r="V46" i="4"/>
  <c r="V53" i="4"/>
  <c r="V54" i="4"/>
  <c r="V59" i="4"/>
  <c r="V40" i="4"/>
  <c r="V55" i="4"/>
  <c r="V36" i="4"/>
  <c r="V41" i="4"/>
  <c r="V47" i="4"/>
  <c r="V42" i="4"/>
  <c r="V29" i="4"/>
  <c r="V25" i="4"/>
  <c r="V30" i="4"/>
  <c r="V26" i="4"/>
  <c r="V31" i="4"/>
  <c r="V27" i="4"/>
  <c r="V32" i="4"/>
  <c r="V33" i="4"/>
  <c r="V34" i="4"/>
  <c r="V28" i="4"/>
  <c r="V35" i="4"/>
  <c r="V18" i="4"/>
  <c r="V19" i="4"/>
  <c r="V14" i="4"/>
  <c r="V21" i="4"/>
  <c r="V15" i="4"/>
  <c r="V16" i="4"/>
  <c r="V17" i="4"/>
  <c r="V20" i="4"/>
  <c r="U38" i="4"/>
  <c r="U48" i="4"/>
  <c r="U56" i="4"/>
  <c r="U49" i="4"/>
  <c r="U39" i="4"/>
  <c r="U43" i="4"/>
  <c r="U57" i="4"/>
  <c r="U44" i="4"/>
  <c r="U58" i="4"/>
  <c r="U50" i="4"/>
  <c r="U51" i="4"/>
  <c r="U45" i="4"/>
  <c r="U52" i="4"/>
  <c r="U46" i="4"/>
  <c r="U53" i="4"/>
  <c r="U54" i="4"/>
  <c r="U59" i="4"/>
  <c r="U40" i="4"/>
  <c r="U55" i="4"/>
  <c r="U36" i="4"/>
  <c r="U41" i="4"/>
  <c r="U47" i="4"/>
  <c r="U42" i="4"/>
  <c r="U37" i="4"/>
  <c r="Z2" i="4"/>
  <c r="Z5" i="4"/>
  <c r="Z3" i="4"/>
  <c r="Z4" i="4"/>
  <c r="Z7" i="4"/>
  <c r="Z6" i="4"/>
  <c r="Z8" i="4"/>
  <c r="V75" i="4"/>
  <c r="V76" i="4"/>
  <c r="V72" i="4"/>
  <c r="V77" i="4"/>
  <c r="V73" i="4"/>
  <c r="V78" i="4"/>
  <c r="V74" i="4"/>
  <c r="V70" i="4"/>
  <c r="V71" i="4"/>
  <c r="V24" i="4"/>
  <c r="V23" i="4"/>
  <c r="V22" i="4"/>
  <c r="Z64" i="4"/>
  <c r="Z65" i="4"/>
  <c r="Z63" i="4"/>
  <c r="Z66" i="4"/>
  <c r="Z60" i="4"/>
  <c r="Z61" i="4"/>
  <c r="Z67" i="4"/>
  <c r="Z62" i="4"/>
  <c r="Z68" i="4"/>
  <c r="Z69" i="4"/>
  <c r="A9" i="11"/>
  <c r="T9" i="11" s="1"/>
  <c r="T2" i="11" s="1"/>
  <c r="A9" i="12"/>
  <c r="T9" i="12" s="1"/>
  <c r="T2" i="12" s="1"/>
  <c r="T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<sst xmlns="http://schemas.openxmlformats.org/spreadsheetml/2006/main" count="957" uniqueCount="296">
  <si>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</si>
  <si>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</si>
  <si>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</si>
  <si>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</si>
  <si>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</si>
  <si>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</si>
  <si>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</si>
  <si>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</si>
  <si>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</si>
  <si>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</si>
  <si>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</si>
  <si>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</si>
  <si>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</si>
  <si>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</si>
  <si>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</si>
  <si>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</si>
  <si>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</si>
  <si>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</si>
  <si>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</si>
  <si>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</si>
  <si>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</si>
  <si>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</si>
  <si>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</si>
  <si>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</si>
  <si>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</si>
  <si>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</si>
  <si>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</si>
  <si>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</si>
  <si>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</si>
  <si>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</si>
  <si>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</si>
  <si>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</si>
  <si>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</si>
  <si>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</si>
  <si>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</si>
  <si>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</si>
  <si>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</si>
  <si>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</si>
  <si>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</si>
  <si>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</si>
  <si>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</si>
  <si>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</si>
  <si>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</si>
  <si>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</si>
  <si>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</si>
  <si>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</si>
  <si>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</si>
  <si>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</si>
  <si>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</si>
  <si>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</si>
  <si>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</si>
  <si>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</si>
  <si>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</si>
  <si>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</si>
  <si>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</si>
  <si>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</si>
  <si>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</si>
  <si>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</si>
  <si>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</si>
  <si>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</si>
  <si>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</si>
  <si>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</si>
  <si>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</si>
  <si>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</si>
  <si>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</si>
  <si>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</si>
  <si>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</si>
  <si>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</si>
  <si>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</si>
  <si>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</si>
  <si>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</si>
  <si>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</si>
  <si>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</si>
  <si>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</si>
  <si>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</si>
  <si>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</si>
  <si>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</si>
  <si>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</si>
  <si>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</si>
  <si>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</si>
  <si>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</si>
  <si>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</si>
  <si>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</si>
  <si>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</si>
  <si>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</si>
  <si>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</si>
  <si>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</si>
  <si>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</si>
  <si>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</si>
  <si>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</si>
  <si>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</si>
  <si>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</si>
  <si>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</si>
  <si>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</si>
  <si>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</si>
  <si>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</si>
  <si>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</si>
  <si>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</si>
  <si>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</si>
  <si>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</si>
  <si>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</si>
  <si>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</si>
  <si>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</si>
  <si>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</si>
  <si>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</si>
  <si>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Diversified REITs</t>
  </si>
  <si>
    <t>WPC</t>
  </si>
  <si>
    <t>Industrial REITs</t>
  </si>
  <si>
    <t>LINE</t>
  </si>
  <si>
    <t>PLD</t>
  </si>
  <si>
    <t>Hotel &amp; Resort REITs</t>
  </si>
  <si>
    <t>HST</t>
  </si>
  <si>
    <t>Office REITs</t>
  </si>
  <si>
    <t>BXP</t>
  </si>
  <si>
    <t>Health Care REITs</t>
  </si>
  <si>
    <t>ARE</t>
  </si>
  <si>
    <t>DOC</t>
  </si>
  <si>
    <t>OHI</t>
  </si>
  <si>
    <t>VTR</t>
  </si>
  <si>
    <t>WELL</t>
  </si>
  <si>
    <t>Residential REITs</t>
  </si>
  <si>
    <t>AVB</t>
  </si>
  <si>
    <t>CPT</t>
  </si>
  <si>
    <t>EQR</t>
  </si>
  <si>
    <t>ESS</t>
  </si>
  <si>
    <t>MAA</t>
  </si>
  <si>
    <t>UDR</t>
  </si>
  <si>
    <t>AMH</t>
  </si>
  <si>
    <t>ELS</t>
  </si>
  <si>
    <t>INVH</t>
  </si>
  <si>
    <t>SUI</t>
  </si>
  <si>
    <t>Retail REITs</t>
  </si>
  <si>
    <t>KIM</t>
  </si>
  <si>
    <t>O</t>
  </si>
  <si>
    <t>SPG</t>
  </si>
  <si>
    <t>Specialized REITs</t>
  </si>
  <si>
    <t>GLPI</t>
  </si>
  <si>
    <t>IRM</t>
  </si>
  <si>
    <t>LAMR</t>
  </si>
  <si>
    <t>EXR</t>
  </si>
  <si>
    <t>PSA</t>
  </si>
  <si>
    <t>AMT</t>
  </si>
  <si>
    <t>CCI</t>
  </si>
  <si>
    <t>SBAC</t>
  </si>
  <si>
    <t>WY</t>
  </si>
  <si>
    <t>DLR</t>
  </si>
  <si>
    <t>EQIX</t>
  </si>
  <si>
    <t>Real Estate Management &amp; Development</t>
  </si>
  <si>
    <t>BEKE</t>
  </si>
  <si>
    <t>CBRE</t>
  </si>
  <si>
    <t>CSGP</t>
  </si>
  <si>
    <t>JLL</t>
  </si>
  <si>
    <t>Z</t>
  </si>
  <si>
    <t>ZG</t>
  </si>
  <si>
    <t>BNL</t>
  </si>
  <si>
    <t>EPRT</t>
  </si>
  <si>
    <t>COLD</t>
  </si>
  <si>
    <t>EGP</t>
  </si>
  <si>
    <t>FR</t>
  </si>
  <si>
    <t>LXP</t>
  </si>
  <si>
    <t>REXR</t>
  </si>
  <si>
    <t>STAG</t>
  </si>
  <si>
    <t>TRNO</t>
  </si>
  <si>
    <t>APLE</t>
  </si>
  <si>
    <t>RHP</t>
  </si>
  <si>
    <t>CDP</t>
  </si>
  <si>
    <t>CUZ</t>
  </si>
  <si>
    <t>DEI</t>
  </si>
  <si>
    <t>HIW</t>
  </si>
  <si>
    <t>KRC</t>
  </si>
  <si>
    <t>SLG</t>
  </si>
  <si>
    <t>VNO</t>
  </si>
  <si>
    <t>AHR</t>
  </si>
  <si>
    <t>CTRE</t>
  </si>
  <si>
    <t>HR</t>
  </si>
  <si>
    <t>MPW</t>
  </si>
  <si>
    <t>NHI</t>
  </si>
  <si>
    <t>SBRA</t>
  </si>
  <si>
    <t>IRT</t>
  </si>
  <si>
    <t>ADC</t>
  </si>
  <si>
    <t>AKR</t>
  </si>
  <si>
    <t>BRX</t>
  </si>
  <si>
    <t>CURB</t>
  </si>
  <si>
    <t>FRT</t>
  </si>
  <si>
    <t>KRG</t>
  </si>
  <si>
    <t>MAC</t>
  </si>
  <si>
    <t>NNN</t>
  </si>
  <si>
    <t>PECO</t>
  </si>
  <si>
    <t>SKT</t>
  </si>
  <si>
    <t>UE</t>
  </si>
  <si>
    <t>EPR</t>
  </si>
  <si>
    <t>FCPT</t>
  </si>
  <si>
    <t>MRP</t>
  </si>
  <si>
    <t>OUT</t>
  </si>
  <si>
    <t>CUBE</t>
  </si>
  <si>
    <t>NSA</t>
  </si>
  <si>
    <t>PCH</t>
  </si>
  <si>
    <t>RYN</t>
  </si>
  <si>
    <t>JOE</t>
  </si>
  <si>
    <t>VTMX</t>
  </si>
  <si>
    <t>HHH</t>
  </si>
  <si>
    <t>CIGI</t>
  </si>
  <si>
    <t>COMP</t>
  </si>
  <si>
    <t>CWK</t>
  </si>
  <si>
    <t>FSV</t>
  </si>
  <si>
    <t>NMRK</t>
  </si>
  <si>
    <t>AAT</t>
  </si>
  <si>
    <t>AHH</t>
  </si>
  <si>
    <t>ALEX</t>
  </si>
  <si>
    <t>CTO</t>
  </si>
  <si>
    <t>ESBA</t>
  </si>
  <si>
    <t>GNL</t>
  </si>
  <si>
    <t>GOOD</t>
  </si>
  <si>
    <t>OLP</t>
  </si>
  <si>
    <t>IIPR</t>
  </si>
  <si>
    <t>PLYM</t>
  </si>
  <si>
    <t>CLDT</t>
  </si>
  <si>
    <t>DRH</t>
  </si>
  <si>
    <t>INN</t>
  </si>
  <si>
    <t>PEB</t>
  </si>
  <si>
    <t>PK</t>
  </si>
  <si>
    <t>RLJ</t>
  </si>
  <si>
    <t>SHO</t>
  </si>
  <si>
    <t>SVC</t>
  </si>
  <si>
    <t>XHR</t>
  </si>
  <si>
    <t>BDN</t>
  </si>
  <si>
    <t>DEA</t>
  </si>
  <si>
    <t>ESRT</t>
  </si>
  <si>
    <t>HPP</t>
  </si>
  <si>
    <t>JBGS</t>
  </si>
  <si>
    <t>NLOP</t>
  </si>
  <si>
    <t>PDM</t>
  </si>
  <si>
    <t>PGRE</t>
  </si>
  <si>
    <t>PKST</t>
  </si>
  <si>
    <t>PSTL</t>
  </si>
  <si>
    <t>CHCT</t>
  </si>
  <si>
    <t>GMRE</t>
  </si>
  <si>
    <t>LTC</t>
  </si>
  <si>
    <t>SILA</t>
  </si>
  <si>
    <t>UHT</t>
  </si>
  <si>
    <t>AIV</t>
  </si>
  <si>
    <t>BRT</t>
  </si>
  <si>
    <t>CSR</t>
  </si>
  <si>
    <t>ELME</t>
  </si>
  <si>
    <t>NXRT</t>
  </si>
  <si>
    <t>VRE</t>
  </si>
  <si>
    <t>UMH</t>
  </si>
  <si>
    <t>ALX</t>
  </si>
  <si>
    <t>BFS</t>
  </si>
  <si>
    <t>CBL</t>
  </si>
  <si>
    <t>GTY</t>
  </si>
  <si>
    <t>NTST</t>
  </si>
  <si>
    <t>SITC</t>
  </si>
  <si>
    <t>WSR</t>
  </si>
  <si>
    <t>FPI</t>
  </si>
  <si>
    <t>LAND</t>
  </si>
  <si>
    <t>SAFE</t>
  </si>
  <si>
    <t>UNIT</t>
  </si>
  <si>
    <t>SMA</t>
  </si>
  <si>
    <t>FPH</t>
  </si>
  <si>
    <t>TRC</t>
  </si>
  <si>
    <t>FRPH</t>
  </si>
  <si>
    <t>IRS</t>
  </si>
  <si>
    <t>KW</t>
  </si>
  <si>
    <t>LB</t>
  </si>
  <si>
    <t>MLP</t>
  </si>
  <si>
    <t>MRNO</t>
  </si>
  <si>
    <t>NEN</t>
  </si>
  <si>
    <t>TCI</t>
  </si>
  <si>
    <t>FOR</t>
  </si>
  <si>
    <t>HOUS</t>
  </si>
  <si>
    <t>MMI</t>
  </si>
  <si>
    <t>RDFN</t>
  </si>
  <si>
    <t>REAX</t>
  </si>
  <si>
    <t>None</t>
  </si>
  <si>
    <t>MEQYF</t>
  </si>
  <si>
    <t>MHCUF</t>
  </si>
  <si>
    <t>KMMPF</t>
  </si>
  <si>
    <t>DRUNF</t>
  </si>
  <si>
    <t>MNARF</t>
  </si>
  <si>
    <t>RMR</t>
  </si>
  <si>
    <t>APPTF</t>
  </si>
  <si>
    <t>EFRTF</t>
  </si>
  <si>
    <t>SRRTF</t>
  </si>
  <si>
    <t>MODVF</t>
  </si>
  <si>
    <t>LPA</t>
  </si>
  <si>
    <t>PMREF</t>
  </si>
  <si>
    <t>ASGTF</t>
  </si>
  <si>
    <t>RLLMF</t>
  </si>
  <si>
    <t>SVAUF</t>
  </si>
  <si>
    <t>APYRF</t>
  </si>
  <si>
    <t>MTSFY</t>
  </si>
  <si>
    <t>PPRQF</t>
  </si>
  <si>
    <t>RIOCF</t>
  </si>
  <si>
    <t>CDPYF</t>
  </si>
  <si>
    <t>HRUFF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</si>
</sst>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0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9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9" fillId="0" borderId="5" xfId="0" applyNumberFormat="1" applyFont="1" applyBorder="1" applyAlignment="1">
      <alignment horizontal="center" vertical="center" wrapText="1"/>
    </xf>
    <xf numFmtId="2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 wrapText="1"/>
    </xf>
    <xf numFmtId="2" fontId="9" fillId="0" borderId="26" xfId="0" applyNumberFormat="1" applyFont="1" applyBorder="1" applyAlignment="1">
      <alignment horizontal="center" vertical="center"/>
    </xf>
    <xf numFmtId="2" fontId="9" fillId="0" borderId="5" xfId="0" applyNumberFormat="1" applyFont="1" applyBorder="1" applyAlignment="1">
      <alignment horizontal="center" vertical="center"/>
    </xf>
    <xf numFmtId="2" fontId="9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4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13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5" fillId="0" borderId="9" xfId="0" applyNumberFormat="1" applyFont="1" applyBorder="1" applyAlignment="1">
      <alignment horizontal="center" vertical="center" wrapText="1"/>
    </xf>
    <xf numFmtId="2" fontId="5" fillId="0" borderId="11" xfId="0" applyNumberFormat="1" applyFont="1" applyBorder="1" applyAlignment="1">
      <alignment horizontal="center" vertical="center" wrapText="1"/>
    </xf>
    <xf numFmtId="2" fontId="4" fillId="0" borderId="28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3" fontId="10" fillId="0" borderId="15" xfId="0" applyNumberFormat="1" applyFont="1" applyBorder="1" applyAlignment="1">
      <alignment horizontal="left" vertical="center" wrapText="1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2" fontId="1" fillId="0" borderId="6" xfId="0" applyNumberFormat="1" applyFont="1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2" fontId="1" fillId="0" borderId="6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0" fillId="0" borderId="0" xfId="0" applyNumberFormat="1"/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15.19</v>
        <stp/>
        <stp>LAST</stp>
        <stp>VRE</stp>
        <tr r="D65" s="4"/>
      </tp>
      <tp>
        <v>62.65</v>
        <stp/>
        <stp>LAST</stp>
        <stp>VTR</stp>
        <tr r="D7" s="2"/>
      </tp>
      <tp>
        <v>41.15</v>
        <stp/>
        <stp>LAST</stp>
        <stp>VNO</stp>
        <tr r="D26" s="3"/>
      </tp>
      <tp>
        <v>12.46</v>
        <stp/>
        <stp>LAST</stp>
        <stp>WSR</stp>
        <tr r="D76" s="4"/>
      </tp>
      <tp>
        <v>63.3</v>
        <stp/>
        <stp>LAST</stp>
        <stp>WPC</stp>
        <tr r="D2" s="2"/>
      </tp>
      <tp>
        <v>16.350000000000001</v>
        <stp/>
        <stp>LAST</stp>
        <stp>TRC</stp>
        <tr r="D48" s="4"/>
      </tp>
      <tp>
        <v>37.29</v>
        <stp/>
        <stp>LAST</stp>
        <stp>TCI</stp>
        <tr r="D42" s="4"/>
      </tp>
      <tp>
        <v>7.81</v>
        <stp/>
        <stp>LAST</stp>
        <stp>HRUFF</stp>
        <tr r="D5" s="3"/>
      </tp>
      <tp>
        <v>14.497</v>
        <stp/>
        <stp>LAST</stp>
        <stp>DRUNF</stp>
        <tr r="D39" s="4"/>
      </tp>
      <tp>
        <v>40.53</v>
        <stp/>
        <stp>LAST</stp>
        <stp>UHT</stp>
        <tr r="D10" s="4"/>
      </tp>
      <tp>
        <v>17.04</v>
        <stp/>
        <stp>LAST</stp>
        <stp>UMH</stp>
        <tr r="D63" s="4"/>
      </tp>
      <tp>
        <v>41.48</v>
        <stp/>
        <stp>LAST</stp>
        <stp>UDR</stp>
        <tr r="D27" s="2"/>
      </tp>
      <tp>
        <v>10.692</v>
        <stp/>
        <stp>LAST</stp>
        <stp>PPRQF</stp>
        <tr r="D42" s="3"/>
      </tp>
      <tp>
        <v>10.78</v>
        <stp/>
        <stp>LAST</stp>
        <stp>SRRTF</stp>
        <tr r="D75" s="4"/>
      </tp>
      <tp>
        <v>5.5</v>
        <stp/>
        <stp>LAST</stp>
        <stp>EFRTF</stp>
        <tr r="D24" s="4"/>
      </tp>
      <tp>
        <v>11.5</v>
        <stp/>
        <stp>LAST</stp>
        <stp>PMREF</stp>
        <tr r="D77" s="4"/>
      </tp>
      <tp>
        <v>23.79</v>
        <stp/>
        <stp>LAST</stp>
        <stp>RYN</stp>
        <tr r="D53" s="3"/>
      </tp>
      <tp>
        <v>98.13</v>
        <stp/>
        <stp>LAST</stp>
        <stp>RHP</stp>
        <tr r="D12" s="3"/>
      </tp>
      <tp>
        <v>7.39</v>
        <stp/>
        <stp>LAST</stp>
        <stp>RLJ</stp>
        <tr r="D14" s="4"/>
      </tp>
      <tp>
        <v>15.87</v>
        <stp/>
        <stp>LAST</stp>
        <stp>RMR</stp>
        <tr r="D41" s="4"/>
      </tp>
      <tp>
        <v>28.34</v>
        <stp/>
        <stp>LAST</stp>
        <stp>MTSFY</stp>
        <tr r="D13" s="2"/>
      </tp>
      <tp>
        <v>160.41999999999999</v>
        <stp/>
        <stp>LAST</stp>
        <stp>SPG</stp>
        <tr r="D28" s="2"/>
      </tp>
      <tp>
        <v>2.39</v>
        <stp/>
        <stp>LAST</stp>
        <stp>SVC</stp>
        <tr r="D21" s="4"/>
      </tp>
      <tp>
        <v>125.12</v>
        <stp/>
        <stp>LAST</stp>
        <stp>SUI</stp>
        <tr r="D25" s="2"/>
      </tp>
      <tp>
        <v>30.69</v>
        <stp/>
        <stp>LAST</stp>
        <stp>SKT</stp>
        <tr r="D44" s="3"/>
      </tp>
      <tp>
        <v>9.07</v>
        <stp/>
        <stp>LAST</stp>
        <stp>SHO</stp>
        <tr r="D18" s="4"/>
      </tp>
      <tp>
        <v>64.36</v>
        <stp/>
        <stp>LAST</stp>
        <stp>SLG</stp>
        <tr r="D29" s="3"/>
      </tp>
      <tp>
        <v>37.21</v>
        <stp/>
        <stp>LAST</stp>
        <stp>SMA</stp>
        <tr r="D52" s="3"/>
      </tp>
      <tp>
        <v>8.15</v>
        <stp/>
        <stp>LAST</stp>
        <stp>APPTF</stp>
        <tr r="D81" s="4"/>
      </tp>
      <tp>
        <v>32.682000000000002</v>
        <stp/>
        <stp>LAST</stp>
        <stp>CDPYF</stp>
        <tr r="D37" s="3"/>
      </tp>
      <tp>
        <v>302.58</v>
        <stp/>
        <stp>LAST</stp>
        <stp>PSA</stp>
        <tr r="D31" s="2"/>
      </tp>
      <tp>
        <v>108.93</v>
        <stp/>
        <stp>LAST</stp>
        <stp>PLD</stp>
        <tr r="D9" s="2"/>
      </tp>
      <tp>
        <v>39.200000000000003</v>
        <stp/>
        <stp>LAST</stp>
        <stp>PCH</stp>
        <tr r="D58" s="3"/>
      </tp>
      <tp>
        <v>7.59</v>
        <stp/>
        <stp>LAST</stp>
        <stp>PDM</stp>
        <tr r="D29" s="4"/>
      </tp>
      <tp>
        <v>9.77</v>
        <stp/>
        <stp>LAST</stp>
        <stp>PEB</stp>
        <tr r="D20" s="4"/>
      </tp>
      <tp>
        <v>139.75980000000001</v>
        <stp/>
        <stp>LAST</stp>
        <stp>MEQYF</stp>
        <tr r="D36" s="4"/>
      </tp>
      <tp>
        <v>12.33</v>
        <stp/>
        <stp>LAST</stp>
        <stp>XHR</stp>
        <tr r="D15" s="4"/>
      </tp>
      <tp>
        <v>12.16</v>
        <stp/>
        <stp>LAST</stp>
        <stp>APYRF</stp>
        <tr r="D33" s="4"/>
      </tp>
      <tp>
        <v>96.75</v>
        <stp/>
        <stp>LAST</stp>
        <stp>FRT</stp>
        <tr r="D39" s="3"/>
      </tp>
      <tp>
        <v>177.32</v>
        <stp/>
        <stp>LAST</stp>
        <stp>FSV</stp>
        <tr r="D31" s="3"/>
      </tp>
      <tp>
        <v>5.53</v>
        <stp/>
        <stp>LAST</stp>
        <stp>FPH</stp>
        <tr r="D40" s="4"/>
      </tp>
      <tp>
        <v>11.79</v>
        <stp/>
        <stp>LAST</stp>
        <stp>FPI</stp>
        <tr r="D80" s="4"/>
      </tp>
      <tp>
        <v>19.97</v>
        <stp/>
        <stp>LAST</stp>
        <stp>FOR</stp>
        <tr r="D38" s="4"/>
      </tp>
      <tp>
        <v>38.26</v>
        <stp/>
        <stp>LAST</stp>
        <stp>ASGTF</stp>
        <tr r="D49" s="4"/>
      </tp>
      <tp>
        <v>29.5</v>
        <stp/>
        <stp>LAST</stp>
        <stp>GTY</stp>
        <tr r="D74" s="4"/>
      </tp>
      <tp>
        <v>7.74</v>
        <stp/>
        <stp>LAST</stp>
        <stp>GNL</stp>
        <tr r="D8" s="4"/>
      </tp>
      <tp>
        <v>10.17</v>
        <stp/>
        <stp>LAST</stp>
        <stp>MODVF</stp>
        <tr r="D43" s="4"/>
      </tp>
      <tp>
        <v>7.76</v>
        <stp/>
        <stp>LAST</stp>
        <stp>DRH</stp>
        <tr r="D17" s="4"/>
      </tp>
      <tp>
        <v>17.27</v>
        <stp/>
        <stp>LAST</stp>
        <stp>DOC</stp>
        <tr r="D6" s="2"/>
      </tp>
      <tp>
        <v>176.68</v>
        <stp/>
        <stp>LAST</stp>
        <stp>DLR</stp>
        <tr r="D38" s="2"/>
      </tp>
      <tp>
        <v>22.87</v>
        <stp/>
        <stp>LAST</stp>
        <stp>DEA</stp>
        <tr r="D25" s="4"/>
      </tp>
      <tp>
        <v>14.62</v>
        <stp/>
        <stp>LAST</stp>
        <stp>DEI</stp>
        <tr r="D28" s="3"/>
      </tp>
      <tp>
        <v>150.44</v>
        <stp/>
        <stp>LAST</stp>
        <stp>EXR</stp>
        <tr r="D35" s="2"/>
      </tp>
      <tp>
        <v>283.72000000000003</v>
        <stp/>
        <stp>LAST</stp>
        <stp>ESS</stp>
        <tr r="D18" s="2"/>
      </tp>
      <tp>
        <v>56.88</v>
        <stp/>
        <stp>LAST</stp>
        <stp>EPR</stp>
        <tr r="D55" s="3"/>
      </tp>
      <tp>
        <v>69.319999999999993</v>
        <stp/>
        <stp>LAST</stp>
        <stp>EQR</stp>
        <tr r="D21" s="2"/>
      </tp>
      <tp>
        <v>62.33</v>
        <stp/>
        <stp>LAST</stp>
        <stp>ELS</stp>
        <tr r="D22" s="2"/>
      </tp>
      <tp>
        <v>171.96</v>
        <stp/>
        <stp>LAST</stp>
        <stp>EGP</stp>
        <tr r="D15" s="3"/>
      </tp>
      <tp>
        <v>72.58</v>
        <stp/>
        <stp>LAST</stp>
        <stp>BXP</stp>
        <tr r="D10" s="2"/>
      </tp>
      <tp>
        <v>16.18</v>
        <stp/>
        <stp>LAST</stp>
        <stp>BRT</stp>
        <tr r="D66" s="4"/>
      </tp>
      <tp>
        <v>25.69</v>
        <stp/>
        <stp>LAST</stp>
        <stp>BRX</stp>
        <tr r="D43" s="3"/>
      </tp>
      <tp>
        <v>16.309999999999999</v>
        <stp/>
        <stp>LAST</stp>
        <stp>BNL</stp>
        <tr r="D3" s="3"/>
      </tp>
      <tp>
        <v>34.89</v>
        <stp/>
        <stp>LAST</stp>
        <stp>BFS</stp>
        <tr r="D73" s="4"/>
      </tp>
      <tp>
        <v>4.5</v>
        <stp/>
        <stp>LAST</stp>
        <stp>BDN</stp>
        <tr r="D30" s="4"/>
      </tp>
      <tp>
        <v>18.091899999999999</v>
        <stp/>
        <stp>LAST</stp>
        <stp>MHCUF</stp>
        <tr r="D60" s="4"/>
      </tp>
      <tp>
        <v>64.989999999999995</v>
        <stp/>
        <stp>LAST</stp>
        <stp>CSR</stp>
        <tr r="D68" s="4"/>
      </tp>
      <tp>
        <v>117.54</v>
        <stp/>
        <stp>LAST</stp>
        <stp>CPT</stp>
        <tr r="D23" s="2"/>
      </tp>
      <tp>
        <v>10.36</v>
        <stp/>
        <stp>LAST</stp>
        <stp>CWK</stp>
        <tr r="D34" s="3"/>
      </tp>
      <tp>
        <v>18.920000000000002</v>
        <stp/>
        <stp>LAST</stp>
        <stp>CTO</stp>
        <tr r="D7" s="4"/>
      </tp>
      <tp>
        <v>29.67</v>
        <stp/>
        <stp>LAST</stp>
        <stp>CUZ</stp>
        <tr r="D27" s="3"/>
      </tp>
      <tp>
        <v>25.9</v>
        <stp/>
        <stp>LAST</stp>
        <stp>CBL</stp>
        <tr r="D72" s="4"/>
      </tp>
      <tp>
        <v>99.02</v>
        <stp/>
        <stp>LAST</stp>
        <stp>CCI</stp>
        <tr r="D41" s="2"/>
      </tp>
      <tp>
        <v>28.29</v>
        <stp/>
        <stp>LAST</stp>
        <stp>CDP</stp>
        <tr r="D25" s="3"/>
      </tp>
      <tp>
        <v>13.48</v>
        <stp/>
        <stp>LAST</stp>
        <stp>MNARF</stp>
        <tr r="D62" s="4"/>
      </tp>
      <tp>
        <v>3.04</v>
        <stp/>
        <stp>LAST</stp>
        <stp>SVAUF</stp>
        <tr r="D52" s="4"/>
      </tp>
      <tp>
        <v>71.75</v>
        <stp/>
        <stp>LAST</stp>
        <stp>ARE</stp>
        <tr r="D5" s="2"/>
      </tp>
      <tp>
        <v>206.92</v>
        <stp/>
        <stp>LAST</stp>
        <stp>AVB</stp>
        <tr r="D19" s="2"/>
      </tp>
      <tp>
        <v>19.8</v>
        <stp/>
        <stp>LAST</stp>
        <stp>AKR</stp>
        <tr r="D48" s="3"/>
      </tp>
      <tp>
        <v>35.200000000000003</v>
        <stp/>
        <stp>LAST</stp>
        <stp>AHR</stp>
        <tr r="D9" s="3"/>
      </tp>
      <tp>
        <v>7.04</v>
        <stp/>
        <stp>LAST</stp>
        <stp>AHH</stp>
        <tr r="D6" s="4"/>
      </tp>
      <tp>
        <v>8.39</v>
        <stp/>
        <stp>LAST</stp>
        <stp>AIV</stp>
        <tr r="D67" s="4"/>
      </tp>
      <tp>
        <v>232.53</v>
        <stp/>
        <stp>LAST</stp>
        <stp>ALX</stp>
        <tr r="D71" s="4"/>
      </tp>
      <tp>
        <v>212.83</v>
        <stp/>
        <stp>LAST</stp>
        <stp>AMT</stp>
        <tr r="D34" s="2"/>
      </tp>
      <tp>
        <v>36.700000000000003</v>
        <stp/>
        <stp>LAST</stp>
        <stp>AMH</stp>
        <tr r="D24" s="2"/>
      </tp>
      <tp>
        <v>20.190000000000001</v>
        <stp/>
        <stp>LAST</stp>
        <stp>AAT</stp>
        <tr r="D3" s="4"/>
      </tp>
      <tp>
        <v>74.59</v>
        <stp/>
        <stp>LAST</stp>
        <stp>ADC</stp>
        <tr r="D41" s="3"/>
      </tp>
      <tp>
        <v>33.74</v>
        <stp/>
        <stp>LAST</stp>
        <stp>NSA</stp>
        <tr r="D59" s="3"/>
      </tp>
      <tp>
        <v>71.78</v>
        <stp/>
        <stp>LAST</stp>
        <stp>NHI</stp>
        <tr r="D6" s="3"/>
      </tp>
      <tp>
        <v>42.25</v>
        <stp/>
        <stp>LAST</stp>
        <stp>NNN</stp>
        <tr r="D40" s="3"/>
      </tp>
      <tp>
        <v>74.821100000000001</v>
        <stp/>
        <stp>LAST</stp>
        <stp>NEN</stp>
        <tr r="D37" s="4"/>
      </tp>
      <tp>
        <v>12.884399999999999</v>
        <stp/>
        <stp>LAST</stp>
        <stp>RIOCF</stp>
        <tr r="D46" s="3"/>
      </tp>
      <tp>
        <v>16.45</v>
        <stp/>
        <stp>LAST</stp>
        <stp>OUT</stp>
        <tr r="D56" s="3"/>
      </tp>
      <tp>
        <v>36.770000000000003</v>
        <stp/>
        <stp>LAST</stp>
        <stp>OHI</stp>
        <tr r="D4" s="2"/>
      </tp>
      <tp>
        <v>25.35</v>
        <stp/>
        <stp>LAST</stp>
        <stp>OLP</stp>
        <tr r="D2" s="4"/>
      </tp>
      <tp>
        <v>4.12</v>
        <stp/>
        <stp>LAST</stp>
        <stp>RLLMF</stp>
        <tr r="D50" s="4"/>
      </tp>
      <tp>
        <v>8.75</v>
        <stp/>
        <stp>LAST</stp>
        <stp>LXP</stp>
        <tr r="D20" s="3"/>
      </tp>
      <tp>
        <v>7.35</v>
        <stp/>
        <stp>LAST</stp>
        <stp>LPA</stp>
        <tr r="D44" s="4"/>
      </tp>
      <tp>
        <v>34.99</v>
        <stp/>
        <stp>LAST</stp>
        <stp>LTC</stp>
        <tr r="D9" s="4"/>
      </tp>
      <tp>
        <v>14.25</v>
        <stp/>
        <stp>LAST</stp>
        <stp>KMMPF</stp>
        <tr r="D61" s="4"/>
      </tp>
      <tp>
        <v>27.76</v>
        <stp/>
        <stp>LAST</stp>
        <stp>MRP</stp>
        <tr r="D60" s="3"/>
      </tp>
      <tp>
        <v>4.51</v>
        <stp/>
        <stp>LAST</stp>
        <stp>MPW</stp>
        <tr r="D11" s="3"/>
      </tp>
      <tp>
        <v>17.66</v>
        <stp/>
        <stp>LAST</stp>
        <stp>MLP</stp>
        <tr r="D56" s="4"/>
      </tp>
      <tp>
        <v>30.2</v>
        <stp/>
        <stp>LAST</stp>
        <stp>MMI</stp>
        <tr r="D55" s="4"/>
      </tp>
      <tp>
        <v>16.43</v>
        <stp/>
        <stp>LAST</stp>
        <stp>MAC</stp>
        <tr r="D51" s="3"/>
      </tp>
      <tp>
        <v>151</v>
        <stp/>
        <stp>LAST</stp>
        <stp>MAA</stp>
        <tr r="D20" s="2"/>
      </tp>
      <tp>
        <v>46.1</v>
        <stp/>
        <stp>LAST</stp>
        <stp>JOE</stp>
        <tr r="D33" s="3"/>
      </tp>
      <tp>
        <v>230.88</v>
        <stp/>
        <stp>LAST</stp>
        <stp>JLL</stp>
        <tr r="D11" s="2"/>
      </tp>
      <tp>
        <v>22.64</v>
        <stp/>
        <stp>LAST</stp>
        <stp>KRG</stp>
        <tr r="D50" s="3"/>
      </tp>
      <tp>
        <v>34.97</v>
        <stp/>
        <stp>LAST</stp>
        <stp>KRC</stp>
        <tr r="D23" s="3"/>
      </tp>
      <tp>
        <v>21.05</v>
        <stp/>
        <stp>LAST</stp>
        <stp>KIM</stp>
        <tr r="D30" s="2"/>
      </tp>
      <tp>
        <v>15.92</v>
        <stp/>
        <stp>LAST</stp>
        <stp>HST</stp>
        <tr r="D8" s="2"/>
      </tp>
      <tp>
        <v>2.29</v>
        <stp/>
        <stp>LAST</stp>
        <stp>HPP</stp>
        <tr r="D34" s="4"/>
      </tp>
      <tp>
        <v>69.17</v>
        <stp/>
        <stp>LAST</stp>
        <stp>HHH</stp>
        <tr r="D30" s="3"/>
      </tp>
      <tp>
        <v>31.16</v>
        <stp/>
        <stp>LAST</stp>
        <stp>HIW</stp>
        <tr r="D24" s="3"/>
      </tp>
      <tp>
        <v>18.29</v>
        <stp/>
        <stp>LAST</stp>
        <stp>IRT</stp>
        <tr r="D38" s="3"/>
      </tp>
      <tp>
        <v>14.57</v>
        <stp/>
        <stp>LAST</stp>
        <stp>IRS</stp>
        <tr r="D47" s="4"/>
      </tp>
      <tp>
        <v>101.22</v>
        <stp/>
        <stp>LAST</stp>
        <stp>IRM</stp>
        <tr r="D40" s="2"/>
      </tp>
      <tp>
        <v>4.55</v>
        <stp/>
        <stp>LAST</stp>
        <stp>INN</stp>
        <tr r="D16" s="4"/>
      </tp>
      <tp>
        <v>34.58</v>
        <stp/>
        <stp>LAST</stp>
        <stp>NXRT</stp>
        <tr r="D69" s="4"/>
      </tp>
      <tp>
        <v>27.15</v>
        <stp/>
        <stp>LAST</stp>
        <stp>FRPH</stp>
        <tr r="D46" s="4"/>
      </tp>
      <tp>
        <v>59.83</v>
        <stp/>
        <stp>LAST</stp>
        <stp>TRNO</stp>
        <tr r="D17" s="3"/>
      </tp>
      <tp>
        <v>9.7899999999999991</v>
        <stp/>
        <stp>LAST</stp>
        <stp>MRNO</stp>
        <tr r="D54" s="4"/>
      </tp>
      <tp>
        <v>14.38</v>
        <stp/>
        <stp>LAST</stp>
        <stp>PSTL</stp>
        <tr r="D27" s="4"/>
      </tp>
      <tp>
        <v>8.44</v>
        <stp/>
        <stp>LAST</stp>
        <stp>ESRT</stp>
        <tr r="D26" s="4"/>
      </tp>
      <tp>
        <v>78.92</v>
        <stp/>
        <stp>LAST</stp>
        <stp>CSGP</stp>
        <tr r="D15" s="2"/>
      </tp>
      <tp>
        <v>8.2001000000000008</v>
        <stp/>
        <stp>LAST</stp>
        <stp>ESBA</stp>
        <tr r="D4" s="3"/>
      </tp>
      <tp>
        <v>33.049999999999997</v>
        <stp/>
        <stp>LAST</stp>
        <stp>EPRT</stp>
        <tr r="D2" s="3"/>
      </tp>
      <tp>
        <v>11.73</v>
        <stp/>
        <stp>LAST</stp>
        <stp>APLE</stp>
        <tr r="D13" s="3"/>
      </tp>
      <tp>
        <v>907.48</v>
        <stp/>
        <stp>LAST</stp>
        <stp>EQIX</stp>
        <tr r="D32" s="2"/>
      </tp>
      <tp>
        <v>28.7</v>
        <stp/>
        <stp>LAST</stp>
        <stp>CTRE</stp>
        <tr r="D7" s="3"/>
      </tp>
      <tp>
        <v>16.36</v>
        <stp/>
        <stp>LAST</stp>
        <stp>NTST</stp>
        <tr r="D78" s="4"/>
      </tp>
      <tp>
        <v>37.01</v>
        <stp/>
        <stp>LAST</stp>
        <stp>STAG</stp>
        <tr r="D18" s="3"/>
      </tp>
      <tp>
        <v>28.28</v>
        <stp/>
        <stp>LAST</stp>
        <stp>VTMX</stp>
        <tr r="D35" s="3"/>
      </tp>
      <tp>
        <v>22.89</v>
        <stp/>
        <stp>LAST</stp>
        <stp>CURB</stp>
        <tr r="D49" s="3"/>
      </tp>
      <tp>
        <v>43.28</v>
        <stp/>
        <stp>LAST</stp>
        <stp>CUBE</stp>
        <tr r="D54" s="3"/>
      </tp>
      <tp>
        <v>13.19</v>
        <stp/>
        <stp>LAST</stp>
        <stp>PKST</stp>
        <tr r="D31" s="4"/>
      </tp>
      <tp>
        <v>16.91</v>
        <stp/>
        <stp>LAST</stp>
        <stp>CHCT</stp>
        <tr r="D13" s="4"/>
      </tp>
      <tp>
        <v>12.05</v>
        <stp/>
        <stp>LAST</stp>
        <stp>SITC</stp>
        <tr r="D70" s="4"/>
      </tp>
      <tp>
        <v>56.68</v>
        <stp/>
        <stp>LAST</stp>
        <stp>IIPR</stp>
        <tr r="D22" s="4"/>
      </tp>
      <tp>
        <v>126.65</v>
        <stp/>
        <stp>LAST</stp>
        <stp>CIGI</stp>
        <tr r="D32" s="3"/>
      </tp>
      <tp>
        <v>45.295000000000002</v>
        <stp/>
        <stp>LAST</stp>
        <stp>LINE</stp>
        <tr r="D22" s="3"/>
      </tp>
      <tp>
        <v>24.35</v>
        <stp/>
        <stp>LAST</stp>
        <stp>SILA</stp>
        <tr r="D11" s="4"/>
      </tp>
      <tp>
        <v>33.19</v>
        <stp/>
        <stp>LAST</stp>
        <stp>INVH</stp>
        <tr r="D26" s="2"/>
      </tp>
      <tp>
        <v>4.2699999999999996</v>
        <stp/>
        <stp>LAST</stp>
        <stp>UNIT</stp>
        <tr r="D82" s="4"/>
      </tp>
      <tp>
        <v>3.77</v>
        <stp/>
        <stp>LAST</stp>
        <stp>HOUS</stp>
        <tr r="D57" s="4"/>
      </tp>
      <tp>
        <v>14.68</v>
        <stp/>
        <stp>LAST</stp>
        <stp>GOOD</stp>
        <tr r="D5" s="4"/>
      </tp>
      <tp>
        <v>17.57</v>
        <stp/>
        <stp>LAST</stp>
        <stp>COLD</stp>
        <tr r="D21" s="3"/>
      </tp>
      <tp>
        <v>6.16</v>
        <stp/>
        <stp>LAST</stp>
        <stp>COMP</stp>
        <tr r="D36" s="3"/>
      </tp>
      <tp>
        <v>46.84</v>
        <stp/>
        <stp>LAST</stp>
        <stp>GLPI</stp>
        <tr r="D37" s="2"/>
      </tp>
      <tp>
        <v>16.579999999999998</v>
        <stp/>
        <stp>LAST</stp>
        <stp>PLYM</stp>
        <tr r="D23" s="4"/>
      </tp>
      <tp>
        <v>7.3</v>
        <stp/>
        <stp>LAST</stp>
        <stp>CLDT</stp>
        <tr r="D19" s="4"/>
      </tp>
      <tp>
        <v>18.22</v>
        <stp/>
        <stp>LAST</stp>
        <stp>ALEX</stp>
        <tr r="D4" s="4"/>
      </tp>
      <tp>
        <v>31.78</v>
        <stp/>
        <stp>LAST</stp>
        <stp>NLOP</stp>
        <tr r="D35" s="4"/>
      </tp>
      <tp>
        <v>16.45</v>
        <stp/>
        <stp>LAST</stp>
        <stp>ELME</stp>
        <tr r="D64" s="4"/>
      </tp>
      <tp>
        <v>6.32</v>
        <stp/>
        <stp>LAST</stp>
        <stp>GMRE</stp>
        <tr r="D12" s="4"/>
      </tp>
      <tp>
        <v>11.42</v>
        <stp/>
        <stp>LAST</stp>
        <stp>NMRK</stp>
        <tr r="D45" s="4"/>
      </tp>
      <tp>
        <v>17.79</v>
        <stp/>
        <stp>LAST</stp>
        <stp>SBRA</stp>
        <tr r="D8" s="3"/>
      </tp>
      <tp>
        <v>128.84</v>
        <stp/>
        <stp>LAST</stp>
        <stp>CBRE</stp>
        <tr r="D12" s="2"/>
      </tp>
      <tp>
        <v>17.43</v>
        <stp/>
        <stp>LAST</stp>
        <stp>JBGS</stp>
        <tr r="D32" s="4"/>
      </tp>
      <tp>
        <v>224.99</v>
        <stp/>
        <stp>LAST</stp>
        <stp>SBAC</stp>
        <tr r="D33" s="2"/>
      </tp>
      <tp>
        <v>27.8</v>
        <stp/>
        <stp>LAST</stp>
        <stp>FCPT</stp>
        <tr r="D57" s="3"/>
      </tp>
      <tp>
        <v>15.62</v>
        <stp/>
        <stp>LAST</stp>
        <stp>SAFE</stp>
        <tr r="D79" s="4"/>
      </tp>
      <tp>
        <v>10.01</v>
        <stp/>
        <stp>LAST</stp>
        <stp>LAND</stp>
        <tr r="D83" s="4"/>
      </tp>
      <tp>
        <v>120.7</v>
        <stp/>
        <stp>LAST</stp>
        <stp>LAMR</stp>
        <tr r="D36" s="2"/>
      </tp>
      <tp>
        <v>6.44</v>
        <stp/>
        <stp>LAST</stp>
        <stp>PGRE</stp>
        <tr r="D28" s="4"/>
      </tp>
      <tp>
        <v>10</v>
        <stp/>
        <stp>LAST</stp>
        <stp>RDFN</stp>
        <tr r="D59" s="4"/>
      </tp>
      <tp>
        <v>36.6</v>
        <stp/>
        <stp>LAST</stp>
        <stp>REXR</stp>
        <tr r="D19" s="3"/>
      </tp>
      <tp>
        <v>36.07</v>
        <stp/>
        <stp>LAST</stp>
        <stp>PECO</stp>
        <tr r="D47" s="3"/>
      </tp>
      <tp>
        <v>4.24</v>
        <stp/>
        <stp>LAST</stp>
        <stp>REAX</stp>
        <tr r="D53" s="4"/>
      </tp>
      <tp>
        <v>150.31</v>
        <stp/>
        <stp>LAST</stp>
        <stp>WELL</stp>
        <tr r="D3" s="2"/>
      </tp>
      <tp>
        <v>18.84</v>
        <stp/>
        <stp>LAST</stp>
        <stp>BEKE</stp>
        <tr r="D14" s="2"/>
      </tp>
      <tp>
        <v>27.01</v>
        <stp/>
        <stp>LAST</stp>
        <stp>WY</stp>
        <tr r="D39" s="2"/>
      </tp>
      <tp>
        <v>18.8</v>
        <stp/>
        <stp>LAST</stp>
        <stp>UE</stp>
        <tr r="D45" s="3"/>
      </tp>
      <tp>
        <v>10.38</v>
        <stp/>
        <stp>LAST</stp>
        <stp>PK</stp>
        <tr r="D14" s="3"/>
      </tp>
      <tp>
        <v>69.41</v>
        <stp/>
        <stp>LAST</stp>
        <stp>ZG</stp>
        <tr r="D17" s="2"/>
      </tp>
      <tp>
        <v>49.85</v>
        <stp/>
        <stp>LAST</stp>
        <stp>FR</stp>
        <tr r="D16" s="3"/>
      </tp>
      <tp>
        <v>73</v>
        <stp/>
        <stp>LAST</stp>
        <stp>LB</stp>
        <tr r="D51" s="4"/>
      </tp>
      <tp>
        <v>6.63</v>
        <stp/>
        <stp>LAST</stp>
        <stp>KW</stp>
        <tr r="D58" s="4"/>
      </tp>
      <tp>
        <v>14.52</v>
        <stp/>
        <stp>LAST</stp>
        <stp>HR</stp>
        <tr r="D10" s="3"/>
      </tp>
      <tp>
        <v>70.28</v>
        <stp/>
        <stp>LAST</stp>
        <stp>Z</stp>
        <tr r="D16" s="2"/>
      </tp>
      <tp>
        <v>56.81</v>
        <stp/>
        <stp>LAST</stp>
        <stp>O</stp>
        <tr r="D2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70272199074" createdVersion="8" refreshedVersion="8" minRefreshableVersion="3" recordCount="40" xr:uid="{3432845B-C090-4238-AA0B-FA56B072311B}">
  <cacheSource type="worksheet">
    <worksheetSource name="Main_L"/>
  </cacheSource>
  <cacheFields count="26">
    <cacheField name="Industry" numFmtId="0">
      <sharedItems count="67">
        <s v="Diversified REITs"/>
        <s v="Health Care REITs"/>
        <s v="Hotel &amp; Resort REITs"/>
        <s v="Industrial REITs"/>
        <s v="Office REITs"/>
        <s v="Real Estate Management &amp; Development"/>
        <s v="Residential REITs"/>
        <s v="Retail REITs"/>
        <s v="Specialized REIT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572" maxValue="100892"/>
    </cacheField>
    <cacheField name="Current Price" numFmtId="0">
      <sharedItems containsSemiMixedTypes="0" containsString="0" containsNumber="1" minValue="15.92" maxValue="907.48"/>
    </cacheField>
    <cacheField name="Free CF" numFmtId="0">
      <sharedItems containsSemiMixedTypes="0" containsString="0" containsNumber="1" minValue="-3.43" maxValue="35.979999999999997"/>
    </cacheField>
    <cacheField name="BVPS" numFmtId="0">
      <sharedItems containsSemiMixedTypes="0" containsString="0" containsNumber="1" minValue="-46.01" maxValue="143.94"/>
    </cacheField>
    <cacheField name="EPS" numFmtId="0">
      <sharedItems containsSemiMixedTypes="0" containsString="0" containsNumber="1" minValue="-9.01" maxValue="11.07"/>
    </cacheField>
    <cacheField name="P/FCF" numFmtId="2">
      <sharedItems containsSemiMixedTypes="0" containsString="0" containsNumber="1" minValue="-986.5" maxValue="90.102564102564102"/>
    </cacheField>
    <cacheField name="P/B" numFmtId="2">
      <sharedItems containsSemiMixedTypes="0" containsString="0" containsNumber="1" minValue="-42.708860759493668" maxValue="28.189403973509936"/>
    </cacheField>
    <cacheField name="ROE" numFmtId="0">
      <sharedItems containsSemiMixedTypes="0" containsString="0" containsNumber="1" minValue="-163.21" maxValue="67.31"/>
    </cacheField>
    <cacheField name="ROA" numFmtId="0">
      <sharedItems containsSemiMixedTypes="0" containsString="0" containsNumber="1" minValue="-1.59" maxValue="9.36"/>
    </cacheField>
    <cacheField name="A/E" numFmtId="0">
      <sharedItems containsSemiMixedTypes="0" containsString="0" containsNumber="1" minValue="-27.72" maxValue="17.559999999999999"/>
    </cacheField>
    <cacheField name="P/E" numFmtId="2">
      <sharedItems containsSemiMixedTypes="0" containsString="0" containsNumber="1" minValue="-2419.3333333333335" maxValue="281.85714285714283"/>
    </cacheField>
    <cacheField name="Preliminary Criteria" numFmtId="0">
      <sharedItems/>
    </cacheField>
    <cacheField name="P/FCF Z-Score" numFmtId="2">
      <sharedItems containsMixedTypes="1" containsNumber="1" minValue="-34.99582839512081" maxValue="2.1277456701226098"/>
    </cacheField>
    <cacheField name="P/B Z-Score" numFmtId="2">
      <sharedItems containsMixedTypes="1" containsNumber="1" minValue="-9.5032408422648995" maxValue="6.2302430810354972"/>
    </cacheField>
    <cacheField name="ROE Z-Score" numFmtId="2">
      <sharedItems containsMixedTypes="1" containsNumber="1" minValue="-11.541697833966269" maxValue="8.361557184291815"/>
    </cacheField>
    <cacheField name="ROA Z-Score" numFmtId="2">
      <sharedItems containsMixedTypes="1" containsNumber="1" minValue="-5.9727939108072094" maxValue="33.375003812415976"/>
    </cacheField>
    <cacheField name="A/E Z-Score" numFmtId="2">
      <sharedItems containsMixedTypes="1" containsNumber="1" minValue="-13.718482644861876" maxValue="6.8799967469506251"/>
    </cacheField>
    <cacheField name="P/E Z-Score" numFmtId="2">
      <sharedItems containsMixedTypes="1" containsNumber="1" minValue="-1.708021357548587" maxValue="7.887237701111486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70272361111" createdVersion="8" refreshedVersion="8" minRefreshableVersion="3" recordCount="59" xr:uid="{A2646FF5-8A5C-4026-A340-9C8CC354FDFF}">
  <cacheSource type="worksheet">
    <worksheetSource name="Main_M"/>
  </cacheSource>
  <cacheFields count="26">
    <cacheField name="Industry" numFmtId="0">
      <sharedItems count="68">
        <s v="Diversified REITs"/>
        <s v="Health Care REITs"/>
        <s v="Hotel &amp; Resort REITs"/>
        <s v="Industrial REITs"/>
        <s v="Office REITs"/>
        <s v="Real Estate Management &amp; Development"/>
        <s v="Residential REITs"/>
        <s v="Retail REITs"/>
        <s v="Specialized REIT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01" maxValue="9759"/>
    </cacheField>
    <cacheField name="Current Price" numFmtId="0">
      <sharedItems containsSemiMixedTypes="0" containsString="0" containsNumber="1" minValue="4.51" maxValue="177.32"/>
    </cacheField>
    <cacheField name="Free CF" numFmtId="0">
      <sharedItems containsString="0" containsBlank="1" containsNumber="1" minValue="-6.5" maxValue="11.14"/>
    </cacheField>
    <cacheField name="BVPS" numFmtId="0">
      <sharedItems containsString="0" containsBlank="1" containsNumber="1" minValue="1.22" maxValue="15867.55"/>
    </cacheField>
    <cacheField name="EPS" numFmtId="0">
      <sharedItems containsString="0" containsBlank="1" containsNumber="1" minValue="-3.18" maxValue="6.36"/>
    </cacheField>
    <cacheField name="P/FCF" numFmtId="2">
      <sharedItems containsMixedTypes="1" containsNumber="1" minValue="-4.2707692307692309" maxValue="157.11111111111111"/>
    </cacheField>
    <cacheField name="P/B" numFmtId="2">
      <sharedItems containsMixedTypes="1" containsNumber="1" minValue="5.1678425465809155E-4" maxValue="10.952008928571427"/>
    </cacheField>
    <cacheField name="ROE" numFmtId="0">
      <sharedItems containsSemiMixedTypes="0" containsString="0" containsNumber="1" minValue="-28.8" maxValue="39.19"/>
    </cacheField>
    <cacheField name="ROA" numFmtId="0">
      <sharedItems containsSemiMixedTypes="0" containsString="0" containsNumber="1" minValue="-5.17" maxValue="7.01"/>
    </cacheField>
    <cacheField name="A/E" numFmtId="0">
      <sharedItems containsSemiMixedTypes="0" containsString="0" containsNumber="1" minValue="1.1000000000000001" maxValue="9.86"/>
    </cacheField>
    <cacheField name="P/E" numFmtId="2">
      <sharedItems containsMixedTypes="1" containsNumber="1" minValue="-143.02222222222221" maxValue="377.33333333333337"/>
    </cacheField>
    <cacheField name="Preliminary Criteria" numFmtId="0">
      <sharedItems/>
    </cacheField>
    <cacheField name="P/FCF Z-Score" numFmtId="2">
      <sharedItems containsMixedTypes="1" containsNumber="1" minValue="-6.4026265421194068" maxValue="16.41996576899551"/>
    </cacheField>
    <cacheField name="P/B Z-Score" numFmtId="2">
      <sharedItems containsMixedTypes="1" containsNumber="1" minValue="-1.5593200909510427" maxValue="6.5936782458054379"/>
    </cacheField>
    <cacheField name="ROE Z-Score" numFmtId="2">
      <sharedItems containsSemiMixedTypes="0" containsString="0" containsNumber="1" minValue="-10.298259728937005" maxValue="2.7907046476913422"/>
    </cacheField>
    <cacheField name="ROA Z-Score" numFmtId="2">
      <sharedItems containsSemiMixedTypes="0" containsString="0" containsNumber="1" minValue="-13.273160077204073" maxValue="2.0437110120708781"/>
    </cacheField>
    <cacheField name="A/E Z-Score" numFmtId="2">
      <sharedItems containsSemiMixedTypes="0" containsString="0" containsNumber="1" minValue="-12.63067527274057" maxValue="22.018993291559237"/>
    </cacheField>
    <cacheField name="P/E Z-Score" numFmtId="2">
      <sharedItems containsMixedTypes="1" containsNumber="1" minValue="-72.0931537550549" maxValue="13.872817080646037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702725115741" createdVersion="8" refreshedVersion="8" minRefreshableVersion="3" recordCount="82" xr:uid="{FEEDC4AE-CB7E-4F82-B64E-6462C5DE2153}">
  <cacheSource type="worksheet">
    <worksheetSource name="Main_S"/>
  </cacheSource>
  <cacheFields count="26">
    <cacheField name="Industry" numFmtId="0">
      <sharedItems count="69">
        <s v="Diversified REITs"/>
        <s v="Health Care REITs"/>
        <s v="Hotel &amp; Resort REITs"/>
        <s v="Industrial REITs"/>
        <s v="Office REITs"/>
        <s v="Real Estate Management &amp; Development"/>
        <s v="Residential REITs"/>
        <s v="Retail REITs"/>
        <s v="Specialized REIT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4" maxValue="1913"/>
    </cacheField>
    <cacheField name="Current Price" numFmtId="0">
      <sharedItems containsSemiMixedTypes="0" containsString="0" containsNumber="1" minValue="2.29" maxValue="232.53"/>
    </cacheField>
    <cacheField name="Free CF" numFmtId="0">
      <sharedItems containsSemiMixedTypes="0" containsString="0" containsNumber="1" minValue="-8.16" maxValue="10.33"/>
    </cacheField>
    <cacheField name="BVPS" numFmtId="0">
      <sharedItems containsSemiMixedTypes="0" containsString="0" containsNumber="1" minValue="-20.190000000000001" maxValue="125.13"/>
    </cacheField>
    <cacheField name="EPS" numFmtId="0">
      <sharedItems containsSemiMixedTypes="0" containsString="0" containsNumber="1" minValue="-4.2699999999999996" maxValue="18.440000000000001"/>
    </cacheField>
    <cacheField name="P/FCF" numFmtId="2">
      <sharedItems containsSemiMixedTypes="0" containsString="0" containsNumber="1" minValue="-817.5" maxValue="412"/>
    </cacheField>
    <cacheField name="P/B" numFmtId="2">
      <sharedItems containsSemiMixedTypes="0" containsString="0" containsNumber="1" minValue="-8.1300813008130088" maxValue="28.794117647058819"/>
    </cacheField>
    <cacheField name="ROE" numFmtId="0">
      <sharedItems containsSemiMixedTypes="0" containsString="0" containsNumber="1" minValue="-53.24" maxValue="232.71"/>
    </cacheField>
    <cacheField name="ROA" numFmtId="0">
      <sharedItems containsSemiMixedTypes="0" containsString="0" containsNumber="1" minValue="-21.73" maxValue="6.96"/>
    </cacheField>
    <cacheField name="A/E" numFmtId="0">
      <sharedItems containsSemiMixedTypes="0" containsString="0" containsNumber="1" minValue="-6.81" maxValue="21.35"/>
    </cacheField>
    <cacheField name="P/E" numFmtId="2">
      <sharedItems containsSemiMixedTypes="0" containsString="0" containsNumber="1" minValue="-167.77777777777777" maxValue="3650"/>
    </cacheField>
    <cacheField name="Preliminary Criteria" numFmtId="0">
      <sharedItems/>
    </cacheField>
    <cacheField name="P/FCF Z-Score" numFmtId="2">
      <sharedItems containsSemiMixedTypes="0" containsString="0" containsNumber="1" minValue="-46.601087197660689" maxValue="22.842248350840386"/>
    </cacheField>
    <cacheField name="P/B Z-Score" numFmtId="2">
      <sharedItems containsSemiMixedTypes="0" containsString="0" containsNumber="1" minValue="-9.6835033512678326" maxValue="28.187583332286955"/>
    </cacheField>
    <cacheField name="ROE Z-Score" numFmtId="2">
      <sharedItems containsSemiMixedTypes="0" containsString="0" containsNumber="1" minValue="-33.744899790993017" maxValue="21.943434997119077"/>
    </cacheField>
    <cacheField name="ROA Z-Score" numFmtId="2">
      <sharedItems containsSemiMixedTypes="0" containsString="0" containsNumber="1" minValue="-10.247892525035009" maxValue="8.0209035179111847"/>
    </cacheField>
    <cacheField name="A/E Z-Score" numFmtId="2">
      <sharedItems containsSemiMixedTypes="0" containsString="0" containsNumber="1" minValue="-52.285598244489421" maxValue="21.241724963654132"/>
    </cacheField>
    <cacheField name="P/E Z-Score" numFmtId="2">
      <sharedItems containsSemiMixedTypes="0" containsString="0" containsNumber="1" minValue="-35.539406572958434" maxValue="98.601454698449828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s v="WPC"/>
    <n v="13743"/>
    <n v="63.3"/>
    <n v="4.8600000000000003"/>
    <n v="38.19"/>
    <n v="1.94"/>
    <n v="13.02469135802469"/>
    <n v="1.657501963864886"/>
    <n v="5.01"/>
    <n v="2.9"/>
    <n v="2.0699999999999998"/>
    <n v="32.628865979381445"/>
    <s v="NO"/>
    <e v="#DIV/0!"/>
    <e v="#DIV/0!"/>
    <e v="#DIV/0!"/>
    <e v="#DIV/0!"/>
    <e v="#DIV/0!"/>
    <e v="#DIV/0!"/>
    <x v="0"/>
    <x v="0"/>
    <x v="0"/>
    <x v="0"/>
    <x v="0"/>
    <x v="0"/>
  </r>
  <r>
    <x v="1"/>
    <s v="WELL"/>
    <n v="100892"/>
    <n v="150.31"/>
    <n v="3.95"/>
    <n v="52.09"/>
    <n v="1.73"/>
    <n v="38.053164556962024"/>
    <n v="2.885582645421386"/>
    <n v="3.48"/>
    <n v="1.73"/>
    <n v="1.57"/>
    <n v="86.884393063583815"/>
    <s v="NO"/>
    <n v="1.7472060967372804"/>
    <n v="1.208994064084489"/>
    <n v="1.078747232134559"/>
    <n v="-0.76677759665768142"/>
    <n v="-4.7251913853639644"/>
    <n v="0.84036987527716067"/>
    <x v="0"/>
    <x v="0"/>
    <x v="0"/>
    <x v="0"/>
    <x v="1"/>
    <x v="0"/>
  </r>
  <r>
    <x v="1"/>
    <s v="OHI"/>
    <n v="10708"/>
    <n v="36.770000000000003"/>
    <n v="2.92"/>
    <n v="16.559999999999999"/>
    <n v="1.6"/>
    <n v="12.592465753424658"/>
    <n v="2.2204106280193239"/>
    <n v="10.67"/>
    <n v="4.55"/>
    <n v="2.0499999999999998"/>
    <n v="22.981249999999999"/>
    <s v="NO"/>
    <n v="-0.55904359619117194"/>
    <n v="0.3508753216489241"/>
    <n v="8.361557184291815"/>
    <n v="33.375003812415976"/>
    <n v="-1.2491885271651857"/>
    <n v="-1.3058103395351703"/>
    <x v="0"/>
    <x v="0"/>
    <x v="1"/>
    <x v="1"/>
    <x v="0"/>
    <x v="0"/>
  </r>
  <r>
    <x v="1"/>
    <s v="ARE"/>
    <n v="12142"/>
    <n v="71.75"/>
    <n v="7.99"/>
    <n v="102.65"/>
    <n v="0.76"/>
    <n v="8.9799749687108879"/>
    <n v="0.69897710667316115"/>
    <n v="1.48"/>
    <n v="1.3"/>
    <n v="2.15"/>
    <n v="94.40789473684211"/>
    <s v="NO"/>
    <n v="-0.88626579174990083"/>
    <n v="-1.6118810569732576"/>
    <n v="-0.94706916624019977"/>
    <n v="-5.9727939108072094"/>
    <n v="-0.52502126504043922"/>
    <n v="1.0930458730944874"/>
    <x v="0"/>
    <x v="0"/>
    <x v="0"/>
    <x v="1"/>
    <x v="0"/>
    <x v="0"/>
  </r>
  <r>
    <x v="1"/>
    <s v="DOC"/>
    <n v="12095"/>
    <n v="17.27"/>
    <n v="1.71"/>
    <n v="11.72"/>
    <n v="0.4"/>
    <n v="10.099415204678362"/>
    <n v="1.4735494880546074"/>
    <n v="3.32"/>
    <n v="1.74"/>
    <n v="2.42"/>
    <n v="43.174999999999997"/>
    <s v="NO"/>
    <n v="-0.78486603362177543"/>
    <n v="-0.61262814126528109"/>
    <n v="0.91668192026457818"/>
    <n v="-0.64570744981699457"/>
    <n v="1.4302303426963747"/>
    <n v="-0.62760540883647775"/>
    <x v="0"/>
    <x v="0"/>
    <x v="0"/>
    <x v="0"/>
    <x v="0"/>
    <x v="0"/>
  </r>
  <r>
    <x v="1"/>
    <s v="VTR"/>
    <n v="29009"/>
    <n v="62.65"/>
    <n v="2.6"/>
    <n v="25.43"/>
    <n v="0.33"/>
    <n v="24.096153846153843"/>
    <n v="2.4636256390090443"/>
    <n v="1.38"/>
    <n v="1.91"/>
    <n v="2.27"/>
    <n v="189.84848484848484"/>
    <s v="NO"/>
    <n v="0.48296932482556765"/>
    <n v="0.66463981250512638"/>
    <n v="-1.0483599861589379"/>
    <n v="1.4124850464746788"/>
    <n v="0.34397944950925663"/>
    <n v="4.2984078688857101"/>
    <x v="0"/>
    <x v="0"/>
    <x v="0"/>
    <x v="0"/>
    <x v="0"/>
    <x v="1"/>
  </r>
  <r>
    <x v="2"/>
    <s v="HST"/>
    <n v="10746"/>
    <n v="15.92"/>
    <n v="2.0499999999999998"/>
    <n v="9.59"/>
    <n v="0.96"/>
    <n v="7.765853658536586"/>
    <n v="1.6600625651720542"/>
    <n v="10"/>
    <n v="3.91"/>
    <n v="1.95"/>
    <n v="16.583333333333332"/>
    <s v="NO"/>
    <e v="#DIV/0!"/>
    <e v="#DIV/0!"/>
    <e v="#DIV/0!"/>
    <e v="#DIV/0!"/>
    <e v="#DIV/0!"/>
    <e v="#DIV/0!"/>
    <x v="0"/>
    <x v="0"/>
    <x v="0"/>
    <x v="0"/>
    <x v="0"/>
    <x v="0"/>
  </r>
  <r>
    <x v="3"/>
    <s v="PLD"/>
    <n v="100773"/>
    <n v="108.93"/>
    <n v="5.41"/>
    <n v="57.55"/>
    <n v="4.01"/>
    <n v="20.134935304990758"/>
    <n v="1.8927888792354477"/>
    <n v="6.83"/>
    <n v="2.38"/>
    <n v="1.8"/>
    <n v="27.164588528678308"/>
    <s v="NO"/>
    <e v="#DIV/0!"/>
    <e v="#DIV/0!"/>
    <e v="#DIV/0!"/>
    <e v="#DIV/0!"/>
    <e v="#DIV/0!"/>
    <e v="#DIV/0!"/>
    <x v="0"/>
    <x v="0"/>
    <x v="0"/>
    <x v="0"/>
    <x v="0"/>
    <x v="0"/>
  </r>
  <r>
    <x v="4"/>
    <s v="BXP"/>
    <n v="10660"/>
    <n v="72.58"/>
    <n v="7.9"/>
    <n v="33.6"/>
    <n v="-0.03"/>
    <n v="9.187341772151898"/>
    <n v="2.1601190476190473"/>
    <n v="0.8"/>
    <n v="2.46"/>
    <n v="4.78"/>
    <n v="-2419.3333333333335"/>
    <s v="NO"/>
    <e v="#DIV/0!"/>
    <e v="#DIV/0!"/>
    <e v="#DIV/0!"/>
    <e v="#DIV/0!"/>
    <e v="#DIV/0!"/>
    <e v="#DIV/0!"/>
    <x v="0"/>
    <x v="0"/>
    <x v="0"/>
    <x v="0"/>
    <x v="0"/>
    <x v="0"/>
  </r>
  <r>
    <x v="5"/>
    <s v="JLL"/>
    <n v="10572"/>
    <n v="230.88"/>
    <n v="10.71"/>
    <n v="143.94"/>
    <n v="11.07"/>
    <n v="21.557422969187673"/>
    <n v="1.6040016673614006"/>
    <n v="8.06"/>
    <n v="3.56"/>
    <n v="2.4300000000000002"/>
    <n v="20.856368563685635"/>
    <s v="NO"/>
    <n v="-0.90302443146768141"/>
    <n v="-1.8240254544035488"/>
    <n v="0.76137116091336809"/>
    <n v="1.0978276946443233"/>
    <n v="0.47546835286681666"/>
    <n v="0.57319526553817268"/>
    <x v="0"/>
    <x v="0"/>
    <x v="0"/>
    <x v="0"/>
    <x v="0"/>
    <x v="0"/>
  </r>
  <r>
    <x v="5"/>
    <s v="CBRE"/>
    <n v="37269"/>
    <n v="128.84"/>
    <n v="4.4400000000000004"/>
    <n v="28.06"/>
    <n v="3.28"/>
    <n v="29.018018018018015"/>
    <n v="4.591589451176052"/>
    <n v="11.92"/>
    <n v="3.89"/>
    <n v="3.18"/>
    <n v="39.280487804878049"/>
    <s v="NO"/>
    <n v="-0.65070487242630282"/>
    <n v="1.3503442944187978"/>
    <n v="1.5649746284086494"/>
    <n v="1.2539842201756279"/>
    <n v="1.3898305699183868"/>
    <n v="0.73472478881393"/>
    <x v="0"/>
    <x v="0"/>
    <x v="0"/>
    <x v="0"/>
    <x v="0"/>
    <x v="0"/>
  </r>
  <r>
    <x v="5"/>
    <s v="MTSFY"/>
    <n v="26522"/>
    <n v="28.34"/>
    <n v="0.78"/>
    <n v="7.57"/>
    <n v="0.59"/>
    <n v="36.333333333333329"/>
    <n v="3.7437252311756932"/>
    <n v="6.29"/>
    <n v="2.02"/>
    <n v="3.13"/>
    <n v="48.033898305084747"/>
    <s v="NO"/>
    <n v="-0.40329871748449497"/>
    <n v="0.44947217756957147"/>
    <n v="0.39287941545568716"/>
    <n v="0.3690972421649017"/>
    <n v="1.3288730887816151"/>
    <n v="0.81146844242501492"/>
    <x v="0"/>
    <x v="0"/>
    <x v="0"/>
    <x v="0"/>
    <x v="0"/>
    <x v="0"/>
  </r>
  <r>
    <x v="5"/>
    <s v="BEKE"/>
    <n v="22093"/>
    <n v="18.84"/>
    <n v="0.8"/>
    <n v="8.15"/>
    <n v="0.53"/>
    <n v="23.549999999999997"/>
    <n v="2.3116564417177914"/>
    <n v="6.52"/>
    <n v="2.25"/>
    <n v="1.9"/>
    <n v="35.547169811320749"/>
    <s v="NO"/>
    <n v="-0.83563487949764548"/>
    <n v="-1.0721285827881459"/>
    <n v="0.44076252362250434"/>
    <n v="0.47793360844429583"/>
    <n v="-0.17068094718295992"/>
    <n v="0.70199372211588951"/>
    <x v="0"/>
    <x v="0"/>
    <x v="0"/>
    <x v="0"/>
    <x v="0"/>
    <x v="0"/>
  </r>
  <r>
    <x v="5"/>
    <s v="CSGP"/>
    <n v="31034"/>
    <n v="78.92"/>
    <n v="-0.08"/>
    <n v="20.22"/>
    <n v="0.28000000000000003"/>
    <n v="-986.5"/>
    <n v="3.9030662710187936"/>
    <n v="1.47"/>
    <n v="0.14000000000000001"/>
    <n v="1.22"/>
    <n v="281.85714285714283"/>
    <s v="NO"/>
    <n v="-34.99582839512081"/>
    <n v="0.61877511131567287"/>
    <n v="-0.61058398177935347"/>
    <n v="-0.52052175177101545"/>
    <n v="-0.99970269064305017"/>
    <n v="2.8614637083501555"/>
    <x v="1"/>
    <x v="0"/>
    <x v="0"/>
    <x v="0"/>
    <x v="0"/>
    <x v="1"/>
  </r>
  <r>
    <x v="5"/>
    <s v="Z"/>
    <n v="16204"/>
    <n v="70.28"/>
    <n v="0.78"/>
    <n v="19.7"/>
    <n v="-0.34"/>
    <n v="90.102564102564102"/>
    <n v="3.56751269035533"/>
    <n v="-1.72"/>
    <n v="-1.59"/>
    <n v="1.21"/>
    <n v="-206.70588235294116"/>
    <s v="NO"/>
    <n v="1.4151927713161807"/>
    <n v="0.26224294803072606"/>
    <n v="-1.2747018733104278"/>
    <n v="-1.3391605068290668"/>
    <n v="-1.0118941868704046"/>
    <n v="-1.4219080783404239"/>
    <x v="0"/>
    <x v="0"/>
    <x v="0"/>
    <x v="0"/>
    <x v="0"/>
    <x v="0"/>
  </r>
  <r>
    <x v="5"/>
    <s v="ZG"/>
    <n v="15977"/>
    <n v="69.41"/>
    <n v="0.78"/>
    <n v="19.7"/>
    <n v="-0.34"/>
    <n v="88.987179487179475"/>
    <n v="3.5233502538071066"/>
    <n v="-1.72"/>
    <n v="-1.59"/>
    <n v="1.21"/>
    <n v="-204.14705882352939"/>
    <s v="NO"/>
    <n v="1.3774701295599432"/>
    <n v="0.21531950585692988"/>
    <n v="-1.2747018733104278"/>
    <n v="-1.3391605068290668"/>
    <n v="-1.0118941868704046"/>
    <n v="-1.399474140552583"/>
    <x v="0"/>
    <x v="0"/>
    <x v="0"/>
    <x v="0"/>
    <x v="0"/>
    <x v="0"/>
  </r>
  <r>
    <x v="6"/>
    <s v="ESS"/>
    <n v="18279"/>
    <n v="283.72000000000003"/>
    <n v="16.11"/>
    <n v="86.55"/>
    <n v="10.45"/>
    <n v="17.611421477343267"/>
    <n v="3.2781051415366846"/>
    <n v="12.81"/>
    <n v="2.83"/>
    <n v="2.37"/>
    <n v="27.150239234449764"/>
    <s v="NO"/>
    <n v="0.16939354706373211"/>
    <n v="0.86876633452566909"/>
    <n v="1.7308442529264783"/>
    <n v="0.70783747100574856"/>
    <n v="1.6438953631881779"/>
    <n v="-0.72388208074573002"/>
    <x v="0"/>
    <x v="0"/>
    <x v="0"/>
    <x v="0"/>
    <x v="0"/>
    <x v="0"/>
  </r>
  <r>
    <x v="6"/>
    <s v="AVB"/>
    <n v="29437"/>
    <n v="206.92"/>
    <n v="11.31"/>
    <n v="83.8"/>
    <n v="8.0299999999999994"/>
    <n v="18.295313881520777"/>
    <n v="2.4692124105011932"/>
    <n v="9.69"/>
    <n v="2.91"/>
    <n v="1.78"/>
    <n v="25.768368617683688"/>
    <s v="NO"/>
    <n v="0.76759084924308807"/>
    <n v="-0.35844412795001657"/>
    <n v="0.87078219980003113"/>
    <n v="0.86321642805579113"/>
    <n v="-1.0691067746608405"/>
    <n v="-0.75461786112171925"/>
    <x v="0"/>
    <x v="0"/>
    <x v="0"/>
    <x v="0"/>
    <x v="0"/>
    <x v="0"/>
  </r>
  <r>
    <x v="6"/>
    <s v="MAA"/>
    <n v="18337"/>
    <n v="151"/>
    <n v="9.34"/>
    <n v="50.89"/>
    <n v="4.8099999999999996"/>
    <n v="16.167023554603855"/>
    <n v="2.96718412261741"/>
    <n v="9.3699999999999992"/>
    <n v="3.49"/>
    <n v="1.99"/>
    <n v="31.392931392931395"/>
    <s v="NO"/>
    <n v="-1.0940141693815517"/>
    <n v="0.39705295056080242"/>
    <n v="0.78257070717167754"/>
    <n v="1.9897138666685994"/>
    <n v="-0.10346194593491899"/>
    <n v="-0.629515464360762"/>
    <x v="0"/>
    <x v="0"/>
    <x v="0"/>
    <x v="0"/>
    <x v="0"/>
    <x v="0"/>
  </r>
  <r>
    <x v="6"/>
    <s v="EQR"/>
    <n v="26649"/>
    <n v="69.319999999999993"/>
    <n v="4.1500000000000004"/>
    <n v="29.04"/>
    <n v="2.62"/>
    <n v="16.703614457831321"/>
    <n v="2.387052341597796"/>
    <n v="8.9"/>
    <n v="2.64"/>
    <n v="1.86"/>
    <n v="26.458015267175568"/>
    <s v="NO"/>
    <n v="-0.6246607612665821"/>
    <n v="-0.48309316024741317"/>
    <n v="0.65301007737378369"/>
    <n v="0.33881244801189769"/>
    <n v="-0.70124207800334615"/>
    <n v="-0.73927863348445677"/>
    <x v="0"/>
    <x v="0"/>
    <x v="0"/>
    <x v="0"/>
    <x v="0"/>
    <x v="0"/>
  </r>
  <r>
    <x v="6"/>
    <s v="ELS"/>
    <n v="12154"/>
    <n v="62.33"/>
    <n v="3.14"/>
    <n v="9.15"/>
    <n v="1.94"/>
    <n v="19.850318471337577"/>
    <n v="6.8120218579234972"/>
    <n v="22.9"/>
    <n v="5.85"/>
    <n v="3.22"/>
    <n v="32.128865979381445"/>
    <s v="NO"/>
    <n v="2.1277456701226098"/>
    <n v="6.2302430810354972"/>
    <n v="4.5122628798642497"/>
    <n v="6.5733930996448517"/>
    <n v="5.5524577651740517"/>
    <n v="-0.61314669325745952"/>
    <x v="0"/>
    <x v="1"/>
    <x v="1"/>
    <x v="1"/>
    <x v="1"/>
    <x v="0"/>
  </r>
  <r>
    <x v="6"/>
    <s v="CPT"/>
    <n v="12552"/>
    <n v="117.54"/>
    <n v="7.22"/>
    <n v="42.39"/>
    <n v="1.0900000000000001"/>
    <n v="16.279778393351801"/>
    <n v="2.7728237791932062"/>
    <n v="2.6"/>
    <n v="2.08"/>
    <n v="1.95"/>
    <n v="107.8348623853211"/>
    <s v="NO"/>
    <n v="-0.99538806981577443"/>
    <n v="0.10217943051419344"/>
    <n v="-1.0836536837469262"/>
    <n v="-0.74884025133839982"/>
    <n v="-0.28739429426366614"/>
    <n v="1.070717809284673"/>
    <x v="0"/>
    <x v="0"/>
    <x v="0"/>
    <x v="0"/>
    <x v="0"/>
    <x v="0"/>
  </r>
  <r>
    <x v="6"/>
    <s v="AMH"/>
    <n v="14011"/>
    <n v="36.700000000000003"/>
    <n v="2.2200000000000002"/>
    <n v="19.329999999999998"/>
    <n v="1.08"/>
    <n v="16.531531531531531"/>
    <n v="1.8986032074495607"/>
    <n v="6.03"/>
    <n v="1.99"/>
    <n v="1.86"/>
    <n v="33.981481481481481"/>
    <s v="NO"/>
    <n v="-0.77518084547115063"/>
    <n v="-1.2241430730665743"/>
    <n v="-0.13813674713676197"/>
    <n v="-0.92364157801969782"/>
    <n v="-0.70124207800334615"/>
    <n v="-0.57194053220096541"/>
    <x v="0"/>
    <x v="0"/>
    <x v="0"/>
    <x v="0"/>
    <x v="0"/>
    <x v="0"/>
  </r>
  <r>
    <x v="6"/>
    <s v="SUI"/>
    <n v="15756"/>
    <n v="125.12"/>
    <n v="6.91"/>
    <n v="54.25"/>
    <n v="0.81"/>
    <n v="18.107091172214183"/>
    <n v="2.3063594470046085"/>
    <n v="1.72"/>
    <n v="2.08"/>
    <n v="2.38"/>
    <n v="154.46913580246914"/>
    <s v="NO"/>
    <n v="0.60295337669869531"/>
    <n v="-0.60551627111582129"/>
    <n v="-1.3262352884748985"/>
    <n v="-0.74884025133839982"/>
    <n v="1.6898784502703637"/>
    <n v="2.1079645445091879"/>
    <x v="0"/>
    <x v="0"/>
    <x v="0"/>
    <x v="0"/>
    <x v="0"/>
    <x v="0"/>
  </r>
  <r>
    <x v="6"/>
    <s v="INVH"/>
    <n v="20656"/>
    <n v="33.19"/>
    <n v="1.82"/>
    <n v="15.86"/>
    <n v="0.78"/>
    <n v="18.236263736263734"/>
    <n v="2.0926860025220679"/>
    <n v="4.8099999999999996"/>
    <n v="2.37"/>
    <n v="1.91"/>
    <n v="42.551282051282044"/>
    <s v="NO"/>
    <n v="0.71593997935435971"/>
    <n v="-0.92969063510906869"/>
    <n v="-0.47444306278235993"/>
    <n v="-0.18559153203199574"/>
    <n v="-0.4713266425924133"/>
    <n v="-0.38132970005530531"/>
    <x v="0"/>
    <x v="0"/>
    <x v="0"/>
    <x v="0"/>
    <x v="0"/>
    <x v="0"/>
  </r>
  <r>
    <x v="6"/>
    <s v="UDR"/>
    <n v="13726"/>
    <n v="41.48"/>
    <n v="2.5299999999999998"/>
    <n v="9.93"/>
    <n v="0.36"/>
    <n v="16.395256916996047"/>
    <n v="4.1772406847935546"/>
    <n v="2.85"/>
    <n v="1.8"/>
    <n v="3.27"/>
    <n v="115.22222222222221"/>
    <s v="NO"/>
    <n v="-0.89437957654741984"/>
    <n v="2.2328885518882275"/>
    <n v="-1.014738455131025"/>
    <n v="-1.2926666010135486"/>
    <n v="5.7823732005849848"/>
    <n v="1.2350286114325364"/>
    <x v="0"/>
    <x v="0"/>
    <x v="0"/>
    <x v="0"/>
    <x v="1"/>
    <x v="0"/>
  </r>
  <r>
    <x v="7"/>
    <s v="SPG"/>
    <n v="53230"/>
    <n v="160.41999999999999"/>
    <n v="9.34"/>
    <n v="7.86"/>
    <n v="6.28"/>
    <n v="17.175588865096358"/>
    <n v="20.409669211195926"/>
    <n v="67.31"/>
    <n v="5.83"/>
    <n v="12.67"/>
    <n v="25.544585987261144"/>
    <s v="NO"/>
    <n v="1.406108591731994"/>
    <n v="1.4142116046212072"/>
    <n v="1.4132542314120191"/>
    <n v="1.4141977266903833"/>
    <n v="1.4141914684389352"/>
    <n v="-0.79614582354586405"/>
    <x v="0"/>
    <x v="0"/>
    <x v="0"/>
    <x v="0"/>
    <x v="0"/>
    <x v="0"/>
  </r>
  <r>
    <x v="7"/>
    <s v="O"/>
    <n v="51132"/>
    <n v="56.81"/>
    <n v="4.08"/>
    <n v="43.22"/>
    <n v="1.1000000000000001"/>
    <n v="13.924019607843137"/>
    <n v="1.3144377602961592"/>
    <n v="2.5099999999999998"/>
    <n v="2.1800000000000002"/>
    <n v="1.79"/>
    <n v="51.645454545454541"/>
    <s v="NO"/>
    <n v="-0.57211930744384709"/>
    <n v="-0.70914369731114224"/>
    <n v="-0.75173097415532941"/>
    <n v="-0.70130297102269012"/>
    <n v="-0.71394175100997437"/>
    <n v="1.4103050347258914"/>
    <x v="0"/>
    <x v="0"/>
    <x v="0"/>
    <x v="0"/>
    <x v="0"/>
    <x v="0"/>
  </r>
  <r>
    <x v="7"/>
    <s v="KIM"/>
    <n v="14382"/>
    <n v="21.05"/>
    <n v="1.56"/>
    <n v="15.58"/>
    <n v="0.76"/>
    <n v="13.493589743589743"/>
    <n v="1.3510911424903722"/>
    <n v="5.21"/>
    <n v="2.16"/>
    <n v="1.86"/>
    <n v="27.697368421052634"/>
    <s v="NO"/>
    <n v="-0.83398928428814578"/>
    <n v="-0.70506790731006486"/>
    <n v="-0.66152325725668981"/>
    <n v="-0.71289475566769334"/>
    <n v="-0.70024971742896103"/>
    <n v="-0.61415921118002759"/>
    <x v="0"/>
    <x v="0"/>
    <x v="0"/>
    <x v="0"/>
    <x v="0"/>
    <x v="0"/>
  </r>
  <r>
    <x v="8"/>
    <s v="PSA"/>
    <n v="54105"/>
    <n v="302.58"/>
    <n v="18.14"/>
    <n v="29.73"/>
    <n v="10.08"/>
    <n v="16.680264608599778"/>
    <n v="10.177598385469222"/>
    <n v="20.12"/>
    <n v="7.06"/>
    <n v="3.76"/>
    <n v="30.017857142857142"/>
    <s v="NO"/>
    <n v="-0.80650241413097246"/>
    <n v="1.200876072786687"/>
    <n v="0.54048619247097396"/>
    <n v="1.8180398006119134"/>
    <n v="0.60219163195476588"/>
    <n v="-0.18212040104344288"/>
    <x v="0"/>
    <x v="0"/>
    <x v="0"/>
    <x v="0"/>
    <x v="0"/>
    <x v="0"/>
  </r>
  <r>
    <x v="8"/>
    <s v="EQIX"/>
    <n v="86943"/>
    <n v="907.48"/>
    <n v="35.979999999999997"/>
    <n v="141.99"/>
    <n v="9.59"/>
    <n v="25.221789883268485"/>
    <n v="6.3911543066413126"/>
    <n v="7.06"/>
    <n v="3.12"/>
    <n v="2.6"/>
    <n v="94.627737226277375"/>
    <s v="NO"/>
    <n v="0.65219043766485008"/>
    <n v="0.43450712377114237"/>
    <n v="-0.32022031156693809"/>
    <n v="-0.57124532761054736"/>
    <n v="7.4492071563809686E-2"/>
    <n v="2.2220103681554919"/>
    <x v="0"/>
    <x v="0"/>
    <x v="0"/>
    <x v="0"/>
    <x v="0"/>
    <x v="0"/>
  </r>
  <r>
    <x v="8"/>
    <s v="SBAC"/>
    <n v="24915"/>
    <n v="224.99"/>
    <n v="7.79"/>
    <n v="-46.01"/>
    <n v="7.56"/>
    <n v="28.881899871630296"/>
    <n v="-4.8900239078461212"/>
    <n v="-16.09"/>
    <n v="9.36"/>
    <n v="-2.1"/>
    <n v="29.760582010582013"/>
    <s v="NO"/>
    <n v="1.2772516656218138"/>
    <n v="-1.8487815005705679"/>
    <n v="-1.8458983795973869"/>
    <n v="3.2128001546504055"/>
    <n v="-2.0636009748478235"/>
    <n v="-0.19169359729227922"/>
    <x v="0"/>
    <x v="0"/>
    <x v="0"/>
    <x v="1"/>
    <x v="0"/>
    <x v="0"/>
  </r>
  <r>
    <x v="8"/>
    <s v="AMT"/>
    <n v="100486"/>
    <n v="212.83"/>
    <n v="11.35"/>
    <n v="7.55"/>
    <n v="6.18"/>
    <n v="18.751541850220267"/>
    <n v="28.189403973509936"/>
    <n v="28.42"/>
    <n v="4.53"/>
    <n v="17.559999999999999"/>
    <n v="34.438511326860848"/>
    <s v="NO"/>
    <n v="-0.45277667905652313"/>
    <n v="4.8464306435152205"/>
    <n v="1.0874895602745474"/>
    <n v="0.28380341116957203"/>
    <n v="6.8799967469506251"/>
    <n v="-1.7628055135520938E-2"/>
    <x v="0"/>
    <x v="1"/>
    <x v="0"/>
    <x v="0"/>
    <x v="1"/>
    <x v="0"/>
  </r>
  <r>
    <x v="8"/>
    <s v="EXR"/>
    <n v="32076"/>
    <n v="150.44"/>
    <n v="8.9"/>
    <n v="65.430000000000007"/>
    <n v="4.26"/>
    <n v="16.903370786516852"/>
    <n v="2.2992511080544089"/>
    <n v="6.39"/>
    <n v="3.33"/>
    <n v="2.09"/>
    <n v="35.314553990610328"/>
    <s v="NO"/>
    <n v="-0.76840109423155367"/>
    <n v="-0.39368615955475539"/>
    <n v="-0.36437600511252777"/>
    <n v="-0.44389764311138064"/>
    <n v="-0.15751376964255914"/>
    <n v="1.4969453485944228E-2"/>
    <x v="0"/>
    <x v="0"/>
    <x v="0"/>
    <x v="0"/>
    <x v="0"/>
    <x v="0"/>
  </r>
  <r>
    <x v="8"/>
    <s v="LAMR"/>
    <n v="12342"/>
    <n v="120.7"/>
    <n v="7.66"/>
    <n v="10.06"/>
    <n v="4.1100000000000003"/>
    <n v="15.757180156657963"/>
    <n v="11.998011928429424"/>
    <n v="38.25"/>
    <n v="5.08"/>
    <n v="6.36"/>
    <n v="29.367396593673963"/>
    <s v="NO"/>
    <n v="-0.96414366067093726"/>
    <n v="1.5693242486076087"/>
    <n v="1.7353260790105867"/>
    <n v="0.61733306104834185"/>
    <n v="1.7849665086931163"/>
    <n v="-0.20632400919783425"/>
    <x v="0"/>
    <x v="0"/>
    <x v="0"/>
    <x v="0"/>
    <x v="0"/>
    <x v="0"/>
  </r>
  <r>
    <x v="8"/>
    <s v="GLPI"/>
    <n v="12835"/>
    <n v="46.84"/>
    <n v="3.9"/>
    <n v="15.34"/>
    <n v="2.83"/>
    <n v="12.010256410256412"/>
    <n v="3.0534550195567149"/>
    <n v="17.559999999999999"/>
    <n v="5.9"/>
    <n v="2.88"/>
    <n v="16.551236749116608"/>
    <s v="NO"/>
    <n v="-1.6040306491587113"/>
    <n v="-0.24103674840054282"/>
    <n v="0.37177190071469091"/>
    <n v="1.1145954481403262"/>
    <n v="0.20186782752024734"/>
    <n v="-0.68321274797106835"/>
    <x v="0"/>
    <x v="0"/>
    <x v="0"/>
    <x v="0"/>
    <x v="0"/>
    <x v="0"/>
  </r>
  <r>
    <x v="8"/>
    <s v="DLR"/>
    <n v="57766"/>
    <n v="176.68"/>
    <n v="7.01"/>
    <n v="61.07"/>
    <n v="1.08"/>
    <n v="25.203994293865907"/>
    <n v="2.8930735221876538"/>
    <n v="1.85"/>
    <n v="1"/>
    <n v="2.19"/>
    <n v="163.59259259259258"/>
    <s v="NO"/>
    <n v="0.64915136698130171"/>
    <n v="-0.27349765288544781"/>
    <n v="-0.66358025689906075"/>
    <n v="-1.8568505235068968"/>
    <n v="-0.11202242822954561"/>
    <n v="4.7881895742682623"/>
    <x v="0"/>
    <x v="0"/>
    <x v="0"/>
    <x v="0"/>
    <x v="0"/>
    <x v="1"/>
  </r>
  <r>
    <x v="8"/>
    <s v="WY"/>
    <n v="18792"/>
    <n v="27.01"/>
    <n v="0.89"/>
    <n v="13.29"/>
    <n v="0.49"/>
    <n v="30.348314606741575"/>
    <n v="2.032355154251317"/>
    <n v="3.71"/>
    <n v="2.4"/>
    <n v="1.71"/>
    <n v="55.122448979591844"/>
    <s v="NO"/>
    <n v="1.5276810237387519"/>
    <n v="-0.44770538375412405"/>
    <n v="-0.54099877929488638"/>
    <n v="-1.0078659601791189"/>
    <n v="-0.3303808670120103"/>
    <n v="0.75202034654729799"/>
    <x v="0"/>
    <x v="0"/>
    <x v="0"/>
    <x v="0"/>
    <x v="0"/>
    <x v="0"/>
  </r>
  <r>
    <x v="8"/>
    <s v="IRM"/>
    <n v="29124"/>
    <n v="101.22"/>
    <n v="-3.43"/>
    <n v="-2.37"/>
    <n v="0.41"/>
    <n v="-29.510204081632651"/>
    <n v="-42.708860759493668"/>
    <n v="-108.66"/>
    <n v="4.16"/>
    <n v="-27.72"/>
    <n v="246.87804878048783"/>
    <s v="NO"/>
    <n v="-8.6947547265558303"/>
    <n v="-9.5032408422648995"/>
    <n v="-7.9466335311126626"/>
    <n v="5.942891943294492E-2"/>
    <n v="-13.718482644861876"/>
    <n v="7.887237701111486"/>
    <x v="1"/>
    <x v="1"/>
    <x v="1"/>
    <x v="0"/>
    <x v="1"/>
    <x v="1"/>
  </r>
  <r>
    <x v="8"/>
    <s v="CCI"/>
    <n v="43698"/>
    <n v="99.02"/>
    <n v="4.08"/>
    <n v="-2.88"/>
    <n v="-9.01"/>
    <n v="24.269607843137255"/>
    <n v="-34.381944444444443"/>
    <n v="-163.21"/>
    <n v="4.04"/>
    <n v="-25.35"/>
    <n v="-10.990011098779133"/>
    <s v="NO"/>
    <n v="0.4895800032419817"/>
    <n v="-7.8178891053708863"/>
    <n v="-11.541697833966269"/>
    <n v="-1.3341185995150405E-2"/>
    <n v="-12.640337853373458"/>
    <n v="-1.708021357548587"/>
    <x v="0"/>
    <x v="1"/>
    <x v="1"/>
    <x v="0"/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x v="0"/>
    <s v="EPRT"/>
    <n v="6419"/>
    <n v="33.049999999999997"/>
    <n v="1.78"/>
    <n v="19.32"/>
    <n v="1.1599999999999999"/>
    <n v="18.567415730337078"/>
    <n v="1.7106625258799171"/>
    <n v="6.02"/>
    <n v="3.42"/>
    <n v="1.59"/>
    <n v="28.491379310344826"/>
    <s v="NO"/>
    <n v="4.044424347090561"/>
    <n v="1.3998795334939158"/>
    <n v="0.85587570316943062"/>
    <n v="1.3752187097157995"/>
    <n v="-1.216226399101237"/>
    <n v="1.4063936499326049"/>
    <x v="0"/>
    <x v="0"/>
    <x v="0"/>
    <x v="0"/>
    <x v="0"/>
    <x v="0"/>
  </r>
  <r>
    <x v="0"/>
    <s v="BNL"/>
    <n v="3008"/>
    <n v="16.309999999999999"/>
    <n v="1.33"/>
    <n v="15.6"/>
    <n v="0.6"/>
    <n v="12.263157894736841"/>
    <n v="1.0455128205128204"/>
    <n v="3.76"/>
    <n v="2.58"/>
    <n v="1.78"/>
    <n v="27.183333333333334"/>
    <s v="NO"/>
    <n v="0.61440574674196657"/>
    <n v="0.3410392683850399"/>
    <n v="0.27413763124073498"/>
    <n v="-0.40198700745538751"/>
    <n v="-0.5365704701917221"/>
    <n v="-0.83181515986686705"/>
    <x v="1"/>
    <x v="0"/>
    <x v="0"/>
    <x v="0"/>
    <x v="0"/>
    <x v="0"/>
  </r>
  <r>
    <x v="0"/>
    <s v="ESBA"/>
    <n v="2055"/>
    <n v="8.2001000000000008"/>
    <n v="0.96"/>
    <n v="15867.55"/>
    <n v="0.3"/>
    <n v="8.5417708333333344"/>
    <n v="5.1678425465809155E-4"/>
    <n v="4.8899999999999997"/>
    <n v="2.31"/>
    <n v="2.34"/>
    <n v="27.333666666666669"/>
    <s v="NO"/>
    <n v="-1.4103253433523686"/>
    <n v="-1.3224717745291978"/>
    <n v="0.56500666720508275"/>
    <n v="-0.973231702260412"/>
    <n v="1.4666259518573743"/>
    <n v="-0.5745784900657438"/>
    <x v="1"/>
    <x v="0"/>
    <x v="0"/>
    <x v="0"/>
    <x v="0"/>
    <x v="0"/>
  </r>
  <r>
    <x v="0"/>
    <s v="HRUFF"/>
    <n v="2001"/>
    <n v="7.81"/>
    <n v="0.62"/>
    <n v="13.74"/>
    <n v="-0.54"/>
    <n v="12.596774193548386"/>
    <n v="0.56841339155749637"/>
    <n v="-3.89"/>
    <n v="3.21"/>
    <n v="2.0099999999999998"/>
    <n v="-14.462962962962962"/>
    <s v="NO"/>
    <n v="0.79591959661040301"/>
    <n v="-0.41844702734975803"/>
    <n v="-1.6950200016152479"/>
    <n v="0.9309172804230027"/>
    <n v="0.2861709174355847"/>
    <n v="-72.0931537550549"/>
    <x v="1"/>
    <x v="0"/>
    <x v="0"/>
    <x v="1"/>
    <x v="0"/>
    <x v="1"/>
  </r>
  <r>
    <x v="1"/>
    <s v="NHI"/>
    <n v="3386"/>
    <n v="71.78"/>
    <n v="4.71"/>
    <n v="30.55"/>
    <n v="3.16"/>
    <n v="15.239915074309978"/>
    <n v="2.3495908346972176"/>
    <n v="10.31"/>
    <n v="4.5599999999999996"/>
    <n v="1.95"/>
    <n v="22.715189873417721"/>
    <s v="NO"/>
    <n v="-0.67751175414808429"/>
    <n v="1.0479022784075551"/>
    <n v="0.98014119434694458"/>
    <n v="1.0544500240622323"/>
    <n v="-0.6291140940445491"/>
    <n v="0.51753318943747828"/>
    <x v="1"/>
    <x v="0"/>
    <x v="0"/>
    <x v="0"/>
    <x v="0"/>
    <x v="0"/>
  </r>
  <r>
    <x v="1"/>
    <s v="CTRE"/>
    <n v="5513"/>
    <n v="28.7"/>
    <n v="1.53"/>
    <n v="15.6"/>
    <n v="0.95"/>
    <n v="18.758169934640524"/>
    <n v="1.8397435897435896"/>
    <n v="6.96"/>
    <n v="4.4000000000000004"/>
    <n v="1.33"/>
    <n v="30.210526315789476"/>
    <s v="NO"/>
    <n v="-0.19207409626878652"/>
    <n v="0.30147538427270654"/>
    <n v="0.72351962333777975"/>
    <n v="0.95601828319294613"/>
    <n v="-12.63067527274057"/>
    <n v="0.94179806859162629"/>
    <x v="1"/>
    <x v="0"/>
    <x v="0"/>
    <x v="0"/>
    <x v="1"/>
    <x v="0"/>
  </r>
  <r>
    <x v="1"/>
    <s v="SBRA"/>
    <n v="4159"/>
    <n v="17.79"/>
    <n v="1.44"/>
    <n v="11.36"/>
    <n v="0.6"/>
    <n v="12.354166666666666"/>
    <n v="1.5660211267605635"/>
    <n v="5.15"/>
    <n v="3.14"/>
    <n v="1.94"/>
    <n v="29.65"/>
    <s v="NO"/>
    <n v="-1.0756781758108034"/>
    <n v="-9.92599534615283E-2"/>
    <n v="0.58486737153879809"/>
    <n v="0.18086832384731388"/>
    <n v="-0.8226876614428722"/>
    <n v="0.91007012262688303"/>
    <x v="1"/>
    <x v="0"/>
    <x v="0"/>
    <x v="0"/>
    <x v="0"/>
    <x v="0"/>
  </r>
  <r>
    <x v="1"/>
    <s v="AHR"/>
    <n v="5573"/>
    <n v="35.200000000000003"/>
    <n v="1.05"/>
    <n v="14.22"/>
    <n v="-0.28000000000000003"/>
    <n v="33.523809523809526"/>
    <n v="2.4753867791842477"/>
    <n v="-1.77"/>
    <n v="1.91"/>
    <n v="1.97"/>
    <n v="-125.71428571428571"/>
    <s v="NO"/>
    <n v="1.8452420686501503"/>
    <n v="1.2320701386197916"/>
    <n v="5.4771469633299354E-2"/>
    <n v="-0.57582568408532708"/>
    <n v="-0.24196695924790282"/>
    <n v="-7.8841461757657507"/>
    <x v="1"/>
    <x v="0"/>
    <x v="0"/>
    <x v="0"/>
    <x v="0"/>
    <x v="1"/>
  </r>
  <r>
    <x v="1"/>
    <s v="HR"/>
    <n v="5096"/>
    <n v="14.52"/>
    <n v="0.56999999999999995"/>
    <n v="14.47"/>
    <n v="-1.1100000000000001"/>
    <n v="25.473684210526319"/>
    <n v="1.0034554250172771"/>
    <n v="-6.76"/>
    <n v="0.22"/>
    <n v="2.0699999999999998"/>
    <n v="-13.081081081081079"/>
    <s v="NO"/>
    <n v="0.73451128510824937"/>
    <n v="-0.92286775688748413"/>
    <n v="-0.32747976598930745"/>
    <n v="-1.6155109470171667"/>
    <n v="1.693768714735324"/>
    <n v="-1.5086734641859183"/>
    <x v="1"/>
    <x v="0"/>
    <x v="0"/>
    <x v="0"/>
    <x v="0"/>
    <x v="0"/>
  </r>
  <r>
    <x v="1"/>
    <s v="MPW"/>
    <n v="2746"/>
    <n v="4.51"/>
    <n v="0.28999999999999998"/>
    <n v="7.93"/>
    <n v="-2.76"/>
    <n v="15.551724137931036"/>
    <n v="0.56872635561160145"/>
    <n v="-28.8"/>
    <n v="1.5"/>
    <n v="3.12"/>
    <n v="-1.6340579710144929"/>
    <s v="NO"/>
    <n v="-0.63448932753072373"/>
    <n v="-1.5593200909510427"/>
    <n v="-2.0158198928675146"/>
    <n v="-0.82805702006287396"/>
    <n v="22.018993291559237"/>
    <n v="-0.86072791647006819"/>
    <x v="1"/>
    <x v="0"/>
    <x v="0"/>
    <x v="1"/>
    <x v="1"/>
    <x v="0"/>
  </r>
  <r>
    <x v="2"/>
    <s v="RHP"/>
    <n v="6117"/>
    <n v="98.13"/>
    <n v="11.14"/>
    <n v="8.9600000000000009"/>
    <n v="4.7"/>
    <n v="8.8087971274685817"/>
    <n v="10.952008928571427"/>
    <n v="32.49"/>
    <n v="6.17"/>
    <n v="9.86"/>
    <n v="20.878723404255318"/>
    <s v="NO"/>
    <n v="1.1901552980067536"/>
    <n v="1.4138250040830795"/>
    <n v="1.4116044114237176"/>
    <n v="1.3592003217059638"/>
    <n v="1.4054380194471103"/>
    <n v="1.3221490543539338"/>
    <x v="1"/>
    <x v="0"/>
    <x v="0"/>
    <x v="0"/>
    <x v="0"/>
    <x v="0"/>
  </r>
  <r>
    <x v="2"/>
    <s v="APLE"/>
    <n v="2757"/>
    <n v="11.73"/>
    <n v="1.66"/>
    <n v="13.48"/>
    <n v="0.79"/>
    <n v="7.0662650602409647"/>
    <n v="0.87017804154302669"/>
    <n v="5.84"/>
    <n v="3.38"/>
    <n v="1.54"/>
    <n v="14.848101265822784"/>
    <s v="NO"/>
    <n v="6.6471876708670261E-2"/>
    <n v="-0.67820460465928356"/>
    <n v="-0.63143998925199241"/>
    <n v="-0.34132384760329143"/>
    <n v="-0.83894668723234411"/>
    <n v="-1.0957484377734683"/>
    <x v="1"/>
    <x v="0"/>
    <x v="0"/>
    <x v="0"/>
    <x v="0"/>
    <x v="0"/>
  </r>
  <r>
    <x v="2"/>
    <s v="PK"/>
    <n v="2071"/>
    <n v="10.38"/>
    <n v="2.0699999999999998"/>
    <n v="17.489999999999998"/>
    <n v="0.61"/>
    <n v="5.0144927536231894"/>
    <n v="0.59348198970840493"/>
    <n v="3.9"/>
    <n v="2.27"/>
    <n v="2.5499999999999998"/>
    <n v="17.016393442622952"/>
    <s v="NO"/>
    <n v="-1.2566271747154214"/>
    <n v="-0.73562039942379565"/>
    <n v="-0.7801644221717251"/>
    <n v="-1.0178764741026725"/>
    <n v="-0.56649133221476611"/>
    <n v="-0.22640061658046845"/>
    <x v="1"/>
    <x v="0"/>
    <x v="0"/>
    <x v="0"/>
    <x v="0"/>
    <x v="0"/>
  </r>
  <r>
    <x v="3"/>
    <s v="EGP"/>
    <n v="8904"/>
    <n v="171.96"/>
    <n v="8.6999999999999993"/>
    <n v="64.09"/>
    <n v="4.58"/>
    <n v="19.765517241379314"/>
    <n v="2.6831018879700421"/>
    <n v="7.61"/>
    <n v="3.35"/>
    <n v="1.53"/>
    <n v="37.545851528384283"/>
    <s v="NO"/>
    <n v="0.75030663446225965"/>
    <n v="1.6774916336618411"/>
    <n v="0.77151817185925553"/>
    <n v="1.3322179777936476"/>
    <n v="-0.88816925274068448"/>
    <n v="0.81728032149589769"/>
    <x v="1"/>
    <x v="0"/>
    <x v="0"/>
    <x v="0"/>
    <x v="0"/>
    <x v="0"/>
  </r>
  <r>
    <x v="3"/>
    <s v="FR"/>
    <n v="6545"/>
    <n v="49.85"/>
    <n v="2.86"/>
    <n v="20.02"/>
    <n v="2.0099999999999998"/>
    <n v="17.43006993006993"/>
    <n v="2.4900099900099901"/>
    <n v="10.28"/>
    <n v="3.3"/>
    <n v="2.06"/>
    <n v="24.800995024875625"/>
    <s v="NO"/>
    <n v="0.1383920924792427"/>
    <n v="1.3386088464287811"/>
    <n v="1.218241624039079"/>
    <n v="1.2701305886820924"/>
    <n v="0.53828439560041463"/>
    <n v="-1.1744613628162306"/>
    <x v="1"/>
    <x v="0"/>
    <x v="0"/>
    <x v="0"/>
    <x v="0"/>
    <x v="0"/>
  </r>
  <r>
    <x v="3"/>
    <s v="TRNO"/>
    <n v="5799"/>
    <n v="59.83"/>
    <n v="2.5099999999999998"/>
    <n v="37.9"/>
    <n v="1.98"/>
    <n v="23.836653386454184"/>
    <n v="1.5786279683377309"/>
    <n v="5.36"/>
    <n v="2.12"/>
    <n v="1.26"/>
    <n v="30.217171717171716"/>
    <s v="NO"/>
    <n v="1.8169919745683885"/>
    <n v="-0.26089731100871705"/>
    <n v="0.39506582451670741"/>
    <n v="-0.19513179435060068"/>
    <n v="-1.6148531868012443"/>
    <n v="-0.32803167687382107"/>
    <x v="1"/>
    <x v="0"/>
    <x v="0"/>
    <x v="0"/>
    <x v="0"/>
    <x v="0"/>
  </r>
  <r>
    <x v="3"/>
    <s v="STAG"/>
    <n v="6640"/>
    <n v="37.01"/>
    <n v="2.0499999999999998"/>
    <n v="18.579999999999998"/>
    <n v="1.33"/>
    <n v="18.053658536585367"/>
    <n v="1.9919268030139936"/>
    <n v="7.15"/>
    <n v="2.65"/>
    <n v="1.98"/>
    <n v="27.82706766917293"/>
    <s v="NO"/>
    <n v="0.3017796091634809"/>
    <n v="0.46445607012716045"/>
    <n v="0.69455458084700128"/>
    <n v="0.46299453023188003"/>
    <n v="0.32297063736024856"/>
    <n v="-0.70155254475740858"/>
    <x v="1"/>
    <x v="0"/>
    <x v="0"/>
    <x v="0"/>
    <x v="0"/>
    <x v="0"/>
  </r>
  <r>
    <x v="3"/>
    <s v="REXR"/>
    <n v="8341"/>
    <n v="36.6"/>
    <n v="0.52"/>
    <n v="36.700000000000003"/>
    <n v="1.23"/>
    <n v="70.384615384615387"/>
    <n v="0.99727520435967298"/>
    <n v="3.36"/>
    <n v="1.84"/>
    <n v="1.51"/>
    <n v="29.756097560975611"/>
    <s v="NO"/>
    <n v="14.01310306147546"/>
    <n v="-1.2811910007174703"/>
    <n v="6.0441515767775712E-2"/>
    <n v="-0.54282117337530766"/>
    <n v="-0.94199769230072605"/>
    <n v="-0.40008746002069323"/>
    <x v="0"/>
    <x v="0"/>
    <x v="0"/>
    <x v="0"/>
    <x v="0"/>
    <x v="0"/>
  </r>
  <r>
    <x v="3"/>
    <s v="LXP"/>
    <n v="2538"/>
    <n v="8.75"/>
    <n v="0.66"/>
    <n v="6.7"/>
    <n v="0.2"/>
    <n v="13.257575757575758"/>
    <n v="1.3059701492537312"/>
    <n v="2.85"/>
    <n v="1"/>
    <n v="1.9"/>
    <n v="43.75"/>
    <s v="NO"/>
    <n v="-0.95485023764085086"/>
    <n v="-0.73942097082166935"/>
    <n v="-2.4887682963201818E-2"/>
    <n v="-1.5858893104494285"/>
    <n v="0.10765687912008244"/>
    <n v="1.7868527229722506"/>
    <x v="1"/>
    <x v="0"/>
    <x v="0"/>
    <x v="0"/>
    <x v="0"/>
    <x v="0"/>
  </r>
  <r>
    <x v="3"/>
    <s v="COLD"/>
    <n v="4718"/>
    <n v="17.57"/>
    <n v="1.33"/>
    <n v="11.21"/>
    <n v="-0.42"/>
    <n v="13.210526315789473"/>
    <n v="1.5673505798394289"/>
    <n v="-3.55"/>
    <n v="1.68"/>
    <n v="2.4500000000000002"/>
    <n v="-41.833333333333336"/>
    <s v="NO"/>
    <n v="-0.9671777423042166"/>
    <n v="-0.28068950781961211"/>
    <n v="-1.095685470959783"/>
    <n v="-0.74150081853228322"/>
    <n v="1.5879389670212236"/>
    <n v="-11.587946156517059"/>
    <x v="1"/>
    <x v="0"/>
    <x v="0"/>
    <x v="0"/>
    <x v="0"/>
    <x v="1"/>
  </r>
  <r>
    <x v="3"/>
    <s v="LINE"/>
    <n v="9759"/>
    <n v="45.295000000000002"/>
    <n v="3.55"/>
    <n v="37.619999999999997"/>
    <n v="-3.18"/>
    <n v="12.759154929577466"/>
    <n v="1.2040138224348751"/>
    <n v="-9.07"/>
    <n v="0.5"/>
    <n v="2.19"/>
    <n v="-14.2437106918239"/>
    <s v="NO"/>
    <n v="-1.0854423307283099"/>
    <n v="-0.91835775985031576"/>
    <n v="-2.0192485631068346"/>
    <n v="-2.2067632015649767"/>
    <n v="0.88816925274068392"/>
    <n v="-7.2762929453249274"/>
    <x v="1"/>
    <x v="0"/>
    <x v="0"/>
    <x v="1"/>
    <x v="0"/>
    <x v="1"/>
  </r>
  <r>
    <x v="4"/>
    <s v="KRC"/>
    <n v="3809"/>
    <n v="34.97"/>
    <n v="4.33"/>
    <n v="45.29"/>
    <n v="1.68"/>
    <n v="8.0762124711316385"/>
    <n v="0.77213512916758664"/>
    <n v="3.94"/>
    <n v="1.82"/>
    <n v="2.0299999999999998"/>
    <n v="20.81547619047619"/>
    <s v="NO"/>
    <n v="-0.79457553122334368"/>
    <n v="-1.3843015537589172"/>
    <n v="0.37168195402659132"/>
    <n v="0.24406315167195164"/>
    <n v="-1.0195663916896314"/>
    <n v="-0.89730448315050804"/>
    <x v="1"/>
    <x v="0"/>
    <x v="0"/>
    <x v="0"/>
    <x v="0"/>
    <x v="0"/>
  </r>
  <r>
    <x v="4"/>
    <s v="HIW"/>
    <n v="3202"/>
    <n v="31.16"/>
    <n v="3.52"/>
    <n v="22.09"/>
    <n v="1.6"/>
    <n v="8.8522727272727266"/>
    <n v="1.4105930285196921"/>
    <n v="7.16"/>
    <n v="2.2200000000000002"/>
    <n v="2.5499999999999998"/>
    <n v="19.474999999999998"/>
    <s v="NO"/>
    <n v="-0.6965711726689845"/>
    <n v="4.6781152054538089E-2"/>
    <n v="1.7930785003040546"/>
    <n v="0.59998858119354792"/>
    <n v="-0.46064746612483337"/>
    <n v="-0.94532139519295477"/>
    <x v="1"/>
    <x v="0"/>
    <x v="0"/>
    <x v="0"/>
    <x v="0"/>
    <x v="0"/>
  </r>
  <r>
    <x v="4"/>
    <s v="CDP"/>
    <n v="3099"/>
    <n v="28.29"/>
    <n v="2.96"/>
    <n v="13.23"/>
    <n v="1.24"/>
    <n v="9.5574324324324316"/>
    <n v="2.1383219954648527"/>
    <n v="9.42"/>
    <n v="3.22"/>
    <n v="2.85"/>
    <n v="22.814516129032256"/>
    <s v="NO"/>
    <n v="-0.60752045265634413"/>
    <n v="1.6779620649566169"/>
    <n v="2.7907046476913422"/>
    <n v="1.4898021549975384"/>
    <n v="-0.13819423983744958"/>
    <n v="-0.82569729938927627"/>
    <x v="1"/>
    <x v="0"/>
    <x v="1"/>
    <x v="0"/>
    <x v="0"/>
    <x v="0"/>
  </r>
  <r>
    <x v="4"/>
    <s v="VNO"/>
    <n v="7231"/>
    <n v="41.15"/>
    <n v="2.6"/>
    <n v="21.53"/>
    <n v="0.52"/>
    <n v="15.826923076923077"/>
    <n v="1.9112865768694842"/>
    <n v="2"/>
    <n v="1.57"/>
    <n v="3.78"/>
    <n v="79.134615384615373"/>
    <s v="NO"/>
    <n v="0.18421885394223653"/>
    <n v="1.1690695264060575"/>
    <n v="-0.48468739373063802"/>
    <n v="2.1609758220954015E-2"/>
    <n v="0.86141076165343899"/>
    <n v="1.1917329775457559"/>
    <x v="1"/>
    <x v="0"/>
    <x v="0"/>
    <x v="0"/>
    <x v="0"/>
    <x v="0"/>
  </r>
  <r>
    <x v="4"/>
    <s v="CUZ"/>
    <n v="4713"/>
    <n v="29.67"/>
    <n v="1.1599999999999999"/>
    <n v="28.67"/>
    <n v="0.34"/>
    <n v="25.577586206896555"/>
    <n v="1.0348796651552146"/>
    <n v="1.1599999999999999"/>
    <n v="1.43"/>
    <n v="1.8"/>
    <n v="87.264705882352942"/>
    <s v="NO"/>
    <n v="1.4155761847304296"/>
    <n v="-0.7953681849644485"/>
    <n v="-0.85548649275954147"/>
    <n v="-0.10296414211160476"/>
    <n v="-1.2667805318432919"/>
    <n v="1.4829592172213124"/>
    <x v="1"/>
    <x v="0"/>
    <x v="0"/>
    <x v="0"/>
    <x v="0"/>
    <x v="0"/>
  </r>
  <r>
    <x v="4"/>
    <s v="DEI"/>
    <n v="2383"/>
    <n v="14.62"/>
    <n v="2.4"/>
    <n v="12.22"/>
    <n v="0.32"/>
    <n v="6.0916666666666668"/>
    <n v="1.1963993453355155"/>
    <n v="1.23"/>
    <n v="1.35"/>
    <n v="4.68"/>
    <n v="45.6875"/>
    <s v="NO"/>
    <n v="-1.0451928474037193"/>
    <n v="-0.43332705243384084"/>
    <n v="-0.82458656784046613"/>
    <n v="-0.17414922801592386"/>
    <n v="1.8287704405155893"/>
    <n v="-6.3690170343303574E-3"/>
    <x v="1"/>
    <x v="0"/>
    <x v="0"/>
    <x v="0"/>
    <x v="0"/>
    <x v="0"/>
  </r>
  <r>
    <x v="4"/>
    <s v="SLG"/>
    <n v="4032"/>
    <n v="64.36"/>
    <n v="2.42"/>
    <n v="50.9"/>
    <n v="-0.45"/>
    <n v="26.595041322314049"/>
    <n v="1.2644400785854617"/>
    <n v="-0.22"/>
    <n v="-0.79"/>
    <n v="3.16"/>
    <n v="-143.02222222222221"/>
    <s v="NO"/>
    <n v="1.544064965279726"/>
    <n v="-0.28081595226000694"/>
    <n v="-1.4646564411641685"/>
    <n v="-2.0783502759564634"/>
    <n v="0.19500742732618009"/>
    <n v="-6.7660997738186488"/>
    <x v="1"/>
    <x v="0"/>
    <x v="1"/>
    <x v="0"/>
    <x v="0"/>
    <x v="1"/>
  </r>
  <r>
    <x v="5"/>
    <s v="HHH"/>
    <n v="4057"/>
    <n v="69.17"/>
    <n v="6.49"/>
    <n v="55.71"/>
    <n v="6.36"/>
    <n v="10.657935285053929"/>
    <n v="1.2416083288458086"/>
    <n v="10.82"/>
    <n v="3.73"/>
    <n v="3.33"/>
    <n v="10.875786163522012"/>
    <s v="NO"/>
    <n v="-1.5117485159903237"/>
    <n v="-1.2630025741081332"/>
    <n v="0.770647362658747"/>
    <n v="-0.26551191932744428"/>
    <n v="0.22818257664364608"/>
    <n v="-0.28427919387446948"/>
    <x v="1"/>
    <x v="0"/>
    <x v="0"/>
    <x v="0"/>
    <x v="0"/>
    <x v="0"/>
  </r>
  <r>
    <x v="5"/>
    <s v="FSV"/>
    <n v="7971"/>
    <n v="177.32"/>
    <n v="4.84"/>
    <n v="26.53"/>
    <n v="2.88"/>
    <n v="36.636363636363633"/>
    <n v="6.6837542404824717"/>
    <n v="12.27"/>
    <n v="5.31"/>
    <n v="3.51"/>
    <n v="61.569444444444443"/>
    <s v="NO"/>
    <n v="1.6690480228429343"/>
    <n v="0.79816598530653449"/>
    <n v="1.3949147793376202"/>
    <n v="2.0437110120708781"/>
    <n v="0.40456910828229198"/>
    <n v="1.2287059243872718"/>
    <x v="1"/>
    <x v="0"/>
    <x v="1"/>
    <x v="0"/>
    <x v="0"/>
    <x v="0"/>
  </r>
  <r>
    <x v="5"/>
    <s v="CIGI"/>
    <n v="6099"/>
    <n v="126.65"/>
    <n v="6.27"/>
    <n v="26.49"/>
    <n v="2.86"/>
    <n v="20.199362041467307"/>
    <n v="4.7810494526236322"/>
    <n v="9.81"/>
    <n v="3.92"/>
    <n v="4.5599999999999996"/>
    <n v="44.283216783216787"/>
    <s v="NO"/>
    <n v="-0.34349704242492424"/>
    <n v="7.7532001899985201E-2"/>
    <n v="0.33581281724794548"/>
    <n v="1.2179445840708411E-2"/>
    <n v="1.4334905428410609"/>
    <n v="0.71278724561706375"/>
    <x v="1"/>
    <x v="0"/>
    <x v="0"/>
    <x v="0"/>
    <x v="0"/>
    <x v="0"/>
  </r>
  <r>
    <x v="5"/>
    <s v="JOE"/>
    <n v="2603"/>
    <n v="46.1"/>
    <n v="1.76"/>
    <n v="12.5"/>
    <n v="1.33"/>
    <n v="26.19318181818182"/>
    <n v="3.6880000000000002"/>
    <n v="10.52"/>
    <n v="3.91"/>
    <n v="2.13"/>
    <n v="34.661654135338345"/>
    <s v="NO"/>
    <n v="0.39038573686963945"/>
    <n v="-0.33645159982885764"/>
    <n v="0.6414885867941521"/>
    <n v="-2.4358891681414228E-3"/>
    <n v="-0.94772763428066176"/>
    <n v="0.42562546652444178"/>
    <x v="1"/>
    <x v="0"/>
    <x v="0"/>
    <x v="0"/>
    <x v="0"/>
    <x v="0"/>
  </r>
  <r>
    <x v="5"/>
    <s v="CWK"/>
    <n v="2320"/>
    <n v="10.36"/>
    <n v="0.59"/>
    <n v="7.68"/>
    <n v="0.69"/>
    <n v="17.559322033898304"/>
    <n v="1.3489583333333333"/>
    <n v="9.52"/>
    <n v="3.49"/>
    <n v="4.17"/>
    <n v="15.014492753623189"/>
    <s v="NO"/>
    <n v="-0.66674331448177304"/>
    <n v="-1.2223446318744298"/>
    <n v="0.21095933391217039"/>
    <n v="-0.61627995953984738"/>
    <n v="1.0513197242906613"/>
    <n v="-0.16075681075951123"/>
    <x v="1"/>
    <x v="0"/>
    <x v="0"/>
    <x v="0"/>
    <x v="0"/>
    <x v="0"/>
  </r>
  <r>
    <x v="5"/>
    <s v="VTMX"/>
    <n v="2440"/>
    <n v="28.28"/>
    <n v="0.18"/>
    <n v="3.06"/>
    <n v="0.13"/>
    <n v="157.11111111111111"/>
    <n v="9.241830065359478"/>
    <n v="4.4800000000000004"/>
    <n v="3.11"/>
    <n v="1.55"/>
    <n v="217.53846153846155"/>
    <s v="NO"/>
    <n v="16.41996576899551"/>
    <n v="1.7670164256376253"/>
    <n v="-1.9589081006130173"/>
    <n v="-1.1716626898761535"/>
    <n v="-1.5160842362274103"/>
    <n v="5.883702422479125"/>
    <x v="0"/>
    <x v="0"/>
    <x v="0"/>
    <x v="0"/>
    <x v="0"/>
    <x v="1"/>
  </r>
  <r>
    <x v="5"/>
    <s v="COMP"/>
    <n v="3081"/>
    <n v="6.16"/>
    <n v="0.23"/>
    <n v="1.22"/>
    <n v="-0.14000000000000001"/>
    <n v="26.782608695652172"/>
    <n v="5.0491803278688527"/>
    <n v="-14.89"/>
    <n v="-5.17"/>
    <n v="2.4300000000000002"/>
    <n v="-44"/>
    <s v="NO"/>
    <n v="0.46255511318444908"/>
    <n v="0.17908439296727616"/>
    <n v="-10.298259728937005"/>
    <n v="-13.273160077204073"/>
    <n v="-0.65375008154958458"/>
    <n v="-1.9220826318947961"/>
    <x v="1"/>
    <x v="0"/>
    <x v="1"/>
    <x v="1"/>
    <x v="0"/>
    <x v="0"/>
  </r>
  <r>
    <x v="6"/>
    <s v="CDPYF"/>
    <n v="5165"/>
    <n v="32.682000000000002"/>
    <n v="2.61"/>
    <n v="38.6"/>
    <n v="0.49"/>
    <n v="12.521839080459772"/>
    <n v="0.84668393782383422"/>
    <n v="2.9"/>
    <n v="2.5099999999999998"/>
    <n v="1.7"/>
    <n v="66.697959183673476"/>
    <s v="NO"/>
    <n v="-1.0000000000000002"/>
    <n v="-1.0000000000000004"/>
    <n v="1"/>
    <n v="1.0000000000000007"/>
    <n v="-0.99999999999918499"/>
    <n v="-0.99999999999999967"/>
    <x v="1"/>
    <x v="0"/>
    <x v="0"/>
    <x v="0"/>
    <x v="0"/>
    <x v="0"/>
  </r>
  <r>
    <x v="6"/>
    <s v="IRT"/>
    <n v="4346"/>
    <n v="18.29"/>
    <n v="0.71"/>
    <n v="14.81"/>
    <n v="0.13"/>
    <n v="25.760563380281692"/>
    <n v="1.2349763673193788"/>
    <n v="0.86"/>
    <n v="1.32"/>
    <n v="1.73"/>
    <n v="140.69230769230768"/>
    <s v="NO"/>
    <n v="1"/>
    <n v="0.99999999999999933"/>
    <n v="-1"/>
    <n v="-1.0000000000000011"/>
    <n v="0.99999999999919986"/>
    <n v="0.99999999999999967"/>
    <x v="1"/>
    <x v="0"/>
    <x v="0"/>
    <x v="0"/>
    <x v="0"/>
    <x v="0"/>
  </r>
  <r>
    <x v="7"/>
    <s v="FRT"/>
    <n v="8236"/>
    <n v="96.75"/>
    <n v="5.99"/>
    <n v="35.15"/>
    <n v="3.47"/>
    <n v="16.151919866444072"/>
    <n v="2.7524893314367"/>
    <n v="9.4499999999999993"/>
    <n v="3.17"/>
    <n v="2.84"/>
    <n v="27.881844380403457"/>
    <s v="NO"/>
    <n v="0.56908323486534662"/>
    <n v="1.8955802638364125"/>
    <n v="0.71490912655486216"/>
    <n v="0.61270049758427858"/>
    <n v="0.45183815593399973"/>
    <n v="-0.13563341344147609"/>
    <x v="1"/>
    <x v="0"/>
    <x v="0"/>
    <x v="0"/>
    <x v="0"/>
    <x v="0"/>
  </r>
  <r>
    <x v="7"/>
    <s v="NNN"/>
    <n v="7849"/>
    <n v="42.25"/>
    <n v="3.5"/>
    <n v="23.23"/>
    <n v="2.14"/>
    <n v="12.071428571428571"/>
    <n v="1.8187688334050796"/>
    <n v="9.35"/>
    <n v="3.89"/>
    <n v="2.0699999999999998"/>
    <n v="19.742990654205606"/>
    <s v="NO"/>
    <n v="-0.72151975554076375"/>
    <n v="0.28747067393614495"/>
    <n v="0.69699160458606868"/>
    <n v="1.357489673868544"/>
    <n v="-0.54439531122444595"/>
    <n v="-0.37047654726962193"/>
    <x v="1"/>
    <x v="0"/>
    <x v="0"/>
    <x v="0"/>
    <x v="0"/>
    <x v="0"/>
  </r>
  <r>
    <x v="7"/>
    <s v="ADC"/>
    <n v="8284"/>
    <n v="74.59"/>
    <n v="4.4000000000000004"/>
    <n v="49.81"/>
    <n v="1.77"/>
    <n v="16.952272727272728"/>
    <n v="1.4974904637622968"/>
    <n v="3.55"/>
    <n v="2.2999999999999998"/>
    <n v="1.61"/>
    <n v="42.141242937853107"/>
    <s v="NO"/>
    <n v="0.82222378115871297"/>
    <n v="-0.26585425396169537"/>
    <n v="-0.34222466960395642"/>
    <n v="-0.28725309042587532"/>
    <n v="-1.1395477721242961"/>
    <n v="0.2758154166261958"/>
    <x v="1"/>
    <x v="0"/>
    <x v="0"/>
    <x v="0"/>
    <x v="0"/>
    <x v="0"/>
  </r>
  <r>
    <x v="7"/>
    <s v="PPRQF"/>
    <n v="7911"/>
    <n v="10.692"/>
    <n v="1.5"/>
    <n v="10.09"/>
    <n v="1.1599999999999999"/>
    <n v="7.1280000000000001"/>
    <n v="1.0596630327056491"/>
    <n v="11.88"/>
    <n v="3.72"/>
    <n v="3.65"/>
    <n v="9.2172413793103463"/>
    <s v="NO"/>
    <n v="-2.2850578777610404"/>
    <n v="-1.0199069839680037"/>
    <n v="1.1503049103965455"/>
    <n v="1.181636673912537"/>
    <n v="1.4998240109967802"/>
    <n v="-0.67419252850774525"/>
    <x v="1"/>
    <x v="0"/>
    <x v="0"/>
    <x v="0"/>
    <x v="0"/>
    <x v="0"/>
  </r>
  <r>
    <x v="7"/>
    <s v="BRX"/>
    <n v="7777"/>
    <n v="25.69"/>
    <n v="2.06"/>
    <n v="9.65"/>
    <n v="1.05"/>
    <n v="12.470873786407767"/>
    <n v="2.6621761658031087"/>
    <n v="11.01"/>
    <n v="3.39"/>
    <n v="2.91"/>
    <n v="24.466666666666669"/>
    <s v="NO"/>
    <n v="-0.59518075572833973"/>
    <n v="1.7400374991056426"/>
    <n v="0.99442246926804145"/>
    <n v="0.84027496811558211"/>
    <n v="0.54240483476658607"/>
    <n v="-0.23417690173299829"/>
    <x v="1"/>
    <x v="0"/>
    <x v="0"/>
    <x v="0"/>
    <x v="0"/>
    <x v="0"/>
  </r>
  <r>
    <x v="7"/>
    <s v="SKT"/>
    <n v="3373"/>
    <n v="30.69"/>
    <n v="2.4"/>
    <n v="5.6"/>
    <n v="0.85"/>
    <n v="12.787500000000001"/>
    <n v="5.4803571428571436"/>
    <n v="16.04"/>
    <n v="4.3099999999999996"/>
    <n v="3.91"/>
    <n v="36.10588235294118"/>
    <s v="NO"/>
    <n v="-0.49503626121556565"/>
    <n v="6.5936782458054379"/>
    <n v="1.8956738242983562"/>
    <n v="1.7919500267010318"/>
    <n v="1.836214532374957"/>
    <n v="0.10166767528256017"/>
    <x v="1"/>
    <x v="1"/>
    <x v="0"/>
    <x v="0"/>
    <x v="0"/>
    <x v="0"/>
  </r>
  <r>
    <x v="7"/>
    <s v="UE"/>
    <n v="2284"/>
    <n v="18.8"/>
    <n v="1.32"/>
    <n v="10.08"/>
    <n v="0.63"/>
    <n v="14.242424242424242"/>
    <n v="1.8650793650793651"/>
    <n v="6.32"/>
    <n v="1.99"/>
    <n v="2.61"/>
    <n v="29.841269841269842"/>
    <s v="NO"/>
    <n v="-3.4863835316557096E-2"/>
    <n v="0.36722945641526394"/>
    <n v="0.15409068893162464"/>
    <n v="-0.60792620799271158"/>
    <n v="0.15426192548407444"/>
    <n v="-7.9095032090385264E-2"/>
    <x v="1"/>
    <x v="0"/>
    <x v="0"/>
    <x v="0"/>
    <x v="0"/>
    <x v="0"/>
  </r>
  <r>
    <x v="7"/>
    <s v="RIOCF"/>
    <n v="3751"/>
    <n v="12.884399999999999"/>
    <n v="0.84"/>
    <n v="17.11"/>
    <n v="0.6"/>
    <n v="15.338571428571429"/>
    <n v="0.75303331385154881"/>
    <n v="3.52"/>
    <n v="2.38"/>
    <n v="2.09"/>
    <n v="21.474"/>
    <s v="NO"/>
    <n v="0.31183236719584861"/>
    <n v="-1.5480031245980908"/>
    <n v="-0.34759992619459446"/>
    <n v="-0.20449873750540135"/>
    <n v="-0.51851911727227851"/>
    <n v="-0.32052901496004793"/>
    <x v="1"/>
    <x v="0"/>
    <x v="0"/>
    <x v="0"/>
    <x v="0"/>
    <x v="0"/>
  </r>
  <r>
    <x v="7"/>
    <s v="PECO"/>
    <n v="4447"/>
    <n v="36.07"/>
    <n v="1.81"/>
    <n v="18.43"/>
    <n v="0.56999999999999995"/>
    <n v="19.928176795580111"/>
    <n v="1.9571351058057516"/>
    <n v="3"/>
    <n v="2.2200000000000002"/>
    <n v="2.23"/>
    <n v="63.280701754385973"/>
    <s v="NO"/>
    <n v="1.763461100892936"/>
    <n v="0.52577338875856083"/>
    <n v="-0.44077104043232085"/>
    <n v="-0.37000744334634889"/>
    <n v="-0.33738575960710637"/>
    <n v="0.88578543487651784"/>
    <x v="1"/>
    <x v="0"/>
    <x v="0"/>
    <x v="0"/>
    <x v="0"/>
    <x v="0"/>
  </r>
  <r>
    <x v="7"/>
    <s v="AKR"/>
    <n v="2522"/>
    <n v="19.8"/>
    <n v="1.24"/>
    <n v="17.55"/>
    <n v="0.17"/>
    <n v="15.967741935483872"/>
    <n v="1.1282051282051282"/>
    <n v="0.13"/>
    <n v="1.24"/>
    <n v="2.06"/>
    <n v="116.47058823529412"/>
    <s v="NO"/>
    <n v="0.51083030126531526"/>
    <n v="-0.90185966540004447"/>
    <n v="-0.95500392093669539"/>
    <n v="-1.3837482666221546"/>
    <n v="-0.55733340820052935"/>
    <n v="2.4205567981868183"/>
    <x v="1"/>
    <x v="0"/>
    <x v="0"/>
    <x v="0"/>
    <x v="0"/>
    <x v="0"/>
  </r>
  <r>
    <x v="7"/>
    <s v="CURB"/>
    <n v="2387"/>
    <n v="22.89"/>
    <n v="0.61"/>
    <n v="18.38"/>
    <n v="0.11"/>
    <n v="37.524590163934427"/>
    <n v="1.2453754080522308"/>
    <n v="0.92"/>
    <n v="1.44"/>
    <n v="1.1000000000000001"/>
    <n v="208.09090909090909"/>
    <s v="NO"/>
    <n v="7.3289634072846637"/>
    <n v="-0.70006196354961048"/>
    <n v="-0.81345549738322642"/>
    <n v="-1.1768623843209698"/>
    <n v="-1.7993907179045654"/>
    <n v="5.0642218640442502"/>
    <x v="0"/>
    <x v="0"/>
    <x v="0"/>
    <x v="0"/>
    <x v="0"/>
    <x v="1"/>
  </r>
  <r>
    <x v="7"/>
    <s v="KRG"/>
    <n v="4862"/>
    <n v="22.64"/>
    <n v="1.33"/>
    <n v="14.87"/>
    <n v="0.06"/>
    <n v="17.022556390977442"/>
    <n v="1.5225285810356424"/>
    <n v="0.41"/>
    <n v="1.73"/>
    <n v="2.04"/>
    <n v="377.33333333333337"/>
    <s v="NO"/>
    <n v="0.84445353243028309"/>
    <n v="-0.22273210275563818"/>
    <n v="-0.90483485942407349"/>
    <n v="-0.87687785498425186"/>
    <n v="-0.58320960215269679"/>
    <n v="9.9476394339937428"/>
    <x v="1"/>
    <x v="0"/>
    <x v="0"/>
    <x v="0"/>
    <x v="0"/>
    <x v="1"/>
  </r>
  <r>
    <x v="7"/>
    <s v="MAC"/>
    <n v="4094"/>
    <n v="16.43"/>
    <n v="1.35"/>
    <n v="10.53"/>
    <n v="-0.51"/>
    <n v="12.170370370370369"/>
    <n v="1.5603038936372271"/>
    <n v="-4.5999999999999996"/>
    <n v="1.73"/>
    <n v="3.26"/>
    <n v="-32.2156862745098"/>
    <s v="NO"/>
    <n v="-0.69022583224617684"/>
    <n v="-0.15767318781894196"/>
    <n v="-1.8025027100606297"/>
    <n v="-0.87687785498425186"/>
    <n v="0.99523822892951541"/>
    <n v="-1.8697218869698184"/>
    <x v="1"/>
    <x v="0"/>
    <x v="0"/>
    <x v="0"/>
    <x v="0"/>
    <x v="0"/>
  </r>
  <r>
    <x v="8"/>
    <s v="SMA"/>
    <n v="2026"/>
    <n v="37.21"/>
    <m/>
    <m/>
    <m/>
    <s v=""/>
    <s v=""/>
    <n v="-1.55"/>
    <n v="2.12"/>
    <n v="6.98"/>
    <s v=""/>
    <s v="NO"/>
    <e v="#VALUE!"/>
    <e v="#VALUE!"/>
    <n v="-0.96035871579003773"/>
    <n v="-0.26781688195336195"/>
    <n v="1.0751407116378631"/>
    <e v="#VALUE!"/>
    <x v="0"/>
    <x v="1"/>
    <x v="0"/>
    <x v="0"/>
    <x v="0"/>
    <x v="1"/>
  </r>
  <r>
    <x v="8"/>
    <s v="RYN"/>
    <n v="3692"/>
    <n v="23.79"/>
    <n v="0.92"/>
    <n v="12.28"/>
    <n v="2.36"/>
    <n v="25.85869565217391"/>
    <n v="1.9372964169381108"/>
    <n v="18.87"/>
    <n v="7.01"/>
    <n v="1.75"/>
    <n v="10.080508474576272"/>
    <s v="NO"/>
    <n v="4.7691772847684213"/>
    <n v="-0.4539560531008775"/>
    <n v="0.67540957347387998"/>
    <n v="1.5139852306343105"/>
    <n v="-0.73418618492253052"/>
    <n v="-1.0170390628162937"/>
    <x v="0"/>
    <x v="0"/>
    <x v="1"/>
    <x v="0"/>
    <x v="0"/>
    <x v="0"/>
  </r>
  <r>
    <x v="8"/>
    <s v="CUBE"/>
    <n v="9747"/>
    <n v="43.28"/>
    <n v="2.76"/>
    <n v="12.48"/>
    <n v="1.69"/>
    <n v="15.681159420289857"/>
    <n v="3.4679487179487181"/>
    <n v="13.34"/>
    <n v="4.6500000000000004"/>
    <n v="2.37"/>
    <n v="25.609467455621303"/>
    <s v="NO"/>
    <n v="0.99541500039342323"/>
    <n v="0.75306787532146924"/>
    <n v="0.2324223727084801"/>
    <n v="0.65405619470242782"/>
    <n v="-0.51969618953678598"/>
    <n v="-0.16408527562350153"/>
    <x v="1"/>
    <x v="0"/>
    <x v="0"/>
    <x v="0"/>
    <x v="0"/>
    <x v="0"/>
  </r>
  <r>
    <x v="8"/>
    <s v="EPR"/>
    <n v="4236"/>
    <n v="56.88"/>
    <n v="5.19"/>
    <n v="30.51"/>
    <n v="1.63"/>
    <n v="10.959537572254336"/>
    <n v="1.864306784660767"/>
    <n v="6.24"/>
    <n v="4.07"/>
    <n v="2.38"/>
    <n v="34.895705521472394"/>
    <s v="NO"/>
    <n v="-0.75533076412437417"/>
    <n v="-0.51151336551424154"/>
    <n v="-0.33633153785830805"/>
    <n v="0.44271770282086337"/>
    <n v="-0.51623667348217728"/>
    <n v="0.34597672767689786"/>
    <x v="1"/>
    <x v="0"/>
    <x v="0"/>
    <x v="0"/>
    <x v="0"/>
    <x v="0"/>
  </r>
  <r>
    <x v="8"/>
    <s v="OUT"/>
    <n v="2760"/>
    <n v="16.45"/>
    <n v="1.23"/>
    <n v="3.39"/>
    <n v="1.53"/>
    <n v="13.373983739837398"/>
    <n v="4.8525073746312684"/>
    <n v="39.19"/>
    <n v="3.21"/>
    <n v="9.0500000000000007"/>
    <n v="10.751633986928104"/>
    <s v="NO"/>
    <n v="0.13992970729838361"/>
    <n v="1.8448869826502459"/>
    <n v="2.3031672442791105"/>
    <n v="0.1293537320999229"/>
    <n v="1.7912605349418813"/>
    <n v="-0.98017638270097296"/>
    <x v="1"/>
    <x v="0"/>
    <x v="0"/>
    <x v="1"/>
    <x v="0"/>
    <x v="0"/>
  </r>
  <r>
    <x v="8"/>
    <s v="FCPT"/>
    <n v="2774"/>
    <n v="27.8"/>
    <n v="1.76"/>
    <n v="14.31"/>
    <n v="1.07"/>
    <n v="15.795454545454545"/>
    <n v="1.9426974143955276"/>
    <n v="7.62"/>
    <n v="3.66"/>
    <n v="1.9"/>
    <n v="25.981308411214954"/>
    <s v="NO"/>
    <n v="1.0377948674660824"/>
    <n v="-0.44969699755694631"/>
    <n v="-0.22578500312842531"/>
    <n v="0.29332325166320572"/>
    <n v="-0.68229344410339887"/>
    <n v="-0.14366129538798622"/>
    <x v="1"/>
    <x v="0"/>
    <x v="0"/>
    <x v="0"/>
    <x v="0"/>
    <x v="0"/>
  </r>
  <r>
    <x v="8"/>
    <s v="PCH"/>
    <n v="3092"/>
    <n v="39.200000000000003"/>
    <n v="2.8"/>
    <n v="25.54"/>
    <n v="0.61"/>
    <n v="14.000000000000002"/>
    <n v="1.5348472983555208"/>
    <n v="2.31"/>
    <n v="1.23"/>
    <n v="1.62"/>
    <n v="64.262295081967224"/>
    <s v="NO"/>
    <n v="0.37205234466184611"/>
    <n v="-0.77131468234733913"/>
    <n v="-0.65114884328471334"/>
    <n v="-0.59211215397852124"/>
    <n v="-0.77915989363244476"/>
    <n v="1.9589852888518553"/>
    <x v="1"/>
    <x v="0"/>
    <x v="0"/>
    <x v="0"/>
    <x v="0"/>
    <x v="0"/>
  </r>
  <r>
    <x v="8"/>
    <s v="NSA"/>
    <n v="2631"/>
    <n v="33.74"/>
    <n v="4.13"/>
    <n v="9.07"/>
    <n v="0.12"/>
    <n v="8.1694915254237301"/>
    <n v="3.7199558985667034"/>
    <n v="5.92"/>
    <n v="3.11"/>
    <n v="7.58"/>
    <n v="281.16666666666669"/>
    <s v="NO"/>
    <n v="-1.7898611556953592"/>
    <n v="0.95179275682416431"/>
    <n v="-0.36196551692610701"/>
    <n v="9.2916061085860022E-2"/>
    <n v="1.2827116749143899"/>
    <n v="13.872817080646037"/>
    <x v="1"/>
    <x v="0"/>
    <x v="0"/>
    <x v="0"/>
    <x v="0"/>
    <x v="1"/>
  </r>
  <r>
    <x v="8"/>
    <s v="MRP"/>
    <n v="4627"/>
    <n v="27.76"/>
    <n v="-6.5"/>
    <n v="35.4"/>
    <n v="-0.75"/>
    <n v="-4.2707692307692309"/>
    <n v="0.78418079096045201"/>
    <n v="-2.41"/>
    <n v="-3.01"/>
    <n v="1.22"/>
    <n v="-37.013333333333335"/>
    <s v="NO"/>
    <n v="-6.4026265421194068"/>
    <n v="-1.3632665162764737"/>
    <n v="-1.0292500345347473"/>
    <n v="-2.1370694049747851"/>
    <n v="-0.91754053581679595"/>
    <n v="-3.6037463091002016"/>
    <x v="0"/>
    <x v="0"/>
    <x v="1"/>
    <x v="0"/>
    <x v="0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x v="0"/>
    <s v="OLP"/>
    <n v="529"/>
    <n v="25.35"/>
    <n v="1.99"/>
    <n v="14.55"/>
    <n v="1.35"/>
    <n v="12.738693467336685"/>
    <n v="1.7422680412371134"/>
    <n v="9.69"/>
    <n v="2.66"/>
    <n v="2.68"/>
    <n v="18.777777777777779"/>
    <s v="NO"/>
    <n v="1.4682936208141404"/>
    <n v="1.9878028261982057"/>
    <n v="0.96227446198967304"/>
    <n v="0.24015561911240171"/>
    <n v="-0.40920178419727637"/>
    <n v="9.8618155341143061E-3"/>
    <x v="0"/>
    <x v="0"/>
    <x v="0"/>
    <x v="0"/>
    <x v="0"/>
    <x v="0"/>
  </r>
  <r>
    <x v="0"/>
    <s v="AAT"/>
    <n v="1219"/>
    <n v="20.190000000000001"/>
    <n v="1.88"/>
    <n v="19.600000000000001"/>
    <n v="1.33"/>
    <n v="10.739361702127662"/>
    <n v="1.0301020408163266"/>
    <n v="8.8699999999999992"/>
    <n v="2.65"/>
    <n v="2.48"/>
    <n v="15.180451127819548"/>
    <s v="NO"/>
    <n v="0.16751330495889533"/>
    <n v="-0.61285135525687517"/>
    <n v="0.83573481910718217"/>
    <n v="0.21653375493741092"/>
    <n v="-0.53511002548874631"/>
    <n v="-0.1004395278340126"/>
    <x v="0"/>
    <x v="0"/>
    <x v="0"/>
    <x v="0"/>
    <x v="0"/>
    <x v="0"/>
  </r>
  <r>
    <x v="0"/>
    <s v="ALEX"/>
    <n v="1302"/>
    <n v="18.22"/>
    <n v="1.49"/>
    <n v="13.82"/>
    <n v="0.89"/>
    <n v="12.228187919463087"/>
    <n v="1.3183791606367583"/>
    <n v="6.47"/>
    <n v="3.05"/>
    <n v="1.64"/>
    <n v="20.471910112359549"/>
    <s v="NO"/>
    <n v="1.1361548635731937"/>
    <n v="0.439865422342538"/>
    <n v="0.46537488871940441"/>
    <n v="1.1614083219370208"/>
    <n v="-1.0639246389129193"/>
    <n v="6.1807354688841895E-2"/>
    <x v="0"/>
    <x v="0"/>
    <x v="0"/>
    <x v="0"/>
    <x v="0"/>
    <x v="0"/>
  </r>
  <r>
    <x v="0"/>
    <s v="GOOD"/>
    <n v="664"/>
    <n v="14.68"/>
    <n v="1.39"/>
    <n v="4"/>
    <n v="0.3"/>
    <n v="10.561151079136691"/>
    <n v="3.67"/>
    <n v="7.64"/>
    <n v="2.99"/>
    <n v="6.33"/>
    <n v="48.933333333333337"/>
    <s v="NO"/>
    <n v="5.1568130427683996E-2"/>
    <n v="9.0274033916831122"/>
    <n v="0.64592535478344615"/>
    <n v="1.0196771368870801"/>
    <n v="1.8886236193720467"/>
    <n v="0.93449241248826698"/>
    <x v="0"/>
    <x v="1"/>
    <x v="0"/>
    <x v="0"/>
    <x v="0"/>
    <x v="0"/>
  </r>
  <r>
    <x v="0"/>
    <s v="AHH"/>
    <n v="558"/>
    <n v="7.04"/>
    <n v="0.85"/>
    <n v="6.07"/>
    <n v="0.1"/>
    <n v="8.2823529411764714"/>
    <n v="1.1598023064250411"/>
    <n v="2.44"/>
    <n v="1.95"/>
    <n v="5.07"/>
    <n v="70.399999999999991"/>
    <s v="NO"/>
    <n v="-1.4310351139399862"/>
    <n v="-0.13921804800570156"/>
    <n v="-0.15652116105673933"/>
    <n v="-1.4369967373119066"/>
    <n v="1.0954016992357873"/>
    <n v="1.5927040238793582"/>
    <x v="0"/>
    <x v="0"/>
    <x v="0"/>
    <x v="0"/>
    <x v="0"/>
    <x v="0"/>
  </r>
  <r>
    <x v="0"/>
    <s v="CTO"/>
    <n v="607"/>
    <n v="18.920000000000002"/>
    <n v="2.19"/>
    <n v="18.649999999999999"/>
    <n v="-0.5"/>
    <n v="8.6392694063926943"/>
    <n v="1.0144772117962468"/>
    <n v="-1.05"/>
    <n v="0.68"/>
    <n v="2.09"/>
    <n v="-37.840000000000003"/>
    <s v="NO"/>
    <n v="-1.198822571511162"/>
    <n v="-0.66990936827853298"/>
    <n v="-0.69508622649563312"/>
    <n v="-4.4369734875356679"/>
    <n v="-0.78063109600711234"/>
    <n v="-1.7261542750478978"/>
    <x v="0"/>
    <x v="0"/>
    <x v="0"/>
    <x v="1"/>
    <x v="0"/>
    <x v="0"/>
  </r>
  <r>
    <x v="0"/>
    <s v="GNL"/>
    <n v="1732"/>
    <n v="7.74"/>
    <n v="0.76"/>
    <n v="8.39"/>
    <n v="-1.1499999999999999"/>
    <n v="10.184210526315789"/>
    <n v="0.92252681764004762"/>
    <n v="-9.8800000000000008"/>
    <n v="2.0499999999999998"/>
    <n v="3.02"/>
    <n v="-6.7304347826086968"/>
    <s v="NO"/>
    <n v="-0.19367223432276642"/>
    <n v="-1.0056894769996323"/>
    <n v="-2.057702137047333"/>
    <n v="-1.2007780955620044"/>
    <n v="-0.19515777400177789"/>
    <n v="-0.77227180370867132"/>
    <x v="0"/>
    <x v="0"/>
    <x v="0"/>
    <x v="0"/>
    <x v="0"/>
    <x v="0"/>
  </r>
  <r>
    <x v="1"/>
    <s v="LTC"/>
    <n v="1625"/>
    <n v="34.99"/>
    <n v="3.01"/>
    <n v="20.96"/>
    <n v="1.93"/>
    <n v="11.624584717607975"/>
    <n v="1.6693702290076335"/>
    <n v="9.39"/>
    <n v="4.2300000000000004"/>
    <n v="1.85"/>
    <n v="18.129533678756477"/>
    <s v="NO"/>
    <n v="0.81182408267947526"/>
    <n v="1.7313445362376176"/>
    <n v="1.0966609120163384"/>
    <n v="1.3057019112038122"/>
    <n v="-0.70542482949269325"/>
    <n v="-1.2842769197894692"/>
    <x v="0"/>
    <x v="0"/>
    <x v="0"/>
    <x v="0"/>
    <x v="0"/>
    <x v="0"/>
  </r>
  <r>
    <x v="1"/>
    <s v="UHT"/>
    <n v="550"/>
    <n v="40.53"/>
    <n v="3.39"/>
    <n v="12.43"/>
    <n v="1.35"/>
    <n v="11.955752212389381"/>
    <n v="3.2606596942880128"/>
    <n v="10.15"/>
    <n v="4.03"/>
    <n v="3.33"/>
    <n v="30.022222222222222"/>
    <s v="NO"/>
    <n v="0.95906853585510066"/>
    <n v="6.9790331701068258"/>
    <n v="1.266201655127082"/>
    <n v="1.1287775329919134"/>
    <n v="1.4696350614431108"/>
    <n v="0.12932797348473571"/>
    <x v="0"/>
    <x v="1"/>
    <x v="0"/>
    <x v="0"/>
    <x v="0"/>
    <x v="0"/>
  </r>
  <r>
    <x v="1"/>
    <s v="SILA"/>
    <n v="1374"/>
    <n v="24.35"/>
    <n v="2.16"/>
    <n v="25.06"/>
    <n v="0.63"/>
    <n v="11.273148148148149"/>
    <n v="0.97166799680766169"/>
    <n v="2.48"/>
    <n v="1.94"/>
    <n v="1.46"/>
    <n v="38.650793650793652"/>
    <s v="NO"/>
    <n v="0.65556754690386532"/>
    <n v="-0.569509050508057"/>
    <n v="-0.44482137074055683"/>
    <n v="-0.720082219322428"/>
    <n v="-1.2785825034555067"/>
    <n v="1.1549489463047327"/>
    <x v="0"/>
    <x v="0"/>
    <x v="0"/>
    <x v="0"/>
    <x v="0"/>
    <x v="0"/>
  </r>
  <r>
    <x v="1"/>
    <s v="GMRE"/>
    <n v="425"/>
    <n v="6.32"/>
    <n v="0.94"/>
    <n v="6.61"/>
    <n v="0.03"/>
    <n v="6.7234042553191493"/>
    <n v="0.95612708018154313"/>
    <n v="1.43"/>
    <n v="1.64"/>
    <n v="2.87"/>
    <n v="210.66666666666669"/>
    <s v="NO"/>
    <n v="-1.3673500465965036"/>
    <n v="-0.62075924308343611"/>
    <n v="-0.67905529214355831"/>
    <n v="-0.98546878664027604"/>
    <n v="0.79360293317927999"/>
    <n v="21.601333203939589"/>
    <x v="0"/>
    <x v="0"/>
    <x v="0"/>
    <x v="0"/>
    <x v="0"/>
    <x v="1"/>
  </r>
  <r>
    <x v="1"/>
    <s v="CHCT"/>
    <n v="463"/>
    <n v="16.91"/>
    <n v="2.2799999999999998"/>
    <n v="17.25"/>
    <n v="-0.31"/>
    <n v="7.416666666666667"/>
    <n v="0.9802898550724638"/>
    <n v="-1.08"/>
    <n v="1.93"/>
    <n v="2.14"/>
    <n v="-54.548387096774192"/>
    <s v="NO"/>
    <n v="-1.0591101188419387"/>
    <n v="-0.54107624264612519"/>
    <n v="-1.2389859042593045"/>
    <n v="-0.728928438233023"/>
    <n v="-0.27923066167419097"/>
    <n v="-9.9230186194308772"/>
    <x v="0"/>
    <x v="0"/>
    <x v="0"/>
    <x v="0"/>
    <x v="0"/>
    <x v="1"/>
  </r>
  <r>
    <x v="2"/>
    <s v="RLJ"/>
    <n v="1108"/>
    <n v="7.39"/>
    <n v="1.68"/>
    <n v="12.45"/>
    <n v="0.26"/>
    <n v="4.3988095238095237"/>
    <n v="0.59357429718875498"/>
    <n v="2.91"/>
    <n v="1.96"/>
    <n v="2.58"/>
    <n v="28.42307692307692"/>
    <s v="NO"/>
    <n v="-0.73582857481775954"/>
    <n v="-0.45186367308119174"/>
    <n v="0.91304191903105236"/>
    <n v="1.0945369406104806"/>
    <n v="0.71951492145280138"/>
    <n v="-0.31151085412676799"/>
    <x v="0"/>
    <x v="0"/>
    <x v="0"/>
    <x v="0"/>
    <x v="0"/>
    <x v="0"/>
  </r>
  <r>
    <x v="2"/>
    <s v="XHR"/>
    <n v="1207"/>
    <n v="12.33"/>
    <n v="0.53"/>
    <n v="12.25"/>
    <n v="0.22"/>
    <n v="23.264150943396224"/>
    <n v="1.006530612244898"/>
    <n v="1.91"/>
    <n v="2.0699999999999998"/>
    <n v="2.39"/>
    <n v="56.045454545454547"/>
    <s v="NO"/>
    <n v="5.8828065709017343"/>
    <n v="1.2352954628772717"/>
    <n v="-2.8238409866939998E-2"/>
    <n v="1.6589075506127595"/>
    <n v="0.33364603212529087"/>
    <n v="0.31671865015166384"/>
    <x v="1"/>
    <x v="0"/>
    <x v="0"/>
    <x v="0"/>
    <x v="0"/>
    <x v="0"/>
  </r>
  <r>
    <x v="2"/>
    <s v="INN"/>
    <n v="492"/>
    <n v="4.55"/>
    <n v="0.49"/>
    <n v="8.42"/>
    <n v="0.2"/>
    <n v="9.2857142857142847"/>
    <n v="0.54038004750593827"/>
    <n v="2.66"/>
    <n v="1.66"/>
    <n v="3.15"/>
    <n v="22.749999999999996"/>
    <s v="NO"/>
    <n v="0.97867204786089457"/>
    <n v="-0.66919214357720136"/>
    <n v="0.6777218368065544"/>
    <n v="-0.44465563212300929"/>
    <n v="1.8771215894353328"/>
    <n v="-0.44053647067002816"/>
    <x v="0"/>
    <x v="0"/>
    <x v="0"/>
    <x v="0"/>
    <x v="0"/>
    <x v="0"/>
  </r>
  <r>
    <x v="2"/>
    <s v="DRH"/>
    <n v="1576"/>
    <n v="7.76"/>
    <n v="1.01"/>
    <n v="7.56"/>
    <n v="0.19"/>
    <n v="7.6831683168316829"/>
    <n v="1.0264550264550265"/>
    <n v="3.21"/>
    <n v="3.31"/>
    <n v="1.98"/>
    <n v="40.84210526315789"/>
    <s v="NO"/>
    <n v="0.41644172102115612"/>
    <n v="1.3166979169326569"/>
    <n v="1.1954260177004499"/>
    <n v="8.0209035179111847"/>
    <n v="-0.49901841326565338"/>
    <n v="-2.9058701586928123E-2"/>
    <x v="0"/>
    <x v="0"/>
    <x v="0"/>
    <x v="1"/>
    <x v="0"/>
    <x v="0"/>
  </r>
  <r>
    <x v="2"/>
    <s v="SHO"/>
    <n v="1782"/>
    <n v="9.07"/>
    <n v="0.81"/>
    <n v="8.9600000000000009"/>
    <n v="0.1"/>
    <n v="11.19753086419753"/>
    <n v="1.0122767857142856"/>
    <n v="1.67"/>
    <n v="1.58"/>
    <n v="1.72"/>
    <n v="90.7"/>
    <s v="NO"/>
    <n v="1.6494055435919044"/>
    <n v="1.2587718179110028"/>
    <n v="-0.25414568880245814"/>
    <n v="-0.85510698485193903"/>
    <n v="-1.0270495249769838"/>
    <n v="1.1048842530382958"/>
    <x v="0"/>
    <x v="0"/>
    <x v="0"/>
    <x v="0"/>
    <x v="0"/>
    <x v="0"/>
  </r>
  <r>
    <x v="2"/>
    <s v="CLDT"/>
    <n v="349"/>
    <n v="7.3"/>
    <n v="1.29"/>
    <n v="15.41"/>
    <n v="0.06"/>
    <n v="5.6589147286821699"/>
    <n v="0.47371836469824785"/>
    <n v="1.39"/>
    <n v="1.57"/>
    <n v="1.62"/>
    <n v="121.66666666666667"/>
    <s v="NO"/>
    <n v="-0.29373869100494521"/>
    <n v="-0.9415426636366161"/>
    <n v="-0.51770418089389592"/>
    <n v="-0.90641340394305547"/>
    <n v="-1.230138414096726"/>
    <n v="1.8091745902102521"/>
    <x v="0"/>
    <x v="0"/>
    <x v="0"/>
    <x v="0"/>
    <x v="0"/>
    <x v="0"/>
  </r>
  <r>
    <x v="2"/>
    <s v="PEB"/>
    <n v="1090"/>
    <n v="9.77"/>
    <n v="1.94"/>
    <n v="22.28"/>
    <n v="-0.44"/>
    <n v="5.036082474226804"/>
    <n v="0.43850987432675043"/>
    <n v="-0.17"/>
    <n v="0.85"/>
    <n v="2.14"/>
    <n v="-22.204545454545453"/>
    <s v="NO"/>
    <n v="-0.512250477117974"/>
    <n v="-1.0853891772454503"/>
    <n v="-1.9861014939747639"/>
    <n v="-4.6004755785034313"/>
    <n v="-0.17407619067406521"/>
    <n v="-1.4629601082026606"/>
    <x v="0"/>
    <x v="0"/>
    <x v="0"/>
    <x v="1"/>
    <x v="0"/>
    <x v="0"/>
  </r>
  <r>
    <x v="2"/>
    <s v="SVC"/>
    <n v="387"/>
    <n v="2.39"/>
    <n v="1.08"/>
    <n v="4.41"/>
    <n v="-1.89"/>
    <n v="2.2129629629629628"/>
    <n v="0.54195011337868482"/>
    <n v="-33.909999999999997"/>
    <n v="1.64"/>
    <n v="9.5"/>
    <n v="-1.2645502645502646"/>
    <s v="NO"/>
    <n v="-1.5027015695332764"/>
    <n v="-0.66277754018046964"/>
    <n v="-33.744899790993017"/>
    <n v="-0.54726847030524206"/>
    <n v="14.773266048538977"/>
    <n v="-0.98671135881382788"/>
    <x v="0"/>
    <x v="0"/>
    <x v="1"/>
    <x v="0"/>
    <x v="1"/>
    <x v="0"/>
  </r>
  <r>
    <x v="3"/>
    <s v="IIPR"/>
    <n v="1547"/>
    <n v="56.68"/>
    <n v="8.4700000000000006"/>
    <n v="66.58"/>
    <n v="5.2"/>
    <n v="6.6918536009445093"/>
    <n v="0.85130669870832087"/>
    <n v="7.91"/>
    <n v="4.42"/>
    <n v="1.25"/>
    <n v="10.9"/>
    <s v="NO"/>
    <n v="-0.75580805716923138"/>
    <n v="-0.1388602079076206"/>
    <n v="-0.68864105084179894"/>
    <n v="1.1516135018525786"/>
    <n v="-1.4110591063657627"/>
    <n v="1.3614410730953344"/>
    <x v="0"/>
    <x v="0"/>
    <x v="0"/>
    <x v="0"/>
    <x v="0"/>
    <x v="0"/>
  </r>
  <r>
    <x v="3"/>
    <s v="PLYM"/>
    <n v="738"/>
    <n v="16.579999999999998"/>
    <n v="2.11"/>
    <n v="12.54"/>
    <n v="3.05"/>
    <n v="7.8578199052132698"/>
    <n v="1.3221690590111643"/>
    <n v="26.78"/>
    <n v="0.99"/>
    <n v="2.46"/>
    <n v="5.4360655737704917"/>
    <s v="NO"/>
    <n v="-0.65726051656680795"/>
    <n v="1.2882567454393372"/>
    <n v="1.4140541966314617"/>
    <n v="-1.2866792829340545"/>
    <n v="0.78728619668475974"/>
    <n v="-1.0121698590190902"/>
    <x v="0"/>
    <x v="0"/>
    <x v="0"/>
    <x v="0"/>
    <x v="0"/>
    <x v="0"/>
  </r>
  <r>
    <x v="3"/>
    <s v="EFRTF"/>
    <n v="502"/>
    <n v="5.5"/>
    <n v="0.17"/>
    <n v="10.62"/>
    <n v="0.79"/>
    <n v="32.352941176470587"/>
    <n v="0.51789077212806034"/>
    <n v="7.58"/>
    <n v="2.99"/>
    <n v="2.37"/>
    <n v="6.962025316455696"/>
    <s v="NO"/>
    <n v="1.4130685737360396"/>
    <n v="-1.1493965375317172"/>
    <n v="-0.72541314578966198"/>
    <n v="0.13506578108147527"/>
    <n v="0.62377290968100207"/>
    <n v="-0.3492712140762429"/>
    <x v="0"/>
    <x v="0"/>
    <x v="0"/>
    <x v="0"/>
    <x v="0"/>
    <x v="0"/>
  </r>
  <r>
    <x v="4"/>
    <s v="DEA"/>
    <n v="976"/>
    <n v="22.87"/>
    <n v="3.88"/>
    <n v="29.87"/>
    <n v="0.41"/>
    <n v="5.8943298969072169"/>
    <n v="0.76565115500502179"/>
    <n v="1.36"/>
    <n v="1.74"/>
    <n v="2.42"/>
    <n v="55.780487804878057"/>
    <s v="NO"/>
    <n v="-6.1836269456880645E-3"/>
    <n v="0.8181486583696429"/>
    <n v="0.99353726776915174"/>
    <n v="0.57060789217110985"/>
    <n v="-0.75206688123203413"/>
    <n v="4.6851932321521241"/>
    <x v="0"/>
    <x v="0"/>
    <x v="0"/>
    <x v="0"/>
    <x v="0"/>
    <x v="1"/>
  </r>
  <r>
    <x v="4"/>
    <s v="ESRT"/>
    <n v="1291"/>
    <n v="8.44"/>
    <n v="1.62"/>
    <n v="6.14"/>
    <n v="0.3"/>
    <n v="5.2098765432098757"/>
    <n v="1.3745928338762214"/>
    <n v="4.8899999999999997"/>
    <n v="2.31"/>
    <n v="3.99"/>
    <n v="28.133333333333333"/>
    <s v="NO"/>
    <n v="-0.46106156369178802"/>
    <n v="3.6227853796420826"/>
    <n v="1.5203575887779757"/>
    <n v="1.2108569050402682"/>
    <n v="2.045907060792358"/>
    <n v="2.5434188651604344"/>
    <x v="0"/>
    <x v="1"/>
    <x v="0"/>
    <x v="0"/>
    <x v="0"/>
    <x v="0"/>
  </r>
  <r>
    <x v="4"/>
    <s v="PSTL"/>
    <n v="330"/>
    <n v="14.38"/>
    <n v="1.66"/>
    <n v="10.35"/>
    <n v="0.28000000000000003"/>
    <n v="8.6626506024096397"/>
    <n v="1.3893719806763287"/>
    <n v="3.41"/>
    <n v="2.2799999999999998"/>
    <n v="2.66"/>
    <n v="51.357142857142854"/>
    <s v="NO"/>
    <n v="1.8336028303316878"/>
    <n v="3.6908545219965578"/>
    <n v="1.2994810802530297"/>
    <n v="1.1771595885734703"/>
    <n v="-0.32435111939391026"/>
    <n v="4.3425248090718327"/>
    <x v="0"/>
    <x v="1"/>
    <x v="0"/>
    <x v="0"/>
    <x v="0"/>
    <x v="1"/>
  </r>
  <r>
    <x v="4"/>
    <s v="PGRE"/>
    <n v="1326"/>
    <n v="6.44"/>
    <n v="0.94"/>
    <n v="14.08"/>
    <n v="-0.31"/>
    <n v="6.8510638297872353"/>
    <n v="0.45738636363636365"/>
    <n v="-1.48"/>
    <n v="0.77"/>
    <n v="2.57"/>
    <n v="-20.7741935483871"/>
    <s v="NO"/>
    <n v="0.62964809928161092"/>
    <n v="-0.60164371871084876"/>
    <n v="0.56969315681587707"/>
    <n v="-0.51893867358868595"/>
    <n v="-0.48474453008320711"/>
    <n v="-1.2453575724305113"/>
    <x v="0"/>
    <x v="0"/>
    <x v="0"/>
    <x v="0"/>
    <x v="0"/>
    <x v="0"/>
  </r>
  <r>
    <x v="4"/>
    <s v="PDM"/>
    <n v="886"/>
    <n v="7.59"/>
    <n v="1.44"/>
    <n v="12.54"/>
    <n v="-0.5"/>
    <n v="5.270833333333333"/>
    <n v="0.60526315789473684"/>
    <n v="-3.79"/>
    <n v="1.24"/>
    <n v="2.57"/>
    <n v="-15.18"/>
    <s v="NO"/>
    <n v="-0.42055055038132605"/>
    <n v="7.944069674563832E-2"/>
    <n v="0.22494671445599526"/>
    <n v="8.9859510578130068E-3"/>
    <n v="-0.48474453008320711"/>
    <n v="-0.81198565496039732"/>
    <x v="0"/>
    <x v="0"/>
    <x v="0"/>
    <x v="0"/>
    <x v="0"/>
    <x v="0"/>
  </r>
  <r>
    <x v="4"/>
    <s v="BDN"/>
    <n v="732"/>
    <n v="4.5"/>
    <n v="0.95"/>
    <n v="5.74"/>
    <n v="-1.2"/>
    <n v="4.7368421052631584"/>
    <n v="0.78397212543554007"/>
    <n v="-18.079999999999998"/>
    <n v="-1.77"/>
    <n v="3.45"/>
    <n v="-3.75"/>
    <s v="NO"/>
    <n v="-0.77543350442480297"/>
    <n v="0.90253057575461881"/>
    <n v="-1.9077055198828405"/>
    <n v="-3.3719781344442339"/>
    <n v="1.0835465966565798"/>
    <n v="7.3475488605427922E-2"/>
    <x v="0"/>
    <x v="0"/>
    <x v="0"/>
    <x v="1"/>
    <x v="0"/>
    <x v="0"/>
  </r>
  <r>
    <x v="4"/>
    <s v="PKST"/>
    <n v="456"/>
    <n v="13.19"/>
    <n v="2.71"/>
    <n v="27.72"/>
    <n v="-1.78"/>
    <n v="4.8671586715867159"/>
    <n v="0.47582972582972582"/>
    <n v="-6.16"/>
    <n v="1.2"/>
    <n v="2.5499999999999998"/>
    <n v="-7.4101123595505616"/>
    <s v="NO"/>
    <n v="-0.68882697310622254"/>
    <n v="-0.51669809474384099"/>
    <n v="-0.12875418095219524"/>
    <n v="-3.5943804231250778E-2"/>
    <n v="-0.52038751023638408"/>
    <n v="-0.2100667052237104"/>
    <x v="0"/>
    <x v="0"/>
    <x v="0"/>
    <x v="0"/>
    <x v="0"/>
    <x v="0"/>
  </r>
  <r>
    <x v="4"/>
    <s v="JBGS"/>
    <n v="1249"/>
    <n v="17.43"/>
    <n v="1.23"/>
    <n v="21.51"/>
    <n v="-1.86"/>
    <n v="14.170731707317072"/>
    <n v="0.81032078103207805"/>
    <n v="-8.23"/>
    <n v="-0.02"/>
    <n v="3.01"/>
    <n v="-9.370967741935484"/>
    <s v="NO"/>
    <n v="5.4941949727998534"/>
    <n v="1.0238860513384171"/>
    <n v="-0.43768281111884261"/>
    <n v="-1.406301340547695"/>
    <n v="0.29940103328668594"/>
    <n v="-0.36197057654949844"/>
    <x v="1"/>
    <x v="0"/>
    <x v="0"/>
    <x v="0"/>
    <x v="0"/>
    <x v="0"/>
  </r>
  <r>
    <x v="4"/>
    <s v="APYRF"/>
    <n v="1607"/>
    <n v="12.16"/>
    <n v="0.71"/>
    <n v="26.83"/>
    <n v="-2.15"/>
    <n v="17.126760563380284"/>
    <n v="0.45322400298173687"/>
    <n v="-7.53"/>
    <n v="1.6"/>
    <n v="1.94"/>
    <n v="-5.655813953488372"/>
    <s v="NO"/>
    <n v="7.4587295897235837"/>
    <n v="-0.62081453579268464"/>
    <n v="-0.33321419222190873"/>
    <n v="0.41335374865938679"/>
    <n v="-1.6074984049082812"/>
    <n v="-7.416442413993693E-2"/>
    <x v="1"/>
    <x v="0"/>
    <x v="0"/>
    <x v="0"/>
    <x v="0"/>
    <x v="0"/>
  </r>
  <r>
    <x v="4"/>
    <s v="HPP"/>
    <n v="263"/>
    <n v="2.29"/>
    <n v="0.61"/>
    <n v="17.37"/>
    <n v="-2.74"/>
    <n v="3.7540983606557377"/>
    <n v="0.13183649971214736"/>
    <n v="-12.47"/>
    <n v="-0.56000000000000005"/>
    <n v="3.26"/>
    <n v="-0.83576642335766416"/>
    <s v="NO"/>
    <n v="-1.4285509805571963"/>
    <n v="-2.1010469204421369"/>
    <n v="-1.070464159865985"/>
    <n v="-2.0128530369500557"/>
    <n v="0.74493828520139804"/>
    <n v="0.29923582066069021"/>
    <x v="0"/>
    <x v="0"/>
    <x v="0"/>
    <x v="0"/>
    <x v="0"/>
    <x v="0"/>
  </r>
  <r>
    <x v="4"/>
    <s v="NLOP"/>
    <n v="462"/>
    <n v="31.78"/>
    <n v="4.03"/>
    <n v="39.299999999999997"/>
    <n v="-4.2699999999999996"/>
    <n v="7.8858560794044665"/>
    <n v="0.80865139949109421"/>
    <n v="-10.19"/>
    <n v="1.76"/>
    <n v="1.35"/>
    <n v="-7.4426229508196728"/>
    <s v="NO"/>
    <n v="1.317356269493722"/>
    <n v="1.0161972874812006"/>
    <n v="-0.73019494403025742"/>
    <n v="0.59307276981564172"/>
    <n v="-2.6589663194270012"/>
    <n v="-0.21258524112249855"/>
    <x v="0"/>
    <x v="0"/>
    <x v="0"/>
    <x v="0"/>
    <x v="1"/>
    <x v="0"/>
  </r>
  <r>
    <x v="5"/>
    <s v="MEQYF"/>
    <n v="1283"/>
    <n v="139.75980000000001"/>
    <n v="6.35"/>
    <n v="125.13"/>
    <n v="18.440000000000001"/>
    <n v="22.009417322834651"/>
    <n v="1.1169168065212181"/>
    <n v="15.9"/>
    <n v="2.65"/>
    <n v="2.29"/>
    <n v="7.5791648590021694"/>
    <s v="NO"/>
    <n v="0.81520736376771785"/>
    <n v="-0.19937432845783518"/>
    <n v="1.3086047614298641"/>
    <n v="0.57699764180859003"/>
    <n v="-4.6910950072219952E-2"/>
    <n v="8.4363780917712267E-2"/>
    <x v="0"/>
    <x v="0"/>
    <x v="0"/>
    <x v="0"/>
    <x v="0"/>
    <x v="0"/>
  </r>
  <r>
    <x v="5"/>
    <s v="NEN"/>
    <n v="262"/>
    <n v="74.821100000000001"/>
    <n v="8.92"/>
    <n v="-20.190000000000001"/>
    <n v="4.5599999999999996"/>
    <n v="8.3880156950672653"/>
    <n v="-3.7058494304110945"/>
    <n v="-22.78"/>
    <n v="4.41"/>
    <n v="-5.45"/>
    <n v="16.408135964912283"/>
    <s v="NO"/>
    <n v="4.5857576148401719E-2"/>
    <n v="-5.1458160500841839"/>
    <n v="-2.3727532641061293"/>
    <n v="1.3584499262074718"/>
    <n v="-8.6919288919527009"/>
    <n v="0.32316225822642791"/>
    <x v="0"/>
    <x v="1"/>
    <x v="0"/>
    <x v="0"/>
    <x v="1"/>
    <x v="0"/>
  </r>
  <r>
    <x v="5"/>
    <s v="FOR"/>
    <n v="973"/>
    <n v="19.97"/>
    <n v="-8.16"/>
    <n v="32.36"/>
    <n v="3.29"/>
    <n v="-2.4473039215686274"/>
    <n v="0.61711990111248449"/>
    <n v="10.79"/>
    <n v="4.47"/>
    <n v="1.85"/>
    <n v="6.0699088145896649"/>
    <s v="NO"/>
    <n v="-0.56613163565582947"/>
    <n v="-0.71198807413795673"/>
    <n v="0.8222619612621046"/>
    <n v="1.3850903449937972"/>
    <n v="-0.5383589984478544"/>
    <n v="4.3542711174554508E-2"/>
    <x v="0"/>
    <x v="0"/>
    <x v="0"/>
    <x v="0"/>
    <x v="0"/>
    <x v="0"/>
  </r>
  <r>
    <x v="5"/>
    <s v="DRUNF"/>
    <n v="568"/>
    <n v="14.497"/>
    <n v="0.09"/>
    <n v="24.33"/>
    <n v="2.73"/>
    <n v="161.07777777777778"/>
    <n v="0.59584874640361696"/>
    <n v="11.76"/>
    <n v="2.0099999999999998"/>
    <n v="2.59"/>
    <n v="5.31025641025641"/>
    <s v="NO"/>
    <n v="8.6699213281861898"/>
    <n v="-0.7338047083993009"/>
    <n v="0.91458143604933118"/>
    <n v="0.2928331747544512"/>
    <n v="0.28816726472934884"/>
    <n v="2.2996281102169936E-2"/>
    <x v="1"/>
    <x v="0"/>
    <x v="0"/>
    <x v="0"/>
    <x v="0"/>
    <x v="0"/>
  </r>
  <r>
    <x v="5"/>
    <s v="FPH"/>
    <n v="381"/>
    <n v="5.53"/>
    <n v="2.86"/>
    <n v="11.08"/>
    <n v="1.24"/>
    <n v="1.9335664335664338"/>
    <n v="0.49909747292418777"/>
    <n v="10.92"/>
    <n v="1.44"/>
    <n v="4.08"/>
    <n v="4.459677419354839"/>
    <s v="NO"/>
    <n v="-0.3186958893637391"/>
    <n v="-0.8330370809107962"/>
    <n v="0.83463467437791872"/>
    <n v="3.9749196284358912E-2"/>
    <n v="1.9523890649104751"/>
    <n v="-9.4537022075057412E-6"/>
    <x v="0"/>
    <x v="0"/>
    <x v="0"/>
    <x v="0"/>
    <x v="0"/>
    <x v="0"/>
  </r>
  <r>
    <x v="5"/>
    <s v="RMR"/>
    <n v="255"/>
    <n v="15.87"/>
    <n v="3.63"/>
    <n v="13.88"/>
    <n v="1.06"/>
    <n v="4.3719008264462813"/>
    <n v="1.143371757925072"/>
    <n v="11.13"/>
    <n v="5.25"/>
    <n v="2.77"/>
    <n v="14.971698113207546"/>
    <s v="NO"/>
    <n v="-0.18097643151566603"/>
    <n v="-0.17224096371676137"/>
    <n v="0.85462136479577189"/>
    <n v="1.7314157892160289"/>
    <n v="0.48921419361029045"/>
    <n v="0.28431071282879078"/>
    <x v="0"/>
    <x v="0"/>
    <x v="0"/>
    <x v="0"/>
    <x v="0"/>
    <x v="0"/>
  </r>
  <r>
    <x v="5"/>
    <s v="TCI"/>
    <n v="340"/>
    <n v="37.29"/>
    <n v="-1.1599999999999999"/>
    <n v="96.91"/>
    <n v="0.92"/>
    <n v="-32.146551724137936"/>
    <n v="0.38479001135073782"/>
    <n v="1.02"/>
    <n v="-0.28000000000000003"/>
    <n v="1.29"/>
    <n v="40.532608695652172"/>
    <s v="NO"/>
    <n v="-2.2435735475646568"/>
    <n v="-0.95027585410494642"/>
    <n v="-0.10759501674944262"/>
    <n v="-0.72394280892363905"/>
    <n v="-1.1638383327441166"/>
    <n v="0.97566041286643812"/>
    <x v="0"/>
    <x v="0"/>
    <x v="0"/>
    <x v="0"/>
    <x v="0"/>
    <x v="0"/>
  </r>
  <r>
    <x v="5"/>
    <s v="MODVF"/>
    <n v="301"/>
    <n v="10.17"/>
    <n v="2.93"/>
    <n v="28.54"/>
    <n v="0.57999999999999996"/>
    <n v="3.4709897610921501"/>
    <n v="0.35634197617379115"/>
    <n v="2"/>
    <n v="3.92"/>
    <n v="1.64"/>
    <n v="17.53448275862069"/>
    <s v="NO"/>
    <n v="-0.23186074986519392"/>
    <n v="-0.97945341345251513"/>
    <n v="-1.4323794799461408E-2"/>
    <n v="1.1408865061191467"/>
    <n v="-0.77291374880895292"/>
    <n v="0.3536267252671087"/>
    <x v="0"/>
    <x v="0"/>
    <x v="0"/>
    <x v="0"/>
    <x v="0"/>
    <x v="0"/>
  </r>
  <r>
    <x v="5"/>
    <s v="LPA"/>
    <n v="254"/>
    <n v="7.35"/>
    <n v="0.63"/>
    <n v="7.35"/>
    <n v="0.56999999999999995"/>
    <n v="11.666666666666666"/>
    <n v="1"/>
    <n v="10.61"/>
    <n v="1.93"/>
    <n v="2.65"/>
    <n v="12.894736842105264"/>
    <s v="NO"/>
    <n v="0.23103891780533237"/>
    <n v="-0.31928936089443333"/>
    <n v="0.8051305123325162"/>
    <n v="0.25731261637268393"/>
    <n v="0.35518290768966271"/>
    <n v="0.22813483649860383"/>
    <x v="0"/>
    <x v="0"/>
    <x v="0"/>
    <x v="0"/>
    <x v="0"/>
    <x v="0"/>
  </r>
  <r>
    <x v="5"/>
    <s v="NMRK"/>
    <n v="1913"/>
    <n v="11.42"/>
    <n v="-0.88"/>
    <n v="7.21"/>
    <n v="0.38"/>
    <n v="-12.977272727272727"/>
    <n v="1.5839112343966713"/>
    <n v="6.13"/>
    <n v="2.31"/>
    <n v="3.67"/>
    <n v="30.052631578947366"/>
    <s v="NO"/>
    <n v="-1.1608743417068736"/>
    <n v="0.27959574977666346"/>
    <n v="0.37874778341831655"/>
    <n v="0.42603526868607888"/>
    <n v="1.4944488380149974"/>
    <n v="0.69220693366951902"/>
    <x v="0"/>
    <x v="0"/>
    <x v="0"/>
    <x v="0"/>
    <x v="0"/>
    <x v="0"/>
  </r>
  <r>
    <x v="5"/>
    <s v="FRPH"/>
    <n v="518"/>
    <n v="27.15"/>
    <n v="1.62"/>
    <n v="22.27"/>
    <n v="0.36"/>
    <n v="16.759259259259256"/>
    <n v="1.219128872923215"/>
    <n v="1.49"/>
    <n v="7.0000000000000007E-2"/>
    <n v="1.69"/>
    <n v="75.416666666666671"/>
    <s v="NO"/>
    <n v="0.5186734165602882"/>
    <n v="-9.4541125920928462E-2"/>
    <n v="-6.286290009996183E-2"/>
    <n v="-0.56854036600340685"/>
    <n v="-0.71706737967535805"/>
    <n v="1.9191746486589814"/>
    <x v="0"/>
    <x v="0"/>
    <x v="0"/>
    <x v="0"/>
    <x v="0"/>
    <x v="0"/>
  </r>
  <r>
    <x v="5"/>
    <s v="IRS"/>
    <n v="1130"/>
    <n v="14.57"/>
    <n v="0.13"/>
    <n v="1.67"/>
    <n v="0.2"/>
    <n v="112.07692307692308"/>
    <n v="8.724550898203594"/>
    <n v="15.8"/>
    <n v="3.38"/>
    <n v="2.29"/>
    <n v="72.849999999999994"/>
    <s v="NO"/>
    <n v="5.9023062040261269"/>
    <n v="7.6033506690326087"/>
    <n v="1.2990872898023149"/>
    <n v="0.90112273704221713"/>
    <n v="-4.6910950072219952E-2"/>
    <n v="1.8497536386220641"/>
    <x v="1"/>
    <x v="1"/>
    <x v="0"/>
    <x v="0"/>
    <x v="0"/>
    <x v="0"/>
  </r>
  <r>
    <x v="5"/>
    <s v="TRC"/>
    <n v="449"/>
    <n v="16.350000000000001"/>
    <n v="-0.02"/>
    <n v="17.59"/>
    <n v="0.08"/>
    <n v="-817.5"/>
    <n v="0.92950540079590682"/>
    <n v="0.44"/>
    <n v="-1.01"/>
    <n v="1.3"/>
    <n v="204.375"/>
    <s v="NO"/>
    <n v="-46.601087197660689"/>
    <n v="-0.39159173043126894"/>
    <n v="-0.16279635218922742"/>
    <n v="-1.048067904157266"/>
    <n v="-1.1526690589173976"/>
    <n v="5.4071296172346042"/>
    <x v="1"/>
    <x v="0"/>
    <x v="0"/>
    <x v="0"/>
    <x v="0"/>
    <x v="1"/>
  </r>
  <r>
    <x v="5"/>
    <s v="ASGTF"/>
    <n v="1765"/>
    <n v="38.26"/>
    <n v="1.18"/>
    <n v="13.57"/>
    <n v="7.0000000000000007E-2"/>
    <n v="32.423728813559322"/>
    <n v="2.8194546794399407"/>
    <n v="0.66"/>
    <n v="1.99"/>
    <n v="1.57"/>
    <n v="546.57142857142844"/>
    <s v="NO"/>
    <n v="1.4034176340865496"/>
    <n v="1.5468235906457326"/>
    <n v="-0.14185791460861938"/>
    <n v="0.28395303515900944"/>
    <n v="-0.85109866559598557"/>
    <n v="14.662566644164857"/>
    <x v="0"/>
    <x v="0"/>
    <x v="0"/>
    <x v="0"/>
    <x v="0"/>
    <x v="1"/>
  </r>
  <r>
    <x v="5"/>
    <s v="RLLMF"/>
    <n v="307"/>
    <n v="4.12"/>
    <n v="0.01"/>
    <n v="1.48"/>
    <n v="0.02"/>
    <n v="412"/>
    <n v="2.7837837837837838"/>
    <n v="1.45"/>
    <n v="-2.99"/>
    <n v="1.1599999999999999"/>
    <n v="206"/>
    <s v="NO"/>
    <n v="22.842248350840386"/>
    <n v="1.5102379470849474"/>
    <n v="-6.6669888750981482E-2"/>
    <n v="-1.9272017241060082"/>
    <n v="-1.3090388924914633"/>
    <n v="5.4510812307320027"/>
    <x v="1"/>
    <x v="0"/>
    <x v="0"/>
    <x v="0"/>
    <x v="0"/>
    <x v="1"/>
  </r>
  <r>
    <x v="5"/>
    <s v="LB"/>
    <n v="1662"/>
    <n v="73"/>
    <n v="2.81"/>
    <n v="18.940000000000001"/>
    <n v="0.02"/>
    <n v="25.978647686832741"/>
    <n v="3.8542766631467789"/>
    <n v="2.58"/>
    <n v="-0.47"/>
    <n v="2.29"/>
    <n v="3650"/>
    <s v="NO"/>
    <n v="1.0393932897835116"/>
    <n v="2.6081826495744451"/>
    <n v="4.0877540640323395E-2"/>
    <n v="-0.80830413508033649"/>
    <n v="-4.6910950072219952E-2"/>
    <n v="98.601454698449828"/>
    <x v="0"/>
    <x v="0"/>
    <x v="0"/>
    <x v="0"/>
    <x v="0"/>
    <x v="1"/>
  </r>
  <r>
    <x v="5"/>
    <s v="SVAUF"/>
    <n v="1108"/>
    <n v="3.04"/>
    <n v="0.2"/>
    <n v="0.2"/>
    <n v="-0.06"/>
    <n v="15.2"/>
    <n v="15.2"/>
    <n v="-23.06"/>
    <n v="2.09"/>
    <n v="21.35"/>
    <n v="-50.666666666666671"/>
    <s v="NO"/>
    <n v="0.43060496275968002"/>
    <n v="14.244856815050515"/>
    <n v="-2.3994021846632667"/>
    <n v="0.32835373313621857"/>
    <n v="21.241724963654132"/>
    <n v="-1.491019772959705"/>
    <x v="0"/>
    <x v="1"/>
    <x v="0"/>
    <x v="0"/>
    <x v="1"/>
    <x v="0"/>
  </r>
  <r>
    <x v="5"/>
    <s v="REAX"/>
    <n v="850"/>
    <n v="4.24"/>
    <n v="0.21"/>
    <n v="0.16"/>
    <n v="-0.08"/>
    <n v="20.190476190476193"/>
    <n v="26.5"/>
    <n v="-53.24"/>
    <n v="-10"/>
    <n v="3.07"/>
    <n v="-53"/>
    <s v="NO"/>
    <n v="0.71247182948765364"/>
    <n v="25.834635109992622"/>
    <n v="-5.2717751218575861"/>
    <n v="-5.039690652308372"/>
    <n v="0.82429240841185925"/>
    <n v="-1.5541297820841748"/>
    <x v="0"/>
    <x v="1"/>
    <x v="1"/>
    <x v="1"/>
    <x v="0"/>
    <x v="0"/>
  </r>
  <r>
    <x v="5"/>
    <s v="MRNO"/>
    <n v="747"/>
    <n v="9.7899999999999991"/>
    <n v="-7.0000000000000007E-2"/>
    <n v="0.34"/>
    <n v="-0.13"/>
    <n v="-139.85714285714283"/>
    <n v="28.794117647058819"/>
    <n v="-35.47"/>
    <n v="-1.85"/>
    <n v="3.63"/>
    <n v="-75.307692307692292"/>
    <s v="NO"/>
    <n v="-8.3271707189161521"/>
    <n v="28.187583332286955"/>
    <n v="-3.5805204136421103"/>
    <n v="-1.4210337671658233"/>
    <n v="1.4497717427081214"/>
    <n v="-2.1574892099774599"/>
    <x v="1"/>
    <x v="1"/>
    <x v="1"/>
    <x v="0"/>
    <x v="0"/>
    <x v="0"/>
  </r>
  <r>
    <x v="5"/>
    <s v="MMI"/>
    <n v="1123"/>
    <n v="30.2"/>
    <n v="0.34"/>
    <n v="15.78"/>
    <n v="-0.18"/>
    <n v="88.823529411764696"/>
    <n v="1.9138149556400508"/>
    <n v="-1.0900000000000001"/>
    <n v="-2.39"/>
    <n v="1.3"/>
    <n v="-167.77777777777777"/>
    <s v="NO"/>
    <n v="4.588932296802879"/>
    <n v="0.61795955401446445"/>
    <n v="-0.30841366809072868"/>
    <n v="-1.6607975362427529"/>
    <n v="-1.1526690589173976"/>
    <n v="-4.6585411833021553"/>
    <x v="1"/>
    <x v="0"/>
    <x v="0"/>
    <x v="0"/>
    <x v="0"/>
    <x v="1"/>
  </r>
  <r>
    <x v="5"/>
    <s v="MLP"/>
    <n v="313"/>
    <n v="17.66"/>
    <n v="-0.09"/>
    <n v="1.35"/>
    <n v="-0.75"/>
    <n v="-196.22222222222223"/>
    <n v="13.081481481481481"/>
    <n v="-47.84"/>
    <n v="-21.73"/>
    <n v="1.77"/>
    <n v="-23.546666666666667"/>
    <s v="NO"/>
    <n v="-11.510724293187891"/>
    <n v="12.072010802363893"/>
    <n v="-4.7578316539699346"/>
    <n v="-10.247892525035009"/>
    <n v="-0.62771318906160622"/>
    <n v="-0.75750115262157847"/>
    <x v="1"/>
    <x v="1"/>
    <x v="1"/>
    <x v="1"/>
    <x v="0"/>
    <x v="0"/>
  </r>
  <r>
    <x v="5"/>
    <s v="HOUS"/>
    <n v="390"/>
    <n v="3.77"/>
    <n v="0.37"/>
    <n v="13.35"/>
    <n v="-0.94"/>
    <n v="10.189189189189189"/>
    <n v="0.28239700374531834"/>
    <n v="-6.76"/>
    <n v="0.93"/>
    <n v="3.74"/>
    <n v="-4.0106382978723403"/>
    <s v="NO"/>
    <n v="0.14758957723288721"/>
    <n v="-1.0552946379190291"/>
    <n v="-0.84805430937276272"/>
    <n v="-0.1866943633994079"/>
    <n v="1.5726337548020304"/>
    <n v="-0.22910732607421447"/>
    <x v="0"/>
    <x v="0"/>
    <x v="0"/>
    <x v="0"/>
    <x v="0"/>
    <x v="0"/>
  </r>
  <r>
    <x v="5"/>
    <s v="KW"/>
    <n v="881"/>
    <n v="6.63"/>
    <n v="-0.25"/>
    <n v="5.56"/>
    <n v="-1.05"/>
    <n v="-26.52"/>
    <n v="1.1924460431654678"/>
    <n v="-5.98"/>
    <n v="0.5"/>
    <n v="9.32"/>
    <n v="-6.3142857142857141"/>
    <s v="NO"/>
    <n v="-1.9257805265314665"/>
    <n v="-0.12190821275048375"/>
    <n v="-0.77381803067788002"/>
    <n v="-0.37761736470140739"/>
    <n v="7.8050885501112139"/>
    <n v="-0.29141441584681871"/>
    <x v="0"/>
    <x v="0"/>
    <x v="0"/>
    <x v="0"/>
    <x v="1"/>
    <x v="0"/>
  </r>
  <r>
    <x v="5"/>
    <s v="RDFN"/>
    <n v="1279"/>
    <n v="10"/>
    <n v="0.33"/>
    <n v="-1.23"/>
    <n v="-1.54"/>
    <n v="30.303030303030301"/>
    <n v="-8.1300813008130088"/>
    <n v="232.71"/>
    <n v="-8.5500000000000007"/>
    <n v="-6.81"/>
    <n v="-6.4935064935064934"/>
    <s v="NO"/>
    <n v="1.2836385545714026"/>
    <n v="-9.6835033512678326"/>
    <n v="21.943434997119077"/>
    <n v="-4.3958805316388387"/>
    <n v="-10.210950132386479"/>
    <n v="-0.29626182656621214"/>
    <x v="0"/>
    <x v="1"/>
    <x v="1"/>
    <x v="1"/>
    <x v="1"/>
    <x v="0"/>
  </r>
  <r>
    <x v="6"/>
    <s v="MHCUF"/>
    <n v="353"/>
    <n v="18.091899999999999"/>
    <n v="2.88"/>
    <n v="30.57"/>
    <n v="4.1399999999999997"/>
    <n v="6.2819097222222222"/>
    <n v="0.5918187765783447"/>
    <n v="19.82"/>
    <n v="3.05"/>
    <n v="1.9"/>
    <n v="4.3700241545893723"/>
    <s v="NO"/>
    <n v="-0.63114505504924023"/>
    <n v="-1.1583707985709464"/>
    <n v="5.2167848083123181"/>
    <n v="1.7678101129198163"/>
    <n v="-0.84161729894741388"/>
    <n v="1.065135974024964"/>
    <x v="0"/>
    <x v="0"/>
    <x v="1"/>
    <x v="0"/>
    <x v="0"/>
    <x v="0"/>
  </r>
  <r>
    <x v="6"/>
    <s v="KMMPF"/>
    <n v="1712"/>
    <n v="14.25"/>
    <n v="0.39"/>
    <n v="17.989999999999998"/>
    <n v="3.78"/>
    <n v="36.53846153846154"/>
    <n v="0.79210672595886611"/>
    <n v="22.26"/>
    <n v="2.62"/>
    <n v="1.74"/>
    <n v="3.7698412698412702"/>
    <s v="NO"/>
    <n v="1.8067669761206488"/>
    <n v="-0.86175824049312777"/>
    <n v="5.8226370183209841"/>
    <n v="1.2927111450726159"/>
    <n v="-1.0058353084981289"/>
    <n v="1.0383195828017371"/>
    <x v="0"/>
    <x v="0"/>
    <x v="1"/>
    <x v="0"/>
    <x v="0"/>
    <x v="0"/>
  </r>
  <r>
    <x v="6"/>
    <s v="MNARF"/>
    <n v="477"/>
    <n v="13.48"/>
    <n v="1.85"/>
    <n v="39.630000000000003"/>
    <n v="2.2400000000000002"/>
    <n v="7.2864864864864867"/>
    <n v="0.34014635377239466"/>
    <n v="5.46"/>
    <n v="2.3199999999999998"/>
    <n v="2.2999999999999998"/>
    <n v="6.0178571428571423"/>
    <s v="NO"/>
    <n v="-0.55020160205076929"/>
    <n v="-1.5310801969995622"/>
    <n v="1.6511955723596818"/>
    <n v="0.96124674890014983"/>
    <n v="-0.43107227507062668"/>
    <n v="1.1387617557772605"/>
    <x v="0"/>
    <x v="0"/>
    <x v="0"/>
    <x v="0"/>
    <x v="0"/>
    <x v="0"/>
  </r>
  <r>
    <x v="6"/>
    <s v="UMH"/>
    <n v="1412"/>
    <n v="17.04"/>
    <n v="0.72"/>
    <n v="7.13"/>
    <n v="0.1"/>
    <n v="23.666666666666668"/>
    <n v="2.3899018232819071"/>
    <n v="3.42"/>
    <n v="1.82"/>
    <n v="2.62"/>
    <n v="170.39999999999998"/>
    <s v="NO"/>
    <n v="0.76962620174274565"/>
    <n v="1.5044654517809664"/>
    <n v="1.1446633967786666"/>
    <n v="0.40880608861270729"/>
    <n v="-0.10263625596919647"/>
    <n v="8.4834161352829405"/>
    <x v="0"/>
    <x v="0"/>
    <x v="0"/>
    <x v="0"/>
    <x v="0"/>
    <x v="1"/>
  </r>
  <r>
    <x v="6"/>
    <s v="ELME"/>
    <n v="1416"/>
    <n v="16.45"/>
    <n v="1.02"/>
    <n v="12.06"/>
    <n v="-0.16"/>
    <n v="16.127450980392155"/>
    <n v="1.3640132669983416"/>
    <n v="-1.28"/>
    <n v="0.8"/>
    <n v="1.72"/>
    <n v="-102.8125"/>
    <s v="NO"/>
    <n v="0.16215629774368884"/>
    <n v="-1.4804329167830643E-2"/>
    <n v="-2.2347007746221222E-2"/>
    <n v="-0.71817285837367606"/>
    <n v="-1.0263625596919681"/>
    <n v="-3.7238184814636388"/>
    <x v="0"/>
    <x v="0"/>
    <x v="0"/>
    <x v="0"/>
    <x v="0"/>
    <x v="1"/>
  </r>
  <r>
    <x v="6"/>
    <s v="VRE"/>
    <n v="1418"/>
    <n v="15.19"/>
    <n v="0.54"/>
    <n v="11.59"/>
    <n v="-0.38"/>
    <n v="28.129629629629626"/>
    <n v="1.3106125970664366"/>
    <n v="-3.09"/>
    <n v="0.98"/>
    <n v="2.73"/>
    <n v="-39.973684210526315"/>
    <s v="NO"/>
    <n v="1.1292280218098072"/>
    <n v="-9.3887016671305557E-2"/>
    <n v="-0.47177016353133755"/>
    <n v="-0.5192942206701967"/>
    <n v="1.0263625596919922E-2"/>
    <n v="-0.9161571651599385"/>
    <x v="0"/>
    <x v="0"/>
    <x v="0"/>
    <x v="0"/>
    <x v="0"/>
    <x v="0"/>
  </r>
  <r>
    <x v="6"/>
    <s v="BRT"/>
    <n v="298"/>
    <n v="16.18"/>
    <n v="1.33"/>
    <n v="10.49"/>
    <n v="-0.48"/>
    <n v="12.165413533834586"/>
    <n v="1.5424213536701621"/>
    <n v="-4.2"/>
    <n v="1.1399999999999999"/>
    <n v="3.55"/>
    <n v="-33.708333333333336"/>
    <s v="NO"/>
    <n v="-0.15708360829623486"/>
    <n v="0.24940567015150075"/>
    <n v="-0.74738325906806646"/>
    <n v="-0.34251320937821511"/>
    <n v="0.85188092454433384"/>
    <n v="-0.63621899207439625"/>
    <x v="0"/>
    <x v="0"/>
    <x v="0"/>
    <x v="0"/>
    <x v="0"/>
    <x v="0"/>
  </r>
  <r>
    <x v="6"/>
    <s v="AIV"/>
    <n v="1131"/>
    <n v="8.39"/>
    <n v="-0.79"/>
    <n v="0.81"/>
    <n v="-0.78"/>
    <n v="-10.620253164556962"/>
    <n v="10.358024691358025"/>
    <n v="-22.82"/>
    <n v="7.0000000000000007E-2"/>
    <n v="16.95"/>
    <n v="-10.756410256410257"/>
    <s v="NO"/>
    <n v="-1.9930314492667085"/>
    <n v="13.304702631743197"/>
    <n v="-5.3707308616751748"/>
    <n v="-1.5247362223933425"/>
    <n v="14.60513922441671"/>
    <n v="0.3892813415689037"/>
    <x v="0"/>
    <x v="1"/>
    <x v="1"/>
    <x v="0"/>
    <x v="1"/>
    <x v="0"/>
  </r>
  <r>
    <x v="6"/>
    <s v="CSR"/>
    <n v="1067"/>
    <n v="64.989999999999995"/>
    <n v="5.98"/>
    <n v="38.049999999999997"/>
    <n v="-1.1200000000000001"/>
    <n v="10.867892976588626"/>
    <n v="1.7080157687253614"/>
    <n v="-1.51"/>
    <n v="0.8"/>
    <n v="2.97"/>
    <n v="-58.026785714285701"/>
    <s v="NO"/>
    <n v="-0.26163091416280781"/>
    <n v="0.49463951075369283"/>
    <n v="-7.9456027542119986E-2"/>
    <n v="-0.71817285837367606"/>
    <n v="0.25659063992299258"/>
    <n v="-1.7227763557765148"/>
    <x v="0"/>
    <x v="0"/>
    <x v="0"/>
    <x v="0"/>
    <x v="0"/>
    <x v="0"/>
  </r>
  <r>
    <x v="6"/>
    <s v="NXRT"/>
    <n v="860"/>
    <n v="34.58"/>
    <n v="3.23"/>
    <n v="14.86"/>
    <n v="-1.26"/>
    <n v="10.705882352941176"/>
    <n v="2.3270524899057872"/>
    <n v="-7.13"/>
    <n v="0.9"/>
    <n v="4.95"/>
    <n v="-27.444444444444443"/>
    <s v="NO"/>
    <n v="-0.27468486859113328"/>
    <n v="1.4113899492166091"/>
    <n v="-1.4749025112506029"/>
    <n v="-0.60768472631618753"/>
    <n v="2.2887885081130901"/>
    <n v="-0.35634614116201574"/>
    <x v="0"/>
    <x v="0"/>
    <x v="0"/>
    <x v="0"/>
    <x v="0"/>
    <x v="0"/>
  </r>
  <r>
    <x v="7"/>
    <s v="SITC"/>
    <n v="625"/>
    <n v="12.05"/>
    <n v="1.48"/>
    <n v="9.9499999999999993"/>
    <n v="10.39"/>
    <n v="8.141891891891893"/>
    <n v="1.2110552763819098"/>
    <n v="42.51"/>
    <n v="0.65"/>
    <n v="1.79"/>
    <n v="1.1597690086621752"/>
    <s v="NO"/>
    <n v="-0.61016743817909325"/>
    <n v="-0.3177356438235342"/>
    <n v="4.3772136058511428"/>
    <n v="-7.6338537173069243"/>
    <n v="-0.7547282703743724"/>
    <n v="-2.1043400883614143"/>
    <x v="0"/>
    <x v="0"/>
    <x v="1"/>
    <x v="1"/>
    <x v="0"/>
    <x v="0"/>
  </r>
  <r>
    <x v="7"/>
    <s v="ALX"/>
    <n v="1150"/>
    <n v="232.53"/>
    <n v="10.33"/>
    <n v="31.93"/>
    <n v="7.72"/>
    <n v="22.510164569215878"/>
    <n v="7.2824929533354217"/>
    <n v="20.16"/>
    <n v="3.48"/>
    <n v="8.17"/>
    <n v="30.120466321243523"/>
    <s v="NO"/>
    <n v="3.6861533980366734"/>
    <n v="9.6266177410889302"/>
    <n v="1.3974085697720096"/>
    <n v="-4.9769357234196718E-2"/>
    <n v="0.71679965101430243"/>
    <n v="1.3273754731180079"/>
    <x v="1"/>
    <x v="1"/>
    <x v="0"/>
    <x v="0"/>
    <x v="0"/>
    <x v="0"/>
  </r>
  <r>
    <x v="7"/>
    <s v="CBL"/>
    <n v="780"/>
    <n v="25.9"/>
    <n v="6.63"/>
    <n v="9.5399999999999991"/>
    <n v="2.16"/>
    <n v="3.9064856711915534"/>
    <n v="2.7148846960167714"/>
    <n v="22.04"/>
    <n v="3.15"/>
    <n v="8.9"/>
    <n v="11.990740740740739"/>
    <s v="NO"/>
    <n v="-1.8766150066854124"/>
    <n v="2.1453730917306308"/>
    <n v="1.6480588367889568"/>
    <n v="-0.93413255116493898"/>
    <n v="0.88517196803839859"/>
    <n v="-0.82091746086927342"/>
    <x v="0"/>
    <x v="0"/>
    <x v="0"/>
    <x v="0"/>
    <x v="0"/>
    <x v="0"/>
  </r>
  <r>
    <x v="7"/>
    <s v="BFS"/>
    <n v="816"/>
    <n v="34.89"/>
    <n v="4.41"/>
    <n v="5.9"/>
    <n v="1.47"/>
    <n v="7.9115646258503398"/>
    <n v="5.9135593220338984"/>
    <n v="12.39"/>
    <n v="3.61"/>
    <n v="14.87"/>
    <n v="23.73469387755102"/>
    <s v="NO"/>
    <n v="-0.67903861389144315"/>
    <n v="7.384453608888772"/>
    <n v="0.36147634917537136"/>
    <n v="0.29861614340518627"/>
    <n v="2.262134615482033"/>
    <n v="0.57068945721997522"/>
    <x v="0"/>
    <x v="1"/>
    <x v="0"/>
    <x v="0"/>
    <x v="0"/>
    <x v="0"/>
  </r>
  <r>
    <x v="7"/>
    <s v="GTY"/>
    <n v="1622"/>
    <n v="29.5"/>
    <n v="2.35"/>
    <n v="17.34"/>
    <n v="1.2"/>
    <n v="12.553191489361701"/>
    <n v="1.7012687427912341"/>
    <n v="7.23"/>
    <n v="3.6"/>
    <n v="2.0499999999999998"/>
    <n v="24.583333333333336"/>
    <s v="NO"/>
    <n v="0.70887478777409207"/>
    <n v="0.48518060161889803"/>
    <n v="-0.32647863902007962"/>
    <n v="0.27181725874061891"/>
    <n v="-0.69476004787263956"/>
    <n v="0.67124950917799286"/>
    <x v="0"/>
    <x v="0"/>
    <x v="0"/>
    <x v="0"/>
    <x v="0"/>
    <x v="0"/>
  </r>
  <r>
    <x v="7"/>
    <s v="SRRTF"/>
    <n v="642"/>
    <n v="10.78"/>
    <n v="1.22"/>
    <n v="11.35"/>
    <n v="0.66"/>
    <n v="8.8360655737704921"/>
    <n v="0.94977973568281937"/>
    <n v="6.17"/>
    <n v="3.9"/>
    <n v="3.33"/>
    <n v="16.333333333333332"/>
    <s v="NO"/>
    <n v="-0.40259949174705939"/>
    <n v="-0.74567651150440795"/>
    <n v="-0.467802725742401"/>
    <n v="1.0757837986776566"/>
    <n v="-0.39953187555641639"/>
    <n v="-0.30633929252209124"/>
    <x v="0"/>
    <x v="0"/>
    <x v="0"/>
    <x v="0"/>
    <x v="0"/>
    <x v="0"/>
  </r>
  <r>
    <x v="7"/>
    <s v="WSR"/>
    <n v="627"/>
    <n v="12.46"/>
    <n v="0.99"/>
    <n v="8.4700000000000006"/>
    <n v="0.61"/>
    <n v="12.585858585858587"/>
    <n v="1.4710743801652892"/>
    <n v="7.33"/>
    <n v="2.81"/>
    <n v="2.61"/>
    <n v="20.426229508196723"/>
    <s v="NO"/>
    <n v="0.71864272094811499"/>
    <n v="0.10814731708789233"/>
    <n v="-0.31314617800853994"/>
    <n v="-1.8452946297602486"/>
    <n v="-0.56559772248429196"/>
    <n v="0.17865094591034006"/>
    <x v="0"/>
    <x v="0"/>
    <x v="0"/>
    <x v="0"/>
    <x v="0"/>
    <x v="0"/>
  </r>
  <r>
    <x v="7"/>
    <s v="PMREF"/>
    <n v="1143"/>
    <n v="11.5"/>
    <n v="0.78"/>
    <n v="15.05"/>
    <n v="0.5"/>
    <n v="14.743589743589743"/>
    <n v="0.76411960132890366"/>
    <n v="2.99"/>
    <n v="3.94"/>
    <n v="2.09"/>
    <n v="23"/>
    <s v="NO"/>
    <n v="1.3638354688935752"/>
    <n v="-1.0497675824732982"/>
    <n v="-0.89177498590936488"/>
    <n v="1.1829793373359285"/>
    <n v="-0.68553416748775764"/>
    <n v="0.48363145632646132"/>
    <x v="0"/>
    <x v="0"/>
    <x v="0"/>
    <x v="0"/>
    <x v="0"/>
    <x v="0"/>
  </r>
  <r>
    <x v="7"/>
    <s v="NTST"/>
    <n v="1315"/>
    <n v="16.36"/>
    <n v="1.28"/>
    <n v="15.99"/>
    <n v="-0.14000000000000001"/>
    <n v="12.78125"/>
    <n v="1.0231394621638523"/>
    <n v="-0.88"/>
    <n v="1.54"/>
    <n v="1.75"/>
    <n v="-116.85714285714285"/>
    <s v="NO"/>
    <n v="0.77706757288722528"/>
    <n v="-0.62552127263617929"/>
    <n v="-1.4077412270559533"/>
    <n v="-5.2487529821603776"/>
    <n v="-0.76395415075925444"/>
    <n v="-16.088826324874955"/>
    <x v="0"/>
    <x v="0"/>
    <x v="0"/>
    <x v="1"/>
    <x v="0"/>
    <x v="1"/>
  </r>
  <r>
    <x v="8"/>
    <s v="SAFE"/>
    <n v="1081"/>
    <n v="15.62"/>
    <n v="0.7"/>
    <n v="32.78"/>
    <n v="1.46"/>
    <n v="22.314285714285713"/>
    <n v="0.47651006711409394"/>
    <n v="4.4400000000000004"/>
    <n v="2.85"/>
    <n v="2.95"/>
    <n v="10.698630136986301"/>
    <s v="NO"/>
    <n v="8.3377308313715856E-2"/>
    <n v="-0.99778336759012642"/>
    <n v="-6.6596638271980133E-2"/>
    <n v="0.43987163100858789"/>
    <n v="15.20236722066667"/>
    <n v="0.66599584155714164"/>
    <x v="0"/>
    <x v="0"/>
    <x v="0"/>
    <x v="0"/>
    <x v="1"/>
    <x v="0"/>
  </r>
  <r>
    <x v="8"/>
    <s v="FPI"/>
    <n v="521"/>
    <n v="11.79"/>
    <n v="0.23"/>
    <n v="10.5"/>
    <n v="1.0900000000000001"/>
    <n v="51.260869565217384"/>
    <n v="1.1228571428571428"/>
    <n v="10.199999999999999"/>
    <n v="1.74"/>
    <n v="1.69"/>
    <n v="10.816513761467888"/>
    <s v="NO"/>
    <n v="0.92745711284285726"/>
    <n v="1.5008654163211423"/>
    <n v="1.1321428506236642"/>
    <n v="-0.7089695699785481"/>
    <n v="-1.4059992805240884"/>
    <n v="0.74743585982598637"/>
    <x v="0"/>
    <x v="0"/>
    <x v="0"/>
    <x v="0"/>
    <x v="0"/>
    <x v="0"/>
  </r>
  <r>
    <x v="8"/>
    <s v="APPTF"/>
    <n v="393"/>
    <n v="8.15"/>
    <n v="1.18"/>
    <n v="10.01"/>
    <n v="1.06"/>
    <n v="6.9067796610169498"/>
    <n v="0.81418581418581426"/>
    <n v="9.68"/>
    <n v="3.79"/>
    <n v="1.84"/>
    <n v="7.6886792452830184"/>
    <s v="NO"/>
    <n v="-0.36590419463317087"/>
    <n v="0.30760367049172277"/>
    <n v="1.0239233134316965"/>
    <n v="1.4127641795922885"/>
    <n v="0.5711872077129081"/>
    <n v="-1.4134317013831299"/>
    <x v="0"/>
    <x v="0"/>
    <x v="0"/>
    <x v="0"/>
    <x v="0"/>
    <x v="0"/>
  </r>
  <r>
    <x v="8"/>
    <s v="UNIT"/>
    <n v="1055"/>
    <n v="4.2699999999999996"/>
    <n v="-0.11"/>
    <n v="-10.220000000000001"/>
    <n v="0.23"/>
    <n v="-38.818181818181813"/>
    <n v="-0.41780821917808214"/>
    <n v="-2.62"/>
    <n v="6.96"/>
    <n v="-2.17"/>
    <n v="18.565217391304344"/>
    <s v="NO"/>
    <n v="-1.6992399950240824"/>
    <n v="-4.4550393564172523"/>
    <n v="-1.5358849701475445"/>
    <n v="4.6936890508798754"/>
    <n v="-52.285598244489421"/>
    <n v="6.1006354068276227"/>
    <x v="0"/>
    <x v="1"/>
    <x v="0"/>
    <x v="1"/>
    <x v="1"/>
    <x v="1"/>
  </r>
  <r>
    <x v="8"/>
    <s v="LAND"/>
    <n v="358"/>
    <n v="10.01"/>
    <n v="0.18"/>
    <n v="19.07"/>
    <n v="-0.24"/>
    <n v="55.611111111111114"/>
    <n v="0.52490823282642896"/>
    <n v="2.1"/>
    <n v="1.32"/>
    <n v="1.86"/>
    <n v="-41.708333333333336"/>
    <s v="NO"/>
    <n v="1.0543097685006801"/>
    <n v="-0.81068571922273913"/>
    <n v="-0.55358455563583586"/>
    <n v="-1.1436662406223292"/>
    <n v="0.83481207281117431"/>
    <n v="-35.539406572958434"/>
    <x v="0"/>
    <x v="0"/>
    <x v="0"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3" firstHeaderRow="0" firstDataRow="1" firstDataCol="1" rowPageCount="1" colPageCount="1"/>
  <pivotFields count="26">
    <pivotField axis="axisRow" showAll="0">
      <items count="68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62"/>
        <item m="1" x="63"/>
        <item m="1" x="64"/>
        <item m="1" x="65"/>
        <item m="1" x="66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57"/>
        <item m="1" x="58"/>
        <item m="1" x="59"/>
        <item m="1" x="60"/>
        <item m="1" x="61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40"/>
        <item m="1" x="41"/>
        <item m="1" x="33"/>
        <item m="1" x="27"/>
        <item m="1" x="28"/>
        <item m="1" x="29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9"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3" firstHeaderRow="0" firstDataRow="1" firstDataCol="1" rowPageCount="1" colPageCount="1"/>
  <pivotFields count="26">
    <pivotField axis="axisRow" showAll="0">
      <items count="68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62"/>
        <item m="1" x="63"/>
        <item m="1" x="64"/>
        <item m="1" x="65"/>
        <item m="1" x="66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57"/>
        <item m="1" x="58"/>
        <item m="1" x="59"/>
        <item m="1" x="60"/>
        <item m="1" x="61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40"/>
        <item m="1" x="41"/>
        <item m="1" x="33"/>
        <item m="1" x="27"/>
        <item m="1" x="28"/>
        <item m="1" x="29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9"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3" firstHeaderRow="0" firstDataRow="1" firstDataCol="1" rowPageCount="1" colPageCount="1"/>
  <pivotFields count="26">
    <pivotField axis="axisRow" showAll="0">
      <items count="68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62"/>
        <item m="1" x="63"/>
        <item m="1" x="64"/>
        <item m="1" x="65"/>
        <item m="1" x="66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57"/>
        <item m="1" x="58"/>
        <item m="1" x="59"/>
        <item m="1" x="60"/>
        <item m="1" x="61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40"/>
        <item m="1" x="41"/>
        <item m="1" x="33"/>
        <item m="1" x="27"/>
        <item m="1" x="28"/>
        <item m="1" x="29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9"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3" firstHeaderRow="0" firstDataRow="1" firstDataCol="1" rowPageCount="1" colPageCount="1"/>
  <pivotFields count="26">
    <pivotField axis="axisRow" showAll="0">
      <items count="68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62"/>
        <item m="1" x="63"/>
        <item m="1" x="64"/>
        <item m="1" x="65"/>
        <item m="1" x="66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57"/>
        <item m="1" x="58"/>
        <item m="1" x="59"/>
        <item m="1" x="60"/>
        <item m="1" x="61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40"/>
        <item m="1" x="41"/>
        <item m="1" x="33"/>
        <item m="1" x="27"/>
        <item m="1" x="28"/>
        <item m="1" x="29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9"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3" firstHeaderRow="0" firstDataRow="1" firstDataCol="1" rowPageCount="1" colPageCount="1"/>
  <pivotFields count="26">
    <pivotField axis="axisRow" showAll="0">
      <items count="68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62"/>
        <item m="1" x="63"/>
        <item m="1" x="64"/>
        <item m="1" x="65"/>
        <item m="1" x="66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57"/>
        <item m="1" x="58"/>
        <item m="1" x="59"/>
        <item m="1" x="60"/>
        <item m="1" x="61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40"/>
        <item m="1" x="41"/>
        <item m="1" x="33"/>
        <item m="1" x="27"/>
        <item m="1" x="28"/>
        <item m="1" x="29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9"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3" firstHeaderRow="0" firstDataRow="1" firstDataCol="1" rowPageCount="1" colPageCount="1"/>
  <pivotFields count="26">
    <pivotField axis="axisRow" showAll="0">
      <items count="68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62"/>
        <item m="1" x="63"/>
        <item m="1" x="64"/>
        <item m="1" x="65"/>
        <item m="1" x="66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57"/>
        <item m="1" x="58"/>
        <item m="1" x="59"/>
        <item m="1" x="60"/>
        <item m="1" x="61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40"/>
        <item m="1" x="41"/>
        <item m="1" x="33"/>
        <item m="1" x="27"/>
        <item m="1" x="28"/>
        <item m="1" x="29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9"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3" firstHeaderRow="0" firstDataRow="1" firstDataCol="1" rowPageCount="1" colPageCount="1"/>
  <pivotFields count="26">
    <pivotField axis="axisRow" showAll="0">
      <items count="69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3"/>
        <item m="1" x="64"/>
        <item m="1" x="65"/>
        <item m="1" x="66"/>
        <item m="1" x="67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9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3" firstHeaderRow="0" firstDataRow="1" firstDataCol="1" rowPageCount="1" colPageCount="1"/>
  <pivotFields count="26">
    <pivotField axis="axisRow" showAll="0">
      <items count="69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3"/>
        <item m="1" x="64"/>
        <item m="1" x="65"/>
        <item m="1" x="66"/>
        <item m="1" x="67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9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3" firstHeaderRow="0" firstDataRow="1" firstDataCol="1" rowPageCount="1" colPageCount="1"/>
  <pivotFields count="26">
    <pivotField axis="axisRow" showAll="0">
      <items count="69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3"/>
        <item m="1" x="64"/>
        <item m="1" x="65"/>
        <item m="1" x="66"/>
        <item m="1" x="67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9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3" firstHeaderRow="0" firstDataRow="1" firstDataCol="1" rowPageCount="1" colPageCount="1"/>
  <pivotFields count="26">
    <pivotField axis="axisRow" showAll="0">
      <items count="69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3"/>
        <item m="1" x="64"/>
        <item m="1" x="65"/>
        <item m="1" x="66"/>
        <item m="1" x="67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9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3" firstHeaderRow="0" firstDataRow="1" firstDataCol="1" rowPageCount="1" colPageCount="1"/>
  <pivotFields count="26">
    <pivotField axis="axisRow" showAll="0">
      <items count="69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3"/>
        <item m="1" x="64"/>
        <item m="1" x="65"/>
        <item m="1" x="66"/>
        <item m="1" x="67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9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3" firstHeaderRow="0" firstDataRow="1" firstDataCol="1" rowPageCount="1" colPageCount="1"/>
  <pivotFields count="26">
    <pivotField axis="axisRow" showAll="0">
      <items count="69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3"/>
        <item m="1" x="64"/>
        <item m="1" x="65"/>
        <item m="1" x="66"/>
        <item m="1" x="67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9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3" firstHeaderRow="0" firstDataRow="1" firstDataCol="1" rowPageCount="1" colPageCount="1"/>
  <pivotFields count="26">
    <pivotField axis="axisRow" showAll="0">
      <items count="7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4"/>
        <item m="1" x="65"/>
        <item m="1" x="66"/>
        <item m="1" x="67"/>
        <item m="1" x="6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9"/>
        <item m="1" x="60"/>
        <item m="1" x="61"/>
        <item m="1" x="62"/>
        <item m="1" x="63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9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3" firstHeaderRow="0" firstDataRow="1" firstDataCol="1" rowPageCount="1" colPageCount="1"/>
  <pivotFields count="26">
    <pivotField axis="axisRow" showAll="0">
      <items count="7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4"/>
        <item m="1" x="65"/>
        <item m="1" x="66"/>
        <item m="1" x="67"/>
        <item m="1" x="6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9"/>
        <item m="1" x="60"/>
        <item m="1" x="61"/>
        <item m="1" x="62"/>
        <item m="1" x="63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9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3" firstHeaderRow="0" firstDataRow="1" firstDataCol="1" rowPageCount="1" colPageCount="1"/>
  <pivotFields count="26">
    <pivotField axis="axisRow" showAll="0">
      <items count="7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4"/>
        <item m="1" x="65"/>
        <item m="1" x="66"/>
        <item m="1" x="67"/>
        <item m="1" x="6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9"/>
        <item m="1" x="60"/>
        <item m="1" x="61"/>
        <item m="1" x="62"/>
        <item m="1" x="63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9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3" firstHeaderRow="0" firstDataRow="1" firstDataCol="1" rowPageCount="1" colPageCount="1"/>
  <pivotFields count="26">
    <pivotField axis="axisRow" showAll="0">
      <items count="7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4"/>
        <item m="1" x="65"/>
        <item m="1" x="66"/>
        <item m="1" x="67"/>
        <item m="1" x="6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9"/>
        <item m="1" x="60"/>
        <item m="1" x="61"/>
        <item m="1" x="62"/>
        <item m="1" x="63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9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3" firstHeaderRow="0" firstDataRow="1" firstDataCol="1" rowPageCount="1" colPageCount="1"/>
  <pivotFields count="26">
    <pivotField axis="axisRow" showAll="0">
      <items count="7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4"/>
        <item m="1" x="65"/>
        <item m="1" x="66"/>
        <item m="1" x="67"/>
        <item m="1" x="6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9"/>
        <item m="1" x="60"/>
        <item m="1" x="61"/>
        <item m="1" x="62"/>
        <item m="1" x="63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9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3" firstHeaderRow="0" firstDataRow="1" firstDataCol="1" rowPageCount="1" colPageCount="1"/>
  <pivotFields count="26">
    <pivotField axis="axisRow" showAll="0">
      <items count="7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4"/>
        <item m="1" x="65"/>
        <item m="1" x="66"/>
        <item m="1" x="67"/>
        <item m="1" x="6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9"/>
        <item m="1" x="60"/>
        <item m="1" x="61"/>
        <item m="1" x="62"/>
        <item m="1" x="63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9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41" tableType="queryTable" totalsRowShown="0">
  <autoFilter ref="A1:Z41" xr:uid="{1B3BB95A-07C7-4768-8185-A2A759A39458}"/>
  <sortState xmlns:xlrd2="http://schemas.microsoft.com/office/spreadsheetml/2017/richdata2" ref="A2:Z41">
    <sortCondition ref="A1:A41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29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28"/>
    <tableColumn id="9" xr3:uid="{92CA53A2-ADA4-45CE-B0FD-3AD68E123166}" uniqueName="9" name="P/B" queryTableFieldId="46" dataDxfId="127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26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25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24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23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22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21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20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60" tableType="queryTable" totalsRowShown="0">
  <autoFilter ref="A1:Z60" xr:uid="{8A05384F-F989-4428-B033-1A9B3ACA4EBB}"/>
  <sortState xmlns:xlrd2="http://schemas.microsoft.com/office/spreadsheetml/2017/richdata2" ref="A2:Z60">
    <sortCondition ref="A1:A60"/>
  </sortState>
  <tableColumns count="26">
    <tableColumn id="1" xr3:uid="{3547F496-7B67-42E8-9760-1F3941836443}" uniqueName="1" name="Industry" queryTableFieldId="1" dataDxfId="83"/>
    <tableColumn id="2" xr3:uid="{0A09E186-076D-4A57-B743-EBD7817F4082}" uniqueName="2" name="Symbol" queryTableFieldId="2" dataDxfId="82"/>
    <tableColumn id="3" xr3:uid="{C567BD69-49B3-415C-87A5-73BCB80F1796}" uniqueName="3" name="Market Cap (M)" queryTableFieldId="43" dataDxfId="81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80"/>
    <tableColumn id="9" xr3:uid="{F1DC44A8-3710-4CCA-B495-699F6ACADE85}" uniqueName="9" name="P/B" queryTableFieldId="45" dataDxfId="79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78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77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76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75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74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73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72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83" tableType="queryTable" totalsRowShown="0">
  <autoFilter ref="A1:Z83" xr:uid="{DE7CBD96-9DC7-4F09-9B11-F8C87451A82B}"/>
  <sortState xmlns:xlrd2="http://schemas.microsoft.com/office/spreadsheetml/2017/richdata2" ref="A2:Z83">
    <sortCondition ref="A1:A83"/>
  </sortState>
  <tableColumns count="26">
    <tableColumn id="1" xr3:uid="{261FC5A1-AB9E-4068-9D87-D85D75FE0DD5}" uniqueName="1" name="Industry" queryTableFieldId="1" dataDxfId="141"/>
    <tableColumn id="2" xr3:uid="{4D1C6415-A4DE-450C-A6A0-32BD8F91DEB2}" uniqueName="2" name="Symbol" queryTableFieldId="2" dataDxfId="140"/>
    <tableColumn id="3" xr3:uid="{1913483F-1018-45E5-BBAD-415B97CDE58A}" uniqueName="3" name="Market Cap (M)" queryTableFieldId="43" dataDxfId="139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138"/>
    <tableColumn id="9" xr3:uid="{A85952D4-A3AB-4C1A-90DC-2E32ECE72481}" uniqueName="9" name="P/B" queryTableFieldId="45" dataDxfId="137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136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135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134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133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132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131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130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11" tableType="queryTable" totalsRowShown="0">
  <autoFilter ref="A2:Y11" xr:uid="{CF08F30B-5B6A-425F-B235-3500A3319B88}"/>
  <tableColumns count="25">
    <tableColumn id="1" xr3:uid="{FD842081-B64F-4301-AA21-FB7B05A836D4}" uniqueName="1" name="Industry" queryTableFieldId="1" dataDxfId="144"/>
    <tableColumn id="2" xr3:uid="{E59C1D9B-F213-4C25-84A0-0FA886F9704F}" uniqueName="2" name="P/FCF Q1" queryTableFieldId="2" dataDxfId="23"/>
    <tableColumn id="3" xr3:uid="{04B713EC-FD8B-48E2-A2D2-C366A9A339B7}" uniqueName="3" name="P/FCF Q3" queryTableFieldId="3" dataDxfId="22"/>
    <tableColumn id="4" xr3:uid="{9DCEA951-E29F-4D9E-B9F0-5DC32A557DF0}" uniqueName="4" name="P/FCF LB" queryTableFieldId="4" dataDxfId="21"/>
    <tableColumn id="5" xr3:uid="{C2B6F391-AB27-4C2B-B68A-D2B47E1AA772}" uniqueName="5" name="P/FCF UB" queryTableFieldId="5" dataDxfId="20"/>
    <tableColumn id="6" xr3:uid="{1FD6B89C-F582-4857-A32F-326E69C5DFFD}" uniqueName="6" name="P/B Q1" queryTableFieldId="6" dataDxfId="19"/>
    <tableColumn id="7" xr3:uid="{A3697E12-D8D4-4284-AE2B-01C3BA154C99}" uniqueName="7" name="P/B Q3" queryTableFieldId="7" dataDxfId="18"/>
    <tableColumn id="8" xr3:uid="{A270BB2A-00C0-4246-AFBA-EDE9D5F40C76}" uniqueName="8" name="P/B LB" queryTableFieldId="8" dataDxfId="17"/>
    <tableColumn id="9" xr3:uid="{F99BB669-75E9-428A-88A3-E037E705383F}" uniqueName="9" name="P/B UB" queryTableFieldId="9" dataDxfId="16"/>
    <tableColumn id="10" xr3:uid="{D3A49932-F6DE-43A8-B449-B1C4E41499CF}" uniqueName="10" name="ROE Q1" queryTableFieldId="10" dataDxfId="15"/>
    <tableColumn id="11" xr3:uid="{BD8F2597-7442-49AD-BA3A-A3F29A6E60DD}" uniqueName="11" name="ROE Q3" queryTableFieldId="11" dataDxfId="14"/>
    <tableColumn id="12" xr3:uid="{3B29ED46-D0C8-4AF8-BFC0-41462C6C29EB}" uniqueName="12" name="ROE LB" queryTableFieldId="12" dataDxfId="13"/>
    <tableColumn id="13" xr3:uid="{F62F045D-EA3F-4608-85C5-21D743180D21}" uniqueName="13" name="ROE UB" queryTableFieldId="13" dataDxfId="12"/>
    <tableColumn id="14" xr3:uid="{9D898AB4-6F4D-4D03-BA61-39B91E78C9C6}" uniqueName="14" name="ROA Q1" queryTableFieldId="14" dataDxfId="11"/>
    <tableColumn id="15" xr3:uid="{2D1DFB04-09CE-4BEC-AD50-26246811DCDA}" uniqueName="15" name="ROA Q3" queryTableFieldId="15" dataDxfId="10"/>
    <tableColumn id="16" xr3:uid="{753F114C-61F5-4444-9EB0-76DCEA7F1F1B}" uniqueName="16" name="ROA LB" queryTableFieldId="16" dataDxfId="9"/>
    <tableColumn id="17" xr3:uid="{AA60DB6D-6DE2-4BF0-A375-18A578568BBF}" uniqueName="17" name="ROA UB" queryTableFieldId="17" dataDxfId="8"/>
    <tableColumn id="18" xr3:uid="{5357CEC7-DB8C-48BE-BDAD-FCBB1FB43389}" uniqueName="18" name="P/E Q1" queryTableFieldId="18" dataDxfId="7"/>
    <tableColumn id="19" xr3:uid="{C18FE8DB-95D8-42EC-BC42-C15678D7CE64}" uniqueName="19" name="P/E Q3" queryTableFieldId="19" dataDxfId="6"/>
    <tableColumn id="20" xr3:uid="{B7040099-49E4-464B-9BD8-1326A00D0599}" uniqueName="20" name="P/E LB" queryTableFieldId="20" dataDxfId="5"/>
    <tableColumn id="21" xr3:uid="{E8713F96-91B8-41CB-AA45-CCA61FACA752}" uniqueName="21" name="P/E UB" queryTableFieldId="21" dataDxfId="4"/>
    <tableColumn id="22" xr3:uid="{91693169-B783-4EDC-94CF-D23F08159B62}" uniqueName="22" name="A/E Q1" queryTableFieldId="22" dataDxfId="3"/>
    <tableColumn id="23" xr3:uid="{F98A9AC1-1CAF-483B-A342-F3A466AEB043}" uniqueName="23" name="A/E Q3" queryTableFieldId="23" dataDxfId="2"/>
    <tableColumn id="24" xr3:uid="{04D140EC-A8E6-4894-B430-208F20D411DB}" uniqueName="24" name="A/E LB" queryTableFieldId="24" dataDxfId="1"/>
    <tableColumn id="25" xr3:uid="{3E6CFD0C-10B0-4D91-A289-A353306CC102}" uniqueName="25" name="A/E UB" queryTableFieldId="25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5:Y24" tableType="queryTable" totalsRowShown="0">
  <autoFilter ref="A15:Y24" xr:uid="{89F54F15-11E6-4F5B-BF51-37096268E20C}"/>
  <tableColumns count="25">
    <tableColumn id="1" xr3:uid="{1DD86F6C-5649-4964-82C3-51A7F8B44C8D}" uniqueName="1" name="Industry" queryTableFieldId="1" dataDxfId="143"/>
    <tableColumn id="2" xr3:uid="{E9710093-0C0E-47F6-BA82-6DF1689DE3FF}" uniqueName="2" name="P/FCF Q1" queryTableFieldId="2" dataDxfId="47"/>
    <tableColumn id="3" xr3:uid="{BB549C0D-7552-41A2-B049-C1E0C569FC5B}" uniqueName="3" name="P/FCF Q3" queryTableFieldId="3" dataDxfId="46"/>
    <tableColumn id="4" xr3:uid="{F8874757-4F98-4408-A256-B3DBB97E40A5}" uniqueName="4" name="P/FCF LB" queryTableFieldId="4" dataDxfId="45"/>
    <tableColumn id="5" xr3:uid="{7F92E8F9-91DF-48EA-A8F2-F3E13D8104D3}" uniqueName="5" name="P/FCF UB" queryTableFieldId="5" dataDxfId="44"/>
    <tableColumn id="6" xr3:uid="{837AC52A-2B15-4BFB-A555-2456F010C7C9}" uniqueName="6" name="P/B Q1" queryTableFieldId="6" dataDxfId="43"/>
    <tableColumn id="7" xr3:uid="{C672A3A3-8D6C-4E08-B6E3-1D85CD510A41}" uniqueName="7" name="P/B Q3" queryTableFieldId="7" dataDxfId="42"/>
    <tableColumn id="8" xr3:uid="{47FBFC34-1D36-49FE-8583-28072989EA1C}" uniqueName="8" name="P/B LB" queryTableFieldId="8" dataDxfId="41"/>
    <tableColumn id="9" xr3:uid="{98DADD72-A76B-4DE4-AB34-515EBE2E4A04}" uniqueName="9" name="P/B UB" queryTableFieldId="9" dataDxfId="40"/>
    <tableColumn id="10" xr3:uid="{C06AFB5F-1921-4B19-AFA7-04514BD3BC35}" uniqueName="10" name="ROE Q1" queryTableFieldId="10" dataDxfId="39"/>
    <tableColumn id="11" xr3:uid="{38FF7E38-2AC1-4486-B824-BCBE4156ADA7}" uniqueName="11" name="ROE Q3" queryTableFieldId="11" dataDxfId="38"/>
    <tableColumn id="12" xr3:uid="{1BBD6DC1-3C0C-48AF-9986-81D1F4A26368}" uniqueName="12" name="ROE LB" queryTableFieldId="12" dataDxfId="37"/>
    <tableColumn id="13" xr3:uid="{5775303C-3550-4762-86D0-7A82C106A3F0}" uniqueName="13" name="ROE UB" queryTableFieldId="13" dataDxfId="36"/>
    <tableColumn id="14" xr3:uid="{9FE06177-2E94-4066-A65B-77414C97B4DC}" uniqueName="14" name="ROA Q1" queryTableFieldId="14" dataDxfId="35"/>
    <tableColumn id="15" xr3:uid="{386179E5-15F0-4AED-9E0C-1EB211C80CEE}" uniqueName="15" name="ROA Q3" queryTableFieldId="15" dataDxfId="34"/>
    <tableColumn id="16" xr3:uid="{C7DC1506-2223-42A0-AC4B-68B0E14D2B9D}" uniqueName="16" name="ROA LB" queryTableFieldId="16" dataDxfId="33"/>
    <tableColumn id="17" xr3:uid="{C45AE1E6-1326-44B3-972F-838B081A78FC}" uniqueName="17" name="ROA UB" queryTableFieldId="17" dataDxfId="32"/>
    <tableColumn id="18" xr3:uid="{17D85B47-F40C-47C3-996F-C47242CFB7D2}" uniqueName="18" name="P/E Q1" queryTableFieldId="18" dataDxfId="31"/>
    <tableColumn id="19" xr3:uid="{44248722-1EBA-4DF8-B99D-B6B2F31E253B}" uniqueName="19" name="P/E Q3" queryTableFieldId="19" dataDxfId="30"/>
    <tableColumn id="20" xr3:uid="{93299C7A-5544-43AE-ACC5-72F0CB129F08}" uniqueName="20" name="P/E LB" queryTableFieldId="20" dataDxfId="29"/>
    <tableColumn id="21" xr3:uid="{3E027012-2DA9-4754-8880-25FEEDEFA94A}" uniqueName="21" name="P/E UB" queryTableFieldId="21" dataDxfId="28"/>
    <tableColumn id="22" xr3:uid="{FF2638EF-6EA0-401C-B7D8-A2BC49ECD2B0}" uniqueName="22" name="A/E Q1" queryTableFieldId="22" dataDxfId="27"/>
    <tableColumn id="23" xr3:uid="{546FB46A-BFEC-4020-A8E1-97073EBE991F}" uniqueName="23" name="A/E Q3" queryTableFieldId="23" dataDxfId="26"/>
    <tableColumn id="24" xr3:uid="{41F03CE5-975A-469D-B609-D8C5D8D172FA}" uniqueName="24" name="A/E LB" queryTableFieldId="24" dataDxfId="25"/>
    <tableColumn id="25" xr3:uid="{1863137D-3C8C-4A15-9A63-5E253392AFAD}" uniqueName="25" name="A/E UB" queryTableFieldId="25" dataDxfId="2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8:Y37" tableType="queryTable" totalsRowShown="0">
  <autoFilter ref="A28:Y37" xr:uid="{CF689D08-98E7-4B08-8D8B-630159DED978}"/>
  <tableColumns count="25">
    <tableColumn id="1" xr3:uid="{1B5FE8EC-4B8C-444E-96DC-3618818E7D45}" uniqueName="1" name="Industry" queryTableFieldId="1" dataDxfId="142"/>
    <tableColumn id="2" xr3:uid="{0E20A80F-BE74-42F8-83EF-419A13269CF8}" uniqueName="2" name="P/FCF Q1" queryTableFieldId="2" dataDxfId="71"/>
    <tableColumn id="3" xr3:uid="{6D66145B-6613-41BC-8233-7356853CCFEF}" uniqueName="3" name="P/FCF Q3" queryTableFieldId="3" dataDxfId="70"/>
    <tableColumn id="4" xr3:uid="{90A69125-3CA2-4D0A-8F1A-65993DFA9D46}" uniqueName="4" name="P/FCF LB" queryTableFieldId="4" dataDxfId="69"/>
    <tableColumn id="5" xr3:uid="{BED6E3D4-DC60-428F-B5E8-4C3C64096FD7}" uniqueName="5" name="P/FCF UB" queryTableFieldId="5" dataDxfId="68"/>
    <tableColumn id="6" xr3:uid="{FC33B186-B76E-4D86-8EBD-E25B773D256E}" uniqueName="6" name="P/B Q1" queryTableFieldId="6" dataDxfId="67"/>
    <tableColumn id="7" xr3:uid="{D82D1432-7C03-4449-BD2D-F895D50A5F32}" uniqueName="7" name="P/B Q3" queryTableFieldId="7" dataDxfId="66"/>
    <tableColumn id="8" xr3:uid="{D3389429-24FB-4947-AACF-CAA92D678F94}" uniqueName="8" name="P/B LB" queryTableFieldId="8" dataDxfId="65"/>
    <tableColumn id="9" xr3:uid="{452E932D-DD5B-4C62-A8B3-25C90C8C7751}" uniqueName="9" name="P/B UB" queryTableFieldId="9" dataDxfId="64"/>
    <tableColumn id="10" xr3:uid="{99E11285-9679-47B1-9540-1BD10239596C}" uniqueName="10" name="ROE Q1" queryTableFieldId="10" dataDxfId="63"/>
    <tableColumn id="11" xr3:uid="{B4F1825A-C678-4C01-BB96-B04FAB1938BD}" uniqueName="11" name="ROE Q3" queryTableFieldId="11" dataDxfId="62"/>
    <tableColumn id="12" xr3:uid="{9F07026D-928C-42B1-8DD2-9BD3176C8B6A}" uniqueName="12" name="ROE LB" queryTableFieldId="12" dataDxfId="61"/>
    <tableColumn id="13" xr3:uid="{47360B1B-7AC4-49FA-9F18-2F1F1B72CA28}" uniqueName="13" name="ROE UB" queryTableFieldId="13" dataDxfId="60"/>
    <tableColumn id="14" xr3:uid="{58B0248D-BCFF-4737-ADF5-EE087C03D561}" uniqueName="14" name="ROA Q1" queryTableFieldId="14" dataDxfId="59"/>
    <tableColumn id="15" xr3:uid="{CCD6E6AE-6BBB-4675-8C50-0F87AF280A3C}" uniqueName="15" name="ROA Q3" queryTableFieldId="15" dataDxfId="58"/>
    <tableColumn id="16" xr3:uid="{BB86731C-A605-4988-A848-B35835CAF73E}" uniqueName="16" name="ROA LB" queryTableFieldId="16" dataDxfId="57"/>
    <tableColumn id="17" xr3:uid="{9760AC7A-70E9-4457-8DC8-4BDA6646C74E}" uniqueName="17" name="ROA UB" queryTableFieldId="17" dataDxfId="56"/>
    <tableColumn id="18" xr3:uid="{931D5CA9-41B9-424B-87E6-FA364034B249}" uniqueName="18" name="P/E Q1" queryTableFieldId="18" dataDxfId="55"/>
    <tableColumn id="19" xr3:uid="{23E1DD3D-5F02-4A6D-9773-5EA3466661AF}" uniqueName="19" name="P/E Q3" queryTableFieldId="19" dataDxfId="54"/>
    <tableColumn id="20" xr3:uid="{478DC28A-5ACD-47E8-8720-6EEE2D43205B}" uniqueName="20" name="P/E LB" queryTableFieldId="20" dataDxfId="53"/>
    <tableColumn id="21" xr3:uid="{AC7D613F-0AC5-4542-BBED-886B4C332840}" uniqueName="21" name="P/E UB" queryTableFieldId="21" dataDxfId="52"/>
    <tableColumn id="22" xr3:uid="{1E3F527B-4B19-4D38-9A78-D4BBA95224B9}" uniqueName="22" name="A/E Q1" queryTableFieldId="22" dataDxfId="51"/>
    <tableColumn id="23" xr3:uid="{1256121C-1427-4F44-988A-E08E26F80A67}" uniqueName="23" name="A/E Q3" queryTableFieldId="23" dataDxfId="50"/>
    <tableColumn id="24" xr3:uid="{3F6A6F05-B80E-47C0-9039-80E1A481FF30}" uniqueName="24" name="A/E LB" queryTableFieldId="24" dataDxfId="49"/>
    <tableColumn id="25" xr3:uid="{08969B40-89DA-4EAE-925B-3C841EB86C63}" uniqueName="25" name="A/E UB" queryTableFieldId="25" dataDxfId="4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41"/>
  <sheetViews>
    <sheetView workbookViewId="0">
      <selection activeCell="B24" sqref="B24"/>
    </sheetView>
  </sheetViews>
  <sheetFormatPr defaultRowHeight="15" x14ac:dyDescent="0.25"/>
  <cols>
    <col min="1" max="1" width="36.855468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106</v>
      </c>
      <c r="C2" s="2">
        <v>13743</v>
      </c>
      <c r="D2">
        <f>RTD("tos.rtd", , "LAST", Main_L[[#This Row],[Symbol]])</f>
        <v>63.3</v>
      </c>
      <c r="E2">
        <v>4.8600000000000003</v>
      </c>
      <c r="F2">
        <v>38.19</v>
      </c>
      <c r="G2">
        <v>1.94</v>
      </c>
      <c r="H2" s="1">
        <f>IF(ISNUMBER(Main_L[[#This Row],[Free CF]]),IF(Main_L[[#This Row],[Free CF]]&lt;&gt;0,Main_L[[#This Row],[Current Price]]/Main_L[[#This Row],[Free CF]],""),"")</f>
        <v>13.02469135802469</v>
      </c>
      <c r="I2" s="1">
        <f>IF(ISNUMBER(Main_L[[#This Row],[BVPS]]),IF(Main_L[[#This Row],[BVPS]]&lt;&gt;0,Main_L[[#This Row],[Current Price]]/Main_L[[#This Row],[BVPS]],""),"")</f>
        <v>1.657501963864886</v>
      </c>
      <c r="J2">
        <v>5.01</v>
      </c>
      <c r="K2">
        <v>2.9</v>
      </c>
      <c r="L2">
        <v>2.0699999999999998</v>
      </c>
      <c r="M2" s="1">
        <f>IF(ISNUMBER(Main_L[[#This Row],[EPS]]),IF(Main_L[[#This Row],[EPS]]&lt;&gt;0,Main_L[[#This Row],[Current Price]]/Main_L[[#This Row],[EPS]],""),"")</f>
        <v>32.628865979381445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 t="e">
        <f>(Main_L[[#This Row],[P/FCF]]-VLOOKUP(Main_L[[#This Row],[Industry]], Mean_PFCF_L, 2, FALSE))/(VLOOKUP(Main_L[[#This Row],[Industry]], Mean_PFCF_L, 3, FALSE))</f>
        <v>#DIV/0!</v>
      </c>
      <c r="P2" s="1" t="e">
        <f>(Main_L[[#This Row],[P/B]]-VLOOKUP(Main_L[[#This Row],[Industry]], Mean_PB_L, 2, FALSE))/(VLOOKUP(Main_L[[#This Row],[Industry]], Mean_PB_L, 3, FALSE))</f>
        <v>#DIV/0!</v>
      </c>
      <c r="Q2" s="1" t="e">
        <f>(Main_L[[#This Row],[ROE]]-VLOOKUP(Main_L[[#This Row],[Industry]], Mean_ROE_L, 2, FALSE))/(VLOOKUP(Main_L[[#This Row],[Industry]], Mean_ROE_L, 3, FALSE))</f>
        <v>#DIV/0!</v>
      </c>
      <c r="R2" s="1" t="e">
        <f>(Main_L[[#This Row],[ROA]]-VLOOKUP(Main_L[[#This Row],[Industry]], Mean_ROA_L, 2, FALSE))/(VLOOKUP(Main_L[[#This Row],[Industry]], Mean_ROA_L, 3, FALSE))</f>
        <v>#DIV/0!</v>
      </c>
      <c r="S2" s="1" t="e">
        <f>(Main_L[[#This Row],[A/E]]-VLOOKUP(Main_L[[#This Row],[Industry]], Mean_AE_L, 2, FALSE))/(VLOOKUP(Main_L[[#This Row],[Industry]], Mean_AE_L, 3, FALSE))</f>
        <v>#DIV/0!</v>
      </c>
      <c r="T2" s="1" t="e">
        <f>(Main_L[[#This Row],[P/E]]-VLOOKUP(Main_L[[#This Row],[Industry]], Mean_PE_L, 2, FALSE))/(VLOOKUP(Main_L[[#This Row],[Industry]], Mean_PE_L, 3, FALSE))</f>
        <v>#DIV/0!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t="s">
        <v>114</v>
      </c>
      <c r="B3" t="s">
        <v>119</v>
      </c>
      <c r="C3" s="2">
        <v>100892</v>
      </c>
      <c r="D3">
        <f>RTD("tos.rtd", , "LAST", Main_L[[#This Row],[Symbol]])</f>
        <v>150.31</v>
      </c>
      <c r="E3">
        <v>3.95</v>
      </c>
      <c r="F3">
        <v>52.09</v>
      </c>
      <c r="G3">
        <v>1.73</v>
      </c>
      <c r="H3" s="1">
        <f>IF(ISNUMBER(Main_L[[#This Row],[Free CF]]),IF(Main_L[[#This Row],[Free CF]]&lt;&gt;0,Main_L[[#This Row],[Current Price]]/Main_L[[#This Row],[Free CF]],""),"")</f>
        <v>38.053164556962024</v>
      </c>
      <c r="I3" s="1">
        <f>IF(ISNUMBER(Main_L[[#This Row],[BVPS]]),IF(Main_L[[#This Row],[BVPS]]&lt;&gt;0,Main_L[[#This Row],[Current Price]]/Main_L[[#This Row],[BVPS]],""),"")</f>
        <v>2.885582645421386</v>
      </c>
      <c r="J3">
        <v>3.48</v>
      </c>
      <c r="K3">
        <v>1.73</v>
      </c>
      <c r="L3">
        <v>1.57</v>
      </c>
      <c r="M3" s="1">
        <f>IF(ISNUMBER(Main_L[[#This Row],[EPS]]),IF(Main_L[[#This Row],[EPS]]&lt;&gt;0,Main_L[[#This Row],[Current Price]]/Main_L[[#This Row],[EPS]],""),"")</f>
        <v>86.884393063583815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1.7472060967372804</v>
      </c>
      <c r="P3" s="1">
        <f>(Main_L[[#This Row],[P/B]]-VLOOKUP(Main_L[[#This Row],[Industry]], Mean_PB_L, 2, FALSE))/(VLOOKUP(Main_L[[#This Row],[Industry]], Mean_PB_L, 3, FALSE))</f>
        <v>1.208994064084489</v>
      </c>
      <c r="Q3" s="1">
        <f>(Main_L[[#This Row],[ROE]]-VLOOKUP(Main_L[[#This Row],[Industry]], Mean_ROE_L, 2, FALSE))/(VLOOKUP(Main_L[[#This Row],[Industry]], Mean_ROE_L, 3, FALSE))</f>
        <v>1.078747232134559</v>
      </c>
      <c r="R3" s="1">
        <f>(Main_L[[#This Row],[ROA]]-VLOOKUP(Main_L[[#This Row],[Industry]], Mean_ROA_L, 2, FALSE))/(VLOOKUP(Main_L[[#This Row],[Industry]], Mean_ROA_L, 3, FALSE))</f>
        <v>-0.76677759665768142</v>
      </c>
      <c r="S3" s="1">
        <f>(Main_L[[#This Row],[A/E]]-VLOOKUP(Main_L[[#This Row],[Industry]], Mean_AE_L, 2, FALSE))/(VLOOKUP(Main_L[[#This Row],[Industry]], Mean_AE_L, 3, FALSE))</f>
        <v>-4.7251913853639644</v>
      </c>
      <c r="T3" s="1">
        <f>(Main_L[[#This Row],[P/E]]-VLOOKUP(Main_L[[#This Row],[Industry]], Mean_PE_L, 2, FALSE))/(VLOOKUP(Main_L[[#This Row],[Industry]], Mean_PE_L, 3, FALSE))</f>
        <v>0.84036987527716067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t="s">
        <v>114</v>
      </c>
      <c r="B4" t="s">
        <v>117</v>
      </c>
      <c r="C4" s="2">
        <v>10708</v>
      </c>
      <c r="D4">
        <f>RTD("tos.rtd", , "LAST", Main_L[[#This Row],[Symbol]])</f>
        <v>36.770000000000003</v>
      </c>
      <c r="E4">
        <v>2.92</v>
      </c>
      <c r="F4">
        <v>16.559999999999999</v>
      </c>
      <c r="G4">
        <v>1.6</v>
      </c>
      <c r="H4" s="1">
        <f>IF(ISNUMBER(Main_L[[#This Row],[Free CF]]),IF(Main_L[[#This Row],[Free CF]]&lt;&gt;0,Main_L[[#This Row],[Current Price]]/Main_L[[#This Row],[Free CF]],""),"")</f>
        <v>12.592465753424658</v>
      </c>
      <c r="I4" s="1">
        <f>IF(ISNUMBER(Main_L[[#This Row],[BVPS]]),IF(Main_L[[#This Row],[BVPS]]&lt;&gt;0,Main_L[[#This Row],[Current Price]]/Main_L[[#This Row],[BVPS]],""),"")</f>
        <v>2.2204106280193239</v>
      </c>
      <c r="J4">
        <v>10.67</v>
      </c>
      <c r="K4">
        <v>4.55</v>
      </c>
      <c r="L4">
        <v>2.0499999999999998</v>
      </c>
      <c r="M4" s="1">
        <f>IF(ISNUMBER(Main_L[[#This Row],[EPS]]),IF(Main_L[[#This Row],[EPS]]&lt;&gt;0,Main_L[[#This Row],[Current Price]]/Main_L[[#This Row],[EPS]],""),"")</f>
        <v>22.981249999999999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-0.55904359619117194</v>
      </c>
      <c r="P4" s="1">
        <f>(Main_L[[#This Row],[P/B]]-VLOOKUP(Main_L[[#This Row],[Industry]], Mean_PB_L, 2, FALSE))/(VLOOKUP(Main_L[[#This Row],[Industry]], Mean_PB_L, 3, FALSE))</f>
        <v>0.3508753216489241</v>
      </c>
      <c r="Q4" s="1">
        <f>(Main_L[[#This Row],[ROE]]-VLOOKUP(Main_L[[#This Row],[Industry]], Mean_ROE_L, 2, FALSE))/(VLOOKUP(Main_L[[#This Row],[Industry]], Mean_ROE_L, 3, FALSE))</f>
        <v>8.361557184291815</v>
      </c>
      <c r="R4" s="1">
        <f>(Main_L[[#This Row],[ROA]]-VLOOKUP(Main_L[[#This Row],[Industry]], Mean_ROA_L, 2, FALSE))/(VLOOKUP(Main_L[[#This Row],[Industry]], Mean_ROA_L, 3, FALSE))</f>
        <v>33.375003812415976</v>
      </c>
      <c r="S4" s="1">
        <f>(Main_L[[#This Row],[A/E]]-VLOOKUP(Main_L[[#This Row],[Industry]], Mean_AE_L, 2, FALSE))/(VLOOKUP(Main_L[[#This Row],[Industry]], Mean_AE_L, 3, FALSE))</f>
        <v>-1.2491885271651857</v>
      </c>
      <c r="T4" s="1">
        <f>(Main_L[[#This Row],[P/E]]-VLOOKUP(Main_L[[#This Row],[Industry]], Mean_PE_L, 2, FALSE))/(VLOOKUP(Main_L[[#This Row],[Industry]], Mean_PE_L, 3, FALSE))</f>
        <v>-1.3058103395351703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114</v>
      </c>
      <c r="B5" t="s">
        <v>115</v>
      </c>
      <c r="C5" s="2">
        <v>12142</v>
      </c>
      <c r="D5">
        <f>RTD("tos.rtd", , "LAST", Main_L[[#This Row],[Symbol]])</f>
        <v>71.75</v>
      </c>
      <c r="E5">
        <v>7.99</v>
      </c>
      <c r="F5">
        <v>102.65</v>
      </c>
      <c r="G5">
        <v>0.76</v>
      </c>
      <c r="H5" s="1">
        <f>IF(ISNUMBER(Main_L[[#This Row],[Free CF]]),IF(Main_L[[#This Row],[Free CF]]&lt;&gt;0,Main_L[[#This Row],[Current Price]]/Main_L[[#This Row],[Free CF]],""),"")</f>
        <v>8.9799749687108879</v>
      </c>
      <c r="I5" s="1">
        <f>IF(ISNUMBER(Main_L[[#This Row],[BVPS]]),IF(Main_L[[#This Row],[BVPS]]&lt;&gt;0,Main_L[[#This Row],[Current Price]]/Main_L[[#This Row],[BVPS]],""),"")</f>
        <v>0.69897710667316115</v>
      </c>
      <c r="J5">
        <v>1.48</v>
      </c>
      <c r="K5">
        <v>1.3</v>
      </c>
      <c r="L5">
        <v>2.15</v>
      </c>
      <c r="M5" s="1">
        <f>IF(ISNUMBER(Main_L[[#This Row],[EPS]]),IF(Main_L[[#This Row],[EPS]]&lt;&gt;0,Main_L[[#This Row],[Current Price]]/Main_L[[#This Row],[EPS]],""),"")</f>
        <v>94.40789473684211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-0.88626579174990083</v>
      </c>
      <c r="P5" s="1">
        <f>(Main_L[[#This Row],[P/B]]-VLOOKUP(Main_L[[#This Row],[Industry]], Mean_PB_L, 2, FALSE))/(VLOOKUP(Main_L[[#This Row],[Industry]], Mean_PB_L, 3, FALSE))</f>
        <v>-1.6118810569732576</v>
      </c>
      <c r="Q5" s="1">
        <f>(Main_L[[#This Row],[ROE]]-VLOOKUP(Main_L[[#This Row],[Industry]], Mean_ROE_L, 2, FALSE))/(VLOOKUP(Main_L[[#This Row],[Industry]], Mean_ROE_L, 3, FALSE))</f>
        <v>-0.94706916624019977</v>
      </c>
      <c r="R5" s="1">
        <f>(Main_L[[#This Row],[ROA]]-VLOOKUP(Main_L[[#This Row],[Industry]], Mean_ROA_L, 2, FALSE))/(VLOOKUP(Main_L[[#This Row],[Industry]], Mean_ROA_L, 3, FALSE))</f>
        <v>-5.9727939108072094</v>
      </c>
      <c r="S5" s="1">
        <f>(Main_L[[#This Row],[A/E]]-VLOOKUP(Main_L[[#This Row],[Industry]], Mean_AE_L, 2, FALSE))/(VLOOKUP(Main_L[[#This Row],[Industry]], Mean_AE_L, 3, FALSE))</f>
        <v>-0.52502126504043922</v>
      </c>
      <c r="T5" s="1">
        <f>(Main_L[[#This Row],[P/E]]-VLOOKUP(Main_L[[#This Row],[Industry]], Mean_PE_L, 2, FALSE))/(VLOOKUP(Main_L[[#This Row],[Industry]], Mean_PE_L, 3, FALSE))</f>
        <v>1.0930458730944874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t="s">
        <v>114</v>
      </c>
      <c r="B6" t="s">
        <v>116</v>
      </c>
      <c r="C6" s="2">
        <v>12095</v>
      </c>
      <c r="D6">
        <f>RTD("tos.rtd", , "LAST", Main_L[[#This Row],[Symbol]])</f>
        <v>17.27</v>
      </c>
      <c r="E6">
        <v>1.71</v>
      </c>
      <c r="F6">
        <v>11.72</v>
      </c>
      <c r="G6">
        <v>0.4</v>
      </c>
      <c r="H6" s="1">
        <f>IF(ISNUMBER(Main_L[[#This Row],[Free CF]]),IF(Main_L[[#This Row],[Free CF]]&lt;&gt;0,Main_L[[#This Row],[Current Price]]/Main_L[[#This Row],[Free CF]],""),"")</f>
        <v>10.099415204678362</v>
      </c>
      <c r="I6" s="1">
        <f>IF(ISNUMBER(Main_L[[#This Row],[BVPS]]),IF(Main_L[[#This Row],[BVPS]]&lt;&gt;0,Main_L[[#This Row],[Current Price]]/Main_L[[#This Row],[BVPS]],""),"")</f>
        <v>1.4735494880546074</v>
      </c>
      <c r="J6">
        <v>3.32</v>
      </c>
      <c r="K6">
        <v>1.74</v>
      </c>
      <c r="L6">
        <v>2.42</v>
      </c>
      <c r="M6" s="1">
        <f>IF(ISNUMBER(Main_L[[#This Row],[EPS]]),IF(Main_L[[#This Row],[EPS]]&lt;&gt;0,Main_L[[#This Row],[Current Price]]/Main_L[[#This Row],[EPS]],""),"")</f>
        <v>43.174999999999997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-0.78486603362177543</v>
      </c>
      <c r="P6" s="1">
        <f>(Main_L[[#This Row],[P/B]]-VLOOKUP(Main_L[[#This Row],[Industry]], Mean_PB_L, 2, FALSE))/(VLOOKUP(Main_L[[#This Row],[Industry]], Mean_PB_L, 3, FALSE))</f>
        <v>-0.61262814126528109</v>
      </c>
      <c r="Q6" s="1">
        <f>(Main_L[[#This Row],[ROE]]-VLOOKUP(Main_L[[#This Row],[Industry]], Mean_ROE_L, 2, FALSE))/(VLOOKUP(Main_L[[#This Row],[Industry]], Mean_ROE_L, 3, FALSE))</f>
        <v>0.91668192026457818</v>
      </c>
      <c r="R6" s="1">
        <f>(Main_L[[#This Row],[ROA]]-VLOOKUP(Main_L[[#This Row],[Industry]], Mean_ROA_L, 2, FALSE))/(VLOOKUP(Main_L[[#This Row],[Industry]], Mean_ROA_L, 3, FALSE))</f>
        <v>-0.64570744981699457</v>
      </c>
      <c r="S6" s="1">
        <f>(Main_L[[#This Row],[A/E]]-VLOOKUP(Main_L[[#This Row],[Industry]], Mean_AE_L, 2, FALSE))/(VLOOKUP(Main_L[[#This Row],[Industry]], Mean_AE_L, 3, FALSE))</f>
        <v>1.4302303426963747</v>
      </c>
      <c r="T6" s="1">
        <f>(Main_L[[#This Row],[P/E]]-VLOOKUP(Main_L[[#This Row],[Industry]], Mean_PE_L, 2, FALSE))/(VLOOKUP(Main_L[[#This Row],[Industry]], Mean_PE_L, 3, FALSE))</f>
        <v>-0.62760540883647775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t="s">
        <v>114</v>
      </c>
      <c r="B7" t="s">
        <v>118</v>
      </c>
      <c r="C7" s="2">
        <v>29009</v>
      </c>
      <c r="D7">
        <f>RTD("tos.rtd", , "LAST", Main_L[[#This Row],[Symbol]])</f>
        <v>62.65</v>
      </c>
      <c r="E7">
        <v>2.6</v>
      </c>
      <c r="F7">
        <v>25.43</v>
      </c>
      <c r="G7">
        <v>0.33</v>
      </c>
      <c r="H7" s="1">
        <f>IF(ISNUMBER(Main_L[[#This Row],[Free CF]]),IF(Main_L[[#This Row],[Free CF]]&lt;&gt;0,Main_L[[#This Row],[Current Price]]/Main_L[[#This Row],[Free CF]],""),"")</f>
        <v>24.096153846153843</v>
      </c>
      <c r="I7" s="1">
        <f>IF(ISNUMBER(Main_L[[#This Row],[BVPS]]),IF(Main_L[[#This Row],[BVPS]]&lt;&gt;0,Main_L[[#This Row],[Current Price]]/Main_L[[#This Row],[BVPS]],""),"")</f>
        <v>2.4636256390090443</v>
      </c>
      <c r="J7">
        <v>1.38</v>
      </c>
      <c r="K7">
        <v>1.91</v>
      </c>
      <c r="L7">
        <v>2.27</v>
      </c>
      <c r="M7" s="1">
        <f>IF(ISNUMBER(Main_L[[#This Row],[EPS]]),IF(Main_L[[#This Row],[EPS]]&lt;&gt;0,Main_L[[#This Row],[Current Price]]/Main_L[[#This Row],[EPS]],""),"")</f>
        <v>189.84848484848484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0.48296932482556765</v>
      </c>
      <c r="P7" s="1">
        <f>(Main_L[[#This Row],[P/B]]-VLOOKUP(Main_L[[#This Row],[Industry]], Mean_PB_L, 2, FALSE))/(VLOOKUP(Main_L[[#This Row],[Industry]], Mean_PB_L, 3, FALSE))</f>
        <v>0.66463981250512638</v>
      </c>
      <c r="Q7" s="1">
        <f>(Main_L[[#This Row],[ROE]]-VLOOKUP(Main_L[[#This Row],[Industry]], Mean_ROE_L, 2, FALSE))/(VLOOKUP(Main_L[[#This Row],[Industry]], Mean_ROE_L, 3, FALSE))</f>
        <v>-1.0483599861589379</v>
      </c>
      <c r="R7" s="1">
        <f>(Main_L[[#This Row],[ROA]]-VLOOKUP(Main_L[[#This Row],[Industry]], Mean_ROA_L, 2, FALSE))/(VLOOKUP(Main_L[[#This Row],[Industry]], Mean_ROA_L, 3, FALSE))</f>
        <v>1.4124850464746788</v>
      </c>
      <c r="S7" s="1">
        <f>(Main_L[[#This Row],[A/E]]-VLOOKUP(Main_L[[#This Row],[Industry]], Mean_AE_L, 2, FALSE))/(VLOOKUP(Main_L[[#This Row],[Industry]], Mean_AE_L, 3, FALSE))</f>
        <v>0.34397944950925663</v>
      </c>
      <c r="T7" s="1">
        <f>(Main_L[[#This Row],[P/E]]-VLOOKUP(Main_L[[#This Row],[Industry]], Mean_PE_L, 2, FALSE))/(VLOOKUP(Main_L[[#This Row],[Industry]], Mean_PE_L, 3, FALSE))</f>
        <v>4.2984078688857101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" spans="1:26" x14ac:dyDescent="0.25">
      <c r="A8" t="s">
        <v>110</v>
      </c>
      <c r="B8" t="s">
        <v>111</v>
      </c>
      <c r="C8" s="2">
        <v>10746</v>
      </c>
      <c r="D8">
        <f>RTD("tos.rtd", , "LAST", Main_L[[#This Row],[Symbol]])</f>
        <v>15.92</v>
      </c>
      <c r="E8">
        <v>2.0499999999999998</v>
      </c>
      <c r="F8">
        <v>9.59</v>
      </c>
      <c r="G8">
        <v>0.96</v>
      </c>
      <c r="H8" s="1">
        <f>IF(ISNUMBER(Main_L[[#This Row],[Free CF]]),IF(Main_L[[#This Row],[Free CF]]&lt;&gt;0,Main_L[[#This Row],[Current Price]]/Main_L[[#This Row],[Free CF]],""),"")</f>
        <v>7.765853658536586</v>
      </c>
      <c r="I8" s="1">
        <f>IF(ISNUMBER(Main_L[[#This Row],[BVPS]]),IF(Main_L[[#This Row],[BVPS]]&lt;&gt;0,Main_L[[#This Row],[Current Price]]/Main_L[[#This Row],[BVPS]],""),"")</f>
        <v>1.6600625651720542</v>
      </c>
      <c r="J8">
        <v>10</v>
      </c>
      <c r="K8">
        <v>3.91</v>
      </c>
      <c r="L8">
        <v>1.95</v>
      </c>
      <c r="M8" s="1">
        <f>IF(ISNUMBER(Main_L[[#This Row],[EPS]]),IF(Main_L[[#This Row],[EPS]]&lt;&gt;0,Main_L[[#This Row],[Current Price]]/Main_L[[#This Row],[EPS]],""),"")</f>
        <v>16.583333333333332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 t="e">
        <f>(Main_L[[#This Row],[P/FCF]]-VLOOKUP(Main_L[[#This Row],[Industry]], Mean_PFCF_L, 2, FALSE))/(VLOOKUP(Main_L[[#This Row],[Industry]], Mean_PFCF_L, 3, FALSE))</f>
        <v>#DIV/0!</v>
      </c>
      <c r="P8" s="1" t="e">
        <f>(Main_L[[#This Row],[P/B]]-VLOOKUP(Main_L[[#This Row],[Industry]], Mean_PB_L, 2, FALSE))/(VLOOKUP(Main_L[[#This Row],[Industry]], Mean_PB_L, 3, FALSE))</f>
        <v>#DIV/0!</v>
      </c>
      <c r="Q8" s="1" t="e">
        <f>(Main_L[[#This Row],[ROE]]-VLOOKUP(Main_L[[#This Row],[Industry]], Mean_ROE_L, 2, FALSE))/(VLOOKUP(Main_L[[#This Row],[Industry]], Mean_ROE_L, 3, FALSE))</f>
        <v>#DIV/0!</v>
      </c>
      <c r="R8" s="1" t="e">
        <f>(Main_L[[#This Row],[ROA]]-VLOOKUP(Main_L[[#This Row],[Industry]], Mean_ROA_L, 2, FALSE))/(VLOOKUP(Main_L[[#This Row],[Industry]], Mean_ROA_L, 3, FALSE))</f>
        <v>#DIV/0!</v>
      </c>
      <c r="S8" s="1" t="e">
        <f>(Main_L[[#This Row],[A/E]]-VLOOKUP(Main_L[[#This Row],[Industry]], Mean_AE_L, 2, FALSE))/(VLOOKUP(Main_L[[#This Row],[Industry]], Mean_AE_L, 3, FALSE))</f>
        <v>#DIV/0!</v>
      </c>
      <c r="T8" s="1" t="e">
        <f>(Main_L[[#This Row],[P/E]]-VLOOKUP(Main_L[[#This Row],[Industry]], Mean_PE_L, 2, FALSE))/(VLOOKUP(Main_L[[#This Row],[Industry]], Mean_PE_L, 3, FALSE))</f>
        <v>#DIV/0!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107</v>
      </c>
      <c r="B9" t="s">
        <v>109</v>
      </c>
      <c r="C9" s="2">
        <v>100773</v>
      </c>
      <c r="D9">
        <f>RTD("tos.rtd", , "LAST", Main_L[[#This Row],[Symbol]])</f>
        <v>108.93</v>
      </c>
      <c r="E9">
        <v>5.41</v>
      </c>
      <c r="F9">
        <v>57.55</v>
      </c>
      <c r="G9">
        <v>4.01</v>
      </c>
      <c r="H9" s="1">
        <f>IF(ISNUMBER(Main_L[[#This Row],[Free CF]]),IF(Main_L[[#This Row],[Free CF]]&lt;&gt;0,Main_L[[#This Row],[Current Price]]/Main_L[[#This Row],[Free CF]],""),"")</f>
        <v>20.134935304990758</v>
      </c>
      <c r="I9" s="1">
        <f>IF(ISNUMBER(Main_L[[#This Row],[BVPS]]),IF(Main_L[[#This Row],[BVPS]]&lt;&gt;0,Main_L[[#This Row],[Current Price]]/Main_L[[#This Row],[BVPS]],""),"")</f>
        <v>1.8927888792354477</v>
      </c>
      <c r="J9">
        <v>6.83</v>
      </c>
      <c r="K9">
        <v>2.38</v>
      </c>
      <c r="L9">
        <v>1.8</v>
      </c>
      <c r="M9" s="1">
        <f>IF(ISNUMBER(Main_L[[#This Row],[EPS]]),IF(Main_L[[#This Row],[EPS]]&lt;&gt;0,Main_L[[#This Row],[Current Price]]/Main_L[[#This Row],[EPS]],""),"")</f>
        <v>27.164588528678308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 t="e">
        <f>(Main_L[[#This Row],[P/FCF]]-VLOOKUP(Main_L[[#This Row],[Industry]], Mean_PFCF_L, 2, FALSE))/(VLOOKUP(Main_L[[#This Row],[Industry]], Mean_PFCF_L, 3, FALSE))</f>
        <v>#DIV/0!</v>
      </c>
      <c r="P9" s="1" t="e">
        <f>(Main_L[[#This Row],[P/B]]-VLOOKUP(Main_L[[#This Row],[Industry]], Mean_PB_L, 2, FALSE))/(VLOOKUP(Main_L[[#This Row],[Industry]], Mean_PB_L, 3, FALSE))</f>
        <v>#DIV/0!</v>
      </c>
      <c r="Q9" s="1" t="e">
        <f>(Main_L[[#This Row],[ROE]]-VLOOKUP(Main_L[[#This Row],[Industry]], Mean_ROE_L, 2, FALSE))/(VLOOKUP(Main_L[[#This Row],[Industry]], Mean_ROE_L, 3, FALSE))</f>
        <v>#DIV/0!</v>
      </c>
      <c r="R9" s="1" t="e">
        <f>(Main_L[[#This Row],[ROA]]-VLOOKUP(Main_L[[#This Row],[Industry]], Mean_ROA_L, 2, FALSE))/(VLOOKUP(Main_L[[#This Row],[Industry]], Mean_ROA_L, 3, FALSE))</f>
        <v>#DIV/0!</v>
      </c>
      <c r="S9" s="1" t="e">
        <f>(Main_L[[#This Row],[A/E]]-VLOOKUP(Main_L[[#This Row],[Industry]], Mean_AE_L, 2, FALSE))/(VLOOKUP(Main_L[[#This Row],[Industry]], Mean_AE_L, 3, FALSE))</f>
        <v>#DIV/0!</v>
      </c>
      <c r="T9" s="1" t="e">
        <f>(Main_L[[#This Row],[P/E]]-VLOOKUP(Main_L[[#This Row],[Industry]], Mean_PE_L, 2, FALSE))/(VLOOKUP(Main_L[[#This Row],[Industry]], Mean_PE_L, 3, FALSE))</f>
        <v>#DIV/0!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t="s">
        <v>112</v>
      </c>
      <c r="B10" t="s">
        <v>113</v>
      </c>
      <c r="C10" s="2">
        <v>10660</v>
      </c>
      <c r="D10">
        <f>RTD("tos.rtd", , "LAST", Main_L[[#This Row],[Symbol]])</f>
        <v>72.58</v>
      </c>
      <c r="E10">
        <v>7.9</v>
      </c>
      <c r="F10">
        <v>33.6</v>
      </c>
      <c r="G10">
        <v>-0.03</v>
      </c>
      <c r="H10" s="1">
        <f>IF(ISNUMBER(Main_L[[#This Row],[Free CF]]),IF(Main_L[[#This Row],[Free CF]]&lt;&gt;0,Main_L[[#This Row],[Current Price]]/Main_L[[#This Row],[Free CF]],""),"")</f>
        <v>9.187341772151898</v>
      </c>
      <c r="I10" s="1">
        <f>IF(ISNUMBER(Main_L[[#This Row],[BVPS]]),IF(Main_L[[#This Row],[BVPS]]&lt;&gt;0,Main_L[[#This Row],[Current Price]]/Main_L[[#This Row],[BVPS]],""),"")</f>
        <v>2.1601190476190473</v>
      </c>
      <c r="J10">
        <v>0.8</v>
      </c>
      <c r="K10">
        <v>2.46</v>
      </c>
      <c r="L10">
        <v>4.78</v>
      </c>
      <c r="M10" s="1">
        <f>IF(ISNUMBER(Main_L[[#This Row],[EPS]]),IF(Main_L[[#This Row],[EPS]]&lt;&gt;0,Main_L[[#This Row],[Current Price]]/Main_L[[#This Row],[EPS]],""),"")</f>
        <v>-2419.3333333333335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 t="e">
        <f>(Main_L[[#This Row],[P/FCF]]-VLOOKUP(Main_L[[#This Row],[Industry]], Mean_PFCF_L, 2, FALSE))/(VLOOKUP(Main_L[[#This Row],[Industry]], Mean_PFCF_L, 3, FALSE))</f>
        <v>#DIV/0!</v>
      </c>
      <c r="P10" s="1" t="e">
        <f>(Main_L[[#This Row],[P/B]]-VLOOKUP(Main_L[[#This Row],[Industry]], Mean_PB_L, 2, FALSE))/(VLOOKUP(Main_L[[#This Row],[Industry]], Mean_PB_L, 3, FALSE))</f>
        <v>#DIV/0!</v>
      </c>
      <c r="Q10" s="1" t="e">
        <f>(Main_L[[#This Row],[ROE]]-VLOOKUP(Main_L[[#This Row],[Industry]], Mean_ROE_L, 2, FALSE))/(VLOOKUP(Main_L[[#This Row],[Industry]], Mean_ROE_L, 3, FALSE))</f>
        <v>#DIV/0!</v>
      </c>
      <c r="R10" s="1" t="e">
        <f>(Main_L[[#This Row],[ROA]]-VLOOKUP(Main_L[[#This Row],[Industry]], Mean_ROA_L, 2, FALSE))/(VLOOKUP(Main_L[[#This Row],[Industry]], Mean_ROA_L, 3, FALSE))</f>
        <v>#DIV/0!</v>
      </c>
      <c r="S10" s="1" t="e">
        <f>(Main_L[[#This Row],[A/E]]-VLOOKUP(Main_L[[#This Row],[Industry]], Mean_AE_L, 2, FALSE))/(VLOOKUP(Main_L[[#This Row],[Industry]], Mean_AE_L, 3, FALSE))</f>
        <v>#DIV/0!</v>
      </c>
      <c r="T10" s="1" t="e">
        <f>(Main_L[[#This Row],[P/E]]-VLOOKUP(Main_L[[#This Row],[Industry]], Mean_PE_L, 2, FALSE))/(VLOOKUP(Main_L[[#This Row],[Industry]], Mean_PE_L, 3, FALSE))</f>
        <v>#DIV/0!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t="s">
        <v>147</v>
      </c>
      <c r="B11" t="s">
        <v>151</v>
      </c>
      <c r="C11" s="2">
        <v>10572</v>
      </c>
      <c r="D11">
        <f>RTD("tos.rtd", , "LAST", Main_L[[#This Row],[Symbol]])</f>
        <v>230.88</v>
      </c>
      <c r="E11">
        <v>10.71</v>
      </c>
      <c r="F11">
        <v>143.94</v>
      </c>
      <c r="G11">
        <v>11.07</v>
      </c>
      <c r="H11" s="1">
        <f>IF(ISNUMBER(Main_L[[#This Row],[Free CF]]),IF(Main_L[[#This Row],[Free CF]]&lt;&gt;0,Main_L[[#This Row],[Current Price]]/Main_L[[#This Row],[Free CF]],""),"")</f>
        <v>21.557422969187673</v>
      </c>
      <c r="I11" s="1">
        <f>IF(ISNUMBER(Main_L[[#This Row],[BVPS]]),IF(Main_L[[#This Row],[BVPS]]&lt;&gt;0,Main_L[[#This Row],[Current Price]]/Main_L[[#This Row],[BVPS]],""),"")</f>
        <v>1.6040016673614006</v>
      </c>
      <c r="J11">
        <v>8.06</v>
      </c>
      <c r="K11">
        <v>3.56</v>
      </c>
      <c r="L11">
        <v>2.4300000000000002</v>
      </c>
      <c r="M11" s="1">
        <f>IF(ISNUMBER(Main_L[[#This Row],[EPS]]),IF(Main_L[[#This Row],[EPS]]&lt;&gt;0,Main_L[[#This Row],[Current Price]]/Main_L[[#This Row],[EPS]],""),"")</f>
        <v>20.856368563685635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-0.90302443146768141</v>
      </c>
      <c r="P11" s="1">
        <f>(Main_L[[#This Row],[P/B]]-VLOOKUP(Main_L[[#This Row],[Industry]], Mean_PB_L, 2, FALSE))/(VLOOKUP(Main_L[[#This Row],[Industry]], Mean_PB_L, 3, FALSE))</f>
        <v>-1.8240254544035488</v>
      </c>
      <c r="Q11" s="1">
        <f>(Main_L[[#This Row],[ROE]]-VLOOKUP(Main_L[[#This Row],[Industry]], Mean_ROE_L, 2, FALSE))/(VLOOKUP(Main_L[[#This Row],[Industry]], Mean_ROE_L, 3, FALSE))</f>
        <v>0.76137116091336809</v>
      </c>
      <c r="R11" s="1">
        <f>(Main_L[[#This Row],[ROA]]-VLOOKUP(Main_L[[#This Row],[Industry]], Mean_ROA_L, 2, FALSE))/(VLOOKUP(Main_L[[#This Row],[Industry]], Mean_ROA_L, 3, FALSE))</f>
        <v>1.0978276946443233</v>
      </c>
      <c r="S11" s="1">
        <f>(Main_L[[#This Row],[A/E]]-VLOOKUP(Main_L[[#This Row],[Industry]], Mean_AE_L, 2, FALSE))/(VLOOKUP(Main_L[[#This Row],[Industry]], Mean_AE_L, 3, FALSE))</f>
        <v>0.47546835286681666</v>
      </c>
      <c r="T11" s="1">
        <f>(Main_L[[#This Row],[P/E]]-VLOOKUP(Main_L[[#This Row],[Industry]], Mean_PE_L, 2, FALSE))/(VLOOKUP(Main_L[[#This Row],[Industry]], Mean_PE_L, 3, FALSE))</f>
        <v>0.57319526553817268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t="s">
        <v>147</v>
      </c>
      <c r="B12" t="s">
        <v>149</v>
      </c>
      <c r="C12" s="2">
        <v>37269</v>
      </c>
      <c r="D12">
        <f>RTD("tos.rtd", , "LAST", Main_L[[#This Row],[Symbol]])</f>
        <v>128.84</v>
      </c>
      <c r="E12">
        <v>4.4400000000000004</v>
      </c>
      <c r="F12">
        <v>28.06</v>
      </c>
      <c r="G12">
        <v>3.28</v>
      </c>
      <c r="H12" s="1">
        <f>IF(ISNUMBER(Main_L[[#This Row],[Free CF]]),IF(Main_L[[#This Row],[Free CF]]&lt;&gt;0,Main_L[[#This Row],[Current Price]]/Main_L[[#This Row],[Free CF]],""),"")</f>
        <v>29.018018018018015</v>
      </c>
      <c r="I12" s="1">
        <f>IF(ISNUMBER(Main_L[[#This Row],[BVPS]]),IF(Main_L[[#This Row],[BVPS]]&lt;&gt;0,Main_L[[#This Row],[Current Price]]/Main_L[[#This Row],[BVPS]],""),"")</f>
        <v>4.591589451176052</v>
      </c>
      <c r="J12">
        <v>11.92</v>
      </c>
      <c r="K12">
        <v>3.89</v>
      </c>
      <c r="L12">
        <v>3.18</v>
      </c>
      <c r="M12" s="1">
        <f>IF(ISNUMBER(Main_L[[#This Row],[EPS]]),IF(Main_L[[#This Row],[EPS]]&lt;&gt;0,Main_L[[#This Row],[Current Price]]/Main_L[[#This Row],[EPS]],""),"")</f>
        <v>39.280487804878049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-0.65070487242630282</v>
      </c>
      <c r="P12" s="1">
        <f>(Main_L[[#This Row],[P/B]]-VLOOKUP(Main_L[[#This Row],[Industry]], Mean_PB_L, 2, FALSE))/(VLOOKUP(Main_L[[#This Row],[Industry]], Mean_PB_L, 3, FALSE))</f>
        <v>1.3503442944187978</v>
      </c>
      <c r="Q12" s="1">
        <f>(Main_L[[#This Row],[ROE]]-VLOOKUP(Main_L[[#This Row],[Industry]], Mean_ROE_L, 2, FALSE))/(VLOOKUP(Main_L[[#This Row],[Industry]], Mean_ROE_L, 3, FALSE))</f>
        <v>1.5649746284086494</v>
      </c>
      <c r="R12" s="1">
        <f>(Main_L[[#This Row],[ROA]]-VLOOKUP(Main_L[[#This Row],[Industry]], Mean_ROA_L, 2, FALSE))/(VLOOKUP(Main_L[[#This Row],[Industry]], Mean_ROA_L, 3, FALSE))</f>
        <v>1.2539842201756279</v>
      </c>
      <c r="S12" s="1">
        <f>(Main_L[[#This Row],[A/E]]-VLOOKUP(Main_L[[#This Row],[Industry]], Mean_AE_L, 2, FALSE))/(VLOOKUP(Main_L[[#This Row],[Industry]], Mean_AE_L, 3, FALSE))</f>
        <v>1.3898305699183868</v>
      </c>
      <c r="T12" s="1">
        <f>(Main_L[[#This Row],[P/E]]-VLOOKUP(Main_L[[#This Row],[Industry]], Mean_PE_L, 2, FALSE))/(VLOOKUP(Main_L[[#This Row],[Industry]], Mean_PE_L, 3, FALSE))</f>
        <v>0.73472478881393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t="s">
        <v>147</v>
      </c>
      <c r="B13" t="s">
        <v>291</v>
      </c>
      <c r="C13" s="2">
        <v>26522</v>
      </c>
      <c r="D13">
        <f>RTD("tos.rtd", , "LAST", Main_L[[#This Row],[Symbol]])</f>
        <v>28.34</v>
      </c>
      <c r="E13">
        <v>0.78</v>
      </c>
      <c r="F13">
        <v>7.57</v>
      </c>
      <c r="G13">
        <v>0.59</v>
      </c>
      <c r="H13" s="1">
        <f>IF(ISNUMBER(Main_L[[#This Row],[Free CF]]),IF(Main_L[[#This Row],[Free CF]]&lt;&gt;0,Main_L[[#This Row],[Current Price]]/Main_L[[#This Row],[Free CF]],""),"")</f>
        <v>36.333333333333329</v>
      </c>
      <c r="I13" s="1">
        <f>IF(ISNUMBER(Main_L[[#This Row],[BVPS]]),IF(Main_L[[#This Row],[BVPS]]&lt;&gt;0,Main_L[[#This Row],[Current Price]]/Main_L[[#This Row],[BVPS]],""),"")</f>
        <v>3.7437252311756932</v>
      </c>
      <c r="J13">
        <v>6.29</v>
      </c>
      <c r="K13">
        <v>2.02</v>
      </c>
      <c r="L13">
        <v>3.13</v>
      </c>
      <c r="M13" s="1">
        <f>IF(ISNUMBER(Main_L[[#This Row],[EPS]]),IF(Main_L[[#This Row],[EPS]]&lt;&gt;0,Main_L[[#This Row],[Current Price]]/Main_L[[#This Row],[EPS]],""),"")</f>
        <v>48.033898305084747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-0.40329871748449497</v>
      </c>
      <c r="P13" s="1">
        <f>(Main_L[[#This Row],[P/B]]-VLOOKUP(Main_L[[#This Row],[Industry]], Mean_PB_L, 2, FALSE))/(VLOOKUP(Main_L[[#This Row],[Industry]], Mean_PB_L, 3, FALSE))</f>
        <v>0.44947217756957147</v>
      </c>
      <c r="Q13" s="1">
        <f>(Main_L[[#This Row],[ROE]]-VLOOKUP(Main_L[[#This Row],[Industry]], Mean_ROE_L, 2, FALSE))/(VLOOKUP(Main_L[[#This Row],[Industry]], Mean_ROE_L, 3, FALSE))</f>
        <v>0.39287941545568716</v>
      </c>
      <c r="R13" s="1">
        <f>(Main_L[[#This Row],[ROA]]-VLOOKUP(Main_L[[#This Row],[Industry]], Mean_ROA_L, 2, FALSE))/(VLOOKUP(Main_L[[#This Row],[Industry]], Mean_ROA_L, 3, FALSE))</f>
        <v>0.3690972421649017</v>
      </c>
      <c r="S13" s="1">
        <f>(Main_L[[#This Row],[A/E]]-VLOOKUP(Main_L[[#This Row],[Industry]], Mean_AE_L, 2, FALSE))/(VLOOKUP(Main_L[[#This Row],[Industry]], Mean_AE_L, 3, FALSE))</f>
        <v>1.3288730887816151</v>
      </c>
      <c r="T13" s="1">
        <f>(Main_L[[#This Row],[P/E]]-VLOOKUP(Main_L[[#This Row],[Industry]], Mean_PE_L, 2, FALSE))/(VLOOKUP(Main_L[[#This Row],[Industry]], Mean_PE_L, 3, FALSE))</f>
        <v>0.81146844242501492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t="s">
        <v>147</v>
      </c>
      <c r="B14" t="s">
        <v>148</v>
      </c>
      <c r="C14" s="2">
        <v>22093</v>
      </c>
      <c r="D14">
        <f>RTD("tos.rtd", , "LAST", Main_L[[#This Row],[Symbol]])</f>
        <v>18.84</v>
      </c>
      <c r="E14">
        <v>0.8</v>
      </c>
      <c r="F14">
        <v>8.15</v>
      </c>
      <c r="G14">
        <v>0.53</v>
      </c>
      <c r="H14" s="1">
        <f>IF(ISNUMBER(Main_L[[#This Row],[Free CF]]),IF(Main_L[[#This Row],[Free CF]]&lt;&gt;0,Main_L[[#This Row],[Current Price]]/Main_L[[#This Row],[Free CF]],""),"")</f>
        <v>23.549999999999997</v>
      </c>
      <c r="I14" s="1">
        <f>IF(ISNUMBER(Main_L[[#This Row],[BVPS]]),IF(Main_L[[#This Row],[BVPS]]&lt;&gt;0,Main_L[[#This Row],[Current Price]]/Main_L[[#This Row],[BVPS]],""),"")</f>
        <v>2.3116564417177914</v>
      </c>
      <c r="J14">
        <v>6.52</v>
      </c>
      <c r="K14">
        <v>2.25</v>
      </c>
      <c r="L14">
        <v>1.9</v>
      </c>
      <c r="M14" s="1">
        <f>IF(ISNUMBER(Main_L[[#This Row],[EPS]]),IF(Main_L[[#This Row],[EPS]]&lt;&gt;0,Main_L[[#This Row],[Current Price]]/Main_L[[#This Row],[EPS]],""),"")</f>
        <v>35.547169811320749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-0.83563487949764548</v>
      </c>
      <c r="P14" s="1">
        <f>(Main_L[[#This Row],[P/B]]-VLOOKUP(Main_L[[#This Row],[Industry]], Mean_PB_L, 2, FALSE))/(VLOOKUP(Main_L[[#This Row],[Industry]], Mean_PB_L, 3, FALSE))</f>
        <v>-1.0721285827881459</v>
      </c>
      <c r="Q14" s="1">
        <f>(Main_L[[#This Row],[ROE]]-VLOOKUP(Main_L[[#This Row],[Industry]], Mean_ROE_L, 2, FALSE))/(VLOOKUP(Main_L[[#This Row],[Industry]], Mean_ROE_L, 3, FALSE))</f>
        <v>0.44076252362250434</v>
      </c>
      <c r="R14" s="1">
        <f>(Main_L[[#This Row],[ROA]]-VLOOKUP(Main_L[[#This Row],[Industry]], Mean_ROA_L, 2, FALSE))/(VLOOKUP(Main_L[[#This Row],[Industry]], Mean_ROA_L, 3, FALSE))</f>
        <v>0.47793360844429583</v>
      </c>
      <c r="S14" s="1">
        <f>(Main_L[[#This Row],[A/E]]-VLOOKUP(Main_L[[#This Row],[Industry]], Mean_AE_L, 2, FALSE))/(VLOOKUP(Main_L[[#This Row],[Industry]], Mean_AE_L, 3, FALSE))</f>
        <v>-0.17068094718295992</v>
      </c>
      <c r="T14" s="1">
        <f>(Main_L[[#This Row],[P/E]]-VLOOKUP(Main_L[[#This Row],[Industry]], Mean_PE_L, 2, FALSE))/(VLOOKUP(Main_L[[#This Row],[Industry]], Mean_PE_L, 3, FALSE))</f>
        <v>0.70199372211588951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t="s">
        <v>147</v>
      </c>
      <c r="B15" t="s">
        <v>150</v>
      </c>
      <c r="C15" s="2">
        <v>31034</v>
      </c>
      <c r="D15">
        <f>RTD("tos.rtd", , "LAST", Main_L[[#This Row],[Symbol]])</f>
        <v>78.92</v>
      </c>
      <c r="E15">
        <v>-0.08</v>
      </c>
      <c r="F15">
        <v>20.22</v>
      </c>
      <c r="G15">
        <v>0.28000000000000003</v>
      </c>
      <c r="H15" s="1">
        <f>IF(ISNUMBER(Main_L[[#This Row],[Free CF]]),IF(Main_L[[#This Row],[Free CF]]&lt;&gt;0,Main_L[[#This Row],[Current Price]]/Main_L[[#This Row],[Free CF]],""),"")</f>
        <v>-986.5</v>
      </c>
      <c r="I15" s="1">
        <f>IF(ISNUMBER(Main_L[[#This Row],[BVPS]]),IF(Main_L[[#This Row],[BVPS]]&lt;&gt;0,Main_L[[#This Row],[Current Price]]/Main_L[[#This Row],[BVPS]],""),"")</f>
        <v>3.9030662710187936</v>
      </c>
      <c r="J15">
        <v>1.47</v>
      </c>
      <c r="K15">
        <v>0.14000000000000001</v>
      </c>
      <c r="L15">
        <v>1.22</v>
      </c>
      <c r="M15" s="1">
        <f>IF(ISNUMBER(Main_L[[#This Row],[EPS]]),IF(Main_L[[#This Row],[EPS]]&lt;&gt;0,Main_L[[#This Row],[Current Price]]/Main_L[[#This Row],[EPS]],""),"")</f>
        <v>281.85714285714283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-34.99582839512081</v>
      </c>
      <c r="P15" s="1">
        <f>(Main_L[[#This Row],[P/B]]-VLOOKUP(Main_L[[#This Row],[Industry]], Mean_PB_L, 2, FALSE))/(VLOOKUP(Main_L[[#This Row],[Industry]], Mean_PB_L, 3, FALSE))</f>
        <v>0.61877511131567287</v>
      </c>
      <c r="Q15" s="1">
        <f>(Main_L[[#This Row],[ROE]]-VLOOKUP(Main_L[[#This Row],[Industry]], Mean_ROE_L, 2, FALSE))/(VLOOKUP(Main_L[[#This Row],[Industry]], Mean_ROE_L, 3, FALSE))</f>
        <v>-0.61058398177935347</v>
      </c>
      <c r="R15" s="1">
        <f>(Main_L[[#This Row],[ROA]]-VLOOKUP(Main_L[[#This Row],[Industry]], Mean_ROA_L, 2, FALSE))/(VLOOKUP(Main_L[[#This Row],[Industry]], Mean_ROA_L, 3, FALSE))</f>
        <v>-0.52052175177101545</v>
      </c>
      <c r="S15" s="1">
        <f>(Main_L[[#This Row],[A/E]]-VLOOKUP(Main_L[[#This Row],[Industry]], Mean_AE_L, 2, FALSE))/(VLOOKUP(Main_L[[#This Row],[Industry]], Mean_AE_L, 3, FALSE))</f>
        <v>-0.99970269064305017</v>
      </c>
      <c r="T15" s="1">
        <f>(Main_L[[#This Row],[P/E]]-VLOOKUP(Main_L[[#This Row],[Industry]], Mean_PE_L, 2, FALSE))/(VLOOKUP(Main_L[[#This Row],[Industry]], Mean_PE_L, 3, FALSE))</f>
        <v>2.8614637083501555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6" spans="1:26" x14ac:dyDescent="0.25">
      <c r="A16" t="s">
        <v>147</v>
      </c>
      <c r="B16" t="s">
        <v>152</v>
      </c>
      <c r="C16" s="2">
        <v>16204</v>
      </c>
      <c r="D16">
        <f>RTD("tos.rtd", , "LAST", Main_L[[#This Row],[Symbol]])</f>
        <v>70.28</v>
      </c>
      <c r="E16">
        <v>0.78</v>
      </c>
      <c r="F16">
        <v>19.7</v>
      </c>
      <c r="G16">
        <v>-0.34</v>
      </c>
      <c r="H16" s="1">
        <f>IF(ISNUMBER(Main_L[[#This Row],[Free CF]]),IF(Main_L[[#This Row],[Free CF]]&lt;&gt;0,Main_L[[#This Row],[Current Price]]/Main_L[[#This Row],[Free CF]],""),"")</f>
        <v>90.102564102564102</v>
      </c>
      <c r="I16" s="1">
        <f>IF(ISNUMBER(Main_L[[#This Row],[BVPS]]),IF(Main_L[[#This Row],[BVPS]]&lt;&gt;0,Main_L[[#This Row],[Current Price]]/Main_L[[#This Row],[BVPS]],""),"")</f>
        <v>3.56751269035533</v>
      </c>
      <c r="J16">
        <v>-1.72</v>
      </c>
      <c r="K16">
        <v>-1.59</v>
      </c>
      <c r="L16">
        <v>1.21</v>
      </c>
      <c r="M16" s="1">
        <f>IF(ISNUMBER(Main_L[[#This Row],[EPS]]),IF(Main_L[[#This Row],[EPS]]&lt;&gt;0,Main_L[[#This Row],[Current Price]]/Main_L[[#This Row],[EPS]],""),"")</f>
        <v>-206.70588235294116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1.4151927713161807</v>
      </c>
      <c r="P16" s="1">
        <f>(Main_L[[#This Row],[P/B]]-VLOOKUP(Main_L[[#This Row],[Industry]], Mean_PB_L, 2, FALSE))/(VLOOKUP(Main_L[[#This Row],[Industry]], Mean_PB_L, 3, FALSE))</f>
        <v>0.26224294803072606</v>
      </c>
      <c r="Q16" s="1">
        <f>(Main_L[[#This Row],[ROE]]-VLOOKUP(Main_L[[#This Row],[Industry]], Mean_ROE_L, 2, FALSE))/(VLOOKUP(Main_L[[#This Row],[Industry]], Mean_ROE_L, 3, FALSE))</f>
        <v>-1.2747018733104278</v>
      </c>
      <c r="R16" s="1">
        <f>(Main_L[[#This Row],[ROA]]-VLOOKUP(Main_L[[#This Row],[Industry]], Mean_ROA_L, 2, FALSE))/(VLOOKUP(Main_L[[#This Row],[Industry]], Mean_ROA_L, 3, FALSE))</f>
        <v>-1.3391605068290668</v>
      </c>
      <c r="S16" s="1">
        <f>(Main_L[[#This Row],[A/E]]-VLOOKUP(Main_L[[#This Row],[Industry]], Mean_AE_L, 2, FALSE))/(VLOOKUP(Main_L[[#This Row],[Industry]], Mean_AE_L, 3, FALSE))</f>
        <v>-1.0118941868704046</v>
      </c>
      <c r="T16" s="1">
        <f>(Main_L[[#This Row],[P/E]]-VLOOKUP(Main_L[[#This Row],[Industry]], Mean_PE_L, 2, FALSE))/(VLOOKUP(Main_L[[#This Row],[Industry]], Mean_PE_L, 3, FALSE))</f>
        <v>-1.4219080783404239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t="s">
        <v>147</v>
      </c>
      <c r="B17" t="s">
        <v>153</v>
      </c>
      <c r="C17" s="2">
        <v>15977</v>
      </c>
      <c r="D17">
        <f>RTD("tos.rtd", , "LAST", Main_L[[#This Row],[Symbol]])</f>
        <v>69.41</v>
      </c>
      <c r="E17">
        <v>0.78</v>
      </c>
      <c r="F17">
        <v>19.7</v>
      </c>
      <c r="G17">
        <v>-0.34</v>
      </c>
      <c r="H17" s="1">
        <f>IF(ISNUMBER(Main_L[[#This Row],[Free CF]]),IF(Main_L[[#This Row],[Free CF]]&lt;&gt;0,Main_L[[#This Row],[Current Price]]/Main_L[[#This Row],[Free CF]],""),"")</f>
        <v>88.987179487179475</v>
      </c>
      <c r="I17" s="1">
        <f>IF(ISNUMBER(Main_L[[#This Row],[BVPS]]),IF(Main_L[[#This Row],[BVPS]]&lt;&gt;0,Main_L[[#This Row],[Current Price]]/Main_L[[#This Row],[BVPS]],""),"")</f>
        <v>3.5233502538071066</v>
      </c>
      <c r="J17">
        <v>-1.72</v>
      </c>
      <c r="K17">
        <v>-1.59</v>
      </c>
      <c r="L17">
        <v>1.21</v>
      </c>
      <c r="M17" s="1">
        <f>IF(ISNUMBER(Main_L[[#This Row],[EPS]]),IF(Main_L[[#This Row],[EPS]]&lt;&gt;0,Main_L[[#This Row],[Current Price]]/Main_L[[#This Row],[EPS]],""),"")</f>
        <v>-204.14705882352939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1.3774701295599432</v>
      </c>
      <c r="P17" s="1">
        <f>(Main_L[[#This Row],[P/B]]-VLOOKUP(Main_L[[#This Row],[Industry]], Mean_PB_L, 2, FALSE))/(VLOOKUP(Main_L[[#This Row],[Industry]], Mean_PB_L, 3, FALSE))</f>
        <v>0.21531950585692988</v>
      </c>
      <c r="Q17" s="1">
        <f>(Main_L[[#This Row],[ROE]]-VLOOKUP(Main_L[[#This Row],[Industry]], Mean_ROE_L, 2, FALSE))/(VLOOKUP(Main_L[[#This Row],[Industry]], Mean_ROE_L, 3, FALSE))</f>
        <v>-1.2747018733104278</v>
      </c>
      <c r="R17" s="1">
        <f>(Main_L[[#This Row],[ROA]]-VLOOKUP(Main_L[[#This Row],[Industry]], Mean_ROA_L, 2, FALSE))/(VLOOKUP(Main_L[[#This Row],[Industry]], Mean_ROA_L, 3, FALSE))</f>
        <v>-1.3391605068290668</v>
      </c>
      <c r="S17" s="1">
        <f>(Main_L[[#This Row],[A/E]]-VLOOKUP(Main_L[[#This Row],[Industry]], Mean_AE_L, 2, FALSE))/(VLOOKUP(Main_L[[#This Row],[Industry]], Mean_AE_L, 3, FALSE))</f>
        <v>-1.0118941868704046</v>
      </c>
      <c r="T17" s="1">
        <f>(Main_L[[#This Row],[P/E]]-VLOOKUP(Main_L[[#This Row],[Industry]], Mean_PE_L, 2, FALSE))/(VLOOKUP(Main_L[[#This Row],[Industry]], Mean_PE_L, 3, FALSE))</f>
        <v>-1.399474140552583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t="s">
        <v>120</v>
      </c>
      <c r="B18" t="s">
        <v>124</v>
      </c>
      <c r="C18" s="2">
        <v>18279</v>
      </c>
      <c r="D18">
        <f>RTD("tos.rtd", , "LAST", Main_L[[#This Row],[Symbol]])</f>
        <v>283.72000000000003</v>
      </c>
      <c r="E18">
        <v>16.11</v>
      </c>
      <c r="F18">
        <v>86.55</v>
      </c>
      <c r="G18">
        <v>10.45</v>
      </c>
      <c r="H18" s="1">
        <f>IF(ISNUMBER(Main_L[[#This Row],[Free CF]]),IF(Main_L[[#This Row],[Free CF]]&lt;&gt;0,Main_L[[#This Row],[Current Price]]/Main_L[[#This Row],[Free CF]],""),"")</f>
        <v>17.611421477343267</v>
      </c>
      <c r="I18" s="1">
        <f>IF(ISNUMBER(Main_L[[#This Row],[BVPS]]),IF(Main_L[[#This Row],[BVPS]]&lt;&gt;0,Main_L[[#This Row],[Current Price]]/Main_L[[#This Row],[BVPS]],""),"")</f>
        <v>3.2781051415366846</v>
      </c>
      <c r="J18">
        <v>12.81</v>
      </c>
      <c r="K18">
        <v>2.83</v>
      </c>
      <c r="L18">
        <v>2.37</v>
      </c>
      <c r="M18" s="1">
        <f>IF(ISNUMBER(Main_L[[#This Row],[EPS]]),IF(Main_L[[#This Row],[EPS]]&lt;&gt;0,Main_L[[#This Row],[Current Price]]/Main_L[[#This Row],[EPS]],""),"")</f>
        <v>27.150239234449764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0.16939354706373211</v>
      </c>
      <c r="P18" s="1">
        <f>(Main_L[[#This Row],[P/B]]-VLOOKUP(Main_L[[#This Row],[Industry]], Mean_PB_L, 2, FALSE))/(VLOOKUP(Main_L[[#This Row],[Industry]], Mean_PB_L, 3, FALSE))</f>
        <v>0.86876633452566909</v>
      </c>
      <c r="Q18" s="1">
        <f>(Main_L[[#This Row],[ROE]]-VLOOKUP(Main_L[[#This Row],[Industry]], Mean_ROE_L, 2, FALSE))/(VLOOKUP(Main_L[[#This Row],[Industry]], Mean_ROE_L, 3, FALSE))</f>
        <v>1.7308442529264783</v>
      </c>
      <c r="R18" s="1">
        <f>(Main_L[[#This Row],[ROA]]-VLOOKUP(Main_L[[#This Row],[Industry]], Mean_ROA_L, 2, FALSE))/(VLOOKUP(Main_L[[#This Row],[Industry]], Mean_ROA_L, 3, FALSE))</f>
        <v>0.70783747100574856</v>
      </c>
      <c r="S18" s="1">
        <f>(Main_L[[#This Row],[A/E]]-VLOOKUP(Main_L[[#This Row],[Industry]], Mean_AE_L, 2, FALSE))/(VLOOKUP(Main_L[[#This Row],[Industry]], Mean_AE_L, 3, FALSE))</f>
        <v>1.6438953631881779</v>
      </c>
      <c r="T18" s="1">
        <f>(Main_L[[#This Row],[P/E]]-VLOOKUP(Main_L[[#This Row],[Industry]], Mean_PE_L, 2, FALSE))/(VLOOKUP(Main_L[[#This Row],[Industry]], Mean_PE_L, 3, FALSE))</f>
        <v>-0.72388208074573002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120</v>
      </c>
      <c r="B19" t="s">
        <v>121</v>
      </c>
      <c r="C19" s="2">
        <v>29437</v>
      </c>
      <c r="D19">
        <f>RTD("tos.rtd", , "LAST", Main_L[[#This Row],[Symbol]])</f>
        <v>206.92</v>
      </c>
      <c r="E19">
        <v>11.31</v>
      </c>
      <c r="F19">
        <v>83.8</v>
      </c>
      <c r="G19">
        <v>8.0299999999999994</v>
      </c>
      <c r="H19" s="1">
        <f>IF(ISNUMBER(Main_L[[#This Row],[Free CF]]),IF(Main_L[[#This Row],[Free CF]]&lt;&gt;0,Main_L[[#This Row],[Current Price]]/Main_L[[#This Row],[Free CF]],""),"")</f>
        <v>18.295313881520777</v>
      </c>
      <c r="I19" s="1">
        <f>IF(ISNUMBER(Main_L[[#This Row],[BVPS]]),IF(Main_L[[#This Row],[BVPS]]&lt;&gt;0,Main_L[[#This Row],[Current Price]]/Main_L[[#This Row],[BVPS]],""),"")</f>
        <v>2.4692124105011932</v>
      </c>
      <c r="J19">
        <v>9.69</v>
      </c>
      <c r="K19">
        <v>2.91</v>
      </c>
      <c r="L19">
        <v>1.78</v>
      </c>
      <c r="M19" s="1">
        <f>IF(ISNUMBER(Main_L[[#This Row],[EPS]]),IF(Main_L[[#This Row],[EPS]]&lt;&gt;0,Main_L[[#This Row],[Current Price]]/Main_L[[#This Row],[EPS]],""),"")</f>
        <v>25.768368617683688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0.76759084924308807</v>
      </c>
      <c r="P19" s="1">
        <f>(Main_L[[#This Row],[P/B]]-VLOOKUP(Main_L[[#This Row],[Industry]], Mean_PB_L, 2, FALSE))/(VLOOKUP(Main_L[[#This Row],[Industry]], Mean_PB_L, 3, FALSE))</f>
        <v>-0.35844412795001657</v>
      </c>
      <c r="Q19" s="1">
        <f>(Main_L[[#This Row],[ROE]]-VLOOKUP(Main_L[[#This Row],[Industry]], Mean_ROE_L, 2, FALSE))/(VLOOKUP(Main_L[[#This Row],[Industry]], Mean_ROE_L, 3, FALSE))</f>
        <v>0.87078219980003113</v>
      </c>
      <c r="R19" s="1">
        <f>(Main_L[[#This Row],[ROA]]-VLOOKUP(Main_L[[#This Row],[Industry]], Mean_ROA_L, 2, FALSE))/(VLOOKUP(Main_L[[#This Row],[Industry]], Mean_ROA_L, 3, FALSE))</f>
        <v>0.86321642805579113</v>
      </c>
      <c r="S19" s="1">
        <f>(Main_L[[#This Row],[A/E]]-VLOOKUP(Main_L[[#This Row],[Industry]], Mean_AE_L, 2, FALSE))/(VLOOKUP(Main_L[[#This Row],[Industry]], Mean_AE_L, 3, FALSE))</f>
        <v>-1.0691067746608405</v>
      </c>
      <c r="T19" s="1">
        <f>(Main_L[[#This Row],[P/E]]-VLOOKUP(Main_L[[#This Row],[Industry]], Mean_PE_L, 2, FALSE))/(VLOOKUP(Main_L[[#This Row],[Industry]], Mean_PE_L, 3, FALSE))</f>
        <v>-0.75461786112171925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120</v>
      </c>
      <c r="B20" t="s">
        <v>125</v>
      </c>
      <c r="C20" s="2">
        <v>18337</v>
      </c>
      <c r="D20">
        <f>RTD("tos.rtd", , "LAST", Main_L[[#This Row],[Symbol]])</f>
        <v>151</v>
      </c>
      <c r="E20">
        <v>9.34</v>
      </c>
      <c r="F20">
        <v>50.89</v>
      </c>
      <c r="G20">
        <v>4.8099999999999996</v>
      </c>
      <c r="H20" s="1">
        <f>IF(ISNUMBER(Main_L[[#This Row],[Free CF]]),IF(Main_L[[#This Row],[Free CF]]&lt;&gt;0,Main_L[[#This Row],[Current Price]]/Main_L[[#This Row],[Free CF]],""),"")</f>
        <v>16.167023554603855</v>
      </c>
      <c r="I20" s="1">
        <f>IF(ISNUMBER(Main_L[[#This Row],[BVPS]]),IF(Main_L[[#This Row],[BVPS]]&lt;&gt;0,Main_L[[#This Row],[Current Price]]/Main_L[[#This Row],[BVPS]],""),"")</f>
        <v>2.96718412261741</v>
      </c>
      <c r="J20">
        <v>9.3699999999999992</v>
      </c>
      <c r="K20">
        <v>3.49</v>
      </c>
      <c r="L20">
        <v>1.99</v>
      </c>
      <c r="M20" s="1">
        <f>IF(ISNUMBER(Main_L[[#This Row],[EPS]]),IF(Main_L[[#This Row],[EPS]]&lt;&gt;0,Main_L[[#This Row],[Current Price]]/Main_L[[#This Row],[EPS]],""),"")</f>
        <v>31.392931392931395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-1.0940141693815517</v>
      </c>
      <c r="P20" s="1">
        <f>(Main_L[[#This Row],[P/B]]-VLOOKUP(Main_L[[#This Row],[Industry]], Mean_PB_L, 2, FALSE))/(VLOOKUP(Main_L[[#This Row],[Industry]], Mean_PB_L, 3, FALSE))</f>
        <v>0.39705295056080242</v>
      </c>
      <c r="Q20" s="1">
        <f>(Main_L[[#This Row],[ROE]]-VLOOKUP(Main_L[[#This Row],[Industry]], Mean_ROE_L, 2, FALSE))/(VLOOKUP(Main_L[[#This Row],[Industry]], Mean_ROE_L, 3, FALSE))</f>
        <v>0.78257070717167754</v>
      </c>
      <c r="R20" s="1">
        <f>(Main_L[[#This Row],[ROA]]-VLOOKUP(Main_L[[#This Row],[Industry]], Mean_ROA_L, 2, FALSE))/(VLOOKUP(Main_L[[#This Row],[Industry]], Mean_ROA_L, 3, FALSE))</f>
        <v>1.9897138666685994</v>
      </c>
      <c r="S20" s="1">
        <f>(Main_L[[#This Row],[A/E]]-VLOOKUP(Main_L[[#This Row],[Industry]], Mean_AE_L, 2, FALSE))/(VLOOKUP(Main_L[[#This Row],[Industry]], Mean_AE_L, 3, FALSE))</f>
        <v>-0.10346194593491899</v>
      </c>
      <c r="T20" s="1">
        <f>(Main_L[[#This Row],[P/E]]-VLOOKUP(Main_L[[#This Row],[Industry]], Mean_PE_L, 2, FALSE))/(VLOOKUP(Main_L[[#This Row],[Industry]], Mean_PE_L, 3, FALSE))</f>
        <v>-0.629515464360762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t="s">
        <v>120</v>
      </c>
      <c r="B21" t="s">
        <v>123</v>
      </c>
      <c r="C21" s="2">
        <v>26649</v>
      </c>
      <c r="D21">
        <f>RTD("tos.rtd", , "LAST", Main_L[[#This Row],[Symbol]])</f>
        <v>69.319999999999993</v>
      </c>
      <c r="E21">
        <v>4.1500000000000004</v>
      </c>
      <c r="F21">
        <v>29.04</v>
      </c>
      <c r="G21">
        <v>2.62</v>
      </c>
      <c r="H21" s="1">
        <f>IF(ISNUMBER(Main_L[[#This Row],[Free CF]]),IF(Main_L[[#This Row],[Free CF]]&lt;&gt;0,Main_L[[#This Row],[Current Price]]/Main_L[[#This Row],[Free CF]],""),"")</f>
        <v>16.703614457831321</v>
      </c>
      <c r="I21" s="1">
        <f>IF(ISNUMBER(Main_L[[#This Row],[BVPS]]),IF(Main_L[[#This Row],[BVPS]]&lt;&gt;0,Main_L[[#This Row],[Current Price]]/Main_L[[#This Row],[BVPS]],""),"")</f>
        <v>2.387052341597796</v>
      </c>
      <c r="J21">
        <v>8.9</v>
      </c>
      <c r="K21">
        <v>2.64</v>
      </c>
      <c r="L21">
        <v>1.86</v>
      </c>
      <c r="M21" s="1">
        <f>IF(ISNUMBER(Main_L[[#This Row],[EPS]]),IF(Main_L[[#This Row],[EPS]]&lt;&gt;0,Main_L[[#This Row],[Current Price]]/Main_L[[#This Row],[EPS]],""),"")</f>
        <v>26.458015267175568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-0.6246607612665821</v>
      </c>
      <c r="P21" s="1">
        <f>(Main_L[[#This Row],[P/B]]-VLOOKUP(Main_L[[#This Row],[Industry]], Mean_PB_L, 2, FALSE))/(VLOOKUP(Main_L[[#This Row],[Industry]], Mean_PB_L, 3, FALSE))</f>
        <v>-0.48309316024741317</v>
      </c>
      <c r="Q21" s="1">
        <f>(Main_L[[#This Row],[ROE]]-VLOOKUP(Main_L[[#This Row],[Industry]], Mean_ROE_L, 2, FALSE))/(VLOOKUP(Main_L[[#This Row],[Industry]], Mean_ROE_L, 3, FALSE))</f>
        <v>0.65301007737378369</v>
      </c>
      <c r="R21" s="1">
        <f>(Main_L[[#This Row],[ROA]]-VLOOKUP(Main_L[[#This Row],[Industry]], Mean_ROA_L, 2, FALSE))/(VLOOKUP(Main_L[[#This Row],[Industry]], Mean_ROA_L, 3, FALSE))</f>
        <v>0.33881244801189769</v>
      </c>
      <c r="S21" s="1">
        <f>(Main_L[[#This Row],[A/E]]-VLOOKUP(Main_L[[#This Row],[Industry]], Mean_AE_L, 2, FALSE))/(VLOOKUP(Main_L[[#This Row],[Industry]], Mean_AE_L, 3, FALSE))</f>
        <v>-0.70124207800334615</v>
      </c>
      <c r="T21" s="1">
        <f>(Main_L[[#This Row],[P/E]]-VLOOKUP(Main_L[[#This Row],[Industry]], Mean_PE_L, 2, FALSE))/(VLOOKUP(Main_L[[#This Row],[Industry]], Mean_PE_L, 3, FALSE))</f>
        <v>-0.73927863348445677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t="s">
        <v>120</v>
      </c>
      <c r="B22" t="s">
        <v>128</v>
      </c>
      <c r="C22" s="2">
        <v>12154</v>
      </c>
      <c r="D22">
        <f>RTD("tos.rtd", , "LAST", Main_L[[#This Row],[Symbol]])</f>
        <v>62.33</v>
      </c>
      <c r="E22">
        <v>3.14</v>
      </c>
      <c r="F22">
        <v>9.15</v>
      </c>
      <c r="G22">
        <v>1.94</v>
      </c>
      <c r="H22" s="1">
        <f>IF(ISNUMBER(Main_L[[#This Row],[Free CF]]),IF(Main_L[[#This Row],[Free CF]]&lt;&gt;0,Main_L[[#This Row],[Current Price]]/Main_L[[#This Row],[Free CF]],""),"")</f>
        <v>19.850318471337577</v>
      </c>
      <c r="I22" s="1">
        <f>IF(ISNUMBER(Main_L[[#This Row],[BVPS]]),IF(Main_L[[#This Row],[BVPS]]&lt;&gt;0,Main_L[[#This Row],[Current Price]]/Main_L[[#This Row],[BVPS]],""),"")</f>
        <v>6.8120218579234972</v>
      </c>
      <c r="J22">
        <v>22.9</v>
      </c>
      <c r="K22">
        <v>5.85</v>
      </c>
      <c r="L22">
        <v>3.22</v>
      </c>
      <c r="M22" s="1">
        <f>IF(ISNUMBER(Main_L[[#This Row],[EPS]]),IF(Main_L[[#This Row],[EPS]]&lt;&gt;0,Main_L[[#This Row],[Current Price]]/Main_L[[#This Row],[EPS]],""),"")</f>
        <v>32.128865979381445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2.1277456701226098</v>
      </c>
      <c r="P22" s="1">
        <f>(Main_L[[#This Row],[P/B]]-VLOOKUP(Main_L[[#This Row],[Industry]], Mean_PB_L, 2, FALSE))/(VLOOKUP(Main_L[[#This Row],[Industry]], Mean_PB_L, 3, FALSE))</f>
        <v>6.2302430810354972</v>
      </c>
      <c r="Q22" s="1">
        <f>(Main_L[[#This Row],[ROE]]-VLOOKUP(Main_L[[#This Row],[Industry]], Mean_ROE_L, 2, FALSE))/(VLOOKUP(Main_L[[#This Row],[Industry]], Mean_ROE_L, 3, FALSE))</f>
        <v>4.5122628798642497</v>
      </c>
      <c r="R22" s="1">
        <f>(Main_L[[#This Row],[ROA]]-VLOOKUP(Main_L[[#This Row],[Industry]], Mean_ROA_L, 2, FALSE))/(VLOOKUP(Main_L[[#This Row],[Industry]], Mean_ROA_L, 3, FALSE))</f>
        <v>6.5733930996448517</v>
      </c>
      <c r="S22" s="1">
        <f>(Main_L[[#This Row],[A/E]]-VLOOKUP(Main_L[[#This Row],[Industry]], Mean_AE_L, 2, FALSE))/(VLOOKUP(Main_L[[#This Row],[Industry]], Mean_AE_L, 3, FALSE))</f>
        <v>5.5524577651740517</v>
      </c>
      <c r="T22" s="1">
        <f>(Main_L[[#This Row],[P/E]]-VLOOKUP(Main_L[[#This Row],[Industry]], Mean_PE_L, 2, FALSE))/(VLOOKUP(Main_L[[#This Row],[Industry]], Mean_PE_L, 3, FALSE))</f>
        <v>-0.61314669325745952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120</v>
      </c>
      <c r="B23" t="s">
        <v>122</v>
      </c>
      <c r="C23" s="2">
        <v>12552</v>
      </c>
      <c r="D23">
        <f>RTD("tos.rtd", , "LAST", Main_L[[#This Row],[Symbol]])</f>
        <v>117.54</v>
      </c>
      <c r="E23">
        <v>7.22</v>
      </c>
      <c r="F23">
        <v>42.39</v>
      </c>
      <c r="G23">
        <v>1.0900000000000001</v>
      </c>
      <c r="H23" s="1">
        <f>IF(ISNUMBER(Main_L[[#This Row],[Free CF]]),IF(Main_L[[#This Row],[Free CF]]&lt;&gt;0,Main_L[[#This Row],[Current Price]]/Main_L[[#This Row],[Free CF]],""),"")</f>
        <v>16.279778393351801</v>
      </c>
      <c r="I23" s="1">
        <f>IF(ISNUMBER(Main_L[[#This Row],[BVPS]]),IF(Main_L[[#This Row],[BVPS]]&lt;&gt;0,Main_L[[#This Row],[Current Price]]/Main_L[[#This Row],[BVPS]],""),"")</f>
        <v>2.7728237791932062</v>
      </c>
      <c r="J23">
        <v>2.6</v>
      </c>
      <c r="K23">
        <v>2.08</v>
      </c>
      <c r="L23">
        <v>1.95</v>
      </c>
      <c r="M23" s="1">
        <f>IF(ISNUMBER(Main_L[[#This Row],[EPS]]),IF(Main_L[[#This Row],[EPS]]&lt;&gt;0,Main_L[[#This Row],[Current Price]]/Main_L[[#This Row],[EPS]],""),"")</f>
        <v>107.8348623853211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-0.99538806981577443</v>
      </c>
      <c r="P23" s="1">
        <f>(Main_L[[#This Row],[P/B]]-VLOOKUP(Main_L[[#This Row],[Industry]], Mean_PB_L, 2, FALSE))/(VLOOKUP(Main_L[[#This Row],[Industry]], Mean_PB_L, 3, FALSE))</f>
        <v>0.10217943051419344</v>
      </c>
      <c r="Q23" s="1">
        <f>(Main_L[[#This Row],[ROE]]-VLOOKUP(Main_L[[#This Row],[Industry]], Mean_ROE_L, 2, FALSE))/(VLOOKUP(Main_L[[#This Row],[Industry]], Mean_ROE_L, 3, FALSE))</f>
        <v>-1.0836536837469262</v>
      </c>
      <c r="R23" s="1">
        <f>(Main_L[[#This Row],[ROA]]-VLOOKUP(Main_L[[#This Row],[Industry]], Mean_ROA_L, 2, FALSE))/(VLOOKUP(Main_L[[#This Row],[Industry]], Mean_ROA_L, 3, FALSE))</f>
        <v>-0.74884025133839982</v>
      </c>
      <c r="S23" s="1">
        <f>(Main_L[[#This Row],[A/E]]-VLOOKUP(Main_L[[#This Row],[Industry]], Mean_AE_L, 2, FALSE))/(VLOOKUP(Main_L[[#This Row],[Industry]], Mean_AE_L, 3, FALSE))</f>
        <v>-0.28739429426366614</v>
      </c>
      <c r="T23" s="1">
        <f>(Main_L[[#This Row],[P/E]]-VLOOKUP(Main_L[[#This Row],[Industry]], Mean_PE_L, 2, FALSE))/(VLOOKUP(Main_L[[#This Row],[Industry]], Mean_PE_L, 3, FALSE))</f>
        <v>1.070717809284673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t="s">
        <v>120</v>
      </c>
      <c r="B24" t="s">
        <v>127</v>
      </c>
      <c r="C24" s="2">
        <v>14011</v>
      </c>
      <c r="D24">
        <f>RTD("tos.rtd", , "LAST", Main_L[[#This Row],[Symbol]])</f>
        <v>36.700000000000003</v>
      </c>
      <c r="E24">
        <v>2.2200000000000002</v>
      </c>
      <c r="F24">
        <v>19.329999999999998</v>
      </c>
      <c r="G24">
        <v>1.08</v>
      </c>
      <c r="H24" s="1">
        <f>IF(ISNUMBER(Main_L[[#This Row],[Free CF]]),IF(Main_L[[#This Row],[Free CF]]&lt;&gt;0,Main_L[[#This Row],[Current Price]]/Main_L[[#This Row],[Free CF]],""),"")</f>
        <v>16.531531531531531</v>
      </c>
      <c r="I24" s="1">
        <f>IF(ISNUMBER(Main_L[[#This Row],[BVPS]]),IF(Main_L[[#This Row],[BVPS]]&lt;&gt;0,Main_L[[#This Row],[Current Price]]/Main_L[[#This Row],[BVPS]],""),"")</f>
        <v>1.8986032074495607</v>
      </c>
      <c r="J24">
        <v>6.03</v>
      </c>
      <c r="K24">
        <v>1.99</v>
      </c>
      <c r="L24">
        <v>1.86</v>
      </c>
      <c r="M24" s="1">
        <f>IF(ISNUMBER(Main_L[[#This Row],[EPS]]),IF(Main_L[[#This Row],[EPS]]&lt;&gt;0,Main_L[[#This Row],[Current Price]]/Main_L[[#This Row],[EPS]],""),"")</f>
        <v>33.981481481481481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-0.77518084547115063</v>
      </c>
      <c r="P24" s="1">
        <f>(Main_L[[#This Row],[P/B]]-VLOOKUP(Main_L[[#This Row],[Industry]], Mean_PB_L, 2, FALSE))/(VLOOKUP(Main_L[[#This Row],[Industry]], Mean_PB_L, 3, FALSE))</f>
        <v>-1.2241430730665743</v>
      </c>
      <c r="Q24" s="1">
        <f>(Main_L[[#This Row],[ROE]]-VLOOKUP(Main_L[[#This Row],[Industry]], Mean_ROE_L, 2, FALSE))/(VLOOKUP(Main_L[[#This Row],[Industry]], Mean_ROE_L, 3, FALSE))</f>
        <v>-0.13813674713676197</v>
      </c>
      <c r="R24" s="1">
        <f>(Main_L[[#This Row],[ROA]]-VLOOKUP(Main_L[[#This Row],[Industry]], Mean_ROA_L, 2, FALSE))/(VLOOKUP(Main_L[[#This Row],[Industry]], Mean_ROA_L, 3, FALSE))</f>
        <v>-0.92364157801969782</v>
      </c>
      <c r="S24" s="1">
        <f>(Main_L[[#This Row],[A/E]]-VLOOKUP(Main_L[[#This Row],[Industry]], Mean_AE_L, 2, FALSE))/(VLOOKUP(Main_L[[#This Row],[Industry]], Mean_AE_L, 3, FALSE))</f>
        <v>-0.70124207800334615</v>
      </c>
      <c r="T24" s="1">
        <f>(Main_L[[#This Row],[P/E]]-VLOOKUP(Main_L[[#This Row],[Industry]], Mean_PE_L, 2, FALSE))/(VLOOKUP(Main_L[[#This Row],[Industry]], Mean_PE_L, 3, FALSE))</f>
        <v>-0.57194053220096541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120</v>
      </c>
      <c r="B25" t="s">
        <v>130</v>
      </c>
      <c r="C25" s="2">
        <v>15756</v>
      </c>
      <c r="D25">
        <f>RTD("tos.rtd", , "LAST", Main_L[[#This Row],[Symbol]])</f>
        <v>125.12</v>
      </c>
      <c r="E25">
        <v>6.91</v>
      </c>
      <c r="F25">
        <v>54.25</v>
      </c>
      <c r="G25">
        <v>0.81</v>
      </c>
      <c r="H25" s="1">
        <f>IF(ISNUMBER(Main_L[[#This Row],[Free CF]]),IF(Main_L[[#This Row],[Free CF]]&lt;&gt;0,Main_L[[#This Row],[Current Price]]/Main_L[[#This Row],[Free CF]],""),"")</f>
        <v>18.107091172214183</v>
      </c>
      <c r="I25" s="1">
        <f>IF(ISNUMBER(Main_L[[#This Row],[BVPS]]),IF(Main_L[[#This Row],[BVPS]]&lt;&gt;0,Main_L[[#This Row],[Current Price]]/Main_L[[#This Row],[BVPS]],""),"")</f>
        <v>2.3063594470046085</v>
      </c>
      <c r="J25">
        <v>1.72</v>
      </c>
      <c r="K25">
        <v>2.08</v>
      </c>
      <c r="L25">
        <v>2.38</v>
      </c>
      <c r="M25" s="1">
        <f>IF(ISNUMBER(Main_L[[#This Row],[EPS]]),IF(Main_L[[#This Row],[EPS]]&lt;&gt;0,Main_L[[#This Row],[Current Price]]/Main_L[[#This Row],[EPS]],""),"")</f>
        <v>154.46913580246914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0.60295337669869531</v>
      </c>
      <c r="P25" s="1">
        <f>(Main_L[[#This Row],[P/B]]-VLOOKUP(Main_L[[#This Row],[Industry]], Mean_PB_L, 2, FALSE))/(VLOOKUP(Main_L[[#This Row],[Industry]], Mean_PB_L, 3, FALSE))</f>
        <v>-0.60551627111582129</v>
      </c>
      <c r="Q25" s="1">
        <f>(Main_L[[#This Row],[ROE]]-VLOOKUP(Main_L[[#This Row],[Industry]], Mean_ROE_L, 2, FALSE))/(VLOOKUP(Main_L[[#This Row],[Industry]], Mean_ROE_L, 3, FALSE))</f>
        <v>-1.3262352884748985</v>
      </c>
      <c r="R25" s="1">
        <f>(Main_L[[#This Row],[ROA]]-VLOOKUP(Main_L[[#This Row],[Industry]], Mean_ROA_L, 2, FALSE))/(VLOOKUP(Main_L[[#This Row],[Industry]], Mean_ROA_L, 3, FALSE))</f>
        <v>-0.74884025133839982</v>
      </c>
      <c r="S25" s="1">
        <f>(Main_L[[#This Row],[A/E]]-VLOOKUP(Main_L[[#This Row],[Industry]], Mean_AE_L, 2, FALSE))/(VLOOKUP(Main_L[[#This Row],[Industry]], Mean_AE_L, 3, FALSE))</f>
        <v>1.6898784502703637</v>
      </c>
      <c r="T25" s="1">
        <f>(Main_L[[#This Row],[P/E]]-VLOOKUP(Main_L[[#This Row],[Industry]], Mean_PE_L, 2, FALSE))/(VLOOKUP(Main_L[[#This Row],[Industry]], Mean_PE_L, 3, FALSE))</f>
        <v>2.1079645445091879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120</v>
      </c>
      <c r="B26" t="s">
        <v>129</v>
      </c>
      <c r="C26" s="2">
        <v>20656</v>
      </c>
      <c r="D26">
        <f>RTD("tos.rtd", , "LAST", Main_L[[#This Row],[Symbol]])</f>
        <v>33.19</v>
      </c>
      <c r="E26">
        <v>1.82</v>
      </c>
      <c r="F26">
        <v>15.86</v>
      </c>
      <c r="G26">
        <v>0.78</v>
      </c>
      <c r="H26" s="1">
        <f>IF(ISNUMBER(Main_L[[#This Row],[Free CF]]),IF(Main_L[[#This Row],[Free CF]]&lt;&gt;0,Main_L[[#This Row],[Current Price]]/Main_L[[#This Row],[Free CF]],""),"")</f>
        <v>18.236263736263734</v>
      </c>
      <c r="I26" s="1">
        <f>IF(ISNUMBER(Main_L[[#This Row],[BVPS]]),IF(Main_L[[#This Row],[BVPS]]&lt;&gt;0,Main_L[[#This Row],[Current Price]]/Main_L[[#This Row],[BVPS]],""),"")</f>
        <v>2.0926860025220679</v>
      </c>
      <c r="J26">
        <v>4.8099999999999996</v>
      </c>
      <c r="K26">
        <v>2.37</v>
      </c>
      <c r="L26">
        <v>1.91</v>
      </c>
      <c r="M26" s="1">
        <f>IF(ISNUMBER(Main_L[[#This Row],[EPS]]),IF(Main_L[[#This Row],[EPS]]&lt;&gt;0,Main_L[[#This Row],[Current Price]]/Main_L[[#This Row],[EPS]],""),"")</f>
        <v>42.551282051282044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0.71593997935435971</v>
      </c>
      <c r="P26" s="1">
        <f>(Main_L[[#This Row],[P/B]]-VLOOKUP(Main_L[[#This Row],[Industry]], Mean_PB_L, 2, FALSE))/(VLOOKUP(Main_L[[#This Row],[Industry]], Mean_PB_L, 3, FALSE))</f>
        <v>-0.92969063510906869</v>
      </c>
      <c r="Q26" s="1">
        <f>(Main_L[[#This Row],[ROE]]-VLOOKUP(Main_L[[#This Row],[Industry]], Mean_ROE_L, 2, FALSE))/(VLOOKUP(Main_L[[#This Row],[Industry]], Mean_ROE_L, 3, FALSE))</f>
        <v>-0.47444306278235993</v>
      </c>
      <c r="R26" s="1">
        <f>(Main_L[[#This Row],[ROA]]-VLOOKUP(Main_L[[#This Row],[Industry]], Mean_ROA_L, 2, FALSE))/(VLOOKUP(Main_L[[#This Row],[Industry]], Mean_ROA_L, 3, FALSE))</f>
        <v>-0.18559153203199574</v>
      </c>
      <c r="S26" s="1">
        <f>(Main_L[[#This Row],[A/E]]-VLOOKUP(Main_L[[#This Row],[Industry]], Mean_AE_L, 2, FALSE))/(VLOOKUP(Main_L[[#This Row],[Industry]], Mean_AE_L, 3, FALSE))</f>
        <v>-0.4713266425924133</v>
      </c>
      <c r="T26" s="1">
        <f>(Main_L[[#This Row],[P/E]]-VLOOKUP(Main_L[[#This Row],[Industry]], Mean_PE_L, 2, FALSE))/(VLOOKUP(Main_L[[#This Row],[Industry]], Mean_PE_L, 3, FALSE))</f>
        <v>-0.38132970005530531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t="s">
        <v>120</v>
      </c>
      <c r="B27" t="s">
        <v>126</v>
      </c>
      <c r="C27" s="2">
        <v>13726</v>
      </c>
      <c r="D27">
        <f>RTD("tos.rtd", , "LAST", Main_L[[#This Row],[Symbol]])</f>
        <v>41.48</v>
      </c>
      <c r="E27">
        <v>2.5299999999999998</v>
      </c>
      <c r="F27">
        <v>9.93</v>
      </c>
      <c r="G27">
        <v>0.36</v>
      </c>
      <c r="H27" s="1">
        <f>IF(ISNUMBER(Main_L[[#This Row],[Free CF]]),IF(Main_L[[#This Row],[Free CF]]&lt;&gt;0,Main_L[[#This Row],[Current Price]]/Main_L[[#This Row],[Free CF]],""),"")</f>
        <v>16.395256916996047</v>
      </c>
      <c r="I27" s="1">
        <f>IF(ISNUMBER(Main_L[[#This Row],[BVPS]]),IF(Main_L[[#This Row],[BVPS]]&lt;&gt;0,Main_L[[#This Row],[Current Price]]/Main_L[[#This Row],[BVPS]],""),"")</f>
        <v>4.1772406847935546</v>
      </c>
      <c r="J27">
        <v>2.85</v>
      </c>
      <c r="K27">
        <v>1.8</v>
      </c>
      <c r="L27">
        <v>3.27</v>
      </c>
      <c r="M27" s="1">
        <f>IF(ISNUMBER(Main_L[[#This Row],[EPS]]),IF(Main_L[[#This Row],[EPS]]&lt;&gt;0,Main_L[[#This Row],[Current Price]]/Main_L[[#This Row],[EPS]],""),"")</f>
        <v>115.22222222222221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-0.89437957654741984</v>
      </c>
      <c r="P27" s="1">
        <f>(Main_L[[#This Row],[P/B]]-VLOOKUP(Main_L[[#This Row],[Industry]], Mean_PB_L, 2, FALSE))/(VLOOKUP(Main_L[[#This Row],[Industry]], Mean_PB_L, 3, FALSE))</f>
        <v>2.2328885518882275</v>
      </c>
      <c r="Q27" s="1">
        <f>(Main_L[[#This Row],[ROE]]-VLOOKUP(Main_L[[#This Row],[Industry]], Mean_ROE_L, 2, FALSE))/(VLOOKUP(Main_L[[#This Row],[Industry]], Mean_ROE_L, 3, FALSE))</f>
        <v>-1.014738455131025</v>
      </c>
      <c r="R27" s="1">
        <f>(Main_L[[#This Row],[ROA]]-VLOOKUP(Main_L[[#This Row],[Industry]], Mean_ROA_L, 2, FALSE))/(VLOOKUP(Main_L[[#This Row],[Industry]], Mean_ROA_L, 3, FALSE))</f>
        <v>-1.2926666010135486</v>
      </c>
      <c r="S27" s="1">
        <f>(Main_L[[#This Row],[A/E]]-VLOOKUP(Main_L[[#This Row],[Industry]], Mean_AE_L, 2, FALSE))/(VLOOKUP(Main_L[[#This Row],[Industry]], Mean_AE_L, 3, FALSE))</f>
        <v>5.7823732005849848</v>
      </c>
      <c r="T27" s="1">
        <f>(Main_L[[#This Row],[P/E]]-VLOOKUP(Main_L[[#This Row],[Industry]], Mean_PE_L, 2, FALSE))/(VLOOKUP(Main_L[[#This Row],[Industry]], Mean_PE_L, 3, FALSE))</f>
        <v>1.2350286114325364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t="s">
        <v>131</v>
      </c>
      <c r="B28" t="s">
        <v>134</v>
      </c>
      <c r="C28" s="2">
        <v>53230</v>
      </c>
      <c r="D28">
        <f>RTD("tos.rtd", , "LAST", Main_L[[#This Row],[Symbol]])</f>
        <v>160.41999999999999</v>
      </c>
      <c r="E28">
        <v>9.34</v>
      </c>
      <c r="F28">
        <v>7.86</v>
      </c>
      <c r="G28">
        <v>6.28</v>
      </c>
      <c r="H28" s="1">
        <f>IF(ISNUMBER(Main_L[[#This Row],[Free CF]]),IF(Main_L[[#This Row],[Free CF]]&lt;&gt;0,Main_L[[#This Row],[Current Price]]/Main_L[[#This Row],[Free CF]],""),"")</f>
        <v>17.175588865096358</v>
      </c>
      <c r="I28" s="1">
        <f>IF(ISNUMBER(Main_L[[#This Row],[BVPS]]),IF(Main_L[[#This Row],[BVPS]]&lt;&gt;0,Main_L[[#This Row],[Current Price]]/Main_L[[#This Row],[BVPS]],""),"")</f>
        <v>20.409669211195926</v>
      </c>
      <c r="J28">
        <v>67.31</v>
      </c>
      <c r="K28">
        <v>5.83</v>
      </c>
      <c r="L28">
        <v>12.67</v>
      </c>
      <c r="M28" s="1">
        <f>IF(ISNUMBER(Main_L[[#This Row],[EPS]]),IF(Main_L[[#This Row],[EPS]]&lt;&gt;0,Main_L[[#This Row],[Current Price]]/Main_L[[#This Row],[EPS]],""),"")</f>
        <v>25.544585987261144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1.406108591731994</v>
      </c>
      <c r="P28" s="1">
        <f>(Main_L[[#This Row],[P/B]]-VLOOKUP(Main_L[[#This Row],[Industry]], Mean_PB_L, 2, FALSE))/(VLOOKUP(Main_L[[#This Row],[Industry]], Mean_PB_L, 3, FALSE))</f>
        <v>1.4142116046212072</v>
      </c>
      <c r="Q28" s="1">
        <f>(Main_L[[#This Row],[ROE]]-VLOOKUP(Main_L[[#This Row],[Industry]], Mean_ROE_L, 2, FALSE))/(VLOOKUP(Main_L[[#This Row],[Industry]], Mean_ROE_L, 3, FALSE))</f>
        <v>1.4132542314120191</v>
      </c>
      <c r="R28" s="1">
        <f>(Main_L[[#This Row],[ROA]]-VLOOKUP(Main_L[[#This Row],[Industry]], Mean_ROA_L, 2, FALSE))/(VLOOKUP(Main_L[[#This Row],[Industry]], Mean_ROA_L, 3, FALSE))</f>
        <v>1.4141977266903833</v>
      </c>
      <c r="S28" s="1">
        <f>(Main_L[[#This Row],[A/E]]-VLOOKUP(Main_L[[#This Row],[Industry]], Mean_AE_L, 2, FALSE))/(VLOOKUP(Main_L[[#This Row],[Industry]], Mean_AE_L, 3, FALSE))</f>
        <v>1.4141914684389352</v>
      </c>
      <c r="T28" s="1">
        <f>(Main_L[[#This Row],[P/E]]-VLOOKUP(Main_L[[#This Row],[Industry]], Mean_PE_L, 2, FALSE))/(VLOOKUP(Main_L[[#This Row],[Industry]], Mean_PE_L, 3, FALSE))</f>
        <v>-0.79614582354586405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131</v>
      </c>
      <c r="B29" t="s">
        <v>133</v>
      </c>
      <c r="C29" s="2">
        <v>51132</v>
      </c>
      <c r="D29">
        <f>RTD("tos.rtd", , "LAST", Main_L[[#This Row],[Symbol]])</f>
        <v>56.81</v>
      </c>
      <c r="E29">
        <v>4.08</v>
      </c>
      <c r="F29">
        <v>43.22</v>
      </c>
      <c r="G29">
        <v>1.1000000000000001</v>
      </c>
      <c r="H29" s="1">
        <f>IF(ISNUMBER(Main_L[[#This Row],[Free CF]]),IF(Main_L[[#This Row],[Free CF]]&lt;&gt;0,Main_L[[#This Row],[Current Price]]/Main_L[[#This Row],[Free CF]],""),"")</f>
        <v>13.924019607843137</v>
      </c>
      <c r="I29" s="1">
        <f>IF(ISNUMBER(Main_L[[#This Row],[BVPS]]),IF(Main_L[[#This Row],[BVPS]]&lt;&gt;0,Main_L[[#This Row],[Current Price]]/Main_L[[#This Row],[BVPS]],""),"")</f>
        <v>1.3144377602961592</v>
      </c>
      <c r="J29">
        <v>2.5099999999999998</v>
      </c>
      <c r="K29">
        <v>2.1800000000000002</v>
      </c>
      <c r="L29">
        <v>1.79</v>
      </c>
      <c r="M29" s="1">
        <f>IF(ISNUMBER(Main_L[[#This Row],[EPS]]),IF(Main_L[[#This Row],[EPS]]&lt;&gt;0,Main_L[[#This Row],[Current Price]]/Main_L[[#This Row],[EPS]],""),"")</f>
        <v>51.645454545454541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-0.57211930744384709</v>
      </c>
      <c r="P29" s="1">
        <f>(Main_L[[#This Row],[P/B]]-VLOOKUP(Main_L[[#This Row],[Industry]], Mean_PB_L, 2, FALSE))/(VLOOKUP(Main_L[[#This Row],[Industry]], Mean_PB_L, 3, FALSE))</f>
        <v>-0.70914369731114224</v>
      </c>
      <c r="Q29" s="1">
        <f>(Main_L[[#This Row],[ROE]]-VLOOKUP(Main_L[[#This Row],[Industry]], Mean_ROE_L, 2, FALSE))/(VLOOKUP(Main_L[[#This Row],[Industry]], Mean_ROE_L, 3, FALSE))</f>
        <v>-0.75173097415532941</v>
      </c>
      <c r="R29" s="1">
        <f>(Main_L[[#This Row],[ROA]]-VLOOKUP(Main_L[[#This Row],[Industry]], Mean_ROA_L, 2, FALSE))/(VLOOKUP(Main_L[[#This Row],[Industry]], Mean_ROA_L, 3, FALSE))</f>
        <v>-0.70130297102269012</v>
      </c>
      <c r="S29" s="1">
        <f>(Main_L[[#This Row],[A/E]]-VLOOKUP(Main_L[[#This Row],[Industry]], Mean_AE_L, 2, FALSE))/(VLOOKUP(Main_L[[#This Row],[Industry]], Mean_AE_L, 3, FALSE))</f>
        <v>-0.71394175100997437</v>
      </c>
      <c r="T29" s="1">
        <f>(Main_L[[#This Row],[P/E]]-VLOOKUP(Main_L[[#This Row],[Industry]], Mean_PE_L, 2, FALSE))/(VLOOKUP(Main_L[[#This Row],[Industry]], Mean_PE_L, 3, FALSE))</f>
        <v>1.4103050347258914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t="s">
        <v>131</v>
      </c>
      <c r="B30" t="s">
        <v>132</v>
      </c>
      <c r="C30" s="2">
        <v>14382</v>
      </c>
      <c r="D30">
        <f>RTD("tos.rtd", , "LAST", Main_L[[#This Row],[Symbol]])</f>
        <v>21.05</v>
      </c>
      <c r="E30">
        <v>1.56</v>
      </c>
      <c r="F30">
        <v>15.58</v>
      </c>
      <c r="G30">
        <v>0.76</v>
      </c>
      <c r="H30" s="1">
        <f>IF(ISNUMBER(Main_L[[#This Row],[Free CF]]),IF(Main_L[[#This Row],[Free CF]]&lt;&gt;0,Main_L[[#This Row],[Current Price]]/Main_L[[#This Row],[Free CF]],""),"")</f>
        <v>13.493589743589743</v>
      </c>
      <c r="I30" s="1">
        <f>IF(ISNUMBER(Main_L[[#This Row],[BVPS]]),IF(Main_L[[#This Row],[BVPS]]&lt;&gt;0,Main_L[[#This Row],[Current Price]]/Main_L[[#This Row],[BVPS]],""),"")</f>
        <v>1.3510911424903722</v>
      </c>
      <c r="J30">
        <v>5.21</v>
      </c>
      <c r="K30">
        <v>2.16</v>
      </c>
      <c r="L30">
        <v>1.86</v>
      </c>
      <c r="M30" s="1">
        <f>IF(ISNUMBER(Main_L[[#This Row],[EPS]]),IF(Main_L[[#This Row],[EPS]]&lt;&gt;0,Main_L[[#This Row],[Current Price]]/Main_L[[#This Row],[EPS]],""),"")</f>
        <v>27.697368421052634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-0.83398928428814578</v>
      </c>
      <c r="P30" s="1">
        <f>(Main_L[[#This Row],[P/B]]-VLOOKUP(Main_L[[#This Row],[Industry]], Mean_PB_L, 2, FALSE))/(VLOOKUP(Main_L[[#This Row],[Industry]], Mean_PB_L, 3, FALSE))</f>
        <v>-0.70506790731006486</v>
      </c>
      <c r="Q30" s="1">
        <f>(Main_L[[#This Row],[ROE]]-VLOOKUP(Main_L[[#This Row],[Industry]], Mean_ROE_L, 2, FALSE))/(VLOOKUP(Main_L[[#This Row],[Industry]], Mean_ROE_L, 3, FALSE))</f>
        <v>-0.66152325725668981</v>
      </c>
      <c r="R30" s="1">
        <f>(Main_L[[#This Row],[ROA]]-VLOOKUP(Main_L[[#This Row],[Industry]], Mean_ROA_L, 2, FALSE))/(VLOOKUP(Main_L[[#This Row],[Industry]], Mean_ROA_L, 3, FALSE))</f>
        <v>-0.71289475566769334</v>
      </c>
      <c r="S30" s="1">
        <f>(Main_L[[#This Row],[A/E]]-VLOOKUP(Main_L[[#This Row],[Industry]], Mean_AE_L, 2, FALSE))/(VLOOKUP(Main_L[[#This Row],[Industry]], Mean_AE_L, 3, FALSE))</f>
        <v>-0.70024971742896103</v>
      </c>
      <c r="T30" s="1">
        <f>(Main_L[[#This Row],[P/E]]-VLOOKUP(Main_L[[#This Row],[Industry]], Mean_PE_L, 2, FALSE))/(VLOOKUP(Main_L[[#This Row],[Industry]], Mean_PE_L, 3, FALSE))</f>
        <v>-0.61415921118002759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t="s">
        <v>135</v>
      </c>
      <c r="B31" t="s">
        <v>140</v>
      </c>
      <c r="C31" s="2">
        <v>54105</v>
      </c>
      <c r="D31">
        <f>RTD("tos.rtd", , "LAST", Main_L[[#This Row],[Symbol]])</f>
        <v>302.58</v>
      </c>
      <c r="E31">
        <v>18.14</v>
      </c>
      <c r="F31">
        <v>29.73</v>
      </c>
      <c r="G31">
        <v>10.08</v>
      </c>
      <c r="H31" s="1">
        <f>IF(ISNUMBER(Main_L[[#This Row],[Free CF]]),IF(Main_L[[#This Row],[Free CF]]&lt;&gt;0,Main_L[[#This Row],[Current Price]]/Main_L[[#This Row],[Free CF]],""),"")</f>
        <v>16.680264608599778</v>
      </c>
      <c r="I31" s="1">
        <f>IF(ISNUMBER(Main_L[[#This Row],[BVPS]]),IF(Main_L[[#This Row],[BVPS]]&lt;&gt;0,Main_L[[#This Row],[Current Price]]/Main_L[[#This Row],[BVPS]],""),"")</f>
        <v>10.177598385469222</v>
      </c>
      <c r="J31">
        <v>20.12</v>
      </c>
      <c r="K31">
        <v>7.06</v>
      </c>
      <c r="L31">
        <v>3.76</v>
      </c>
      <c r="M31" s="1">
        <f>IF(ISNUMBER(Main_L[[#This Row],[EPS]]),IF(Main_L[[#This Row],[EPS]]&lt;&gt;0,Main_L[[#This Row],[Current Price]]/Main_L[[#This Row],[EPS]],""),"")</f>
        <v>30.017857142857142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-0.80650241413097246</v>
      </c>
      <c r="P31" s="1">
        <f>(Main_L[[#This Row],[P/B]]-VLOOKUP(Main_L[[#This Row],[Industry]], Mean_PB_L, 2, FALSE))/(VLOOKUP(Main_L[[#This Row],[Industry]], Mean_PB_L, 3, FALSE))</f>
        <v>1.200876072786687</v>
      </c>
      <c r="Q31" s="1">
        <f>(Main_L[[#This Row],[ROE]]-VLOOKUP(Main_L[[#This Row],[Industry]], Mean_ROE_L, 2, FALSE))/(VLOOKUP(Main_L[[#This Row],[Industry]], Mean_ROE_L, 3, FALSE))</f>
        <v>0.54048619247097396</v>
      </c>
      <c r="R31" s="1">
        <f>(Main_L[[#This Row],[ROA]]-VLOOKUP(Main_L[[#This Row],[Industry]], Mean_ROA_L, 2, FALSE))/(VLOOKUP(Main_L[[#This Row],[Industry]], Mean_ROA_L, 3, FALSE))</f>
        <v>1.8180398006119134</v>
      </c>
      <c r="S31" s="1">
        <f>(Main_L[[#This Row],[A/E]]-VLOOKUP(Main_L[[#This Row],[Industry]], Mean_AE_L, 2, FALSE))/(VLOOKUP(Main_L[[#This Row],[Industry]], Mean_AE_L, 3, FALSE))</f>
        <v>0.60219163195476588</v>
      </c>
      <c r="T31" s="1">
        <f>(Main_L[[#This Row],[P/E]]-VLOOKUP(Main_L[[#This Row],[Industry]], Mean_PE_L, 2, FALSE))/(VLOOKUP(Main_L[[#This Row],[Industry]], Mean_PE_L, 3, FALSE))</f>
        <v>-0.18212040104344288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t="s">
        <v>135</v>
      </c>
      <c r="B32" t="s">
        <v>146</v>
      </c>
      <c r="C32" s="2">
        <v>86943</v>
      </c>
      <c r="D32">
        <f>RTD("tos.rtd", , "LAST", Main_L[[#This Row],[Symbol]])</f>
        <v>907.48</v>
      </c>
      <c r="E32">
        <v>35.979999999999997</v>
      </c>
      <c r="F32">
        <v>141.99</v>
      </c>
      <c r="G32">
        <v>9.59</v>
      </c>
      <c r="H32" s="1">
        <f>IF(ISNUMBER(Main_L[[#This Row],[Free CF]]),IF(Main_L[[#This Row],[Free CF]]&lt;&gt;0,Main_L[[#This Row],[Current Price]]/Main_L[[#This Row],[Free CF]],""),"")</f>
        <v>25.221789883268485</v>
      </c>
      <c r="I32" s="1">
        <f>IF(ISNUMBER(Main_L[[#This Row],[BVPS]]),IF(Main_L[[#This Row],[BVPS]]&lt;&gt;0,Main_L[[#This Row],[Current Price]]/Main_L[[#This Row],[BVPS]],""),"")</f>
        <v>6.3911543066413126</v>
      </c>
      <c r="J32">
        <v>7.06</v>
      </c>
      <c r="K32">
        <v>3.12</v>
      </c>
      <c r="L32">
        <v>2.6</v>
      </c>
      <c r="M32" s="1">
        <f>IF(ISNUMBER(Main_L[[#This Row],[EPS]]),IF(Main_L[[#This Row],[EPS]]&lt;&gt;0,Main_L[[#This Row],[Current Price]]/Main_L[[#This Row],[EPS]],""),"")</f>
        <v>94.627737226277375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0.65219043766485008</v>
      </c>
      <c r="P32" s="1">
        <f>(Main_L[[#This Row],[P/B]]-VLOOKUP(Main_L[[#This Row],[Industry]], Mean_PB_L, 2, FALSE))/(VLOOKUP(Main_L[[#This Row],[Industry]], Mean_PB_L, 3, FALSE))</f>
        <v>0.43450712377114237</v>
      </c>
      <c r="Q32" s="1">
        <f>(Main_L[[#This Row],[ROE]]-VLOOKUP(Main_L[[#This Row],[Industry]], Mean_ROE_L, 2, FALSE))/(VLOOKUP(Main_L[[#This Row],[Industry]], Mean_ROE_L, 3, FALSE))</f>
        <v>-0.32022031156693809</v>
      </c>
      <c r="R32" s="1">
        <f>(Main_L[[#This Row],[ROA]]-VLOOKUP(Main_L[[#This Row],[Industry]], Mean_ROA_L, 2, FALSE))/(VLOOKUP(Main_L[[#This Row],[Industry]], Mean_ROA_L, 3, FALSE))</f>
        <v>-0.57124532761054736</v>
      </c>
      <c r="S32" s="1">
        <f>(Main_L[[#This Row],[A/E]]-VLOOKUP(Main_L[[#This Row],[Industry]], Mean_AE_L, 2, FALSE))/(VLOOKUP(Main_L[[#This Row],[Industry]], Mean_AE_L, 3, FALSE))</f>
        <v>7.4492071563809686E-2</v>
      </c>
      <c r="T32" s="1">
        <f>(Main_L[[#This Row],[P/E]]-VLOOKUP(Main_L[[#This Row],[Industry]], Mean_PE_L, 2, FALSE))/(VLOOKUP(Main_L[[#This Row],[Industry]], Mean_PE_L, 3, FALSE))</f>
        <v>2.2220103681554919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t="s">
        <v>135</v>
      </c>
      <c r="B33" t="s">
        <v>143</v>
      </c>
      <c r="C33" s="2">
        <v>24915</v>
      </c>
      <c r="D33">
        <f>RTD("tos.rtd", , "LAST", Main_L[[#This Row],[Symbol]])</f>
        <v>224.99</v>
      </c>
      <c r="E33">
        <v>7.79</v>
      </c>
      <c r="F33">
        <v>-46.01</v>
      </c>
      <c r="G33">
        <v>7.56</v>
      </c>
      <c r="H33" s="1">
        <f>IF(ISNUMBER(Main_L[[#This Row],[Free CF]]),IF(Main_L[[#This Row],[Free CF]]&lt;&gt;0,Main_L[[#This Row],[Current Price]]/Main_L[[#This Row],[Free CF]],""),"")</f>
        <v>28.881899871630296</v>
      </c>
      <c r="I33" s="1">
        <f>IF(ISNUMBER(Main_L[[#This Row],[BVPS]]),IF(Main_L[[#This Row],[BVPS]]&lt;&gt;0,Main_L[[#This Row],[Current Price]]/Main_L[[#This Row],[BVPS]],""),"")</f>
        <v>-4.8900239078461212</v>
      </c>
      <c r="J33">
        <v>-16.09</v>
      </c>
      <c r="K33">
        <v>9.36</v>
      </c>
      <c r="L33">
        <v>-2.1</v>
      </c>
      <c r="M33" s="1">
        <f>IF(ISNUMBER(Main_L[[#This Row],[EPS]]),IF(Main_L[[#This Row],[EPS]]&lt;&gt;0,Main_L[[#This Row],[Current Price]]/Main_L[[#This Row],[EPS]],""),"")</f>
        <v>29.760582010582013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1.2772516656218138</v>
      </c>
      <c r="P33" s="1">
        <f>(Main_L[[#This Row],[P/B]]-VLOOKUP(Main_L[[#This Row],[Industry]], Mean_PB_L, 2, FALSE))/(VLOOKUP(Main_L[[#This Row],[Industry]], Mean_PB_L, 3, FALSE))</f>
        <v>-1.8487815005705679</v>
      </c>
      <c r="Q33" s="1">
        <f>(Main_L[[#This Row],[ROE]]-VLOOKUP(Main_L[[#This Row],[Industry]], Mean_ROE_L, 2, FALSE))/(VLOOKUP(Main_L[[#This Row],[Industry]], Mean_ROE_L, 3, FALSE))</f>
        <v>-1.8458983795973869</v>
      </c>
      <c r="R33" s="1">
        <f>(Main_L[[#This Row],[ROA]]-VLOOKUP(Main_L[[#This Row],[Industry]], Mean_ROA_L, 2, FALSE))/(VLOOKUP(Main_L[[#This Row],[Industry]], Mean_ROA_L, 3, FALSE))</f>
        <v>3.2128001546504055</v>
      </c>
      <c r="S33" s="1">
        <f>(Main_L[[#This Row],[A/E]]-VLOOKUP(Main_L[[#This Row],[Industry]], Mean_AE_L, 2, FALSE))/(VLOOKUP(Main_L[[#This Row],[Industry]], Mean_AE_L, 3, FALSE))</f>
        <v>-2.0636009748478235</v>
      </c>
      <c r="T33" s="1">
        <f>(Main_L[[#This Row],[P/E]]-VLOOKUP(Main_L[[#This Row],[Industry]], Mean_PE_L, 2, FALSE))/(VLOOKUP(Main_L[[#This Row],[Industry]], Mean_PE_L, 3, FALSE))</f>
        <v>-0.19169359729227922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t="s">
        <v>135</v>
      </c>
      <c r="B34" t="s">
        <v>141</v>
      </c>
      <c r="C34" s="2">
        <v>100486</v>
      </c>
      <c r="D34">
        <f>RTD("tos.rtd", , "LAST", Main_L[[#This Row],[Symbol]])</f>
        <v>212.83</v>
      </c>
      <c r="E34">
        <v>11.35</v>
      </c>
      <c r="F34">
        <v>7.55</v>
      </c>
      <c r="G34">
        <v>6.18</v>
      </c>
      <c r="H34" s="1">
        <f>IF(ISNUMBER(Main_L[[#This Row],[Free CF]]),IF(Main_L[[#This Row],[Free CF]]&lt;&gt;0,Main_L[[#This Row],[Current Price]]/Main_L[[#This Row],[Free CF]],""),"")</f>
        <v>18.751541850220267</v>
      </c>
      <c r="I34" s="1">
        <f>IF(ISNUMBER(Main_L[[#This Row],[BVPS]]),IF(Main_L[[#This Row],[BVPS]]&lt;&gt;0,Main_L[[#This Row],[Current Price]]/Main_L[[#This Row],[BVPS]],""),"")</f>
        <v>28.189403973509936</v>
      </c>
      <c r="J34">
        <v>28.42</v>
      </c>
      <c r="K34">
        <v>4.53</v>
      </c>
      <c r="L34">
        <v>17.559999999999999</v>
      </c>
      <c r="M34" s="1">
        <f>IF(ISNUMBER(Main_L[[#This Row],[EPS]]),IF(Main_L[[#This Row],[EPS]]&lt;&gt;0,Main_L[[#This Row],[Current Price]]/Main_L[[#This Row],[EPS]],""),"")</f>
        <v>34.438511326860848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-0.45277667905652313</v>
      </c>
      <c r="P34" s="1">
        <f>(Main_L[[#This Row],[P/B]]-VLOOKUP(Main_L[[#This Row],[Industry]], Mean_PB_L, 2, FALSE))/(VLOOKUP(Main_L[[#This Row],[Industry]], Mean_PB_L, 3, FALSE))</f>
        <v>4.8464306435152205</v>
      </c>
      <c r="Q34" s="1">
        <f>(Main_L[[#This Row],[ROE]]-VLOOKUP(Main_L[[#This Row],[Industry]], Mean_ROE_L, 2, FALSE))/(VLOOKUP(Main_L[[#This Row],[Industry]], Mean_ROE_L, 3, FALSE))</f>
        <v>1.0874895602745474</v>
      </c>
      <c r="R34" s="1">
        <f>(Main_L[[#This Row],[ROA]]-VLOOKUP(Main_L[[#This Row],[Industry]], Mean_ROA_L, 2, FALSE))/(VLOOKUP(Main_L[[#This Row],[Industry]], Mean_ROA_L, 3, FALSE))</f>
        <v>0.28380341116957203</v>
      </c>
      <c r="S34" s="1">
        <f>(Main_L[[#This Row],[A/E]]-VLOOKUP(Main_L[[#This Row],[Industry]], Mean_AE_L, 2, FALSE))/(VLOOKUP(Main_L[[#This Row],[Industry]], Mean_AE_L, 3, FALSE))</f>
        <v>6.8799967469506251</v>
      </c>
      <c r="T34" s="1">
        <f>(Main_L[[#This Row],[P/E]]-VLOOKUP(Main_L[[#This Row],[Industry]], Mean_PE_L, 2, FALSE))/(VLOOKUP(Main_L[[#This Row],[Industry]], Mean_PE_L, 3, FALSE))</f>
        <v>-1.7628055135520938E-2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t="s">
        <v>135</v>
      </c>
      <c r="B35" t="s">
        <v>139</v>
      </c>
      <c r="C35" s="2">
        <v>32076</v>
      </c>
      <c r="D35">
        <f>RTD("tos.rtd", , "LAST", Main_L[[#This Row],[Symbol]])</f>
        <v>150.44</v>
      </c>
      <c r="E35">
        <v>8.9</v>
      </c>
      <c r="F35">
        <v>65.430000000000007</v>
      </c>
      <c r="G35">
        <v>4.26</v>
      </c>
      <c r="H35" s="1">
        <f>IF(ISNUMBER(Main_L[[#This Row],[Free CF]]),IF(Main_L[[#This Row],[Free CF]]&lt;&gt;0,Main_L[[#This Row],[Current Price]]/Main_L[[#This Row],[Free CF]],""),"")</f>
        <v>16.903370786516852</v>
      </c>
      <c r="I35" s="1">
        <f>IF(ISNUMBER(Main_L[[#This Row],[BVPS]]),IF(Main_L[[#This Row],[BVPS]]&lt;&gt;0,Main_L[[#This Row],[Current Price]]/Main_L[[#This Row],[BVPS]],""),"")</f>
        <v>2.2992511080544089</v>
      </c>
      <c r="J35">
        <v>6.39</v>
      </c>
      <c r="K35">
        <v>3.33</v>
      </c>
      <c r="L35">
        <v>2.09</v>
      </c>
      <c r="M35" s="1">
        <f>IF(ISNUMBER(Main_L[[#This Row],[EPS]]),IF(Main_L[[#This Row],[EPS]]&lt;&gt;0,Main_L[[#This Row],[Current Price]]/Main_L[[#This Row],[EPS]],""),"")</f>
        <v>35.314553990610328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-0.76840109423155367</v>
      </c>
      <c r="P35" s="1">
        <f>(Main_L[[#This Row],[P/B]]-VLOOKUP(Main_L[[#This Row],[Industry]], Mean_PB_L, 2, FALSE))/(VLOOKUP(Main_L[[#This Row],[Industry]], Mean_PB_L, 3, FALSE))</f>
        <v>-0.39368615955475539</v>
      </c>
      <c r="Q35" s="1">
        <f>(Main_L[[#This Row],[ROE]]-VLOOKUP(Main_L[[#This Row],[Industry]], Mean_ROE_L, 2, FALSE))/(VLOOKUP(Main_L[[#This Row],[Industry]], Mean_ROE_L, 3, FALSE))</f>
        <v>-0.36437600511252777</v>
      </c>
      <c r="R35" s="1">
        <f>(Main_L[[#This Row],[ROA]]-VLOOKUP(Main_L[[#This Row],[Industry]], Mean_ROA_L, 2, FALSE))/(VLOOKUP(Main_L[[#This Row],[Industry]], Mean_ROA_L, 3, FALSE))</f>
        <v>-0.44389764311138064</v>
      </c>
      <c r="S35" s="1">
        <f>(Main_L[[#This Row],[A/E]]-VLOOKUP(Main_L[[#This Row],[Industry]], Mean_AE_L, 2, FALSE))/(VLOOKUP(Main_L[[#This Row],[Industry]], Mean_AE_L, 3, FALSE))</f>
        <v>-0.15751376964255914</v>
      </c>
      <c r="T35" s="1">
        <f>(Main_L[[#This Row],[P/E]]-VLOOKUP(Main_L[[#This Row],[Industry]], Mean_PE_L, 2, FALSE))/(VLOOKUP(Main_L[[#This Row],[Industry]], Mean_PE_L, 3, FALSE))</f>
        <v>1.4969453485944228E-2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t="s">
        <v>135</v>
      </c>
      <c r="B36" t="s">
        <v>138</v>
      </c>
      <c r="C36" s="2">
        <v>12342</v>
      </c>
      <c r="D36">
        <f>RTD("tos.rtd", , "LAST", Main_L[[#This Row],[Symbol]])</f>
        <v>120.7</v>
      </c>
      <c r="E36">
        <v>7.66</v>
      </c>
      <c r="F36">
        <v>10.06</v>
      </c>
      <c r="G36">
        <v>4.1100000000000003</v>
      </c>
      <c r="H36" s="1">
        <f>IF(ISNUMBER(Main_L[[#This Row],[Free CF]]),IF(Main_L[[#This Row],[Free CF]]&lt;&gt;0,Main_L[[#This Row],[Current Price]]/Main_L[[#This Row],[Free CF]],""),"")</f>
        <v>15.757180156657963</v>
      </c>
      <c r="I36" s="1">
        <f>IF(ISNUMBER(Main_L[[#This Row],[BVPS]]),IF(Main_L[[#This Row],[BVPS]]&lt;&gt;0,Main_L[[#This Row],[Current Price]]/Main_L[[#This Row],[BVPS]],""),"")</f>
        <v>11.998011928429424</v>
      </c>
      <c r="J36">
        <v>38.25</v>
      </c>
      <c r="K36">
        <v>5.08</v>
      </c>
      <c r="L36">
        <v>6.36</v>
      </c>
      <c r="M36" s="1">
        <f>IF(ISNUMBER(Main_L[[#This Row],[EPS]]),IF(Main_L[[#This Row],[EPS]]&lt;&gt;0,Main_L[[#This Row],[Current Price]]/Main_L[[#This Row],[EPS]],""),"")</f>
        <v>29.367396593673963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-0.96414366067093726</v>
      </c>
      <c r="P36" s="1">
        <f>(Main_L[[#This Row],[P/B]]-VLOOKUP(Main_L[[#This Row],[Industry]], Mean_PB_L, 2, FALSE))/(VLOOKUP(Main_L[[#This Row],[Industry]], Mean_PB_L, 3, FALSE))</f>
        <v>1.5693242486076087</v>
      </c>
      <c r="Q36" s="1">
        <f>(Main_L[[#This Row],[ROE]]-VLOOKUP(Main_L[[#This Row],[Industry]], Mean_ROE_L, 2, FALSE))/(VLOOKUP(Main_L[[#This Row],[Industry]], Mean_ROE_L, 3, FALSE))</f>
        <v>1.7353260790105867</v>
      </c>
      <c r="R36" s="1">
        <f>(Main_L[[#This Row],[ROA]]-VLOOKUP(Main_L[[#This Row],[Industry]], Mean_ROA_L, 2, FALSE))/(VLOOKUP(Main_L[[#This Row],[Industry]], Mean_ROA_L, 3, FALSE))</f>
        <v>0.61733306104834185</v>
      </c>
      <c r="S36" s="1">
        <f>(Main_L[[#This Row],[A/E]]-VLOOKUP(Main_L[[#This Row],[Industry]], Mean_AE_L, 2, FALSE))/(VLOOKUP(Main_L[[#This Row],[Industry]], Mean_AE_L, 3, FALSE))</f>
        <v>1.7849665086931163</v>
      </c>
      <c r="T36" s="1">
        <f>(Main_L[[#This Row],[P/E]]-VLOOKUP(Main_L[[#This Row],[Industry]], Mean_PE_L, 2, FALSE))/(VLOOKUP(Main_L[[#This Row],[Industry]], Mean_PE_L, 3, FALSE))</f>
        <v>-0.20632400919783425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t="s">
        <v>135</v>
      </c>
      <c r="B37" t="s">
        <v>136</v>
      </c>
      <c r="C37" s="2">
        <v>12835</v>
      </c>
      <c r="D37">
        <f>RTD("tos.rtd", , "LAST", Main_L[[#This Row],[Symbol]])</f>
        <v>46.84</v>
      </c>
      <c r="E37">
        <v>3.9</v>
      </c>
      <c r="F37">
        <v>15.34</v>
      </c>
      <c r="G37">
        <v>2.83</v>
      </c>
      <c r="H37" s="1">
        <f>IF(ISNUMBER(Main_L[[#This Row],[Free CF]]),IF(Main_L[[#This Row],[Free CF]]&lt;&gt;0,Main_L[[#This Row],[Current Price]]/Main_L[[#This Row],[Free CF]],""),"")</f>
        <v>12.010256410256412</v>
      </c>
      <c r="I37" s="1">
        <f>IF(ISNUMBER(Main_L[[#This Row],[BVPS]]),IF(Main_L[[#This Row],[BVPS]]&lt;&gt;0,Main_L[[#This Row],[Current Price]]/Main_L[[#This Row],[BVPS]],""),"")</f>
        <v>3.0534550195567149</v>
      </c>
      <c r="J37">
        <v>17.559999999999999</v>
      </c>
      <c r="K37">
        <v>5.9</v>
      </c>
      <c r="L37">
        <v>2.88</v>
      </c>
      <c r="M37" s="1">
        <f>IF(ISNUMBER(Main_L[[#This Row],[EPS]]),IF(Main_L[[#This Row],[EPS]]&lt;&gt;0,Main_L[[#This Row],[Current Price]]/Main_L[[#This Row],[EPS]],""),"")</f>
        <v>16.551236749116608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-1.6040306491587113</v>
      </c>
      <c r="P37" s="1">
        <f>(Main_L[[#This Row],[P/B]]-VLOOKUP(Main_L[[#This Row],[Industry]], Mean_PB_L, 2, FALSE))/(VLOOKUP(Main_L[[#This Row],[Industry]], Mean_PB_L, 3, FALSE))</f>
        <v>-0.24103674840054282</v>
      </c>
      <c r="Q37" s="1">
        <f>(Main_L[[#This Row],[ROE]]-VLOOKUP(Main_L[[#This Row],[Industry]], Mean_ROE_L, 2, FALSE))/(VLOOKUP(Main_L[[#This Row],[Industry]], Mean_ROE_L, 3, FALSE))</f>
        <v>0.37177190071469091</v>
      </c>
      <c r="R37" s="1">
        <f>(Main_L[[#This Row],[ROA]]-VLOOKUP(Main_L[[#This Row],[Industry]], Mean_ROA_L, 2, FALSE))/(VLOOKUP(Main_L[[#This Row],[Industry]], Mean_ROA_L, 3, FALSE))</f>
        <v>1.1145954481403262</v>
      </c>
      <c r="S37" s="1">
        <f>(Main_L[[#This Row],[A/E]]-VLOOKUP(Main_L[[#This Row],[Industry]], Mean_AE_L, 2, FALSE))/(VLOOKUP(Main_L[[#This Row],[Industry]], Mean_AE_L, 3, FALSE))</f>
        <v>0.20186782752024734</v>
      </c>
      <c r="T37" s="1">
        <f>(Main_L[[#This Row],[P/E]]-VLOOKUP(Main_L[[#This Row],[Industry]], Mean_PE_L, 2, FALSE))/(VLOOKUP(Main_L[[#This Row],[Industry]], Mean_PE_L, 3, FALSE))</f>
        <v>-0.68321274797106835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t="s">
        <v>135</v>
      </c>
      <c r="B38" t="s">
        <v>145</v>
      </c>
      <c r="C38" s="2">
        <v>57766</v>
      </c>
      <c r="D38">
        <f>RTD("tos.rtd", , "LAST", Main_L[[#This Row],[Symbol]])</f>
        <v>176.68</v>
      </c>
      <c r="E38">
        <v>7.01</v>
      </c>
      <c r="F38">
        <v>61.07</v>
      </c>
      <c r="G38">
        <v>1.08</v>
      </c>
      <c r="H38" s="1">
        <f>IF(ISNUMBER(Main_L[[#This Row],[Free CF]]),IF(Main_L[[#This Row],[Free CF]]&lt;&gt;0,Main_L[[#This Row],[Current Price]]/Main_L[[#This Row],[Free CF]],""),"")</f>
        <v>25.203994293865907</v>
      </c>
      <c r="I38" s="1">
        <f>IF(ISNUMBER(Main_L[[#This Row],[BVPS]]),IF(Main_L[[#This Row],[BVPS]]&lt;&gt;0,Main_L[[#This Row],[Current Price]]/Main_L[[#This Row],[BVPS]],""),"")</f>
        <v>2.8930735221876538</v>
      </c>
      <c r="J38">
        <v>1.85</v>
      </c>
      <c r="K38">
        <v>1</v>
      </c>
      <c r="L38">
        <v>2.19</v>
      </c>
      <c r="M38" s="1">
        <f>IF(ISNUMBER(Main_L[[#This Row],[EPS]]),IF(Main_L[[#This Row],[EPS]]&lt;&gt;0,Main_L[[#This Row],[Current Price]]/Main_L[[#This Row],[EPS]],""),"")</f>
        <v>163.59259259259258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0.64915136698130171</v>
      </c>
      <c r="P38" s="1">
        <f>(Main_L[[#This Row],[P/B]]-VLOOKUP(Main_L[[#This Row],[Industry]], Mean_PB_L, 2, FALSE))/(VLOOKUP(Main_L[[#This Row],[Industry]], Mean_PB_L, 3, FALSE))</f>
        <v>-0.27349765288544781</v>
      </c>
      <c r="Q38" s="1">
        <f>(Main_L[[#This Row],[ROE]]-VLOOKUP(Main_L[[#This Row],[Industry]], Mean_ROE_L, 2, FALSE))/(VLOOKUP(Main_L[[#This Row],[Industry]], Mean_ROE_L, 3, FALSE))</f>
        <v>-0.66358025689906075</v>
      </c>
      <c r="R38" s="1">
        <f>(Main_L[[#This Row],[ROA]]-VLOOKUP(Main_L[[#This Row],[Industry]], Mean_ROA_L, 2, FALSE))/(VLOOKUP(Main_L[[#This Row],[Industry]], Mean_ROA_L, 3, FALSE))</f>
        <v>-1.8568505235068968</v>
      </c>
      <c r="S38" s="1">
        <f>(Main_L[[#This Row],[A/E]]-VLOOKUP(Main_L[[#This Row],[Industry]], Mean_AE_L, 2, FALSE))/(VLOOKUP(Main_L[[#This Row],[Industry]], Mean_AE_L, 3, FALSE))</f>
        <v>-0.11202242822954561</v>
      </c>
      <c r="T38" s="1">
        <f>(Main_L[[#This Row],[P/E]]-VLOOKUP(Main_L[[#This Row],[Industry]], Mean_PE_L, 2, FALSE))/(VLOOKUP(Main_L[[#This Row],[Industry]], Mean_PE_L, 3, FALSE))</f>
        <v>4.7881895742682623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9" spans="1:26" x14ac:dyDescent="0.25">
      <c r="A39" t="s">
        <v>135</v>
      </c>
      <c r="B39" t="s">
        <v>144</v>
      </c>
      <c r="C39" s="2">
        <v>18792</v>
      </c>
      <c r="D39">
        <f>RTD("tos.rtd", , "LAST", Main_L[[#This Row],[Symbol]])</f>
        <v>27.01</v>
      </c>
      <c r="E39">
        <v>0.89</v>
      </c>
      <c r="F39">
        <v>13.29</v>
      </c>
      <c r="G39">
        <v>0.49</v>
      </c>
      <c r="H39" s="1">
        <f>IF(ISNUMBER(Main_L[[#This Row],[Free CF]]),IF(Main_L[[#This Row],[Free CF]]&lt;&gt;0,Main_L[[#This Row],[Current Price]]/Main_L[[#This Row],[Free CF]],""),"")</f>
        <v>30.348314606741575</v>
      </c>
      <c r="I39" s="1">
        <f>IF(ISNUMBER(Main_L[[#This Row],[BVPS]]),IF(Main_L[[#This Row],[BVPS]]&lt;&gt;0,Main_L[[#This Row],[Current Price]]/Main_L[[#This Row],[BVPS]],""),"")</f>
        <v>2.032355154251317</v>
      </c>
      <c r="J39">
        <v>3.71</v>
      </c>
      <c r="K39">
        <v>2.4</v>
      </c>
      <c r="L39">
        <v>1.71</v>
      </c>
      <c r="M39" s="1">
        <f>IF(ISNUMBER(Main_L[[#This Row],[EPS]]),IF(Main_L[[#This Row],[EPS]]&lt;&gt;0,Main_L[[#This Row],[Current Price]]/Main_L[[#This Row],[EPS]],""),"")</f>
        <v>55.122448979591844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1.5276810237387519</v>
      </c>
      <c r="P39" s="1">
        <f>(Main_L[[#This Row],[P/B]]-VLOOKUP(Main_L[[#This Row],[Industry]], Mean_PB_L, 2, FALSE))/(VLOOKUP(Main_L[[#This Row],[Industry]], Mean_PB_L, 3, FALSE))</f>
        <v>-0.44770538375412405</v>
      </c>
      <c r="Q39" s="1">
        <f>(Main_L[[#This Row],[ROE]]-VLOOKUP(Main_L[[#This Row],[Industry]], Mean_ROE_L, 2, FALSE))/(VLOOKUP(Main_L[[#This Row],[Industry]], Mean_ROE_L, 3, FALSE))</f>
        <v>-0.54099877929488638</v>
      </c>
      <c r="R39" s="1">
        <f>(Main_L[[#This Row],[ROA]]-VLOOKUP(Main_L[[#This Row],[Industry]], Mean_ROA_L, 2, FALSE))/(VLOOKUP(Main_L[[#This Row],[Industry]], Mean_ROA_L, 3, FALSE))</f>
        <v>-1.0078659601791189</v>
      </c>
      <c r="S39" s="1">
        <f>(Main_L[[#This Row],[A/E]]-VLOOKUP(Main_L[[#This Row],[Industry]], Mean_AE_L, 2, FALSE))/(VLOOKUP(Main_L[[#This Row],[Industry]], Mean_AE_L, 3, FALSE))</f>
        <v>-0.3303808670120103</v>
      </c>
      <c r="T39" s="1">
        <f>(Main_L[[#This Row],[P/E]]-VLOOKUP(Main_L[[#This Row],[Industry]], Mean_PE_L, 2, FALSE))/(VLOOKUP(Main_L[[#This Row],[Industry]], Mean_PE_L, 3, FALSE))</f>
        <v>0.75202034654729799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t="s">
        <v>135</v>
      </c>
      <c r="B40" t="s">
        <v>137</v>
      </c>
      <c r="C40" s="2">
        <v>29124</v>
      </c>
      <c r="D40">
        <f>RTD("tos.rtd", , "LAST", Main_L[[#This Row],[Symbol]])</f>
        <v>101.22</v>
      </c>
      <c r="E40">
        <v>-3.43</v>
      </c>
      <c r="F40">
        <v>-2.37</v>
      </c>
      <c r="G40">
        <v>0.41</v>
      </c>
      <c r="H40" s="1">
        <f>IF(ISNUMBER(Main_L[[#This Row],[Free CF]]),IF(Main_L[[#This Row],[Free CF]]&lt;&gt;0,Main_L[[#This Row],[Current Price]]/Main_L[[#This Row],[Free CF]],""),"")</f>
        <v>-29.510204081632651</v>
      </c>
      <c r="I40" s="1">
        <f>IF(ISNUMBER(Main_L[[#This Row],[BVPS]]),IF(Main_L[[#This Row],[BVPS]]&lt;&gt;0,Main_L[[#This Row],[Current Price]]/Main_L[[#This Row],[BVPS]],""),"")</f>
        <v>-42.708860759493668</v>
      </c>
      <c r="J40">
        <v>-108.66</v>
      </c>
      <c r="K40">
        <v>4.16</v>
      </c>
      <c r="L40">
        <v>-27.72</v>
      </c>
      <c r="M40" s="1">
        <f>IF(ISNUMBER(Main_L[[#This Row],[EPS]]),IF(Main_L[[#This Row],[EPS]]&lt;&gt;0,Main_L[[#This Row],[Current Price]]/Main_L[[#This Row],[EPS]],""),"")</f>
        <v>246.87804878048783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-8.6947547265558303</v>
      </c>
      <c r="P40" s="1">
        <f>(Main_L[[#This Row],[P/B]]-VLOOKUP(Main_L[[#This Row],[Industry]], Mean_PB_L, 2, FALSE))/(VLOOKUP(Main_L[[#This Row],[Industry]], Mean_PB_L, 3, FALSE))</f>
        <v>-9.5032408422648995</v>
      </c>
      <c r="Q40" s="1">
        <f>(Main_L[[#This Row],[ROE]]-VLOOKUP(Main_L[[#This Row],[Industry]], Mean_ROE_L, 2, FALSE))/(VLOOKUP(Main_L[[#This Row],[Industry]], Mean_ROE_L, 3, FALSE))</f>
        <v>-7.9466335311126626</v>
      </c>
      <c r="R40" s="1">
        <f>(Main_L[[#This Row],[ROA]]-VLOOKUP(Main_L[[#This Row],[Industry]], Mean_ROA_L, 2, FALSE))/(VLOOKUP(Main_L[[#This Row],[Industry]], Mean_ROA_L, 3, FALSE))</f>
        <v>5.942891943294492E-2</v>
      </c>
      <c r="S40" s="1">
        <f>(Main_L[[#This Row],[A/E]]-VLOOKUP(Main_L[[#This Row],[Industry]], Mean_AE_L, 2, FALSE))/(VLOOKUP(Main_L[[#This Row],[Industry]], Mean_AE_L, 3, FALSE))</f>
        <v>-13.718482644861876</v>
      </c>
      <c r="T40" s="1">
        <f>(Main_L[[#This Row],[P/E]]-VLOOKUP(Main_L[[#This Row],[Industry]], Mean_PE_L, 2, FALSE))/(VLOOKUP(Main_L[[#This Row],[Industry]], Mean_PE_L, 3, FALSE))</f>
        <v>7.887237701111486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1" spans="1:26" x14ac:dyDescent="0.25">
      <c r="A41" t="s">
        <v>135</v>
      </c>
      <c r="B41" t="s">
        <v>142</v>
      </c>
      <c r="C41" s="2">
        <v>43698</v>
      </c>
      <c r="D41">
        <f>RTD("tos.rtd", , "LAST", Main_L[[#This Row],[Symbol]])</f>
        <v>99.02</v>
      </c>
      <c r="E41">
        <v>4.08</v>
      </c>
      <c r="F41">
        <v>-2.88</v>
      </c>
      <c r="G41">
        <v>-9.01</v>
      </c>
      <c r="H41" s="1">
        <f>IF(ISNUMBER(Main_L[[#This Row],[Free CF]]),IF(Main_L[[#This Row],[Free CF]]&lt;&gt;0,Main_L[[#This Row],[Current Price]]/Main_L[[#This Row],[Free CF]],""),"")</f>
        <v>24.269607843137255</v>
      </c>
      <c r="I41" s="1">
        <f>IF(ISNUMBER(Main_L[[#This Row],[BVPS]]),IF(Main_L[[#This Row],[BVPS]]&lt;&gt;0,Main_L[[#This Row],[Current Price]]/Main_L[[#This Row],[BVPS]],""),"")</f>
        <v>-34.381944444444443</v>
      </c>
      <c r="J41">
        <v>-163.21</v>
      </c>
      <c r="K41">
        <v>4.04</v>
      </c>
      <c r="L41">
        <v>-25.35</v>
      </c>
      <c r="M41" s="1">
        <f>IF(ISNUMBER(Main_L[[#This Row],[EPS]]),IF(Main_L[[#This Row],[EPS]]&lt;&gt;0,Main_L[[#This Row],[Current Price]]/Main_L[[#This Row],[EPS]],""),"")</f>
        <v>-10.990011098779133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0.4895800032419817</v>
      </c>
      <c r="P41" s="1">
        <f>(Main_L[[#This Row],[P/B]]-VLOOKUP(Main_L[[#This Row],[Industry]], Mean_PB_L, 2, FALSE))/(VLOOKUP(Main_L[[#This Row],[Industry]], Mean_PB_L, 3, FALSE))</f>
        <v>-7.8178891053708863</v>
      </c>
      <c r="Q41" s="1">
        <f>(Main_L[[#This Row],[ROE]]-VLOOKUP(Main_L[[#This Row],[Industry]], Mean_ROE_L, 2, FALSE))/(VLOOKUP(Main_L[[#This Row],[Industry]], Mean_ROE_L, 3, FALSE))</f>
        <v>-11.541697833966269</v>
      </c>
      <c r="R41" s="1">
        <f>(Main_L[[#This Row],[ROA]]-VLOOKUP(Main_L[[#This Row],[Industry]], Mean_ROA_L, 2, FALSE))/(VLOOKUP(Main_L[[#This Row],[Industry]], Mean_ROA_L, 3, FALSE))</f>
        <v>-1.3341185995150405E-2</v>
      </c>
      <c r="S41" s="1">
        <f>(Main_L[[#This Row],[A/E]]-VLOOKUP(Main_L[[#This Row],[Industry]], Mean_AE_L, 2, FALSE))/(VLOOKUP(Main_L[[#This Row],[Industry]], Mean_AE_L, 3, FALSE))</f>
        <v>-12.640337853373458</v>
      </c>
      <c r="T41" s="1">
        <f>(Main_L[[#This Row],[P/E]]-VLOOKUP(Main_L[[#This Row],[Industry]], Mean_PE_L, 2, FALSE))/(VLOOKUP(Main_L[[#This Row],[Industry]], Mean_PE_L, 3, FALSE))</f>
        <v>-1.708021357548587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60"/>
  <sheetViews>
    <sheetView topLeftCell="H1" workbookViewId="0">
      <selection activeCell="B24" sqref="B24"/>
    </sheetView>
  </sheetViews>
  <sheetFormatPr defaultRowHeight="15" x14ac:dyDescent="0.25"/>
  <cols>
    <col min="1" max="1" width="36.855468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9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8" t="s">
        <v>105</v>
      </c>
      <c r="B2" s="68" t="s">
        <v>155</v>
      </c>
      <c r="C2" s="2">
        <v>6419</v>
      </c>
      <c r="D2">
        <f>RTD("tos.rtd", , "LAST", Main_M[[#This Row],[Symbol]])</f>
        <v>33.049999999999997</v>
      </c>
      <c r="E2">
        <v>1.78</v>
      </c>
      <c r="F2">
        <v>19.32</v>
      </c>
      <c r="G2">
        <v>1.1599999999999999</v>
      </c>
      <c r="H2" s="1">
        <f>IF(ISNUMBER(Main_M[[#This Row],[Free CF]]),IF(Main_M[[#This Row],[Free CF]]&lt;&gt;0,Main_M[[#This Row],[Current Price]]/Main_M[[#This Row],[Free CF]],""),"")</f>
        <v>18.567415730337078</v>
      </c>
      <c r="I2" s="1">
        <f>IF(ISNUMBER(Main_M[[#This Row],[BVPS]]),IF(Main_M[[#This Row],[BVPS]]&lt;&gt;0,Main_M[[#This Row],[Current Price]]/Main_M[[#This Row],[BVPS]],""),"")</f>
        <v>1.7106625258799171</v>
      </c>
      <c r="J2">
        <v>6.02</v>
      </c>
      <c r="K2">
        <v>3.42</v>
      </c>
      <c r="L2">
        <v>1.59</v>
      </c>
      <c r="M2" s="1">
        <f>IF(ISNUMBER(Main_M[[#This Row],[EPS]]),IF(Main_M[[#This Row],[EPS]]&lt;&gt;0,Main_M[[#This Row],[Current Price]]/Main_M[[#This Row],[EPS]],""),"")</f>
        <v>28.491379310344826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4.044424347090561</v>
      </c>
      <c r="P2" s="1">
        <f>(Main_M[[#This Row],[P/B]]-VLOOKUP(Main_M[[#This Row],[Industry]], Mean_PB_M, 2, FALSE))/(VLOOKUP(Main_M[[#This Row],[Industry]], Mean_PB_M, 3, FALSE))</f>
        <v>1.3998795334939158</v>
      </c>
      <c r="Q2" s="1">
        <f>(Main_M[[#This Row],[ROE]]-VLOOKUP(Main_M[[#This Row],[Industry]], Mean_ROE_M, 2, FALSE))/(VLOOKUP(Main_M[[#This Row],[Industry]], Mean_ROE_M, 3, FALSE))</f>
        <v>0.85587570316943062</v>
      </c>
      <c r="R2" s="1">
        <f>(Main_M[[#This Row],[ROA]]-VLOOKUP(Main_M[[#This Row],[Industry]], Mean_ROA_M, 2, FALSE))/(VLOOKUP(Main_M[[#This Row],[Industry]], Mean_ROA_M, 3, FALSE))</f>
        <v>1.3752187097157995</v>
      </c>
      <c r="S2" s="1">
        <f>(Main_M[[#This Row],[A/E]]-VLOOKUP(Main_M[[#This Row],[Industry]], Mean_AE_M, 2, FALSE))/(VLOOKUP(Main_M[[#This Row],[Industry]], Mean_AE_M, 3, FALSE))</f>
        <v>-1.216226399101237</v>
      </c>
      <c r="T2" s="1">
        <f>(Main_M[[#This Row],[P/E]]-VLOOKUP(Main_M[[#This Row],[Industry]], Mean_PE_M, 2, FALSE))/(VLOOKUP(Main_M[[#This Row],[Industry]], Mean_PE_M, 3, FALSE))</f>
        <v>1.4063936499326049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s="68" t="s">
        <v>105</v>
      </c>
      <c r="B3" s="68" t="s">
        <v>154</v>
      </c>
      <c r="C3" s="2">
        <v>3008</v>
      </c>
      <c r="D3">
        <f>RTD("tos.rtd", , "LAST", Main_M[[#This Row],[Symbol]])</f>
        <v>16.309999999999999</v>
      </c>
      <c r="E3">
        <v>1.33</v>
      </c>
      <c r="F3">
        <v>15.6</v>
      </c>
      <c r="G3">
        <v>0.6</v>
      </c>
      <c r="H3" s="1">
        <f>IF(ISNUMBER(Main_M[[#This Row],[Free CF]]),IF(Main_M[[#This Row],[Free CF]]&lt;&gt;0,Main_M[[#This Row],[Current Price]]/Main_M[[#This Row],[Free CF]],""),"")</f>
        <v>12.263157894736841</v>
      </c>
      <c r="I3" s="1">
        <f>IF(ISNUMBER(Main_M[[#This Row],[BVPS]]),IF(Main_M[[#This Row],[BVPS]]&lt;&gt;0,Main_M[[#This Row],[Current Price]]/Main_M[[#This Row],[BVPS]],""),"")</f>
        <v>1.0455128205128204</v>
      </c>
      <c r="J3">
        <v>3.76</v>
      </c>
      <c r="K3">
        <v>2.58</v>
      </c>
      <c r="L3">
        <v>1.78</v>
      </c>
      <c r="M3" s="1">
        <f>IF(ISNUMBER(Main_M[[#This Row],[EPS]]),IF(Main_M[[#This Row],[EPS]]&lt;&gt;0,Main_M[[#This Row],[Current Price]]/Main_M[[#This Row],[EPS]],""),"")</f>
        <v>27.183333333333334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0.61440574674196657</v>
      </c>
      <c r="P3" s="1">
        <f>(Main_M[[#This Row],[P/B]]-VLOOKUP(Main_M[[#This Row],[Industry]], Mean_PB_M, 2, FALSE))/(VLOOKUP(Main_M[[#This Row],[Industry]], Mean_PB_M, 3, FALSE))</f>
        <v>0.3410392683850399</v>
      </c>
      <c r="Q3" s="1">
        <f>(Main_M[[#This Row],[ROE]]-VLOOKUP(Main_M[[#This Row],[Industry]], Mean_ROE_M, 2, FALSE))/(VLOOKUP(Main_M[[#This Row],[Industry]], Mean_ROE_M, 3, FALSE))</f>
        <v>0.27413763124073498</v>
      </c>
      <c r="R3" s="1">
        <f>(Main_M[[#This Row],[ROA]]-VLOOKUP(Main_M[[#This Row],[Industry]], Mean_ROA_M, 2, FALSE))/(VLOOKUP(Main_M[[#This Row],[Industry]], Mean_ROA_M, 3, FALSE))</f>
        <v>-0.40198700745538751</v>
      </c>
      <c r="S3" s="1">
        <f>(Main_M[[#This Row],[A/E]]-VLOOKUP(Main_M[[#This Row],[Industry]], Mean_AE_M, 2, FALSE))/(VLOOKUP(Main_M[[#This Row],[Industry]], Mean_AE_M, 3, FALSE))</f>
        <v>-0.5365704701917221</v>
      </c>
      <c r="T3" s="1">
        <f>(Main_M[[#This Row],[P/E]]-VLOOKUP(Main_M[[#This Row],[Industry]], Mean_PE_M, 2, FALSE))/(VLOOKUP(Main_M[[#This Row],[Industry]], Mean_PE_M, 3, FALSE))</f>
        <v>-0.83181515986686705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s="68" t="s">
        <v>105</v>
      </c>
      <c r="B4" s="68" t="s">
        <v>210</v>
      </c>
      <c r="C4" s="2">
        <v>2055</v>
      </c>
      <c r="D4">
        <f>RTD("tos.rtd", , "LAST", Main_M[[#This Row],[Symbol]])</f>
        <v>8.2001000000000008</v>
      </c>
      <c r="E4">
        <v>0.96</v>
      </c>
      <c r="F4">
        <v>15867.55</v>
      </c>
      <c r="G4">
        <v>0.3</v>
      </c>
      <c r="H4" s="1">
        <f>IF(ISNUMBER(Main_M[[#This Row],[Free CF]]),IF(Main_M[[#This Row],[Free CF]]&lt;&gt;0,Main_M[[#This Row],[Current Price]]/Main_M[[#This Row],[Free CF]],""),"")</f>
        <v>8.5417708333333344</v>
      </c>
      <c r="I4" s="1">
        <f>IF(ISNUMBER(Main_M[[#This Row],[BVPS]]),IF(Main_M[[#This Row],[BVPS]]&lt;&gt;0,Main_M[[#This Row],[Current Price]]/Main_M[[#This Row],[BVPS]],""),"")</f>
        <v>5.1678425465809155E-4</v>
      </c>
      <c r="J4">
        <v>4.8899999999999997</v>
      </c>
      <c r="K4">
        <v>2.31</v>
      </c>
      <c r="L4">
        <v>2.34</v>
      </c>
      <c r="M4" s="1">
        <f>IF(ISNUMBER(Main_M[[#This Row],[EPS]]),IF(Main_M[[#This Row],[EPS]]&lt;&gt;0,Main_M[[#This Row],[Current Price]]/Main_M[[#This Row],[EPS]],""),"")</f>
        <v>27.333666666666669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-1.4103253433523686</v>
      </c>
      <c r="P4" s="1">
        <f>(Main_M[[#This Row],[P/B]]-VLOOKUP(Main_M[[#This Row],[Industry]], Mean_PB_M, 2, FALSE))/(VLOOKUP(Main_M[[#This Row],[Industry]], Mean_PB_M, 3, FALSE))</f>
        <v>-1.3224717745291978</v>
      </c>
      <c r="Q4" s="1">
        <f>(Main_M[[#This Row],[ROE]]-VLOOKUP(Main_M[[#This Row],[Industry]], Mean_ROE_M, 2, FALSE))/(VLOOKUP(Main_M[[#This Row],[Industry]], Mean_ROE_M, 3, FALSE))</f>
        <v>0.56500666720508275</v>
      </c>
      <c r="R4" s="1">
        <f>(Main_M[[#This Row],[ROA]]-VLOOKUP(Main_M[[#This Row],[Industry]], Mean_ROA_M, 2, FALSE))/(VLOOKUP(Main_M[[#This Row],[Industry]], Mean_ROA_M, 3, FALSE))</f>
        <v>-0.973231702260412</v>
      </c>
      <c r="S4" s="1">
        <f>(Main_M[[#This Row],[A/E]]-VLOOKUP(Main_M[[#This Row],[Industry]], Mean_AE_M, 2, FALSE))/(VLOOKUP(Main_M[[#This Row],[Industry]], Mean_AE_M, 3, FALSE))</f>
        <v>1.4666259518573743</v>
      </c>
      <c r="T4" s="1">
        <f>(Main_M[[#This Row],[P/E]]-VLOOKUP(Main_M[[#This Row],[Industry]], Mean_PE_M, 2, FALSE))/(VLOOKUP(Main_M[[#This Row],[Industry]], Mean_PE_M, 3, FALSE))</f>
        <v>-0.5745784900657438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s="68" t="s">
        <v>105</v>
      </c>
      <c r="B5" s="68" t="s">
        <v>295</v>
      </c>
      <c r="C5" s="2">
        <v>2001</v>
      </c>
      <c r="D5">
        <f>RTD("tos.rtd", , "LAST", Main_M[[#This Row],[Symbol]])</f>
        <v>7.81</v>
      </c>
      <c r="E5">
        <v>0.62</v>
      </c>
      <c r="F5">
        <v>13.74</v>
      </c>
      <c r="G5">
        <v>-0.54</v>
      </c>
      <c r="H5" s="1">
        <f>IF(ISNUMBER(Main_M[[#This Row],[Free CF]]),IF(Main_M[[#This Row],[Free CF]]&lt;&gt;0,Main_M[[#This Row],[Current Price]]/Main_M[[#This Row],[Free CF]],""),"")</f>
        <v>12.596774193548386</v>
      </c>
      <c r="I5" s="1">
        <f>IF(ISNUMBER(Main_M[[#This Row],[BVPS]]),IF(Main_M[[#This Row],[BVPS]]&lt;&gt;0,Main_M[[#This Row],[Current Price]]/Main_M[[#This Row],[BVPS]],""),"")</f>
        <v>0.56841339155749637</v>
      </c>
      <c r="J5">
        <v>-3.89</v>
      </c>
      <c r="K5">
        <v>3.21</v>
      </c>
      <c r="L5">
        <v>2.0099999999999998</v>
      </c>
      <c r="M5" s="1">
        <f>IF(ISNUMBER(Main_M[[#This Row],[EPS]]),IF(Main_M[[#This Row],[EPS]]&lt;&gt;0,Main_M[[#This Row],[Current Price]]/Main_M[[#This Row],[EPS]],""),"")</f>
        <v>-14.462962962962962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0.79591959661040301</v>
      </c>
      <c r="P5" s="1">
        <f>(Main_M[[#This Row],[P/B]]-VLOOKUP(Main_M[[#This Row],[Industry]], Mean_PB_M, 2, FALSE))/(VLOOKUP(Main_M[[#This Row],[Industry]], Mean_PB_M, 3, FALSE))</f>
        <v>-0.41844702734975803</v>
      </c>
      <c r="Q5" s="1">
        <f>(Main_M[[#This Row],[ROE]]-VLOOKUP(Main_M[[#This Row],[Industry]], Mean_ROE_M, 2, FALSE))/(VLOOKUP(Main_M[[#This Row],[Industry]], Mean_ROE_M, 3, FALSE))</f>
        <v>-1.6950200016152479</v>
      </c>
      <c r="R5" s="1">
        <f>(Main_M[[#This Row],[ROA]]-VLOOKUP(Main_M[[#This Row],[Industry]], Mean_ROA_M, 2, FALSE))/(VLOOKUP(Main_M[[#This Row],[Industry]], Mean_ROA_M, 3, FALSE))</f>
        <v>0.9309172804230027</v>
      </c>
      <c r="S5" s="1">
        <f>(Main_M[[#This Row],[A/E]]-VLOOKUP(Main_M[[#This Row],[Industry]], Mean_AE_M, 2, FALSE))/(VLOOKUP(Main_M[[#This Row],[Industry]], Mean_AE_M, 3, FALSE))</f>
        <v>0.2861709174355847</v>
      </c>
      <c r="T5" s="1">
        <f>(Main_M[[#This Row],[P/E]]-VLOOKUP(Main_M[[#This Row],[Industry]], Mean_PE_M, 2, FALSE))/(VLOOKUP(Main_M[[#This Row],[Industry]], Mean_PE_M, 3, FALSE))</f>
        <v>-72.0931537550549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" spans="1:26" x14ac:dyDescent="0.25">
      <c r="A6" s="68" t="s">
        <v>114</v>
      </c>
      <c r="B6" s="68" t="s">
        <v>176</v>
      </c>
      <c r="C6" s="2">
        <v>3386</v>
      </c>
      <c r="D6">
        <f>RTD("tos.rtd", , "LAST", Main_M[[#This Row],[Symbol]])</f>
        <v>71.78</v>
      </c>
      <c r="E6">
        <v>4.71</v>
      </c>
      <c r="F6">
        <v>30.55</v>
      </c>
      <c r="G6">
        <v>3.16</v>
      </c>
      <c r="H6" s="1">
        <f>IF(ISNUMBER(Main_M[[#This Row],[Free CF]]),IF(Main_M[[#This Row],[Free CF]]&lt;&gt;0,Main_M[[#This Row],[Current Price]]/Main_M[[#This Row],[Free CF]],""),"")</f>
        <v>15.239915074309978</v>
      </c>
      <c r="I6" s="1">
        <f>IF(ISNUMBER(Main_M[[#This Row],[BVPS]]),IF(Main_M[[#This Row],[BVPS]]&lt;&gt;0,Main_M[[#This Row],[Current Price]]/Main_M[[#This Row],[BVPS]],""),"")</f>
        <v>2.3495908346972176</v>
      </c>
      <c r="J6">
        <v>10.31</v>
      </c>
      <c r="K6">
        <v>4.5599999999999996</v>
      </c>
      <c r="L6">
        <v>1.95</v>
      </c>
      <c r="M6" s="1">
        <f>IF(ISNUMBER(Main_M[[#This Row],[EPS]]),IF(Main_M[[#This Row],[EPS]]&lt;&gt;0,Main_M[[#This Row],[Current Price]]/Main_M[[#This Row],[EPS]],""),"")</f>
        <v>22.715189873417721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-0.67751175414808429</v>
      </c>
      <c r="P6" s="1">
        <f>(Main_M[[#This Row],[P/B]]-VLOOKUP(Main_M[[#This Row],[Industry]], Mean_PB_M, 2, FALSE))/(VLOOKUP(Main_M[[#This Row],[Industry]], Mean_PB_M, 3, FALSE))</f>
        <v>1.0479022784075551</v>
      </c>
      <c r="Q6" s="1">
        <f>(Main_M[[#This Row],[ROE]]-VLOOKUP(Main_M[[#This Row],[Industry]], Mean_ROE_M, 2, FALSE))/(VLOOKUP(Main_M[[#This Row],[Industry]], Mean_ROE_M, 3, FALSE))</f>
        <v>0.98014119434694458</v>
      </c>
      <c r="R6" s="1">
        <f>(Main_M[[#This Row],[ROA]]-VLOOKUP(Main_M[[#This Row],[Industry]], Mean_ROA_M, 2, FALSE))/(VLOOKUP(Main_M[[#This Row],[Industry]], Mean_ROA_M, 3, FALSE))</f>
        <v>1.0544500240622323</v>
      </c>
      <c r="S6" s="1">
        <f>(Main_M[[#This Row],[A/E]]-VLOOKUP(Main_M[[#This Row],[Industry]], Mean_AE_M, 2, FALSE))/(VLOOKUP(Main_M[[#This Row],[Industry]], Mean_AE_M, 3, FALSE))</f>
        <v>-0.6291140940445491</v>
      </c>
      <c r="T6" s="1">
        <f>(Main_M[[#This Row],[P/E]]-VLOOKUP(Main_M[[#This Row],[Industry]], Mean_PE_M, 2, FALSE))/(VLOOKUP(Main_M[[#This Row],[Industry]], Mean_PE_M, 3, FALSE))</f>
        <v>0.51753318943747828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s="68" t="s">
        <v>114</v>
      </c>
      <c r="B7" s="68" t="s">
        <v>173</v>
      </c>
      <c r="C7" s="2">
        <v>5513</v>
      </c>
      <c r="D7">
        <f>RTD("tos.rtd", , "LAST", Main_M[[#This Row],[Symbol]])</f>
        <v>28.7</v>
      </c>
      <c r="E7">
        <v>1.53</v>
      </c>
      <c r="F7">
        <v>15.6</v>
      </c>
      <c r="G7">
        <v>0.95</v>
      </c>
      <c r="H7" s="1">
        <f>IF(ISNUMBER(Main_M[[#This Row],[Free CF]]),IF(Main_M[[#This Row],[Free CF]]&lt;&gt;0,Main_M[[#This Row],[Current Price]]/Main_M[[#This Row],[Free CF]],""),"")</f>
        <v>18.758169934640524</v>
      </c>
      <c r="I7" s="1">
        <f>IF(ISNUMBER(Main_M[[#This Row],[BVPS]]),IF(Main_M[[#This Row],[BVPS]]&lt;&gt;0,Main_M[[#This Row],[Current Price]]/Main_M[[#This Row],[BVPS]],""),"")</f>
        <v>1.8397435897435896</v>
      </c>
      <c r="J7">
        <v>6.96</v>
      </c>
      <c r="K7">
        <v>4.4000000000000004</v>
      </c>
      <c r="L7">
        <v>1.33</v>
      </c>
      <c r="M7" s="1">
        <f>IF(ISNUMBER(Main_M[[#This Row],[EPS]]),IF(Main_M[[#This Row],[EPS]]&lt;&gt;0,Main_M[[#This Row],[Current Price]]/Main_M[[#This Row],[EPS]],""),"")</f>
        <v>30.210526315789476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-0.19207409626878652</v>
      </c>
      <c r="P7" s="1">
        <f>(Main_M[[#This Row],[P/B]]-VLOOKUP(Main_M[[#This Row],[Industry]], Mean_PB_M, 2, FALSE))/(VLOOKUP(Main_M[[#This Row],[Industry]], Mean_PB_M, 3, FALSE))</f>
        <v>0.30147538427270654</v>
      </c>
      <c r="Q7" s="1">
        <f>(Main_M[[#This Row],[ROE]]-VLOOKUP(Main_M[[#This Row],[Industry]], Mean_ROE_M, 2, FALSE))/(VLOOKUP(Main_M[[#This Row],[Industry]], Mean_ROE_M, 3, FALSE))</f>
        <v>0.72351962333777975</v>
      </c>
      <c r="R7" s="1">
        <f>(Main_M[[#This Row],[ROA]]-VLOOKUP(Main_M[[#This Row],[Industry]], Mean_ROA_M, 2, FALSE))/(VLOOKUP(Main_M[[#This Row],[Industry]], Mean_ROA_M, 3, FALSE))</f>
        <v>0.95601828319294613</v>
      </c>
      <c r="S7" s="1">
        <f>(Main_M[[#This Row],[A/E]]-VLOOKUP(Main_M[[#This Row],[Industry]], Mean_AE_M, 2, FALSE))/(VLOOKUP(Main_M[[#This Row],[Industry]], Mean_AE_M, 3, FALSE))</f>
        <v>-12.63067527274057</v>
      </c>
      <c r="T7" s="1">
        <f>(Main_M[[#This Row],[P/E]]-VLOOKUP(Main_M[[#This Row],[Industry]], Mean_PE_M, 2, FALSE))/(VLOOKUP(Main_M[[#This Row],[Industry]], Mean_PE_M, 3, FALSE))</f>
        <v>0.94179806859162629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s="68" t="s">
        <v>114</v>
      </c>
      <c r="B8" s="68" t="s">
        <v>177</v>
      </c>
      <c r="C8" s="2">
        <v>4159</v>
      </c>
      <c r="D8">
        <f>RTD("tos.rtd", , "LAST", Main_M[[#This Row],[Symbol]])</f>
        <v>17.79</v>
      </c>
      <c r="E8">
        <v>1.44</v>
      </c>
      <c r="F8">
        <v>11.36</v>
      </c>
      <c r="G8">
        <v>0.6</v>
      </c>
      <c r="H8" s="1">
        <f>IF(ISNUMBER(Main_M[[#This Row],[Free CF]]),IF(Main_M[[#This Row],[Free CF]]&lt;&gt;0,Main_M[[#This Row],[Current Price]]/Main_M[[#This Row],[Free CF]],""),"")</f>
        <v>12.354166666666666</v>
      </c>
      <c r="I8" s="1">
        <f>IF(ISNUMBER(Main_M[[#This Row],[BVPS]]),IF(Main_M[[#This Row],[BVPS]]&lt;&gt;0,Main_M[[#This Row],[Current Price]]/Main_M[[#This Row],[BVPS]],""),"")</f>
        <v>1.5660211267605635</v>
      </c>
      <c r="J8">
        <v>5.15</v>
      </c>
      <c r="K8">
        <v>3.14</v>
      </c>
      <c r="L8">
        <v>1.94</v>
      </c>
      <c r="M8" s="1">
        <f>IF(ISNUMBER(Main_M[[#This Row],[EPS]]),IF(Main_M[[#This Row],[EPS]]&lt;&gt;0,Main_M[[#This Row],[Current Price]]/Main_M[[#This Row],[EPS]],""),"")</f>
        <v>29.65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-1.0756781758108034</v>
      </c>
      <c r="P8" s="1">
        <f>(Main_M[[#This Row],[P/B]]-VLOOKUP(Main_M[[#This Row],[Industry]], Mean_PB_M, 2, FALSE))/(VLOOKUP(Main_M[[#This Row],[Industry]], Mean_PB_M, 3, FALSE))</f>
        <v>-9.92599534615283E-2</v>
      </c>
      <c r="Q8" s="1">
        <f>(Main_M[[#This Row],[ROE]]-VLOOKUP(Main_M[[#This Row],[Industry]], Mean_ROE_M, 2, FALSE))/(VLOOKUP(Main_M[[#This Row],[Industry]], Mean_ROE_M, 3, FALSE))</f>
        <v>0.58486737153879809</v>
      </c>
      <c r="R8" s="1">
        <f>(Main_M[[#This Row],[ROA]]-VLOOKUP(Main_M[[#This Row],[Industry]], Mean_ROA_M, 2, FALSE))/(VLOOKUP(Main_M[[#This Row],[Industry]], Mean_ROA_M, 3, FALSE))</f>
        <v>0.18086832384731388</v>
      </c>
      <c r="S8" s="1">
        <f>(Main_M[[#This Row],[A/E]]-VLOOKUP(Main_M[[#This Row],[Industry]], Mean_AE_M, 2, FALSE))/(VLOOKUP(Main_M[[#This Row],[Industry]], Mean_AE_M, 3, FALSE))</f>
        <v>-0.8226876614428722</v>
      </c>
      <c r="T8" s="1">
        <f>(Main_M[[#This Row],[P/E]]-VLOOKUP(Main_M[[#This Row],[Industry]], Mean_PE_M, 2, FALSE))/(VLOOKUP(Main_M[[#This Row],[Industry]], Mean_PE_M, 3, FALSE))</f>
        <v>0.91007012262688303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s="68" t="s">
        <v>114</v>
      </c>
      <c r="B9" s="68" t="s">
        <v>172</v>
      </c>
      <c r="C9" s="2">
        <v>5573</v>
      </c>
      <c r="D9">
        <f>RTD("tos.rtd", , "LAST", Main_M[[#This Row],[Symbol]])</f>
        <v>35.200000000000003</v>
      </c>
      <c r="E9">
        <v>1.05</v>
      </c>
      <c r="F9">
        <v>14.22</v>
      </c>
      <c r="G9">
        <v>-0.28000000000000003</v>
      </c>
      <c r="H9" s="1">
        <f>IF(ISNUMBER(Main_M[[#This Row],[Free CF]]),IF(Main_M[[#This Row],[Free CF]]&lt;&gt;0,Main_M[[#This Row],[Current Price]]/Main_M[[#This Row],[Free CF]],""),"")</f>
        <v>33.523809523809526</v>
      </c>
      <c r="I9" s="1">
        <f>IF(ISNUMBER(Main_M[[#This Row],[BVPS]]),IF(Main_M[[#This Row],[BVPS]]&lt;&gt;0,Main_M[[#This Row],[Current Price]]/Main_M[[#This Row],[BVPS]],""),"")</f>
        <v>2.4753867791842477</v>
      </c>
      <c r="J9">
        <v>-1.77</v>
      </c>
      <c r="K9">
        <v>1.91</v>
      </c>
      <c r="L9">
        <v>1.97</v>
      </c>
      <c r="M9" s="1">
        <f>IF(ISNUMBER(Main_M[[#This Row],[EPS]]),IF(Main_M[[#This Row],[EPS]]&lt;&gt;0,Main_M[[#This Row],[Current Price]]/Main_M[[#This Row],[EPS]],""),"")</f>
        <v>-125.71428571428571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1.8452420686501503</v>
      </c>
      <c r="P9" s="1">
        <f>(Main_M[[#This Row],[P/B]]-VLOOKUP(Main_M[[#This Row],[Industry]], Mean_PB_M, 2, FALSE))/(VLOOKUP(Main_M[[#This Row],[Industry]], Mean_PB_M, 3, FALSE))</f>
        <v>1.2320701386197916</v>
      </c>
      <c r="Q9" s="1">
        <f>(Main_M[[#This Row],[ROE]]-VLOOKUP(Main_M[[#This Row],[Industry]], Mean_ROE_M, 2, FALSE))/(VLOOKUP(Main_M[[#This Row],[Industry]], Mean_ROE_M, 3, FALSE))</f>
        <v>5.4771469633299354E-2</v>
      </c>
      <c r="R9" s="1">
        <f>(Main_M[[#This Row],[ROA]]-VLOOKUP(Main_M[[#This Row],[Industry]], Mean_ROA_M, 2, FALSE))/(VLOOKUP(Main_M[[#This Row],[Industry]], Mean_ROA_M, 3, FALSE))</f>
        <v>-0.57582568408532708</v>
      </c>
      <c r="S9" s="1">
        <f>(Main_M[[#This Row],[A/E]]-VLOOKUP(Main_M[[#This Row],[Industry]], Mean_AE_M, 2, FALSE))/(VLOOKUP(Main_M[[#This Row],[Industry]], Mean_AE_M, 3, FALSE))</f>
        <v>-0.24196695924790282</v>
      </c>
      <c r="T9" s="1">
        <f>(Main_M[[#This Row],[P/E]]-VLOOKUP(Main_M[[#This Row],[Industry]], Mean_PE_M, 2, FALSE))/(VLOOKUP(Main_M[[#This Row],[Industry]], Mean_PE_M, 3, FALSE))</f>
        <v>-7.8841461757657507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" spans="1:26" x14ac:dyDescent="0.25">
      <c r="A10" s="68" t="s">
        <v>114</v>
      </c>
      <c r="B10" s="68" t="s">
        <v>174</v>
      </c>
      <c r="C10" s="2">
        <v>5096</v>
      </c>
      <c r="D10">
        <f>RTD("tos.rtd", , "LAST", Main_M[[#This Row],[Symbol]])</f>
        <v>14.52</v>
      </c>
      <c r="E10">
        <v>0.56999999999999995</v>
      </c>
      <c r="F10">
        <v>14.47</v>
      </c>
      <c r="G10">
        <v>-1.1100000000000001</v>
      </c>
      <c r="H10" s="1">
        <f>IF(ISNUMBER(Main_M[[#This Row],[Free CF]]),IF(Main_M[[#This Row],[Free CF]]&lt;&gt;0,Main_M[[#This Row],[Current Price]]/Main_M[[#This Row],[Free CF]],""),"")</f>
        <v>25.473684210526319</v>
      </c>
      <c r="I10" s="1">
        <f>IF(ISNUMBER(Main_M[[#This Row],[BVPS]]),IF(Main_M[[#This Row],[BVPS]]&lt;&gt;0,Main_M[[#This Row],[Current Price]]/Main_M[[#This Row],[BVPS]],""),"")</f>
        <v>1.0034554250172771</v>
      </c>
      <c r="J10">
        <v>-6.76</v>
      </c>
      <c r="K10">
        <v>0.22</v>
      </c>
      <c r="L10">
        <v>2.0699999999999998</v>
      </c>
      <c r="M10" s="1">
        <f>IF(ISNUMBER(Main_M[[#This Row],[EPS]]),IF(Main_M[[#This Row],[EPS]]&lt;&gt;0,Main_M[[#This Row],[Current Price]]/Main_M[[#This Row],[EPS]],""),"")</f>
        <v>-13.081081081081079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0.73451128510824937</v>
      </c>
      <c r="P10" s="1">
        <f>(Main_M[[#This Row],[P/B]]-VLOOKUP(Main_M[[#This Row],[Industry]], Mean_PB_M, 2, FALSE))/(VLOOKUP(Main_M[[#This Row],[Industry]], Mean_PB_M, 3, FALSE))</f>
        <v>-0.92286775688748413</v>
      </c>
      <c r="Q10" s="1">
        <f>(Main_M[[#This Row],[ROE]]-VLOOKUP(Main_M[[#This Row],[Industry]], Mean_ROE_M, 2, FALSE))/(VLOOKUP(Main_M[[#This Row],[Industry]], Mean_ROE_M, 3, FALSE))</f>
        <v>-0.32747976598930745</v>
      </c>
      <c r="R10" s="1">
        <f>(Main_M[[#This Row],[ROA]]-VLOOKUP(Main_M[[#This Row],[Industry]], Mean_ROA_M, 2, FALSE))/(VLOOKUP(Main_M[[#This Row],[Industry]], Mean_ROA_M, 3, FALSE))</f>
        <v>-1.6155109470171667</v>
      </c>
      <c r="S10" s="1">
        <f>(Main_M[[#This Row],[A/E]]-VLOOKUP(Main_M[[#This Row],[Industry]], Mean_AE_M, 2, FALSE))/(VLOOKUP(Main_M[[#This Row],[Industry]], Mean_AE_M, 3, FALSE))</f>
        <v>1.693768714735324</v>
      </c>
      <c r="T10" s="1">
        <f>(Main_M[[#This Row],[P/E]]-VLOOKUP(Main_M[[#This Row],[Industry]], Mean_PE_M, 2, FALSE))/(VLOOKUP(Main_M[[#This Row],[Industry]], Mean_PE_M, 3, FALSE))</f>
        <v>-1.5086734641859183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s="68" t="s">
        <v>114</v>
      </c>
      <c r="B11" s="68" t="s">
        <v>175</v>
      </c>
      <c r="C11" s="2">
        <v>2746</v>
      </c>
      <c r="D11">
        <f>RTD("tos.rtd", , "LAST", Main_M[[#This Row],[Symbol]])</f>
        <v>4.51</v>
      </c>
      <c r="E11">
        <v>0.28999999999999998</v>
      </c>
      <c r="F11">
        <v>7.93</v>
      </c>
      <c r="G11">
        <v>-2.76</v>
      </c>
      <c r="H11" s="1">
        <f>IF(ISNUMBER(Main_M[[#This Row],[Free CF]]),IF(Main_M[[#This Row],[Free CF]]&lt;&gt;0,Main_M[[#This Row],[Current Price]]/Main_M[[#This Row],[Free CF]],""),"")</f>
        <v>15.551724137931036</v>
      </c>
      <c r="I11" s="1">
        <f>IF(ISNUMBER(Main_M[[#This Row],[BVPS]]),IF(Main_M[[#This Row],[BVPS]]&lt;&gt;0,Main_M[[#This Row],[Current Price]]/Main_M[[#This Row],[BVPS]],""),"")</f>
        <v>0.56872635561160145</v>
      </c>
      <c r="J11">
        <v>-28.8</v>
      </c>
      <c r="K11">
        <v>1.5</v>
      </c>
      <c r="L11">
        <v>3.12</v>
      </c>
      <c r="M11" s="1">
        <f>IF(ISNUMBER(Main_M[[#This Row],[EPS]]),IF(Main_M[[#This Row],[EPS]]&lt;&gt;0,Main_M[[#This Row],[Current Price]]/Main_M[[#This Row],[EPS]],""),"")</f>
        <v>-1.6340579710144929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-0.63448932753072373</v>
      </c>
      <c r="P11" s="1">
        <f>(Main_M[[#This Row],[P/B]]-VLOOKUP(Main_M[[#This Row],[Industry]], Mean_PB_M, 2, FALSE))/(VLOOKUP(Main_M[[#This Row],[Industry]], Mean_PB_M, 3, FALSE))</f>
        <v>-1.5593200909510427</v>
      </c>
      <c r="Q11" s="1">
        <f>(Main_M[[#This Row],[ROE]]-VLOOKUP(Main_M[[#This Row],[Industry]], Mean_ROE_M, 2, FALSE))/(VLOOKUP(Main_M[[#This Row],[Industry]], Mean_ROE_M, 3, FALSE))</f>
        <v>-2.0158198928675146</v>
      </c>
      <c r="R11" s="1">
        <f>(Main_M[[#This Row],[ROA]]-VLOOKUP(Main_M[[#This Row],[Industry]], Mean_ROA_M, 2, FALSE))/(VLOOKUP(Main_M[[#This Row],[Industry]], Mean_ROA_M, 3, FALSE))</f>
        <v>-0.82805702006287396</v>
      </c>
      <c r="S11" s="1">
        <f>(Main_M[[#This Row],[A/E]]-VLOOKUP(Main_M[[#This Row],[Industry]], Mean_AE_M, 2, FALSE))/(VLOOKUP(Main_M[[#This Row],[Industry]], Mean_AE_M, 3, FALSE))</f>
        <v>22.018993291559237</v>
      </c>
      <c r="T11" s="1">
        <f>(Main_M[[#This Row],[P/E]]-VLOOKUP(Main_M[[#This Row],[Industry]], Mean_PE_M, 2, FALSE))/(VLOOKUP(Main_M[[#This Row],[Industry]], Mean_PE_M, 3, FALSE))</f>
        <v>-0.86072791647006819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s="68" t="s">
        <v>110</v>
      </c>
      <c r="B12" s="68" t="s">
        <v>164</v>
      </c>
      <c r="C12" s="2">
        <v>6117</v>
      </c>
      <c r="D12">
        <f>RTD("tos.rtd", , "LAST", Main_M[[#This Row],[Symbol]])</f>
        <v>98.13</v>
      </c>
      <c r="E12">
        <v>11.14</v>
      </c>
      <c r="F12">
        <v>8.9600000000000009</v>
      </c>
      <c r="G12">
        <v>4.7</v>
      </c>
      <c r="H12" s="1">
        <f>IF(ISNUMBER(Main_M[[#This Row],[Free CF]]),IF(Main_M[[#This Row],[Free CF]]&lt;&gt;0,Main_M[[#This Row],[Current Price]]/Main_M[[#This Row],[Free CF]],""),"")</f>
        <v>8.8087971274685817</v>
      </c>
      <c r="I12" s="1">
        <f>IF(ISNUMBER(Main_M[[#This Row],[BVPS]]),IF(Main_M[[#This Row],[BVPS]]&lt;&gt;0,Main_M[[#This Row],[Current Price]]/Main_M[[#This Row],[BVPS]],""),"")</f>
        <v>10.952008928571427</v>
      </c>
      <c r="J12">
        <v>32.49</v>
      </c>
      <c r="K12">
        <v>6.17</v>
      </c>
      <c r="L12">
        <v>9.86</v>
      </c>
      <c r="M12" s="1">
        <f>IF(ISNUMBER(Main_M[[#This Row],[EPS]]),IF(Main_M[[#This Row],[EPS]]&lt;&gt;0,Main_M[[#This Row],[Current Price]]/Main_M[[#This Row],[EPS]],""),"")</f>
        <v>20.878723404255318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1.1901552980067536</v>
      </c>
      <c r="P12" s="1">
        <f>(Main_M[[#This Row],[P/B]]-VLOOKUP(Main_M[[#This Row],[Industry]], Mean_PB_M, 2, FALSE))/(VLOOKUP(Main_M[[#This Row],[Industry]], Mean_PB_M, 3, FALSE))</f>
        <v>1.4138250040830795</v>
      </c>
      <c r="Q12" s="1">
        <f>(Main_M[[#This Row],[ROE]]-VLOOKUP(Main_M[[#This Row],[Industry]], Mean_ROE_M, 2, FALSE))/(VLOOKUP(Main_M[[#This Row],[Industry]], Mean_ROE_M, 3, FALSE))</f>
        <v>1.4116044114237176</v>
      </c>
      <c r="R12" s="1">
        <f>(Main_M[[#This Row],[ROA]]-VLOOKUP(Main_M[[#This Row],[Industry]], Mean_ROA_M, 2, FALSE))/(VLOOKUP(Main_M[[#This Row],[Industry]], Mean_ROA_M, 3, FALSE))</f>
        <v>1.3592003217059638</v>
      </c>
      <c r="S12" s="1">
        <f>(Main_M[[#This Row],[A/E]]-VLOOKUP(Main_M[[#This Row],[Industry]], Mean_AE_M, 2, FALSE))/(VLOOKUP(Main_M[[#This Row],[Industry]], Mean_AE_M, 3, FALSE))</f>
        <v>1.4054380194471103</v>
      </c>
      <c r="T12" s="1">
        <f>(Main_M[[#This Row],[P/E]]-VLOOKUP(Main_M[[#This Row],[Industry]], Mean_PE_M, 2, FALSE))/(VLOOKUP(Main_M[[#This Row],[Industry]], Mean_PE_M, 3, FALSE))</f>
        <v>1.3221490543539338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s="68" t="s">
        <v>110</v>
      </c>
      <c r="B13" s="68" t="s">
        <v>163</v>
      </c>
      <c r="C13" s="2">
        <v>2757</v>
      </c>
      <c r="D13">
        <f>RTD("tos.rtd", , "LAST", Main_M[[#This Row],[Symbol]])</f>
        <v>11.73</v>
      </c>
      <c r="E13">
        <v>1.66</v>
      </c>
      <c r="F13">
        <v>13.48</v>
      </c>
      <c r="G13">
        <v>0.79</v>
      </c>
      <c r="H13" s="1">
        <f>IF(ISNUMBER(Main_M[[#This Row],[Free CF]]),IF(Main_M[[#This Row],[Free CF]]&lt;&gt;0,Main_M[[#This Row],[Current Price]]/Main_M[[#This Row],[Free CF]],""),"")</f>
        <v>7.0662650602409647</v>
      </c>
      <c r="I13" s="1">
        <f>IF(ISNUMBER(Main_M[[#This Row],[BVPS]]),IF(Main_M[[#This Row],[BVPS]]&lt;&gt;0,Main_M[[#This Row],[Current Price]]/Main_M[[#This Row],[BVPS]],""),"")</f>
        <v>0.87017804154302669</v>
      </c>
      <c r="J13">
        <v>5.84</v>
      </c>
      <c r="K13">
        <v>3.38</v>
      </c>
      <c r="L13">
        <v>1.54</v>
      </c>
      <c r="M13" s="1">
        <f>IF(ISNUMBER(Main_M[[#This Row],[EPS]]),IF(Main_M[[#This Row],[EPS]]&lt;&gt;0,Main_M[[#This Row],[Current Price]]/Main_M[[#This Row],[EPS]],""),"")</f>
        <v>14.848101265822784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6.6471876708670261E-2</v>
      </c>
      <c r="P13" s="1">
        <f>(Main_M[[#This Row],[P/B]]-VLOOKUP(Main_M[[#This Row],[Industry]], Mean_PB_M, 2, FALSE))/(VLOOKUP(Main_M[[#This Row],[Industry]], Mean_PB_M, 3, FALSE))</f>
        <v>-0.67820460465928356</v>
      </c>
      <c r="Q13" s="1">
        <f>(Main_M[[#This Row],[ROE]]-VLOOKUP(Main_M[[#This Row],[Industry]], Mean_ROE_M, 2, FALSE))/(VLOOKUP(Main_M[[#This Row],[Industry]], Mean_ROE_M, 3, FALSE))</f>
        <v>-0.63143998925199241</v>
      </c>
      <c r="R13" s="1">
        <f>(Main_M[[#This Row],[ROA]]-VLOOKUP(Main_M[[#This Row],[Industry]], Mean_ROA_M, 2, FALSE))/(VLOOKUP(Main_M[[#This Row],[Industry]], Mean_ROA_M, 3, FALSE))</f>
        <v>-0.34132384760329143</v>
      </c>
      <c r="S13" s="1">
        <f>(Main_M[[#This Row],[A/E]]-VLOOKUP(Main_M[[#This Row],[Industry]], Mean_AE_M, 2, FALSE))/(VLOOKUP(Main_M[[#This Row],[Industry]], Mean_AE_M, 3, FALSE))</f>
        <v>-0.83894668723234411</v>
      </c>
      <c r="T13" s="1">
        <f>(Main_M[[#This Row],[P/E]]-VLOOKUP(Main_M[[#This Row],[Industry]], Mean_PE_M, 2, FALSE))/(VLOOKUP(Main_M[[#This Row],[Industry]], Mean_PE_M, 3, FALSE))</f>
        <v>-1.0957484377734683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s="68" t="s">
        <v>110</v>
      </c>
      <c r="B14" s="68" t="s">
        <v>220</v>
      </c>
      <c r="C14" s="2">
        <v>2071</v>
      </c>
      <c r="D14">
        <f>RTD("tos.rtd", , "LAST", Main_M[[#This Row],[Symbol]])</f>
        <v>10.38</v>
      </c>
      <c r="E14">
        <v>2.0699999999999998</v>
      </c>
      <c r="F14">
        <v>17.489999999999998</v>
      </c>
      <c r="G14">
        <v>0.61</v>
      </c>
      <c r="H14" s="1">
        <f>IF(ISNUMBER(Main_M[[#This Row],[Free CF]]),IF(Main_M[[#This Row],[Free CF]]&lt;&gt;0,Main_M[[#This Row],[Current Price]]/Main_M[[#This Row],[Free CF]],""),"")</f>
        <v>5.0144927536231894</v>
      </c>
      <c r="I14" s="1">
        <f>IF(ISNUMBER(Main_M[[#This Row],[BVPS]]),IF(Main_M[[#This Row],[BVPS]]&lt;&gt;0,Main_M[[#This Row],[Current Price]]/Main_M[[#This Row],[BVPS]],""),"")</f>
        <v>0.59348198970840493</v>
      </c>
      <c r="J14">
        <v>3.9</v>
      </c>
      <c r="K14">
        <v>2.27</v>
      </c>
      <c r="L14">
        <v>2.5499999999999998</v>
      </c>
      <c r="M14" s="1">
        <f>IF(ISNUMBER(Main_M[[#This Row],[EPS]]),IF(Main_M[[#This Row],[EPS]]&lt;&gt;0,Main_M[[#This Row],[Current Price]]/Main_M[[#This Row],[EPS]],""),"")</f>
        <v>17.016393442622952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-1.2566271747154214</v>
      </c>
      <c r="P14" s="1">
        <f>(Main_M[[#This Row],[P/B]]-VLOOKUP(Main_M[[#This Row],[Industry]], Mean_PB_M, 2, FALSE))/(VLOOKUP(Main_M[[#This Row],[Industry]], Mean_PB_M, 3, FALSE))</f>
        <v>-0.73562039942379565</v>
      </c>
      <c r="Q14" s="1">
        <f>(Main_M[[#This Row],[ROE]]-VLOOKUP(Main_M[[#This Row],[Industry]], Mean_ROE_M, 2, FALSE))/(VLOOKUP(Main_M[[#This Row],[Industry]], Mean_ROE_M, 3, FALSE))</f>
        <v>-0.7801644221717251</v>
      </c>
      <c r="R14" s="1">
        <f>(Main_M[[#This Row],[ROA]]-VLOOKUP(Main_M[[#This Row],[Industry]], Mean_ROA_M, 2, FALSE))/(VLOOKUP(Main_M[[#This Row],[Industry]], Mean_ROA_M, 3, FALSE))</f>
        <v>-1.0178764741026725</v>
      </c>
      <c r="S14" s="1">
        <f>(Main_M[[#This Row],[A/E]]-VLOOKUP(Main_M[[#This Row],[Industry]], Mean_AE_M, 2, FALSE))/(VLOOKUP(Main_M[[#This Row],[Industry]], Mean_AE_M, 3, FALSE))</f>
        <v>-0.56649133221476611</v>
      </c>
      <c r="T14" s="1">
        <f>(Main_M[[#This Row],[P/E]]-VLOOKUP(Main_M[[#This Row],[Industry]], Mean_PE_M, 2, FALSE))/(VLOOKUP(Main_M[[#This Row],[Industry]], Mean_PE_M, 3, FALSE))</f>
        <v>-0.22640061658046845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" spans="1:26" x14ac:dyDescent="0.25">
      <c r="A15" s="68" t="s">
        <v>107</v>
      </c>
      <c r="B15" s="68" t="s">
        <v>157</v>
      </c>
      <c r="C15" s="2">
        <v>8904</v>
      </c>
      <c r="D15">
        <f>RTD("tos.rtd", , "LAST", Main_M[[#This Row],[Symbol]])</f>
        <v>171.96</v>
      </c>
      <c r="E15">
        <v>8.6999999999999993</v>
      </c>
      <c r="F15">
        <v>64.09</v>
      </c>
      <c r="G15">
        <v>4.58</v>
      </c>
      <c r="H15" s="1">
        <f>IF(ISNUMBER(Main_M[[#This Row],[Free CF]]),IF(Main_M[[#This Row],[Free CF]]&lt;&gt;0,Main_M[[#This Row],[Current Price]]/Main_M[[#This Row],[Free CF]],""),"")</f>
        <v>19.765517241379314</v>
      </c>
      <c r="I15" s="1">
        <f>IF(ISNUMBER(Main_M[[#This Row],[BVPS]]),IF(Main_M[[#This Row],[BVPS]]&lt;&gt;0,Main_M[[#This Row],[Current Price]]/Main_M[[#This Row],[BVPS]],""),"")</f>
        <v>2.6831018879700421</v>
      </c>
      <c r="J15">
        <v>7.61</v>
      </c>
      <c r="K15">
        <v>3.35</v>
      </c>
      <c r="L15">
        <v>1.53</v>
      </c>
      <c r="M15" s="1">
        <f>IF(ISNUMBER(Main_M[[#This Row],[EPS]]),IF(Main_M[[#This Row],[EPS]]&lt;&gt;0,Main_M[[#This Row],[Current Price]]/Main_M[[#This Row],[EPS]],""),"")</f>
        <v>37.545851528384283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0.75030663446225965</v>
      </c>
      <c r="P15" s="1">
        <f>(Main_M[[#This Row],[P/B]]-VLOOKUP(Main_M[[#This Row],[Industry]], Mean_PB_M, 2, FALSE))/(VLOOKUP(Main_M[[#This Row],[Industry]], Mean_PB_M, 3, FALSE))</f>
        <v>1.6774916336618411</v>
      </c>
      <c r="Q15" s="1">
        <f>(Main_M[[#This Row],[ROE]]-VLOOKUP(Main_M[[#This Row],[Industry]], Mean_ROE_M, 2, FALSE))/(VLOOKUP(Main_M[[#This Row],[Industry]], Mean_ROE_M, 3, FALSE))</f>
        <v>0.77151817185925553</v>
      </c>
      <c r="R15" s="1">
        <f>(Main_M[[#This Row],[ROA]]-VLOOKUP(Main_M[[#This Row],[Industry]], Mean_ROA_M, 2, FALSE))/(VLOOKUP(Main_M[[#This Row],[Industry]], Mean_ROA_M, 3, FALSE))</f>
        <v>1.3322179777936476</v>
      </c>
      <c r="S15" s="1">
        <f>(Main_M[[#This Row],[A/E]]-VLOOKUP(Main_M[[#This Row],[Industry]], Mean_AE_M, 2, FALSE))/(VLOOKUP(Main_M[[#This Row],[Industry]], Mean_AE_M, 3, FALSE))</f>
        <v>-0.88816925274068448</v>
      </c>
      <c r="T15" s="1">
        <f>(Main_M[[#This Row],[P/E]]-VLOOKUP(Main_M[[#This Row],[Industry]], Mean_PE_M, 2, FALSE))/(VLOOKUP(Main_M[[#This Row],[Industry]], Mean_PE_M, 3, FALSE))</f>
        <v>0.81728032149589769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s="68" t="s">
        <v>107</v>
      </c>
      <c r="B16" s="68" t="s">
        <v>158</v>
      </c>
      <c r="C16" s="2">
        <v>6545</v>
      </c>
      <c r="D16">
        <f>RTD("tos.rtd", , "LAST", Main_M[[#This Row],[Symbol]])</f>
        <v>49.85</v>
      </c>
      <c r="E16">
        <v>2.86</v>
      </c>
      <c r="F16">
        <v>20.02</v>
      </c>
      <c r="G16">
        <v>2.0099999999999998</v>
      </c>
      <c r="H16" s="1">
        <f>IF(ISNUMBER(Main_M[[#This Row],[Free CF]]),IF(Main_M[[#This Row],[Free CF]]&lt;&gt;0,Main_M[[#This Row],[Current Price]]/Main_M[[#This Row],[Free CF]],""),"")</f>
        <v>17.43006993006993</v>
      </c>
      <c r="I16" s="1">
        <f>IF(ISNUMBER(Main_M[[#This Row],[BVPS]]),IF(Main_M[[#This Row],[BVPS]]&lt;&gt;0,Main_M[[#This Row],[Current Price]]/Main_M[[#This Row],[BVPS]],""),"")</f>
        <v>2.4900099900099901</v>
      </c>
      <c r="J16">
        <v>10.28</v>
      </c>
      <c r="K16">
        <v>3.3</v>
      </c>
      <c r="L16">
        <v>2.06</v>
      </c>
      <c r="M16" s="1">
        <f>IF(ISNUMBER(Main_M[[#This Row],[EPS]]),IF(Main_M[[#This Row],[EPS]]&lt;&gt;0,Main_M[[#This Row],[Current Price]]/Main_M[[#This Row],[EPS]],""),"")</f>
        <v>24.800995024875625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0.1383920924792427</v>
      </c>
      <c r="P16" s="1">
        <f>(Main_M[[#This Row],[P/B]]-VLOOKUP(Main_M[[#This Row],[Industry]], Mean_PB_M, 2, FALSE))/(VLOOKUP(Main_M[[#This Row],[Industry]], Mean_PB_M, 3, FALSE))</f>
        <v>1.3386088464287811</v>
      </c>
      <c r="Q16" s="1">
        <f>(Main_M[[#This Row],[ROE]]-VLOOKUP(Main_M[[#This Row],[Industry]], Mean_ROE_M, 2, FALSE))/(VLOOKUP(Main_M[[#This Row],[Industry]], Mean_ROE_M, 3, FALSE))</f>
        <v>1.218241624039079</v>
      </c>
      <c r="R16" s="1">
        <f>(Main_M[[#This Row],[ROA]]-VLOOKUP(Main_M[[#This Row],[Industry]], Mean_ROA_M, 2, FALSE))/(VLOOKUP(Main_M[[#This Row],[Industry]], Mean_ROA_M, 3, FALSE))</f>
        <v>1.2701305886820924</v>
      </c>
      <c r="S16" s="1">
        <f>(Main_M[[#This Row],[A/E]]-VLOOKUP(Main_M[[#This Row],[Industry]], Mean_AE_M, 2, FALSE))/(VLOOKUP(Main_M[[#This Row],[Industry]], Mean_AE_M, 3, FALSE))</f>
        <v>0.53828439560041463</v>
      </c>
      <c r="T16" s="1">
        <f>(Main_M[[#This Row],[P/E]]-VLOOKUP(Main_M[[#This Row],[Industry]], Mean_PE_M, 2, FALSE))/(VLOOKUP(Main_M[[#This Row],[Industry]], Mean_PE_M, 3, FALSE))</f>
        <v>-1.1744613628162306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s="68" t="s">
        <v>107</v>
      </c>
      <c r="B17" s="68" t="s">
        <v>162</v>
      </c>
      <c r="C17" s="2">
        <v>5799</v>
      </c>
      <c r="D17">
        <f>RTD("tos.rtd", , "LAST", Main_M[[#This Row],[Symbol]])</f>
        <v>59.83</v>
      </c>
      <c r="E17">
        <v>2.5099999999999998</v>
      </c>
      <c r="F17">
        <v>37.9</v>
      </c>
      <c r="G17">
        <v>1.98</v>
      </c>
      <c r="H17" s="1">
        <f>IF(ISNUMBER(Main_M[[#This Row],[Free CF]]),IF(Main_M[[#This Row],[Free CF]]&lt;&gt;0,Main_M[[#This Row],[Current Price]]/Main_M[[#This Row],[Free CF]],""),"")</f>
        <v>23.836653386454184</v>
      </c>
      <c r="I17" s="1">
        <f>IF(ISNUMBER(Main_M[[#This Row],[BVPS]]),IF(Main_M[[#This Row],[BVPS]]&lt;&gt;0,Main_M[[#This Row],[Current Price]]/Main_M[[#This Row],[BVPS]],""),"")</f>
        <v>1.5786279683377309</v>
      </c>
      <c r="J17">
        <v>5.36</v>
      </c>
      <c r="K17">
        <v>2.12</v>
      </c>
      <c r="L17">
        <v>1.26</v>
      </c>
      <c r="M17" s="1">
        <f>IF(ISNUMBER(Main_M[[#This Row],[EPS]]),IF(Main_M[[#This Row],[EPS]]&lt;&gt;0,Main_M[[#This Row],[Current Price]]/Main_M[[#This Row],[EPS]],""),"")</f>
        <v>30.217171717171716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1.8169919745683885</v>
      </c>
      <c r="P17" s="1">
        <f>(Main_M[[#This Row],[P/B]]-VLOOKUP(Main_M[[#This Row],[Industry]], Mean_PB_M, 2, FALSE))/(VLOOKUP(Main_M[[#This Row],[Industry]], Mean_PB_M, 3, FALSE))</f>
        <v>-0.26089731100871705</v>
      </c>
      <c r="Q17" s="1">
        <f>(Main_M[[#This Row],[ROE]]-VLOOKUP(Main_M[[#This Row],[Industry]], Mean_ROE_M, 2, FALSE))/(VLOOKUP(Main_M[[#This Row],[Industry]], Mean_ROE_M, 3, FALSE))</f>
        <v>0.39506582451670741</v>
      </c>
      <c r="R17" s="1">
        <f>(Main_M[[#This Row],[ROA]]-VLOOKUP(Main_M[[#This Row],[Industry]], Mean_ROA_M, 2, FALSE))/(VLOOKUP(Main_M[[#This Row],[Industry]], Mean_ROA_M, 3, FALSE))</f>
        <v>-0.19513179435060068</v>
      </c>
      <c r="S17" s="1">
        <f>(Main_M[[#This Row],[A/E]]-VLOOKUP(Main_M[[#This Row],[Industry]], Mean_AE_M, 2, FALSE))/(VLOOKUP(Main_M[[#This Row],[Industry]], Mean_AE_M, 3, FALSE))</f>
        <v>-1.6148531868012443</v>
      </c>
      <c r="T17" s="1">
        <f>(Main_M[[#This Row],[P/E]]-VLOOKUP(Main_M[[#This Row],[Industry]], Mean_PE_M, 2, FALSE))/(VLOOKUP(Main_M[[#This Row],[Industry]], Mean_PE_M, 3, FALSE))</f>
        <v>-0.32803167687382107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s="68" t="s">
        <v>107</v>
      </c>
      <c r="B18" s="68" t="s">
        <v>161</v>
      </c>
      <c r="C18" s="2">
        <v>6640</v>
      </c>
      <c r="D18">
        <f>RTD("tos.rtd", , "LAST", Main_M[[#This Row],[Symbol]])</f>
        <v>37.01</v>
      </c>
      <c r="E18">
        <v>2.0499999999999998</v>
      </c>
      <c r="F18">
        <v>18.579999999999998</v>
      </c>
      <c r="G18">
        <v>1.33</v>
      </c>
      <c r="H18" s="1">
        <f>IF(ISNUMBER(Main_M[[#This Row],[Free CF]]),IF(Main_M[[#This Row],[Free CF]]&lt;&gt;0,Main_M[[#This Row],[Current Price]]/Main_M[[#This Row],[Free CF]],""),"")</f>
        <v>18.053658536585367</v>
      </c>
      <c r="I18" s="1">
        <f>IF(ISNUMBER(Main_M[[#This Row],[BVPS]]),IF(Main_M[[#This Row],[BVPS]]&lt;&gt;0,Main_M[[#This Row],[Current Price]]/Main_M[[#This Row],[BVPS]],""),"")</f>
        <v>1.9919268030139936</v>
      </c>
      <c r="J18">
        <v>7.15</v>
      </c>
      <c r="K18">
        <v>2.65</v>
      </c>
      <c r="L18">
        <v>1.98</v>
      </c>
      <c r="M18" s="1">
        <f>IF(ISNUMBER(Main_M[[#This Row],[EPS]]),IF(Main_M[[#This Row],[EPS]]&lt;&gt;0,Main_M[[#This Row],[Current Price]]/Main_M[[#This Row],[EPS]],""),"")</f>
        <v>27.82706766917293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0.3017796091634809</v>
      </c>
      <c r="P18" s="1">
        <f>(Main_M[[#This Row],[P/B]]-VLOOKUP(Main_M[[#This Row],[Industry]], Mean_PB_M, 2, FALSE))/(VLOOKUP(Main_M[[#This Row],[Industry]], Mean_PB_M, 3, FALSE))</f>
        <v>0.46445607012716045</v>
      </c>
      <c r="Q18" s="1">
        <f>(Main_M[[#This Row],[ROE]]-VLOOKUP(Main_M[[#This Row],[Industry]], Mean_ROE_M, 2, FALSE))/(VLOOKUP(Main_M[[#This Row],[Industry]], Mean_ROE_M, 3, FALSE))</f>
        <v>0.69455458084700128</v>
      </c>
      <c r="R18" s="1">
        <f>(Main_M[[#This Row],[ROA]]-VLOOKUP(Main_M[[#This Row],[Industry]], Mean_ROA_M, 2, FALSE))/(VLOOKUP(Main_M[[#This Row],[Industry]], Mean_ROA_M, 3, FALSE))</f>
        <v>0.46299453023188003</v>
      </c>
      <c r="S18" s="1">
        <f>(Main_M[[#This Row],[A/E]]-VLOOKUP(Main_M[[#This Row],[Industry]], Mean_AE_M, 2, FALSE))/(VLOOKUP(Main_M[[#This Row],[Industry]], Mean_AE_M, 3, FALSE))</f>
        <v>0.32297063736024856</v>
      </c>
      <c r="T18" s="1">
        <f>(Main_M[[#This Row],[P/E]]-VLOOKUP(Main_M[[#This Row],[Industry]], Mean_PE_M, 2, FALSE))/(VLOOKUP(Main_M[[#This Row],[Industry]], Mean_PE_M, 3, FALSE))</f>
        <v>-0.70155254475740858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s="68" t="s">
        <v>107</v>
      </c>
      <c r="B19" s="68" t="s">
        <v>160</v>
      </c>
      <c r="C19" s="2">
        <v>8341</v>
      </c>
      <c r="D19">
        <f>RTD("tos.rtd", , "LAST", Main_M[[#This Row],[Symbol]])</f>
        <v>36.6</v>
      </c>
      <c r="E19">
        <v>0.52</v>
      </c>
      <c r="F19">
        <v>36.700000000000003</v>
      </c>
      <c r="G19">
        <v>1.23</v>
      </c>
      <c r="H19" s="1">
        <f>IF(ISNUMBER(Main_M[[#This Row],[Free CF]]),IF(Main_M[[#This Row],[Free CF]]&lt;&gt;0,Main_M[[#This Row],[Current Price]]/Main_M[[#This Row],[Free CF]],""),"")</f>
        <v>70.384615384615387</v>
      </c>
      <c r="I19" s="1">
        <f>IF(ISNUMBER(Main_M[[#This Row],[BVPS]]),IF(Main_M[[#This Row],[BVPS]]&lt;&gt;0,Main_M[[#This Row],[Current Price]]/Main_M[[#This Row],[BVPS]],""),"")</f>
        <v>0.99727520435967298</v>
      </c>
      <c r="J19">
        <v>3.36</v>
      </c>
      <c r="K19">
        <v>1.84</v>
      </c>
      <c r="L19">
        <v>1.51</v>
      </c>
      <c r="M19" s="1">
        <f>IF(ISNUMBER(Main_M[[#This Row],[EPS]]),IF(Main_M[[#This Row],[EPS]]&lt;&gt;0,Main_M[[#This Row],[Current Price]]/Main_M[[#This Row],[EPS]],""),"")</f>
        <v>29.756097560975611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14.01310306147546</v>
      </c>
      <c r="P19" s="1">
        <f>(Main_M[[#This Row],[P/B]]-VLOOKUP(Main_M[[#This Row],[Industry]], Mean_PB_M, 2, FALSE))/(VLOOKUP(Main_M[[#This Row],[Industry]], Mean_PB_M, 3, FALSE))</f>
        <v>-1.2811910007174703</v>
      </c>
      <c r="Q19" s="1">
        <f>(Main_M[[#This Row],[ROE]]-VLOOKUP(Main_M[[#This Row],[Industry]], Mean_ROE_M, 2, FALSE))/(VLOOKUP(Main_M[[#This Row],[Industry]], Mean_ROE_M, 3, FALSE))</f>
        <v>6.0441515767775712E-2</v>
      </c>
      <c r="R19" s="1">
        <f>(Main_M[[#This Row],[ROA]]-VLOOKUP(Main_M[[#This Row],[Industry]], Mean_ROA_M, 2, FALSE))/(VLOOKUP(Main_M[[#This Row],[Industry]], Mean_ROA_M, 3, FALSE))</f>
        <v>-0.54282117337530766</v>
      </c>
      <c r="S19" s="1">
        <f>(Main_M[[#This Row],[A/E]]-VLOOKUP(Main_M[[#This Row],[Industry]], Mean_AE_M, 2, FALSE))/(VLOOKUP(Main_M[[#This Row],[Industry]], Mean_AE_M, 3, FALSE))</f>
        <v>-0.94199769230072605</v>
      </c>
      <c r="T19" s="1">
        <f>(Main_M[[#This Row],[P/E]]-VLOOKUP(Main_M[[#This Row],[Industry]], Mean_PE_M, 2, FALSE))/(VLOOKUP(Main_M[[#This Row],[Industry]], Mean_PE_M, 3, FALSE))</f>
        <v>-0.40008746002069323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s="68" t="s">
        <v>107</v>
      </c>
      <c r="B20" s="68" t="s">
        <v>159</v>
      </c>
      <c r="C20" s="2">
        <v>2538</v>
      </c>
      <c r="D20">
        <f>RTD("tos.rtd", , "LAST", Main_M[[#This Row],[Symbol]])</f>
        <v>8.75</v>
      </c>
      <c r="E20">
        <v>0.66</v>
      </c>
      <c r="F20">
        <v>6.7</v>
      </c>
      <c r="G20">
        <v>0.2</v>
      </c>
      <c r="H20" s="1">
        <f>IF(ISNUMBER(Main_M[[#This Row],[Free CF]]),IF(Main_M[[#This Row],[Free CF]]&lt;&gt;0,Main_M[[#This Row],[Current Price]]/Main_M[[#This Row],[Free CF]],""),"")</f>
        <v>13.257575757575758</v>
      </c>
      <c r="I20" s="1">
        <f>IF(ISNUMBER(Main_M[[#This Row],[BVPS]]),IF(Main_M[[#This Row],[BVPS]]&lt;&gt;0,Main_M[[#This Row],[Current Price]]/Main_M[[#This Row],[BVPS]],""),"")</f>
        <v>1.3059701492537312</v>
      </c>
      <c r="J20">
        <v>2.85</v>
      </c>
      <c r="K20">
        <v>1</v>
      </c>
      <c r="L20">
        <v>1.9</v>
      </c>
      <c r="M20" s="1">
        <f>IF(ISNUMBER(Main_M[[#This Row],[EPS]]),IF(Main_M[[#This Row],[EPS]]&lt;&gt;0,Main_M[[#This Row],[Current Price]]/Main_M[[#This Row],[EPS]],""),"")</f>
        <v>43.75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-0.95485023764085086</v>
      </c>
      <c r="P20" s="1">
        <f>(Main_M[[#This Row],[P/B]]-VLOOKUP(Main_M[[#This Row],[Industry]], Mean_PB_M, 2, FALSE))/(VLOOKUP(Main_M[[#This Row],[Industry]], Mean_PB_M, 3, FALSE))</f>
        <v>-0.73942097082166935</v>
      </c>
      <c r="Q20" s="1">
        <f>(Main_M[[#This Row],[ROE]]-VLOOKUP(Main_M[[#This Row],[Industry]], Mean_ROE_M, 2, FALSE))/(VLOOKUP(Main_M[[#This Row],[Industry]], Mean_ROE_M, 3, FALSE))</f>
        <v>-2.4887682963201818E-2</v>
      </c>
      <c r="R20" s="1">
        <f>(Main_M[[#This Row],[ROA]]-VLOOKUP(Main_M[[#This Row],[Industry]], Mean_ROA_M, 2, FALSE))/(VLOOKUP(Main_M[[#This Row],[Industry]], Mean_ROA_M, 3, FALSE))</f>
        <v>-1.5858893104494285</v>
      </c>
      <c r="S20" s="1">
        <f>(Main_M[[#This Row],[A/E]]-VLOOKUP(Main_M[[#This Row],[Industry]], Mean_AE_M, 2, FALSE))/(VLOOKUP(Main_M[[#This Row],[Industry]], Mean_AE_M, 3, FALSE))</f>
        <v>0.10765687912008244</v>
      </c>
      <c r="T20" s="1">
        <f>(Main_M[[#This Row],[P/E]]-VLOOKUP(Main_M[[#This Row],[Industry]], Mean_PE_M, 2, FALSE))/(VLOOKUP(Main_M[[#This Row],[Industry]], Mean_PE_M, 3, FALSE))</f>
        <v>1.7868527229722506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s="68" t="s">
        <v>107</v>
      </c>
      <c r="B21" s="68" t="s">
        <v>156</v>
      </c>
      <c r="C21" s="2">
        <v>4718</v>
      </c>
      <c r="D21">
        <f>RTD("tos.rtd", , "LAST", Main_M[[#This Row],[Symbol]])</f>
        <v>17.57</v>
      </c>
      <c r="E21">
        <v>1.33</v>
      </c>
      <c r="F21">
        <v>11.21</v>
      </c>
      <c r="G21">
        <v>-0.42</v>
      </c>
      <c r="H21" s="1">
        <f>IF(ISNUMBER(Main_M[[#This Row],[Free CF]]),IF(Main_M[[#This Row],[Free CF]]&lt;&gt;0,Main_M[[#This Row],[Current Price]]/Main_M[[#This Row],[Free CF]],""),"")</f>
        <v>13.210526315789473</v>
      </c>
      <c r="I21" s="1">
        <f>IF(ISNUMBER(Main_M[[#This Row],[BVPS]]),IF(Main_M[[#This Row],[BVPS]]&lt;&gt;0,Main_M[[#This Row],[Current Price]]/Main_M[[#This Row],[BVPS]],""),"")</f>
        <v>1.5673505798394289</v>
      </c>
      <c r="J21">
        <v>-3.55</v>
      </c>
      <c r="K21">
        <v>1.68</v>
      </c>
      <c r="L21">
        <v>2.4500000000000002</v>
      </c>
      <c r="M21" s="1">
        <f>IF(ISNUMBER(Main_M[[#This Row],[EPS]]),IF(Main_M[[#This Row],[EPS]]&lt;&gt;0,Main_M[[#This Row],[Current Price]]/Main_M[[#This Row],[EPS]],""),"")</f>
        <v>-41.833333333333336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-0.9671777423042166</v>
      </c>
      <c r="P21" s="1">
        <f>(Main_M[[#This Row],[P/B]]-VLOOKUP(Main_M[[#This Row],[Industry]], Mean_PB_M, 2, FALSE))/(VLOOKUP(Main_M[[#This Row],[Industry]], Mean_PB_M, 3, FALSE))</f>
        <v>-0.28068950781961211</v>
      </c>
      <c r="Q21" s="1">
        <f>(Main_M[[#This Row],[ROE]]-VLOOKUP(Main_M[[#This Row],[Industry]], Mean_ROE_M, 2, FALSE))/(VLOOKUP(Main_M[[#This Row],[Industry]], Mean_ROE_M, 3, FALSE))</f>
        <v>-1.095685470959783</v>
      </c>
      <c r="R21" s="1">
        <f>(Main_M[[#This Row],[ROA]]-VLOOKUP(Main_M[[#This Row],[Industry]], Mean_ROA_M, 2, FALSE))/(VLOOKUP(Main_M[[#This Row],[Industry]], Mean_ROA_M, 3, FALSE))</f>
        <v>-0.74150081853228322</v>
      </c>
      <c r="S21" s="1">
        <f>(Main_M[[#This Row],[A/E]]-VLOOKUP(Main_M[[#This Row],[Industry]], Mean_AE_M, 2, FALSE))/(VLOOKUP(Main_M[[#This Row],[Industry]], Mean_AE_M, 3, FALSE))</f>
        <v>1.5879389670212236</v>
      </c>
      <c r="T21" s="1">
        <f>(Main_M[[#This Row],[P/E]]-VLOOKUP(Main_M[[#This Row],[Industry]], Mean_PE_M, 2, FALSE))/(VLOOKUP(Main_M[[#This Row],[Industry]], Mean_PE_M, 3, FALSE))</f>
        <v>-11.587946156517059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2" spans="1:26" x14ac:dyDescent="0.25">
      <c r="A22" s="68" t="s">
        <v>107</v>
      </c>
      <c r="B22" s="68" t="s">
        <v>108</v>
      </c>
      <c r="C22" s="2">
        <v>9759</v>
      </c>
      <c r="D22">
        <f>RTD("tos.rtd", , "LAST", Main_M[[#This Row],[Symbol]])</f>
        <v>45.295000000000002</v>
      </c>
      <c r="E22">
        <v>3.55</v>
      </c>
      <c r="F22">
        <v>37.619999999999997</v>
      </c>
      <c r="G22">
        <v>-3.18</v>
      </c>
      <c r="H22" s="1">
        <f>IF(ISNUMBER(Main_M[[#This Row],[Free CF]]),IF(Main_M[[#This Row],[Free CF]]&lt;&gt;0,Main_M[[#This Row],[Current Price]]/Main_M[[#This Row],[Free CF]],""),"")</f>
        <v>12.759154929577466</v>
      </c>
      <c r="I22" s="1">
        <f>IF(ISNUMBER(Main_M[[#This Row],[BVPS]]),IF(Main_M[[#This Row],[BVPS]]&lt;&gt;0,Main_M[[#This Row],[Current Price]]/Main_M[[#This Row],[BVPS]],""),"")</f>
        <v>1.2040138224348751</v>
      </c>
      <c r="J22">
        <v>-9.07</v>
      </c>
      <c r="K22">
        <v>0.5</v>
      </c>
      <c r="L22">
        <v>2.19</v>
      </c>
      <c r="M22" s="1">
        <f>IF(ISNUMBER(Main_M[[#This Row],[EPS]]),IF(Main_M[[#This Row],[EPS]]&lt;&gt;0,Main_M[[#This Row],[Current Price]]/Main_M[[#This Row],[EPS]],""),"")</f>
        <v>-14.2437106918239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-1.0854423307283099</v>
      </c>
      <c r="P22" s="1">
        <f>(Main_M[[#This Row],[P/B]]-VLOOKUP(Main_M[[#This Row],[Industry]], Mean_PB_M, 2, FALSE))/(VLOOKUP(Main_M[[#This Row],[Industry]], Mean_PB_M, 3, FALSE))</f>
        <v>-0.91835775985031576</v>
      </c>
      <c r="Q22" s="1">
        <f>(Main_M[[#This Row],[ROE]]-VLOOKUP(Main_M[[#This Row],[Industry]], Mean_ROE_M, 2, FALSE))/(VLOOKUP(Main_M[[#This Row],[Industry]], Mean_ROE_M, 3, FALSE))</f>
        <v>-2.0192485631068346</v>
      </c>
      <c r="R22" s="1">
        <f>(Main_M[[#This Row],[ROA]]-VLOOKUP(Main_M[[#This Row],[Industry]], Mean_ROA_M, 2, FALSE))/(VLOOKUP(Main_M[[#This Row],[Industry]], Mean_ROA_M, 3, FALSE))</f>
        <v>-2.2067632015649767</v>
      </c>
      <c r="S22" s="1">
        <f>(Main_M[[#This Row],[A/E]]-VLOOKUP(Main_M[[#This Row],[Industry]], Mean_AE_M, 2, FALSE))/(VLOOKUP(Main_M[[#This Row],[Industry]], Mean_AE_M, 3, FALSE))</f>
        <v>0.88816925274068392</v>
      </c>
      <c r="T22" s="1">
        <f>(Main_M[[#This Row],[P/E]]-VLOOKUP(Main_M[[#This Row],[Industry]], Mean_PE_M, 2, FALSE))/(VLOOKUP(Main_M[[#This Row],[Industry]], Mean_PE_M, 3, FALSE))</f>
        <v>-7.2762929453249274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3" spans="1:26" x14ac:dyDescent="0.25">
      <c r="A23" s="68" t="s">
        <v>112</v>
      </c>
      <c r="B23" s="68" t="s">
        <v>169</v>
      </c>
      <c r="C23" s="2">
        <v>3809</v>
      </c>
      <c r="D23">
        <f>RTD("tos.rtd", , "LAST", Main_M[[#This Row],[Symbol]])</f>
        <v>34.97</v>
      </c>
      <c r="E23">
        <v>4.33</v>
      </c>
      <c r="F23">
        <v>45.29</v>
      </c>
      <c r="G23">
        <v>1.68</v>
      </c>
      <c r="H23" s="1">
        <f>IF(ISNUMBER(Main_M[[#This Row],[Free CF]]),IF(Main_M[[#This Row],[Free CF]]&lt;&gt;0,Main_M[[#This Row],[Current Price]]/Main_M[[#This Row],[Free CF]],""),"")</f>
        <v>8.0762124711316385</v>
      </c>
      <c r="I23" s="1">
        <f>IF(ISNUMBER(Main_M[[#This Row],[BVPS]]),IF(Main_M[[#This Row],[BVPS]]&lt;&gt;0,Main_M[[#This Row],[Current Price]]/Main_M[[#This Row],[BVPS]],""),"")</f>
        <v>0.77213512916758664</v>
      </c>
      <c r="J23">
        <v>3.94</v>
      </c>
      <c r="K23">
        <v>1.82</v>
      </c>
      <c r="L23">
        <v>2.0299999999999998</v>
      </c>
      <c r="M23" s="1">
        <f>IF(ISNUMBER(Main_M[[#This Row],[EPS]]),IF(Main_M[[#This Row],[EPS]]&lt;&gt;0,Main_M[[#This Row],[Current Price]]/Main_M[[#This Row],[EPS]],""),"")</f>
        <v>20.81547619047619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-0.79457553122334368</v>
      </c>
      <c r="P23" s="1">
        <f>(Main_M[[#This Row],[P/B]]-VLOOKUP(Main_M[[#This Row],[Industry]], Mean_PB_M, 2, FALSE))/(VLOOKUP(Main_M[[#This Row],[Industry]], Mean_PB_M, 3, FALSE))</f>
        <v>-1.3843015537589172</v>
      </c>
      <c r="Q23" s="1">
        <f>(Main_M[[#This Row],[ROE]]-VLOOKUP(Main_M[[#This Row],[Industry]], Mean_ROE_M, 2, FALSE))/(VLOOKUP(Main_M[[#This Row],[Industry]], Mean_ROE_M, 3, FALSE))</f>
        <v>0.37168195402659132</v>
      </c>
      <c r="R23" s="1">
        <f>(Main_M[[#This Row],[ROA]]-VLOOKUP(Main_M[[#This Row],[Industry]], Mean_ROA_M, 2, FALSE))/(VLOOKUP(Main_M[[#This Row],[Industry]], Mean_ROA_M, 3, FALSE))</f>
        <v>0.24406315167195164</v>
      </c>
      <c r="S23" s="1">
        <f>(Main_M[[#This Row],[A/E]]-VLOOKUP(Main_M[[#This Row],[Industry]], Mean_AE_M, 2, FALSE))/(VLOOKUP(Main_M[[#This Row],[Industry]], Mean_AE_M, 3, FALSE))</f>
        <v>-1.0195663916896314</v>
      </c>
      <c r="T23" s="1">
        <f>(Main_M[[#This Row],[P/E]]-VLOOKUP(Main_M[[#This Row],[Industry]], Mean_PE_M, 2, FALSE))/(VLOOKUP(Main_M[[#This Row],[Industry]], Mean_PE_M, 3, FALSE))</f>
        <v>-0.89730448315050804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s="68" t="s">
        <v>112</v>
      </c>
      <c r="B24" s="68" t="s">
        <v>168</v>
      </c>
      <c r="C24" s="2">
        <v>3202</v>
      </c>
      <c r="D24">
        <f>RTD("tos.rtd", , "LAST", Main_M[[#This Row],[Symbol]])</f>
        <v>31.16</v>
      </c>
      <c r="E24">
        <v>3.52</v>
      </c>
      <c r="F24">
        <v>22.09</v>
      </c>
      <c r="G24">
        <v>1.6</v>
      </c>
      <c r="H24" s="1">
        <f>IF(ISNUMBER(Main_M[[#This Row],[Free CF]]),IF(Main_M[[#This Row],[Free CF]]&lt;&gt;0,Main_M[[#This Row],[Current Price]]/Main_M[[#This Row],[Free CF]],""),"")</f>
        <v>8.8522727272727266</v>
      </c>
      <c r="I24" s="1">
        <f>IF(ISNUMBER(Main_M[[#This Row],[BVPS]]),IF(Main_M[[#This Row],[BVPS]]&lt;&gt;0,Main_M[[#This Row],[Current Price]]/Main_M[[#This Row],[BVPS]],""),"")</f>
        <v>1.4105930285196921</v>
      </c>
      <c r="J24">
        <v>7.16</v>
      </c>
      <c r="K24">
        <v>2.2200000000000002</v>
      </c>
      <c r="L24">
        <v>2.5499999999999998</v>
      </c>
      <c r="M24" s="1">
        <f>IF(ISNUMBER(Main_M[[#This Row],[EPS]]),IF(Main_M[[#This Row],[EPS]]&lt;&gt;0,Main_M[[#This Row],[Current Price]]/Main_M[[#This Row],[EPS]],""),"")</f>
        <v>19.474999999999998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-0.6965711726689845</v>
      </c>
      <c r="P24" s="1">
        <f>(Main_M[[#This Row],[P/B]]-VLOOKUP(Main_M[[#This Row],[Industry]], Mean_PB_M, 2, FALSE))/(VLOOKUP(Main_M[[#This Row],[Industry]], Mean_PB_M, 3, FALSE))</f>
        <v>4.6781152054538089E-2</v>
      </c>
      <c r="Q24" s="1">
        <f>(Main_M[[#This Row],[ROE]]-VLOOKUP(Main_M[[#This Row],[Industry]], Mean_ROE_M, 2, FALSE))/(VLOOKUP(Main_M[[#This Row],[Industry]], Mean_ROE_M, 3, FALSE))</f>
        <v>1.7930785003040546</v>
      </c>
      <c r="R24" s="1">
        <f>(Main_M[[#This Row],[ROA]]-VLOOKUP(Main_M[[#This Row],[Industry]], Mean_ROA_M, 2, FALSE))/(VLOOKUP(Main_M[[#This Row],[Industry]], Mean_ROA_M, 3, FALSE))</f>
        <v>0.59998858119354792</v>
      </c>
      <c r="S24" s="1">
        <f>(Main_M[[#This Row],[A/E]]-VLOOKUP(Main_M[[#This Row],[Industry]], Mean_AE_M, 2, FALSE))/(VLOOKUP(Main_M[[#This Row],[Industry]], Mean_AE_M, 3, FALSE))</f>
        <v>-0.46064746612483337</v>
      </c>
      <c r="T24" s="1">
        <f>(Main_M[[#This Row],[P/E]]-VLOOKUP(Main_M[[#This Row],[Industry]], Mean_PE_M, 2, FALSE))/(VLOOKUP(Main_M[[#This Row],[Industry]], Mean_PE_M, 3, FALSE))</f>
        <v>-0.94532139519295477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s="68" t="s">
        <v>112</v>
      </c>
      <c r="B25" s="68" t="s">
        <v>165</v>
      </c>
      <c r="C25" s="2">
        <v>3099</v>
      </c>
      <c r="D25">
        <f>RTD("tos.rtd", , "LAST", Main_M[[#This Row],[Symbol]])</f>
        <v>28.29</v>
      </c>
      <c r="E25">
        <v>2.96</v>
      </c>
      <c r="F25">
        <v>13.23</v>
      </c>
      <c r="G25">
        <v>1.24</v>
      </c>
      <c r="H25" s="1">
        <f>IF(ISNUMBER(Main_M[[#This Row],[Free CF]]),IF(Main_M[[#This Row],[Free CF]]&lt;&gt;0,Main_M[[#This Row],[Current Price]]/Main_M[[#This Row],[Free CF]],""),"")</f>
        <v>9.5574324324324316</v>
      </c>
      <c r="I25" s="1">
        <f>IF(ISNUMBER(Main_M[[#This Row],[BVPS]]),IF(Main_M[[#This Row],[BVPS]]&lt;&gt;0,Main_M[[#This Row],[Current Price]]/Main_M[[#This Row],[BVPS]],""),"")</f>
        <v>2.1383219954648527</v>
      </c>
      <c r="J25">
        <v>9.42</v>
      </c>
      <c r="K25">
        <v>3.22</v>
      </c>
      <c r="L25">
        <v>2.85</v>
      </c>
      <c r="M25" s="1">
        <f>IF(ISNUMBER(Main_M[[#This Row],[EPS]]),IF(Main_M[[#This Row],[EPS]]&lt;&gt;0,Main_M[[#This Row],[Current Price]]/Main_M[[#This Row],[EPS]],""),"")</f>
        <v>22.814516129032256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-0.60752045265634413</v>
      </c>
      <c r="P25" s="1">
        <f>(Main_M[[#This Row],[P/B]]-VLOOKUP(Main_M[[#This Row],[Industry]], Mean_PB_M, 2, FALSE))/(VLOOKUP(Main_M[[#This Row],[Industry]], Mean_PB_M, 3, FALSE))</f>
        <v>1.6779620649566169</v>
      </c>
      <c r="Q25" s="1">
        <f>(Main_M[[#This Row],[ROE]]-VLOOKUP(Main_M[[#This Row],[Industry]], Mean_ROE_M, 2, FALSE))/(VLOOKUP(Main_M[[#This Row],[Industry]], Mean_ROE_M, 3, FALSE))</f>
        <v>2.7907046476913422</v>
      </c>
      <c r="R25" s="1">
        <f>(Main_M[[#This Row],[ROA]]-VLOOKUP(Main_M[[#This Row],[Industry]], Mean_ROA_M, 2, FALSE))/(VLOOKUP(Main_M[[#This Row],[Industry]], Mean_ROA_M, 3, FALSE))</f>
        <v>1.4898021549975384</v>
      </c>
      <c r="S25" s="1">
        <f>(Main_M[[#This Row],[A/E]]-VLOOKUP(Main_M[[#This Row],[Industry]], Mean_AE_M, 2, FALSE))/(VLOOKUP(Main_M[[#This Row],[Industry]], Mean_AE_M, 3, FALSE))</f>
        <v>-0.13819423983744958</v>
      </c>
      <c r="T25" s="1">
        <f>(Main_M[[#This Row],[P/E]]-VLOOKUP(Main_M[[#This Row],[Industry]], Mean_PE_M, 2, FALSE))/(VLOOKUP(Main_M[[#This Row],[Industry]], Mean_PE_M, 3, FALSE))</f>
        <v>-0.82569729938927627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s="68" t="s">
        <v>112</v>
      </c>
      <c r="B26" s="68" t="s">
        <v>171</v>
      </c>
      <c r="C26" s="2">
        <v>7231</v>
      </c>
      <c r="D26">
        <f>RTD("tos.rtd", , "LAST", Main_M[[#This Row],[Symbol]])</f>
        <v>41.15</v>
      </c>
      <c r="E26">
        <v>2.6</v>
      </c>
      <c r="F26">
        <v>21.53</v>
      </c>
      <c r="G26">
        <v>0.52</v>
      </c>
      <c r="H26" s="1">
        <f>IF(ISNUMBER(Main_M[[#This Row],[Free CF]]),IF(Main_M[[#This Row],[Free CF]]&lt;&gt;0,Main_M[[#This Row],[Current Price]]/Main_M[[#This Row],[Free CF]],""),"")</f>
        <v>15.826923076923077</v>
      </c>
      <c r="I26" s="1">
        <f>IF(ISNUMBER(Main_M[[#This Row],[BVPS]]),IF(Main_M[[#This Row],[BVPS]]&lt;&gt;0,Main_M[[#This Row],[Current Price]]/Main_M[[#This Row],[BVPS]],""),"")</f>
        <v>1.9112865768694842</v>
      </c>
      <c r="J26">
        <v>2</v>
      </c>
      <c r="K26">
        <v>1.57</v>
      </c>
      <c r="L26">
        <v>3.78</v>
      </c>
      <c r="M26" s="1">
        <f>IF(ISNUMBER(Main_M[[#This Row],[EPS]]),IF(Main_M[[#This Row],[EPS]]&lt;&gt;0,Main_M[[#This Row],[Current Price]]/Main_M[[#This Row],[EPS]],""),"")</f>
        <v>79.134615384615373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0.18421885394223653</v>
      </c>
      <c r="P26" s="1">
        <f>(Main_M[[#This Row],[P/B]]-VLOOKUP(Main_M[[#This Row],[Industry]], Mean_PB_M, 2, FALSE))/(VLOOKUP(Main_M[[#This Row],[Industry]], Mean_PB_M, 3, FALSE))</f>
        <v>1.1690695264060575</v>
      </c>
      <c r="Q26" s="1">
        <f>(Main_M[[#This Row],[ROE]]-VLOOKUP(Main_M[[#This Row],[Industry]], Mean_ROE_M, 2, FALSE))/(VLOOKUP(Main_M[[#This Row],[Industry]], Mean_ROE_M, 3, FALSE))</f>
        <v>-0.48468739373063802</v>
      </c>
      <c r="R26" s="1">
        <f>(Main_M[[#This Row],[ROA]]-VLOOKUP(Main_M[[#This Row],[Industry]], Mean_ROA_M, 2, FALSE))/(VLOOKUP(Main_M[[#This Row],[Industry]], Mean_ROA_M, 3, FALSE))</f>
        <v>2.1609758220954015E-2</v>
      </c>
      <c r="S26" s="1">
        <f>(Main_M[[#This Row],[A/E]]-VLOOKUP(Main_M[[#This Row],[Industry]], Mean_AE_M, 2, FALSE))/(VLOOKUP(Main_M[[#This Row],[Industry]], Mean_AE_M, 3, FALSE))</f>
        <v>0.86141076165343899</v>
      </c>
      <c r="T26" s="1">
        <f>(Main_M[[#This Row],[P/E]]-VLOOKUP(Main_M[[#This Row],[Industry]], Mean_PE_M, 2, FALSE))/(VLOOKUP(Main_M[[#This Row],[Industry]], Mean_PE_M, 3, FALSE))</f>
        <v>1.1917329775457559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s="68" t="s">
        <v>112</v>
      </c>
      <c r="B27" s="68" t="s">
        <v>166</v>
      </c>
      <c r="C27" s="2">
        <v>4713</v>
      </c>
      <c r="D27">
        <f>RTD("tos.rtd", , "LAST", Main_M[[#This Row],[Symbol]])</f>
        <v>29.67</v>
      </c>
      <c r="E27">
        <v>1.1599999999999999</v>
      </c>
      <c r="F27">
        <v>28.67</v>
      </c>
      <c r="G27">
        <v>0.34</v>
      </c>
      <c r="H27" s="1">
        <f>IF(ISNUMBER(Main_M[[#This Row],[Free CF]]),IF(Main_M[[#This Row],[Free CF]]&lt;&gt;0,Main_M[[#This Row],[Current Price]]/Main_M[[#This Row],[Free CF]],""),"")</f>
        <v>25.577586206896555</v>
      </c>
      <c r="I27" s="1">
        <f>IF(ISNUMBER(Main_M[[#This Row],[BVPS]]),IF(Main_M[[#This Row],[BVPS]]&lt;&gt;0,Main_M[[#This Row],[Current Price]]/Main_M[[#This Row],[BVPS]],""),"")</f>
        <v>1.0348796651552146</v>
      </c>
      <c r="J27">
        <v>1.1599999999999999</v>
      </c>
      <c r="K27">
        <v>1.43</v>
      </c>
      <c r="L27">
        <v>1.8</v>
      </c>
      <c r="M27" s="1">
        <f>IF(ISNUMBER(Main_M[[#This Row],[EPS]]),IF(Main_M[[#This Row],[EPS]]&lt;&gt;0,Main_M[[#This Row],[Current Price]]/Main_M[[#This Row],[EPS]],""),"")</f>
        <v>87.264705882352942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1.4155761847304296</v>
      </c>
      <c r="P27" s="1">
        <f>(Main_M[[#This Row],[P/B]]-VLOOKUP(Main_M[[#This Row],[Industry]], Mean_PB_M, 2, FALSE))/(VLOOKUP(Main_M[[#This Row],[Industry]], Mean_PB_M, 3, FALSE))</f>
        <v>-0.7953681849644485</v>
      </c>
      <c r="Q27" s="1">
        <f>(Main_M[[#This Row],[ROE]]-VLOOKUP(Main_M[[#This Row],[Industry]], Mean_ROE_M, 2, FALSE))/(VLOOKUP(Main_M[[#This Row],[Industry]], Mean_ROE_M, 3, FALSE))</f>
        <v>-0.85548649275954147</v>
      </c>
      <c r="R27" s="1">
        <f>(Main_M[[#This Row],[ROA]]-VLOOKUP(Main_M[[#This Row],[Industry]], Mean_ROA_M, 2, FALSE))/(VLOOKUP(Main_M[[#This Row],[Industry]], Mean_ROA_M, 3, FALSE))</f>
        <v>-0.10296414211160476</v>
      </c>
      <c r="S27" s="1">
        <f>(Main_M[[#This Row],[A/E]]-VLOOKUP(Main_M[[#This Row],[Industry]], Mean_AE_M, 2, FALSE))/(VLOOKUP(Main_M[[#This Row],[Industry]], Mean_AE_M, 3, FALSE))</f>
        <v>-1.2667805318432919</v>
      </c>
      <c r="T27" s="1">
        <f>(Main_M[[#This Row],[P/E]]-VLOOKUP(Main_M[[#This Row],[Industry]], Mean_PE_M, 2, FALSE))/(VLOOKUP(Main_M[[#This Row],[Industry]], Mean_PE_M, 3, FALSE))</f>
        <v>1.4829592172213124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s="68" t="s">
        <v>112</v>
      </c>
      <c r="B28" s="68" t="s">
        <v>167</v>
      </c>
      <c r="C28" s="2">
        <v>2383</v>
      </c>
      <c r="D28">
        <f>RTD("tos.rtd", , "LAST", Main_M[[#This Row],[Symbol]])</f>
        <v>14.62</v>
      </c>
      <c r="E28">
        <v>2.4</v>
      </c>
      <c r="F28">
        <v>12.22</v>
      </c>
      <c r="G28">
        <v>0.32</v>
      </c>
      <c r="H28" s="1">
        <f>IF(ISNUMBER(Main_M[[#This Row],[Free CF]]),IF(Main_M[[#This Row],[Free CF]]&lt;&gt;0,Main_M[[#This Row],[Current Price]]/Main_M[[#This Row],[Free CF]],""),"")</f>
        <v>6.0916666666666668</v>
      </c>
      <c r="I28" s="1">
        <f>IF(ISNUMBER(Main_M[[#This Row],[BVPS]]),IF(Main_M[[#This Row],[BVPS]]&lt;&gt;0,Main_M[[#This Row],[Current Price]]/Main_M[[#This Row],[BVPS]],""),"")</f>
        <v>1.1963993453355155</v>
      </c>
      <c r="J28">
        <v>1.23</v>
      </c>
      <c r="K28">
        <v>1.35</v>
      </c>
      <c r="L28">
        <v>4.68</v>
      </c>
      <c r="M28" s="1">
        <f>IF(ISNUMBER(Main_M[[#This Row],[EPS]]),IF(Main_M[[#This Row],[EPS]]&lt;&gt;0,Main_M[[#This Row],[Current Price]]/Main_M[[#This Row],[EPS]],""),"")</f>
        <v>45.6875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-1.0451928474037193</v>
      </c>
      <c r="P28" s="1">
        <f>(Main_M[[#This Row],[P/B]]-VLOOKUP(Main_M[[#This Row],[Industry]], Mean_PB_M, 2, FALSE))/(VLOOKUP(Main_M[[#This Row],[Industry]], Mean_PB_M, 3, FALSE))</f>
        <v>-0.43332705243384084</v>
      </c>
      <c r="Q28" s="1">
        <f>(Main_M[[#This Row],[ROE]]-VLOOKUP(Main_M[[#This Row],[Industry]], Mean_ROE_M, 2, FALSE))/(VLOOKUP(Main_M[[#This Row],[Industry]], Mean_ROE_M, 3, FALSE))</f>
        <v>-0.82458656784046613</v>
      </c>
      <c r="R28" s="1">
        <f>(Main_M[[#This Row],[ROA]]-VLOOKUP(Main_M[[#This Row],[Industry]], Mean_ROA_M, 2, FALSE))/(VLOOKUP(Main_M[[#This Row],[Industry]], Mean_ROA_M, 3, FALSE))</f>
        <v>-0.17414922801592386</v>
      </c>
      <c r="S28" s="1">
        <f>(Main_M[[#This Row],[A/E]]-VLOOKUP(Main_M[[#This Row],[Industry]], Mean_AE_M, 2, FALSE))/(VLOOKUP(Main_M[[#This Row],[Industry]], Mean_AE_M, 3, FALSE))</f>
        <v>1.8287704405155893</v>
      </c>
      <c r="T28" s="1">
        <f>(Main_M[[#This Row],[P/E]]-VLOOKUP(Main_M[[#This Row],[Industry]], Mean_PE_M, 2, FALSE))/(VLOOKUP(Main_M[[#This Row],[Industry]], Mean_PE_M, 3, FALSE))</f>
        <v>-6.3690170343303574E-3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s="68" t="s">
        <v>112</v>
      </c>
      <c r="B29" s="68" t="s">
        <v>170</v>
      </c>
      <c r="C29" s="2">
        <v>4032</v>
      </c>
      <c r="D29">
        <f>RTD("tos.rtd", , "LAST", Main_M[[#This Row],[Symbol]])</f>
        <v>64.36</v>
      </c>
      <c r="E29">
        <v>2.42</v>
      </c>
      <c r="F29">
        <v>50.9</v>
      </c>
      <c r="G29">
        <v>-0.45</v>
      </c>
      <c r="H29" s="1">
        <f>IF(ISNUMBER(Main_M[[#This Row],[Free CF]]),IF(Main_M[[#This Row],[Free CF]]&lt;&gt;0,Main_M[[#This Row],[Current Price]]/Main_M[[#This Row],[Free CF]],""),"")</f>
        <v>26.595041322314049</v>
      </c>
      <c r="I29" s="1">
        <f>IF(ISNUMBER(Main_M[[#This Row],[BVPS]]),IF(Main_M[[#This Row],[BVPS]]&lt;&gt;0,Main_M[[#This Row],[Current Price]]/Main_M[[#This Row],[BVPS]],""),"")</f>
        <v>1.2644400785854617</v>
      </c>
      <c r="J29">
        <v>-0.22</v>
      </c>
      <c r="K29">
        <v>-0.79</v>
      </c>
      <c r="L29">
        <v>3.16</v>
      </c>
      <c r="M29" s="1">
        <f>IF(ISNUMBER(Main_M[[#This Row],[EPS]]),IF(Main_M[[#This Row],[EPS]]&lt;&gt;0,Main_M[[#This Row],[Current Price]]/Main_M[[#This Row],[EPS]],""),"")</f>
        <v>-143.02222222222221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1.544064965279726</v>
      </c>
      <c r="P29" s="1">
        <f>(Main_M[[#This Row],[P/B]]-VLOOKUP(Main_M[[#This Row],[Industry]], Mean_PB_M, 2, FALSE))/(VLOOKUP(Main_M[[#This Row],[Industry]], Mean_PB_M, 3, FALSE))</f>
        <v>-0.28081595226000694</v>
      </c>
      <c r="Q29" s="1">
        <f>(Main_M[[#This Row],[ROE]]-VLOOKUP(Main_M[[#This Row],[Industry]], Mean_ROE_M, 2, FALSE))/(VLOOKUP(Main_M[[#This Row],[Industry]], Mean_ROE_M, 3, FALSE))</f>
        <v>-1.4646564411641685</v>
      </c>
      <c r="R29" s="1">
        <f>(Main_M[[#This Row],[ROA]]-VLOOKUP(Main_M[[#This Row],[Industry]], Mean_ROA_M, 2, FALSE))/(VLOOKUP(Main_M[[#This Row],[Industry]], Mean_ROA_M, 3, FALSE))</f>
        <v>-2.0783502759564634</v>
      </c>
      <c r="S29" s="1">
        <f>(Main_M[[#This Row],[A/E]]-VLOOKUP(Main_M[[#This Row],[Industry]], Mean_AE_M, 2, FALSE))/(VLOOKUP(Main_M[[#This Row],[Industry]], Mean_AE_M, 3, FALSE))</f>
        <v>0.19500742732618009</v>
      </c>
      <c r="T29" s="1">
        <f>(Main_M[[#This Row],[P/E]]-VLOOKUP(Main_M[[#This Row],[Industry]], Mean_PE_M, 2, FALSE))/(VLOOKUP(Main_M[[#This Row],[Industry]], Mean_PE_M, 3, FALSE))</f>
        <v>-6.7660997738186488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0" spans="1:26" x14ac:dyDescent="0.25">
      <c r="A30" s="68" t="s">
        <v>147</v>
      </c>
      <c r="B30" s="68" t="s">
        <v>200</v>
      </c>
      <c r="C30" s="2">
        <v>4057</v>
      </c>
      <c r="D30">
        <f>RTD("tos.rtd", , "LAST", Main_M[[#This Row],[Symbol]])</f>
        <v>69.17</v>
      </c>
      <c r="E30">
        <v>6.49</v>
      </c>
      <c r="F30">
        <v>55.71</v>
      </c>
      <c r="G30">
        <v>6.36</v>
      </c>
      <c r="H30" s="1">
        <f>IF(ISNUMBER(Main_M[[#This Row],[Free CF]]),IF(Main_M[[#This Row],[Free CF]]&lt;&gt;0,Main_M[[#This Row],[Current Price]]/Main_M[[#This Row],[Free CF]],""),"")</f>
        <v>10.657935285053929</v>
      </c>
      <c r="I30" s="1">
        <f>IF(ISNUMBER(Main_M[[#This Row],[BVPS]]),IF(Main_M[[#This Row],[BVPS]]&lt;&gt;0,Main_M[[#This Row],[Current Price]]/Main_M[[#This Row],[BVPS]],""),"")</f>
        <v>1.2416083288458086</v>
      </c>
      <c r="J30">
        <v>10.82</v>
      </c>
      <c r="K30">
        <v>3.73</v>
      </c>
      <c r="L30">
        <v>3.33</v>
      </c>
      <c r="M30" s="1">
        <f>IF(ISNUMBER(Main_M[[#This Row],[EPS]]),IF(Main_M[[#This Row],[EPS]]&lt;&gt;0,Main_M[[#This Row],[Current Price]]/Main_M[[#This Row],[EPS]],""),"")</f>
        <v>10.875786163522012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-1.5117485159903237</v>
      </c>
      <c r="P30" s="1">
        <f>(Main_M[[#This Row],[P/B]]-VLOOKUP(Main_M[[#This Row],[Industry]], Mean_PB_M, 2, FALSE))/(VLOOKUP(Main_M[[#This Row],[Industry]], Mean_PB_M, 3, FALSE))</f>
        <v>-1.2630025741081332</v>
      </c>
      <c r="Q30" s="1">
        <f>(Main_M[[#This Row],[ROE]]-VLOOKUP(Main_M[[#This Row],[Industry]], Mean_ROE_M, 2, FALSE))/(VLOOKUP(Main_M[[#This Row],[Industry]], Mean_ROE_M, 3, FALSE))</f>
        <v>0.770647362658747</v>
      </c>
      <c r="R30" s="1">
        <f>(Main_M[[#This Row],[ROA]]-VLOOKUP(Main_M[[#This Row],[Industry]], Mean_ROA_M, 2, FALSE))/(VLOOKUP(Main_M[[#This Row],[Industry]], Mean_ROA_M, 3, FALSE))</f>
        <v>-0.26551191932744428</v>
      </c>
      <c r="S30" s="1">
        <f>(Main_M[[#This Row],[A/E]]-VLOOKUP(Main_M[[#This Row],[Industry]], Mean_AE_M, 2, FALSE))/(VLOOKUP(Main_M[[#This Row],[Industry]], Mean_AE_M, 3, FALSE))</f>
        <v>0.22818257664364608</v>
      </c>
      <c r="T30" s="1">
        <f>(Main_M[[#This Row],[P/E]]-VLOOKUP(Main_M[[#This Row],[Industry]], Mean_PE_M, 2, FALSE))/(VLOOKUP(Main_M[[#This Row],[Industry]], Mean_PE_M, 3, FALSE))</f>
        <v>-0.28427919387446948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s="68" t="s">
        <v>147</v>
      </c>
      <c r="B31" s="68" t="s">
        <v>204</v>
      </c>
      <c r="C31" s="2">
        <v>7971</v>
      </c>
      <c r="D31">
        <f>RTD("tos.rtd", , "LAST", Main_M[[#This Row],[Symbol]])</f>
        <v>177.32</v>
      </c>
      <c r="E31">
        <v>4.84</v>
      </c>
      <c r="F31">
        <v>26.53</v>
      </c>
      <c r="G31">
        <v>2.88</v>
      </c>
      <c r="H31" s="1">
        <f>IF(ISNUMBER(Main_M[[#This Row],[Free CF]]),IF(Main_M[[#This Row],[Free CF]]&lt;&gt;0,Main_M[[#This Row],[Current Price]]/Main_M[[#This Row],[Free CF]],""),"")</f>
        <v>36.636363636363633</v>
      </c>
      <c r="I31" s="1">
        <f>IF(ISNUMBER(Main_M[[#This Row],[BVPS]]),IF(Main_M[[#This Row],[BVPS]]&lt;&gt;0,Main_M[[#This Row],[Current Price]]/Main_M[[#This Row],[BVPS]],""),"")</f>
        <v>6.6837542404824717</v>
      </c>
      <c r="J31">
        <v>12.27</v>
      </c>
      <c r="K31">
        <v>5.31</v>
      </c>
      <c r="L31">
        <v>3.51</v>
      </c>
      <c r="M31" s="1">
        <f>IF(ISNUMBER(Main_M[[#This Row],[EPS]]),IF(Main_M[[#This Row],[EPS]]&lt;&gt;0,Main_M[[#This Row],[Current Price]]/Main_M[[#This Row],[EPS]],""),"")</f>
        <v>61.569444444444443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1.6690480228429343</v>
      </c>
      <c r="P31" s="1">
        <f>(Main_M[[#This Row],[P/B]]-VLOOKUP(Main_M[[#This Row],[Industry]], Mean_PB_M, 2, FALSE))/(VLOOKUP(Main_M[[#This Row],[Industry]], Mean_PB_M, 3, FALSE))</f>
        <v>0.79816598530653449</v>
      </c>
      <c r="Q31" s="1">
        <f>(Main_M[[#This Row],[ROE]]-VLOOKUP(Main_M[[#This Row],[Industry]], Mean_ROE_M, 2, FALSE))/(VLOOKUP(Main_M[[#This Row],[Industry]], Mean_ROE_M, 3, FALSE))</f>
        <v>1.3949147793376202</v>
      </c>
      <c r="R31" s="1">
        <f>(Main_M[[#This Row],[ROA]]-VLOOKUP(Main_M[[#This Row],[Industry]], Mean_ROA_M, 2, FALSE))/(VLOOKUP(Main_M[[#This Row],[Industry]], Mean_ROA_M, 3, FALSE))</f>
        <v>2.0437110120708781</v>
      </c>
      <c r="S31" s="1">
        <f>(Main_M[[#This Row],[A/E]]-VLOOKUP(Main_M[[#This Row],[Industry]], Mean_AE_M, 2, FALSE))/(VLOOKUP(Main_M[[#This Row],[Industry]], Mean_AE_M, 3, FALSE))</f>
        <v>0.40456910828229198</v>
      </c>
      <c r="T31" s="1">
        <f>(Main_M[[#This Row],[P/E]]-VLOOKUP(Main_M[[#This Row],[Industry]], Mean_PE_M, 2, FALSE))/(VLOOKUP(Main_M[[#This Row],[Industry]], Mean_PE_M, 3, FALSE))</f>
        <v>1.2287059243872718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s="68" t="s">
        <v>147</v>
      </c>
      <c r="B32" s="68" t="s">
        <v>201</v>
      </c>
      <c r="C32" s="2">
        <v>6099</v>
      </c>
      <c r="D32">
        <f>RTD("tos.rtd", , "LAST", Main_M[[#This Row],[Symbol]])</f>
        <v>126.65</v>
      </c>
      <c r="E32">
        <v>6.27</v>
      </c>
      <c r="F32">
        <v>26.49</v>
      </c>
      <c r="G32">
        <v>2.86</v>
      </c>
      <c r="H32" s="1">
        <f>IF(ISNUMBER(Main_M[[#This Row],[Free CF]]),IF(Main_M[[#This Row],[Free CF]]&lt;&gt;0,Main_M[[#This Row],[Current Price]]/Main_M[[#This Row],[Free CF]],""),"")</f>
        <v>20.199362041467307</v>
      </c>
      <c r="I32" s="1">
        <f>IF(ISNUMBER(Main_M[[#This Row],[BVPS]]),IF(Main_M[[#This Row],[BVPS]]&lt;&gt;0,Main_M[[#This Row],[Current Price]]/Main_M[[#This Row],[BVPS]],""),"")</f>
        <v>4.7810494526236322</v>
      </c>
      <c r="J32">
        <v>9.81</v>
      </c>
      <c r="K32">
        <v>3.92</v>
      </c>
      <c r="L32">
        <v>4.5599999999999996</v>
      </c>
      <c r="M32" s="1">
        <f>IF(ISNUMBER(Main_M[[#This Row],[EPS]]),IF(Main_M[[#This Row],[EPS]]&lt;&gt;0,Main_M[[#This Row],[Current Price]]/Main_M[[#This Row],[EPS]],""),"")</f>
        <v>44.283216783216787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-0.34349704242492424</v>
      </c>
      <c r="P32" s="1">
        <f>(Main_M[[#This Row],[P/B]]-VLOOKUP(Main_M[[#This Row],[Industry]], Mean_PB_M, 2, FALSE))/(VLOOKUP(Main_M[[#This Row],[Industry]], Mean_PB_M, 3, FALSE))</f>
        <v>7.7532001899985201E-2</v>
      </c>
      <c r="Q32" s="1">
        <f>(Main_M[[#This Row],[ROE]]-VLOOKUP(Main_M[[#This Row],[Industry]], Mean_ROE_M, 2, FALSE))/(VLOOKUP(Main_M[[#This Row],[Industry]], Mean_ROE_M, 3, FALSE))</f>
        <v>0.33581281724794548</v>
      </c>
      <c r="R32" s="1">
        <f>(Main_M[[#This Row],[ROA]]-VLOOKUP(Main_M[[#This Row],[Industry]], Mean_ROA_M, 2, FALSE))/(VLOOKUP(Main_M[[#This Row],[Industry]], Mean_ROA_M, 3, FALSE))</f>
        <v>1.2179445840708411E-2</v>
      </c>
      <c r="S32" s="1">
        <f>(Main_M[[#This Row],[A/E]]-VLOOKUP(Main_M[[#This Row],[Industry]], Mean_AE_M, 2, FALSE))/(VLOOKUP(Main_M[[#This Row],[Industry]], Mean_AE_M, 3, FALSE))</f>
        <v>1.4334905428410609</v>
      </c>
      <c r="T32" s="1">
        <f>(Main_M[[#This Row],[P/E]]-VLOOKUP(Main_M[[#This Row],[Industry]], Mean_PE_M, 2, FALSE))/(VLOOKUP(Main_M[[#This Row],[Industry]], Mean_PE_M, 3, FALSE))</f>
        <v>0.71278724561706375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s="68" t="s">
        <v>147</v>
      </c>
      <c r="B33" s="68" t="s">
        <v>198</v>
      </c>
      <c r="C33" s="2">
        <v>2603</v>
      </c>
      <c r="D33">
        <f>RTD("tos.rtd", , "LAST", Main_M[[#This Row],[Symbol]])</f>
        <v>46.1</v>
      </c>
      <c r="E33">
        <v>1.76</v>
      </c>
      <c r="F33">
        <v>12.5</v>
      </c>
      <c r="G33">
        <v>1.33</v>
      </c>
      <c r="H33" s="1">
        <f>IF(ISNUMBER(Main_M[[#This Row],[Free CF]]),IF(Main_M[[#This Row],[Free CF]]&lt;&gt;0,Main_M[[#This Row],[Current Price]]/Main_M[[#This Row],[Free CF]],""),"")</f>
        <v>26.19318181818182</v>
      </c>
      <c r="I33" s="1">
        <f>IF(ISNUMBER(Main_M[[#This Row],[BVPS]]),IF(Main_M[[#This Row],[BVPS]]&lt;&gt;0,Main_M[[#This Row],[Current Price]]/Main_M[[#This Row],[BVPS]],""),"")</f>
        <v>3.6880000000000002</v>
      </c>
      <c r="J33">
        <v>10.52</v>
      </c>
      <c r="K33">
        <v>3.91</v>
      </c>
      <c r="L33">
        <v>2.13</v>
      </c>
      <c r="M33" s="1">
        <f>IF(ISNUMBER(Main_M[[#This Row],[EPS]]),IF(Main_M[[#This Row],[EPS]]&lt;&gt;0,Main_M[[#This Row],[Current Price]]/Main_M[[#This Row],[EPS]],""),"")</f>
        <v>34.661654135338345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0.39038573686963945</v>
      </c>
      <c r="P33" s="1">
        <f>(Main_M[[#This Row],[P/B]]-VLOOKUP(Main_M[[#This Row],[Industry]], Mean_PB_M, 2, FALSE))/(VLOOKUP(Main_M[[#This Row],[Industry]], Mean_PB_M, 3, FALSE))</f>
        <v>-0.33645159982885764</v>
      </c>
      <c r="Q33" s="1">
        <f>(Main_M[[#This Row],[ROE]]-VLOOKUP(Main_M[[#This Row],[Industry]], Mean_ROE_M, 2, FALSE))/(VLOOKUP(Main_M[[#This Row],[Industry]], Mean_ROE_M, 3, FALSE))</f>
        <v>0.6414885867941521</v>
      </c>
      <c r="R33" s="1">
        <f>(Main_M[[#This Row],[ROA]]-VLOOKUP(Main_M[[#This Row],[Industry]], Mean_ROA_M, 2, FALSE))/(VLOOKUP(Main_M[[#This Row],[Industry]], Mean_ROA_M, 3, FALSE))</f>
        <v>-2.4358891681414228E-3</v>
      </c>
      <c r="S33" s="1">
        <f>(Main_M[[#This Row],[A/E]]-VLOOKUP(Main_M[[#This Row],[Industry]], Mean_AE_M, 2, FALSE))/(VLOOKUP(Main_M[[#This Row],[Industry]], Mean_AE_M, 3, FALSE))</f>
        <v>-0.94772763428066176</v>
      </c>
      <c r="T33" s="1">
        <f>(Main_M[[#This Row],[P/E]]-VLOOKUP(Main_M[[#This Row],[Industry]], Mean_PE_M, 2, FALSE))/(VLOOKUP(Main_M[[#This Row],[Industry]], Mean_PE_M, 3, FALSE))</f>
        <v>0.42562546652444178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s="68" t="s">
        <v>147</v>
      </c>
      <c r="B34" s="68" t="s">
        <v>203</v>
      </c>
      <c r="C34" s="2">
        <v>2320</v>
      </c>
      <c r="D34">
        <f>RTD("tos.rtd", , "LAST", Main_M[[#This Row],[Symbol]])</f>
        <v>10.36</v>
      </c>
      <c r="E34">
        <v>0.59</v>
      </c>
      <c r="F34">
        <v>7.68</v>
      </c>
      <c r="G34">
        <v>0.69</v>
      </c>
      <c r="H34" s="1">
        <f>IF(ISNUMBER(Main_M[[#This Row],[Free CF]]),IF(Main_M[[#This Row],[Free CF]]&lt;&gt;0,Main_M[[#This Row],[Current Price]]/Main_M[[#This Row],[Free CF]],""),"")</f>
        <v>17.559322033898304</v>
      </c>
      <c r="I34" s="1">
        <f>IF(ISNUMBER(Main_M[[#This Row],[BVPS]]),IF(Main_M[[#This Row],[BVPS]]&lt;&gt;0,Main_M[[#This Row],[Current Price]]/Main_M[[#This Row],[BVPS]],""),"")</f>
        <v>1.3489583333333333</v>
      </c>
      <c r="J34">
        <v>9.52</v>
      </c>
      <c r="K34">
        <v>3.49</v>
      </c>
      <c r="L34">
        <v>4.17</v>
      </c>
      <c r="M34" s="1">
        <f>IF(ISNUMBER(Main_M[[#This Row],[EPS]]),IF(Main_M[[#This Row],[EPS]]&lt;&gt;0,Main_M[[#This Row],[Current Price]]/Main_M[[#This Row],[EPS]],""),"")</f>
        <v>15.014492753623189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-0.66674331448177304</v>
      </c>
      <c r="P34" s="1">
        <f>(Main_M[[#This Row],[P/B]]-VLOOKUP(Main_M[[#This Row],[Industry]], Mean_PB_M, 2, FALSE))/(VLOOKUP(Main_M[[#This Row],[Industry]], Mean_PB_M, 3, FALSE))</f>
        <v>-1.2223446318744298</v>
      </c>
      <c r="Q34" s="1">
        <f>(Main_M[[#This Row],[ROE]]-VLOOKUP(Main_M[[#This Row],[Industry]], Mean_ROE_M, 2, FALSE))/(VLOOKUP(Main_M[[#This Row],[Industry]], Mean_ROE_M, 3, FALSE))</f>
        <v>0.21095933391217039</v>
      </c>
      <c r="R34" s="1">
        <f>(Main_M[[#This Row],[ROA]]-VLOOKUP(Main_M[[#This Row],[Industry]], Mean_ROA_M, 2, FALSE))/(VLOOKUP(Main_M[[#This Row],[Industry]], Mean_ROA_M, 3, FALSE))</f>
        <v>-0.61627995953984738</v>
      </c>
      <c r="S34" s="1">
        <f>(Main_M[[#This Row],[A/E]]-VLOOKUP(Main_M[[#This Row],[Industry]], Mean_AE_M, 2, FALSE))/(VLOOKUP(Main_M[[#This Row],[Industry]], Mean_AE_M, 3, FALSE))</f>
        <v>1.0513197242906613</v>
      </c>
      <c r="T34" s="1">
        <f>(Main_M[[#This Row],[P/E]]-VLOOKUP(Main_M[[#This Row],[Industry]], Mean_PE_M, 2, FALSE))/(VLOOKUP(Main_M[[#This Row],[Industry]], Mean_PE_M, 3, FALSE))</f>
        <v>-0.16075681075951123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s="68" t="s">
        <v>147</v>
      </c>
      <c r="B35" s="68" t="s">
        <v>199</v>
      </c>
      <c r="C35" s="2">
        <v>2440</v>
      </c>
      <c r="D35">
        <f>RTD("tos.rtd", , "LAST", Main_M[[#This Row],[Symbol]])</f>
        <v>28.28</v>
      </c>
      <c r="E35">
        <v>0.18</v>
      </c>
      <c r="F35">
        <v>3.06</v>
      </c>
      <c r="G35">
        <v>0.13</v>
      </c>
      <c r="H35" s="1">
        <f>IF(ISNUMBER(Main_M[[#This Row],[Free CF]]),IF(Main_M[[#This Row],[Free CF]]&lt;&gt;0,Main_M[[#This Row],[Current Price]]/Main_M[[#This Row],[Free CF]],""),"")</f>
        <v>157.11111111111111</v>
      </c>
      <c r="I35" s="1">
        <f>IF(ISNUMBER(Main_M[[#This Row],[BVPS]]),IF(Main_M[[#This Row],[BVPS]]&lt;&gt;0,Main_M[[#This Row],[Current Price]]/Main_M[[#This Row],[BVPS]],""),"")</f>
        <v>9.241830065359478</v>
      </c>
      <c r="J35">
        <v>4.4800000000000004</v>
      </c>
      <c r="K35">
        <v>3.11</v>
      </c>
      <c r="L35">
        <v>1.55</v>
      </c>
      <c r="M35" s="1">
        <f>IF(ISNUMBER(Main_M[[#This Row],[EPS]]),IF(Main_M[[#This Row],[EPS]]&lt;&gt;0,Main_M[[#This Row],[Current Price]]/Main_M[[#This Row],[EPS]],""),"")</f>
        <v>217.53846153846155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16.41996576899551</v>
      </c>
      <c r="P35" s="1">
        <f>(Main_M[[#This Row],[P/B]]-VLOOKUP(Main_M[[#This Row],[Industry]], Mean_PB_M, 2, FALSE))/(VLOOKUP(Main_M[[#This Row],[Industry]], Mean_PB_M, 3, FALSE))</f>
        <v>1.7670164256376253</v>
      </c>
      <c r="Q35" s="1">
        <f>(Main_M[[#This Row],[ROE]]-VLOOKUP(Main_M[[#This Row],[Industry]], Mean_ROE_M, 2, FALSE))/(VLOOKUP(Main_M[[#This Row],[Industry]], Mean_ROE_M, 3, FALSE))</f>
        <v>-1.9589081006130173</v>
      </c>
      <c r="R35" s="1">
        <f>(Main_M[[#This Row],[ROA]]-VLOOKUP(Main_M[[#This Row],[Industry]], Mean_ROA_M, 2, FALSE))/(VLOOKUP(Main_M[[#This Row],[Industry]], Mean_ROA_M, 3, FALSE))</f>
        <v>-1.1716626898761535</v>
      </c>
      <c r="S35" s="1">
        <f>(Main_M[[#This Row],[A/E]]-VLOOKUP(Main_M[[#This Row],[Industry]], Mean_AE_M, 2, FALSE))/(VLOOKUP(Main_M[[#This Row],[Industry]], Mean_AE_M, 3, FALSE))</f>
        <v>-1.5160842362274103</v>
      </c>
      <c r="T35" s="1">
        <f>(Main_M[[#This Row],[P/E]]-VLOOKUP(Main_M[[#This Row],[Industry]], Mean_PE_M, 2, FALSE))/(VLOOKUP(Main_M[[#This Row],[Industry]], Mean_PE_M, 3, FALSE))</f>
        <v>5.883702422479125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6" spans="1:26" x14ac:dyDescent="0.25">
      <c r="A36" s="68" t="s">
        <v>147</v>
      </c>
      <c r="B36" s="68" t="s">
        <v>202</v>
      </c>
      <c r="C36" s="2">
        <v>3081</v>
      </c>
      <c r="D36">
        <f>RTD("tos.rtd", , "LAST", Main_M[[#This Row],[Symbol]])</f>
        <v>6.16</v>
      </c>
      <c r="E36">
        <v>0.23</v>
      </c>
      <c r="F36">
        <v>1.22</v>
      </c>
      <c r="G36">
        <v>-0.14000000000000001</v>
      </c>
      <c r="H36" s="1">
        <f>IF(ISNUMBER(Main_M[[#This Row],[Free CF]]),IF(Main_M[[#This Row],[Free CF]]&lt;&gt;0,Main_M[[#This Row],[Current Price]]/Main_M[[#This Row],[Free CF]],""),"")</f>
        <v>26.782608695652172</v>
      </c>
      <c r="I36" s="1">
        <f>IF(ISNUMBER(Main_M[[#This Row],[BVPS]]),IF(Main_M[[#This Row],[BVPS]]&lt;&gt;0,Main_M[[#This Row],[Current Price]]/Main_M[[#This Row],[BVPS]],""),"")</f>
        <v>5.0491803278688527</v>
      </c>
      <c r="J36">
        <v>-14.89</v>
      </c>
      <c r="K36">
        <v>-5.17</v>
      </c>
      <c r="L36">
        <v>2.4300000000000002</v>
      </c>
      <c r="M36" s="1">
        <f>IF(ISNUMBER(Main_M[[#This Row],[EPS]]),IF(Main_M[[#This Row],[EPS]]&lt;&gt;0,Main_M[[#This Row],[Current Price]]/Main_M[[#This Row],[EPS]],""),"")</f>
        <v>-44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0.46255511318444908</v>
      </c>
      <c r="P36" s="1">
        <f>(Main_M[[#This Row],[P/B]]-VLOOKUP(Main_M[[#This Row],[Industry]], Mean_PB_M, 2, FALSE))/(VLOOKUP(Main_M[[#This Row],[Industry]], Mean_PB_M, 3, FALSE))</f>
        <v>0.17908439296727616</v>
      </c>
      <c r="Q36" s="1">
        <f>(Main_M[[#This Row],[ROE]]-VLOOKUP(Main_M[[#This Row],[Industry]], Mean_ROE_M, 2, FALSE))/(VLOOKUP(Main_M[[#This Row],[Industry]], Mean_ROE_M, 3, FALSE))</f>
        <v>-10.298259728937005</v>
      </c>
      <c r="R36" s="1">
        <f>(Main_M[[#This Row],[ROA]]-VLOOKUP(Main_M[[#This Row],[Industry]], Mean_ROA_M, 2, FALSE))/(VLOOKUP(Main_M[[#This Row],[Industry]], Mean_ROA_M, 3, FALSE))</f>
        <v>-13.273160077204073</v>
      </c>
      <c r="S36" s="1">
        <f>(Main_M[[#This Row],[A/E]]-VLOOKUP(Main_M[[#This Row],[Industry]], Mean_AE_M, 2, FALSE))/(VLOOKUP(Main_M[[#This Row],[Industry]], Mean_AE_M, 3, FALSE))</f>
        <v>-0.65375008154958458</v>
      </c>
      <c r="T36" s="1">
        <f>(Main_M[[#This Row],[P/E]]-VLOOKUP(Main_M[[#This Row],[Industry]], Mean_PE_M, 2, FALSE))/(VLOOKUP(Main_M[[#This Row],[Industry]], Mean_PE_M, 3, FALSE))</f>
        <v>-1.9220826318947961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s="68" t="s">
        <v>120</v>
      </c>
      <c r="B37" s="68" t="s">
        <v>294</v>
      </c>
      <c r="C37" s="2">
        <v>5165</v>
      </c>
      <c r="D37">
        <f>RTD("tos.rtd", , "LAST", Main_M[[#This Row],[Symbol]])</f>
        <v>32.682000000000002</v>
      </c>
      <c r="E37">
        <v>2.61</v>
      </c>
      <c r="F37">
        <v>38.6</v>
      </c>
      <c r="G37">
        <v>0.49</v>
      </c>
      <c r="H37" s="1">
        <f>IF(ISNUMBER(Main_M[[#This Row],[Free CF]]),IF(Main_M[[#This Row],[Free CF]]&lt;&gt;0,Main_M[[#This Row],[Current Price]]/Main_M[[#This Row],[Free CF]],""),"")</f>
        <v>12.521839080459772</v>
      </c>
      <c r="I37" s="1">
        <f>IF(ISNUMBER(Main_M[[#This Row],[BVPS]]),IF(Main_M[[#This Row],[BVPS]]&lt;&gt;0,Main_M[[#This Row],[Current Price]]/Main_M[[#This Row],[BVPS]],""),"")</f>
        <v>0.84668393782383422</v>
      </c>
      <c r="J37">
        <v>2.9</v>
      </c>
      <c r="K37">
        <v>2.5099999999999998</v>
      </c>
      <c r="L37">
        <v>1.7</v>
      </c>
      <c r="M37" s="1">
        <f>IF(ISNUMBER(Main_M[[#This Row],[EPS]]),IF(Main_M[[#This Row],[EPS]]&lt;&gt;0,Main_M[[#This Row],[Current Price]]/Main_M[[#This Row],[EPS]],""),"")</f>
        <v>66.697959183673476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-1.0000000000000002</v>
      </c>
      <c r="P37" s="1">
        <f>(Main_M[[#This Row],[P/B]]-VLOOKUP(Main_M[[#This Row],[Industry]], Mean_PB_M, 2, FALSE))/(VLOOKUP(Main_M[[#This Row],[Industry]], Mean_PB_M, 3, FALSE))</f>
        <v>-1.0000000000000004</v>
      </c>
      <c r="Q37" s="1">
        <f>(Main_M[[#This Row],[ROE]]-VLOOKUP(Main_M[[#This Row],[Industry]], Mean_ROE_M, 2, FALSE))/(VLOOKUP(Main_M[[#This Row],[Industry]], Mean_ROE_M, 3, FALSE))</f>
        <v>1</v>
      </c>
      <c r="R37" s="1">
        <f>(Main_M[[#This Row],[ROA]]-VLOOKUP(Main_M[[#This Row],[Industry]], Mean_ROA_M, 2, FALSE))/(VLOOKUP(Main_M[[#This Row],[Industry]], Mean_ROA_M, 3, FALSE))</f>
        <v>1.0000000000000007</v>
      </c>
      <c r="S37" s="1">
        <f>(Main_M[[#This Row],[A/E]]-VLOOKUP(Main_M[[#This Row],[Industry]], Mean_AE_M, 2, FALSE))/(VLOOKUP(Main_M[[#This Row],[Industry]], Mean_AE_M, 3, FALSE))</f>
        <v>-0.99999999999918499</v>
      </c>
      <c r="T37" s="1">
        <f>(Main_M[[#This Row],[P/E]]-VLOOKUP(Main_M[[#This Row],[Industry]], Mean_PE_M, 2, FALSE))/(VLOOKUP(Main_M[[#This Row],[Industry]], Mean_PE_M, 3, FALSE))</f>
        <v>-0.99999999999999967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s="68" t="s">
        <v>120</v>
      </c>
      <c r="B38" s="68" t="s">
        <v>178</v>
      </c>
      <c r="C38" s="2">
        <v>4346</v>
      </c>
      <c r="D38">
        <f>RTD("tos.rtd", , "LAST", Main_M[[#This Row],[Symbol]])</f>
        <v>18.29</v>
      </c>
      <c r="E38">
        <v>0.71</v>
      </c>
      <c r="F38">
        <v>14.81</v>
      </c>
      <c r="G38">
        <v>0.13</v>
      </c>
      <c r="H38" s="1">
        <f>IF(ISNUMBER(Main_M[[#This Row],[Free CF]]),IF(Main_M[[#This Row],[Free CF]]&lt;&gt;0,Main_M[[#This Row],[Current Price]]/Main_M[[#This Row],[Free CF]],""),"")</f>
        <v>25.760563380281692</v>
      </c>
      <c r="I38" s="1">
        <f>IF(ISNUMBER(Main_M[[#This Row],[BVPS]]),IF(Main_M[[#This Row],[BVPS]]&lt;&gt;0,Main_M[[#This Row],[Current Price]]/Main_M[[#This Row],[BVPS]],""),"")</f>
        <v>1.2349763673193788</v>
      </c>
      <c r="J38">
        <v>0.86</v>
      </c>
      <c r="K38">
        <v>1.32</v>
      </c>
      <c r="L38">
        <v>1.73</v>
      </c>
      <c r="M38" s="1">
        <f>IF(ISNUMBER(Main_M[[#This Row],[EPS]]),IF(Main_M[[#This Row],[EPS]]&lt;&gt;0,Main_M[[#This Row],[Current Price]]/Main_M[[#This Row],[EPS]],""),"")</f>
        <v>140.69230769230768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1</v>
      </c>
      <c r="P38" s="1">
        <f>(Main_M[[#This Row],[P/B]]-VLOOKUP(Main_M[[#This Row],[Industry]], Mean_PB_M, 2, FALSE))/(VLOOKUP(Main_M[[#This Row],[Industry]], Mean_PB_M, 3, FALSE))</f>
        <v>0.99999999999999933</v>
      </c>
      <c r="Q38" s="1">
        <f>(Main_M[[#This Row],[ROE]]-VLOOKUP(Main_M[[#This Row],[Industry]], Mean_ROE_M, 2, FALSE))/(VLOOKUP(Main_M[[#This Row],[Industry]], Mean_ROE_M, 3, FALSE))</f>
        <v>-1</v>
      </c>
      <c r="R38" s="1">
        <f>(Main_M[[#This Row],[ROA]]-VLOOKUP(Main_M[[#This Row],[Industry]], Mean_ROA_M, 2, FALSE))/(VLOOKUP(Main_M[[#This Row],[Industry]], Mean_ROA_M, 3, FALSE))</f>
        <v>-1.0000000000000011</v>
      </c>
      <c r="S38" s="1">
        <f>(Main_M[[#This Row],[A/E]]-VLOOKUP(Main_M[[#This Row],[Industry]], Mean_AE_M, 2, FALSE))/(VLOOKUP(Main_M[[#This Row],[Industry]], Mean_AE_M, 3, FALSE))</f>
        <v>0.99999999999919986</v>
      </c>
      <c r="T38" s="1">
        <f>(Main_M[[#This Row],[P/E]]-VLOOKUP(Main_M[[#This Row],[Industry]], Mean_PE_M, 2, FALSE))/(VLOOKUP(Main_M[[#This Row],[Industry]], Mean_PE_M, 3, FALSE))</f>
        <v>0.99999999999999967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s="68" t="s">
        <v>131</v>
      </c>
      <c r="B39" s="68" t="s">
        <v>183</v>
      </c>
      <c r="C39" s="2">
        <v>8236</v>
      </c>
      <c r="D39">
        <f>RTD("tos.rtd", , "LAST", Main_M[[#This Row],[Symbol]])</f>
        <v>96.75</v>
      </c>
      <c r="E39">
        <v>5.99</v>
      </c>
      <c r="F39">
        <v>35.15</v>
      </c>
      <c r="G39">
        <v>3.47</v>
      </c>
      <c r="H39" s="1">
        <f>IF(ISNUMBER(Main_M[[#This Row],[Free CF]]),IF(Main_M[[#This Row],[Free CF]]&lt;&gt;0,Main_M[[#This Row],[Current Price]]/Main_M[[#This Row],[Free CF]],""),"")</f>
        <v>16.151919866444072</v>
      </c>
      <c r="I39" s="1">
        <f>IF(ISNUMBER(Main_M[[#This Row],[BVPS]]),IF(Main_M[[#This Row],[BVPS]]&lt;&gt;0,Main_M[[#This Row],[Current Price]]/Main_M[[#This Row],[BVPS]],""),"")</f>
        <v>2.7524893314367</v>
      </c>
      <c r="J39">
        <v>9.4499999999999993</v>
      </c>
      <c r="K39">
        <v>3.17</v>
      </c>
      <c r="L39">
        <v>2.84</v>
      </c>
      <c r="M39" s="1">
        <f>IF(ISNUMBER(Main_M[[#This Row],[EPS]]),IF(Main_M[[#This Row],[EPS]]&lt;&gt;0,Main_M[[#This Row],[Current Price]]/Main_M[[#This Row],[EPS]],""),"")</f>
        <v>27.881844380403457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0.56908323486534662</v>
      </c>
      <c r="P39" s="1">
        <f>(Main_M[[#This Row],[P/B]]-VLOOKUP(Main_M[[#This Row],[Industry]], Mean_PB_M, 2, FALSE))/(VLOOKUP(Main_M[[#This Row],[Industry]], Mean_PB_M, 3, FALSE))</f>
        <v>1.8955802638364125</v>
      </c>
      <c r="Q39" s="1">
        <f>(Main_M[[#This Row],[ROE]]-VLOOKUP(Main_M[[#This Row],[Industry]], Mean_ROE_M, 2, FALSE))/(VLOOKUP(Main_M[[#This Row],[Industry]], Mean_ROE_M, 3, FALSE))</f>
        <v>0.71490912655486216</v>
      </c>
      <c r="R39" s="1">
        <f>(Main_M[[#This Row],[ROA]]-VLOOKUP(Main_M[[#This Row],[Industry]], Mean_ROA_M, 2, FALSE))/(VLOOKUP(Main_M[[#This Row],[Industry]], Mean_ROA_M, 3, FALSE))</f>
        <v>0.61270049758427858</v>
      </c>
      <c r="S39" s="1">
        <f>(Main_M[[#This Row],[A/E]]-VLOOKUP(Main_M[[#This Row],[Industry]], Mean_AE_M, 2, FALSE))/(VLOOKUP(Main_M[[#This Row],[Industry]], Mean_AE_M, 3, FALSE))</f>
        <v>0.45183815593399973</v>
      </c>
      <c r="T39" s="1">
        <f>(Main_M[[#This Row],[P/E]]-VLOOKUP(Main_M[[#This Row],[Industry]], Mean_PE_M, 2, FALSE))/(VLOOKUP(Main_M[[#This Row],[Industry]], Mean_PE_M, 3, FALSE))</f>
        <v>-0.13563341344147609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s="68" t="s">
        <v>131</v>
      </c>
      <c r="B40" s="68" t="s">
        <v>186</v>
      </c>
      <c r="C40" s="2">
        <v>7849</v>
      </c>
      <c r="D40">
        <f>RTD("tos.rtd", , "LAST", Main_M[[#This Row],[Symbol]])</f>
        <v>42.25</v>
      </c>
      <c r="E40">
        <v>3.5</v>
      </c>
      <c r="F40">
        <v>23.23</v>
      </c>
      <c r="G40">
        <v>2.14</v>
      </c>
      <c r="H40" s="1">
        <f>IF(ISNUMBER(Main_M[[#This Row],[Free CF]]),IF(Main_M[[#This Row],[Free CF]]&lt;&gt;0,Main_M[[#This Row],[Current Price]]/Main_M[[#This Row],[Free CF]],""),"")</f>
        <v>12.071428571428571</v>
      </c>
      <c r="I40" s="1">
        <f>IF(ISNUMBER(Main_M[[#This Row],[BVPS]]),IF(Main_M[[#This Row],[BVPS]]&lt;&gt;0,Main_M[[#This Row],[Current Price]]/Main_M[[#This Row],[BVPS]],""),"")</f>
        <v>1.8187688334050796</v>
      </c>
      <c r="J40">
        <v>9.35</v>
      </c>
      <c r="K40">
        <v>3.89</v>
      </c>
      <c r="L40">
        <v>2.0699999999999998</v>
      </c>
      <c r="M40" s="1">
        <f>IF(ISNUMBER(Main_M[[#This Row],[EPS]]),IF(Main_M[[#This Row],[EPS]]&lt;&gt;0,Main_M[[#This Row],[Current Price]]/Main_M[[#This Row],[EPS]],""),"")</f>
        <v>19.742990654205606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-0.72151975554076375</v>
      </c>
      <c r="P40" s="1">
        <f>(Main_M[[#This Row],[P/B]]-VLOOKUP(Main_M[[#This Row],[Industry]], Mean_PB_M, 2, FALSE))/(VLOOKUP(Main_M[[#This Row],[Industry]], Mean_PB_M, 3, FALSE))</f>
        <v>0.28747067393614495</v>
      </c>
      <c r="Q40" s="1">
        <f>(Main_M[[#This Row],[ROE]]-VLOOKUP(Main_M[[#This Row],[Industry]], Mean_ROE_M, 2, FALSE))/(VLOOKUP(Main_M[[#This Row],[Industry]], Mean_ROE_M, 3, FALSE))</f>
        <v>0.69699160458606868</v>
      </c>
      <c r="R40" s="1">
        <f>(Main_M[[#This Row],[ROA]]-VLOOKUP(Main_M[[#This Row],[Industry]], Mean_ROA_M, 2, FALSE))/(VLOOKUP(Main_M[[#This Row],[Industry]], Mean_ROA_M, 3, FALSE))</f>
        <v>1.357489673868544</v>
      </c>
      <c r="S40" s="1">
        <f>(Main_M[[#This Row],[A/E]]-VLOOKUP(Main_M[[#This Row],[Industry]], Mean_AE_M, 2, FALSE))/(VLOOKUP(Main_M[[#This Row],[Industry]], Mean_AE_M, 3, FALSE))</f>
        <v>-0.54439531122444595</v>
      </c>
      <c r="T40" s="1">
        <f>(Main_M[[#This Row],[P/E]]-VLOOKUP(Main_M[[#This Row],[Industry]], Mean_PE_M, 2, FALSE))/(VLOOKUP(Main_M[[#This Row],[Industry]], Mean_PE_M, 3, FALSE))</f>
        <v>-0.37047654726962193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s="68" t="s">
        <v>131</v>
      </c>
      <c r="B41" s="68" t="s">
        <v>179</v>
      </c>
      <c r="C41" s="2">
        <v>8284</v>
      </c>
      <c r="D41">
        <f>RTD("tos.rtd", , "LAST", Main_M[[#This Row],[Symbol]])</f>
        <v>74.59</v>
      </c>
      <c r="E41">
        <v>4.4000000000000004</v>
      </c>
      <c r="F41">
        <v>49.81</v>
      </c>
      <c r="G41">
        <v>1.77</v>
      </c>
      <c r="H41" s="1">
        <f>IF(ISNUMBER(Main_M[[#This Row],[Free CF]]),IF(Main_M[[#This Row],[Free CF]]&lt;&gt;0,Main_M[[#This Row],[Current Price]]/Main_M[[#This Row],[Free CF]],""),"")</f>
        <v>16.952272727272728</v>
      </c>
      <c r="I41" s="1">
        <f>IF(ISNUMBER(Main_M[[#This Row],[BVPS]]),IF(Main_M[[#This Row],[BVPS]]&lt;&gt;0,Main_M[[#This Row],[Current Price]]/Main_M[[#This Row],[BVPS]],""),"")</f>
        <v>1.4974904637622968</v>
      </c>
      <c r="J41">
        <v>3.55</v>
      </c>
      <c r="K41">
        <v>2.2999999999999998</v>
      </c>
      <c r="L41">
        <v>1.61</v>
      </c>
      <c r="M41" s="1">
        <f>IF(ISNUMBER(Main_M[[#This Row],[EPS]]),IF(Main_M[[#This Row],[EPS]]&lt;&gt;0,Main_M[[#This Row],[Current Price]]/Main_M[[#This Row],[EPS]],""),"")</f>
        <v>42.141242937853107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0.82222378115871297</v>
      </c>
      <c r="P41" s="1">
        <f>(Main_M[[#This Row],[P/B]]-VLOOKUP(Main_M[[#This Row],[Industry]], Mean_PB_M, 2, FALSE))/(VLOOKUP(Main_M[[#This Row],[Industry]], Mean_PB_M, 3, FALSE))</f>
        <v>-0.26585425396169537</v>
      </c>
      <c r="Q41" s="1">
        <f>(Main_M[[#This Row],[ROE]]-VLOOKUP(Main_M[[#This Row],[Industry]], Mean_ROE_M, 2, FALSE))/(VLOOKUP(Main_M[[#This Row],[Industry]], Mean_ROE_M, 3, FALSE))</f>
        <v>-0.34222466960395642</v>
      </c>
      <c r="R41" s="1">
        <f>(Main_M[[#This Row],[ROA]]-VLOOKUP(Main_M[[#This Row],[Industry]], Mean_ROA_M, 2, FALSE))/(VLOOKUP(Main_M[[#This Row],[Industry]], Mean_ROA_M, 3, FALSE))</f>
        <v>-0.28725309042587532</v>
      </c>
      <c r="S41" s="1">
        <f>(Main_M[[#This Row],[A/E]]-VLOOKUP(Main_M[[#This Row],[Industry]], Mean_AE_M, 2, FALSE))/(VLOOKUP(Main_M[[#This Row],[Industry]], Mean_AE_M, 3, FALSE))</f>
        <v>-1.1395477721242961</v>
      </c>
      <c r="T41" s="1">
        <f>(Main_M[[#This Row],[P/E]]-VLOOKUP(Main_M[[#This Row],[Industry]], Mean_PE_M, 2, FALSE))/(VLOOKUP(Main_M[[#This Row],[Industry]], Mean_PE_M, 3, FALSE))</f>
        <v>0.2758154166261958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s="68" t="s">
        <v>131</v>
      </c>
      <c r="B42" s="68" t="s">
        <v>292</v>
      </c>
      <c r="C42" s="2">
        <v>7911</v>
      </c>
      <c r="D42">
        <f>RTD("tos.rtd", , "LAST", Main_M[[#This Row],[Symbol]])</f>
        <v>10.692</v>
      </c>
      <c r="E42">
        <v>1.5</v>
      </c>
      <c r="F42">
        <v>10.09</v>
      </c>
      <c r="G42">
        <v>1.1599999999999999</v>
      </c>
      <c r="H42" s="1">
        <f>IF(ISNUMBER(Main_M[[#This Row],[Free CF]]),IF(Main_M[[#This Row],[Free CF]]&lt;&gt;0,Main_M[[#This Row],[Current Price]]/Main_M[[#This Row],[Free CF]],""),"")</f>
        <v>7.1280000000000001</v>
      </c>
      <c r="I42" s="1">
        <f>IF(ISNUMBER(Main_M[[#This Row],[BVPS]]),IF(Main_M[[#This Row],[BVPS]]&lt;&gt;0,Main_M[[#This Row],[Current Price]]/Main_M[[#This Row],[BVPS]],""),"")</f>
        <v>1.0596630327056491</v>
      </c>
      <c r="J42">
        <v>11.88</v>
      </c>
      <c r="K42">
        <v>3.72</v>
      </c>
      <c r="L42">
        <v>3.65</v>
      </c>
      <c r="M42" s="1">
        <f>IF(ISNUMBER(Main_M[[#This Row],[EPS]]),IF(Main_M[[#This Row],[EPS]]&lt;&gt;0,Main_M[[#This Row],[Current Price]]/Main_M[[#This Row],[EPS]],""),"")</f>
        <v>9.2172413793103463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-2.2850578777610404</v>
      </c>
      <c r="P42" s="1">
        <f>(Main_M[[#This Row],[P/B]]-VLOOKUP(Main_M[[#This Row],[Industry]], Mean_PB_M, 2, FALSE))/(VLOOKUP(Main_M[[#This Row],[Industry]], Mean_PB_M, 3, FALSE))</f>
        <v>-1.0199069839680037</v>
      </c>
      <c r="Q42" s="1">
        <f>(Main_M[[#This Row],[ROE]]-VLOOKUP(Main_M[[#This Row],[Industry]], Mean_ROE_M, 2, FALSE))/(VLOOKUP(Main_M[[#This Row],[Industry]], Mean_ROE_M, 3, FALSE))</f>
        <v>1.1503049103965455</v>
      </c>
      <c r="R42" s="1">
        <f>(Main_M[[#This Row],[ROA]]-VLOOKUP(Main_M[[#This Row],[Industry]], Mean_ROA_M, 2, FALSE))/(VLOOKUP(Main_M[[#This Row],[Industry]], Mean_ROA_M, 3, FALSE))</f>
        <v>1.181636673912537</v>
      </c>
      <c r="S42" s="1">
        <f>(Main_M[[#This Row],[A/E]]-VLOOKUP(Main_M[[#This Row],[Industry]], Mean_AE_M, 2, FALSE))/(VLOOKUP(Main_M[[#This Row],[Industry]], Mean_AE_M, 3, FALSE))</f>
        <v>1.4998240109967802</v>
      </c>
      <c r="T42" s="1">
        <f>(Main_M[[#This Row],[P/E]]-VLOOKUP(Main_M[[#This Row],[Industry]], Mean_PE_M, 2, FALSE))/(VLOOKUP(Main_M[[#This Row],[Industry]], Mean_PE_M, 3, FALSE))</f>
        <v>-0.67419252850774525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s="68" t="s">
        <v>131</v>
      </c>
      <c r="B43" s="68" t="s">
        <v>181</v>
      </c>
      <c r="C43" s="2">
        <v>7777</v>
      </c>
      <c r="D43">
        <f>RTD("tos.rtd", , "LAST", Main_M[[#This Row],[Symbol]])</f>
        <v>25.69</v>
      </c>
      <c r="E43">
        <v>2.06</v>
      </c>
      <c r="F43">
        <v>9.65</v>
      </c>
      <c r="G43">
        <v>1.05</v>
      </c>
      <c r="H43" s="1">
        <f>IF(ISNUMBER(Main_M[[#This Row],[Free CF]]),IF(Main_M[[#This Row],[Free CF]]&lt;&gt;0,Main_M[[#This Row],[Current Price]]/Main_M[[#This Row],[Free CF]],""),"")</f>
        <v>12.470873786407767</v>
      </c>
      <c r="I43" s="1">
        <f>IF(ISNUMBER(Main_M[[#This Row],[BVPS]]),IF(Main_M[[#This Row],[BVPS]]&lt;&gt;0,Main_M[[#This Row],[Current Price]]/Main_M[[#This Row],[BVPS]],""),"")</f>
        <v>2.6621761658031087</v>
      </c>
      <c r="J43">
        <v>11.01</v>
      </c>
      <c r="K43">
        <v>3.39</v>
      </c>
      <c r="L43">
        <v>2.91</v>
      </c>
      <c r="M43" s="1">
        <f>IF(ISNUMBER(Main_M[[#This Row],[EPS]]),IF(Main_M[[#This Row],[EPS]]&lt;&gt;0,Main_M[[#This Row],[Current Price]]/Main_M[[#This Row],[EPS]],""),"")</f>
        <v>24.466666666666669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-0.59518075572833973</v>
      </c>
      <c r="P43" s="1">
        <f>(Main_M[[#This Row],[P/B]]-VLOOKUP(Main_M[[#This Row],[Industry]], Mean_PB_M, 2, FALSE))/(VLOOKUP(Main_M[[#This Row],[Industry]], Mean_PB_M, 3, FALSE))</f>
        <v>1.7400374991056426</v>
      </c>
      <c r="Q43" s="1">
        <f>(Main_M[[#This Row],[ROE]]-VLOOKUP(Main_M[[#This Row],[Industry]], Mean_ROE_M, 2, FALSE))/(VLOOKUP(Main_M[[#This Row],[Industry]], Mean_ROE_M, 3, FALSE))</f>
        <v>0.99442246926804145</v>
      </c>
      <c r="R43" s="1">
        <f>(Main_M[[#This Row],[ROA]]-VLOOKUP(Main_M[[#This Row],[Industry]], Mean_ROA_M, 2, FALSE))/(VLOOKUP(Main_M[[#This Row],[Industry]], Mean_ROA_M, 3, FALSE))</f>
        <v>0.84027496811558211</v>
      </c>
      <c r="S43" s="1">
        <f>(Main_M[[#This Row],[A/E]]-VLOOKUP(Main_M[[#This Row],[Industry]], Mean_AE_M, 2, FALSE))/(VLOOKUP(Main_M[[#This Row],[Industry]], Mean_AE_M, 3, FALSE))</f>
        <v>0.54240483476658607</v>
      </c>
      <c r="T43" s="1">
        <f>(Main_M[[#This Row],[P/E]]-VLOOKUP(Main_M[[#This Row],[Industry]], Mean_PE_M, 2, FALSE))/(VLOOKUP(Main_M[[#This Row],[Industry]], Mean_PE_M, 3, FALSE))</f>
        <v>-0.23417690173299829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s="68" t="s">
        <v>131</v>
      </c>
      <c r="B44" s="68" t="s">
        <v>188</v>
      </c>
      <c r="C44" s="2">
        <v>3373</v>
      </c>
      <c r="D44">
        <f>RTD("tos.rtd", , "LAST", Main_M[[#This Row],[Symbol]])</f>
        <v>30.69</v>
      </c>
      <c r="E44">
        <v>2.4</v>
      </c>
      <c r="F44">
        <v>5.6</v>
      </c>
      <c r="G44">
        <v>0.85</v>
      </c>
      <c r="H44" s="1">
        <f>IF(ISNUMBER(Main_M[[#This Row],[Free CF]]),IF(Main_M[[#This Row],[Free CF]]&lt;&gt;0,Main_M[[#This Row],[Current Price]]/Main_M[[#This Row],[Free CF]],""),"")</f>
        <v>12.787500000000001</v>
      </c>
      <c r="I44" s="1">
        <f>IF(ISNUMBER(Main_M[[#This Row],[BVPS]]),IF(Main_M[[#This Row],[BVPS]]&lt;&gt;0,Main_M[[#This Row],[Current Price]]/Main_M[[#This Row],[BVPS]],""),"")</f>
        <v>5.4803571428571436</v>
      </c>
      <c r="J44">
        <v>16.04</v>
      </c>
      <c r="K44">
        <v>4.3099999999999996</v>
      </c>
      <c r="L44">
        <v>3.91</v>
      </c>
      <c r="M44" s="1">
        <f>IF(ISNUMBER(Main_M[[#This Row],[EPS]]),IF(Main_M[[#This Row],[EPS]]&lt;&gt;0,Main_M[[#This Row],[Current Price]]/Main_M[[#This Row],[EPS]],""),"")</f>
        <v>36.10588235294118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-0.49503626121556565</v>
      </c>
      <c r="P44" s="1">
        <f>(Main_M[[#This Row],[P/B]]-VLOOKUP(Main_M[[#This Row],[Industry]], Mean_PB_M, 2, FALSE))/(VLOOKUP(Main_M[[#This Row],[Industry]], Mean_PB_M, 3, FALSE))</f>
        <v>6.5936782458054379</v>
      </c>
      <c r="Q44" s="1">
        <f>(Main_M[[#This Row],[ROE]]-VLOOKUP(Main_M[[#This Row],[Industry]], Mean_ROE_M, 2, FALSE))/(VLOOKUP(Main_M[[#This Row],[Industry]], Mean_ROE_M, 3, FALSE))</f>
        <v>1.8956738242983562</v>
      </c>
      <c r="R44" s="1">
        <f>(Main_M[[#This Row],[ROA]]-VLOOKUP(Main_M[[#This Row],[Industry]], Mean_ROA_M, 2, FALSE))/(VLOOKUP(Main_M[[#This Row],[Industry]], Mean_ROA_M, 3, FALSE))</f>
        <v>1.7919500267010318</v>
      </c>
      <c r="S44" s="1">
        <f>(Main_M[[#This Row],[A/E]]-VLOOKUP(Main_M[[#This Row],[Industry]], Mean_AE_M, 2, FALSE))/(VLOOKUP(Main_M[[#This Row],[Industry]], Mean_AE_M, 3, FALSE))</f>
        <v>1.836214532374957</v>
      </c>
      <c r="T44" s="1">
        <f>(Main_M[[#This Row],[P/E]]-VLOOKUP(Main_M[[#This Row],[Industry]], Mean_PE_M, 2, FALSE))/(VLOOKUP(Main_M[[#This Row],[Industry]], Mean_PE_M, 3, FALSE))</f>
        <v>0.10166767528256017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s="68" t="s">
        <v>131</v>
      </c>
      <c r="B45" s="68" t="s">
        <v>189</v>
      </c>
      <c r="C45" s="2">
        <v>2284</v>
      </c>
      <c r="D45">
        <f>RTD("tos.rtd", , "LAST", Main_M[[#This Row],[Symbol]])</f>
        <v>18.8</v>
      </c>
      <c r="E45">
        <v>1.32</v>
      </c>
      <c r="F45">
        <v>10.08</v>
      </c>
      <c r="G45">
        <v>0.63</v>
      </c>
      <c r="H45" s="1">
        <f>IF(ISNUMBER(Main_M[[#This Row],[Free CF]]),IF(Main_M[[#This Row],[Free CF]]&lt;&gt;0,Main_M[[#This Row],[Current Price]]/Main_M[[#This Row],[Free CF]],""),"")</f>
        <v>14.242424242424242</v>
      </c>
      <c r="I45" s="1">
        <f>IF(ISNUMBER(Main_M[[#This Row],[BVPS]]),IF(Main_M[[#This Row],[BVPS]]&lt;&gt;0,Main_M[[#This Row],[Current Price]]/Main_M[[#This Row],[BVPS]],""),"")</f>
        <v>1.8650793650793651</v>
      </c>
      <c r="J45">
        <v>6.32</v>
      </c>
      <c r="K45">
        <v>1.99</v>
      </c>
      <c r="L45">
        <v>2.61</v>
      </c>
      <c r="M45" s="1">
        <f>IF(ISNUMBER(Main_M[[#This Row],[EPS]]),IF(Main_M[[#This Row],[EPS]]&lt;&gt;0,Main_M[[#This Row],[Current Price]]/Main_M[[#This Row],[EPS]],""),"")</f>
        <v>29.841269841269842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-3.4863835316557096E-2</v>
      </c>
      <c r="P45" s="1">
        <f>(Main_M[[#This Row],[P/B]]-VLOOKUP(Main_M[[#This Row],[Industry]], Mean_PB_M, 2, FALSE))/(VLOOKUP(Main_M[[#This Row],[Industry]], Mean_PB_M, 3, FALSE))</f>
        <v>0.36722945641526394</v>
      </c>
      <c r="Q45" s="1">
        <f>(Main_M[[#This Row],[ROE]]-VLOOKUP(Main_M[[#This Row],[Industry]], Mean_ROE_M, 2, FALSE))/(VLOOKUP(Main_M[[#This Row],[Industry]], Mean_ROE_M, 3, FALSE))</f>
        <v>0.15409068893162464</v>
      </c>
      <c r="R45" s="1">
        <f>(Main_M[[#This Row],[ROA]]-VLOOKUP(Main_M[[#This Row],[Industry]], Mean_ROA_M, 2, FALSE))/(VLOOKUP(Main_M[[#This Row],[Industry]], Mean_ROA_M, 3, FALSE))</f>
        <v>-0.60792620799271158</v>
      </c>
      <c r="S45" s="1">
        <f>(Main_M[[#This Row],[A/E]]-VLOOKUP(Main_M[[#This Row],[Industry]], Mean_AE_M, 2, FALSE))/(VLOOKUP(Main_M[[#This Row],[Industry]], Mean_AE_M, 3, FALSE))</f>
        <v>0.15426192548407444</v>
      </c>
      <c r="T45" s="1">
        <f>(Main_M[[#This Row],[P/E]]-VLOOKUP(Main_M[[#This Row],[Industry]], Mean_PE_M, 2, FALSE))/(VLOOKUP(Main_M[[#This Row],[Industry]], Mean_PE_M, 3, FALSE))</f>
        <v>-7.9095032090385264E-2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s="68" t="s">
        <v>131</v>
      </c>
      <c r="B46" s="68" t="s">
        <v>293</v>
      </c>
      <c r="C46" s="2">
        <v>3751</v>
      </c>
      <c r="D46">
        <f>RTD("tos.rtd", , "LAST", Main_M[[#This Row],[Symbol]])</f>
        <v>12.884399999999999</v>
      </c>
      <c r="E46">
        <v>0.84</v>
      </c>
      <c r="F46">
        <v>17.11</v>
      </c>
      <c r="G46">
        <v>0.6</v>
      </c>
      <c r="H46" s="1">
        <f>IF(ISNUMBER(Main_M[[#This Row],[Free CF]]),IF(Main_M[[#This Row],[Free CF]]&lt;&gt;0,Main_M[[#This Row],[Current Price]]/Main_M[[#This Row],[Free CF]],""),"")</f>
        <v>15.338571428571429</v>
      </c>
      <c r="I46" s="1">
        <f>IF(ISNUMBER(Main_M[[#This Row],[BVPS]]),IF(Main_M[[#This Row],[BVPS]]&lt;&gt;0,Main_M[[#This Row],[Current Price]]/Main_M[[#This Row],[BVPS]],""),"")</f>
        <v>0.75303331385154881</v>
      </c>
      <c r="J46">
        <v>3.52</v>
      </c>
      <c r="K46">
        <v>2.38</v>
      </c>
      <c r="L46">
        <v>2.09</v>
      </c>
      <c r="M46" s="1">
        <f>IF(ISNUMBER(Main_M[[#This Row],[EPS]]),IF(Main_M[[#This Row],[EPS]]&lt;&gt;0,Main_M[[#This Row],[Current Price]]/Main_M[[#This Row],[EPS]],""),"")</f>
        <v>21.474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0.31183236719584861</v>
      </c>
      <c r="P46" s="1">
        <f>(Main_M[[#This Row],[P/B]]-VLOOKUP(Main_M[[#This Row],[Industry]], Mean_PB_M, 2, FALSE))/(VLOOKUP(Main_M[[#This Row],[Industry]], Mean_PB_M, 3, FALSE))</f>
        <v>-1.5480031245980908</v>
      </c>
      <c r="Q46" s="1">
        <f>(Main_M[[#This Row],[ROE]]-VLOOKUP(Main_M[[#This Row],[Industry]], Mean_ROE_M, 2, FALSE))/(VLOOKUP(Main_M[[#This Row],[Industry]], Mean_ROE_M, 3, FALSE))</f>
        <v>-0.34759992619459446</v>
      </c>
      <c r="R46" s="1">
        <f>(Main_M[[#This Row],[ROA]]-VLOOKUP(Main_M[[#This Row],[Industry]], Mean_ROA_M, 2, FALSE))/(VLOOKUP(Main_M[[#This Row],[Industry]], Mean_ROA_M, 3, FALSE))</f>
        <v>-0.20449873750540135</v>
      </c>
      <c r="S46" s="1">
        <f>(Main_M[[#This Row],[A/E]]-VLOOKUP(Main_M[[#This Row],[Industry]], Mean_AE_M, 2, FALSE))/(VLOOKUP(Main_M[[#This Row],[Industry]], Mean_AE_M, 3, FALSE))</f>
        <v>-0.51851911727227851</v>
      </c>
      <c r="T46" s="1">
        <f>(Main_M[[#This Row],[P/E]]-VLOOKUP(Main_M[[#This Row],[Industry]], Mean_PE_M, 2, FALSE))/(VLOOKUP(Main_M[[#This Row],[Industry]], Mean_PE_M, 3, FALSE))</f>
        <v>-0.32052901496004793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s="68" t="s">
        <v>131</v>
      </c>
      <c r="B47" s="68" t="s">
        <v>187</v>
      </c>
      <c r="C47" s="2">
        <v>4447</v>
      </c>
      <c r="D47">
        <f>RTD("tos.rtd", , "LAST", Main_M[[#This Row],[Symbol]])</f>
        <v>36.07</v>
      </c>
      <c r="E47">
        <v>1.81</v>
      </c>
      <c r="F47">
        <v>18.43</v>
      </c>
      <c r="G47">
        <v>0.56999999999999995</v>
      </c>
      <c r="H47" s="1">
        <f>IF(ISNUMBER(Main_M[[#This Row],[Free CF]]),IF(Main_M[[#This Row],[Free CF]]&lt;&gt;0,Main_M[[#This Row],[Current Price]]/Main_M[[#This Row],[Free CF]],""),"")</f>
        <v>19.928176795580111</v>
      </c>
      <c r="I47" s="1">
        <f>IF(ISNUMBER(Main_M[[#This Row],[BVPS]]),IF(Main_M[[#This Row],[BVPS]]&lt;&gt;0,Main_M[[#This Row],[Current Price]]/Main_M[[#This Row],[BVPS]],""),"")</f>
        <v>1.9571351058057516</v>
      </c>
      <c r="J47">
        <v>3</v>
      </c>
      <c r="K47">
        <v>2.2200000000000002</v>
      </c>
      <c r="L47">
        <v>2.23</v>
      </c>
      <c r="M47" s="1">
        <f>IF(ISNUMBER(Main_M[[#This Row],[EPS]]),IF(Main_M[[#This Row],[EPS]]&lt;&gt;0,Main_M[[#This Row],[Current Price]]/Main_M[[#This Row],[EPS]],""),"")</f>
        <v>63.280701754385973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1.763461100892936</v>
      </c>
      <c r="P47" s="1">
        <f>(Main_M[[#This Row],[P/B]]-VLOOKUP(Main_M[[#This Row],[Industry]], Mean_PB_M, 2, FALSE))/(VLOOKUP(Main_M[[#This Row],[Industry]], Mean_PB_M, 3, FALSE))</f>
        <v>0.52577338875856083</v>
      </c>
      <c r="Q47" s="1">
        <f>(Main_M[[#This Row],[ROE]]-VLOOKUP(Main_M[[#This Row],[Industry]], Mean_ROE_M, 2, FALSE))/(VLOOKUP(Main_M[[#This Row],[Industry]], Mean_ROE_M, 3, FALSE))</f>
        <v>-0.44077104043232085</v>
      </c>
      <c r="R47" s="1">
        <f>(Main_M[[#This Row],[ROA]]-VLOOKUP(Main_M[[#This Row],[Industry]], Mean_ROA_M, 2, FALSE))/(VLOOKUP(Main_M[[#This Row],[Industry]], Mean_ROA_M, 3, FALSE))</f>
        <v>-0.37000744334634889</v>
      </c>
      <c r="S47" s="1">
        <f>(Main_M[[#This Row],[A/E]]-VLOOKUP(Main_M[[#This Row],[Industry]], Mean_AE_M, 2, FALSE))/(VLOOKUP(Main_M[[#This Row],[Industry]], Mean_AE_M, 3, FALSE))</f>
        <v>-0.33738575960710637</v>
      </c>
      <c r="T47" s="1">
        <f>(Main_M[[#This Row],[P/E]]-VLOOKUP(Main_M[[#This Row],[Industry]], Mean_PE_M, 2, FALSE))/(VLOOKUP(Main_M[[#This Row],[Industry]], Mean_PE_M, 3, FALSE))</f>
        <v>0.88578543487651784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8" spans="1:26" x14ac:dyDescent="0.25">
      <c r="A48" s="68" t="s">
        <v>131</v>
      </c>
      <c r="B48" s="68" t="s">
        <v>180</v>
      </c>
      <c r="C48" s="2">
        <v>2522</v>
      </c>
      <c r="D48">
        <f>RTD("tos.rtd", , "LAST", Main_M[[#This Row],[Symbol]])</f>
        <v>19.8</v>
      </c>
      <c r="E48">
        <v>1.24</v>
      </c>
      <c r="F48">
        <v>17.55</v>
      </c>
      <c r="G48">
        <v>0.17</v>
      </c>
      <c r="H48" s="1">
        <f>IF(ISNUMBER(Main_M[[#This Row],[Free CF]]),IF(Main_M[[#This Row],[Free CF]]&lt;&gt;0,Main_M[[#This Row],[Current Price]]/Main_M[[#This Row],[Free CF]],""),"")</f>
        <v>15.967741935483872</v>
      </c>
      <c r="I48" s="1">
        <f>IF(ISNUMBER(Main_M[[#This Row],[BVPS]]),IF(Main_M[[#This Row],[BVPS]]&lt;&gt;0,Main_M[[#This Row],[Current Price]]/Main_M[[#This Row],[BVPS]],""),"")</f>
        <v>1.1282051282051282</v>
      </c>
      <c r="J48">
        <v>0.13</v>
      </c>
      <c r="K48">
        <v>1.24</v>
      </c>
      <c r="L48">
        <v>2.06</v>
      </c>
      <c r="M48" s="1">
        <f>IF(ISNUMBER(Main_M[[#This Row],[EPS]]),IF(Main_M[[#This Row],[EPS]]&lt;&gt;0,Main_M[[#This Row],[Current Price]]/Main_M[[#This Row],[EPS]],""),"")</f>
        <v>116.47058823529412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0.51083030126531526</v>
      </c>
      <c r="P48" s="1">
        <f>(Main_M[[#This Row],[P/B]]-VLOOKUP(Main_M[[#This Row],[Industry]], Mean_PB_M, 2, FALSE))/(VLOOKUP(Main_M[[#This Row],[Industry]], Mean_PB_M, 3, FALSE))</f>
        <v>-0.90185966540004447</v>
      </c>
      <c r="Q48" s="1">
        <f>(Main_M[[#This Row],[ROE]]-VLOOKUP(Main_M[[#This Row],[Industry]], Mean_ROE_M, 2, FALSE))/(VLOOKUP(Main_M[[#This Row],[Industry]], Mean_ROE_M, 3, FALSE))</f>
        <v>-0.95500392093669539</v>
      </c>
      <c r="R48" s="1">
        <f>(Main_M[[#This Row],[ROA]]-VLOOKUP(Main_M[[#This Row],[Industry]], Mean_ROA_M, 2, FALSE))/(VLOOKUP(Main_M[[#This Row],[Industry]], Mean_ROA_M, 3, FALSE))</f>
        <v>-1.3837482666221546</v>
      </c>
      <c r="S48" s="1">
        <f>(Main_M[[#This Row],[A/E]]-VLOOKUP(Main_M[[#This Row],[Industry]], Mean_AE_M, 2, FALSE))/(VLOOKUP(Main_M[[#This Row],[Industry]], Mean_AE_M, 3, FALSE))</f>
        <v>-0.55733340820052935</v>
      </c>
      <c r="T48" s="1">
        <f>(Main_M[[#This Row],[P/E]]-VLOOKUP(Main_M[[#This Row],[Industry]], Mean_PE_M, 2, FALSE))/(VLOOKUP(Main_M[[#This Row],[Industry]], Mean_PE_M, 3, FALSE))</f>
        <v>2.4205567981868183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9" spans="1:26" x14ac:dyDescent="0.25">
      <c r="A49" s="68" t="s">
        <v>131</v>
      </c>
      <c r="B49" s="68" t="s">
        <v>182</v>
      </c>
      <c r="C49" s="2">
        <v>2387</v>
      </c>
      <c r="D49">
        <f>RTD("tos.rtd", , "LAST", Main_M[[#This Row],[Symbol]])</f>
        <v>22.89</v>
      </c>
      <c r="E49">
        <v>0.61</v>
      </c>
      <c r="F49">
        <v>18.38</v>
      </c>
      <c r="G49">
        <v>0.11</v>
      </c>
      <c r="H49" s="1">
        <f>IF(ISNUMBER(Main_M[[#This Row],[Free CF]]),IF(Main_M[[#This Row],[Free CF]]&lt;&gt;0,Main_M[[#This Row],[Current Price]]/Main_M[[#This Row],[Free CF]],""),"")</f>
        <v>37.524590163934427</v>
      </c>
      <c r="I49" s="1">
        <f>IF(ISNUMBER(Main_M[[#This Row],[BVPS]]),IF(Main_M[[#This Row],[BVPS]]&lt;&gt;0,Main_M[[#This Row],[Current Price]]/Main_M[[#This Row],[BVPS]],""),"")</f>
        <v>1.2453754080522308</v>
      </c>
      <c r="J49">
        <v>0.92</v>
      </c>
      <c r="K49">
        <v>1.44</v>
      </c>
      <c r="L49">
        <v>1.1000000000000001</v>
      </c>
      <c r="M49" s="1">
        <f>IF(ISNUMBER(Main_M[[#This Row],[EPS]]),IF(Main_M[[#This Row],[EPS]]&lt;&gt;0,Main_M[[#This Row],[Current Price]]/Main_M[[#This Row],[EPS]],""),"")</f>
        <v>208.09090909090909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7.3289634072846637</v>
      </c>
      <c r="P49" s="1">
        <f>(Main_M[[#This Row],[P/B]]-VLOOKUP(Main_M[[#This Row],[Industry]], Mean_PB_M, 2, FALSE))/(VLOOKUP(Main_M[[#This Row],[Industry]], Mean_PB_M, 3, FALSE))</f>
        <v>-0.70006196354961048</v>
      </c>
      <c r="Q49" s="1">
        <f>(Main_M[[#This Row],[ROE]]-VLOOKUP(Main_M[[#This Row],[Industry]], Mean_ROE_M, 2, FALSE))/(VLOOKUP(Main_M[[#This Row],[Industry]], Mean_ROE_M, 3, FALSE))</f>
        <v>-0.81345549738322642</v>
      </c>
      <c r="R49" s="1">
        <f>(Main_M[[#This Row],[ROA]]-VLOOKUP(Main_M[[#This Row],[Industry]], Mean_ROA_M, 2, FALSE))/(VLOOKUP(Main_M[[#This Row],[Industry]], Mean_ROA_M, 3, FALSE))</f>
        <v>-1.1768623843209698</v>
      </c>
      <c r="S49" s="1">
        <f>(Main_M[[#This Row],[A/E]]-VLOOKUP(Main_M[[#This Row],[Industry]], Mean_AE_M, 2, FALSE))/(VLOOKUP(Main_M[[#This Row],[Industry]], Mean_AE_M, 3, FALSE))</f>
        <v>-1.7993907179045654</v>
      </c>
      <c r="T49" s="1">
        <f>(Main_M[[#This Row],[P/E]]-VLOOKUP(Main_M[[#This Row],[Industry]], Mean_PE_M, 2, FALSE))/(VLOOKUP(Main_M[[#This Row],[Industry]], Mean_PE_M, 3, FALSE))</f>
        <v>5.0642218640442502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0" spans="1:26" x14ac:dyDescent="0.25">
      <c r="A50" s="68" t="s">
        <v>131</v>
      </c>
      <c r="B50" s="68" t="s">
        <v>184</v>
      </c>
      <c r="C50" s="2">
        <v>4862</v>
      </c>
      <c r="D50">
        <f>RTD("tos.rtd", , "LAST", Main_M[[#This Row],[Symbol]])</f>
        <v>22.64</v>
      </c>
      <c r="E50">
        <v>1.33</v>
      </c>
      <c r="F50">
        <v>14.87</v>
      </c>
      <c r="G50">
        <v>0.06</v>
      </c>
      <c r="H50" s="1">
        <f>IF(ISNUMBER(Main_M[[#This Row],[Free CF]]),IF(Main_M[[#This Row],[Free CF]]&lt;&gt;0,Main_M[[#This Row],[Current Price]]/Main_M[[#This Row],[Free CF]],""),"")</f>
        <v>17.022556390977442</v>
      </c>
      <c r="I50" s="1">
        <f>IF(ISNUMBER(Main_M[[#This Row],[BVPS]]),IF(Main_M[[#This Row],[BVPS]]&lt;&gt;0,Main_M[[#This Row],[Current Price]]/Main_M[[#This Row],[BVPS]],""),"")</f>
        <v>1.5225285810356424</v>
      </c>
      <c r="J50">
        <v>0.41</v>
      </c>
      <c r="K50">
        <v>1.73</v>
      </c>
      <c r="L50">
        <v>2.04</v>
      </c>
      <c r="M50" s="1">
        <f>IF(ISNUMBER(Main_M[[#This Row],[EPS]]),IF(Main_M[[#This Row],[EPS]]&lt;&gt;0,Main_M[[#This Row],[Current Price]]/Main_M[[#This Row],[EPS]],""),"")</f>
        <v>377.33333333333337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0.84445353243028309</v>
      </c>
      <c r="P50" s="1">
        <f>(Main_M[[#This Row],[P/B]]-VLOOKUP(Main_M[[#This Row],[Industry]], Mean_PB_M, 2, FALSE))/(VLOOKUP(Main_M[[#This Row],[Industry]], Mean_PB_M, 3, FALSE))</f>
        <v>-0.22273210275563818</v>
      </c>
      <c r="Q50" s="1">
        <f>(Main_M[[#This Row],[ROE]]-VLOOKUP(Main_M[[#This Row],[Industry]], Mean_ROE_M, 2, FALSE))/(VLOOKUP(Main_M[[#This Row],[Industry]], Mean_ROE_M, 3, FALSE))</f>
        <v>-0.90483485942407349</v>
      </c>
      <c r="R50" s="1">
        <f>(Main_M[[#This Row],[ROA]]-VLOOKUP(Main_M[[#This Row],[Industry]], Mean_ROA_M, 2, FALSE))/(VLOOKUP(Main_M[[#This Row],[Industry]], Mean_ROA_M, 3, FALSE))</f>
        <v>-0.87687785498425186</v>
      </c>
      <c r="S50" s="1">
        <f>(Main_M[[#This Row],[A/E]]-VLOOKUP(Main_M[[#This Row],[Industry]], Mean_AE_M, 2, FALSE))/(VLOOKUP(Main_M[[#This Row],[Industry]], Mean_AE_M, 3, FALSE))</f>
        <v>-0.58320960215269679</v>
      </c>
      <c r="T50" s="1">
        <f>(Main_M[[#This Row],[P/E]]-VLOOKUP(Main_M[[#This Row],[Industry]], Mean_PE_M, 2, FALSE))/(VLOOKUP(Main_M[[#This Row],[Industry]], Mean_PE_M, 3, FALSE))</f>
        <v>9.9476394339937428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1" spans="1:26" x14ac:dyDescent="0.25">
      <c r="A51" s="68" t="s">
        <v>131</v>
      </c>
      <c r="B51" s="68" t="s">
        <v>185</v>
      </c>
      <c r="C51" s="2">
        <v>4094</v>
      </c>
      <c r="D51">
        <f>RTD("tos.rtd", , "LAST", Main_M[[#This Row],[Symbol]])</f>
        <v>16.43</v>
      </c>
      <c r="E51">
        <v>1.35</v>
      </c>
      <c r="F51">
        <v>10.53</v>
      </c>
      <c r="G51">
        <v>-0.51</v>
      </c>
      <c r="H51" s="1">
        <f>IF(ISNUMBER(Main_M[[#This Row],[Free CF]]),IF(Main_M[[#This Row],[Free CF]]&lt;&gt;0,Main_M[[#This Row],[Current Price]]/Main_M[[#This Row],[Free CF]],""),"")</f>
        <v>12.170370370370369</v>
      </c>
      <c r="I51" s="1">
        <f>IF(ISNUMBER(Main_M[[#This Row],[BVPS]]),IF(Main_M[[#This Row],[BVPS]]&lt;&gt;0,Main_M[[#This Row],[Current Price]]/Main_M[[#This Row],[BVPS]],""),"")</f>
        <v>1.5603038936372271</v>
      </c>
      <c r="J51">
        <v>-4.5999999999999996</v>
      </c>
      <c r="K51">
        <v>1.73</v>
      </c>
      <c r="L51">
        <v>3.26</v>
      </c>
      <c r="M51" s="1">
        <f>IF(ISNUMBER(Main_M[[#This Row],[EPS]]),IF(Main_M[[#This Row],[EPS]]&lt;&gt;0,Main_M[[#This Row],[Current Price]]/Main_M[[#This Row],[EPS]],""),"")</f>
        <v>-32.2156862745098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-0.69022583224617684</v>
      </c>
      <c r="P51" s="1">
        <f>(Main_M[[#This Row],[P/B]]-VLOOKUP(Main_M[[#This Row],[Industry]], Mean_PB_M, 2, FALSE))/(VLOOKUP(Main_M[[#This Row],[Industry]], Mean_PB_M, 3, FALSE))</f>
        <v>-0.15767318781894196</v>
      </c>
      <c r="Q51" s="1">
        <f>(Main_M[[#This Row],[ROE]]-VLOOKUP(Main_M[[#This Row],[Industry]], Mean_ROE_M, 2, FALSE))/(VLOOKUP(Main_M[[#This Row],[Industry]], Mean_ROE_M, 3, FALSE))</f>
        <v>-1.8025027100606297</v>
      </c>
      <c r="R51" s="1">
        <f>(Main_M[[#This Row],[ROA]]-VLOOKUP(Main_M[[#This Row],[Industry]], Mean_ROA_M, 2, FALSE))/(VLOOKUP(Main_M[[#This Row],[Industry]], Mean_ROA_M, 3, FALSE))</f>
        <v>-0.87687785498425186</v>
      </c>
      <c r="S51" s="1">
        <f>(Main_M[[#This Row],[A/E]]-VLOOKUP(Main_M[[#This Row],[Industry]], Mean_AE_M, 2, FALSE))/(VLOOKUP(Main_M[[#This Row],[Industry]], Mean_AE_M, 3, FALSE))</f>
        <v>0.99523822892951541</v>
      </c>
      <c r="T51" s="1">
        <f>(Main_M[[#This Row],[P/E]]-VLOOKUP(Main_M[[#This Row],[Industry]], Mean_PE_M, 2, FALSE))/(VLOOKUP(Main_M[[#This Row],[Industry]], Mean_PE_M, 3, FALSE))</f>
        <v>-1.8697218869698184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s="68" t="s">
        <v>135</v>
      </c>
      <c r="B52" s="68" t="s">
        <v>258</v>
      </c>
      <c r="C52" s="2">
        <v>2026</v>
      </c>
      <c r="D52">
        <f>RTD("tos.rtd", , "LAST", Main_M[[#This Row],[Symbol]])</f>
        <v>37.21</v>
      </c>
      <c r="H52" s="1" t="str">
        <f>IF(ISNUMBER(Main_M[[#This Row],[Free CF]]),IF(Main_M[[#This Row],[Free CF]]&lt;&gt;0,Main_M[[#This Row],[Current Price]]/Main_M[[#This Row],[Free CF]],""),"")</f>
        <v/>
      </c>
      <c r="I52" s="1" t="str">
        <f>IF(ISNUMBER(Main_M[[#This Row],[BVPS]]),IF(Main_M[[#This Row],[BVPS]]&lt;&gt;0,Main_M[[#This Row],[Current Price]]/Main_M[[#This Row],[BVPS]],""),"")</f>
        <v/>
      </c>
      <c r="J52">
        <v>-1.55</v>
      </c>
      <c r="K52">
        <v>2.12</v>
      </c>
      <c r="L52">
        <v>6.98</v>
      </c>
      <c r="M52" s="1" t="str">
        <f>IF(ISNUMBER(Main_M[[#This Row],[EPS]]),IF(Main_M[[#This Row],[EPS]]&lt;&gt;0,Main_M[[#This Row],[Current Price]]/Main_M[[#This Row],[EPS]],""),"")</f>
        <v/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 t="e">
        <f>(Main_M[[#This Row],[P/FCF]]-VLOOKUP(Main_M[[#This Row],[Industry]], Mean_PFCF_M, 2, FALSE))/(VLOOKUP(Main_M[[#This Row],[Industry]], Mean_PFCF_M, 3, FALSE))</f>
        <v>#VALUE!</v>
      </c>
      <c r="P52" s="1" t="e">
        <f>(Main_M[[#This Row],[P/B]]-VLOOKUP(Main_M[[#This Row],[Industry]], Mean_PB_M, 2, FALSE))/(VLOOKUP(Main_M[[#This Row],[Industry]], Mean_PB_M, 3, FALSE))</f>
        <v>#VALUE!</v>
      </c>
      <c r="Q52" s="1">
        <f>(Main_M[[#This Row],[ROE]]-VLOOKUP(Main_M[[#This Row],[Industry]], Mean_ROE_M, 2, FALSE))/(VLOOKUP(Main_M[[#This Row],[Industry]], Mean_ROE_M, 3, FALSE))</f>
        <v>-0.96035871579003773</v>
      </c>
      <c r="R52" s="1">
        <f>(Main_M[[#This Row],[ROA]]-VLOOKUP(Main_M[[#This Row],[Industry]], Mean_ROA_M, 2, FALSE))/(VLOOKUP(Main_M[[#This Row],[Industry]], Mean_ROA_M, 3, FALSE))</f>
        <v>-0.26781688195336195</v>
      </c>
      <c r="S52" s="1">
        <f>(Main_M[[#This Row],[A/E]]-VLOOKUP(Main_M[[#This Row],[Industry]], Mean_AE_M, 2, FALSE))/(VLOOKUP(Main_M[[#This Row],[Industry]], Mean_AE_M, 3, FALSE))</f>
        <v>1.0751407116378631</v>
      </c>
      <c r="T52" s="1" t="e">
        <f>(Main_M[[#This Row],[P/E]]-VLOOKUP(Main_M[[#This Row],[Industry]], Mean_PE_M, 2, FALSE))/(VLOOKUP(Main_M[[#This Row],[Industry]], Mean_PE_M, 3, FALSE))</f>
        <v>#VALUE!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3" spans="1:26" x14ac:dyDescent="0.25">
      <c r="A53" s="68" t="s">
        <v>135</v>
      </c>
      <c r="B53" s="68" t="s">
        <v>197</v>
      </c>
      <c r="C53" s="2">
        <v>3692</v>
      </c>
      <c r="D53">
        <f>RTD("tos.rtd", , "LAST", Main_M[[#This Row],[Symbol]])</f>
        <v>23.79</v>
      </c>
      <c r="E53">
        <v>0.92</v>
      </c>
      <c r="F53">
        <v>12.28</v>
      </c>
      <c r="G53">
        <v>2.36</v>
      </c>
      <c r="H53" s="1">
        <f>IF(ISNUMBER(Main_M[[#This Row],[Free CF]]),IF(Main_M[[#This Row],[Free CF]]&lt;&gt;0,Main_M[[#This Row],[Current Price]]/Main_M[[#This Row],[Free CF]],""),"")</f>
        <v>25.85869565217391</v>
      </c>
      <c r="I53" s="1">
        <f>IF(ISNUMBER(Main_M[[#This Row],[BVPS]]),IF(Main_M[[#This Row],[BVPS]]&lt;&gt;0,Main_M[[#This Row],[Current Price]]/Main_M[[#This Row],[BVPS]],""),"")</f>
        <v>1.9372964169381108</v>
      </c>
      <c r="J53">
        <v>18.87</v>
      </c>
      <c r="K53">
        <v>7.01</v>
      </c>
      <c r="L53">
        <v>1.75</v>
      </c>
      <c r="M53" s="1">
        <f>IF(ISNUMBER(Main_M[[#This Row],[EPS]]),IF(Main_M[[#This Row],[EPS]]&lt;&gt;0,Main_M[[#This Row],[Current Price]]/Main_M[[#This Row],[EPS]],""),"")</f>
        <v>10.080508474576272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4.7691772847684213</v>
      </c>
      <c r="P53" s="1">
        <f>(Main_M[[#This Row],[P/B]]-VLOOKUP(Main_M[[#This Row],[Industry]], Mean_PB_M, 2, FALSE))/(VLOOKUP(Main_M[[#This Row],[Industry]], Mean_PB_M, 3, FALSE))</f>
        <v>-0.4539560531008775</v>
      </c>
      <c r="Q53" s="1">
        <f>(Main_M[[#This Row],[ROE]]-VLOOKUP(Main_M[[#This Row],[Industry]], Mean_ROE_M, 2, FALSE))/(VLOOKUP(Main_M[[#This Row],[Industry]], Mean_ROE_M, 3, FALSE))</f>
        <v>0.67540957347387998</v>
      </c>
      <c r="R53" s="1">
        <f>(Main_M[[#This Row],[ROA]]-VLOOKUP(Main_M[[#This Row],[Industry]], Mean_ROA_M, 2, FALSE))/(VLOOKUP(Main_M[[#This Row],[Industry]], Mean_ROA_M, 3, FALSE))</f>
        <v>1.5139852306343105</v>
      </c>
      <c r="S53" s="1">
        <f>(Main_M[[#This Row],[A/E]]-VLOOKUP(Main_M[[#This Row],[Industry]], Mean_AE_M, 2, FALSE))/(VLOOKUP(Main_M[[#This Row],[Industry]], Mean_AE_M, 3, FALSE))</f>
        <v>-0.73418618492253052</v>
      </c>
      <c r="T53" s="1">
        <f>(Main_M[[#This Row],[P/E]]-VLOOKUP(Main_M[[#This Row],[Industry]], Mean_PE_M, 2, FALSE))/(VLOOKUP(Main_M[[#This Row],[Industry]], Mean_PE_M, 3, FALSE))</f>
        <v>-1.0170390628162937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s="68" t="s">
        <v>135</v>
      </c>
      <c r="B54" s="68" t="s">
        <v>194</v>
      </c>
      <c r="C54" s="2">
        <v>9747</v>
      </c>
      <c r="D54">
        <f>RTD("tos.rtd", , "LAST", Main_M[[#This Row],[Symbol]])</f>
        <v>43.28</v>
      </c>
      <c r="E54">
        <v>2.76</v>
      </c>
      <c r="F54">
        <v>12.48</v>
      </c>
      <c r="G54">
        <v>1.69</v>
      </c>
      <c r="H54" s="1">
        <f>IF(ISNUMBER(Main_M[[#This Row],[Free CF]]),IF(Main_M[[#This Row],[Free CF]]&lt;&gt;0,Main_M[[#This Row],[Current Price]]/Main_M[[#This Row],[Free CF]],""),"")</f>
        <v>15.681159420289857</v>
      </c>
      <c r="I54" s="1">
        <f>IF(ISNUMBER(Main_M[[#This Row],[BVPS]]),IF(Main_M[[#This Row],[BVPS]]&lt;&gt;0,Main_M[[#This Row],[Current Price]]/Main_M[[#This Row],[BVPS]],""),"")</f>
        <v>3.4679487179487181</v>
      </c>
      <c r="J54">
        <v>13.34</v>
      </c>
      <c r="K54">
        <v>4.6500000000000004</v>
      </c>
      <c r="L54">
        <v>2.37</v>
      </c>
      <c r="M54" s="1">
        <f>IF(ISNUMBER(Main_M[[#This Row],[EPS]]),IF(Main_M[[#This Row],[EPS]]&lt;&gt;0,Main_M[[#This Row],[Current Price]]/Main_M[[#This Row],[EPS]],""),"")</f>
        <v>25.609467455621303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0.99541500039342323</v>
      </c>
      <c r="P54" s="1">
        <f>(Main_M[[#This Row],[P/B]]-VLOOKUP(Main_M[[#This Row],[Industry]], Mean_PB_M, 2, FALSE))/(VLOOKUP(Main_M[[#This Row],[Industry]], Mean_PB_M, 3, FALSE))</f>
        <v>0.75306787532146924</v>
      </c>
      <c r="Q54" s="1">
        <f>(Main_M[[#This Row],[ROE]]-VLOOKUP(Main_M[[#This Row],[Industry]], Mean_ROE_M, 2, FALSE))/(VLOOKUP(Main_M[[#This Row],[Industry]], Mean_ROE_M, 3, FALSE))</f>
        <v>0.2324223727084801</v>
      </c>
      <c r="R54" s="1">
        <f>(Main_M[[#This Row],[ROA]]-VLOOKUP(Main_M[[#This Row],[Industry]], Mean_ROA_M, 2, FALSE))/(VLOOKUP(Main_M[[#This Row],[Industry]], Mean_ROA_M, 3, FALSE))</f>
        <v>0.65405619470242782</v>
      </c>
      <c r="S54" s="1">
        <f>(Main_M[[#This Row],[A/E]]-VLOOKUP(Main_M[[#This Row],[Industry]], Mean_AE_M, 2, FALSE))/(VLOOKUP(Main_M[[#This Row],[Industry]], Mean_AE_M, 3, FALSE))</f>
        <v>-0.51969618953678598</v>
      </c>
      <c r="T54" s="1">
        <f>(Main_M[[#This Row],[P/E]]-VLOOKUP(Main_M[[#This Row],[Industry]], Mean_PE_M, 2, FALSE))/(VLOOKUP(Main_M[[#This Row],[Industry]], Mean_PE_M, 3, FALSE))</f>
        <v>-0.16408527562350153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s="68" t="s">
        <v>135</v>
      </c>
      <c r="B55" s="68" t="s">
        <v>190</v>
      </c>
      <c r="C55" s="2">
        <v>4236</v>
      </c>
      <c r="D55">
        <f>RTD("tos.rtd", , "LAST", Main_M[[#This Row],[Symbol]])</f>
        <v>56.88</v>
      </c>
      <c r="E55">
        <v>5.19</v>
      </c>
      <c r="F55">
        <v>30.51</v>
      </c>
      <c r="G55">
        <v>1.63</v>
      </c>
      <c r="H55" s="1">
        <f>IF(ISNUMBER(Main_M[[#This Row],[Free CF]]),IF(Main_M[[#This Row],[Free CF]]&lt;&gt;0,Main_M[[#This Row],[Current Price]]/Main_M[[#This Row],[Free CF]],""),"")</f>
        <v>10.959537572254336</v>
      </c>
      <c r="I55" s="1">
        <f>IF(ISNUMBER(Main_M[[#This Row],[BVPS]]),IF(Main_M[[#This Row],[BVPS]]&lt;&gt;0,Main_M[[#This Row],[Current Price]]/Main_M[[#This Row],[BVPS]],""),"")</f>
        <v>1.864306784660767</v>
      </c>
      <c r="J55">
        <v>6.24</v>
      </c>
      <c r="K55">
        <v>4.07</v>
      </c>
      <c r="L55">
        <v>2.38</v>
      </c>
      <c r="M55" s="1">
        <f>IF(ISNUMBER(Main_M[[#This Row],[EPS]]),IF(Main_M[[#This Row],[EPS]]&lt;&gt;0,Main_M[[#This Row],[Current Price]]/Main_M[[#This Row],[EPS]],""),"")</f>
        <v>34.895705521472394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-0.75533076412437417</v>
      </c>
      <c r="P55" s="1">
        <f>(Main_M[[#This Row],[P/B]]-VLOOKUP(Main_M[[#This Row],[Industry]], Mean_PB_M, 2, FALSE))/(VLOOKUP(Main_M[[#This Row],[Industry]], Mean_PB_M, 3, FALSE))</f>
        <v>-0.51151336551424154</v>
      </c>
      <c r="Q55" s="1">
        <f>(Main_M[[#This Row],[ROE]]-VLOOKUP(Main_M[[#This Row],[Industry]], Mean_ROE_M, 2, FALSE))/(VLOOKUP(Main_M[[#This Row],[Industry]], Mean_ROE_M, 3, FALSE))</f>
        <v>-0.33633153785830805</v>
      </c>
      <c r="R55" s="1">
        <f>(Main_M[[#This Row],[ROA]]-VLOOKUP(Main_M[[#This Row],[Industry]], Mean_ROA_M, 2, FALSE))/(VLOOKUP(Main_M[[#This Row],[Industry]], Mean_ROA_M, 3, FALSE))</f>
        <v>0.44271770282086337</v>
      </c>
      <c r="S55" s="1">
        <f>(Main_M[[#This Row],[A/E]]-VLOOKUP(Main_M[[#This Row],[Industry]], Mean_AE_M, 2, FALSE))/(VLOOKUP(Main_M[[#This Row],[Industry]], Mean_AE_M, 3, FALSE))</f>
        <v>-0.51623667348217728</v>
      </c>
      <c r="T55" s="1">
        <f>(Main_M[[#This Row],[P/E]]-VLOOKUP(Main_M[[#This Row],[Industry]], Mean_PE_M, 2, FALSE))/(VLOOKUP(Main_M[[#This Row],[Industry]], Mean_PE_M, 3, FALSE))</f>
        <v>0.34597672767689786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s="68" t="s">
        <v>135</v>
      </c>
      <c r="B56" s="68" t="s">
        <v>193</v>
      </c>
      <c r="C56" s="2">
        <v>2760</v>
      </c>
      <c r="D56">
        <f>RTD("tos.rtd", , "LAST", Main_M[[#This Row],[Symbol]])</f>
        <v>16.45</v>
      </c>
      <c r="E56">
        <v>1.23</v>
      </c>
      <c r="F56">
        <v>3.39</v>
      </c>
      <c r="G56">
        <v>1.53</v>
      </c>
      <c r="H56" s="1">
        <f>IF(ISNUMBER(Main_M[[#This Row],[Free CF]]),IF(Main_M[[#This Row],[Free CF]]&lt;&gt;0,Main_M[[#This Row],[Current Price]]/Main_M[[#This Row],[Free CF]],""),"")</f>
        <v>13.373983739837398</v>
      </c>
      <c r="I56" s="1">
        <f>IF(ISNUMBER(Main_M[[#This Row],[BVPS]]),IF(Main_M[[#This Row],[BVPS]]&lt;&gt;0,Main_M[[#This Row],[Current Price]]/Main_M[[#This Row],[BVPS]],""),"")</f>
        <v>4.8525073746312684</v>
      </c>
      <c r="J56">
        <v>39.19</v>
      </c>
      <c r="K56">
        <v>3.21</v>
      </c>
      <c r="L56">
        <v>9.0500000000000007</v>
      </c>
      <c r="M56" s="1">
        <f>IF(ISNUMBER(Main_M[[#This Row],[EPS]]),IF(Main_M[[#This Row],[EPS]]&lt;&gt;0,Main_M[[#This Row],[Current Price]]/Main_M[[#This Row],[EPS]],""),"")</f>
        <v>10.751633986928104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0.13992970729838361</v>
      </c>
      <c r="P56" s="1">
        <f>(Main_M[[#This Row],[P/B]]-VLOOKUP(Main_M[[#This Row],[Industry]], Mean_PB_M, 2, FALSE))/(VLOOKUP(Main_M[[#This Row],[Industry]], Mean_PB_M, 3, FALSE))</f>
        <v>1.8448869826502459</v>
      </c>
      <c r="Q56" s="1">
        <f>(Main_M[[#This Row],[ROE]]-VLOOKUP(Main_M[[#This Row],[Industry]], Mean_ROE_M, 2, FALSE))/(VLOOKUP(Main_M[[#This Row],[Industry]], Mean_ROE_M, 3, FALSE))</f>
        <v>2.3031672442791105</v>
      </c>
      <c r="R56" s="1">
        <f>(Main_M[[#This Row],[ROA]]-VLOOKUP(Main_M[[#This Row],[Industry]], Mean_ROA_M, 2, FALSE))/(VLOOKUP(Main_M[[#This Row],[Industry]], Mean_ROA_M, 3, FALSE))</f>
        <v>0.1293537320999229</v>
      </c>
      <c r="S56" s="1">
        <f>(Main_M[[#This Row],[A/E]]-VLOOKUP(Main_M[[#This Row],[Industry]], Mean_AE_M, 2, FALSE))/(VLOOKUP(Main_M[[#This Row],[Industry]], Mean_AE_M, 3, FALSE))</f>
        <v>1.7912605349418813</v>
      </c>
      <c r="T56" s="1">
        <f>(Main_M[[#This Row],[P/E]]-VLOOKUP(Main_M[[#This Row],[Industry]], Mean_PE_M, 2, FALSE))/(VLOOKUP(Main_M[[#This Row],[Industry]], Mean_PE_M, 3, FALSE))</f>
        <v>-0.98017638270097296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s="68" t="s">
        <v>135</v>
      </c>
      <c r="B57" s="68" t="s">
        <v>191</v>
      </c>
      <c r="C57" s="2">
        <v>2774</v>
      </c>
      <c r="D57">
        <f>RTD("tos.rtd", , "LAST", Main_M[[#This Row],[Symbol]])</f>
        <v>27.8</v>
      </c>
      <c r="E57">
        <v>1.76</v>
      </c>
      <c r="F57">
        <v>14.31</v>
      </c>
      <c r="G57">
        <v>1.07</v>
      </c>
      <c r="H57" s="1">
        <f>IF(ISNUMBER(Main_M[[#This Row],[Free CF]]),IF(Main_M[[#This Row],[Free CF]]&lt;&gt;0,Main_M[[#This Row],[Current Price]]/Main_M[[#This Row],[Free CF]],""),"")</f>
        <v>15.795454545454545</v>
      </c>
      <c r="I57" s="1">
        <f>IF(ISNUMBER(Main_M[[#This Row],[BVPS]]),IF(Main_M[[#This Row],[BVPS]]&lt;&gt;0,Main_M[[#This Row],[Current Price]]/Main_M[[#This Row],[BVPS]],""),"")</f>
        <v>1.9426974143955276</v>
      </c>
      <c r="J57">
        <v>7.62</v>
      </c>
      <c r="K57">
        <v>3.66</v>
      </c>
      <c r="L57">
        <v>1.9</v>
      </c>
      <c r="M57" s="1">
        <f>IF(ISNUMBER(Main_M[[#This Row],[EPS]]),IF(Main_M[[#This Row],[EPS]]&lt;&gt;0,Main_M[[#This Row],[Current Price]]/Main_M[[#This Row],[EPS]],""),"")</f>
        <v>25.981308411214954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1.0377948674660824</v>
      </c>
      <c r="P57" s="1">
        <f>(Main_M[[#This Row],[P/B]]-VLOOKUP(Main_M[[#This Row],[Industry]], Mean_PB_M, 2, FALSE))/(VLOOKUP(Main_M[[#This Row],[Industry]], Mean_PB_M, 3, FALSE))</f>
        <v>-0.44969699755694631</v>
      </c>
      <c r="Q57" s="1">
        <f>(Main_M[[#This Row],[ROE]]-VLOOKUP(Main_M[[#This Row],[Industry]], Mean_ROE_M, 2, FALSE))/(VLOOKUP(Main_M[[#This Row],[Industry]], Mean_ROE_M, 3, FALSE))</f>
        <v>-0.22578500312842531</v>
      </c>
      <c r="R57" s="1">
        <f>(Main_M[[#This Row],[ROA]]-VLOOKUP(Main_M[[#This Row],[Industry]], Mean_ROA_M, 2, FALSE))/(VLOOKUP(Main_M[[#This Row],[Industry]], Mean_ROA_M, 3, FALSE))</f>
        <v>0.29332325166320572</v>
      </c>
      <c r="S57" s="1">
        <f>(Main_M[[#This Row],[A/E]]-VLOOKUP(Main_M[[#This Row],[Industry]], Mean_AE_M, 2, FALSE))/(VLOOKUP(Main_M[[#This Row],[Industry]], Mean_AE_M, 3, FALSE))</f>
        <v>-0.68229344410339887</v>
      </c>
      <c r="T57" s="1">
        <f>(Main_M[[#This Row],[P/E]]-VLOOKUP(Main_M[[#This Row],[Industry]], Mean_PE_M, 2, FALSE))/(VLOOKUP(Main_M[[#This Row],[Industry]], Mean_PE_M, 3, FALSE))</f>
        <v>-0.14366129538798622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s="68" t="s">
        <v>135</v>
      </c>
      <c r="B58" s="68" t="s">
        <v>196</v>
      </c>
      <c r="C58" s="2">
        <v>3092</v>
      </c>
      <c r="D58">
        <f>RTD("tos.rtd", , "LAST", Main_M[[#This Row],[Symbol]])</f>
        <v>39.200000000000003</v>
      </c>
      <c r="E58">
        <v>2.8</v>
      </c>
      <c r="F58">
        <v>25.54</v>
      </c>
      <c r="G58">
        <v>0.61</v>
      </c>
      <c r="H58" s="1">
        <f>IF(ISNUMBER(Main_M[[#This Row],[Free CF]]),IF(Main_M[[#This Row],[Free CF]]&lt;&gt;0,Main_M[[#This Row],[Current Price]]/Main_M[[#This Row],[Free CF]],""),"")</f>
        <v>14.000000000000002</v>
      </c>
      <c r="I58" s="1">
        <f>IF(ISNUMBER(Main_M[[#This Row],[BVPS]]),IF(Main_M[[#This Row],[BVPS]]&lt;&gt;0,Main_M[[#This Row],[Current Price]]/Main_M[[#This Row],[BVPS]],""),"")</f>
        <v>1.5348472983555208</v>
      </c>
      <c r="J58">
        <v>2.31</v>
      </c>
      <c r="K58">
        <v>1.23</v>
      </c>
      <c r="L58">
        <v>1.62</v>
      </c>
      <c r="M58" s="1">
        <f>IF(ISNUMBER(Main_M[[#This Row],[EPS]]),IF(Main_M[[#This Row],[EPS]]&lt;&gt;0,Main_M[[#This Row],[Current Price]]/Main_M[[#This Row],[EPS]],""),"")</f>
        <v>64.262295081967224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0.37205234466184611</v>
      </c>
      <c r="P58" s="1">
        <f>(Main_M[[#This Row],[P/B]]-VLOOKUP(Main_M[[#This Row],[Industry]], Mean_PB_M, 2, FALSE))/(VLOOKUP(Main_M[[#This Row],[Industry]], Mean_PB_M, 3, FALSE))</f>
        <v>-0.77131468234733913</v>
      </c>
      <c r="Q58" s="1">
        <f>(Main_M[[#This Row],[ROE]]-VLOOKUP(Main_M[[#This Row],[Industry]], Mean_ROE_M, 2, FALSE))/(VLOOKUP(Main_M[[#This Row],[Industry]], Mean_ROE_M, 3, FALSE))</f>
        <v>-0.65114884328471334</v>
      </c>
      <c r="R58" s="1">
        <f>(Main_M[[#This Row],[ROA]]-VLOOKUP(Main_M[[#This Row],[Industry]], Mean_ROA_M, 2, FALSE))/(VLOOKUP(Main_M[[#This Row],[Industry]], Mean_ROA_M, 3, FALSE))</f>
        <v>-0.59211215397852124</v>
      </c>
      <c r="S58" s="1">
        <f>(Main_M[[#This Row],[A/E]]-VLOOKUP(Main_M[[#This Row],[Industry]], Mean_AE_M, 2, FALSE))/(VLOOKUP(Main_M[[#This Row],[Industry]], Mean_AE_M, 3, FALSE))</f>
        <v>-0.77915989363244476</v>
      </c>
      <c r="T58" s="1">
        <f>(Main_M[[#This Row],[P/E]]-VLOOKUP(Main_M[[#This Row],[Industry]], Mean_PE_M, 2, FALSE))/(VLOOKUP(Main_M[[#This Row],[Industry]], Mean_PE_M, 3, FALSE))</f>
        <v>1.9589852888518553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9" spans="1:26" x14ac:dyDescent="0.25">
      <c r="A59" s="68" t="s">
        <v>135</v>
      </c>
      <c r="B59" s="68" t="s">
        <v>195</v>
      </c>
      <c r="C59" s="2">
        <v>2631</v>
      </c>
      <c r="D59">
        <f>RTD("tos.rtd", , "LAST", Main_M[[#This Row],[Symbol]])</f>
        <v>33.74</v>
      </c>
      <c r="E59">
        <v>4.13</v>
      </c>
      <c r="F59">
        <v>9.07</v>
      </c>
      <c r="G59">
        <v>0.12</v>
      </c>
      <c r="H59" s="1">
        <f>IF(ISNUMBER(Main_M[[#This Row],[Free CF]]),IF(Main_M[[#This Row],[Free CF]]&lt;&gt;0,Main_M[[#This Row],[Current Price]]/Main_M[[#This Row],[Free CF]],""),"")</f>
        <v>8.1694915254237301</v>
      </c>
      <c r="I59" s="1">
        <f>IF(ISNUMBER(Main_M[[#This Row],[BVPS]]),IF(Main_M[[#This Row],[BVPS]]&lt;&gt;0,Main_M[[#This Row],[Current Price]]/Main_M[[#This Row],[BVPS]],""),"")</f>
        <v>3.7199558985667034</v>
      </c>
      <c r="J59">
        <v>5.92</v>
      </c>
      <c r="K59">
        <v>3.11</v>
      </c>
      <c r="L59">
        <v>7.58</v>
      </c>
      <c r="M59" s="1">
        <f>IF(ISNUMBER(Main_M[[#This Row],[EPS]]),IF(Main_M[[#This Row],[EPS]]&lt;&gt;0,Main_M[[#This Row],[Current Price]]/Main_M[[#This Row],[EPS]],""),"")</f>
        <v>281.16666666666669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-1.7898611556953592</v>
      </c>
      <c r="P59" s="1">
        <f>(Main_M[[#This Row],[P/B]]-VLOOKUP(Main_M[[#This Row],[Industry]], Mean_PB_M, 2, FALSE))/(VLOOKUP(Main_M[[#This Row],[Industry]], Mean_PB_M, 3, FALSE))</f>
        <v>0.95179275682416431</v>
      </c>
      <c r="Q59" s="1">
        <f>(Main_M[[#This Row],[ROE]]-VLOOKUP(Main_M[[#This Row],[Industry]], Mean_ROE_M, 2, FALSE))/(VLOOKUP(Main_M[[#This Row],[Industry]], Mean_ROE_M, 3, FALSE))</f>
        <v>-0.36196551692610701</v>
      </c>
      <c r="R59" s="1">
        <f>(Main_M[[#This Row],[ROA]]-VLOOKUP(Main_M[[#This Row],[Industry]], Mean_ROA_M, 2, FALSE))/(VLOOKUP(Main_M[[#This Row],[Industry]], Mean_ROA_M, 3, FALSE))</f>
        <v>9.2916061085860022E-2</v>
      </c>
      <c r="S59" s="1">
        <f>(Main_M[[#This Row],[A/E]]-VLOOKUP(Main_M[[#This Row],[Industry]], Mean_AE_M, 2, FALSE))/(VLOOKUP(Main_M[[#This Row],[Industry]], Mean_AE_M, 3, FALSE))</f>
        <v>1.2827116749143899</v>
      </c>
      <c r="T59" s="1">
        <f>(Main_M[[#This Row],[P/E]]-VLOOKUP(Main_M[[#This Row],[Industry]], Mean_PE_M, 2, FALSE))/(VLOOKUP(Main_M[[#This Row],[Industry]], Mean_PE_M, 3, FALSE))</f>
        <v>13.872817080646037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0" spans="1:26" x14ac:dyDescent="0.25">
      <c r="A60" s="68" t="s">
        <v>135</v>
      </c>
      <c r="B60" s="68" t="s">
        <v>192</v>
      </c>
      <c r="C60" s="2">
        <v>4627</v>
      </c>
      <c r="D60">
        <f>RTD("tos.rtd", , "LAST", Main_M[[#This Row],[Symbol]])</f>
        <v>27.76</v>
      </c>
      <c r="E60">
        <v>-6.5</v>
      </c>
      <c r="F60">
        <v>35.4</v>
      </c>
      <c r="G60">
        <v>-0.75</v>
      </c>
      <c r="H60" s="1">
        <f>IF(ISNUMBER(Main_M[[#This Row],[Free CF]]),IF(Main_M[[#This Row],[Free CF]]&lt;&gt;0,Main_M[[#This Row],[Current Price]]/Main_M[[#This Row],[Free CF]],""),"")</f>
        <v>-4.2707692307692309</v>
      </c>
      <c r="I60" s="1">
        <f>IF(ISNUMBER(Main_M[[#This Row],[BVPS]]),IF(Main_M[[#This Row],[BVPS]]&lt;&gt;0,Main_M[[#This Row],[Current Price]]/Main_M[[#This Row],[BVPS]],""),"")</f>
        <v>0.78418079096045201</v>
      </c>
      <c r="J60">
        <v>-2.41</v>
      </c>
      <c r="K60">
        <v>-3.01</v>
      </c>
      <c r="L60">
        <v>1.22</v>
      </c>
      <c r="M60" s="1">
        <f>IF(ISNUMBER(Main_M[[#This Row],[EPS]]),IF(Main_M[[#This Row],[EPS]]&lt;&gt;0,Main_M[[#This Row],[Current Price]]/Main_M[[#This Row],[EPS]],""),"")</f>
        <v>-37.013333333333335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0" s="1">
        <f>(Main_M[[#This Row],[P/FCF]]-VLOOKUP(Main_M[[#This Row],[Industry]], Mean_PFCF_M, 2, FALSE))/(VLOOKUP(Main_M[[#This Row],[Industry]], Mean_PFCF_M, 3, FALSE))</f>
        <v>-6.4026265421194068</v>
      </c>
      <c r="P60" s="1">
        <f>(Main_M[[#This Row],[P/B]]-VLOOKUP(Main_M[[#This Row],[Industry]], Mean_PB_M, 2, FALSE))/(VLOOKUP(Main_M[[#This Row],[Industry]], Mean_PB_M, 3, FALSE))</f>
        <v>-1.3632665162764737</v>
      </c>
      <c r="Q60" s="1">
        <f>(Main_M[[#This Row],[ROE]]-VLOOKUP(Main_M[[#This Row],[Industry]], Mean_ROE_M, 2, FALSE))/(VLOOKUP(Main_M[[#This Row],[Industry]], Mean_ROE_M, 3, FALSE))</f>
        <v>-1.0292500345347473</v>
      </c>
      <c r="R60" s="1">
        <f>(Main_M[[#This Row],[ROA]]-VLOOKUP(Main_M[[#This Row],[Industry]], Mean_ROA_M, 2, FALSE))/(VLOOKUP(Main_M[[#This Row],[Industry]], Mean_ROA_M, 3, FALSE))</f>
        <v>-2.1370694049747851</v>
      </c>
      <c r="S60" s="1">
        <f>(Main_M[[#This Row],[A/E]]-VLOOKUP(Main_M[[#This Row],[Industry]], Mean_AE_M, 2, FALSE))/(VLOOKUP(Main_M[[#This Row],[Industry]], Mean_AE_M, 3, FALSE))</f>
        <v>-0.91754053581679595</v>
      </c>
      <c r="T60" s="1">
        <f>(Main_M[[#This Row],[P/E]]-VLOOKUP(Main_M[[#This Row],[Industry]], Mean_PE_M, 2, FALSE))/(VLOOKUP(Main_M[[#This Row],[Industry]], Mean_PE_M, 3, FALSE))</f>
        <v>-3.6037463091002016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83"/>
  <sheetViews>
    <sheetView workbookViewId="0">
      <selection activeCell="B24" sqref="B24"/>
    </sheetView>
  </sheetViews>
  <sheetFormatPr defaultRowHeight="15" x14ac:dyDescent="0.25"/>
  <cols>
    <col min="1" max="1" width="36.855468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8" t="s">
        <v>105</v>
      </c>
      <c r="B2" s="68" t="s">
        <v>213</v>
      </c>
      <c r="C2" s="2">
        <v>529</v>
      </c>
      <c r="D2">
        <f>RTD("tos.rtd", , "LAST", Main_S[[#This Row],[Symbol]])</f>
        <v>25.35</v>
      </c>
      <c r="E2">
        <v>1.99</v>
      </c>
      <c r="F2">
        <v>14.55</v>
      </c>
      <c r="G2">
        <v>1.35</v>
      </c>
      <c r="H2" s="1">
        <f>IF(ISNUMBER(Main_S[[#This Row],[Free CF]]),IF(Main_S[[#This Row],[Free CF]]&lt;&gt;0,Main_S[[#This Row],[Current Price]]/Main_S[[#This Row],[Free CF]],""),"")</f>
        <v>12.738693467336685</v>
      </c>
      <c r="I2" s="1">
        <f>IF(ISNUMBER(Main_S[[#This Row],[BVPS]]),IF(Main_S[[#This Row],[BVPS]]&lt;&gt;0,Main_S[[#This Row],[Current Price]]/Main_S[[#This Row],[BVPS]],""),"")</f>
        <v>1.7422680412371134</v>
      </c>
      <c r="J2">
        <v>9.69</v>
      </c>
      <c r="K2">
        <v>2.66</v>
      </c>
      <c r="L2">
        <v>2.68</v>
      </c>
      <c r="M2" s="1">
        <f>IF(ISNUMBER(Main_S[[#This Row],[EPS]]),IF(Main_S[[#This Row],[EPS]]&lt;&gt;0,Main_S[[#This Row],[Current Price]]/Main_S[[#This Row],[EPS]],""),"")</f>
        <v>18.777777777777779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1.4682936208141404</v>
      </c>
      <c r="P2" s="1">
        <f>(Main_S[[#This Row],[P/B]]-VLOOKUP(Main_S[[#This Row],[Industry]], Mean_PB_S, 2, FALSE))/(VLOOKUP(Main_S[[#This Row],[Industry]], Mean_PB_S, 3, FALSE))</f>
        <v>1.9878028261982057</v>
      </c>
      <c r="Q2" s="1">
        <f>(Main_S[[#This Row],[ROE]]-VLOOKUP(Main_S[[#This Row],[Industry]], Mean_ROE_S, 2, FALSE))/(VLOOKUP(Main_S[[#This Row],[Industry]], Mean_ROE_S, 3, FALSE))</f>
        <v>0.96227446198967304</v>
      </c>
      <c r="R2" s="1">
        <f>(Main_S[[#This Row],[ROA]]-VLOOKUP(Main_S[[#This Row],[Industry]], Mean_ROA_S, 2, FALSE))/(VLOOKUP(Main_S[[#This Row],[Industry]], Mean_ROA_S, 3, FALSE))</f>
        <v>0.24015561911240171</v>
      </c>
      <c r="S2" s="1">
        <f>(Main_S[[#This Row],[A/E]]-VLOOKUP(Main_S[[#This Row],[Industry]], Mean_AE_S, 2, FALSE))/(VLOOKUP(Main_S[[#This Row],[Industry]], Mean_AE_S, 3, FALSE))</f>
        <v>-0.40920178419727637</v>
      </c>
      <c r="T2" s="1">
        <f>(Main_S[[#This Row],[P/E]]-VLOOKUP(Main_S[[#This Row],[Industry]], Mean_PE_S, 2, FALSE))/(VLOOKUP(Main_S[[#This Row],[Industry]], Mean_PE_S, 3, FALSE))</f>
        <v>9.8618155341143061E-3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s="68" t="s">
        <v>105</v>
      </c>
      <c r="B3" s="68" t="s">
        <v>206</v>
      </c>
      <c r="C3" s="2">
        <v>1219</v>
      </c>
      <c r="D3">
        <f>RTD("tos.rtd", , "LAST", Main_S[[#This Row],[Symbol]])</f>
        <v>20.190000000000001</v>
      </c>
      <c r="E3">
        <v>1.88</v>
      </c>
      <c r="F3">
        <v>19.600000000000001</v>
      </c>
      <c r="G3">
        <v>1.33</v>
      </c>
      <c r="H3" s="1">
        <f>IF(ISNUMBER(Main_S[[#This Row],[Free CF]]),IF(Main_S[[#This Row],[Free CF]]&lt;&gt;0,Main_S[[#This Row],[Current Price]]/Main_S[[#This Row],[Free CF]],""),"")</f>
        <v>10.739361702127662</v>
      </c>
      <c r="I3" s="1">
        <f>IF(ISNUMBER(Main_S[[#This Row],[BVPS]]),IF(Main_S[[#This Row],[BVPS]]&lt;&gt;0,Main_S[[#This Row],[Current Price]]/Main_S[[#This Row],[BVPS]],""),"")</f>
        <v>1.0301020408163266</v>
      </c>
      <c r="J3">
        <v>8.8699999999999992</v>
      </c>
      <c r="K3">
        <v>2.65</v>
      </c>
      <c r="L3">
        <v>2.48</v>
      </c>
      <c r="M3" s="1">
        <f>IF(ISNUMBER(Main_S[[#This Row],[EPS]]),IF(Main_S[[#This Row],[EPS]]&lt;&gt;0,Main_S[[#This Row],[Current Price]]/Main_S[[#This Row],[EPS]],""),"")</f>
        <v>15.180451127819548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0.16751330495889533</v>
      </c>
      <c r="P3" s="1">
        <f>(Main_S[[#This Row],[P/B]]-VLOOKUP(Main_S[[#This Row],[Industry]], Mean_PB_S, 2, FALSE))/(VLOOKUP(Main_S[[#This Row],[Industry]], Mean_PB_S, 3, FALSE))</f>
        <v>-0.61285135525687517</v>
      </c>
      <c r="Q3" s="1">
        <f>(Main_S[[#This Row],[ROE]]-VLOOKUP(Main_S[[#This Row],[Industry]], Mean_ROE_S, 2, FALSE))/(VLOOKUP(Main_S[[#This Row],[Industry]], Mean_ROE_S, 3, FALSE))</f>
        <v>0.83573481910718217</v>
      </c>
      <c r="R3" s="1">
        <f>(Main_S[[#This Row],[ROA]]-VLOOKUP(Main_S[[#This Row],[Industry]], Mean_ROA_S, 2, FALSE))/(VLOOKUP(Main_S[[#This Row],[Industry]], Mean_ROA_S, 3, FALSE))</f>
        <v>0.21653375493741092</v>
      </c>
      <c r="S3" s="1">
        <f>(Main_S[[#This Row],[A/E]]-VLOOKUP(Main_S[[#This Row],[Industry]], Mean_AE_S, 2, FALSE))/(VLOOKUP(Main_S[[#This Row],[Industry]], Mean_AE_S, 3, FALSE))</f>
        <v>-0.53511002548874631</v>
      </c>
      <c r="T3" s="1">
        <f>(Main_S[[#This Row],[P/E]]-VLOOKUP(Main_S[[#This Row],[Industry]], Mean_PE_S, 2, FALSE))/(VLOOKUP(Main_S[[#This Row],[Industry]], Mean_PE_S, 3, FALSE))</f>
        <v>-0.1004395278340126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s="68" t="s">
        <v>105</v>
      </c>
      <c r="B4" s="68" t="s">
        <v>208</v>
      </c>
      <c r="C4" s="2">
        <v>1302</v>
      </c>
      <c r="D4">
        <f>RTD("tos.rtd", , "LAST", Main_S[[#This Row],[Symbol]])</f>
        <v>18.22</v>
      </c>
      <c r="E4">
        <v>1.49</v>
      </c>
      <c r="F4">
        <v>13.82</v>
      </c>
      <c r="G4">
        <v>0.89</v>
      </c>
      <c r="H4" s="1">
        <f>IF(ISNUMBER(Main_S[[#This Row],[Free CF]]),IF(Main_S[[#This Row],[Free CF]]&lt;&gt;0,Main_S[[#This Row],[Current Price]]/Main_S[[#This Row],[Free CF]],""),"")</f>
        <v>12.228187919463087</v>
      </c>
      <c r="I4" s="1">
        <f>IF(ISNUMBER(Main_S[[#This Row],[BVPS]]),IF(Main_S[[#This Row],[BVPS]]&lt;&gt;0,Main_S[[#This Row],[Current Price]]/Main_S[[#This Row],[BVPS]],""),"")</f>
        <v>1.3183791606367583</v>
      </c>
      <c r="J4">
        <v>6.47</v>
      </c>
      <c r="K4">
        <v>3.05</v>
      </c>
      <c r="L4">
        <v>1.64</v>
      </c>
      <c r="M4" s="1">
        <f>IF(ISNUMBER(Main_S[[#This Row],[EPS]]),IF(Main_S[[#This Row],[EPS]]&lt;&gt;0,Main_S[[#This Row],[Current Price]]/Main_S[[#This Row],[EPS]],""),"")</f>
        <v>20.471910112359549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1.1361548635731937</v>
      </c>
      <c r="P4" s="1">
        <f>(Main_S[[#This Row],[P/B]]-VLOOKUP(Main_S[[#This Row],[Industry]], Mean_PB_S, 2, FALSE))/(VLOOKUP(Main_S[[#This Row],[Industry]], Mean_PB_S, 3, FALSE))</f>
        <v>0.439865422342538</v>
      </c>
      <c r="Q4" s="1">
        <f>(Main_S[[#This Row],[ROE]]-VLOOKUP(Main_S[[#This Row],[Industry]], Mean_ROE_S, 2, FALSE))/(VLOOKUP(Main_S[[#This Row],[Industry]], Mean_ROE_S, 3, FALSE))</f>
        <v>0.46537488871940441</v>
      </c>
      <c r="R4" s="1">
        <f>(Main_S[[#This Row],[ROA]]-VLOOKUP(Main_S[[#This Row],[Industry]], Mean_ROA_S, 2, FALSE))/(VLOOKUP(Main_S[[#This Row],[Industry]], Mean_ROA_S, 3, FALSE))</f>
        <v>1.1614083219370208</v>
      </c>
      <c r="S4" s="1">
        <f>(Main_S[[#This Row],[A/E]]-VLOOKUP(Main_S[[#This Row],[Industry]], Mean_AE_S, 2, FALSE))/(VLOOKUP(Main_S[[#This Row],[Industry]], Mean_AE_S, 3, FALSE))</f>
        <v>-1.0639246389129193</v>
      </c>
      <c r="T4" s="1">
        <f>(Main_S[[#This Row],[P/E]]-VLOOKUP(Main_S[[#This Row],[Industry]], Mean_PE_S, 2, FALSE))/(VLOOKUP(Main_S[[#This Row],[Industry]], Mean_PE_S, 3, FALSE))</f>
        <v>6.1807354688841895E-2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s="68" t="s">
        <v>105</v>
      </c>
      <c r="B5" s="68" t="s">
        <v>212</v>
      </c>
      <c r="C5" s="2">
        <v>664</v>
      </c>
      <c r="D5">
        <f>RTD("tos.rtd", , "LAST", Main_S[[#This Row],[Symbol]])</f>
        <v>14.68</v>
      </c>
      <c r="E5">
        <v>1.39</v>
      </c>
      <c r="F5">
        <v>4</v>
      </c>
      <c r="G5">
        <v>0.3</v>
      </c>
      <c r="H5" s="1">
        <f>IF(ISNUMBER(Main_S[[#This Row],[Free CF]]),IF(Main_S[[#This Row],[Free CF]]&lt;&gt;0,Main_S[[#This Row],[Current Price]]/Main_S[[#This Row],[Free CF]],""),"")</f>
        <v>10.561151079136691</v>
      </c>
      <c r="I5" s="1">
        <f>IF(ISNUMBER(Main_S[[#This Row],[BVPS]]),IF(Main_S[[#This Row],[BVPS]]&lt;&gt;0,Main_S[[#This Row],[Current Price]]/Main_S[[#This Row],[BVPS]],""),"")</f>
        <v>3.67</v>
      </c>
      <c r="J5">
        <v>7.64</v>
      </c>
      <c r="K5">
        <v>2.99</v>
      </c>
      <c r="L5">
        <v>6.33</v>
      </c>
      <c r="M5" s="1">
        <f>IF(ISNUMBER(Main_S[[#This Row],[EPS]]),IF(Main_S[[#This Row],[EPS]]&lt;&gt;0,Main_S[[#This Row],[Current Price]]/Main_S[[#This Row],[EPS]],""),"")</f>
        <v>48.933333333333337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5.1568130427683996E-2</v>
      </c>
      <c r="P5" s="1">
        <f>(Main_S[[#This Row],[P/B]]-VLOOKUP(Main_S[[#This Row],[Industry]], Mean_PB_S, 2, FALSE))/(VLOOKUP(Main_S[[#This Row],[Industry]], Mean_PB_S, 3, FALSE))</f>
        <v>9.0274033916831122</v>
      </c>
      <c r="Q5" s="1">
        <f>(Main_S[[#This Row],[ROE]]-VLOOKUP(Main_S[[#This Row],[Industry]], Mean_ROE_S, 2, FALSE))/(VLOOKUP(Main_S[[#This Row],[Industry]], Mean_ROE_S, 3, FALSE))</f>
        <v>0.64592535478344615</v>
      </c>
      <c r="R5" s="1">
        <f>(Main_S[[#This Row],[ROA]]-VLOOKUP(Main_S[[#This Row],[Industry]], Mean_ROA_S, 2, FALSE))/(VLOOKUP(Main_S[[#This Row],[Industry]], Mean_ROA_S, 3, FALSE))</f>
        <v>1.0196771368870801</v>
      </c>
      <c r="S5" s="1">
        <f>(Main_S[[#This Row],[A/E]]-VLOOKUP(Main_S[[#This Row],[Industry]], Mean_AE_S, 2, FALSE))/(VLOOKUP(Main_S[[#This Row],[Industry]], Mean_AE_S, 3, FALSE))</f>
        <v>1.8886236193720467</v>
      </c>
      <c r="T5" s="1">
        <f>(Main_S[[#This Row],[P/E]]-VLOOKUP(Main_S[[#This Row],[Industry]], Mean_PE_S, 2, FALSE))/(VLOOKUP(Main_S[[#This Row],[Industry]], Mean_PE_S, 3, FALSE))</f>
        <v>0.93449241248826698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s="68" t="s">
        <v>105</v>
      </c>
      <c r="B6" s="68" t="s">
        <v>207</v>
      </c>
      <c r="C6" s="2">
        <v>558</v>
      </c>
      <c r="D6">
        <f>RTD("tos.rtd", , "LAST", Main_S[[#This Row],[Symbol]])</f>
        <v>7.04</v>
      </c>
      <c r="E6">
        <v>0.85</v>
      </c>
      <c r="F6">
        <v>6.07</v>
      </c>
      <c r="G6">
        <v>0.1</v>
      </c>
      <c r="H6" s="1">
        <f>IF(ISNUMBER(Main_S[[#This Row],[Free CF]]),IF(Main_S[[#This Row],[Free CF]]&lt;&gt;0,Main_S[[#This Row],[Current Price]]/Main_S[[#This Row],[Free CF]],""),"")</f>
        <v>8.2823529411764714</v>
      </c>
      <c r="I6" s="1">
        <f>IF(ISNUMBER(Main_S[[#This Row],[BVPS]]),IF(Main_S[[#This Row],[BVPS]]&lt;&gt;0,Main_S[[#This Row],[Current Price]]/Main_S[[#This Row],[BVPS]],""),"")</f>
        <v>1.1598023064250411</v>
      </c>
      <c r="J6">
        <v>2.44</v>
      </c>
      <c r="K6">
        <v>1.95</v>
      </c>
      <c r="L6">
        <v>5.07</v>
      </c>
      <c r="M6" s="1">
        <f>IF(ISNUMBER(Main_S[[#This Row],[EPS]]),IF(Main_S[[#This Row],[EPS]]&lt;&gt;0,Main_S[[#This Row],[Current Price]]/Main_S[[#This Row],[EPS]],""),"")</f>
        <v>70.399999999999991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-1.4310351139399862</v>
      </c>
      <c r="P6" s="1">
        <f>(Main_S[[#This Row],[P/B]]-VLOOKUP(Main_S[[#This Row],[Industry]], Mean_PB_S, 2, FALSE))/(VLOOKUP(Main_S[[#This Row],[Industry]], Mean_PB_S, 3, FALSE))</f>
        <v>-0.13921804800570156</v>
      </c>
      <c r="Q6" s="1">
        <f>(Main_S[[#This Row],[ROE]]-VLOOKUP(Main_S[[#This Row],[Industry]], Mean_ROE_S, 2, FALSE))/(VLOOKUP(Main_S[[#This Row],[Industry]], Mean_ROE_S, 3, FALSE))</f>
        <v>-0.15652116105673933</v>
      </c>
      <c r="R6" s="1">
        <f>(Main_S[[#This Row],[ROA]]-VLOOKUP(Main_S[[#This Row],[Industry]], Mean_ROA_S, 2, FALSE))/(VLOOKUP(Main_S[[#This Row],[Industry]], Mean_ROA_S, 3, FALSE))</f>
        <v>-1.4369967373119066</v>
      </c>
      <c r="S6" s="1">
        <f>(Main_S[[#This Row],[A/E]]-VLOOKUP(Main_S[[#This Row],[Industry]], Mean_AE_S, 2, FALSE))/(VLOOKUP(Main_S[[#This Row],[Industry]], Mean_AE_S, 3, FALSE))</f>
        <v>1.0954016992357873</v>
      </c>
      <c r="T6" s="1">
        <f>(Main_S[[#This Row],[P/E]]-VLOOKUP(Main_S[[#This Row],[Industry]], Mean_PE_S, 2, FALSE))/(VLOOKUP(Main_S[[#This Row],[Industry]], Mean_PE_S, 3, FALSE))</f>
        <v>1.5927040238793582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s="68" t="s">
        <v>105</v>
      </c>
      <c r="B7" s="68" t="s">
        <v>209</v>
      </c>
      <c r="C7" s="2">
        <v>607</v>
      </c>
      <c r="D7">
        <f>RTD("tos.rtd", , "LAST", Main_S[[#This Row],[Symbol]])</f>
        <v>18.920000000000002</v>
      </c>
      <c r="E7">
        <v>2.19</v>
      </c>
      <c r="F7">
        <v>18.649999999999999</v>
      </c>
      <c r="G7">
        <v>-0.5</v>
      </c>
      <c r="H7" s="1">
        <f>IF(ISNUMBER(Main_S[[#This Row],[Free CF]]),IF(Main_S[[#This Row],[Free CF]]&lt;&gt;0,Main_S[[#This Row],[Current Price]]/Main_S[[#This Row],[Free CF]],""),"")</f>
        <v>8.6392694063926943</v>
      </c>
      <c r="I7" s="1">
        <f>IF(ISNUMBER(Main_S[[#This Row],[BVPS]]),IF(Main_S[[#This Row],[BVPS]]&lt;&gt;0,Main_S[[#This Row],[Current Price]]/Main_S[[#This Row],[BVPS]],""),"")</f>
        <v>1.0144772117962468</v>
      </c>
      <c r="J7">
        <v>-1.05</v>
      </c>
      <c r="K7">
        <v>0.68</v>
      </c>
      <c r="L7">
        <v>2.09</v>
      </c>
      <c r="M7" s="1">
        <f>IF(ISNUMBER(Main_S[[#This Row],[EPS]]),IF(Main_S[[#This Row],[EPS]]&lt;&gt;0,Main_S[[#This Row],[Current Price]]/Main_S[[#This Row],[EPS]],""),"")</f>
        <v>-37.840000000000003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-1.198822571511162</v>
      </c>
      <c r="P7" s="1">
        <f>(Main_S[[#This Row],[P/B]]-VLOOKUP(Main_S[[#This Row],[Industry]], Mean_PB_S, 2, FALSE))/(VLOOKUP(Main_S[[#This Row],[Industry]], Mean_PB_S, 3, FALSE))</f>
        <v>-0.66990936827853298</v>
      </c>
      <c r="Q7" s="1">
        <f>(Main_S[[#This Row],[ROE]]-VLOOKUP(Main_S[[#This Row],[Industry]], Mean_ROE_S, 2, FALSE))/(VLOOKUP(Main_S[[#This Row],[Industry]], Mean_ROE_S, 3, FALSE))</f>
        <v>-0.69508622649563312</v>
      </c>
      <c r="R7" s="1">
        <f>(Main_S[[#This Row],[ROA]]-VLOOKUP(Main_S[[#This Row],[Industry]], Mean_ROA_S, 2, FALSE))/(VLOOKUP(Main_S[[#This Row],[Industry]], Mean_ROA_S, 3, FALSE))</f>
        <v>-4.4369734875356679</v>
      </c>
      <c r="S7" s="1">
        <f>(Main_S[[#This Row],[A/E]]-VLOOKUP(Main_S[[#This Row],[Industry]], Mean_AE_S, 2, FALSE))/(VLOOKUP(Main_S[[#This Row],[Industry]], Mean_AE_S, 3, FALSE))</f>
        <v>-0.78063109600711234</v>
      </c>
      <c r="T7" s="1">
        <f>(Main_S[[#This Row],[P/E]]-VLOOKUP(Main_S[[#This Row],[Industry]], Mean_PE_S, 2, FALSE))/(VLOOKUP(Main_S[[#This Row],[Industry]], Mean_PE_S, 3, FALSE))</f>
        <v>-1.7261542750478978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s="68" t="s">
        <v>105</v>
      </c>
      <c r="B8" s="68" t="s">
        <v>211</v>
      </c>
      <c r="C8" s="2">
        <v>1732</v>
      </c>
      <c r="D8">
        <f>RTD("tos.rtd", , "LAST", Main_S[[#This Row],[Symbol]])</f>
        <v>7.74</v>
      </c>
      <c r="E8">
        <v>0.76</v>
      </c>
      <c r="F8">
        <v>8.39</v>
      </c>
      <c r="G8">
        <v>-1.1499999999999999</v>
      </c>
      <c r="H8" s="1">
        <f>IF(ISNUMBER(Main_S[[#This Row],[Free CF]]),IF(Main_S[[#This Row],[Free CF]]&lt;&gt;0,Main_S[[#This Row],[Current Price]]/Main_S[[#This Row],[Free CF]],""),"")</f>
        <v>10.184210526315789</v>
      </c>
      <c r="I8" s="1">
        <f>IF(ISNUMBER(Main_S[[#This Row],[BVPS]]),IF(Main_S[[#This Row],[BVPS]]&lt;&gt;0,Main_S[[#This Row],[Current Price]]/Main_S[[#This Row],[BVPS]],""),"")</f>
        <v>0.92252681764004762</v>
      </c>
      <c r="J8">
        <v>-9.8800000000000008</v>
      </c>
      <c r="K8">
        <v>2.0499999999999998</v>
      </c>
      <c r="L8">
        <v>3.02</v>
      </c>
      <c r="M8" s="1">
        <f>IF(ISNUMBER(Main_S[[#This Row],[EPS]]),IF(Main_S[[#This Row],[EPS]]&lt;&gt;0,Main_S[[#This Row],[Current Price]]/Main_S[[#This Row],[EPS]],""),"")</f>
        <v>-6.7304347826086968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-0.19367223432276642</v>
      </c>
      <c r="P8" s="1">
        <f>(Main_S[[#This Row],[P/B]]-VLOOKUP(Main_S[[#This Row],[Industry]], Mean_PB_S, 2, FALSE))/(VLOOKUP(Main_S[[#This Row],[Industry]], Mean_PB_S, 3, FALSE))</f>
        <v>-1.0056894769996323</v>
      </c>
      <c r="Q8" s="1">
        <f>(Main_S[[#This Row],[ROE]]-VLOOKUP(Main_S[[#This Row],[Industry]], Mean_ROE_S, 2, FALSE))/(VLOOKUP(Main_S[[#This Row],[Industry]], Mean_ROE_S, 3, FALSE))</f>
        <v>-2.057702137047333</v>
      </c>
      <c r="R8" s="1">
        <f>(Main_S[[#This Row],[ROA]]-VLOOKUP(Main_S[[#This Row],[Industry]], Mean_ROA_S, 2, FALSE))/(VLOOKUP(Main_S[[#This Row],[Industry]], Mean_ROA_S, 3, FALSE))</f>
        <v>-1.2007780955620044</v>
      </c>
      <c r="S8" s="1">
        <f>(Main_S[[#This Row],[A/E]]-VLOOKUP(Main_S[[#This Row],[Industry]], Mean_AE_S, 2, FALSE))/(VLOOKUP(Main_S[[#This Row],[Industry]], Mean_AE_S, 3, FALSE))</f>
        <v>-0.19515777400177789</v>
      </c>
      <c r="T8" s="1">
        <f>(Main_S[[#This Row],[P/E]]-VLOOKUP(Main_S[[#This Row],[Industry]], Mean_PE_S, 2, FALSE))/(VLOOKUP(Main_S[[#This Row],[Industry]], Mean_PE_S, 3, FALSE))</f>
        <v>-0.77227180370867132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s="68" t="s">
        <v>114</v>
      </c>
      <c r="B9" s="68" t="s">
        <v>237</v>
      </c>
      <c r="C9" s="2">
        <v>1625</v>
      </c>
      <c r="D9">
        <f>RTD("tos.rtd", , "LAST", Main_S[[#This Row],[Symbol]])</f>
        <v>34.99</v>
      </c>
      <c r="E9">
        <v>3.01</v>
      </c>
      <c r="F9">
        <v>20.96</v>
      </c>
      <c r="G9">
        <v>1.93</v>
      </c>
      <c r="H9" s="1">
        <f>IF(ISNUMBER(Main_S[[#This Row],[Free CF]]),IF(Main_S[[#This Row],[Free CF]]&lt;&gt;0,Main_S[[#This Row],[Current Price]]/Main_S[[#This Row],[Free CF]],""),"")</f>
        <v>11.624584717607975</v>
      </c>
      <c r="I9" s="1">
        <f>IF(ISNUMBER(Main_S[[#This Row],[BVPS]]),IF(Main_S[[#This Row],[BVPS]]&lt;&gt;0,Main_S[[#This Row],[Current Price]]/Main_S[[#This Row],[BVPS]],""),"")</f>
        <v>1.6693702290076335</v>
      </c>
      <c r="J9">
        <v>9.39</v>
      </c>
      <c r="K9">
        <v>4.2300000000000004</v>
      </c>
      <c r="L9">
        <v>1.85</v>
      </c>
      <c r="M9" s="1">
        <f>IF(ISNUMBER(Main_S[[#This Row],[EPS]]),IF(Main_S[[#This Row],[EPS]]&lt;&gt;0,Main_S[[#This Row],[Current Price]]/Main_S[[#This Row],[EPS]],""),"")</f>
        <v>18.129533678756477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0.81182408267947526</v>
      </c>
      <c r="P9" s="1">
        <f>(Main_S[[#This Row],[P/B]]-VLOOKUP(Main_S[[#This Row],[Industry]], Mean_PB_S, 2, FALSE))/(VLOOKUP(Main_S[[#This Row],[Industry]], Mean_PB_S, 3, FALSE))</f>
        <v>1.7313445362376176</v>
      </c>
      <c r="Q9" s="1">
        <f>(Main_S[[#This Row],[ROE]]-VLOOKUP(Main_S[[#This Row],[Industry]], Mean_ROE_S, 2, FALSE))/(VLOOKUP(Main_S[[#This Row],[Industry]], Mean_ROE_S, 3, FALSE))</f>
        <v>1.0966609120163384</v>
      </c>
      <c r="R9" s="1">
        <f>(Main_S[[#This Row],[ROA]]-VLOOKUP(Main_S[[#This Row],[Industry]], Mean_ROA_S, 2, FALSE))/(VLOOKUP(Main_S[[#This Row],[Industry]], Mean_ROA_S, 3, FALSE))</f>
        <v>1.3057019112038122</v>
      </c>
      <c r="S9" s="1">
        <f>(Main_S[[#This Row],[A/E]]-VLOOKUP(Main_S[[#This Row],[Industry]], Mean_AE_S, 2, FALSE))/(VLOOKUP(Main_S[[#This Row],[Industry]], Mean_AE_S, 3, FALSE))</f>
        <v>-0.70542482949269325</v>
      </c>
      <c r="T9" s="1">
        <f>(Main_S[[#This Row],[P/E]]-VLOOKUP(Main_S[[#This Row],[Industry]], Mean_PE_S, 2, FALSE))/(VLOOKUP(Main_S[[#This Row],[Industry]], Mean_PE_S, 3, FALSE))</f>
        <v>-1.2842769197894692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s="68" t="s">
        <v>114</v>
      </c>
      <c r="B10" s="68" t="s">
        <v>239</v>
      </c>
      <c r="C10" s="2">
        <v>550</v>
      </c>
      <c r="D10">
        <f>RTD("tos.rtd", , "LAST", Main_S[[#This Row],[Symbol]])</f>
        <v>40.53</v>
      </c>
      <c r="E10">
        <v>3.39</v>
      </c>
      <c r="F10">
        <v>12.43</v>
      </c>
      <c r="G10">
        <v>1.35</v>
      </c>
      <c r="H10" s="1">
        <f>IF(ISNUMBER(Main_S[[#This Row],[Free CF]]),IF(Main_S[[#This Row],[Free CF]]&lt;&gt;0,Main_S[[#This Row],[Current Price]]/Main_S[[#This Row],[Free CF]],""),"")</f>
        <v>11.955752212389381</v>
      </c>
      <c r="I10" s="1">
        <f>IF(ISNUMBER(Main_S[[#This Row],[BVPS]]),IF(Main_S[[#This Row],[BVPS]]&lt;&gt;0,Main_S[[#This Row],[Current Price]]/Main_S[[#This Row],[BVPS]],""),"")</f>
        <v>3.2606596942880128</v>
      </c>
      <c r="J10">
        <v>10.15</v>
      </c>
      <c r="K10">
        <v>4.03</v>
      </c>
      <c r="L10">
        <v>3.33</v>
      </c>
      <c r="M10" s="1">
        <f>IF(ISNUMBER(Main_S[[#This Row],[EPS]]),IF(Main_S[[#This Row],[EPS]]&lt;&gt;0,Main_S[[#This Row],[Current Price]]/Main_S[[#This Row],[EPS]],""),"")</f>
        <v>30.022222222222222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0.95906853585510066</v>
      </c>
      <c r="P10" s="1">
        <f>(Main_S[[#This Row],[P/B]]-VLOOKUP(Main_S[[#This Row],[Industry]], Mean_PB_S, 2, FALSE))/(VLOOKUP(Main_S[[#This Row],[Industry]], Mean_PB_S, 3, FALSE))</f>
        <v>6.9790331701068258</v>
      </c>
      <c r="Q10" s="1">
        <f>(Main_S[[#This Row],[ROE]]-VLOOKUP(Main_S[[#This Row],[Industry]], Mean_ROE_S, 2, FALSE))/(VLOOKUP(Main_S[[#This Row],[Industry]], Mean_ROE_S, 3, FALSE))</f>
        <v>1.266201655127082</v>
      </c>
      <c r="R10" s="1">
        <f>(Main_S[[#This Row],[ROA]]-VLOOKUP(Main_S[[#This Row],[Industry]], Mean_ROA_S, 2, FALSE))/(VLOOKUP(Main_S[[#This Row],[Industry]], Mean_ROA_S, 3, FALSE))</f>
        <v>1.1287775329919134</v>
      </c>
      <c r="S10" s="1">
        <f>(Main_S[[#This Row],[A/E]]-VLOOKUP(Main_S[[#This Row],[Industry]], Mean_AE_S, 2, FALSE))/(VLOOKUP(Main_S[[#This Row],[Industry]], Mean_AE_S, 3, FALSE))</f>
        <v>1.4696350614431108</v>
      </c>
      <c r="T10" s="1">
        <f>(Main_S[[#This Row],[P/E]]-VLOOKUP(Main_S[[#This Row],[Industry]], Mean_PE_S, 2, FALSE))/(VLOOKUP(Main_S[[#This Row],[Industry]], Mean_PE_S, 3, FALSE))</f>
        <v>0.12932797348473571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s="68" t="s">
        <v>114</v>
      </c>
      <c r="B11" s="68" t="s">
        <v>238</v>
      </c>
      <c r="C11" s="2">
        <v>1374</v>
      </c>
      <c r="D11">
        <f>RTD("tos.rtd", , "LAST", Main_S[[#This Row],[Symbol]])</f>
        <v>24.35</v>
      </c>
      <c r="E11">
        <v>2.16</v>
      </c>
      <c r="F11">
        <v>25.06</v>
      </c>
      <c r="G11">
        <v>0.63</v>
      </c>
      <c r="H11" s="1">
        <f>IF(ISNUMBER(Main_S[[#This Row],[Free CF]]),IF(Main_S[[#This Row],[Free CF]]&lt;&gt;0,Main_S[[#This Row],[Current Price]]/Main_S[[#This Row],[Free CF]],""),"")</f>
        <v>11.273148148148149</v>
      </c>
      <c r="I11" s="1">
        <f>IF(ISNUMBER(Main_S[[#This Row],[BVPS]]),IF(Main_S[[#This Row],[BVPS]]&lt;&gt;0,Main_S[[#This Row],[Current Price]]/Main_S[[#This Row],[BVPS]],""),"")</f>
        <v>0.97166799680766169</v>
      </c>
      <c r="J11">
        <v>2.48</v>
      </c>
      <c r="K11">
        <v>1.94</v>
      </c>
      <c r="L11">
        <v>1.46</v>
      </c>
      <c r="M11" s="1">
        <f>IF(ISNUMBER(Main_S[[#This Row],[EPS]]),IF(Main_S[[#This Row],[EPS]]&lt;&gt;0,Main_S[[#This Row],[Current Price]]/Main_S[[#This Row],[EPS]],""),"")</f>
        <v>38.650793650793652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0.65556754690386532</v>
      </c>
      <c r="P11" s="1">
        <f>(Main_S[[#This Row],[P/B]]-VLOOKUP(Main_S[[#This Row],[Industry]], Mean_PB_S, 2, FALSE))/(VLOOKUP(Main_S[[#This Row],[Industry]], Mean_PB_S, 3, FALSE))</f>
        <v>-0.569509050508057</v>
      </c>
      <c r="Q11" s="1">
        <f>(Main_S[[#This Row],[ROE]]-VLOOKUP(Main_S[[#This Row],[Industry]], Mean_ROE_S, 2, FALSE))/(VLOOKUP(Main_S[[#This Row],[Industry]], Mean_ROE_S, 3, FALSE))</f>
        <v>-0.44482137074055683</v>
      </c>
      <c r="R11" s="1">
        <f>(Main_S[[#This Row],[ROA]]-VLOOKUP(Main_S[[#This Row],[Industry]], Mean_ROA_S, 2, FALSE))/(VLOOKUP(Main_S[[#This Row],[Industry]], Mean_ROA_S, 3, FALSE))</f>
        <v>-0.720082219322428</v>
      </c>
      <c r="S11" s="1">
        <f>(Main_S[[#This Row],[A/E]]-VLOOKUP(Main_S[[#This Row],[Industry]], Mean_AE_S, 2, FALSE))/(VLOOKUP(Main_S[[#This Row],[Industry]], Mean_AE_S, 3, FALSE))</f>
        <v>-1.2785825034555067</v>
      </c>
      <c r="T11" s="1">
        <f>(Main_S[[#This Row],[P/E]]-VLOOKUP(Main_S[[#This Row],[Industry]], Mean_PE_S, 2, FALSE))/(VLOOKUP(Main_S[[#This Row],[Industry]], Mean_PE_S, 3, FALSE))</f>
        <v>1.1549489463047327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s="68" t="s">
        <v>114</v>
      </c>
      <c r="B12" s="68" t="s">
        <v>236</v>
      </c>
      <c r="C12" s="2">
        <v>425</v>
      </c>
      <c r="D12">
        <f>RTD("tos.rtd", , "LAST", Main_S[[#This Row],[Symbol]])</f>
        <v>6.32</v>
      </c>
      <c r="E12">
        <v>0.94</v>
      </c>
      <c r="F12">
        <v>6.61</v>
      </c>
      <c r="G12">
        <v>0.03</v>
      </c>
      <c r="H12" s="1">
        <f>IF(ISNUMBER(Main_S[[#This Row],[Free CF]]),IF(Main_S[[#This Row],[Free CF]]&lt;&gt;0,Main_S[[#This Row],[Current Price]]/Main_S[[#This Row],[Free CF]],""),"")</f>
        <v>6.7234042553191493</v>
      </c>
      <c r="I12" s="1">
        <f>IF(ISNUMBER(Main_S[[#This Row],[BVPS]]),IF(Main_S[[#This Row],[BVPS]]&lt;&gt;0,Main_S[[#This Row],[Current Price]]/Main_S[[#This Row],[BVPS]],""),"")</f>
        <v>0.95612708018154313</v>
      </c>
      <c r="J12">
        <v>1.43</v>
      </c>
      <c r="K12">
        <v>1.64</v>
      </c>
      <c r="L12">
        <v>2.87</v>
      </c>
      <c r="M12" s="1">
        <f>IF(ISNUMBER(Main_S[[#This Row],[EPS]]),IF(Main_S[[#This Row],[EPS]]&lt;&gt;0,Main_S[[#This Row],[Current Price]]/Main_S[[#This Row],[EPS]],""),"")</f>
        <v>210.66666666666669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-1.3673500465965036</v>
      </c>
      <c r="P12" s="1">
        <f>(Main_S[[#This Row],[P/B]]-VLOOKUP(Main_S[[#This Row],[Industry]], Mean_PB_S, 2, FALSE))/(VLOOKUP(Main_S[[#This Row],[Industry]], Mean_PB_S, 3, FALSE))</f>
        <v>-0.62075924308343611</v>
      </c>
      <c r="Q12" s="1">
        <f>(Main_S[[#This Row],[ROE]]-VLOOKUP(Main_S[[#This Row],[Industry]], Mean_ROE_S, 2, FALSE))/(VLOOKUP(Main_S[[#This Row],[Industry]], Mean_ROE_S, 3, FALSE))</f>
        <v>-0.67905529214355831</v>
      </c>
      <c r="R12" s="1">
        <f>(Main_S[[#This Row],[ROA]]-VLOOKUP(Main_S[[#This Row],[Industry]], Mean_ROA_S, 2, FALSE))/(VLOOKUP(Main_S[[#This Row],[Industry]], Mean_ROA_S, 3, FALSE))</f>
        <v>-0.98546878664027604</v>
      </c>
      <c r="S12" s="1">
        <f>(Main_S[[#This Row],[A/E]]-VLOOKUP(Main_S[[#This Row],[Industry]], Mean_AE_S, 2, FALSE))/(VLOOKUP(Main_S[[#This Row],[Industry]], Mean_AE_S, 3, FALSE))</f>
        <v>0.79360293317927999</v>
      </c>
      <c r="T12" s="1">
        <f>(Main_S[[#This Row],[P/E]]-VLOOKUP(Main_S[[#This Row],[Industry]], Mean_PE_S, 2, FALSE))/(VLOOKUP(Main_S[[#This Row],[Industry]], Mean_PE_S, 3, FALSE))</f>
        <v>21.601333203939589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" spans="1:26" x14ac:dyDescent="0.25">
      <c r="A13" s="68" t="s">
        <v>114</v>
      </c>
      <c r="B13" s="68" t="s">
        <v>235</v>
      </c>
      <c r="C13" s="2">
        <v>463</v>
      </c>
      <c r="D13">
        <f>RTD("tos.rtd", , "LAST", Main_S[[#This Row],[Symbol]])</f>
        <v>16.91</v>
      </c>
      <c r="E13">
        <v>2.2799999999999998</v>
      </c>
      <c r="F13">
        <v>17.25</v>
      </c>
      <c r="G13">
        <v>-0.31</v>
      </c>
      <c r="H13" s="1">
        <f>IF(ISNUMBER(Main_S[[#This Row],[Free CF]]),IF(Main_S[[#This Row],[Free CF]]&lt;&gt;0,Main_S[[#This Row],[Current Price]]/Main_S[[#This Row],[Free CF]],""),"")</f>
        <v>7.416666666666667</v>
      </c>
      <c r="I13" s="1">
        <f>IF(ISNUMBER(Main_S[[#This Row],[BVPS]]),IF(Main_S[[#This Row],[BVPS]]&lt;&gt;0,Main_S[[#This Row],[Current Price]]/Main_S[[#This Row],[BVPS]],""),"")</f>
        <v>0.9802898550724638</v>
      </c>
      <c r="J13">
        <v>-1.08</v>
      </c>
      <c r="K13">
        <v>1.93</v>
      </c>
      <c r="L13">
        <v>2.14</v>
      </c>
      <c r="M13" s="1">
        <f>IF(ISNUMBER(Main_S[[#This Row],[EPS]]),IF(Main_S[[#This Row],[EPS]]&lt;&gt;0,Main_S[[#This Row],[Current Price]]/Main_S[[#This Row],[EPS]],""),"")</f>
        <v>-54.548387096774192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-1.0591101188419387</v>
      </c>
      <c r="P13" s="1">
        <f>(Main_S[[#This Row],[P/B]]-VLOOKUP(Main_S[[#This Row],[Industry]], Mean_PB_S, 2, FALSE))/(VLOOKUP(Main_S[[#This Row],[Industry]], Mean_PB_S, 3, FALSE))</f>
        <v>-0.54107624264612519</v>
      </c>
      <c r="Q13" s="1">
        <f>(Main_S[[#This Row],[ROE]]-VLOOKUP(Main_S[[#This Row],[Industry]], Mean_ROE_S, 2, FALSE))/(VLOOKUP(Main_S[[#This Row],[Industry]], Mean_ROE_S, 3, FALSE))</f>
        <v>-1.2389859042593045</v>
      </c>
      <c r="R13" s="1">
        <f>(Main_S[[#This Row],[ROA]]-VLOOKUP(Main_S[[#This Row],[Industry]], Mean_ROA_S, 2, FALSE))/(VLOOKUP(Main_S[[#This Row],[Industry]], Mean_ROA_S, 3, FALSE))</f>
        <v>-0.728928438233023</v>
      </c>
      <c r="S13" s="1">
        <f>(Main_S[[#This Row],[A/E]]-VLOOKUP(Main_S[[#This Row],[Industry]], Mean_AE_S, 2, FALSE))/(VLOOKUP(Main_S[[#This Row],[Industry]], Mean_AE_S, 3, FALSE))</f>
        <v>-0.27923066167419097</v>
      </c>
      <c r="T13" s="1">
        <f>(Main_S[[#This Row],[P/E]]-VLOOKUP(Main_S[[#This Row],[Industry]], Mean_PE_S, 2, FALSE))/(VLOOKUP(Main_S[[#This Row],[Industry]], Mean_PE_S, 3, FALSE))</f>
        <v>-9.9230186194308772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" spans="1:26" x14ac:dyDescent="0.25">
      <c r="A14" s="68" t="s">
        <v>110</v>
      </c>
      <c r="B14" s="68" t="s">
        <v>221</v>
      </c>
      <c r="C14" s="2">
        <v>1108</v>
      </c>
      <c r="D14">
        <f>RTD("tos.rtd", , "LAST", Main_S[[#This Row],[Symbol]])</f>
        <v>7.39</v>
      </c>
      <c r="E14">
        <v>1.68</v>
      </c>
      <c r="F14">
        <v>12.45</v>
      </c>
      <c r="G14">
        <v>0.26</v>
      </c>
      <c r="H14" s="1">
        <f>IF(ISNUMBER(Main_S[[#This Row],[Free CF]]),IF(Main_S[[#This Row],[Free CF]]&lt;&gt;0,Main_S[[#This Row],[Current Price]]/Main_S[[#This Row],[Free CF]],""),"")</f>
        <v>4.3988095238095237</v>
      </c>
      <c r="I14" s="1">
        <f>IF(ISNUMBER(Main_S[[#This Row],[BVPS]]),IF(Main_S[[#This Row],[BVPS]]&lt;&gt;0,Main_S[[#This Row],[Current Price]]/Main_S[[#This Row],[BVPS]],""),"")</f>
        <v>0.59357429718875498</v>
      </c>
      <c r="J14">
        <v>2.91</v>
      </c>
      <c r="K14">
        <v>1.96</v>
      </c>
      <c r="L14">
        <v>2.58</v>
      </c>
      <c r="M14" s="1">
        <f>IF(ISNUMBER(Main_S[[#This Row],[EPS]]),IF(Main_S[[#This Row],[EPS]]&lt;&gt;0,Main_S[[#This Row],[Current Price]]/Main_S[[#This Row],[EPS]],""),"")</f>
        <v>28.42307692307692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-0.73582857481775954</v>
      </c>
      <c r="P14" s="1">
        <f>(Main_S[[#This Row],[P/B]]-VLOOKUP(Main_S[[#This Row],[Industry]], Mean_PB_S, 2, FALSE))/(VLOOKUP(Main_S[[#This Row],[Industry]], Mean_PB_S, 3, FALSE))</f>
        <v>-0.45186367308119174</v>
      </c>
      <c r="Q14" s="1">
        <f>(Main_S[[#This Row],[ROE]]-VLOOKUP(Main_S[[#This Row],[Industry]], Mean_ROE_S, 2, FALSE))/(VLOOKUP(Main_S[[#This Row],[Industry]], Mean_ROE_S, 3, FALSE))</f>
        <v>0.91304191903105236</v>
      </c>
      <c r="R14" s="1">
        <f>(Main_S[[#This Row],[ROA]]-VLOOKUP(Main_S[[#This Row],[Industry]], Mean_ROA_S, 2, FALSE))/(VLOOKUP(Main_S[[#This Row],[Industry]], Mean_ROA_S, 3, FALSE))</f>
        <v>1.0945369406104806</v>
      </c>
      <c r="S14" s="1">
        <f>(Main_S[[#This Row],[A/E]]-VLOOKUP(Main_S[[#This Row],[Industry]], Mean_AE_S, 2, FALSE))/(VLOOKUP(Main_S[[#This Row],[Industry]], Mean_AE_S, 3, FALSE))</f>
        <v>0.71951492145280138</v>
      </c>
      <c r="T14" s="1">
        <f>(Main_S[[#This Row],[P/E]]-VLOOKUP(Main_S[[#This Row],[Industry]], Mean_PE_S, 2, FALSE))/(VLOOKUP(Main_S[[#This Row],[Industry]], Mean_PE_S, 3, FALSE))</f>
        <v>-0.31151085412676799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s="68" t="s">
        <v>110</v>
      </c>
      <c r="B15" s="68" t="s">
        <v>224</v>
      </c>
      <c r="C15" s="2">
        <v>1207</v>
      </c>
      <c r="D15">
        <f>RTD("tos.rtd", , "LAST", Main_S[[#This Row],[Symbol]])</f>
        <v>12.33</v>
      </c>
      <c r="E15">
        <v>0.53</v>
      </c>
      <c r="F15">
        <v>12.25</v>
      </c>
      <c r="G15">
        <v>0.22</v>
      </c>
      <c r="H15" s="1">
        <f>IF(ISNUMBER(Main_S[[#This Row],[Free CF]]),IF(Main_S[[#This Row],[Free CF]]&lt;&gt;0,Main_S[[#This Row],[Current Price]]/Main_S[[#This Row],[Free CF]],""),"")</f>
        <v>23.264150943396224</v>
      </c>
      <c r="I15" s="1">
        <f>IF(ISNUMBER(Main_S[[#This Row],[BVPS]]),IF(Main_S[[#This Row],[BVPS]]&lt;&gt;0,Main_S[[#This Row],[Current Price]]/Main_S[[#This Row],[BVPS]],""),"")</f>
        <v>1.006530612244898</v>
      </c>
      <c r="J15">
        <v>1.91</v>
      </c>
      <c r="K15">
        <v>2.0699999999999998</v>
      </c>
      <c r="L15">
        <v>2.39</v>
      </c>
      <c r="M15" s="1">
        <f>IF(ISNUMBER(Main_S[[#This Row],[EPS]]),IF(Main_S[[#This Row],[EPS]]&lt;&gt;0,Main_S[[#This Row],[Current Price]]/Main_S[[#This Row],[EPS]],""),"")</f>
        <v>56.045454545454547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5.8828065709017343</v>
      </c>
      <c r="P15" s="1">
        <f>(Main_S[[#This Row],[P/B]]-VLOOKUP(Main_S[[#This Row],[Industry]], Mean_PB_S, 2, FALSE))/(VLOOKUP(Main_S[[#This Row],[Industry]], Mean_PB_S, 3, FALSE))</f>
        <v>1.2352954628772717</v>
      </c>
      <c r="Q15" s="1">
        <f>(Main_S[[#This Row],[ROE]]-VLOOKUP(Main_S[[#This Row],[Industry]], Mean_ROE_S, 2, FALSE))/(VLOOKUP(Main_S[[#This Row],[Industry]], Mean_ROE_S, 3, FALSE))</f>
        <v>-2.8238409866939998E-2</v>
      </c>
      <c r="R15" s="1">
        <f>(Main_S[[#This Row],[ROA]]-VLOOKUP(Main_S[[#This Row],[Industry]], Mean_ROA_S, 2, FALSE))/(VLOOKUP(Main_S[[#This Row],[Industry]], Mean_ROA_S, 3, FALSE))</f>
        <v>1.6589075506127595</v>
      </c>
      <c r="S15" s="1">
        <f>(Main_S[[#This Row],[A/E]]-VLOOKUP(Main_S[[#This Row],[Industry]], Mean_AE_S, 2, FALSE))/(VLOOKUP(Main_S[[#This Row],[Industry]], Mean_AE_S, 3, FALSE))</f>
        <v>0.33364603212529087</v>
      </c>
      <c r="T15" s="1">
        <f>(Main_S[[#This Row],[P/E]]-VLOOKUP(Main_S[[#This Row],[Industry]], Mean_PE_S, 2, FALSE))/(VLOOKUP(Main_S[[#This Row],[Industry]], Mean_PE_S, 3, FALSE))</f>
        <v>0.31671865015166384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s="68" t="s">
        <v>110</v>
      </c>
      <c r="B16" s="68" t="s">
        <v>218</v>
      </c>
      <c r="C16" s="2">
        <v>492</v>
      </c>
      <c r="D16">
        <f>RTD("tos.rtd", , "LAST", Main_S[[#This Row],[Symbol]])</f>
        <v>4.55</v>
      </c>
      <c r="E16">
        <v>0.49</v>
      </c>
      <c r="F16">
        <v>8.42</v>
      </c>
      <c r="G16">
        <v>0.2</v>
      </c>
      <c r="H16" s="1">
        <f>IF(ISNUMBER(Main_S[[#This Row],[Free CF]]),IF(Main_S[[#This Row],[Free CF]]&lt;&gt;0,Main_S[[#This Row],[Current Price]]/Main_S[[#This Row],[Free CF]],""),"")</f>
        <v>9.2857142857142847</v>
      </c>
      <c r="I16" s="1">
        <f>IF(ISNUMBER(Main_S[[#This Row],[BVPS]]),IF(Main_S[[#This Row],[BVPS]]&lt;&gt;0,Main_S[[#This Row],[Current Price]]/Main_S[[#This Row],[BVPS]],""),"")</f>
        <v>0.54038004750593827</v>
      </c>
      <c r="J16">
        <v>2.66</v>
      </c>
      <c r="K16">
        <v>1.66</v>
      </c>
      <c r="L16">
        <v>3.15</v>
      </c>
      <c r="M16" s="1">
        <f>IF(ISNUMBER(Main_S[[#This Row],[EPS]]),IF(Main_S[[#This Row],[EPS]]&lt;&gt;0,Main_S[[#This Row],[Current Price]]/Main_S[[#This Row],[EPS]],""),"")</f>
        <v>22.749999999999996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0.97867204786089457</v>
      </c>
      <c r="P16" s="1">
        <f>(Main_S[[#This Row],[P/B]]-VLOOKUP(Main_S[[#This Row],[Industry]], Mean_PB_S, 2, FALSE))/(VLOOKUP(Main_S[[#This Row],[Industry]], Mean_PB_S, 3, FALSE))</f>
        <v>-0.66919214357720136</v>
      </c>
      <c r="Q16" s="1">
        <f>(Main_S[[#This Row],[ROE]]-VLOOKUP(Main_S[[#This Row],[Industry]], Mean_ROE_S, 2, FALSE))/(VLOOKUP(Main_S[[#This Row],[Industry]], Mean_ROE_S, 3, FALSE))</f>
        <v>0.6777218368065544</v>
      </c>
      <c r="R16" s="1">
        <f>(Main_S[[#This Row],[ROA]]-VLOOKUP(Main_S[[#This Row],[Industry]], Mean_ROA_S, 2, FALSE))/(VLOOKUP(Main_S[[#This Row],[Industry]], Mean_ROA_S, 3, FALSE))</f>
        <v>-0.44465563212300929</v>
      </c>
      <c r="S16" s="1">
        <f>(Main_S[[#This Row],[A/E]]-VLOOKUP(Main_S[[#This Row],[Industry]], Mean_AE_S, 2, FALSE))/(VLOOKUP(Main_S[[#This Row],[Industry]], Mean_AE_S, 3, FALSE))</f>
        <v>1.8771215894353328</v>
      </c>
      <c r="T16" s="1">
        <f>(Main_S[[#This Row],[P/E]]-VLOOKUP(Main_S[[#This Row],[Industry]], Mean_PE_S, 2, FALSE))/(VLOOKUP(Main_S[[#This Row],[Industry]], Mean_PE_S, 3, FALSE))</f>
        <v>-0.44053647067002816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s="68" t="s">
        <v>110</v>
      </c>
      <c r="B17" s="68" t="s">
        <v>217</v>
      </c>
      <c r="C17" s="2">
        <v>1576</v>
      </c>
      <c r="D17">
        <f>RTD("tos.rtd", , "LAST", Main_S[[#This Row],[Symbol]])</f>
        <v>7.76</v>
      </c>
      <c r="E17">
        <v>1.01</v>
      </c>
      <c r="F17">
        <v>7.56</v>
      </c>
      <c r="G17">
        <v>0.19</v>
      </c>
      <c r="H17" s="1">
        <f>IF(ISNUMBER(Main_S[[#This Row],[Free CF]]),IF(Main_S[[#This Row],[Free CF]]&lt;&gt;0,Main_S[[#This Row],[Current Price]]/Main_S[[#This Row],[Free CF]],""),"")</f>
        <v>7.6831683168316829</v>
      </c>
      <c r="I17" s="1">
        <f>IF(ISNUMBER(Main_S[[#This Row],[BVPS]]),IF(Main_S[[#This Row],[BVPS]]&lt;&gt;0,Main_S[[#This Row],[Current Price]]/Main_S[[#This Row],[BVPS]],""),"")</f>
        <v>1.0264550264550265</v>
      </c>
      <c r="J17">
        <v>3.21</v>
      </c>
      <c r="K17">
        <v>3.31</v>
      </c>
      <c r="L17">
        <v>1.98</v>
      </c>
      <c r="M17" s="1">
        <f>IF(ISNUMBER(Main_S[[#This Row],[EPS]]),IF(Main_S[[#This Row],[EPS]]&lt;&gt;0,Main_S[[#This Row],[Current Price]]/Main_S[[#This Row],[EPS]],""),"")</f>
        <v>40.84210526315789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0.41644172102115612</v>
      </c>
      <c r="P17" s="1">
        <f>(Main_S[[#This Row],[P/B]]-VLOOKUP(Main_S[[#This Row],[Industry]], Mean_PB_S, 2, FALSE))/(VLOOKUP(Main_S[[#This Row],[Industry]], Mean_PB_S, 3, FALSE))</f>
        <v>1.3166979169326569</v>
      </c>
      <c r="Q17" s="1">
        <f>(Main_S[[#This Row],[ROE]]-VLOOKUP(Main_S[[#This Row],[Industry]], Mean_ROE_S, 2, FALSE))/(VLOOKUP(Main_S[[#This Row],[Industry]], Mean_ROE_S, 3, FALSE))</f>
        <v>1.1954260177004499</v>
      </c>
      <c r="R17" s="1">
        <f>(Main_S[[#This Row],[ROA]]-VLOOKUP(Main_S[[#This Row],[Industry]], Mean_ROA_S, 2, FALSE))/(VLOOKUP(Main_S[[#This Row],[Industry]], Mean_ROA_S, 3, FALSE))</f>
        <v>8.0209035179111847</v>
      </c>
      <c r="S17" s="1">
        <f>(Main_S[[#This Row],[A/E]]-VLOOKUP(Main_S[[#This Row],[Industry]], Mean_AE_S, 2, FALSE))/(VLOOKUP(Main_S[[#This Row],[Industry]], Mean_AE_S, 3, FALSE))</f>
        <v>-0.49901841326565338</v>
      </c>
      <c r="T17" s="1">
        <f>(Main_S[[#This Row],[P/E]]-VLOOKUP(Main_S[[#This Row],[Industry]], Mean_PE_S, 2, FALSE))/(VLOOKUP(Main_S[[#This Row],[Industry]], Mean_PE_S, 3, FALSE))</f>
        <v>-2.9058701586928123E-2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s="68" t="s">
        <v>110</v>
      </c>
      <c r="B18" s="68" t="s">
        <v>222</v>
      </c>
      <c r="C18" s="2">
        <v>1782</v>
      </c>
      <c r="D18">
        <f>RTD("tos.rtd", , "LAST", Main_S[[#This Row],[Symbol]])</f>
        <v>9.07</v>
      </c>
      <c r="E18">
        <v>0.81</v>
      </c>
      <c r="F18">
        <v>8.9600000000000009</v>
      </c>
      <c r="G18">
        <v>0.1</v>
      </c>
      <c r="H18" s="1">
        <f>IF(ISNUMBER(Main_S[[#This Row],[Free CF]]),IF(Main_S[[#This Row],[Free CF]]&lt;&gt;0,Main_S[[#This Row],[Current Price]]/Main_S[[#This Row],[Free CF]],""),"")</f>
        <v>11.19753086419753</v>
      </c>
      <c r="I18" s="1">
        <f>IF(ISNUMBER(Main_S[[#This Row],[BVPS]]),IF(Main_S[[#This Row],[BVPS]]&lt;&gt;0,Main_S[[#This Row],[Current Price]]/Main_S[[#This Row],[BVPS]],""),"")</f>
        <v>1.0122767857142856</v>
      </c>
      <c r="J18">
        <v>1.67</v>
      </c>
      <c r="K18">
        <v>1.58</v>
      </c>
      <c r="L18">
        <v>1.72</v>
      </c>
      <c r="M18" s="1">
        <f>IF(ISNUMBER(Main_S[[#This Row],[EPS]]),IF(Main_S[[#This Row],[EPS]]&lt;&gt;0,Main_S[[#This Row],[Current Price]]/Main_S[[#This Row],[EPS]],""),"")</f>
        <v>90.7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1.6494055435919044</v>
      </c>
      <c r="P18" s="1">
        <f>(Main_S[[#This Row],[P/B]]-VLOOKUP(Main_S[[#This Row],[Industry]], Mean_PB_S, 2, FALSE))/(VLOOKUP(Main_S[[#This Row],[Industry]], Mean_PB_S, 3, FALSE))</f>
        <v>1.2587718179110028</v>
      </c>
      <c r="Q18" s="1">
        <f>(Main_S[[#This Row],[ROE]]-VLOOKUP(Main_S[[#This Row],[Industry]], Mean_ROE_S, 2, FALSE))/(VLOOKUP(Main_S[[#This Row],[Industry]], Mean_ROE_S, 3, FALSE))</f>
        <v>-0.25414568880245814</v>
      </c>
      <c r="R18" s="1">
        <f>(Main_S[[#This Row],[ROA]]-VLOOKUP(Main_S[[#This Row],[Industry]], Mean_ROA_S, 2, FALSE))/(VLOOKUP(Main_S[[#This Row],[Industry]], Mean_ROA_S, 3, FALSE))</f>
        <v>-0.85510698485193903</v>
      </c>
      <c r="S18" s="1">
        <f>(Main_S[[#This Row],[A/E]]-VLOOKUP(Main_S[[#This Row],[Industry]], Mean_AE_S, 2, FALSE))/(VLOOKUP(Main_S[[#This Row],[Industry]], Mean_AE_S, 3, FALSE))</f>
        <v>-1.0270495249769838</v>
      </c>
      <c r="T18" s="1">
        <f>(Main_S[[#This Row],[P/E]]-VLOOKUP(Main_S[[#This Row],[Industry]], Mean_PE_S, 2, FALSE))/(VLOOKUP(Main_S[[#This Row],[Industry]], Mean_PE_S, 3, FALSE))</f>
        <v>1.1048842530382958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s="68" t="s">
        <v>110</v>
      </c>
      <c r="B19" s="68" t="s">
        <v>216</v>
      </c>
      <c r="C19" s="2">
        <v>349</v>
      </c>
      <c r="D19">
        <f>RTD("tos.rtd", , "LAST", Main_S[[#This Row],[Symbol]])</f>
        <v>7.3</v>
      </c>
      <c r="E19">
        <v>1.29</v>
      </c>
      <c r="F19">
        <v>15.41</v>
      </c>
      <c r="G19">
        <v>0.06</v>
      </c>
      <c r="H19" s="1">
        <f>IF(ISNUMBER(Main_S[[#This Row],[Free CF]]),IF(Main_S[[#This Row],[Free CF]]&lt;&gt;0,Main_S[[#This Row],[Current Price]]/Main_S[[#This Row],[Free CF]],""),"")</f>
        <v>5.6589147286821699</v>
      </c>
      <c r="I19" s="1">
        <f>IF(ISNUMBER(Main_S[[#This Row],[BVPS]]),IF(Main_S[[#This Row],[BVPS]]&lt;&gt;0,Main_S[[#This Row],[Current Price]]/Main_S[[#This Row],[BVPS]],""),"")</f>
        <v>0.47371836469824785</v>
      </c>
      <c r="J19">
        <v>1.39</v>
      </c>
      <c r="K19">
        <v>1.57</v>
      </c>
      <c r="L19">
        <v>1.62</v>
      </c>
      <c r="M19" s="1">
        <f>IF(ISNUMBER(Main_S[[#This Row],[EPS]]),IF(Main_S[[#This Row],[EPS]]&lt;&gt;0,Main_S[[#This Row],[Current Price]]/Main_S[[#This Row],[EPS]],""),"")</f>
        <v>121.66666666666667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-0.29373869100494521</v>
      </c>
      <c r="P19" s="1">
        <f>(Main_S[[#This Row],[P/B]]-VLOOKUP(Main_S[[#This Row],[Industry]], Mean_PB_S, 2, FALSE))/(VLOOKUP(Main_S[[#This Row],[Industry]], Mean_PB_S, 3, FALSE))</f>
        <v>-0.9415426636366161</v>
      </c>
      <c r="Q19" s="1">
        <f>(Main_S[[#This Row],[ROE]]-VLOOKUP(Main_S[[#This Row],[Industry]], Mean_ROE_S, 2, FALSE))/(VLOOKUP(Main_S[[#This Row],[Industry]], Mean_ROE_S, 3, FALSE))</f>
        <v>-0.51770418089389592</v>
      </c>
      <c r="R19" s="1">
        <f>(Main_S[[#This Row],[ROA]]-VLOOKUP(Main_S[[#This Row],[Industry]], Mean_ROA_S, 2, FALSE))/(VLOOKUP(Main_S[[#This Row],[Industry]], Mean_ROA_S, 3, FALSE))</f>
        <v>-0.90641340394305547</v>
      </c>
      <c r="S19" s="1">
        <f>(Main_S[[#This Row],[A/E]]-VLOOKUP(Main_S[[#This Row],[Industry]], Mean_AE_S, 2, FALSE))/(VLOOKUP(Main_S[[#This Row],[Industry]], Mean_AE_S, 3, FALSE))</f>
        <v>-1.230138414096726</v>
      </c>
      <c r="T19" s="1">
        <f>(Main_S[[#This Row],[P/E]]-VLOOKUP(Main_S[[#This Row],[Industry]], Mean_PE_S, 2, FALSE))/(VLOOKUP(Main_S[[#This Row],[Industry]], Mean_PE_S, 3, FALSE))</f>
        <v>1.8091745902102521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s="68" t="s">
        <v>110</v>
      </c>
      <c r="B20" s="68" t="s">
        <v>219</v>
      </c>
      <c r="C20" s="2">
        <v>1090</v>
      </c>
      <c r="D20">
        <f>RTD("tos.rtd", , "LAST", Main_S[[#This Row],[Symbol]])</f>
        <v>9.77</v>
      </c>
      <c r="E20">
        <v>1.94</v>
      </c>
      <c r="F20">
        <v>22.28</v>
      </c>
      <c r="G20">
        <v>-0.44</v>
      </c>
      <c r="H20" s="1">
        <f>IF(ISNUMBER(Main_S[[#This Row],[Free CF]]),IF(Main_S[[#This Row],[Free CF]]&lt;&gt;0,Main_S[[#This Row],[Current Price]]/Main_S[[#This Row],[Free CF]],""),"")</f>
        <v>5.036082474226804</v>
      </c>
      <c r="I20" s="1">
        <f>IF(ISNUMBER(Main_S[[#This Row],[BVPS]]),IF(Main_S[[#This Row],[BVPS]]&lt;&gt;0,Main_S[[#This Row],[Current Price]]/Main_S[[#This Row],[BVPS]],""),"")</f>
        <v>0.43850987432675043</v>
      </c>
      <c r="J20">
        <v>-0.17</v>
      </c>
      <c r="K20">
        <v>0.85</v>
      </c>
      <c r="L20">
        <v>2.14</v>
      </c>
      <c r="M20" s="1">
        <f>IF(ISNUMBER(Main_S[[#This Row],[EPS]]),IF(Main_S[[#This Row],[EPS]]&lt;&gt;0,Main_S[[#This Row],[Current Price]]/Main_S[[#This Row],[EPS]],""),"")</f>
        <v>-22.204545454545453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-0.512250477117974</v>
      </c>
      <c r="P20" s="1">
        <f>(Main_S[[#This Row],[P/B]]-VLOOKUP(Main_S[[#This Row],[Industry]], Mean_PB_S, 2, FALSE))/(VLOOKUP(Main_S[[#This Row],[Industry]], Mean_PB_S, 3, FALSE))</f>
        <v>-1.0853891772454503</v>
      </c>
      <c r="Q20" s="1">
        <f>(Main_S[[#This Row],[ROE]]-VLOOKUP(Main_S[[#This Row],[Industry]], Mean_ROE_S, 2, FALSE))/(VLOOKUP(Main_S[[#This Row],[Industry]], Mean_ROE_S, 3, FALSE))</f>
        <v>-1.9861014939747639</v>
      </c>
      <c r="R20" s="1">
        <f>(Main_S[[#This Row],[ROA]]-VLOOKUP(Main_S[[#This Row],[Industry]], Mean_ROA_S, 2, FALSE))/(VLOOKUP(Main_S[[#This Row],[Industry]], Mean_ROA_S, 3, FALSE))</f>
        <v>-4.6004755785034313</v>
      </c>
      <c r="S20" s="1">
        <f>(Main_S[[#This Row],[A/E]]-VLOOKUP(Main_S[[#This Row],[Industry]], Mean_AE_S, 2, FALSE))/(VLOOKUP(Main_S[[#This Row],[Industry]], Mean_AE_S, 3, FALSE))</f>
        <v>-0.17407619067406521</v>
      </c>
      <c r="T20" s="1">
        <f>(Main_S[[#This Row],[P/E]]-VLOOKUP(Main_S[[#This Row],[Industry]], Mean_PE_S, 2, FALSE))/(VLOOKUP(Main_S[[#This Row],[Industry]], Mean_PE_S, 3, FALSE))</f>
        <v>-1.4629601082026606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s="68" t="s">
        <v>110</v>
      </c>
      <c r="B21" s="68" t="s">
        <v>223</v>
      </c>
      <c r="C21" s="2">
        <v>387</v>
      </c>
      <c r="D21">
        <f>RTD("tos.rtd", , "LAST", Main_S[[#This Row],[Symbol]])</f>
        <v>2.39</v>
      </c>
      <c r="E21">
        <v>1.08</v>
      </c>
      <c r="F21">
        <v>4.41</v>
      </c>
      <c r="G21">
        <v>-1.89</v>
      </c>
      <c r="H21" s="1">
        <f>IF(ISNUMBER(Main_S[[#This Row],[Free CF]]),IF(Main_S[[#This Row],[Free CF]]&lt;&gt;0,Main_S[[#This Row],[Current Price]]/Main_S[[#This Row],[Free CF]],""),"")</f>
        <v>2.2129629629629628</v>
      </c>
      <c r="I21" s="1">
        <f>IF(ISNUMBER(Main_S[[#This Row],[BVPS]]),IF(Main_S[[#This Row],[BVPS]]&lt;&gt;0,Main_S[[#This Row],[Current Price]]/Main_S[[#This Row],[BVPS]],""),"")</f>
        <v>0.54195011337868482</v>
      </c>
      <c r="J21">
        <v>-33.909999999999997</v>
      </c>
      <c r="K21">
        <v>1.64</v>
      </c>
      <c r="L21">
        <v>9.5</v>
      </c>
      <c r="M21" s="1">
        <f>IF(ISNUMBER(Main_S[[#This Row],[EPS]]),IF(Main_S[[#This Row],[EPS]]&lt;&gt;0,Main_S[[#This Row],[Current Price]]/Main_S[[#This Row],[EPS]],""),"")</f>
        <v>-1.2645502645502646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-1.5027015695332764</v>
      </c>
      <c r="P21" s="1">
        <f>(Main_S[[#This Row],[P/B]]-VLOOKUP(Main_S[[#This Row],[Industry]], Mean_PB_S, 2, FALSE))/(VLOOKUP(Main_S[[#This Row],[Industry]], Mean_PB_S, 3, FALSE))</f>
        <v>-0.66277754018046964</v>
      </c>
      <c r="Q21" s="1">
        <f>(Main_S[[#This Row],[ROE]]-VLOOKUP(Main_S[[#This Row],[Industry]], Mean_ROE_S, 2, FALSE))/(VLOOKUP(Main_S[[#This Row],[Industry]], Mean_ROE_S, 3, FALSE))</f>
        <v>-33.744899790993017</v>
      </c>
      <c r="R21" s="1">
        <f>(Main_S[[#This Row],[ROA]]-VLOOKUP(Main_S[[#This Row],[Industry]], Mean_ROA_S, 2, FALSE))/(VLOOKUP(Main_S[[#This Row],[Industry]], Mean_ROA_S, 3, FALSE))</f>
        <v>-0.54726847030524206</v>
      </c>
      <c r="S21" s="1">
        <f>(Main_S[[#This Row],[A/E]]-VLOOKUP(Main_S[[#This Row],[Industry]], Mean_AE_S, 2, FALSE))/(VLOOKUP(Main_S[[#This Row],[Industry]], Mean_AE_S, 3, FALSE))</f>
        <v>14.773266048538977</v>
      </c>
      <c r="T21" s="1">
        <f>(Main_S[[#This Row],[P/E]]-VLOOKUP(Main_S[[#This Row],[Industry]], Mean_PE_S, 2, FALSE))/(VLOOKUP(Main_S[[#This Row],[Industry]], Mean_PE_S, 3, FALSE))</f>
        <v>-0.98671135881382788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s="68" t="s">
        <v>107</v>
      </c>
      <c r="B22" s="68" t="s">
        <v>214</v>
      </c>
      <c r="C22" s="2">
        <v>1547</v>
      </c>
      <c r="D22">
        <f>RTD("tos.rtd", , "LAST", Main_S[[#This Row],[Symbol]])</f>
        <v>56.68</v>
      </c>
      <c r="E22">
        <v>8.4700000000000006</v>
      </c>
      <c r="F22">
        <v>66.58</v>
      </c>
      <c r="G22">
        <v>5.2</v>
      </c>
      <c r="H22" s="1">
        <f>IF(ISNUMBER(Main_S[[#This Row],[Free CF]]),IF(Main_S[[#This Row],[Free CF]]&lt;&gt;0,Main_S[[#This Row],[Current Price]]/Main_S[[#This Row],[Free CF]],""),"")</f>
        <v>6.6918536009445093</v>
      </c>
      <c r="I22" s="1">
        <f>IF(ISNUMBER(Main_S[[#This Row],[BVPS]]),IF(Main_S[[#This Row],[BVPS]]&lt;&gt;0,Main_S[[#This Row],[Current Price]]/Main_S[[#This Row],[BVPS]],""),"")</f>
        <v>0.85130669870832087</v>
      </c>
      <c r="J22">
        <v>7.91</v>
      </c>
      <c r="K22">
        <v>4.42</v>
      </c>
      <c r="L22">
        <v>1.25</v>
      </c>
      <c r="M22" s="1">
        <f>IF(ISNUMBER(Main_S[[#This Row],[EPS]]),IF(Main_S[[#This Row],[EPS]]&lt;&gt;0,Main_S[[#This Row],[Current Price]]/Main_S[[#This Row],[EPS]],""),"")</f>
        <v>10.9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-0.75580805716923138</v>
      </c>
      <c r="P22" s="1">
        <f>(Main_S[[#This Row],[P/B]]-VLOOKUP(Main_S[[#This Row],[Industry]], Mean_PB_S, 2, FALSE))/(VLOOKUP(Main_S[[#This Row],[Industry]], Mean_PB_S, 3, FALSE))</f>
        <v>-0.1388602079076206</v>
      </c>
      <c r="Q22" s="1">
        <f>(Main_S[[#This Row],[ROE]]-VLOOKUP(Main_S[[#This Row],[Industry]], Mean_ROE_S, 2, FALSE))/(VLOOKUP(Main_S[[#This Row],[Industry]], Mean_ROE_S, 3, FALSE))</f>
        <v>-0.68864105084179894</v>
      </c>
      <c r="R22" s="1">
        <f>(Main_S[[#This Row],[ROA]]-VLOOKUP(Main_S[[#This Row],[Industry]], Mean_ROA_S, 2, FALSE))/(VLOOKUP(Main_S[[#This Row],[Industry]], Mean_ROA_S, 3, FALSE))</f>
        <v>1.1516135018525786</v>
      </c>
      <c r="S22" s="1">
        <f>(Main_S[[#This Row],[A/E]]-VLOOKUP(Main_S[[#This Row],[Industry]], Mean_AE_S, 2, FALSE))/(VLOOKUP(Main_S[[#This Row],[Industry]], Mean_AE_S, 3, FALSE))</f>
        <v>-1.4110591063657627</v>
      </c>
      <c r="T22" s="1">
        <f>(Main_S[[#This Row],[P/E]]-VLOOKUP(Main_S[[#This Row],[Industry]], Mean_PE_S, 2, FALSE))/(VLOOKUP(Main_S[[#This Row],[Industry]], Mean_PE_S, 3, FALSE))</f>
        <v>1.3614410730953344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s="68" t="s">
        <v>107</v>
      </c>
      <c r="B23" s="68" t="s">
        <v>215</v>
      </c>
      <c r="C23" s="2">
        <v>738</v>
      </c>
      <c r="D23">
        <f>RTD("tos.rtd", , "LAST", Main_S[[#This Row],[Symbol]])</f>
        <v>16.579999999999998</v>
      </c>
      <c r="E23">
        <v>2.11</v>
      </c>
      <c r="F23">
        <v>12.54</v>
      </c>
      <c r="G23">
        <v>3.05</v>
      </c>
      <c r="H23" s="1">
        <f>IF(ISNUMBER(Main_S[[#This Row],[Free CF]]),IF(Main_S[[#This Row],[Free CF]]&lt;&gt;0,Main_S[[#This Row],[Current Price]]/Main_S[[#This Row],[Free CF]],""),"")</f>
        <v>7.8578199052132698</v>
      </c>
      <c r="I23" s="1">
        <f>IF(ISNUMBER(Main_S[[#This Row],[BVPS]]),IF(Main_S[[#This Row],[BVPS]]&lt;&gt;0,Main_S[[#This Row],[Current Price]]/Main_S[[#This Row],[BVPS]],""),"")</f>
        <v>1.3221690590111643</v>
      </c>
      <c r="J23">
        <v>26.78</v>
      </c>
      <c r="K23">
        <v>0.99</v>
      </c>
      <c r="L23">
        <v>2.46</v>
      </c>
      <c r="M23" s="1">
        <f>IF(ISNUMBER(Main_S[[#This Row],[EPS]]),IF(Main_S[[#This Row],[EPS]]&lt;&gt;0,Main_S[[#This Row],[Current Price]]/Main_S[[#This Row],[EPS]],""),"")</f>
        <v>5.4360655737704917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-0.65726051656680795</v>
      </c>
      <c r="P23" s="1">
        <f>(Main_S[[#This Row],[P/B]]-VLOOKUP(Main_S[[#This Row],[Industry]], Mean_PB_S, 2, FALSE))/(VLOOKUP(Main_S[[#This Row],[Industry]], Mean_PB_S, 3, FALSE))</f>
        <v>1.2882567454393372</v>
      </c>
      <c r="Q23" s="1">
        <f>(Main_S[[#This Row],[ROE]]-VLOOKUP(Main_S[[#This Row],[Industry]], Mean_ROE_S, 2, FALSE))/(VLOOKUP(Main_S[[#This Row],[Industry]], Mean_ROE_S, 3, FALSE))</f>
        <v>1.4140541966314617</v>
      </c>
      <c r="R23" s="1">
        <f>(Main_S[[#This Row],[ROA]]-VLOOKUP(Main_S[[#This Row],[Industry]], Mean_ROA_S, 2, FALSE))/(VLOOKUP(Main_S[[#This Row],[Industry]], Mean_ROA_S, 3, FALSE))</f>
        <v>-1.2866792829340545</v>
      </c>
      <c r="S23" s="1">
        <f>(Main_S[[#This Row],[A/E]]-VLOOKUP(Main_S[[#This Row],[Industry]], Mean_AE_S, 2, FALSE))/(VLOOKUP(Main_S[[#This Row],[Industry]], Mean_AE_S, 3, FALSE))</f>
        <v>0.78728619668475974</v>
      </c>
      <c r="T23" s="1">
        <f>(Main_S[[#This Row],[P/E]]-VLOOKUP(Main_S[[#This Row],[Industry]], Mean_PE_S, 2, FALSE))/(VLOOKUP(Main_S[[#This Row],[Industry]], Mean_PE_S, 3, FALSE))</f>
        <v>-1.0121698590190902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s="68" t="s">
        <v>107</v>
      </c>
      <c r="B24" s="68" t="s">
        <v>282</v>
      </c>
      <c r="C24" s="2">
        <v>502</v>
      </c>
      <c r="D24">
        <f>RTD("tos.rtd", , "LAST", Main_S[[#This Row],[Symbol]])</f>
        <v>5.5</v>
      </c>
      <c r="E24">
        <v>0.17</v>
      </c>
      <c r="F24">
        <v>10.62</v>
      </c>
      <c r="G24">
        <v>0.79</v>
      </c>
      <c r="H24" s="1">
        <f>IF(ISNUMBER(Main_S[[#This Row],[Free CF]]),IF(Main_S[[#This Row],[Free CF]]&lt;&gt;0,Main_S[[#This Row],[Current Price]]/Main_S[[#This Row],[Free CF]],""),"")</f>
        <v>32.352941176470587</v>
      </c>
      <c r="I24" s="1">
        <f>IF(ISNUMBER(Main_S[[#This Row],[BVPS]]),IF(Main_S[[#This Row],[BVPS]]&lt;&gt;0,Main_S[[#This Row],[Current Price]]/Main_S[[#This Row],[BVPS]],""),"")</f>
        <v>0.51789077212806034</v>
      </c>
      <c r="J24">
        <v>7.58</v>
      </c>
      <c r="K24">
        <v>2.99</v>
      </c>
      <c r="L24">
        <v>2.37</v>
      </c>
      <c r="M24" s="1">
        <f>IF(ISNUMBER(Main_S[[#This Row],[EPS]]),IF(Main_S[[#This Row],[EPS]]&lt;&gt;0,Main_S[[#This Row],[Current Price]]/Main_S[[#This Row],[EPS]],""),"")</f>
        <v>6.962025316455696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1.4130685737360396</v>
      </c>
      <c r="P24" s="1">
        <f>(Main_S[[#This Row],[P/B]]-VLOOKUP(Main_S[[#This Row],[Industry]], Mean_PB_S, 2, FALSE))/(VLOOKUP(Main_S[[#This Row],[Industry]], Mean_PB_S, 3, FALSE))</f>
        <v>-1.1493965375317172</v>
      </c>
      <c r="Q24" s="1">
        <f>(Main_S[[#This Row],[ROE]]-VLOOKUP(Main_S[[#This Row],[Industry]], Mean_ROE_S, 2, FALSE))/(VLOOKUP(Main_S[[#This Row],[Industry]], Mean_ROE_S, 3, FALSE))</f>
        <v>-0.72541314578966198</v>
      </c>
      <c r="R24" s="1">
        <f>(Main_S[[#This Row],[ROA]]-VLOOKUP(Main_S[[#This Row],[Industry]], Mean_ROA_S, 2, FALSE))/(VLOOKUP(Main_S[[#This Row],[Industry]], Mean_ROA_S, 3, FALSE))</f>
        <v>0.13506578108147527</v>
      </c>
      <c r="S24" s="1">
        <f>(Main_S[[#This Row],[A/E]]-VLOOKUP(Main_S[[#This Row],[Industry]], Mean_AE_S, 2, FALSE))/(VLOOKUP(Main_S[[#This Row],[Industry]], Mean_AE_S, 3, FALSE))</f>
        <v>0.62377290968100207</v>
      </c>
      <c r="T24" s="1">
        <f>(Main_S[[#This Row],[P/E]]-VLOOKUP(Main_S[[#This Row],[Industry]], Mean_PE_S, 2, FALSE))/(VLOOKUP(Main_S[[#This Row],[Industry]], Mean_PE_S, 3, FALSE))</f>
        <v>-0.3492712140762429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s="68" t="s">
        <v>112</v>
      </c>
      <c r="B25" s="68" t="s">
        <v>226</v>
      </c>
      <c r="C25" s="2">
        <v>976</v>
      </c>
      <c r="D25">
        <f>RTD("tos.rtd", , "LAST", Main_S[[#This Row],[Symbol]])</f>
        <v>22.87</v>
      </c>
      <c r="E25">
        <v>3.88</v>
      </c>
      <c r="F25">
        <v>29.87</v>
      </c>
      <c r="G25">
        <v>0.41</v>
      </c>
      <c r="H25" s="1">
        <f>IF(ISNUMBER(Main_S[[#This Row],[Free CF]]),IF(Main_S[[#This Row],[Free CF]]&lt;&gt;0,Main_S[[#This Row],[Current Price]]/Main_S[[#This Row],[Free CF]],""),"")</f>
        <v>5.8943298969072169</v>
      </c>
      <c r="I25" s="1">
        <f>IF(ISNUMBER(Main_S[[#This Row],[BVPS]]),IF(Main_S[[#This Row],[BVPS]]&lt;&gt;0,Main_S[[#This Row],[Current Price]]/Main_S[[#This Row],[BVPS]],""),"")</f>
        <v>0.76565115500502179</v>
      </c>
      <c r="J25">
        <v>1.36</v>
      </c>
      <c r="K25">
        <v>1.74</v>
      </c>
      <c r="L25">
        <v>2.42</v>
      </c>
      <c r="M25" s="1">
        <f>IF(ISNUMBER(Main_S[[#This Row],[EPS]]),IF(Main_S[[#This Row],[EPS]]&lt;&gt;0,Main_S[[#This Row],[Current Price]]/Main_S[[#This Row],[EPS]],""),"")</f>
        <v>55.780487804878057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-6.1836269456880645E-3</v>
      </c>
      <c r="P25" s="1">
        <f>(Main_S[[#This Row],[P/B]]-VLOOKUP(Main_S[[#This Row],[Industry]], Mean_PB_S, 2, FALSE))/(VLOOKUP(Main_S[[#This Row],[Industry]], Mean_PB_S, 3, FALSE))</f>
        <v>0.8181486583696429</v>
      </c>
      <c r="Q25" s="1">
        <f>(Main_S[[#This Row],[ROE]]-VLOOKUP(Main_S[[#This Row],[Industry]], Mean_ROE_S, 2, FALSE))/(VLOOKUP(Main_S[[#This Row],[Industry]], Mean_ROE_S, 3, FALSE))</f>
        <v>0.99353726776915174</v>
      </c>
      <c r="R25" s="1">
        <f>(Main_S[[#This Row],[ROA]]-VLOOKUP(Main_S[[#This Row],[Industry]], Mean_ROA_S, 2, FALSE))/(VLOOKUP(Main_S[[#This Row],[Industry]], Mean_ROA_S, 3, FALSE))</f>
        <v>0.57060789217110985</v>
      </c>
      <c r="S25" s="1">
        <f>(Main_S[[#This Row],[A/E]]-VLOOKUP(Main_S[[#This Row],[Industry]], Mean_AE_S, 2, FALSE))/(VLOOKUP(Main_S[[#This Row],[Industry]], Mean_AE_S, 3, FALSE))</f>
        <v>-0.75206688123203413</v>
      </c>
      <c r="T25" s="1">
        <f>(Main_S[[#This Row],[P/E]]-VLOOKUP(Main_S[[#This Row],[Industry]], Mean_PE_S, 2, FALSE))/(VLOOKUP(Main_S[[#This Row],[Industry]], Mean_PE_S, 3, FALSE))</f>
        <v>4.6851932321521241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6" spans="1:26" x14ac:dyDescent="0.25">
      <c r="A26" s="68" t="s">
        <v>112</v>
      </c>
      <c r="B26" s="68" t="s">
        <v>227</v>
      </c>
      <c r="C26" s="2">
        <v>1291</v>
      </c>
      <c r="D26">
        <f>RTD("tos.rtd", , "LAST", Main_S[[#This Row],[Symbol]])</f>
        <v>8.44</v>
      </c>
      <c r="E26">
        <v>1.62</v>
      </c>
      <c r="F26">
        <v>6.14</v>
      </c>
      <c r="G26">
        <v>0.3</v>
      </c>
      <c r="H26" s="1">
        <f>IF(ISNUMBER(Main_S[[#This Row],[Free CF]]),IF(Main_S[[#This Row],[Free CF]]&lt;&gt;0,Main_S[[#This Row],[Current Price]]/Main_S[[#This Row],[Free CF]],""),"")</f>
        <v>5.2098765432098757</v>
      </c>
      <c r="I26" s="1">
        <f>IF(ISNUMBER(Main_S[[#This Row],[BVPS]]),IF(Main_S[[#This Row],[BVPS]]&lt;&gt;0,Main_S[[#This Row],[Current Price]]/Main_S[[#This Row],[BVPS]],""),"")</f>
        <v>1.3745928338762214</v>
      </c>
      <c r="J26">
        <v>4.8899999999999997</v>
      </c>
      <c r="K26">
        <v>2.31</v>
      </c>
      <c r="L26">
        <v>3.99</v>
      </c>
      <c r="M26" s="1">
        <f>IF(ISNUMBER(Main_S[[#This Row],[EPS]]),IF(Main_S[[#This Row],[EPS]]&lt;&gt;0,Main_S[[#This Row],[Current Price]]/Main_S[[#This Row],[EPS]],""),"")</f>
        <v>28.133333333333333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-0.46106156369178802</v>
      </c>
      <c r="P26" s="1">
        <f>(Main_S[[#This Row],[P/B]]-VLOOKUP(Main_S[[#This Row],[Industry]], Mean_PB_S, 2, FALSE))/(VLOOKUP(Main_S[[#This Row],[Industry]], Mean_PB_S, 3, FALSE))</f>
        <v>3.6227853796420826</v>
      </c>
      <c r="Q26" s="1">
        <f>(Main_S[[#This Row],[ROE]]-VLOOKUP(Main_S[[#This Row],[Industry]], Mean_ROE_S, 2, FALSE))/(VLOOKUP(Main_S[[#This Row],[Industry]], Mean_ROE_S, 3, FALSE))</f>
        <v>1.5203575887779757</v>
      </c>
      <c r="R26" s="1">
        <f>(Main_S[[#This Row],[ROA]]-VLOOKUP(Main_S[[#This Row],[Industry]], Mean_ROA_S, 2, FALSE))/(VLOOKUP(Main_S[[#This Row],[Industry]], Mean_ROA_S, 3, FALSE))</f>
        <v>1.2108569050402682</v>
      </c>
      <c r="S26" s="1">
        <f>(Main_S[[#This Row],[A/E]]-VLOOKUP(Main_S[[#This Row],[Industry]], Mean_AE_S, 2, FALSE))/(VLOOKUP(Main_S[[#This Row],[Industry]], Mean_AE_S, 3, FALSE))</f>
        <v>2.045907060792358</v>
      </c>
      <c r="T26" s="1">
        <f>(Main_S[[#This Row],[P/E]]-VLOOKUP(Main_S[[#This Row],[Industry]], Mean_PE_S, 2, FALSE))/(VLOOKUP(Main_S[[#This Row],[Industry]], Mean_PE_S, 3, FALSE))</f>
        <v>2.5434188651604344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s="68" t="s">
        <v>112</v>
      </c>
      <c r="B27" s="68" t="s">
        <v>234</v>
      </c>
      <c r="C27" s="2">
        <v>330</v>
      </c>
      <c r="D27">
        <f>RTD("tos.rtd", , "LAST", Main_S[[#This Row],[Symbol]])</f>
        <v>14.38</v>
      </c>
      <c r="E27">
        <v>1.66</v>
      </c>
      <c r="F27">
        <v>10.35</v>
      </c>
      <c r="G27">
        <v>0.28000000000000003</v>
      </c>
      <c r="H27" s="1">
        <f>IF(ISNUMBER(Main_S[[#This Row],[Free CF]]),IF(Main_S[[#This Row],[Free CF]]&lt;&gt;0,Main_S[[#This Row],[Current Price]]/Main_S[[#This Row],[Free CF]],""),"")</f>
        <v>8.6626506024096397</v>
      </c>
      <c r="I27" s="1">
        <f>IF(ISNUMBER(Main_S[[#This Row],[BVPS]]),IF(Main_S[[#This Row],[BVPS]]&lt;&gt;0,Main_S[[#This Row],[Current Price]]/Main_S[[#This Row],[BVPS]],""),"")</f>
        <v>1.3893719806763287</v>
      </c>
      <c r="J27">
        <v>3.41</v>
      </c>
      <c r="K27">
        <v>2.2799999999999998</v>
      </c>
      <c r="L27">
        <v>2.66</v>
      </c>
      <c r="M27" s="1">
        <f>IF(ISNUMBER(Main_S[[#This Row],[EPS]]),IF(Main_S[[#This Row],[EPS]]&lt;&gt;0,Main_S[[#This Row],[Current Price]]/Main_S[[#This Row],[EPS]],""),"")</f>
        <v>51.357142857142854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1.8336028303316878</v>
      </c>
      <c r="P27" s="1">
        <f>(Main_S[[#This Row],[P/B]]-VLOOKUP(Main_S[[#This Row],[Industry]], Mean_PB_S, 2, FALSE))/(VLOOKUP(Main_S[[#This Row],[Industry]], Mean_PB_S, 3, FALSE))</f>
        <v>3.6908545219965578</v>
      </c>
      <c r="Q27" s="1">
        <f>(Main_S[[#This Row],[ROE]]-VLOOKUP(Main_S[[#This Row],[Industry]], Mean_ROE_S, 2, FALSE))/(VLOOKUP(Main_S[[#This Row],[Industry]], Mean_ROE_S, 3, FALSE))</f>
        <v>1.2994810802530297</v>
      </c>
      <c r="R27" s="1">
        <f>(Main_S[[#This Row],[ROA]]-VLOOKUP(Main_S[[#This Row],[Industry]], Mean_ROA_S, 2, FALSE))/(VLOOKUP(Main_S[[#This Row],[Industry]], Mean_ROA_S, 3, FALSE))</f>
        <v>1.1771595885734703</v>
      </c>
      <c r="S27" s="1">
        <f>(Main_S[[#This Row],[A/E]]-VLOOKUP(Main_S[[#This Row],[Industry]], Mean_AE_S, 2, FALSE))/(VLOOKUP(Main_S[[#This Row],[Industry]], Mean_AE_S, 3, FALSE))</f>
        <v>-0.32435111939391026</v>
      </c>
      <c r="T27" s="1">
        <f>(Main_S[[#This Row],[P/E]]-VLOOKUP(Main_S[[#This Row],[Industry]], Mean_PE_S, 2, FALSE))/(VLOOKUP(Main_S[[#This Row],[Industry]], Mean_PE_S, 3, FALSE))</f>
        <v>4.3425248090718327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8" spans="1:26" x14ac:dyDescent="0.25">
      <c r="A28" s="68" t="s">
        <v>112</v>
      </c>
      <c r="B28" s="68" t="s">
        <v>232</v>
      </c>
      <c r="C28" s="2">
        <v>1326</v>
      </c>
      <c r="D28">
        <f>RTD("tos.rtd", , "LAST", Main_S[[#This Row],[Symbol]])</f>
        <v>6.44</v>
      </c>
      <c r="E28">
        <v>0.94</v>
      </c>
      <c r="F28">
        <v>14.08</v>
      </c>
      <c r="G28">
        <v>-0.31</v>
      </c>
      <c r="H28" s="1">
        <f>IF(ISNUMBER(Main_S[[#This Row],[Free CF]]),IF(Main_S[[#This Row],[Free CF]]&lt;&gt;0,Main_S[[#This Row],[Current Price]]/Main_S[[#This Row],[Free CF]],""),"")</f>
        <v>6.8510638297872353</v>
      </c>
      <c r="I28" s="1">
        <f>IF(ISNUMBER(Main_S[[#This Row],[BVPS]]),IF(Main_S[[#This Row],[BVPS]]&lt;&gt;0,Main_S[[#This Row],[Current Price]]/Main_S[[#This Row],[BVPS]],""),"")</f>
        <v>0.45738636363636365</v>
      </c>
      <c r="J28">
        <v>-1.48</v>
      </c>
      <c r="K28">
        <v>0.77</v>
      </c>
      <c r="L28">
        <v>2.57</v>
      </c>
      <c r="M28" s="1">
        <f>IF(ISNUMBER(Main_S[[#This Row],[EPS]]),IF(Main_S[[#This Row],[EPS]]&lt;&gt;0,Main_S[[#This Row],[Current Price]]/Main_S[[#This Row],[EPS]],""),"")</f>
        <v>-20.7741935483871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0.62964809928161092</v>
      </c>
      <c r="P28" s="1">
        <f>(Main_S[[#This Row],[P/B]]-VLOOKUP(Main_S[[#This Row],[Industry]], Mean_PB_S, 2, FALSE))/(VLOOKUP(Main_S[[#This Row],[Industry]], Mean_PB_S, 3, FALSE))</f>
        <v>-0.60164371871084876</v>
      </c>
      <c r="Q28" s="1">
        <f>(Main_S[[#This Row],[ROE]]-VLOOKUP(Main_S[[#This Row],[Industry]], Mean_ROE_S, 2, FALSE))/(VLOOKUP(Main_S[[#This Row],[Industry]], Mean_ROE_S, 3, FALSE))</f>
        <v>0.56969315681587707</v>
      </c>
      <c r="R28" s="1">
        <f>(Main_S[[#This Row],[ROA]]-VLOOKUP(Main_S[[#This Row],[Industry]], Mean_ROA_S, 2, FALSE))/(VLOOKUP(Main_S[[#This Row],[Industry]], Mean_ROA_S, 3, FALSE))</f>
        <v>-0.51893867358868595</v>
      </c>
      <c r="S28" s="1">
        <f>(Main_S[[#This Row],[A/E]]-VLOOKUP(Main_S[[#This Row],[Industry]], Mean_AE_S, 2, FALSE))/(VLOOKUP(Main_S[[#This Row],[Industry]], Mean_AE_S, 3, FALSE))</f>
        <v>-0.48474453008320711</v>
      </c>
      <c r="T28" s="1">
        <f>(Main_S[[#This Row],[P/E]]-VLOOKUP(Main_S[[#This Row],[Industry]], Mean_PE_S, 2, FALSE))/(VLOOKUP(Main_S[[#This Row],[Industry]], Mean_PE_S, 3, FALSE))</f>
        <v>-1.2453575724305113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s="68" t="s">
        <v>112</v>
      </c>
      <c r="B29" s="68" t="s">
        <v>231</v>
      </c>
      <c r="C29" s="2">
        <v>886</v>
      </c>
      <c r="D29">
        <f>RTD("tos.rtd", , "LAST", Main_S[[#This Row],[Symbol]])</f>
        <v>7.59</v>
      </c>
      <c r="E29">
        <v>1.44</v>
      </c>
      <c r="F29">
        <v>12.54</v>
      </c>
      <c r="G29">
        <v>-0.5</v>
      </c>
      <c r="H29" s="1">
        <f>IF(ISNUMBER(Main_S[[#This Row],[Free CF]]),IF(Main_S[[#This Row],[Free CF]]&lt;&gt;0,Main_S[[#This Row],[Current Price]]/Main_S[[#This Row],[Free CF]],""),"")</f>
        <v>5.270833333333333</v>
      </c>
      <c r="I29" s="1">
        <f>IF(ISNUMBER(Main_S[[#This Row],[BVPS]]),IF(Main_S[[#This Row],[BVPS]]&lt;&gt;0,Main_S[[#This Row],[Current Price]]/Main_S[[#This Row],[BVPS]],""),"")</f>
        <v>0.60526315789473684</v>
      </c>
      <c r="J29">
        <v>-3.79</v>
      </c>
      <c r="K29">
        <v>1.24</v>
      </c>
      <c r="L29">
        <v>2.57</v>
      </c>
      <c r="M29" s="1">
        <f>IF(ISNUMBER(Main_S[[#This Row],[EPS]]),IF(Main_S[[#This Row],[EPS]]&lt;&gt;0,Main_S[[#This Row],[Current Price]]/Main_S[[#This Row],[EPS]],""),"")</f>
        <v>-15.18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-0.42055055038132605</v>
      </c>
      <c r="P29" s="1">
        <f>(Main_S[[#This Row],[P/B]]-VLOOKUP(Main_S[[#This Row],[Industry]], Mean_PB_S, 2, FALSE))/(VLOOKUP(Main_S[[#This Row],[Industry]], Mean_PB_S, 3, FALSE))</f>
        <v>7.944069674563832E-2</v>
      </c>
      <c r="Q29" s="1">
        <f>(Main_S[[#This Row],[ROE]]-VLOOKUP(Main_S[[#This Row],[Industry]], Mean_ROE_S, 2, FALSE))/(VLOOKUP(Main_S[[#This Row],[Industry]], Mean_ROE_S, 3, FALSE))</f>
        <v>0.22494671445599526</v>
      </c>
      <c r="R29" s="1">
        <f>(Main_S[[#This Row],[ROA]]-VLOOKUP(Main_S[[#This Row],[Industry]], Mean_ROA_S, 2, FALSE))/(VLOOKUP(Main_S[[#This Row],[Industry]], Mean_ROA_S, 3, FALSE))</f>
        <v>8.9859510578130068E-3</v>
      </c>
      <c r="S29" s="1">
        <f>(Main_S[[#This Row],[A/E]]-VLOOKUP(Main_S[[#This Row],[Industry]], Mean_AE_S, 2, FALSE))/(VLOOKUP(Main_S[[#This Row],[Industry]], Mean_AE_S, 3, FALSE))</f>
        <v>-0.48474453008320711</v>
      </c>
      <c r="T29" s="1">
        <f>(Main_S[[#This Row],[P/E]]-VLOOKUP(Main_S[[#This Row],[Industry]], Mean_PE_S, 2, FALSE))/(VLOOKUP(Main_S[[#This Row],[Industry]], Mean_PE_S, 3, FALSE))</f>
        <v>-0.81198565496039732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s="68" t="s">
        <v>112</v>
      </c>
      <c r="B30" s="68" t="s">
        <v>225</v>
      </c>
      <c r="C30" s="2">
        <v>732</v>
      </c>
      <c r="D30">
        <f>RTD("tos.rtd", , "LAST", Main_S[[#This Row],[Symbol]])</f>
        <v>4.5</v>
      </c>
      <c r="E30">
        <v>0.95</v>
      </c>
      <c r="F30">
        <v>5.74</v>
      </c>
      <c r="G30">
        <v>-1.2</v>
      </c>
      <c r="H30" s="1">
        <f>IF(ISNUMBER(Main_S[[#This Row],[Free CF]]),IF(Main_S[[#This Row],[Free CF]]&lt;&gt;0,Main_S[[#This Row],[Current Price]]/Main_S[[#This Row],[Free CF]],""),"")</f>
        <v>4.7368421052631584</v>
      </c>
      <c r="I30" s="1">
        <f>IF(ISNUMBER(Main_S[[#This Row],[BVPS]]),IF(Main_S[[#This Row],[BVPS]]&lt;&gt;0,Main_S[[#This Row],[Current Price]]/Main_S[[#This Row],[BVPS]],""),"")</f>
        <v>0.78397212543554007</v>
      </c>
      <c r="J30">
        <v>-18.079999999999998</v>
      </c>
      <c r="K30">
        <v>-1.77</v>
      </c>
      <c r="L30">
        <v>3.45</v>
      </c>
      <c r="M30" s="1">
        <f>IF(ISNUMBER(Main_S[[#This Row],[EPS]]),IF(Main_S[[#This Row],[EPS]]&lt;&gt;0,Main_S[[#This Row],[Current Price]]/Main_S[[#This Row],[EPS]],""),"")</f>
        <v>-3.75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-0.77543350442480297</v>
      </c>
      <c r="P30" s="1">
        <f>(Main_S[[#This Row],[P/B]]-VLOOKUP(Main_S[[#This Row],[Industry]], Mean_PB_S, 2, FALSE))/(VLOOKUP(Main_S[[#This Row],[Industry]], Mean_PB_S, 3, FALSE))</f>
        <v>0.90253057575461881</v>
      </c>
      <c r="Q30" s="1">
        <f>(Main_S[[#This Row],[ROE]]-VLOOKUP(Main_S[[#This Row],[Industry]], Mean_ROE_S, 2, FALSE))/(VLOOKUP(Main_S[[#This Row],[Industry]], Mean_ROE_S, 3, FALSE))</f>
        <v>-1.9077055198828405</v>
      </c>
      <c r="R30" s="1">
        <f>(Main_S[[#This Row],[ROA]]-VLOOKUP(Main_S[[#This Row],[Industry]], Mean_ROA_S, 2, FALSE))/(VLOOKUP(Main_S[[#This Row],[Industry]], Mean_ROA_S, 3, FALSE))</f>
        <v>-3.3719781344442339</v>
      </c>
      <c r="S30" s="1">
        <f>(Main_S[[#This Row],[A/E]]-VLOOKUP(Main_S[[#This Row],[Industry]], Mean_AE_S, 2, FALSE))/(VLOOKUP(Main_S[[#This Row],[Industry]], Mean_AE_S, 3, FALSE))</f>
        <v>1.0835465966565798</v>
      </c>
      <c r="T30" s="1">
        <f>(Main_S[[#This Row],[P/E]]-VLOOKUP(Main_S[[#This Row],[Industry]], Mean_PE_S, 2, FALSE))/(VLOOKUP(Main_S[[#This Row],[Industry]], Mean_PE_S, 3, FALSE))</f>
        <v>7.3475488605427922E-2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s="68" t="s">
        <v>112</v>
      </c>
      <c r="B31" s="68" t="s">
        <v>233</v>
      </c>
      <c r="C31" s="2">
        <v>456</v>
      </c>
      <c r="D31">
        <f>RTD("tos.rtd", , "LAST", Main_S[[#This Row],[Symbol]])</f>
        <v>13.19</v>
      </c>
      <c r="E31">
        <v>2.71</v>
      </c>
      <c r="F31">
        <v>27.72</v>
      </c>
      <c r="G31">
        <v>-1.78</v>
      </c>
      <c r="H31" s="1">
        <f>IF(ISNUMBER(Main_S[[#This Row],[Free CF]]),IF(Main_S[[#This Row],[Free CF]]&lt;&gt;0,Main_S[[#This Row],[Current Price]]/Main_S[[#This Row],[Free CF]],""),"")</f>
        <v>4.8671586715867159</v>
      </c>
      <c r="I31" s="1">
        <f>IF(ISNUMBER(Main_S[[#This Row],[BVPS]]),IF(Main_S[[#This Row],[BVPS]]&lt;&gt;0,Main_S[[#This Row],[Current Price]]/Main_S[[#This Row],[BVPS]],""),"")</f>
        <v>0.47582972582972582</v>
      </c>
      <c r="J31">
        <v>-6.16</v>
      </c>
      <c r="K31">
        <v>1.2</v>
      </c>
      <c r="L31">
        <v>2.5499999999999998</v>
      </c>
      <c r="M31" s="1">
        <f>IF(ISNUMBER(Main_S[[#This Row],[EPS]]),IF(Main_S[[#This Row],[EPS]]&lt;&gt;0,Main_S[[#This Row],[Current Price]]/Main_S[[#This Row],[EPS]],""),"")</f>
        <v>-7.4101123595505616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-0.68882697310622254</v>
      </c>
      <c r="P31" s="1">
        <f>(Main_S[[#This Row],[P/B]]-VLOOKUP(Main_S[[#This Row],[Industry]], Mean_PB_S, 2, FALSE))/(VLOOKUP(Main_S[[#This Row],[Industry]], Mean_PB_S, 3, FALSE))</f>
        <v>-0.51669809474384099</v>
      </c>
      <c r="Q31" s="1">
        <f>(Main_S[[#This Row],[ROE]]-VLOOKUP(Main_S[[#This Row],[Industry]], Mean_ROE_S, 2, FALSE))/(VLOOKUP(Main_S[[#This Row],[Industry]], Mean_ROE_S, 3, FALSE))</f>
        <v>-0.12875418095219524</v>
      </c>
      <c r="R31" s="1">
        <f>(Main_S[[#This Row],[ROA]]-VLOOKUP(Main_S[[#This Row],[Industry]], Mean_ROA_S, 2, FALSE))/(VLOOKUP(Main_S[[#This Row],[Industry]], Mean_ROA_S, 3, FALSE))</f>
        <v>-3.5943804231250778E-2</v>
      </c>
      <c r="S31" s="1">
        <f>(Main_S[[#This Row],[A/E]]-VLOOKUP(Main_S[[#This Row],[Industry]], Mean_AE_S, 2, FALSE))/(VLOOKUP(Main_S[[#This Row],[Industry]], Mean_AE_S, 3, FALSE))</f>
        <v>-0.52038751023638408</v>
      </c>
      <c r="T31" s="1">
        <f>(Main_S[[#This Row],[P/E]]-VLOOKUP(Main_S[[#This Row],[Industry]], Mean_PE_S, 2, FALSE))/(VLOOKUP(Main_S[[#This Row],[Industry]], Mean_PE_S, 3, FALSE))</f>
        <v>-0.2100667052237104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s="68" t="s">
        <v>112</v>
      </c>
      <c r="B32" s="68" t="s">
        <v>229</v>
      </c>
      <c r="C32" s="2">
        <v>1249</v>
      </c>
      <c r="D32">
        <f>RTD("tos.rtd", , "LAST", Main_S[[#This Row],[Symbol]])</f>
        <v>17.43</v>
      </c>
      <c r="E32">
        <v>1.23</v>
      </c>
      <c r="F32">
        <v>21.51</v>
      </c>
      <c r="G32">
        <v>-1.86</v>
      </c>
      <c r="H32" s="1">
        <f>IF(ISNUMBER(Main_S[[#This Row],[Free CF]]),IF(Main_S[[#This Row],[Free CF]]&lt;&gt;0,Main_S[[#This Row],[Current Price]]/Main_S[[#This Row],[Free CF]],""),"")</f>
        <v>14.170731707317072</v>
      </c>
      <c r="I32" s="1">
        <f>IF(ISNUMBER(Main_S[[#This Row],[BVPS]]),IF(Main_S[[#This Row],[BVPS]]&lt;&gt;0,Main_S[[#This Row],[Current Price]]/Main_S[[#This Row],[BVPS]],""),"")</f>
        <v>0.81032078103207805</v>
      </c>
      <c r="J32">
        <v>-8.23</v>
      </c>
      <c r="K32">
        <v>-0.02</v>
      </c>
      <c r="L32">
        <v>3.01</v>
      </c>
      <c r="M32" s="1">
        <f>IF(ISNUMBER(Main_S[[#This Row],[EPS]]),IF(Main_S[[#This Row],[EPS]]&lt;&gt;0,Main_S[[#This Row],[Current Price]]/Main_S[[#This Row],[EPS]],""),"")</f>
        <v>-9.370967741935484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5.4941949727998534</v>
      </c>
      <c r="P32" s="1">
        <f>(Main_S[[#This Row],[P/B]]-VLOOKUP(Main_S[[#This Row],[Industry]], Mean_PB_S, 2, FALSE))/(VLOOKUP(Main_S[[#This Row],[Industry]], Mean_PB_S, 3, FALSE))</f>
        <v>1.0238860513384171</v>
      </c>
      <c r="Q32" s="1">
        <f>(Main_S[[#This Row],[ROE]]-VLOOKUP(Main_S[[#This Row],[Industry]], Mean_ROE_S, 2, FALSE))/(VLOOKUP(Main_S[[#This Row],[Industry]], Mean_ROE_S, 3, FALSE))</f>
        <v>-0.43768281111884261</v>
      </c>
      <c r="R32" s="1">
        <f>(Main_S[[#This Row],[ROA]]-VLOOKUP(Main_S[[#This Row],[Industry]], Mean_ROA_S, 2, FALSE))/(VLOOKUP(Main_S[[#This Row],[Industry]], Mean_ROA_S, 3, FALSE))</f>
        <v>-1.406301340547695</v>
      </c>
      <c r="S32" s="1">
        <f>(Main_S[[#This Row],[A/E]]-VLOOKUP(Main_S[[#This Row],[Industry]], Mean_AE_S, 2, FALSE))/(VLOOKUP(Main_S[[#This Row],[Industry]], Mean_AE_S, 3, FALSE))</f>
        <v>0.29940103328668594</v>
      </c>
      <c r="T32" s="1">
        <f>(Main_S[[#This Row],[P/E]]-VLOOKUP(Main_S[[#This Row],[Industry]], Mean_PE_S, 2, FALSE))/(VLOOKUP(Main_S[[#This Row],[Industry]], Mean_PE_S, 3, FALSE))</f>
        <v>-0.36197057654949844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s="68" t="s">
        <v>112</v>
      </c>
      <c r="B33" s="68" t="s">
        <v>290</v>
      </c>
      <c r="C33" s="2">
        <v>1607</v>
      </c>
      <c r="D33">
        <f>RTD("tos.rtd", , "LAST", Main_S[[#This Row],[Symbol]])</f>
        <v>12.16</v>
      </c>
      <c r="E33">
        <v>0.71</v>
      </c>
      <c r="F33">
        <v>26.83</v>
      </c>
      <c r="G33">
        <v>-2.15</v>
      </c>
      <c r="H33" s="1">
        <f>IF(ISNUMBER(Main_S[[#This Row],[Free CF]]),IF(Main_S[[#This Row],[Free CF]]&lt;&gt;0,Main_S[[#This Row],[Current Price]]/Main_S[[#This Row],[Free CF]],""),"")</f>
        <v>17.126760563380284</v>
      </c>
      <c r="I33" s="1">
        <f>IF(ISNUMBER(Main_S[[#This Row],[BVPS]]),IF(Main_S[[#This Row],[BVPS]]&lt;&gt;0,Main_S[[#This Row],[Current Price]]/Main_S[[#This Row],[BVPS]],""),"")</f>
        <v>0.45322400298173687</v>
      </c>
      <c r="J33">
        <v>-7.53</v>
      </c>
      <c r="K33">
        <v>1.6</v>
      </c>
      <c r="L33">
        <v>1.94</v>
      </c>
      <c r="M33" s="1">
        <f>IF(ISNUMBER(Main_S[[#This Row],[EPS]]),IF(Main_S[[#This Row],[EPS]]&lt;&gt;0,Main_S[[#This Row],[Current Price]]/Main_S[[#This Row],[EPS]],""),"")</f>
        <v>-5.655813953488372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7.4587295897235837</v>
      </c>
      <c r="P33" s="1">
        <f>(Main_S[[#This Row],[P/B]]-VLOOKUP(Main_S[[#This Row],[Industry]], Mean_PB_S, 2, FALSE))/(VLOOKUP(Main_S[[#This Row],[Industry]], Mean_PB_S, 3, FALSE))</f>
        <v>-0.62081453579268464</v>
      </c>
      <c r="Q33" s="1">
        <f>(Main_S[[#This Row],[ROE]]-VLOOKUP(Main_S[[#This Row],[Industry]], Mean_ROE_S, 2, FALSE))/(VLOOKUP(Main_S[[#This Row],[Industry]], Mean_ROE_S, 3, FALSE))</f>
        <v>-0.33321419222190873</v>
      </c>
      <c r="R33" s="1">
        <f>(Main_S[[#This Row],[ROA]]-VLOOKUP(Main_S[[#This Row],[Industry]], Mean_ROA_S, 2, FALSE))/(VLOOKUP(Main_S[[#This Row],[Industry]], Mean_ROA_S, 3, FALSE))</f>
        <v>0.41335374865938679</v>
      </c>
      <c r="S33" s="1">
        <f>(Main_S[[#This Row],[A/E]]-VLOOKUP(Main_S[[#This Row],[Industry]], Mean_AE_S, 2, FALSE))/(VLOOKUP(Main_S[[#This Row],[Industry]], Mean_AE_S, 3, FALSE))</f>
        <v>-1.6074984049082812</v>
      </c>
      <c r="T33" s="1">
        <f>(Main_S[[#This Row],[P/E]]-VLOOKUP(Main_S[[#This Row],[Industry]], Mean_PE_S, 2, FALSE))/(VLOOKUP(Main_S[[#This Row],[Industry]], Mean_PE_S, 3, FALSE))</f>
        <v>-7.416442413993693E-2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s="68" t="s">
        <v>112</v>
      </c>
      <c r="B34" s="68" t="s">
        <v>228</v>
      </c>
      <c r="C34" s="2">
        <v>263</v>
      </c>
      <c r="D34">
        <f>RTD("tos.rtd", , "LAST", Main_S[[#This Row],[Symbol]])</f>
        <v>2.29</v>
      </c>
      <c r="E34">
        <v>0.61</v>
      </c>
      <c r="F34">
        <v>17.37</v>
      </c>
      <c r="G34">
        <v>-2.74</v>
      </c>
      <c r="H34" s="1">
        <f>IF(ISNUMBER(Main_S[[#This Row],[Free CF]]),IF(Main_S[[#This Row],[Free CF]]&lt;&gt;0,Main_S[[#This Row],[Current Price]]/Main_S[[#This Row],[Free CF]],""),"")</f>
        <v>3.7540983606557377</v>
      </c>
      <c r="I34" s="1">
        <f>IF(ISNUMBER(Main_S[[#This Row],[BVPS]]),IF(Main_S[[#This Row],[BVPS]]&lt;&gt;0,Main_S[[#This Row],[Current Price]]/Main_S[[#This Row],[BVPS]],""),"")</f>
        <v>0.13183649971214736</v>
      </c>
      <c r="J34">
        <v>-12.47</v>
      </c>
      <c r="K34">
        <v>-0.56000000000000005</v>
      </c>
      <c r="L34">
        <v>3.26</v>
      </c>
      <c r="M34" s="1">
        <f>IF(ISNUMBER(Main_S[[#This Row],[EPS]]),IF(Main_S[[#This Row],[EPS]]&lt;&gt;0,Main_S[[#This Row],[Current Price]]/Main_S[[#This Row],[EPS]],""),"")</f>
        <v>-0.83576642335766416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-1.4285509805571963</v>
      </c>
      <c r="P34" s="1">
        <f>(Main_S[[#This Row],[P/B]]-VLOOKUP(Main_S[[#This Row],[Industry]], Mean_PB_S, 2, FALSE))/(VLOOKUP(Main_S[[#This Row],[Industry]], Mean_PB_S, 3, FALSE))</f>
        <v>-2.1010469204421369</v>
      </c>
      <c r="Q34" s="1">
        <f>(Main_S[[#This Row],[ROE]]-VLOOKUP(Main_S[[#This Row],[Industry]], Mean_ROE_S, 2, FALSE))/(VLOOKUP(Main_S[[#This Row],[Industry]], Mean_ROE_S, 3, FALSE))</f>
        <v>-1.070464159865985</v>
      </c>
      <c r="R34" s="1">
        <f>(Main_S[[#This Row],[ROA]]-VLOOKUP(Main_S[[#This Row],[Industry]], Mean_ROA_S, 2, FALSE))/(VLOOKUP(Main_S[[#This Row],[Industry]], Mean_ROA_S, 3, FALSE))</f>
        <v>-2.0128530369500557</v>
      </c>
      <c r="S34" s="1">
        <f>(Main_S[[#This Row],[A/E]]-VLOOKUP(Main_S[[#This Row],[Industry]], Mean_AE_S, 2, FALSE))/(VLOOKUP(Main_S[[#This Row],[Industry]], Mean_AE_S, 3, FALSE))</f>
        <v>0.74493828520139804</v>
      </c>
      <c r="T34" s="1">
        <f>(Main_S[[#This Row],[P/E]]-VLOOKUP(Main_S[[#This Row],[Industry]], Mean_PE_S, 2, FALSE))/(VLOOKUP(Main_S[[#This Row],[Industry]], Mean_PE_S, 3, FALSE))</f>
        <v>0.29923582066069021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s="68" t="s">
        <v>112</v>
      </c>
      <c r="B35" s="68" t="s">
        <v>230</v>
      </c>
      <c r="C35" s="2">
        <v>462</v>
      </c>
      <c r="D35">
        <f>RTD("tos.rtd", , "LAST", Main_S[[#This Row],[Symbol]])</f>
        <v>31.78</v>
      </c>
      <c r="E35">
        <v>4.03</v>
      </c>
      <c r="F35">
        <v>39.299999999999997</v>
      </c>
      <c r="G35">
        <v>-4.2699999999999996</v>
      </c>
      <c r="H35" s="1">
        <f>IF(ISNUMBER(Main_S[[#This Row],[Free CF]]),IF(Main_S[[#This Row],[Free CF]]&lt;&gt;0,Main_S[[#This Row],[Current Price]]/Main_S[[#This Row],[Free CF]],""),"")</f>
        <v>7.8858560794044665</v>
      </c>
      <c r="I35" s="1">
        <f>IF(ISNUMBER(Main_S[[#This Row],[BVPS]]),IF(Main_S[[#This Row],[BVPS]]&lt;&gt;0,Main_S[[#This Row],[Current Price]]/Main_S[[#This Row],[BVPS]],""),"")</f>
        <v>0.80865139949109421</v>
      </c>
      <c r="J35">
        <v>-10.19</v>
      </c>
      <c r="K35">
        <v>1.76</v>
      </c>
      <c r="L35">
        <v>1.35</v>
      </c>
      <c r="M35" s="1">
        <f>IF(ISNUMBER(Main_S[[#This Row],[EPS]]),IF(Main_S[[#This Row],[EPS]]&lt;&gt;0,Main_S[[#This Row],[Current Price]]/Main_S[[#This Row],[EPS]],""),"")</f>
        <v>-7.4426229508196728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1.317356269493722</v>
      </c>
      <c r="P35" s="1">
        <f>(Main_S[[#This Row],[P/B]]-VLOOKUP(Main_S[[#This Row],[Industry]], Mean_PB_S, 2, FALSE))/(VLOOKUP(Main_S[[#This Row],[Industry]], Mean_PB_S, 3, FALSE))</f>
        <v>1.0161972874812006</v>
      </c>
      <c r="Q35" s="1">
        <f>(Main_S[[#This Row],[ROE]]-VLOOKUP(Main_S[[#This Row],[Industry]], Mean_ROE_S, 2, FALSE))/(VLOOKUP(Main_S[[#This Row],[Industry]], Mean_ROE_S, 3, FALSE))</f>
        <v>-0.73019494403025742</v>
      </c>
      <c r="R35" s="1">
        <f>(Main_S[[#This Row],[ROA]]-VLOOKUP(Main_S[[#This Row],[Industry]], Mean_ROA_S, 2, FALSE))/(VLOOKUP(Main_S[[#This Row],[Industry]], Mean_ROA_S, 3, FALSE))</f>
        <v>0.59307276981564172</v>
      </c>
      <c r="S35" s="1">
        <f>(Main_S[[#This Row],[A/E]]-VLOOKUP(Main_S[[#This Row],[Industry]], Mean_AE_S, 2, FALSE))/(VLOOKUP(Main_S[[#This Row],[Industry]], Mean_AE_S, 3, FALSE))</f>
        <v>-2.6589663194270012</v>
      </c>
      <c r="T35" s="1">
        <f>(Main_S[[#This Row],[P/E]]-VLOOKUP(Main_S[[#This Row],[Industry]], Mean_PE_S, 2, FALSE))/(VLOOKUP(Main_S[[#This Row],[Industry]], Mean_PE_S, 3, FALSE))</f>
        <v>-0.21258524112249855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s="68" t="s">
        <v>147</v>
      </c>
      <c r="B36" s="68" t="s">
        <v>275</v>
      </c>
      <c r="C36" s="2">
        <v>1283</v>
      </c>
      <c r="D36">
        <f>RTD("tos.rtd", , "LAST", Main_S[[#This Row],[Symbol]])</f>
        <v>139.75980000000001</v>
      </c>
      <c r="E36">
        <v>6.35</v>
      </c>
      <c r="F36">
        <v>125.13</v>
      </c>
      <c r="G36">
        <v>18.440000000000001</v>
      </c>
      <c r="H36" s="1">
        <f>IF(ISNUMBER(Main_S[[#This Row],[Free CF]]),IF(Main_S[[#This Row],[Free CF]]&lt;&gt;0,Main_S[[#This Row],[Current Price]]/Main_S[[#This Row],[Free CF]],""),"")</f>
        <v>22.009417322834651</v>
      </c>
      <c r="I36" s="1">
        <f>IF(ISNUMBER(Main_S[[#This Row],[BVPS]]),IF(Main_S[[#This Row],[BVPS]]&lt;&gt;0,Main_S[[#This Row],[Current Price]]/Main_S[[#This Row],[BVPS]],""),"")</f>
        <v>1.1169168065212181</v>
      </c>
      <c r="J36">
        <v>15.9</v>
      </c>
      <c r="K36">
        <v>2.65</v>
      </c>
      <c r="L36">
        <v>2.29</v>
      </c>
      <c r="M36" s="1">
        <f>IF(ISNUMBER(Main_S[[#This Row],[EPS]]),IF(Main_S[[#This Row],[EPS]]&lt;&gt;0,Main_S[[#This Row],[Current Price]]/Main_S[[#This Row],[EPS]],""),"")</f>
        <v>7.5791648590021694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0.81520736376771785</v>
      </c>
      <c r="P36" s="1">
        <f>(Main_S[[#This Row],[P/B]]-VLOOKUP(Main_S[[#This Row],[Industry]], Mean_PB_S, 2, FALSE))/(VLOOKUP(Main_S[[#This Row],[Industry]], Mean_PB_S, 3, FALSE))</f>
        <v>-0.19937432845783518</v>
      </c>
      <c r="Q36" s="1">
        <f>(Main_S[[#This Row],[ROE]]-VLOOKUP(Main_S[[#This Row],[Industry]], Mean_ROE_S, 2, FALSE))/(VLOOKUP(Main_S[[#This Row],[Industry]], Mean_ROE_S, 3, FALSE))</f>
        <v>1.3086047614298641</v>
      </c>
      <c r="R36" s="1">
        <f>(Main_S[[#This Row],[ROA]]-VLOOKUP(Main_S[[#This Row],[Industry]], Mean_ROA_S, 2, FALSE))/(VLOOKUP(Main_S[[#This Row],[Industry]], Mean_ROA_S, 3, FALSE))</f>
        <v>0.57699764180859003</v>
      </c>
      <c r="S36" s="1">
        <f>(Main_S[[#This Row],[A/E]]-VLOOKUP(Main_S[[#This Row],[Industry]], Mean_AE_S, 2, FALSE))/(VLOOKUP(Main_S[[#This Row],[Industry]], Mean_AE_S, 3, FALSE))</f>
        <v>-4.6910950072219952E-2</v>
      </c>
      <c r="T36" s="1">
        <f>(Main_S[[#This Row],[P/E]]-VLOOKUP(Main_S[[#This Row],[Industry]], Mean_PE_S, 2, FALSE))/(VLOOKUP(Main_S[[#This Row],[Industry]], Mean_PE_S, 3, FALSE))</f>
        <v>8.4363780917712267E-2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s="68" t="s">
        <v>147</v>
      </c>
      <c r="B37" s="68" t="s">
        <v>267</v>
      </c>
      <c r="C37" s="2">
        <v>262</v>
      </c>
      <c r="D37">
        <f>RTD("tos.rtd", , "LAST", Main_S[[#This Row],[Symbol]])</f>
        <v>74.821100000000001</v>
      </c>
      <c r="E37">
        <v>8.92</v>
      </c>
      <c r="F37">
        <v>-20.190000000000001</v>
      </c>
      <c r="G37">
        <v>4.5599999999999996</v>
      </c>
      <c r="H37" s="1">
        <f>IF(ISNUMBER(Main_S[[#This Row],[Free CF]]),IF(Main_S[[#This Row],[Free CF]]&lt;&gt;0,Main_S[[#This Row],[Current Price]]/Main_S[[#This Row],[Free CF]],""),"")</f>
        <v>8.3880156950672653</v>
      </c>
      <c r="I37" s="1">
        <f>IF(ISNUMBER(Main_S[[#This Row],[BVPS]]),IF(Main_S[[#This Row],[BVPS]]&lt;&gt;0,Main_S[[#This Row],[Current Price]]/Main_S[[#This Row],[BVPS]],""),"")</f>
        <v>-3.7058494304110945</v>
      </c>
      <c r="J37">
        <v>-22.78</v>
      </c>
      <c r="K37">
        <v>4.41</v>
      </c>
      <c r="L37">
        <v>-5.45</v>
      </c>
      <c r="M37" s="1">
        <f>IF(ISNUMBER(Main_S[[#This Row],[EPS]]),IF(Main_S[[#This Row],[EPS]]&lt;&gt;0,Main_S[[#This Row],[Current Price]]/Main_S[[#This Row],[EPS]],""),"")</f>
        <v>16.408135964912283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4.5857576148401719E-2</v>
      </c>
      <c r="P37" s="1">
        <f>(Main_S[[#This Row],[P/B]]-VLOOKUP(Main_S[[#This Row],[Industry]], Mean_PB_S, 2, FALSE))/(VLOOKUP(Main_S[[#This Row],[Industry]], Mean_PB_S, 3, FALSE))</f>
        <v>-5.1458160500841839</v>
      </c>
      <c r="Q37" s="1">
        <f>(Main_S[[#This Row],[ROE]]-VLOOKUP(Main_S[[#This Row],[Industry]], Mean_ROE_S, 2, FALSE))/(VLOOKUP(Main_S[[#This Row],[Industry]], Mean_ROE_S, 3, FALSE))</f>
        <v>-2.3727532641061293</v>
      </c>
      <c r="R37" s="1">
        <f>(Main_S[[#This Row],[ROA]]-VLOOKUP(Main_S[[#This Row],[Industry]], Mean_ROA_S, 2, FALSE))/(VLOOKUP(Main_S[[#This Row],[Industry]], Mean_ROA_S, 3, FALSE))</f>
        <v>1.3584499262074718</v>
      </c>
      <c r="S37" s="1">
        <f>(Main_S[[#This Row],[A/E]]-VLOOKUP(Main_S[[#This Row],[Industry]], Mean_AE_S, 2, FALSE))/(VLOOKUP(Main_S[[#This Row],[Industry]], Mean_AE_S, 3, FALSE))</f>
        <v>-8.6919288919527009</v>
      </c>
      <c r="T37" s="1">
        <f>(Main_S[[#This Row],[P/E]]-VLOOKUP(Main_S[[#This Row],[Industry]], Mean_PE_S, 2, FALSE))/(VLOOKUP(Main_S[[#This Row],[Industry]], Mean_PE_S, 3, FALSE))</f>
        <v>0.32316225822642791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s="68" t="s">
        <v>147</v>
      </c>
      <c r="B38" s="68" t="s">
        <v>269</v>
      </c>
      <c r="C38" s="2">
        <v>973</v>
      </c>
      <c r="D38">
        <f>RTD("tos.rtd", , "LAST", Main_S[[#This Row],[Symbol]])</f>
        <v>19.97</v>
      </c>
      <c r="E38">
        <v>-8.16</v>
      </c>
      <c r="F38">
        <v>32.36</v>
      </c>
      <c r="G38">
        <v>3.29</v>
      </c>
      <c r="H38" s="1">
        <f>IF(ISNUMBER(Main_S[[#This Row],[Free CF]]),IF(Main_S[[#This Row],[Free CF]]&lt;&gt;0,Main_S[[#This Row],[Current Price]]/Main_S[[#This Row],[Free CF]],""),"")</f>
        <v>-2.4473039215686274</v>
      </c>
      <c r="I38" s="1">
        <f>IF(ISNUMBER(Main_S[[#This Row],[BVPS]]),IF(Main_S[[#This Row],[BVPS]]&lt;&gt;0,Main_S[[#This Row],[Current Price]]/Main_S[[#This Row],[BVPS]],""),"")</f>
        <v>0.61711990111248449</v>
      </c>
      <c r="J38">
        <v>10.79</v>
      </c>
      <c r="K38">
        <v>4.47</v>
      </c>
      <c r="L38">
        <v>1.85</v>
      </c>
      <c r="M38" s="1">
        <f>IF(ISNUMBER(Main_S[[#This Row],[EPS]]),IF(Main_S[[#This Row],[EPS]]&lt;&gt;0,Main_S[[#This Row],[Current Price]]/Main_S[[#This Row],[EPS]],""),"")</f>
        <v>6.0699088145896649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-0.56613163565582947</v>
      </c>
      <c r="P38" s="1">
        <f>(Main_S[[#This Row],[P/B]]-VLOOKUP(Main_S[[#This Row],[Industry]], Mean_PB_S, 2, FALSE))/(VLOOKUP(Main_S[[#This Row],[Industry]], Mean_PB_S, 3, FALSE))</f>
        <v>-0.71198807413795673</v>
      </c>
      <c r="Q38" s="1">
        <f>(Main_S[[#This Row],[ROE]]-VLOOKUP(Main_S[[#This Row],[Industry]], Mean_ROE_S, 2, FALSE))/(VLOOKUP(Main_S[[#This Row],[Industry]], Mean_ROE_S, 3, FALSE))</f>
        <v>0.8222619612621046</v>
      </c>
      <c r="R38" s="1">
        <f>(Main_S[[#This Row],[ROA]]-VLOOKUP(Main_S[[#This Row],[Industry]], Mean_ROA_S, 2, FALSE))/(VLOOKUP(Main_S[[#This Row],[Industry]], Mean_ROA_S, 3, FALSE))</f>
        <v>1.3850903449937972</v>
      </c>
      <c r="S38" s="1">
        <f>(Main_S[[#This Row],[A/E]]-VLOOKUP(Main_S[[#This Row],[Industry]], Mean_AE_S, 2, FALSE))/(VLOOKUP(Main_S[[#This Row],[Industry]], Mean_AE_S, 3, FALSE))</f>
        <v>-0.5383589984478544</v>
      </c>
      <c r="T38" s="1">
        <f>(Main_S[[#This Row],[P/E]]-VLOOKUP(Main_S[[#This Row],[Industry]], Mean_PE_S, 2, FALSE))/(VLOOKUP(Main_S[[#This Row],[Industry]], Mean_PE_S, 3, FALSE))</f>
        <v>4.3542711174554508E-2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s="68" t="s">
        <v>147</v>
      </c>
      <c r="B39" s="68" t="s">
        <v>278</v>
      </c>
      <c r="C39" s="2">
        <v>568</v>
      </c>
      <c r="D39">
        <f>RTD("tos.rtd", , "LAST", Main_S[[#This Row],[Symbol]])</f>
        <v>14.497</v>
      </c>
      <c r="E39">
        <v>0.09</v>
      </c>
      <c r="F39">
        <v>24.33</v>
      </c>
      <c r="G39">
        <v>2.73</v>
      </c>
      <c r="H39" s="1">
        <f>IF(ISNUMBER(Main_S[[#This Row],[Free CF]]),IF(Main_S[[#This Row],[Free CF]]&lt;&gt;0,Main_S[[#This Row],[Current Price]]/Main_S[[#This Row],[Free CF]],""),"")</f>
        <v>161.07777777777778</v>
      </c>
      <c r="I39" s="1">
        <f>IF(ISNUMBER(Main_S[[#This Row],[BVPS]]),IF(Main_S[[#This Row],[BVPS]]&lt;&gt;0,Main_S[[#This Row],[Current Price]]/Main_S[[#This Row],[BVPS]],""),"")</f>
        <v>0.59584874640361696</v>
      </c>
      <c r="J39">
        <v>11.76</v>
      </c>
      <c r="K39">
        <v>2.0099999999999998</v>
      </c>
      <c r="L39">
        <v>2.59</v>
      </c>
      <c r="M39" s="1">
        <f>IF(ISNUMBER(Main_S[[#This Row],[EPS]]),IF(Main_S[[#This Row],[EPS]]&lt;&gt;0,Main_S[[#This Row],[Current Price]]/Main_S[[#This Row],[EPS]],""),"")</f>
        <v>5.31025641025641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8.6699213281861898</v>
      </c>
      <c r="P39" s="1">
        <f>(Main_S[[#This Row],[P/B]]-VLOOKUP(Main_S[[#This Row],[Industry]], Mean_PB_S, 2, FALSE))/(VLOOKUP(Main_S[[#This Row],[Industry]], Mean_PB_S, 3, FALSE))</f>
        <v>-0.7338047083993009</v>
      </c>
      <c r="Q39" s="1">
        <f>(Main_S[[#This Row],[ROE]]-VLOOKUP(Main_S[[#This Row],[Industry]], Mean_ROE_S, 2, FALSE))/(VLOOKUP(Main_S[[#This Row],[Industry]], Mean_ROE_S, 3, FALSE))</f>
        <v>0.91458143604933118</v>
      </c>
      <c r="R39" s="1">
        <f>(Main_S[[#This Row],[ROA]]-VLOOKUP(Main_S[[#This Row],[Industry]], Mean_ROA_S, 2, FALSE))/(VLOOKUP(Main_S[[#This Row],[Industry]], Mean_ROA_S, 3, FALSE))</f>
        <v>0.2928331747544512</v>
      </c>
      <c r="S39" s="1">
        <f>(Main_S[[#This Row],[A/E]]-VLOOKUP(Main_S[[#This Row],[Industry]], Mean_AE_S, 2, FALSE))/(VLOOKUP(Main_S[[#This Row],[Industry]], Mean_AE_S, 3, FALSE))</f>
        <v>0.28816726472934884</v>
      </c>
      <c r="T39" s="1">
        <f>(Main_S[[#This Row],[P/E]]-VLOOKUP(Main_S[[#This Row],[Industry]], Mean_PE_S, 2, FALSE))/(VLOOKUP(Main_S[[#This Row],[Industry]], Mean_PE_S, 3, FALSE))</f>
        <v>2.2996281102169936E-2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s="68" t="s">
        <v>147</v>
      </c>
      <c r="B40" s="68" t="s">
        <v>259</v>
      </c>
      <c r="C40" s="2">
        <v>381</v>
      </c>
      <c r="D40">
        <f>RTD("tos.rtd", , "LAST", Main_S[[#This Row],[Symbol]])</f>
        <v>5.53</v>
      </c>
      <c r="E40">
        <v>2.86</v>
      </c>
      <c r="F40">
        <v>11.08</v>
      </c>
      <c r="G40">
        <v>1.24</v>
      </c>
      <c r="H40" s="1">
        <f>IF(ISNUMBER(Main_S[[#This Row],[Free CF]]),IF(Main_S[[#This Row],[Free CF]]&lt;&gt;0,Main_S[[#This Row],[Current Price]]/Main_S[[#This Row],[Free CF]],""),"")</f>
        <v>1.9335664335664338</v>
      </c>
      <c r="I40" s="1">
        <f>IF(ISNUMBER(Main_S[[#This Row],[BVPS]]),IF(Main_S[[#This Row],[BVPS]]&lt;&gt;0,Main_S[[#This Row],[Current Price]]/Main_S[[#This Row],[BVPS]],""),"")</f>
        <v>0.49909747292418777</v>
      </c>
      <c r="J40">
        <v>10.92</v>
      </c>
      <c r="K40">
        <v>1.44</v>
      </c>
      <c r="L40">
        <v>4.08</v>
      </c>
      <c r="M40" s="1">
        <f>IF(ISNUMBER(Main_S[[#This Row],[EPS]]),IF(Main_S[[#This Row],[EPS]]&lt;&gt;0,Main_S[[#This Row],[Current Price]]/Main_S[[#This Row],[EPS]],""),"")</f>
        <v>4.459677419354839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-0.3186958893637391</v>
      </c>
      <c r="P40" s="1">
        <f>(Main_S[[#This Row],[P/B]]-VLOOKUP(Main_S[[#This Row],[Industry]], Mean_PB_S, 2, FALSE))/(VLOOKUP(Main_S[[#This Row],[Industry]], Mean_PB_S, 3, FALSE))</f>
        <v>-0.8330370809107962</v>
      </c>
      <c r="Q40" s="1">
        <f>(Main_S[[#This Row],[ROE]]-VLOOKUP(Main_S[[#This Row],[Industry]], Mean_ROE_S, 2, FALSE))/(VLOOKUP(Main_S[[#This Row],[Industry]], Mean_ROE_S, 3, FALSE))</f>
        <v>0.83463467437791872</v>
      </c>
      <c r="R40" s="1">
        <f>(Main_S[[#This Row],[ROA]]-VLOOKUP(Main_S[[#This Row],[Industry]], Mean_ROA_S, 2, FALSE))/(VLOOKUP(Main_S[[#This Row],[Industry]], Mean_ROA_S, 3, FALSE))</f>
        <v>3.9749196284358912E-2</v>
      </c>
      <c r="S40" s="1">
        <f>(Main_S[[#This Row],[A/E]]-VLOOKUP(Main_S[[#This Row],[Industry]], Mean_AE_S, 2, FALSE))/(VLOOKUP(Main_S[[#This Row],[Industry]], Mean_AE_S, 3, FALSE))</f>
        <v>1.9523890649104751</v>
      </c>
      <c r="T40" s="1">
        <f>(Main_S[[#This Row],[P/E]]-VLOOKUP(Main_S[[#This Row],[Industry]], Mean_PE_S, 2, FALSE))/(VLOOKUP(Main_S[[#This Row],[Industry]], Mean_PE_S, 3, FALSE))</f>
        <v>-9.4537022075057412E-6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s="68" t="s">
        <v>147</v>
      </c>
      <c r="B41" s="68" t="s">
        <v>280</v>
      </c>
      <c r="C41" s="2">
        <v>255</v>
      </c>
      <c r="D41">
        <f>RTD("tos.rtd", , "LAST", Main_S[[#This Row],[Symbol]])</f>
        <v>15.87</v>
      </c>
      <c r="E41">
        <v>3.63</v>
      </c>
      <c r="F41">
        <v>13.88</v>
      </c>
      <c r="G41">
        <v>1.06</v>
      </c>
      <c r="H41" s="1">
        <f>IF(ISNUMBER(Main_S[[#This Row],[Free CF]]),IF(Main_S[[#This Row],[Free CF]]&lt;&gt;0,Main_S[[#This Row],[Current Price]]/Main_S[[#This Row],[Free CF]],""),"")</f>
        <v>4.3719008264462813</v>
      </c>
      <c r="I41" s="1">
        <f>IF(ISNUMBER(Main_S[[#This Row],[BVPS]]),IF(Main_S[[#This Row],[BVPS]]&lt;&gt;0,Main_S[[#This Row],[Current Price]]/Main_S[[#This Row],[BVPS]],""),"")</f>
        <v>1.143371757925072</v>
      </c>
      <c r="J41">
        <v>11.13</v>
      </c>
      <c r="K41">
        <v>5.25</v>
      </c>
      <c r="L41">
        <v>2.77</v>
      </c>
      <c r="M41" s="1">
        <f>IF(ISNUMBER(Main_S[[#This Row],[EPS]]),IF(Main_S[[#This Row],[EPS]]&lt;&gt;0,Main_S[[#This Row],[Current Price]]/Main_S[[#This Row],[EPS]],""),"")</f>
        <v>14.971698113207546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-0.18097643151566603</v>
      </c>
      <c r="P41" s="1">
        <f>(Main_S[[#This Row],[P/B]]-VLOOKUP(Main_S[[#This Row],[Industry]], Mean_PB_S, 2, FALSE))/(VLOOKUP(Main_S[[#This Row],[Industry]], Mean_PB_S, 3, FALSE))</f>
        <v>-0.17224096371676137</v>
      </c>
      <c r="Q41" s="1">
        <f>(Main_S[[#This Row],[ROE]]-VLOOKUP(Main_S[[#This Row],[Industry]], Mean_ROE_S, 2, FALSE))/(VLOOKUP(Main_S[[#This Row],[Industry]], Mean_ROE_S, 3, FALSE))</f>
        <v>0.85462136479577189</v>
      </c>
      <c r="R41" s="1">
        <f>(Main_S[[#This Row],[ROA]]-VLOOKUP(Main_S[[#This Row],[Industry]], Mean_ROA_S, 2, FALSE))/(VLOOKUP(Main_S[[#This Row],[Industry]], Mean_ROA_S, 3, FALSE))</f>
        <v>1.7314157892160289</v>
      </c>
      <c r="S41" s="1">
        <f>(Main_S[[#This Row],[A/E]]-VLOOKUP(Main_S[[#This Row],[Industry]], Mean_AE_S, 2, FALSE))/(VLOOKUP(Main_S[[#This Row],[Industry]], Mean_AE_S, 3, FALSE))</f>
        <v>0.48921419361029045</v>
      </c>
      <c r="T41" s="1">
        <f>(Main_S[[#This Row],[P/E]]-VLOOKUP(Main_S[[#This Row],[Industry]], Mean_PE_S, 2, FALSE))/(VLOOKUP(Main_S[[#This Row],[Industry]], Mean_PE_S, 3, FALSE))</f>
        <v>0.28431071282879078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s="68" t="s">
        <v>147</v>
      </c>
      <c r="B42" s="68" t="s">
        <v>268</v>
      </c>
      <c r="C42" s="2">
        <v>340</v>
      </c>
      <c r="D42">
        <f>RTD("tos.rtd", , "LAST", Main_S[[#This Row],[Symbol]])</f>
        <v>37.29</v>
      </c>
      <c r="E42">
        <v>-1.1599999999999999</v>
      </c>
      <c r="F42">
        <v>96.91</v>
      </c>
      <c r="G42">
        <v>0.92</v>
      </c>
      <c r="H42" s="1">
        <f>IF(ISNUMBER(Main_S[[#This Row],[Free CF]]),IF(Main_S[[#This Row],[Free CF]]&lt;&gt;0,Main_S[[#This Row],[Current Price]]/Main_S[[#This Row],[Free CF]],""),"")</f>
        <v>-32.146551724137936</v>
      </c>
      <c r="I42" s="1">
        <f>IF(ISNUMBER(Main_S[[#This Row],[BVPS]]),IF(Main_S[[#This Row],[BVPS]]&lt;&gt;0,Main_S[[#This Row],[Current Price]]/Main_S[[#This Row],[BVPS]],""),"")</f>
        <v>0.38479001135073782</v>
      </c>
      <c r="J42">
        <v>1.02</v>
      </c>
      <c r="K42">
        <v>-0.28000000000000003</v>
      </c>
      <c r="L42">
        <v>1.29</v>
      </c>
      <c r="M42" s="1">
        <f>IF(ISNUMBER(Main_S[[#This Row],[EPS]]),IF(Main_S[[#This Row],[EPS]]&lt;&gt;0,Main_S[[#This Row],[Current Price]]/Main_S[[#This Row],[EPS]],""),"")</f>
        <v>40.532608695652172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-2.2435735475646568</v>
      </c>
      <c r="P42" s="1">
        <f>(Main_S[[#This Row],[P/B]]-VLOOKUP(Main_S[[#This Row],[Industry]], Mean_PB_S, 2, FALSE))/(VLOOKUP(Main_S[[#This Row],[Industry]], Mean_PB_S, 3, FALSE))</f>
        <v>-0.95027585410494642</v>
      </c>
      <c r="Q42" s="1">
        <f>(Main_S[[#This Row],[ROE]]-VLOOKUP(Main_S[[#This Row],[Industry]], Mean_ROE_S, 2, FALSE))/(VLOOKUP(Main_S[[#This Row],[Industry]], Mean_ROE_S, 3, FALSE))</f>
        <v>-0.10759501674944262</v>
      </c>
      <c r="R42" s="1">
        <f>(Main_S[[#This Row],[ROA]]-VLOOKUP(Main_S[[#This Row],[Industry]], Mean_ROA_S, 2, FALSE))/(VLOOKUP(Main_S[[#This Row],[Industry]], Mean_ROA_S, 3, FALSE))</f>
        <v>-0.72394280892363905</v>
      </c>
      <c r="S42" s="1">
        <f>(Main_S[[#This Row],[A/E]]-VLOOKUP(Main_S[[#This Row],[Industry]], Mean_AE_S, 2, FALSE))/(VLOOKUP(Main_S[[#This Row],[Industry]], Mean_AE_S, 3, FALSE))</f>
        <v>-1.1638383327441166</v>
      </c>
      <c r="T42" s="1">
        <f>(Main_S[[#This Row],[P/E]]-VLOOKUP(Main_S[[#This Row],[Industry]], Mean_PE_S, 2, FALSE))/(VLOOKUP(Main_S[[#This Row],[Industry]], Mean_PE_S, 3, FALSE))</f>
        <v>0.97566041286643812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s="68" t="s">
        <v>147</v>
      </c>
      <c r="B43" s="68" t="s">
        <v>284</v>
      </c>
      <c r="C43" s="2">
        <v>301</v>
      </c>
      <c r="D43">
        <f>RTD("tos.rtd", , "LAST", Main_S[[#This Row],[Symbol]])</f>
        <v>10.17</v>
      </c>
      <c r="E43">
        <v>2.93</v>
      </c>
      <c r="F43">
        <v>28.54</v>
      </c>
      <c r="G43">
        <v>0.57999999999999996</v>
      </c>
      <c r="H43" s="1">
        <f>IF(ISNUMBER(Main_S[[#This Row],[Free CF]]),IF(Main_S[[#This Row],[Free CF]]&lt;&gt;0,Main_S[[#This Row],[Current Price]]/Main_S[[#This Row],[Free CF]],""),"")</f>
        <v>3.4709897610921501</v>
      </c>
      <c r="I43" s="1">
        <f>IF(ISNUMBER(Main_S[[#This Row],[BVPS]]),IF(Main_S[[#This Row],[BVPS]]&lt;&gt;0,Main_S[[#This Row],[Current Price]]/Main_S[[#This Row],[BVPS]],""),"")</f>
        <v>0.35634197617379115</v>
      </c>
      <c r="J43">
        <v>2</v>
      </c>
      <c r="K43">
        <v>3.92</v>
      </c>
      <c r="L43">
        <v>1.64</v>
      </c>
      <c r="M43" s="1">
        <f>IF(ISNUMBER(Main_S[[#This Row],[EPS]]),IF(Main_S[[#This Row],[EPS]]&lt;&gt;0,Main_S[[#This Row],[Current Price]]/Main_S[[#This Row],[EPS]],""),"")</f>
        <v>17.53448275862069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-0.23186074986519392</v>
      </c>
      <c r="P43" s="1">
        <f>(Main_S[[#This Row],[P/B]]-VLOOKUP(Main_S[[#This Row],[Industry]], Mean_PB_S, 2, FALSE))/(VLOOKUP(Main_S[[#This Row],[Industry]], Mean_PB_S, 3, FALSE))</f>
        <v>-0.97945341345251513</v>
      </c>
      <c r="Q43" s="1">
        <f>(Main_S[[#This Row],[ROE]]-VLOOKUP(Main_S[[#This Row],[Industry]], Mean_ROE_S, 2, FALSE))/(VLOOKUP(Main_S[[#This Row],[Industry]], Mean_ROE_S, 3, FALSE))</f>
        <v>-1.4323794799461408E-2</v>
      </c>
      <c r="R43" s="1">
        <f>(Main_S[[#This Row],[ROA]]-VLOOKUP(Main_S[[#This Row],[Industry]], Mean_ROA_S, 2, FALSE))/(VLOOKUP(Main_S[[#This Row],[Industry]], Mean_ROA_S, 3, FALSE))</f>
        <v>1.1408865061191467</v>
      </c>
      <c r="S43" s="1">
        <f>(Main_S[[#This Row],[A/E]]-VLOOKUP(Main_S[[#This Row],[Industry]], Mean_AE_S, 2, FALSE))/(VLOOKUP(Main_S[[#This Row],[Industry]], Mean_AE_S, 3, FALSE))</f>
        <v>-0.77291374880895292</v>
      </c>
      <c r="T43" s="1">
        <f>(Main_S[[#This Row],[P/E]]-VLOOKUP(Main_S[[#This Row],[Industry]], Mean_PE_S, 2, FALSE))/(VLOOKUP(Main_S[[#This Row],[Industry]], Mean_PE_S, 3, FALSE))</f>
        <v>0.3536267252671087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s="68" t="s">
        <v>147</v>
      </c>
      <c r="B44" s="68" t="s">
        <v>285</v>
      </c>
      <c r="C44" s="2">
        <v>254</v>
      </c>
      <c r="D44">
        <f>RTD("tos.rtd", , "LAST", Main_S[[#This Row],[Symbol]])</f>
        <v>7.35</v>
      </c>
      <c r="E44">
        <v>0.63</v>
      </c>
      <c r="F44">
        <v>7.35</v>
      </c>
      <c r="G44">
        <v>0.56999999999999995</v>
      </c>
      <c r="H44" s="1">
        <f>IF(ISNUMBER(Main_S[[#This Row],[Free CF]]),IF(Main_S[[#This Row],[Free CF]]&lt;&gt;0,Main_S[[#This Row],[Current Price]]/Main_S[[#This Row],[Free CF]],""),"")</f>
        <v>11.666666666666666</v>
      </c>
      <c r="I44" s="1">
        <f>IF(ISNUMBER(Main_S[[#This Row],[BVPS]]),IF(Main_S[[#This Row],[BVPS]]&lt;&gt;0,Main_S[[#This Row],[Current Price]]/Main_S[[#This Row],[BVPS]],""),"")</f>
        <v>1</v>
      </c>
      <c r="J44">
        <v>10.61</v>
      </c>
      <c r="K44">
        <v>1.93</v>
      </c>
      <c r="L44">
        <v>2.65</v>
      </c>
      <c r="M44" s="1">
        <f>IF(ISNUMBER(Main_S[[#This Row],[EPS]]),IF(Main_S[[#This Row],[EPS]]&lt;&gt;0,Main_S[[#This Row],[Current Price]]/Main_S[[#This Row],[EPS]],""),"")</f>
        <v>12.894736842105264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0.23103891780533237</v>
      </c>
      <c r="P44" s="1">
        <f>(Main_S[[#This Row],[P/B]]-VLOOKUP(Main_S[[#This Row],[Industry]], Mean_PB_S, 2, FALSE))/(VLOOKUP(Main_S[[#This Row],[Industry]], Mean_PB_S, 3, FALSE))</f>
        <v>-0.31928936089443333</v>
      </c>
      <c r="Q44" s="1">
        <f>(Main_S[[#This Row],[ROE]]-VLOOKUP(Main_S[[#This Row],[Industry]], Mean_ROE_S, 2, FALSE))/(VLOOKUP(Main_S[[#This Row],[Industry]], Mean_ROE_S, 3, FALSE))</f>
        <v>0.8051305123325162</v>
      </c>
      <c r="R44" s="1">
        <f>(Main_S[[#This Row],[ROA]]-VLOOKUP(Main_S[[#This Row],[Industry]], Mean_ROA_S, 2, FALSE))/(VLOOKUP(Main_S[[#This Row],[Industry]], Mean_ROA_S, 3, FALSE))</f>
        <v>0.25731261637268393</v>
      </c>
      <c r="S44" s="1">
        <f>(Main_S[[#This Row],[A/E]]-VLOOKUP(Main_S[[#This Row],[Industry]], Mean_AE_S, 2, FALSE))/(VLOOKUP(Main_S[[#This Row],[Industry]], Mean_AE_S, 3, FALSE))</f>
        <v>0.35518290768966271</v>
      </c>
      <c r="T44" s="1">
        <f>(Main_S[[#This Row],[P/E]]-VLOOKUP(Main_S[[#This Row],[Industry]], Mean_PE_S, 2, FALSE))/(VLOOKUP(Main_S[[#This Row],[Industry]], Mean_PE_S, 3, FALSE))</f>
        <v>0.22813483649860383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s="68" t="s">
        <v>147</v>
      </c>
      <c r="B45" s="68" t="s">
        <v>205</v>
      </c>
      <c r="C45" s="2">
        <v>1913</v>
      </c>
      <c r="D45">
        <f>RTD("tos.rtd", , "LAST", Main_S[[#This Row],[Symbol]])</f>
        <v>11.42</v>
      </c>
      <c r="E45">
        <v>-0.88</v>
      </c>
      <c r="F45">
        <v>7.21</v>
      </c>
      <c r="G45">
        <v>0.38</v>
      </c>
      <c r="H45" s="1">
        <f>IF(ISNUMBER(Main_S[[#This Row],[Free CF]]),IF(Main_S[[#This Row],[Free CF]]&lt;&gt;0,Main_S[[#This Row],[Current Price]]/Main_S[[#This Row],[Free CF]],""),"")</f>
        <v>-12.977272727272727</v>
      </c>
      <c r="I45" s="1">
        <f>IF(ISNUMBER(Main_S[[#This Row],[BVPS]]),IF(Main_S[[#This Row],[BVPS]]&lt;&gt;0,Main_S[[#This Row],[Current Price]]/Main_S[[#This Row],[BVPS]],""),"")</f>
        <v>1.5839112343966713</v>
      </c>
      <c r="J45">
        <v>6.13</v>
      </c>
      <c r="K45">
        <v>2.31</v>
      </c>
      <c r="L45">
        <v>3.67</v>
      </c>
      <c r="M45" s="1">
        <f>IF(ISNUMBER(Main_S[[#This Row],[EPS]]),IF(Main_S[[#This Row],[EPS]]&lt;&gt;0,Main_S[[#This Row],[Current Price]]/Main_S[[#This Row],[EPS]],""),"")</f>
        <v>30.052631578947366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-1.1608743417068736</v>
      </c>
      <c r="P45" s="1">
        <f>(Main_S[[#This Row],[P/B]]-VLOOKUP(Main_S[[#This Row],[Industry]], Mean_PB_S, 2, FALSE))/(VLOOKUP(Main_S[[#This Row],[Industry]], Mean_PB_S, 3, FALSE))</f>
        <v>0.27959574977666346</v>
      </c>
      <c r="Q45" s="1">
        <f>(Main_S[[#This Row],[ROE]]-VLOOKUP(Main_S[[#This Row],[Industry]], Mean_ROE_S, 2, FALSE))/(VLOOKUP(Main_S[[#This Row],[Industry]], Mean_ROE_S, 3, FALSE))</f>
        <v>0.37874778341831655</v>
      </c>
      <c r="R45" s="1">
        <f>(Main_S[[#This Row],[ROA]]-VLOOKUP(Main_S[[#This Row],[Industry]], Mean_ROA_S, 2, FALSE))/(VLOOKUP(Main_S[[#This Row],[Industry]], Mean_ROA_S, 3, FALSE))</f>
        <v>0.42603526868607888</v>
      </c>
      <c r="S45" s="1">
        <f>(Main_S[[#This Row],[A/E]]-VLOOKUP(Main_S[[#This Row],[Industry]], Mean_AE_S, 2, FALSE))/(VLOOKUP(Main_S[[#This Row],[Industry]], Mean_AE_S, 3, FALSE))</f>
        <v>1.4944488380149974</v>
      </c>
      <c r="T45" s="1">
        <f>(Main_S[[#This Row],[P/E]]-VLOOKUP(Main_S[[#This Row],[Industry]], Mean_PE_S, 2, FALSE))/(VLOOKUP(Main_S[[#This Row],[Industry]], Mean_PE_S, 3, FALSE))</f>
        <v>0.69220693366951902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s="68" t="s">
        <v>147</v>
      </c>
      <c r="B46" s="68" t="s">
        <v>261</v>
      </c>
      <c r="C46" s="2">
        <v>518</v>
      </c>
      <c r="D46">
        <f>RTD("tos.rtd", , "LAST", Main_S[[#This Row],[Symbol]])</f>
        <v>27.15</v>
      </c>
      <c r="E46">
        <v>1.62</v>
      </c>
      <c r="F46">
        <v>22.27</v>
      </c>
      <c r="G46">
        <v>0.36</v>
      </c>
      <c r="H46" s="1">
        <f>IF(ISNUMBER(Main_S[[#This Row],[Free CF]]),IF(Main_S[[#This Row],[Free CF]]&lt;&gt;0,Main_S[[#This Row],[Current Price]]/Main_S[[#This Row],[Free CF]],""),"")</f>
        <v>16.759259259259256</v>
      </c>
      <c r="I46" s="1">
        <f>IF(ISNUMBER(Main_S[[#This Row],[BVPS]]),IF(Main_S[[#This Row],[BVPS]]&lt;&gt;0,Main_S[[#This Row],[Current Price]]/Main_S[[#This Row],[BVPS]],""),"")</f>
        <v>1.219128872923215</v>
      </c>
      <c r="J46">
        <v>1.49</v>
      </c>
      <c r="K46">
        <v>7.0000000000000007E-2</v>
      </c>
      <c r="L46">
        <v>1.69</v>
      </c>
      <c r="M46" s="1">
        <f>IF(ISNUMBER(Main_S[[#This Row],[EPS]]),IF(Main_S[[#This Row],[EPS]]&lt;&gt;0,Main_S[[#This Row],[Current Price]]/Main_S[[#This Row],[EPS]],""),"")</f>
        <v>75.416666666666671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0.5186734165602882</v>
      </c>
      <c r="P46" s="1">
        <f>(Main_S[[#This Row],[P/B]]-VLOOKUP(Main_S[[#This Row],[Industry]], Mean_PB_S, 2, FALSE))/(VLOOKUP(Main_S[[#This Row],[Industry]], Mean_PB_S, 3, FALSE))</f>
        <v>-9.4541125920928462E-2</v>
      </c>
      <c r="Q46" s="1">
        <f>(Main_S[[#This Row],[ROE]]-VLOOKUP(Main_S[[#This Row],[Industry]], Mean_ROE_S, 2, FALSE))/(VLOOKUP(Main_S[[#This Row],[Industry]], Mean_ROE_S, 3, FALSE))</f>
        <v>-6.286290009996183E-2</v>
      </c>
      <c r="R46" s="1">
        <f>(Main_S[[#This Row],[ROA]]-VLOOKUP(Main_S[[#This Row],[Industry]], Mean_ROA_S, 2, FALSE))/(VLOOKUP(Main_S[[#This Row],[Industry]], Mean_ROA_S, 3, FALSE))</f>
        <v>-0.56854036600340685</v>
      </c>
      <c r="S46" s="1">
        <f>(Main_S[[#This Row],[A/E]]-VLOOKUP(Main_S[[#This Row],[Industry]], Mean_AE_S, 2, FALSE))/(VLOOKUP(Main_S[[#This Row],[Industry]], Mean_AE_S, 3, FALSE))</f>
        <v>-0.71706737967535805</v>
      </c>
      <c r="T46" s="1">
        <f>(Main_S[[#This Row],[P/E]]-VLOOKUP(Main_S[[#This Row],[Industry]], Mean_PE_S, 2, FALSE))/(VLOOKUP(Main_S[[#This Row],[Industry]], Mean_PE_S, 3, FALSE))</f>
        <v>1.9191746486589814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s="68" t="s">
        <v>147</v>
      </c>
      <c r="B47" s="68" t="s">
        <v>262</v>
      </c>
      <c r="C47" s="2">
        <v>1130</v>
      </c>
      <c r="D47">
        <f>RTD("tos.rtd", , "LAST", Main_S[[#This Row],[Symbol]])</f>
        <v>14.57</v>
      </c>
      <c r="E47">
        <v>0.13</v>
      </c>
      <c r="F47">
        <v>1.67</v>
      </c>
      <c r="G47">
        <v>0.2</v>
      </c>
      <c r="H47" s="1">
        <f>IF(ISNUMBER(Main_S[[#This Row],[Free CF]]),IF(Main_S[[#This Row],[Free CF]]&lt;&gt;0,Main_S[[#This Row],[Current Price]]/Main_S[[#This Row],[Free CF]],""),"")</f>
        <v>112.07692307692308</v>
      </c>
      <c r="I47" s="1">
        <f>IF(ISNUMBER(Main_S[[#This Row],[BVPS]]),IF(Main_S[[#This Row],[BVPS]]&lt;&gt;0,Main_S[[#This Row],[Current Price]]/Main_S[[#This Row],[BVPS]],""),"")</f>
        <v>8.724550898203594</v>
      </c>
      <c r="J47">
        <v>15.8</v>
      </c>
      <c r="K47">
        <v>3.38</v>
      </c>
      <c r="L47">
        <v>2.29</v>
      </c>
      <c r="M47" s="1">
        <f>IF(ISNUMBER(Main_S[[#This Row],[EPS]]),IF(Main_S[[#This Row],[EPS]]&lt;&gt;0,Main_S[[#This Row],[Current Price]]/Main_S[[#This Row],[EPS]],""),"")</f>
        <v>72.849999999999994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5.9023062040261269</v>
      </c>
      <c r="P47" s="1">
        <f>(Main_S[[#This Row],[P/B]]-VLOOKUP(Main_S[[#This Row],[Industry]], Mean_PB_S, 2, FALSE))/(VLOOKUP(Main_S[[#This Row],[Industry]], Mean_PB_S, 3, FALSE))</f>
        <v>7.6033506690326087</v>
      </c>
      <c r="Q47" s="1">
        <f>(Main_S[[#This Row],[ROE]]-VLOOKUP(Main_S[[#This Row],[Industry]], Mean_ROE_S, 2, FALSE))/(VLOOKUP(Main_S[[#This Row],[Industry]], Mean_ROE_S, 3, FALSE))</f>
        <v>1.2990872898023149</v>
      </c>
      <c r="R47" s="1">
        <f>(Main_S[[#This Row],[ROA]]-VLOOKUP(Main_S[[#This Row],[Industry]], Mean_ROA_S, 2, FALSE))/(VLOOKUP(Main_S[[#This Row],[Industry]], Mean_ROA_S, 3, FALSE))</f>
        <v>0.90112273704221713</v>
      </c>
      <c r="S47" s="1">
        <f>(Main_S[[#This Row],[A/E]]-VLOOKUP(Main_S[[#This Row],[Industry]], Mean_AE_S, 2, FALSE))/(VLOOKUP(Main_S[[#This Row],[Industry]], Mean_AE_S, 3, FALSE))</f>
        <v>-4.6910950072219952E-2</v>
      </c>
      <c r="T47" s="1">
        <f>(Main_S[[#This Row],[P/E]]-VLOOKUP(Main_S[[#This Row],[Industry]], Mean_PE_S, 2, FALSE))/(VLOOKUP(Main_S[[#This Row],[Industry]], Mean_PE_S, 3, FALSE))</f>
        <v>1.8497536386220641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s="68" t="s">
        <v>147</v>
      </c>
      <c r="B48" s="68" t="s">
        <v>260</v>
      </c>
      <c r="C48" s="2">
        <v>449</v>
      </c>
      <c r="D48">
        <f>RTD("tos.rtd", , "LAST", Main_S[[#This Row],[Symbol]])</f>
        <v>16.350000000000001</v>
      </c>
      <c r="E48">
        <v>-0.02</v>
      </c>
      <c r="F48">
        <v>17.59</v>
      </c>
      <c r="G48">
        <v>0.08</v>
      </c>
      <c r="H48" s="1">
        <f>IF(ISNUMBER(Main_S[[#This Row],[Free CF]]),IF(Main_S[[#This Row],[Free CF]]&lt;&gt;0,Main_S[[#This Row],[Current Price]]/Main_S[[#This Row],[Free CF]],""),"")</f>
        <v>-817.5</v>
      </c>
      <c r="I48" s="1">
        <f>IF(ISNUMBER(Main_S[[#This Row],[BVPS]]),IF(Main_S[[#This Row],[BVPS]]&lt;&gt;0,Main_S[[#This Row],[Current Price]]/Main_S[[#This Row],[BVPS]],""),"")</f>
        <v>0.92950540079590682</v>
      </c>
      <c r="J48">
        <v>0.44</v>
      </c>
      <c r="K48">
        <v>-1.01</v>
      </c>
      <c r="L48">
        <v>1.3</v>
      </c>
      <c r="M48" s="1">
        <f>IF(ISNUMBER(Main_S[[#This Row],[EPS]]),IF(Main_S[[#This Row],[EPS]]&lt;&gt;0,Main_S[[#This Row],[Current Price]]/Main_S[[#This Row],[EPS]],""),"")</f>
        <v>204.375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-46.601087197660689</v>
      </c>
      <c r="P48" s="1">
        <f>(Main_S[[#This Row],[P/B]]-VLOOKUP(Main_S[[#This Row],[Industry]], Mean_PB_S, 2, FALSE))/(VLOOKUP(Main_S[[#This Row],[Industry]], Mean_PB_S, 3, FALSE))</f>
        <v>-0.39159173043126894</v>
      </c>
      <c r="Q48" s="1">
        <f>(Main_S[[#This Row],[ROE]]-VLOOKUP(Main_S[[#This Row],[Industry]], Mean_ROE_S, 2, FALSE))/(VLOOKUP(Main_S[[#This Row],[Industry]], Mean_ROE_S, 3, FALSE))</f>
        <v>-0.16279635218922742</v>
      </c>
      <c r="R48" s="1">
        <f>(Main_S[[#This Row],[ROA]]-VLOOKUP(Main_S[[#This Row],[Industry]], Mean_ROA_S, 2, FALSE))/(VLOOKUP(Main_S[[#This Row],[Industry]], Mean_ROA_S, 3, FALSE))</f>
        <v>-1.048067904157266</v>
      </c>
      <c r="S48" s="1">
        <f>(Main_S[[#This Row],[A/E]]-VLOOKUP(Main_S[[#This Row],[Industry]], Mean_AE_S, 2, FALSE))/(VLOOKUP(Main_S[[#This Row],[Industry]], Mean_AE_S, 3, FALSE))</f>
        <v>-1.1526690589173976</v>
      </c>
      <c r="T48" s="1">
        <f>(Main_S[[#This Row],[P/E]]-VLOOKUP(Main_S[[#This Row],[Industry]], Mean_PE_S, 2, FALSE))/(VLOOKUP(Main_S[[#This Row],[Industry]], Mean_PE_S, 3, FALSE))</f>
        <v>5.4071296172346042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9" spans="1:26" x14ac:dyDescent="0.25">
      <c r="A49" s="68" t="s">
        <v>147</v>
      </c>
      <c r="B49" s="68" t="s">
        <v>287</v>
      </c>
      <c r="C49" s="2">
        <v>1765</v>
      </c>
      <c r="D49">
        <f>RTD("tos.rtd", , "LAST", Main_S[[#This Row],[Symbol]])</f>
        <v>38.26</v>
      </c>
      <c r="E49">
        <v>1.18</v>
      </c>
      <c r="F49">
        <v>13.57</v>
      </c>
      <c r="G49">
        <v>7.0000000000000007E-2</v>
      </c>
      <c r="H49" s="1">
        <f>IF(ISNUMBER(Main_S[[#This Row],[Free CF]]),IF(Main_S[[#This Row],[Free CF]]&lt;&gt;0,Main_S[[#This Row],[Current Price]]/Main_S[[#This Row],[Free CF]],""),"")</f>
        <v>32.423728813559322</v>
      </c>
      <c r="I49" s="1">
        <f>IF(ISNUMBER(Main_S[[#This Row],[BVPS]]),IF(Main_S[[#This Row],[BVPS]]&lt;&gt;0,Main_S[[#This Row],[Current Price]]/Main_S[[#This Row],[BVPS]],""),"")</f>
        <v>2.8194546794399407</v>
      </c>
      <c r="J49">
        <v>0.66</v>
      </c>
      <c r="K49">
        <v>1.99</v>
      </c>
      <c r="L49">
        <v>1.57</v>
      </c>
      <c r="M49" s="1">
        <f>IF(ISNUMBER(Main_S[[#This Row],[EPS]]),IF(Main_S[[#This Row],[EPS]]&lt;&gt;0,Main_S[[#This Row],[Current Price]]/Main_S[[#This Row],[EPS]],""),"")</f>
        <v>546.57142857142844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1.4034176340865496</v>
      </c>
      <c r="P49" s="1">
        <f>(Main_S[[#This Row],[P/B]]-VLOOKUP(Main_S[[#This Row],[Industry]], Mean_PB_S, 2, FALSE))/(VLOOKUP(Main_S[[#This Row],[Industry]], Mean_PB_S, 3, FALSE))</f>
        <v>1.5468235906457326</v>
      </c>
      <c r="Q49" s="1">
        <f>(Main_S[[#This Row],[ROE]]-VLOOKUP(Main_S[[#This Row],[Industry]], Mean_ROE_S, 2, FALSE))/(VLOOKUP(Main_S[[#This Row],[Industry]], Mean_ROE_S, 3, FALSE))</f>
        <v>-0.14185791460861938</v>
      </c>
      <c r="R49" s="1">
        <f>(Main_S[[#This Row],[ROA]]-VLOOKUP(Main_S[[#This Row],[Industry]], Mean_ROA_S, 2, FALSE))/(VLOOKUP(Main_S[[#This Row],[Industry]], Mean_ROA_S, 3, FALSE))</f>
        <v>0.28395303515900944</v>
      </c>
      <c r="S49" s="1">
        <f>(Main_S[[#This Row],[A/E]]-VLOOKUP(Main_S[[#This Row],[Industry]], Mean_AE_S, 2, FALSE))/(VLOOKUP(Main_S[[#This Row],[Industry]], Mean_AE_S, 3, FALSE))</f>
        <v>-0.85109866559598557</v>
      </c>
      <c r="T49" s="1">
        <f>(Main_S[[#This Row],[P/E]]-VLOOKUP(Main_S[[#This Row],[Industry]], Mean_PE_S, 2, FALSE))/(VLOOKUP(Main_S[[#This Row],[Industry]], Mean_PE_S, 3, FALSE))</f>
        <v>14.662566644164857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0" spans="1:26" x14ac:dyDescent="0.25">
      <c r="A50" s="68" t="s">
        <v>147</v>
      </c>
      <c r="B50" s="68" t="s">
        <v>288</v>
      </c>
      <c r="C50" s="2">
        <v>307</v>
      </c>
      <c r="D50">
        <f>RTD("tos.rtd", , "LAST", Main_S[[#This Row],[Symbol]])</f>
        <v>4.12</v>
      </c>
      <c r="E50">
        <v>0.01</v>
      </c>
      <c r="F50">
        <v>1.48</v>
      </c>
      <c r="G50">
        <v>0.02</v>
      </c>
      <c r="H50" s="1">
        <f>IF(ISNUMBER(Main_S[[#This Row],[Free CF]]),IF(Main_S[[#This Row],[Free CF]]&lt;&gt;0,Main_S[[#This Row],[Current Price]]/Main_S[[#This Row],[Free CF]],""),"")</f>
        <v>412</v>
      </c>
      <c r="I50" s="1">
        <f>IF(ISNUMBER(Main_S[[#This Row],[BVPS]]),IF(Main_S[[#This Row],[BVPS]]&lt;&gt;0,Main_S[[#This Row],[Current Price]]/Main_S[[#This Row],[BVPS]],""),"")</f>
        <v>2.7837837837837838</v>
      </c>
      <c r="J50">
        <v>1.45</v>
      </c>
      <c r="K50">
        <v>-2.99</v>
      </c>
      <c r="L50">
        <v>1.1599999999999999</v>
      </c>
      <c r="M50" s="1">
        <f>IF(ISNUMBER(Main_S[[#This Row],[EPS]]),IF(Main_S[[#This Row],[EPS]]&lt;&gt;0,Main_S[[#This Row],[Current Price]]/Main_S[[#This Row],[EPS]],""),"")</f>
        <v>206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22.842248350840386</v>
      </c>
      <c r="P50" s="1">
        <f>(Main_S[[#This Row],[P/B]]-VLOOKUP(Main_S[[#This Row],[Industry]], Mean_PB_S, 2, FALSE))/(VLOOKUP(Main_S[[#This Row],[Industry]], Mean_PB_S, 3, FALSE))</f>
        <v>1.5102379470849474</v>
      </c>
      <c r="Q50" s="1">
        <f>(Main_S[[#This Row],[ROE]]-VLOOKUP(Main_S[[#This Row],[Industry]], Mean_ROE_S, 2, FALSE))/(VLOOKUP(Main_S[[#This Row],[Industry]], Mean_ROE_S, 3, FALSE))</f>
        <v>-6.6669888750981482E-2</v>
      </c>
      <c r="R50" s="1">
        <f>(Main_S[[#This Row],[ROA]]-VLOOKUP(Main_S[[#This Row],[Industry]], Mean_ROA_S, 2, FALSE))/(VLOOKUP(Main_S[[#This Row],[Industry]], Mean_ROA_S, 3, FALSE))</f>
        <v>-1.9272017241060082</v>
      </c>
      <c r="S50" s="1">
        <f>(Main_S[[#This Row],[A/E]]-VLOOKUP(Main_S[[#This Row],[Industry]], Mean_AE_S, 2, FALSE))/(VLOOKUP(Main_S[[#This Row],[Industry]], Mean_AE_S, 3, FALSE))</f>
        <v>-1.3090388924914633</v>
      </c>
      <c r="T50" s="1">
        <f>(Main_S[[#This Row],[P/E]]-VLOOKUP(Main_S[[#This Row],[Industry]], Mean_PE_S, 2, FALSE))/(VLOOKUP(Main_S[[#This Row],[Industry]], Mean_PE_S, 3, FALSE))</f>
        <v>5.4510812307320027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1" spans="1:26" x14ac:dyDescent="0.25">
      <c r="A51" s="68" t="s">
        <v>147</v>
      </c>
      <c r="B51" s="68" t="s">
        <v>264</v>
      </c>
      <c r="C51" s="2">
        <v>1662</v>
      </c>
      <c r="D51">
        <f>RTD("tos.rtd", , "LAST", Main_S[[#This Row],[Symbol]])</f>
        <v>73</v>
      </c>
      <c r="E51">
        <v>2.81</v>
      </c>
      <c r="F51">
        <v>18.940000000000001</v>
      </c>
      <c r="G51">
        <v>0.02</v>
      </c>
      <c r="H51" s="1">
        <f>IF(ISNUMBER(Main_S[[#This Row],[Free CF]]),IF(Main_S[[#This Row],[Free CF]]&lt;&gt;0,Main_S[[#This Row],[Current Price]]/Main_S[[#This Row],[Free CF]],""),"")</f>
        <v>25.978647686832741</v>
      </c>
      <c r="I51" s="1">
        <f>IF(ISNUMBER(Main_S[[#This Row],[BVPS]]),IF(Main_S[[#This Row],[BVPS]]&lt;&gt;0,Main_S[[#This Row],[Current Price]]/Main_S[[#This Row],[BVPS]],""),"")</f>
        <v>3.8542766631467789</v>
      </c>
      <c r="J51">
        <v>2.58</v>
      </c>
      <c r="K51">
        <v>-0.47</v>
      </c>
      <c r="L51">
        <v>2.29</v>
      </c>
      <c r="M51" s="1">
        <f>IF(ISNUMBER(Main_S[[#This Row],[EPS]]),IF(Main_S[[#This Row],[EPS]]&lt;&gt;0,Main_S[[#This Row],[Current Price]]/Main_S[[#This Row],[EPS]],""),"")</f>
        <v>3650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1.0393932897835116</v>
      </c>
      <c r="P51" s="1">
        <f>(Main_S[[#This Row],[P/B]]-VLOOKUP(Main_S[[#This Row],[Industry]], Mean_PB_S, 2, FALSE))/(VLOOKUP(Main_S[[#This Row],[Industry]], Mean_PB_S, 3, FALSE))</f>
        <v>2.6081826495744451</v>
      </c>
      <c r="Q51" s="1">
        <f>(Main_S[[#This Row],[ROE]]-VLOOKUP(Main_S[[#This Row],[Industry]], Mean_ROE_S, 2, FALSE))/(VLOOKUP(Main_S[[#This Row],[Industry]], Mean_ROE_S, 3, FALSE))</f>
        <v>4.0877540640323395E-2</v>
      </c>
      <c r="R51" s="1">
        <f>(Main_S[[#This Row],[ROA]]-VLOOKUP(Main_S[[#This Row],[Industry]], Mean_ROA_S, 2, FALSE))/(VLOOKUP(Main_S[[#This Row],[Industry]], Mean_ROA_S, 3, FALSE))</f>
        <v>-0.80830413508033649</v>
      </c>
      <c r="S51" s="1">
        <f>(Main_S[[#This Row],[A/E]]-VLOOKUP(Main_S[[#This Row],[Industry]], Mean_AE_S, 2, FALSE))/(VLOOKUP(Main_S[[#This Row],[Industry]], Mean_AE_S, 3, FALSE))</f>
        <v>-4.6910950072219952E-2</v>
      </c>
      <c r="T51" s="1">
        <f>(Main_S[[#This Row],[P/E]]-VLOOKUP(Main_S[[#This Row],[Industry]], Mean_PE_S, 2, FALSE))/(VLOOKUP(Main_S[[#This Row],[Industry]], Mean_PE_S, 3, FALSE))</f>
        <v>98.601454698449828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2" spans="1:26" x14ac:dyDescent="0.25">
      <c r="A52" s="68" t="s">
        <v>147</v>
      </c>
      <c r="B52" s="68" t="s">
        <v>289</v>
      </c>
      <c r="C52" s="2">
        <v>1108</v>
      </c>
      <c r="D52">
        <f>RTD("tos.rtd", , "LAST", Main_S[[#This Row],[Symbol]])</f>
        <v>3.04</v>
      </c>
      <c r="E52">
        <v>0.2</v>
      </c>
      <c r="F52">
        <v>0.2</v>
      </c>
      <c r="G52">
        <v>-0.06</v>
      </c>
      <c r="H52" s="1">
        <f>IF(ISNUMBER(Main_S[[#This Row],[Free CF]]),IF(Main_S[[#This Row],[Free CF]]&lt;&gt;0,Main_S[[#This Row],[Current Price]]/Main_S[[#This Row],[Free CF]],""),"")</f>
        <v>15.2</v>
      </c>
      <c r="I52" s="1">
        <f>IF(ISNUMBER(Main_S[[#This Row],[BVPS]]),IF(Main_S[[#This Row],[BVPS]]&lt;&gt;0,Main_S[[#This Row],[Current Price]]/Main_S[[#This Row],[BVPS]],""),"")</f>
        <v>15.2</v>
      </c>
      <c r="J52">
        <v>-23.06</v>
      </c>
      <c r="K52">
        <v>2.09</v>
      </c>
      <c r="L52">
        <v>21.35</v>
      </c>
      <c r="M52" s="1">
        <f>IF(ISNUMBER(Main_S[[#This Row],[EPS]]),IF(Main_S[[#This Row],[EPS]]&lt;&gt;0,Main_S[[#This Row],[Current Price]]/Main_S[[#This Row],[EPS]],""),"")</f>
        <v>-50.666666666666671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0.43060496275968002</v>
      </c>
      <c r="P52" s="1">
        <f>(Main_S[[#This Row],[P/B]]-VLOOKUP(Main_S[[#This Row],[Industry]], Mean_PB_S, 2, FALSE))/(VLOOKUP(Main_S[[#This Row],[Industry]], Mean_PB_S, 3, FALSE))</f>
        <v>14.244856815050515</v>
      </c>
      <c r="Q52" s="1">
        <f>(Main_S[[#This Row],[ROE]]-VLOOKUP(Main_S[[#This Row],[Industry]], Mean_ROE_S, 2, FALSE))/(VLOOKUP(Main_S[[#This Row],[Industry]], Mean_ROE_S, 3, FALSE))</f>
        <v>-2.3994021846632667</v>
      </c>
      <c r="R52" s="1">
        <f>(Main_S[[#This Row],[ROA]]-VLOOKUP(Main_S[[#This Row],[Industry]], Mean_ROA_S, 2, FALSE))/(VLOOKUP(Main_S[[#This Row],[Industry]], Mean_ROA_S, 3, FALSE))</f>
        <v>0.32835373313621857</v>
      </c>
      <c r="S52" s="1">
        <f>(Main_S[[#This Row],[A/E]]-VLOOKUP(Main_S[[#This Row],[Industry]], Mean_AE_S, 2, FALSE))/(VLOOKUP(Main_S[[#This Row],[Industry]], Mean_AE_S, 3, FALSE))</f>
        <v>21.241724963654132</v>
      </c>
      <c r="T52" s="1">
        <f>(Main_S[[#This Row],[P/E]]-VLOOKUP(Main_S[[#This Row],[Industry]], Mean_PE_S, 2, FALSE))/(VLOOKUP(Main_S[[#This Row],[Industry]], Mean_PE_S, 3, FALSE))</f>
        <v>-1.491019772959705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s="68" t="s">
        <v>147</v>
      </c>
      <c r="B53" s="68" t="s">
        <v>273</v>
      </c>
      <c r="C53" s="2">
        <v>850</v>
      </c>
      <c r="D53">
        <f>RTD("tos.rtd", , "LAST", Main_S[[#This Row],[Symbol]])</f>
        <v>4.24</v>
      </c>
      <c r="E53">
        <v>0.21</v>
      </c>
      <c r="F53">
        <v>0.16</v>
      </c>
      <c r="G53">
        <v>-0.08</v>
      </c>
      <c r="H53" s="1">
        <f>IF(ISNUMBER(Main_S[[#This Row],[Free CF]]),IF(Main_S[[#This Row],[Free CF]]&lt;&gt;0,Main_S[[#This Row],[Current Price]]/Main_S[[#This Row],[Free CF]],""),"")</f>
        <v>20.190476190476193</v>
      </c>
      <c r="I53" s="1">
        <f>IF(ISNUMBER(Main_S[[#This Row],[BVPS]]),IF(Main_S[[#This Row],[BVPS]]&lt;&gt;0,Main_S[[#This Row],[Current Price]]/Main_S[[#This Row],[BVPS]],""),"")</f>
        <v>26.5</v>
      </c>
      <c r="J53">
        <v>-53.24</v>
      </c>
      <c r="K53">
        <v>-10</v>
      </c>
      <c r="L53">
        <v>3.07</v>
      </c>
      <c r="M53" s="1">
        <f>IF(ISNUMBER(Main_S[[#This Row],[EPS]]),IF(Main_S[[#This Row],[EPS]]&lt;&gt;0,Main_S[[#This Row],[Current Price]]/Main_S[[#This Row],[EPS]],""),"")</f>
        <v>-53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0.71247182948765364</v>
      </c>
      <c r="P53" s="1">
        <f>(Main_S[[#This Row],[P/B]]-VLOOKUP(Main_S[[#This Row],[Industry]], Mean_PB_S, 2, FALSE))/(VLOOKUP(Main_S[[#This Row],[Industry]], Mean_PB_S, 3, FALSE))</f>
        <v>25.834635109992622</v>
      </c>
      <c r="Q53" s="1">
        <f>(Main_S[[#This Row],[ROE]]-VLOOKUP(Main_S[[#This Row],[Industry]], Mean_ROE_S, 2, FALSE))/(VLOOKUP(Main_S[[#This Row],[Industry]], Mean_ROE_S, 3, FALSE))</f>
        <v>-5.2717751218575861</v>
      </c>
      <c r="R53" s="1">
        <f>(Main_S[[#This Row],[ROA]]-VLOOKUP(Main_S[[#This Row],[Industry]], Mean_ROA_S, 2, FALSE))/(VLOOKUP(Main_S[[#This Row],[Industry]], Mean_ROA_S, 3, FALSE))</f>
        <v>-5.039690652308372</v>
      </c>
      <c r="S53" s="1">
        <f>(Main_S[[#This Row],[A/E]]-VLOOKUP(Main_S[[#This Row],[Industry]], Mean_AE_S, 2, FALSE))/(VLOOKUP(Main_S[[#This Row],[Industry]], Mean_AE_S, 3, FALSE))</f>
        <v>0.82429240841185925</v>
      </c>
      <c r="T53" s="1">
        <f>(Main_S[[#This Row],[P/E]]-VLOOKUP(Main_S[[#This Row],[Industry]], Mean_PE_S, 2, FALSE))/(VLOOKUP(Main_S[[#This Row],[Industry]], Mean_PE_S, 3, FALSE))</f>
        <v>-1.5541297820841748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s="68" t="s">
        <v>147</v>
      </c>
      <c r="B54" s="68" t="s">
        <v>266</v>
      </c>
      <c r="C54" s="2">
        <v>747</v>
      </c>
      <c r="D54">
        <f>RTD("tos.rtd", , "LAST", Main_S[[#This Row],[Symbol]])</f>
        <v>9.7899999999999991</v>
      </c>
      <c r="E54">
        <v>-7.0000000000000007E-2</v>
      </c>
      <c r="F54">
        <v>0.34</v>
      </c>
      <c r="G54">
        <v>-0.13</v>
      </c>
      <c r="H54" s="1">
        <f>IF(ISNUMBER(Main_S[[#This Row],[Free CF]]),IF(Main_S[[#This Row],[Free CF]]&lt;&gt;0,Main_S[[#This Row],[Current Price]]/Main_S[[#This Row],[Free CF]],""),"")</f>
        <v>-139.85714285714283</v>
      </c>
      <c r="I54" s="1">
        <f>IF(ISNUMBER(Main_S[[#This Row],[BVPS]]),IF(Main_S[[#This Row],[BVPS]]&lt;&gt;0,Main_S[[#This Row],[Current Price]]/Main_S[[#This Row],[BVPS]],""),"")</f>
        <v>28.794117647058819</v>
      </c>
      <c r="J54">
        <v>-35.47</v>
      </c>
      <c r="K54">
        <v>-1.85</v>
      </c>
      <c r="L54">
        <v>3.63</v>
      </c>
      <c r="M54" s="1">
        <f>IF(ISNUMBER(Main_S[[#This Row],[EPS]]),IF(Main_S[[#This Row],[EPS]]&lt;&gt;0,Main_S[[#This Row],[Current Price]]/Main_S[[#This Row],[EPS]],""),"")</f>
        <v>-75.307692307692292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-8.3271707189161521</v>
      </c>
      <c r="P54" s="1">
        <f>(Main_S[[#This Row],[P/B]]-VLOOKUP(Main_S[[#This Row],[Industry]], Mean_PB_S, 2, FALSE))/(VLOOKUP(Main_S[[#This Row],[Industry]], Mean_PB_S, 3, FALSE))</f>
        <v>28.187583332286955</v>
      </c>
      <c r="Q54" s="1">
        <f>(Main_S[[#This Row],[ROE]]-VLOOKUP(Main_S[[#This Row],[Industry]], Mean_ROE_S, 2, FALSE))/(VLOOKUP(Main_S[[#This Row],[Industry]], Mean_ROE_S, 3, FALSE))</f>
        <v>-3.5805204136421103</v>
      </c>
      <c r="R54" s="1">
        <f>(Main_S[[#This Row],[ROA]]-VLOOKUP(Main_S[[#This Row],[Industry]], Mean_ROA_S, 2, FALSE))/(VLOOKUP(Main_S[[#This Row],[Industry]], Mean_ROA_S, 3, FALSE))</f>
        <v>-1.4210337671658233</v>
      </c>
      <c r="S54" s="1">
        <f>(Main_S[[#This Row],[A/E]]-VLOOKUP(Main_S[[#This Row],[Industry]], Mean_AE_S, 2, FALSE))/(VLOOKUP(Main_S[[#This Row],[Industry]], Mean_AE_S, 3, FALSE))</f>
        <v>1.4497717427081214</v>
      </c>
      <c r="T54" s="1">
        <f>(Main_S[[#This Row],[P/E]]-VLOOKUP(Main_S[[#This Row],[Industry]], Mean_PE_S, 2, FALSE))/(VLOOKUP(Main_S[[#This Row],[Industry]], Mean_PE_S, 3, FALSE))</f>
        <v>-2.1574892099774599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5" spans="1:26" x14ac:dyDescent="0.25">
      <c r="A55" s="68" t="s">
        <v>147</v>
      </c>
      <c r="B55" s="68" t="s">
        <v>271</v>
      </c>
      <c r="C55" s="2">
        <v>1123</v>
      </c>
      <c r="D55">
        <f>RTD("tos.rtd", , "LAST", Main_S[[#This Row],[Symbol]])</f>
        <v>30.2</v>
      </c>
      <c r="E55">
        <v>0.34</v>
      </c>
      <c r="F55">
        <v>15.78</v>
      </c>
      <c r="G55">
        <v>-0.18</v>
      </c>
      <c r="H55" s="1">
        <f>IF(ISNUMBER(Main_S[[#This Row],[Free CF]]),IF(Main_S[[#This Row],[Free CF]]&lt;&gt;0,Main_S[[#This Row],[Current Price]]/Main_S[[#This Row],[Free CF]],""),"")</f>
        <v>88.823529411764696</v>
      </c>
      <c r="I55" s="1">
        <f>IF(ISNUMBER(Main_S[[#This Row],[BVPS]]),IF(Main_S[[#This Row],[BVPS]]&lt;&gt;0,Main_S[[#This Row],[Current Price]]/Main_S[[#This Row],[BVPS]],""),"")</f>
        <v>1.9138149556400508</v>
      </c>
      <c r="J55">
        <v>-1.0900000000000001</v>
      </c>
      <c r="K55">
        <v>-2.39</v>
      </c>
      <c r="L55">
        <v>1.3</v>
      </c>
      <c r="M55" s="1">
        <f>IF(ISNUMBER(Main_S[[#This Row],[EPS]]),IF(Main_S[[#This Row],[EPS]]&lt;&gt;0,Main_S[[#This Row],[Current Price]]/Main_S[[#This Row],[EPS]],""),"")</f>
        <v>-167.77777777777777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4.588932296802879</v>
      </c>
      <c r="P55" s="1">
        <f>(Main_S[[#This Row],[P/B]]-VLOOKUP(Main_S[[#This Row],[Industry]], Mean_PB_S, 2, FALSE))/(VLOOKUP(Main_S[[#This Row],[Industry]], Mean_PB_S, 3, FALSE))</f>
        <v>0.61795955401446445</v>
      </c>
      <c r="Q55" s="1">
        <f>(Main_S[[#This Row],[ROE]]-VLOOKUP(Main_S[[#This Row],[Industry]], Mean_ROE_S, 2, FALSE))/(VLOOKUP(Main_S[[#This Row],[Industry]], Mean_ROE_S, 3, FALSE))</f>
        <v>-0.30841366809072868</v>
      </c>
      <c r="R55" s="1">
        <f>(Main_S[[#This Row],[ROA]]-VLOOKUP(Main_S[[#This Row],[Industry]], Mean_ROA_S, 2, FALSE))/(VLOOKUP(Main_S[[#This Row],[Industry]], Mean_ROA_S, 3, FALSE))</f>
        <v>-1.6607975362427529</v>
      </c>
      <c r="S55" s="1">
        <f>(Main_S[[#This Row],[A/E]]-VLOOKUP(Main_S[[#This Row],[Industry]], Mean_AE_S, 2, FALSE))/(VLOOKUP(Main_S[[#This Row],[Industry]], Mean_AE_S, 3, FALSE))</f>
        <v>-1.1526690589173976</v>
      </c>
      <c r="T55" s="1">
        <f>(Main_S[[#This Row],[P/E]]-VLOOKUP(Main_S[[#This Row],[Industry]], Mean_PE_S, 2, FALSE))/(VLOOKUP(Main_S[[#This Row],[Industry]], Mean_PE_S, 3, FALSE))</f>
        <v>-4.6585411833021553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6" spans="1:26" x14ac:dyDescent="0.25">
      <c r="A56" s="68" t="s">
        <v>147</v>
      </c>
      <c r="B56" s="68" t="s">
        <v>265</v>
      </c>
      <c r="C56" s="2">
        <v>313</v>
      </c>
      <c r="D56">
        <f>RTD("tos.rtd", , "LAST", Main_S[[#This Row],[Symbol]])</f>
        <v>17.66</v>
      </c>
      <c r="E56">
        <v>-0.09</v>
      </c>
      <c r="F56">
        <v>1.35</v>
      </c>
      <c r="G56">
        <v>-0.75</v>
      </c>
      <c r="H56" s="1">
        <f>IF(ISNUMBER(Main_S[[#This Row],[Free CF]]),IF(Main_S[[#This Row],[Free CF]]&lt;&gt;0,Main_S[[#This Row],[Current Price]]/Main_S[[#This Row],[Free CF]],""),"")</f>
        <v>-196.22222222222223</v>
      </c>
      <c r="I56" s="1">
        <f>IF(ISNUMBER(Main_S[[#This Row],[BVPS]]),IF(Main_S[[#This Row],[BVPS]]&lt;&gt;0,Main_S[[#This Row],[Current Price]]/Main_S[[#This Row],[BVPS]],""),"")</f>
        <v>13.081481481481481</v>
      </c>
      <c r="J56">
        <v>-47.84</v>
      </c>
      <c r="K56">
        <v>-21.73</v>
      </c>
      <c r="L56">
        <v>1.77</v>
      </c>
      <c r="M56" s="1">
        <f>IF(ISNUMBER(Main_S[[#This Row],[EPS]]),IF(Main_S[[#This Row],[EPS]]&lt;&gt;0,Main_S[[#This Row],[Current Price]]/Main_S[[#This Row],[EPS]],""),"")</f>
        <v>-23.546666666666667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-11.510724293187891</v>
      </c>
      <c r="P56" s="1">
        <f>(Main_S[[#This Row],[P/B]]-VLOOKUP(Main_S[[#This Row],[Industry]], Mean_PB_S, 2, FALSE))/(VLOOKUP(Main_S[[#This Row],[Industry]], Mean_PB_S, 3, FALSE))</f>
        <v>12.072010802363893</v>
      </c>
      <c r="Q56" s="1">
        <f>(Main_S[[#This Row],[ROE]]-VLOOKUP(Main_S[[#This Row],[Industry]], Mean_ROE_S, 2, FALSE))/(VLOOKUP(Main_S[[#This Row],[Industry]], Mean_ROE_S, 3, FALSE))</f>
        <v>-4.7578316539699346</v>
      </c>
      <c r="R56" s="1">
        <f>(Main_S[[#This Row],[ROA]]-VLOOKUP(Main_S[[#This Row],[Industry]], Mean_ROA_S, 2, FALSE))/(VLOOKUP(Main_S[[#This Row],[Industry]], Mean_ROA_S, 3, FALSE))</f>
        <v>-10.247892525035009</v>
      </c>
      <c r="S56" s="1">
        <f>(Main_S[[#This Row],[A/E]]-VLOOKUP(Main_S[[#This Row],[Industry]], Mean_AE_S, 2, FALSE))/(VLOOKUP(Main_S[[#This Row],[Industry]], Mean_AE_S, 3, FALSE))</f>
        <v>-0.62771318906160622</v>
      </c>
      <c r="T56" s="1">
        <f>(Main_S[[#This Row],[P/E]]-VLOOKUP(Main_S[[#This Row],[Industry]], Mean_PE_S, 2, FALSE))/(VLOOKUP(Main_S[[#This Row],[Industry]], Mean_PE_S, 3, FALSE))</f>
        <v>-0.75750115262157847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7" spans="1:26" x14ac:dyDescent="0.25">
      <c r="A57" s="68" t="s">
        <v>147</v>
      </c>
      <c r="B57" s="68" t="s">
        <v>270</v>
      </c>
      <c r="C57" s="2">
        <v>390</v>
      </c>
      <c r="D57">
        <f>RTD("tos.rtd", , "LAST", Main_S[[#This Row],[Symbol]])</f>
        <v>3.77</v>
      </c>
      <c r="E57">
        <v>0.37</v>
      </c>
      <c r="F57">
        <v>13.35</v>
      </c>
      <c r="G57">
        <v>-0.94</v>
      </c>
      <c r="H57" s="1">
        <f>IF(ISNUMBER(Main_S[[#This Row],[Free CF]]),IF(Main_S[[#This Row],[Free CF]]&lt;&gt;0,Main_S[[#This Row],[Current Price]]/Main_S[[#This Row],[Free CF]],""),"")</f>
        <v>10.189189189189189</v>
      </c>
      <c r="I57" s="1">
        <f>IF(ISNUMBER(Main_S[[#This Row],[BVPS]]),IF(Main_S[[#This Row],[BVPS]]&lt;&gt;0,Main_S[[#This Row],[Current Price]]/Main_S[[#This Row],[BVPS]],""),"")</f>
        <v>0.28239700374531834</v>
      </c>
      <c r="J57">
        <v>-6.76</v>
      </c>
      <c r="K57">
        <v>0.93</v>
      </c>
      <c r="L57">
        <v>3.74</v>
      </c>
      <c r="M57" s="1">
        <f>IF(ISNUMBER(Main_S[[#This Row],[EPS]]),IF(Main_S[[#This Row],[EPS]]&lt;&gt;0,Main_S[[#This Row],[Current Price]]/Main_S[[#This Row],[EPS]],""),"")</f>
        <v>-4.0106382978723403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0.14758957723288721</v>
      </c>
      <c r="P57" s="1">
        <f>(Main_S[[#This Row],[P/B]]-VLOOKUP(Main_S[[#This Row],[Industry]], Mean_PB_S, 2, FALSE))/(VLOOKUP(Main_S[[#This Row],[Industry]], Mean_PB_S, 3, FALSE))</f>
        <v>-1.0552946379190291</v>
      </c>
      <c r="Q57" s="1">
        <f>(Main_S[[#This Row],[ROE]]-VLOOKUP(Main_S[[#This Row],[Industry]], Mean_ROE_S, 2, FALSE))/(VLOOKUP(Main_S[[#This Row],[Industry]], Mean_ROE_S, 3, FALSE))</f>
        <v>-0.84805430937276272</v>
      </c>
      <c r="R57" s="1">
        <f>(Main_S[[#This Row],[ROA]]-VLOOKUP(Main_S[[#This Row],[Industry]], Mean_ROA_S, 2, FALSE))/(VLOOKUP(Main_S[[#This Row],[Industry]], Mean_ROA_S, 3, FALSE))</f>
        <v>-0.1866943633994079</v>
      </c>
      <c r="S57" s="1">
        <f>(Main_S[[#This Row],[A/E]]-VLOOKUP(Main_S[[#This Row],[Industry]], Mean_AE_S, 2, FALSE))/(VLOOKUP(Main_S[[#This Row],[Industry]], Mean_AE_S, 3, FALSE))</f>
        <v>1.5726337548020304</v>
      </c>
      <c r="T57" s="1">
        <f>(Main_S[[#This Row],[P/E]]-VLOOKUP(Main_S[[#This Row],[Industry]], Mean_PE_S, 2, FALSE))/(VLOOKUP(Main_S[[#This Row],[Industry]], Mean_PE_S, 3, FALSE))</f>
        <v>-0.22910732607421447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s="68" t="s">
        <v>147</v>
      </c>
      <c r="B58" s="68" t="s">
        <v>263</v>
      </c>
      <c r="C58" s="2">
        <v>881</v>
      </c>
      <c r="D58">
        <f>RTD("tos.rtd", , "LAST", Main_S[[#This Row],[Symbol]])</f>
        <v>6.63</v>
      </c>
      <c r="E58">
        <v>-0.25</v>
      </c>
      <c r="F58">
        <v>5.56</v>
      </c>
      <c r="G58">
        <v>-1.05</v>
      </c>
      <c r="H58" s="1">
        <f>IF(ISNUMBER(Main_S[[#This Row],[Free CF]]),IF(Main_S[[#This Row],[Free CF]]&lt;&gt;0,Main_S[[#This Row],[Current Price]]/Main_S[[#This Row],[Free CF]],""),"")</f>
        <v>-26.52</v>
      </c>
      <c r="I58" s="1">
        <f>IF(ISNUMBER(Main_S[[#This Row],[BVPS]]),IF(Main_S[[#This Row],[BVPS]]&lt;&gt;0,Main_S[[#This Row],[Current Price]]/Main_S[[#This Row],[BVPS]],""),"")</f>
        <v>1.1924460431654678</v>
      </c>
      <c r="J58">
        <v>-5.98</v>
      </c>
      <c r="K58">
        <v>0.5</v>
      </c>
      <c r="L58">
        <v>9.32</v>
      </c>
      <c r="M58" s="1">
        <f>IF(ISNUMBER(Main_S[[#This Row],[EPS]]),IF(Main_S[[#This Row],[EPS]]&lt;&gt;0,Main_S[[#This Row],[Current Price]]/Main_S[[#This Row],[EPS]],""),"")</f>
        <v>-6.3142857142857141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-1.9257805265314665</v>
      </c>
      <c r="P58" s="1">
        <f>(Main_S[[#This Row],[P/B]]-VLOOKUP(Main_S[[#This Row],[Industry]], Mean_PB_S, 2, FALSE))/(VLOOKUP(Main_S[[#This Row],[Industry]], Mean_PB_S, 3, FALSE))</f>
        <v>-0.12190821275048375</v>
      </c>
      <c r="Q58" s="1">
        <f>(Main_S[[#This Row],[ROE]]-VLOOKUP(Main_S[[#This Row],[Industry]], Mean_ROE_S, 2, FALSE))/(VLOOKUP(Main_S[[#This Row],[Industry]], Mean_ROE_S, 3, FALSE))</f>
        <v>-0.77381803067788002</v>
      </c>
      <c r="R58" s="1">
        <f>(Main_S[[#This Row],[ROA]]-VLOOKUP(Main_S[[#This Row],[Industry]], Mean_ROA_S, 2, FALSE))/(VLOOKUP(Main_S[[#This Row],[Industry]], Mean_ROA_S, 3, FALSE))</f>
        <v>-0.37761736470140739</v>
      </c>
      <c r="S58" s="1">
        <f>(Main_S[[#This Row],[A/E]]-VLOOKUP(Main_S[[#This Row],[Industry]], Mean_AE_S, 2, FALSE))/(VLOOKUP(Main_S[[#This Row],[Industry]], Mean_AE_S, 3, FALSE))</f>
        <v>7.8050885501112139</v>
      </c>
      <c r="T58" s="1">
        <f>(Main_S[[#This Row],[P/E]]-VLOOKUP(Main_S[[#This Row],[Industry]], Mean_PE_S, 2, FALSE))/(VLOOKUP(Main_S[[#This Row],[Industry]], Mean_PE_S, 3, FALSE))</f>
        <v>-0.29141441584681871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s="68" t="s">
        <v>147</v>
      </c>
      <c r="B59" s="68" t="s">
        <v>272</v>
      </c>
      <c r="C59" s="2">
        <v>1279</v>
      </c>
      <c r="D59">
        <f>RTD("tos.rtd", , "LAST", Main_S[[#This Row],[Symbol]])</f>
        <v>10</v>
      </c>
      <c r="E59">
        <v>0.33</v>
      </c>
      <c r="F59">
        <v>-1.23</v>
      </c>
      <c r="G59">
        <v>-1.54</v>
      </c>
      <c r="H59" s="1">
        <f>IF(ISNUMBER(Main_S[[#This Row],[Free CF]]),IF(Main_S[[#This Row],[Free CF]]&lt;&gt;0,Main_S[[#This Row],[Current Price]]/Main_S[[#This Row],[Free CF]],""),"")</f>
        <v>30.303030303030301</v>
      </c>
      <c r="I59" s="1">
        <f>IF(ISNUMBER(Main_S[[#This Row],[BVPS]]),IF(Main_S[[#This Row],[BVPS]]&lt;&gt;0,Main_S[[#This Row],[Current Price]]/Main_S[[#This Row],[BVPS]],""),"")</f>
        <v>-8.1300813008130088</v>
      </c>
      <c r="J59">
        <v>232.71</v>
      </c>
      <c r="K59">
        <v>-8.5500000000000007</v>
      </c>
      <c r="L59">
        <v>-6.81</v>
      </c>
      <c r="M59" s="1">
        <f>IF(ISNUMBER(Main_S[[#This Row],[EPS]]),IF(Main_S[[#This Row],[EPS]]&lt;&gt;0,Main_S[[#This Row],[Current Price]]/Main_S[[#This Row],[EPS]],""),"")</f>
        <v>-6.4935064935064934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1.2836385545714026</v>
      </c>
      <c r="P59" s="1">
        <f>(Main_S[[#This Row],[P/B]]-VLOOKUP(Main_S[[#This Row],[Industry]], Mean_PB_S, 2, FALSE))/(VLOOKUP(Main_S[[#This Row],[Industry]], Mean_PB_S, 3, FALSE))</f>
        <v>-9.6835033512678326</v>
      </c>
      <c r="Q59" s="1">
        <f>(Main_S[[#This Row],[ROE]]-VLOOKUP(Main_S[[#This Row],[Industry]], Mean_ROE_S, 2, FALSE))/(VLOOKUP(Main_S[[#This Row],[Industry]], Mean_ROE_S, 3, FALSE))</f>
        <v>21.943434997119077</v>
      </c>
      <c r="R59" s="1">
        <f>(Main_S[[#This Row],[ROA]]-VLOOKUP(Main_S[[#This Row],[Industry]], Mean_ROA_S, 2, FALSE))/(VLOOKUP(Main_S[[#This Row],[Industry]], Mean_ROA_S, 3, FALSE))</f>
        <v>-4.3958805316388387</v>
      </c>
      <c r="S59" s="1">
        <f>(Main_S[[#This Row],[A/E]]-VLOOKUP(Main_S[[#This Row],[Industry]], Mean_AE_S, 2, FALSE))/(VLOOKUP(Main_S[[#This Row],[Industry]], Mean_AE_S, 3, FALSE))</f>
        <v>-10.210950132386479</v>
      </c>
      <c r="T59" s="1">
        <f>(Main_S[[#This Row],[P/E]]-VLOOKUP(Main_S[[#This Row],[Industry]], Mean_PE_S, 2, FALSE))/(VLOOKUP(Main_S[[#This Row],[Industry]], Mean_PE_S, 3, FALSE))</f>
        <v>-0.29626182656621214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0" spans="1:26" x14ac:dyDescent="0.25">
      <c r="A60" s="68" t="s">
        <v>120</v>
      </c>
      <c r="B60" s="68" t="s">
        <v>276</v>
      </c>
      <c r="C60" s="2">
        <v>353</v>
      </c>
      <c r="D60">
        <f>RTD("tos.rtd", , "LAST", Main_S[[#This Row],[Symbol]])</f>
        <v>18.091899999999999</v>
      </c>
      <c r="E60">
        <v>2.88</v>
      </c>
      <c r="F60">
        <v>30.57</v>
      </c>
      <c r="G60">
        <v>4.1399999999999997</v>
      </c>
      <c r="H60" s="1">
        <f>IF(ISNUMBER(Main_S[[#This Row],[Free CF]]),IF(Main_S[[#This Row],[Free CF]]&lt;&gt;0,Main_S[[#This Row],[Current Price]]/Main_S[[#This Row],[Free CF]],""),"")</f>
        <v>6.2819097222222222</v>
      </c>
      <c r="I60" s="1">
        <f>IF(ISNUMBER(Main_S[[#This Row],[BVPS]]),IF(Main_S[[#This Row],[BVPS]]&lt;&gt;0,Main_S[[#This Row],[Current Price]]/Main_S[[#This Row],[BVPS]],""),"")</f>
        <v>0.5918187765783447</v>
      </c>
      <c r="J60">
        <v>19.82</v>
      </c>
      <c r="K60">
        <v>3.05</v>
      </c>
      <c r="L60">
        <v>1.9</v>
      </c>
      <c r="M60" s="1">
        <f>IF(ISNUMBER(Main_S[[#This Row],[EPS]]),IF(Main_S[[#This Row],[EPS]]&lt;&gt;0,Main_S[[#This Row],[Current Price]]/Main_S[[#This Row],[EPS]],""),"")</f>
        <v>4.3700241545893723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-0.63114505504924023</v>
      </c>
      <c r="P60" s="1">
        <f>(Main_S[[#This Row],[P/B]]-VLOOKUP(Main_S[[#This Row],[Industry]], Mean_PB_S, 2, FALSE))/(VLOOKUP(Main_S[[#This Row],[Industry]], Mean_PB_S, 3, FALSE))</f>
        <v>-1.1583707985709464</v>
      </c>
      <c r="Q60" s="1">
        <f>(Main_S[[#This Row],[ROE]]-VLOOKUP(Main_S[[#This Row],[Industry]], Mean_ROE_S, 2, FALSE))/(VLOOKUP(Main_S[[#This Row],[Industry]], Mean_ROE_S, 3, FALSE))</f>
        <v>5.2167848083123181</v>
      </c>
      <c r="R60" s="1">
        <f>(Main_S[[#This Row],[ROA]]-VLOOKUP(Main_S[[#This Row],[Industry]], Mean_ROA_S, 2, FALSE))/(VLOOKUP(Main_S[[#This Row],[Industry]], Mean_ROA_S, 3, FALSE))</f>
        <v>1.7678101129198163</v>
      </c>
      <c r="S60" s="1">
        <f>(Main_S[[#This Row],[A/E]]-VLOOKUP(Main_S[[#This Row],[Industry]], Mean_AE_S, 2, FALSE))/(VLOOKUP(Main_S[[#This Row],[Industry]], Mean_AE_S, 3, FALSE))</f>
        <v>-0.84161729894741388</v>
      </c>
      <c r="T60" s="1">
        <f>(Main_S[[#This Row],[P/E]]-VLOOKUP(Main_S[[#This Row],[Industry]], Mean_PE_S, 2, FALSE))/(VLOOKUP(Main_S[[#This Row],[Industry]], Mean_PE_S, 3, FALSE))</f>
        <v>1.065135974024964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s="68" t="s">
        <v>120</v>
      </c>
      <c r="B61" s="68" t="s">
        <v>277</v>
      </c>
      <c r="C61" s="2">
        <v>1712</v>
      </c>
      <c r="D61">
        <f>RTD("tos.rtd", , "LAST", Main_S[[#This Row],[Symbol]])</f>
        <v>14.25</v>
      </c>
      <c r="E61">
        <v>0.39</v>
      </c>
      <c r="F61">
        <v>17.989999999999998</v>
      </c>
      <c r="G61">
        <v>3.78</v>
      </c>
      <c r="H61" s="1">
        <f>IF(ISNUMBER(Main_S[[#This Row],[Free CF]]),IF(Main_S[[#This Row],[Free CF]]&lt;&gt;0,Main_S[[#This Row],[Current Price]]/Main_S[[#This Row],[Free CF]],""),"")</f>
        <v>36.53846153846154</v>
      </c>
      <c r="I61" s="1">
        <f>IF(ISNUMBER(Main_S[[#This Row],[BVPS]]),IF(Main_S[[#This Row],[BVPS]]&lt;&gt;0,Main_S[[#This Row],[Current Price]]/Main_S[[#This Row],[BVPS]],""),"")</f>
        <v>0.79210672595886611</v>
      </c>
      <c r="J61">
        <v>22.26</v>
      </c>
      <c r="K61">
        <v>2.62</v>
      </c>
      <c r="L61">
        <v>1.74</v>
      </c>
      <c r="M61" s="1">
        <f>IF(ISNUMBER(Main_S[[#This Row],[EPS]]),IF(Main_S[[#This Row],[EPS]]&lt;&gt;0,Main_S[[#This Row],[Current Price]]/Main_S[[#This Row],[EPS]],""),"")</f>
        <v>3.7698412698412702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1.8067669761206488</v>
      </c>
      <c r="P61" s="1">
        <f>(Main_S[[#This Row],[P/B]]-VLOOKUP(Main_S[[#This Row],[Industry]], Mean_PB_S, 2, FALSE))/(VLOOKUP(Main_S[[#This Row],[Industry]], Mean_PB_S, 3, FALSE))</f>
        <v>-0.86175824049312777</v>
      </c>
      <c r="Q61" s="1">
        <f>(Main_S[[#This Row],[ROE]]-VLOOKUP(Main_S[[#This Row],[Industry]], Mean_ROE_S, 2, FALSE))/(VLOOKUP(Main_S[[#This Row],[Industry]], Mean_ROE_S, 3, FALSE))</f>
        <v>5.8226370183209841</v>
      </c>
      <c r="R61" s="1">
        <f>(Main_S[[#This Row],[ROA]]-VLOOKUP(Main_S[[#This Row],[Industry]], Mean_ROA_S, 2, FALSE))/(VLOOKUP(Main_S[[#This Row],[Industry]], Mean_ROA_S, 3, FALSE))</f>
        <v>1.2927111450726159</v>
      </c>
      <c r="S61" s="1">
        <f>(Main_S[[#This Row],[A/E]]-VLOOKUP(Main_S[[#This Row],[Industry]], Mean_AE_S, 2, FALSE))/(VLOOKUP(Main_S[[#This Row],[Industry]], Mean_AE_S, 3, FALSE))</f>
        <v>-1.0058353084981289</v>
      </c>
      <c r="T61" s="1">
        <f>(Main_S[[#This Row],[P/E]]-VLOOKUP(Main_S[[#This Row],[Industry]], Mean_PE_S, 2, FALSE))/(VLOOKUP(Main_S[[#This Row],[Industry]], Mean_PE_S, 3, FALSE))</f>
        <v>1.0383195828017371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s="68" t="s">
        <v>120</v>
      </c>
      <c r="B62" s="68" t="s">
        <v>279</v>
      </c>
      <c r="C62" s="2">
        <v>477</v>
      </c>
      <c r="D62">
        <f>RTD("tos.rtd", , "LAST", Main_S[[#This Row],[Symbol]])</f>
        <v>13.48</v>
      </c>
      <c r="E62">
        <v>1.85</v>
      </c>
      <c r="F62">
        <v>39.630000000000003</v>
      </c>
      <c r="G62">
        <v>2.2400000000000002</v>
      </c>
      <c r="H62" s="1">
        <f>IF(ISNUMBER(Main_S[[#This Row],[Free CF]]),IF(Main_S[[#This Row],[Free CF]]&lt;&gt;0,Main_S[[#This Row],[Current Price]]/Main_S[[#This Row],[Free CF]],""),"")</f>
        <v>7.2864864864864867</v>
      </c>
      <c r="I62" s="1">
        <f>IF(ISNUMBER(Main_S[[#This Row],[BVPS]]),IF(Main_S[[#This Row],[BVPS]]&lt;&gt;0,Main_S[[#This Row],[Current Price]]/Main_S[[#This Row],[BVPS]],""),"")</f>
        <v>0.34014635377239466</v>
      </c>
      <c r="J62">
        <v>5.46</v>
      </c>
      <c r="K62">
        <v>2.3199999999999998</v>
      </c>
      <c r="L62">
        <v>2.2999999999999998</v>
      </c>
      <c r="M62" s="1">
        <f>IF(ISNUMBER(Main_S[[#This Row],[EPS]]),IF(Main_S[[#This Row],[EPS]]&lt;&gt;0,Main_S[[#This Row],[Current Price]]/Main_S[[#This Row],[EPS]],""),"")</f>
        <v>6.0178571428571423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-0.55020160205076929</v>
      </c>
      <c r="P62" s="1">
        <f>(Main_S[[#This Row],[P/B]]-VLOOKUP(Main_S[[#This Row],[Industry]], Mean_PB_S, 2, FALSE))/(VLOOKUP(Main_S[[#This Row],[Industry]], Mean_PB_S, 3, FALSE))</f>
        <v>-1.5310801969995622</v>
      </c>
      <c r="Q62" s="1">
        <f>(Main_S[[#This Row],[ROE]]-VLOOKUP(Main_S[[#This Row],[Industry]], Mean_ROE_S, 2, FALSE))/(VLOOKUP(Main_S[[#This Row],[Industry]], Mean_ROE_S, 3, FALSE))</f>
        <v>1.6511955723596818</v>
      </c>
      <c r="R62" s="1">
        <f>(Main_S[[#This Row],[ROA]]-VLOOKUP(Main_S[[#This Row],[Industry]], Mean_ROA_S, 2, FALSE))/(VLOOKUP(Main_S[[#This Row],[Industry]], Mean_ROA_S, 3, FALSE))</f>
        <v>0.96124674890014983</v>
      </c>
      <c r="S62" s="1">
        <f>(Main_S[[#This Row],[A/E]]-VLOOKUP(Main_S[[#This Row],[Industry]], Mean_AE_S, 2, FALSE))/(VLOOKUP(Main_S[[#This Row],[Industry]], Mean_AE_S, 3, FALSE))</f>
        <v>-0.43107227507062668</v>
      </c>
      <c r="T62" s="1">
        <f>(Main_S[[#This Row],[P/E]]-VLOOKUP(Main_S[[#This Row],[Industry]], Mean_PE_S, 2, FALSE))/(VLOOKUP(Main_S[[#This Row],[Industry]], Mean_PE_S, 3, FALSE))</f>
        <v>1.1387617557772605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s="68" t="s">
        <v>120</v>
      </c>
      <c r="B63" s="68" t="s">
        <v>246</v>
      </c>
      <c r="C63" s="2">
        <v>1412</v>
      </c>
      <c r="D63">
        <f>RTD("tos.rtd", , "LAST", Main_S[[#This Row],[Symbol]])</f>
        <v>17.04</v>
      </c>
      <c r="E63">
        <v>0.72</v>
      </c>
      <c r="F63">
        <v>7.13</v>
      </c>
      <c r="G63">
        <v>0.1</v>
      </c>
      <c r="H63" s="1">
        <f>IF(ISNUMBER(Main_S[[#This Row],[Free CF]]),IF(Main_S[[#This Row],[Free CF]]&lt;&gt;0,Main_S[[#This Row],[Current Price]]/Main_S[[#This Row],[Free CF]],""),"")</f>
        <v>23.666666666666668</v>
      </c>
      <c r="I63" s="1">
        <f>IF(ISNUMBER(Main_S[[#This Row],[BVPS]]),IF(Main_S[[#This Row],[BVPS]]&lt;&gt;0,Main_S[[#This Row],[Current Price]]/Main_S[[#This Row],[BVPS]],""),"")</f>
        <v>2.3899018232819071</v>
      </c>
      <c r="J63">
        <v>3.42</v>
      </c>
      <c r="K63">
        <v>1.82</v>
      </c>
      <c r="L63">
        <v>2.62</v>
      </c>
      <c r="M63" s="1">
        <f>IF(ISNUMBER(Main_S[[#This Row],[EPS]]),IF(Main_S[[#This Row],[EPS]]&lt;&gt;0,Main_S[[#This Row],[Current Price]]/Main_S[[#This Row],[EPS]],""),"")</f>
        <v>170.39999999999998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0.76962620174274565</v>
      </c>
      <c r="P63" s="1">
        <f>(Main_S[[#This Row],[P/B]]-VLOOKUP(Main_S[[#This Row],[Industry]], Mean_PB_S, 2, FALSE))/(VLOOKUP(Main_S[[#This Row],[Industry]], Mean_PB_S, 3, FALSE))</f>
        <v>1.5044654517809664</v>
      </c>
      <c r="Q63" s="1">
        <f>(Main_S[[#This Row],[ROE]]-VLOOKUP(Main_S[[#This Row],[Industry]], Mean_ROE_S, 2, FALSE))/(VLOOKUP(Main_S[[#This Row],[Industry]], Mean_ROE_S, 3, FALSE))</f>
        <v>1.1446633967786666</v>
      </c>
      <c r="R63" s="1">
        <f>(Main_S[[#This Row],[ROA]]-VLOOKUP(Main_S[[#This Row],[Industry]], Mean_ROA_S, 2, FALSE))/(VLOOKUP(Main_S[[#This Row],[Industry]], Mean_ROA_S, 3, FALSE))</f>
        <v>0.40880608861270729</v>
      </c>
      <c r="S63" s="1">
        <f>(Main_S[[#This Row],[A/E]]-VLOOKUP(Main_S[[#This Row],[Industry]], Mean_AE_S, 2, FALSE))/(VLOOKUP(Main_S[[#This Row],[Industry]], Mean_AE_S, 3, FALSE))</f>
        <v>-0.10263625596919647</v>
      </c>
      <c r="T63" s="1">
        <f>(Main_S[[#This Row],[P/E]]-VLOOKUP(Main_S[[#This Row],[Industry]], Mean_PE_S, 2, FALSE))/(VLOOKUP(Main_S[[#This Row],[Industry]], Mean_PE_S, 3, FALSE))</f>
        <v>8.4834161352829405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4" spans="1:26" x14ac:dyDescent="0.25">
      <c r="A64" s="68" t="s">
        <v>120</v>
      </c>
      <c r="B64" s="68" t="s">
        <v>243</v>
      </c>
      <c r="C64" s="2">
        <v>1416</v>
      </c>
      <c r="D64">
        <f>RTD("tos.rtd", , "LAST", Main_S[[#This Row],[Symbol]])</f>
        <v>16.45</v>
      </c>
      <c r="E64">
        <v>1.02</v>
      </c>
      <c r="F64">
        <v>12.06</v>
      </c>
      <c r="G64">
        <v>-0.16</v>
      </c>
      <c r="H64" s="1">
        <f>IF(ISNUMBER(Main_S[[#This Row],[Free CF]]),IF(Main_S[[#This Row],[Free CF]]&lt;&gt;0,Main_S[[#This Row],[Current Price]]/Main_S[[#This Row],[Free CF]],""),"")</f>
        <v>16.127450980392155</v>
      </c>
      <c r="I64" s="1">
        <f>IF(ISNUMBER(Main_S[[#This Row],[BVPS]]),IF(Main_S[[#This Row],[BVPS]]&lt;&gt;0,Main_S[[#This Row],[Current Price]]/Main_S[[#This Row],[BVPS]],""),"")</f>
        <v>1.3640132669983416</v>
      </c>
      <c r="J64">
        <v>-1.28</v>
      </c>
      <c r="K64">
        <v>0.8</v>
      </c>
      <c r="L64">
        <v>1.72</v>
      </c>
      <c r="M64" s="1">
        <f>IF(ISNUMBER(Main_S[[#This Row],[EPS]]),IF(Main_S[[#This Row],[EPS]]&lt;&gt;0,Main_S[[#This Row],[Current Price]]/Main_S[[#This Row],[EPS]],""),"")</f>
        <v>-102.8125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0.16215629774368884</v>
      </c>
      <c r="P64" s="1">
        <f>(Main_S[[#This Row],[P/B]]-VLOOKUP(Main_S[[#This Row],[Industry]], Mean_PB_S, 2, FALSE))/(VLOOKUP(Main_S[[#This Row],[Industry]], Mean_PB_S, 3, FALSE))</f>
        <v>-1.4804329167830643E-2</v>
      </c>
      <c r="Q64" s="1">
        <f>(Main_S[[#This Row],[ROE]]-VLOOKUP(Main_S[[#This Row],[Industry]], Mean_ROE_S, 2, FALSE))/(VLOOKUP(Main_S[[#This Row],[Industry]], Mean_ROE_S, 3, FALSE))</f>
        <v>-2.2347007746221222E-2</v>
      </c>
      <c r="R64" s="1">
        <f>(Main_S[[#This Row],[ROA]]-VLOOKUP(Main_S[[#This Row],[Industry]], Mean_ROA_S, 2, FALSE))/(VLOOKUP(Main_S[[#This Row],[Industry]], Mean_ROA_S, 3, FALSE))</f>
        <v>-0.71817285837367606</v>
      </c>
      <c r="S64" s="1">
        <f>(Main_S[[#This Row],[A/E]]-VLOOKUP(Main_S[[#This Row],[Industry]], Mean_AE_S, 2, FALSE))/(VLOOKUP(Main_S[[#This Row],[Industry]], Mean_AE_S, 3, FALSE))</f>
        <v>-1.0263625596919681</v>
      </c>
      <c r="T64" s="1">
        <f>(Main_S[[#This Row],[P/E]]-VLOOKUP(Main_S[[#This Row],[Industry]], Mean_PE_S, 2, FALSE))/(VLOOKUP(Main_S[[#This Row],[Industry]], Mean_PE_S, 3, FALSE))</f>
        <v>-3.7238184814636388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5" spans="1:26" x14ac:dyDescent="0.25">
      <c r="A65" s="68" t="s">
        <v>120</v>
      </c>
      <c r="B65" s="68" t="s">
        <v>245</v>
      </c>
      <c r="C65" s="2">
        <v>1418</v>
      </c>
      <c r="D65">
        <f>RTD("tos.rtd", , "LAST", Main_S[[#This Row],[Symbol]])</f>
        <v>15.19</v>
      </c>
      <c r="E65">
        <v>0.54</v>
      </c>
      <c r="F65">
        <v>11.59</v>
      </c>
      <c r="G65">
        <v>-0.38</v>
      </c>
      <c r="H65" s="1">
        <f>IF(ISNUMBER(Main_S[[#This Row],[Free CF]]),IF(Main_S[[#This Row],[Free CF]]&lt;&gt;0,Main_S[[#This Row],[Current Price]]/Main_S[[#This Row],[Free CF]],""),"")</f>
        <v>28.129629629629626</v>
      </c>
      <c r="I65" s="1">
        <f>IF(ISNUMBER(Main_S[[#This Row],[BVPS]]),IF(Main_S[[#This Row],[BVPS]]&lt;&gt;0,Main_S[[#This Row],[Current Price]]/Main_S[[#This Row],[BVPS]],""),"")</f>
        <v>1.3106125970664366</v>
      </c>
      <c r="J65">
        <v>-3.09</v>
      </c>
      <c r="K65">
        <v>0.98</v>
      </c>
      <c r="L65">
        <v>2.73</v>
      </c>
      <c r="M65" s="1">
        <f>IF(ISNUMBER(Main_S[[#This Row],[EPS]]),IF(Main_S[[#This Row],[EPS]]&lt;&gt;0,Main_S[[#This Row],[Current Price]]/Main_S[[#This Row],[EPS]],""),"")</f>
        <v>-39.973684210526315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1.1292280218098072</v>
      </c>
      <c r="P65" s="1">
        <f>(Main_S[[#This Row],[P/B]]-VLOOKUP(Main_S[[#This Row],[Industry]], Mean_PB_S, 2, FALSE))/(VLOOKUP(Main_S[[#This Row],[Industry]], Mean_PB_S, 3, FALSE))</f>
        <v>-9.3887016671305557E-2</v>
      </c>
      <c r="Q65" s="1">
        <f>(Main_S[[#This Row],[ROE]]-VLOOKUP(Main_S[[#This Row],[Industry]], Mean_ROE_S, 2, FALSE))/(VLOOKUP(Main_S[[#This Row],[Industry]], Mean_ROE_S, 3, FALSE))</f>
        <v>-0.47177016353133755</v>
      </c>
      <c r="R65" s="1">
        <f>(Main_S[[#This Row],[ROA]]-VLOOKUP(Main_S[[#This Row],[Industry]], Mean_ROA_S, 2, FALSE))/(VLOOKUP(Main_S[[#This Row],[Industry]], Mean_ROA_S, 3, FALSE))</f>
        <v>-0.5192942206701967</v>
      </c>
      <c r="S65" s="1">
        <f>(Main_S[[#This Row],[A/E]]-VLOOKUP(Main_S[[#This Row],[Industry]], Mean_AE_S, 2, FALSE))/(VLOOKUP(Main_S[[#This Row],[Industry]], Mean_AE_S, 3, FALSE))</f>
        <v>1.0263625596919922E-2</v>
      </c>
      <c r="T65" s="1">
        <f>(Main_S[[#This Row],[P/E]]-VLOOKUP(Main_S[[#This Row],[Industry]], Mean_PE_S, 2, FALSE))/(VLOOKUP(Main_S[[#This Row],[Industry]], Mean_PE_S, 3, FALSE))</f>
        <v>-0.9161571651599385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s="68" t="s">
        <v>120</v>
      </c>
      <c r="B66" s="68" t="s">
        <v>241</v>
      </c>
      <c r="C66" s="2">
        <v>298</v>
      </c>
      <c r="D66">
        <f>RTD("tos.rtd", , "LAST", Main_S[[#This Row],[Symbol]])</f>
        <v>16.18</v>
      </c>
      <c r="E66">
        <v>1.33</v>
      </c>
      <c r="F66">
        <v>10.49</v>
      </c>
      <c r="G66">
        <v>-0.48</v>
      </c>
      <c r="H66" s="1">
        <f>IF(ISNUMBER(Main_S[[#This Row],[Free CF]]),IF(Main_S[[#This Row],[Free CF]]&lt;&gt;0,Main_S[[#This Row],[Current Price]]/Main_S[[#This Row],[Free CF]],""),"")</f>
        <v>12.165413533834586</v>
      </c>
      <c r="I66" s="1">
        <f>IF(ISNUMBER(Main_S[[#This Row],[BVPS]]),IF(Main_S[[#This Row],[BVPS]]&lt;&gt;0,Main_S[[#This Row],[Current Price]]/Main_S[[#This Row],[BVPS]],""),"")</f>
        <v>1.5424213536701621</v>
      </c>
      <c r="J66">
        <v>-4.2</v>
      </c>
      <c r="K66">
        <v>1.1399999999999999</v>
      </c>
      <c r="L66">
        <v>3.55</v>
      </c>
      <c r="M66" s="1">
        <f>IF(ISNUMBER(Main_S[[#This Row],[EPS]]),IF(Main_S[[#This Row],[EPS]]&lt;&gt;0,Main_S[[#This Row],[Current Price]]/Main_S[[#This Row],[EPS]],""),"")</f>
        <v>-33.708333333333336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-0.15708360829623486</v>
      </c>
      <c r="P66" s="1">
        <f>(Main_S[[#This Row],[P/B]]-VLOOKUP(Main_S[[#This Row],[Industry]], Mean_PB_S, 2, FALSE))/(VLOOKUP(Main_S[[#This Row],[Industry]], Mean_PB_S, 3, FALSE))</f>
        <v>0.24940567015150075</v>
      </c>
      <c r="Q66" s="1">
        <f>(Main_S[[#This Row],[ROE]]-VLOOKUP(Main_S[[#This Row],[Industry]], Mean_ROE_S, 2, FALSE))/(VLOOKUP(Main_S[[#This Row],[Industry]], Mean_ROE_S, 3, FALSE))</f>
        <v>-0.74738325906806646</v>
      </c>
      <c r="R66" s="1">
        <f>(Main_S[[#This Row],[ROA]]-VLOOKUP(Main_S[[#This Row],[Industry]], Mean_ROA_S, 2, FALSE))/(VLOOKUP(Main_S[[#This Row],[Industry]], Mean_ROA_S, 3, FALSE))</f>
        <v>-0.34251320937821511</v>
      </c>
      <c r="S66" s="1">
        <f>(Main_S[[#This Row],[A/E]]-VLOOKUP(Main_S[[#This Row],[Industry]], Mean_AE_S, 2, FALSE))/(VLOOKUP(Main_S[[#This Row],[Industry]], Mean_AE_S, 3, FALSE))</f>
        <v>0.85188092454433384</v>
      </c>
      <c r="T66" s="1">
        <f>(Main_S[[#This Row],[P/E]]-VLOOKUP(Main_S[[#This Row],[Industry]], Mean_PE_S, 2, FALSE))/(VLOOKUP(Main_S[[#This Row],[Industry]], Mean_PE_S, 3, FALSE))</f>
        <v>-0.63621899207439625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s="68" t="s">
        <v>120</v>
      </c>
      <c r="B67" s="68" t="s">
        <v>240</v>
      </c>
      <c r="C67" s="2">
        <v>1131</v>
      </c>
      <c r="D67">
        <f>RTD("tos.rtd", , "LAST", Main_S[[#This Row],[Symbol]])</f>
        <v>8.39</v>
      </c>
      <c r="E67">
        <v>-0.79</v>
      </c>
      <c r="F67">
        <v>0.81</v>
      </c>
      <c r="G67">
        <v>-0.78</v>
      </c>
      <c r="H67" s="1">
        <f>IF(ISNUMBER(Main_S[[#This Row],[Free CF]]),IF(Main_S[[#This Row],[Free CF]]&lt;&gt;0,Main_S[[#This Row],[Current Price]]/Main_S[[#This Row],[Free CF]],""),"")</f>
        <v>-10.620253164556962</v>
      </c>
      <c r="I67" s="1">
        <f>IF(ISNUMBER(Main_S[[#This Row],[BVPS]]),IF(Main_S[[#This Row],[BVPS]]&lt;&gt;0,Main_S[[#This Row],[Current Price]]/Main_S[[#This Row],[BVPS]],""),"")</f>
        <v>10.358024691358025</v>
      </c>
      <c r="J67">
        <v>-22.82</v>
      </c>
      <c r="K67">
        <v>7.0000000000000007E-2</v>
      </c>
      <c r="L67">
        <v>16.95</v>
      </c>
      <c r="M67" s="1">
        <f>IF(ISNUMBER(Main_S[[#This Row],[EPS]]),IF(Main_S[[#This Row],[EPS]]&lt;&gt;0,Main_S[[#This Row],[Current Price]]/Main_S[[#This Row],[EPS]],""),"")</f>
        <v>-10.756410256410257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-1.9930314492667085</v>
      </c>
      <c r="P67" s="1">
        <f>(Main_S[[#This Row],[P/B]]-VLOOKUP(Main_S[[#This Row],[Industry]], Mean_PB_S, 2, FALSE))/(VLOOKUP(Main_S[[#This Row],[Industry]], Mean_PB_S, 3, FALSE))</f>
        <v>13.304702631743197</v>
      </c>
      <c r="Q67" s="1">
        <f>(Main_S[[#This Row],[ROE]]-VLOOKUP(Main_S[[#This Row],[Industry]], Mean_ROE_S, 2, FALSE))/(VLOOKUP(Main_S[[#This Row],[Industry]], Mean_ROE_S, 3, FALSE))</f>
        <v>-5.3707308616751748</v>
      </c>
      <c r="R67" s="1">
        <f>(Main_S[[#This Row],[ROA]]-VLOOKUP(Main_S[[#This Row],[Industry]], Mean_ROA_S, 2, FALSE))/(VLOOKUP(Main_S[[#This Row],[Industry]], Mean_ROA_S, 3, FALSE))</f>
        <v>-1.5247362223933425</v>
      </c>
      <c r="S67" s="1">
        <f>(Main_S[[#This Row],[A/E]]-VLOOKUP(Main_S[[#This Row],[Industry]], Mean_AE_S, 2, FALSE))/(VLOOKUP(Main_S[[#This Row],[Industry]], Mean_AE_S, 3, FALSE))</f>
        <v>14.60513922441671</v>
      </c>
      <c r="T67" s="1">
        <f>(Main_S[[#This Row],[P/E]]-VLOOKUP(Main_S[[#This Row],[Industry]], Mean_PE_S, 2, FALSE))/(VLOOKUP(Main_S[[#This Row],[Industry]], Mean_PE_S, 3, FALSE))</f>
        <v>0.3892813415689037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8" spans="1:26" x14ac:dyDescent="0.25">
      <c r="A68" s="68" t="s">
        <v>120</v>
      </c>
      <c r="B68" s="68" t="s">
        <v>242</v>
      </c>
      <c r="C68" s="2">
        <v>1067</v>
      </c>
      <c r="D68">
        <f>RTD("tos.rtd", , "LAST", Main_S[[#This Row],[Symbol]])</f>
        <v>64.989999999999995</v>
      </c>
      <c r="E68">
        <v>5.98</v>
      </c>
      <c r="F68">
        <v>38.049999999999997</v>
      </c>
      <c r="G68">
        <v>-1.1200000000000001</v>
      </c>
      <c r="H68" s="1">
        <f>IF(ISNUMBER(Main_S[[#This Row],[Free CF]]),IF(Main_S[[#This Row],[Free CF]]&lt;&gt;0,Main_S[[#This Row],[Current Price]]/Main_S[[#This Row],[Free CF]],""),"")</f>
        <v>10.867892976588626</v>
      </c>
      <c r="I68" s="1">
        <f>IF(ISNUMBER(Main_S[[#This Row],[BVPS]]),IF(Main_S[[#This Row],[BVPS]]&lt;&gt;0,Main_S[[#This Row],[Current Price]]/Main_S[[#This Row],[BVPS]],""),"")</f>
        <v>1.7080157687253614</v>
      </c>
      <c r="J68">
        <v>-1.51</v>
      </c>
      <c r="K68">
        <v>0.8</v>
      </c>
      <c r="L68">
        <v>2.97</v>
      </c>
      <c r="M68" s="1">
        <f>IF(ISNUMBER(Main_S[[#This Row],[EPS]]),IF(Main_S[[#This Row],[EPS]]&lt;&gt;0,Main_S[[#This Row],[Current Price]]/Main_S[[#This Row],[EPS]],""),"")</f>
        <v>-58.026785714285701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-0.26163091416280781</v>
      </c>
      <c r="P68" s="1">
        <f>(Main_S[[#This Row],[P/B]]-VLOOKUP(Main_S[[#This Row],[Industry]], Mean_PB_S, 2, FALSE))/(VLOOKUP(Main_S[[#This Row],[Industry]], Mean_PB_S, 3, FALSE))</f>
        <v>0.49463951075369283</v>
      </c>
      <c r="Q68" s="1">
        <f>(Main_S[[#This Row],[ROE]]-VLOOKUP(Main_S[[#This Row],[Industry]], Mean_ROE_S, 2, FALSE))/(VLOOKUP(Main_S[[#This Row],[Industry]], Mean_ROE_S, 3, FALSE))</f>
        <v>-7.9456027542119986E-2</v>
      </c>
      <c r="R68" s="1">
        <f>(Main_S[[#This Row],[ROA]]-VLOOKUP(Main_S[[#This Row],[Industry]], Mean_ROA_S, 2, FALSE))/(VLOOKUP(Main_S[[#This Row],[Industry]], Mean_ROA_S, 3, FALSE))</f>
        <v>-0.71817285837367606</v>
      </c>
      <c r="S68" s="1">
        <f>(Main_S[[#This Row],[A/E]]-VLOOKUP(Main_S[[#This Row],[Industry]], Mean_AE_S, 2, FALSE))/(VLOOKUP(Main_S[[#This Row],[Industry]], Mean_AE_S, 3, FALSE))</f>
        <v>0.25659063992299258</v>
      </c>
      <c r="T68" s="1">
        <f>(Main_S[[#This Row],[P/E]]-VLOOKUP(Main_S[[#This Row],[Industry]], Mean_PE_S, 2, FALSE))/(VLOOKUP(Main_S[[#This Row],[Industry]], Mean_PE_S, 3, FALSE))</f>
        <v>-1.7227763557765148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s="68" t="s">
        <v>120</v>
      </c>
      <c r="B69" s="68" t="s">
        <v>244</v>
      </c>
      <c r="C69" s="2">
        <v>860</v>
      </c>
      <c r="D69">
        <f>RTD("tos.rtd", , "LAST", Main_S[[#This Row],[Symbol]])</f>
        <v>34.58</v>
      </c>
      <c r="E69">
        <v>3.23</v>
      </c>
      <c r="F69">
        <v>14.86</v>
      </c>
      <c r="G69">
        <v>-1.26</v>
      </c>
      <c r="H69" s="1">
        <f>IF(ISNUMBER(Main_S[[#This Row],[Free CF]]),IF(Main_S[[#This Row],[Free CF]]&lt;&gt;0,Main_S[[#This Row],[Current Price]]/Main_S[[#This Row],[Free CF]],""),"")</f>
        <v>10.705882352941176</v>
      </c>
      <c r="I69" s="1">
        <f>IF(ISNUMBER(Main_S[[#This Row],[BVPS]]),IF(Main_S[[#This Row],[BVPS]]&lt;&gt;0,Main_S[[#This Row],[Current Price]]/Main_S[[#This Row],[BVPS]],""),"")</f>
        <v>2.3270524899057872</v>
      </c>
      <c r="J69">
        <v>-7.13</v>
      </c>
      <c r="K69">
        <v>0.9</v>
      </c>
      <c r="L69">
        <v>4.95</v>
      </c>
      <c r="M69" s="1">
        <f>IF(ISNUMBER(Main_S[[#This Row],[EPS]]),IF(Main_S[[#This Row],[EPS]]&lt;&gt;0,Main_S[[#This Row],[Current Price]]/Main_S[[#This Row],[EPS]],""),"")</f>
        <v>-27.444444444444443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-0.27468486859113328</v>
      </c>
      <c r="P69" s="1">
        <f>(Main_S[[#This Row],[P/B]]-VLOOKUP(Main_S[[#This Row],[Industry]], Mean_PB_S, 2, FALSE))/(VLOOKUP(Main_S[[#This Row],[Industry]], Mean_PB_S, 3, FALSE))</f>
        <v>1.4113899492166091</v>
      </c>
      <c r="Q69" s="1">
        <f>(Main_S[[#This Row],[ROE]]-VLOOKUP(Main_S[[#This Row],[Industry]], Mean_ROE_S, 2, FALSE))/(VLOOKUP(Main_S[[#This Row],[Industry]], Mean_ROE_S, 3, FALSE))</f>
        <v>-1.4749025112506029</v>
      </c>
      <c r="R69" s="1">
        <f>(Main_S[[#This Row],[ROA]]-VLOOKUP(Main_S[[#This Row],[Industry]], Mean_ROA_S, 2, FALSE))/(VLOOKUP(Main_S[[#This Row],[Industry]], Mean_ROA_S, 3, FALSE))</f>
        <v>-0.60768472631618753</v>
      </c>
      <c r="S69" s="1">
        <f>(Main_S[[#This Row],[A/E]]-VLOOKUP(Main_S[[#This Row],[Industry]], Mean_AE_S, 2, FALSE))/(VLOOKUP(Main_S[[#This Row],[Industry]], Mean_AE_S, 3, FALSE))</f>
        <v>2.2887885081130901</v>
      </c>
      <c r="T69" s="1">
        <f>(Main_S[[#This Row],[P/E]]-VLOOKUP(Main_S[[#This Row],[Industry]], Mean_PE_S, 2, FALSE))/(VLOOKUP(Main_S[[#This Row],[Industry]], Mean_PE_S, 3, FALSE))</f>
        <v>-0.35634614116201574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s="68" t="s">
        <v>131</v>
      </c>
      <c r="B70" s="68" t="s">
        <v>252</v>
      </c>
      <c r="C70" s="2">
        <v>625</v>
      </c>
      <c r="D70">
        <f>RTD("tos.rtd", , "LAST", Main_S[[#This Row],[Symbol]])</f>
        <v>12.05</v>
      </c>
      <c r="E70">
        <v>1.48</v>
      </c>
      <c r="F70">
        <v>9.9499999999999993</v>
      </c>
      <c r="G70">
        <v>10.39</v>
      </c>
      <c r="H70" s="1">
        <f>IF(ISNUMBER(Main_S[[#This Row],[Free CF]]),IF(Main_S[[#This Row],[Free CF]]&lt;&gt;0,Main_S[[#This Row],[Current Price]]/Main_S[[#This Row],[Free CF]],""),"")</f>
        <v>8.141891891891893</v>
      </c>
      <c r="I70" s="1">
        <f>IF(ISNUMBER(Main_S[[#This Row],[BVPS]]),IF(Main_S[[#This Row],[BVPS]]&lt;&gt;0,Main_S[[#This Row],[Current Price]]/Main_S[[#This Row],[BVPS]],""),"")</f>
        <v>1.2110552763819098</v>
      </c>
      <c r="J70">
        <v>42.51</v>
      </c>
      <c r="K70">
        <v>0.65</v>
      </c>
      <c r="L70">
        <v>1.79</v>
      </c>
      <c r="M70" s="1">
        <f>IF(ISNUMBER(Main_S[[#This Row],[EPS]]),IF(Main_S[[#This Row],[EPS]]&lt;&gt;0,Main_S[[#This Row],[Current Price]]/Main_S[[#This Row],[EPS]],""),"")</f>
        <v>1.1597690086621752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-0.61016743817909325</v>
      </c>
      <c r="P70" s="1">
        <f>(Main_S[[#This Row],[P/B]]-VLOOKUP(Main_S[[#This Row],[Industry]], Mean_PB_S, 2, FALSE))/(VLOOKUP(Main_S[[#This Row],[Industry]], Mean_PB_S, 3, FALSE))</f>
        <v>-0.3177356438235342</v>
      </c>
      <c r="Q70" s="1">
        <f>(Main_S[[#This Row],[ROE]]-VLOOKUP(Main_S[[#This Row],[Industry]], Mean_ROE_S, 2, FALSE))/(VLOOKUP(Main_S[[#This Row],[Industry]], Mean_ROE_S, 3, FALSE))</f>
        <v>4.3772136058511428</v>
      </c>
      <c r="R70" s="1">
        <f>(Main_S[[#This Row],[ROA]]-VLOOKUP(Main_S[[#This Row],[Industry]], Mean_ROA_S, 2, FALSE))/(VLOOKUP(Main_S[[#This Row],[Industry]], Mean_ROA_S, 3, FALSE))</f>
        <v>-7.6338537173069243</v>
      </c>
      <c r="S70" s="1">
        <f>(Main_S[[#This Row],[A/E]]-VLOOKUP(Main_S[[#This Row],[Industry]], Mean_AE_S, 2, FALSE))/(VLOOKUP(Main_S[[#This Row],[Industry]], Mean_AE_S, 3, FALSE))</f>
        <v>-0.7547282703743724</v>
      </c>
      <c r="T70" s="1">
        <f>(Main_S[[#This Row],[P/E]]-VLOOKUP(Main_S[[#This Row],[Industry]], Mean_PE_S, 2, FALSE))/(VLOOKUP(Main_S[[#This Row],[Industry]], Mean_PE_S, 3, FALSE))</f>
        <v>-2.1043400883614143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s="68" t="s">
        <v>131</v>
      </c>
      <c r="B71" s="68" t="s">
        <v>247</v>
      </c>
      <c r="C71" s="2">
        <v>1150</v>
      </c>
      <c r="D71">
        <f>RTD("tos.rtd", , "LAST", Main_S[[#This Row],[Symbol]])</f>
        <v>232.53</v>
      </c>
      <c r="E71">
        <v>10.33</v>
      </c>
      <c r="F71">
        <v>31.93</v>
      </c>
      <c r="G71">
        <v>7.72</v>
      </c>
      <c r="H71" s="1">
        <f>IF(ISNUMBER(Main_S[[#This Row],[Free CF]]),IF(Main_S[[#This Row],[Free CF]]&lt;&gt;0,Main_S[[#This Row],[Current Price]]/Main_S[[#This Row],[Free CF]],""),"")</f>
        <v>22.510164569215878</v>
      </c>
      <c r="I71" s="1">
        <f>IF(ISNUMBER(Main_S[[#This Row],[BVPS]]),IF(Main_S[[#This Row],[BVPS]]&lt;&gt;0,Main_S[[#This Row],[Current Price]]/Main_S[[#This Row],[BVPS]],""),"")</f>
        <v>7.2824929533354217</v>
      </c>
      <c r="J71">
        <v>20.16</v>
      </c>
      <c r="K71">
        <v>3.48</v>
      </c>
      <c r="L71">
        <v>8.17</v>
      </c>
      <c r="M71" s="1">
        <f>IF(ISNUMBER(Main_S[[#This Row],[EPS]]),IF(Main_S[[#This Row],[EPS]]&lt;&gt;0,Main_S[[#This Row],[Current Price]]/Main_S[[#This Row],[EPS]],""),"")</f>
        <v>30.120466321243523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3.6861533980366734</v>
      </c>
      <c r="P71" s="1">
        <f>(Main_S[[#This Row],[P/B]]-VLOOKUP(Main_S[[#This Row],[Industry]], Mean_PB_S, 2, FALSE))/(VLOOKUP(Main_S[[#This Row],[Industry]], Mean_PB_S, 3, FALSE))</f>
        <v>9.6266177410889302</v>
      </c>
      <c r="Q71" s="1">
        <f>(Main_S[[#This Row],[ROE]]-VLOOKUP(Main_S[[#This Row],[Industry]], Mean_ROE_S, 2, FALSE))/(VLOOKUP(Main_S[[#This Row],[Industry]], Mean_ROE_S, 3, FALSE))</f>
        <v>1.3974085697720096</v>
      </c>
      <c r="R71" s="1">
        <f>(Main_S[[#This Row],[ROA]]-VLOOKUP(Main_S[[#This Row],[Industry]], Mean_ROA_S, 2, FALSE))/(VLOOKUP(Main_S[[#This Row],[Industry]], Mean_ROA_S, 3, FALSE))</f>
        <v>-4.9769357234196718E-2</v>
      </c>
      <c r="S71" s="1">
        <f>(Main_S[[#This Row],[A/E]]-VLOOKUP(Main_S[[#This Row],[Industry]], Mean_AE_S, 2, FALSE))/(VLOOKUP(Main_S[[#This Row],[Industry]], Mean_AE_S, 3, FALSE))</f>
        <v>0.71679965101430243</v>
      </c>
      <c r="T71" s="1">
        <f>(Main_S[[#This Row],[P/E]]-VLOOKUP(Main_S[[#This Row],[Industry]], Mean_PE_S, 2, FALSE))/(VLOOKUP(Main_S[[#This Row],[Industry]], Mean_PE_S, 3, FALSE))</f>
        <v>1.3273754731180079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2" spans="1:26" x14ac:dyDescent="0.25">
      <c r="A72" s="68" t="s">
        <v>131</v>
      </c>
      <c r="B72" s="68" t="s">
        <v>249</v>
      </c>
      <c r="C72" s="2">
        <v>780</v>
      </c>
      <c r="D72">
        <f>RTD("tos.rtd", , "LAST", Main_S[[#This Row],[Symbol]])</f>
        <v>25.9</v>
      </c>
      <c r="E72">
        <v>6.63</v>
      </c>
      <c r="F72">
        <v>9.5399999999999991</v>
      </c>
      <c r="G72">
        <v>2.16</v>
      </c>
      <c r="H72" s="1">
        <f>IF(ISNUMBER(Main_S[[#This Row],[Free CF]]),IF(Main_S[[#This Row],[Free CF]]&lt;&gt;0,Main_S[[#This Row],[Current Price]]/Main_S[[#This Row],[Free CF]],""),"")</f>
        <v>3.9064856711915534</v>
      </c>
      <c r="I72" s="1">
        <f>IF(ISNUMBER(Main_S[[#This Row],[BVPS]]),IF(Main_S[[#This Row],[BVPS]]&lt;&gt;0,Main_S[[#This Row],[Current Price]]/Main_S[[#This Row],[BVPS]],""),"")</f>
        <v>2.7148846960167714</v>
      </c>
      <c r="J72">
        <v>22.04</v>
      </c>
      <c r="K72">
        <v>3.15</v>
      </c>
      <c r="L72">
        <v>8.9</v>
      </c>
      <c r="M72" s="1">
        <f>IF(ISNUMBER(Main_S[[#This Row],[EPS]]),IF(Main_S[[#This Row],[EPS]]&lt;&gt;0,Main_S[[#This Row],[Current Price]]/Main_S[[#This Row],[EPS]],""),"")</f>
        <v>11.990740740740739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-1.8766150066854124</v>
      </c>
      <c r="P72" s="1">
        <f>(Main_S[[#This Row],[P/B]]-VLOOKUP(Main_S[[#This Row],[Industry]], Mean_PB_S, 2, FALSE))/(VLOOKUP(Main_S[[#This Row],[Industry]], Mean_PB_S, 3, FALSE))</f>
        <v>2.1453730917306308</v>
      </c>
      <c r="Q72" s="1">
        <f>(Main_S[[#This Row],[ROE]]-VLOOKUP(Main_S[[#This Row],[Industry]], Mean_ROE_S, 2, FALSE))/(VLOOKUP(Main_S[[#This Row],[Industry]], Mean_ROE_S, 3, FALSE))</f>
        <v>1.6480588367889568</v>
      </c>
      <c r="R72" s="1">
        <f>(Main_S[[#This Row],[ROA]]-VLOOKUP(Main_S[[#This Row],[Industry]], Mean_ROA_S, 2, FALSE))/(VLOOKUP(Main_S[[#This Row],[Industry]], Mean_ROA_S, 3, FALSE))</f>
        <v>-0.93413255116493898</v>
      </c>
      <c r="S72" s="1">
        <f>(Main_S[[#This Row],[A/E]]-VLOOKUP(Main_S[[#This Row],[Industry]], Mean_AE_S, 2, FALSE))/(VLOOKUP(Main_S[[#This Row],[Industry]], Mean_AE_S, 3, FALSE))</f>
        <v>0.88517196803839859</v>
      </c>
      <c r="T72" s="1">
        <f>(Main_S[[#This Row],[P/E]]-VLOOKUP(Main_S[[#This Row],[Industry]], Mean_PE_S, 2, FALSE))/(VLOOKUP(Main_S[[#This Row],[Industry]], Mean_PE_S, 3, FALSE))</f>
        <v>-0.82091746086927342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3" spans="1:26" x14ac:dyDescent="0.25">
      <c r="A73" s="68" t="s">
        <v>131</v>
      </c>
      <c r="B73" s="68" t="s">
        <v>248</v>
      </c>
      <c r="C73" s="2">
        <v>816</v>
      </c>
      <c r="D73">
        <f>RTD("tos.rtd", , "LAST", Main_S[[#This Row],[Symbol]])</f>
        <v>34.89</v>
      </c>
      <c r="E73">
        <v>4.41</v>
      </c>
      <c r="F73">
        <v>5.9</v>
      </c>
      <c r="G73">
        <v>1.47</v>
      </c>
      <c r="H73" s="1">
        <f>IF(ISNUMBER(Main_S[[#This Row],[Free CF]]),IF(Main_S[[#This Row],[Free CF]]&lt;&gt;0,Main_S[[#This Row],[Current Price]]/Main_S[[#This Row],[Free CF]],""),"")</f>
        <v>7.9115646258503398</v>
      </c>
      <c r="I73" s="1">
        <f>IF(ISNUMBER(Main_S[[#This Row],[BVPS]]),IF(Main_S[[#This Row],[BVPS]]&lt;&gt;0,Main_S[[#This Row],[Current Price]]/Main_S[[#This Row],[BVPS]],""),"")</f>
        <v>5.9135593220338984</v>
      </c>
      <c r="J73">
        <v>12.39</v>
      </c>
      <c r="K73">
        <v>3.61</v>
      </c>
      <c r="L73">
        <v>14.87</v>
      </c>
      <c r="M73" s="1">
        <f>IF(ISNUMBER(Main_S[[#This Row],[EPS]]),IF(Main_S[[#This Row],[EPS]]&lt;&gt;0,Main_S[[#This Row],[Current Price]]/Main_S[[#This Row],[EPS]],""),"")</f>
        <v>23.73469387755102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-0.67903861389144315</v>
      </c>
      <c r="P73" s="1">
        <f>(Main_S[[#This Row],[P/B]]-VLOOKUP(Main_S[[#This Row],[Industry]], Mean_PB_S, 2, FALSE))/(VLOOKUP(Main_S[[#This Row],[Industry]], Mean_PB_S, 3, FALSE))</f>
        <v>7.384453608888772</v>
      </c>
      <c r="Q73" s="1">
        <f>(Main_S[[#This Row],[ROE]]-VLOOKUP(Main_S[[#This Row],[Industry]], Mean_ROE_S, 2, FALSE))/(VLOOKUP(Main_S[[#This Row],[Industry]], Mean_ROE_S, 3, FALSE))</f>
        <v>0.36147634917537136</v>
      </c>
      <c r="R73" s="1">
        <f>(Main_S[[#This Row],[ROA]]-VLOOKUP(Main_S[[#This Row],[Industry]], Mean_ROA_S, 2, FALSE))/(VLOOKUP(Main_S[[#This Row],[Industry]], Mean_ROA_S, 3, FALSE))</f>
        <v>0.29861614340518627</v>
      </c>
      <c r="S73" s="1">
        <f>(Main_S[[#This Row],[A/E]]-VLOOKUP(Main_S[[#This Row],[Industry]], Mean_AE_S, 2, FALSE))/(VLOOKUP(Main_S[[#This Row],[Industry]], Mean_AE_S, 3, FALSE))</f>
        <v>2.262134615482033</v>
      </c>
      <c r="T73" s="1">
        <f>(Main_S[[#This Row],[P/E]]-VLOOKUP(Main_S[[#This Row],[Industry]], Mean_PE_S, 2, FALSE))/(VLOOKUP(Main_S[[#This Row],[Industry]], Mean_PE_S, 3, FALSE))</f>
        <v>0.57068945721997522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4" spans="1:26" x14ac:dyDescent="0.25">
      <c r="A74" s="68" t="s">
        <v>131</v>
      </c>
      <c r="B74" s="68" t="s">
        <v>250</v>
      </c>
      <c r="C74" s="2">
        <v>1622</v>
      </c>
      <c r="D74">
        <f>RTD("tos.rtd", , "LAST", Main_S[[#This Row],[Symbol]])</f>
        <v>29.5</v>
      </c>
      <c r="E74">
        <v>2.35</v>
      </c>
      <c r="F74">
        <v>17.34</v>
      </c>
      <c r="G74">
        <v>1.2</v>
      </c>
      <c r="H74" s="1">
        <f>IF(ISNUMBER(Main_S[[#This Row],[Free CF]]),IF(Main_S[[#This Row],[Free CF]]&lt;&gt;0,Main_S[[#This Row],[Current Price]]/Main_S[[#This Row],[Free CF]],""),"")</f>
        <v>12.553191489361701</v>
      </c>
      <c r="I74" s="1">
        <f>IF(ISNUMBER(Main_S[[#This Row],[BVPS]]),IF(Main_S[[#This Row],[BVPS]]&lt;&gt;0,Main_S[[#This Row],[Current Price]]/Main_S[[#This Row],[BVPS]],""),"")</f>
        <v>1.7012687427912341</v>
      </c>
      <c r="J74">
        <v>7.23</v>
      </c>
      <c r="K74">
        <v>3.6</v>
      </c>
      <c r="L74">
        <v>2.0499999999999998</v>
      </c>
      <c r="M74" s="1">
        <f>IF(ISNUMBER(Main_S[[#This Row],[EPS]]),IF(Main_S[[#This Row],[EPS]]&lt;&gt;0,Main_S[[#This Row],[Current Price]]/Main_S[[#This Row],[EPS]],""),"")</f>
        <v>24.583333333333336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0.70887478777409207</v>
      </c>
      <c r="P74" s="1">
        <f>(Main_S[[#This Row],[P/B]]-VLOOKUP(Main_S[[#This Row],[Industry]], Mean_PB_S, 2, FALSE))/(VLOOKUP(Main_S[[#This Row],[Industry]], Mean_PB_S, 3, FALSE))</f>
        <v>0.48518060161889803</v>
      </c>
      <c r="Q74" s="1">
        <f>(Main_S[[#This Row],[ROE]]-VLOOKUP(Main_S[[#This Row],[Industry]], Mean_ROE_S, 2, FALSE))/(VLOOKUP(Main_S[[#This Row],[Industry]], Mean_ROE_S, 3, FALSE))</f>
        <v>-0.32647863902007962</v>
      </c>
      <c r="R74" s="1">
        <f>(Main_S[[#This Row],[ROA]]-VLOOKUP(Main_S[[#This Row],[Industry]], Mean_ROA_S, 2, FALSE))/(VLOOKUP(Main_S[[#This Row],[Industry]], Mean_ROA_S, 3, FALSE))</f>
        <v>0.27181725874061891</v>
      </c>
      <c r="S74" s="1">
        <f>(Main_S[[#This Row],[A/E]]-VLOOKUP(Main_S[[#This Row],[Industry]], Mean_AE_S, 2, FALSE))/(VLOOKUP(Main_S[[#This Row],[Industry]], Mean_AE_S, 3, FALSE))</f>
        <v>-0.69476004787263956</v>
      </c>
      <c r="T74" s="1">
        <f>(Main_S[[#This Row],[P/E]]-VLOOKUP(Main_S[[#This Row],[Industry]], Mean_PE_S, 2, FALSE))/(VLOOKUP(Main_S[[#This Row],[Industry]], Mean_PE_S, 3, FALSE))</f>
        <v>0.67124950917799286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s="68" t="s">
        <v>131</v>
      </c>
      <c r="B75" s="68" t="s">
        <v>283</v>
      </c>
      <c r="C75" s="2">
        <v>642</v>
      </c>
      <c r="D75">
        <f>RTD("tos.rtd", , "LAST", Main_S[[#This Row],[Symbol]])</f>
        <v>10.78</v>
      </c>
      <c r="E75">
        <v>1.22</v>
      </c>
      <c r="F75">
        <v>11.35</v>
      </c>
      <c r="G75">
        <v>0.66</v>
      </c>
      <c r="H75" s="1">
        <f>IF(ISNUMBER(Main_S[[#This Row],[Free CF]]),IF(Main_S[[#This Row],[Free CF]]&lt;&gt;0,Main_S[[#This Row],[Current Price]]/Main_S[[#This Row],[Free CF]],""),"")</f>
        <v>8.8360655737704921</v>
      </c>
      <c r="I75" s="1">
        <f>IF(ISNUMBER(Main_S[[#This Row],[BVPS]]),IF(Main_S[[#This Row],[BVPS]]&lt;&gt;0,Main_S[[#This Row],[Current Price]]/Main_S[[#This Row],[BVPS]],""),"")</f>
        <v>0.94977973568281937</v>
      </c>
      <c r="J75">
        <v>6.17</v>
      </c>
      <c r="K75">
        <v>3.9</v>
      </c>
      <c r="L75">
        <v>3.33</v>
      </c>
      <c r="M75" s="1">
        <f>IF(ISNUMBER(Main_S[[#This Row],[EPS]]),IF(Main_S[[#This Row],[EPS]]&lt;&gt;0,Main_S[[#This Row],[Current Price]]/Main_S[[#This Row],[EPS]],""),"")</f>
        <v>16.333333333333332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-0.40259949174705939</v>
      </c>
      <c r="P75" s="1">
        <f>(Main_S[[#This Row],[P/B]]-VLOOKUP(Main_S[[#This Row],[Industry]], Mean_PB_S, 2, FALSE))/(VLOOKUP(Main_S[[#This Row],[Industry]], Mean_PB_S, 3, FALSE))</f>
        <v>-0.74567651150440795</v>
      </c>
      <c r="Q75" s="1">
        <f>(Main_S[[#This Row],[ROE]]-VLOOKUP(Main_S[[#This Row],[Industry]], Mean_ROE_S, 2, FALSE))/(VLOOKUP(Main_S[[#This Row],[Industry]], Mean_ROE_S, 3, FALSE))</f>
        <v>-0.467802725742401</v>
      </c>
      <c r="R75" s="1">
        <f>(Main_S[[#This Row],[ROA]]-VLOOKUP(Main_S[[#This Row],[Industry]], Mean_ROA_S, 2, FALSE))/(VLOOKUP(Main_S[[#This Row],[Industry]], Mean_ROA_S, 3, FALSE))</f>
        <v>1.0757837986776566</v>
      </c>
      <c r="S75" s="1">
        <f>(Main_S[[#This Row],[A/E]]-VLOOKUP(Main_S[[#This Row],[Industry]], Mean_AE_S, 2, FALSE))/(VLOOKUP(Main_S[[#This Row],[Industry]], Mean_AE_S, 3, FALSE))</f>
        <v>-0.39953187555641639</v>
      </c>
      <c r="T75" s="1">
        <f>(Main_S[[#This Row],[P/E]]-VLOOKUP(Main_S[[#This Row],[Industry]], Mean_PE_S, 2, FALSE))/(VLOOKUP(Main_S[[#This Row],[Industry]], Mean_PE_S, 3, FALSE))</f>
        <v>-0.30633929252209124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s="68" t="s">
        <v>131</v>
      </c>
      <c r="B76" s="68" t="s">
        <v>253</v>
      </c>
      <c r="C76" s="2">
        <v>627</v>
      </c>
      <c r="D76">
        <f>RTD("tos.rtd", , "LAST", Main_S[[#This Row],[Symbol]])</f>
        <v>12.46</v>
      </c>
      <c r="E76">
        <v>0.99</v>
      </c>
      <c r="F76">
        <v>8.4700000000000006</v>
      </c>
      <c r="G76">
        <v>0.61</v>
      </c>
      <c r="H76" s="1">
        <f>IF(ISNUMBER(Main_S[[#This Row],[Free CF]]),IF(Main_S[[#This Row],[Free CF]]&lt;&gt;0,Main_S[[#This Row],[Current Price]]/Main_S[[#This Row],[Free CF]],""),"")</f>
        <v>12.585858585858587</v>
      </c>
      <c r="I76" s="1">
        <f>IF(ISNUMBER(Main_S[[#This Row],[BVPS]]),IF(Main_S[[#This Row],[BVPS]]&lt;&gt;0,Main_S[[#This Row],[Current Price]]/Main_S[[#This Row],[BVPS]],""),"")</f>
        <v>1.4710743801652892</v>
      </c>
      <c r="J76">
        <v>7.33</v>
      </c>
      <c r="K76">
        <v>2.81</v>
      </c>
      <c r="L76">
        <v>2.61</v>
      </c>
      <c r="M76" s="1">
        <f>IF(ISNUMBER(Main_S[[#This Row],[EPS]]),IF(Main_S[[#This Row],[EPS]]&lt;&gt;0,Main_S[[#This Row],[Current Price]]/Main_S[[#This Row],[EPS]],""),"")</f>
        <v>20.426229508196723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0.71864272094811499</v>
      </c>
      <c r="P76" s="1">
        <f>(Main_S[[#This Row],[P/B]]-VLOOKUP(Main_S[[#This Row],[Industry]], Mean_PB_S, 2, FALSE))/(VLOOKUP(Main_S[[#This Row],[Industry]], Mean_PB_S, 3, FALSE))</f>
        <v>0.10814731708789233</v>
      </c>
      <c r="Q76" s="1">
        <f>(Main_S[[#This Row],[ROE]]-VLOOKUP(Main_S[[#This Row],[Industry]], Mean_ROE_S, 2, FALSE))/(VLOOKUP(Main_S[[#This Row],[Industry]], Mean_ROE_S, 3, FALSE))</f>
        <v>-0.31314617800853994</v>
      </c>
      <c r="R76" s="1">
        <f>(Main_S[[#This Row],[ROA]]-VLOOKUP(Main_S[[#This Row],[Industry]], Mean_ROA_S, 2, FALSE))/(VLOOKUP(Main_S[[#This Row],[Industry]], Mean_ROA_S, 3, FALSE))</f>
        <v>-1.8452946297602486</v>
      </c>
      <c r="S76" s="1">
        <f>(Main_S[[#This Row],[A/E]]-VLOOKUP(Main_S[[#This Row],[Industry]], Mean_AE_S, 2, FALSE))/(VLOOKUP(Main_S[[#This Row],[Industry]], Mean_AE_S, 3, FALSE))</f>
        <v>-0.56559772248429196</v>
      </c>
      <c r="T76" s="1">
        <f>(Main_S[[#This Row],[P/E]]-VLOOKUP(Main_S[[#This Row],[Industry]], Mean_PE_S, 2, FALSE))/(VLOOKUP(Main_S[[#This Row],[Industry]], Mean_PE_S, 3, FALSE))</f>
        <v>0.17865094591034006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s="68" t="s">
        <v>131</v>
      </c>
      <c r="B77" s="68" t="s">
        <v>286</v>
      </c>
      <c r="C77" s="2">
        <v>1143</v>
      </c>
      <c r="D77">
        <f>RTD("tos.rtd", , "LAST", Main_S[[#This Row],[Symbol]])</f>
        <v>11.5</v>
      </c>
      <c r="E77">
        <v>0.78</v>
      </c>
      <c r="F77">
        <v>15.05</v>
      </c>
      <c r="G77">
        <v>0.5</v>
      </c>
      <c r="H77" s="1">
        <f>IF(ISNUMBER(Main_S[[#This Row],[Free CF]]),IF(Main_S[[#This Row],[Free CF]]&lt;&gt;0,Main_S[[#This Row],[Current Price]]/Main_S[[#This Row],[Free CF]],""),"")</f>
        <v>14.743589743589743</v>
      </c>
      <c r="I77" s="1">
        <f>IF(ISNUMBER(Main_S[[#This Row],[BVPS]]),IF(Main_S[[#This Row],[BVPS]]&lt;&gt;0,Main_S[[#This Row],[Current Price]]/Main_S[[#This Row],[BVPS]],""),"")</f>
        <v>0.76411960132890366</v>
      </c>
      <c r="J77">
        <v>2.99</v>
      </c>
      <c r="K77">
        <v>3.94</v>
      </c>
      <c r="L77">
        <v>2.09</v>
      </c>
      <c r="M77" s="1">
        <f>IF(ISNUMBER(Main_S[[#This Row],[EPS]]),IF(Main_S[[#This Row],[EPS]]&lt;&gt;0,Main_S[[#This Row],[Current Price]]/Main_S[[#This Row],[EPS]],""),"")</f>
        <v>23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1.3638354688935752</v>
      </c>
      <c r="P77" s="1">
        <f>(Main_S[[#This Row],[P/B]]-VLOOKUP(Main_S[[#This Row],[Industry]], Mean_PB_S, 2, FALSE))/(VLOOKUP(Main_S[[#This Row],[Industry]], Mean_PB_S, 3, FALSE))</f>
        <v>-1.0497675824732982</v>
      </c>
      <c r="Q77" s="1">
        <f>(Main_S[[#This Row],[ROE]]-VLOOKUP(Main_S[[#This Row],[Industry]], Mean_ROE_S, 2, FALSE))/(VLOOKUP(Main_S[[#This Row],[Industry]], Mean_ROE_S, 3, FALSE))</f>
        <v>-0.89177498590936488</v>
      </c>
      <c r="R77" s="1">
        <f>(Main_S[[#This Row],[ROA]]-VLOOKUP(Main_S[[#This Row],[Industry]], Mean_ROA_S, 2, FALSE))/(VLOOKUP(Main_S[[#This Row],[Industry]], Mean_ROA_S, 3, FALSE))</f>
        <v>1.1829793373359285</v>
      </c>
      <c r="S77" s="1">
        <f>(Main_S[[#This Row],[A/E]]-VLOOKUP(Main_S[[#This Row],[Industry]], Mean_AE_S, 2, FALSE))/(VLOOKUP(Main_S[[#This Row],[Industry]], Mean_AE_S, 3, FALSE))</f>
        <v>-0.68553416748775764</v>
      </c>
      <c r="T77" s="1">
        <f>(Main_S[[#This Row],[P/E]]-VLOOKUP(Main_S[[#This Row],[Industry]], Mean_PE_S, 2, FALSE))/(VLOOKUP(Main_S[[#This Row],[Industry]], Mean_PE_S, 3, FALSE))</f>
        <v>0.48363145632646132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8" spans="1:26" x14ac:dyDescent="0.25">
      <c r="A78" s="68" t="s">
        <v>131</v>
      </c>
      <c r="B78" s="68" t="s">
        <v>251</v>
      </c>
      <c r="C78" s="2">
        <v>1315</v>
      </c>
      <c r="D78">
        <f>RTD("tos.rtd", , "LAST", Main_S[[#This Row],[Symbol]])</f>
        <v>16.36</v>
      </c>
      <c r="E78">
        <v>1.28</v>
      </c>
      <c r="F78">
        <v>15.99</v>
      </c>
      <c r="G78">
        <v>-0.14000000000000001</v>
      </c>
      <c r="H78" s="1">
        <f>IF(ISNUMBER(Main_S[[#This Row],[Free CF]]),IF(Main_S[[#This Row],[Free CF]]&lt;&gt;0,Main_S[[#This Row],[Current Price]]/Main_S[[#This Row],[Free CF]],""),"")</f>
        <v>12.78125</v>
      </c>
      <c r="I78" s="1">
        <f>IF(ISNUMBER(Main_S[[#This Row],[BVPS]]),IF(Main_S[[#This Row],[BVPS]]&lt;&gt;0,Main_S[[#This Row],[Current Price]]/Main_S[[#This Row],[BVPS]],""),"")</f>
        <v>1.0231394621638523</v>
      </c>
      <c r="J78">
        <v>-0.88</v>
      </c>
      <c r="K78">
        <v>1.54</v>
      </c>
      <c r="L78">
        <v>1.75</v>
      </c>
      <c r="M78" s="1">
        <f>IF(ISNUMBER(Main_S[[#This Row],[EPS]]),IF(Main_S[[#This Row],[EPS]]&lt;&gt;0,Main_S[[#This Row],[Current Price]]/Main_S[[#This Row],[EPS]],""),"")</f>
        <v>-116.85714285714285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0.77706757288722528</v>
      </c>
      <c r="P78" s="1">
        <f>(Main_S[[#This Row],[P/B]]-VLOOKUP(Main_S[[#This Row],[Industry]], Mean_PB_S, 2, FALSE))/(VLOOKUP(Main_S[[#This Row],[Industry]], Mean_PB_S, 3, FALSE))</f>
        <v>-0.62552127263617929</v>
      </c>
      <c r="Q78" s="1">
        <f>(Main_S[[#This Row],[ROE]]-VLOOKUP(Main_S[[#This Row],[Industry]], Mean_ROE_S, 2, FALSE))/(VLOOKUP(Main_S[[#This Row],[Industry]], Mean_ROE_S, 3, FALSE))</f>
        <v>-1.4077412270559533</v>
      </c>
      <c r="R78" s="1">
        <f>(Main_S[[#This Row],[ROA]]-VLOOKUP(Main_S[[#This Row],[Industry]], Mean_ROA_S, 2, FALSE))/(VLOOKUP(Main_S[[#This Row],[Industry]], Mean_ROA_S, 3, FALSE))</f>
        <v>-5.2487529821603776</v>
      </c>
      <c r="S78" s="1">
        <f>(Main_S[[#This Row],[A/E]]-VLOOKUP(Main_S[[#This Row],[Industry]], Mean_AE_S, 2, FALSE))/(VLOOKUP(Main_S[[#This Row],[Industry]], Mean_AE_S, 3, FALSE))</f>
        <v>-0.76395415075925444</v>
      </c>
      <c r="T78" s="1">
        <f>(Main_S[[#This Row],[P/E]]-VLOOKUP(Main_S[[#This Row],[Industry]], Mean_PE_S, 2, FALSE))/(VLOOKUP(Main_S[[#This Row],[Industry]], Mean_PE_S, 3, FALSE))</f>
        <v>-16.088826324874955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9" spans="1:26" x14ac:dyDescent="0.25">
      <c r="A79" s="68" t="s">
        <v>135</v>
      </c>
      <c r="B79" s="68" t="s">
        <v>256</v>
      </c>
      <c r="C79" s="2">
        <v>1081</v>
      </c>
      <c r="D79">
        <f>RTD("tos.rtd", , "LAST", Main_S[[#This Row],[Symbol]])</f>
        <v>15.62</v>
      </c>
      <c r="E79">
        <v>0.7</v>
      </c>
      <c r="F79">
        <v>32.78</v>
      </c>
      <c r="G79">
        <v>1.46</v>
      </c>
      <c r="H79" s="1">
        <f>IF(ISNUMBER(Main_S[[#This Row],[Free CF]]),IF(Main_S[[#This Row],[Free CF]]&lt;&gt;0,Main_S[[#This Row],[Current Price]]/Main_S[[#This Row],[Free CF]],""),"")</f>
        <v>22.314285714285713</v>
      </c>
      <c r="I79" s="1">
        <f>IF(ISNUMBER(Main_S[[#This Row],[BVPS]]),IF(Main_S[[#This Row],[BVPS]]&lt;&gt;0,Main_S[[#This Row],[Current Price]]/Main_S[[#This Row],[BVPS]],""),"")</f>
        <v>0.47651006711409394</v>
      </c>
      <c r="J79">
        <v>4.4400000000000004</v>
      </c>
      <c r="K79">
        <v>2.85</v>
      </c>
      <c r="L79">
        <v>2.95</v>
      </c>
      <c r="M79" s="1">
        <f>IF(ISNUMBER(Main_S[[#This Row],[EPS]]),IF(Main_S[[#This Row],[EPS]]&lt;&gt;0,Main_S[[#This Row],[Current Price]]/Main_S[[#This Row],[EPS]],""),"")</f>
        <v>10.698630136986301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8.3377308313715856E-2</v>
      </c>
      <c r="P79" s="1">
        <f>(Main_S[[#This Row],[P/B]]-VLOOKUP(Main_S[[#This Row],[Industry]], Mean_PB_S, 2, FALSE))/(VLOOKUP(Main_S[[#This Row],[Industry]], Mean_PB_S, 3, FALSE))</f>
        <v>-0.99778336759012642</v>
      </c>
      <c r="Q79" s="1">
        <f>(Main_S[[#This Row],[ROE]]-VLOOKUP(Main_S[[#This Row],[Industry]], Mean_ROE_S, 2, FALSE))/(VLOOKUP(Main_S[[#This Row],[Industry]], Mean_ROE_S, 3, FALSE))</f>
        <v>-6.6596638271980133E-2</v>
      </c>
      <c r="R79" s="1">
        <f>(Main_S[[#This Row],[ROA]]-VLOOKUP(Main_S[[#This Row],[Industry]], Mean_ROA_S, 2, FALSE))/(VLOOKUP(Main_S[[#This Row],[Industry]], Mean_ROA_S, 3, FALSE))</f>
        <v>0.43987163100858789</v>
      </c>
      <c r="S79" s="1">
        <f>(Main_S[[#This Row],[A/E]]-VLOOKUP(Main_S[[#This Row],[Industry]], Mean_AE_S, 2, FALSE))/(VLOOKUP(Main_S[[#This Row],[Industry]], Mean_AE_S, 3, FALSE))</f>
        <v>15.20236722066667</v>
      </c>
      <c r="T79" s="1">
        <f>(Main_S[[#This Row],[P/E]]-VLOOKUP(Main_S[[#This Row],[Industry]], Mean_PE_S, 2, FALSE))/(VLOOKUP(Main_S[[#This Row],[Industry]], Mean_PE_S, 3, FALSE))</f>
        <v>0.66599584155714164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s="68" t="s">
        <v>135</v>
      </c>
      <c r="B80" s="68" t="s">
        <v>254</v>
      </c>
      <c r="C80" s="2">
        <v>521</v>
      </c>
      <c r="D80">
        <f>RTD("tos.rtd", , "LAST", Main_S[[#This Row],[Symbol]])</f>
        <v>11.79</v>
      </c>
      <c r="E80">
        <v>0.23</v>
      </c>
      <c r="F80">
        <v>10.5</v>
      </c>
      <c r="G80">
        <v>1.0900000000000001</v>
      </c>
      <c r="H80" s="1">
        <f>IF(ISNUMBER(Main_S[[#This Row],[Free CF]]),IF(Main_S[[#This Row],[Free CF]]&lt;&gt;0,Main_S[[#This Row],[Current Price]]/Main_S[[#This Row],[Free CF]],""),"")</f>
        <v>51.260869565217384</v>
      </c>
      <c r="I80" s="1">
        <f>IF(ISNUMBER(Main_S[[#This Row],[BVPS]]),IF(Main_S[[#This Row],[BVPS]]&lt;&gt;0,Main_S[[#This Row],[Current Price]]/Main_S[[#This Row],[BVPS]],""),"")</f>
        <v>1.1228571428571428</v>
      </c>
      <c r="J80">
        <v>10.199999999999999</v>
      </c>
      <c r="K80">
        <v>1.74</v>
      </c>
      <c r="L80">
        <v>1.69</v>
      </c>
      <c r="M80" s="1">
        <f>IF(ISNUMBER(Main_S[[#This Row],[EPS]]),IF(Main_S[[#This Row],[EPS]]&lt;&gt;0,Main_S[[#This Row],[Current Price]]/Main_S[[#This Row],[EPS]],""),"")</f>
        <v>10.816513761467888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0.92745711284285726</v>
      </c>
      <c r="P80" s="1">
        <f>(Main_S[[#This Row],[P/B]]-VLOOKUP(Main_S[[#This Row],[Industry]], Mean_PB_S, 2, FALSE))/(VLOOKUP(Main_S[[#This Row],[Industry]], Mean_PB_S, 3, FALSE))</f>
        <v>1.5008654163211423</v>
      </c>
      <c r="Q80" s="1">
        <f>(Main_S[[#This Row],[ROE]]-VLOOKUP(Main_S[[#This Row],[Industry]], Mean_ROE_S, 2, FALSE))/(VLOOKUP(Main_S[[#This Row],[Industry]], Mean_ROE_S, 3, FALSE))</f>
        <v>1.1321428506236642</v>
      </c>
      <c r="R80" s="1">
        <f>(Main_S[[#This Row],[ROA]]-VLOOKUP(Main_S[[#This Row],[Industry]], Mean_ROA_S, 2, FALSE))/(VLOOKUP(Main_S[[#This Row],[Industry]], Mean_ROA_S, 3, FALSE))</f>
        <v>-0.7089695699785481</v>
      </c>
      <c r="S80" s="1">
        <f>(Main_S[[#This Row],[A/E]]-VLOOKUP(Main_S[[#This Row],[Industry]], Mean_AE_S, 2, FALSE))/(VLOOKUP(Main_S[[#This Row],[Industry]], Mean_AE_S, 3, FALSE))</f>
        <v>-1.4059992805240884</v>
      </c>
      <c r="T80" s="1">
        <f>(Main_S[[#This Row],[P/E]]-VLOOKUP(Main_S[[#This Row],[Industry]], Mean_PE_S, 2, FALSE))/(VLOOKUP(Main_S[[#This Row],[Industry]], Mean_PE_S, 3, FALSE))</f>
        <v>0.74743585982598637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s="68" t="s">
        <v>135</v>
      </c>
      <c r="B81" s="68" t="s">
        <v>281</v>
      </c>
      <c r="C81" s="2">
        <v>393</v>
      </c>
      <c r="D81">
        <f>RTD("tos.rtd", , "LAST", Main_S[[#This Row],[Symbol]])</f>
        <v>8.15</v>
      </c>
      <c r="E81">
        <v>1.18</v>
      </c>
      <c r="F81">
        <v>10.01</v>
      </c>
      <c r="G81">
        <v>1.06</v>
      </c>
      <c r="H81" s="1">
        <f>IF(ISNUMBER(Main_S[[#This Row],[Free CF]]),IF(Main_S[[#This Row],[Free CF]]&lt;&gt;0,Main_S[[#This Row],[Current Price]]/Main_S[[#This Row],[Free CF]],""),"")</f>
        <v>6.9067796610169498</v>
      </c>
      <c r="I81" s="1">
        <f>IF(ISNUMBER(Main_S[[#This Row],[BVPS]]),IF(Main_S[[#This Row],[BVPS]]&lt;&gt;0,Main_S[[#This Row],[Current Price]]/Main_S[[#This Row],[BVPS]],""),"")</f>
        <v>0.81418581418581426</v>
      </c>
      <c r="J81">
        <v>9.68</v>
      </c>
      <c r="K81">
        <v>3.79</v>
      </c>
      <c r="L81">
        <v>1.84</v>
      </c>
      <c r="M81" s="1">
        <f>IF(ISNUMBER(Main_S[[#This Row],[EPS]]),IF(Main_S[[#This Row],[EPS]]&lt;&gt;0,Main_S[[#This Row],[Current Price]]/Main_S[[#This Row],[EPS]],""),"")</f>
        <v>7.6886792452830184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-0.36590419463317087</v>
      </c>
      <c r="P81" s="1">
        <f>(Main_S[[#This Row],[P/B]]-VLOOKUP(Main_S[[#This Row],[Industry]], Mean_PB_S, 2, FALSE))/(VLOOKUP(Main_S[[#This Row],[Industry]], Mean_PB_S, 3, FALSE))</f>
        <v>0.30760367049172277</v>
      </c>
      <c r="Q81" s="1">
        <f>(Main_S[[#This Row],[ROE]]-VLOOKUP(Main_S[[#This Row],[Industry]], Mean_ROE_S, 2, FALSE))/(VLOOKUP(Main_S[[#This Row],[Industry]], Mean_ROE_S, 3, FALSE))</f>
        <v>1.0239233134316965</v>
      </c>
      <c r="R81" s="1">
        <f>(Main_S[[#This Row],[ROA]]-VLOOKUP(Main_S[[#This Row],[Industry]], Mean_ROA_S, 2, FALSE))/(VLOOKUP(Main_S[[#This Row],[Industry]], Mean_ROA_S, 3, FALSE))</f>
        <v>1.4127641795922885</v>
      </c>
      <c r="S81" s="1">
        <f>(Main_S[[#This Row],[A/E]]-VLOOKUP(Main_S[[#This Row],[Industry]], Mean_AE_S, 2, FALSE))/(VLOOKUP(Main_S[[#This Row],[Industry]], Mean_AE_S, 3, FALSE))</f>
        <v>0.5711872077129081</v>
      </c>
      <c r="T81" s="1">
        <f>(Main_S[[#This Row],[P/E]]-VLOOKUP(Main_S[[#This Row],[Industry]], Mean_PE_S, 2, FALSE))/(VLOOKUP(Main_S[[#This Row],[Industry]], Mean_PE_S, 3, FALSE))</f>
        <v>-1.4134317013831299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2" spans="1:26" x14ac:dyDescent="0.25">
      <c r="A82" s="68" t="s">
        <v>135</v>
      </c>
      <c r="B82" s="68" t="s">
        <v>257</v>
      </c>
      <c r="C82" s="2">
        <v>1055</v>
      </c>
      <c r="D82">
        <f>RTD("tos.rtd", , "LAST", Main_S[[#This Row],[Symbol]])</f>
        <v>4.2699999999999996</v>
      </c>
      <c r="E82">
        <v>-0.11</v>
      </c>
      <c r="F82">
        <v>-10.220000000000001</v>
      </c>
      <c r="G82">
        <v>0.23</v>
      </c>
      <c r="H82" s="1">
        <f>IF(ISNUMBER(Main_S[[#This Row],[Free CF]]),IF(Main_S[[#This Row],[Free CF]]&lt;&gt;0,Main_S[[#This Row],[Current Price]]/Main_S[[#This Row],[Free CF]],""),"")</f>
        <v>-38.818181818181813</v>
      </c>
      <c r="I82" s="1">
        <f>IF(ISNUMBER(Main_S[[#This Row],[BVPS]]),IF(Main_S[[#This Row],[BVPS]]&lt;&gt;0,Main_S[[#This Row],[Current Price]]/Main_S[[#This Row],[BVPS]],""),"")</f>
        <v>-0.41780821917808214</v>
      </c>
      <c r="J82">
        <v>-2.62</v>
      </c>
      <c r="K82">
        <v>6.96</v>
      </c>
      <c r="L82">
        <v>-2.17</v>
      </c>
      <c r="M82" s="1">
        <f>IF(ISNUMBER(Main_S[[#This Row],[EPS]]),IF(Main_S[[#This Row],[EPS]]&lt;&gt;0,Main_S[[#This Row],[Current Price]]/Main_S[[#This Row],[EPS]],""),"")</f>
        <v>18.565217391304344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-1.6992399950240824</v>
      </c>
      <c r="P82" s="1">
        <f>(Main_S[[#This Row],[P/B]]-VLOOKUP(Main_S[[#This Row],[Industry]], Mean_PB_S, 2, FALSE))/(VLOOKUP(Main_S[[#This Row],[Industry]], Mean_PB_S, 3, FALSE))</f>
        <v>-4.4550393564172523</v>
      </c>
      <c r="Q82" s="1">
        <f>(Main_S[[#This Row],[ROE]]-VLOOKUP(Main_S[[#This Row],[Industry]], Mean_ROE_S, 2, FALSE))/(VLOOKUP(Main_S[[#This Row],[Industry]], Mean_ROE_S, 3, FALSE))</f>
        <v>-1.5358849701475445</v>
      </c>
      <c r="R82" s="1">
        <f>(Main_S[[#This Row],[ROA]]-VLOOKUP(Main_S[[#This Row],[Industry]], Mean_ROA_S, 2, FALSE))/(VLOOKUP(Main_S[[#This Row],[Industry]], Mean_ROA_S, 3, FALSE))</f>
        <v>4.6936890508798754</v>
      </c>
      <c r="S82" s="1">
        <f>(Main_S[[#This Row],[A/E]]-VLOOKUP(Main_S[[#This Row],[Industry]], Mean_AE_S, 2, FALSE))/(VLOOKUP(Main_S[[#This Row],[Industry]], Mean_AE_S, 3, FALSE))</f>
        <v>-52.285598244489421</v>
      </c>
      <c r="T82" s="1">
        <f>(Main_S[[#This Row],[P/E]]-VLOOKUP(Main_S[[#This Row],[Industry]], Mean_PE_S, 2, FALSE))/(VLOOKUP(Main_S[[#This Row],[Industry]], Mean_PE_S, 3, FALSE))</f>
        <v>6.1006354068276227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3" spans="1:26" x14ac:dyDescent="0.25">
      <c r="A83" s="68" t="s">
        <v>135</v>
      </c>
      <c r="B83" s="68" t="s">
        <v>255</v>
      </c>
      <c r="C83" s="2">
        <v>358</v>
      </c>
      <c r="D83">
        <f>RTD("tos.rtd", , "LAST", Main_S[[#This Row],[Symbol]])</f>
        <v>10.01</v>
      </c>
      <c r="E83">
        <v>0.18</v>
      </c>
      <c r="F83">
        <v>19.07</v>
      </c>
      <c r="G83">
        <v>-0.24</v>
      </c>
      <c r="H83" s="1">
        <f>IF(ISNUMBER(Main_S[[#This Row],[Free CF]]),IF(Main_S[[#This Row],[Free CF]]&lt;&gt;0,Main_S[[#This Row],[Current Price]]/Main_S[[#This Row],[Free CF]],""),"")</f>
        <v>55.611111111111114</v>
      </c>
      <c r="I83" s="1">
        <f>IF(ISNUMBER(Main_S[[#This Row],[BVPS]]),IF(Main_S[[#This Row],[BVPS]]&lt;&gt;0,Main_S[[#This Row],[Current Price]]/Main_S[[#This Row],[BVPS]],""),"")</f>
        <v>0.52490823282642896</v>
      </c>
      <c r="J83">
        <v>2.1</v>
      </c>
      <c r="K83">
        <v>1.32</v>
      </c>
      <c r="L83">
        <v>1.86</v>
      </c>
      <c r="M83" s="1">
        <f>IF(ISNUMBER(Main_S[[#This Row],[EPS]]),IF(Main_S[[#This Row],[EPS]]&lt;&gt;0,Main_S[[#This Row],[Current Price]]/Main_S[[#This Row],[EPS]],""),"")</f>
        <v>-41.708333333333336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1.0543097685006801</v>
      </c>
      <c r="P83" s="1">
        <f>(Main_S[[#This Row],[P/B]]-VLOOKUP(Main_S[[#This Row],[Industry]], Mean_PB_S, 2, FALSE))/(VLOOKUP(Main_S[[#This Row],[Industry]], Mean_PB_S, 3, FALSE))</f>
        <v>-0.81068571922273913</v>
      </c>
      <c r="Q83" s="1">
        <f>(Main_S[[#This Row],[ROE]]-VLOOKUP(Main_S[[#This Row],[Industry]], Mean_ROE_S, 2, FALSE))/(VLOOKUP(Main_S[[#This Row],[Industry]], Mean_ROE_S, 3, FALSE))</f>
        <v>-0.55358455563583586</v>
      </c>
      <c r="R83" s="1">
        <f>(Main_S[[#This Row],[ROA]]-VLOOKUP(Main_S[[#This Row],[Industry]], Mean_ROA_S, 2, FALSE))/(VLOOKUP(Main_S[[#This Row],[Industry]], Mean_ROA_S, 3, FALSE))</f>
        <v>-1.1436662406223292</v>
      </c>
      <c r="S83" s="1">
        <f>(Main_S[[#This Row],[A/E]]-VLOOKUP(Main_S[[#This Row],[Industry]], Mean_AE_S, 2, FALSE))/(VLOOKUP(Main_S[[#This Row],[Industry]], Mean_AE_S, 3, FALSE))</f>
        <v>0.83481207281117431</v>
      </c>
      <c r="T83" s="1">
        <f>(Main_S[[#This Row],[P/E]]-VLOOKUP(Main_S[[#This Row],[Industry]], Mean_PE_S, 2, FALSE))/(VLOOKUP(Main_S[[#This Row],[Industry]], Mean_PE_S, 3, FALSE))</f>
        <v>-35.539406572958434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37"/>
  <sheetViews>
    <sheetView topLeftCell="A5" workbookViewId="0">
      <selection activeCell="B24" sqref="B24"/>
    </sheetView>
  </sheetViews>
  <sheetFormatPr defaultRowHeight="15" x14ac:dyDescent="0.25"/>
  <cols>
    <col min="1" max="1" width="36.85546875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135</v>
      </c>
      <c r="B3" s="1" cm="1">
        <f t="array" ref="B3">_xlfn.QUARTILE.INC(IF(Quartile_L[[#This Row],[Industry]]=Main_L[Industry],Main_L[P/FCF]),1)</f>
        <v>16.218722382628869</v>
      </c>
      <c r="C3" s="1" cm="1">
        <f t="array" ref="C3">_xlfn.QUARTILE.INC(IF(Quartile_L[[#This Row],[Industry]]=Main_L[Industry],Main_L[P/FCF]),3)</f>
        <v>25.212892088567195</v>
      </c>
      <c r="D3" s="1">
        <f>Quartile_L[[#This Row],[P/FCF Q1]]-1.5*(Quartile_L[[#This Row],[P/FCF Q3]]-Quartile_L[[#This Row],[P/FCF Q1]])</f>
        <v>2.7274678237213799</v>
      </c>
      <c r="E3" s="1">
        <f>Quartile_L[[#This Row],[P/FCF Q3]]+1.5*(Quartile_L[[#This Row],[P/FCF Q3]]-Quartile_L[[#This Row],[P/FCF Q1]])</f>
        <v>38.704146647474687</v>
      </c>
      <c r="F3" s="1" cm="1">
        <f t="array" ref="F3">_xlfn.QUARTILE.INC(IF(Quartile_L[[#This Row],[Industry]]=Main_L[Industry],Main_L[P/B]),1)</f>
        <v>-1.4288343767974023</v>
      </c>
      <c r="G3" s="1" cm="1">
        <f t="array" ref="G3">_xlfn.QUARTILE.INC(IF(Quartile_L[[#This Row],[Industry]]=Main_L[Industry],Main_L[P/B]),3)</f>
        <v>8.284376346055268</v>
      </c>
      <c r="H3" s="1">
        <f>Quartile_L[[#This Row],[P/B Q1]]-1.5*(Quartile_L[[#This Row],[P/B Q3]]-Quartile_L[[#This Row],[P/B Q1]])</f>
        <v>-15.998650461076407</v>
      </c>
      <c r="I3" s="1">
        <f>Quartile_L[[#This Row],[P/B Q3]]+1.5*(Quartile_L[[#This Row],[P/B Q3]]-Quartile_L[[#This Row],[P/B Q1]])</f>
        <v>22.854192430334273</v>
      </c>
      <c r="J3" s="1" cm="1">
        <f t="array" ref="J3">_xlfn.QUARTILE.INC(IF(Quartile_L[[#This Row],[Industry]]=Main_L[Industry],Main_L[ROE]),1)</f>
        <v>-7.1199999999999992</v>
      </c>
      <c r="K3" s="1" cm="1">
        <f t="array" ref="K3">_xlfn.QUARTILE.INC(IF(Quartile_L[[#This Row],[Industry]]=Main_L[Industry],Main_L[ROE]),3)</f>
        <v>18.84</v>
      </c>
      <c r="L3" s="1">
        <f>Quartile_L[[#This Row],[ROE Q1]]-1.5*(Quartile_L[[#This Row],[ROE Q3]]-Quartile_L[[#This Row],[ROE Q1]])</f>
        <v>-46.059999999999995</v>
      </c>
      <c r="M3" s="1">
        <f>Quartile_L[[#This Row],[ROE Q3]]+1.5*(Quartile_L[[#This Row],[ROE Q3]]-Quartile_L[[#This Row],[ROE Q1]])</f>
        <v>57.78</v>
      </c>
      <c r="N3" s="1" cm="1">
        <f t="array" ref="N3">_xlfn.QUARTILE.INC(IF(Quartile_L[[#This Row],[Industry]]=Main_L[Industry],Main_L[ROA]),1)</f>
        <v>3.2250000000000001</v>
      </c>
      <c r="O3" s="1" cm="1">
        <f t="array" ref="O3">_xlfn.QUARTILE.INC(IF(Quartile_L[[#This Row],[Industry]]=Main_L[Industry],Main_L[ROA]),3)</f>
        <v>5.49</v>
      </c>
      <c r="P3" s="1">
        <f>Quartile_L[[#This Row],[ROA Q1]]-1.5*(Quartile_L[[#This Row],[ROA Q3]]-Quartile_L[[#This Row],[ROA Q1]])</f>
        <v>-0.17249999999999988</v>
      </c>
      <c r="Q3" s="1">
        <f>Quartile_L[[#This Row],[ROA Q3]]+1.5*(Quartile_L[[#This Row],[ROA Q3]]-Quartile_L[[#This Row],[ROA Q1]])</f>
        <v>8.8874999999999993</v>
      </c>
      <c r="R3" s="1" cm="1">
        <f t="array" ref="R3">_xlfn.QUARTILE.INC(IF(Quartile_L[[#This Row],[Industry]]=Main_L[Industry],Main_L[P/E]),1)</f>
        <v>29.563989302127986</v>
      </c>
      <c r="S3" s="1" cm="1">
        <f t="array" ref="S3">_xlfn.QUARTILE.INC(IF(Quartile_L[[#This Row],[Industry]]=Main_L[Industry],Main_L[P/E]),3)</f>
        <v>74.875093102934613</v>
      </c>
      <c r="T3" s="1">
        <f>Quartile_L[[#This Row],[P/E Q1]]-1.5*(Quartile_L[[#This Row],[P/E Q3]]-Quartile_L[[#This Row],[P/E Q1]])</f>
        <v>-38.402666399081959</v>
      </c>
      <c r="U3" s="1">
        <f>Quartile_L[[#This Row],[P/E Q3]]+1.5*(Quartile_L[[#This Row],[P/E Q3]]-Quartile_L[[#This Row],[P/E Q1]])</f>
        <v>142.84174880414457</v>
      </c>
      <c r="V3" s="1" cm="1">
        <f t="array" ref="V3">_xlfn.QUARTILE.INC(IF(Quartile_L[[#This Row],[Industry]]=Main_L[Industry],Main_L[A/E]),1)</f>
        <v>-0.19500000000000006</v>
      </c>
      <c r="W3" s="1" cm="1">
        <f t="array" ref="W3">_xlfn.QUARTILE.INC(IF(Quartile_L[[#This Row],[Industry]]=Main_L[Industry],Main_L[A/E]),3)</f>
        <v>3.32</v>
      </c>
      <c r="X3" s="1">
        <f>Quartile_L[[#This Row],[A/E Q1]]-1.5*(Quartile_L[[#This Row],[A/E Q3]]-Quartile_L[[#This Row],[A/E Q1]])</f>
        <v>-5.4674999999999994</v>
      </c>
      <c r="Y3" s="1">
        <f>Quartile_L[[#This Row],[A/E Q3]]+1.5*(Quartile_L[[#This Row],[A/E Q3]]-Quartile_L[[#This Row],[A/E Q1]])</f>
        <v>8.5924999999999994</v>
      </c>
    </row>
    <row r="4" spans="1:25" x14ac:dyDescent="0.25">
      <c r="A4" t="s">
        <v>147</v>
      </c>
      <c r="B4" s="1" cm="1">
        <f t="array" ref="B4">_xlfn.QUARTILE.INC(IF(Quartile_L[[#This Row],[Industry]]=Main_L[Industry],Main_L[P/FCF]),1)</f>
        <v>22.553711484593833</v>
      </c>
      <c r="C4" s="1" cm="1">
        <f t="array" ref="C4">_xlfn.QUARTILE.INC(IF(Quartile_L[[#This Row],[Industry]]=Main_L[Industry],Main_L[P/FCF]),3)</f>
        <v>62.660256410256402</v>
      </c>
      <c r="D4" s="1">
        <f>Quartile_L[[#This Row],[P/FCF Q1]]-1.5*(Quartile_L[[#This Row],[P/FCF Q3]]-Quartile_L[[#This Row],[P/FCF Q1]])</f>
        <v>-37.606105903900016</v>
      </c>
      <c r="E4" s="1">
        <f>Quartile_L[[#This Row],[P/FCF Q3]]+1.5*(Quartile_L[[#This Row],[P/FCF Q3]]-Quartile_L[[#This Row],[P/FCF Q1]])</f>
        <v>122.82007379875026</v>
      </c>
      <c r="F4" s="1" cm="1">
        <f t="array" ref="F4">_xlfn.QUARTILE.INC(IF(Quartile_L[[#This Row],[Industry]]=Main_L[Industry],Main_L[P/B]),1)</f>
        <v>2.917503347762449</v>
      </c>
      <c r="G4" s="1" cm="1">
        <f t="array" ref="G4">_xlfn.QUARTILE.INC(IF(Quartile_L[[#This Row],[Industry]]=Main_L[Industry],Main_L[P/B]),3)</f>
        <v>3.8233957510972436</v>
      </c>
      <c r="H4" s="1">
        <f>Quartile_L[[#This Row],[P/B Q1]]-1.5*(Quartile_L[[#This Row],[P/B Q3]]-Quartile_L[[#This Row],[P/B Q1]])</f>
        <v>1.5586647427602571</v>
      </c>
      <c r="I4" s="1">
        <f>Quartile_L[[#This Row],[P/B Q3]]+1.5*(Quartile_L[[#This Row],[P/B Q3]]-Quartile_L[[#This Row],[P/B Q1]])</f>
        <v>5.1822343560994355</v>
      </c>
      <c r="J4" s="1" cm="1">
        <f t="array" ref="J4">_xlfn.QUARTILE.INC(IF(Quartile_L[[#This Row],[Industry]]=Main_L[Industry],Main_L[ROE]),1)</f>
        <v>-0.125</v>
      </c>
      <c r="K4" s="1" cm="1">
        <f t="array" ref="K4">_xlfn.QUARTILE.INC(IF(Quartile_L[[#This Row],[Industry]]=Main_L[Industry],Main_L[ROE]),3)</f>
        <v>7.29</v>
      </c>
      <c r="L4" s="1">
        <f>Quartile_L[[#This Row],[ROE Q1]]-1.5*(Quartile_L[[#This Row],[ROE Q3]]-Quartile_L[[#This Row],[ROE Q1]])</f>
        <v>-11.2475</v>
      </c>
      <c r="M4" s="1">
        <f>Quartile_L[[#This Row],[ROE Q3]]+1.5*(Quartile_L[[#This Row],[ROE Q3]]-Quartile_L[[#This Row],[ROE Q1]])</f>
        <v>18.412500000000001</v>
      </c>
      <c r="N4" s="1" cm="1">
        <f t="array" ref="N4">_xlfn.QUARTILE.INC(IF(Quartile_L[[#This Row],[Industry]]=Main_L[Industry],Main_L[ROA]),1)</f>
        <v>-0.72500000000000009</v>
      </c>
      <c r="O4" s="1" cm="1">
        <f t="array" ref="O4">_xlfn.QUARTILE.INC(IF(Quartile_L[[#This Row],[Industry]]=Main_L[Industry],Main_L[ROA]),3)</f>
        <v>2.9050000000000002</v>
      </c>
      <c r="P4" s="1">
        <f>Quartile_L[[#This Row],[ROA Q1]]-1.5*(Quartile_L[[#This Row],[ROA Q3]]-Quartile_L[[#This Row],[ROA Q1]])</f>
        <v>-6.17</v>
      </c>
      <c r="Q4" s="1">
        <f>Quartile_L[[#This Row],[ROA Q3]]+1.5*(Quartile_L[[#This Row],[ROA Q3]]-Quartile_L[[#This Row],[ROA Q1]])</f>
        <v>8.3500000000000014</v>
      </c>
      <c r="R4" s="1" cm="1">
        <f t="array" ref="R4">_xlfn.QUARTILE.INC(IF(Quartile_L[[#This Row],[Industry]]=Main_L[Industry],Main_L[P/E]),1)</f>
        <v>-91.645345129921878</v>
      </c>
      <c r="S4" s="1" cm="1">
        <f t="array" ref="S4">_xlfn.QUARTILE.INC(IF(Quartile_L[[#This Row],[Industry]]=Main_L[Industry],Main_L[P/E]),3)</f>
        <v>43.657193054981398</v>
      </c>
      <c r="T4" s="1">
        <f>Quartile_L[[#This Row],[P/E Q1]]-1.5*(Quartile_L[[#This Row],[P/E Q3]]-Quartile_L[[#This Row],[P/E Q1]])</f>
        <v>-294.59915240727685</v>
      </c>
      <c r="U4" s="1">
        <f>Quartile_L[[#This Row],[P/E Q3]]+1.5*(Quartile_L[[#This Row],[P/E Q3]]-Quartile_L[[#This Row],[P/E Q1]])</f>
        <v>246.61100033233635</v>
      </c>
      <c r="V4" s="1" cm="1">
        <f t="array" ref="V4">_xlfn.QUARTILE.INC(IF(Quartile_L[[#This Row],[Industry]]=Main_L[Industry],Main_L[A/E]),1)</f>
        <v>1.2149999999999999</v>
      </c>
      <c r="W4" s="1" cm="1">
        <f t="array" ref="W4">_xlfn.QUARTILE.INC(IF(Quartile_L[[#This Row],[Industry]]=Main_L[Industry],Main_L[A/E]),3)</f>
        <v>2.7800000000000002</v>
      </c>
      <c r="X4" s="1">
        <f>Quartile_L[[#This Row],[A/E Q1]]-1.5*(Quartile_L[[#This Row],[A/E Q3]]-Quartile_L[[#This Row],[A/E Q1]])</f>
        <v>-1.1325000000000007</v>
      </c>
      <c r="Y4" s="1">
        <f>Quartile_L[[#This Row],[A/E Q3]]+1.5*(Quartile_L[[#This Row],[A/E Q3]]-Quartile_L[[#This Row],[A/E Q1]])</f>
        <v>5.1275000000000013</v>
      </c>
    </row>
    <row r="5" spans="1:25" x14ac:dyDescent="0.25">
      <c r="A5" t="s">
        <v>120</v>
      </c>
      <c r="B5" s="1" cm="1">
        <f t="array" ref="B5">_xlfn.QUARTILE.INC(IF(Quartile_L[[#This Row],[Industry]]=Main_L[Industry],Main_L[P/FCF]),1)</f>
        <v>16.429325570629917</v>
      </c>
      <c r="C5" s="1" cm="1">
        <f t="array" ref="C5">_xlfn.QUARTILE.INC(IF(Quartile_L[[#This Row],[Industry]]=Main_L[Industry],Main_L[P/FCF]),3)</f>
        <v>18.203970595251345</v>
      </c>
      <c r="D5" s="1">
        <f>Quartile_L[[#This Row],[P/FCF Q1]]-1.5*(Quartile_L[[#This Row],[P/FCF Q3]]-Quartile_L[[#This Row],[P/FCF Q1]])</f>
        <v>13.767358033697775</v>
      </c>
      <c r="E5" s="1">
        <f>Quartile_L[[#This Row],[P/FCF Q3]]+1.5*(Quartile_L[[#This Row],[P/FCF Q3]]-Quartile_L[[#This Row],[P/FCF Q1]])</f>
        <v>20.865938132183487</v>
      </c>
      <c r="F5" s="1" cm="1">
        <f t="array" ref="F5">_xlfn.QUARTILE.INC(IF(Quartile_L[[#This Row],[Industry]]=Main_L[Industry],Main_L[P/B]),1)</f>
        <v>2.3265326706529055</v>
      </c>
      <c r="G5" s="1" cm="1">
        <f t="array" ref="G5">_xlfn.QUARTILE.INC(IF(Quartile_L[[#This Row],[Industry]]=Main_L[Industry],Main_L[P/B]),3)</f>
        <v>3.2003748868068662</v>
      </c>
      <c r="H5" s="1">
        <f>Quartile_L[[#This Row],[P/B Q1]]-1.5*(Quartile_L[[#This Row],[P/B Q3]]-Quartile_L[[#This Row],[P/B Q1]])</f>
        <v>1.0157693464219644</v>
      </c>
      <c r="I5" s="1">
        <f>Quartile_L[[#This Row],[P/B Q3]]+1.5*(Quartile_L[[#This Row],[P/B Q3]]-Quartile_L[[#This Row],[P/B Q1]])</f>
        <v>4.5111382110378075</v>
      </c>
      <c r="J5" s="1" cm="1">
        <f t="array" ref="J5">_xlfn.QUARTILE.INC(IF(Quartile_L[[#This Row],[Industry]]=Main_L[Industry],Main_L[ROE]),1)</f>
        <v>3.34</v>
      </c>
      <c r="K5" s="1" cm="1">
        <f t="array" ref="K5">_xlfn.QUARTILE.INC(IF(Quartile_L[[#This Row],[Industry]]=Main_L[Industry],Main_L[ROE]),3)</f>
        <v>9.61</v>
      </c>
      <c r="L5" s="1">
        <f>Quartile_L[[#This Row],[ROE Q1]]-1.5*(Quartile_L[[#This Row],[ROE Q3]]-Quartile_L[[#This Row],[ROE Q1]])</f>
        <v>-6.0649999999999995</v>
      </c>
      <c r="M5" s="1">
        <f>Quartile_L[[#This Row],[ROE Q3]]+1.5*(Quartile_L[[#This Row],[ROE Q3]]-Quartile_L[[#This Row],[ROE Q1]])</f>
        <v>19.015000000000001</v>
      </c>
      <c r="N5" s="1" cm="1">
        <f t="array" ref="N5">_xlfn.QUARTILE.INC(IF(Quartile_L[[#This Row],[Industry]]=Main_L[Industry],Main_L[ROA]),1)</f>
        <v>2.08</v>
      </c>
      <c r="O5" s="1" cm="1">
        <f t="array" ref="O5">_xlfn.QUARTILE.INC(IF(Quartile_L[[#This Row],[Industry]]=Main_L[Industry],Main_L[ROA]),3)</f>
        <v>2.89</v>
      </c>
      <c r="P5" s="1">
        <f>Quartile_L[[#This Row],[ROA Q1]]-1.5*(Quartile_L[[#This Row],[ROA Q3]]-Quartile_L[[#This Row],[ROA Q1]])</f>
        <v>0.86499999999999999</v>
      </c>
      <c r="Q5" s="1">
        <f>Quartile_L[[#This Row],[ROA Q3]]+1.5*(Quartile_L[[#This Row],[ROA Q3]]-Quartile_L[[#This Row],[ROA Q1]])</f>
        <v>4.1050000000000004</v>
      </c>
      <c r="R5" s="1" cm="1">
        <f t="array" ref="R5">_xlfn.QUARTILE.INC(IF(Quartile_L[[#This Row],[Industry]]=Main_L[Industry],Main_L[P/E]),1)</f>
        <v>28.210912274070171</v>
      </c>
      <c r="S5" s="1" cm="1">
        <f t="array" ref="S5">_xlfn.QUARTILE.INC(IF(Quartile_L[[#This Row],[Industry]]=Main_L[Industry],Main_L[P/E]),3)</f>
        <v>91.513967301811334</v>
      </c>
      <c r="T5" s="1">
        <f>Quartile_L[[#This Row],[P/E Q1]]-1.5*(Quartile_L[[#This Row],[P/E Q3]]-Quartile_L[[#This Row],[P/E Q1]])</f>
        <v>-66.743670267541589</v>
      </c>
      <c r="U5" s="1">
        <f>Quartile_L[[#This Row],[P/E Q3]]+1.5*(Quartile_L[[#This Row],[P/E Q3]]-Quartile_L[[#This Row],[P/E Q1]])</f>
        <v>186.46854984342309</v>
      </c>
      <c r="V5" s="1" cm="1">
        <f t="array" ref="V5">_xlfn.QUARTILE.INC(IF(Quartile_L[[#This Row],[Industry]]=Main_L[Industry],Main_L[A/E]),1)</f>
        <v>1.8725000000000001</v>
      </c>
      <c r="W5" s="1" cm="1">
        <f t="array" ref="W5">_xlfn.QUARTILE.INC(IF(Quartile_L[[#This Row],[Industry]]=Main_L[Industry],Main_L[A/E]),3)</f>
        <v>2.3774999999999999</v>
      </c>
      <c r="X5" s="1">
        <f>Quartile_L[[#This Row],[A/E Q1]]-1.5*(Quartile_L[[#This Row],[A/E Q3]]-Quartile_L[[#This Row],[A/E Q1]])</f>
        <v>1.1150000000000002</v>
      </c>
      <c r="Y5" s="1">
        <f>Quartile_L[[#This Row],[A/E Q3]]+1.5*(Quartile_L[[#This Row],[A/E Q3]]-Quartile_L[[#This Row],[A/E Q1]])</f>
        <v>3.1349999999999998</v>
      </c>
    </row>
    <row r="6" spans="1:25" x14ac:dyDescent="0.25">
      <c r="A6" t="s">
        <v>131</v>
      </c>
      <c r="B6" s="1" cm="1">
        <f t="array" ref="B6">_xlfn.QUARTILE.INC(IF(Quartile_L[[#This Row],[Industry]]=Main_L[Industry],Main_L[P/FCF]),1)</f>
        <v>13.70880467571644</v>
      </c>
      <c r="C6" s="1" cm="1">
        <f t="array" ref="C6">_xlfn.QUARTILE.INC(IF(Quartile_L[[#This Row],[Industry]]=Main_L[Industry],Main_L[P/FCF]),3)</f>
        <v>15.549804236469747</v>
      </c>
      <c r="D6" s="1">
        <f>Quartile_L[[#This Row],[P/FCF Q1]]-1.5*(Quartile_L[[#This Row],[P/FCF Q3]]-Quartile_L[[#This Row],[P/FCF Q1]])</f>
        <v>10.947305334586479</v>
      </c>
      <c r="E6" s="1">
        <f>Quartile_L[[#This Row],[P/FCF Q3]]+1.5*(Quartile_L[[#This Row],[P/FCF Q3]]-Quartile_L[[#This Row],[P/FCF Q1]])</f>
        <v>18.311303577599709</v>
      </c>
      <c r="F6" s="1" cm="1">
        <f t="array" ref="F6">_xlfn.QUARTILE.INC(IF(Quartile_L[[#This Row],[Industry]]=Main_L[Industry],Main_L[P/B]),1)</f>
        <v>1.3327644513932657</v>
      </c>
      <c r="G6" s="1" cm="1">
        <f t="array" ref="G6">_xlfn.QUARTILE.INC(IF(Quartile_L[[#This Row],[Industry]]=Main_L[Industry],Main_L[P/B]),3)</f>
        <v>10.880380176843149</v>
      </c>
      <c r="H6" s="1">
        <f>Quartile_L[[#This Row],[P/B Q1]]-1.5*(Quartile_L[[#This Row],[P/B Q3]]-Quartile_L[[#This Row],[P/B Q1]])</f>
        <v>-12.98865913678156</v>
      </c>
      <c r="I6" s="1">
        <f>Quartile_L[[#This Row],[P/B Q3]]+1.5*(Quartile_L[[#This Row],[P/B Q3]]-Quartile_L[[#This Row],[P/B Q1]])</f>
        <v>25.201803765017974</v>
      </c>
      <c r="J6" s="1" cm="1">
        <f t="array" ref="J6">_xlfn.QUARTILE.INC(IF(Quartile_L[[#This Row],[Industry]]=Main_L[Industry],Main_L[ROE]),1)</f>
        <v>3.86</v>
      </c>
      <c r="K6" s="1" cm="1">
        <f t="array" ref="K6">_xlfn.QUARTILE.INC(IF(Quartile_L[[#This Row],[Industry]]=Main_L[Industry],Main_L[ROE]),3)</f>
        <v>36.26</v>
      </c>
      <c r="L6" s="1">
        <f>Quartile_L[[#This Row],[ROE Q1]]-1.5*(Quartile_L[[#This Row],[ROE Q3]]-Quartile_L[[#This Row],[ROE Q1]])</f>
        <v>-44.739999999999995</v>
      </c>
      <c r="M6" s="1">
        <f>Quartile_L[[#This Row],[ROE Q3]]+1.5*(Quartile_L[[#This Row],[ROE Q3]]-Quartile_L[[#This Row],[ROE Q1]])</f>
        <v>84.859999999999985</v>
      </c>
      <c r="N6" s="1" cm="1">
        <f t="array" ref="N6">_xlfn.QUARTILE.INC(IF(Quartile_L[[#This Row],[Industry]]=Main_L[Industry],Main_L[ROA]),1)</f>
        <v>2.17</v>
      </c>
      <c r="O6" s="1" cm="1">
        <f t="array" ref="O6">_xlfn.QUARTILE.INC(IF(Quartile_L[[#This Row],[Industry]]=Main_L[Industry],Main_L[ROA]),3)</f>
        <v>4.0049999999999999</v>
      </c>
      <c r="P6" s="1">
        <f>Quartile_L[[#This Row],[ROA Q1]]-1.5*(Quartile_L[[#This Row],[ROA Q3]]-Quartile_L[[#This Row],[ROA Q1]])</f>
        <v>-0.58250000000000002</v>
      </c>
      <c r="Q6" s="1">
        <f>Quartile_L[[#This Row],[ROA Q3]]+1.5*(Quartile_L[[#This Row],[ROA Q3]]-Quartile_L[[#This Row],[ROA Q1]])</f>
        <v>6.7575000000000003</v>
      </c>
      <c r="R6" s="1" cm="1">
        <f t="array" ref="R6">_xlfn.QUARTILE.INC(IF(Quartile_L[[#This Row],[Industry]]=Main_L[Industry],Main_L[P/E]),1)</f>
        <v>26.620977204156887</v>
      </c>
      <c r="S6" s="1" cm="1">
        <f t="array" ref="S6">_xlfn.QUARTILE.INC(IF(Quartile_L[[#This Row],[Industry]]=Main_L[Industry],Main_L[P/E]),3)</f>
        <v>39.671411483253586</v>
      </c>
      <c r="T6" s="1">
        <f>Quartile_L[[#This Row],[P/E Q1]]-1.5*(Quartile_L[[#This Row],[P/E Q3]]-Quartile_L[[#This Row],[P/E Q1]])</f>
        <v>7.0453257855118387</v>
      </c>
      <c r="U6" s="1">
        <f>Quartile_L[[#This Row],[P/E Q3]]+1.5*(Quartile_L[[#This Row],[P/E Q3]]-Quartile_L[[#This Row],[P/E Q1]])</f>
        <v>59.24706290189863</v>
      </c>
      <c r="V6" s="1" cm="1">
        <f t="array" ref="V6">_xlfn.QUARTILE.INC(IF(Quartile_L[[#This Row],[Industry]]=Main_L[Industry],Main_L[A/E]),1)</f>
        <v>1.8250000000000002</v>
      </c>
      <c r="W6" s="1" cm="1">
        <f t="array" ref="W6">_xlfn.QUARTILE.INC(IF(Quartile_L[[#This Row],[Industry]]=Main_L[Industry],Main_L[A/E]),3)</f>
        <v>7.2650000000000006</v>
      </c>
      <c r="X6" s="1">
        <f>Quartile_L[[#This Row],[A/E Q1]]-1.5*(Quartile_L[[#This Row],[A/E Q3]]-Quartile_L[[#This Row],[A/E Q1]])</f>
        <v>-6.335</v>
      </c>
      <c r="Y6" s="1">
        <f>Quartile_L[[#This Row],[A/E Q3]]+1.5*(Quartile_L[[#This Row],[A/E Q3]]-Quartile_L[[#This Row],[A/E Q1]])</f>
        <v>15.425000000000001</v>
      </c>
    </row>
    <row r="7" spans="1:25" x14ac:dyDescent="0.25">
      <c r="A7" t="s">
        <v>107</v>
      </c>
      <c r="B7" s="1" cm="1">
        <f t="array" ref="B7">_xlfn.QUARTILE.INC(IF(Quartile_L[[#This Row],[Industry]]=Main_L[Industry],Main_L[P/FCF]),1)</f>
        <v>20.134935304990758</v>
      </c>
      <c r="C7" s="1" cm="1">
        <f t="array" ref="C7">_xlfn.QUARTILE.INC(IF(Quartile_L[[#This Row],[Industry]]=Main_L[Industry],Main_L[P/FCF]),3)</f>
        <v>20.134935304990758</v>
      </c>
      <c r="D7" s="1">
        <f>Quartile_L[[#This Row],[P/FCF Q1]]-1.5*(Quartile_L[[#This Row],[P/FCF Q3]]-Quartile_L[[#This Row],[P/FCF Q1]])</f>
        <v>20.134935304990758</v>
      </c>
      <c r="E7" s="1">
        <f>Quartile_L[[#This Row],[P/FCF Q3]]+1.5*(Quartile_L[[#This Row],[P/FCF Q3]]-Quartile_L[[#This Row],[P/FCF Q1]])</f>
        <v>20.134935304990758</v>
      </c>
      <c r="F7" s="1" cm="1">
        <f t="array" ref="F7">_xlfn.QUARTILE.INC(IF(Quartile_L[[#This Row],[Industry]]=Main_L[Industry],Main_L[P/B]),1)</f>
        <v>1.8927888792354477</v>
      </c>
      <c r="G7" s="1" cm="1">
        <f t="array" ref="G7">_xlfn.QUARTILE.INC(IF(Quartile_L[[#This Row],[Industry]]=Main_L[Industry],Main_L[P/B]),3)</f>
        <v>1.8927888792354477</v>
      </c>
      <c r="H7" s="1">
        <f>Quartile_L[[#This Row],[P/B Q1]]-1.5*(Quartile_L[[#This Row],[P/B Q3]]-Quartile_L[[#This Row],[P/B Q1]])</f>
        <v>1.8927888792354477</v>
      </c>
      <c r="I7" s="1">
        <f>Quartile_L[[#This Row],[P/B Q3]]+1.5*(Quartile_L[[#This Row],[P/B Q3]]-Quartile_L[[#This Row],[P/B Q1]])</f>
        <v>1.8927888792354477</v>
      </c>
      <c r="J7" s="1" cm="1">
        <f t="array" ref="J7">_xlfn.QUARTILE.INC(IF(Quartile_L[[#This Row],[Industry]]=Main_L[Industry],Main_L[ROE]),1)</f>
        <v>6.83</v>
      </c>
      <c r="K7" s="1" cm="1">
        <f t="array" ref="K7">_xlfn.QUARTILE.INC(IF(Quartile_L[[#This Row],[Industry]]=Main_L[Industry],Main_L[ROE]),3)</f>
        <v>6.83</v>
      </c>
      <c r="L7" s="1">
        <f>Quartile_L[[#This Row],[ROE Q1]]-1.5*(Quartile_L[[#This Row],[ROE Q3]]-Quartile_L[[#This Row],[ROE Q1]])</f>
        <v>6.83</v>
      </c>
      <c r="M7" s="1">
        <f>Quartile_L[[#This Row],[ROE Q3]]+1.5*(Quartile_L[[#This Row],[ROE Q3]]-Quartile_L[[#This Row],[ROE Q1]])</f>
        <v>6.83</v>
      </c>
      <c r="N7" s="1" cm="1">
        <f t="array" ref="N7">_xlfn.QUARTILE.INC(IF(Quartile_L[[#This Row],[Industry]]=Main_L[Industry],Main_L[ROA]),1)</f>
        <v>2.38</v>
      </c>
      <c r="O7" s="1" cm="1">
        <f t="array" ref="O7">_xlfn.QUARTILE.INC(IF(Quartile_L[[#This Row],[Industry]]=Main_L[Industry],Main_L[ROA]),3)</f>
        <v>2.38</v>
      </c>
      <c r="P7" s="1">
        <f>Quartile_L[[#This Row],[ROA Q1]]-1.5*(Quartile_L[[#This Row],[ROA Q3]]-Quartile_L[[#This Row],[ROA Q1]])</f>
        <v>2.38</v>
      </c>
      <c r="Q7" s="1">
        <f>Quartile_L[[#This Row],[ROA Q3]]+1.5*(Quartile_L[[#This Row],[ROA Q3]]-Quartile_L[[#This Row],[ROA Q1]])</f>
        <v>2.38</v>
      </c>
      <c r="R7" s="1" cm="1">
        <f t="array" ref="R7">_xlfn.QUARTILE.INC(IF(Quartile_L[[#This Row],[Industry]]=Main_L[Industry],Main_L[P/E]),1)</f>
        <v>27.164588528678308</v>
      </c>
      <c r="S7" s="1" cm="1">
        <f t="array" ref="S7">_xlfn.QUARTILE.INC(IF(Quartile_L[[#This Row],[Industry]]=Main_L[Industry],Main_L[P/E]),3)</f>
        <v>27.164588528678308</v>
      </c>
      <c r="T7" s="1">
        <f>Quartile_L[[#This Row],[P/E Q1]]-1.5*(Quartile_L[[#This Row],[P/E Q3]]-Quartile_L[[#This Row],[P/E Q1]])</f>
        <v>27.164588528678308</v>
      </c>
      <c r="U7" s="1">
        <f>Quartile_L[[#This Row],[P/E Q3]]+1.5*(Quartile_L[[#This Row],[P/E Q3]]-Quartile_L[[#This Row],[P/E Q1]])</f>
        <v>27.164588528678308</v>
      </c>
      <c r="V7" s="1" cm="1">
        <f t="array" ref="V7">_xlfn.QUARTILE.INC(IF(Quartile_L[[#This Row],[Industry]]=Main_L[Industry],Main_L[A/E]),1)</f>
        <v>1.8</v>
      </c>
      <c r="W7" s="1" cm="1">
        <f t="array" ref="W7">_xlfn.QUARTILE.INC(IF(Quartile_L[[#This Row],[Industry]]=Main_L[Industry],Main_L[A/E]),3)</f>
        <v>1.8</v>
      </c>
      <c r="X7" s="1">
        <f>Quartile_L[[#This Row],[A/E Q1]]-1.5*(Quartile_L[[#This Row],[A/E Q3]]-Quartile_L[[#This Row],[A/E Q1]])</f>
        <v>1.8</v>
      </c>
      <c r="Y7" s="1">
        <f>Quartile_L[[#This Row],[A/E Q3]]+1.5*(Quartile_L[[#This Row],[A/E Q3]]-Quartile_L[[#This Row],[A/E Q1]])</f>
        <v>1.8</v>
      </c>
    </row>
    <row r="8" spans="1:25" x14ac:dyDescent="0.25">
      <c r="A8" t="s">
        <v>110</v>
      </c>
      <c r="B8" s="1" cm="1">
        <f t="array" ref="B8">_xlfn.QUARTILE.INC(IF(Quartile_L[[#This Row],[Industry]]=Main_L[Industry],Main_L[P/FCF]),1)</f>
        <v>7.765853658536586</v>
      </c>
      <c r="C8" s="1" cm="1">
        <f t="array" ref="C8">_xlfn.QUARTILE.INC(IF(Quartile_L[[#This Row],[Industry]]=Main_L[Industry],Main_L[P/FCF]),3)</f>
        <v>7.765853658536586</v>
      </c>
      <c r="D8" s="1">
        <f>Quartile_L[[#This Row],[P/FCF Q1]]-1.5*(Quartile_L[[#This Row],[P/FCF Q3]]-Quartile_L[[#This Row],[P/FCF Q1]])</f>
        <v>7.765853658536586</v>
      </c>
      <c r="E8" s="1">
        <f>Quartile_L[[#This Row],[P/FCF Q3]]+1.5*(Quartile_L[[#This Row],[P/FCF Q3]]-Quartile_L[[#This Row],[P/FCF Q1]])</f>
        <v>7.765853658536586</v>
      </c>
      <c r="F8" s="1" cm="1">
        <f t="array" ref="F8">_xlfn.QUARTILE.INC(IF(Quartile_L[[#This Row],[Industry]]=Main_L[Industry],Main_L[P/B]),1)</f>
        <v>1.6600625651720542</v>
      </c>
      <c r="G8" s="1" cm="1">
        <f t="array" ref="G8">_xlfn.QUARTILE.INC(IF(Quartile_L[[#This Row],[Industry]]=Main_L[Industry],Main_L[P/B]),3)</f>
        <v>1.6600625651720542</v>
      </c>
      <c r="H8" s="1">
        <f>Quartile_L[[#This Row],[P/B Q1]]-1.5*(Quartile_L[[#This Row],[P/B Q3]]-Quartile_L[[#This Row],[P/B Q1]])</f>
        <v>1.6600625651720542</v>
      </c>
      <c r="I8" s="1">
        <f>Quartile_L[[#This Row],[P/B Q3]]+1.5*(Quartile_L[[#This Row],[P/B Q3]]-Quartile_L[[#This Row],[P/B Q1]])</f>
        <v>1.6600625651720542</v>
      </c>
      <c r="J8" s="1" cm="1">
        <f t="array" ref="J8">_xlfn.QUARTILE.INC(IF(Quartile_L[[#This Row],[Industry]]=Main_L[Industry],Main_L[ROE]),1)</f>
        <v>10</v>
      </c>
      <c r="K8" s="1" cm="1">
        <f t="array" ref="K8">_xlfn.QUARTILE.INC(IF(Quartile_L[[#This Row],[Industry]]=Main_L[Industry],Main_L[ROE]),3)</f>
        <v>10</v>
      </c>
      <c r="L8" s="1">
        <f>Quartile_L[[#This Row],[ROE Q1]]-1.5*(Quartile_L[[#This Row],[ROE Q3]]-Quartile_L[[#This Row],[ROE Q1]])</f>
        <v>10</v>
      </c>
      <c r="M8" s="1">
        <f>Quartile_L[[#This Row],[ROE Q3]]+1.5*(Quartile_L[[#This Row],[ROE Q3]]-Quartile_L[[#This Row],[ROE Q1]])</f>
        <v>10</v>
      </c>
      <c r="N8" s="1" cm="1">
        <f t="array" ref="N8">_xlfn.QUARTILE.INC(IF(Quartile_L[[#This Row],[Industry]]=Main_L[Industry],Main_L[ROA]),1)</f>
        <v>3.91</v>
      </c>
      <c r="O8" s="1" cm="1">
        <f t="array" ref="O8">_xlfn.QUARTILE.INC(IF(Quartile_L[[#This Row],[Industry]]=Main_L[Industry],Main_L[ROA]),3)</f>
        <v>3.91</v>
      </c>
      <c r="P8" s="1">
        <f>Quartile_L[[#This Row],[ROA Q1]]-1.5*(Quartile_L[[#This Row],[ROA Q3]]-Quartile_L[[#This Row],[ROA Q1]])</f>
        <v>3.91</v>
      </c>
      <c r="Q8" s="1">
        <f>Quartile_L[[#This Row],[ROA Q3]]+1.5*(Quartile_L[[#This Row],[ROA Q3]]-Quartile_L[[#This Row],[ROA Q1]])</f>
        <v>3.91</v>
      </c>
      <c r="R8" s="1" cm="1">
        <f t="array" ref="R8">_xlfn.QUARTILE.INC(IF(Quartile_L[[#This Row],[Industry]]=Main_L[Industry],Main_L[P/E]),1)</f>
        <v>16.583333333333332</v>
      </c>
      <c r="S8" s="1" cm="1">
        <f t="array" ref="S8">_xlfn.QUARTILE.INC(IF(Quartile_L[[#This Row],[Industry]]=Main_L[Industry],Main_L[P/E]),3)</f>
        <v>16.583333333333332</v>
      </c>
      <c r="T8" s="1">
        <f>Quartile_L[[#This Row],[P/E Q1]]-1.5*(Quartile_L[[#This Row],[P/E Q3]]-Quartile_L[[#This Row],[P/E Q1]])</f>
        <v>16.583333333333332</v>
      </c>
      <c r="U8" s="1">
        <f>Quartile_L[[#This Row],[P/E Q3]]+1.5*(Quartile_L[[#This Row],[P/E Q3]]-Quartile_L[[#This Row],[P/E Q1]])</f>
        <v>16.583333333333332</v>
      </c>
      <c r="V8" s="1" cm="1">
        <f t="array" ref="V8">_xlfn.QUARTILE.INC(IF(Quartile_L[[#This Row],[Industry]]=Main_L[Industry],Main_L[A/E]),1)</f>
        <v>1.95</v>
      </c>
      <c r="W8" s="1" cm="1">
        <f t="array" ref="W8">_xlfn.QUARTILE.INC(IF(Quartile_L[[#This Row],[Industry]]=Main_L[Industry],Main_L[A/E]),3)</f>
        <v>1.95</v>
      </c>
      <c r="X8" s="1">
        <f>Quartile_L[[#This Row],[A/E Q1]]-1.5*(Quartile_L[[#This Row],[A/E Q3]]-Quartile_L[[#This Row],[A/E Q1]])</f>
        <v>1.95</v>
      </c>
      <c r="Y8" s="1">
        <f>Quartile_L[[#This Row],[A/E Q3]]+1.5*(Quartile_L[[#This Row],[A/E Q3]]-Quartile_L[[#This Row],[A/E Q1]])</f>
        <v>1.95</v>
      </c>
    </row>
    <row r="9" spans="1:25" x14ac:dyDescent="0.25">
      <c r="A9" t="s">
        <v>114</v>
      </c>
      <c r="B9" s="1" cm="1">
        <f t="array" ref="B9">_xlfn.QUARTILE.INC(IF(Quartile_L[[#This Row],[Industry]]=Main_L[Industry],Main_L[P/FCF]),1)</f>
        <v>10.099415204678362</v>
      </c>
      <c r="C9" s="1" cm="1">
        <f t="array" ref="C9">_xlfn.QUARTILE.INC(IF(Quartile_L[[#This Row],[Industry]]=Main_L[Industry],Main_L[P/FCF]),3)</f>
        <v>24.096153846153843</v>
      </c>
      <c r="D9" s="1">
        <f>Quartile_L[[#This Row],[P/FCF Q1]]-1.5*(Quartile_L[[#This Row],[P/FCF Q3]]-Quartile_L[[#This Row],[P/FCF Q1]])</f>
        <v>-10.89569275753486</v>
      </c>
      <c r="E9" s="1">
        <f>Quartile_L[[#This Row],[P/FCF Q3]]+1.5*(Quartile_L[[#This Row],[P/FCF Q3]]-Quartile_L[[#This Row],[P/FCF Q1]])</f>
        <v>45.091261808367065</v>
      </c>
      <c r="F9" s="1" cm="1">
        <f t="array" ref="F9">_xlfn.QUARTILE.INC(IF(Quartile_L[[#This Row],[Industry]]=Main_L[Industry],Main_L[P/B]),1)</f>
        <v>1.4735494880546074</v>
      </c>
      <c r="G9" s="1" cm="1">
        <f t="array" ref="G9">_xlfn.QUARTILE.INC(IF(Quartile_L[[#This Row],[Industry]]=Main_L[Industry],Main_L[P/B]),3)</f>
        <v>2.4636256390090443</v>
      </c>
      <c r="H9" s="1">
        <f>Quartile_L[[#This Row],[P/B Q1]]-1.5*(Quartile_L[[#This Row],[P/B Q3]]-Quartile_L[[#This Row],[P/B Q1]])</f>
        <v>-1.1564738377048078E-2</v>
      </c>
      <c r="I9" s="1">
        <f>Quartile_L[[#This Row],[P/B Q3]]+1.5*(Quartile_L[[#This Row],[P/B Q3]]-Quartile_L[[#This Row],[P/B Q1]])</f>
        <v>3.9487398654406998</v>
      </c>
      <c r="J9" s="1" cm="1">
        <f t="array" ref="J9">_xlfn.QUARTILE.INC(IF(Quartile_L[[#This Row],[Industry]]=Main_L[Industry],Main_L[ROE]),1)</f>
        <v>1.48</v>
      </c>
      <c r="K9" s="1" cm="1">
        <f t="array" ref="K9">_xlfn.QUARTILE.INC(IF(Quartile_L[[#This Row],[Industry]]=Main_L[Industry],Main_L[ROE]),3)</f>
        <v>3.48</v>
      </c>
      <c r="L9" s="1">
        <f>Quartile_L[[#This Row],[ROE Q1]]-1.5*(Quartile_L[[#This Row],[ROE Q3]]-Quartile_L[[#This Row],[ROE Q1]])</f>
        <v>-1.52</v>
      </c>
      <c r="M9" s="1">
        <f>Quartile_L[[#This Row],[ROE Q3]]+1.5*(Quartile_L[[#This Row],[ROE Q3]]-Quartile_L[[#This Row],[ROE Q1]])</f>
        <v>6.48</v>
      </c>
      <c r="N9" s="1" cm="1">
        <f t="array" ref="N9">_xlfn.QUARTILE.INC(IF(Quartile_L[[#This Row],[Industry]]=Main_L[Industry],Main_L[ROA]),1)</f>
        <v>1.73</v>
      </c>
      <c r="O9" s="1" cm="1">
        <f t="array" ref="O9">_xlfn.QUARTILE.INC(IF(Quartile_L[[#This Row],[Industry]]=Main_L[Industry],Main_L[ROA]),3)</f>
        <v>1.91</v>
      </c>
      <c r="P9" s="1">
        <f>Quartile_L[[#This Row],[ROA Q1]]-1.5*(Quartile_L[[#This Row],[ROA Q3]]-Quartile_L[[#This Row],[ROA Q1]])</f>
        <v>1.46</v>
      </c>
      <c r="Q9" s="1">
        <f>Quartile_L[[#This Row],[ROA Q3]]+1.5*(Quartile_L[[#This Row],[ROA Q3]]-Quartile_L[[#This Row],[ROA Q1]])</f>
        <v>2.1799999999999997</v>
      </c>
      <c r="R9" s="1" cm="1">
        <f t="array" ref="R9">_xlfn.QUARTILE.INC(IF(Quartile_L[[#This Row],[Industry]]=Main_L[Industry],Main_L[P/E]),1)</f>
        <v>43.174999999999997</v>
      </c>
      <c r="S9" s="1" cm="1">
        <f t="array" ref="S9">_xlfn.QUARTILE.INC(IF(Quartile_L[[#This Row],[Industry]]=Main_L[Industry],Main_L[P/E]),3)</f>
        <v>94.40789473684211</v>
      </c>
      <c r="T9" s="1">
        <f>Quartile_L[[#This Row],[P/E Q1]]-1.5*(Quartile_L[[#This Row],[P/E Q3]]-Quartile_L[[#This Row],[P/E Q1]])</f>
        <v>-33.674342105263165</v>
      </c>
      <c r="U9" s="1">
        <f>Quartile_L[[#This Row],[P/E Q3]]+1.5*(Quartile_L[[#This Row],[P/E Q3]]-Quartile_L[[#This Row],[P/E Q1]])</f>
        <v>171.25723684210527</v>
      </c>
      <c r="V9" s="1" cm="1">
        <f t="array" ref="V9">_xlfn.QUARTILE.INC(IF(Quartile_L[[#This Row],[Industry]]=Main_L[Industry],Main_L[A/E]),1)</f>
        <v>2.0499999999999998</v>
      </c>
      <c r="W9" s="1" cm="1">
        <f t="array" ref="W9">_xlfn.QUARTILE.INC(IF(Quartile_L[[#This Row],[Industry]]=Main_L[Industry],Main_L[A/E]),3)</f>
        <v>2.27</v>
      </c>
      <c r="X9" s="1">
        <f>Quartile_L[[#This Row],[A/E Q1]]-1.5*(Quartile_L[[#This Row],[A/E Q3]]-Quartile_L[[#This Row],[A/E Q1]])</f>
        <v>1.7199999999999995</v>
      </c>
      <c r="Y9" s="1">
        <f>Quartile_L[[#This Row],[A/E Q3]]+1.5*(Quartile_L[[#This Row],[A/E Q3]]-Quartile_L[[#This Row],[A/E Q1]])</f>
        <v>2.6000000000000005</v>
      </c>
    </row>
    <row r="10" spans="1:25" x14ac:dyDescent="0.25">
      <c r="A10" t="s">
        <v>105</v>
      </c>
      <c r="B10" s="1" cm="1">
        <f t="array" ref="B10">_xlfn.QUARTILE.INC(IF(Quartile_L[[#This Row],[Industry]]=Main_L[Industry],Main_L[P/FCF]),1)</f>
        <v>13.02469135802469</v>
      </c>
      <c r="C10" s="1" cm="1">
        <f t="array" ref="C10">_xlfn.QUARTILE.INC(IF(Quartile_L[[#This Row],[Industry]]=Main_L[Industry],Main_L[P/FCF]),3)</f>
        <v>13.02469135802469</v>
      </c>
      <c r="D10" s="1">
        <f>Quartile_L[[#This Row],[P/FCF Q1]]-1.5*(Quartile_L[[#This Row],[P/FCF Q3]]-Quartile_L[[#This Row],[P/FCF Q1]])</f>
        <v>13.02469135802469</v>
      </c>
      <c r="E10" s="1">
        <f>Quartile_L[[#This Row],[P/FCF Q3]]+1.5*(Quartile_L[[#This Row],[P/FCF Q3]]-Quartile_L[[#This Row],[P/FCF Q1]])</f>
        <v>13.02469135802469</v>
      </c>
      <c r="F10" s="1" cm="1">
        <f t="array" ref="F10">_xlfn.QUARTILE.INC(IF(Quartile_L[[#This Row],[Industry]]=Main_L[Industry],Main_L[P/B]),1)</f>
        <v>1.657501963864886</v>
      </c>
      <c r="G10" s="1" cm="1">
        <f t="array" ref="G10">_xlfn.QUARTILE.INC(IF(Quartile_L[[#This Row],[Industry]]=Main_L[Industry],Main_L[P/B]),3)</f>
        <v>1.657501963864886</v>
      </c>
      <c r="H10" s="1">
        <f>Quartile_L[[#This Row],[P/B Q1]]-1.5*(Quartile_L[[#This Row],[P/B Q3]]-Quartile_L[[#This Row],[P/B Q1]])</f>
        <v>1.657501963864886</v>
      </c>
      <c r="I10" s="1">
        <f>Quartile_L[[#This Row],[P/B Q3]]+1.5*(Quartile_L[[#This Row],[P/B Q3]]-Quartile_L[[#This Row],[P/B Q1]])</f>
        <v>1.657501963864886</v>
      </c>
      <c r="J10" s="1" cm="1">
        <f t="array" ref="J10">_xlfn.QUARTILE.INC(IF(Quartile_L[[#This Row],[Industry]]=Main_L[Industry],Main_L[ROE]),1)</f>
        <v>5.01</v>
      </c>
      <c r="K10" s="1" cm="1">
        <f t="array" ref="K10">_xlfn.QUARTILE.INC(IF(Quartile_L[[#This Row],[Industry]]=Main_L[Industry],Main_L[ROE]),3)</f>
        <v>5.01</v>
      </c>
      <c r="L10" s="1">
        <f>Quartile_L[[#This Row],[ROE Q1]]-1.5*(Quartile_L[[#This Row],[ROE Q3]]-Quartile_L[[#This Row],[ROE Q1]])</f>
        <v>5.01</v>
      </c>
      <c r="M10" s="1">
        <f>Quartile_L[[#This Row],[ROE Q3]]+1.5*(Quartile_L[[#This Row],[ROE Q3]]-Quartile_L[[#This Row],[ROE Q1]])</f>
        <v>5.01</v>
      </c>
      <c r="N10" s="1" cm="1">
        <f t="array" ref="N10">_xlfn.QUARTILE.INC(IF(Quartile_L[[#This Row],[Industry]]=Main_L[Industry],Main_L[ROA]),1)</f>
        <v>2.9</v>
      </c>
      <c r="O10" s="1" cm="1">
        <f t="array" ref="O10">_xlfn.QUARTILE.INC(IF(Quartile_L[[#This Row],[Industry]]=Main_L[Industry],Main_L[ROA]),3)</f>
        <v>2.9</v>
      </c>
      <c r="P10" s="1">
        <f>Quartile_L[[#This Row],[ROA Q1]]-1.5*(Quartile_L[[#This Row],[ROA Q3]]-Quartile_L[[#This Row],[ROA Q1]])</f>
        <v>2.9</v>
      </c>
      <c r="Q10" s="1">
        <f>Quartile_L[[#This Row],[ROA Q3]]+1.5*(Quartile_L[[#This Row],[ROA Q3]]-Quartile_L[[#This Row],[ROA Q1]])</f>
        <v>2.9</v>
      </c>
      <c r="R10" s="1" cm="1">
        <f t="array" ref="R10">_xlfn.QUARTILE.INC(IF(Quartile_L[[#This Row],[Industry]]=Main_L[Industry],Main_L[P/E]),1)</f>
        <v>32.628865979381445</v>
      </c>
      <c r="S10" s="1" cm="1">
        <f t="array" ref="S10">_xlfn.QUARTILE.INC(IF(Quartile_L[[#This Row],[Industry]]=Main_L[Industry],Main_L[P/E]),3)</f>
        <v>32.628865979381445</v>
      </c>
      <c r="T10" s="1">
        <f>Quartile_L[[#This Row],[P/E Q1]]-1.5*(Quartile_L[[#This Row],[P/E Q3]]-Quartile_L[[#This Row],[P/E Q1]])</f>
        <v>32.628865979381445</v>
      </c>
      <c r="U10" s="1">
        <f>Quartile_L[[#This Row],[P/E Q3]]+1.5*(Quartile_L[[#This Row],[P/E Q3]]-Quartile_L[[#This Row],[P/E Q1]])</f>
        <v>32.628865979381445</v>
      </c>
      <c r="V10" s="1" cm="1">
        <f t="array" ref="V10">_xlfn.QUARTILE.INC(IF(Quartile_L[[#This Row],[Industry]]=Main_L[Industry],Main_L[A/E]),1)</f>
        <v>2.0699999999999998</v>
      </c>
      <c r="W10" s="1" cm="1">
        <f t="array" ref="W10">_xlfn.QUARTILE.INC(IF(Quartile_L[[#This Row],[Industry]]=Main_L[Industry],Main_L[A/E]),3)</f>
        <v>2.0699999999999998</v>
      </c>
      <c r="X10" s="1">
        <f>Quartile_L[[#This Row],[A/E Q1]]-1.5*(Quartile_L[[#This Row],[A/E Q3]]-Quartile_L[[#This Row],[A/E Q1]])</f>
        <v>2.0699999999999998</v>
      </c>
      <c r="Y10" s="1">
        <f>Quartile_L[[#This Row],[A/E Q3]]+1.5*(Quartile_L[[#This Row],[A/E Q3]]-Quartile_L[[#This Row],[A/E Q1]])</f>
        <v>2.0699999999999998</v>
      </c>
    </row>
    <row r="11" spans="1:25" x14ac:dyDescent="0.25">
      <c r="A11" t="s">
        <v>112</v>
      </c>
      <c r="B11" s="1" cm="1">
        <f t="array" ref="B11">_xlfn.QUARTILE.INC(IF(Quartile_L[[#This Row],[Industry]]=Main_L[Industry],Main_L[P/FCF]),1)</f>
        <v>9.187341772151898</v>
      </c>
      <c r="C11" s="1" cm="1">
        <f t="array" ref="C11">_xlfn.QUARTILE.INC(IF(Quartile_L[[#This Row],[Industry]]=Main_L[Industry],Main_L[P/FCF]),3)</f>
        <v>9.187341772151898</v>
      </c>
      <c r="D11" s="1">
        <f>Quartile_L[[#This Row],[P/FCF Q1]]-1.5*(Quartile_L[[#This Row],[P/FCF Q3]]-Quartile_L[[#This Row],[P/FCF Q1]])</f>
        <v>9.187341772151898</v>
      </c>
      <c r="E11" s="1">
        <f>Quartile_L[[#This Row],[P/FCF Q3]]+1.5*(Quartile_L[[#This Row],[P/FCF Q3]]-Quartile_L[[#This Row],[P/FCF Q1]])</f>
        <v>9.187341772151898</v>
      </c>
      <c r="F11" s="1" cm="1">
        <f t="array" ref="F11">_xlfn.QUARTILE.INC(IF(Quartile_L[[#This Row],[Industry]]=Main_L[Industry],Main_L[P/B]),1)</f>
        <v>2.1601190476190473</v>
      </c>
      <c r="G11" s="1" cm="1">
        <f t="array" ref="G11">_xlfn.QUARTILE.INC(IF(Quartile_L[[#This Row],[Industry]]=Main_L[Industry],Main_L[P/B]),3)</f>
        <v>2.1601190476190473</v>
      </c>
      <c r="H11" s="1">
        <f>Quartile_L[[#This Row],[P/B Q1]]-1.5*(Quartile_L[[#This Row],[P/B Q3]]-Quartile_L[[#This Row],[P/B Q1]])</f>
        <v>2.1601190476190473</v>
      </c>
      <c r="I11" s="1">
        <f>Quartile_L[[#This Row],[P/B Q3]]+1.5*(Quartile_L[[#This Row],[P/B Q3]]-Quartile_L[[#This Row],[P/B Q1]])</f>
        <v>2.1601190476190473</v>
      </c>
      <c r="J11" s="1" cm="1">
        <f t="array" ref="J11">_xlfn.QUARTILE.INC(IF(Quartile_L[[#This Row],[Industry]]=Main_L[Industry],Main_L[ROE]),1)</f>
        <v>0.8</v>
      </c>
      <c r="K11" s="1" cm="1">
        <f t="array" ref="K11">_xlfn.QUARTILE.INC(IF(Quartile_L[[#This Row],[Industry]]=Main_L[Industry],Main_L[ROE]),3)</f>
        <v>0.8</v>
      </c>
      <c r="L11" s="1">
        <f>Quartile_L[[#This Row],[ROE Q1]]-1.5*(Quartile_L[[#This Row],[ROE Q3]]-Quartile_L[[#This Row],[ROE Q1]])</f>
        <v>0.8</v>
      </c>
      <c r="M11" s="1">
        <f>Quartile_L[[#This Row],[ROE Q3]]+1.5*(Quartile_L[[#This Row],[ROE Q3]]-Quartile_L[[#This Row],[ROE Q1]])</f>
        <v>0.8</v>
      </c>
      <c r="N11" s="1" cm="1">
        <f t="array" ref="N11">_xlfn.QUARTILE.INC(IF(Quartile_L[[#This Row],[Industry]]=Main_L[Industry],Main_L[ROA]),1)</f>
        <v>2.46</v>
      </c>
      <c r="O11" s="1" cm="1">
        <f t="array" ref="O11">_xlfn.QUARTILE.INC(IF(Quartile_L[[#This Row],[Industry]]=Main_L[Industry],Main_L[ROA]),3)</f>
        <v>2.46</v>
      </c>
      <c r="P11" s="1">
        <f>Quartile_L[[#This Row],[ROA Q1]]-1.5*(Quartile_L[[#This Row],[ROA Q3]]-Quartile_L[[#This Row],[ROA Q1]])</f>
        <v>2.46</v>
      </c>
      <c r="Q11" s="1">
        <f>Quartile_L[[#This Row],[ROA Q3]]+1.5*(Quartile_L[[#This Row],[ROA Q3]]-Quartile_L[[#This Row],[ROA Q1]])</f>
        <v>2.46</v>
      </c>
      <c r="R11" s="1" cm="1">
        <f t="array" ref="R11">_xlfn.QUARTILE.INC(IF(Quartile_L[[#This Row],[Industry]]=Main_L[Industry],Main_L[P/E]),1)</f>
        <v>-2419.3333333333335</v>
      </c>
      <c r="S11" s="1" cm="1">
        <f t="array" ref="S11">_xlfn.QUARTILE.INC(IF(Quartile_L[[#This Row],[Industry]]=Main_L[Industry],Main_L[P/E]),3)</f>
        <v>-2419.3333333333335</v>
      </c>
      <c r="T11" s="1">
        <f>Quartile_L[[#This Row],[P/E Q1]]-1.5*(Quartile_L[[#This Row],[P/E Q3]]-Quartile_L[[#This Row],[P/E Q1]])</f>
        <v>-2419.3333333333335</v>
      </c>
      <c r="U11" s="1">
        <f>Quartile_L[[#This Row],[P/E Q3]]+1.5*(Quartile_L[[#This Row],[P/E Q3]]-Quartile_L[[#This Row],[P/E Q1]])</f>
        <v>-2419.3333333333335</v>
      </c>
      <c r="V11" s="1" cm="1">
        <f t="array" ref="V11">_xlfn.QUARTILE.INC(IF(Quartile_L[[#This Row],[Industry]]=Main_L[Industry],Main_L[A/E]),1)</f>
        <v>4.78</v>
      </c>
      <c r="W11" s="1" cm="1">
        <f t="array" ref="W11">_xlfn.QUARTILE.INC(IF(Quartile_L[[#This Row],[Industry]]=Main_L[Industry],Main_L[A/E]),3)</f>
        <v>4.78</v>
      </c>
      <c r="X11" s="1">
        <f>Quartile_L[[#This Row],[A/E Q1]]-1.5*(Quartile_L[[#This Row],[A/E Q3]]-Quartile_L[[#This Row],[A/E Q1]])</f>
        <v>4.78</v>
      </c>
      <c r="Y11" s="1">
        <f>Quartile_L[[#This Row],[A/E Q3]]+1.5*(Quartile_L[[#This Row],[A/E Q3]]-Quartile_L[[#This Row],[A/E Q1]])</f>
        <v>4.78</v>
      </c>
    </row>
    <row r="14" spans="1:25" x14ac:dyDescent="0.25">
      <c r="A14" t="s">
        <v>22</v>
      </c>
    </row>
    <row r="15" spans="1:25" x14ac:dyDescent="0.25">
      <c r="A15" t="s">
        <v>1</v>
      </c>
      <c r="B15" t="s">
        <v>2</v>
      </c>
      <c r="C15" t="s">
        <v>3</v>
      </c>
      <c r="D15" t="s">
        <v>4</v>
      </c>
      <c r="E15" t="s">
        <v>5</v>
      </c>
      <c r="F15" t="s">
        <v>72</v>
      </c>
      <c r="G15" t="s">
        <v>73</v>
      </c>
      <c r="H15" t="s">
        <v>74</v>
      </c>
      <c r="I15" t="s">
        <v>75</v>
      </c>
      <c r="J15" t="s">
        <v>6</v>
      </c>
      <c r="K15" t="s">
        <v>7</v>
      </c>
      <c r="L15" t="s">
        <v>8</v>
      </c>
      <c r="M15" t="s">
        <v>9</v>
      </c>
      <c r="N15" t="s">
        <v>10</v>
      </c>
      <c r="O15" t="s">
        <v>11</v>
      </c>
      <c r="P15" t="s">
        <v>12</v>
      </c>
      <c r="Q15" t="s">
        <v>13</v>
      </c>
      <c r="R15" t="s">
        <v>14</v>
      </c>
      <c r="S15" t="s">
        <v>15</v>
      </c>
      <c r="T15" t="s">
        <v>16</v>
      </c>
      <c r="U15" t="s">
        <v>17</v>
      </c>
      <c r="V15" t="s">
        <v>18</v>
      </c>
      <c r="W15" t="s">
        <v>19</v>
      </c>
      <c r="X15" t="s">
        <v>20</v>
      </c>
      <c r="Y15" t="s">
        <v>21</v>
      </c>
    </row>
    <row r="16" spans="1:25" x14ac:dyDescent="0.25">
      <c r="A16" t="s">
        <v>135</v>
      </c>
      <c r="B16" s="1" cm="1">
        <f t="array" ref="B16">_xlfn.QUARTILE.INC(IF(Quartile_M[[#This Row],[Industry]]=Main_M[Industry],Main_M[P/FCF]),1)</f>
        <v>10.262026060546685</v>
      </c>
      <c r="C16" s="1" cm="1">
        <f t="array" ref="C16">_xlfn.QUARTILE.INC(IF(Quartile_M[[#This Row],[Industry]]=Main_M[Industry],Main_M[P/FCF]),3)</f>
        <v>15.709733201581029</v>
      </c>
      <c r="D16" s="1">
        <f>Quartile_M[[#This Row],[P/FCF Q1]]-1.5*(Quartile_M[[#This Row],[P/FCF Q3]]-Quartile_M[[#This Row],[P/FCF Q1]])</f>
        <v>2.090465348995167</v>
      </c>
      <c r="E16" s="1">
        <f>Quartile_M[[#This Row],[P/FCF Q3]]+1.5*(Quartile_M[[#This Row],[P/FCF Q3]]-Quartile_M[[#This Row],[P/FCF Q1]])</f>
        <v>23.881293913132545</v>
      </c>
      <c r="F16" s="1" cm="1">
        <f t="array" ref="F16">_xlfn.QUARTILE.INC(IF(Quartile_M[[#This Row],[Industry]]=Main_M[Industry],Main_M[P/B]),1)</f>
        <v>1.7819419130844554</v>
      </c>
      <c r="G16" s="1" cm="1">
        <f t="array" ref="G16">_xlfn.QUARTILE.INC(IF(Quartile_M[[#This Row],[Industry]]=Main_M[Industry],Main_M[P/B]),3)</f>
        <v>3.5309505131032144</v>
      </c>
      <c r="H16" s="1">
        <f>Quartile_M[[#This Row],[P/B Q1]]-1.5*(Quartile_M[[#This Row],[P/B Q3]]-Quartile_M[[#This Row],[P/B Q1]])</f>
        <v>-0.84157098694368315</v>
      </c>
      <c r="I16" s="1">
        <f>Quartile_M[[#This Row],[P/B Q3]]+1.5*(Quartile_M[[#This Row],[P/B Q3]]-Quartile_M[[#This Row],[P/B Q1]])</f>
        <v>6.1544634131313529</v>
      </c>
      <c r="J16" s="1" cm="1">
        <f t="array" ref="J16">_xlfn.QUARTILE.INC(IF(Quartile_M[[#This Row],[Industry]]=Main_M[Industry],Main_M[ROE]),1)</f>
        <v>2.31</v>
      </c>
      <c r="K16" s="1" cm="1">
        <f t="array" ref="K16">_xlfn.QUARTILE.INC(IF(Quartile_M[[#This Row],[Industry]]=Main_M[Industry],Main_M[ROE]),3)</f>
        <v>13.34</v>
      </c>
      <c r="L16" s="1">
        <f>Quartile_M[[#This Row],[ROE Q1]]-1.5*(Quartile_M[[#This Row],[ROE Q3]]-Quartile_M[[#This Row],[ROE Q1]])</f>
        <v>-14.234999999999998</v>
      </c>
      <c r="M16" s="1">
        <f>Quartile_M[[#This Row],[ROE Q3]]+1.5*(Quartile_M[[#This Row],[ROE Q3]]-Quartile_M[[#This Row],[ROE Q1]])</f>
        <v>29.884999999999998</v>
      </c>
      <c r="N16" s="1" cm="1">
        <f t="array" ref="N16">_xlfn.QUARTILE.INC(IF(Quartile_M[[#This Row],[Industry]]=Main_M[Industry],Main_M[ROA]),1)</f>
        <v>2.12</v>
      </c>
      <c r="O16" s="1" cm="1">
        <f t="array" ref="O16">_xlfn.QUARTILE.INC(IF(Quartile_M[[#This Row],[Industry]]=Main_M[Industry],Main_M[ROA]),3)</f>
        <v>4.07</v>
      </c>
      <c r="P16" s="1">
        <f>Quartile_M[[#This Row],[ROA Q1]]-1.5*(Quartile_M[[#This Row],[ROA Q3]]-Quartile_M[[#This Row],[ROA Q1]])</f>
        <v>-0.80500000000000016</v>
      </c>
      <c r="Q16" s="1">
        <f>Quartile_M[[#This Row],[ROA Q3]]+1.5*(Quartile_M[[#This Row],[ROA Q3]]-Quartile_M[[#This Row],[ROA Q1]])</f>
        <v>6.995000000000001</v>
      </c>
      <c r="R16" s="1" cm="1">
        <f t="array" ref="R16">_xlfn.QUARTILE.INC(IF(Quartile_M[[#This Row],[Industry]]=Main_M[Industry],Main_M[P/E]),1)</f>
        <v>10.583852608840147</v>
      </c>
      <c r="S16" s="1" cm="1">
        <f t="array" ref="S16">_xlfn.QUARTILE.INC(IF(Quartile_M[[#This Row],[Industry]]=Main_M[Industry],Main_M[P/E]),3)</f>
        <v>42.237352911596105</v>
      </c>
      <c r="T16" s="1">
        <f>Quartile_M[[#This Row],[P/E Q1]]-1.5*(Quartile_M[[#This Row],[P/E Q3]]-Quartile_M[[#This Row],[P/E Q1]])</f>
        <v>-36.896397845293791</v>
      </c>
      <c r="U16" s="1">
        <f>Quartile_M[[#This Row],[P/E Q3]]+1.5*(Quartile_M[[#This Row],[P/E Q3]]-Quartile_M[[#This Row],[P/E Q1]])</f>
        <v>89.717603365730042</v>
      </c>
      <c r="V16" s="1" cm="1">
        <f t="array" ref="V16">_xlfn.QUARTILE.INC(IF(Quartile_M[[#This Row],[Industry]]=Main_M[Industry],Main_M[A/E]),1)</f>
        <v>1.75</v>
      </c>
      <c r="W16" s="1" cm="1">
        <f t="array" ref="W16">_xlfn.QUARTILE.INC(IF(Quartile_M[[#This Row],[Industry]]=Main_M[Industry],Main_M[A/E]),3)</f>
        <v>6.98</v>
      </c>
      <c r="X16" s="1">
        <f>Quartile_M[[#This Row],[A/E Q1]]-1.5*(Quartile_M[[#This Row],[A/E Q3]]-Quartile_M[[#This Row],[A/E Q1]])</f>
        <v>-6.0950000000000006</v>
      </c>
      <c r="Y16" s="1">
        <f>Quartile_M[[#This Row],[A/E Q3]]+1.5*(Quartile_M[[#This Row],[A/E Q3]]-Quartile_M[[#This Row],[A/E Q1]])</f>
        <v>14.825000000000001</v>
      </c>
    </row>
    <row r="17" spans="1:25" x14ac:dyDescent="0.25">
      <c r="A17" t="s">
        <v>147</v>
      </c>
      <c r="B17" s="1" cm="1">
        <f t="array" ref="B17">_xlfn.QUARTILE.INC(IF(Quartile_M[[#This Row],[Industry]]=Main_M[Industry],Main_M[P/FCF]),1)</f>
        <v>18.879342037682804</v>
      </c>
      <c r="C17" s="1" cm="1">
        <f t="array" ref="C17">_xlfn.QUARTILE.INC(IF(Quartile_M[[#This Row],[Industry]]=Main_M[Industry],Main_M[P/FCF]),3)</f>
        <v>31.709486166007903</v>
      </c>
      <c r="D17" s="1">
        <f>Quartile_M[[#This Row],[P/FCF Q1]]-1.5*(Quartile_M[[#This Row],[P/FCF Q3]]-Quartile_M[[#This Row],[P/FCF Q1]])</f>
        <v>-0.36587415480484253</v>
      </c>
      <c r="E17" s="1">
        <f>Quartile_M[[#This Row],[P/FCF Q3]]+1.5*(Quartile_M[[#This Row],[P/FCF Q3]]-Quartile_M[[#This Row],[P/FCF Q1]])</f>
        <v>50.954702358495553</v>
      </c>
      <c r="F17" s="1" cm="1">
        <f t="array" ref="F17">_xlfn.QUARTILE.INC(IF(Quartile_M[[#This Row],[Industry]]=Main_M[Industry],Main_M[P/B]),1)</f>
        <v>2.5184791666666664</v>
      </c>
      <c r="G17" s="1" cm="1">
        <f t="array" ref="G17">_xlfn.QUARTILE.INC(IF(Quartile_M[[#This Row],[Industry]]=Main_M[Industry],Main_M[P/B]),3)</f>
        <v>5.8664672841756627</v>
      </c>
      <c r="H17" s="1">
        <f>Quartile_M[[#This Row],[P/B Q1]]-1.5*(Quartile_M[[#This Row],[P/B Q3]]-Quartile_M[[#This Row],[P/B Q1]])</f>
        <v>-2.5035030095968276</v>
      </c>
      <c r="I17" s="1">
        <f>Quartile_M[[#This Row],[P/B Q3]]+1.5*(Quartile_M[[#This Row],[P/B Q3]]-Quartile_M[[#This Row],[P/B Q1]])</f>
        <v>10.888449460439157</v>
      </c>
      <c r="J17" s="1" cm="1">
        <f t="array" ref="J17">_xlfn.QUARTILE.INC(IF(Quartile_M[[#This Row],[Industry]]=Main_M[Industry],Main_M[ROE]),1)</f>
        <v>7</v>
      </c>
      <c r="K17" s="1" cm="1">
        <f t="array" ref="K17">_xlfn.QUARTILE.INC(IF(Quartile_M[[#This Row],[Industry]]=Main_M[Industry],Main_M[ROE]),3)</f>
        <v>10.67</v>
      </c>
      <c r="L17" s="1">
        <f>Quartile_M[[#This Row],[ROE Q1]]-1.5*(Quartile_M[[#This Row],[ROE Q3]]-Quartile_M[[#This Row],[ROE Q1]])</f>
        <v>1.4950000000000001</v>
      </c>
      <c r="M17" s="1">
        <f>Quartile_M[[#This Row],[ROE Q3]]+1.5*(Quartile_M[[#This Row],[ROE Q3]]-Quartile_M[[#This Row],[ROE Q1]])</f>
        <v>16.175000000000001</v>
      </c>
      <c r="N17" s="1" cm="1">
        <f t="array" ref="N17">_xlfn.QUARTILE.INC(IF(Quartile_M[[#This Row],[Industry]]=Main_M[Industry],Main_M[ROA]),1)</f>
        <v>3.3</v>
      </c>
      <c r="O17" s="1" cm="1">
        <f t="array" ref="O17">_xlfn.QUARTILE.INC(IF(Quartile_M[[#This Row],[Industry]]=Main_M[Industry],Main_M[ROA]),3)</f>
        <v>3.915</v>
      </c>
      <c r="P17" s="1">
        <f>Quartile_M[[#This Row],[ROA Q1]]-1.5*(Quartile_M[[#This Row],[ROA Q3]]-Quartile_M[[#This Row],[ROA Q1]])</f>
        <v>2.3774999999999995</v>
      </c>
      <c r="Q17" s="1">
        <f>Quartile_M[[#This Row],[ROA Q3]]+1.5*(Quartile_M[[#This Row],[ROA Q3]]-Quartile_M[[#This Row],[ROA Q1]])</f>
        <v>4.8375000000000004</v>
      </c>
      <c r="R17" s="1" cm="1">
        <f t="array" ref="R17">_xlfn.QUARTILE.INC(IF(Quartile_M[[#This Row],[Industry]]=Main_M[Industry],Main_M[P/E]),1)</f>
        <v>12.945139458572601</v>
      </c>
      <c r="S17" s="1" cm="1">
        <f t="array" ref="S17">_xlfn.QUARTILE.INC(IF(Quartile_M[[#This Row],[Industry]]=Main_M[Industry],Main_M[P/E]),3)</f>
        <v>52.926330613830615</v>
      </c>
      <c r="T17" s="1">
        <f>Quartile_M[[#This Row],[P/E Q1]]-1.5*(Quartile_M[[#This Row],[P/E Q3]]-Quartile_M[[#This Row],[P/E Q1]])</f>
        <v>-47.026647274314428</v>
      </c>
      <c r="U17" s="1">
        <f>Quartile_M[[#This Row],[P/E Q3]]+1.5*(Quartile_M[[#This Row],[P/E Q3]]-Quartile_M[[#This Row],[P/E Q1]])</f>
        <v>112.89811734671764</v>
      </c>
      <c r="V17" s="1" cm="1">
        <f t="array" ref="V17">_xlfn.QUARTILE.INC(IF(Quartile_M[[#This Row],[Industry]]=Main_M[Industry],Main_M[A/E]),1)</f>
        <v>2.2800000000000002</v>
      </c>
      <c r="W17" s="1" cm="1">
        <f t="array" ref="W17">_xlfn.QUARTILE.INC(IF(Quartile_M[[#This Row],[Industry]]=Main_M[Industry],Main_M[A/E]),3)</f>
        <v>3.84</v>
      </c>
      <c r="X17" s="1">
        <f>Quartile_M[[#This Row],[A/E Q1]]-1.5*(Quartile_M[[#This Row],[A/E Q3]]-Quartile_M[[#This Row],[A/E Q1]])</f>
        <v>-5.9999999999999165E-2</v>
      </c>
      <c r="Y17" s="1">
        <f>Quartile_M[[#This Row],[A/E Q3]]+1.5*(Quartile_M[[#This Row],[A/E Q3]]-Quartile_M[[#This Row],[A/E Q1]])</f>
        <v>6.18</v>
      </c>
    </row>
    <row r="18" spans="1:25" x14ac:dyDescent="0.25">
      <c r="A18" t="s">
        <v>120</v>
      </c>
      <c r="B18" s="1" cm="1">
        <f t="array" ref="B18">_xlfn.QUARTILE.INC(IF(Quartile_M[[#This Row],[Industry]]=Main_M[Industry],Main_M[P/FCF]),1)</f>
        <v>15.831520155415252</v>
      </c>
      <c r="C18" s="1" cm="1">
        <f t="array" ref="C18">_xlfn.QUARTILE.INC(IF(Quartile_M[[#This Row],[Industry]]=Main_M[Industry],Main_M[P/FCF]),3)</f>
        <v>22.450882305326211</v>
      </c>
      <c r="D18" s="1">
        <f>Quartile_M[[#This Row],[P/FCF Q1]]-1.5*(Quartile_M[[#This Row],[P/FCF Q3]]-Quartile_M[[#This Row],[P/FCF Q1]])</f>
        <v>5.9024769305488132</v>
      </c>
      <c r="E18" s="1">
        <f>Quartile_M[[#This Row],[P/FCF Q3]]+1.5*(Quartile_M[[#This Row],[P/FCF Q3]]-Quartile_M[[#This Row],[P/FCF Q1]])</f>
        <v>32.379925530192651</v>
      </c>
      <c r="F18" s="1" cm="1">
        <f t="array" ref="F18">_xlfn.QUARTILE.INC(IF(Quartile_M[[#This Row],[Industry]]=Main_M[Industry],Main_M[P/B]),1)</f>
        <v>0.94375704519772041</v>
      </c>
      <c r="G18" s="1" cm="1">
        <f t="array" ref="G18">_xlfn.QUARTILE.INC(IF(Quartile_M[[#This Row],[Industry]]=Main_M[Industry],Main_M[P/B]),3)</f>
        <v>1.1379032599454926</v>
      </c>
      <c r="H18" s="1">
        <f>Quartile_M[[#This Row],[P/B Q1]]-1.5*(Quartile_M[[#This Row],[P/B Q3]]-Quartile_M[[#This Row],[P/B Q1]])</f>
        <v>0.65253772307606217</v>
      </c>
      <c r="I18" s="1">
        <f>Quartile_M[[#This Row],[P/B Q3]]+1.5*(Quartile_M[[#This Row],[P/B Q3]]-Quartile_M[[#This Row],[P/B Q1]])</f>
        <v>1.4291225820671509</v>
      </c>
      <c r="J18" s="1" cm="1">
        <f t="array" ref="J18">_xlfn.QUARTILE.INC(IF(Quartile_M[[#This Row],[Industry]]=Main_M[Industry],Main_M[ROE]),1)</f>
        <v>1.37</v>
      </c>
      <c r="K18" s="1" cm="1">
        <f t="array" ref="K18">_xlfn.QUARTILE.INC(IF(Quartile_M[[#This Row],[Industry]]=Main_M[Industry],Main_M[ROE]),3)</f>
        <v>2.39</v>
      </c>
      <c r="L18" s="1">
        <f>Quartile_M[[#This Row],[ROE Q1]]-1.5*(Quartile_M[[#This Row],[ROE Q3]]-Quartile_M[[#This Row],[ROE Q1]])</f>
        <v>-0.15999999999999992</v>
      </c>
      <c r="M18" s="1">
        <f>Quartile_M[[#This Row],[ROE Q3]]+1.5*(Quartile_M[[#This Row],[ROE Q3]]-Quartile_M[[#This Row],[ROE Q1]])</f>
        <v>3.92</v>
      </c>
      <c r="N18" s="1" cm="1">
        <f t="array" ref="N18">_xlfn.QUARTILE.INC(IF(Quartile_M[[#This Row],[Industry]]=Main_M[Industry],Main_M[ROA]),1)</f>
        <v>1.6174999999999999</v>
      </c>
      <c r="O18" s="1" cm="1">
        <f t="array" ref="O18">_xlfn.QUARTILE.INC(IF(Quartile_M[[#This Row],[Industry]]=Main_M[Industry],Main_M[ROA]),3)</f>
        <v>2.2124999999999999</v>
      </c>
      <c r="P18" s="1">
        <f>Quartile_M[[#This Row],[ROA Q1]]-1.5*(Quartile_M[[#This Row],[ROA Q3]]-Quartile_M[[#This Row],[ROA Q1]])</f>
        <v>0.72499999999999998</v>
      </c>
      <c r="Q18" s="1">
        <f>Quartile_M[[#This Row],[ROA Q3]]+1.5*(Quartile_M[[#This Row],[ROA Q3]]-Quartile_M[[#This Row],[ROA Q1]])</f>
        <v>3.105</v>
      </c>
      <c r="R18" s="1" cm="1">
        <f t="array" ref="R18">_xlfn.QUARTILE.INC(IF(Quartile_M[[#This Row],[Industry]]=Main_M[Industry],Main_M[P/E]),1)</f>
        <v>85.196546310832019</v>
      </c>
      <c r="S18" s="1" cm="1">
        <f t="array" ref="S18">_xlfn.QUARTILE.INC(IF(Quartile_M[[#This Row],[Industry]]=Main_M[Industry],Main_M[P/E]),3)</f>
        <v>122.19372056514914</v>
      </c>
      <c r="T18" s="1">
        <f>Quartile_M[[#This Row],[P/E Q1]]-1.5*(Quartile_M[[#This Row],[P/E Q3]]-Quartile_M[[#This Row],[P/E Q1]])</f>
        <v>29.700784929356345</v>
      </c>
      <c r="U18" s="1">
        <f>Quartile_M[[#This Row],[P/E Q3]]+1.5*(Quartile_M[[#This Row],[P/E Q3]]-Quartile_M[[#This Row],[P/E Q1]])</f>
        <v>177.68948194662482</v>
      </c>
      <c r="V18" s="1" cm="1">
        <f t="array" ref="V18">_xlfn.QUARTILE.INC(IF(Quartile_M[[#This Row],[Industry]]=Main_M[Industry],Main_M[A/E]),1)</f>
        <v>1.7075</v>
      </c>
      <c r="W18" s="1" cm="1">
        <f t="array" ref="W18">_xlfn.QUARTILE.INC(IF(Quartile_M[[#This Row],[Industry]]=Main_M[Industry],Main_M[A/E]),3)</f>
        <v>1.7224999999999999</v>
      </c>
      <c r="X18" s="1">
        <f>Quartile_M[[#This Row],[A/E Q1]]-1.5*(Quartile_M[[#This Row],[A/E Q3]]-Quartile_M[[#This Row],[A/E Q1]])</f>
        <v>1.6850000000000001</v>
      </c>
      <c r="Y18" s="1">
        <f>Quartile_M[[#This Row],[A/E Q3]]+1.5*(Quartile_M[[#This Row],[A/E Q3]]-Quartile_M[[#This Row],[A/E Q1]])</f>
        <v>1.7449999999999997</v>
      </c>
    </row>
    <row r="19" spans="1:25" x14ac:dyDescent="0.25">
      <c r="A19" t="s">
        <v>131</v>
      </c>
      <c r="B19" s="1" cm="1">
        <f t="array" ref="B19">_xlfn.QUARTILE.INC(IF(Quartile_M[[#This Row],[Industry]]=Main_M[Industry],Main_M[P/FCF]),1)</f>
        <v>12.470873786407767</v>
      </c>
      <c r="C19" s="1" cm="1">
        <f t="array" ref="C19">_xlfn.QUARTILE.INC(IF(Quartile_M[[#This Row],[Industry]]=Main_M[Industry],Main_M[P/FCF]),3)</f>
        <v>16.952272727272728</v>
      </c>
      <c r="D19" s="1">
        <f>Quartile_M[[#This Row],[P/FCF Q1]]-1.5*(Quartile_M[[#This Row],[P/FCF Q3]]-Quartile_M[[#This Row],[P/FCF Q1]])</f>
        <v>5.7487753751103243</v>
      </c>
      <c r="E19" s="1">
        <f>Quartile_M[[#This Row],[P/FCF Q3]]+1.5*(Quartile_M[[#This Row],[P/FCF Q3]]-Quartile_M[[#This Row],[P/FCF Q1]])</f>
        <v>23.674371138570169</v>
      </c>
      <c r="F19" s="1" cm="1">
        <f t="array" ref="F19">_xlfn.QUARTILE.INC(IF(Quartile_M[[#This Row],[Industry]]=Main_M[Industry],Main_M[P/B]),1)</f>
        <v>1.2453754080522308</v>
      </c>
      <c r="G19" s="1" cm="1">
        <f t="array" ref="G19">_xlfn.QUARTILE.INC(IF(Quartile_M[[#This Row],[Industry]]=Main_M[Industry],Main_M[P/B]),3)</f>
        <v>1.9571351058057516</v>
      </c>
      <c r="H19" s="1">
        <f>Quartile_M[[#This Row],[P/B Q1]]-1.5*(Quartile_M[[#This Row],[P/B Q3]]-Quartile_M[[#This Row],[P/B Q1]])</f>
        <v>0.17773586142194953</v>
      </c>
      <c r="I19" s="1">
        <f>Quartile_M[[#This Row],[P/B Q3]]+1.5*(Quartile_M[[#This Row],[P/B Q3]]-Quartile_M[[#This Row],[P/B Q1]])</f>
        <v>3.0247746524360331</v>
      </c>
      <c r="J19" s="1" cm="1">
        <f t="array" ref="J19">_xlfn.QUARTILE.INC(IF(Quartile_M[[#This Row],[Industry]]=Main_M[Industry],Main_M[ROE]),1)</f>
        <v>0.92</v>
      </c>
      <c r="K19" s="1" cm="1">
        <f t="array" ref="K19">_xlfn.QUARTILE.INC(IF(Quartile_M[[#This Row],[Industry]]=Main_M[Industry],Main_M[ROE]),3)</f>
        <v>9.4499999999999993</v>
      </c>
      <c r="L19" s="1">
        <f>Quartile_M[[#This Row],[ROE Q1]]-1.5*(Quartile_M[[#This Row],[ROE Q3]]-Quartile_M[[#This Row],[ROE Q1]])</f>
        <v>-11.874999999999998</v>
      </c>
      <c r="M19" s="1">
        <f>Quartile_M[[#This Row],[ROE Q3]]+1.5*(Quartile_M[[#This Row],[ROE Q3]]-Quartile_M[[#This Row],[ROE Q1]])</f>
        <v>22.244999999999997</v>
      </c>
      <c r="N19" s="1" cm="1">
        <f t="array" ref="N19">_xlfn.QUARTILE.INC(IF(Quartile_M[[#This Row],[Industry]]=Main_M[Industry],Main_M[ROA]),1)</f>
        <v>1.73</v>
      </c>
      <c r="O19" s="1" cm="1">
        <f t="array" ref="O19">_xlfn.QUARTILE.INC(IF(Quartile_M[[#This Row],[Industry]]=Main_M[Industry],Main_M[ROA]),3)</f>
        <v>3.39</v>
      </c>
      <c r="P19" s="1">
        <f>Quartile_M[[#This Row],[ROA Q1]]-1.5*(Quartile_M[[#This Row],[ROA Q3]]-Quartile_M[[#This Row],[ROA Q1]])</f>
        <v>-0.76000000000000023</v>
      </c>
      <c r="Q19" s="1">
        <f>Quartile_M[[#This Row],[ROA Q3]]+1.5*(Quartile_M[[#This Row],[ROA Q3]]-Quartile_M[[#This Row],[ROA Q1]])</f>
        <v>5.8800000000000008</v>
      </c>
      <c r="R19" s="1" cm="1">
        <f t="array" ref="R19">_xlfn.QUARTILE.INC(IF(Quartile_M[[#This Row],[Industry]]=Main_M[Industry],Main_M[P/E]),1)</f>
        <v>21.474</v>
      </c>
      <c r="S19" s="1" cm="1">
        <f t="array" ref="S19">_xlfn.QUARTILE.INC(IF(Quartile_M[[#This Row],[Industry]]=Main_M[Industry],Main_M[P/E]),3)</f>
        <v>63.280701754385973</v>
      </c>
      <c r="T19" s="1">
        <f>Quartile_M[[#This Row],[P/E Q1]]-1.5*(Quartile_M[[#This Row],[P/E Q3]]-Quartile_M[[#This Row],[P/E Q1]])</f>
        <v>-41.236052631578957</v>
      </c>
      <c r="U19" s="1">
        <f>Quartile_M[[#This Row],[P/E Q3]]+1.5*(Quartile_M[[#This Row],[P/E Q3]]-Quartile_M[[#This Row],[P/E Q1]])</f>
        <v>125.99075438596492</v>
      </c>
      <c r="V19" s="1" cm="1">
        <f t="array" ref="V19">_xlfn.QUARTILE.INC(IF(Quartile_M[[#This Row],[Industry]]=Main_M[Industry],Main_M[A/E]),1)</f>
        <v>2.06</v>
      </c>
      <c r="W19" s="1" cm="1">
        <f t="array" ref="W19">_xlfn.QUARTILE.INC(IF(Quartile_M[[#This Row],[Industry]]=Main_M[Industry],Main_M[A/E]),3)</f>
        <v>2.91</v>
      </c>
      <c r="X19" s="1">
        <f>Quartile_M[[#This Row],[A/E Q1]]-1.5*(Quartile_M[[#This Row],[A/E Q3]]-Quartile_M[[#This Row],[A/E Q1]])</f>
        <v>0.78499999999999992</v>
      </c>
      <c r="Y19" s="1">
        <f>Quartile_M[[#This Row],[A/E Q3]]+1.5*(Quartile_M[[#This Row],[A/E Q3]]-Quartile_M[[#This Row],[A/E Q1]])</f>
        <v>4.1850000000000005</v>
      </c>
    </row>
    <row r="20" spans="1:25" x14ac:dyDescent="0.25">
      <c r="A20" t="s">
        <v>107</v>
      </c>
      <c r="B20" s="1" cm="1">
        <f t="array" ref="B20">_xlfn.QUARTILE.INC(IF(Quartile_M[[#This Row],[Industry]]=Main_M[Industry],Main_M[P/FCF]),1)</f>
        <v>13.245813397129186</v>
      </c>
      <c r="C20" s="1" cm="1">
        <f t="array" ref="C20">_xlfn.QUARTILE.INC(IF(Quartile_M[[#This Row],[Industry]]=Main_M[Industry],Main_M[P/FCF]),3)</f>
        <v>20.783301277648032</v>
      </c>
      <c r="D20" s="1">
        <f>Quartile_M[[#This Row],[P/FCF Q1]]-1.5*(Quartile_M[[#This Row],[P/FCF Q3]]-Quartile_M[[#This Row],[P/FCF Q1]])</f>
        <v>1.9395815763509177</v>
      </c>
      <c r="E20" s="1">
        <f>Quartile_M[[#This Row],[P/FCF Q3]]+1.5*(Quartile_M[[#This Row],[P/FCF Q3]]-Quartile_M[[#This Row],[P/FCF Q1]])</f>
        <v>32.089533098426301</v>
      </c>
      <c r="F20" s="1" cm="1">
        <f t="array" ref="F20">_xlfn.QUARTILE.INC(IF(Quartile_M[[#This Row],[Industry]]=Main_M[Industry],Main_M[P/B]),1)</f>
        <v>1.2804810675490172</v>
      </c>
      <c r="G20" s="1" cm="1">
        <f t="array" ref="G20">_xlfn.QUARTILE.INC(IF(Quartile_M[[#This Row],[Industry]]=Main_M[Industry],Main_M[P/B]),3)</f>
        <v>2.1164475997629926</v>
      </c>
      <c r="H20" s="1">
        <f>Quartile_M[[#This Row],[P/B Q1]]-1.5*(Quartile_M[[#This Row],[P/B Q3]]-Quartile_M[[#This Row],[P/B Q1]])</f>
        <v>2.6531269228054155E-2</v>
      </c>
      <c r="I20" s="1">
        <f>Quartile_M[[#This Row],[P/B Q3]]+1.5*(Quartile_M[[#This Row],[P/B Q3]]-Quartile_M[[#This Row],[P/B Q1]])</f>
        <v>3.3703973980839557</v>
      </c>
      <c r="J20" s="1" cm="1">
        <f t="array" ref="J20">_xlfn.QUARTILE.INC(IF(Quartile_M[[#This Row],[Industry]]=Main_M[Industry],Main_M[ROE]),1)</f>
        <v>1.2500000000000009</v>
      </c>
      <c r="K20" s="1" cm="1">
        <f t="array" ref="K20">_xlfn.QUARTILE.INC(IF(Quartile_M[[#This Row],[Industry]]=Main_M[Industry],Main_M[ROE]),3)</f>
        <v>7.2650000000000006</v>
      </c>
      <c r="L20" s="1">
        <f>Quartile_M[[#This Row],[ROE Q1]]-1.5*(Quartile_M[[#This Row],[ROE Q3]]-Quartile_M[[#This Row],[ROE Q1]])</f>
        <v>-7.7724999999999982</v>
      </c>
      <c r="M20" s="1">
        <f>Quartile_M[[#This Row],[ROE Q3]]+1.5*(Quartile_M[[#This Row],[ROE Q3]]-Quartile_M[[#This Row],[ROE Q1]])</f>
        <v>16.287500000000001</v>
      </c>
      <c r="N20" s="1" cm="1">
        <f t="array" ref="N20">_xlfn.QUARTILE.INC(IF(Quartile_M[[#This Row],[Industry]]=Main_M[Industry],Main_M[ROA]),1)</f>
        <v>1.51</v>
      </c>
      <c r="O20" s="1" cm="1">
        <f t="array" ref="O20">_xlfn.QUARTILE.INC(IF(Quartile_M[[#This Row],[Industry]]=Main_M[Industry],Main_M[ROA]),3)</f>
        <v>2.8125</v>
      </c>
      <c r="P20" s="1">
        <f>Quartile_M[[#This Row],[ROA Q1]]-1.5*(Quartile_M[[#This Row],[ROA Q3]]-Quartile_M[[#This Row],[ROA Q1]])</f>
        <v>-0.44374999999999987</v>
      </c>
      <c r="Q20" s="1">
        <f>Quartile_M[[#This Row],[ROA Q3]]+1.5*(Quartile_M[[#This Row],[ROA Q3]]-Quartile_M[[#This Row],[ROA Q1]])</f>
        <v>4.7662499999999994</v>
      </c>
      <c r="R20" s="1" cm="1">
        <f t="array" ref="R20">_xlfn.QUARTILE.INC(IF(Quartile_M[[#This Row],[Industry]]=Main_M[Industry],Main_M[P/E]),1)</f>
        <v>15.039818595700744</v>
      </c>
      <c r="S20" s="1" cm="1">
        <f t="array" ref="S20">_xlfn.QUARTILE.INC(IF(Quartile_M[[#This Row],[Industry]]=Main_M[Industry],Main_M[P/E]),3)</f>
        <v>32.049341669974858</v>
      </c>
      <c r="T20" s="1">
        <f>Quartile_M[[#This Row],[P/E Q1]]-1.5*(Quartile_M[[#This Row],[P/E Q3]]-Quartile_M[[#This Row],[P/E Q1]])</f>
        <v>-10.474466015710426</v>
      </c>
      <c r="U20" s="1">
        <f>Quartile_M[[#This Row],[P/E Q3]]+1.5*(Quartile_M[[#This Row],[P/E Q3]]-Quartile_M[[#This Row],[P/E Q1]])</f>
        <v>57.563626281386028</v>
      </c>
      <c r="V20" s="1" cm="1">
        <f t="array" ref="V20">_xlfn.QUARTILE.INC(IF(Quartile_M[[#This Row],[Industry]]=Main_M[Industry],Main_M[A/E]),1)</f>
        <v>1.5249999999999999</v>
      </c>
      <c r="W20" s="1" cm="1">
        <f t="array" ref="W20">_xlfn.QUARTILE.INC(IF(Quartile_M[[#This Row],[Industry]]=Main_M[Industry],Main_M[A/E]),3)</f>
        <v>2.0925000000000002</v>
      </c>
      <c r="X20" s="1">
        <f>Quartile_M[[#This Row],[A/E Q1]]-1.5*(Quartile_M[[#This Row],[A/E Q3]]-Quartile_M[[#This Row],[A/E Q1]])</f>
        <v>0.6737499999999994</v>
      </c>
      <c r="Y20" s="1">
        <f>Quartile_M[[#This Row],[A/E Q3]]+1.5*(Quartile_M[[#This Row],[A/E Q3]]-Quartile_M[[#This Row],[A/E Q1]])</f>
        <v>2.9437500000000005</v>
      </c>
    </row>
    <row r="21" spans="1:25" x14ac:dyDescent="0.25">
      <c r="A21" t="s">
        <v>110</v>
      </c>
      <c r="B21" s="1" cm="1">
        <f t="array" ref="B21">_xlfn.QUARTILE.INC(IF(Quartile_M[[#This Row],[Industry]]=Main_M[Industry],Main_M[P/FCF]),1)</f>
        <v>6.0403789069320766</v>
      </c>
      <c r="C21" s="1" cm="1">
        <f t="array" ref="C21">_xlfn.QUARTILE.INC(IF(Quartile_M[[#This Row],[Industry]]=Main_M[Industry],Main_M[P/FCF]),3)</f>
        <v>7.9375310938547727</v>
      </c>
      <c r="D21" s="1">
        <f>Quartile_M[[#This Row],[P/FCF Q1]]-1.5*(Quartile_M[[#This Row],[P/FCF Q3]]-Quartile_M[[#This Row],[P/FCF Q1]])</f>
        <v>3.1946506265480323</v>
      </c>
      <c r="E21" s="1">
        <f>Quartile_M[[#This Row],[P/FCF Q3]]+1.5*(Quartile_M[[#This Row],[P/FCF Q3]]-Quartile_M[[#This Row],[P/FCF Q1]])</f>
        <v>10.783259374238817</v>
      </c>
      <c r="F21" s="1" cm="1">
        <f t="array" ref="F21">_xlfn.QUARTILE.INC(IF(Quartile_M[[#This Row],[Industry]]=Main_M[Industry],Main_M[P/B]),1)</f>
        <v>0.73183001562571581</v>
      </c>
      <c r="G21" s="1" cm="1">
        <f t="array" ref="G21">_xlfn.QUARTILE.INC(IF(Quartile_M[[#This Row],[Industry]]=Main_M[Industry],Main_M[P/B]),3)</f>
        <v>5.9110934850572274</v>
      </c>
      <c r="H21" s="1">
        <f>Quartile_M[[#This Row],[P/B Q1]]-1.5*(Quartile_M[[#This Row],[P/B Q3]]-Quartile_M[[#This Row],[P/B Q1]])</f>
        <v>-7.0370651885215505</v>
      </c>
      <c r="I21" s="1">
        <f>Quartile_M[[#This Row],[P/B Q3]]+1.5*(Quartile_M[[#This Row],[P/B Q3]]-Quartile_M[[#This Row],[P/B Q1]])</f>
        <v>13.679988689204494</v>
      </c>
      <c r="J21" s="1" cm="1">
        <f t="array" ref="J21">_xlfn.QUARTILE.INC(IF(Quartile_M[[#This Row],[Industry]]=Main_M[Industry],Main_M[ROE]),1)</f>
        <v>4.87</v>
      </c>
      <c r="K21" s="1" cm="1">
        <f t="array" ref="K21">_xlfn.QUARTILE.INC(IF(Quartile_M[[#This Row],[Industry]]=Main_M[Industry],Main_M[ROE]),3)</f>
        <v>19.164999999999999</v>
      </c>
      <c r="L21" s="1">
        <f>Quartile_M[[#This Row],[ROE Q1]]-1.5*(Quartile_M[[#This Row],[ROE Q3]]-Quartile_M[[#This Row],[ROE Q1]])</f>
        <v>-16.572499999999994</v>
      </c>
      <c r="M21" s="1">
        <f>Quartile_M[[#This Row],[ROE Q3]]+1.5*(Quartile_M[[#This Row],[ROE Q3]]-Quartile_M[[#This Row],[ROE Q1]])</f>
        <v>40.607499999999995</v>
      </c>
      <c r="N21" s="1" cm="1">
        <f t="array" ref="N21">_xlfn.QUARTILE.INC(IF(Quartile_M[[#This Row],[Industry]]=Main_M[Industry],Main_M[ROA]),1)</f>
        <v>2.8250000000000002</v>
      </c>
      <c r="O21" s="1" cm="1">
        <f t="array" ref="O21">_xlfn.QUARTILE.INC(IF(Quartile_M[[#This Row],[Industry]]=Main_M[Industry],Main_M[ROA]),3)</f>
        <v>4.7750000000000004</v>
      </c>
      <c r="P21" s="1">
        <f>Quartile_M[[#This Row],[ROA Q1]]-1.5*(Quartile_M[[#This Row],[ROA Q3]]-Quartile_M[[#This Row],[ROA Q1]])</f>
        <v>-0.10000000000000009</v>
      </c>
      <c r="Q21" s="1">
        <f>Quartile_M[[#This Row],[ROA Q3]]+1.5*(Quartile_M[[#This Row],[ROA Q3]]-Quartile_M[[#This Row],[ROA Q1]])</f>
        <v>7.7000000000000011</v>
      </c>
      <c r="R21" s="1" cm="1">
        <f t="array" ref="R21">_xlfn.QUARTILE.INC(IF(Quartile_M[[#This Row],[Industry]]=Main_M[Industry],Main_M[P/E]),1)</f>
        <v>15.932247354222868</v>
      </c>
      <c r="S21" s="1" cm="1">
        <f t="array" ref="S21">_xlfn.QUARTILE.INC(IF(Quartile_M[[#This Row],[Industry]]=Main_M[Industry],Main_M[P/E]),3)</f>
        <v>18.947558423439133</v>
      </c>
      <c r="T21" s="1">
        <f>Quartile_M[[#This Row],[P/E Q1]]-1.5*(Quartile_M[[#This Row],[P/E Q3]]-Quartile_M[[#This Row],[P/E Q1]])</f>
        <v>11.409280750398469</v>
      </c>
      <c r="U21" s="1">
        <f>Quartile_M[[#This Row],[P/E Q3]]+1.5*(Quartile_M[[#This Row],[P/E Q3]]-Quartile_M[[#This Row],[P/E Q1]])</f>
        <v>23.47052502726353</v>
      </c>
      <c r="V21" s="1" cm="1">
        <f t="array" ref="V21">_xlfn.QUARTILE.INC(IF(Quartile_M[[#This Row],[Industry]]=Main_M[Industry],Main_M[A/E]),1)</f>
        <v>2.0449999999999999</v>
      </c>
      <c r="W21" s="1" cm="1">
        <f t="array" ref="W21">_xlfn.QUARTILE.INC(IF(Quartile_M[[#This Row],[Industry]]=Main_M[Industry],Main_M[A/E]),3)</f>
        <v>6.2050000000000001</v>
      </c>
      <c r="X21" s="1">
        <f>Quartile_M[[#This Row],[A/E Q1]]-1.5*(Quartile_M[[#This Row],[A/E Q3]]-Quartile_M[[#This Row],[A/E Q1]])</f>
        <v>-4.1950000000000003</v>
      </c>
      <c r="Y21" s="1">
        <f>Quartile_M[[#This Row],[A/E Q3]]+1.5*(Quartile_M[[#This Row],[A/E Q3]]-Quartile_M[[#This Row],[A/E Q1]])</f>
        <v>12.445</v>
      </c>
    </row>
    <row r="22" spans="1:25" x14ac:dyDescent="0.25">
      <c r="A22" t="s">
        <v>114</v>
      </c>
      <c r="B22" s="1" cm="1">
        <f t="array" ref="B22">_xlfn.QUARTILE.INC(IF(Quartile_M[[#This Row],[Industry]]=Main_M[Industry],Main_M[P/FCF]),1)</f>
        <v>15.317867340215242</v>
      </c>
      <c r="C22" s="1" cm="1">
        <f t="array" ref="C22">_xlfn.QUARTILE.INC(IF(Quartile_M[[#This Row],[Industry]]=Main_M[Industry],Main_M[P/FCF]),3)</f>
        <v>23.79480564155487</v>
      </c>
      <c r="D22" s="1">
        <f>Quartile_M[[#This Row],[P/FCF Q1]]-1.5*(Quartile_M[[#This Row],[P/FCF Q3]]-Quartile_M[[#This Row],[P/FCF Q1]])</f>
        <v>2.6024598882058019</v>
      </c>
      <c r="E22" s="1">
        <f>Quartile_M[[#This Row],[P/FCF Q3]]+1.5*(Quartile_M[[#This Row],[P/FCF Q3]]-Quartile_M[[#This Row],[P/FCF Q1]])</f>
        <v>36.51021309356431</v>
      </c>
      <c r="F22" s="1" cm="1">
        <f t="array" ref="F22">_xlfn.QUARTILE.INC(IF(Quartile_M[[#This Row],[Industry]]=Main_M[Industry],Main_M[P/B]),1)</f>
        <v>1.1440968504530988</v>
      </c>
      <c r="G22" s="1" cm="1">
        <f t="array" ref="G22">_xlfn.QUARTILE.INC(IF(Quartile_M[[#This Row],[Industry]]=Main_M[Industry],Main_M[P/B]),3)</f>
        <v>2.2221290234588107</v>
      </c>
      <c r="H22" s="1">
        <f>Quartile_M[[#This Row],[P/B Q1]]-1.5*(Quartile_M[[#This Row],[P/B Q3]]-Quartile_M[[#This Row],[P/B Q1]])</f>
        <v>-0.47295140905546895</v>
      </c>
      <c r="I22" s="1">
        <f>Quartile_M[[#This Row],[P/B Q3]]+1.5*(Quartile_M[[#This Row],[P/B Q3]]-Quartile_M[[#This Row],[P/B Q1]])</f>
        <v>3.8391772829673787</v>
      </c>
      <c r="J22" s="1" cm="1">
        <f t="array" ref="J22">_xlfn.QUARTILE.INC(IF(Quartile_M[[#This Row],[Industry]]=Main_M[Industry],Main_M[ROE]),1)</f>
        <v>-5.5124999999999993</v>
      </c>
      <c r="K22" s="1" cm="1">
        <f t="array" ref="K22">_xlfn.QUARTILE.INC(IF(Quartile_M[[#This Row],[Industry]]=Main_M[Industry],Main_M[ROE]),3)</f>
        <v>6.5075000000000003</v>
      </c>
      <c r="L22" s="1">
        <f>Quartile_M[[#This Row],[ROE Q1]]-1.5*(Quartile_M[[#This Row],[ROE Q3]]-Quartile_M[[#This Row],[ROE Q1]])</f>
        <v>-23.5425</v>
      </c>
      <c r="M22" s="1">
        <f>Quartile_M[[#This Row],[ROE Q3]]+1.5*(Quartile_M[[#This Row],[ROE Q3]]-Quartile_M[[#This Row],[ROE Q1]])</f>
        <v>24.537500000000001</v>
      </c>
      <c r="N22" s="1" cm="1">
        <f t="array" ref="N22">_xlfn.QUARTILE.INC(IF(Quartile_M[[#This Row],[Industry]]=Main_M[Industry],Main_M[ROA]),1)</f>
        <v>1.6025</v>
      </c>
      <c r="O22" s="1" cm="1">
        <f t="array" ref="O22">_xlfn.QUARTILE.INC(IF(Quartile_M[[#This Row],[Industry]]=Main_M[Industry],Main_M[ROA]),3)</f>
        <v>4.085</v>
      </c>
      <c r="P22" s="1">
        <f>Quartile_M[[#This Row],[ROA Q1]]-1.5*(Quartile_M[[#This Row],[ROA Q3]]-Quartile_M[[#This Row],[ROA Q1]])</f>
        <v>-2.1212499999999999</v>
      </c>
      <c r="Q22" s="1">
        <f>Quartile_M[[#This Row],[ROA Q3]]+1.5*(Quartile_M[[#This Row],[ROA Q3]]-Quartile_M[[#This Row],[ROA Q1]])</f>
        <v>7.8087499999999999</v>
      </c>
      <c r="R22" s="1" cm="1">
        <f t="array" ref="R22">_xlfn.QUARTILE.INC(IF(Quartile_M[[#This Row],[Industry]]=Main_M[Industry],Main_M[P/E]),1)</f>
        <v>-10.219325303564432</v>
      </c>
      <c r="S22" s="1" cm="1">
        <f t="array" ref="S22">_xlfn.QUARTILE.INC(IF(Quartile_M[[#This Row],[Industry]]=Main_M[Industry],Main_M[P/E]),3)</f>
        <v>27.916297468354429</v>
      </c>
      <c r="T22" s="1">
        <f>Quartile_M[[#This Row],[P/E Q1]]-1.5*(Quartile_M[[#This Row],[P/E Q3]]-Quartile_M[[#This Row],[P/E Q1]])</f>
        <v>-67.422759461442723</v>
      </c>
      <c r="U22" s="1">
        <f>Quartile_M[[#This Row],[P/E Q3]]+1.5*(Quartile_M[[#This Row],[P/E Q3]]-Quartile_M[[#This Row],[P/E Q1]])</f>
        <v>85.119731626232721</v>
      </c>
      <c r="V22" s="1" cm="1">
        <f t="array" ref="V22">_xlfn.QUARTILE.INC(IF(Quartile_M[[#This Row],[Industry]]=Main_M[Industry],Main_M[A/E]),1)</f>
        <v>1.9424999999999999</v>
      </c>
      <c r="W22" s="1" cm="1">
        <f t="array" ref="W22">_xlfn.QUARTILE.INC(IF(Quartile_M[[#This Row],[Industry]]=Main_M[Industry],Main_M[A/E]),3)</f>
        <v>2.0449999999999999</v>
      </c>
      <c r="X22" s="1">
        <f>Quartile_M[[#This Row],[A/E Q1]]-1.5*(Quartile_M[[#This Row],[A/E Q3]]-Quartile_M[[#This Row],[A/E Q1]])</f>
        <v>1.7887499999999998</v>
      </c>
      <c r="Y22" s="1">
        <f>Quartile_M[[#This Row],[A/E Q3]]+1.5*(Quartile_M[[#This Row],[A/E Q3]]-Quartile_M[[#This Row],[A/E Q1]])</f>
        <v>2.19875</v>
      </c>
    </row>
    <row r="23" spans="1:25" x14ac:dyDescent="0.25">
      <c r="A23" t="s">
        <v>105</v>
      </c>
      <c r="B23" s="1" cm="1">
        <f t="array" ref="B23">_xlfn.QUARTILE.INC(IF(Quartile_M[[#This Row],[Industry]]=Main_M[Industry],Main_M[P/FCF]),1)</f>
        <v>11.332811129385965</v>
      </c>
      <c r="C23" s="1" cm="1">
        <f t="array" ref="C23">_xlfn.QUARTILE.INC(IF(Quartile_M[[#This Row],[Industry]]=Main_M[Industry],Main_M[P/FCF]),3)</f>
        <v>14.089434577745559</v>
      </c>
      <c r="D23" s="1">
        <f>Quartile_M[[#This Row],[P/FCF Q1]]-1.5*(Quartile_M[[#This Row],[P/FCF Q3]]-Quartile_M[[#This Row],[P/FCF Q1]])</f>
        <v>7.1978759568465733</v>
      </c>
      <c r="E23" s="1">
        <f>Quartile_M[[#This Row],[P/FCF Q3]]+1.5*(Quartile_M[[#This Row],[P/FCF Q3]]-Quartile_M[[#This Row],[P/FCF Q1]])</f>
        <v>18.22436975028495</v>
      </c>
      <c r="F23" s="1" cm="1">
        <f t="array" ref="F23">_xlfn.QUARTILE.INC(IF(Quartile_M[[#This Row],[Industry]]=Main_M[Industry],Main_M[P/B]),1)</f>
        <v>0.42643923973178677</v>
      </c>
      <c r="G23" s="1" cm="1">
        <f t="array" ref="G23">_xlfn.QUARTILE.INC(IF(Quartile_M[[#This Row],[Industry]]=Main_M[Industry],Main_M[P/B]),3)</f>
        <v>1.2118002468545945</v>
      </c>
      <c r="H23" s="1">
        <f>Quartile_M[[#This Row],[P/B Q1]]-1.5*(Quartile_M[[#This Row],[P/B Q3]]-Quartile_M[[#This Row],[P/B Q1]])</f>
        <v>-0.75160227095242493</v>
      </c>
      <c r="I23" s="1">
        <f>Quartile_M[[#This Row],[P/B Q3]]+1.5*(Quartile_M[[#This Row],[P/B Q3]]-Quartile_M[[#This Row],[P/B Q1]])</f>
        <v>2.3898417575388065</v>
      </c>
      <c r="J23" s="1" cm="1">
        <f t="array" ref="J23">_xlfn.QUARTILE.INC(IF(Quartile_M[[#This Row],[Industry]]=Main_M[Industry],Main_M[ROE]),1)</f>
        <v>1.8475000000000006</v>
      </c>
      <c r="K23" s="1" cm="1">
        <f t="array" ref="K23">_xlfn.QUARTILE.INC(IF(Quartile_M[[#This Row],[Industry]]=Main_M[Industry],Main_M[ROE]),3)</f>
        <v>5.1724999999999994</v>
      </c>
      <c r="L23" s="1">
        <f>Quartile_M[[#This Row],[ROE Q1]]-1.5*(Quartile_M[[#This Row],[ROE Q3]]-Quartile_M[[#This Row],[ROE Q1]])</f>
        <v>-3.1399999999999975</v>
      </c>
      <c r="M23" s="1">
        <f>Quartile_M[[#This Row],[ROE Q3]]+1.5*(Quartile_M[[#This Row],[ROE Q3]]-Quartile_M[[#This Row],[ROE Q1]])</f>
        <v>10.159999999999997</v>
      </c>
      <c r="N23" s="1" cm="1">
        <f t="array" ref="N23">_xlfn.QUARTILE.INC(IF(Quartile_M[[#This Row],[Industry]]=Main_M[Industry],Main_M[ROA]),1)</f>
        <v>2.5125000000000002</v>
      </c>
      <c r="O23" s="1" cm="1">
        <f t="array" ref="O23">_xlfn.QUARTILE.INC(IF(Quartile_M[[#This Row],[Industry]]=Main_M[Industry],Main_M[ROA]),3)</f>
        <v>3.2625000000000002</v>
      </c>
      <c r="P23" s="1">
        <f>Quartile_M[[#This Row],[ROA Q1]]-1.5*(Quartile_M[[#This Row],[ROA Q3]]-Quartile_M[[#This Row],[ROA Q1]])</f>
        <v>1.3875000000000002</v>
      </c>
      <c r="Q23" s="1">
        <f>Quartile_M[[#This Row],[ROA Q3]]+1.5*(Quartile_M[[#This Row],[ROA Q3]]-Quartile_M[[#This Row],[ROA Q1]])</f>
        <v>4.3875000000000002</v>
      </c>
      <c r="R23" s="1" cm="1">
        <f t="array" ref="R23">_xlfn.QUARTILE.INC(IF(Quartile_M[[#This Row],[Industry]]=Main_M[Industry],Main_M[P/E]),1)</f>
        <v>16.771759259259262</v>
      </c>
      <c r="S23" s="1" cm="1">
        <f t="array" ref="S23">_xlfn.QUARTILE.INC(IF(Quartile_M[[#This Row],[Industry]]=Main_M[Industry],Main_M[P/E]),3)</f>
        <v>27.623094827586208</v>
      </c>
      <c r="T23" s="1">
        <f>Quartile_M[[#This Row],[P/E Q1]]-1.5*(Quartile_M[[#This Row],[P/E Q3]]-Quartile_M[[#This Row],[P/E Q1]])</f>
        <v>0.49475590676884451</v>
      </c>
      <c r="U23" s="1">
        <f>Quartile_M[[#This Row],[P/E Q3]]+1.5*(Quartile_M[[#This Row],[P/E Q3]]-Quartile_M[[#This Row],[P/E Q1]])</f>
        <v>43.900098180076625</v>
      </c>
      <c r="V23" s="1" cm="1">
        <f t="array" ref="V23">_xlfn.QUARTILE.INC(IF(Quartile_M[[#This Row],[Industry]]=Main_M[Industry],Main_M[A/E]),1)</f>
        <v>1.7324999999999999</v>
      </c>
      <c r="W23" s="1" cm="1">
        <f t="array" ref="W23">_xlfn.QUARTILE.INC(IF(Quartile_M[[#This Row],[Industry]]=Main_M[Industry],Main_M[A/E]),3)</f>
        <v>2.0924999999999998</v>
      </c>
      <c r="X23" s="1">
        <f>Quartile_M[[#This Row],[A/E Q1]]-1.5*(Quartile_M[[#This Row],[A/E Q3]]-Quartile_M[[#This Row],[A/E Q1]])</f>
        <v>1.1925000000000001</v>
      </c>
      <c r="Y23" s="1">
        <f>Quartile_M[[#This Row],[A/E Q3]]+1.5*(Quartile_M[[#This Row],[A/E Q3]]-Quartile_M[[#This Row],[A/E Q1]])</f>
        <v>2.6324999999999994</v>
      </c>
    </row>
    <row r="24" spans="1:25" x14ac:dyDescent="0.25">
      <c r="A24" t="s">
        <v>112</v>
      </c>
      <c r="B24" s="1" cm="1">
        <f t="array" ref="B24">_xlfn.QUARTILE.INC(IF(Quartile_M[[#This Row],[Industry]]=Main_M[Industry],Main_M[P/FCF]),1)</f>
        <v>8.4642425992021835</v>
      </c>
      <c r="C24" s="1" cm="1">
        <f t="array" ref="C24">_xlfn.QUARTILE.INC(IF(Quartile_M[[#This Row],[Industry]]=Main_M[Industry],Main_M[P/FCF]),3)</f>
        <v>20.702254641909818</v>
      </c>
      <c r="D24" s="1">
        <f>Quartile_M[[#This Row],[P/FCF Q1]]-1.5*(Quartile_M[[#This Row],[P/FCF Q3]]-Quartile_M[[#This Row],[P/FCF Q1]])</f>
        <v>-9.8927754648592661</v>
      </c>
      <c r="E24" s="1">
        <f>Quartile_M[[#This Row],[P/FCF Q3]]+1.5*(Quartile_M[[#This Row],[P/FCF Q3]]-Quartile_M[[#This Row],[P/FCF Q1]])</f>
        <v>39.059272705971267</v>
      </c>
      <c r="F24" s="1" cm="1">
        <f t="array" ref="F24">_xlfn.QUARTILE.INC(IF(Quartile_M[[#This Row],[Industry]]=Main_M[Industry],Main_M[P/B]),1)</f>
        <v>1.1156395052453649</v>
      </c>
      <c r="G24" s="1" cm="1">
        <f t="array" ref="G24">_xlfn.QUARTILE.INC(IF(Quartile_M[[#This Row],[Industry]]=Main_M[Industry],Main_M[P/B]),3)</f>
        <v>1.6609398026945881</v>
      </c>
      <c r="H24" s="1">
        <f>Quartile_M[[#This Row],[P/B Q1]]-1.5*(Quartile_M[[#This Row],[P/B Q3]]-Quartile_M[[#This Row],[P/B Q1]])</f>
        <v>0.2976890590715302</v>
      </c>
      <c r="I24" s="1">
        <f>Quartile_M[[#This Row],[P/B Q3]]+1.5*(Quartile_M[[#This Row],[P/B Q3]]-Quartile_M[[#This Row],[P/B Q1]])</f>
        <v>2.4788902488684226</v>
      </c>
      <c r="J24" s="1" cm="1">
        <f t="array" ref="J24">_xlfn.QUARTILE.INC(IF(Quartile_M[[#This Row],[Industry]]=Main_M[Industry],Main_M[ROE]),1)</f>
        <v>1.1949999999999998</v>
      </c>
      <c r="K24" s="1" cm="1">
        <f t="array" ref="K24">_xlfn.QUARTILE.INC(IF(Quartile_M[[#This Row],[Industry]]=Main_M[Industry],Main_M[ROE]),3)</f>
        <v>5.55</v>
      </c>
      <c r="L24" s="1">
        <f>Quartile_M[[#This Row],[ROE Q1]]-1.5*(Quartile_M[[#This Row],[ROE Q3]]-Quartile_M[[#This Row],[ROE Q1]])</f>
        <v>-5.3375000000000004</v>
      </c>
      <c r="M24" s="1">
        <f>Quartile_M[[#This Row],[ROE Q3]]+1.5*(Quartile_M[[#This Row],[ROE Q3]]-Quartile_M[[#This Row],[ROE Q1]])</f>
        <v>12.0825</v>
      </c>
      <c r="N24" s="1" cm="1">
        <f t="array" ref="N24">_xlfn.QUARTILE.INC(IF(Quartile_M[[#This Row],[Industry]]=Main_M[Industry],Main_M[ROA]),1)</f>
        <v>1.3900000000000001</v>
      </c>
      <c r="O24" s="1" cm="1">
        <f t="array" ref="O24">_xlfn.QUARTILE.INC(IF(Quartile_M[[#This Row],[Industry]]=Main_M[Industry],Main_M[ROA]),3)</f>
        <v>2.02</v>
      </c>
      <c r="P24" s="1">
        <f>Quartile_M[[#This Row],[ROA Q1]]-1.5*(Quartile_M[[#This Row],[ROA Q3]]-Quartile_M[[#This Row],[ROA Q1]])</f>
        <v>0.44500000000000028</v>
      </c>
      <c r="Q24" s="1">
        <f>Quartile_M[[#This Row],[ROA Q3]]+1.5*(Quartile_M[[#This Row],[ROA Q3]]-Quartile_M[[#This Row],[ROA Q1]])</f>
        <v>2.9649999999999999</v>
      </c>
      <c r="R24" s="1" cm="1">
        <f t="array" ref="R24">_xlfn.QUARTILE.INC(IF(Quartile_M[[#This Row],[Industry]]=Main_M[Industry],Main_M[P/E]),1)</f>
        <v>20.145238095238092</v>
      </c>
      <c r="S24" s="1" cm="1">
        <f t="array" ref="S24">_xlfn.QUARTILE.INC(IF(Quartile_M[[#This Row],[Industry]]=Main_M[Industry],Main_M[P/E]),3)</f>
        <v>62.411057692307686</v>
      </c>
      <c r="T24" s="1">
        <f>Quartile_M[[#This Row],[P/E Q1]]-1.5*(Quartile_M[[#This Row],[P/E Q3]]-Quartile_M[[#This Row],[P/E Q1]])</f>
        <v>-43.253491300366299</v>
      </c>
      <c r="U24" s="1">
        <f>Quartile_M[[#This Row],[P/E Q3]]+1.5*(Quartile_M[[#This Row],[P/E Q3]]-Quartile_M[[#This Row],[P/E Q1]])</f>
        <v>125.80978708791207</v>
      </c>
      <c r="V24" s="1" cm="1">
        <f t="array" ref="V24">_xlfn.QUARTILE.INC(IF(Quartile_M[[#This Row],[Industry]]=Main_M[Industry],Main_M[A/E]),1)</f>
        <v>2.29</v>
      </c>
      <c r="W24" s="1" cm="1">
        <f t="array" ref="W24">_xlfn.QUARTILE.INC(IF(Quartile_M[[#This Row],[Industry]]=Main_M[Industry],Main_M[A/E]),3)</f>
        <v>3.4699999999999998</v>
      </c>
      <c r="X24" s="1">
        <f>Quartile_M[[#This Row],[A/E Q1]]-1.5*(Quartile_M[[#This Row],[A/E Q3]]-Quartile_M[[#This Row],[A/E Q1]])</f>
        <v>0.52000000000000046</v>
      </c>
      <c r="Y24" s="1">
        <f>Quartile_M[[#This Row],[A/E Q3]]+1.5*(Quartile_M[[#This Row],[A/E Q3]]-Quartile_M[[#This Row],[A/E Q1]])</f>
        <v>5.2399999999999993</v>
      </c>
    </row>
    <row r="27" spans="1:25" x14ac:dyDescent="0.25">
      <c r="A27" t="s">
        <v>23</v>
      </c>
    </row>
    <row r="28" spans="1:25" x14ac:dyDescent="0.25">
      <c r="A28" t="s">
        <v>1</v>
      </c>
      <c r="B28" t="s">
        <v>2</v>
      </c>
      <c r="C28" t="s">
        <v>3</v>
      </c>
      <c r="D28" t="s">
        <v>4</v>
      </c>
      <c r="E28" t="s">
        <v>5</v>
      </c>
      <c r="F28" t="s">
        <v>72</v>
      </c>
      <c r="G28" t="s">
        <v>73</v>
      </c>
      <c r="H28" t="s">
        <v>74</v>
      </c>
      <c r="I28" t="s">
        <v>75</v>
      </c>
      <c r="J28" t="s">
        <v>6</v>
      </c>
      <c r="K28" t="s">
        <v>7</v>
      </c>
      <c r="L28" t="s">
        <v>8</v>
      </c>
      <c r="M28" t="s">
        <v>9</v>
      </c>
      <c r="N28" t="s">
        <v>10</v>
      </c>
      <c r="O28" t="s">
        <v>11</v>
      </c>
      <c r="P28" t="s">
        <v>12</v>
      </c>
      <c r="Q28" t="s">
        <v>13</v>
      </c>
      <c r="R28" t="s">
        <v>14</v>
      </c>
      <c r="S28" t="s">
        <v>15</v>
      </c>
      <c r="T28" t="s">
        <v>16</v>
      </c>
      <c r="U28" t="s">
        <v>17</v>
      </c>
      <c r="V28" t="s">
        <v>18</v>
      </c>
      <c r="W28" t="s">
        <v>19</v>
      </c>
      <c r="X28" t="s">
        <v>20</v>
      </c>
      <c r="Y28" t="s">
        <v>21</v>
      </c>
    </row>
    <row r="29" spans="1:25" x14ac:dyDescent="0.25">
      <c r="A29" t="s">
        <v>135</v>
      </c>
      <c r="B29" s="1" cm="1">
        <f t="array" ref="B29">_xlfn.QUARTILE.INC(IF(Quartile_S[[#This Row],[Industry]]=Main_S[Industry],Main_S[P/FCF]),1)</f>
        <v>6.9067796610169498</v>
      </c>
      <c r="C29" s="1" cm="1">
        <f t="array" ref="C29">_xlfn.QUARTILE.INC(IF(Quartile_S[[#This Row],[Industry]]=Main_S[Industry],Main_S[P/FCF]),3)</f>
        <v>51.260869565217384</v>
      </c>
      <c r="D29" s="1">
        <f>Quartile_S[[#This Row],[P/FCF Q1]]-1.5*(Quartile_S[[#This Row],[P/FCF Q3]]-Quartile_S[[#This Row],[P/FCF Q1]])</f>
        <v>-59.624355195283705</v>
      </c>
      <c r="E29" s="1">
        <f>Quartile_S[[#This Row],[P/FCF Q3]]+1.5*(Quartile_S[[#This Row],[P/FCF Q3]]-Quartile_S[[#This Row],[P/FCF Q1]])</f>
        <v>117.79200442151804</v>
      </c>
      <c r="F29" s="1" cm="1">
        <f t="array" ref="F29">_xlfn.QUARTILE.INC(IF(Quartile_S[[#This Row],[Industry]]=Main_S[Industry],Main_S[P/B]),1)</f>
        <v>0.47651006711409394</v>
      </c>
      <c r="G29" s="1" cm="1">
        <f t="array" ref="G29">_xlfn.QUARTILE.INC(IF(Quartile_S[[#This Row],[Industry]]=Main_S[Industry],Main_S[P/B]),3)</f>
        <v>0.81418581418581426</v>
      </c>
      <c r="H29" s="1">
        <f>Quartile_S[[#This Row],[P/B Q1]]-1.5*(Quartile_S[[#This Row],[P/B Q3]]-Quartile_S[[#This Row],[P/B Q1]])</f>
        <v>-3.000355349348649E-2</v>
      </c>
      <c r="I29" s="1">
        <f>Quartile_S[[#This Row],[P/B Q3]]+1.5*(Quartile_S[[#This Row],[P/B Q3]]-Quartile_S[[#This Row],[P/B Q1]])</f>
        <v>1.3206994347933947</v>
      </c>
      <c r="J29" s="1" cm="1">
        <f t="array" ref="J29">_xlfn.QUARTILE.INC(IF(Quartile_S[[#This Row],[Industry]]=Main_S[Industry],Main_S[ROE]),1)</f>
        <v>2.1</v>
      </c>
      <c r="K29" s="1" cm="1">
        <f t="array" ref="K29">_xlfn.QUARTILE.INC(IF(Quartile_S[[#This Row],[Industry]]=Main_S[Industry],Main_S[ROE]),3)</f>
        <v>9.68</v>
      </c>
      <c r="L29" s="1">
        <f>Quartile_S[[#This Row],[ROE Q1]]-1.5*(Quartile_S[[#This Row],[ROE Q3]]-Quartile_S[[#This Row],[ROE Q1]])</f>
        <v>-9.2700000000000014</v>
      </c>
      <c r="M29" s="1">
        <f>Quartile_S[[#This Row],[ROE Q3]]+1.5*(Quartile_S[[#This Row],[ROE Q3]]-Quartile_S[[#This Row],[ROE Q1]])</f>
        <v>21.05</v>
      </c>
      <c r="N29" s="1" cm="1">
        <f t="array" ref="N29">_xlfn.QUARTILE.INC(IF(Quartile_S[[#This Row],[Industry]]=Main_S[Industry],Main_S[ROA]),1)</f>
        <v>1.74</v>
      </c>
      <c r="O29" s="1" cm="1">
        <f t="array" ref="O29">_xlfn.QUARTILE.INC(IF(Quartile_S[[#This Row],[Industry]]=Main_S[Industry],Main_S[ROA]),3)</f>
        <v>3.79</v>
      </c>
      <c r="P29" s="1">
        <f>Quartile_S[[#This Row],[ROA Q1]]-1.5*(Quartile_S[[#This Row],[ROA Q3]]-Quartile_S[[#This Row],[ROA Q1]])</f>
        <v>-1.3349999999999997</v>
      </c>
      <c r="Q29" s="1">
        <f>Quartile_S[[#This Row],[ROA Q3]]+1.5*(Quartile_S[[#This Row],[ROA Q3]]-Quartile_S[[#This Row],[ROA Q1]])</f>
        <v>6.8650000000000002</v>
      </c>
      <c r="R29" s="1" cm="1">
        <f t="array" ref="R29">_xlfn.QUARTILE.INC(IF(Quartile_S[[#This Row],[Industry]]=Main_S[Industry],Main_S[P/E]),1)</f>
        <v>7.6886792452830184</v>
      </c>
      <c r="S29" s="1" cm="1">
        <f t="array" ref="S29">_xlfn.QUARTILE.INC(IF(Quartile_S[[#This Row],[Industry]]=Main_S[Industry],Main_S[P/E]),3)</f>
        <v>10.816513761467888</v>
      </c>
      <c r="T29" s="1">
        <f>Quartile_S[[#This Row],[P/E Q1]]-1.5*(Quartile_S[[#This Row],[P/E Q3]]-Quartile_S[[#This Row],[P/E Q1]])</f>
        <v>2.996927471005713</v>
      </c>
      <c r="U29" s="1">
        <f>Quartile_S[[#This Row],[P/E Q3]]+1.5*(Quartile_S[[#This Row],[P/E Q3]]-Quartile_S[[#This Row],[P/E Q1]])</f>
        <v>15.508265535745194</v>
      </c>
      <c r="V29" s="1" cm="1">
        <f t="array" ref="V29">_xlfn.QUARTILE.INC(IF(Quartile_S[[#This Row],[Industry]]=Main_S[Industry],Main_S[A/E]),1)</f>
        <v>1.69</v>
      </c>
      <c r="W29" s="1" cm="1">
        <f t="array" ref="W29">_xlfn.QUARTILE.INC(IF(Quartile_S[[#This Row],[Industry]]=Main_S[Industry],Main_S[A/E]),3)</f>
        <v>1.86</v>
      </c>
      <c r="X29" s="1">
        <f>Quartile_S[[#This Row],[A/E Q1]]-1.5*(Quartile_S[[#This Row],[A/E Q3]]-Quartile_S[[#This Row],[A/E Q1]])</f>
        <v>1.4349999999999996</v>
      </c>
      <c r="Y29" s="1">
        <f>Quartile_S[[#This Row],[A/E Q3]]+1.5*(Quartile_S[[#This Row],[A/E Q3]]-Quartile_S[[#This Row],[A/E Q1]])</f>
        <v>2.1150000000000002</v>
      </c>
    </row>
    <row r="30" spans="1:25" x14ac:dyDescent="0.25">
      <c r="A30" t="s">
        <v>147</v>
      </c>
      <c r="B30" s="1" cm="1">
        <f t="array" ref="B30">_xlfn.QUARTILE.INC(IF(Quartile_S[[#This Row],[Industry]]=Main_S[Industry],Main_S[P/FCF]),1)</f>
        <v>-5.0797961229946527</v>
      </c>
      <c r="C30" s="1" cm="1">
        <f t="array" ref="C30">_xlfn.QUARTILE.INC(IF(Quartile_S[[#This Row],[Industry]]=Main_S[Industry],Main_S[P/FCF]),3)</f>
        <v>27.059743340882129</v>
      </c>
      <c r="D30" s="1">
        <f>Quartile_S[[#This Row],[P/FCF Q1]]-1.5*(Quartile_S[[#This Row],[P/FCF Q3]]-Quartile_S[[#This Row],[P/FCF Q1]])</f>
        <v>-53.289105318809817</v>
      </c>
      <c r="E30" s="1">
        <f>Quartile_S[[#This Row],[P/FCF Q3]]+1.5*(Quartile_S[[#This Row],[P/FCF Q3]]-Quartile_S[[#This Row],[P/FCF Q1]])</f>
        <v>75.269052536697302</v>
      </c>
      <c r="F30" s="1" cm="1">
        <f t="array" ref="F30">_xlfn.QUARTILE.INC(IF(Quartile_S[[#This Row],[Industry]]=Main_S[Industry],Main_S[P/B]),1)</f>
        <v>0.57166092803375967</v>
      </c>
      <c r="G30" s="1" cm="1">
        <f t="array" ref="G30">_xlfn.QUARTILE.INC(IF(Quartile_S[[#This Row],[Industry]]=Main_S[Industry],Main_S[P/B]),3)</f>
        <v>3.0781601753666501</v>
      </c>
      <c r="H30" s="1">
        <f>Quartile_S[[#This Row],[P/B Q1]]-1.5*(Quartile_S[[#This Row],[P/B Q3]]-Quartile_S[[#This Row],[P/B Q1]])</f>
        <v>-3.1880879429655762</v>
      </c>
      <c r="I30" s="1">
        <f>Quartile_S[[#This Row],[P/B Q3]]+1.5*(Quartile_S[[#This Row],[P/B Q3]]-Quartile_S[[#This Row],[P/B Q1]])</f>
        <v>6.8379090463659864</v>
      </c>
      <c r="J30" s="1" cm="1">
        <f t="array" ref="J30">_xlfn.QUARTILE.INC(IF(Quartile_S[[#This Row],[Industry]]=Main_S[Industry],Main_S[ROE]),1)</f>
        <v>-6.1750000000000007</v>
      </c>
      <c r="K30" s="1" cm="1">
        <f t="array" ref="K30">_xlfn.QUARTILE.INC(IF(Quartile_S[[#This Row],[Industry]]=Main_S[Industry],Main_S[ROE]),3)</f>
        <v>10.8225</v>
      </c>
      <c r="L30" s="1">
        <f>Quartile_S[[#This Row],[ROE Q1]]-1.5*(Quartile_S[[#This Row],[ROE Q3]]-Quartile_S[[#This Row],[ROE Q1]])</f>
        <v>-31.671250000000004</v>
      </c>
      <c r="M30" s="1">
        <f>Quartile_S[[#This Row],[ROE Q3]]+1.5*(Quartile_S[[#This Row],[ROE Q3]]-Quartile_S[[#This Row],[ROE Q1]])</f>
        <v>36.318750000000001</v>
      </c>
      <c r="N30" s="1" cm="1">
        <f t="array" ref="N30">_xlfn.QUARTILE.INC(IF(Quartile_S[[#This Row],[Industry]]=Main_S[Industry],Main_S[ROA]),1)</f>
        <v>-1.22</v>
      </c>
      <c r="O30" s="1" cm="1">
        <f t="array" ref="O30">_xlfn.QUARTILE.INC(IF(Quartile_S[[#This Row],[Industry]]=Main_S[Industry],Main_S[ROA]),3)</f>
        <v>2.395</v>
      </c>
      <c r="P30" s="1">
        <f>Quartile_S[[#This Row],[ROA Q1]]-1.5*(Quartile_S[[#This Row],[ROA Q3]]-Quartile_S[[#This Row],[ROA Q1]])</f>
        <v>-6.6425000000000001</v>
      </c>
      <c r="Q30" s="1">
        <f>Quartile_S[[#This Row],[ROA Q3]]+1.5*(Quartile_S[[#This Row],[ROA Q3]]-Quartile_S[[#This Row],[ROA Q1]])</f>
        <v>7.8175000000000008</v>
      </c>
      <c r="R30" s="1" cm="1">
        <f t="array" ref="R30">_xlfn.QUARTILE.INC(IF(Quartile_S[[#This Row],[Industry]]=Main_S[Industry],Main_S[P/E]),1)</f>
        <v>-6.3590909090909093</v>
      </c>
      <c r="S30" s="1" cm="1">
        <f t="array" ref="S30">_xlfn.QUARTILE.INC(IF(Quartile_S[[#This Row],[Industry]]=Main_S[Industry],Main_S[P/E]),3)</f>
        <v>48.611956521739131</v>
      </c>
      <c r="T30" s="1">
        <f>Quartile_S[[#This Row],[P/E Q1]]-1.5*(Quartile_S[[#This Row],[P/E Q3]]-Quartile_S[[#This Row],[P/E Q1]])</f>
        <v>-88.815662055335977</v>
      </c>
      <c r="U30" s="1">
        <f>Quartile_S[[#This Row],[P/E Q3]]+1.5*(Quartile_S[[#This Row],[P/E Q3]]-Quartile_S[[#This Row],[P/E Q1]])</f>
        <v>131.0685276679842</v>
      </c>
      <c r="V30" s="1" cm="1">
        <f t="array" ref="V30">_xlfn.QUARTILE.INC(IF(Quartile_S[[#This Row],[Industry]]=Main_S[Industry],Main_S[A/E]),1)</f>
        <v>1.5024999999999999</v>
      </c>
      <c r="W30" s="1" cm="1">
        <f t="array" ref="W30">_xlfn.QUARTILE.INC(IF(Quartile_S[[#This Row],[Industry]]=Main_S[Industry],Main_S[A/E]),3)</f>
        <v>3.21</v>
      </c>
      <c r="X30" s="1">
        <f>Quartile_S[[#This Row],[A/E Q1]]-1.5*(Quartile_S[[#This Row],[A/E Q3]]-Quartile_S[[#This Row],[A/E Q1]])</f>
        <v>-1.0587500000000003</v>
      </c>
      <c r="Y30" s="1">
        <f>Quartile_S[[#This Row],[A/E Q3]]+1.5*(Quartile_S[[#This Row],[A/E Q3]]-Quartile_S[[#This Row],[A/E Q1]])</f>
        <v>5.7712500000000002</v>
      </c>
    </row>
    <row r="31" spans="1:25" x14ac:dyDescent="0.25">
      <c r="A31" t="s">
        <v>120</v>
      </c>
      <c r="B31" s="1" cm="1">
        <f t="array" ref="B31">_xlfn.QUARTILE.INC(IF(Quartile_S[[#This Row],[Industry]]=Main_S[Industry],Main_S[P/FCF]),1)</f>
        <v>8.141335453100158</v>
      </c>
      <c r="C31" s="1" cm="1">
        <f t="array" ref="C31">_xlfn.QUARTILE.INC(IF(Quartile_S[[#This Row],[Industry]]=Main_S[Industry],Main_S[P/FCF]),3)</f>
        <v>21.781862745098039</v>
      </c>
      <c r="D31" s="1">
        <f>Quartile_S[[#This Row],[P/FCF Q1]]-1.5*(Quartile_S[[#This Row],[P/FCF Q3]]-Quartile_S[[#This Row],[P/FCF Q1]])</f>
        <v>-12.319455484896661</v>
      </c>
      <c r="E31" s="1">
        <f>Quartile_S[[#This Row],[P/FCF Q3]]+1.5*(Quartile_S[[#This Row],[P/FCF Q3]]-Quartile_S[[#This Row],[P/FCF Q1]])</f>
        <v>42.242653683094858</v>
      </c>
      <c r="F31" s="1" cm="1">
        <f t="array" ref="F31">_xlfn.QUARTILE.INC(IF(Quartile_S[[#This Row],[Industry]]=Main_S[Industry],Main_S[P/B]),1)</f>
        <v>0.92173319373575868</v>
      </c>
      <c r="G31" s="1" cm="1">
        <f t="array" ref="G31">_xlfn.QUARTILE.INC(IF(Quartile_S[[#This Row],[Industry]]=Main_S[Industry],Main_S[P/B]),3)</f>
        <v>2.1722933096106809</v>
      </c>
      <c r="H31" s="1">
        <f>Quartile_S[[#This Row],[P/B Q1]]-1.5*(Quartile_S[[#This Row],[P/B Q3]]-Quartile_S[[#This Row],[P/B Q1]])</f>
        <v>-0.95410698007662464</v>
      </c>
      <c r="I31" s="1">
        <f>Quartile_S[[#This Row],[P/B Q3]]+1.5*(Quartile_S[[#This Row],[P/B Q3]]-Quartile_S[[#This Row],[P/B Q1]])</f>
        <v>4.0481334834230642</v>
      </c>
      <c r="J31" s="1" cm="1">
        <f t="array" ref="J31">_xlfn.QUARTILE.INC(IF(Quartile_S[[#This Row],[Industry]]=Main_S[Industry],Main_S[ROE]),1)</f>
        <v>-3.9225000000000003</v>
      </c>
      <c r="K31" s="1" cm="1">
        <f t="array" ref="K31">_xlfn.QUARTILE.INC(IF(Quartile_S[[#This Row],[Industry]]=Main_S[Industry],Main_S[ROE]),3)</f>
        <v>4.95</v>
      </c>
      <c r="L31" s="1">
        <f>Quartile_S[[#This Row],[ROE Q1]]-1.5*(Quartile_S[[#This Row],[ROE Q3]]-Quartile_S[[#This Row],[ROE Q1]])</f>
        <v>-17.231249999999999</v>
      </c>
      <c r="M31" s="1">
        <f>Quartile_S[[#This Row],[ROE Q3]]+1.5*(Quartile_S[[#This Row],[ROE Q3]]-Quartile_S[[#This Row],[ROE Q1]])</f>
        <v>18.258749999999999</v>
      </c>
      <c r="N31" s="1" cm="1">
        <f t="array" ref="N31">_xlfn.QUARTILE.INC(IF(Quartile_S[[#This Row],[Industry]]=Main_S[Industry],Main_S[ROA]),1)</f>
        <v>0.82500000000000007</v>
      </c>
      <c r="O31" s="1" cm="1">
        <f t="array" ref="O31">_xlfn.QUARTILE.INC(IF(Quartile_S[[#This Row],[Industry]]=Main_S[Industry],Main_S[ROA]),3)</f>
        <v>2.1949999999999998</v>
      </c>
      <c r="P31" s="1">
        <f>Quartile_S[[#This Row],[ROA Q1]]-1.5*(Quartile_S[[#This Row],[ROA Q3]]-Quartile_S[[#This Row],[ROA Q1]])</f>
        <v>-1.2299999999999995</v>
      </c>
      <c r="Q31" s="1">
        <f>Quartile_S[[#This Row],[ROA Q3]]+1.5*(Quartile_S[[#This Row],[ROA Q3]]-Quartile_S[[#This Row],[ROA Q1]])</f>
        <v>4.25</v>
      </c>
      <c r="R31" s="1" cm="1">
        <f t="array" ref="R31">_xlfn.QUARTILE.INC(IF(Quartile_S[[#This Row],[Industry]]=Main_S[Industry],Main_S[P/E]),1)</f>
        <v>-38.407346491228068</v>
      </c>
      <c r="S31" s="1" cm="1">
        <f t="array" ref="S31">_xlfn.QUARTILE.INC(IF(Quartile_S[[#This Row],[Industry]]=Main_S[Industry],Main_S[P/E]),3)</f>
        <v>4.2199784334023471</v>
      </c>
      <c r="T31" s="1">
        <f>Quartile_S[[#This Row],[P/E Q1]]-1.5*(Quartile_S[[#This Row],[P/E Q3]]-Quartile_S[[#This Row],[P/E Q1]])</f>
        <v>-102.34833387817369</v>
      </c>
      <c r="U31" s="1">
        <f>Quartile_S[[#This Row],[P/E Q3]]+1.5*(Quartile_S[[#This Row],[P/E Q3]]-Quartile_S[[#This Row],[P/E Q1]])</f>
        <v>68.160965820347968</v>
      </c>
      <c r="V31" s="1" cm="1">
        <f t="array" ref="V31">_xlfn.QUARTILE.INC(IF(Quartile_S[[#This Row],[Industry]]=Main_S[Industry],Main_S[A/E]),1)</f>
        <v>2</v>
      </c>
      <c r="W31" s="1" cm="1">
        <f t="array" ref="W31">_xlfn.QUARTILE.INC(IF(Quartile_S[[#This Row],[Industry]]=Main_S[Industry],Main_S[A/E]),3)</f>
        <v>3.4049999999999998</v>
      </c>
      <c r="X31" s="1">
        <f>Quartile_S[[#This Row],[A/E Q1]]-1.5*(Quartile_S[[#This Row],[A/E Q3]]-Quartile_S[[#This Row],[A/E Q1]])</f>
        <v>-0.10749999999999993</v>
      </c>
      <c r="Y31" s="1">
        <f>Quartile_S[[#This Row],[A/E Q3]]+1.5*(Quartile_S[[#This Row],[A/E Q3]]-Quartile_S[[#This Row],[A/E Q1]])</f>
        <v>5.5124999999999993</v>
      </c>
    </row>
    <row r="32" spans="1:25" x14ac:dyDescent="0.25">
      <c r="A32" t="s">
        <v>131</v>
      </c>
      <c r="B32" s="1" cm="1">
        <f t="array" ref="B32">_xlfn.QUARTILE.INC(IF(Quartile_S[[#This Row],[Industry]]=Main_S[Industry],Main_S[P/FCF]),1)</f>
        <v>8.141891891891893</v>
      </c>
      <c r="C32" s="1" cm="1">
        <f t="array" ref="C32">_xlfn.QUARTILE.INC(IF(Quartile_S[[#This Row],[Industry]]=Main_S[Industry],Main_S[P/FCF]),3)</f>
        <v>12.78125</v>
      </c>
      <c r="D32" s="1">
        <f>Quartile_S[[#This Row],[P/FCF Q1]]-1.5*(Quartile_S[[#This Row],[P/FCF Q3]]-Quartile_S[[#This Row],[P/FCF Q1]])</f>
        <v>1.1828547297297325</v>
      </c>
      <c r="E32" s="1">
        <f>Quartile_S[[#This Row],[P/FCF Q3]]+1.5*(Quartile_S[[#This Row],[P/FCF Q3]]-Quartile_S[[#This Row],[P/FCF Q1]])</f>
        <v>19.740287162162161</v>
      </c>
      <c r="F32" s="1" cm="1">
        <f t="array" ref="F32">_xlfn.QUARTILE.INC(IF(Quartile_S[[#This Row],[Industry]]=Main_S[Industry],Main_S[P/B]),1)</f>
        <v>1.0231394621638523</v>
      </c>
      <c r="G32" s="1" cm="1">
        <f t="array" ref="G32">_xlfn.QUARTILE.INC(IF(Quartile_S[[#This Row],[Industry]]=Main_S[Industry],Main_S[P/B]),3)</f>
        <v>2.7148846960167714</v>
      </c>
      <c r="H32" s="1">
        <f>Quartile_S[[#This Row],[P/B Q1]]-1.5*(Quartile_S[[#This Row],[P/B Q3]]-Quartile_S[[#This Row],[P/B Q1]])</f>
        <v>-1.5144783886155262</v>
      </c>
      <c r="I32" s="1">
        <f>Quartile_S[[#This Row],[P/B Q3]]+1.5*(Quartile_S[[#This Row],[P/B Q3]]-Quartile_S[[#This Row],[P/B Q1]])</f>
        <v>5.2525025467961495</v>
      </c>
      <c r="J32" s="1" cm="1">
        <f t="array" ref="J32">_xlfn.QUARTILE.INC(IF(Quartile_S[[#This Row],[Industry]]=Main_S[Industry],Main_S[ROE]),1)</f>
        <v>6.17</v>
      </c>
      <c r="K32" s="1" cm="1">
        <f t="array" ref="K32">_xlfn.QUARTILE.INC(IF(Quartile_S[[#This Row],[Industry]]=Main_S[Industry],Main_S[ROE]),3)</f>
        <v>20.16</v>
      </c>
      <c r="L32" s="1">
        <f>Quartile_S[[#This Row],[ROE Q1]]-1.5*(Quartile_S[[#This Row],[ROE Q3]]-Quartile_S[[#This Row],[ROE Q1]])</f>
        <v>-14.815</v>
      </c>
      <c r="M32" s="1">
        <f>Quartile_S[[#This Row],[ROE Q3]]+1.5*(Quartile_S[[#This Row],[ROE Q3]]-Quartile_S[[#This Row],[ROE Q1]])</f>
        <v>41.144999999999996</v>
      </c>
      <c r="N32" s="1" cm="1">
        <f t="array" ref="N32">_xlfn.QUARTILE.INC(IF(Quartile_S[[#This Row],[Industry]]=Main_S[Industry],Main_S[ROA]),1)</f>
        <v>2.81</v>
      </c>
      <c r="O32" s="1" cm="1">
        <f t="array" ref="O32">_xlfn.QUARTILE.INC(IF(Quartile_S[[#This Row],[Industry]]=Main_S[Industry],Main_S[ROA]),3)</f>
        <v>3.61</v>
      </c>
      <c r="P32" s="1">
        <f>Quartile_S[[#This Row],[ROA Q1]]-1.5*(Quartile_S[[#This Row],[ROA Q3]]-Quartile_S[[#This Row],[ROA Q1]])</f>
        <v>1.6100000000000003</v>
      </c>
      <c r="Q32" s="1">
        <f>Quartile_S[[#This Row],[ROA Q3]]+1.5*(Quartile_S[[#This Row],[ROA Q3]]-Quartile_S[[#This Row],[ROA Q1]])</f>
        <v>4.8099999999999996</v>
      </c>
      <c r="R32" s="1" cm="1">
        <f t="array" ref="R32">_xlfn.QUARTILE.INC(IF(Quartile_S[[#This Row],[Industry]]=Main_S[Industry],Main_S[P/E]),1)</f>
        <v>11.990740740740739</v>
      </c>
      <c r="S32" s="1" cm="1">
        <f t="array" ref="S32">_xlfn.QUARTILE.INC(IF(Quartile_S[[#This Row],[Industry]]=Main_S[Industry],Main_S[P/E]),3)</f>
        <v>23.73469387755102</v>
      </c>
      <c r="T32" s="1">
        <f>Quartile_S[[#This Row],[P/E Q1]]-1.5*(Quartile_S[[#This Row],[P/E Q3]]-Quartile_S[[#This Row],[P/E Q1]])</f>
        <v>-5.6251889644746829</v>
      </c>
      <c r="U32" s="1">
        <f>Quartile_S[[#This Row],[P/E Q3]]+1.5*(Quartile_S[[#This Row],[P/E Q3]]-Quartile_S[[#This Row],[P/E Q1]])</f>
        <v>41.350623582766445</v>
      </c>
      <c r="V32" s="1" cm="1">
        <f t="array" ref="V32">_xlfn.QUARTILE.INC(IF(Quartile_S[[#This Row],[Industry]]=Main_S[Industry],Main_S[A/E]),1)</f>
        <v>2.0499999999999998</v>
      </c>
      <c r="W32" s="1" cm="1">
        <f t="array" ref="W32">_xlfn.QUARTILE.INC(IF(Quartile_S[[#This Row],[Industry]]=Main_S[Industry],Main_S[A/E]),3)</f>
        <v>8.17</v>
      </c>
      <c r="X32" s="1">
        <f>Quartile_S[[#This Row],[A/E Q1]]-1.5*(Quartile_S[[#This Row],[A/E Q3]]-Quartile_S[[#This Row],[A/E Q1]])</f>
        <v>-7.13</v>
      </c>
      <c r="Y32" s="1">
        <f>Quartile_S[[#This Row],[A/E Q3]]+1.5*(Quartile_S[[#This Row],[A/E Q3]]-Quartile_S[[#This Row],[A/E Q1]])</f>
        <v>17.350000000000001</v>
      </c>
    </row>
    <row r="33" spans="1:25" x14ac:dyDescent="0.25">
      <c r="A33" t="s">
        <v>107</v>
      </c>
      <c r="B33" s="1" cm="1">
        <f t="array" ref="B33">_xlfn.QUARTILE.INC(IF(Quartile_S[[#This Row],[Industry]]=Main_S[Industry],Main_S[P/FCF]),1)</f>
        <v>7.2748367530788896</v>
      </c>
      <c r="C33" s="1" cm="1">
        <f t="array" ref="C33">_xlfn.QUARTILE.INC(IF(Quartile_S[[#This Row],[Industry]]=Main_S[Industry],Main_S[P/FCF]),3)</f>
        <v>20.105380540841928</v>
      </c>
      <c r="D33" s="1">
        <f>Quartile_S[[#This Row],[P/FCF Q1]]-1.5*(Quartile_S[[#This Row],[P/FCF Q3]]-Quartile_S[[#This Row],[P/FCF Q1]])</f>
        <v>-11.970978928565668</v>
      </c>
      <c r="E33" s="1">
        <f>Quartile_S[[#This Row],[P/FCF Q3]]+1.5*(Quartile_S[[#This Row],[P/FCF Q3]]-Quartile_S[[#This Row],[P/FCF Q1]])</f>
        <v>39.351196222486486</v>
      </c>
      <c r="F33" s="1" cm="1">
        <f t="array" ref="F33">_xlfn.QUARTILE.INC(IF(Quartile_S[[#This Row],[Industry]]=Main_S[Industry],Main_S[P/B]),1)</f>
        <v>0.68459873541819061</v>
      </c>
      <c r="G33" s="1" cm="1">
        <f t="array" ref="G33">_xlfn.QUARTILE.INC(IF(Quartile_S[[#This Row],[Industry]]=Main_S[Industry],Main_S[P/B]),3)</f>
        <v>1.0867378788597426</v>
      </c>
      <c r="H33" s="1">
        <f>Quartile_S[[#This Row],[P/B Q1]]-1.5*(Quartile_S[[#This Row],[P/B Q3]]-Quartile_S[[#This Row],[P/B Q1]])</f>
        <v>8.1390020255862616E-2</v>
      </c>
      <c r="I33" s="1">
        <f>Quartile_S[[#This Row],[P/B Q3]]+1.5*(Quartile_S[[#This Row],[P/B Q3]]-Quartile_S[[#This Row],[P/B Q1]])</f>
        <v>1.6899465940220706</v>
      </c>
      <c r="J33" s="1" cm="1">
        <f t="array" ref="J33">_xlfn.QUARTILE.INC(IF(Quartile_S[[#This Row],[Industry]]=Main_S[Industry],Main_S[ROE]),1)</f>
        <v>7.7450000000000001</v>
      </c>
      <c r="K33" s="1" cm="1">
        <f t="array" ref="K33">_xlfn.QUARTILE.INC(IF(Quartile_S[[#This Row],[Industry]]=Main_S[Industry],Main_S[ROE]),3)</f>
        <v>17.344999999999999</v>
      </c>
      <c r="L33" s="1">
        <f>Quartile_S[[#This Row],[ROE Q1]]-1.5*(Quartile_S[[#This Row],[ROE Q3]]-Quartile_S[[#This Row],[ROE Q1]])</f>
        <v>-6.6549999999999967</v>
      </c>
      <c r="M33" s="1">
        <f>Quartile_S[[#This Row],[ROE Q3]]+1.5*(Quartile_S[[#This Row],[ROE Q3]]-Quartile_S[[#This Row],[ROE Q1]])</f>
        <v>31.744999999999997</v>
      </c>
      <c r="N33" s="1" cm="1">
        <f t="array" ref="N33">_xlfn.QUARTILE.INC(IF(Quartile_S[[#This Row],[Industry]]=Main_S[Industry],Main_S[ROA]),1)</f>
        <v>1.99</v>
      </c>
      <c r="O33" s="1" cm="1">
        <f t="array" ref="O33">_xlfn.QUARTILE.INC(IF(Quartile_S[[#This Row],[Industry]]=Main_S[Industry],Main_S[ROA]),3)</f>
        <v>3.7050000000000001</v>
      </c>
      <c r="P33" s="1">
        <f>Quartile_S[[#This Row],[ROA Q1]]-1.5*(Quartile_S[[#This Row],[ROA Q3]]-Quartile_S[[#This Row],[ROA Q1]])</f>
        <v>-0.58250000000000024</v>
      </c>
      <c r="Q33" s="1">
        <f>Quartile_S[[#This Row],[ROA Q3]]+1.5*(Quartile_S[[#This Row],[ROA Q3]]-Quartile_S[[#This Row],[ROA Q1]])</f>
        <v>6.2774999999999999</v>
      </c>
      <c r="R33" s="1" cm="1">
        <f t="array" ref="R33">_xlfn.QUARTILE.INC(IF(Quartile_S[[#This Row],[Industry]]=Main_S[Industry],Main_S[P/E]),1)</f>
        <v>6.1990454451130939</v>
      </c>
      <c r="S33" s="1" cm="1">
        <f t="array" ref="S33">_xlfn.QUARTILE.INC(IF(Quartile_S[[#This Row],[Industry]]=Main_S[Industry],Main_S[P/E]),3)</f>
        <v>8.9310126582278482</v>
      </c>
      <c r="T33" s="1">
        <f>Quartile_S[[#This Row],[P/E Q1]]-1.5*(Quartile_S[[#This Row],[P/E Q3]]-Quartile_S[[#This Row],[P/E Q1]])</f>
        <v>2.1010946254409619</v>
      </c>
      <c r="U33" s="1">
        <f>Quartile_S[[#This Row],[P/E Q3]]+1.5*(Quartile_S[[#This Row],[P/E Q3]]-Quartile_S[[#This Row],[P/E Q1]])</f>
        <v>13.02896347789998</v>
      </c>
      <c r="V33" s="1" cm="1">
        <f t="array" ref="V33">_xlfn.QUARTILE.INC(IF(Quartile_S[[#This Row],[Industry]]=Main_S[Industry],Main_S[A/E]),1)</f>
        <v>1.81</v>
      </c>
      <c r="W33" s="1" cm="1">
        <f t="array" ref="W33">_xlfn.QUARTILE.INC(IF(Quartile_S[[#This Row],[Industry]]=Main_S[Industry],Main_S[A/E]),3)</f>
        <v>2.415</v>
      </c>
      <c r="X33" s="1">
        <f>Quartile_S[[#This Row],[A/E Q1]]-1.5*(Quartile_S[[#This Row],[A/E Q3]]-Quartile_S[[#This Row],[A/E Q1]])</f>
        <v>0.90250000000000008</v>
      </c>
      <c r="Y33" s="1">
        <f>Quartile_S[[#This Row],[A/E Q3]]+1.5*(Quartile_S[[#This Row],[A/E Q3]]-Quartile_S[[#This Row],[A/E Q1]])</f>
        <v>3.3224999999999998</v>
      </c>
    </row>
    <row r="34" spans="1:25" x14ac:dyDescent="0.25">
      <c r="A34" t="s">
        <v>110</v>
      </c>
      <c r="B34" s="1" cm="1">
        <f t="array" ref="B34">_xlfn.QUARTILE.INC(IF(Quartile_S[[#This Row],[Industry]]=Main_S[Industry],Main_S[P/FCF]),1)</f>
        <v>4.8767642366224839</v>
      </c>
      <c r="C34" s="1" cm="1">
        <f t="array" ref="C34">_xlfn.QUARTILE.INC(IF(Quartile_S[[#This Row],[Industry]]=Main_S[Industry],Main_S[P/FCF]),3)</f>
        <v>9.7636684303350965</v>
      </c>
      <c r="D34" s="1">
        <f>Quartile_S[[#This Row],[P/FCF Q1]]-1.5*(Quartile_S[[#This Row],[P/FCF Q3]]-Quartile_S[[#This Row],[P/FCF Q1]])</f>
        <v>-2.4535920539464344</v>
      </c>
      <c r="E34" s="1">
        <f>Quartile_S[[#This Row],[P/FCF Q3]]+1.5*(Quartile_S[[#This Row],[P/FCF Q3]]-Quartile_S[[#This Row],[P/FCF Q1]])</f>
        <v>17.094024720904017</v>
      </c>
      <c r="F34" s="1" cm="1">
        <f t="array" ref="F34">_xlfn.QUARTILE.INC(IF(Quartile_S[[#This Row],[Industry]]=Main_S[Industry],Main_S[P/B]),1)</f>
        <v>0.5237146268040157</v>
      </c>
      <c r="G34" s="1" cm="1">
        <f t="array" ref="G34">_xlfn.QUARTILE.INC(IF(Quartile_S[[#This Row],[Industry]]=Main_S[Industry],Main_S[P/B]),3)</f>
        <v>1.0079671556122449</v>
      </c>
      <c r="H34" s="1">
        <f>Quartile_S[[#This Row],[P/B Q1]]-1.5*(Quartile_S[[#This Row],[P/B Q3]]-Quartile_S[[#This Row],[P/B Q1]])</f>
        <v>-0.20266416640832807</v>
      </c>
      <c r="I34" s="1">
        <f>Quartile_S[[#This Row],[P/B Q3]]+1.5*(Quartile_S[[#This Row],[P/B Q3]]-Quartile_S[[#This Row],[P/B Q1]])</f>
        <v>1.7343459488245887</v>
      </c>
      <c r="J34" s="1" cm="1">
        <f t="array" ref="J34">_xlfn.QUARTILE.INC(IF(Quartile_S[[#This Row],[Industry]]=Main_S[Industry],Main_S[ROE]),1)</f>
        <v>0.99999999999999989</v>
      </c>
      <c r="K34" s="1" cm="1">
        <f t="array" ref="K34">_xlfn.QUARTILE.INC(IF(Quartile_S[[#This Row],[Industry]]=Main_S[Industry],Main_S[ROE]),3)</f>
        <v>2.7225000000000001</v>
      </c>
      <c r="L34" s="1">
        <f>Quartile_S[[#This Row],[ROE Q1]]-1.5*(Quartile_S[[#This Row],[ROE Q3]]-Quartile_S[[#This Row],[ROE Q1]])</f>
        <v>-1.5837500000000002</v>
      </c>
      <c r="M34" s="1">
        <f>Quartile_S[[#This Row],[ROE Q3]]+1.5*(Quartile_S[[#This Row],[ROE Q3]]-Quartile_S[[#This Row],[ROE Q1]])</f>
        <v>5.3062500000000004</v>
      </c>
      <c r="N34" s="1" cm="1">
        <f t="array" ref="N34">_xlfn.QUARTILE.INC(IF(Quartile_S[[#This Row],[Industry]]=Main_S[Industry],Main_S[ROA]),1)</f>
        <v>1.5775000000000001</v>
      </c>
      <c r="O34" s="1" cm="1">
        <f t="array" ref="O34">_xlfn.QUARTILE.INC(IF(Quartile_S[[#This Row],[Industry]]=Main_S[Industry],Main_S[ROA]),3)</f>
        <v>1.9874999999999998</v>
      </c>
      <c r="P34" s="1">
        <f>Quartile_S[[#This Row],[ROA Q1]]-1.5*(Quartile_S[[#This Row],[ROA Q3]]-Quartile_S[[#This Row],[ROA Q1]])</f>
        <v>0.96250000000000058</v>
      </c>
      <c r="Q34" s="1">
        <f>Quartile_S[[#This Row],[ROA Q3]]+1.5*(Quartile_S[[#This Row],[ROA Q3]]-Quartile_S[[#This Row],[ROA Q1]])</f>
        <v>2.6024999999999991</v>
      </c>
      <c r="R34" s="1" cm="1">
        <f t="array" ref="R34">_xlfn.QUARTILE.INC(IF(Quartile_S[[#This Row],[Industry]]=Main_S[Industry],Main_S[P/E]),1)</f>
        <v>16.74636243386243</v>
      </c>
      <c r="S34" s="1" cm="1">
        <f t="array" ref="S34">_xlfn.QUARTILE.INC(IF(Quartile_S[[#This Row],[Industry]]=Main_S[Industry],Main_S[P/E]),3)</f>
        <v>64.709090909090918</v>
      </c>
      <c r="T34" s="1">
        <f>Quartile_S[[#This Row],[P/E Q1]]-1.5*(Quartile_S[[#This Row],[P/E Q3]]-Quartile_S[[#This Row],[P/E Q1]])</f>
        <v>-55.197730278980302</v>
      </c>
      <c r="U34" s="1">
        <f>Quartile_S[[#This Row],[P/E Q3]]+1.5*(Quartile_S[[#This Row],[P/E Q3]]-Quartile_S[[#This Row],[P/E Q1]])</f>
        <v>136.65318362193364</v>
      </c>
      <c r="V34" s="1" cm="1">
        <f t="array" ref="V34">_xlfn.QUARTILE.INC(IF(Quartile_S[[#This Row],[Industry]]=Main_S[Industry],Main_S[A/E]),1)</f>
        <v>1.915</v>
      </c>
      <c r="W34" s="1" cm="1">
        <f t="array" ref="W34">_xlfn.QUARTILE.INC(IF(Quartile_S[[#This Row],[Industry]]=Main_S[Industry],Main_S[A/E]),3)</f>
        <v>2.7225000000000001</v>
      </c>
      <c r="X34" s="1">
        <f>Quartile_S[[#This Row],[A/E Q1]]-1.5*(Quartile_S[[#This Row],[A/E Q3]]-Quartile_S[[#This Row],[A/E Q1]])</f>
        <v>0.70374999999999988</v>
      </c>
      <c r="Y34" s="1">
        <f>Quartile_S[[#This Row],[A/E Q3]]+1.5*(Quartile_S[[#This Row],[A/E Q3]]-Quartile_S[[#This Row],[A/E Q1]])</f>
        <v>3.9337500000000003</v>
      </c>
    </row>
    <row r="35" spans="1:25" x14ac:dyDescent="0.25">
      <c r="A35" t="s">
        <v>114</v>
      </c>
      <c r="B35" s="1" cm="1">
        <f t="array" ref="B35">_xlfn.QUARTILE.INC(IF(Quartile_S[[#This Row],[Industry]]=Main_S[Industry],Main_S[P/FCF]),1)</f>
        <v>7.416666666666667</v>
      </c>
      <c r="C35" s="1" cm="1">
        <f t="array" ref="C35">_xlfn.QUARTILE.INC(IF(Quartile_S[[#This Row],[Industry]]=Main_S[Industry],Main_S[P/FCF]),3)</f>
        <v>11.624584717607975</v>
      </c>
      <c r="D35" s="1">
        <f>Quartile_S[[#This Row],[P/FCF Q1]]-1.5*(Quartile_S[[#This Row],[P/FCF Q3]]-Quartile_S[[#This Row],[P/FCF Q1]])</f>
        <v>1.1047895902547049</v>
      </c>
      <c r="E35" s="1">
        <f>Quartile_S[[#This Row],[P/FCF Q3]]+1.5*(Quartile_S[[#This Row],[P/FCF Q3]]-Quartile_S[[#This Row],[P/FCF Q1]])</f>
        <v>17.936461794019937</v>
      </c>
      <c r="F35" s="1" cm="1">
        <f t="array" ref="F35">_xlfn.QUARTILE.INC(IF(Quartile_S[[#This Row],[Industry]]=Main_S[Industry],Main_S[P/B]),1)</f>
        <v>0.97166799680766169</v>
      </c>
      <c r="G35" s="1" cm="1">
        <f t="array" ref="G35">_xlfn.QUARTILE.INC(IF(Quartile_S[[#This Row],[Industry]]=Main_S[Industry],Main_S[P/B]),3)</f>
        <v>1.6693702290076335</v>
      </c>
      <c r="H35" s="1">
        <f>Quartile_S[[#This Row],[P/B Q1]]-1.5*(Quartile_S[[#This Row],[P/B Q3]]-Quartile_S[[#This Row],[P/B Q1]])</f>
        <v>-7.4885351492296137E-2</v>
      </c>
      <c r="I35" s="1">
        <f>Quartile_S[[#This Row],[P/B Q3]]+1.5*(Quartile_S[[#This Row],[P/B Q3]]-Quartile_S[[#This Row],[P/B Q1]])</f>
        <v>2.7159235773075912</v>
      </c>
      <c r="J35" s="1" cm="1">
        <f t="array" ref="J35">_xlfn.QUARTILE.INC(IF(Quartile_S[[#This Row],[Industry]]=Main_S[Industry],Main_S[ROE]),1)</f>
        <v>1.43</v>
      </c>
      <c r="K35" s="1" cm="1">
        <f t="array" ref="K35">_xlfn.QUARTILE.INC(IF(Quartile_S[[#This Row],[Industry]]=Main_S[Industry],Main_S[ROE]),3)</f>
        <v>9.39</v>
      </c>
      <c r="L35" s="1">
        <f>Quartile_S[[#This Row],[ROE Q1]]-1.5*(Quartile_S[[#This Row],[ROE Q3]]-Quartile_S[[#This Row],[ROE Q1]])</f>
        <v>-10.510000000000002</v>
      </c>
      <c r="M35" s="1">
        <f>Quartile_S[[#This Row],[ROE Q3]]+1.5*(Quartile_S[[#This Row],[ROE Q3]]-Quartile_S[[#This Row],[ROE Q1]])</f>
        <v>21.330000000000002</v>
      </c>
      <c r="N35" s="1" cm="1">
        <f t="array" ref="N35">_xlfn.QUARTILE.INC(IF(Quartile_S[[#This Row],[Industry]]=Main_S[Industry],Main_S[ROA]),1)</f>
        <v>1.93</v>
      </c>
      <c r="O35" s="1" cm="1">
        <f t="array" ref="O35">_xlfn.QUARTILE.INC(IF(Quartile_S[[#This Row],[Industry]]=Main_S[Industry],Main_S[ROA]),3)</f>
        <v>4.03</v>
      </c>
      <c r="P35" s="1">
        <f>Quartile_S[[#This Row],[ROA Q1]]-1.5*(Quartile_S[[#This Row],[ROA Q3]]-Quartile_S[[#This Row],[ROA Q1]])</f>
        <v>-1.2200000000000009</v>
      </c>
      <c r="Q35" s="1">
        <f>Quartile_S[[#This Row],[ROA Q3]]+1.5*(Quartile_S[[#This Row],[ROA Q3]]-Quartile_S[[#This Row],[ROA Q1]])</f>
        <v>7.1800000000000015</v>
      </c>
      <c r="R35" s="1" cm="1">
        <f t="array" ref="R35">_xlfn.QUARTILE.INC(IF(Quartile_S[[#This Row],[Industry]]=Main_S[Industry],Main_S[P/E]),1)</f>
        <v>18.129533678756477</v>
      </c>
      <c r="S35" s="1" cm="1">
        <f t="array" ref="S35">_xlfn.QUARTILE.INC(IF(Quartile_S[[#This Row],[Industry]]=Main_S[Industry],Main_S[P/E]),3)</f>
        <v>38.650793650793652</v>
      </c>
      <c r="T35" s="1">
        <f>Quartile_S[[#This Row],[P/E Q1]]-1.5*(Quartile_S[[#This Row],[P/E Q3]]-Quartile_S[[#This Row],[P/E Q1]])</f>
        <v>-12.652356279299287</v>
      </c>
      <c r="U35" s="1">
        <f>Quartile_S[[#This Row],[P/E Q3]]+1.5*(Quartile_S[[#This Row],[P/E Q3]]-Quartile_S[[#This Row],[P/E Q1]])</f>
        <v>69.432683608849416</v>
      </c>
      <c r="V35" s="1" cm="1">
        <f t="array" ref="V35">_xlfn.QUARTILE.INC(IF(Quartile_S[[#This Row],[Industry]]=Main_S[Industry],Main_S[A/E]),1)</f>
        <v>1.85</v>
      </c>
      <c r="W35" s="1" cm="1">
        <f t="array" ref="W35">_xlfn.QUARTILE.INC(IF(Quartile_S[[#This Row],[Industry]]=Main_S[Industry],Main_S[A/E]),3)</f>
        <v>2.87</v>
      </c>
      <c r="X35" s="1">
        <f>Quartile_S[[#This Row],[A/E Q1]]-1.5*(Quartile_S[[#This Row],[A/E Q3]]-Quartile_S[[#This Row],[A/E Q1]])</f>
        <v>0.32000000000000006</v>
      </c>
      <c r="Y35" s="1">
        <f>Quartile_S[[#This Row],[A/E Q3]]+1.5*(Quartile_S[[#This Row],[A/E Q3]]-Quartile_S[[#This Row],[A/E Q1]])</f>
        <v>4.4000000000000004</v>
      </c>
    </row>
    <row r="36" spans="1:25" x14ac:dyDescent="0.25">
      <c r="A36" t="s">
        <v>105</v>
      </c>
      <c r="B36" s="1" cm="1">
        <f t="array" ref="B36">_xlfn.QUARTILE.INC(IF(Quartile_S[[#This Row],[Industry]]=Main_S[Industry],Main_S[P/FCF]),1)</f>
        <v>9.4117399663542418</v>
      </c>
      <c r="C36" s="1" cm="1">
        <f t="array" ref="C36">_xlfn.QUARTILE.INC(IF(Quartile_S[[#This Row],[Industry]]=Main_S[Industry],Main_S[P/FCF]),3)</f>
        <v>11.483774810795374</v>
      </c>
      <c r="D36" s="1">
        <f>Quartile_S[[#This Row],[P/FCF Q1]]-1.5*(Quartile_S[[#This Row],[P/FCF Q3]]-Quartile_S[[#This Row],[P/FCF Q1]])</f>
        <v>6.3036876996925431</v>
      </c>
      <c r="E36" s="1">
        <f>Quartile_S[[#This Row],[P/FCF Q3]]+1.5*(Quartile_S[[#This Row],[P/FCF Q3]]-Quartile_S[[#This Row],[P/FCF Q1]])</f>
        <v>14.591827077457072</v>
      </c>
      <c r="F36" s="1" cm="1">
        <f t="array" ref="F36">_xlfn.QUARTILE.INC(IF(Quartile_S[[#This Row],[Industry]]=Main_S[Industry],Main_S[P/B]),1)</f>
        <v>1.0222896263062866</v>
      </c>
      <c r="G36" s="1" cm="1">
        <f t="array" ref="G36">_xlfn.QUARTILE.INC(IF(Quartile_S[[#This Row],[Industry]]=Main_S[Industry],Main_S[P/B]),3)</f>
        <v>1.5303236009369359</v>
      </c>
      <c r="H36" s="1">
        <f>Quartile_S[[#This Row],[P/B Q1]]-1.5*(Quartile_S[[#This Row],[P/B Q3]]-Quartile_S[[#This Row],[P/B Q1]])</f>
        <v>0.26023866436031273</v>
      </c>
      <c r="I36" s="1">
        <f>Quartile_S[[#This Row],[P/B Q3]]+1.5*(Quartile_S[[#This Row],[P/B Q3]]-Quartile_S[[#This Row],[P/B Q1]])</f>
        <v>2.2923745628829097</v>
      </c>
      <c r="J36" s="1" cm="1">
        <f t="array" ref="J36">_xlfn.QUARTILE.INC(IF(Quartile_S[[#This Row],[Industry]]=Main_S[Industry],Main_S[ROE]),1)</f>
        <v>0.69500000000000006</v>
      </c>
      <c r="K36" s="1" cm="1">
        <f t="array" ref="K36">_xlfn.QUARTILE.INC(IF(Quartile_S[[#This Row],[Industry]]=Main_S[Industry],Main_S[ROE]),3)</f>
        <v>8.254999999999999</v>
      </c>
      <c r="L36" s="1">
        <f>Quartile_S[[#This Row],[ROE Q1]]-1.5*(Quartile_S[[#This Row],[ROE Q3]]-Quartile_S[[#This Row],[ROE Q1]])</f>
        <v>-10.644999999999998</v>
      </c>
      <c r="M36" s="1">
        <f>Quartile_S[[#This Row],[ROE Q3]]+1.5*(Quartile_S[[#This Row],[ROE Q3]]-Quartile_S[[#This Row],[ROE Q1]])</f>
        <v>19.594999999999999</v>
      </c>
      <c r="N36" s="1" cm="1">
        <f t="array" ref="N36">_xlfn.QUARTILE.INC(IF(Quartile_S[[#This Row],[Industry]]=Main_S[Industry],Main_S[ROA]),1)</f>
        <v>2</v>
      </c>
      <c r="O36" s="1" cm="1">
        <f t="array" ref="O36">_xlfn.QUARTILE.INC(IF(Quartile_S[[#This Row],[Industry]]=Main_S[Industry],Main_S[ROA]),3)</f>
        <v>2.8250000000000002</v>
      </c>
      <c r="P36" s="1">
        <f>Quartile_S[[#This Row],[ROA Q1]]-1.5*(Quartile_S[[#This Row],[ROA Q3]]-Quartile_S[[#This Row],[ROA Q1]])</f>
        <v>0.76249999999999973</v>
      </c>
      <c r="Q36" s="1">
        <f>Quartile_S[[#This Row],[ROA Q3]]+1.5*(Quartile_S[[#This Row],[ROA Q3]]-Quartile_S[[#This Row],[ROA Q1]])</f>
        <v>4.0625</v>
      </c>
      <c r="R36" s="1" cm="1">
        <f t="array" ref="R36">_xlfn.QUARTILE.INC(IF(Quartile_S[[#This Row],[Industry]]=Main_S[Industry],Main_S[P/E]),1)</f>
        <v>4.2250081726054258</v>
      </c>
      <c r="S36" s="1" cm="1">
        <f t="array" ref="S36">_xlfn.QUARTILE.INC(IF(Quartile_S[[#This Row],[Industry]]=Main_S[Industry],Main_S[P/E]),3)</f>
        <v>34.702621722846445</v>
      </c>
      <c r="T36" s="1">
        <f>Quartile_S[[#This Row],[P/E Q1]]-1.5*(Quartile_S[[#This Row],[P/E Q3]]-Quartile_S[[#This Row],[P/E Q1]])</f>
        <v>-41.491412152756098</v>
      </c>
      <c r="U36" s="1">
        <f>Quartile_S[[#This Row],[P/E Q3]]+1.5*(Quartile_S[[#This Row],[P/E Q3]]-Quartile_S[[#This Row],[P/E Q1]])</f>
        <v>80.41904204820797</v>
      </c>
      <c r="V36" s="1" cm="1">
        <f t="array" ref="V36">_xlfn.QUARTILE.INC(IF(Quartile_S[[#This Row],[Industry]]=Main_S[Industry],Main_S[A/E]),1)</f>
        <v>2.2850000000000001</v>
      </c>
      <c r="W36" s="1" cm="1">
        <f t="array" ref="W36">_xlfn.QUARTILE.INC(IF(Quartile_S[[#This Row],[Industry]]=Main_S[Industry],Main_S[A/E]),3)</f>
        <v>4.0449999999999999</v>
      </c>
      <c r="X36" s="1">
        <f>Quartile_S[[#This Row],[A/E Q1]]-1.5*(Quartile_S[[#This Row],[A/E Q3]]-Quartile_S[[#This Row],[A/E Q1]])</f>
        <v>-0.35499999999999954</v>
      </c>
      <c r="Y36" s="1">
        <f>Quartile_S[[#This Row],[A/E Q3]]+1.5*(Quartile_S[[#This Row],[A/E Q3]]-Quartile_S[[#This Row],[A/E Q1]])</f>
        <v>6.6849999999999996</v>
      </c>
    </row>
    <row r="37" spans="1:25" x14ac:dyDescent="0.25">
      <c r="A37" t="s">
        <v>112</v>
      </c>
      <c r="B37" s="1" cm="1">
        <f t="array" ref="B37">_xlfn.QUARTILE.INC(IF(Quartile_S[[#This Row],[Industry]]=Main_S[Industry],Main_S[P/FCF]),1)</f>
        <v>5.0385176073982958</v>
      </c>
      <c r="C37" s="1" cm="1">
        <f t="array" ref="C37">_xlfn.QUARTILE.INC(IF(Quartile_S[[#This Row],[Industry]]=Main_S[Industry],Main_S[P/FCF]),3)</f>
        <v>8.2742533409070536</v>
      </c>
      <c r="D37" s="1">
        <f>Quartile_S[[#This Row],[P/FCF Q1]]-1.5*(Quartile_S[[#This Row],[P/FCF Q3]]-Quartile_S[[#This Row],[P/FCF Q1]])</f>
        <v>0.18491400713515915</v>
      </c>
      <c r="E37" s="1">
        <f>Quartile_S[[#This Row],[P/FCF Q3]]+1.5*(Quartile_S[[#This Row],[P/FCF Q3]]-Quartile_S[[#This Row],[P/FCF Q1]])</f>
        <v>13.12785694117019</v>
      </c>
      <c r="F37" s="1" cm="1">
        <f t="array" ref="F37">_xlfn.QUARTILE.INC(IF(Quartile_S[[#This Row],[Industry]]=Main_S[Industry],Main_S[P/B]),1)</f>
        <v>0.46660804473304474</v>
      </c>
      <c r="G37" s="1" cm="1">
        <f t="array" ref="G37">_xlfn.QUARTILE.INC(IF(Quartile_S[[#This Row],[Industry]]=Main_S[Industry],Main_S[P/B]),3)</f>
        <v>0.80948609026158613</v>
      </c>
      <c r="H37" s="1">
        <f>Quartile_S[[#This Row],[P/B Q1]]-1.5*(Quartile_S[[#This Row],[P/B Q3]]-Quartile_S[[#This Row],[P/B Q1]])</f>
        <v>-4.7709023559767361E-2</v>
      </c>
      <c r="I37" s="1">
        <f>Quartile_S[[#This Row],[P/B Q3]]+1.5*(Quartile_S[[#This Row],[P/B Q3]]-Quartile_S[[#This Row],[P/B Q1]])</f>
        <v>1.3238031585543983</v>
      </c>
      <c r="J37" s="1" cm="1">
        <f t="array" ref="J37">_xlfn.QUARTILE.INC(IF(Quartile_S[[#This Row],[Industry]]=Main_S[Industry],Main_S[ROE]),1)</f>
        <v>-9.2100000000000009</v>
      </c>
      <c r="K37" s="1" cm="1">
        <f t="array" ref="K37">_xlfn.QUARTILE.INC(IF(Quartile_S[[#This Row],[Industry]]=Main_S[Industry],Main_S[ROE]),3)</f>
        <v>-6.0000000000000053E-2</v>
      </c>
      <c r="L37" s="1">
        <f>Quartile_S[[#This Row],[ROE Q1]]-1.5*(Quartile_S[[#This Row],[ROE Q3]]-Quartile_S[[#This Row],[ROE Q1]])</f>
        <v>-22.935000000000002</v>
      </c>
      <c r="M37" s="1">
        <f>Quartile_S[[#This Row],[ROE Q3]]+1.5*(Quartile_S[[#This Row],[ROE Q3]]-Quartile_S[[#This Row],[ROE Q1]])</f>
        <v>13.665000000000001</v>
      </c>
      <c r="N37" s="1" cm="1">
        <f t="array" ref="N37">_xlfn.QUARTILE.INC(IF(Quartile_S[[#This Row],[Industry]]=Main_S[Industry],Main_S[ROA]),1)</f>
        <v>0.375</v>
      </c>
      <c r="O37" s="1" cm="1">
        <f t="array" ref="O37">_xlfn.QUARTILE.INC(IF(Quartile_S[[#This Row],[Industry]]=Main_S[Industry],Main_S[ROA]),3)</f>
        <v>1.75</v>
      </c>
      <c r="P37" s="1">
        <f>Quartile_S[[#This Row],[ROA Q1]]-1.5*(Quartile_S[[#This Row],[ROA Q3]]-Quartile_S[[#This Row],[ROA Q1]])</f>
        <v>-1.6875</v>
      </c>
      <c r="Q37" s="1">
        <f>Quartile_S[[#This Row],[ROA Q3]]+1.5*(Quartile_S[[#This Row],[ROA Q3]]-Quartile_S[[#This Row],[ROA Q1]])</f>
        <v>3.8125</v>
      </c>
      <c r="R37" s="1" cm="1">
        <f t="array" ref="R37">_xlfn.QUARTILE.INC(IF(Quartile_S[[#This Row],[Industry]]=Main_S[Industry],Main_S[P/E]),1)</f>
        <v>-8.406795346377578</v>
      </c>
      <c r="S37" s="1" cm="1">
        <f t="array" ref="S37">_xlfn.QUARTILE.INC(IF(Quartile_S[[#This Row],[Industry]]=Main_S[Industry],Main_S[P/E]),3)</f>
        <v>13.648783454987834</v>
      </c>
      <c r="T37" s="1">
        <f>Quartile_S[[#This Row],[P/E Q1]]-1.5*(Quartile_S[[#This Row],[P/E Q3]]-Quartile_S[[#This Row],[P/E Q1]])</f>
        <v>-41.490163548425699</v>
      </c>
      <c r="U37" s="1">
        <f>Quartile_S[[#This Row],[P/E Q3]]+1.5*(Quartile_S[[#This Row],[P/E Q3]]-Quartile_S[[#This Row],[P/E Q1]])</f>
        <v>46.732151657035956</v>
      </c>
      <c r="V37" s="1" cm="1">
        <f t="array" ref="V37">_xlfn.QUARTILE.INC(IF(Quartile_S[[#This Row],[Industry]]=Main_S[Industry],Main_S[A/E]),1)</f>
        <v>2.4849999999999999</v>
      </c>
      <c r="W37" s="1" cm="1">
        <f t="array" ref="W37">_xlfn.QUARTILE.INC(IF(Quartile_S[[#This Row],[Industry]]=Main_S[Industry],Main_S[A/E]),3)</f>
        <v>3.1349999999999998</v>
      </c>
      <c r="X37" s="1">
        <f>Quartile_S[[#This Row],[A/E Q1]]-1.5*(Quartile_S[[#This Row],[A/E Q3]]-Quartile_S[[#This Row],[A/E Q1]])</f>
        <v>1.51</v>
      </c>
      <c r="Y37" s="1">
        <f>Quartile_S[[#This Row],[A/E Q3]]+1.5*(Quartile_S[[#This Row],[A/E Q3]]-Quartile_S[[#This Row],[A/E Q1]])</f>
        <v>4.1099999999999994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3"/>
  <sheetViews>
    <sheetView workbookViewId="0">
      <selection activeCell="I29" sqref="I29"/>
    </sheetView>
  </sheetViews>
  <sheetFormatPr defaultRowHeight="15" x14ac:dyDescent="0.25"/>
  <cols>
    <col min="1" max="1" width="36.85546875" bestFit="1" customWidth="1"/>
    <col min="2" max="2" width="16.28515625" bestFit="1" customWidth="1"/>
    <col min="3" max="3" width="16.85546875" bestFit="1" customWidth="1"/>
    <col min="5" max="5" width="36.85546875" bestFit="1" customWidth="1"/>
    <col min="6" max="6" width="14" bestFit="1" customWidth="1"/>
    <col min="7" max="7" width="14.5703125" bestFit="1" customWidth="1"/>
    <col min="9" max="9" width="36.85546875" bestFit="1" customWidth="1"/>
    <col min="10" max="10" width="14" bestFit="1" customWidth="1"/>
    <col min="11" max="11" width="14.5703125" bestFit="1" customWidth="1"/>
  </cols>
  <sheetData>
    <row r="1" spans="1:11" x14ac:dyDescent="0.25">
      <c r="A1" s="24" t="s">
        <v>55</v>
      </c>
      <c r="B1" s="24"/>
      <c r="C1" s="24"/>
      <c r="E1" s="24" t="s">
        <v>80</v>
      </c>
      <c r="F1" s="24"/>
      <c r="G1" s="24"/>
      <c r="I1" s="24" t="s">
        <v>56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13.02469135802469</v>
      </c>
      <c r="C5" s="1">
        <v>0</v>
      </c>
      <c r="E5" s="6" t="s">
        <v>105</v>
      </c>
      <c r="F5" s="1">
        <v>1.657501963864886</v>
      </c>
      <c r="G5" s="1">
        <v>0</v>
      </c>
      <c r="I5" s="6" t="s">
        <v>105</v>
      </c>
      <c r="J5" s="1">
        <v>5.01</v>
      </c>
      <c r="K5" s="1">
        <v>0</v>
      </c>
    </row>
    <row r="6" spans="1:11" x14ac:dyDescent="0.25">
      <c r="A6" s="6" t="s">
        <v>114</v>
      </c>
      <c r="B6" s="1">
        <v>18.764234865985955</v>
      </c>
      <c r="C6" s="1">
        <v>11.039870869839609</v>
      </c>
      <c r="E6" s="6" t="s">
        <v>114</v>
      </c>
      <c r="F6" s="1">
        <v>1.9484291014355044</v>
      </c>
      <c r="G6" s="1">
        <v>0.77515148487973873</v>
      </c>
      <c r="I6" s="6" t="s">
        <v>114</v>
      </c>
      <c r="J6" s="1">
        <v>2.415</v>
      </c>
      <c r="K6" s="1">
        <v>0.98725629904295853</v>
      </c>
    </row>
    <row r="7" spans="1:11" x14ac:dyDescent="0.25">
      <c r="A7" s="6" t="s">
        <v>110</v>
      </c>
      <c r="B7" s="1">
        <v>7.765853658536586</v>
      </c>
      <c r="C7" s="1">
        <v>0</v>
      </c>
      <c r="E7" s="6" t="s">
        <v>110</v>
      </c>
      <c r="F7" s="1">
        <v>1.6600625651720542</v>
      </c>
      <c r="G7" s="1">
        <v>0</v>
      </c>
      <c r="I7" s="6" t="s">
        <v>110</v>
      </c>
      <c r="J7" s="1">
        <v>10</v>
      </c>
      <c r="K7" s="1">
        <v>0</v>
      </c>
    </row>
    <row r="8" spans="1:11" x14ac:dyDescent="0.25">
      <c r="A8" s="6" t="s">
        <v>107</v>
      </c>
      <c r="B8" s="1">
        <v>20.134935304990758</v>
      </c>
      <c r="C8" s="1">
        <v>0</v>
      </c>
      <c r="E8" s="6" t="s">
        <v>107</v>
      </c>
      <c r="F8" s="1">
        <v>1.8927888792354477</v>
      </c>
      <c r="G8" s="1">
        <v>0</v>
      </c>
      <c r="I8" s="6" t="s">
        <v>107</v>
      </c>
      <c r="J8" s="1">
        <v>6.83</v>
      </c>
      <c r="K8" s="1">
        <v>0</v>
      </c>
    </row>
    <row r="9" spans="1:11" x14ac:dyDescent="0.25">
      <c r="A9" s="6" t="s">
        <v>112</v>
      </c>
      <c r="B9" s="1">
        <v>9.187341772151898</v>
      </c>
      <c r="C9" s="1">
        <v>0</v>
      </c>
      <c r="E9" s="6" t="s">
        <v>112</v>
      </c>
      <c r="F9" s="1">
        <v>2.1601190476190473</v>
      </c>
      <c r="G9" s="1">
        <v>0</v>
      </c>
      <c r="I9" s="6" t="s">
        <v>112</v>
      </c>
      <c r="J9" s="1">
        <v>0.8</v>
      </c>
      <c r="K9" s="1">
        <v>0</v>
      </c>
    </row>
    <row r="10" spans="1:11" x14ac:dyDescent="0.25">
      <c r="A10" s="6" t="s">
        <v>147</v>
      </c>
      <c r="B10" s="1">
        <v>48.258086318380435</v>
      </c>
      <c r="C10" s="1">
        <v>29.568040928633899</v>
      </c>
      <c r="E10" s="6" t="s">
        <v>147</v>
      </c>
      <c r="F10" s="1">
        <v>3.3207002866588806</v>
      </c>
      <c r="G10" s="1">
        <v>0.94115935452163724</v>
      </c>
      <c r="I10" s="6" t="s">
        <v>147</v>
      </c>
      <c r="J10" s="1">
        <v>4.402857142857143</v>
      </c>
      <c r="K10" s="1">
        <v>4.8033640422571535</v>
      </c>
    </row>
    <row r="11" spans="1:11" x14ac:dyDescent="0.25">
      <c r="A11" s="6" t="s">
        <v>120</v>
      </c>
      <c r="B11" s="1">
        <v>17.417761359299408</v>
      </c>
      <c r="C11" s="1">
        <v>1.1432555808693028</v>
      </c>
      <c r="E11" s="6" t="s">
        <v>120</v>
      </c>
      <c r="F11" s="1">
        <v>2.7054741263573425</v>
      </c>
      <c r="G11" s="1">
        <v>0.65913122139106417</v>
      </c>
      <c r="I11" s="6" t="s">
        <v>120</v>
      </c>
      <c r="J11" s="1">
        <v>6.5311111111111115</v>
      </c>
      <c r="K11" s="1">
        <v>3.6276452247350761</v>
      </c>
    </row>
    <row r="12" spans="1:11" x14ac:dyDescent="0.25">
      <c r="A12" s="6" t="s">
        <v>131</v>
      </c>
      <c r="B12" s="1">
        <v>14.864399405509745</v>
      </c>
      <c r="C12" s="1">
        <v>1.6436777878867612</v>
      </c>
      <c r="E12" s="6" t="s">
        <v>131</v>
      </c>
      <c r="F12" s="1">
        <v>7.6917327046608186</v>
      </c>
      <c r="G12" s="1">
        <v>8.9929515957702613</v>
      </c>
      <c r="I12" s="6" t="s">
        <v>131</v>
      </c>
      <c r="J12" s="1">
        <v>25.01</v>
      </c>
      <c r="K12" s="1">
        <v>29.930920466968612</v>
      </c>
    </row>
    <row r="13" spans="1:11" x14ac:dyDescent="0.25">
      <c r="A13" s="6" t="s">
        <v>135</v>
      </c>
      <c r="B13" s="1">
        <v>21.402822031089478</v>
      </c>
      <c r="C13" s="1">
        <v>5.8556023388700948</v>
      </c>
      <c r="E13" s="6" t="s">
        <v>135</v>
      </c>
      <c r="F13" s="1">
        <v>4.2443594395929916</v>
      </c>
      <c r="G13" s="1">
        <v>4.940758734669334</v>
      </c>
      <c r="I13" s="6" t="s">
        <v>135</v>
      </c>
      <c r="J13" s="1">
        <v>11.91888888888889</v>
      </c>
      <c r="K13" s="1">
        <v>15.173581167018508</v>
      </c>
    </row>
    <row r="21" spans="1:11" x14ac:dyDescent="0.25">
      <c r="A21" s="24" t="s">
        <v>57</v>
      </c>
      <c r="B21" s="24"/>
      <c r="C21" s="24"/>
      <c r="E21" s="24" t="s">
        <v>58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2.9</v>
      </c>
      <c r="C25" s="1">
        <v>0</v>
      </c>
      <c r="E25" s="6" t="s">
        <v>105</v>
      </c>
      <c r="F25" s="1">
        <v>2.0699999999999998</v>
      </c>
      <c r="G25" s="1">
        <v>0</v>
      </c>
      <c r="I25" s="6" t="s">
        <v>105</v>
      </c>
      <c r="J25" s="1">
        <v>32.628865979381445</v>
      </c>
      <c r="K25" s="1">
        <v>0</v>
      </c>
    </row>
    <row r="26" spans="1:11" x14ac:dyDescent="0.25">
      <c r="A26" s="6" t="s">
        <v>114</v>
      </c>
      <c r="B26" s="1">
        <v>1.7933333333333332</v>
      </c>
      <c r="C26" s="1">
        <v>8.2596744622427512E-2</v>
      </c>
      <c r="E26" s="6" t="s">
        <v>114</v>
      </c>
      <c r="F26" s="1">
        <v>2.2224999999999997</v>
      </c>
      <c r="G26" s="1">
        <v>0.13808964479641705</v>
      </c>
      <c r="I26" s="6" t="s">
        <v>114</v>
      </c>
      <c r="J26" s="1">
        <v>61.862134450106481</v>
      </c>
      <c r="K26" s="1">
        <v>29.775292225015555</v>
      </c>
    </row>
    <row r="27" spans="1:11" x14ac:dyDescent="0.25">
      <c r="A27" s="6" t="s">
        <v>110</v>
      </c>
      <c r="B27" s="1">
        <v>3.91</v>
      </c>
      <c r="C27" s="1">
        <v>0</v>
      </c>
      <c r="E27" s="6" t="s">
        <v>110</v>
      </c>
      <c r="F27" s="1">
        <v>1.95</v>
      </c>
      <c r="G27" s="1">
        <v>0</v>
      </c>
      <c r="I27" s="6" t="s">
        <v>110</v>
      </c>
      <c r="J27" s="1">
        <v>16.583333333333332</v>
      </c>
      <c r="K27" s="1">
        <v>0</v>
      </c>
    </row>
    <row r="28" spans="1:11" x14ac:dyDescent="0.25">
      <c r="A28" s="6" t="s">
        <v>107</v>
      </c>
      <c r="B28" s="1">
        <v>2.38</v>
      </c>
      <c r="C28" s="1">
        <v>0</v>
      </c>
      <c r="E28" s="6" t="s">
        <v>107</v>
      </c>
      <c r="F28" s="1">
        <v>1.8</v>
      </c>
      <c r="G28" s="1">
        <v>0</v>
      </c>
      <c r="I28" s="6" t="s">
        <v>107</v>
      </c>
      <c r="J28" s="1">
        <v>27.164588528678308</v>
      </c>
      <c r="K28" s="1">
        <v>0</v>
      </c>
    </row>
    <row r="29" spans="1:11" x14ac:dyDescent="0.25">
      <c r="A29" s="6" t="s">
        <v>112</v>
      </c>
      <c r="B29" s="1">
        <v>2.46</v>
      </c>
      <c r="C29" s="1">
        <v>0</v>
      </c>
      <c r="E29" s="6" t="s">
        <v>112</v>
      </c>
      <c r="F29" s="1">
        <v>4.78</v>
      </c>
      <c r="G29" s="1">
        <v>0</v>
      </c>
      <c r="I29" s="6" t="s">
        <v>112</v>
      </c>
      <c r="J29" s="1">
        <v>-2419.3333333333335</v>
      </c>
      <c r="K29" s="1">
        <v>0</v>
      </c>
    </row>
    <row r="30" spans="1:11" x14ac:dyDescent="0.25">
      <c r="A30" s="6" t="s">
        <v>147</v>
      </c>
      <c r="B30" s="1">
        <v>1.2400000000000002</v>
      </c>
      <c r="C30" s="1">
        <v>2.1132642320083197</v>
      </c>
      <c r="E30" s="6" t="s">
        <v>147</v>
      </c>
      <c r="F30" s="1">
        <v>2.04</v>
      </c>
      <c r="G30" s="1">
        <v>0.820243866176395</v>
      </c>
      <c r="I30" s="6" t="s">
        <v>147</v>
      </c>
      <c r="J30" s="1">
        <v>-44.522502781916899</v>
      </c>
      <c r="K30" s="1">
        <v>114.06038269387719</v>
      </c>
    </row>
    <row r="31" spans="1:11" x14ac:dyDescent="0.25">
      <c r="A31" s="6" t="s">
        <v>120</v>
      </c>
      <c r="B31" s="1">
        <v>2.4655555555555559</v>
      </c>
      <c r="C31" s="1">
        <v>0.51487023416069533</v>
      </c>
      <c r="E31" s="6" t="s">
        <v>120</v>
      </c>
      <c r="F31" s="1">
        <v>2.0124999999999997</v>
      </c>
      <c r="G31" s="1">
        <v>0.21747126246932366</v>
      </c>
      <c r="I31" s="6" t="s">
        <v>120</v>
      </c>
      <c r="J31" s="1">
        <v>59.695740443439789</v>
      </c>
      <c r="K31" s="1">
        <v>44.959672403359185</v>
      </c>
    </row>
    <row r="32" spans="1:11" x14ac:dyDescent="0.25">
      <c r="A32" s="6" t="s">
        <v>131</v>
      </c>
      <c r="B32" s="1">
        <v>3.39</v>
      </c>
      <c r="C32" s="1">
        <v>1.7253598658444174</v>
      </c>
      <c r="E32" s="6" t="s">
        <v>131</v>
      </c>
      <c r="F32" s="1">
        <v>5.44</v>
      </c>
      <c r="G32" s="1">
        <v>5.1124618987985295</v>
      </c>
      <c r="I32" s="6" t="s">
        <v>131</v>
      </c>
      <c r="J32" s="1">
        <v>34.962469651256107</v>
      </c>
      <c r="K32" s="1">
        <v>11.829345058986448</v>
      </c>
    </row>
    <row r="33" spans="1:11" x14ac:dyDescent="0.25">
      <c r="A33" s="6" t="s">
        <v>135</v>
      </c>
      <c r="B33" s="1">
        <v>4.0619999999999994</v>
      </c>
      <c r="C33" s="1">
        <v>1.6490288050849808</v>
      </c>
      <c r="E33" s="6" t="s">
        <v>135</v>
      </c>
      <c r="F33" s="1">
        <v>2.4362499999999998</v>
      </c>
      <c r="G33" s="1">
        <v>2.1982205161220749</v>
      </c>
      <c r="I33" s="6" t="s">
        <v>135</v>
      </c>
      <c r="J33" s="1">
        <v>34.912256991198994</v>
      </c>
      <c r="K33" s="1">
        <v>26.874528170923284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3"/>
  <sheetViews>
    <sheetView workbookViewId="0">
      <selection activeCell="G13" sqref="G13"/>
    </sheetView>
  </sheetViews>
  <sheetFormatPr defaultRowHeight="15" x14ac:dyDescent="0.25"/>
  <cols>
    <col min="1" max="1" width="36.85546875" bestFit="1" customWidth="1"/>
    <col min="2" max="2" width="14.85546875" bestFit="1" customWidth="1"/>
    <col min="3" max="3" width="15.42578125" bestFit="1" customWidth="1"/>
    <col min="5" max="5" width="36.85546875" bestFit="1" customWidth="1"/>
    <col min="6" max="6" width="14" bestFit="1" customWidth="1"/>
    <col min="7" max="7" width="14.5703125" bestFit="1" customWidth="1"/>
    <col min="9" max="9" width="36.855468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60</v>
      </c>
      <c r="B1" s="24"/>
      <c r="C1" s="24"/>
      <c r="E1" s="24" t="s">
        <v>79</v>
      </c>
      <c r="F1" s="24"/>
      <c r="G1" s="24"/>
      <c r="I1" s="24" t="s">
        <v>62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11.133900973872853</v>
      </c>
      <c r="C5" s="1">
        <v>1.8379660783645702</v>
      </c>
      <c r="E5" s="6" t="s">
        <v>105</v>
      </c>
      <c r="F5" s="1">
        <v>0.83127638055122299</v>
      </c>
      <c r="G5" s="1">
        <v>0.62818701487395956</v>
      </c>
      <c r="I5" s="6" t="s">
        <v>105</v>
      </c>
      <c r="J5" s="1">
        <v>2.6949999999999994</v>
      </c>
      <c r="K5" s="1">
        <v>3.8849099088653269</v>
      </c>
    </row>
    <row r="6" spans="1:11" x14ac:dyDescent="0.25">
      <c r="A6" s="6" t="s">
        <v>114</v>
      </c>
      <c r="B6" s="1">
        <v>20.150244924647339</v>
      </c>
      <c r="C6" s="1">
        <v>7.247593595644255</v>
      </c>
      <c r="E6" s="6" t="s">
        <v>114</v>
      </c>
      <c r="F6" s="1">
        <v>1.6338206851690831</v>
      </c>
      <c r="G6" s="1">
        <v>0.68305047548503739</v>
      </c>
      <c r="I6" s="6" t="s">
        <v>114</v>
      </c>
      <c r="J6" s="1">
        <v>-2.4849999999999999</v>
      </c>
      <c r="K6" s="1">
        <v>13.054241647832324</v>
      </c>
    </row>
    <row r="7" spans="1:11" x14ac:dyDescent="0.25">
      <c r="A7" s="6" t="s">
        <v>110</v>
      </c>
      <c r="B7" s="1">
        <v>6.9631849804442441</v>
      </c>
      <c r="C7" s="1">
        <v>1.5507322028606931</v>
      </c>
      <c r="E7" s="6" t="s">
        <v>110</v>
      </c>
      <c r="F7" s="1">
        <v>4.1385563199409523</v>
      </c>
      <c r="G7" s="1">
        <v>4.8191626183958061</v>
      </c>
      <c r="I7" s="6" t="s">
        <v>110</v>
      </c>
      <c r="J7" s="1">
        <v>14.076666666666666</v>
      </c>
      <c r="K7" s="1">
        <v>13.044258847818414</v>
      </c>
    </row>
    <row r="8" spans="1:11" x14ac:dyDescent="0.25">
      <c r="A8" s="6" t="s">
        <v>107</v>
      </c>
      <c r="B8" s="1">
        <v>16.901879442490216</v>
      </c>
      <c r="C8" s="1">
        <v>3.8166233208659421</v>
      </c>
      <c r="E8" s="6" t="s">
        <v>107</v>
      </c>
      <c r="F8" s="1">
        <v>1.7272845506524332</v>
      </c>
      <c r="G8" s="1">
        <v>0.56978963002702421</v>
      </c>
      <c r="I8" s="6" t="s">
        <v>107</v>
      </c>
      <c r="J8" s="1">
        <v>2.9987500000000002</v>
      </c>
      <c r="K8" s="1">
        <v>5.9768520926571371</v>
      </c>
    </row>
    <row r="9" spans="1:11" x14ac:dyDescent="0.25">
      <c r="A9" s="6" t="s">
        <v>112</v>
      </c>
      <c r="B9" s="1">
        <v>14.36816212909102</v>
      </c>
      <c r="C9" s="1">
        <v>7.9186300240987482</v>
      </c>
      <c r="E9" s="6" t="s">
        <v>112</v>
      </c>
      <c r="F9" s="1">
        <v>1.3897222598711154</v>
      </c>
      <c r="G9" s="1">
        <v>0.44613626924461613</v>
      </c>
      <c r="I9" s="6" t="s">
        <v>112</v>
      </c>
      <c r="J9" s="1">
        <v>3.0979999999999999</v>
      </c>
      <c r="K9" s="1">
        <v>2.2653776727071357</v>
      </c>
    </row>
    <row r="10" spans="1:11" x14ac:dyDescent="0.25">
      <c r="A10" s="6" t="s">
        <v>147</v>
      </c>
      <c r="B10" s="1">
        <v>23.004795585102858</v>
      </c>
      <c r="C10" s="1">
        <v>8.1672713215535637</v>
      </c>
      <c r="E10" s="6" t="s">
        <v>147</v>
      </c>
      <c r="F10" s="1">
        <v>4.5763401069305107</v>
      </c>
      <c r="G10" s="1">
        <v>2.6403206505256067</v>
      </c>
      <c r="I10" s="6" t="s">
        <v>147</v>
      </c>
      <c r="J10" s="1">
        <v>9.0300000000000011</v>
      </c>
      <c r="K10" s="1">
        <v>2.3227225404684027</v>
      </c>
    </row>
    <row r="11" spans="1:11" x14ac:dyDescent="0.25">
      <c r="A11" s="6" t="s">
        <v>120</v>
      </c>
      <c r="B11" s="1">
        <v>19.141201230370733</v>
      </c>
      <c r="C11" s="1">
        <v>6.6193621499109589</v>
      </c>
      <c r="E11" s="6" t="s">
        <v>120</v>
      </c>
      <c r="F11" s="1">
        <v>1.0408301525716066</v>
      </c>
      <c r="G11" s="1">
        <v>0.1941462147477723</v>
      </c>
      <c r="I11" s="6" t="s">
        <v>120</v>
      </c>
      <c r="J11" s="1">
        <v>1.88</v>
      </c>
      <c r="K11" s="1">
        <v>1.02</v>
      </c>
    </row>
    <row r="12" spans="1:11" x14ac:dyDescent="0.25">
      <c r="A12" s="6" t="s">
        <v>131</v>
      </c>
      <c r="B12" s="1">
        <v>14.352653009580051</v>
      </c>
      <c r="C12" s="1">
        <v>3.1616936620699319</v>
      </c>
      <c r="E12" s="6" t="s">
        <v>131</v>
      </c>
      <c r="F12" s="1">
        <v>1.6518540518983107</v>
      </c>
      <c r="G12" s="1">
        <v>0.58063237971830539</v>
      </c>
      <c r="I12" s="6" t="s">
        <v>131</v>
      </c>
      <c r="J12" s="1">
        <v>5.4599999999999991</v>
      </c>
      <c r="K12" s="1">
        <v>5.5811289180595001</v>
      </c>
    </row>
    <row r="13" spans="1:11" x14ac:dyDescent="0.25">
      <c r="A13" s="6" t="s">
        <v>135</v>
      </c>
      <c r="B13" s="1">
        <v>12.996604467209977</v>
      </c>
      <c r="C13" s="1">
        <v>2.6969203317398764</v>
      </c>
      <c r="E13" s="6" t="s">
        <v>135</v>
      </c>
      <c r="F13" s="1">
        <v>2.5129675870571333</v>
      </c>
      <c r="G13" s="1">
        <v>1.2681209253334873</v>
      </c>
      <c r="I13" s="6" t="s">
        <v>135</v>
      </c>
      <c r="J13" s="1">
        <v>10.43857142857143</v>
      </c>
      <c r="K13" s="1">
        <v>12.483430650919901</v>
      </c>
    </row>
    <row r="21" spans="1:11" x14ac:dyDescent="0.25">
      <c r="A21" s="24" t="s">
        <v>64</v>
      </c>
      <c r="B21" s="24"/>
      <c r="C21" s="24"/>
      <c r="E21" s="24" t="s">
        <v>66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2.77</v>
      </c>
      <c r="C25" s="1">
        <v>0.47265209192385688</v>
      </c>
      <c r="E25" s="6" t="s">
        <v>105</v>
      </c>
      <c r="F25" s="1">
        <v>1.93</v>
      </c>
      <c r="G25" s="1">
        <v>0.27955321496988716</v>
      </c>
      <c r="I25" s="6" t="s">
        <v>105</v>
      </c>
      <c r="J25" s="1">
        <v>27.669459770114944</v>
      </c>
      <c r="K25" s="1">
        <v>0.58441641873828742</v>
      </c>
    </row>
    <row r="26" spans="1:11" x14ac:dyDescent="0.25">
      <c r="A26" s="6" t="s">
        <v>114</v>
      </c>
      <c r="B26" s="1">
        <v>2.8460000000000005</v>
      </c>
      <c r="C26" s="1">
        <v>1.6254919255413105</v>
      </c>
      <c r="E26" s="6" t="s">
        <v>114</v>
      </c>
      <c r="F26" s="1">
        <v>1.9824999999999999</v>
      </c>
      <c r="G26" s="1">
        <v>5.1659945799431686E-2</v>
      </c>
      <c r="I26" s="6" t="s">
        <v>114</v>
      </c>
      <c r="J26" s="1">
        <v>13.572115427422322</v>
      </c>
      <c r="K26" s="1">
        <v>17.666643671555189</v>
      </c>
    </row>
    <row r="27" spans="1:11" x14ac:dyDescent="0.25">
      <c r="A27" s="6" t="s">
        <v>110</v>
      </c>
      <c r="B27" s="1">
        <v>3.94</v>
      </c>
      <c r="C27" s="1">
        <v>1.6406705946045357</v>
      </c>
      <c r="E27" s="6" t="s">
        <v>110</v>
      </c>
      <c r="F27" s="1">
        <v>4.6499999999999995</v>
      </c>
      <c r="G27" s="1">
        <v>3.7070293587543461</v>
      </c>
      <c r="I27" s="6" t="s">
        <v>110</v>
      </c>
      <c r="J27" s="1">
        <v>17.581072704233687</v>
      </c>
      <c r="K27" s="1">
        <v>2.4941595572467605</v>
      </c>
    </row>
    <row r="28" spans="1:11" x14ac:dyDescent="0.25">
      <c r="A28" s="6" t="s">
        <v>107</v>
      </c>
      <c r="B28" s="1">
        <v>2.2771428571428571</v>
      </c>
      <c r="C28" s="1">
        <v>0.80531651782237246</v>
      </c>
      <c r="E28" s="6" t="s">
        <v>107</v>
      </c>
      <c r="F28" s="1">
        <v>1.86</v>
      </c>
      <c r="G28" s="1">
        <v>0.37155080406318564</v>
      </c>
      <c r="I28" s="6" t="s">
        <v>107</v>
      </c>
      <c r="J28" s="1">
        <v>32.3161972500967</v>
      </c>
      <c r="K28" s="1">
        <v>6.3988501138942855</v>
      </c>
    </row>
    <row r="29" spans="1:11" x14ac:dyDescent="0.25">
      <c r="A29" s="6" t="s">
        <v>112</v>
      </c>
      <c r="B29" s="1">
        <v>1.5457142857142858</v>
      </c>
      <c r="C29" s="1">
        <v>1.1238309118223022</v>
      </c>
      <c r="E29" s="6" t="s">
        <v>112</v>
      </c>
      <c r="F29" s="1">
        <v>2.9785714285714282</v>
      </c>
      <c r="G29" s="1">
        <v>0.93036749377296579</v>
      </c>
      <c r="I29" s="6" t="s">
        <v>112</v>
      </c>
      <c r="J29" s="1">
        <v>45.865302264412797</v>
      </c>
      <c r="K29" s="1">
        <v>27.916751274867877</v>
      </c>
    </row>
    <row r="30" spans="1:11" x14ac:dyDescent="0.25">
      <c r="A30" s="6" t="s">
        <v>147</v>
      </c>
      <c r="B30" s="1">
        <v>3.9116666666666666</v>
      </c>
      <c r="C30" s="1">
        <v>0.68421284862403886</v>
      </c>
      <c r="E30" s="6" t="s">
        <v>147</v>
      </c>
      <c r="F30" s="1">
        <v>3.0971428571428565</v>
      </c>
      <c r="G30" s="1">
        <v>1.0204860786579588</v>
      </c>
      <c r="I30" s="6" t="s">
        <v>147</v>
      </c>
      <c r="J30" s="1">
        <v>20.400765713357462</v>
      </c>
      <c r="K30" s="1">
        <v>33.505721681627676</v>
      </c>
    </row>
    <row r="31" spans="1:11" x14ac:dyDescent="0.25">
      <c r="A31" s="6" t="s">
        <v>120</v>
      </c>
      <c r="B31" s="1">
        <v>1.915</v>
      </c>
      <c r="C31" s="1">
        <v>0.59499999999999931</v>
      </c>
      <c r="E31" s="6" t="s">
        <v>120</v>
      </c>
      <c r="F31" s="1">
        <v>1.7149999999999999</v>
      </c>
      <c r="G31" s="1">
        <v>1.5000000000012127E-2</v>
      </c>
      <c r="I31" s="6" t="s">
        <v>120</v>
      </c>
      <c r="J31" s="1">
        <v>103.69513343799058</v>
      </c>
      <c r="K31" s="1">
        <v>36.997174254317116</v>
      </c>
    </row>
    <row r="32" spans="1:11" x14ac:dyDescent="0.25">
      <c r="A32" s="6" t="s">
        <v>131</v>
      </c>
      <c r="B32" s="1">
        <v>2.5776923076923071</v>
      </c>
      <c r="C32" s="1">
        <v>0.96671651915252332</v>
      </c>
      <c r="E32" s="6" t="s">
        <v>131</v>
      </c>
      <c r="F32" s="1">
        <v>2.4907692307692311</v>
      </c>
      <c r="G32" s="1">
        <v>0.77291119540108322</v>
      </c>
      <c r="I32" s="6" t="s">
        <v>131</v>
      </c>
      <c r="J32" s="1">
        <v>32.58243108434732</v>
      </c>
      <c r="K32" s="1">
        <v>34.656553902715864</v>
      </c>
    </row>
    <row r="33" spans="1:11" x14ac:dyDescent="0.25">
      <c r="A33" s="6" t="s">
        <v>135</v>
      </c>
      <c r="B33" s="1">
        <v>2.8550000000000004</v>
      </c>
      <c r="C33" s="1">
        <v>2.7444125054371828</v>
      </c>
      <c r="E33" s="6" t="s">
        <v>135</v>
      </c>
      <c r="F33" s="1">
        <v>3.8722222222222222</v>
      </c>
      <c r="G33" s="1">
        <v>2.8905777114917433</v>
      </c>
      <c r="I33" s="6" t="s">
        <v>135</v>
      </c>
      <c r="J33" s="1">
        <v>28.596819821963379</v>
      </c>
      <c r="K33" s="1">
        <v>18.206096525057152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3"/>
  <sheetViews>
    <sheetView workbookViewId="0">
      <selection activeCell="F12" sqref="F12"/>
    </sheetView>
  </sheetViews>
  <sheetFormatPr defaultRowHeight="15" x14ac:dyDescent="0.25"/>
  <cols>
    <col min="1" max="1" width="36.85546875" bestFit="1" customWidth="1"/>
    <col min="2" max="2" width="16.28515625" bestFit="1" customWidth="1"/>
    <col min="3" max="3" width="16.85546875" bestFit="1" customWidth="1"/>
    <col min="5" max="5" width="36.85546875" bestFit="1" customWidth="1"/>
    <col min="6" max="6" width="14" bestFit="1" customWidth="1"/>
    <col min="7" max="7" width="14.5703125" bestFit="1" customWidth="1"/>
    <col min="9" max="9" width="36.855468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61</v>
      </c>
      <c r="B1" s="24"/>
      <c r="C1" s="24"/>
      <c r="E1" s="24" t="s">
        <v>81</v>
      </c>
      <c r="F1" s="24"/>
      <c r="G1" s="24"/>
      <c r="I1" s="24" t="s">
        <v>63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10.481889577421297</v>
      </c>
      <c r="C5" s="1">
        <v>1.5370249233011264</v>
      </c>
      <c r="E5" s="6" t="s">
        <v>105</v>
      </c>
      <c r="F5" s="1">
        <v>1.1979259297585889</v>
      </c>
      <c r="G5" s="1">
        <v>0.27384109948148733</v>
      </c>
      <c r="I5" s="6" t="s">
        <v>105</v>
      </c>
      <c r="J5" s="1">
        <v>3.4542857142857133</v>
      </c>
      <c r="K5" s="1">
        <v>6.480182663084336</v>
      </c>
    </row>
    <row r="6" spans="1:11" x14ac:dyDescent="0.25">
      <c r="A6" s="6" t="s">
        <v>114</v>
      </c>
      <c r="B6" s="1">
        <v>9.7987112000262648</v>
      </c>
      <c r="C6" s="1">
        <v>2.2490999670215532</v>
      </c>
      <c r="E6" s="6" t="s">
        <v>114</v>
      </c>
      <c r="F6" s="1">
        <v>1.1443637902673256</v>
      </c>
      <c r="G6" s="1">
        <v>0.30323625815182847</v>
      </c>
      <c r="I6" s="6" t="s">
        <v>114</v>
      </c>
      <c r="J6" s="1">
        <v>4.4739999999999993</v>
      </c>
      <c r="K6" s="1">
        <v>4.4826982945542984</v>
      </c>
    </row>
    <row r="7" spans="1:11" x14ac:dyDescent="0.25">
      <c r="A7" s="6" t="s">
        <v>110</v>
      </c>
      <c r="B7" s="1">
        <v>6.4961690223464226</v>
      </c>
      <c r="C7" s="1">
        <v>2.8503371169791083</v>
      </c>
      <c r="E7" s="6" t="s">
        <v>110</v>
      </c>
      <c r="F7" s="1">
        <v>0.70417439018907324</v>
      </c>
      <c r="G7" s="1">
        <v>0.24476429416454865</v>
      </c>
      <c r="I7" s="6" t="s">
        <v>110</v>
      </c>
      <c r="J7" s="1">
        <v>1.9400000000000002</v>
      </c>
      <c r="K7" s="1">
        <v>1.0623827666416381</v>
      </c>
    </row>
    <row r="8" spans="1:11" x14ac:dyDescent="0.25">
      <c r="A8" s="6" t="s">
        <v>107</v>
      </c>
      <c r="B8" s="1">
        <v>15.634204894209455</v>
      </c>
      <c r="C8" s="1">
        <v>11.831510935140352</v>
      </c>
      <c r="E8" s="6" t="s">
        <v>107</v>
      </c>
      <c r="F8" s="1">
        <v>0.89712217661584859</v>
      </c>
      <c r="G8" s="1">
        <v>0.32993957446763533</v>
      </c>
      <c r="I8" s="6" t="s">
        <v>107</v>
      </c>
      <c r="J8" s="1">
        <v>14.089999999999998</v>
      </c>
      <c r="K8" s="1">
        <v>8.9741963428487583</v>
      </c>
    </row>
    <row r="9" spans="1:11" x14ac:dyDescent="0.25">
      <c r="A9" s="6" t="s">
        <v>112</v>
      </c>
      <c r="B9" s="1">
        <v>5.9036343802841538</v>
      </c>
      <c r="C9" s="1">
        <v>1.5046967513823026</v>
      </c>
      <c r="E9" s="6" t="s">
        <v>112</v>
      </c>
      <c r="F9" s="1">
        <v>0.5880150234464937</v>
      </c>
      <c r="G9" s="1">
        <v>0.21711962702781987</v>
      </c>
      <c r="I9" s="6" t="s">
        <v>112</v>
      </c>
      <c r="J9" s="1">
        <v>-5.2972727272727269</v>
      </c>
      <c r="K9" s="1">
        <v>6.7005767606691764</v>
      </c>
    </row>
    <row r="10" spans="1:11" x14ac:dyDescent="0.25">
      <c r="A10" s="6" t="s">
        <v>147</v>
      </c>
      <c r="B10" s="1">
        <v>7.5761035161788923</v>
      </c>
      <c r="C10" s="1">
        <v>17.705082716559382</v>
      </c>
      <c r="E10" s="6" t="s">
        <v>147</v>
      </c>
      <c r="F10" s="1">
        <v>1.3113061946734261</v>
      </c>
      <c r="G10" s="1">
        <v>0.97499708039552668</v>
      </c>
      <c r="I10" s="6" t="s">
        <v>147</v>
      </c>
      <c r="J10" s="1">
        <v>2.1505000000000001</v>
      </c>
      <c r="K10" s="1">
        <v>10.506992183779333</v>
      </c>
    </row>
    <row r="11" spans="1:11" x14ac:dyDescent="0.25">
      <c r="A11" s="6" t="s">
        <v>120</v>
      </c>
      <c r="B11" s="1">
        <v>14.114954072266617</v>
      </c>
      <c r="C11" s="1">
        <v>12.410846424889254</v>
      </c>
      <c r="E11" s="6" t="s">
        <v>120</v>
      </c>
      <c r="F11" s="1">
        <v>1.3740099062175115</v>
      </c>
      <c r="G11" s="1">
        <v>0.67525107729246703</v>
      </c>
      <c r="I11" s="6" t="s">
        <v>120</v>
      </c>
      <c r="J11" s="1">
        <v>-1.1900000000000002</v>
      </c>
      <c r="K11" s="1">
        <v>4.027384830312168</v>
      </c>
    </row>
    <row r="12" spans="1:11" x14ac:dyDescent="0.25">
      <c r="A12" s="6" t="s">
        <v>131</v>
      </c>
      <c r="B12" s="1">
        <v>10.182487197689289</v>
      </c>
      <c r="C12" s="1">
        <v>3.3443202277182986</v>
      </c>
      <c r="E12" s="6" t="s">
        <v>131</v>
      </c>
      <c r="F12" s="1">
        <v>1.4050459849329684</v>
      </c>
      <c r="G12" s="1">
        <v>0.61054122293814239</v>
      </c>
      <c r="I12" s="6" t="s">
        <v>131</v>
      </c>
      <c r="J12" s="1">
        <v>9.6787500000000009</v>
      </c>
      <c r="K12" s="1">
        <v>7.5004907131133729</v>
      </c>
    </row>
    <row r="13" spans="1:11" x14ac:dyDescent="0.25">
      <c r="A13" s="6" t="s">
        <v>135</v>
      </c>
      <c r="B13" s="1">
        <v>19.45497284668987</v>
      </c>
      <c r="C13" s="1">
        <v>34.293657656078068</v>
      </c>
      <c r="E13" s="6" t="s">
        <v>135</v>
      </c>
      <c r="F13" s="1">
        <v>0.73461531424587001</v>
      </c>
      <c r="G13" s="1">
        <v>0.25867864259469359</v>
      </c>
      <c r="I13" s="6" t="s">
        <v>135</v>
      </c>
      <c r="J13" s="1">
        <v>4.76</v>
      </c>
      <c r="K13" s="1">
        <v>4.8050473462807837</v>
      </c>
    </row>
    <row r="21" spans="1:11" x14ac:dyDescent="0.25">
      <c r="A21" s="24" t="s">
        <v>65</v>
      </c>
      <c r="B21" s="24"/>
      <c r="C21" s="24"/>
      <c r="E21" s="24" t="s">
        <v>67</v>
      </c>
      <c r="F21" s="24"/>
      <c r="G21" s="24"/>
      <c r="I21" s="24" t="s">
        <v>68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2.5583333333333331</v>
      </c>
      <c r="C25" s="1">
        <v>0.42333661416051754</v>
      </c>
      <c r="E25" s="6" t="s">
        <v>105</v>
      </c>
      <c r="F25" s="1">
        <v>3.3299999999999996</v>
      </c>
      <c r="G25" s="1">
        <v>1.5884583721331824</v>
      </c>
      <c r="I25" s="6" t="s">
        <v>105</v>
      </c>
      <c r="J25" s="1">
        <v>18.456148224097358</v>
      </c>
      <c r="K25" s="1">
        <v>32.613625003208504</v>
      </c>
    </row>
    <row r="26" spans="1:11" x14ac:dyDescent="0.25">
      <c r="A26" s="6" t="s">
        <v>114</v>
      </c>
      <c r="B26" s="1">
        <v>2.7540000000000004</v>
      </c>
      <c r="C26" s="1">
        <v>1.1304264681968481</v>
      </c>
      <c r="E26" s="6" t="s">
        <v>114</v>
      </c>
      <c r="F26" s="1">
        <v>2.33</v>
      </c>
      <c r="G26" s="1">
        <v>0.68044103344815965</v>
      </c>
      <c r="I26" s="6" t="s">
        <v>114</v>
      </c>
      <c r="J26" s="1">
        <v>28.934183183924119</v>
      </c>
      <c r="K26" s="1">
        <v>8.413021630053775</v>
      </c>
    </row>
    <row r="27" spans="1:11" x14ac:dyDescent="0.25">
      <c r="A27" s="6" t="s">
        <v>110</v>
      </c>
      <c r="B27" s="1">
        <v>1.7466666666666668</v>
      </c>
      <c r="C27" s="1">
        <v>0.19490738541391392</v>
      </c>
      <c r="E27" s="6" t="s">
        <v>110</v>
      </c>
      <c r="F27" s="1">
        <v>2.225714285714286</v>
      </c>
      <c r="G27" s="1">
        <v>0.49239522867762303</v>
      </c>
      <c r="I27" s="6" t="s">
        <v>110</v>
      </c>
      <c r="J27" s="1">
        <v>42.119775959907543</v>
      </c>
      <c r="K27" s="1">
        <v>43.968609296858759</v>
      </c>
    </row>
    <row r="28" spans="1:11" x14ac:dyDescent="0.25">
      <c r="A28" s="6" t="s">
        <v>107</v>
      </c>
      <c r="B28" s="1">
        <v>2.8000000000000003</v>
      </c>
      <c r="C28" s="1">
        <v>1.4067219578390984</v>
      </c>
      <c r="E28" s="6" t="s">
        <v>107</v>
      </c>
      <c r="F28" s="1">
        <v>2.0266666666666668</v>
      </c>
      <c r="G28" s="1">
        <v>0.55041398561042698</v>
      </c>
      <c r="I28" s="6" t="s">
        <v>107</v>
      </c>
      <c r="J28" s="1">
        <v>7.7660302967420618</v>
      </c>
      <c r="K28" s="1">
        <v>2.3019503122031075</v>
      </c>
    </row>
    <row r="29" spans="1:11" x14ac:dyDescent="0.25">
      <c r="A29" s="6" t="s">
        <v>112</v>
      </c>
      <c r="B29" s="1">
        <v>1.2319999999999998</v>
      </c>
      <c r="C29" s="1">
        <v>0.89027860807726933</v>
      </c>
      <c r="E29" s="6" t="s">
        <v>112</v>
      </c>
      <c r="F29" s="1">
        <v>2.8420000000000001</v>
      </c>
      <c r="G29" s="1">
        <v>0.56112030795543177</v>
      </c>
      <c r="I29" s="6" t="s">
        <v>112</v>
      </c>
      <c r="J29" s="1">
        <v>-4.6984604049117245</v>
      </c>
      <c r="K29" s="1">
        <v>12.908528039943622</v>
      </c>
    </row>
    <row r="30" spans="1:11" x14ac:dyDescent="0.25">
      <c r="A30" s="6" t="s">
        <v>147</v>
      </c>
      <c r="B30" s="1">
        <v>1.3504761904761899</v>
      </c>
      <c r="C30" s="1">
        <v>2.2522168469362769</v>
      </c>
      <c r="E30" s="6" t="s">
        <v>147</v>
      </c>
      <c r="F30" s="1">
        <v>2.3320000000000003</v>
      </c>
      <c r="G30" s="1">
        <v>0.89531335296643477</v>
      </c>
      <c r="I30" s="6" t="s">
        <v>147</v>
      </c>
      <c r="J30" s="1">
        <v>4.4600269461381528</v>
      </c>
      <c r="K30" s="1">
        <v>36.972476564396729</v>
      </c>
    </row>
    <row r="31" spans="1:11" x14ac:dyDescent="0.25">
      <c r="A31" s="6" t="s">
        <v>120</v>
      </c>
      <c r="B31" s="1">
        <v>1.4500000000000004</v>
      </c>
      <c r="C31" s="1">
        <v>0.90507458256212137</v>
      </c>
      <c r="E31" s="6" t="s">
        <v>120</v>
      </c>
      <c r="F31" s="1">
        <v>2.7199999999999998</v>
      </c>
      <c r="G31" s="1">
        <v>0.97431457388714537</v>
      </c>
      <c r="I31" s="6" t="s">
        <v>120</v>
      </c>
      <c r="J31" s="1">
        <v>-19.468991923964033</v>
      </c>
      <c r="K31" s="1">
        <v>22.381195133678474</v>
      </c>
    </row>
    <row r="32" spans="1:11" x14ac:dyDescent="0.25">
      <c r="A32" s="6" t="s">
        <v>131</v>
      </c>
      <c r="B32" s="1">
        <v>3.4985714285714282</v>
      </c>
      <c r="C32" s="1">
        <v>0.3731498577334999</v>
      </c>
      <c r="E32" s="6" t="s">
        <v>131</v>
      </c>
      <c r="F32" s="1">
        <v>5.0622222222222213</v>
      </c>
      <c r="G32" s="1">
        <v>4.3356295910302673</v>
      </c>
      <c r="I32" s="6" t="s">
        <v>131</v>
      </c>
      <c r="J32" s="1">
        <v>18.918570765382608</v>
      </c>
      <c r="K32" s="1">
        <v>8.4391310391984558</v>
      </c>
    </row>
    <row r="33" spans="1:11" x14ac:dyDescent="0.25">
      <c r="A33" s="6" t="s">
        <v>135</v>
      </c>
      <c r="B33" s="1">
        <v>2.4250000000000003</v>
      </c>
      <c r="C33" s="1">
        <v>0.96619097491127426</v>
      </c>
      <c r="E33" s="6" t="s">
        <v>135</v>
      </c>
      <c r="F33" s="1">
        <v>1.7966666666666669</v>
      </c>
      <c r="G33" s="1">
        <v>7.5865377844935133E-2</v>
      </c>
      <c r="I33" s="6" t="s">
        <v>135</v>
      </c>
      <c r="J33" s="1">
        <v>9.7346077145790701</v>
      </c>
      <c r="K33" s="1">
        <v>1.4474901527211996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L20" sqref="L20:M20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Large Cap"</f>
        <v>Real Estate - Large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x14ac:dyDescent="0.25">
      <c r="C2" s="34" t="s">
        <v>104</v>
      </c>
      <c r="D2" s="35"/>
      <c r="E2" s="35"/>
      <c r="F2" s="35"/>
      <c r="G2" s="35"/>
      <c r="H2" s="36"/>
      <c r="I2" s="42" t="s">
        <v>69</v>
      </c>
      <c r="J2" s="43"/>
      <c r="K2" s="43"/>
      <c r="L2" s="43"/>
      <c r="M2" s="44"/>
      <c r="N2" s="45" t="s">
        <v>86</v>
      </c>
      <c r="O2" s="46"/>
      <c r="P2" s="46"/>
      <c r="Q2" s="46"/>
      <c r="R2" s="46"/>
      <c r="S2" s="47"/>
      <c r="T2" s="40" t="str">
        <f>"Max Score:"&amp;IFERROR(CHAR(10)&amp;MAX($T$9:$T$1048576)&amp;"/5", CHAR(10)&amp;"0/5")</f>
        <v>Max Score:
0/5</v>
      </c>
    </row>
    <row r="3" spans="1:20" s="10" customFormat="1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274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6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0</v>
      </c>
      <c r="C6" s="37"/>
      <c r="D6" s="38"/>
      <c r="E6" s="38"/>
      <c r="F6" s="38"/>
      <c r="G6" s="38"/>
      <c r="H6" s="39"/>
      <c r="I6" s="51"/>
      <c r="J6" s="49"/>
      <c r="K6" s="49"/>
      <c r="L6" s="57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_xlfn._xlws.FILTER(_xlfn._xlws.FILTER(Main_L[], Main_L[Preliminary Criteria]="YES"), COUNTIF($A$8:$S$8,Main_L[#Headers]))</f>
        <v>#VALUE!</v>
      </c>
      <c r="C9" s="9"/>
      <c r="T9" t="e" vm="2">
        <f t="shared" ref="T9" si="0">SUM(IF($I9&lt;(0.7*VLOOKUP($A9, Mean_PB_L, 2, FALSE)),1,0), IF($J9&gt;VLOOKUP($A9, Mean_ROE_L, 2, FALSE),1,0), IF($K9&gt;VLOOKUP($A9, Mean_ROA_L, 2,FALSE),1,0), IF($M9&lt;VLOOKUP($A9, Mean_PE_L, 2, FALSE),1,0), IF(AND($M9&gt;1,$M9&lt;25),1,0))</f>
        <v>#VALUE!</v>
      </c>
    </row>
  </sheetData>
  <autoFilter ref="A8:T8" xr:uid="{97C29769-BCC2-47EA-9108-B1B7CE962C71}"/>
  <mergeCells count="15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  <mergeCell ref="L4:L6"/>
  </mergeCells>
  <phoneticPr fontId="6" type="noConversion"/>
  <conditionalFormatting sqref="I9:I1048576">
    <cfRule type="expression" dxfId="119" priority="1">
      <formula>$I9 &lt; (0.7*VLOOKUP($A9, Mean_PB_L, 2, FALSE))</formula>
    </cfRule>
  </conditionalFormatting>
  <conditionalFormatting sqref="J9:J1048576">
    <cfRule type="expression" dxfId="118" priority="3">
      <formula>$J9 &gt; VLOOKUP($A9, Mean_ROE_L, 2, FALSE)</formula>
    </cfRule>
  </conditionalFormatting>
  <conditionalFormatting sqref="K9:K1048576">
    <cfRule type="expression" dxfId="117" priority="4">
      <formula>$K9 &gt; VLOOKUP($A9, Mean_ROA_L, 2, FALSE)</formula>
    </cfRule>
  </conditionalFormatting>
  <conditionalFormatting sqref="M9:M1048576">
    <cfRule type="expression" dxfId="116" priority="5">
      <formula>AND($M9&gt;1, $M9&lt;25, $M9 &lt; VLOOKUP($A9, Mean_PE_L, 2, FALSE))</formula>
    </cfRule>
    <cfRule type="expression" dxfId="115" priority="6">
      <formula>AND($M9&gt;1, $M9&lt;25)</formula>
    </cfRule>
    <cfRule type="expression" dxfId="114" priority="9">
      <formula xml:space="preserve"> $M9 &lt; VLOOKUP($A9, Mean_PE_L, 2, FALSE)</formula>
    </cfRule>
  </conditionalFormatting>
  <conditionalFormatting sqref="N9:N1048576">
    <cfRule type="expression" dxfId="113" priority="10">
      <formula>$N9&lt;0</formula>
    </cfRule>
  </conditionalFormatting>
  <conditionalFormatting sqref="O9:O1048576">
    <cfRule type="expression" dxfId="112" priority="11">
      <formula>$O9&lt;0</formula>
    </cfRule>
  </conditionalFormatting>
  <conditionalFormatting sqref="P9:P1048576">
    <cfRule type="expression" dxfId="111" priority="12">
      <formula>$P9&gt;0</formula>
    </cfRule>
  </conditionalFormatting>
  <conditionalFormatting sqref="Q9:Q1048576">
    <cfRule type="expression" dxfId="110" priority="14">
      <formula>$Q9&gt;0</formula>
    </cfRule>
  </conditionalFormatting>
  <conditionalFormatting sqref="R9:R1048576">
    <cfRule type="expression" dxfId="109" priority="15">
      <formula>$R9&lt;0</formula>
    </cfRule>
  </conditionalFormatting>
  <conditionalFormatting sqref="S9:S1048576">
    <cfRule type="expression" dxfId="10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J21" sqref="J2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Mid Cap"</f>
        <v>Real Estate - Mid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0/5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274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6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0</v>
      </c>
      <c r="C6" s="37"/>
      <c r="D6" s="38"/>
      <c r="E6" s="38"/>
      <c r="F6" s="38"/>
      <c r="G6" s="38"/>
      <c r="H6" s="39"/>
      <c r="I6" s="51"/>
      <c r="J6" s="49"/>
      <c r="K6" s="49"/>
      <c r="L6" s="57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_xlfn._xlws.FILTER(_xlfn._xlws.FILTER(Main_M[], Main_M[Preliminary Criteria]="YES"), COUNTIF($A$8:$S$8,Main_M[#Headers]))</f>
        <v>#VALUE!</v>
      </c>
      <c r="T9" t="e" vm="2">
        <f t="shared" ref="T9" si="0">SUM(IF($I9 &lt; (0.7*VLOOKUP($A9, Mean_PB_M, 2, FALSE)),1,0), IF($J9&gt;VLOOKUP($A9, Mean_ROE_M, 2, FALSE),1,0), IF($K9&gt;VLOOKUP($A9, Mean_ROA_M, 2,FALSE),1,0), IF($M9&lt;VLOOKUP($A9, Mean_PE_M, 2, FALSE),1,0), IF(AND($M9&gt;1,$M9&lt;25),1,0))</f>
        <v>#VALUE!</v>
      </c>
    </row>
  </sheetData>
  <autoFilter ref="A8:T8" xr:uid="{0BF3C1E5-2754-4118-8E3A-5ED7654E3417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107" priority="1">
      <formula>$I9 &lt; (0.7*VLOOKUP($A9, Mean_PB_M, 2, FALSE))</formula>
    </cfRule>
  </conditionalFormatting>
  <conditionalFormatting sqref="J9:J1048576">
    <cfRule type="expression" dxfId="106" priority="3">
      <formula>$J9 &gt; VLOOKUP($A9, Mean_ROE_M, 2, FALSE)</formula>
    </cfRule>
  </conditionalFormatting>
  <conditionalFormatting sqref="K9:K1048576">
    <cfRule type="expression" dxfId="105" priority="4">
      <formula>$K9 &gt; VLOOKUP($A9, Mean_ROA_M, 2, FALSE)</formula>
    </cfRule>
  </conditionalFormatting>
  <conditionalFormatting sqref="M9:M1048576">
    <cfRule type="expression" dxfId="104" priority="5">
      <formula>AND($M9&gt;1, $M9&lt;25, $M9 &lt; VLOOKUP($A9, Mean_PE_M, 2, FALSE))</formula>
    </cfRule>
    <cfRule type="expression" dxfId="103" priority="6">
      <formula>AND($M9&gt;1, $M9&lt;25)</formula>
    </cfRule>
    <cfRule type="expression" dxfId="102" priority="7">
      <formula xml:space="preserve"> $M9 &lt; VLOOKUP($A9, Mean_PE_M, 2, FALSE)</formula>
    </cfRule>
  </conditionalFormatting>
  <conditionalFormatting sqref="N9:N1048576">
    <cfRule type="expression" dxfId="101" priority="8">
      <formula>$N9&lt;0</formula>
    </cfRule>
  </conditionalFormatting>
  <conditionalFormatting sqref="O9:O1048576">
    <cfRule type="expression" dxfId="100" priority="9">
      <formula>$O9&lt;0</formula>
    </cfRule>
  </conditionalFormatting>
  <conditionalFormatting sqref="P9:P1048576">
    <cfRule type="expression" dxfId="99" priority="10">
      <formula>$P9&gt;0</formula>
    </cfRule>
  </conditionalFormatting>
  <conditionalFormatting sqref="Q9:Q1048576">
    <cfRule type="expression" dxfId="98" priority="11">
      <formula>$Q9&gt;0</formula>
    </cfRule>
  </conditionalFormatting>
  <conditionalFormatting sqref="R9:R1048576">
    <cfRule type="expression" dxfId="97" priority="12">
      <formula>$R9&lt;0</formula>
    </cfRule>
  </conditionalFormatting>
  <conditionalFormatting sqref="S9:S1048576">
    <cfRule type="expression" dxfId="9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2" sqref="I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Small Cap"</f>
        <v>Real Estate - Small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0/5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274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6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0</v>
      </c>
      <c r="C6" s="37"/>
      <c r="D6" s="38"/>
      <c r="E6" s="38"/>
      <c r="F6" s="38"/>
      <c r="G6" s="38"/>
      <c r="H6" s="39"/>
      <c r="I6" s="51"/>
      <c r="J6" s="49"/>
      <c r="K6" s="49"/>
      <c r="L6" s="57"/>
      <c r="M6" s="18" t="s">
        <v>85</v>
      </c>
      <c r="N6" s="54"/>
      <c r="O6" s="30"/>
      <c r="P6" s="30"/>
      <c r="Q6" s="30"/>
      <c r="R6" s="30"/>
      <c r="S6" s="33"/>
      <c r="T6" s="41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_xlfn._xlws.FILTER(_xlfn._xlws.FILTER(Main_S[], Main_S[Preliminary Criteria]="YES"), COUNTIF($A$8:$S$8,Main_S[#Headers]))</f>
        <v>#VALUE!</v>
      </c>
      <c r="T9" t="e" vm="2">
        <f>SUM(IF($I9 &lt; (0.7*VLOOKUP($A9, Mean_PB_S, 2, FALSE)),1,0), IF($J9&gt;VLOOKUP($A9, Mean_ROE_S, 2, FALSE),1,0), IF($K9&gt;VLOOKUP($A9, Mean_ROA_S, 2,FALSE),1,0), IF($M9&lt;VLOOKUP($A9, Mean_PE_S, 2, FALSE),1,0), IF(AND($M9&gt;1,$M9&lt;25),1,0))</f>
        <v>#VALUE!</v>
      </c>
    </row>
  </sheetData>
  <autoFilter ref="A8:T8" xr:uid="{F6F40F71-5FB0-44DA-81D2-9D55F6DCA29E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95" priority="1">
      <formula>$I9 &lt; (0.7*VLOOKUP($A9, Mean_PB_S, 2, FALSE))</formula>
    </cfRule>
  </conditionalFormatting>
  <conditionalFormatting sqref="J9:J1048576">
    <cfRule type="expression" dxfId="94" priority="3">
      <formula>$J9 &gt; VLOOKUP($A9, Mean_ROE_S, 2, FALSE)</formula>
    </cfRule>
  </conditionalFormatting>
  <conditionalFormatting sqref="K9:K1048576">
    <cfRule type="expression" dxfId="93" priority="4">
      <formula>$K9 &gt; VLOOKUP($A9, Mean_ROA_S, 2, FALSE)</formula>
    </cfRule>
  </conditionalFormatting>
  <conditionalFormatting sqref="M9:M1048576">
    <cfRule type="expression" dxfId="92" priority="5">
      <formula>AND($M9&gt;1, $M9&lt;25, $M9 &lt; VLOOKUP($A9, Mean_PE_S, 2, FALSE))</formula>
    </cfRule>
    <cfRule type="expression" dxfId="91" priority="6">
      <formula>AND($M9&gt;1, $M9&lt;25)</formula>
    </cfRule>
    <cfRule type="expression" dxfId="90" priority="7">
      <formula xml:space="preserve"> $M9 &lt; VLOOKUP($A9, Mean_PE_S, 2, FALSE)</formula>
    </cfRule>
  </conditionalFormatting>
  <conditionalFormatting sqref="N9:N1048576">
    <cfRule type="expression" dxfId="89" priority="8">
      <formula>$N9&lt;0</formula>
    </cfRule>
  </conditionalFormatting>
  <conditionalFormatting sqref="O9:O1048576">
    <cfRule type="expression" dxfId="88" priority="9">
      <formula>$O9&lt;0</formula>
    </cfRule>
  </conditionalFormatting>
  <conditionalFormatting sqref="P9:P1048576">
    <cfRule type="expression" dxfId="87" priority="10">
      <formula>$P9&gt;0</formula>
    </cfRule>
  </conditionalFormatting>
  <conditionalFormatting sqref="Q9:Q1048576">
    <cfRule type="expression" dxfId="86" priority="11">
      <formula>$Q9&gt;0</formula>
    </cfRule>
  </conditionalFormatting>
  <conditionalFormatting sqref="R9:R1048576">
    <cfRule type="expression" dxfId="85" priority="12">
      <formula>$R9&lt;0</formula>
    </cfRule>
  </conditionalFormatting>
  <conditionalFormatting sqref="S9:S1048576">
    <cfRule type="expression" dxfId="8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Khoi Le</cp:lastModifiedBy>
  <dcterms:created xsi:type="dcterms:W3CDTF">2024-11-08T05:29:25Z</dcterms:created>
  <dcterms:modified xsi:type="dcterms:W3CDTF">2025-06-09T20:52:19Z</dcterms:modified>
</cp:coreProperties>
</file>